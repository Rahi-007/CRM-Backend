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hi\Desktop\Rahi\CRM-Backend\Doc\"/>
    </mc:Choice>
  </mc:AlternateContent>
  <bookViews>
    <workbookView xWindow="0" yWindow="0" windowWidth="23040" windowHeight="9780" firstSheet="1" activeTab="7"/>
  </bookViews>
  <sheets>
    <sheet name="Shohag_S188138" sheetId="1" r:id="rId1"/>
    <sheet name="Faruk_521288" sheetId="2" r:id="rId2"/>
    <sheet name="Iasin_S204960" sheetId="3" r:id="rId3"/>
    <sheet name="Sani_S223034" sheetId="4" r:id="rId4"/>
    <sheet name="Azizul_S223035" sheetId="5" r:id="rId5"/>
    <sheet name="Sujan_S223038" sheetId="6" r:id="rId6"/>
    <sheet name="Ariful_S223037" sheetId="7" r:id="rId7"/>
    <sheet name="Helper" sheetId="8" r:id="rId8"/>
    <sheet name="Local DB" sheetId="9" r:id="rId9"/>
    <sheet name="Ex-Designers" sheetId="10" state="hidden" r:id="rId10"/>
  </sheets>
  <definedNames>
    <definedName name="_xlnm._FilterDatabase" localSheetId="6" hidden="1">Ariful_S223037!$A$2:$K$55</definedName>
    <definedName name="_xlnm._FilterDatabase" localSheetId="4" hidden="1">Azizul_S223035!$A$2:$K$160</definedName>
    <definedName name="_xlnm._FilterDatabase" localSheetId="9" hidden="1">'Ex-Designers'!$A$2:$L$2</definedName>
    <definedName name="_xlnm._FilterDatabase" localSheetId="1" hidden="1">Faruk_521288!$A$2:$K$263</definedName>
    <definedName name="_xlnm._FilterDatabase" localSheetId="2" hidden="1">Iasin_S204960!$A$2:$Z$359</definedName>
    <definedName name="_xlnm._FilterDatabase" localSheetId="8" hidden="1">'Local DB'!$A$1:$K$1</definedName>
    <definedName name="_xlnm._FilterDatabase" localSheetId="3" hidden="1">Sani_S223034!$A$2:$K$127</definedName>
    <definedName name="_xlnm._FilterDatabase" localSheetId="0" hidden="1">Shohag_S188138!$A$2:$Z$251</definedName>
    <definedName name="_xlnm._FilterDatabase" localSheetId="5" hidden="1">Sujan_S223038!$A$2:$K$39</definedName>
    <definedName name="Z_17A1FCDB_D63F_4251_9FA4_2E82AA86A3CB_.wvu.FilterData" localSheetId="0" hidden="1">Shohag_S188138!$A$2:$K$236</definedName>
  </definedNames>
  <calcPr calcId="162913"/>
  <customWorkbookViews>
    <customWorkbookView name="Filter 1" guid="{17A1FCDB-D63F-4251-9FA4-2E82AA86A3CB}" maximized="1" windowWidth="0" windowHeight="0" activeSheetId="0"/>
  </customWorkbookViews>
</workbook>
</file>

<file path=xl/calcChain.xml><?xml version="1.0" encoding="utf-8"?>
<calcChain xmlns="http://schemas.openxmlformats.org/spreadsheetml/2006/main">
  <c r="A1" i="10" l="1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A1" i="7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A1" i="6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4" i="5"/>
  <c r="K143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1" i="5"/>
  <c r="K110" i="5"/>
  <c r="K109" i="5"/>
  <c r="K108" i="5"/>
  <c r="K107" i="5"/>
  <c r="K106" i="5"/>
  <c r="K105" i="5"/>
  <c r="K103" i="5"/>
  <c r="K102" i="5"/>
  <c r="K101" i="5"/>
  <c r="K99" i="5"/>
  <c r="K98" i="5"/>
  <c r="K97" i="5"/>
  <c r="K96" i="5"/>
  <c r="K95" i="5"/>
  <c r="K94" i="5"/>
  <c r="K93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A1" i="5"/>
  <c r="K203" i="4"/>
  <c r="K199" i="4"/>
  <c r="K198" i="4"/>
  <c r="K197" i="4"/>
  <c r="K196" i="4"/>
  <c r="K195" i="4"/>
  <c r="K194" i="4"/>
  <c r="K192" i="4"/>
  <c r="K188" i="4"/>
  <c r="K187" i="4"/>
  <c r="K185" i="4"/>
  <c r="K184" i="4"/>
  <c r="K183" i="4"/>
  <c r="K182" i="4"/>
  <c r="K181" i="4"/>
  <c r="K180" i="4"/>
  <c r="K179" i="4"/>
  <c r="K178" i="4"/>
  <c r="K177" i="4"/>
  <c r="K175" i="4"/>
  <c r="K174" i="4"/>
  <c r="K173" i="4"/>
  <c r="K172" i="4"/>
  <c r="K171" i="4"/>
  <c r="K170" i="4"/>
  <c r="K169" i="4"/>
  <c r="K167" i="4"/>
  <c r="K166" i="4"/>
  <c r="K165" i="4"/>
  <c r="K164" i="4"/>
  <c r="K162" i="4"/>
  <c r="K156" i="4"/>
  <c r="K155" i="4"/>
  <c r="K154" i="4"/>
  <c r="K153" i="4"/>
  <c r="K151" i="4"/>
  <c r="K150" i="4"/>
  <c r="K149" i="4"/>
  <c r="K146" i="4"/>
  <c r="K145" i="4"/>
  <c r="K144" i="4"/>
  <c r="K143" i="4"/>
  <c r="K142" i="4"/>
  <c r="K141" i="4"/>
  <c r="K140" i="4"/>
  <c r="K138" i="4"/>
  <c r="K136" i="4"/>
  <c r="K135" i="4"/>
  <c r="K134" i="4"/>
  <c r="K132" i="4"/>
  <c r="K129" i="4"/>
  <c r="K128" i="4"/>
  <c r="K127" i="4"/>
  <c r="K126" i="4"/>
  <c r="K125" i="4"/>
  <c r="K120" i="4"/>
  <c r="K116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393" i="3"/>
  <c r="K392" i="3"/>
  <c r="K391" i="3"/>
  <c r="K389" i="3"/>
  <c r="K388" i="3"/>
  <c r="K387" i="3"/>
  <c r="K385" i="3"/>
  <c r="K384" i="3"/>
  <c r="K383" i="3"/>
  <c r="K382" i="3"/>
  <c r="K380" i="3"/>
  <c r="K379" i="3"/>
  <c r="K378" i="3"/>
  <c r="K375" i="3"/>
  <c r="K367" i="3"/>
  <c r="K366" i="3"/>
  <c r="K365" i="3"/>
  <c r="K363" i="3"/>
  <c r="K362" i="3"/>
  <c r="K359" i="3"/>
  <c r="K358" i="3"/>
  <c r="K357" i="3"/>
  <c r="K355" i="3"/>
  <c r="K354" i="3"/>
  <c r="K352" i="3"/>
  <c r="K351" i="3"/>
  <c r="K350" i="3"/>
  <c r="K349" i="3"/>
  <c r="K348" i="3"/>
  <c r="K347" i="3"/>
  <c r="K346" i="3"/>
  <c r="K345" i="3"/>
  <c r="K344" i="3"/>
  <c r="K343" i="3"/>
  <c r="K341" i="3"/>
  <c r="K340" i="3"/>
  <c r="K338" i="3"/>
  <c r="K336" i="3"/>
  <c r="K335" i="3"/>
  <c r="K334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A1" i="3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A1" i="2"/>
  <c r="K247" i="1"/>
  <c r="K246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8" i="1"/>
  <c r="K227" i="1"/>
  <c r="K226" i="1"/>
  <c r="K225" i="1"/>
  <c r="K224" i="1"/>
  <c r="K223" i="1"/>
  <c r="K222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A1" i="1"/>
  <c r="K1352" i="9"/>
  <c r="I1352" i="9"/>
  <c r="E1352" i="9"/>
  <c r="A1352" i="9"/>
  <c r="H1351" i="9"/>
  <c r="D1351" i="9"/>
  <c r="K1350" i="9"/>
  <c r="G1350" i="9"/>
  <c r="C1350" i="9"/>
  <c r="J1349" i="9"/>
  <c r="F1349" i="9"/>
  <c r="B1349" i="9"/>
  <c r="I1348" i="9"/>
  <c r="E1348" i="9"/>
  <c r="A1348" i="9"/>
  <c r="H1347" i="9"/>
  <c r="D1347" i="9"/>
  <c r="K1346" i="9"/>
  <c r="G1346" i="9"/>
  <c r="C1346" i="9"/>
  <c r="J1345" i="9"/>
  <c r="F1345" i="9"/>
  <c r="B1345" i="9"/>
  <c r="I1344" i="9"/>
  <c r="E1344" i="9"/>
  <c r="A1344" i="9"/>
  <c r="H1343" i="9"/>
  <c r="D1343" i="9"/>
  <c r="K1342" i="9"/>
  <c r="G1342" i="9"/>
  <c r="C1342" i="9"/>
  <c r="J1341" i="9"/>
  <c r="F1341" i="9"/>
  <c r="B1341" i="9"/>
  <c r="I1340" i="9"/>
  <c r="E1340" i="9"/>
  <c r="A1340" i="9"/>
  <c r="H1339" i="9"/>
  <c r="D1339" i="9"/>
  <c r="K1338" i="9"/>
  <c r="G1338" i="9"/>
  <c r="C1338" i="9"/>
  <c r="J1337" i="9"/>
  <c r="F1337" i="9"/>
  <c r="B1337" i="9"/>
  <c r="I1336" i="9"/>
  <c r="E1336" i="9"/>
  <c r="A1336" i="9"/>
  <c r="H1335" i="9"/>
  <c r="D1335" i="9"/>
  <c r="K1334" i="9"/>
  <c r="G1334" i="9"/>
  <c r="C1334" i="9"/>
  <c r="J1333" i="9"/>
  <c r="F1333" i="9"/>
  <c r="B1333" i="9"/>
  <c r="I1332" i="9"/>
  <c r="E1332" i="9"/>
  <c r="A1332" i="9"/>
  <c r="H1331" i="9"/>
  <c r="D1331" i="9"/>
  <c r="K1330" i="9"/>
  <c r="G1330" i="9"/>
  <c r="C1330" i="9"/>
  <c r="J1352" i="9"/>
  <c r="B1352" i="9"/>
  <c r="E1351" i="9"/>
  <c r="H1350" i="9"/>
  <c r="K1349" i="9"/>
  <c r="C1349" i="9"/>
  <c r="F1348" i="9"/>
  <c r="I1347" i="9"/>
  <c r="A1347" i="9"/>
  <c r="D1346" i="9"/>
  <c r="G1345" i="9"/>
  <c r="J1344" i="9"/>
  <c r="B1344" i="9"/>
  <c r="E1343" i="9"/>
  <c r="H1342" i="9"/>
  <c r="K1341" i="9"/>
  <c r="C1341" i="9"/>
  <c r="F1340" i="9"/>
  <c r="I1339" i="9"/>
  <c r="A1339" i="9"/>
  <c r="D1338" i="9"/>
  <c r="G1337" i="9"/>
  <c r="J1336" i="9"/>
  <c r="B1336" i="9"/>
  <c r="E1335" i="9"/>
  <c r="H1334" i="9"/>
  <c r="K1333" i="9"/>
  <c r="C1333" i="9"/>
  <c r="F1332" i="9"/>
  <c r="I1331" i="9"/>
  <c r="A1331" i="9"/>
  <c r="D1330" i="9"/>
  <c r="I1329" i="9"/>
  <c r="E1329" i="9"/>
  <c r="A1329" i="9"/>
  <c r="H1328" i="9"/>
  <c r="D1328" i="9"/>
  <c r="K1327" i="9"/>
  <c r="G1327" i="9"/>
  <c r="C1327" i="9"/>
  <c r="J1326" i="9"/>
  <c r="F1326" i="9"/>
  <c r="B1326" i="9"/>
  <c r="I1325" i="9"/>
  <c r="E1325" i="9"/>
  <c r="A1325" i="9"/>
  <c r="H1324" i="9"/>
  <c r="D1324" i="9"/>
  <c r="K1323" i="9"/>
  <c r="G1323" i="9"/>
  <c r="C1323" i="9"/>
  <c r="J1322" i="9"/>
  <c r="F1322" i="9"/>
  <c r="B1322" i="9"/>
  <c r="I1321" i="9"/>
  <c r="E1321" i="9"/>
  <c r="A1321" i="9"/>
  <c r="H1320" i="9"/>
  <c r="D1320" i="9"/>
  <c r="K1319" i="9"/>
  <c r="G1319" i="9"/>
  <c r="C1319" i="9"/>
  <c r="J1318" i="9"/>
  <c r="F1318" i="9"/>
  <c r="G1352" i="9"/>
  <c r="J1351" i="9"/>
  <c r="B1351" i="9"/>
  <c r="E1350" i="9"/>
  <c r="H1349" i="9"/>
  <c r="K1348" i="9"/>
  <c r="C1348" i="9"/>
  <c r="F1347" i="9"/>
  <c r="I1346" i="9"/>
  <c r="A1346" i="9"/>
  <c r="D1345" i="9"/>
  <c r="G1344" i="9"/>
  <c r="J1343" i="9"/>
  <c r="B1343" i="9"/>
  <c r="E1342" i="9"/>
  <c r="H1341" i="9"/>
  <c r="K1340" i="9"/>
  <c r="C1340" i="9"/>
  <c r="F1339" i="9"/>
  <c r="I1338" i="9"/>
  <c r="A1338" i="9"/>
  <c r="D1337" i="9"/>
  <c r="G1336" i="9"/>
  <c r="J1335" i="9"/>
  <c r="B1335" i="9"/>
  <c r="E1334" i="9"/>
  <c r="H1333" i="9"/>
  <c r="K1332" i="9"/>
  <c r="C1332" i="9"/>
  <c r="F1331" i="9"/>
  <c r="I1330" i="9"/>
  <c r="A1330" i="9"/>
  <c r="I1351" i="9"/>
  <c r="D1350" i="9"/>
  <c r="J1348" i="9"/>
  <c r="E1347" i="9"/>
  <c r="K1345" i="9"/>
  <c r="F1344" i="9"/>
  <c r="A1343" i="9"/>
  <c r="G1341" i="9"/>
  <c r="B1340" i="9"/>
  <c r="H1338" i="9"/>
  <c r="C1337" i="9"/>
  <c r="I1335" i="9"/>
  <c r="D1334" i="9"/>
  <c r="J1332" i="9"/>
  <c r="E1331" i="9"/>
  <c r="K1329" i="9"/>
  <c r="C1329" i="9"/>
  <c r="F1328" i="9"/>
  <c r="I1327" i="9"/>
  <c r="A1327" i="9"/>
  <c r="D1326" i="9"/>
  <c r="G1325" i="9"/>
  <c r="J1324" i="9"/>
  <c r="B1324" i="9"/>
  <c r="E1323" i="9"/>
  <c r="H1322" i="9"/>
  <c r="K1321" i="9"/>
  <c r="C1321" i="9"/>
  <c r="F1320" i="9"/>
  <c r="I1319" i="9"/>
  <c r="A1319" i="9"/>
  <c r="H1352" i="9"/>
  <c r="G1351" i="9"/>
  <c r="B1350" i="9"/>
  <c r="H1348" i="9"/>
  <c r="C1347" i="9"/>
  <c r="I1345" i="9"/>
  <c r="D1344" i="9"/>
  <c r="J1342" i="9"/>
  <c r="E1341" i="9"/>
  <c r="K1339" i="9"/>
  <c r="F1338" i="9"/>
  <c r="A1337" i="9"/>
  <c r="G1335" i="9"/>
  <c r="B1334" i="9"/>
  <c r="H1332" i="9"/>
  <c r="C1331" i="9"/>
  <c r="J1329" i="9"/>
  <c r="B1329" i="9"/>
  <c r="E1328" i="9"/>
  <c r="H1327" i="9"/>
  <c r="K1326" i="9"/>
  <c r="C1326" i="9"/>
  <c r="F1325" i="9"/>
  <c r="I1324" i="9"/>
  <c r="A1324" i="9"/>
  <c r="D1323" i="9"/>
  <c r="G1322" i="9"/>
  <c r="J1321" i="9"/>
  <c r="B1321" i="9"/>
  <c r="E1320" i="9"/>
  <c r="H1319" i="9"/>
  <c r="K1318" i="9"/>
  <c r="D1318" i="9"/>
  <c r="K1317" i="9"/>
  <c r="G1317" i="9"/>
  <c r="C1317" i="9"/>
  <c r="J1316" i="9"/>
  <c r="F1316" i="9"/>
  <c r="B1316" i="9"/>
  <c r="I1315" i="9"/>
  <c r="E1315" i="9"/>
  <c r="A1315" i="9"/>
  <c r="H1314" i="9"/>
  <c r="D1314" i="9"/>
  <c r="K1313" i="9"/>
  <c r="G1313" i="9"/>
  <c r="C1313" i="9"/>
  <c r="J1312" i="9"/>
  <c r="F1312" i="9"/>
  <c r="B1312" i="9"/>
  <c r="I1311" i="9"/>
  <c r="E1311" i="9"/>
  <c r="A1311" i="9"/>
  <c r="H1310" i="9"/>
  <c r="D1310" i="9"/>
  <c r="K1309" i="9"/>
  <c r="G1309" i="9"/>
  <c r="C1309" i="9"/>
  <c r="J1308" i="9"/>
  <c r="F1308" i="9"/>
  <c r="B1308" i="9"/>
  <c r="I1307" i="9"/>
  <c r="E1307" i="9"/>
  <c r="A1307" i="9"/>
  <c r="C1352" i="9"/>
  <c r="I1350" i="9"/>
  <c r="D1349" i="9"/>
  <c r="J1347" i="9"/>
  <c r="E1346" i="9"/>
  <c r="K1344" i="9"/>
  <c r="F1343" i="9"/>
  <c r="A1342" i="9"/>
  <c r="G1340" i="9"/>
  <c r="B1339" i="9"/>
  <c r="H1337" i="9"/>
  <c r="C1336" i="9"/>
  <c r="I1334" i="9"/>
  <c r="D1333" i="9"/>
  <c r="J1331" i="9"/>
  <c r="E1330" i="9"/>
  <c r="A1351" i="9"/>
  <c r="B1348" i="9"/>
  <c r="C1345" i="9"/>
  <c r="D1342" i="9"/>
  <c r="E1339" i="9"/>
  <c r="F1336" i="9"/>
  <c r="G1333" i="9"/>
  <c r="H1330" i="9"/>
  <c r="J1328" i="9"/>
  <c r="E1327" i="9"/>
  <c r="K1325" i="9"/>
  <c r="F1324" i="9"/>
  <c r="A1323" i="9"/>
  <c r="G1321" i="9"/>
  <c r="B1320" i="9"/>
  <c r="H1318" i="9"/>
  <c r="J1350" i="9"/>
  <c r="K1347" i="9"/>
  <c r="A1345" i="9"/>
  <c r="B1342" i="9"/>
  <c r="C1339" i="9"/>
  <c r="D1336" i="9"/>
  <c r="E1333" i="9"/>
  <c r="F1330" i="9"/>
  <c r="I1328" i="9"/>
  <c r="D1327" i="9"/>
  <c r="J1325" i="9"/>
  <c r="E1324" i="9"/>
  <c r="K1322" i="9"/>
  <c r="F1321" i="9"/>
  <c r="A1320" i="9"/>
  <c r="G1318" i="9"/>
  <c r="I1317" i="9"/>
  <c r="A1317" i="9"/>
  <c r="D1316" i="9"/>
  <c r="G1315" i="9"/>
  <c r="J1314" i="9"/>
  <c r="B1314" i="9"/>
  <c r="E1313" i="9"/>
  <c r="H1312" i="9"/>
  <c r="K1311" i="9"/>
  <c r="C1311" i="9"/>
  <c r="F1310" i="9"/>
  <c r="I1309" i="9"/>
  <c r="A1309" i="9"/>
  <c r="D1308" i="9"/>
  <c r="G1307" i="9"/>
  <c r="J1306" i="9"/>
  <c r="F1306" i="9"/>
  <c r="B1306" i="9"/>
  <c r="I1305" i="9"/>
  <c r="E1305" i="9"/>
  <c r="A1305" i="9"/>
  <c r="H1304" i="9"/>
  <c r="D1304" i="9"/>
  <c r="K1303" i="9"/>
  <c r="G1303" i="9"/>
  <c r="C1303" i="9"/>
  <c r="J1302" i="9"/>
  <c r="F1302" i="9"/>
  <c r="B1302" i="9"/>
  <c r="I1301" i="9"/>
  <c r="E1301" i="9"/>
  <c r="A1301" i="9"/>
  <c r="H1300" i="9"/>
  <c r="D1300" i="9"/>
  <c r="K1299" i="9"/>
  <c r="G1299" i="9"/>
  <c r="C1299" i="9"/>
  <c r="J1298" i="9"/>
  <c r="F1298" i="9"/>
  <c r="B1298" i="9"/>
  <c r="I1297" i="9"/>
  <c r="E1297" i="9"/>
  <c r="A1297" i="9"/>
  <c r="H1296" i="9"/>
  <c r="D1296" i="9"/>
  <c r="K1295" i="9"/>
  <c r="G1295" i="9"/>
  <c r="C1295" i="9"/>
  <c r="J1294" i="9"/>
  <c r="F1294" i="9"/>
  <c r="B1294" i="9"/>
  <c r="I1293" i="9"/>
  <c r="E1293" i="9"/>
  <c r="A1293" i="9"/>
  <c r="H1292" i="9"/>
  <c r="D1292" i="9"/>
  <c r="K1291" i="9"/>
  <c r="G1291" i="9"/>
  <c r="C1291" i="9"/>
  <c r="J1290" i="9"/>
  <c r="F1290" i="9"/>
  <c r="B1290" i="9"/>
  <c r="I1289" i="9"/>
  <c r="E1289" i="9"/>
  <c r="A1289" i="9"/>
  <c r="H1288" i="9"/>
  <c r="D1288" i="9"/>
  <c r="K1287" i="9"/>
  <c r="G1287" i="9"/>
  <c r="C1287" i="9"/>
  <c r="J1286" i="9"/>
  <c r="F1286" i="9"/>
  <c r="B1286" i="9"/>
  <c r="I1285" i="9"/>
  <c r="E1285" i="9"/>
  <c r="A1285" i="9"/>
  <c r="H1284" i="9"/>
  <c r="D1284" i="9"/>
  <c r="K1283" i="9"/>
  <c r="G1283" i="9"/>
  <c r="F1350" i="9"/>
  <c r="G1347" i="9"/>
  <c r="H1344" i="9"/>
  <c r="I1341" i="9"/>
  <c r="J1338" i="9"/>
  <c r="K1335" i="9"/>
  <c r="A1333" i="9"/>
  <c r="B1330" i="9"/>
  <c r="G1328" i="9"/>
  <c r="B1327" i="9"/>
  <c r="H1325" i="9"/>
  <c r="C1324" i="9"/>
  <c r="I1322" i="9"/>
  <c r="D1321" i="9"/>
  <c r="J1319" i="9"/>
  <c r="E1318" i="9"/>
  <c r="H1317" i="9"/>
  <c r="K1316" i="9"/>
  <c r="C1316" i="9"/>
  <c r="F1315" i="9"/>
  <c r="I1314" i="9"/>
  <c r="A1314" i="9"/>
  <c r="D1313" i="9"/>
  <c r="G1312" i="9"/>
  <c r="J1311" i="9"/>
  <c r="B1311" i="9"/>
  <c r="E1310" i="9"/>
  <c r="H1309" i="9"/>
  <c r="K1308" i="9"/>
  <c r="C1308" i="9"/>
  <c r="F1307" i="9"/>
  <c r="I1306" i="9"/>
  <c r="A1306" i="9"/>
  <c r="D1305" i="9"/>
  <c r="G1304" i="9"/>
  <c r="J1303" i="9"/>
  <c r="B1303" i="9"/>
  <c r="E1302" i="9"/>
  <c r="H1301" i="9"/>
  <c r="K1300" i="9"/>
  <c r="C1300" i="9"/>
  <c r="F1299" i="9"/>
  <c r="I1298" i="9"/>
  <c r="A1298" i="9"/>
  <c r="D1297" i="9"/>
  <c r="G1296" i="9"/>
  <c r="J1295" i="9"/>
  <c r="B1295" i="9"/>
  <c r="E1294" i="9"/>
  <c r="H1293" i="9"/>
  <c r="K1292" i="9"/>
  <c r="C1292" i="9"/>
  <c r="F1291" i="9"/>
  <c r="I1290" i="9"/>
  <c r="A1290" i="9"/>
  <c r="D1289" i="9"/>
  <c r="G1288" i="9"/>
  <c r="J1287" i="9"/>
  <c r="B1287" i="9"/>
  <c r="E1286" i="9"/>
  <c r="H1285" i="9"/>
  <c r="K1284" i="9"/>
  <c r="C1284" i="9"/>
  <c r="F1283" i="9"/>
  <c r="B1283" i="9"/>
  <c r="I1282" i="9"/>
  <c r="E1282" i="9"/>
  <c r="A1282" i="9"/>
  <c r="H1281" i="9"/>
  <c r="D1281" i="9"/>
  <c r="K1280" i="9"/>
  <c r="G1280" i="9"/>
  <c r="C1280" i="9"/>
  <c r="J1279" i="9"/>
  <c r="F1279" i="9"/>
  <c r="B1279" i="9"/>
  <c r="I1278" i="9"/>
  <c r="E1278" i="9"/>
  <c r="A1278" i="9"/>
  <c r="H1277" i="9"/>
  <c r="D1277" i="9"/>
  <c r="K1276" i="9"/>
  <c r="G1276" i="9"/>
  <c r="C1276" i="9"/>
  <c r="J1275" i="9"/>
  <c r="F1275" i="9"/>
  <c r="B1275" i="9"/>
  <c r="I1274" i="9"/>
  <c r="E1274" i="9"/>
  <c r="A1274" i="9"/>
  <c r="H1273" i="9"/>
  <c r="D1273" i="9"/>
  <c r="K1272" i="9"/>
  <c r="G1272" i="9"/>
  <c r="C1272" i="9"/>
  <c r="J1271" i="9"/>
  <c r="F1271" i="9"/>
  <c r="B1271" i="9"/>
  <c r="I1270" i="9"/>
  <c r="E1270" i="9"/>
  <c r="A1270" i="9"/>
  <c r="H1269" i="9"/>
  <c r="D1269" i="9"/>
  <c r="K1268" i="9"/>
  <c r="G1268" i="9"/>
  <c r="C1268" i="9"/>
  <c r="J1267" i="9"/>
  <c r="F1267" i="9"/>
  <c r="B1267" i="9"/>
  <c r="I1266" i="9"/>
  <c r="E1266" i="9"/>
  <c r="A1266" i="9"/>
  <c r="H1265" i="9"/>
  <c r="D1265" i="9"/>
  <c r="K1264" i="9"/>
  <c r="G1264" i="9"/>
  <c r="C1264" i="9"/>
  <c r="J1263" i="9"/>
  <c r="F1263" i="9"/>
  <c r="B1263" i="9"/>
  <c r="I1262" i="9"/>
  <c r="E1262" i="9"/>
  <c r="A1262" i="9"/>
  <c r="H1261" i="9"/>
  <c r="D1261" i="9"/>
  <c r="K1260" i="9"/>
  <c r="G1260" i="9"/>
  <c r="F1351" i="9"/>
  <c r="G1348" i="9"/>
  <c r="H1345" i="9"/>
  <c r="I1342" i="9"/>
  <c r="J1339" i="9"/>
  <c r="K1336" i="9"/>
  <c r="A1334" i="9"/>
  <c r="B1331" i="9"/>
  <c r="G1349" i="9"/>
  <c r="I1343" i="9"/>
  <c r="K1337" i="9"/>
  <c r="B1332" i="9"/>
  <c r="B1328" i="9"/>
  <c r="C1325" i="9"/>
  <c r="D1322" i="9"/>
  <c r="E1319" i="9"/>
  <c r="E1349" i="9"/>
  <c r="G1343" i="9"/>
  <c r="I1337" i="9"/>
  <c r="K1331" i="9"/>
  <c r="A1328" i="9"/>
  <c r="B1325" i="9"/>
  <c r="C1322" i="9"/>
  <c r="D1319" i="9"/>
  <c r="E1317" i="9"/>
  <c r="K1315" i="9"/>
  <c r="F1314" i="9"/>
  <c r="A1313" i="9"/>
  <c r="G1311" i="9"/>
  <c r="B1310" i="9"/>
  <c r="H1308" i="9"/>
  <c r="C1307" i="9"/>
  <c r="D1306" i="9"/>
  <c r="G1305" i="9"/>
  <c r="J1304" i="9"/>
  <c r="B1304" i="9"/>
  <c r="E1303" i="9"/>
  <c r="H1302" i="9"/>
  <c r="K1301" i="9"/>
  <c r="C1301" i="9"/>
  <c r="F1300" i="9"/>
  <c r="I1299" i="9"/>
  <c r="A1299" i="9"/>
  <c r="D1298" i="9"/>
  <c r="G1297" i="9"/>
  <c r="J1296" i="9"/>
  <c r="B1296" i="9"/>
  <c r="E1295" i="9"/>
  <c r="H1294" i="9"/>
  <c r="K1293" i="9"/>
  <c r="C1293" i="9"/>
  <c r="F1292" i="9"/>
  <c r="I1291" i="9"/>
  <c r="A1291" i="9"/>
  <c r="D1290" i="9"/>
  <c r="G1289" i="9"/>
  <c r="J1288" i="9"/>
  <c r="B1288" i="9"/>
  <c r="E1287" i="9"/>
  <c r="H1286" i="9"/>
  <c r="K1285" i="9"/>
  <c r="C1285" i="9"/>
  <c r="F1284" i="9"/>
  <c r="I1283" i="9"/>
  <c r="A1349" i="9"/>
  <c r="C1343" i="9"/>
  <c r="E1337" i="9"/>
  <c r="G1331" i="9"/>
  <c r="J1327" i="9"/>
  <c r="K1324" i="9"/>
  <c r="A1322" i="9"/>
  <c r="B1319" i="9"/>
  <c r="D1317" i="9"/>
  <c r="J1315" i="9"/>
  <c r="E1314" i="9"/>
  <c r="K1312" i="9"/>
  <c r="F1311" i="9"/>
  <c r="A1310" i="9"/>
  <c r="G1308" i="9"/>
  <c r="B1307" i="9"/>
  <c r="H1305" i="9"/>
  <c r="C1304" i="9"/>
  <c r="I1302" i="9"/>
  <c r="D1301" i="9"/>
  <c r="J1299" i="9"/>
  <c r="E1298" i="9"/>
  <c r="K1296" i="9"/>
  <c r="F1295" i="9"/>
  <c r="A1294" i="9"/>
  <c r="G1292" i="9"/>
  <c r="B1291" i="9"/>
  <c r="H1289" i="9"/>
  <c r="C1288" i="9"/>
  <c r="I1286" i="9"/>
  <c r="D1285" i="9"/>
  <c r="J1283" i="9"/>
  <c r="K1282" i="9"/>
  <c r="C1282" i="9"/>
  <c r="F1281" i="9"/>
  <c r="I1280" i="9"/>
  <c r="A1280" i="9"/>
  <c r="D1279" i="9"/>
  <c r="G1278" i="9"/>
  <c r="J1277" i="9"/>
  <c r="B1277" i="9"/>
  <c r="E1276" i="9"/>
  <c r="H1275" i="9"/>
  <c r="K1274" i="9"/>
  <c r="C1274" i="9"/>
  <c r="F1273" i="9"/>
  <c r="I1272" i="9"/>
  <c r="A1272" i="9"/>
  <c r="D1271" i="9"/>
  <c r="G1270" i="9"/>
  <c r="J1269" i="9"/>
  <c r="B1269" i="9"/>
  <c r="E1268" i="9"/>
  <c r="H1267" i="9"/>
  <c r="K1266" i="9"/>
  <c r="C1266" i="9"/>
  <c r="F1265" i="9"/>
  <c r="I1264" i="9"/>
  <c r="A1264" i="9"/>
  <c r="D1263" i="9"/>
  <c r="G1262" i="9"/>
  <c r="J1261" i="9"/>
  <c r="B1261" i="9"/>
  <c r="E1260" i="9"/>
  <c r="J1346" i="9"/>
  <c r="A1341" i="9"/>
  <c r="C1335" i="9"/>
  <c r="H1329" i="9"/>
  <c r="I1326" i="9"/>
  <c r="J1323" i="9"/>
  <c r="K1320" i="9"/>
  <c r="C1318" i="9"/>
  <c r="I1316" i="9"/>
  <c r="D1315" i="9"/>
  <c r="J1313" i="9"/>
  <c r="E1312" i="9"/>
  <c r="K1310" i="9"/>
  <c r="F1309" i="9"/>
  <c r="A1308" i="9"/>
  <c r="G1306" i="9"/>
  <c r="B1305" i="9"/>
  <c r="H1303" i="9"/>
  <c r="C1302" i="9"/>
  <c r="I1300" i="9"/>
  <c r="D1299" i="9"/>
  <c r="J1297" i="9"/>
  <c r="E1296" i="9"/>
  <c r="K1294" i="9"/>
  <c r="F1293" i="9"/>
  <c r="A1292" i="9"/>
  <c r="G1290" i="9"/>
  <c r="B1289" i="9"/>
  <c r="H1287" i="9"/>
  <c r="C1286" i="9"/>
  <c r="I1284" i="9"/>
  <c r="E1283" i="9"/>
  <c r="H1282" i="9"/>
  <c r="K1281" i="9"/>
  <c r="C1281" i="9"/>
  <c r="F1280" i="9"/>
  <c r="I1279" i="9"/>
  <c r="A1279" i="9"/>
  <c r="D1278" i="9"/>
  <c r="G1277" i="9"/>
  <c r="J1276" i="9"/>
  <c r="B1276" i="9"/>
  <c r="E1275" i="9"/>
  <c r="H1274" i="9"/>
  <c r="K1273" i="9"/>
  <c r="C1273" i="9"/>
  <c r="F1272" i="9"/>
  <c r="I1271" i="9"/>
  <c r="A1271" i="9"/>
  <c r="D1270" i="9"/>
  <c r="G1269" i="9"/>
  <c r="J1268" i="9"/>
  <c r="B1268" i="9"/>
  <c r="E1267" i="9"/>
  <c r="H1266" i="9"/>
  <c r="K1265" i="9"/>
  <c r="C1265" i="9"/>
  <c r="F1264" i="9"/>
  <c r="I1263" i="9"/>
  <c r="A1263" i="9"/>
  <c r="D1262" i="9"/>
  <c r="G1261" i="9"/>
  <c r="J1260" i="9"/>
  <c r="C1260" i="9"/>
  <c r="J1259" i="9"/>
  <c r="F1259" i="9"/>
  <c r="B1259" i="9"/>
  <c r="I1258" i="9"/>
  <c r="E1258" i="9"/>
  <c r="A1258" i="9"/>
  <c r="H1257" i="9"/>
  <c r="D1257" i="9"/>
  <c r="K1256" i="9"/>
  <c r="G1256" i="9"/>
  <c r="C1256" i="9"/>
  <c r="J1255" i="9"/>
  <c r="F1255" i="9"/>
  <c r="B1255" i="9"/>
  <c r="I1254" i="9"/>
  <c r="E1254" i="9"/>
  <c r="A1254" i="9"/>
  <c r="H1253" i="9"/>
  <c r="D1253" i="9"/>
  <c r="K1252" i="9"/>
  <c r="G1252" i="9"/>
  <c r="C1252" i="9"/>
  <c r="J1251" i="9"/>
  <c r="F1251" i="9"/>
  <c r="B1251" i="9"/>
  <c r="I1250" i="9"/>
  <c r="E1250" i="9"/>
  <c r="A1250" i="9"/>
  <c r="H1249" i="9"/>
  <c r="D1249" i="9"/>
  <c r="K1248" i="9"/>
  <c r="F1248" i="9"/>
  <c r="B1248" i="9"/>
  <c r="H1247" i="9"/>
  <c r="D1247" i="9"/>
  <c r="K1246" i="9"/>
  <c r="G1246" i="9"/>
  <c r="C1246" i="9"/>
  <c r="J1245" i="9"/>
  <c r="F1245" i="9"/>
  <c r="B1245" i="9"/>
  <c r="I1244" i="9"/>
  <c r="E1244" i="9"/>
  <c r="A1244" i="9"/>
  <c r="H1243" i="9"/>
  <c r="D1243" i="9"/>
  <c r="K1242" i="9"/>
  <c r="G1242" i="9"/>
  <c r="C1242" i="9"/>
  <c r="J1241" i="9"/>
  <c r="F1241" i="9"/>
  <c r="B1241" i="9"/>
  <c r="I1240" i="9"/>
  <c r="E1240" i="9"/>
  <c r="A1240" i="9"/>
  <c r="H1239" i="9"/>
  <c r="D1239" i="9"/>
  <c r="K1238" i="9"/>
  <c r="G1238" i="9"/>
  <c r="C1238" i="9"/>
  <c r="J1237" i="9"/>
  <c r="F1237" i="9"/>
  <c r="B1237" i="9"/>
  <c r="I1236" i="9"/>
  <c r="E1236" i="9"/>
  <c r="A1236" i="9"/>
  <c r="H1235" i="9"/>
  <c r="D1235" i="9"/>
  <c r="K1234" i="9"/>
  <c r="G1234" i="9"/>
  <c r="C1234" i="9"/>
  <c r="J1233" i="9"/>
  <c r="F1233" i="9"/>
  <c r="B1233" i="9"/>
  <c r="I1232" i="9"/>
  <c r="E1232" i="9"/>
  <c r="A1232" i="9"/>
  <c r="H1231" i="9"/>
  <c r="D1231" i="9"/>
  <c r="K1230" i="9"/>
  <c r="G1230" i="9"/>
  <c r="C1230" i="9"/>
  <c r="J1229" i="9"/>
  <c r="F1229" i="9"/>
  <c r="B1229" i="9"/>
  <c r="I1228" i="9"/>
  <c r="E1228" i="9"/>
  <c r="A1228" i="9"/>
  <c r="H1227" i="9"/>
  <c r="D1227" i="9"/>
  <c r="K1226" i="9"/>
  <c r="G1226" i="9"/>
  <c r="C1226" i="9"/>
  <c r="J1225" i="9"/>
  <c r="F1225" i="9"/>
  <c r="B1225" i="9"/>
  <c r="I1224" i="9"/>
  <c r="E1224" i="9"/>
  <c r="A1224" i="9"/>
  <c r="H1223" i="9"/>
  <c r="D1223" i="9"/>
  <c r="K1222" i="9"/>
  <c r="G1222" i="9"/>
  <c r="C1222" i="9"/>
  <c r="J1221" i="9"/>
  <c r="F1221" i="9"/>
  <c r="B1221" i="9"/>
  <c r="I1220" i="9"/>
  <c r="E1220" i="9"/>
  <c r="A1220" i="9"/>
  <c r="H1219" i="9"/>
  <c r="D1219" i="9"/>
  <c r="K1218" i="9"/>
  <c r="G1218" i="9"/>
  <c r="C1218" i="9"/>
  <c r="J1217" i="9"/>
  <c r="F1217" i="9"/>
  <c r="B1217" i="9"/>
  <c r="I1216" i="9"/>
  <c r="E1216" i="9"/>
  <c r="A1216" i="9"/>
  <c r="H1215" i="9"/>
  <c r="D1215" i="9"/>
  <c r="K1214" i="9"/>
  <c r="G1214" i="9"/>
  <c r="C1214" i="9"/>
  <c r="J1213" i="9"/>
  <c r="F1213" i="9"/>
  <c r="B1213" i="9"/>
  <c r="I1212" i="9"/>
  <c r="E1212" i="9"/>
  <c r="A1212" i="9"/>
  <c r="H1211" i="9"/>
  <c r="D1211" i="9"/>
  <c r="K1210" i="9"/>
  <c r="G1210" i="9"/>
  <c r="C1210" i="9"/>
  <c r="J1209" i="9"/>
  <c r="F1209" i="9"/>
  <c r="B1209" i="9"/>
  <c r="I1208" i="9"/>
  <c r="E1208" i="9"/>
  <c r="A1208" i="9"/>
  <c r="H1207" i="9"/>
  <c r="D1207" i="9"/>
  <c r="K1206" i="9"/>
  <c r="G1206" i="9"/>
  <c r="C1206" i="9"/>
  <c r="J1205" i="9"/>
  <c r="F1205" i="9"/>
  <c r="B1205" i="9"/>
  <c r="I1204" i="9"/>
  <c r="E1204" i="9"/>
  <c r="A1204" i="9"/>
  <c r="H1203" i="9"/>
  <c r="D1203" i="9"/>
  <c r="K1202" i="9"/>
  <c r="F1202" i="9"/>
  <c r="B1202" i="9"/>
  <c r="I1201" i="9"/>
  <c r="E1201" i="9"/>
  <c r="A1201" i="9"/>
  <c r="H1200" i="9"/>
  <c r="D1200" i="9"/>
  <c r="K1199" i="9"/>
  <c r="G1199" i="9"/>
  <c r="C1199" i="9"/>
  <c r="J1198" i="9"/>
  <c r="F1198" i="9"/>
  <c r="B1198" i="9"/>
  <c r="I1197" i="9"/>
  <c r="E1197" i="9"/>
  <c r="A1197" i="9"/>
  <c r="H1196" i="9"/>
  <c r="D1196" i="9"/>
  <c r="K1195" i="9"/>
  <c r="G1195" i="9"/>
  <c r="C1195" i="9"/>
  <c r="J1194" i="9"/>
  <c r="F1194" i="9"/>
  <c r="B1194" i="9"/>
  <c r="I1193" i="9"/>
  <c r="E1193" i="9"/>
  <c r="A1193" i="9"/>
  <c r="H1192" i="9"/>
  <c r="D1192" i="9"/>
  <c r="K1191" i="9"/>
  <c r="G1191" i="9"/>
  <c r="C1191" i="9"/>
  <c r="J1190" i="9"/>
  <c r="F1190" i="9"/>
  <c r="C1351" i="9"/>
  <c r="G1339" i="9"/>
  <c r="K1328" i="9"/>
  <c r="B1323" i="9"/>
  <c r="J1317" i="9"/>
  <c r="K1314" i="9"/>
  <c r="A1312" i="9"/>
  <c r="B1309" i="9"/>
  <c r="C1306" i="9"/>
  <c r="D1303" i="9"/>
  <c r="E1300" i="9"/>
  <c r="F1297" i="9"/>
  <c r="G1294" i="9"/>
  <c r="H1291" i="9"/>
  <c r="I1288" i="9"/>
  <c r="J1285" i="9"/>
  <c r="C1283" i="9"/>
  <c r="I1281" i="9"/>
  <c r="D1280" i="9"/>
  <c r="J1278" i="9"/>
  <c r="E1277" i="9"/>
  <c r="K1275" i="9"/>
  <c r="F1274" i="9"/>
  <c r="A1273" i="9"/>
  <c r="G1271" i="9"/>
  <c r="B1270" i="9"/>
  <c r="H1268" i="9"/>
  <c r="C1267" i="9"/>
  <c r="I1265" i="9"/>
  <c r="D1264" i="9"/>
  <c r="J1262" i="9"/>
  <c r="E1261" i="9"/>
  <c r="B1260" i="9"/>
  <c r="E1259" i="9"/>
  <c r="H1258" i="9"/>
  <c r="K1257" i="9"/>
  <c r="C1257" i="9"/>
  <c r="F1256" i="9"/>
  <c r="I1255" i="9"/>
  <c r="A1255" i="9"/>
  <c r="D1254" i="9"/>
  <c r="G1253" i="9"/>
  <c r="J1252" i="9"/>
  <c r="B1252" i="9"/>
  <c r="E1251" i="9"/>
  <c r="H1250" i="9"/>
  <c r="K1249" i="9"/>
  <c r="C1249" i="9"/>
  <c r="E1248" i="9"/>
  <c r="G1247" i="9"/>
  <c r="J1246" i="9"/>
  <c r="B1246" i="9"/>
  <c r="E1245" i="9"/>
  <c r="H1244" i="9"/>
  <c r="K1243" i="9"/>
  <c r="C1243" i="9"/>
  <c r="F1242" i="9"/>
  <c r="I1241" i="9"/>
  <c r="A1241" i="9"/>
  <c r="D1240" i="9"/>
  <c r="G1239" i="9"/>
  <c r="J1238" i="9"/>
  <c r="B1238" i="9"/>
  <c r="E1237" i="9"/>
  <c r="H1236" i="9"/>
  <c r="K1235" i="9"/>
  <c r="C1235" i="9"/>
  <c r="F1234" i="9"/>
  <c r="I1233" i="9"/>
  <c r="A1233" i="9"/>
  <c r="D1232" i="9"/>
  <c r="G1231" i="9"/>
  <c r="J1230" i="9"/>
  <c r="B1230" i="9"/>
  <c r="E1229" i="9"/>
  <c r="H1228" i="9"/>
  <c r="K1227" i="9"/>
  <c r="C1227" i="9"/>
  <c r="F1226" i="9"/>
  <c r="I1225" i="9"/>
  <c r="A1225" i="9"/>
  <c r="D1224" i="9"/>
  <c r="G1223" i="9"/>
  <c r="J1222" i="9"/>
  <c r="B1222" i="9"/>
  <c r="E1221" i="9"/>
  <c r="H1220" i="9"/>
  <c r="K1219" i="9"/>
  <c r="C1219" i="9"/>
  <c r="F1218" i="9"/>
  <c r="I1217" i="9"/>
  <c r="A1217" i="9"/>
  <c r="D1216" i="9"/>
  <c r="G1215" i="9"/>
  <c r="J1214" i="9"/>
  <c r="B1214" i="9"/>
  <c r="E1213" i="9"/>
  <c r="H1212" i="9"/>
  <c r="K1211" i="9"/>
  <c r="C1211" i="9"/>
  <c r="F1210" i="9"/>
  <c r="I1209" i="9"/>
  <c r="A1209" i="9"/>
  <c r="D1208" i="9"/>
  <c r="G1207" i="9"/>
  <c r="J1206" i="9"/>
  <c r="B1206" i="9"/>
  <c r="E1205" i="9"/>
  <c r="H1204" i="9"/>
  <c r="K1203" i="9"/>
  <c r="C1203" i="9"/>
  <c r="E1202" i="9"/>
  <c r="H1201" i="9"/>
  <c r="K1200" i="9"/>
  <c r="C1200" i="9"/>
  <c r="F1199" i="9"/>
  <c r="I1198" i="9"/>
  <c r="A1198" i="9"/>
  <c r="D1197" i="9"/>
  <c r="G1196" i="9"/>
  <c r="J1195" i="9"/>
  <c r="B1195" i="9"/>
  <c r="E1194" i="9"/>
  <c r="H1193" i="9"/>
  <c r="K1192" i="9"/>
  <c r="C1192" i="9"/>
  <c r="F1191" i="9"/>
  <c r="I1190" i="9"/>
  <c r="B1347" i="9"/>
  <c r="D1341" i="9"/>
  <c r="F1335" i="9"/>
  <c r="F1352" i="9"/>
  <c r="J1340" i="9"/>
  <c r="G1329" i="9"/>
  <c r="I1323" i="9"/>
  <c r="D1352" i="9"/>
  <c r="H1340" i="9"/>
  <c r="F1329" i="9"/>
  <c r="H1323" i="9"/>
  <c r="B1318" i="9"/>
  <c r="C1315" i="9"/>
  <c r="D1312" i="9"/>
  <c r="E1309" i="9"/>
  <c r="H1306" i="9"/>
  <c r="C1305" i="9"/>
  <c r="I1303" i="9"/>
  <c r="D1302" i="9"/>
  <c r="J1300" i="9"/>
  <c r="E1299" i="9"/>
  <c r="K1297" i="9"/>
  <c r="F1296" i="9"/>
  <c r="A1295" i="9"/>
  <c r="G1293" i="9"/>
  <c r="B1292" i="9"/>
  <c r="H1290" i="9"/>
  <c r="C1289" i="9"/>
  <c r="I1287" i="9"/>
  <c r="D1286" i="9"/>
  <c r="J1284" i="9"/>
  <c r="K1351" i="9"/>
  <c r="D1340" i="9"/>
  <c r="D1329" i="9"/>
  <c r="F1323" i="9"/>
  <c r="A1318" i="9"/>
  <c r="B1315" i="9"/>
  <c r="C1312" i="9"/>
  <c r="D1309" i="9"/>
  <c r="E1306" i="9"/>
  <c r="F1303" i="9"/>
  <c r="G1300" i="9"/>
  <c r="H1297" i="9"/>
  <c r="I1294" i="9"/>
  <c r="J1291" i="9"/>
  <c r="K1288" i="9"/>
  <c r="A1286" i="9"/>
  <c r="D1283" i="9"/>
  <c r="J1281" i="9"/>
  <c r="E1280" i="9"/>
  <c r="K1278" i="9"/>
  <c r="F1277" i="9"/>
  <c r="A1276" i="9"/>
  <c r="G1274" i="9"/>
  <c r="B1273" i="9"/>
  <c r="H1271" i="9"/>
  <c r="C1270" i="9"/>
  <c r="I1268" i="9"/>
  <c r="D1267" i="9"/>
  <c r="J1265" i="9"/>
  <c r="E1264" i="9"/>
  <c r="K1262" i="9"/>
  <c r="F1261" i="9"/>
  <c r="I1349" i="9"/>
  <c r="B1338" i="9"/>
  <c r="C1328" i="9"/>
  <c r="E1322" i="9"/>
  <c r="F1317" i="9"/>
  <c r="G1314" i="9"/>
  <c r="H1311" i="9"/>
  <c r="I1308" i="9"/>
  <c r="J1305" i="9"/>
  <c r="K1302" i="9"/>
  <c r="A1300" i="9"/>
  <c r="B1297" i="9"/>
  <c r="C1294" i="9"/>
  <c r="D1291" i="9"/>
  <c r="E1288" i="9"/>
  <c r="F1285" i="9"/>
  <c r="A1283" i="9"/>
  <c r="G1281" i="9"/>
  <c r="B1280" i="9"/>
  <c r="H1278" i="9"/>
  <c r="C1277" i="9"/>
  <c r="I1275" i="9"/>
  <c r="D1274" i="9"/>
  <c r="J1272" i="9"/>
  <c r="E1271" i="9"/>
  <c r="K1269" i="9"/>
  <c r="F1268" i="9"/>
  <c r="A1267" i="9"/>
  <c r="G1265" i="9"/>
  <c r="B1264" i="9"/>
  <c r="H1262" i="9"/>
  <c r="C1261" i="9"/>
  <c r="A1260" i="9"/>
  <c r="D1259" i="9"/>
  <c r="G1258" i="9"/>
  <c r="J1257" i="9"/>
  <c r="B1257" i="9"/>
  <c r="E1256" i="9"/>
  <c r="H1255" i="9"/>
  <c r="K1254" i="9"/>
  <c r="C1254" i="9"/>
  <c r="F1253" i="9"/>
  <c r="I1252" i="9"/>
  <c r="A1252" i="9"/>
  <c r="D1251" i="9"/>
  <c r="G1250" i="9"/>
  <c r="J1249" i="9"/>
  <c r="B1249" i="9"/>
  <c r="D1248" i="9"/>
  <c r="F1247" i="9"/>
  <c r="I1246" i="9"/>
  <c r="A1246" i="9"/>
  <c r="D1245" i="9"/>
  <c r="G1244" i="9"/>
  <c r="J1243" i="9"/>
  <c r="B1243" i="9"/>
  <c r="E1242" i="9"/>
  <c r="H1241" i="9"/>
  <c r="K1240" i="9"/>
  <c r="C1240" i="9"/>
  <c r="F1239" i="9"/>
  <c r="I1238" i="9"/>
  <c r="A1238" i="9"/>
  <c r="D1237" i="9"/>
  <c r="G1236" i="9"/>
  <c r="J1235" i="9"/>
  <c r="B1235" i="9"/>
  <c r="E1234" i="9"/>
  <c r="H1233" i="9"/>
  <c r="K1232" i="9"/>
  <c r="C1232" i="9"/>
  <c r="F1231" i="9"/>
  <c r="I1230" i="9"/>
  <c r="A1230" i="9"/>
  <c r="D1229" i="9"/>
  <c r="G1228" i="9"/>
  <c r="J1227" i="9"/>
  <c r="B1227" i="9"/>
  <c r="E1226" i="9"/>
  <c r="H1225" i="9"/>
  <c r="K1224" i="9"/>
  <c r="C1224" i="9"/>
  <c r="F1223" i="9"/>
  <c r="I1222" i="9"/>
  <c r="A1222" i="9"/>
  <c r="D1221" i="9"/>
  <c r="G1220" i="9"/>
  <c r="J1219" i="9"/>
  <c r="B1219" i="9"/>
  <c r="E1218" i="9"/>
  <c r="H1217" i="9"/>
  <c r="K1216" i="9"/>
  <c r="C1216" i="9"/>
  <c r="F1215" i="9"/>
  <c r="I1214" i="9"/>
  <c r="A1214" i="9"/>
  <c r="D1213" i="9"/>
  <c r="G1212" i="9"/>
  <c r="J1211" i="9"/>
  <c r="B1211" i="9"/>
  <c r="E1210" i="9"/>
  <c r="H1209" i="9"/>
  <c r="K1208" i="9"/>
  <c r="C1208" i="9"/>
  <c r="F1207" i="9"/>
  <c r="I1206" i="9"/>
  <c r="A1206" i="9"/>
  <c r="D1205" i="9"/>
  <c r="G1204" i="9"/>
  <c r="J1203" i="9"/>
  <c r="B1203" i="9"/>
  <c r="D1202" i="9"/>
  <c r="G1201" i="9"/>
  <c r="J1200" i="9"/>
  <c r="B1200" i="9"/>
  <c r="E1199" i="9"/>
  <c r="H1198" i="9"/>
  <c r="K1197" i="9"/>
  <c r="C1197" i="9"/>
  <c r="F1196" i="9"/>
  <c r="I1195" i="9"/>
  <c r="A1195" i="9"/>
  <c r="D1194" i="9"/>
  <c r="G1193" i="9"/>
  <c r="J1192" i="9"/>
  <c r="B1192" i="9"/>
  <c r="E1191" i="9"/>
  <c r="H1190" i="9"/>
  <c r="E1345" i="9"/>
  <c r="A1326" i="9"/>
  <c r="E1316" i="9"/>
  <c r="G1310" i="9"/>
  <c r="I1304" i="9"/>
  <c r="K1298" i="9"/>
  <c r="B1293" i="9"/>
  <c r="D1287" i="9"/>
  <c r="F1282" i="9"/>
  <c r="G1279" i="9"/>
  <c r="H1276" i="9"/>
  <c r="I1273" i="9"/>
  <c r="J1270" i="9"/>
  <c r="K1267" i="9"/>
  <c r="A1265" i="9"/>
  <c r="B1262" i="9"/>
  <c r="I1259" i="9"/>
  <c r="D1258" i="9"/>
  <c r="J1256" i="9"/>
  <c r="E1255" i="9"/>
  <c r="K1253" i="9"/>
  <c r="F1252" i="9"/>
  <c r="A1251" i="9"/>
  <c r="G1249" i="9"/>
  <c r="A1248" i="9"/>
  <c r="F1246" i="9"/>
  <c r="A1245" i="9"/>
  <c r="G1243" i="9"/>
  <c r="B1242" i="9"/>
  <c r="H1240" i="9"/>
  <c r="C1239" i="9"/>
  <c r="I1237" i="9"/>
  <c r="D1236" i="9"/>
  <c r="J1234" i="9"/>
  <c r="E1233" i="9"/>
  <c r="K1231" i="9"/>
  <c r="F1230" i="9"/>
  <c r="A1229" i="9"/>
  <c r="G1227" i="9"/>
  <c r="B1226" i="9"/>
  <c r="H1224" i="9"/>
  <c r="C1223" i="9"/>
  <c r="I1221" i="9"/>
  <c r="D1220" i="9"/>
  <c r="J1218" i="9"/>
  <c r="E1217" i="9"/>
  <c r="K1215" i="9"/>
  <c r="F1214" i="9"/>
  <c r="A1213" i="9"/>
  <c r="G1211" i="9"/>
  <c r="B1210" i="9"/>
  <c r="H1208" i="9"/>
  <c r="C1207" i="9"/>
  <c r="I1205" i="9"/>
  <c r="D1204" i="9"/>
  <c r="J1202" i="9"/>
  <c r="D1201" i="9"/>
  <c r="J1199" i="9"/>
  <c r="E1198" i="9"/>
  <c r="K1196" i="9"/>
  <c r="F1195" i="9"/>
  <c r="A1194" i="9"/>
  <c r="G1192" i="9"/>
  <c r="B1191" i="9"/>
  <c r="A1350" i="9"/>
  <c r="E1338" i="9"/>
  <c r="H1346" i="9"/>
  <c r="H1326" i="9"/>
  <c r="F1346" i="9"/>
  <c r="G1326" i="9"/>
  <c r="H1316" i="9"/>
  <c r="J1310" i="9"/>
  <c r="K1305" i="9"/>
  <c r="A1303" i="9"/>
  <c r="B1300" i="9"/>
  <c r="C1297" i="9"/>
  <c r="D1294" i="9"/>
  <c r="E1291" i="9"/>
  <c r="F1288" i="9"/>
  <c r="G1285" i="9"/>
  <c r="B1346" i="9"/>
  <c r="E1326" i="9"/>
  <c r="G1316" i="9"/>
  <c r="I1310" i="9"/>
  <c r="K1304" i="9"/>
  <c r="B1299" i="9"/>
  <c r="D1293" i="9"/>
  <c r="F1287" i="9"/>
  <c r="G1282" i="9"/>
  <c r="H1279" i="9"/>
  <c r="I1276" i="9"/>
  <c r="J1273" i="9"/>
  <c r="K1270" i="9"/>
  <c r="A1268" i="9"/>
  <c r="B1265" i="9"/>
  <c r="C1262" i="9"/>
  <c r="K1343" i="9"/>
  <c r="D1325" i="9"/>
  <c r="A1316" i="9"/>
  <c r="C1310" i="9"/>
  <c r="E1304" i="9"/>
  <c r="G1298" i="9"/>
  <c r="I1292" i="9"/>
  <c r="K1286" i="9"/>
  <c r="D1282" i="9"/>
  <c r="E1279" i="9"/>
  <c r="F1276" i="9"/>
  <c r="G1273" i="9"/>
  <c r="H1270" i="9"/>
  <c r="I1267" i="9"/>
  <c r="J1264" i="9"/>
  <c r="K1261" i="9"/>
  <c r="H1259" i="9"/>
  <c r="C1258" i="9"/>
  <c r="I1256" i="9"/>
  <c r="D1255" i="9"/>
  <c r="J1253" i="9"/>
  <c r="E1252" i="9"/>
  <c r="K1250" i="9"/>
  <c r="F1249" i="9"/>
  <c r="K1247" i="9"/>
  <c r="E1246" i="9"/>
  <c r="K1244" i="9"/>
  <c r="F1243" i="9"/>
  <c r="A1242" i="9"/>
  <c r="G1240" i="9"/>
  <c r="B1239" i="9"/>
  <c r="H1237" i="9"/>
  <c r="C1236" i="9"/>
  <c r="I1234" i="9"/>
  <c r="D1233" i="9"/>
  <c r="J1231" i="9"/>
  <c r="E1230" i="9"/>
  <c r="K1228" i="9"/>
  <c r="F1227" i="9"/>
  <c r="A1226" i="9"/>
  <c r="G1224" i="9"/>
  <c r="B1223" i="9"/>
  <c r="H1221" i="9"/>
  <c r="C1220" i="9"/>
  <c r="I1218" i="9"/>
  <c r="D1217" i="9"/>
  <c r="J1215" i="9"/>
  <c r="E1214" i="9"/>
  <c r="K1212" i="9"/>
  <c r="F1211" i="9"/>
  <c r="A1210" i="9"/>
  <c r="G1208" i="9"/>
  <c r="B1207" i="9"/>
  <c r="H1205" i="9"/>
  <c r="C1204" i="9"/>
  <c r="H1202" i="9"/>
  <c r="C1201" i="9"/>
  <c r="I1199" i="9"/>
  <c r="D1198" i="9"/>
  <c r="J1196" i="9"/>
  <c r="E1195" i="9"/>
  <c r="K1193" i="9"/>
  <c r="F1192" i="9"/>
  <c r="A1191" i="9"/>
  <c r="I1333" i="9"/>
  <c r="F1313" i="9"/>
  <c r="J1301" i="9"/>
  <c r="C1290" i="9"/>
  <c r="A1281" i="9"/>
  <c r="C1275" i="9"/>
  <c r="E1269" i="9"/>
  <c r="G1263" i="9"/>
  <c r="A1259" i="9"/>
  <c r="B1256" i="9"/>
  <c r="C1253" i="9"/>
  <c r="D1250" i="9"/>
  <c r="C1247" i="9"/>
  <c r="D1244" i="9"/>
  <c r="E1241" i="9"/>
  <c r="F1238" i="9"/>
  <c r="G1235" i="9"/>
  <c r="H1232" i="9"/>
  <c r="I1229" i="9"/>
  <c r="J1226" i="9"/>
  <c r="K1223" i="9"/>
  <c r="A1221" i="9"/>
  <c r="B1218" i="9"/>
  <c r="C1215" i="9"/>
  <c r="D1212" i="9"/>
  <c r="E1209" i="9"/>
  <c r="F1206" i="9"/>
  <c r="G1203" i="9"/>
  <c r="G1200" i="9"/>
  <c r="H1197" i="9"/>
  <c r="I1194" i="9"/>
  <c r="J1191" i="9"/>
  <c r="B1190" i="9"/>
  <c r="I1189" i="9"/>
  <c r="E1189" i="9"/>
  <c r="A1189" i="9"/>
  <c r="H1188" i="9"/>
  <c r="D1188" i="9"/>
  <c r="K1187" i="9"/>
  <c r="G1187" i="9"/>
  <c r="C1187" i="9"/>
  <c r="J1186" i="9"/>
  <c r="F1186" i="9"/>
  <c r="B1186" i="9"/>
  <c r="I1185" i="9"/>
  <c r="E1185" i="9"/>
  <c r="A1185" i="9"/>
  <c r="H1184" i="9"/>
  <c r="D1184" i="9"/>
  <c r="K1183" i="9"/>
  <c r="G1183" i="9"/>
  <c r="C1183" i="9"/>
  <c r="J1182" i="9"/>
  <c r="F1182" i="9"/>
  <c r="B1182" i="9"/>
  <c r="I1181" i="9"/>
  <c r="E1181" i="9"/>
  <c r="A1181" i="9"/>
  <c r="H1180" i="9"/>
  <c r="D1180" i="9"/>
  <c r="K1179" i="9"/>
  <c r="G1179" i="9"/>
  <c r="C1179" i="9"/>
  <c r="J1178" i="9"/>
  <c r="F1178" i="9"/>
  <c r="B1178" i="9"/>
  <c r="I1177" i="9"/>
  <c r="E1177" i="9"/>
  <c r="A1177" i="9"/>
  <c r="H1176" i="9"/>
  <c r="D1176" i="9"/>
  <c r="K1175" i="9"/>
  <c r="G1175" i="9"/>
  <c r="C1175" i="9"/>
  <c r="J1174" i="9"/>
  <c r="F1174" i="9"/>
  <c r="B1174" i="9"/>
  <c r="I1173" i="9"/>
  <c r="E1173" i="9"/>
  <c r="A1173" i="9"/>
  <c r="H1172" i="9"/>
  <c r="D1172" i="9"/>
  <c r="K1171" i="9"/>
  <c r="G1171" i="9"/>
  <c r="C1171" i="9"/>
  <c r="J1170" i="9"/>
  <c r="F1170" i="9"/>
  <c r="B1170" i="9"/>
  <c r="I1169" i="9"/>
  <c r="E1169" i="9"/>
  <c r="A1169" i="9"/>
  <c r="H1168" i="9"/>
  <c r="D1168" i="9"/>
  <c r="K1167" i="9"/>
  <c r="G1167" i="9"/>
  <c r="C1167" i="9"/>
  <c r="J1166" i="9"/>
  <c r="F1166" i="9"/>
  <c r="B1166" i="9"/>
  <c r="I1165" i="9"/>
  <c r="E1165" i="9"/>
  <c r="A1165" i="9"/>
  <c r="H1164" i="9"/>
  <c r="D1164" i="9"/>
  <c r="K1163" i="9"/>
  <c r="G1163" i="9"/>
  <c r="C1163" i="9"/>
  <c r="J1162" i="9"/>
  <c r="F1162" i="9"/>
  <c r="B1162" i="9"/>
  <c r="I1161" i="9"/>
  <c r="E1161" i="9"/>
  <c r="A1161" i="9"/>
  <c r="H1160" i="9"/>
  <c r="D1160" i="9"/>
  <c r="K1159" i="9"/>
  <c r="G1159" i="9"/>
  <c r="C1159" i="9"/>
  <c r="J1158" i="9"/>
  <c r="F1158" i="9"/>
  <c r="B1158" i="9"/>
  <c r="I1157" i="9"/>
  <c r="E1157" i="9"/>
  <c r="A1157" i="9"/>
  <c r="H1156" i="9"/>
  <c r="D1156" i="9"/>
  <c r="K1155" i="9"/>
  <c r="G1155" i="9"/>
  <c r="C1155" i="9"/>
  <c r="J1154" i="9"/>
  <c r="F1154" i="9"/>
  <c r="B1154" i="9"/>
  <c r="I1153" i="9"/>
  <c r="E1153" i="9"/>
  <c r="A1153" i="9"/>
  <c r="H1152" i="9"/>
  <c r="D1152" i="9"/>
  <c r="K1151" i="9"/>
  <c r="G1151" i="9"/>
  <c r="C1151" i="9"/>
  <c r="J1150" i="9"/>
  <c r="F1150" i="9"/>
  <c r="B1150" i="9"/>
  <c r="I1149" i="9"/>
  <c r="E1149" i="9"/>
  <c r="A1149" i="9"/>
  <c r="H1148" i="9"/>
  <c r="D1148" i="9"/>
  <c r="K1147" i="9"/>
  <c r="G1147" i="9"/>
  <c r="C1147" i="9"/>
  <c r="J1146" i="9"/>
  <c r="F1146" i="9"/>
  <c r="B1146" i="9"/>
  <c r="I1145" i="9"/>
  <c r="E1145" i="9"/>
  <c r="A1145" i="9"/>
  <c r="H1144" i="9"/>
  <c r="D1144" i="9"/>
  <c r="K1143" i="9"/>
  <c r="J1330" i="9"/>
  <c r="I1318" i="9"/>
  <c r="I1312" i="9"/>
  <c r="K1306" i="9"/>
  <c r="B1301" i="9"/>
  <c r="D1295" i="9"/>
  <c r="F1289" i="9"/>
  <c r="H1283" i="9"/>
  <c r="H1280" i="9"/>
  <c r="I1277" i="9"/>
  <c r="J1274" i="9"/>
  <c r="K1271" i="9"/>
  <c r="A1269" i="9"/>
  <c r="B1266" i="9"/>
  <c r="C1263" i="9"/>
  <c r="D1260" i="9"/>
  <c r="J1258" i="9"/>
  <c r="E1257" i="9"/>
  <c r="K1255" i="9"/>
  <c r="F1254" i="9"/>
  <c r="A1253" i="9"/>
  <c r="G1251" i="9"/>
  <c r="B1250" i="9"/>
  <c r="G1248" i="9"/>
  <c r="A1247" i="9"/>
  <c r="G1245" i="9"/>
  <c r="B1244" i="9"/>
  <c r="H1242" i="9"/>
  <c r="C1241" i="9"/>
  <c r="I1239" i="9"/>
  <c r="D1238" i="9"/>
  <c r="J1236" i="9"/>
  <c r="E1235" i="9"/>
  <c r="K1233" i="9"/>
  <c r="F1232" i="9"/>
  <c r="A1231" i="9"/>
  <c r="G1229" i="9"/>
  <c r="B1228" i="9"/>
  <c r="H1226" i="9"/>
  <c r="C1225" i="9"/>
  <c r="I1223" i="9"/>
  <c r="D1222" i="9"/>
  <c r="J1220" i="9"/>
  <c r="E1219" i="9"/>
  <c r="K1217" i="9"/>
  <c r="F1216" i="9"/>
  <c r="A1215" i="9"/>
  <c r="G1213" i="9"/>
  <c r="B1212" i="9"/>
  <c r="H1210" i="9"/>
  <c r="C1209" i="9"/>
  <c r="I1207" i="9"/>
  <c r="D1206" i="9"/>
  <c r="J1204" i="9"/>
  <c r="E1203" i="9"/>
  <c r="J1201" i="9"/>
  <c r="E1200" i="9"/>
  <c r="K1198" i="9"/>
  <c r="F1197" i="9"/>
  <c r="A1196" i="9"/>
  <c r="G1194" i="9"/>
  <c r="B1193" i="9"/>
  <c r="H1191" i="9"/>
  <c r="C1190" i="9"/>
  <c r="F1189" i="9"/>
  <c r="I1188" i="9"/>
  <c r="A1188" i="9"/>
  <c r="D1187" i="9"/>
  <c r="G1186" i="9"/>
  <c r="J1185" i="9"/>
  <c r="B1185" i="9"/>
  <c r="E1184" i="9"/>
  <c r="H1183" i="9"/>
  <c r="K1182" i="9"/>
  <c r="C1182" i="9"/>
  <c r="F1181" i="9"/>
  <c r="I1180" i="9"/>
  <c r="A1180" i="9"/>
  <c r="D1179" i="9"/>
  <c r="G1178" i="9"/>
  <c r="J1177" i="9"/>
  <c r="B1177" i="9"/>
  <c r="E1176" i="9"/>
  <c r="H1175" i="9"/>
  <c r="K1174" i="9"/>
  <c r="C1174" i="9"/>
  <c r="F1173" i="9"/>
  <c r="I1172" i="9"/>
  <c r="A1172" i="9"/>
  <c r="D1171" i="9"/>
  <c r="G1170" i="9"/>
  <c r="J1169" i="9"/>
  <c r="B1169" i="9"/>
  <c r="E1168" i="9"/>
  <c r="H1167" i="9"/>
  <c r="K1166" i="9"/>
  <c r="C1166" i="9"/>
  <c r="F1165" i="9"/>
  <c r="I1164" i="9"/>
  <c r="A1164" i="9"/>
  <c r="D1163" i="9"/>
  <c r="G1162" i="9"/>
  <c r="J1161" i="9"/>
  <c r="B1161" i="9"/>
  <c r="E1160" i="9"/>
  <c r="H1159" i="9"/>
  <c r="K1158" i="9"/>
  <c r="C1158" i="9"/>
  <c r="F1157" i="9"/>
  <c r="I1156" i="9"/>
  <c r="A1156" i="9"/>
  <c r="D1155" i="9"/>
  <c r="G1154" i="9"/>
  <c r="J1153" i="9"/>
  <c r="B1153" i="9"/>
  <c r="E1152" i="9"/>
  <c r="H1151" i="9"/>
  <c r="K1150" i="9"/>
  <c r="C1150" i="9"/>
  <c r="F1149" i="9"/>
  <c r="I1148" i="9"/>
  <c r="A1148" i="9"/>
  <c r="D1147" i="9"/>
  <c r="G1146" i="9"/>
  <c r="J1145" i="9"/>
  <c r="B1145" i="9"/>
  <c r="E1144" i="9"/>
  <c r="I1143" i="9"/>
  <c r="E1143" i="9"/>
  <c r="A1143" i="9"/>
  <c r="H1142" i="9"/>
  <c r="D1142" i="9"/>
  <c r="K1141" i="9"/>
  <c r="G1141" i="9"/>
  <c r="C1141" i="9"/>
  <c r="J1140" i="9"/>
  <c r="F1140" i="9"/>
  <c r="B1140" i="9"/>
  <c r="I1139" i="9"/>
  <c r="E1139" i="9"/>
  <c r="A1139" i="9"/>
  <c r="H1138" i="9"/>
  <c r="D1138" i="9"/>
  <c r="K1137" i="9"/>
  <c r="G1137" i="9"/>
  <c r="C1137" i="9"/>
  <c r="J1136" i="9"/>
  <c r="F1136" i="9"/>
  <c r="B1136" i="9"/>
  <c r="I1135" i="9"/>
  <c r="E1135" i="9"/>
  <c r="A1135" i="9"/>
  <c r="H1134" i="9"/>
  <c r="D1134" i="9"/>
  <c r="K1133" i="9"/>
  <c r="G1133" i="9"/>
  <c r="C1133" i="9"/>
  <c r="J1132" i="9"/>
  <c r="F1132" i="9"/>
  <c r="B1132" i="9"/>
  <c r="I1131" i="9"/>
  <c r="E1131" i="9"/>
  <c r="A1131" i="9"/>
  <c r="H1130" i="9"/>
  <c r="D1130" i="9"/>
  <c r="K1129" i="9"/>
  <c r="G1129" i="9"/>
  <c r="C1129" i="9"/>
  <c r="J1128" i="9"/>
  <c r="F1128" i="9"/>
  <c r="B1128" i="9"/>
  <c r="I1127" i="9"/>
  <c r="E1127" i="9"/>
  <c r="A1127" i="9"/>
  <c r="H1126" i="9"/>
  <c r="D1126" i="9"/>
  <c r="K1125" i="9"/>
  <c r="G1125" i="9"/>
  <c r="C1125" i="9"/>
  <c r="J1124" i="9"/>
  <c r="F1124" i="9"/>
  <c r="B1124" i="9"/>
  <c r="I1123" i="9"/>
  <c r="E1123" i="9"/>
  <c r="A1123" i="9"/>
  <c r="H1122" i="9"/>
  <c r="D1122" i="9"/>
  <c r="K1121" i="9"/>
  <c r="G1121" i="9"/>
  <c r="C1121" i="9"/>
  <c r="J1120" i="9"/>
  <c r="F1120" i="9"/>
  <c r="B1120" i="9"/>
  <c r="I1119" i="9"/>
  <c r="E1119" i="9"/>
  <c r="A1119" i="9"/>
  <c r="H1118" i="9"/>
  <c r="D1118" i="9"/>
  <c r="K1117" i="9"/>
  <c r="G1117" i="9"/>
  <c r="C1117" i="9"/>
  <c r="J1116" i="9"/>
  <c r="F1116" i="9"/>
  <c r="B1116" i="9"/>
  <c r="I1115" i="9"/>
  <c r="E1115" i="9"/>
  <c r="A1115" i="9"/>
  <c r="H1114" i="9"/>
  <c r="D1114" i="9"/>
  <c r="K1113" i="9"/>
  <c r="G1113" i="9"/>
  <c r="C1113" i="9"/>
  <c r="J1112" i="9"/>
  <c r="F1112" i="9"/>
  <c r="B1112" i="9"/>
  <c r="I1111" i="9"/>
  <c r="E1111" i="9"/>
  <c r="A1111" i="9"/>
  <c r="H1110" i="9"/>
  <c r="D1110" i="9"/>
  <c r="K1109" i="9"/>
  <c r="G1109" i="9"/>
  <c r="C1109" i="9"/>
  <c r="J1108" i="9"/>
  <c r="F1108" i="9"/>
  <c r="B1108" i="9"/>
  <c r="I1107" i="9"/>
  <c r="E1107" i="9"/>
  <c r="A1107" i="9"/>
  <c r="H1106" i="9"/>
  <c r="D1106" i="9"/>
  <c r="K1105" i="9"/>
  <c r="G1105" i="9"/>
  <c r="C1105" i="9"/>
  <c r="J1104" i="9"/>
  <c r="F1104" i="9"/>
  <c r="B1104" i="9"/>
  <c r="I1103" i="9"/>
  <c r="E1103" i="9"/>
  <c r="A1103" i="9"/>
  <c r="G1102" i="9"/>
  <c r="C1102" i="9"/>
  <c r="J1101" i="9"/>
  <c r="E1101" i="9"/>
  <c r="A1101" i="9"/>
  <c r="G1100" i="9"/>
  <c r="C1100" i="9"/>
  <c r="J1099" i="9"/>
  <c r="F1099" i="9"/>
  <c r="B1099" i="9"/>
  <c r="I1098" i="9"/>
  <c r="E1098" i="9"/>
  <c r="A1098" i="9"/>
  <c r="H1097" i="9"/>
  <c r="D1097" i="9"/>
  <c r="K1096" i="9"/>
  <c r="G1096" i="9"/>
  <c r="C1096" i="9"/>
  <c r="J1095" i="9"/>
  <c r="F1095" i="9"/>
  <c r="B1095" i="9"/>
  <c r="I1094" i="9"/>
  <c r="E1094" i="9"/>
  <c r="A1094" i="9"/>
  <c r="G1093" i="9"/>
  <c r="C1093" i="9"/>
  <c r="J1092" i="9"/>
  <c r="F1092" i="9"/>
  <c r="B1092" i="9"/>
  <c r="H1091" i="9"/>
  <c r="D1091" i="9"/>
  <c r="K1090" i="9"/>
  <c r="F1090" i="9"/>
  <c r="B1090" i="9"/>
  <c r="H1089" i="9"/>
  <c r="D1089" i="9"/>
  <c r="K1088" i="9"/>
  <c r="G1088" i="9"/>
  <c r="C1088" i="9"/>
  <c r="J1087" i="9"/>
  <c r="F1087" i="9"/>
  <c r="B1087" i="9"/>
  <c r="H1086" i="9"/>
  <c r="D1086" i="9"/>
  <c r="K1085" i="9"/>
  <c r="G1085" i="9"/>
  <c r="C1085" i="9"/>
  <c r="J1084" i="9"/>
  <c r="F1084" i="9"/>
  <c r="B1084" i="9"/>
  <c r="I1083" i="9"/>
  <c r="E1083" i="9"/>
  <c r="A1083" i="9"/>
  <c r="H1082" i="9"/>
  <c r="D1082" i="9"/>
  <c r="K1081" i="9"/>
  <c r="G1081" i="9"/>
  <c r="C1081" i="9"/>
  <c r="J1080" i="9"/>
  <c r="F1080" i="9"/>
  <c r="B1080" i="9"/>
  <c r="I1079" i="9"/>
  <c r="E1079" i="9"/>
  <c r="A1079" i="9"/>
  <c r="H1078" i="9"/>
  <c r="D1078" i="9"/>
  <c r="K1077" i="9"/>
  <c r="G1077" i="9"/>
  <c r="C1077" i="9"/>
  <c r="J1076" i="9"/>
  <c r="E1076" i="9"/>
  <c r="A1076" i="9"/>
  <c r="H1075" i="9"/>
  <c r="D1075" i="9"/>
  <c r="K1074" i="9"/>
  <c r="G1074" i="9"/>
  <c r="C1074" i="9"/>
  <c r="J1073" i="9"/>
  <c r="F1073" i="9"/>
  <c r="B1073" i="9"/>
  <c r="I1072" i="9"/>
  <c r="E1072" i="9"/>
  <c r="A1072" i="9"/>
  <c r="H1071" i="9"/>
  <c r="D1071" i="9"/>
  <c r="K1070" i="9"/>
  <c r="G1070" i="9"/>
  <c r="C1070" i="9"/>
  <c r="J1069" i="9"/>
  <c r="F1069" i="9"/>
  <c r="B1069" i="9"/>
  <c r="H1068" i="9"/>
  <c r="D1068" i="9"/>
  <c r="K1067" i="9"/>
  <c r="G1067" i="9"/>
  <c r="C1067" i="9"/>
  <c r="J1066" i="9"/>
  <c r="F1066" i="9"/>
  <c r="B1066" i="9"/>
  <c r="I1065" i="9"/>
  <c r="E1065" i="9"/>
  <c r="A1065" i="9"/>
  <c r="H1064" i="9"/>
  <c r="D1064" i="9"/>
  <c r="K1063" i="9"/>
  <c r="F1063" i="9"/>
  <c r="B1063" i="9"/>
  <c r="I1062" i="9"/>
  <c r="E1062" i="9"/>
  <c r="A1062" i="9"/>
  <c r="G1061" i="9"/>
  <c r="C1061" i="9"/>
  <c r="J1060" i="9"/>
  <c r="E1060" i="9"/>
  <c r="A1060" i="9"/>
  <c r="G1059" i="9"/>
  <c r="C1059" i="9"/>
  <c r="J1058" i="9"/>
  <c r="E1058" i="9"/>
  <c r="A1058" i="9"/>
  <c r="G1057" i="9"/>
  <c r="C1057" i="9"/>
  <c r="J1056" i="9"/>
  <c r="F1056" i="9"/>
  <c r="B1056" i="9"/>
  <c r="I1055" i="9"/>
  <c r="E1055" i="9"/>
  <c r="A1055" i="9"/>
  <c r="H1054" i="9"/>
  <c r="D1054" i="9"/>
  <c r="K1053" i="9"/>
  <c r="G1053" i="9"/>
  <c r="C1053" i="9"/>
  <c r="J1052" i="9"/>
  <c r="E1052" i="9"/>
  <c r="A1052" i="9"/>
  <c r="H1051" i="9"/>
  <c r="D1051" i="9"/>
  <c r="K1050" i="9"/>
  <c r="G1050" i="9"/>
  <c r="C1050" i="9"/>
  <c r="J1049" i="9"/>
  <c r="F1049" i="9"/>
  <c r="B1049" i="9"/>
  <c r="H1048" i="9"/>
  <c r="D1048" i="9"/>
  <c r="K1047" i="9"/>
  <c r="F1047" i="9"/>
  <c r="B1047" i="9"/>
  <c r="I1046" i="9"/>
  <c r="E1046" i="9"/>
  <c r="A1046" i="9"/>
  <c r="H1045" i="9"/>
  <c r="D1045" i="9"/>
  <c r="K1044" i="9"/>
  <c r="G1044" i="9"/>
  <c r="C1044" i="9"/>
  <c r="J1043" i="9"/>
  <c r="F1043" i="9"/>
  <c r="B1043" i="9"/>
  <c r="I1042" i="9"/>
  <c r="E1042" i="9"/>
  <c r="A1042" i="9"/>
  <c r="H1041" i="9"/>
  <c r="D1041" i="9"/>
  <c r="K1040" i="9"/>
  <c r="G1040" i="9"/>
  <c r="C1040" i="9"/>
  <c r="J1039" i="9"/>
  <c r="E1039" i="9"/>
  <c r="A1039" i="9"/>
  <c r="H1038" i="9"/>
  <c r="D1038" i="9"/>
  <c r="K1037" i="9"/>
  <c r="F1037" i="9"/>
  <c r="B1037" i="9"/>
  <c r="I1036" i="9"/>
  <c r="E1036" i="9"/>
  <c r="A1036" i="9"/>
  <c r="H1035" i="9"/>
  <c r="D1035" i="9"/>
  <c r="K1034" i="9"/>
  <c r="G1034" i="9"/>
  <c r="C1034" i="9"/>
  <c r="J1033" i="9"/>
  <c r="E1033" i="9"/>
  <c r="A1033" i="9"/>
  <c r="H1032" i="9"/>
  <c r="D1032" i="9"/>
  <c r="K1031" i="9"/>
  <c r="F1031" i="9"/>
  <c r="B1031" i="9"/>
  <c r="H1030" i="9"/>
  <c r="D1030" i="9"/>
  <c r="K1029" i="9"/>
  <c r="G1029" i="9"/>
  <c r="C1029" i="9"/>
  <c r="J1028" i="9"/>
  <c r="F1028" i="9"/>
  <c r="B1028" i="9"/>
  <c r="I1027" i="9"/>
  <c r="E1027" i="9"/>
  <c r="A1027" i="9"/>
  <c r="H1026" i="9"/>
  <c r="D1026" i="9"/>
  <c r="K1025" i="9"/>
  <c r="G1025" i="9"/>
  <c r="C1025" i="9"/>
  <c r="J1024" i="9"/>
  <c r="E1024" i="9"/>
  <c r="A1024" i="9"/>
  <c r="G1023" i="9"/>
  <c r="C1023" i="9"/>
  <c r="J1022" i="9"/>
  <c r="E1022" i="9"/>
  <c r="A1022" i="9"/>
  <c r="G1021" i="9"/>
  <c r="C1021" i="9"/>
  <c r="J1020" i="9"/>
  <c r="F1020" i="9"/>
  <c r="B1020" i="9"/>
  <c r="H1019" i="9"/>
  <c r="D1019" i="9"/>
  <c r="K1018" i="9"/>
  <c r="F1018" i="9"/>
  <c r="B1018" i="9"/>
  <c r="H1017" i="9"/>
  <c r="D1017" i="9"/>
  <c r="K1016" i="9"/>
  <c r="G1016" i="9"/>
  <c r="C1016" i="9"/>
  <c r="J1015" i="9"/>
  <c r="E1015" i="9"/>
  <c r="A1015" i="9"/>
  <c r="H1014" i="9"/>
  <c r="D1014" i="9"/>
  <c r="K1013" i="9"/>
  <c r="G1013" i="9"/>
  <c r="C1013" i="9"/>
  <c r="J1012" i="9"/>
  <c r="F1012" i="9"/>
  <c r="B1012" i="9"/>
  <c r="I1011" i="9"/>
  <c r="E1011" i="9"/>
  <c r="A1011" i="9"/>
  <c r="H1010" i="9"/>
  <c r="D1010" i="9"/>
  <c r="K1009" i="9"/>
  <c r="G1009" i="9"/>
  <c r="C1009" i="9"/>
  <c r="J1008" i="9"/>
  <c r="F1008" i="9"/>
  <c r="B1008" i="9"/>
  <c r="I1007" i="9"/>
  <c r="E1007" i="9"/>
  <c r="A1007" i="9"/>
  <c r="H1006" i="9"/>
  <c r="D1006" i="9"/>
  <c r="K1005" i="9"/>
  <c r="G1005" i="9"/>
  <c r="C1005" i="9"/>
  <c r="J1004" i="9"/>
  <c r="F1004" i="9"/>
  <c r="B1004" i="9"/>
  <c r="I1003" i="9"/>
  <c r="E1003" i="9"/>
  <c r="A1003" i="9"/>
  <c r="H1002" i="9"/>
  <c r="D1002" i="9"/>
  <c r="K1001" i="9"/>
  <c r="G1001" i="9"/>
  <c r="D1348" i="9"/>
  <c r="B1317" i="9"/>
  <c r="F1305" i="9"/>
  <c r="J1293" i="9"/>
  <c r="J1282" i="9"/>
  <c r="A1277" i="9"/>
  <c r="C1271" i="9"/>
  <c r="E1265" i="9"/>
  <c r="K1259" i="9"/>
  <c r="A1257" i="9"/>
  <c r="B1254" i="9"/>
  <c r="C1251" i="9"/>
  <c r="C1248" i="9"/>
  <c r="C1245" i="9"/>
  <c r="D1242" i="9"/>
  <c r="E1239" i="9"/>
  <c r="F1236" i="9"/>
  <c r="G1233" i="9"/>
  <c r="H1230" i="9"/>
  <c r="I1227" i="9"/>
  <c r="J1224" i="9"/>
  <c r="K1221" i="9"/>
  <c r="A1219" i="9"/>
  <c r="B1216" i="9"/>
  <c r="C1213" i="9"/>
  <c r="D1210" i="9"/>
  <c r="E1207" i="9"/>
  <c r="F1204" i="9"/>
  <c r="F1201" i="9"/>
  <c r="G1198" i="9"/>
  <c r="H1195" i="9"/>
  <c r="I1192" i="9"/>
  <c r="A1190" i="9"/>
  <c r="G1188" i="9"/>
  <c r="B1187" i="9"/>
  <c r="H1185" i="9"/>
  <c r="C1184" i="9"/>
  <c r="I1182" i="9"/>
  <c r="D1181" i="9"/>
  <c r="J1179" i="9"/>
  <c r="E1178" i="9"/>
  <c r="K1176" i="9"/>
  <c r="F1175" i="9"/>
  <c r="A1174" i="9"/>
  <c r="G1172" i="9"/>
  <c r="B1171" i="9"/>
  <c r="H1169" i="9"/>
  <c r="C1168" i="9"/>
  <c r="I1166" i="9"/>
  <c r="D1165" i="9"/>
  <c r="J1163" i="9"/>
  <c r="E1162" i="9"/>
  <c r="K1160" i="9"/>
  <c r="F1159" i="9"/>
  <c r="A1158" i="9"/>
  <c r="G1156" i="9"/>
  <c r="B1155" i="9"/>
  <c r="H1153" i="9"/>
  <c r="C1152" i="9"/>
  <c r="I1150" i="9"/>
  <c r="D1149" i="9"/>
  <c r="J1147" i="9"/>
  <c r="E1146" i="9"/>
  <c r="K1144" i="9"/>
  <c r="H1143" i="9"/>
  <c r="K1142" i="9"/>
  <c r="C1142" i="9"/>
  <c r="F1141" i="9"/>
  <c r="I1140" i="9"/>
  <c r="A1140" i="9"/>
  <c r="D1139" i="9"/>
  <c r="G1138" i="9"/>
  <c r="J1137" i="9"/>
  <c r="B1137" i="9"/>
  <c r="E1136" i="9"/>
  <c r="H1135" i="9"/>
  <c r="K1134" i="9"/>
  <c r="C1134" i="9"/>
  <c r="F1133" i="9"/>
  <c r="I1132" i="9"/>
  <c r="A1132" i="9"/>
  <c r="D1131" i="9"/>
  <c r="G1130" i="9"/>
  <c r="J1129" i="9"/>
  <c r="B1129" i="9"/>
  <c r="E1128" i="9"/>
  <c r="H1127" i="9"/>
  <c r="K1126" i="9"/>
  <c r="C1126" i="9"/>
  <c r="F1125" i="9"/>
  <c r="I1124" i="9"/>
  <c r="A1124" i="9"/>
  <c r="D1123" i="9"/>
  <c r="G1122" i="9"/>
  <c r="J1121" i="9"/>
  <c r="B1121" i="9"/>
  <c r="E1120" i="9"/>
  <c r="H1119" i="9"/>
  <c r="K1118" i="9"/>
  <c r="C1118" i="9"/>
  <c r="F1117" i="9"/>
  <c r="I1116" i="9"/>
  <c r="A1116" i="9"/>
  <c r="D1115" i="9"/>
  <c r="G1114" i="9"/>
  <c r="J1113" i="9"/>
  <c r="B1113" i="9"/>
  <c r="E1112" i="9"/>
  <c r="H1111" i="9"/>
  <c r="K1110" i="9"/>
  <c r="C1110" i="9"/>
  <c r="F1109" i="9"/>
  <c r="I1108" i="9"/>
  <c r="A1108" i="9"/>
  <c r="D1107" i="9"/>
  <c r="G1106" i="9"/>
  <c r="J1105" i="9"/>
  <c r="B1105" i="9"/>
  <c r="E1104" i="9"/>
  <c r="H1103" i="9"/>
  <c r="K1102" i="9"/>
  <c r="B1102" i="9"/>
  <c r="D1101" i="9"/>
  <c r="F1100" i="9"/>
  <c r="I1099" i="9"/>
  <c r="A1099" i="9"/>
  <c r="D1098" i="9"/>
  <c r="G1097" i="9"/>
  <c r="J1096" i="9"/>
  <c r="B1096" i="9"/>
  <c r="E1095" i="9"/>
  <c r="H1094" i="9"/>
  <c r="K1093" i="9"/>
  <c r="B1093" i="9"/>
  <c r="E1092" i="9"/>
  <c r="G1091" i="9"/>
  <c r="J1090" i="9"/>
  <c r="A1090" i="9"/>
  <c r="C1089" i="9"/>
  <c r="F1088" i="9"/>
  <c r="I1087" i="9"/>
  <c r="A1087" i="9"/>
  <c r="C1086" i="9"/>
  <c r="F1085" i="9"/>
  <c r="I1084" i="9"/>
  <c r="A1084" i="9"/>
  <c r="D1083" i="9"/>
  <c r="G1082" i="9"/>
  <c r="J1081" i="9"/>
  <c r="B1081" i="9"/>
  <c r="E1080" i="9"/>
  <c r="H1079" i="9"/>
  <c r="K1078" i="9"/>
  <c r="C1078" i="9"/>
  <c r="F1077" i="9"/>
  <c r="H1076" i="9"/>
  <c r="K1075" i="9"/>
  <c r="C1075" i="9"/>
  <c r="F1074" i="9"/>
  <c r="I1073" i="9"/>
  <c r="A1073" i="9"/>
  <c r="D1072" i="9"/>
  <c r="G1071" i="9"/>
  <c r="J1070" i="9"/>
  <c r="B1070" i="9"/>
  <c r="E1069" i="9"/>
  <c r="G1068" i="9"/>
  <c r="J1067" i="9"/>
  <c r="B1067" i="9"/>
  <c r="E1066" i="9"/>
  <c r="H1065" i="9"/>
  <c r="K1064" i="9"/>
  <c r="C1064" i="9"/>
  <c r="E1063" i="9"/>
  <c r="H1062" i="9"/>
  <c r="K1061" i="9"/>
  <c r="B1061" i="9"/>
  <c r="D1060" i="9"/>
  <c r="F1059" i="9"/>
  <c r="H1058" i="9"/>
  <c r="K1057" i="9"/>
  <c r="B1057" i="9"/>
  <c r="E1056" i="9"/>
  <c r="H1055" i="9"/>
  <c r="K1054" i="9"/>
  <c r="C1054" i="9"/>
  <c r="F1053" i="9"/>
  <c r="H1052" i="9"/>
  <c r="K1051" i="9"/>
  <c r="C1051" i="9"/>
  <c r="F1050" i="9"/>
  <c r="I1049" i="9"/>
  <c r="A1049" i="9"/>
  <c r="C1048" i="9"/>
  <c r="E1047" i="9"/>
  <c r="H1046" i="9"/>
  <c r="K1045" i="9"/>
  <c r="C1045" i="9"/>
  <c r="F1044" i="9"/>
  <c r="I1043" i="9"/>
  <c r="A1043" i="9"/>
  <c r="D1042" i="9"/>
  <c r="G1041" i="9"/>
  <c r="J1040" i="9"/>
  <c r="B1040" i="9"/>
  <c r="D1039" i="9"/>
  <c r="G1038" i="9"/>
  <c r="J1037" i="9"/>
  <c r="A1037" i="9"/>
  <c r="D1036" i="9"/>
  <c r="G1035" i="9"/>
  <c r="J1034" i="9"/>
  <c r="B1034" i="9"/>
  <c r="D1033" i="9"/>
  <c r="G1032" i="9"/>
  <c r="J1031" i="9"/>
  <c r="A1031" i="9"/>
  <c r="C1030" i="9"/>
  <c r="F1029" i="9"/>
  <c r="I1028" i="9"/>
  <c r="A1028" i="9"/>
  <c r="D1027" i="9"/>
  <c r="G1026" i="9"/>
  <c r="J1025" i="9"/>
  <c r="B1025" i="9"/>
  <c r="D1024" i="9"/>
  <c r="F1023" i="9"/>
  <c r="H1022" i="9"/>
  <c r="K1021" i="9"/>
  <c r="B1021" i="9"/>
  <c r="E1020" i="9"/>
  <c r="G1019" i="9"/>
  <c r="J1018" i="9"/>
  <c r="A1018" i="9"/>
  <c r="C1017" i="9"/>
  <c r="F1016" i="9"/>
  <c r="H1015" i="9"/>
  <c r="K1014" i="9"/>
  <c r="C1014" i="9"/>
  <c r="F1013" i="9"/>
  <c r="I1012" i="9"/>
  <c r="A1012" i="9"/>
  <c r="D1011" i="9"/>
  <c r="G1010" i="9"/>
  <c r="J1009" i="9"/>
  <c r="B1009" i="9"/>
  <c r="E1008" i="9"/>
  <c r="H1007" i="9"/>
  <c r="K1006" i="9"/>
  <c r="C1006" i="9"/>
  <c r="F1005" i="9"/>
  <c r="I1004" i="9"/>
  <c r="A1004" i="9"/>
  <c r="D1003" i="9"/>
  <c r="G1002" i="9"/>
  <c r="J1001" i="9"/>
  <c r="C1344" i="9"/>
  <c r="A1335" i="9"/>
  <c r="J1334" i="9"/>
  <c r="I1313" i="9"/>
  <c r="F1304" i="9"/>
  <c r="H1298" i="9"/>
  <c r="J1292" i="9"/>
  <c r="A1287" i="9"/>
  <c r="F1334" i="9"/>
  <c r="H1313" i="9"/>
  <c r="A1302" i="9"/>
  <c r="E1290" i="9"/>
  <c r="B1281" i="9"/>
  <c r="D1275" i="9"/>
  <c r="F1269" i="9"/>
  <c r="H1263" i="9"/>
  <c r="D1332" i="9"/>
  <c r="B1313" i="9"/>
  <c r="F1301" i="9"/>
  <c r="J1289" i="9"/>
  <c r="J1280" i="9"/>
  <c r="A1275" i="9"/>
  <c r="C1269" i="9"/>
  <c r="E1263" i="9"/>
  <c r="K1258" i="9"/>
  <c r="A1256" i="9"/>
  <c r="B1253" i="9"/>
  <c r="C1250" i="9"/>
  <c r="B1247" i="9"/>
  <c r="C1244" i="9"/>
  <c r="D1241" i="9"/>
  <c r="E1238" i="9"/>
  <c r="F1235" i="9"/>
  <c r="G1232" i="9"/>
  <c r="H1229" i="9"/>
  <c r="I1226" i="9"/>
  <c r="J1223" i="9"/>
  <c r="K1220" i="9"/>
  <c r="A1218" i="9"/>
  <c r="B1215" i="9"/>
  <c r="C1212" i="9"/>
  <c r="D1209" i="9"/>
  <c r="E1206" i="9"/>
  <c r="F1203" i="9"/>
  <c r="F1200" i="9"/>
  <c r="G1332" i="9"/>
  <c r="J1320" i="9"/>
  <c r="I1320" i="9"/>
  <c r="K1307" i="9"/>
  <c r="G1301" i="9"/>
  <c r="I1295" i="9"/>
  <c r="K1289" i="9"/>
  <c r="B1284" i="9"/>
  <c r="G1320" i="9"/>
  <c r="J1307" i="9"/>
  <c r="C1296" i="9"/>
  <c r="G1284" i="9"/>
  <c r="C1278" i="9"/>
  <c r="E1272" i="9"/>
  <c r="G1266" i="9"/>
  <c r="I1260" i="9"/>
  <c r="F1319" i="9"/>
  <c r="D1307" i="9"/>
  <c r="H1295" i="9"/>
  <c r="A1284" i="9"/>
  <c r="K1277" i="9"/>
  <c r="B1272" i="9"/>
  <c r="D1266" i="9"/>
  <c r="F1260" i="9"/>
  <c r="F1257" i="9"/>
  <c r="G1254" i="9"/>
  <c r="H1251" i="9"/>
  <c r="H1248" i="9"/>
  <c r="H1245" i="9"/>
  <c r="I1242" i="9"/>
  <c r="J1239" i="9"/>
  <c r="K1236" i="9"/>
  <c r="A1234" i="9"/>
  <c r="B1231" i="9"/>
  <c r="C1228" i="9"/>
  <c r="D1225" i="9"/>
  <c r="E1222" i="9"/>
  <c r="F1219" i="9"/>
  <c r="G1216" i="9"/>
  <c r="H1213" i="9"/>
  <c r="I1210" i="9"/>
  <c r="J1207" i="9"/>
  <c r="K1204" i="9"/>
  <c r="K1201" i="9"/>
  <c r="A1199" i="9"/>
  <c r="B1196" i="9"/>
  <c r="C1193" i="9"/>
  <c r="D1190" i="9"/>
  <c r="H1307" i="9"/>
  <c r="E1284" i="9"/>
  <c r="D1272" i="9"/>
  <c r="H1260" i="9"/>
  <c r="H1254" i="9"/>
  <c r="J1248" i="9"/>
  <c r="J1242" i="9"/>
  <c r="A1237" i="9"/>
  <c r="C1231" i="9"/>
  <c r="E1225" i="9"/>
  <c r="G1219" i="9"/>
  <c r="I1213" i="9"/>
  <c r="K1207" i="9"/>
  <c r="A1202" i="9"/>
  <c r="C1196" i="9"/>
  <c r="E1190" i="9"/>
  <c r="G1189" i="9"/>
  <c r="J1188" i="9"/>
  <c r="B1188" i="9"/>
  <c r="E1187" i="9"/>
  <c r="H1186" i="9"/>
  <c r="K1185" i="9"/>
  <c r="C1185" i="9"/>
  <c r="F1184" i="9"/>
  <c r="I1183" i="9"/>
  <c r="A1183" i="9"/>
  <c r="D1182" i="9"/>
  <c r="G1181" i="9"/>
  <c r="J1180" i="9"/>
  <c r="B1180" i="9"/>
  <c r="E1179" i="9"/>
  <c r="H1178" i="9"/>
  <c r="K1177" i="9"/>
  <c r="C1177" i="9"/>
  <c r="F1176" i="9"/>
  <c r="I1175" i="9"/>
  <c r="A1175" i="9"/>
  <c r="D1174" i="9"/>
  <c r="G1173" i="9"/>
  <c r="J1172" i="9"/>
  <c r="B1172" i="9"/>
  <c r="E1171" i="9"/>
  <c r="H1170" i="9"/>
  <c r="K1169" i="9"/>
  <c r="C1169" i="9"/>
  <c r="F1168" i="9"/>
  <c r="I1167" i="9"/>
  <c r="A1167" i="9"/>
  <c r="D1166" i="9"/>
  <c r="G1165" i="9"/>
  <c r="J1164" i="9"/>
  <c r="B1164" i="9"/>
  <c r="E1163" i="9"/>
  <c r="H1162" i="9"/>
  <c r="K1161" i="9"/>
  <c r="C1161" i="9"/>
  <c r="F1160" i="9"/>
  <c r="I1159" i="9"/>
  <c r="A1159" i="9"/>
  <c r="D1158" i="9"/>
  <c r="G1157" i="9"/>
  <c r="J1156" i="9"/>
  <c r="B1156" i="9"/>
  <c r="E1155" i="9"/>
  <c r="H1154" i="9"/>
  <c r="K1153" i="9"/>
  <c r="C1153" i="9"/>
  <c r="F1152" i="9"/>
  <c r="I1151" i="9"/>
  <c r="A1151" i="9"/>
  <c r="D1150" i="9"/>
  <c r="G1149" i="9"/>
  <c r="J1148" i="9"/>
  <c r="B1148" i="9"/>
  <c r="E1147" i="9"/>
  <c r="H1146" i="9"/>
  <c r="K1145" i="9"/>
  <c r="C1145" i="9"/>
  <c r="F1144" i="9"/>
  <c r="F1342" i="9"/>
  <c r="H1315" i="9"/>
  <c r="A1304" i="9"/>
  <c r="E1292" i="9"/>
  <c r="B1282" i="9"/>
  <c r="D1276" i="9"/>
  <c r="F1270" i="9"/>
  <c r="H1264" i="9"/>
  <c r="G1259" i="9"/>
  <c r="H1256" i="9"/>
  <c r="I1253" i="9"/>
  <c r="J1250" i="9"/>
  <c r="J1247" i="9"/>
  <c r="J1244" i="9"/>
  <c r="K1241" i="9"/>
  <c r="A1239" i="9"/>
  <c r="B1236" i="9"/>
  <c r="C1233" i="9"/>
  <c r="D1230" i="9"/>
  <c r="E1227" i="9"/>
  <c r="F1224" i="9"/>
  <c r="G1221" i="9"/>
  <c r="H1218" i="9"/>
  <c r="I1215" i="9"/>
  <c r="J1212" i="9"/>
  <c r="K1209" i="9"/>
  <c r="A1207" i="9"/>
  <c r="B1204" i="9"/>
  <c r="B1201" i="9"/>
  <c r="C1198" i="9"/>
  <c r="D1195" i="9"/>
  <c r="E1192" i="9"/>
  <c r="J1189" i="9"/>
  <c r="E1188" i="9"/>
  <c r="K1186" i="9"/>
  <c r="F1185" i="9"/>
  <c r="A1184" i="9"/>
  <c r="G1182" i="9"/>
  <c r="B1181" i="9"/>
  <c r="H1179" i="9"/>
  <c r="C1178" i="9"/>
  <c r="I1176" i="9"/>
  <c r="D1175" i="9"/>
  <c r="J1173" i="9"/>
  <c r="E1172" i="9"/>
  <c r="K1170" i="9"/>
  <c r="F1169" i="9"/>
  <c r="A1168" i="9"/>
  <c r="G1166" i="9"/>
  <c r="B1165" i="9"/>
  <c r="H1163" i="9"/>
  <c r="C1162" i="9"/>
  <c r="I1160" i="9"/>
  <c r="D1159" i="9"/>
  <c r="J1157" i="9"/>
  <c r="E1156" i="9"/>
  <c r="K1154" i="9"/>
  <c r="F1153" i="9"/>
  <c r="A1152" i="9"/>
  <c r="G1150" i="9"/>
  <c r="B1149" i="9"/>
  <c r="H1147" i="9"/>
  <c r="C1146" i="9"/>
  <c r="I1144" i="9"/>
  <c r="G1143" i="9"/>
  <c r="J1142" i="9"/>
  <c r="B1142" i="9"/>
  <c r="E1141" i="9"/>
  <c r="H1140" i="9"/>
  <c r="K1139" i="9"/>
  <c r="C1139" i="9"/>
  <c r="F1138" i="9"/>
  <c r="I1137" i="9"/>
  <c r="A1137" i="9"/>
  <c r="D1136" i="9"/>
  <c r="G1135" i="9"/>
  <c r="J1134" i="9"/>
  <c r="B1134" i="9"/>
  <c r="E1133" i="9"/>
  <c r="H1132" i="9"/>
  <c r="K1131" i="9"/>
  <c r="C1131" i="9"/>
  <c r="F1130" i="9"/>
  <c r="I1129" i="9"/>
  <c r="A1129" i="9"/>
  <c r="D1128" i="9"/>
  <c r="G1127" i="9"/>
  <c r="J1126" i="9"/>
  <c r="B1126" i="9"/>
  <c r="E1125" i="9"/>
  <c r="H1124" i="9"/>
  <c r="K1123" i="9"/>
  <c r="C1123" i="9"/>
  <c r="F1122" i="9"/>
  <c r="I1121" i="9"/>
  <c r="A1121" i="9"/>
  <c r="D1120" i="9"/>
  <c r="G1119" i="9"/>
  <c r="J1118" i="9"/>
  <c r="B1118" i="9"/>
  <c r="E1117" i="9"/>
  <c r="H1116" i="9"/>
  <c r="K1115" i="9"/>
  <c r="C1115" i="9"/>
  <c r="F1114" i="9"/>
  <c r="I1113" i="9"/>
  <c r="A1113" i="9"/>
  <c r="D1112" i="9"/>
  <c r="G1111" i="9"/>
  <c r="J1110" i="9"/>
  <c r="B1110" i="9"/>
  <c r="E1109" i="9"/>
  <c r="H1108" i="9"/>
  <c r="K1107" i="9"/>
  <c r="C1107" i="9"/>
  <c r="F1106" i="9"/>
  <c r="I1105" i="9"/>
  <c r="A1105" i="9"/>
  <c r="D1104" i="9"/>
  <c r="G1103" i="9"/>
  <c r="J1102" i="9"/>
  <c r="A1102" i="9"/>
  <c r="C1101" i="9"/>
  <c r="E1100" i="9"/>
  <c r="H1099" i="9"/>
  <c r="K1098" i="9"/>
  <c r="C1098" i="9"/>
  <c r="F1097" i="9"/>
  <c r="I1096" i="9"/>
  <c r="A1096" i="9"/>
  <c r="D1095" i="9"/>
  <c r="G1094" i="9"/>
  <c r="J1093" i="9"/>
  <c r="A1093" i="9"/>
  <c r="D1092" i="9"/>
  <c r="F1091" i="9"/>
  <c r="H1090" i="9"/>
  <c r="K1089" i="9"/>
  <c r="B1089" i="9"/>
  <c r="E1088" i="9"/>
  <c r="H1087" i="9"/>
  <c r="K1086" i="9"/>
  <c r="B1086" i="9"/>
  <c r="E1085" i="9"/>
  <c r="H1084" i="9"/>
  <c r="K1083" i="9"/>
  <c r="C1083" i="9"/>
  <c r="F1082" i="9"/>
  <c r="I1081" i="9"/>
  <c r="A1081" i="9"/>
  <c r="D1080" i="9"/>
  <c r="G1079" i="9"/>
  <c r="J1078" i="9"/>
  <c r="B1078" i="9"/>
  <c r="E1077" i="9"/>
  <c r="G1076" i="9"/>
  <c r="J1075" i="9"/>
  <c r="B1075" i="9"/>
  <c r="E1074" i="9"/>
  <c r="H1073" i="9"/>
  <c r="K1072" i="9"/>
  <c r="C1072" i="9"/>
  <c r="F1071" i="9"/>
  <c r="I1070" i="9"/>
  <c r="A1070" i="9"/>
  <c r="D1069" i="9"/>
  <c r="F1068" i="9"/>
  <c r="I1067" i="9"/>
  <c r="A1067" i="9"/>
  <c r="D1066" i="9"/>
  <c r="G1065" i="9"/>
  <c r="J1064" i="9"/>
  <c r="B1064" i="9"/>
  <c r="D1063" i="9"/>
  <c r="G1062" i="9"/>
  <c r="J1061" i="9"/>
  <c r="A1061" i="9"/>
  <c r="C1060" i="9"/>
  <c r="E1059" i="9"/>
  <c r="G1058" i="9"/>
  <c r="J1057" i="9"/>
  <c r="A1057" i="9"/>
  <c r="D1056" i="9"/>
  <c r="G1055" i="9"/>
  <c r="J1054" i="9"/>
  <c r="B1054" i="9"/>
  <c r="E1053" i="9"/>
  <c r="G1052" i="9"/>
  <c r="J1051" i="9"/>
  <c r="B1051" i="9"/>
  <c r="E1050" i="9"/>
  <c r="H1049" i="9"/>
  <c r="K1048" i="9"/>
  <c r="B1048" i="9"/>
  <c r="D1047" i="9"/>
  <c r="G1046" i="9"/>
  <c r="J1045" i="9"/>
  <c r="B1045" i="9"/>
  <c r="E1044" i="9"/>
  <c r="H1043" i="9"/>
  <c r="K1042" i="9"/>
  <c r="C1042" i="9"/>
  <c r="F1041" i="9"/>
  <c r="I1040" i="9"/>
  <c r="A1040" i="9"/>
  <c r="C1039" i="9"/>
  <c r="F1038" i="9"/>
  <c r="H1037" i="9"/>
  <c r="K1036" i="9"/>
  <c r="C1036" i="9"/>
  <c r="F1035" i="9"/>
  <c r="I1034" i="9"/>
  <c r="A1034" i="9"/>
  <c r="C1033" i="9"/>
  <c r="F1032" i="9"/>
  <c r="H1031" i="9"/>
  <c r="K1030" i="9"/>
  <c r="B1030" i="9"/>
  <c r="E1029" i="9"/>
  <c r="H1028" i="9"/>
  <c r="K1027" i="9"/>
  <c r="C1027" i="9"/>
  <c r="F1026" i="9"/>
  <c r="I1025" i="9"/>
  <c r="A1025" i="9"/>
  <c r="C1024" i="9"/>
  <c r="E1023" i="9"/>
  <c r="G1022" i="9"/>
  <c r="J1021" i="9"/>
  <c r="A1021" i="9"/>
  <c r="D1020" i="9"/>
  <c r="F1019" i="9"/>
  <c r="H1018" i="9"/>
  <c r="K1017" i="9"/>
  <c r="B1017" i="9"/>
  <c r="E1016" i="9"/>
  <c r="G1015" i="9"/>
  <c r="J1014" i="9"/>
  <c r="B1014" i="9"/>
  <c r="E1013" i="9"/>
  <c r="H1012" i="9"/>
  <c r="K1011" i="9"/>
  <c r="C1011" i="9"/>
  <c r="F1010" i="9"/>
  <c r="I1009" i="9"/>
  <c r="A1009" i="9"/>
  <c r="D1008" i="9"/>
  <c r="G1007" i="9"/>
  <c r="J1006" i="9"/>
  <c r="B1006" i="9"/>
  <c r="E1005" i="9"/>
  <c r="H1004" i="9"/>
  <c r="K1003" i="9"/>
  <c r="C1003" i="9"/>
  <c r="F1002" i="9"/>
  <c r="I1001" i="9"/>
  <c r="F1327" i="9"/>
  <c r="H1299" i="9"/>
  <c r="K1279" i="9"/>
  <c r="D1268" i="9"/>
  <c r="F1258" i="9"/>
  <c r="H1252" i="9"/>
  <c r="H1246" i="9"/>
  <c r="J1240" i="9"/>
  <c r="A1235" i="9"/>
  <c r="C1229" i="9"/>
  <c r="E1223" i="9"/>
  <c r="G1217" i="9"/>
  <c r="I1211" i="9"/>
  <c r="K1205" i="9"/>
  <c r="A1200" i="9"/>
  <c r="C1194" i="9"/>
  <c r="D1189" i="9"/>
  <c r="E1186" i="9"/>
  <c r="F1183" i="9"/>
  <c r="G1180" i="9"/>
  <c r="H1177" i="9"/>
  <c r="I1174" i="9"/>
  <c r="J1171" i="9"/>
  <c r="K1168" i="9"/>
  <c r="A1166" i="9"/>
  <c r="B1163" i="9"/>
  <c r="C1160" i="9"/>
  <c r="D1157" i="9"/>
  <c r="E1154" i="9"/>
  <c r="F1151" i="9"/>
  <c r="G1148" i="9"/>
  <c r="H1145" i="9"/>
  <c r="D1143" i="9"/>
  <c r="J1141" i="9"/>
  <c r="E1140" i="9"/>
  <c r="K1138" i="9"/>
  <c r="F1137" i="9"/>
  <c r="A1136" i="9"/>
  <c r="G1134" i="9"/>
  <c r="B1133" i="9"/>
  <c r="H1131" i="9"/>
  <c r="C1130" i="9"/>
  <c r="I1128" i="9"/>
  <c r="D1127" i="9"/>
  <c r="J1125" i="9"/>
  <c r="E1124" i="9"/>
  <c r="K1122" i="9"/>
  <c r="F1121" i="9"/>
  <c r="A1120" i="9"/>
  <c r="G1118" i="9"/>
  <c r="B1117" i="9"/>
  <c r="H1115" i="9"/>
  <c r="C1114" i="9"/>
  <c r="I1112" i="9"/>
  <c r="D1111" i="9"/>
  <c r="J1109" i="9"/>
  <c r="E1108" i="9"/>
  <c r="K1106" i="9"/>
  <c r="F1105" i="9"/>
  <c r="A1104" i="9"/>
  <c r="F1102" i="9"/>
  <c r="K1100" i="9"/>
  <c r="E1099" i="9"/>
  <c r="K1097" i="9"/>
  <c r="F1096" i="9"/>
  <c r="A1095" i="9"/>
  <c r="F1093" i="9"/>
  <c r="A1092" i="9"/>
  <c r="E1090" i="9"/>
  <c r="J1088" i="9"/>
  <c r="E1087" i="9"/>
  <c r="J1085" i="9"/>
  <c r="E1084" i="9"/>
  <c r="K1082" i="9"/>
  <c r="F1081" i="9"/>
  <c r="A1080" i="9"/>
  <c r="G1078" i="9"/>
  <c r="B1077" i="9"/>
  <c r="G1075" i="9"/>
  <c r="B1074" i="9"/>
  <c r="H1072" i="9"/>
  <c r="C1071" i="9"/>
  <c r="I1069" i="9"/>
  <c r="C1068" i="9"/>
  <c r="I1066" i="9"/>
  <c r="D1065" i="9"/>
  <c r="J1063" i="9"/>
  <c r="D1062" i="9"/>
  <c r="H1060" i="9"/>
  <c r="B1059" i="9"/>
  <c r="F1057" i="9"/>
  <c r="A1056" i="9"/>
  <c r="G1054" i="9"/>
  <c r="B1053" i="9"/>
  <c r="G1051" i="9"/>
  <c r="B1050" i="9"/>
  <c r="G1048" i="9"/>
  <c r="A1047" i="9"/>
  <c r="G1045" i="9"/>
  <c r="B1044" i="9"/>
  <c r="H1042" i="9"/>
  <c r="C1041" i="9"/>
  <c r="H1039" i="9"/>
  <c r="C1038" i="9"/>
  <c r="H1036" i="9"/>
  <c r="C1035" i="9"/>
  <c r="H1033" i="9"/>
  <c r="C1032" i="9"/>
  <c r="G1030" i="9"/>
  <c r="B1029" i="9"/>
  <c r="H1027" i="9"/>
  <c r="C1026" i="9"/>
  <c r="H1024" i="9"/>
  <c r="B1023" i="9"/>
  <c r="F1021" i="9"/>
  <c r="A1020" i="9"/>
  <c r="E1018" i="9"/>
  <c r="J1016" i="9"/>
  <c r="D1015" i="9"/>
  <c r="J1013" i="9"/>
  <c r="E1012" i="9"/>
  <c r="K1010" i="9"/>
  <c r="F1009" i="9"/>
  <c r="A1008" i="9"/>
  <c r="G1006" i="9"/>
  <c r="B1005" i="9"/>
  <c r="H1003" i="9"/>
  <c r="C1002" i="9"/>
  <c r="G1197" i="9"/>
  <c r="I1191" i="9"/>
  <c r="A1296" i="9"/>
  <c r="F1266" i="9"/>
  <c r="I1251" i="9"/>
  <c r="K1239" i="9"/>
  <c r="D1228" i="9"/>
  <c r="H1216" i="9"/>
  <c r="A1205" i="9"/>
  <c r="D1193" i="9"/>
  <c r="C1189" i="9"/>
  <c r="I1187" i="9"/>
  <c r="D1186" i="9"/>
  <c r="J1184" i="9"/>
  <c r="E1183" i="9"/>
  <c r="K1181" i="9"/>
  <c r="F1180" i="9"/>
  <c r="A1179" i="9"/>
  <c r="G1177" i="9"/>
  <c r="B1176" i="9"/>
  <c r="H1174" i="9"/>
  <c r="C1173" i="9"/>
  <c r="I1171" i="9"/>
  <c r="D1170" i="9"/>
  <c r="J1168" i="9"/>
  <c r="E1167" i="9"/>
  <c r="K1165" i="9"/>
  <c r="F1164" i="9"/>
  <c r="A1163" i="9"/>
  <c r="G1161" i="9"/>
  <c r="B1160" i="9"/>
  <c r="H1158" i="9"/>
  <c r="C1157" i="9"/>
  <c r="I1155" i="9"/>
  <c r="D1154" i="9"/>
  <c r="J1152" i="9"/>
  <c r="E1151" i="9"/>
  <c r="K1149" i="9"/>
  <c r="F1148" i="9"/>
  <c r="A1147" i="9"/>
  <c r="G1145" i="9"/>
  <c r="B1144" i="9"/>
  <c r="J1309" i="9"/>
  <c r="G1286" i="9"/>
  <c r="E1273" i="9"/>
  <c r="I1261" i="9"/>
  <c r="C1255" i="9"/>
  <c r="E1249" i="9"/>
  <c r="E1243" i="9"/>
  <c r="G1237" i="9"/>
  <c r="I1231" i="9"/>
  <c r="K1225" i="9"/>
  <c r="B1220" i="9"/>
  <c r="D1214" i="9"/>
  <c r="F1208" i="9"/>
  <c r="G1202" i="9"/>
  <c r="I1196" i="9"/>
  <c r="K1190" i="9"/>
  <c r="H1187" i="9"/>
  <c r="I1184" i="9"/>
  <c r="J1181" i="9"/>
  <c r="K1178" i="9"/>
  <c r="A1176" i="9"/>
  <c r="B1173" i="9"/>
  <c r="C1170" i="9"/>
  <c r="D1167" i="9"/>
  <c r="E1164" i="9"/>
  <c r="F1161" i="9"/>
  <c r="G1158" i="9"/>
  <c r="H1155" i="9"/>
  <c r="I1152" i="9"/>
  <c r="J1149" i="9"/>
  <c r="K1146" i="9"/>
  <c r="A1144" i="9"/>
  <c r="F1142" i="9"/>
  <c r="A1141" i="9"/>
  <c r="G1139" i="9"/>
  <c r="B1138" i="9"/>
  <c r="H1136" i="9"/>
  <c r="C1135" i="9"/>
  <c r="I1133" i="9"/>
  <c r="D1132" i="9"/>
  <c r="J1130" i="9"/>
  <c r="E1129" i="9"/>
  <c r="K1127" i="9"/>
  <c r="F1126" i="9"/>
  <c r="A1125" i="9"/>
  <c r="G1123" i="9"/>
  <c r="B1122" i="9"/>
  <c r="H1120" i="9"/>
  <c r="C1119" i="9"/>
  <c r="I1117" i="9"/>
  <c r="D1116" i="9"/>
  <c r="J1114" i="9"/>
  <c r="E1113" i="9"/>
  <c r="K1111" i="9"/>
  <c r="F1110" i="9"/>
  <c r="A1109" i="9"/>
  <c r="G1107" i="9"/>
  <c r="B1106" i="9"/>
  <c r="H1104" i="9"/>
  <c r="C1103" i="9"/>
  <c r="G1101" i="9"/>
  <c r="A1100" i="9"/>
  <c r="G1098" i="9"/>
  <c r="B1097" i="9"/>
  <c r="H1095" i="9"/>
  <c r="C1094" i="9"/>
  <c r="H1092" i="9"/>
  <c r="B1091" i="9"/>
  <c r="F1089" i="9"/>
  <c r="A1088" i="9"/>
  <c r="F1086" i="9"/>
  <c r="A1085" i="9"/>
  <c r="G1083" i="9"/>
  <c r="B1082" i="9"/>
  <c r="H1080" i="9"/>
  <c r="C1079" i="9"/>
  <c r="I1077" i="9"/>
  <c r="C1076" i="9"/>
  <c r="I1074" i="9"/>
  <c r="D1073" i="9"/>
  <c r="J1071" i="9"/>
  <c r="E1070" i="9"/>
  <c r="K1068" i="9"/>
  <c r="E1067" i="9"/>
  <c r="K1065" i="9"/>
  <c r="F1064" i="9"/>
  <c r="K1062" i="9"/>
  <c r="E1061" i="9"/>
  <c r="J1059" i="9"/>
  <c r="C1058" i="9"/>
  <c r="H1056" i="9"/>
  <c r="C1055" i="9"/>
  <c r="I1053" i="9"/>
  <c r="C1052" i="9"/>
  <c r="I1050" i="9"/>
  <c r="D1049" i="9"/>
  <c r="H1047" i="9"/>
  <c r="C1046" i="9"/>
  <c r="I1044" i="9"/>
  <c r="D1043" i="9"/>
  <c r="J1041" i="9"/>
  <c r="E1040" i="9"/>
  <c r="J1038" i="9"/>
  <c r="D1037" i="9"/>
  <c r="J1035" i="9"/>
  <c r="E1034" i="9"/>
  <c r="J1032" i="9"/>
  <c r="D1031" i="9"/>
  <c r="I1029" i="9"/>
  <c r="D1028" i="9"/>
  <c r="J1026" i="9"/>
  <c r="E1025" i="9"/>
  <c r="J1023" i="9"/>
  <c r="C1022" i="9"/>
  <c r="H1020" i="9"/>
  <c r="B1019" i="9"/>
  <c r="F1017" i="9"/>
  <c r="A1016" i="9"/>
  <c r="F1014" i="9"/>
  <c r="A1013" i="9"/>
  <c r="G1011" i="9"/>
  <c r="B1010" i="9"/>
  <c r="H1008" i="9"/>
  <c r="C1007" i="9"/>
  <c r="I1005" i="9"/>
  <c r="D1004" i="9"/>
  <c r="J1002" i="9"/>
  <c r="E1001" i="9"/>
  <c r="A1288" i="9"/>
  <c r="F1262" i="9"/>
  <c r="I1249" i="9"/>
  <c r="K1237" i="9"/>
  <c r="D1226" i="9"/>
  <c r="H1214" i="9"/>
  <c r="A1203" i="9"/>
  <c r="D1191" i="9"/>
  <c r="K1184" i="9"/>
  <c r="B1179" i="9"/>
  <c r="D1173" i="9"/>
  <c r="F1167" i="9"/>
  <c r="H1161" i="9"/>
  <c r="J1155" i="9"/>
  <c r="A1150" i="9"/>
  <c r="C1144" i="9"/>
  <c r="B1141" i="9"/>
  <c r="C1138" i="9"/>
  <c r="D1135" i="9"/>
  <c r="E1132" i="9"/>
  <c r="F1129" i="9"/>
  <c r="G1126" i="9"/>
  <c r="H1123" i="9"/>
  <c r="I1120" i="9"/>
  <c r="J1117" i="9"/>
  <c r="K1114" i="9"/>
  <c r="A1112" i="9"/>
  <c r="B1109" i="9"/>
  <c r="C1106" i="9"/>
  <c r="D1103" i="9"/>
  <c r="B1100" i="9"/>
  <c r="C1097" i="9"/>
  <c r="D1094" i="9"/>
  <c r="C1091" i="9"/>
  <c r="B1088" i="9"/>
  <c r="B1085" i="9"/>
  <c r="C1082" i="9"/>
  <c r="D1079" i="9"/>
  <c r="D1076" i="9"/>
  <c r="E1073" i="9"/>
  <c r="F1070" i="9"/>
  <c r="F1067" i="9"/>
  <c r="G1064" i="9"/>
  <c r="F1061" i="9"/>
  <c r="D1058" i="9"/>
  <c r="D1055" i="9"/>
  <c r="D1052" i="9"/>
  <c r="E1049" i="9"/>
  <c r="D1046" i="9"/>
  <c r="E1043" i="9"/>
  <c r="F1040" i="9"/>
  <c r="E1037" i="9"/>
  <c r="F1034" i="9"/>
  <c r="E1031" i="9"/>
  <c r="E1028" i="9"/>
  <c r="F1025" i="9"/>
  <c r="D1022" i="9"/>
  <c r="C1019" i="9"/>
  <c r="B1016" i="9"/>
  <c r="B1013" i="9"/>
  <c r="C1010" i="9"/>
  <c r="D1007" i="9"/>
  <c r="E1004" i="9"/>
  <c r="F1001" i="9"/>
  <c r="A1001" i="9"/>
  <c r="H1000" i="9"/>
  <c r="D1000" i="9"/>
  <c r="K999" i="9"/>
  <c r="G999" i="9"/>
  <c r="C999" i="9"/>
  <c r="J998" i="9"/>
  <c r="F998" i="9"/>
  <c r="B998" i="9"/>
  <c r="I997" i="9"/>
  <c r="E997" i="9"/>
  <c r="A997" i="9"/>
  <c r="H996" i="9"/>
  <c r="D996" i="9"/>
  <c r="K995" i="9"/>
  <c r="G995" i="9"/>
  <c r="C995" i="9"/>
  <c r="J994" i="9"/>
  <c r="F994" i="9"/>
  <c r="B994" i="9"/>
  <c r="I993" i="9"/>
  <c r="E993" i="9"/>
  <c r="A993" i="9"/>
  <c r="H992" i="9"/>
  <c r="D992" i="9"/>
  <c r="K991" i="9"/>
  <c r="G991" i="9"/>
  <c r="C991" i="9"/>
  <c r="J990" i="9"/>
  <c r="F990" i="9"/>
  <c r="B990" i="9"/>
  <c r="I989" i="9"/>
  <c r="E989" i="9"/>
  <c r="A989" i="9"/>
  <c r="H988" i="9"/>
  <c r="D988" i="9"/>
  <c r="K987" i="9"/>
  <c r="G987" i="9"/>
  <c r="C987" i="9"/>
  <c r="J986" i="9"/>
  <c r="F986" i="9"/>
  <c r="B986" i="9"/>
  <c r="I985" i="9"/>
  <c r="E985" i="9"/>
  <c r="A985" i="9"/>
  <c r="H984" i="9"/>
  <c r="D984" i="9"/>
  <c r="K983" i="9"/>
  <c r="G983" i="9"/>
  <c r="C983" i="9"/>
  <c r="J982" i="9"/>
  <c r="F982" i="9"/>
  <c r="B982" i="9"/>
  <c r="I981" i="9"/>
  <c r="E981" i="9"/>
  <c r="A981" i="9"/>
  <c r="H980" i="9"/>
  <c r="D980" i="9"/>
  <c r="K979" i="9"/>
  <c r="G979" i="9"/>
  <c r="C979" i="9"/>
  <c r="J978" i="9"/>
  <c r="F978" i="9"/>
  <c r="B978" i="9"/>
  <c r="I977" i="9"/>
  <c r="E977" i="9"/>
  <c r="A977" i="9"/>
  <c r="H976" i="9"/>
  <c r="D976" i="9"/>
  <c r="K975" i="9"/>
  <c r="G975" i="9"/>
  <c r="C975" i="9"/>
  <c r="J974" i="9"/>
  <c r="F974" i="9"/>
  <c r="B974" i="9"/>
  <c r="I973" i="9"/>
  <c r="E973" i="9"/>
  <c r="A973" i="9"/>
  <c r="H972" i="9"/>
  <c r="D972" i="9"/>
  <c r="K971" i="9"/>
  <c r="G971" i="9"/>
  <c r="C971" i="9"/>
  <c r="J970" i="9"/>
  <c r="F970" i="9"/>
  <c r="B970" i="9"/>
  <c r="I969" i="9"/>
  <c r="E969" i="9"/>
  <c r="A969" i="9"/>
  <c r="H968" i="9"/>
  <c r="D968" i="9"/>
  <c r="K967" i="9"/>
  <c r="G967" i="9"/>
  <c r="C967" i="9"/>
  <c r="J966" i="9"/>
  <c r="F966" i="9"/>
  <c r="B966" i="9"/>
  <c r="I965" i="9"/>
  <c r="E965" i="9"/>
  <c r="A965" i="9"/>
  <c r="H964" i="9"/>
  <c r="D964" i="9"/>
  <c r="K963" i="9"/>
  <c r="G963" i="9"/>
  <c r="C963" i="9"/>
  <c r="J962" i="9"/>
  <c r="F962" i="9"/>
  <c r="B962" i="9"/>
  <c r="I961" i="9"/>
  <c r="E961" i="9"/>
  <c r="A961" i="9"/>
  <c r="H960" i="9"/>
  <c r="D960" i="9"/>
  <c r="K959" i="9"/>
  <c r="G959" i="9"/>
  <c r="C959" i="9"/>
  <c r="J958" i="9"/>
  <c r="F958" i="9"/>
  <c r="B958" i="9"/>
  <c r="I957" i="9"/>
  <c r="E957" i="9"/>
  <c r="A957" i="9"/>
  <c r="H956" i="9"/>
  <c r="D956" i="9"/>
  <c r="K955" i="9"/>
  <c r="G955" i="9"/>
  <c r="C955" i="9"/>
  <c r="J954" i="9"/>
  <c r="F954" i="9"/>
  <c r="B954" i="9"/>
  <c r="I953" i="9"/>
  <c r="E953" i="9"/>
  <c r="A953" i="9"/>
  <c r="H952" i="9"/>
  <c r="D952" i="9"/>
  <c r="K951" i="9"/>
  <c r="G951" i="9"/>
  <c r="C951" i="9"/>
  <c r="J950" i="9"/>
  <c r="F950" i="9"/>
  <c r="B950" i="9"/>
  <c r="I949" i="9"/>
  <c r="E949" i="9"/>
  <c r="A949" i="9"/>
  <c r="H948" i="9"/>
  <c r="D948" i="9"/>
  <c r="K947" i="9"/>
  <c r="G947" i="9"/>
  <c r="C947" i="9"/>
  <c r="J946" i="9"/>
  <c r="F946" i="9"/>
  <c r="B946" i="9"/>
  <c r="I945" i="9"/>
  <c r="E945" i="9"/>
  <c r="A945" i="9"/>
  <c r="H944" i="9"/>
  <c r="D944" i="9"/>
  <c r="K943" i="9"/>
  <c r="G943" i="9"/>
  <c r="C943" i="9"/>
  <c r="J942" i="9"/>
  <c r="F942" i="9"/>
  <c r="B942" i="9"/>
  <c r="I941" i="9"/>
  <c r="E941" i="9"/>
  <c r="A941" i="9"/>
  <c r="H940" i="9"/>
  <c r="D940" i="9"/>
  <c r="K939" i="9"/>
  <c r="G939" i="9"/>
  <c r="C939" i="9"/>
  <c r="J938" i="9"/>
  <c r="F938" i="9"/>
  <c r="B938" i="9"/>
  <c r="I937" i="9"/>
  <c r="E937" i="9"/>
  <c r="A937" i="9"/>
  <c r="H936" i="9"/>
  <c r="D936" i="9"/>
  <c r="K935" i="9"/>
  <c r="G935" i="9"/>
  <c r="C935" i="9"/>
  <c r="J934" i="9"/>
  <c r="F934" i="9"/>
  <c r="B934" i="9"/>
  <c r="I933" i="9"/>
  <c r="E933" i="9"/>
  <c r="A933" i="9"/>
  <c r="H932" i="9"/>
  <c r="D932" i="9"/>
  <c r="K931" i="9"/>
  <c r="G931" i="9"/>
  <c r="C931" i="9"/>
  <c r="J930" i="9"/>
  <c r="F930" i="9"/>
  <c r="B930" i="9"/>
  <c r="I929" i="9"/>
  <c r="E929" i="9"/>
  <c r="A929" i="9"/>
  <c r="H928" i="9"/>
  <c r="D928" i="9"/>
  <c r="K927" i="9"/>
  <c r="G927" i="9"/>
  <c r="C927" i="9"/>
  <c r="J926" i="9"/>
  <c r="F926" i="9"/>
  <c r="B926" i="9"/>
  <c r="I925" i="9"/>
  <c r="E925" i="9"/>
  <c r="A925" i="9"/>
  <c r="H924" i="9"/>
  <c r="D924" i="9"/>
  <c r="K923" i="9"/>
  <c r="G923" i="9"/>
  <c r="C923" i="9"/>
  <c r="J922" i="9"/>
  <c r="F922" i="9"/>
  <c r="B922" i="9"/>
  <c r="I921" i="9"/>
  <c r="E921" i="9"/>
  <c r="A921" i="9"/>
  <c r="H920" i="9"/>
  <c r="D920" i="9"/>
  <c r="K919" i="9"/>
  <c r="G919" i="9"/>
  <c r="C919" i="9"/>
  <c r="J918" i="9"/>
  <c r="F918" i="9"/>
  <c r="B918" i="9"/>
  <c r="I917" i="9"/>
  <c r="E917" i="9"/>
  <c r="A917" i="9"/>
  <c r="H916" i="9"/>
  <c r="D916" i="9"/>
  <c r="K915" i="9"/>
  <c r="G915" i="9"/>
  <c r="C915" i="9"/>
  <c r="J914" i="9"/>
  <c r="F914" i="9"/>
  <c r="B914" i="9"/>
  <c r="I913" i="9"/>
  <c r="E913" i="9"/>
  <c r="A913" i="9"/>
  <c r="H912" i="9"/>
  <c r="D912" i="9"/>
  <c r="K911" i="9"/>
  <c r="G911" i="9"/>
  <c r="C911" i="9"/>
  <c r="J910" i="9"/>
  <c r="F910" i="9"/>
  <c r="B910" i="9"/>
  <c r="I909" i="9"/>
  <c r="E909" i="9"/>
  <c r="A909" i="9"/>
  <c r="H908" i="9"/>
  <c r="H1321" i="9"/>
  <c r="I1296" i="9"/>
  <c r="F1278" i="9"/>
  <c r="J1266" i="9"/>
  <c r="I1257" i="9"/>
  <c r="K1251" i="9"/>
  <c r="K1245" i="9"/>
  <c r="B1240" i="9"/>
  <c r="D1234" i="9"/>
  <c r="F1228" i="9"/>
  <c r="H1222" i="9"/>
  <c r="J1216" i="9"/>
  <c r="A1211" i="9"/>
  <c r="C1205" i="9"/>
  <c r="D1199" i="9"/>
  <c r="F1193" i="9"/>
  <c r="K1188" i="9"/>
  <c r="A1186" i="9"/>
  <c r="B1183" i="9"/>
  <c r="C1180" i="9"/>
  <c r="D1177" i="9"/>
  <c r="E1174" i="9"/>
  <c r="F1171" i="9"/>
  <c r="G1168" i="9"/>
  <c r="H1165" i="9"/>
  <c r="I1162" i="9"/>
  <c r="J1159" i="9"/>
  <c r="K1156" i="9"/>
  <c r="A1154" i="9"/>
  <c r="B1151" i="9"/>
  <c r="C1148" i="9"/>
  <c r="D1145" i="9"/>
  <c r="B1143" i="9"/>
  <c r="H1141" i="9"/>
  <c r="C1140" i="9"/>
  <c r="I1138" i="9"/>
  <c r="D1137" i="9"/>
  <c r="J1135" i="9"/>
  <c r="E1134" i="9"/>
  <c r="K1132" i="9"/>
  <c r="F1131" i="9"/>
  <c r="A1130" i="9"/>
  <c r="G1128" i="9"/>
  <c r="B1127" i="9"/>
  <c r="H1125" i="9"/>
  <c r="C1124" i="9"/>
  <c r="I1122" i="9"/>
  <c r="D1121" i="9"/>
  <c r="J1119" i="9"/>
  <c r="E1118" i="9"/>
  <c r="K1116" i="9"/>
  <c r="F1115" i="9"/>
  <c r="A1114" i="9"/>
  <c r="G1112" i="9"/>
  <c r="B1111" i="9"/>
  <c r="H1109" i="9"/>
  <c r="C1108" i="9"/>
  <c r="I1106" i="9"/>
  <c r="D1105" i="9"/>
  <c r="J1103" i="9"/>
  <c r="D1102" i="9"/>
  <c r="H1100" i="9"/>
  <c r="C1099" i="9"/>
  <c r="I1097" i="9"/>
  <c r="D1096" i="9"/>
  <c r="J1094" i="9"/>
  <c r="D1093" i="9"/>
  <c r="J1091" i="9"/>
  <c r="C1090" i="9"/>
  <c r="H1088" i="9"/>
  <c r="C1087" i="9"/>
  <c r="H1085" i="9"/>
  <c r="C1084" i="9"/>
  <c r="I1082" i="9"/>
  <c r="D1081" i="9"/>
  <c r="J1079" i="9"/>
  <c r="E1078" i="9"/>
  <c r="K1076" i="9"/>
  <c r="E1075" i="9"/>
  <c r="K1073" i="9"/>
  <c r="F1072" i="9"/>
  <c r="A1071" i="9"/>
  <c r="G1069" i="9"/>
  <c r="A1068" i="9"/>
  <c r="G1066" i="9"/>
  <c r="B1065" i="9"/>
  <c r="G1063" i="9"/>
  <c r="B1062" i="9"/>
  <c r="F1060" i="9"/>
  <c r="K1058" i="9"/>
  <c r="D1057" i="9"/>
  <c r="J1055" i="9"/>
  <c r="E1054" i="9"/>
  <c r="K1052" i="9"/>
  <c r="E1051" i="9"/>
  <c r="K1049" i="9"/>
  <c r="E1048" i="9"/>
  <c r="J1046" i="9"/>
  <c r="E1045" i="9"/>
  <c r="K1043" i="9"/>
  <c r="F1042" i="9"/>
  <c r="A1041" i="9"/>
  <c r="F1039" i="9"/>
  <c r="A1038" i="9"/>
  <c r="F1036" i="9"/>
  <c r="A1035" i="9"/>
  <c r="F1033" i="9"/>
  <c r="A1032" i="9"/>
  <c r="E1030" i="9"/>
  <c r="K1028" i="9"/>
  <c r="F1027" i="9"/>
  <c r="A1026" i="9"/>
  <c r="F1024" i="9"/>
  <c r="K1022" i="9"/>
  <c r="D1021" i="9"/>
  <c r="J1019" i="9"/>
  <c r="C1018" i="9"/>
  <c r="H1016" i="9"/>
  <c r="B1015" i="9"/>
  <c r="H1013" i="9"/>
  <c r="C1012" i="9"/>
  <c r="I1010" i="9"/>
  <c r="D1009" i="9"/>
  <c r="J1007" i="9"/>
  <c r="E1006" i="9"/>
  <c r="K1004" i="9"/>
  <c r="F1003" i="9"/>
  <c r="A1002" i="9"/>
  <c r="K1000" i="9"/>
  <c r="C1000" i="9"/>
  <c r="F999" i="9"/>
  <c r="I998" i="9"/>
  <c r="A998" i="9"/>
  <c r="D997" i="9"/>
  <c r="G996" i="9"/>
  <c r="J995" i="9"/>
  <c r="B995" i="9"/>
  <c r="E994" i="9"/>
  <c r="H993" i="9"/>
  <c r="K992" i="9"/>
  <c r="C992" i="9"/>
  <c r="F991" i="9"/>
  <c r="I990" i="9"/>
  <c r="A990" i="9"/>
  <c r="D989" i="9"/>
  <c r="G988" i="9"/>
  <c r="J987" i="9"/>
  <c r="B987" i="9"/>
  <c r="E986" i="9"/>
  <c r="H985" i="9"/>
  <c r="K984" i="9"/>
  <c r="C984" i="9"/>
  <c r="F983" i="9"/>
  <c r="I982" i="9"/>
  <c r="A982" i="9"/>
  <c r="D981" i="9"/>
  <c r="G980" i="9"/>
  <c r="J979" i="9"/>
  <c r="B979" i="9"/>
  <c r="E978" i="9"/>
  <c r="H977" i="9"/>
  <c r="K976" i="9"/>
  <c r="C976" i="9"/>
  <c r="F975" i="9"/>
  <c r="I974" i="9"/>
  <c r="A974" i="9"/>
  <c r="D973" i="9"/>
  <c r="G972" i="9"/>
  <c r="J971" i="9"/>
  <c r="B971" i="9"/>
  <c r="E970" i="9"/>
  <c r="H969" i="9"/>
  <c r="K968" i="9"/>
  <c r="C968" i="9"/>
  <c r="F967" i="9"/>
  <c r="I966" i="9"/>
  <c r="A966" i="9"/>
  <c r="D965" i="9"/>
  <c r="G964" i="9"/>
  <c r="J963" i="9"/>
  <c r="B963" i="9"/>
  <c r="E962" i="9"/>
  <c r="H961" i="9"/>
  <c r="K960" i="9"/>
  <c r="C960" i="9"/>
  <c r="F959" i="9"/>
  <c r="I958" i="9"/>
  <c r="A958" i="9"/>
  <c r="D957" i="9"/>
  <c r="G956" i="9"/>
  <c r="J955" i="9"/>
  <c r="B955" i="9"/>
  <c r="E954" i="9"/>
  <c r="H953" i="9"/>
  <c r="K952" i="9"/>
  <c r="C952" i="9"/>
  <c r="F951" i="9"/>
  <c r="I950" i="9"/>
  <c r="A950" i="9"/>
  <c r="D949" i="9"/>
  <c r="G948" i="9"/>
  <c r="J947" i="9"/>
  <c r="B947" i="9"/>
  <c r="E946" i="9"/>
  <c r="H945" i="9"/>
  <c r="K944" i="9"/>
  <c r="C944" i="9"/>
  <c r="F943" i="9"/>
  <c r="I942" i="9"/>
  <c r="A942" i="9"/>
  <c r="D941" i="9"/>
  <c r="G940" i="9"/>
  <c r="J939" i="9"/>
  <c r="B939" i="9"/>
  <c r="E938" i="9"/>
  <c r="H937" i="9"/>
  <c r="K936" i="9"/>
  <c r="C936" i="9"/>
  <c r="F935" i="9"/>
  <c r="I934" i="9"/>
  <c r="A934" i="9"/>
  <c r="D933" i="9"/>
  <c r="G932" i="9"/>
  <c r="J931" i="9"/>
  <c r="B931" i="9"/>
  <c r="E930" i="9"/>
  <c r="H929" i="9"/>
  <c r="K928" i="9"/>
  <c r="C928" i="9"/>
  <c r="F927" i="9"/>
  <c r="I926" i="9"/>
  <c r="A926" i="9"/>
  <c r="D925" i="9"/>
  <c r="G924" i="9"/>
  <c r="J923" i="9"/>
  <c r="B923" i="9"/>
  <c r="E922" i="9"/>
  <c r="H921" i="9"/>
  <c r="K920" i="9"/>
  <c r="C920" i="9"/>
  <c r="F919" i="9"/>
  <c r="I918" i="9"/>
  <c r="A918" i="9"/>
  <c r="D917" i="9"/>
  <c r="G916" i="9"/>
  <c r="J915" i="9"/>
  <c r="B915" i="9"/>
  <c r="E914" i="9"/>
  <c r="H913" i="9"/>
  <c r="K912" i="9"/>
  <c r="C912" i="9"/>
  <c r="F911" i="9"/>
  <c r="I910" i="9"/>
  <c r="A910" i="9"/>
  <c r="D909" i="9"/>
  <c r="G908" i="9"/>
  <c r="B908" i="9"/>
  <c r="I907" i="9"/>
  <c r="E907" i="9"/>
  <c r="A907" i="9"/>
  <c r="H906" i="9"/>
  <c r="D906" i="9"/>
  <c r="K905" i="9"/>
  <c r="G905" i="9"/>
  <c r="C905" i="9"/>
  <c r="J904" i="9"/>
  <c r="F904" i="9"/>
  <c r="B904" i="9"/>
  <c r="I903" i="9"/>
  <c r="E903" i="9"/>
  <c r="A903" i="9"/>
  <c r="G902" i="9"/>
  <c r="C902" i="9"/>
  <c r="J901" i="9"/>
  <c r="E901" i="9"/>
  <c r="A901" i="9"/>
  <c r="H900" i="9"/>
  <c r="D900" i="9"/>
  <c r="K899" i="9"/>
  <c r="G899" i="9"/>
  <c r="C899" i="9"/>
  <c r="J898" i="9"/>
  <c r="F898" i="9"/>
  <c r="B898" i="9"/>
  <c r="H897" i="9"/>
  <c r="D897" i="9"/>
  <c r="K896" i="9"/>
  <c r="G896" i="9"/>
  <c r="C896" i="9"/>
  <c r="J895" i="9"/>
  <c r="F895" i="9"/>
  <c r="B895" i="9"/>
  <c r="I894" i="9"/>
  <c r="E894" i="9"/>
  <c r="A894" i="9"/>
  <c r="H893" i="9"/>
  <c r="D893" i="9"/>
  <c r="K892" i="9"/>
  <c r="G892" i="9"/>
  <c r="C892" i="9"/>
  <c r="J891" i="9"/>
  <c r="F891" i="9"/>
  <c r="B891" i="9"/>
  <c r="I890" i="9"/>
  <c r="E890" i="9"/>
  <c r="A890" i="9"/>
  <c r="H889" i="9"/>
  <c r="D889" i="9"/>
  <c r="K888" i="9"/>
  <c r="G888" i="9"/>
  <c r="C888" i="9"/>
  <c r="J887" i="9"/>
  <c r="F887" i="9"/>
  <c r="B887" i="9"/>
  <c r="I886" i="9"/>
  <c r="E886" i="9"/>
  <c r="A886" i="9"/>
  <c r="H885" i="9"/>
  <c r="D885" i="9"/>
  <c r="K884" i="9"/>
  <c r="F884" i="9"/>
  <c r="B884" i="9"/>
  <c r="H883" i="9"/>
  <c r="D883" i="9"/>
  <c r="K882" i="9"/>
  <c r="G882" i="9"/>
  <c r="C882" i="9"/>
  <c r="J881" i="9"/>
  <c r="E881" i="9"/>
  <c r="A881" i="9"/>
  <c r="G880" i="9"/>
  <c r="C880" i="9"/>
  <c r="J879" i="9"/>
  <c r="E879" i="9"/>
  <c r="A879" i="9"/>
  <c r="G878" i="9"/>
  <c r="C878" i="9"/>
  <c r="J877" i="9"/>
  <c r="E877" i="9"/>
  <c r="A877" i="9"/>
  <c r="G876" i="9"/>
  <c r="C876" i="9"/>
  <c r="J875" i="9"/>
  <c r="E875" i="9"/>
  <c r="A875" i="9"/>
  <c r="H874" i="9"/>
  <c r="D874" i="9"/>
  <c r="K873" i="9"/>
  <c r="G873" i="9"/>
  <c r="C873" i="9"/>
  <c r="J872" i="9"/>
  <c r="F872" i="9"/>
  <c r="B872" i="9"/>
  <c r="H871" i="9"/>
  <c r="D871" i="9"/>
  <c r="K870" i="9"/>
  <c r="G870" i="9"/>
  <c r="C870" i="9"/>
  <c r="J869" i="9"/>
  <c r="F869" i="9"/>
  <c r="B869" i="9"/>
  <c r="H868" i="9"/>
  <c r="D868" i="9"/>
  <c r="K867" i="9"/>
  <c r="G867" i="9"/>
  <c r="C867" i="9"/>
  <c r="J866" i="9"/>
  <c r="F866" i="9"/>
  <c r="B866" i="9"/>
  <c r="I865" i="9"/>
  <c r="E865" i="9"/>
  <c r="A865" i="9"/>
  <c r="G864" i="9"/>
  <c r="C864" i="9"/>
  <c r="J863" i="9"/>
  <c r="F863" i="9"/>
  <c r="B863" i="9"/>
  <c r="I862" i="9"/>
  <c r="E862" i="9"/>
  <c r="A862" i="9"/>
  <c r="G861" i="9"/>
  <c r="C861" i="9"/>
  <c r="J860" i="9"/>
  <c r="F860" i="9"/>
  <c r="B860" i="9"/>
  <c r="I859" i="9"/>
  <c r="E859" i="9"/>
  <c r="A859" i="9"/>
  <c r="H858" i="9"/>
  <c r="D858" i="9"/>
  <c r="K857" i="9"/>
  <c r="G857" i="9"/>
  <c r="C857" i="9"/>
  <c r="J856" i="9"/>
  <c r="F856" i="9"/>
  <c r="B856" i="9"/>
  <c r="I855" i="9"/>
  <c r="E855" i="9"/>
  <c r="A855" i="9"/>
  <c r="H1194" i="9"/>
  <c r="C1320" i="9"/>
  <c r="B1278" i="9"/>
  <c r="G1257" i="9"/>
  <c r="I1245" i="9"/>
  <c r="B1234" i="9"/>
  <c r="F1222" i="9"/>
  <c r="J1210" i="9"/>
  <c r="B1199" i="9"/>
  <c r="K1189" i="9"/>
  <c r="F1188" i="9"/>
  <c r="A1187" i="9"/>
  <c r="G1185" i="9"/>
  <c r="B1184" i="9"/>
  <c r="H1182" i="9"/>
  <c r="C1181" i="9"/>
  <c r="I1179" i="9"/>
  <c r="D1178" i="9"/>
  <c r="J1176" i="9"/>
  <c r="E1175" i="9"/>
  <c r="K1173" i="9"/>
  <c r="F1172" i="9"/>
  <c r="A1171" i="9"/>
  <c r="G1169" i="9"/>
  <c r="B1168" i="9"/>
  <c r="H1166" i="9"/>
  <c r="C1165" i="9"/>
  <c r="I1163" i="9"/>
  <c r="D1162" i="9"/>
  <c r="J1160" i="9"/>
  <c r="E1159" i="9"/>
  <c r="K1157" i="9"/>
  <c r="F1156" i="9"/>
  <c r="A1155" i="9"/>
  <c r="G1153" i="9"/>
  <c r="B1152" i="9"/>
  <c r="H1150" i="9"/>
  <c r="C1149" i="9"/>
  <c r="I1147" i="9"/>
  <c r="D1146" i="9"/>
  <c r="J1144" i="9"/>
  <c r="G1324" i="9"/>
  <c r="C1298" i="9"/>
  <c r="C1279" i="9"/>
  <c r="G1267" i="9"/>
  <c r="B1258" i="9"/>
  <c r="D1252" i="9"/>
  <c r="D1246" i="9"/>
  <c r="F1240" i="9"/>
  <c r="H1234" i="9"/>
  <c r="J1228" i="9"/>
  <c r="A1223" i="9"/>
  <c r="C1217" i="9"/>
  <c r="E1211" i="9"/>
  <c r="G1205" i="9"/>
  <c r="H1199" i="9"/>
  <c r="J1193" i="9"/>
  <c r="B1189" i="9"/>
  <c r="C1186" i="9"/>
  <c r="D1183" i="9"/>
  <c r="E1180" i="9"/>
  <c r="F1177" i="9"/>
  <c r="G1174" i="9"/>
  <c r="H1171" i="9"/>
  <c r="I1168" i="9"/>
  <c r="J1165" i="9"/>
  <c r="K1162" i="9"/>
  <c r="A1160" i="9"/>
  <c r="B1157" i="9"/>
  <c r="C1154" i="9"/>
  <c r="D1151" i="9"/>
  <c r="E1148" i="9"/>
  <c r="F1145" i="9"/>
  <c r="C1143" i="9"/>
  <c r="I1141" i="9"/>
  <c r="D1140" i="9"/>
  <c r="J1138" i="9"/>
  <c r="E1137" i="9"/>
  <c r="K1135" i="9"/>
  <c r="F1134" i="9"/>
  <c r="A1133" i="9"/>
  <c r="G1131" i="9"/>
  <c r="B1130" i="9"/>
  <c r="H1128" i="9"/>
  <c r="C1127" i="9"/>
  <c r="I1125" i="9"/>
  <c r="D1124" i="9"/>
  <c r="J1122" i="9"/>
  <c r="E1121" i="9"/>
  <c r="K1119" i="9"/>
  <c r="F1118" i="9"/>
  <c r="A1117" i="9"/>
  <c r="G1115" i="9"/>
  <c r="B1114" i="9"/>
  <c r="H1112" i="9"/>
  <c r="C1111" i="9"/>
  <c r="I1109" i="9"/>
  <c r="D1108" i="9"/>
  <c r="J1106" i="9"/>
  <c r="E1105" i="9"/>
  <c r="K1103" i="9"/>
  <c r="E1102" i="9"/>
  <c r="J1100" i="9"/>
  <c r="D1099" i="9"/>
  <c r="J1097" i="9"/>
  <c r="E1096" i="9"/>
  <c r="K1094" i="9"/>
  <c r="E1093" i="9"/>
  <c r="K1091" i="9"/>
  <c r="D1090" i="9"/>
  <c r="I1088" i="9"/>
  <c r="D1087" i="9"/>
  <c r="I1085" i="9"/>
  <c r="D1084" i="9"/>
  <c r="J1082" i="9"/>
  <c r="E1081" i="9"/>
  <c r="K1079" i="9"/>
  <c r="F1078" i="9"/>
  <c r="A1077" i="9"/>
  <c r="F1075" i="9"/>
  <c r="A1074" i="9"/>
  <c r="G1072" i="9"/>
  <c r="B1071" i="9"/>
  <c r="H1069" i="9"/>
  <c r="B1068" i="9"/>
  <c r="H1066" i="9"/>
  <c r="C1065" i="9"/>
  <c r="H1063" i="9"/>
  <c r="C1062" i="9"/>
  <c r="G1060" i="9"/>
  <c r="A1059" i="9"/>
  <c r="E1057" i="9"/>
  <c r="K1055" i="9"/>
  <c r="F1054" i="9"/>
  <c r="A1053" i="9"/>
  <c r="F1051" i="9"/>
  <c r="A1050" i="9"/>
  <c r="F1048" i="9"/>
  <c r="K1046" i="9"/>
  <c r="F1045" i="9"/>
  <c r="A1044" i="9"/>
  <c r="G1042" i="9"/>
  <c r="B1041" i="9"/>
  <c r="G1039" i="9"/>
  <c r="B1038" i="9"/>
  <c r="G1036" i="9"/>
  <c r="B1035" i="9"/>
  <c r="G1033" i="9"/>
  <c r="B1032" i="9"/>
  <c r="F1030" i="9"/>
  <c r="A1029" i="9"/>
  <c r="G1027" i="9"/>
  <c r="B1026" i="9"/>
  <c r="G1024" i="9"/>
  <c r="A1023" i="9"/>
  <c r="E1021" i="9"/>
  <c r="K1019" i="9"/>
  <c r="D1018" i="9"/>
  <c r="I1016" i="9"/>
  <c r="C1015" i="9"/>
  <c r="I1013" i="9"/>
  <c r="D1012" i="9"/>
  <c r="J1010" i="9"/>
  <c r="E1009" i="9"/>
  <c r="K1007" i="9"/>
  <c r="F1006" i="9"/>
  <c r="A1005" i="9"/>
  <c r="G1003" i="9"/>
  <c r="B1002" i="9"/>
  <c r="D1311" i="9"/>
  <c r="B1274" i="9"/>
  <c r="G1255" i="9"/>
  <c r="I1243" i="9"/>
  <c r="B1232" i="9"/>
  <c r="F1220" i="9"/>
  <c r="J1208" i="9"/>
  <c r="B1197" i="9"/>
  <c r="J1187" i="9"/>
  <c r="A1182" i="9"/>
  <c r="C1176" i="9"/>
  <c r="E1170" i="9"/>
  <c r="G1164" i="9"/>
  <c r="I1158" i="9"/>
  <c r="K1152" i="9"/>
  <c r="B1147" i="9"/>
  <c r="G1142" i="9"/>
  <c r="H1139" i="9"/>
  <c r="I1136" i="9"/>
  <c r="J1133" i="9"/>
  <c r="K1130" i="9"/>
  <c r="A1128" i="9"/>
  <c r="B1125" i="9"/>
  <c r="C1122" i="9"/>
  <c r="D1119" i="9"/>
  <c r="E1116" i="9"/>
  <c r="F1113" i="9"/>
  <c r="G1110" i="9"/>
  <c r="H1107" i="9"/>
  <c r="I1104" i="9"/>
  <c r="H1101" i="9"/>
  <c r="H1098" i="9"/>
  <c r="I1095" i="9"/>
  <c r="I1092" i="9"/>
  <c r="G1089" i="9"/>
  <c r="G1086" i="9"/>
  <c r="H1083" i="9"/>
  <c r="I1080" i="9"/>
  <c r="J1077" i="9"/>
  <c r="J1074" i="9"/>
  <c r="K1071" i="9"/>
  <c r="A1069" i="9"/>
  <c r="A1066" i="9"/>
  <c r="A1063" i="9"/>
  <c r="K1059" i="9"/>
  <c r="I1056" i="9"/>
  <c r="J1053" i="9"/>
  <c r="J1050" i="9"/>
  <c r="J1047" i="9"/>
  <c r="J1044" i="9"/>
  <c r="K1041" i="9"/>
  <c r="K1038" i="9"/>
  <c r="K1035" i="9"/>
  <c r="K1032" i="9"/>
  <c r="J1029" i="9"/>
  <c r="K1026" i="9"/>
  <c r="K1023" i="9"/>
  <c r="I1020" i="9"/>
  <c r="G1017" i="9"/>
  <c r="G1014" i="9"/>
  <c r="H1011" i="9"/>
  <c r="I1008" i="9"/>
  <c r="J1005" i="9"/>
  <c r="K1002" i="9"/>
  <c r="C1001" i="9"/>
  <c r="J1000" i="9"/>
  <c r="F1000" i="9"/>
  <c r="B1000" i="9"/>
  <c r="I999" i="9"/>
  <c r="E999" i="9"/>
  <c r="A999" i="9"/>
  <c r="H998" i="9"/>
  <c r="D998" i="9"/>
  <c r="K997" i="9"/>
  <c r="G997" i="9"/>
  <c r="C997" i="9"/>
  <c r="J996" i="9"/>
  <c r="F996" i="9"/>
  <c r="B996" i="9"/>
  <c r="I995" i="9"/>
  <c r="E995" i="9"/>
  <c r="A995" i="9"/>
  <c r="H994" i="9"/>
  <c r="D994" i="9"/>
  <c r="K993" i="9"/>
  <c r="G993" i="9"/>
  <c r="C993" i="9"/>
  <c r="J992" i="9"/>
  <c r="F992" i="9"/>
  <c r="B992" i="9"/>
  <c r="I991" i="9"/>
  <c r="E991" i="9"/>
  <c r="A991" i="9"/>
  <c r="H990" i="9"/>
  <c r="D990" i="9"/>
  <c r="K989" i="9"/>
  <c r="G989" i="9"/>
  <c r="C989" i="9"/>
  <c r="J988" i="9"/>
  <c r="F988" i="9"/>
  <c r="B988" i="9"/>
  <c r="I987" i="9"/>
  <c r="E987" i="9"/>
  <c r="A987" i="9"/>
  <c r="H986" i="9"/>
  <c r="D986" i="9"/>
  <c r="K985" i="9"/>
  <c r="G985" i="9"/>
  <c r="C985" i="9"/>
  <c r="J984" i="9"/>
  <c r="F984" i="9"/>
  <c r="B984" i="9"/>
  <c r="I983" i="9"/>
  <c r="E983" i="9"/>
  <c r="A983" i="9"/>
  <c r="H982" i="9"/>
  <c r="D982" i="9"/>
  <c r="K981" i="9"/>
  <c r="G981" i="9"/>
  <c r="C981" i="9"/>
  <c r="J980" i="9"/>
  <c r="F980" i="9"/>
  <c r="B980" i="9"/>
  <c r="I979" i="9"/>
  <c r="E979" i="9"/>
  <c r="A979" i="9"/>
  <c r="H978" i="9"/>
  <c r="D978" i="9"/>
  <c r="K977" i="9"/>
  <c r="G977" i="9"/>
  <c r="C977" i="9"/>
  <c r="J976" i="9"/>
  <c r="F976" i="9"/>
  <c r="B976" i="9"/>
  <c r="I975" i="9"/>
  <c r="E975" i="9"/>
  <c r="A975" i="9"/>
  <c r="H974" i="9"/>
  <c r="D974" i="9"/>
  <c r="K973" i="9"/>
  <c r="G973" i="9"/>
  <c r="C973" i="9"/>
  <c r="J972" i="9"/>
  <c r="F972" i="9"/>
  <c r="B972" i="9"/>
  <c r="I971" i="9"/>
  <c r="E971" i="9"/>
  <c r="A971" i="9"/>
  <c r="H970" i="9"/>
  <c r="D970" i="9"/>
  <c r="K969" i="9"/>
  <c r="G969" i="9"/>
  <c r="C969" i="9"/>
  <c r="J968" i="9"/>
  <c r="F968" i="9"/>
  <c r="B968" i="9"/>
  <c r="I967" i="9"/>
  <c r="E967" i="9"/>
  <c r="A967" i="9"/>
  <c r="H966" i="9"/>
  <c r="D966" i="9"/>
  <c r="K965" i="9"/>
  <c r="G965" i="9"/>
  <c r="C965" i="9"/>
  <c r="J964" i="9"/>
  <c r="F964" i="9"/>
  <c r="B964" i="9"/>
  <c r="I963" i="9"/>
  <c r="E963" i="9"/>
  <c r="A963" i="9"/>
  <c r="H962" i="9"/>
  <c r="D962" i="9"/>
  <c r="K961" i="9"/>
  <c r="G961" i="9"/>
  <c r="C961" i="9"/>
  <c r="J960" i="9"/>
  <c r="F960" i="9"/>
  <c r="B960" i="9"/>
  <c r="I959" i="9"/>
  <c r="E959" i="9"/>
  <c r="A959" i="9"/>
  <c r="H958" i="9"/>
  <c r="D958" i="9"/>
  <c r="K957" i="9"/>
  <c r="G957" i="9"/>
  <c r="C957" i="9"/>
  <c r="J956" i="9"/>
  <c r="F956" i="9"/>
  <c r="B956" i="9"/>
  <c r="I955" i="9"/>
  <c r="E955" i="9"/>
  <c r="A955" i="9"/>
  <c r="H954" i="9"/>
  <c r="D954" i="9"/>
  <c r="K953" i="9"/>
  <c r="G953" i="9"/>
  <c r="C953" i="9"/>
  <c r="J952" i="9"/>
  <c r="F952" i="9"/>
  <c r="B952" i="9"/>
  <c r="I951" i="9"/>
  <c r="E951" i="9"/>
  <c r="A951" i="9"/>
  <c r="H950" i="9"/>
  <c r="D950" i="9"/>
  <c r="K949" i="9"/>
  <c r="G949" i="9"/>
  <c r="C949" i="9"/>
  <c r="J948" i="9"/>
  <c r="F948" i="9"/>
  <c r="B948" i="9"/>
  <c r="I947" i="9"/>
  <c r="E947" i="9"/>
  <c r="A947" i="9"/>
  <c r="H946" i="9"/>
  <c r="D946" i="9"/>
  <c r="K945" i="9"/>
  <c r="G945" i="9"/>
  <c r="C945" i="9"/>
  <c r="J944" i="9"/>
  <c r="F944" i="9"/>
  <c r="B944" i="9"/>
  <c r="I943" i="9"/>
  <c r="E943" i="9"/>
  <c r="A943" i="9"/>
  <c r="H942" i="9"/>
  <c r="D942" i="9"/>
  <c r="K941" i="9"/>
  <c r="G941" i="9"/>
  <c r="C941" i="9"/>
  <c r="J940" i="9"/>
  <c r="F940" i="9"/>
  <c r="B940" i="9"/>
  <c r="I939" i="9"/>
  <c r="E939" i="9"/>
  <c r="A939" i="9"/>
  <c r="H938" i="9"/>
  <c r="D938" i="9"/>
  <c r="K937" i="9"/>
  <c r="G937" i="9"/>
  <c r="C937" i="9"/>
  <c r="J936" i="9"/>
  <c r="F936" i="9"/>
  <c r="B936" i="9"/>
  <c r="I935" i="9"/>
  <c r="E935" i="9"/>
  <c r="A935" i="9"/>
  <c r="H934" i="9"/>
  <c r="D934" i="9"/>
  <c r="K933" i="9"/>
  <c r="G933" i="9"/>
  <c r="C933" i="9"/>
  <c r="J932" i="9"/>
  <c r="F932" i="9"/>
  <c r="B932" i="9"/>
  <c r="I931" i="9"/>
  <c r="E931" i="9"/>
  <c r="A931" i="9"/>
  <c r="H930" i="9"/>
  <c r="D930" i="9"/>
  <c r="K929" i="9"/>
  <c r="G929" i="9"/>
  <c r="C929" i="9"/>
  <c r="J928" i="9"/>
  <c r="F928" i="9"/>
  <c r="B928" i="9"/>
  <c r="I927" i="9"/>
  <c r="E927" i="9"/>
  <c r="A927" i="9"/>
  <c r="H926" i="9"/>
  <c r="D926" i="9"/>
  <c r="K925" i="9"/>
  <c r="G925" i="9"/>
  <c r="C925" i="9"/>
  <c r="J924" i="9"/>
  <c r="F924" i="9"/>
  <c r="B924" i="9"/>
  <c r="I923" i="9"/>
  <c r="E923" i="9"/>
  <c r="A923" i="9"/>
  <c r="H922" i="9"/>
  <c r="D922" i="9"/>
  <c r="K921" i="9"/>
  <c r="G921" i="9"/>
  <c r="C921" i="9"/>
  <c r="J920" i="9"/>
  <c r="F920" i="9"/>
  <c r="B920" i="9"/>
  <c r="I919" i="9"/>
  <c r="E919" i="9"/>
  <c r="A919" i="9"/>
  <c r="H918" i="9"/>
  <c r="D918" i="9"/>
  <c r="K917" i="9"/>
  <c r="G917" i="9"/>
  <c r="C917" i="9"/>
  <c r="J916" i="9"/>
  <c r="F916" i="9"/>
  <c r="B916" i="9"/>
  <c r="I915" i="9"/>
  <c r="E915" i="9"/>
  <c r="A915" i="9"/>
  <c r="H914" i="9"/>
  <c r="D914" i="9"/>
  <c r="K913" i="9"/>
  <c r="G913" i="9"/>
  <c r="C913" i="9"/>
  <c r="J912" i="9"/>
  <c r="F912" i="9"/>
  <c r="B912" i="9"/>
  <c r="I911" i="9"/>
  <c r="E911" i="9"/>
  <c r="A911" i="9"/>
  <c r="H910" i="9"/>
  <c r="D910" i="9"/>
  <c r="K909" i="9"/>
  <c r="G909" i="9"/>
  <c r="C909" i="9"/>
  <c r="J908" i="9"/>
  <c r="F908" i="9"/>
  <c r="E1308" i="9"/>
  <c r="B1285" i="9"/>
  <c r="H1272" i="9"/>
  <c r="A1261" i="9"/>
  <c r="J1254" i="9"/>
  <c r="A1249" i="9"/>
  <c r="A1243" i="9"/>
  <c r="C1237" i="9"/>
  <c r="E1231" i="9"/>
  <c r="G1225" i="9"/>
  <c r="I1219" i="9"/>
  <c r="K1213" i="9"/>
  <c r="B1208" i="9"/>
  <c r="C1202" i="9"/>
  <c r="E1196" i="9"/>
  <c r="G1190" i="9"/>
  <c r="F1187" i="9"/>
  <c r="G1184" i="9"/>
  <c r="H1181" i="9"/>
  <c r="I1178" i="9"/>
  <c r="J1175" i="9"/>
  <c r="K1172" i="9"/>
  <c r="A1170" i="9"/>
  <c r="B1167" i="9"/>
  <c r="C1164" i="9"/>
  <c r="D1161" i="9"/>
  <c r="E1158" i="9"/>
  <c r="F1155" i="9"/>
  <c r="G1152" i="9"/>
  <c r="H1149" i="9"/>
  <c r="I1146" i="9"/>
  <c r="J1143" i="9"/>
  <c r="E1142" i="9"/>
  <c r="K1140" i="9"/>
  <c r="F1139" i="9"/>
  <c r="A1138" i="9"/>
  <c r="G1136" i="9"/>
  <c r="B1135" i="9"/>
  <c r="H1133" i="9"/>
  <c r="C1132" i="9"/>
  <c r="I1130" i="9"/>
  <c r="D1129" i="9"/>
  <c r="J1127" i="9"/>
  <c r="E1126" i="9"/>
  <c r="K1124" i="9"/>
  <c r="F1123" i="9"/>
  <c r="A1122" i="9"/>
  <c r="G1120" i="9"/>
  <c r="B1119" i="9"/>
  <c r="H1117" i="9"/>
  <c r="C1116" i="9"/>
  <c r="I1114" i="9"/>
  <c r="D1113" i="9"/>
  <c r="J1111" i="9"/>
  <c r="E1110" i="9"/>
  <c r="K1108" i="9"/>
  <c r="F1107" i="9"/>
  <c r="A1106" i="9"/>
  <c r="G1104" i="9"/>
  <c r="B1103" i="9"/>
  <c r="F1101" i="9"/>
  <c r="K1099" i="9"/>
  <c r="F1098" i="9"/>
  <c r="A1097" i="9"/>
  <c r="G1095" i="9"/>
  <c r="B1094" i="9"/>
  <c r="G1092" i="9"/>
  <c r="A1091" i="9"/>
  <c r="E1089" i="9"/>
  <c r="K1087" i="9"/>
  <c r="E1086" i="9"/>
  <c r="K1084" i="9"/>
  <c r="F1083" i="9"/>
  <c r="A1082" i="9"/>
  <c r="G1080" i="9"/>
  <c r="B1079" i="9"/>
  <c r="H1077" i="9"/>
  <c r="B1076" i="9"/>
  <c r="H1074" i="9"/>
  <c r="C1073" i="9"/>
  <c r="I1071" i="9"/>
  <c r="D1070" i="9"/>
  <c r="J1068" i="9"/>
  <c r="D1067" i="9"/>
  <c r="J1065" i="9"/>
  <c r="E1064" i="9"/>
  <c r="J1062" i="9"/>
  <c r="D1061" i="9"/>
  <c r="H1059" i="9"/>
  <c r="B1058" i="9"/>
  <c r="G1056" i="9"/>
  <c r="B1055" i="9"/>
  <c r="H1053" i="9"/>
  <c r="B1052" i="9"/>
  <c r="H1050" i="9"/>
  <c r="C1049" i="9"/>
  <c r="G1047" i="9"/>
  <c r="B1046" i="9"/>
  <c r="H1044" i="9"/>
  <c r="C1043" i="9"/>
  <c r="I1041" i="9"/>
  <c r="D1040" i="9"/>
  <c r="I1038" i="9"/>
  <c r="C1037" i="9"/>
  <c r="I1035" i="9"/>
  <c r="D1034" i="9"/>
  <c r="I1032" i="9"/>
  <c r="C1031" i="9"/>
  <c r="H1029" i="9"/>
  <c r="C1028" i="9"/>
  <c r="I1026" i="9"/>
  <c r="D1025" i="9"/>
  <c r="H1023" i="9"/>
  <c r="B1022" i="9"/>
  <c r="G1020" i="9"/>
  <c r="A1019" i="9"/>
  <c r="E1017" i="9"/>
  <c r="K1015" i="9"/>
  <c r="E1014" i="9"/>
  <c r="K1012" i="9"/>
  <c r="F1011" i="9"/>
  <c r="A1010" i="9"/>
  <c r="G1008" i="9"/>
  <c r="B1007" i="9"/>
  <c r="H1005" i="9"/>
  <c r="C1004" i="9"/>
  <c r="I1002" i="9"/>
  <c r="D1001" i="9"/>
  <c r="G1000" i="9"/>
  <c r="J999" i="9"/>
  <c r="B999" i="9"/>
  <c r="E998" i="9"/>
  <c r="H997" i="9"/>
  <c r="K996" i="9"/>
  <c r="C996" i="9"/>
  <c r="F995" i="9"/>
  <c r="I994" i="9"/>
  <c r="A994" i="9"/>
  <c r="D993" i="9"/>
  <c r="G992" i="9"/>
  <c r="J991" i="9"/>
  <c r="B991" i="9"/>
  <c r="E990" i="9"/>
  <c r="H989" i="9"/>
  <c r="K988" i="9"/>
  <c r="C988" i="9"/>
  <c r="F987" i="9"/>
  <c r="I986" i="9"/>
  <c r="A986" i="9"/>
  <c r="D985" i="9"/>
  <c r="G984" i="9"/>
  <c r="J983" i="9"/>
  <c r="B983" i="9"/>
  <c r="E982" i="9"/>
  <c r="H981" i="9"/>
  <c r="K980" i="9"/>
  <c r="C980" i="9"/>
  <c r="F979" i="9"/>
  <c r="I978" i="9"/>
  <c r="A978" i="9"/>
  <c r="D977" i="9"/>
  <c r="G976" i="9"/>
  <c r="J975" i="9"/>
  <c r="B975" i="9"/>
  <c r="E974" i="9"/>
  <c r="H973" i="9"/>
  <c r="K972" i="9"/>
  <c r="C972" i="9"/>
  <c r="F971" i="9"/>
  <c r="I970" i="9"/>
  <c r="A970" i="9"/>
  <c r="D969" i="9"/>
  <c r="G968" i="9"/>
  <c r="J967" i="9"/>
  <c r="B967" i="9"/>
  <c r="E966" i="9"/>
  <c r="H965" i="9"/>
  <c r="K964" i="9"/>
  <c r="C964" i="9"/>
  <c r="F963" i="9"/>
  <c r="I962" i="9"/>
  <c r="A962" i="9"/>
  <c r="D961" i="9"/>
  <c r="G960" i="9"/>
  <c r="J959" i="9"/>
  <c r="B959" i="9"/>
  <c r="E958" i="9"/>
  <c r="H957" i="9"/>
  <c r="K956" i="9"/>
  <c r="C956" i="9"/>
  <c r="F955" i="9"/>
  <c r="I954" i="9"/>
  <c r="A954" i="9"/>
  <c r="D953" i="9"/>
  <c r="G952" i="9"/>
  <c r="J951" i="9"/>
  <c r="B951" i="9"/>
  <c r="E950" i="9"/>
  <c r="H949" i="9"/>
  <c r="K948" i="9"/>
  <c r="C948" i="9"/>
  <c r="F947" i="9"/>
  <c r="I946" i="9"/>
  <c r="A946" i="9"/>
  <c r="D945" i="9"/>
  <c r="G944" i="9"/>
  <c r="J943" i="9"/>
  <c r="B943" i="9"/>
  <c r="E942" i="9"/>
  <c r="H941" i="9"/>
  <c r="K940" i="9"/>
  <c r="C940" i="9"/>
  <c r="F939" i="9"/>
  <c r="I938" i="9"/>
  <c r="A938" i="9"/>
  <c r="D937" i="9"/>
  <c r="G936" i="9"/>
  <c r="J935" i="9"/>
  <c r="B935" i="9"/>
  <c r="E934" i="9"/>
  <c r="H933" i="9"/>
  <c r="K932" i="9"/>
  <c r="C932" i="9"/>
  <c r="F931" i="9"/>
  <c r="I930" i="9"/>
  <c r="A930" i="9"/>
  <c r="D929" i="9"/>
  <c r="G928" i="9"/>
  <c r="J927" i="9"/>
  <c r="B927" i="9"/>
  <c r="E926" i="9"/>
  <c r="H925" i="9"/>
  <c r="K924" i="9"/>
  <c r="C924" i="9"/>
  <c r="F923" i="9"/>
  <c r="I922" i="9"/>
  <c r="A922" i="9"/>
  <c r="D921" i="9"/>
  <c r="G920" i="9"/>
  <c r="J919" i="9"/>
  <c r="B919" i="9"/>
  <c r="E918" i="9"/>
  <c r="H917" i="9"/>
  <c r="K916" i="9"/>
  <c r="C916" i="9"/>
  <c r="F915" i="9"/>
  <c r="I914" i="9"/>
  <c r="A914" i="9"/>
  <c r="D913" i="9"/>
  <c r="G912" i="9"/>
  <c r="J911" i="9"/>
  <c r="B911" i="9"/>
  <c r="E910" i="9"/>
  <c r="H909" i="9"/>
  <c r="K908" i="9"/>
  <c r="D908" i="9"/>
  <c r="K907" i="9"/>
  <c r="G907" i="9"/>
  <c r="C907" i="9"/>
  <c r="J906" i="9"/>
  <c r="F906" i="9"/>
  <c r="B906" i="9"/>
  <c r="I905" i="9"/>
  <c r="E905" i="9"/>
  <c r="A905" i="9"/>
  <c r="H904" i="9"/>
  <c r="D904" i="9"/>
  <c r="K903" i="9"/>
  <c r="G903" i="9"/>
  <c r="C903" i="9"/>
  <c r="J902" i="9"/>
  <c r="E902" i="9"/>
  <c r="A902" i="9"/>
  <c r="G901" i="9"/>
  <c r="C901" i="9"/>
  <c r="J900" i="9"/>
  <c r="F900" i="9"/>
  <c r="B900" i="9"/>
  <c r="I899" i="9"/>
  <c r="E899" i="9"/>
  <c r="A899" i="9"/>
  <c r="H898" i="9"/>
  <c r="D898" i="9"/>
  <c r="K897" i="9"/>
  <c r="F897" i="9"/>
  <c r="B897" i="9"/>
  <c r="I896" i="9"/>
  <c r="E896" i="9"/>
  <c r="A896" i="9"/>
  <c r="H895" i="9"/>
  <c r="D895" i="9"/>
  <c r="K894" i="9"/>
  <c r="G894" i="9"/>
  <c r="C894" i="9"/>
  <c r="J893" i="9"/>
  <c r="F893" i="9"/>
  <c r="B893" i="9"/>
  <c r="I892" i="9"/>
  <c r="E892" i="9"/>
  <c r="A892" i="9"/>
  <c r="H891" i="9"/>
  <c r="D891" i="9"/>
  <c r="K890" i="9"/>
  <c r="G890" i="9"/>
  <c r="C890" i="9"/>
  <c r="J889" i="9"/>
  <c r="F889" i="9"/>
  <c r="B889" i="9"/>
  <c r="I888" i="9"/>
  <c r="E888" i="9"/>
  <c r="A888" i="9"/>
  <c r="H887" i="9"/>
  <c r="D887" i="9"/>
  <c r="K886" i="9"/>
  <c r="G886" i="9"/>
  <c r="C886" i="9"/>
  <c r="J885" i="9"/>
  <c r="F885" i="9"/>
  <c r="B885" i="9"/>
  <c r="H884" i="9"/>
  <c r="D884" i="9"/>
  <c r="K883" i="9"/>
  <c r="F883" i="9"/>
  <c r="B883" i="9"/>
  <c r="I882" i="9"/>
  <c r="E882" i="9"/>
  <c r="A882" i="9"/>
  <c r="G881" i="9"/>
  <c r="C881" i="9"/>
  <c r="J880" i="9"/>
  <c r="E880" i="9"/>
  <c r="A880" i="9"/>
  <c r="G879" i="9"/>
  <c r="C879" i="9"/>
  <c r="J878" i="9"/>
  <c r="E878" i="9"/>
  <c r="A878" i="9"/>
  <c r="G877" i="9"/>
  <c r="C877" i="9"/>
  <c r="J876" i="9"/>
  <c r="E876" i="9"/>
  <c r="A876" i="9"/>
  <c r="G875" i="9"/>
  <c r="C875" i="9"/>
  <c r="J874" i="9"/>
  <c r="F874" i="9"/>
  <c r="B874" i="9"/>
  <c r="I873" i="9"/>
  <c r="E873" i="9"/>
  <c r="A873" i="9"/>
  <c r="H872" i="9"/>
  <c r="D872" i="9"/>
  <c r="K871" i="9"/>
  <c r="F871" i="9"/>
  <c r="B871" i="9"/>
  <c r="I870" i="9"/>
  <c r="E870" i="9"/>
  <c r="A870" i="9"/>
  <c r="H869" i="9"/>
  <c r="D869" i="9"/>
  <c r="K868" i="9"/>
  <c r="F868" i="9"/>
  <c r="B868" i="9"/>
  <c r="I867" i="9"/>
  <c r="E867" i="9"/>
  <c r="A867" i="9"/>
  <c r="H866" i="9"/>
  <c r="D866" i="9"/>
  <c r="K865" i="9"/>
  <c r="G865" i="9"/>
  <c r="C865" i="9"/>
  <c r="J864" i="9"/>
  <c r="E864" i="9"/>
  <c r="A864" i="9"/>
  <c r="H863" i="9"/>
  <c r="D863" i="9"/>
  <c r="K862" i="9"/>
  <c r="G862" i="9"/>
  <c r="C862" i="9"/>
  <c r="J861" i="9"/>
  <c r="E861" i="9"/>
  <c r="A861" i="9"/>
  <c r="H860" i="9"/>
  <c r="D860" i="9"/>
  <c r="K859" i="9"/>
  <c r="G859" i="9"/>
  <c r="C859" i="9"/>
  <c r="J858" i="9"/>
  <c r="F858" i="9"/>
  <c r="B858" i="9"/>
  <c r="I857" i="9"/>
  <c r="E857" i="9"/>
  <c r="A857" i="9"/>
  <c r="H856" i="9"/>
  <c r="D856" i="9"/>
  <c r="K855" i="9"/>
  <c r="G855" i="9"/>
  <c r="C855" i="9"/>
  <c r="J854" i="9"/>
  <c r="F854" i="9"/>
  <c r="B854" i="9"/>
  <c r="I853" i="9"/>
  <c r="E853" i="9"/>
  <c r="A853" i="9"/>
  <c r="H852" i="9"/>
  <c r="D852" i="9"/>
  <c r="K851" i="9"/>
  <c r="G851" i="9"/>
  <c r="C851" i="9"/>
  <c r="J850" i="9"/>
  <c r="E850" i="9"/>
  <c r="A850" i="9"/>
  <c r="H849" i="9"/>
  <c r="D849" i="9"/>
  <c r="K848" i="9"/>
  <c r="G848" i="9"/>
  <c r="C848" i="9"/>
  <c r="J847" i="9"/>
  <c r="E847" i="9"/>
  <c r="A847" i="9"/>
  <c r="H846" i="9"/>
  <c r="D846" i="9"/>
  <c r="K845" i="9"/>
  <c r="F845" i="9"/>
  <c r="B845" i="9"/>
  <c r="I844" i="9"/>
  <c r="E844" i="9"/>
  <c r="A844" i="9"/>
  <c r="H843" i="9"/>
  <c r="D843" i="9"/>
  <c r="K842" i="9"/>
  <c r="G842" i="9"/>
  <c r="C842" i="9"/>
  <c r="J841" i="9"/>
  <c r="E841" i="9"/>
  <c r="A841" i="9"/>
  <c r="H840" i="9"/>
  <c r="D840" i="9"/>
  <c r="K839" i="9"/>
  <c r="G839" i="9"/>
  <c r="C839" i="9"/>
  <c r="J838" i="9"/>
  <c r="F838" i="9"/>
  <c r="B838" i="9"/>
  <c r="I837" i="9"/>
  <c r="E837" i="9"/>
  <c r="A837" i="9"/>
  <c r="H836" i="9"/>
  <c r="D836" i="9"/>
  <c r="K835" i="9"/>
  <c r="G835" i="9"/>
  <c r="C835" i="9"/>
  <c r="J834" i="9"/>
  <c r="F834" i="9"/>
  <c r="B834" i="9"/>
  <c r="I833" i="9"/>
  <c r="E833" i="9"/>
  <c r="A833" i="9"/>
  <c r="H832" i="9"/>
  <c r="D832" i="9"/>
  <c r="K831" i="9"/>
  <c r="G831" i="9"/>
  <c r="C831" i="9"/>
  <c r="J830" i="9"/>
  <c r="F830" i="9"/>
  <c r="B830" i="9"/>
  <c r="I829" i="9"/>
  <c r="E829" i="9"/>
  <c r="A829" i="9"/>
  <c r="H828" i="9"/>
  <c r="D828" i="9"/>
  <c r="K827" i="9"/>
  <c r="G827" i="9"/>
  <c r="C827" i="9"/>
  <c r="J826" i="9"/>
  <c r="F826" i="9"/>
  <c r="B826" i="9"/>
  <c r="I825" i="9"/>
  <c r="E825" i="9"/>
  <c r="A825" i="9"/>
  <c r="H824" i="9"/>
  <c r="D824" i="9"/>
  <c r="K823" i="9"/>
  <c r="G823" i="9"/>
  <c r="C823" i="9"/>
  <c r="J822" i="9"/>
  <c r="F822" i="9"/>
  <c r="B822" i="9"/>
  <c r="I821" i="9"/>
  <c r="E821" i="9"/>
  <c r="A821" i="9"/>
  <c r="H820" i="9"/>
  <c r="D820" i="9"/>
  <c r="K819" i="9"/>
  <c r="G819" i="9"/>
  <c r="C819" i="9"/>
  <c r="J818" i="9"/>
  <c r="F818" i="9"/>
  <c r="B818" i="9"/>
  <c r="I817" i="9"/>
  <c r="E817" i="9"/>
  <c r="A817" i="9"/>
  <c r="G816" i="9"/>
  <c r="C816" i="9"/>
  <c r="J815" i="9"/>
  <c r="F815" i="9"/>
  <c r="B815" i="9"/>
  <c r="I814" i="9"/>
  <c r="E814" i="9"/>
  <c r="A814" i="9"/>
  <c r="H813" i="9"/>
  <c r="D813" i="9"/>
  <c r="K812" i="9"/>
  <c r="G812" i="9"/>
  <c r="C812" i="9"/>
  <c r="J811" i="9"/>
  <c r="F811" i="9"/>
  <c r="B811" i="9"/>
  <c r="I810" i="9"/>
  <c r="E810" i="9"/>
  <c r="A810" i="9"/>
  <c r="H809" i="9"/>
  <c r="D809" i="9"/>
  <c r="K808" i="9"/>
  <c r="G808" i="9"/>
  <c r="C808" i="9"/>
  <c r="J807" i="9"/>
  <c r="F807" i="9"/>
  <c r="B807" i="9"/>
  <c r="I806" i="9"/>
  <c r="E806" i="9"/>
  <c r="A806" i="9"/>
  <c r="H805" i="9"/>
  <c r="D805" i="9"/>
  <c r="H854" i="9"/>
  <c r="K853" i="9"/>
  <c r="C853" i="9"/>
  <c r="F852" i="9"/>
  <c r="I851" i="9"/>
  <c r="A851" i="9"/>
  <c r="C850" i="9"/>
  <c r="F849" i="9"/>
  <c r="I848" i="9"/>
  <c r="A848" i="9"/>
  <c r="C847" i="9"/>
  <c r="F846" i="9"/>
  <c r="H845" i="9"/>
  <c r="K844" i="9"/>
  <c r="C844" i="9"/>
  <c r="F843" i="9"/>
  <c r="I842" i="9"/>
  <c r="A842" i="9"/>
  <c r="C841" i="9"/>
  <c r="F840" i="9"/>
  <c r="I839" i="9"/>
  <c r="A839" i="9"/>
  <c r="D838" i="9"/>
  <c r="G837" i="9"/>
  <c r="J836" i="9"/>
  <c r="B836" i="9"/>
  <c r="E835" i="9"/>
  <c r="H834" i="9"/>
  <c r="K833" i="9"/>
  <c r="C833" i="9"/>
  <c r="F832" i="9"/>
  <c r="I831" i="9"/>
  <c r="A831" i="9"/>
  <c r="D830" i="9"/>
  <c r="G829" i="9"/>
  <c r="J828" i="9"/>
  <c r="B828" i="9"/>
  <c r="E827" i="9"/>
  <c r="H826" i="9"/>
  <c r="K825" i="9"/>
  <c r="C825" i="9"/>
  <c r="F824" i="9"/>
  <c r="I823" i="9"/>
  <c r="A823" i="9"/>
  <c r="D822" i="9"/>
  <c r="G821" i="9"/>
  <c r="J820" i="9"/>
  <c r="B820" i="9"/>
  <c r="E819" i="9"/>
  <c r="H818" i="9"/>
  <c r="K817" i="9"/>
  <c r="C817" i="9"/>
  <c r="E816" i="9"/>
  <c r="H815" i="9"/>
  <c r="K814" i="9"/>
  <c r="C814" i="9"/>
  <c r="F813" i="9"/>
  <c r="I812" i="9"/>
  <c r="A812" i="9"/>
  <c r="D811" i="9"/>
  <c r="G810" i="9"/>
  <c r="J809" i="9"/>
  <c r="B809" i="9"/>
  <c r="E808" i="9"/>
  <c r="H807" i="9"/>
  <c r="K806" i="9"/>
  <c r="C806" i="9"/>
  <c r="F805" i="9"/>
  <c r="K804" i="9"/>
  <c r="G804" i="9"/>
  <c r="C804" i="9"/>
  <c r="J803" i="9"/>
  <c r="F803" i="9"/>
  <c r="B803" i="9"/>
  <c r="I802" i="9"/>
  <c r="E802" i="9"/>
  <c r="A802" i="9"/>
  <c r="H801" i="9"/>
  <c r="D801" i="9"/>
  <c r="K800" i="9"/>
  <c r="G800" i="9"/>
  <c r="C800" i="9"/>
  <c r="J799" i="9"/>
  <c r="F799" i="9"/>
  <c r="B799" i="9"/>
  <c r="I798" i="9"/>
  <c r="E798" i="9"/>
  <c r="A798" i="9"/>
  <c r="H797" i="9"/>
  <c r="D797" i="9"/>
  <c r="K796" i="9"/>
  <c r="G796" i="9"/>
  <c r="C796" i="9"/>
  <c r="J795" i="9"/>
  <c r="F795" i="9"/>
  <c r="B795" i="9"/>
  <c r="I794" i="9"/>
  <c r="E794" i="9"/>
  <c r="A794" i="9"/>
  <c r="H793" i="9"/>
  <c r="D793" i="9"/>
  <c r="K792" i="9"/>
  <c r="G792" i="9"/>
  <c r="C792" i="9"/>
  <c r="J791" i="9"/>
  <c r="F791" i="9"/>
  <c r="B791" i="9"/>
  <c r="I790" i="9"/>
  <c r="E790" i="9"/>
  <c r="A790" i="9"/>
  <c r="H789" i="9"/>
  <c r="D789" i="9"/>
  <c r="K788" i="9"/>
  <c r="G788" i="9"/>
  <c r="C788" i="9"/>
  <c r="J787" i="9"/>
  <c r="F787" i="9"/>
  <c r="B787" i="9"/>
  <c r="I786" i="9"/>
  <c r="E786" i="9"/>
  <c r="A786" i="9"/>
  <c r="H785" i="9"/>
  <c r="D785" i="9"/>
  <c r="K784" i="9"/>
  <c r="G784" i="9"/>
  <c r="C784" i="9"/>
  <c r="J783" i="9"/>
  <c r="F783" i="9"/>
  <c r="B783" i="9"/>
  <c r="I782" i="9"/>
  <c r="E782" i="9"/>
  <c r="A782" i="9"/>
  <c r="H781" i="9"/>
  <c r="D781" i="9"/>
  <c r="K780" i="9"/>
  <c r="G780" i="9"/>
  <c r="C780" i="9"/>
  <c r="J779" i="9"/>
  <c r="F779" i="9"/>
  <c r="B779" i="9"/>
  <c r="I778" i="9"/>
  <c r="E778" i="9"/>
  <c r="A778" i="9"/>
  <c r="H777" i="9"/>
  <c r="D777" i="9"/>
  <c r="K776" i="9"/>
  <c r="G776" i="9"/>
  <c r="C776" i="9"/>
  <c r="J775" i="9"/>
  <c r="F775" i="9"/>
  <c r="B775" i="9"/>
  <c r="I774" i="9"/>
  <c r="E774" i="9"/>
  <c r="A774" i="9"/>
  <c r="H773" i="9"/>
  <c r="D773" i="9"/>
  <c r="K772" i="9"/>
  <c r="G772" i="9"/>
  <c r="C772" i="9"/>
  <c r="J771" i="9"/>
  <c r="F771" i="9"/>
  <c r="B771" i="9"/>
  <c r="I770" i="9"/>
  <c r="E770" i="9"/>
  <c r="A770" i="9"/>
  <c r="H769" i="9"/>
  <c r="D769" i="9"/>
  <c r="K768" i="9"/>
  <c r="G768" i="9"/>
  <c r="C768" i="9"/>
  <c r="J767" i="9"/>
  <c r="F767" i="9"/>
  <c r="B767" i="9"/>
  <c r="I766" i="9"/>
  <c r="E766" i="9"/>
  <c r="A766" i="9"/>
  <c r="H765" i="9"/>
  <c r="D765" i="9"/>
  <c r="K764" i="9"/>
  <c r="G764" i="9"/>
  <c r="C764" i="9"/>
  <c r="J763" i="9"/>
  <c r="F763" i="9"/>
  <c r="B763" i="9"/>
  <c r="I762" i="9"/>
  <c r="E762" i="9"/>
  <c r="A762" i="9"/>
  <c r="H761" i="9"/>
  <c r="D761" i="9"/>
  <c r="K760" i="9"/>
  <c r="G760" i="9"/>
  <c r="C760" i="9"/>
  <c r="J759" i="9"/>
  <c r="F759" i="9"/>
  <c r="B759" i="9"/>
  <c r="I758" i="9"/>
  <c r="E758" i="9"/>
  <c r="A758" i="9"/>
  <c r="H757" i="9"/>
  <c r="D757" i="9"/>
  <c r="K756" i="9"/>
  <c r="G756" i="9"/>
  <c r="C756" i="9"/>
  <c r="J755" i="9"/>
  <c r="F755" i="9"/>
  <c r="B755" i="9"/>
  <c r="I754" i="9"/>
  <c r="E754" i="9"/>
  <c r="A754" i="9"/>
  <c r="H753" i="9"/>
  <c r="D753" i="9"/>
  <c r="K752" i="9"/>
  <c r="G752" i="9"/>
  <c r="C752" i="9"/>
  <c r="J751" i="9"/>
  <c r="F751" i="9"/>
  <c r="B751" i="9"/>
  <c r="I750" i="9"/>
  <c r="E750" i="9"/>
  <c r="A750" i="9"/>
  <c r="H749" i="9"/>
  <c r="D749" i="9"/>
  <c r="K748" i="9"/>
  <c r="G748" i="9"/>
  <c r="C748" i="9"/>
  <c r="J747" i="9"/>
  <c r="F747" i="9"/>
  <c r="B747" i="9"/>
  <c r="I746" i="9"/>
  <c r="E746" i="9"/>
  <c r="A746" i="9"/>
  <c r="H745" i="9"/>
  <c r="D745" i="9"/>
  <c r="K744" i="9"/>
  <c r="G744" i="9"/>
  <c r="C744" i="9"/>
  <c r="J743" i="9"/>
  <c r="F743" i="9"/>
  <c r="B743" i="9"/>
  <c r="I742" i="9"/>
  <c r="E742" i="9"/>
  <c r="A742" i="9"/>
  <c r="H741" i="9"/>
  <c r="D741" i="9"/>
  <c r="K740" i="9"/>
  <c r="G740" i="9"/>
  <c r="C740" i="9"/>
  <c r="J739" i="9"/>
  <c r="F739" i="9"/>
  <c r="B739" i="9"/>
  <c r="I738" i="9"/>
  <c r="E738" i="9"/>
  <c r="A738" i="9"/>
  <c r="H737" i="9"/>
  <c r="D737" i="9"/>
  <c r="K736" i="9"/>
  <c r="G736" i="9"/>
  <c r="C736" i="9"/>
  <c r="J735" i="9"/>
  <c r="F735" i="9"/>
  <c r="B735" i="9"/>
  <c r="I734" i="9"/>
  <c r="E734" i="9"/>
  <c r="A734" i="9"/>
  <c r="H733" i="9"/>
  <c r="D733" i="9"/>
  <c r="K732" i="9"/>
  <c r="G732" i="9"/>
  <c r="C732" i="9"/>
  <c r="J731" i="9"/>
  <c r="F731" i="9"/>
  <c r="B731" i="9"/>
  <c r="I730" i="9"/>
  <c r="E730" i="9"/>
  <c r="A730" i="9"/>
  <c r="H729" i="9"/>
  <c r="D729" i="9"/>
  <c r="K728" i="9"/>
  <c r="G728" i="9"/>
  <c r="C728" i="9"/>
  <c r="J727" i="9"/>
  <c r="F727" i="9"/>
  <c r="B727" i="9"/>
  <c r="I726" i="9"/>
  <c r="E726" i="9"/>
  <c r="A726" i="9"/>
  <c r="H725" i="9"/>
  <c r="D725" i="9"/>
  <c r="K724" i="9"/>
  <c r="G724" i="9"/>
  <c r="C724" i="9"/>
  <c r="J723" i="9"/>
  <c r="F723" i="9"/>
  <c r="B723" i="9"/>
  <c r="I722" i="9"/>
  <c r="E722" i="9"/>
  <c r="A722" i="9"/>
  <c r="H721" i="9"/>
  <c r="D721" i="9"/>
  <c r="K720" i="9"/>
  <c r="G720" i="9"/>
  <c r="C720" i="9"/>
  <c r="J719" i="9"/>
  <c r="F719" i="9"/>
  <c r="B719" i="9"/>
  <c r="I718" i="9"/>
  <c r="E718" i="9"/>
  <c r="A718" i="9"/>
  <c r="H717" i="9"/>
  <c r="D717" i="9"/>
  <c r="K716" i="9"/>
  <c r="G716" i="9"/>
  <c r="C716" i="9"/>
  <c r="J715" i="9"/>
  <c r="F715" i="9"/>
  <c r="B715" i="9"/>
  <c r="I714" i="9"/>
  <c r="E714" i="9"/>
  <c r="A714" i="9"/>
  <c r="H713" i="9"/>
  <c r="D713" i="9"/>
  <c r="K712" i="9"/>
  <c r="G712" i="9"/>
  <c r="C712" i="9"/>
  <c r="J711" i="9"/>
  <c r="F711" i="9"/>
  <c r="B711" i="9"/>
  <c r="I710" i="9"/>
  <c r="E710" i="9"/>
  <c r="A710" i="9"/>
  <c r="H709" i="9"/>
  <c r="D709" i="9"/>
  <c r="K708" i="9"/>
  <c r="G708" i="9"/>
  <c r="C708" i="9"/>
  <c r="J707" i="9"/>
  <c r="F707" i="9"/>
  <c r="B707" i="9"/>
  <c r="I706" i="9"/>
  <c r="E706" i="9"/>
  <c r="A706" i="9"/>
  <c r="H705" i="9"/>
  <c r="D705" i="9"/>
  <c r="K704" i="9"/>
  <c r="G704" i="9"/>
  <c r="C704" i="9"/>
  <c r="J703" i="9"/>
  <c r="F703" i="9"/>
  <c r="B703" i="9"/>
  <c r="I702" i="9"/>
  <c r="E702" i="9"/>
  <c r="A702" i="9"/>
  <c r="H701" i="9"/>
  <c r="D701" i="9"/>
  <c r="K700" i="9"/>
  <c r="G700" i="9"/>
  <c r="C700" i="9"/>
  <c r="J699" i="9"/>
  <c r="F699" i="9"/>
  <c r="B699" i="9"/>
  <c r="I698" i="9"/>
  <c r="E698" i="9"/>
  <c r="A698" i="9"/>
  <c r="H697" i="9"/>
  <c r="D697" i="9"/>
  <c r="K696" i="9"/>
  <c r="G696" i="9"/>
  <c r="C696" i="9"/>
  <c r="J695" i="9"/>
  <c r="F695" i="9"/>
  <c r="B695" i="9"/>
  <c r="I694" i="9"/>
  <c r="E694" i="9"/>
  <c r="A694" i="9"/>
  <c r="H693" i="9"/>
  <c r="D693" i="9"/>
  <c r="K692" i="9"/>
  <c r="G692" i="9"/>
  <c r="C692" i="9"/>
  <c r="J691" i="9"/>
  <c r="F691" i="9"/>
  <c r="B691" i="9"/>
  <c r="I690" i="9"/>
  <c r="E690" i="9"/>
  <c r="A690" i="9"/>
  <c r="H689" i="9"/>
  <c r="D689" i="9"/>
  <c r="K688" i="9"/>
  <c r="G688" i="9"/>
  <c r="C688" i="9"/>
  <c r="J687" i="9"/>
  <c r="F687" i="9"/>
  <c r="B687" i="9"/>
  <c r="I686" i="9"/>
  <c r="E686" i="9"/>
  <c r="A686" i="9"/>
  <c r="H685" i="9"/>
  <c r="D685" i="9"/>
  <c r="K684" i="9"/>
  <c r="G684" i="9"/>
  <c r="C684" i="9"/>
  <c r="J683" i="9"/>
  <c r="F683" i="9"/>
  <c r="B683" i="9"/>
  <c r="I682" i="9"/>
  <c r="E682" i="9"/>
  <c r="A682" i="9"/>
  <c r="H681" i="9"/>
  <c r="D681" i="9"/>
  <c r="K680" i="9"/>
  <c r="G680" i="9"/>
  <c r="C680" i="9"/>
  <c r="J679" i="9"/>
  <c r="F679" i="9"/>
  <c r="B679" i="9"/>
  <c r="I678" i="9"/>
  <c r="E678" i="9"/>
  <c r="A678" i="9"/>
  <c r="H677" i="9"/>
  <c r="D677" i="9"/>
  <c r="K676" i="9"/>
  <c r="G676" i="9"/>
  <c r="C676" i="9"/>
  <c r="J675" i="9"/>
  <c r="F675" i="9"/>
  <c r="B675" i="9"/>
  <c r="I674" i="9"/>
  <c r="E674" i="9"/>
  <c r="A674" i="9"/>
  <c r="H673" i="9"/>
  <c r="D673" i="9"/>
  <c r="K672" i="9"/>
  <c r="G672" i="9"/>
  <c r="C672" i="9"/>
  <c r="J671" i="9"/>
  <c r="F671" i="9"/>
  <c r="B671" i="9"/>
  <c r="I670" i="9"/>
  <c r="E670" i="9"/>
  <c r="A670" i="9"/>
  <c r="H669" i="9"/>
  <c r="D669" i="9"/>
  <c r="K668" i="9"/>
  <c r="G668" i="9"/>
  <c r="C668" i="9"/>
  <c r="J667" i="9"/>
  <c r="F667" i="9"/>
  <c r="B667" i="9"/>
  <c r="I666" i="9"/>
  <c r="E666" i="9"/>
  <c r="A666" i="9"/>
  <c r="H665" i="9"/>
  <c r="D665" i="9"/>
  <c r="K664" i="9"/>
  <c r="G664" i="9"/>
  <c r="C664" i="9"/>
  <c r="J663" i="9"/>
  <c r="F663" i="9"/>
  <c r="B663" i="9"/>
  <c r="I662" i="9"/>
  <c r="E662" i="9"/>
  <c r="A662" i="9"/>
  <c r="H661" i="9"/>
  <c r="D661" i="9"/>
  <c r="K660" i="9"/>
  <c r="G660" i="9"/>
  <c r="C660" i="9"/>
  <c r="J659" i="9"/>
  <c r="F659" i="9"/>
  <c r="B659" i="9"/>
  <c r="I658" i="9"/>
  <c r="E658" i="9"/>
  <c r="A658" i="9"/>
  <c r="H657" i="9"/>
  <c r="D657" i="9"/>
  <c r="K656" i="9"/>
  <c r="G656" i="9"/>
  <c r="C656" i="9"/>
  <c r="J655" i="9"/>
  <c r="F655" i="9"/>
  <c r="B655" i="9"/>
  <c r="I654" i="9"/>
  <c r="E654" i="9"/>
  <c r="A654" i="9"/>
  <c r="H653" i="9"/>
  <c r="D653" i="9"/>
  <c r="K652" i="9"/>
  <c r="G652" i="9"/>
  <c r="C652" i="9"/>
  <c r="J651" i="9"/>
  <c r="F651" i="9"/>
  <c r="B651" i="9"/>
  <c r="I650" i="9"/>
  <c r="E650" i="9"/>
  <c r="A650" i="9"/>
  <c r="H649" i="9"/>
  <c r="D649" i="9"/>
  <c r="K648" i="9"/>
  <c r="G648" i="9"/>
  <c r="C648" i="9"/>
  <c r="J647" i="9"/>
  <c r="F647" i="9"/>
  <c r="B647" i="9"/>
  <c r="I646" i="9"/>
  <c r="E646" i="9"/>
  <c r="A646" i="9"/>
  <c r="H645" i="9"/>
  <c r="D645" i="9"/>
  <c r="K644" i="9"/>
  <c r="G644" i="9"/>
  <c r="C644" i="9"/>
  <c r="J643" i="9"/>
  <c r="F643" i="9"/>
  <c r="B643" i="9"/>
  <c r="I642" i="9"/>
  <c r="E642" i="9"/>
  <c r="A642" i="9"/>
  <c r="H641" i="9"/>
  <c r="D641" i="9"/>
  <c r="K640" i="9"/>
  <c r="G640" i="9"/>
  <c r="C640" i="9"/>
  <c r="J639" i="9"/>
  <c r="F639" i="9"/>
  <c r="B639" i="9"/>
  <c r="I638" i="9"/>
  <c r="E638" i="9"/>
  <c r="A638" i="9"/>
  <c r="H637" i="9"/>
  <c r="D637" i="9"/>
  <c r="K636" i="9"/>
  <c r="G636" i="9"/>
  <c r="C636" i="9"/>
  <c r="J635" i="9"/>
  <c r="F635" i="9"/>
  <c r="B635" i="9"/>
  <c r="I634" i="9"/>
  <c r="E634" i="9"/>
  <c r="A634" i="9"/>
  <c r="H633" i="9"/>
  <c r="D633" i="9"/>
  <c r="K632" i="9"/>
  <c r="G632" i="9"/>
  <c r="C632" i="9"/>
  <c r="J631" i="9"/>
  <c r="F631" i="9"/>
  <c r="B631" i="9"/>
  <c r="I630" i="9"/>
  <c r="E630" i="9"/>
  <c r="A630" i="9"/>
  <c r="H629" i="9"/>
  <c r="D629" i="9"/>
  <c r="K628" i="9"/>
  <c r="G628" i="9"/>
  <c r="C628" i="9"/>
  <c r="J627" i="9"/>
  <c r="F627" i="9"/>
  <c r="H1336" i="9"/>
  <c r="E1281" i="9"/>
  <c r="C1259" i="9"/>
  <c r="E1247" i="9"/>
  <c r="I1235" i="9"/>
  <c r="B1224" i="9"/>
  <c r="F1212" i="9"/>
  <c r="I1200" i="9"/>
  <c r="H1189" i="9"/>
  <c r="J1183" i="9"/>
  <c r="A1178" i="9"/>
  <c r="C1172" i="9"/>
  <c r="E1166" i="9"/>
  <c r="G1160" i="9"/>
  <c r="I1154" i="9"/>
  <c r="K1148" i="9"/>
  <c r="F1143" i="9"/>
  <c r="G1140" i="9"/>
  <c r="H1137" i="9"/>
  <c r="I1134" i="9"/>
  <c r="J1131" i="9"/>
  <c r="K1128" i="9"/>
  <c r="A1126" i="9"/>
  <c r="B1123" i="9"/>
  <c r="C1120" i="9"/>
  <c r="D1117" i="9"/>
  <c r="E1114" i="9"/>
  <c r="F1111" i="9"/>
  <c r="G1108" i="9"/>
  <c r="H1105" i="9"/>
  <c r="H1102" i="9"/>
  <c r="G1099" i="9"/>
  <c r="H1096" i="9"/>
  <c r="H1093" i="9"/>
  <c r="G1090" i="9"/>
  <c r="G1087" i="9"/>
  <c r="G1084" i="9"/>
  <c r="H1081" i="9"/>
  <c r="I1078" i="9"/>
  <c r="I1075" i="9"/>
  <c r="J1072" i="9"/>
  <c r="K1069" i="9"/>
  <c r="K1066" i="9"/>
  <c r="A1064" i="9"/>
  <c r="K1060" i="9"/>
  <c r="H1057" i="9"/>
  <c r="I1054" i="9"/>
  <c r="I1051" i="9"/>
  <c r="J1048" i="9"/>
  <c r="I1045" i="9"/>
  <c r="J1042" i="9"/>
  <c r="K1039" i="9"/>
  <c r="J1036" i="9"/>
  <c r="K1033" i="9"/>
  <c r="J1030" i="9"/>
  <c r="J1027" i="9"/>
  <c r="K1024" i="9"/>
  <c r="H1021" i="9"/>
  <c r="G1018" i="9"/>
  <c r="F1015" i="9"/>
  <c r="G1012" i="9"/>
  <c r="H1009" i="9"/>
  <c r="I1006" i="9"/>
  <c r="J1003" i="9"/>
  <c r="B1001" i="9"/>
  <c r="H999" i="9"/>
  <c r="C998" i="9"/>
  <c r="I996" i="9"/>
  <c r="D995" i="9"/>
  <c r="J993" i="9"/>
  <c r="E992" i="9"/>
  <c r="K990" i="9"/>
  <c r="F989" i="9"/>
  <c r="A988" i="9"/>
  <c r="G986" i="9"/>
  <c r="B985" i="9"/>
  <c r="H983" i="9"/>
  <c r="C982" i="9"/>
  <c r="I980" i="9"/>
  <c r="D979" i="9"/>
  <c r="J977" i="9"/>
  <c r="E976" i="9"/>
  <c r="K974" i="9"/>
  <c r="F973" i="9"/>
  <c r="A972" i="9"/>
  <c r="G970" i="9"/>
  <c r="B969" i="9"/>
  <c r="H967" i="9"/>
  <c r="C966" i="9"/>
  <c r="I964" i="9"/>
  <c r="D963" i="9"/>
  <c r="J961" i="9"/>
  <c r="E960" i="9"/>
  <c r="K958" i="9"/>
  <c r="F957" i="9"/>
  <c r="A956" i="9"/>
  <c r="G954" i="9"/>
  <c r="B953" i="9"/>
  <c r="H951" i="9"/>
  <c r="C950" i="9"/>
  <c r="I948" i="9"/>
  <c r="D947" i="9"/>
  <c r="J945" i="9"/>
  <c r="E944" i="9"/>
  <c r="K942" i="9"/>
  <c r="F941" i="9"/>
  <c r="A940" i="9"/>
  <c r="G938" i="9"/>
  <c r="B937" i="9"/>
  <c r="H935" i="9"/>
  <c r="C934" i="9"/>
  <c r="I932" i="9"/>
  <c r="D931" i="9"/>
  <c r="J929" i="9"/>
  <c r="E928" i="9"/>
  <c r="K926" i="9"/>
  <c r="F925" i="9"/>
  <c r="A924" i="9"/>
  <c r="G922" i="9"/>
  <c r="B921" i="9"/>
  <c r="H919" i="9"/>
  <c r="C918" i="9"/>
  <c r="I916" i="9"/>
  <c r="D915" i="9"/>
  <c r="J913" i="9"/>
  <c r="E912" i="9"/>
  <c r="K910" i="9"/>
  <c r="F909" i="9"/>
  <c r="C908" i="9"/>
  <c r="F907" i="9"/>
  <c r="I906" i="9"/>
  <c r="A906" i="9"/>
  <c r="D905" i="9"/>
  <c r="G904" i="9"/>
  <c r="J903" i="9"/>
  <c r="B903" i="9"/>
  <c r="D902" i="9"/>
  <c r="F901" i="9"/>
  <c r="I900" i="9"/>
  <c r="A900" i="9"/>
  <c r="D899" i="9"/>
  <c r="G898" i="9"/>
  <c r="J897" i="9"/>
  <c r="A897" i="9"/>
  <c r="D896" i="9"/>
  <c r="G895" i="9"/>
  <c r="J894" i="9"/>
  <c r="B894" i="9"/>
  <c r="E893" i="9"/>
  <c r="H892" i="9"/>
  <c r="K891" i="9"/>
  <c r="C891" i="9"/>
  <c r="F890" i="9"/>
  <c r="I889" i="9"/>
  <c r="A889" i="9"/>
  <c r="D888" i="9"/>
  <c r="G887" i="9"/>
  <c r="J886" i="9"/>
  <c r="B886" i="9"/>
  <c r="E885" i="9"/>
  <c r="G884" i="9"/>
  <c r="J883" i="9"/>
  <c r="A883" i="9"/>
  <c r="D882" i="9"/>
  <c r="F881" i="9"/>
  <c r="H880" i="9"/>
  <c r="K879" i="9"/>
  <c r="B879" i="9"/>
  <c r="D878" i="9"/>
  <c r="F877" i="9"/>
  <c r="H876" i="9"/>
  <c r="K875" i="9"/>
  <c r="B875" i="9"/>
  <c r="E874" i="9"/>
  <c r="H873" i="9"/>
  <c r="K872" i="9"/>
  <c r="C872" i="9"/>
  <c r="E871" i="9"/>
  <c r="H870" i="9"/>
  <c r="K869" i="9"/>
  <c r="C869" i="9"/>
  <c r="E868" i="9"/>
  <c r="H867" i="9"/>
  <c r="K866" i="9"/>
  <c r="C866" i="9"/>
  <c r="F865" i="9"/>
  <c r="H864" i="9"/>
  <c r="K863" i="9"/>
  <c r="C863" i="9"/>
  <c r="F862" i="9"/>
  <c r="H861" i="9"/>
  <c r="K860" i="9"/>
  <c r="C860" i="9"/>
  <c r="F859" i="9"/>
  <c r="I858" i="9"/>
  <c r="A858" i="9"/>
  <c r="D857" i="9"/>
  <c r="G856" i="9"/>
  <c r="J855" i="9"/>
  <c r="B855" i="9"/>
  <c r="E854" i="9"/>
  <c r="H853" i="9"/>
  <c r="K852" i="9"/>
  <c r="C852" i="9"/>
  <c r="F851" i="9"/>
  <c r="H850" i="9"/>
  <c r="K849" i="9"/>
  <c r="C849" i="9"/>
  <c r="F848" i="9"/>
  <c r="H847" i="9"/>
  <c r="K846" i="9"/>
  <c r="C846" i="9"/>
  <c r="E845" i="9"/>
  <c r="H844" i="9"/>
  <c r="K843" i="9"/>
  <c r="C843" i="9"/>
  <c r="F842" i="9"/>
  <c r="H841" i="9"/>
  <c r="K840" i="9"/>
  <c r="C840" i="9"/>
  <c r="F839" i="9"/>
  <c r="I838" i="9"/>
  <c r="A838" i="9"/>
  <c r="D837" i="9"/>
  <c r="G836" i="9"/>
  <c r="J835" i="9"/>
  <c r="B835" i="9"/>
  <c r="E834" i="9"/>
  <c r="H833" i="9"/>
  <c r="K832" i="9"/>
  <c r="C832" i="9"/>
  <c r="F831" i="9"/>
  <c r="I830" i="9"/>
  <c r="A830" i="9"/>
  <c r="D829" i="9"/>
  <c r="G828" i="9"/>
  <c r="J827" i="9"/>
  <c r="B827" i="9"/>
  <c r="E826" i="9"/>
  <c r="H825" i="9"/>
  <c r="K824" i="9"/>
  <c r="C824" i="9"/>
  <c r="F823" i="9"/>
  <c r="I822" i="9"/>
  <c r="A822" i="9"/>
  <c r="D821" i="9"/>
  <c r="G820" i="9"/>
  <c r="J819" i="9"/>
  <c r="B819" i="9"/>
  <c r="E818" i="9"/>
  <c r="H817" i="9"/>
  <c r="K816" i="9"/>
  <c r="B816" i="9"/>
  <c r="E815" i="9"/>
  <c r="H814" i="9"/>
  <c r="K813" i="9"/>
  <c r="C813" i="9"/>
  <c r="F812" i="9"/>
  <c r="I811" i="9"/>
  <c r="A811" i="9"/>
  <c r="D810" i="9"/>
  <c r="G809" i="9"/>
  <c r="J808" i="9"/>
  <c r="B808" i="9"/>
  <c r="E807" i="9"/>
  <c r="H806" i="9"/>
  <c r="K805" i="9"/>
  <c r="C805" i="9"/>
  <c r="F804" i="9"/>
  <c r="I803" i="9"/>
  <c r="A803" i="9"/>
  <c r="D802" i="9"/>
  <c r="G801" i="9"/>
  <c r="J800" i="9"/>
  <c r="B800" i="9"/>
  <c r="E799" i="9"/>
  <c r="H798" i="9"/>
  <c r="K797" i="9"/>
  <c r="C797" i="9"/>
  <c r="F796" i="9"/>
  <c r="I795" i="9"/>
  <c r="A795" i="9"/>
  <c r="D794" i="9"/>
  <c r="G793" i="9"/>
  <c r="J792" i="9"/>
  <c r="B792" i="9"/>
  <c r="E791" i="9"/>
  <c r="H790" i="9"/>
  <c r="K789" i="9"/>
  <c r="C789" i="9"/>
  <c r="F788" i="9"/>
  <c r="I787" i="9"/>
  <c r="A787" i="9"/>
  <c r="D786" i="9"/>
  <c r="G785" i="9"/>
  <c r="J784" i="9"/>
  <c r="B784" i="9"/>
  <c r="E783" i="9"/>
  <c r="H782" i="9"/>
  <c r="K781" i="9"/>
  <c r="C781" i="9"/>
  <c r="F780" i="9"/>
  <c r="I779" i="9"/>
  <c r="A779" i="9"/>
  <c r="D778" i="9"/>
  <c r="G777" i="9"/>
  <c r="J776" i="9"/>
  <c r="B776" i="9"/>
  <c r="E775" i="9"/>
  <c r="H774" i="9"/>
  <c r="K773" i="9"/>
  <c r="C773" i="9"/>
  <c r="F772" i="9"/>
  <c r="I771" i="9"/>
  <c r="A771" i="9"/>
  <c r="D770" i="9"/>
  <c r="G769" i="9"/>
  <c r="J768" i="9"/>
  <c r="B768" i="9"/>
  <c r="E767" i="9"/>
  <c r="H766" i="9"/>
  <c r="K765" i="9"/>
  <c r="C765" i="9"/>
  <c r="F764" i="9"/>
  <c r="I763" i="9"/>
  <c r="A763" i="9"/>
  <c r="D762" i="9"/>
  <c r="G761" i="9"/>
  <c r="J760" i="9"/>
  <c r="B760" i="9"/>
  <c r="E759" i="9"/>
  <c r="H758" i="9"/>
  <c r="K757" i="9"/>
  <c r="C757" i="9"/>
  <c r="F756" i="9"/>
  <c r="I755" i="9"/>
  <c r="A755" i="9"/>
  <c r="D754" i="9"/>
  <c r="G753" i="9"/>
  <c r="J752" i="9"/>
  <c r="B752" i="9"/>
  <c r="E751" i="9"/>
  <c r="H750" i="9"/>
  <c r="K749" i="9"/>
  <c r="C749" i="9"/>
  <c r="F748" i="9"/>
  <c r="I747" i="9"/>
  <c r="A747" i="9"/>
  <c r="D746" i="9"/>
  <c r="G745" i="9"/>
  <c r="J744" i="9"/>
  <c r="B744" i="9"/>
  <c r="E743" i="9"/>
  <c r="H742" i="9"/>
  <c r="K741" i="9"/>
  <c r="C741" i="9"/>
  <c r="F740" i="9"/>
  <c r="I739" i="9"/>
  <c r="A739" i="9"/>
  <c r="D738" i="9"/>
  <c r="G737" i="9"/>
  <c r="J736" i="9"/>
  <c r="B736" i="9"/>
  <c r="E735" i="9"/>
  <c r="H734" i="9"/>
  <c r="K733" i="9"/>
  <c r="C733" i="9"/>
  <c r="F732" i="9"/>
  <c r="I731" i="9"/>
  <c r="A731" i="9"/>
  <c r="D730" i="9"/>
  <c r="G729" i="9"/>
  <c r="J728" i="9"/>
  <c r="B728" i="9"/>
  <c r="E727" i="9"/>
  <c r="H726" i="9"/>
  <c r="K725" i="9"/>
  <c r="C725" i="9"/>
  <c r="F724" i="9"/>
  <c r="I723" i="9"/>
  <c r="A723" i="9"/>
  <c r="D722" i="9"/>
  <c r="G721" i="9"/>
  <c r="J720" i="9"/>
  <c r="B720" i="9"/>
  <c r="E719" i="9"/>
  <c r="H718" i="9"/>
  <c r="K717" i="9"/>
  <c r="C717" i="9"/>
  <c r="F716" i="9"/>
  <c r="I715" i="9"/>
  <c r="A715" i="9"/>
  <c r="D714" i="9"/>
  <c r="G713" i="9"/>
  <c r="J712" i="9"/>
  <c r="B712" i="9"/>
  <c r="E711" i="9"/>
  <c r="H710" i="9"/>
  <c r="K709" i="9"/>
  <c r="C709" i="9"/>
  <c r="F708" i="9"/>
  <c r="I707" i="9"/>
  <c r="A707" i="9"/>
  <c r="D706" i="9"/>
  <c r="G705" i="9"/>
  <c r="J704" i="9"/>
  <c r="B704" i="9"/>
  <c r="E703" i="9"/>
  <c r="H702" i="9"/>
  <c r="K701" i="9"/>
  <c r="C701" i="9"/>
  <c r="F700" i="9"/>
  <c r="I699" i="9"/>
  <c r="A699" i="9"/>
  <c r="D698" i="9"/>
  <c r="G697" i="9"/>
  <c r="J696" i="9"/>
  <c r="B696" i="9"/>
  <c r="E695" i="9"/>
  <c r="H694" i="9"/>
  <c r="K693" i="9"/>
  <c r="C693" i="9"/>
  <c r="F692" i="9"/>
  <c r="I691" i="9"/>
  <c r="A691" i="9"/>
  <c r="D690" i="9"/>
  <c r="G689" i="9"/>
  <c r="J688" i="9"/>
  <c r="B688" i="9"/>
  <c r="E687" i="9"/>
  <c r="H686" i="9"/>
  <c r="K685" i="9"/>
  <c r="C685" i="9"/>
  <c r="F684" i="9"/>
  <c r="I683" i="9"/>
  <c r="A683" i="9"/>
  <c r="D682" i="9"/>
  <c r="G681" i="9"/>
  <c r="J680" i="9"/>
  <c r="B680" i="9"/>
  <c r="E679" i="9"/>
  <c r="H678" i="9"/>
  <c r="K677" i="9"/>
  <c r="C677" i="9"/>
  <c r="F676" i="9"/>
  <c r="I675" i="9"/>
  <c r="A675" i="9"/>
  <c r="D674" i="9"/>
  <c r="G673" i="9"/>
  <c r="J672" i="9"/>
  <c r="B672" i="9"/>
  <c r="E671" i="9"/>
  <c r="H670" i="9"/>
  <c r="K669" i="9"/>
  <c r="C669" i="9"/>
  <c r="F668" i="9"/>
  <c r="I667" i="9"/>
  <c r="A667" i="9"/>
  <c r="D666" i="9"/>
  <c r="G665" i="9"/>
  <c r="J664" i="9"/>
  <c r="B664" i="9"/>
  <c r="E663" i="9"/>
  <c r="H662" i="9"/>
  <c r="K661" i="9"/>
  <c r="C661" i="9"/>
  <c r="F660" i="9"/>
  <c r="I659" i="9"/>
  <c r="A659" i="9"/>
  <c r="D658" i="9"/>
  <c r="G657" i="9"/>
  <c r="J656" i="9"/>
  <c r="B656" i="9"/>
  <c r="E655" i="9"/>
  <c r="H654" i="9"/>
  <c r="K653" i="9"/>
  <c r="C653" i="9"/>
  <c r="F652" i="9"/>
  <c r="I651" i="9"/>
  <c r="A651" i="9"/>
  <c r="D650" i="9"/>
  <c r="G649" i="9"/>
  <c r="J648" i="9"/>
  <c r="B648" i="9"/>
  <c r="E647" i="9"/>
  <c r="H646" i="9"/>
  <c r="K645" i="9"/>
  <c r="C645" i="9"/>
  <c r="F644" i="9"/>
  <c r="I643" i="9"/>
  <c r="A643" i="9"/>
  <c r="D642" i="9"/>
  <c r="G641" i="9"/>
  <c r="J640" i="9"/>
  <c r="B640" i="9"/>
  <c r="E639" i="9"/>
  <c r="H638" i="9"/>
  <c r="K637" i="9"/>
  <c r="C637" i="9"/>
  <c r="F636" i="9"/>
  <c r="I635" i="9"/>
  <c r="A635" i="9"/>
  <c r="D634" i="9"/>
  <c r="G633" i="9"/>
  <c r="J632" i="9"/>
  <c r="B632" i="9"/>
  <c r="E631" i="9"/>
  <c r="H630" i="9"/>
  <c r="K629" i="9"/>
  <c r="C629" i="9"/>
  <c r="F628" i="9"/>
  <c r="I627" i="9"/>
  <c r="B627" i="9"/>
  <c r="I626" i="9"/>
  <c r="E626" i="9"/>
  <c r="A626" i="9"/>
  <c r="H625" i="9"/>
  <c r="D625" i="9"/>
  <c r="K624" i="9"/>
  <c r="G624" i="9"/>
  <c r="C624" i="9"/>
  <c r="J623" i="9"/>
  <c r="F623" i="9"/>
  <c r="B623" i="9"/>
  <c r="I622" i="9"/>
  <c r="E622" i="9"/>
  <c r="A622" i="9"/>
  <c r="H621" i="9"/>
  <c r="D621" i="9"/>
  <c r="K620" i="9"/>
  <c r="G620" i="9"/>
  <c r="C620" i="9"/>
  <c r="J619" i="9"/>
  <c r="F619" i="9"/>
  <c r="B619" i="9"/>
  <c r="I618" i="9"/>
  <c r="E618" i="9"/>
  <c r="A618" i="9"/>
  <c r="H617" i="9"/>
  <c r="D617" i="9"/>
  <c r="K616" i="9"/>
  <c r="G616" i="9"/>
  <c r="C616" i="9"/>
  <c r="J615" i="9"/>
  <c r="F615" i="9"/>
  <c r="B615" i="9"/>
  <c r="I614" i="9"/>
  <c r="E614" i="9"/>
  <c r="A614" i="9"/>
  <c r="H613" i="9"/>
  <c r="D613" i="9"/>
  <c r="K612" i="9"/>
  <c r="G612" i="9"/>
  <c r="C612" i="9"/>
  <c r="J611" i="9"/>
  <c r="F611" i="9"/>
  <c r="B611" i="9"/>
  <c r="I610" i="9"/>
  <c r="E610" i="9"/>
  <c r="A610" i="9"/>
  <c r="H609" i="9"/>
  <c r="D609" i="9"/>
  <c r="K608" i="9"/>
  <c r="G608" i="9"/>
  <c r="C608" i="9"/>
  <c r="J607" i="9"/>
  <c r="F607" i="9"/>
  <c r="B607" i="9"/>
  <c r="I606" i="9"/>
  <c r="E606" i="9"/>
  <c r="A606" i="9"/>
  <c r="H605" i="9"/>
  <c r="D605" i="9"/>
  <c r="K604" i="9"/>
  <c r="G604" i="9"/>
  <c r="C604" i="9"/>
  <c r="J603" i="9"/>
  <c r="F603" i="9"/>
  <c r="B603" i="9"/>
  <c r="I602" i="9"/>
  <c r="E602" i="9"/>
  <c r="A602" i="9"/>
  <c r="H601" i="9"/>
  <c r="D601" i="9"/>
  <c r="K600" i="9"/>
  <c r="G600" i="9"/>
  <c r="C600" i="9"/>
  <c r="J599" i="9"/>
  <c r="F599" i="9"/>
  <c r="B599" i="9"/>
  <c r="I598" i="9"/>
  <c r="E598" i="9"/>
  <c r="A598" i="9"/>
  <c r="H597" i="9"/>
  <c r="D597" i="9"/>
  <c r="K596" i="9"/>
  <c r="G596" i="9"/>
  <c r="C596" i="9"/>
  <c r="J595" i="9"/>
  <c r="F595" i="9"/>
  <c r="B595" i="9"/>
  <c r="I594" i="9"/>
  <c r="E594" i="9"/>
  <c r="A594" i="9"/>
  <c r="H593" i="9"/>
  <c r="D593" i="9"/>
  <c r="K592" i="9"/>
  <c r="G592" i="9"/>
  <c r="C592" i="9"/>
  <c r="J591" i="9"/>
  <c r="F591" i="9"/>
  <c r="B591" i="9"/>
  <c r="I590" i="9"/>
  <c r="E590" i="9"/>
  <c r="A590" i="9"/>
  <c r="H589" i="9"/>
  <c r="D589" i="9"/>
  <c r="K588" i="9"/>
  <c r="G588" i="9"/>
  <c r="C588" i="9"/>
  <c r="J587" i="9"/>
  <c r="F587" i="9"/>
  <c r="B587" i="9"/>
  <c r="I586" i="9"/>
  <c r="E586" i="9"/>
  <c r="A586" i="9"/>
  <c r="H585" i="9"/>
  <c r="D585" i="9"/>
  <c r="K584" i="9"/>
  <c r="G584" i="9"/>
  <c r="C584" i="9"/>
  <c r="J583" i="9"/>
  <c r="F583" i="9"/>
  <c r="B583" i="9"/>
  <c r="I582" i="9"/>
  <c r="E582" i="9"/>
  <c r="A582" i="9"/>
  <c r="H581" i="9"/>
  <c r="D581" i="9"/>
  <c r="K580" i="9"/>
  <c r="G580" i="9"/>
  <c r="C580" i="9"/>
  <c r="J579" i="9"/>
  <c r="F579" i="9"/>
  <c r="B579" i="9"/>
  <c r="I578" i="9"/>
  <c r="E578" i="9"/>
  <c r="A578" i="9"/>
  <c r="H577" i="9"/>
  <c r="D577" i="9"/>
  <c r="K576" i="9"/>
  <c r="G576" i="9"/>
  <c r="C576" i="9"/>
  <c r="J575" i="9"/>
  <c r="F575" i="9"/>
  <c r="B575" i="9"/>
  <c r="I574" i="9"/>
  <c r="E574" i="9"/>
  <c r="A574" i="9"/>
  <c r="H573" i="9"/>
  <c r="D573" i="9"/>
  <c r="K572" i="9"/>
  <c r="G572" i="9"/>
  <c r="C572" i="9"/>
  <c r="J571" i="9"/>
  <c r="F571" i="9"/>
  <c r="B571" i="9"/>
  <c r="I570" i="9"/>
  <c r="E570" i="9"/>
  <c r="A570" i="9"/>
  <c r="H569" i="9"/>
  <c r="D569" i="9"/>
  <c r="K568" i="9"/>
  <c r="G568" i="9"/>
  <c r="C568" i="9"/>
  <c r="J567" i="9"/>
  <c r="F567" i="9"/>
  <c r="B567" i="9"/>
  <c r="I566" i="9"/>
  <c r="E566" i="9"/>
  <c r="A566" i="9"/>
  <c r="H565" i="9"/>
  <c r="D565" i="9"/>
  <c r="K564" i="9"/>
  <c r="G564" i="9"/>
  <c r="C564" i="9"/>
  <c r="J563" i="9"/>
  <c r="F563" i="9"/>
  <c r="B563" i="9"/>
  <c r="I562" i="9"/>
  <c r="E562" i="9"/>
  <c r="A562" i="9"/>
  <c r="H561" i="9"/>
  <c r="D561" i="9"/>
  <c r="K560" i="9"/>
  <c r="G560" i="9"/>
  <c r="C560" i="9"/>
  <c r="J559" i="9"/>
  <c r="F559" i="9"/>
  <c r="B559" i="9"/>
  <c r="I558" i="9"/>
  <c r="E558" i="9"/>
  <c r="A558" i="9"/>
  <c r="H557" i="9"/>
  <c r="D557" i="9"/>
  <c r="K556" i="9"/>
  <c r="G556" i="9"/>
  <c r="C556" i="9"/>
  <c r="J555" i="9"/>
  <c r="F555" i="9"/>
  <c r="B555" i="9"/>
  <c r="I554" i="9"/>
  <c r="E554" i="9"/>
  <c r="A554" i="9"/>
  <c r="H553" i="9"/>
  <c r="D553" i="9"/>
  <c r="K552" i="9"/>
  <c r="G552" i="9"/>
  <c r="C552" i="9"/>
  <c r="J551" i="9"/>
  <c r="F551" i="9"/>
  <c r="B551" i="9"/>
  <c r="I550" i="9"/>
  <c r="E550" i="9"/>
  <c r="A550" i="9"/>
  <c r="H549" i="9"/>
  <c r="D549" i="9"/>
  <c r="K548" i="9"/>
  <c r="G548" i="9"/>
  <c r="C548" i="9"/>
  <c r="J547" i="9"/>
  <c r="F547" i="9"/>
  <c r="B547" i="9"/>
  <c r="I546" i="9"/>
  <c r="E546" i="9"/>
  <c r="A546" i="9"/>
  <c r="H545" i="9"/>
  <c r="D545" i="9"/>
  <c r="K544" i="9"/>
  <c r="G544" i="9"/>
  <c r="C544" i="9"/>
  <c r="J543" i="9"/>
  <c r="F543" i="9"/>
  <c r="B543" i="9"/>
  <c r="I542" i="9"/>
  <c r="E542" i="9"/>
  <c r="A542" i="9"/>
  <c r="H541" i="9"/>
  <c r="D541" i="9"/>
  <c r="K540" i="9"/>
  <c r="G540" i="9"/>
  <c r="C540" i="9"/>
  <c r="J539" i="9"/>
  <c r="F539" i="9"/>
  <c r="B539" i="9"/>
  <c r="I538" i="9"/>
  <c r="E538" i="9"/>
  <c r="A538" i="9"/>
  <c r="H537" i="9"/>
  <c r="D537" i="9"/>
  <c r="K536" i="9"/>
  <c r="G536" i="9"/>
  <c r="C536" i="9"/>
  <c r="J535" i="9"/>
  <c r="F535" i="9"/>
  <c r="B535" i="9"/>
  <c r="I534" i="9"/>
  <c r="E534" i="9"/>
  <c r="A534" i="9"/>
  <c r="H533" i="9"/>
  <c r="D533" i="9"/>
  <c r="K532" i="9"/>
  <c r="G532" i="9"/>
  <c r="C532" i="9"/>
  <c r="J531" i="9"/>
  <c r="F531" i="9"/>
  <c r="B531" i="9"/>
  <c r="I530" i="9"/>
  <c r="E530" i="9"/>
  <c r="A530" i="9"/>
  <c r="H529" i="9"/>
  <c r="D529" i="9"/>
  <c r="K528" i="9"/>
  <c r="G528" i="9"/>
  <c r="C528" i="9"/>
  <c r="J527" i="9"/>
  <c r="F527" i="9"/>
  <c r="B527" i="9"/>
  <c r="I526" i="9"/>
  <c r="E526" i="9"/>
  <c r="A526" i="9"/>
  <c r="H525" i="9"/>
  <c r="D525" i="9"/>
  <c r="K524" i="9"/>
  <c r="G524" i="9"/>
  <c r="C524" i="9"/>
  <c r="J523" i="9"/>
  <c r="F523" i="9"/>
  <c r="B523" i="9"/>
  <c r="I522" i="9"/>
  <c r="E522" i="9"/>
  <c r="A522" i="9"/>
  <c r="H521" i="9"/>
  <c r="D521" i="9"/>
  <c r="K520" i="9"/>
  <c r="G520" i="9"/>
  <c r="C520" i="9"/>
  <c r="J519" i="9"/>
  <c r="F519" i="9"/>
  <c r="B519" i="9"/>
  <c r="I518" i="9"/>
  <c r="E518" i="9"/>
  <c r="A518" i="9"/>
  <c r="H517" i="9"/>
  <c r="D517" i="9"/>
  <c r="K516" i="9"/>
  <c r="G516" i="9"/>
  <c r="C516" i="9"/>
  <c r="J515" i="9"/>
  <c r="F515" i="9"/>
  <c r="B515" i="9"/>
  <c r="I514" i="9"/>
  <c r="E514" i="9"/>
  <c r="A514" i="9"/>
  <c r="H513" i="9"/>
  <c r="D513" i="9"/>
  <c r="K512" i="9"/>
  <c r="G512" i="9"/>
  <c r="C512" i="9"/>
  <c r="J511" i="9"/>
  <c r="F511" i="9"/>
  <c r="B511" i="9"/>
  <c r="I510" i="9"/>
  <c r="E510" i="9"/>
  <c r="A510" i="9"/>
  <c r="H509" i="9"/>
  <c r="D509" i="9"/>
  <c r="K508" i="9"/>
  <c r="G508" i="9"/>
  <c r="C508" i="9"/>
  <c r="J507" i="9"/>
  <c r="F507" i="9"/>
  <c r="B507" i="9"/>
  <c r="I506" i="9"/>
  <c r="E506" i="9"/>
  <c r="A506" i="9"/>
  <c r="H505" i="9"/>
  <c r="D505" i="9"/>
  <c r="K504" i="9"/>
  <c r="G504" i="9"/>
  <c r="C504" i="9"/>
  <c r="J503" i="9"/>
  <c r="F503" i="9"/>
  <c r="B503" i="9"/>
  <c r="I502" i="9"/>
  <c r="E502" i="9"/>
  <c r="A502" i="9"/>
  <c r="H501" i="9"/>
  <c r="D501" i="9"/>
  <c r="K500" i="9"/>
  <c r="G500" i="9"/>
  <c r="C500" i="9"/>
  <c r="J499" i="9"/>
  <c r="F499" i="9"/>
  <c r="B499" i="9"/>
  <c r="I498" i="9"/>
  <c r="E498" i="9"/>
  <c r="A498" i="9"/>
  <c r="H497" i="9"/>
  <c r="D497" i="9"/>
  <c r="K496" i="9"/>
  <c r="G496" i="9"/>
  <c r="C496" i="9"/>
  <c r="J495" i="9"/>
  <c r="F495" i="9"/>
  <c r="B495" i="9"/>
  <c r="I494" i="9"/>
  <c r="E494" i="9"/>
  <c r="A494" i="9"/>
  <c r="H493" i="9"/>
  <c r="D493" i="9"/>
  <c r="K492" i="9"/>
  <c r="G492" i="9"/>
  <c r="C492" i="9"/>
  <c r="J491" i="9"/>
  <c r="F491" i="9"/>
  <c r="B491" i="9"/>
  <c r="I490" i="9"/>
  <c r="E490" i="9"/>
  <c r="A490" i="9"/>
  <c r="H489" i="9"/>
  <c r="D489" i="9"/>
  <c r="K488" i="9"/>
  <c r="G488" i="9"/>
  <c r="C488" i="9"/>
  <c r="J487" i="9"/>
  <c r="F487" i="9"/>
  <c r="B487" i="9"/>
  <c r="I486" i="9"/>
  <c r="E486" i="9"/>
  <c r="A486" i="9"/>
  <c r="H485" i="9"/>
  <c r="D485" i="9"/>
  <c r="K484" i="9"/>
  <c r="G484" i="9"/>
  <c r="C484" i="9"/>
  <c r="J483" i="9"/>
  <c r="F483" i="9"/>
  <c r="B483" i="9"/>
  <c r="I482" i="9"/>
  <c r="E482" i="9"/>
  <c r="A482" i="9"/>
  <c r="H481" i="9"/>
  <c r="D481" i="9"/>
  <c r="K480" i="9"/>
  <c r="G480" i="9"/>
  <c r="C480" i="9"/>
  <c r="J479" i="9"/>
  <c r="F479" i="9"/>
  <c r="B479" i="9"/>
  <c r="I478" i="9"/>
  <c r="E478" i="9"/>
  <c r="A478" i="9"/>
  <c r="H477" i="9"/>
  <c r="D477" i="9"/>
  <c r="K476" i="9"/>
  <c r="G476" i="9"/>
  <c r="C476" i="9"/>
  <c r="J475" i="9"/>
  <c r="F475" i="9"/>
  <c r="B475" i="9"/>
  <c r="I474" i="9"/>
  <c r="E474" i="9"/>
  <c r="A474" i="9"/>
  <c r="H473" i="9"/>
  <c r="D473" i="9"/>
  <c r="K472" i="9"/>
  <c r="G472" i="9"/>
  <c r="C472" i="9"/>
  <c r="J471" i="9"/>
  <c r="F471" i="9"/>
  <c r="B471" i="9"/>
  <c r="I470" i="9"/>
  <c r="E470" i="9"/>
  <c r="A470" i="9"/>
  <c r="H469" i="9"/>
  <c r="D469" i="9"/>
  <c r="K468" i="9"/>
  <c r="G468" i="9"/>
  <c r="C468" i="9"/>
  <c r="J467" i="9"/>
  <c r="F467" i="9"/>
  <c r="B467" i="9"/>
  <c r="I466" i="9"/>
  <c r="E466" i="9"/>
  <c r="A466" i="9"/>
  <c r="H465" i="9"/>
  <c r="D465" i="9"/>
  <c r="K464" i="9"/>
  <c r="G464" i="9"/>
  <c r="C464" i="9"/>
  <c r="J463" i="9"/>
  <c r="F463" i="9"/>
  <c r="B463" i="9"/>
  <c r="I462" i="9"/>
  <c r="E462" i="9"/>
  <c r="A462" i="9"/>
  <c r="H461" i="9"/>
  <c r="D461" i="9"/>
  <c r="K460" i="9"/>
  <c r="G460" i="9"/>
  <c r="C460" i="9"/>
  <c r="J459" i="9"/>
  <c r="F459" i="9"/>
  <c r="B459" i="9"/>
  <c r="I458" i="9"/>
  <c r="E458" i="9"/>
  <c r="A458" i="9"/>
  <c r="H457" i="9"/>
  <c r="D457" i="9"/>
  <c r="K456" i="9"/>
  <c r="G456" i="9"/>
  <c r="C456" i="9"/>
  <c r="J455" i="9"/>
  <c r="F455" i="9"/>
  <c r="B455" i="9"/>
  <c r="I454" i="9"/>
  <c r="E454" i="9"/>
  <c r="A454" i="9"/>
  <c r="H453" i="9"/>
  <c r="D453" i="9"/>
  <c r="K452" i="9"/>
  <c r="G452" i="9"/>
  <c r="C452" i="9"/>
  <c r="J451" i="9"/>
  <c r="F451" i="9"/>
  <c r="B451" i="9"/>
  <c r="I450" i="9"/>
  <c r="E450" i="9"/>
  <c r="A450" i="9"/>
  <c r="H449" i="9"/>
  <c r="D449" i="9"/>
  <c r="K448" i="9"/>
  <c r="G448" i="9"/>
  <c r="C448" i="9"/>
  <c r="J447" i="9"/>
  <c r="F447" i="9"/>
  <c r="B447" i="9"/>
  <c r="I446" i="9"/>
  <c r="E446" i="9"/>
  <c r="A446" i="9"/>
  <c r="H445" i="9"/>
  <c r="D445" i="9"/>
  <c r="K444" i="9"/>
  <c r="G444" i="9"/>
  <c r="C444" i="9"/>
  <c r="J443" i="9"/>
  <c r="F443" i="9"/>
  <c r="B443" i="9"/>
  <c r="I442" i="9"/>
  <c r="E442" i="9"/>
  <c r="A442" i="9"/>
  <c r="H441" i="9"/>
  <c r="D441" i="9"/>
  <c r="G1275" i="9"/>
  <c r="F1244" i="9"/>
  <c r="C1221" i="9"/>
  <c r="J1197" i="9"/>
  <c r="E1182" i="9"/>
  <c r="I1170" i="9"/>
  <c r="B1159" i="9"/>
  <c r="F1147" i="9"/>
  <c r="J1139" i="9"/>
  <c r="A1134" i="9"/>
  <c r="C1128" i="9"/>
  <c r="E1122" i="9"/>
  <c r="G1116" i="9"/>
  <c r="I1110" i="9"/>
  <c r="K1104" i="9"/>
  <c r="J1098" i="9"/>
  <c r="K1092" i="9"/>
  <c r="J1086" i="9"/>
  <c r="K1080" i="9"/>
  <c r="A1075" i="9"/>
  <c r="C1069" i="9"/>
  <c r="C1063" i="9"/>
  <c r="K1056" i="9"/>
  <c r="A1051" i="9"/>
  <c r="A1045" i="9"/>
  <c r="B1039" i="9"/>
  <c r="B1033" i="9"/>
  <c r="B1027" i="9"/>
  <c r="K1020" i="9"/>
  <c r="I1014" i="9"/>
  <c r="K1008" i="9"/>
  <c r="B1003" i="9"/>
  <c r="D999" i="9"/>
  <c r="E996" i="9"/>
  <c r="F993" i="9"/>
  <c r="G990" i="9"/>
  <c r="H987" i="9"/>
  <c r="I984" i="9"/>
  <c r="J981" i="9"/>
  <c r="K978" i="9"/>
  <c r="A976" i="9"/>
  <c r="B973" i="9"/>
  <c r="C970" i="9"/>
  <c r="D967" i="9"/>
  <c r="E964" i="9"/>
  <c r="F961" i="9"/>
  <c r="G958" i="9"/>
  <c r="H955" i="9"/>
  <c r="I952" i="9"/>
  <c r="J949" i="9"/>
  <c r="K946" i="9"/>
  <c r="A944" i="9"/>
  <c r="B941" i="9"/>
  <c r="C938" i="9"/>
  <c r="D935" i="9"/>
  <c r="E932" i="9"/>
  <c r="F929" i="9"/>
  <c r="G926" i="9"/>
  <c r="H923" i="9"/>
  <c r="I920" i="9"/>
  <c r="J917" i="9"/>
  <c r="K914" i="9"/>
  <c r="A912" i="9"/>
  <c r="B909" i="9"/>
  <c r="D907" i="9"/>
  <c r="J905" i="9"/>
  <c r="E904" i="9"/>
  <c r="K902" i="9"/>
  <c r="D901" i="9"/>
  <c r="J899" i="9"/>
  <c r="E898" i="9"/>
  <c r="J896" i="9"/>
  <c r="E895" i="9"/>
  <c r="K893" i="9"/>
  <c r="F892" i="9"/>
  <c r="A891" i="9"/>
  <c r="G889" i="9"/>
  <c r="B888" i="9"/>
  <c r="H886" i="9"/>
  <c r="C885" i="9"/>
  <c r="G883" i="9"/>
  <c r="B882" i="9"/>
  <c r="F880" i="9"/>
  <c r="K878" i="9"/>
  <c r="D877" i="9"/>
  <c r="H875" i="9"/>
  <c r="C874" i="9"/>
  <c r="I872" i="9"/>
  <c r="C871" i="9"/>
  <c r="I869" i="9"/>
  <c r="C868" i="9"/>
  <c r="I866" i="9"/>
  <c r="D865" i="9"/>
  <c r="I863" i="9"/>
  <c r="D862" i="9"/>
  <c r="I860" i="9"/>
  <c r="D859" i="9"/>
  <c r="J857" i="9"/>
  <c r="E856" i="9"/>
  <c r="K854" i="9"/>
  <c r="F853" i="9"/>
  <c r="A852" i="9"/>
  <c r="F850" i="9"/>
  <c r="A849" i="9"/>
  <c r="F847" i="9"/>
  <c r="A846" i="9"/>
  <c r="F844" i="9"/>
  <c r="A843" i="9"/>
  <c r="F841" i="9"/>
  <c r="A840" i="9"/>
  <c r="G838" i="9"/>
  <c r="B837" i="9"/>
  <c r="H835" i="9"/>
  <c r="C834" i="9"/>
  <c r="I832" i="9"/>
  <c r="D831" i="9"/>
  <c r="J829" i="9"/>
  <c r="E828" i="9"/>
  <c r="K826" i="9"/>
  <c r="F825" i="9"/>
  <c r="A824" i="9"/>
  <c r="G822" i="9"/>
  <c r="B821" i="9"/>
  <c r="H819" i="9"/>
  <c r="C818" i="9"/>
  <c r="H816" i="9"/>
  <c r="C815" i="9"/>
  <c r="I813" i="9"/>
  <c r="D812" i="9"/>
  <c r="J810" i="9"/>
  <c r="E809" i="9"/>
  <c r="K807" i="9"/>
  <c r="F806" i="9"/>
  <c r="A805" i="9"/>
  <c r="G803" i="9"/>
  <c r="B802" i="9"/>
  <c r="H800" i="9"/>
  <c r="C799" i="9"/>
  <c r="I797" i="9"/>
  <c r="D796" i="9"/>
  <c r="J794" i="9"/>
  <c r="E793" i="9"/>
  <c r="K791" i="9"/>
  <c r="F790" i="9"/>
  <c r="A789" i="9"/>
  <c r="G787" i="9"/>
  <c r="B786" i="9"/>
  <c r="H784" i="9"/>
  <c r="C783" i="9"/>
  <c r="I781" i="9"/>
  <c r="D780" i="9"/>
  <c r="J778" i="9"/>
  <c r="E777" i="9"/>
  <c r="K775" i="9"/>
  <c r="F774" i="9"/>
  <c r="A773" i="9"/>
  <c r="G771" i="9"/>
  <c r="B770" i="9"/>
  <c r="H768" i="9"/>
  <c r="C767" i="9"/>
  <c r="I765" i="9"/>
  <c r="D764" i="9"/>
  <c r="J762" i="9"/>
  <c r="E761" i="9"/>
  <c r="K759" i="9"/>
  <c r="F758" i="9"/>
  <c r="A757" i="9"/>
  <c r="G755" i="9"/>
  <c r="B754" i="9"/>
  <c r="H752" i="9"/>
  <c r="C751" i="9"/>
  <c r="I749" i="9"/>
  <c r="D748" i="9"/>
  <c r="J746" i="9"/>
  <c r="E745" i="9"/>
  <c r="K743" i="9"/>
  <c r="F742" i="9"/>
  <c r="A741" i="9"/>
  <c r="G739" i="9"/>
  <c r="B738" i="9"/>
  <c r="H736" i="9"/>
  <c r="C735" i="9"/>
  <c r="I733" i="9"/>
  <c r="D732" i="9"/>
  <c r="J730" i="9"/>
  <c r="E729" i="9"/>
  <c r="K727" i="9"/>
  <c r="F726" i="9"/>
  <c r="A725" i="9"/>
  <c r="G723" i="9"/>
  <c r="B722" i="9"/>
  <c r="H720" i="9"/>
  <c r="C719" i="9"/>
  <c r="I717" i="9"/>
  <c r="D716" i="9"/>
  <c r="J714" i="9"/>
  <c r="E713" i="9"/>
  <c r="K711" i="9"/>
  <c r="F710" i="9"/>
  <c r="A709" i="9"/>
  <c r="G707" i="9"/>
  <c r="B706" i="9"/>
  <c r="H704" i="9"/>
  <c r="C703" i="9"/>
  <c r="I701" i="9"/>
  <c r="D700" i="9"/>
  <c r="J698" i="9"/>
  <c r="E697" i="9"/>
  <c r="K695" i="9"/>
  <c r="F694" i="9"/>
  <c r="A693" i="9"/>
  <c r="G691" i="9"/>
  <c r="B690" i="9"/>
  <c r="H688" i="9"/>
  <c r="C687" i="9"/>
  <c r="I685" i="9"/>
  <c r="D684" i="9"/>
  <c r="J682" i="9"/>
  <c r="E681" i="9"/>
  <c r="K679" i="9"/>
  <c r="F678" i="9"/>
  <c r="A677" i="9"/>
  <c r="G675" i="9"/>
  <c r="B674" i="9"/>
  <c r="H672" i="9"/>
  <c r="C671" i="9"/>
  <c r="I669" i="9"/>
  <c r="D668" i="9"/>
  <c r="J666" i="9"/>
  <c r="E665" i="9"/>
  <c r="K663" i="9"/>
  <c r="F662" i="9"/>
  <c r="A661" i="9"/>
  <c r="G659" i="9"/>
  <c r="B658" i="9"/>
  <c r="H656" i="9"/>
  <c r="C655" i="9"/>
  <c r="I653" i="9"/>
  <c r="D652" i="9"/>
  <c r="J650" i="9"/>
  <c r="E649" i="9"/>
  <c r="K647" i="9"/>
  <c r="F646" i="9"/>
  <c r="A645" i="9"/>
  <c r="G643" i="9"/>
  <c r="B642" i="9"/>
  <c r="H640" i="9"/>
  <c r="C639" i="9"/>
  <c r="I637" i="9"/>
  <c r="D636" i="9"/>
  <c r="J634" i="9"/>
  <c r="E633" i="9"/>
  <c r="K631" i="9"/>
  <c r="F630" i="9"/>
  <c r="A629" i="9"/>
  <c r="G627" i="9"/>
  <c r="H626" i="9"/>
  <c r="K625" i="9"/>
  <c r="C625" i="9"/>
  <c r="F624" i="9"/>
  <c r="I623" i="9"/>
  <c r="A623" i="9"/>
  <c r="D622" i="9"/>
  <c r="G621" i="9"/>
  <c r="J620" i="9"/>
  <c r="B620" i="9"/>
  <c r="E619" i="9"/>
  <c r="H618" i="9"/>
  <c r="K617" i="9"/>
  <c r="C617" i="9"/>
  <c r="F616" i="9"/>
  <c r="I615" i="9"/>
  <c r="A615" i="9"/>
  <c r="D614" i="9"/>
  <c r="G613" i="9"/>
  <c r="J612" i="9"/>
  <c r="B612" i="9"/>
  <c r="E611" i="9"/>
  <c r="H610" i="9"/>
  <c r="K609" i="9"/>
  <c r="C609" i="9"/>
  <c r="F608" i="9"/>
  <c r="I607" i="9"/>
  <c r="A607" i="9"/>
  <c r="D606" i="9"/>
  <c r="G605" i="9"/>
  <c r="J604" i="9"/>
  <c r="B604" i="9"/>
  <c r="E603" i="9"/>
  <c r="H602" i="9"/>
  <c r="K601" i="9"/>
  <c r="C601" i="9"/>
  <c r="F600" i="9"/>
  <c r="I599" i="9"/>
  <c r="A599" i="9"/>
  <c r="D598" i="9"/>
  <c r="G597" i="9"/>
  <c r="J596" i="9"/>
  <c r="B596" i="9"/>
  <c r="E595" i="9"/>
  <c r="H594" i="9"/>
  <c r="K593" i="9"/>
  <c r="C593" i="9"/>
  <c r="F592" i="9"/>
  <c r="I591" i="9"/>
  <c r="A591" i="9"/>
  <c r="D590" i="9"/>
  <c r="G589" i="9"/>
  <c r="J588" i="9"/>
  <c r="B588" i="9"/>
  <c r="E587" i="9"/>
  <c r="H586" i="9"/>
  <c r="K585" i="9"/>
  <c r="C585" i="9"/>
  <c r="F584" i="9"/>
  <c r="I583" i="9"/>
  <c r="A583" i="9"/>
  <c r="D582" i="9"/>
  <c r="G581" i="9"/>
  <c r="J580" i="9"/>
  <c r="B580" i="9"/>
  <c r="E579" i="9"/>
  <c r="H578" i="9"/>
  <c r="K577" i="9"/>
  <c r="C577" i="9"/>
  <c r="F576" i="9"/>
  <c r="I575" i="9"/>
  <c r="A575" i="9"/>
  <c r="D574" i="9"/>
  <c r="G573" i="9"/>
  <c r="J572" i="9"/>
  <c r="B572" i="9"/>
  <c r="E571" i="9"/>
  <c r="H570" i="9"/>
  <c r="K569" i="9"/>
  <c r="C569" i="9"/>
  <c r="F568" i="9"/>
  <c r="I567" i="9"/>
  <c r="A567" i="9"/>
  <c r="D566" i="9"/>
  <c r="G565" i="9"/>
  <c r="J564" i="9"/>
  <c r="B564" i="9"/>
  <c r="E563" i="9"/>
  <c r="H562" i="9"/>
  <c r="K561" i="9"/>
  <c r="C561" i="9"/>
  <c r="F560" i="9"/>
  <c r="I559" i="9"/>
  <c r="A559" i="9"/>
  <c r="D558" i="9"/>
  <c r="G557" i="9"/>
  <c r="J556" i="9"/>
  <c r="B556" i="9"/>
  <c r="E555" i="9"/>
  <c r="H554" i="9"/>
  <c r="K553" i="9"/>
  <c r="C553" i="9"/>
  <c r="F552" i="9"/>
  <c r="I551" i="9"/>
  <c r="A551" i="9"/>
  <c r="D550" i="9"/>
  <c r="G549" i="9"/>
  <c r="J548" i="9"/>
  <c r="B548" i="9"/>
  <c r="E547" i="9"/>
  <c r="H546" i="9"/>
  <c r="K545" i="9"/>
  <c r="C545" i="9"/>
  <c r="F544" i="9"/>
  <c r="I543" i="9"/>
  <c r="A543" i="9"/>
  <c r="D542" i="9"/>
  <c r="G541" i="9"/>
  <c r="J540" i="9"/>
  <c r="B540" i="9"/>
  <c r="E539" i="9"/>
  <c r="H538" i="9"/>
  <c r="K537" i="9"/>
  <c r="C537" i="9"/>
  <c r="F536" i="9"/>
  <c r="I535" i="9"/>
  <c r="A535" i="9"/>
  <c r="D534" i="9"/>
  <c r="G533" i="9"/>
  <c r="J532" i="9"/>
  <c r="B532" i="9"/>
  <c r="E531" i="9"/>
  <c r="H530" i="9"/>
  <c r="K529" i="9"/>
  <c r="C529" i="9"/>
  <c r="F528" i="9"/>
  <c r="I527" i="9"/>
  <c r="A527" i="9"/>
  <c r="D526" i="9"/>
  <c r="G525" i="9"/>
  <c r="J524" i="9"/>
  <c r="B524" i="9"/>
  <c r="E523" i="9"/>
  <c r="H522" i="9"/>
  <c r="K521" i="9"/>
  <c r="C521" i="9"/>
  <c r="F520" i="9"/>
  <c r="I519" i="9"/>
  <c r="A519" i="9"/>
  <c r="D518" i="9"/>
  <c r="G517" i="9"/>
  <c r="J516" i="9"/>
  <c r="B516" i="9"/>
  <c r="E515" i="9"/>
  <c r="H514" i="9"/>
  <c r="K513" i="9"/>
  <c r="C513" i="9"/>
  <c r="F512" i="9"/>
  <c r="I511" i="9"/>
  <c r="A511" i="9"/>
  <c r="D510" i="9"/>
  <c r="G509" i="9"/>
  <c r="J508" i="9"/>
  <c r="B508" i="9"/>
  <c r="E507" i="9"/>
  <c r="H506" i="9"/>
  <c r="K505" i="9"/>
  <c r="C505" i="9"/>
  <c r="F504" i="9"/>
  <c r="I503" i="9"/>
  <c r="A503" i="9"/>
  <c r="D502" i="9"/>
  <c r="G501" i="9"/>
  <c r="J500" i="9"/>
  <c r="B500" i="9"/>
  <c r="E499" i="9"/>
  <c r="H498" i="9"/>
  <c r="K497" i="9"/>
  <c r="C497" i="9"/>
  <c r="F496" i="9"/>
  <c r="I495" i="9"/>
  <c r="A495" i="9"/>
  <c r="D494" i="9"/>
  <c r="G493" i="9"/>
  <c r="J492" i="9"/>
  <c r="B492" i="9"/>
  <c r="E491" i="9"/>
  <c r="H490" i="9"/>
  <c r="K489" i="9"/>
  <c r="C489" i="9"/>
  <c r="F488" i="9"/>
  <c r="I487" i="9"/>
  <c r="A487" i="9"/>
  <c r="D486" i="9"/>
  <c r="G485" i="9"/>
  <c r="J484" i="9"/>
  <c r="B484" i="9"/>
  <c r="E483" i="9"/>
  <c r="H482" i="9"/>
  <c r="K481" i="9"/>
  <c r="C481" i="9"/>
  <c r="F480" i="9"/>
  <c r="I479" i="9"/>
  <c r="A479" i="9"/>
  <c r="D478" i="9"/>
  <c r="G477" i="9"/>
  <c r="J476" i="9"/>
  <c r="B476" i="9"/>
  <c r="E475" i="9"/>
  <c r="H474" i="9"/>
  <c r="D854" i="9"/>
  <c r="G853" i="9"/>
  <c r="J852" i="9"/>
  <c r="B852" i="9"/>
  <c r="E851" i="9"/>
  <c r="G850" i="9"/>
  <c r="J849" i="9"/>
  <c r="B849" i="9"/>
  <c r="E848" i="9"/>
  <c r="G847" i="9"/>
  <c r="J846" i="9"/>
  <c r="B846" i="9"/>
  <c r="D845" i="9"/>
  <c r="G844" i="9"/>
  <c r="J843" i="9"/>
  <c r="B843" i="9"/>
  <c r="E842" i="9"/>
  <c r="G841" i="9"/>
  <c r="J840" i="9"/>
  <c r="B840" i="9"/>
  <c r="E839" i="9"/>
  <c r="H838" i="9"/>
  <c r="K837" i="9"/>
  <c r="C837" i="9"/>
  <c r="F836" i="9"/>
  <c r="I835" i="9"/>
  <c r="A835" i="9"/>
  <c r="D834" i="9"/>
  <c r="G833" i="9"/>
  <c r="J832" i="9"/>
  <c r="B832" i="9"/>
  <c r="E831" i="9"/>
  <c r="H830" i="9"/>
  <c r="K829" i="9"/>
  <c r="C829" i="9"/>
  <c r="F828" i="9"/>
  <c r="I827" i="9"/>
  <c r="A827" i="9"/>
  <c r="D826" i="9"/>
  <c r="G825" i="9"/>
  <c r="J824" i="9"/>
  <c r="B824" i="9"/>
  <c r="E823" i="9"/>
  <c r="H822" i="9"/>
  <c r="K821" i="9"/>
  <c r="C821" i="9"/>
  <c r="F820" i="9"/>
  <c r="I819" i="9"/>
  <c r="A819" i="9"/>
  <c r="D818" i="9"/>
  <c r="G817" i="9"/>
  <c r="J816" i="9"/>
  <c r="A816" i="9"/>
  <c r="D815" i="9"/>
  <c r="G814" i="9"/>
  <c r="J813" i="9"/>
  <c r="B813" i="9"/>
  <c r="E812" i="9"/>
  <c r="H811" i="9"/>
  <c r="K810" i="9"/>
  <c r="C810" i="9"/>
  <c r="F809" i="9"/>
  <c r="I808" i="9"/>
  <c r="A808" i="9"/>
  <c r="D807" i="9"/>
  <c r="G806" i="9"/>
  <c r="J805" i="9"/>
  <c r="B805" i="9"/>
  <c r="I804" i="9"/>
  <c r="E804" i="9"/>
  <c r="A804" i="9"/>
  <c r="H803" i="9"/>
  <c r="D803" i="9"/>
  <c r="K802" i="9"/>
  <c r="G802" i="9"/>
  <c r="C802" i="9"/>
  <c r="J801" i="9"/>
  <c r="F801" i="9"/>
  <c r="B801" i="9"/>
  <c r="I800" i="9"/>
  <c r="E800" i="9"/>
  <c r="A800" i="9"/>
  <c r="H799" i="9"/>
  <c r="D799" i="9"/>
  <c r="K798" i="9"/>
  <c r="G798" i="9"/>
  <c r="C798" i="9"/>
  <c r="J797" i="9"/>
  <c r="F797" i="9"/>
  <c r="B797" i="9"/>
  <c r="I796" i="9"/>
  <c r="E796" i="9"/>
  <c r="A796" i="9"/>
  <c r="H795" i="9"/>
  <c r="D795" i="9"/>
  <c r="K794" i="9"/>
  <c r="G794" i="9"/>
  <c r="C794" i="9"/>
  <c r="J793" i="9"/>
  <c r="F793" i="9"/>
  <c r="B793" i="9"/>
  <c r="I792" i="9"/>
  <c r="E792" i="9"/>
  <c r="A792" i="9"/>
  <c r="H791" i="9"/>
  <c r="D791" i="9"/>
  <c r="K790" i="9"/>
  <c r="G790" i="9"/>
  <c r="C790" i="9"/>
  <c r="J789" i="9"/>
  <c r="F789" i="9"/>
  <c r="B789" i="9"/>
  <c r="I788" i="9"/>
  <c r="E788" i="9"/>
  <c r="A788" i="9"/>
  <c r="H787" i="9"/>
  <c r="D787" i="9"/>
  <c r="K786" i="9"/>
  <c r="G786" i="9"/>
  <c r="C786" i="9"/>
  <c r="J785" i="9"/>
  <c r="F785" i="9"/>
  <c r="B785" i="9"/>
  <c r="I784" i="9"/>
  <c r="E784" i="9"/>
  <c r="A784" i="9"/>
  <c r="H783" i="9"/>
  <c r="D783" i="9"/>
  <c r="K782" i="9"/>
  <c r="G782" i="9"/>
  <c r="C782" i="9"/>
  <c r="J781" i="9"/>
  <c r="F781" i="9"/>
  <c r="B781" i="9"/>
  <c r="I780" i="9"/>
  <c r="E780" i="9"/>
  <c r="A780" i="9"/>
  <c r="H779" i="9"/>
  <c r="D779" i="9"/>
  <c r="K778" i="9"/>
  <c r="G778" i="9"/>
  <c r="C778" i="9"/>
  <c r="J777" i="9"/>
  <c r="F777" i="9"/>
  <c r="B777" i="9"/>
  <c r="I776" i="9"/>
  <c r="E776" i="9"/>
  <c r="A776" i="9"/>
  <c r="H775" i="9"/>
  <c r="D775" i="9"/>
  <c r="K774" i="9"/>
  <c r="G774" i="9"/>
  <c r="C774" i="9"/>
  <c r="J773" i="9"/>
  <c r="F773" i="9"/>
  <c r="B773" i="9"/>
  <c r="I772" i="9"/>
  <c r="E772" i="9"/>
  <c r="A772" i="9"/>
  <c r="H771" i="9"/>
  <c r="D771" i="9"/>
  <c r="K770" i="9"/>
  <c r="G770" i="9"/>
  <c r="C770" i="9"/>
  <c r="J769" i="9"/>
  <c r="F769" i="9"/>
  <c r="B769" i="9"/>
  <c r="I768" i="9"/>
  <c r="E768" i="9"/>
  <c r="A768" i="9"/>
  <c r="H767" i="9"/>
  <c r="D767" i="9"/>
  <c r="K766" i="9"/>
  <c r="G766" i="9"/>
  <c r="C766" i="9"/>
  <c r="J765" i="9"/>
  <c r="F765" i="9"/>
  <c r="B765" i="9"/>
  <c r="I764" i="9"/>
  <c r="E764" i="9"/>
  <c r="A764" i="9"/>
  <c r="H763" i="9"/>
  <c r="D763" i="9"/>
  <c r="K762" i="9"/>
  <c r="G762" i="9"/>
  <c r="C762" i="9"/>
  <c r="J761" i="9"/>
  <c r="F761" i="9"/>
  <c r="B761" i="9"/>
  <c r="I760" i="9"/>
  <c r="E760" i="9"/>
  <c r="A760" i="9"/>
  <c r="H759" i="9"/>
  <c r="D759" i="9"/>
  <c r="K758" i="9"/>
  <c r="G758" i="9"/>
  <c r="C758" i="9"/>
  <c r="J757" i="9"/>
  <c r="F757" i="9"/>
  <c r="B757" i="9"/>
  <c r="I756" i="9"/>
  <c r="E756" i="9"/>
  <c r="A756" i="9"/>
  <c r="H755" i="9"/>
  <c r="D755" i="9"/>
  <c r="K754" i="9"/>
  <c r="G754" i="9"/>
  <c r="C754" i="9"/>
  <c r="J753" i="9"/>
  <c r="F753" i="9"/>
  <c r="B753" i="9"/>
  <c r="I752" i="9"/>
  <c r="E752" i="9"/>
  <c r="A752" i="9"/>
  <c r="H751" i="9"/>
  <c r="D751" i="9"/>
  <c r="K750" i="9"/>
  <c r="G750" i="9"/>
  <c r="C750" i="9"/>
  <c r="J749" i="9"/>
  <c r="F749" i="9"/>
  <c r="B749" i="9"/>
  <c r="I748" i="9"/>
  <c r="E748" i="9"/>
  <c r="A748" i="9"/>
  <c r="H747" i="9"/>
  <c r="D747" i="9"/>
  <c r="K746" i="9"/>
  <c r="G746" i="9"/>
  <c r="C746" i="9"/>
  <c r="J745" i="9"/>
  <c r="F745" i="9"/>
  <c r="B745" i="9"/>
  <c r="I744" i="9"/>
  <c r="E744" i="9"/>
  <c r="A744" i="9"/>
  <c r="H743" i="9"/>
  <c r="D743" i="9"/>
  <c r="K742" i="9"/>
  <c r="G742" i="9"/>
  <c r="C742" i="9"/>
  <c r="J741" i="9"/>
  <c r="F741" i="9"/>
  <c r="B741" i="9"/>
  <c r="I740" i="9"/>
  <c r="E740" i="9"/>
  <c r="A740" i="9"/>
  <c r="H739" i="9"/>
  <c r="D739" i="9"/>
  <c r="K738" i="9"/>
  <c r="G738" i="9"/>
  <c r="C738" i="9"/>
  <c r="J737" i="9"/>
  <c r="F737" i="9"/>
  <c r="B737" i="9"/>
  <c r="I736" i="9"/>
  <c r="E736" i="9"/>
  <c r="A736" i="9"/>
  <c r="H735" i="9"/>
  <c r="D735" i="9"/>
  <c r="K734" i="9"/>
  <c r="G734" i="9"/>
  <c r="C734" i="9"/>
  <c r="J733" i="9"/>
  <c r="F733" i="9"/>
  <c r="B733" i="9"/>
  <c r="I732" i="9"/>
  <c r="E732" i="9"/>
  <c r="A732" i="9"/>
  <c r="H731" i="9"/>
  <c r="D731" i="9"/>
  <c r="K730" i="9"/>
  <c r="G730" i="9"/>
  <c r="C730" i="9"/>
  <c r="J729" i="9"/>
  <c r="F729" i="9"/>
  <c r="B729" i="9"/>
  <c r="I728" i="9"/>
  <c r="E728" i="9"/>
  <c r="A728" i="9"/>
  <c r="H727" i="9"/>
  <c r="D727" i="9"/>
  <c r="K726" i="9"/>
  <c r="G726" i="9"/>
  <c r="C726" i="9"/>
  <c r="J725" i="9"/>
  <c r="F725" i="9"/>
  <c r="B725" i="9"/>
  <c r="I724" i="9"/>
  <c r="E724" i="9"/>
  <c r="A724" i="9"/>
  <c r="H723" i="9"/>
  <c r="D723" i="9"/>
  <c r="K722" i="9"/>
  <c r="G722" i="9"/>
  <c r="C722" i="9"/>
  <c r="J721" i="9"/>
  <c r="F721" i="9"/>
  <c r="B721" i="9"/>
  <c r="I720" i="9"/>
  <c r="E720" i="9"/>
  <c r="A720" i="9"/>
  <c r="H719" i="9"/>
  <c r="D719" i="9"/>
  <c r="K718" i="9"/>
  <c r="G718" i="9"/>
  <c r="C718" i="9"/>
  <c r="J717" i="9"/>
  <c r="F717" i="9"/>
  <c r="B717" i="9"/>
  <c r="I716" i="9"/>
  <c r="E716" i="9"/>
  <c r="A716" i="9"/>
  <c r="H715" i="9"/>
  <c r="D715" i="9"/>
  <c r="K714" i="9"/>
  <c r="G714" i="9"/>
  <c r="C714" i="9"/>
  <c r="J713" i="9"/>
  <c r="F713" i="9"/>
  <c r="B713" i="9"/>
  <c r="I712" i="9"/>
  <c r="E712" i="9"/>
  <c r="A712" i="9"/>
  <c r="H711" i="9"/>
  <c r="D711" i="9"/>
  <c r="K710" i="9"/>
  <c r="G710" i="9"/>
  <c r="C710" i="9"/>
  <c r="J709" i="9"/>
  <c r="F709" i="9"/>
  <c r="B709" i="9"/>
  <c r="I708" i="9"/>
  <c r="E708" i="9"/>
  <c r="A708" i="9"/>
  <c r="H707" i="9"/>
  <c r="D707" i="9"/>
  <c r="K706" i="9"/>
  <c r="G706" i="9"/>
  <c r="C706" i="9"/>
  <c r="J705" i="9"/>
  <c r="F705" i="9"/>
  <c r="B705" i="9"/>
  <c r="I704" i="9"/>
  <c r="E704" i="9"/>
  <c r="A704" i="9"/>
  <c r="H703" i="9"/>
  <c r="D703" i="9"/>
  <c r="K702" i="9"/>
  <c r="G702" i="9"/>
  <c r="C702" i="9"/>
  <c r="J701" i="9"/>
  <c r="F701" i="9"/>
  <c r="B701" i="9"/>
  <c r="I700" i="9"/>
  <c r="E700" i="9"/>
  <c r="A700" i="9"/>
  <c r="H699" i="9"/>
  <c r="D699" i="9"/>
  <c r="K698" i="9"/>
  <c r="G698" i="9"/>
  <c r="C698" i="9"/>
  <c r="J697" i="9"/>
  <c r="F697" i="9"/>
  <c r="B697" i="9"/>
  <c r="I696" i="9"/>
  <c r="E696" i="9"/>
  <c r="A696" i="9"/>
  <c r="H695" i="9"/>
  <c r="D695" i="9"/>
  <c r="K694" i="9"/>
  <c r="G694" i="9"/>
  <c r="C694" i="9"/>
  <c r="J693" i="9"/>
  <c r="F693" i="9"/>
  <c r="B693" i="9"/>
  <c r="I692" i="9"/>
  <c r="E692" i="9"/>
  <c r="A692" i="9"/>
  <c r="H691" i="9"/>
  <c r="D691" i="9"/>
  <c r="K690" i="9"/>
  <c r="G690" i="9"/>
  <c r="C690" i="9"/>
  <c r="J689" i="9"/>
  <c r="F689" i="9"/>
  <c r="B689" i="9"/>
  <c r="I688" i="9"/>
  <c r="E688" i="9"/>
  <c r="A688" i="9"/>
  <c r="H687" i="9"/>
  <c r="D687" i="9"/>
  <c r="K686" i="9"/>
  <c r="G686" i="9"/>
  <c r="C686" i="9"/>
  <c r="J685" i="9"/>
  <c r="F685" i="9"/>
  <c r="B685" i="9"/>
  <c r="I684" i="9"/>
  <c r="E684" i="9"/>
  <c r="A684" i="9"/>
  <c r="H683" i="9"/>
  <c r="D683" i="9"/>
  <c r="K682" i="9"/>
  <c r="G682" i="9"/>
  <c r="C682" i="9"/>
  <c r="J681" i="9"/>
  <c r="F681" i="9"/>
  <c r="B681" i="9"/>
  <c r="I680" i="9"/>
  <c r="E680" i="9"/>
  <c r="A680" i="9"/>
  <c r="H679" i="9"/>
  <c r="D679" i="9"/>
  <c r="K678" i="9"/>
  <c r="G678" i="9"/>
  <c r="C678" i="9"/>
  <c r="J677" i="9"/>
  <c r="F677" i="9"/>
  <c r="B677" i="9"/>
  <c r="I676" i="9"/>
  <c r="E676" i="9"/>
  <c r="A676" i="9"/>
  <c r="H675" i="9"/>
  <c r="D675" i="9"/>
  <c r="K674" i="9"/>
  <c r="G674" i="9"/>
  <c r="C674" i="9"/>
  <c r="J673" i="9"/>
  <c r="F673" i="9"/>
  <c r="B673" i="9"/>
  <c r="I672" i="9"/>
  <c r="E672" i="9"/>
  <c r="A672" i="9"/>
  <c r="H671" i="9"/>
  <c r="D671" i="9"/>
  <c r="K670" i="9"/>
  <c r="G670" i="9"/>
  <c r="C670" i="9"/>
  <c r="J669" i="9"/>
  <c r="F669" i="9"/>
  <c r="B669" i="9"/>
  <c r="I668" i="9"/>
  <c r="E668" i="9"/>
  <c r="A668" i="9"/>
  <c r="H667" i="9"/>
  <c r="D667" i="9"/>
  <c r="K666" i="9"/>
  <c r="G666" i="9"/>
  <c r="C666" i="9"/>
  <c r="J665" i="9"/>
  <c r="F665" i="9"/>
  <c r="B665" i="9"/>
  <c r="I664" i="9"/>
  <c r="E664" i="9"/>
  <c r="A664" i="9"/>
  <c r="H663" i="9"/>
  <c r="D663" i="9"/>
  <c r="K662" i="9"/>
  <c r="G662" i="9"/>
  <c r="C662" i="9"/>
  <c r="J661" i="9"/>
  <c r="F661" i="9"/>
  <c r="B661" i="9"/>
  <c r="I660" i="9"/>
  <c r="E660" i="9"/>
  <c r="A660" i="9"/>
  <c r="H659" i="9"/>
  <c r="D659" i="9"/>
  <c r="K658" i="9"/>
  <c r="G658" i="9"/>
  <c r="C658" i="9"/>
  <c r="J657" i="9"/>
  <c r="F657" i="9"/>
  <c r="B657" i="9"/>
  <c r="I656" i="9"/>
  <c r="E656" i="9"/>
  <c r="A656" i="9"/>
  <c r="H655" i="9"/>
  <c r="D655" i="9"/>
  <c r="K654" i="9"/>
  <c r="G654" i="9"/>
  <c r="C654" i="9"/>
  <c r="J653" i="9"/>
  <c r="F653" i="9"/>
  <c r="B653" i="9"/>
  <c r="I652" i="9"/>
  <c r="E652" i="9"/>
  <c r="A652" i="9"/>
  <c r="H651" i="9"/>
  <c r="D651" i="9"/>
  <c r="K650" i="9"/>
  <c r="G650" i="9"/>
  <c r="C650" i="9"/>
  <c r="J649" i="9"/>
  <c r="F649" i="9"/>
  <c r="B649" i="9"/>
  <c r="I648" i="9"/>
  <c r="E648" i="9"/>
  <c r="A648" i="9"/>
  <c r="H647" i="9"/>
  <c r="D647" i="9"/>
  <c r="K646" i="9"/>
  <c r="G646" i="9"/>
  <c r="C646" i="9"/>
  <c r="J645" i="9"/>
  <c r="F645" i="9"/>
  <c r="B645" i="9"/>
  <c r="I644" i="9"/>
  <c r="E644" i="9"/>
  <c r="A644" i="9"/>
  <c r="H643" i="9"/>
  <c r="D643" i="9"/>
  <c r="K642" i="9"/>
  <c r="G642" i="9"/>
  <c r="C642" i="9"/>
  <c r="J641" i="9"/>
  <c r="F641" i="9"/>
  <c r="B641" i="9"/>
  <c r="I640" i="9"/>
  <c r="E640" i="9"/>
  <c r="A640" i="9"/>
  <c r="H639" i="9"/>
  <c r="D639" i="9"/>
  <c r="K638" i="9"/>
  <c r="G638" i="9"/>
  <c r="C638" i="9"/>
  <c r="J637" i="9"/>
  <c r="F637" i="9"/>
  <c r="B637" i="9"/>
  <c r="I636" i="9"/>
  <c r="E636" i="9"/>
  <c r="A636" i="9"/>
  <c r="H635" i="9"/>
  <c r="D635" i="9"/>
  <c r="K634" i="9"/>
  <c r="G634" i="9"/>
  <c r="C634" i="9"/>
  <c r="J633" i="9"/>
  <c r="F633" i="9"/>
  <c r="B633" i="9"/>
  <c r="I632" i="9"/>
  <c r="E632" i="9"/>
  <c r="A632" i="9"/>
  <c r="H631" i="9"/>
  <c r="D631" i="9"/>
  <c r="K630" i="9"/>
  <c r="G630" i="9"/>
  <c r="C630" i="9"/>
  <c r="J629" i="9"/>
  <c r="F629" i="9"/>
  <c r="B629" i="9"/>
  <c r="I628" i="9"/>
  <c r="E628" i="9"/>
  <c r="A628" i="9"/>
  <c r="H627" i="9"/>
  <c r="D627" i="9"/>
  <c r="G1302" i="9"/>
  <c r="I1269" i="9"/>
  <c r="E1253" i="9"/>
  <c r="G1241" i="9"/>
  <c r="K1229" i="9"/>
  <c r="D1218" i="9"/>
  <c r="H1206" i="9"/>
  <c r="K1194" i="9"/>
  <c r="I1186" i="9"/>
  <c r="K1180" i="9"/>
  <c r="B1175" i="9"/>
  <c r="D1169" i="9"/>
  <c r="F1163" i="9"/>
  <c r="H1157" i="9"/>
  <c r="J1151" i="9"/>
  <c r="A1146" i="9"/>
  <c r="A1142" i="9"/>
  <c r="B1139" i="9"/>
  <c r="C1136" i="9"/>
  <c r="D1133" i="9"/>
  <c r="E1130" i="9"/>
  <c r="F1127" i="9"/>
  <c r="G1124" i="9"/>
  <c r="H1121" i="9"/>
  <c r="I1118" i="9"/>
  <c r="J1115" i="9"/>
  <c r="K1112" i="9"/>
  <c r="A1110" i="9"/>
  <c r="B1107" i="9"/>
  <c r="C1104" i="9"/>
  <c r="B1101" i="9"/>
  <c r="B1098" i="9"/>
  <c r="C1095" i="9"/>
  <c r="C1092" i="9"/>
  <c r="A1089" i="9"/>
  <c r="A1086" i="9"/>
  <c r="B1083" i="9"/>
  <c r="C1080" i="9"/>
  <c r="D1077" i="9"/>
  <c r="D1074" i="9"/>
  <c r="E1071" i="9"/>
  <c r="E1068" i="9"/>
  <c r="F1065" i="9"/>
  <c r="F1062" i="9"/>
  <c r="D1059" i="9"/>
  <c r="C1056" i="9"/>
  <c r="D1053" i="9"/>
  <c r="D1050" i="9"/>
  <c r="C1047" i="9"/>
  <c r="D1044" i="9"/>
  <c r="E1041" i="9"/>
  <c r="E1038" i="9"/>
  <c r="E1035" i="9"/>
  <c r="E1032" i="9"/>
  <c r="D1029" i="9"/>
  <c r="E1026" i="9"/>
  <c r="D1023" i="9"/>
  <c r="C1020" i="9"/>
  <c r="A1017" i="9"/>
  <c r="A1014" i="9"/>
  <c r="B1011" i="9"/>
  <c r="C1008" i="9"/>
  <c r="D1005" i="9"/>
  <c r="E1002" i="9"/>
  <c r="E1000" i="9"/>
  <c r="K998" i="9"/>
  <c r="F997" i="9"/>
  <c r="A996" i="9"/>
  <c r="G994" i="9"/>
  <c r="B993" i="9"/>
  <c r="H991" i="9"/>
  <c r="C990" i="9"/>
  <c r="I988" i="9"/>
  <c r="D987" i="9"/>
  <c r="J985" i="9"/>
  <c r="E984" i="9"/>
  <c r="K982" i="9"/>
  <c r="F981" i="9"/>
  <c r="A980" i="9"/>
  <c r="G978" i="9"/>
  <c r="B977" i="9"/>
  <c r="H975" i="9"/>
  <c r="C974" i="9"/>
  <c r="I972" i="9"/>
  <c r="D971" i="9"/>
  <c r="J969" i="9"/>
  <c r="E968" i="9"/>
  <c r="K966" i="9"/>
  <c r="F965" i="9"/>
  <c r="A964" i="9"/>
  <c r="G962" i="9"/>
  <c r="B961" i="9"/>
  <c r="H959" i="9"/>
  <c r="C958" i="9"/>
  <c r="I956" i="9"/>
  <c r="D955" i="9"/>
  <c r="J953" i="9"/>
  <c r="E952" i="9"/>
  <c r="K950" i="9"/>
  <c r="F949" i="9"/>
  <c r="A948" i="9"/>
  <c r="G946" i="9"/>
  <c r="B945" i="9"/>
  <c r="H943" i="9"/>
  <c r="C942" i="9"/>
  <c r="I940" i="9"/>
  <c r="D939" i="9"/>
  <c r="J937" i="9"/>
  <c r="E936" i="9"/>
  <c r="K934" i="9"/>
  <c r="F933" i="9"/>
  <c r="A932" i="9"/>
  <c r="G930" i="9"/>
  <c r="B929" i="9"/>
  <c r="H927" i="9"/>
  <c r="C926" i="9"/>
  <c r="I924" i="9"/>
  <c r="D923" i="9"/>
  <c r="J921" i="9"/>
  <c r="E920" i="9"/>
  <c r="K918" i="9"/>
  <c r="F917" i="9"/>
  <c r="A916" i="9"/>
  <c r="G914" i="9"/>
  <c r="B913" i="9"/>
  <c r="H911" i="9"/>
  <c r="C910" i="9"/>
  <c r="I908" i="9"/>
  <c r="J907" i="9"/>
  <c r="B907" i="9"/>
  <c r="E906" i="9"/>
  <c r="H905" i="9"/>
  <c r="K904" i="9"/>
  <c r="C904" i="9"/>
  <c r="F903" i="9"/>
  <c r="H902" i="9"/>
  <c r="K901" i="9"/>
  <c r="B901" i="9"/>
  <c r="E900" i="9"/>
  <c r="H899" i="9"/>
  <c r="K898" i="9"/>
  <c r="C898" i="9"/>
  <c r="E897" i="9"/>
  <c r="H896" i="9"/>
  <c r="K895" i="9"/>
  <c r="C895" i="9"/>
  <c r="F894" i="9"/>
  <c r="I893" i="9"/>
  <c r="A893" i="9"/>
  <c r="D892" i="9"/>
  <c r="G891" i="9"/>
  <c r="J890" i="9"/>
  <c r="B890" i="9"/>
  <c r="E889" i="9"/>
  <c r="H888" i="9"/>
  <c r="K887" i="9"/>
  <c r="C887" i="9"/>
  <c r="F886" i="9"/>
  <c r="I885" i="9"/>
  <c r="A885" i="9"/>
  <c r="C884" i="9"/>
  <c r="E883" i="9"/>
  <c r="H882" i="9"/>
  <c r="K881" i="9"/>
  <c r="B881" i="9"/>
  <c r="D880" i="9"/>
  <c r="F879" i="9"/>
  <c r="H878" i="9"/>
  <c r="K877" i="9"/>
  <c r="B877" i="9"/>
  <c r="D876" i="9"/>
  <c r="F875" i="9"/>
  <c r="I874" i="9"/>
  <c r="A874" i="9"/>
  <c r="D873" i="9"/>
  <c r="G872" i="9"/>
  <c r="J871" i="9"/>
  <c r="A871" i="9"/>
  <c r="D870" i="9"/>
  <c r="G869" i="9"/>
  <c r="J868" i="9"/>
  <c r="A868" i="9"/>
  <c r="D867" i="9"/>
  <c r="G866" i="9"/>
  <c r="J865" i="9"/>
  <c r="B865" i="9"/>
  <c r="D864" i="9"/>
  <c r="G863" i="9"/>
  <c r="J862" i="9"/>
  <c r="B862" i="9"/>
  <c r="D861" i="9"/>
  <c r="G860" i="9"/>
  <c r="J859" i="9"/>
  <c r="B859" i="9"/>
  <c r="E858" i="9"/>
  <c r="H857" i="9"/>
  <c r="K856" i="9"/>
  <c r="C856" i="9"/>
  <c r="F855" i="9"/>
  <c r="I854" i="9"/>
  <c r="A854" i="9"/>
  <c r="D853" i="9"/>
  <c r="G852" i="9"/>
  <c r="J851" i="9"/>
  <c r="B851" i="9"/>
  <c r="D850" i="9"/>
  <c r="G849" i="9"/>
  <c r="J848" i="9"/>
  <c r="B848" i="9"/>
  <c r="D847" i="9"/>
  <c r="G846" i="9"/>
  <c r="J845" i="9"/>
  <c r="A845" i="9"/>
  <c r="D844" i="9"/>
  <c r="G843" i="9"/>
  <c r="J842" i="9"/>
  <c r="B842" i="9"/>
  <c r="D841" i="9"/>
  <c r="G840" i="9"/>
  <c r="J839" i="9"/>
  <c r="B839" i="9"/>
  <c r="E838" i="9"/>
  <c r="H837" i="9"/>
  <c r="K836" i="9"/>
  <c r="C836" i="9"/>
  <c r="F835" i="9"/>
  <c r="I834" i="9"/>
  <c r="A834" i="9"/>
  <c r="D833" i="9"/>
  <c r="G832" i="9"/>
  <c r="J831" i="9"/>
  <c r="B831" i="9"/>
  <c r="E830" i="9"/>
  <c r="H829" i="9"/>
  <c r="K828" i="9"/>
  <c r="C828" i="9"/>
  <c r="F827" i="9"/>
  <c r="I826" i="9"/>
  <c r="A826" i="9"/>
  <c r="D825" i="9"/>
  <c r="G824" i="9"/>
  <c r="J823" i="9"/>
  <c r="B823" i="9"/>
  <c r="E822" i="9"/>
  <c r="H821" i="9"/>
  <c r="K820" i="9"/>
  <c r="C820" i="9"/>
  <c r="F819" i="9"/>
  <c r="I818" i="9"/>
  <c r="A818" i="9"/>
  <c r="D817" i="9"/>
  <c r="F816" i="9"/>
  <c r="I815" i="9"/>
  <c r="A815" i="9"/>
  <c r="D814" i="9"/>
  <c r="G813" i="9"/>
  <c r="J812" i="9"/>
  <c r="B812" i="9"/>
  <c r="E811" i="9"/>
  <c r="H810" i="9"/>
  <c r="K809" i="9"/>
  <c r="C809" i="9"/>
  <c r="F808" i="9"/>
  <c r="I807" i="9"/>
  <c r="A807" i="9"/>
  <c r="D806" i="9"/>
  <c r="G805" i="9"/>
  <c r="J804" i="9"/>
  <c r="B804" i="9"/>
  <c r="E803" i="9"/>
  <c r="H802" i="9"/>
  <c r="K801" i="9"/>
  <c r="C801" i="9"/>
  <c r="F800" i="9"/>
  <c r="I799" i="9"/>
  <c r="A799" i="9"/>
  <c r="D798" i="9"/>
  <c r="G797" i="9"/>
  <c r="J796" i="9"/>
  <c r="B796" i="9"/>
  <c r="E795" i="9"/>
  <c r="H794" i="9"/>
  <c r="K793" i="9"/>
  <c r="C793" i="9"/>
  <c r="F792" i="9"/>
  <c r="I791" i="9"/>
  <c r="A791" i="9"/>
  <c r="D790" i="9"/>
  <c r="G789" i="9"/>
  <c r="J788" i="9"/>
  <c r="B788" i="9"/>
  <c r="E787" i="9"/>
  <c r="H786" i="9"/>
  <c r="K785" i="9"/>
  <c r="C785" i="9"/>
  <c r="F784" i="9"/>
  <c r="I783" i="9"/>
  <c r="A783" i="9"/>
  <c r="D782" i="9"/>
  <c r="G781" i="9"/>
  <c r="J780" i="9"/>
  <c r="B780" i="9"/>
  <c r="E779" i="9"/>
  <c r="H778" i="9"/>
  <c r="K777" i="9"/>
  <c r="C777" i="9"/>
  <c r="F776" i="9"/>
  <c r="I775" i="9"/>
  <c r="A775" i="9"/>
  <c r="D774" i="9"/>
  <c r="G773" i="9"/>
  <c r="J772" i="9"/>
  <c r="B772" i="9"/>
  <c r="E771" i="9"/>
  <c r="H770" i="9"/>
  <c r="K769" i="9"/>
  <c r="C769" i="9"/>
  <c r="F768" i="9"/>
  <c r="I767" i="9"/>
  <c r="A767" i="9"/>
  <c r="D766" i="9"/>
  <c r="G765" i="9"/>
  <c r="J764" i="9"/>
  <c r="B764" i="9"/>
  <c r="E763" i="9"/>
  <c r="H762" i="9"/>
  <c r="K761" i="9"/>
  <c r="C761" i="9"/>
  <c r="F760" i="9"/>
  <c r="I759" i="9"/>
  <c r="A759" i="9"/>
  <c r="D758" i="9"/>
  <c r="G757" i="9"/>
  <c r="J756" i="9"/>
  <c r="B756" i="9"/>
  <c r="E755" i="9"/>
  <c r="H754" i="9"/>
  <c r="K753" i="9"/>
  <c r="C753" i="9"/>
  <c r="F752" i="9"/>
  <c r="I751" i="9"/>
  <c r="A751" i="9"/>
  <c r="D750" i="9"/>
  <c r="G749" i="9"/>
  <c r="J748" i="9"/>
  <c r="B748" i="9"/>
  <c r="E747" i="9"/>
  <c r="H746" i="9"/>
  <c r="K745" i="9"/>
  <c r="C745" i="9"/>
  <c r="F744" i="9"/>
  <c r="I743" i="9"/>
  <c r="A743" i="9"/>
  <c r="D742" i="9"/>
  <c r="G741" i="9"/>
  <c r="J740" i="9"/>
  <c r="B740" i="9"/>
  <c r="E739" i="9"/>
  <c r="H738" i="9"/>
  <c r="K737" i="9"/>
  <c r="C737" i="9"/>
  <c r="F736" i="9"/>
  <c r="I735" i="9"/>
  <c r="A735" i="9"/>
  <c r="D734" i="9"/>
  <c r="G733" i="9"/>
  <c r="J732" i="9"/>
  <c r="B732" i="9"/>
  <c r="E731" i="9"/>
  <c r="H730" i="9"/>
  <c r="K729" i="9"/>
  <c r="C729" i="9"/>
  <c r="F728" i="9"/>
  <c r="I727" i="9"/>
  <c r="A727" i="9"/>
  <c r="D726" i="9"/>
  <c r="G725" i="9"/>
  <c r="J724" i="9"/>
  <c r="B724" i="9"/>
  <c r="E723" i="9"/>
  <c r="H722" i="9"/>
  <c r="K721" i="9"/>
  <c r="C721" i="9"/>
  <c r="F720" i="9"/>
  <c r="I719" i="9"/>
  <c r="A719" i="9"/>
  <c r="D718" i="9"/>
  <c r="G717" i="9"/>
  <c r="J716" i="9"/>
  <c r="B716" i="9"/>
  <c r="E715" i="9"/>
  <c r="H714" i="9"/>
  <c r="K713" i="9"/>
  <c r="C713" i="9"/>
  <c r="F712" i="9"/>
  <c r="I711" i="9"/>
  <c r="A711" i="9"/>
  <c r="D710" i="9"/>
  <c r="G709" i="9"/>
  <c r="J708" i="9"/>
  <c r="B708" i="9"/>
  <c r="E707" i="9"/>
  <c r="H706" i="9"/>
  <c r="K705" i="9"/>
  <c r="C705" i="9"/>
  <c r="F704" i="9"/>
  <c r="I703" i="9"/>
  <c r="A703" i="9"/>
  <c r="D702" i="9"/>
  <c r="G701" i="9"/>
  <c r="J700" i="9"/>
  <c r="B700" i="9"/>
  <c r="E699" i="9"/>
  <c r="H698" i="9"/>
  <c r="K697" i="9"/>
  <c r="C697" i="9"/>
  <c r="F696" i="9"/>
  <c r="I695" i="9"/>
  <c r="A695" i="9"/>
  <c r="D694" i="9"/>
  <c r="G693" i="9"/>
  <c r="J692" i="9"/>
  <c r="B692" i="9"/>
  <c r="E691" i="9"/>
  <c r="H690" i="9"/>
  <c r="K689" i="9"/>
  <c r="C689" i="9"/>
  <c r="F688" i="9"/>
  <c r="I687" i="9"/>
  <c r="A687" i="9"/>
  <c r="D686" i="9"/>
  <c r="G685" i="9"/>
  <c r="J684" i="9"/>
  <c r="B684" i="9"/>
  <c r="E683" i="9"/>
  <c r="H682" i="9"/>
  <c r="K681" i="9"/>
  <c r="C681" i="9"/>
  <c r="F680" i="9"/>
  <c r="I679" i="9"/>
  <c r="A679" i="9"/>
  <c r="D678" i="9"/>
  <c r="G677" i="9"/>
  <c r="J676" i="9"/>
  <c r="B676" i="9"/>
  <c r="E675" i="9"/>
  <c r="H674" i="9"/>
  <c r="K673" i="9"/>
  <c r="C673" i="9"/>
  <c r="F672" i="9"/>
  <c r="I671" i="9"/>
  <c r="A671" i="9"/>
  <c r="D670" i="9"/>
  <c r="G669" i="9"/>
  <c r="J668" i="9"/>
  <c r="B668" i="9"/>
  <c r="E667" i="9"/>
  <c r="H666" i="9"/>
  <c r="K665" i="9"/>
  <c r="C665" i="9"/>
  <c r="F664" i="9"/>
  <c r="I663" i="9"/>
  <c r="A663" i="9"/>
  <c r="D662" i="9"/>
  <c r="G661" i="9"/>
  <c r="J660" i="9"/>
  <c r="B660" i="9"/>
  <c r="E659" i="9"/>
  <c r="H658" i="9"/>
  <c r="K657" i="9"/>
  <c r="C657" i="9"/>
  <c r="F656" i="9"/>
  <c r="I655" i="9"/>
  <c r="A655" i="9"/>
  <c r="D654" i="9"/>
  <c r="G653" i="9"/>
  <c r="J652" i="9"/>
  <c r="B652" i="9"/>
  <c r="E651" i="9"/>
  <c r="H650" i="9"/>
  <c r="K649" i="9"/>
  <c r="C649" i="9"/>
  <c r="F648" i="9"/>
  <c r="I647" i="9"/>
  <c r="A647" i="9"/>
  <c r="D646" i="9"/>
  <c r="G645" i="9"/>
  <c r="J644" i="9"/>
  <c r="B644" i="9"/>
  <c r="E643" i="9"/>
  <c r="H642" i="9"/>
  <c r="K641" i="9"/>
  <c r="C641" i="9"/>
  <c r="F640" i="9"/>
  <c r="I639" i="9"/>
  <c r="A639" i="9"/>
  <c r="D638" i="9"/>
  <c r="G637" i="9"/>
  <c r="J636" i="9"/>
  <c r="B636" i="9"/>
  <c r="E635" i="9"/>
  <c r="H634" i="9"/>
  <c r="K633" i="9"/>
  <c r="C633" i="9"/>
  <c r="F632" i="9"/>
  <c r="I631" i="9"/>
  <c r="A631" i="9"/>
  <c r="D630" i="9"/>
  <c r="G629" i="9"/>
  <c r="J628" i="9"/>
  <c r="B628" i="9"/>
  <c r="E627" i="9"/>
  <c r="K626" i="9"/>
  <c r="G626" i="9"/>
  <c r="C626" i="9"/>
  <c r="J625" i="9"/>
  <c r="F625" i="9"/>
  <c r="B625" i="9"/>
  <c r="I624" i="9"/>
  <c r="E624" i="9"/>
  <c r="A624" i="9"/>
  <c r="H623" i="9"/>
  <c r="D623" i="9"/>
  <c r="K622" i="9"/>
  <c r="G622" i="9"/>
  <c r="C622" i="9"/>
  <c r="J621" i="9"/>
  <c r="F621" i="9"/>
  <c r="B621" i="9"/>
  <c r="I620" i="9"/>
  <c r="E620" i="9"/>
  <c r="A620" i="9"/>
  <c r="H619" i="9"/>
  <c r="D619" i="9"/>
  <c r="K618" i="9"/>
  <c r="G618" i="9"/>
  <c r="C618" i="9"/>
  <c r="J617" i="9"/>
  <c r="F617" i="9"/>
  <c r="B617" i="9"/>
  <c r="I616" i="9"/>
  <c r="E616" i="9"/>
  <c r="A616" i="9"/>
  <c r="H615" i="9"/>
  <c r="D615" i="9"/>
  <c r="K614" i="9"/>
  <c r="G614" i="9"/>
  <c r="C614" i="9"/>
  <c r="J613" i="9"/>
  <c r="F613" i="9"/>
  <c r="B613" i="9"/>
  <c r="I612" i="9"/>
  <c r="E612" i="9"/>
  <c r="A612" i="9"/>
  <c r="H611" i="9"/>
  <c r="D611" i="9"/>
  <c r="K610" i="9"/>
  <c r="G610" i="9"/>
  <c r="C610" i="9"/>
  <c r="J609" i="9"/>
  <c r="F609" i="9"/>
  <c r="B609" i="9"/>
  <c r="I608" i="9"/>
  <c r="E608" i="9"/>
  <c r="A608" i="9"/>
  <c r="H607" i="9"/>
  <c r="D607" i="9"/>
  <c r="K606" i="9"/>
  <c r="G606" i="9"/>
  <c r="C606" i="9"/>
  <c r="J605" i="9"/>
  <c r="F605" i="9"/>
  <c r="B605" i="9"/>
  <c r="I604" i="9"/>
  <c r="E604" i="9"/>
  <c r="A604" i="9"/>
  <c r="H603" i="9"/>
  <c r="D603" i="9"/>
  <c r="K602" i="9"/>
  <c r="G602" i="9"/>
  <c r="C602" i="9"/>
  <c r="J601" i="9"/>
  <c r="F601" i="9"/>
  <c r="B601" i="9"/>
  <c r="I600" i="9"/>
  <c r="E600" i="9"/>
  <c r="A600" i="9"/>
  <c r="H599" i="9"/>
  <c r="D599" i="9"/>
  <c r="K598" i="9"/>
  <c r="G598" i="9"/>
  <c r="C598" i="9"/>
  <c r="J597" i="9"/>
  <c r="F597" i="9"/>
  <c r="B597" i="9"/>
  <c r="I596" i="9"/>
  <c r="E596" i="9"/>
  <c r="A596" i="9"/>
  <c r="H595" i="9"/>
  <c r="D595" i="9"/>
  <c r="K594" i="9"/>
  <c r="G594" i="9"/>
  <c r="C594" i="9"/>
  <c r="J593" i="9"/>
  <c r="F593" i="9"/>
  <c r="B593" i="9"/>
  <c r="I592" i="9"/>
  <c r="E592" i="9"/>
  <c r="A592" i="9"/>
  <c r="H591" i="9"/>
  <c r="D591" i="9"/>
  <c r="K590" i="9"/>
  <c r="G590" i="9"/>
  <c r="C590" i="9"/>
  <c r="J589" i="9"/>
  <c r="F589" i="9"/>
  <c r="B589" i="9"/>
  <c r="I588" i="9"/>
  <c r="E588" i="9"/>
  <c r="A588" i="9"/>
  <c r="H587" i="9"/>
  <c r="D587" i="9"/>
  <c r="K586" i="9"/>
  <c r="G586" i="9"/>
  <c r="C586" i="9"/>
  <c r="J585" i="9"/>
  <c r="F585" i="9"/>
  <c r="B585" i="9"/>
  <c r="I584" i="9"/>
  <c r="E584" i="9"/>
  <c r="A584" i="9"/>
  <c r="H583" i="9"/>
  <c r="D583" i="9"/>
  <c r="K582" i="9"/>
  <c r="G582" i="9"/>
  <c r="C582" i="9"/>
  <c r="J581" i="9"/>
  <c r="F581" i="9"/>
  <c r="B581" i="9"/>
  <c r="I580" i="9"/>
  <c r="E580" i="9"/>
  <c r="A580" i="9"/>
  <c r="H579" i="9"/>
  <c r="D579" i="9"/>
  <c r="K578" i="9"/>
  <c r="G578" i="9"/>
  <c r="C578" i="9"/>
  <c r="J577" i="9"/>
  <c r="F577" i="9"/>
  <c r="B577" i="9"/>
  <c r="I576" i="9"/>
  <c r="E576" i="9"/>
  <c r="A576" i="9"/>
  <c r="H575" i="9"/>
  <c r="D575" i="9"/>
  <c r="K574" i="9"/>
  <c r="G574" i="9"/>
  <c r="C574" i="9"/>
  <c r="J573" i="9"/>
  <c r="F573" i="9"/>
  <c r="B573" i="9"/>
  <c r="I572" i="9"/>
  <c r="E572" i="9"/>
  <c r="A572" i="9"/>
  <c r="H571" i="9"/>
  <c r="D571" i="9"/>
  <c r="K570" i="9"/>
  <c r="G570" i="9"/>
  <c r="C570" i="9"/>
  <c r="J569" i="9"/>
  <c r="F569" i="9"/>
  <c r="B569" i="9"/>
  <c r="I568" i="9"/>
  <c r="E568" i="9"/>
  <c r="A568" i="9"/>
  <c r="H567" i="9"/>
  <c r="D567" i="9"/>
  <c r="K566" i="9"/>
  <c r="G566" i="9"/>
  <c r="C566" i="9"/>
  <c r="J565" i="9"/>
  <c r="F565" i="9"/>
  <c r="B565" i="9"/>
  <c r="I564" i="9"/>
  <c r="E564" i="9"/>
  <c r="A564" i="9"/>
  <c r="H563" i="9"/>
  <c r="D563" i="9"/>
  <c r="K562" i="9"/>
  <c r="G562" i="9"/>
  <c r="C562" i="9"/>
  <c r="J561" i="9"/>
  <c r="F561" i="9"/>
  <c r="B561" i="9"/>
  <c r="I560" i="9"/>
  <c r="E560" i="9"/>
  <c r="A560" i="9"/>
  <c r="H559" i="9"/>
  <c r="D559" i="9"/>
  <c r="K558" i="9"/>
  <c r="G558" i="9"/>
  <c r="C558" i="9"/>
  <c r="J557" i="9"/>
  <c r="F557" i="9"/>
  <c r="B557" i="9"/>
  <c r="I556" i="9"/>
  <c r="E556" i="9"/>
  <c r="A556" i="9"/>
  <c r="H555" i="9"/>
  <c r="D555" i="9"/>
  <c r="K554" i="9"/>
  <c r="G554" i="9"/>
  <c r="C554" i="9"/>
  <c r="J553" i="9"/>
  <c r="F553" i="9"/>
  <c r="B553" i="9"/>
  <c r="I552" i="9"/>
  <c r="E552" i="9"/>
  <c r="A552" i="9"/>
  <c r="H551" i="9"/>
  <c r="D551" i="9"/>
  <c r="K550" i="9"/>
  <c r="G550" i="9"/>
  <c r="C550" i="9"/>
  <c r="J549" i="9"/>
  <c r="F549" i="9"/>
  <c r="B549" i="9"/>
  <c r="I548" i="9"/>
  <c r="E548" i="9"/>
  <c r="A548" i="9"/>
  <c r="H547" i="9"/>
  <c r="D547" i="9"/>
  <c r="K546" i="9"/>
  <c r="G546" i="9"/>
  <c r="C546" i="9"/>
  <c r="J545" i="9"/>
  <c r="F545" i="9"/>
  <c r="B545" i="9"/>
  <c r="I544" i="9"/>
  <c r="E544" i="9"/>
  <c r="A544" i="9"/>
  <c r="H543" i="9"/>
  <c r="D543" i="9"/>
  <c r="K542" i="9"/>
  <c r="G542" i="9"/>
  <c r="C542" i="9"/>
  <c r="J541" i="9"/>
  <c r="F541" i="9"/>
  <c r="B541" i="9"/>
  <c r="I540" i="9"/>
  <c r="E540" i="9"/>
  <c r="A540" i="9"/>
  <c r="H539" i="9"/>
  <c r="D539" i="9"/>
  <c r="K538" i="9"/>
  <c r="G538" i="9"/>
  <c r="C538" i="9"/>
  <c r="J537" i="9"/>
  <c r="F537" i="9"/>
  <c r="B537" i="9"/>
  <c r="I536" i="9"/>
  <c r="E536" i="9"/>
  <c r="A536" i="9"/>
  <c r="H535" i="9"/>
  <c r="D535" i="9"/>
  <c r="K534" i="9"/>
  <c r="G534" i="9"/>
  <c r="C534" i="9"/>
  <c r="J533" i="9"/>
  <c r="F533" i="9"/>
  <c r="B533" i="9"/>
  <c r="I532" i="9"/>
  <c r="E532" i="9"/>
  <c r="A532" i="9"/>
  <c r="H531" i="9"/>
  <c r="D531" i="9"/>
  <c r="K530" i="9"/>
  <c r="G530" i="9"/>
  <c r="C530" i="9"/>
  <c r="J529" i="9"/>
  <c r="F529" i="9"/>
  <c r="B529" i="9"/>
  <c r="I528" i="9"/>
  <c r="E528" i="9"/>
  <c r="A528" i="9"/>
  <c r="H527" i="9"/>
  <c r="D527" i="9"/>
  <c r="K526" i="9"/>
  <c r="G526" i="9"/>
  <c r="C526" i="9"/>
  <c r="J525" i="9"/>
  <c r="F525" i="9"/>
  <c r="B525" i="9"/>
  <c r="I524" i="9"/>
  <c r="E524" i="9"/>
  <c r="A524" i="9"/>
  <c r="H523" i="9"/>
  <c r="D523" i="9"/>
  <c r="K522" i="9"/>
  <c r="G522" i="9"/>
  <c r="C522" i="9"/>
  <c r="J521" i="9"/>
  <c r="F521" i="9"/>
  <c r="B521" i="9"/>
  <c r="I520" i="9"/>
  <c r="E520" i="9"/>
  <c r="A520" i="9"/>
  <c r="H519" i="9"/>
  <c r="D519" i="9"/>
  <c r="K518" i="9"/>
  <c r="G518" i="9"/>
  <c r="C518" i="9"/>
  <c r="J517" i="9"/>
  <c r="F517" i="9"/>
  <c r="B517" i="9"/>
  <c r="I516" i="9"/>
  <c r="E516" i="9"/>
  <c r="A516" i="9"/>
  <c r="H515" i="9"/>
  <c r="D515" i="9"/>
  <c r="K514" i="9"/>
  <c r="G514" i="9"/>
  <c r="C514" i="9"/>
  <c r="J513" i="9"/>
  <c r="F513" i="9"/>
  <c r="B513" i="9"/>
  <c r="I512" i="9"/>
  <c r="E512" i="9"/>
  <c r="A512" i="9"/>
  <c r="H511" i="9"/>
  <c r="D511" i="9"/>
  <c r="K510" i="9"/>
  <c r="G510" i="9"/>
  <c r="C510" i="9"/>
  <c r="J509" i="9"/>
  <c r="F509" i="9"/>
  <c r="B509" i="9"/>
  <c r="I508" i="9"/>
  <c r="E508" i="9"/>
  <c r="A508" i="9"/>
  <c r="H507" i="9"/>
  <c r="D507" i="9"/>
  <c r="K506" i="9"/>
  <c r="G506" i="9"/>
  <c r="C506" i="9"/>
  <c r="J505" i="9"/>
  <c r="F505" i="9"/>
  <c r="B505" i="9"/>
  <c r="I504" i="9"/>
  <c r="E504" i="9"/>
  <c r="A504" i="9"/>
  <c r="H503" i="9"/>
  <c r="D503" i="9"/>
  <c r="K502" i="9"/>
  <c r="G502" i="9"/>
  <c r="C502" i="9"/>
  <c r="J501" i="9"/>
  <c r="F501" i="9"/>
  <c r="B501" i="9"/>
  <c r="I500" i="9"/>
  <c r="E500" i="9"/>
  <c r="A500" i="9"/>
  <c r="H499" i="9"/>
  <c r="D499" i="9"/>
  <c r="K498" i="9"/>
  <c r="G498" i="9"/>
  <c r="C498" i="9"/>
  <c r="J497" i="9"/>
  <c r="F497" i="9"/>
  <c r="B497" i="9"/>
  <c r="I496" i="9"/>
  <c r="E496" i="9"/>
  <c r="A496" i="9"/>
  <c r="H495" i="9"/>
  <c r="D495" i="9"/>
  <c r="K494" i="9"/>
  <c r="G494" i="9"/>
  <c r="C494" i="9"/>
  <c r="J493" i="9"/>
  <c r="F493" i="9"/>
  <c r="B493" i="9"/>
  <c r="I492" i="9"/>
  <c r="E492" i="9"/>
  <c r="A492" i="9"/>
  <c r="H491" i="9"/>
  <c r="D491" i="9"/>
  <c r="K490" i="9"/>
  <c r="G490" i="9"/>
  <c r="C490" i="9"/>
  <c r="J489" i="9"/>
  <c r="F489" i="9"/>
  <c r="B489" i="9"/>
  <c r="I488" i="9"/>
  <c r="E488" i="9"/>
  <c r="A488" i="9"/>
  <c r="H487" i="9"/>
  <c r="D487" i="9"/>
  <c r="K486" i="9"/>
  <c r="G486" i="9"/>
  <c r="C486" i="9"/>
  <c r="J485" i="9"/>
  <c r="F485" i="9"/>
  <c r="B485" i="9"/>
  <c r="I484" i="9"/>
  <c r="E484" i="9"/>
  <c r="A484" i="9"/>
  <c r="H483" i="9"/>
  <c r="D483" i="9"/>
  <c r="K482" i="9"/>
  <c r="G482" i="9"/>
  <c r="C482" i="9"/>
  <c r="J481" i="9"/>
  <c r="F481" i="9"/>
  <c r="B481" i="9"/>
  <c r="I480" i="9"/>
  <c r="E480" i="9"/>
  <c r="A480" i="9"/>
  <c r="H479" i="9"/>
  <c r="D479" i="9"/>
  <c r="K478" i="9"/>
  <c r="G478" i="9"/>
  <c r="C478" i="9"/>
  <c r="J477" i="9"/>
  <c r="F477" i="9"/>
  <c r="B477" i="9"/>
  <c r="I476" i="9"/>
  <c r="E476" i="9"/>
  <c r="A476" i="9"/>
  <c r="H475" i="9"/>
  <c r="D475" i="9"/>
  <c r="K474" i="9"/>
  <c r="G474" i="9"/>
  <c r="C474" i="9"/>
  <c r="J473" i="9"/>
  <c r="F473" i="9"/>
  <c r="B473" i="9"/>
  <c r="I472" i="9"/>
  <c r="E472" i="9"/>
  <c r="A472" i="9"/>
  <c r="H471" i="9"/>
  <c r="D471" i="9"/>
  <c r="K470" i="9"/>
  <c r="G470" i="9"/>
  <c r="C470" i="9"/>
  <c r="J469" i="9"/>
  <c r="F469" i="9"/>
  <c r="B469" i="9"/>
  <c r="I468" i="9"/>
  <c r="E468" i="9"/>
  <c r="A468" i="9"/>
  <c r="H467" i="9"/>
  <c r="D467" i="9"/>
  <c r="K466" i="9"/>
  <c r="G466" i="9"/>
  <c r="C466" i="9"/>
  <c r="J465" i="9"/>
  <c r="F465" i="9"/>
  <c r="B465" i="9"/>
  <c r="I464" i="9"/>
  <c r="E464" i="9"/>
  <c r="A464" i="9"/>
  <c r="H463" i="9"/>
  <c r="D463" i="9"/>
  <c r="K462" i="9"/>
  <c r="G462" i="9"/>
  <c r="C462" i="9"/>
  <c r="J461" i="9"/>
  <c r="F461" i="9"/>
  <c r="B461" i="9"/>
  <c r="I460" i="9"/>
  <c r="E460" i="9"/>
  <c r="A460" i="9"/>
  <c r="H459" i="9"/>
  <c r="D459" i="9"/>
  <c r="K458" i="9"/>
  <c r="G458" i="9"/>
  <c r="C458" i="9"/>
  <c r="J457" i="9"/>
  <c r="F457" i="9"/>
  <c r="B457" i="9"/>
  <c r="I456" i="9"/>
  <c r="E456" i="9"/>
  <c r="A456" i="9"/>
  <c r="H455" i="9"/>
  <c r="D455" i="9"/>
  <c r="K454" i="9"/>
  <c r="G454" i="9"/>
  <c r="C454" i="9"/>
  <c r="J453" i="9"/>
  <c r="F453" i="9"/>
  <c r="B453" i="9"/>
  <c r="I452" i="9"/>
  <c r="E452" i="9"/>
  <c r="A452" i="9"/>
  <c r="H451" i="9"/>
  <c r="D451" i="9"/>
  <c r="K450" i="9"/>
  <c r="G450" i="9"/>
  <c r="C450" i="9"/>
  <c r="J449" i="9"/>
  <c r="F449" i="9"/>
  <c r="B449" i="9"/>
  <c r="I448" i="9"/>
  <c r="E448" i="9"/>
  <c r="A448" i="9"/>
  <c r="H447" i="9"/>
  <c r="D447" i="9"/>
  <c r="K446" i="9"/>
  <c r="G446" i="9"/>
  <c r="C446" i="9"/>
  <c r="J445" i="9"/>
  <c r="F445" i="9"/>
  <c r="B445" i="9"/>
  <c r="I444" i="9"/>
  <c r="E444" i="9"/>
  <c r="A444" i="9"/>
  <c r="H443" i="9"/>
  <c r="D443" i="9"/>
  <c r="K442" i="9"/>
  <c r="G442" i="9"/>
  <c r="C442" i="9"/>
  <c r="J441" i="9"/>
  <c r="F441" i="9"/>
  <c r="C1314" i="9"/>
  <c r="D1256" i="9"/>
  <c r="J1232" i="9"/>
  <c r="G1209" i="9"/>
  <c r="C1188" i="9"/>
  <c r="G1176" i="9"/>
  <c r="K1164" i="9"/>
  <c r="D1153" i="9"/>
  <c r="I1142" i="9"/>
  <c r="K1136" i="9"/>
  <c r="B1131" i="9"/>
  <c r="D1125" i="9"/>
  <c r="F1119" i="9"/>
  <c r="H1113" i="9"/>
  <c r="J1107" i="9"/>
  <c r="K1101" i="9"/>
  <c r="K1095" i="9"/>
  <c r="J1089" i="9"/>
  <c r="J1083" i="9"/>
  <c r="A1078" i="9"/>
  <c r="B1072" i="9"/>
  <c r="C1066" i="9"/>
  <c r="B1060" i="9"/>
  <c r="A1054" i="9"/>
  <c r="A1048" i="9"/>
  <c r="B1042" i="9"/>
  <c r="B1036" i="9"/>
  <c r="A1030" i="9"/>
  <c r="B1024" i="9"/>
  <c r="J1017" i="9"/>
  <c r="J1011" i="9"/>
  <c r="A1006" i="9"/>
  <c r="I1000" i="9"/>
  <c r="J997" i="9"/>
  <c r="K994" i="9"/>
  <c r="A992" i="9"/>
  <c r="B989" i="9"/>
  <c r="C986" i="9"/>
  <c r="D983" i="9"/>
  <c r="E980" i="9"/>
  <c r="F977" i="9"/>
  <c r="G974" i="9"/>
  <c r="H971" i="9"/>
  <c r="I968" i="9"/>
  <c r="J965" i="9"/>
  <c r="K962" i="9"/>
  <c r="A960" i="9"/>
  <c r="B957" i="9"/>
  <c r="C954" i="9"/>
  <c r="D951" i="9"/>
  <c r="E948" i="9"/>
  <c r="F945" i="9"/>
  <c r="G942" i="9"/>
  <c r="H939" i="9"/>
  <c r="I936" i="9"/>
  <c r="J933" i="9"/>
  <c r="K930" i="9"/>
  <c r="A928" i="9"/>
  <c r="B925" i="9"/>
  <c r="C922" i="9"/>
  <c r="D919" i="9"/>
  <c r="E916" i="9"/>
  <c r="F913" i="9"/>
  <c r="G910" i="9"/>
  <c r="A908" i="9"/>
  <c r="G906" i="9"/>
  <c r="B905" i="9"/>
  <c r="H903" i="9"/>
  <c r="B902" i="9"/>
  <c r="G900" i="9"/>
  <c r="B899" i="9"/>
  <c r="G897" i="9"/>
  <c r="B896" i="9"/>
  <c r="H894" i="9"/>
  <c r="C893" i="9"/>
  <c r="I891" i="9"/>
  <c r="D890" i="9"/>
  <c r="J888" i="9"/>
  <c r="E887" i="9"/>
  <c r="K885" i="9"/>
  <c r="E884" i="9"/>
  <c r="J882" i="9"/>
  <c r="D881" i="9"/>
  <c r="H879" i="9"/>
  <c r="B878" i="9"/>
  <c r="F876" i="9"/>
  <c r="K874" i="9"/>
  <c r="F873" i="9"/>
  <c r="A872" i="9"/>
  <c r="F870" i="9"/>
  <c r="A869" i="9"/>
  <c r="F867" i="9"/>
  <c r="A866" i="9"/>
  <c r="F864" i="9"/>
  <c r="A863" i="9"/>
  <c r="F861" i="9"/>
  <c r="A860" i="9"/>
  <c r="G858" i="9"/>
  <c r="B857" i="9"/>
  <c r="H855" i="9"/>
  <c r="C854" i="9"/>
  <c r="I852" i="9"/>
  <c r="D851" i="9"/>
  <c r="I849" i="9"/>
  <c r="D848" i="9"/>
  <c r="I846" i="9"/>
  <c r="C845" i="9"/>
  <c r="I843" i="9"/>
  <c r="D842" i="9"/>
  <c r="I840" i="9"/>
  <c r="D839" i="9"/>
  <c r="J837" i="9"/>
  <c r="E836" i="9"/>
  <c r="K834" i="9"/>
  <c r="F833" i="9"/>
  <c r="A832" i="9"/>
  <c r="G830" i="9"/>
  <c r="B829" i="9"/>
  <c r="H827" i="9"/>
  <c r="C826" i="9"/>
  <c r="I824" i="9"/>
  <c r="D823" i="9"/>
  <c r="J821" i="9"/>
  <c r="E820" i="9"/>
  <c r="K818" i="9"/>
  <c r="F817" i="9"/>
  <c r="K815" i="9"/>
  <c r="F814" i="9"/>
  <c r="A813" i="9"/>
  <c r="G811" i="9"/>
  <c r="B810" i="9"/>
  <c r="H808" i="9"/>
  <c r="C807" i="9"/>
  <c r="I805" i="9"/>
  <c r="D804" i="9"/>
  <c r="J802" i="9"/>
  <c r="E801" i="9"/>
  <c r="K799" i="9"/>
  <c r="F798" i="9"/>
  <c r="A797" i="9"/>
  <c r="G795" i="9"/>
  <c r="B794" i="9"/>
  <c r="H792" i="9"/>
  <c r="C791" i="9"/>
  <c r="I789" i="9"/>
  <c r="D788" i="9"/>
  <c r="J786" i="9"/>
  <c r="E785" i="9"/>
  <c r="K783" i="9"/>
  <c r="F782" i="9"/>
  <c r="A781" i="9"/>
  <c r="G779" i="9"/>
  <c r="B778" i="9"/>
  <c r="H776" i="9"/>
  <c r="C775" i="9"/>
  <c r="I773" i="9"/>
  <c r="D772" i="9"/>
  <c r="J770" i="9"/>
  <c r="E769" i="9"/>
  <c r="K767" i="9"/>
  <c r="F766" i="9"/>
  <c r="A765" i="9"/>
  <c r="G763" i="9"/>
  <c r="B762" i="9"/>
  <c r="H760" i="9"/>
  <c r="C759" i="9"/>
  <c r="I757" i="9"/>
  <c r="D756" i="9"/>
  <c r="J754" i="9"/>
  <c r="E753" i="9"/>
  <c r="K751" i="9"/>
  <c r="F750" i="9"/>
  <c r="A749" i="9"/>
  <c r="G747" i="9"/>
  <c r="B746" i="9"/>
  <c r="H744" i="9"/>
  <c r="C743" i="9"/>
  <c r="I741" i="9"/>
  <c r="D740" i="9"/>
  <c r="J738" i="9"/>
  <c r="E737" i="9"/>
  <c r="K735" i="9"/>
  <c r="F734" i="9"/>
  <c r="A733" i="9"/>
  <c r="G731" i="9"/>
  <c r="B730" i="9"/>
  <c r="H728" i="9"/>
  <c r="C727" i="9"/>
  <c r="I725" i="9"/>
  <c r="D724" i="9"/>
  <c r="J722" i="9"/>
  <c r="E721" i="9"/>
  <c r="K719" i="9"/>
  <c r="F718" i="9"/>
  <c r="A717" i="9"/>
  <c r="G715" i="9"/>
  <c r="B714" i="9"/>
  <c r="H712" i="9"/>
  <c r="C711" i="9"/>
  <c r="I709" i="9"/>
  <c r="D708" i="9"/>
  <c r="J706" i="9"/>
  <c r="E705" i="9"/>
  <c r="K703" i="9"/>
  <c r="F702" i="9"/>
  <c r="A701" i="9"/>
  <c r="G699" i="9"/>
  <c r="B698" i="9"/>
  <c r="H696" i="9"/>
  <c r="C695" i="9"/>
  <c r="I693" i="9"/>
  <c r="D692" i="9"/>
  <c r="J690" i="9"/>
  <c r="E689" i="9"/>
  <c r="K687" i="9"/>
  <c r="F686" i="9"/>
  <c r="A685" i="9"/>
  <c r="G683" i="9"/>
  <c r="B682" i="9"/>
  <c r="H680" i="9"/>
  <c r="C679" i="9"/>
  <c r="I677" i="9"/>
  <c r="D676" i="9"/>
  <c r="J674" i="9"/>
  <c r="E673" i="9"/>
  <c r="K671" i="9"/>
  <c r="F670" i="9"/>
  <c r="A669" i="9"/>
  <c r="G667" i="9"/>
  <c r="B666" i="9"/>
  <c r="H664" i="9"/>
  <c r="C663" i="9"/>
  <c r="I661" i="9"/>
  <c r="D660" i="9"/>
  <c r="J658" i="9"/>
  <c r="E657" i="9"/>
  <c r="K655" i="9"/>
  <c r="F654" i="9"/>
  <c r="A653" i="9"/>
  <c r="G651" i="9"/>
  <c r="B650" i="9"/>
  <c r="H648" i="9"/>
  <c r="C647" i="9"/>
  <c r="I645" i="9"/>
  <c r="D644" i="9"/>
  <c r="J642" i="9"/>
  <c r="E641" i="9"/>
  <c r="K639" i="9"/>
  <c r="F638" i="9"/>
  <c r="A637" i="9"/>
  <c r="G635" i="9"/>
  <c r="B634" i="9"/>
  <c r="H632" i="9"/>
  <c r="C631" i="9"/>
  <c r="I629" i="9"/>
  <c r="D628" i="9"/>
  <c r="A627" i="9"/>
  <c r="D626" i="9"/>
  <c r="G625" i="9"/>
  <c r="J624" i="9"/>
  <c r="B624" i="9"/>
  <c r="E623" i="9"/>
  <c r="H622" i="9"/>
  <c r="K621" i="9"/>
  <c r="C621" i="9"/>
  <c r="F620" i="9"/>
  <c r="I619" i="9"/>
  <c r="A619" i="9"/>
  <c r="D618" i="9"/>
  <c r="G617" i="9"/>
  <c r="J616" i="9"/>
  <c r="B616" i="9"/>
  <c r="E615" i="9"/>
  <c r="H614" i="9"/>
  <c r="K613" i="9"/>
  <c r="C613" i="9"/>
  <c r="F612" i="9"/>
  <c r="I611" i="9"/>
  <c r="A611" i="9"/>
  <c r="D610" i="9"/>
  <c r="G609" i="9"/>
  <c r="J608" i="9"/>
  <c r="B608" i="9"/>
  <c r="E607" i="9"/>
  <c r="H606" i="9"/>
  <c r="K605" i="9"/>
  <c r="C605" i="9"/>
  <c r="F604" i="9"/>
  <c r="I603" i="9"/>
  <c r="A603" i="9"/>
  <c r="D602" i="9"/>
  <c r="G601" i="9"/>
  <c r="J600" i="9"/>
  <c r="B600" i="9"/>
  <c r="E599" i="9"/>
  <c r="H598" i="9"/>
  <c r="K597" i="9"/>
  <c r="C597" i="9"/>
  <c r="F596" i="9"/>
  <c r="I595" i="9"/>
  <c r="A595" i="9"/>
  <c r="D594" i="9"/>
  <c r="G593" i="9"/>
  <c r="J592" i="9"/>
  <c r="B592" i="9"/>
  <c r="E591" i="9"/>
  <c r="H590" i="9"/>
  <c r="K589" i="9"/>
  <c r="C589" i="9"/>
  <c r="F588" i="9"/>
  <c r="I587" i="9"/>
  <c r="A587" i="9"/>
  <c r="D586" i="9"/>
  <c r="G585" i="9"/>
  <c r="J584" i="9"/>
  <c r="B584" i="9"/>
  <c r="E583" i="9"/>
  <c r="H582" i="9"/>
  <c r="K581" i="9"/>
  <c r="C581" i="9"/>
  <c r="F580" i="9"/>
  <c r="I579" i="9"/>
  <c r="A579" i="9"/>
  <c r="D578" i="9"/>
  <c r="G577" i="9"/>
  <c r="J576" i="9"/>
  <c r="B576" i="9"/>
  <c r="E575" i="9"/>
  <c r="H574" i="9"/>
  <c r="K573" i="9"/>
  <c r="C573" i="9"/>
  <c r="F572" i="9"/>
  <c r="I571" i="9"/>
  <c r="A571" i="9"/>
  <c r="D570" i="9"/>
  <c r="G569" i="9"/>
  <c r="J568" i="9"/>
  <c r="B568" i="9"/>
  <c r="E567" i="9"/>
  <c r="H566" i="9"/>
  <c r="K565" i="9"/>
  <c r="C565" i="9"/>
  <c r="F564" i="9"/>
  <c r="I563" i="9"/>
  <c r="A563" i="9"/>
  <c r="D562" i="9"/>
  <c r="G561" i="9"/>
  <c r="J560" i="9"/>
  <c r="B560" i="9"/>
  <c r="E559" i="9"/>
  <c r="H558" i="9"/>
  <c r="K557" i="9"/>
  <c r="C557" i="9"/>
  <c r="F556" i="9"/>
  <c r="I555" i="9"/>
  <c r="A555" i="9"/>
  <c r="D554" i="9"/>
  <c r="G553" i="9"/>
  <c r="J552" i="9"/>
  <c r="B552" i="9"/>
  <c r="E551" i="9"/>
  <c r="H550" i="9"/>
  <c r="K549" i="9"/>
  <c r="C549" i="9"/>
  <c r="F548" i="9"/>
  <c r="I547" i="9"/>
  <c r="A547" i="9"/>
  <c r="D546" i="9"/>
  <c r="G545" i="9"/>
  <c r="J544" i="9"/>
  <c r="B544" i="9"/>
  <c r="E543" i="9"/>
  <c r="H542" i="9"/>
  <c r="K541" i="9"/>
  <c r="C541" i="9"/>
  <c r="F540" i="9"/>
  <c r="I539" i="9"/>
  <c r="A539" i="9"/>
  <c r="D538" i="9"/>
  <c r="G537" i="9"/>
  <c r="J536" i="9"/>
  <c r="B536" i="9"/>
  <c r="E535" i="9"/>
  <c r="H534" i="9"/>
  <c r="K533" i="9"/>
  <c r="C533" i="9"/>
  <c r="F532" i="9"/>
  <c r="I531" i="9"/>
  <c r="A531" i="9"/>
  <c r="D530" i="9"/>
  <c r="G529" i="9"/>
  <c r="J528" i="9"/>
  <c r="B528" i="9"/>
  <c r="E527" i="9"/>
  <c r="H526" i="9"/>
  <c r="K525" i="9"/>
  <c r="C525" i="9"/>
  <c r="F524" i="9"/>
  <c r="I523" i="9"/>
  <c r="A523" i="9"/>
  <c r="D522" i="9"/>
  <c r="G521" i="9"/>
  <c r="J520" i="9"/>
  <c r="B520" i="9"/>
  <c r="E519" i="9"/>
  <c r="H518" i="9"/>
  <c r="K517" i="9"/>
  <c r="C517" i="9"/>
  <c r="F516" i="9"/>
  <c r="I515" i="9"/>
  <c r="A515" i="9"/>
  <c r="D514" i="9"/>
  <c r="G513" i="9"/>
  <c r="J512" i="9"/>
  <c r="B512" i="9"/>
  <c r="E511" i="9"/>
  <c r="H510" i="9"/>
  <c r="K509" i="9"/>
  <c r="C509" i="9"/>
  <c r="F508" i="9"/>
  <c r="I507" i="9"/>
  <c r="A507" i="9"/>
  <c r="D506" i="9"/>
  <c r="G505" i="9"/>
  <c r="J504" i="9"/>
  <c r="B504" i="9"/>
  <c r="E503" i="9"/>
  <c r="H502" i="9"/>
  <c r="K501" i="9"/>
  <c r="C501" i="9"/>
  <c r="F500" i="9"/>
  <c r="I499" i="9"/>
  <c r="A499" i="9"/>
  <c r="D498" i="9"/>
  <c r="G497" i="9"/>
  <c r="J496" i="9"/>
  <c r="B496" i="9"/>
  <c r="E495" i="9"/>
  <c r="H494" i="9"/>
  <c r="K493" i="9"/>
  <c r="F492" i="9"/>
  <c r="A491" i="9"/>
  <c r="G489" i="9"/>
  <c r="B488" i="9"/>
  <c r="H486" i="9"/>
  <c r="C485" i="9"/>
  <c r="I483" i="9"/>
  <c r="D482" i="9"/>
  <c r="J480" i="9"/>
  <c r="E479" i="9"/>
  <c r="K477" i="9"/>
  <c r="F476" i="9"/>
  <c r="A475" i="9"/>
  <c r="K473" i="9"/>
  <c r="C473" i="9"/>
  <c r="F472" i="9"/>
  <c r="I471" i="9"/>
  <c r="A471" i="9"/>
  <c r="D470" i="9"/>
  <c r="G469" i="9"/>
  <c r="J468" i="9"/>
  <c r="B468" i="9"/>
  <c r="E467" i="9"/>
  <c r="H466" i="9"/>
  <c r="K465" i="9"/>
  <c r="C465" i="9"/>
  <c r="F464" i="9"/>
  <c r="I463" i="9"/>
  <c r="A463" i="9"/>
  <c r="D462" i="9"/>
  <c r="G461" i="9"/>
  <c r="J460" i="9"/>
  <c r="B460" i="9"/>
  <c r="E459" i="9"/>
  <c r="H458" i="9"/>
  <c r="K457" i="9"/>
  <c r="C457" i="9"/>
  <c r="F456" i="9"/>
  <c r="I455" i="9"/>
  <c r="A455" i="9"/>
  <c r="D454" i="9"/>
  <c r="G453" i="9"/>
  <c r="J452" i="9"/>
  <c r="B452" i="9"/>
  <c r="E451" i="9"/>
  <c r="H450" i="9"/>
  <c r="K449" i="9"/>
  <c r="C449" i="9"/>
  <c r="F448" i="9"/>
  <c r="I447" i="9"/>
  <c r="A447" i="9"/>
  <c r="D446" i="9"/>
  <c r="G445" i="9"/>
  <c r="J444" i="9"/>
  <c r="B444" i="9"/>
  <c r="E443" i="9"/>
  <c r="H442" i="9"/>
  <c r="K441" i="9"/>
  <c r="C441" i="9"/>
  <c r="J440" i="9"/>
  <c r="F440" i="9"/>
  <c r="B440" i="9"/>
  <c r="I439" i="9"/>
  <c r="E439" i="9"/>
  <c r="A439" i="9"/>
  <c r="H438" i="9"/>
  <c r="D438" i="9"/>
  <c r="K437" i="9"/>
  <c r="G437" i="9"/>
  <c r="C437" i="9"/>
  <c r="J436" i="9"/>
  <c r="F436" i="9"/>
  <c r="B436" i="9"/>
  <c r="I435" i="9"/>
  <c r="E435" i="9"/>
  <c r="A435" i="9"/>
  <c r="H434" i="9"/>
  <c r="D434" i="9"/>
  <c r="K433" i="9"/>
  <c r="G433" i="9"/>
  <c r="C433" i="9"/>
  <c r="J432" i="9"/>
  <c r="F432" i="9"/>
  <c r="B432" i="9"/>
  <c r="I431" i="9"/>
  <c r="E431" i="9"/>
  <c r="A431" i="9"/>
  <c r="H430" i="9"/>
  <c r="D430" i="9"/>
  <c r="K429" i="9"/>
  <c r="G429" i="9"/>
  <c r="C429" i="9"/>
  <c r="J428" i="9"/>
  <c r="F428" i="9"/>
  <c r="B428" i="9"/>
  <c r="I427" i="9"/>
  <c r="E427" i="9"/>
  <c r="A427" i="9"/>
  <c r="H426" i="9"/>
  <c r="D426" i="9"/>
  <c r="K425" i="9"/>
  <c r="G425" i="9"/>
  <c r="C425" i="9"/>
  <c r="J424" i="9"/>
  <c r="F424" i="9"/>
  <c r="B424" i="9"/>
  <c r="I423" i="9"/>
  <c r="E423" i="9"/>
  <c r="A423" i="9"/>
  <c r="H422" i="9"/>
  <c r="D422" i="9"/>
  <c r="K421" i="9"/>
  <c r="G421" i="9"/>
  <c r="C421" i="9"/>
  <c r="J420" i="9"/>
  <c r="F420" i="9"/>
  <c r="B420" i="9"/>
  <c r="I419" i="9"/>
  <c r="E419" i="9"/>
  <c r="A419" i="9"/>
  <c r="H418" i="9"/>
  <c r="D418" i="9"/>
  <c r="K417" i="9"/>
  <c r="G417" i="9"/>
  <c r="C417" i="9"/>
  <c r="J416" i="9"/>
  <c r="F416" i="9"/>
  <c r="B416" i="9"/>
  <c r="I415" i="9"/>
  <c r="E415" i="9"/>
  <c r="A415" i="9"/>
  <c r="H414" i="9"/>
  <c r="D414" i="9"/>
  <c r="K413" i="9"/>
  <c r="G413" i="9"/>
  <c r="C413" i="9"/>
  <c r="J412" i="9"/>
  <c r="F412" i="9"/>
  <c r="B412" i="9"/>
  <c r="I411" i="9"/>
  <c r="E411" i="9"/>
  <c r="A411" i="9"/>
  <c r="H410" i="9"/>
  <c r="D410" i="9"/>
  <c r="K409" i="9"/>
  <c r="G409" i="9"/>
  <c r="C409" i="9"/>
  <c r="J408" i="9"/>
  <c r="F408" i="9"/>
  <c r="B408" i="9"/>
  <c r="I407" i="9"/>
  <c r="E407" i="9"/>
  <c r="A407" i="9"/>
  <c r="H406" i="9"/>
  <c r="D406" i="9"/>
  <c r="K405" i="9"/>
  <c r="G405" i="9"/>
  <c r="C405" i="9"/>
  <c r="J404" i="9"/>
  <c r="F404" i="9"/>
  <c r="B404" i="9"/>
  <c r="I403" i="9"/>
  <c r="E403" i="9"/>
  <c r="A403" i="9"/>
  <c r="H402" i="9"/>
  <c r="D402" i="9"/>
  <c r="K401" i="9"/>
  <c r="G401" i="9"/>
  <c r="C401" i="9"/>
  <c r="J400" i="9"/>
  <c r="F400" i="9"/>
  <c r="B400" i="9"/>
  <c r="I399" i="9"/>
  <c r="E399" i="9"/>
  <c r="A399" i="9"/>
  <c r="H398" i="9"/>
  <c r="D398" i="9"/>
  <c r="K397" i="9"/>
  <c r="G397" i="9"/>
  <c r="C397" i="9"/>
  <c r="J396" i="9"/>
  <c r="F396" i="9"/>
  <c r="B396" i="9"/>
  <c r="I395" i="9"/>
  <c r="E395" i="9"/>
  <c r="A395" i="9"/>
  <c r="H394" i="9"/>
  <c r="D394" i="9"/>
  <c r="K393" i="9"/>
  <c r="G393" i="9"/>
  <c r="C393" i="9"/>
  <c r="J392" i="9"/>
  <c r="F392" i="9"/>
  <c r="B392" i="9"/>
  <c r="I391" i="9"/>
  <c r="E391" i="9"/>
  <c r="A391" i="9"/>
  <c r="H390" i="9"/>
  <c r="D390" i="9"/>
  <c r="K389" i="9"/>
  <c r="G389" i="9"/>
  <c r="C389" i="9"/>
  <c r="J388" i="9"/>
  <c r="F388" i="9"/>
  <c r="B388" i="9"/>
  <c r="I387" i="9"/>
  <c r="E387" i="9"/>
  <c r="A387" i="9"/>
  <c r="H386" i="9"/>
  <c r="D386" i="9"/>
  <c r="K385" i="9"/>
  <c r="G385" i="9"/>
  <c r="C385" i="9"/>
  <c r="J384" i="9"/>
  <c r="F384" i="9"/>
  <c r="B384" i="9"/>
  <c r="I383" i="9"/>
  <c r="E383" i="9"/>
  <c r="A383" i="9"/>
  <c r="H382" i="9"/>
  <c r="D382" i="9"/>
  <c r="K381" i="9"/>
  <c r="G381" i="9"/>
  <c r="C381" i="9"/>
  <c r="J380" i="9"/>
  <c r="F380" i="9"/>
  <c r="B380" i="9"/>
  <c r="I379" i="9"/>
  <c r="E379" i="9"/>
  <c r="A379" i="9"/>
  <c r="H378" i="9"/>
  <c r="D378" i="9"/>
  <c r="K377" i="9"/>
  <c r="G377" i="9"/>
  <c r="C377" i="9"/>
  <c r="J376" i="9"/>
  <c r="F376" i="9"/>
  <c r="B376" i="9"/>
  <c r="I375" i="9"/>
  <c r="E375" i="9"/>
  <c r="A375" i="9"/>
  <c r="H374" i="9"/>
  <c r="D374" i="9"/>
  <c r="K373" i="9"/>
  <c r="G373" i="9"/>
  <c r="C373" i="9"/>
  <c r="J372" i="9"/>
  <c r="F372" i="9"/>
  <c r="B372" i="9"/>
  <c r="I371" i="9"/>
  <c r="E371" i="9"/>
  <c r="A371" i="9"/>
  <c r="H370" i="9"/>
  <c r="D370" i="9"/>
  <c r="K369" i="9"/>
  <c r="G369" i="9"/>
  <c r="C369" i="9"/>
  <c r="J368" i="9"/>
  <c r="F368" i="9"/>
  <c r="B368" i="9"/>
  <c r="I367" i="9"/>
  <c r="E367" i="9"/>
  <c r="A367" i="9"/>
  <c r="H366" i="9"/>
  <c r="D366" i="9"/>
  <c r="K365" i="9"/>
  <c r="G365" i="9"/>
  <c r="C365" i="9"/>
  <c r="J364" i="9"/>
  <c r="F364" i="9"/>
  <c r="B364" i="9"/>
  <c r="I363" i="9"/>
  <c r="E363" i="9"/>
  <c r="A363" i="9"/>
  <c r="H362" i="9"/>
  <c r="D362" i="9"/>
  <c r="K361" i="9"/>
  <c r="G361" i="9"/>
  <c r="C361" i="9"/>
  <c r="J360" i="9"/>
  <c r="F360" i="9"/>
  <c r="B360" i="9"/>
  <c r="I359" i="9"/>
  <c r="E359" i="9"/>
  <c r="A359" i="9"/>
  <c r="H358" i="9"/>
  <c r="D358" i="9"/>
  <c r="K357" i="9"/>
  <c r="G357" i="9"/>
  <c r="C357" i="9"/>
  <c r="J356" i="9"/>
  <c r="F356" i="9"/>
  <c r="B356" i="9"/>
  <c r="I355" i="9"/>
  <c r="E355" i="9"/>
  <c r="A355" i="9"/>
  <c r="H354" i="9"/>
  <c r="D354" i="9"/>
  <c r="K353" i="9"/>
  <c r="G353" i="9"/>
  <c r="C353" i="9"/>
  <c r="J352" i="9"/>
  <c r="F352" i="9"/>
  <c r="B352" i="9"/>
  <c r="I351" i="9"/>
  <c r="E351" i="9"/>
  <c r="A351" i="9"/>
  <c r="H350" i="9"/>
  <c r="D350" i="9"/>
  <c r="K349" i="9"/>
  <c r="G349" i="9"/>
  <c r="C349" i="9"/>
  <c r="J348" i="9"/>
  <c r="F348" i="9"/>
  <c r="B348" i="9"/>
  <c r="I347" i="9"/>
  <c r="E347" i="9"/>
  <c r="A347" i="9"/>
  <c r="H346" i="9"/>
  <c r="D346" i="9"/>
  <c r="K345" i="9"/>
  <c r="G345" i="9"/>
  <c r="C345" i="9"/>
  <c r="J344" i="9"/>
  <c r="F344" i="9"/>
  <c r="B344" i="9"/>
  <c r="I343" i="9"/>
  <c r="E343" i="9"/>
  <c r="A343" i="9"/>
  <c r="H342" i="9"/>
  <c r="D342" i="9"/>
  <c r="K341" i="9"/>
  <c r="G341" i="9"/>
  <c r="C341" i="9"/>
  <c r="J340" i="9"/>
  <c r="F340" i="9"/>
  <c r="B340" i="9"/>
  <c r="I339" i="9"/>
  <c r="E339" i="9"/>
  <c r="A339" i="9"/>
  <c r="H338" i="9"/>
  <c r="D338" i="9"/>
  <c r="K337" i="9"/>
  <c r="G337" i="9"/>
  <c r="C337" i="9"/>
  <c r="J336" i="9"/>
  <c r="F336" i="9"/>
  <c r="B336" i="9"/>
  <c r="I335" i="9"/>
  <c r="E335" i="9"/>
  <c r="A335" i="9"/>
  <c r="H334" i="9"/>
  <c r="D334" i="9"/>
  <c r="K333" i="9"/>
  <c r="G333" i="9"/>
  <c r="C333" i="9"/>
  <c r="J332" i="9"/>
  <c r="F332" i="9"/>
  <c r="B332" i="9"/>
  <c r="I331" i="9"/>
  <c r="E331" i="9"/>
  <c r="A331" i="9"/>
  <c r="H330" i="9"/>
  <c r="D330" i="9"/>
  <c r="K329" i="9"/>
  <c r="G329" i="9"/>
  <c r="C329" i="9"/>
  <c r="J328" i="9"/>
  <c r="F328" i="9"/>
  <c r="B328" i="9"/>
  <c r="I327" i="9"/>
  <c r="E327" i="9"/>
  <c r="A327" i="9"/>
  <c r="H326" i="9"/>
  <c r="D326" i="9"/>
  <c r="K325" i="9"/>
  <c r="G325" i="9"/>
  <c r="C325" i="9"/>
  <c r="J324" i="9"/>
  <c r="F324" i="9"/>
  <c r="B324" i="9"/>
  <c r="I323" i="9"/>
  <c r="E323" i="9"/>
  <c r="A323" i="9"/>
  <c r="H322" i="9"/>
  <c r="D322" i="9"/>
  <c r="K321" i="9"/>
  <c r="G321" i="9"/>
  <c r="C321" i="9"/>
  <c r="J320" i="9"/>
  <c r="F320" i="9"/>
  <c r="B320" i="9"/>
  <c r="I319" i="9"/>
  <c r="E319" i="9"/>
  <c r="A319" i="9"/>
  <c r="H318" i="9"/>
  <c r="D318" i="9"/>
  <c r="K317" i="9"/>
  <c r="G317" i="9"/>
  <c r="C317" i="9"/>
  <c r="J316" i="9"/>
  <c r="F316" i="9"/>
  <c r="B316" i="9"/>
  <c r="I315" i="9"/>
  <c r="E315" i="9"/>
  <c r="A315" i="9"/>
  <c r="H314" i="9"/>
  <c r="D314" i="9"/>
  <c r="K313" i="9"/>
  <c r="G313" i="9"/>
  <c r="C313" i="9"/>
  <c r="J312" i="9"/>
  <c r="F312" i="9"/>
  <c r="B312" i="9"/>
  <c r="I311" i="9"/>
  <c r="E311" i="9"/>
  <c r="A311" i="9"/>
  <c r="H310" i="9"/>
  <c r="D310" i="9"/>
  <c r="K309" i="9"/>
  <c r="G309" i="9"/>
  <c r="C309" i="9"/>
  <c r="J308" i="9"/>
  <c r="F308" i="9"/>
  <c r="B308" i="9"/>
  <c r="I307" i="9"/>
  <c r="E307" i="9"/>
  <c r="A307" i="9"/>
  <c r="H306" i="9"/>
  <c r="D306" i="9"/>
  <c r="K305" i="9"/>
  <c r="G305" i="9"/>
  <c r="C305" i="9"/>
  <c r="J304" i="9"/>
  <c r="F304" i="9"/>
  <c r="B304" i="9"/>
  <c r="I303" i="9"/>
  <c r="E303" i="9"/>
  <c r="A303" i="9"/>
  <c r="H302" i="9"/>
  <c r="D302" i="9"/>
  <c r="K301" i="9"/>
  <c r="G301" i="9"/>
  <c r="C301" i="9"/>
  <c r="J300" i="9"/>
  <c r="F300" i="9"/>
  <c r="B300" i="9"/>
  <c r="I299" i="9"/>
  <c r="E299" i="9"/>
  <c r="A299" i="9"/>
  <c r="H298" i="9"/>
  <c r="D298" i="9"/>
  <c r="K297" i="9"/>
  <c r="G297" i="9"/>
  <c r="C297" i="9"/>
  <c r="J296" i="9"/>
  <c r="F296" i="9"/>
  <c r="B296" i="9"/>
  <c r="I295" i="9"/>
  <c r="E295" i="9"/>
  <c r="A295" i="9"/>
  <c r="H294" i="9"/>
  <c r="D294" i="9"/>
  <c r="K293" i="9"/>
  <c r="G293" i="9"/>
  <c r="C293" i="9"/>
  <c r="J292" i="9"/>
  <c r="F292" i="9"/>
  <c r="B292" i="9"/>
  <c r="I291" i="9"/>
  <c r="E291" i="9"/>
  <c r="A291" i="9"/>
  <c r="H290" i="9"/>
  <c r="D290" i="9"/>
  <c r="K289" i="9"/>
  <c r="G289" i="9"/>
  <c r="C289" i="9"/>
  <c r="J288" i="9"/>
  <c r="F288" i="9"/>
  <c r="B288" i="9"/>
  <c r="I287" i="9"/>
  <c r="E287" i="9"/>
  <c r="A287" i="9"/>
  <c r="H286" i="9"/>
  <c r="D286" i="9"/>
  <c r="K285" i="9"/>
  <c r="G285" i="9"/>
  <c r="C285" i="9"/>
  <c r="J284" i="9"/>
  <c r="F284" i="9"/>
  <c r="B284" i="9"/>
  <c r="I283" i="9"/>
  <c r="E283" i="9"/>
  <c r="A283" i="9"/>
  <c r="H282" i="9"/>
  <c r="D282" i="9"/>
  <c r="K281" i="9"/>
  <c r="G281" i="9"/>
  <c r="C281" i="9"/>
  <c r="J280" i="9"/>
  <c r="F280" i="9"/>
  <c r="B280" i="9"/>
  <c r="I279" i="9"/>
  <c r="E279" i="9"/>
  <c r="A279" i="9"/>
  <c r="H278" i="9"/>
  <c r="D278" i="9"/>
  <c r="K277" i="9"/>
  <c r="G277" i="9"/>
  <c r="C277" i="9"/>
  <c r="J276" i="9"/>
  <c r="F276" i="9"/>
  <c r="B276" i="9"/>
  <c r="I275" i="9"/>
  <c r="E275" i="9"/>
  <c r="A275" i="9"/>
  <c r="H274" i="9"/>
  <c r="D274" i="9"/>
  <c r="K273" i="9"/>
  <c r="G273" i="9"/>
  <c r="C273" i="9"/>
  <c r="J272" i="9"/>
  <c r="F272" i="9"/>
  <c r="B272" i="9"/>
  <c r="I271" i="9"/>
  <c r="E271" i="9"/>
  <c r="A271" i="9"/>
  <c r="H270" i="9"/>
  <c r="D270" i="9"/>
  <c r="K269" i="9"/>
  <c r="G269" i="9"/>
  <c r="C269" i="9"/>
  <c r="J268" i="9"/>
  <c r="F268" i="9"/>
  <c r="B268" i="9"/>
  <c r="I267" i="9"/>
  <c r="E267" i="9"/>
  <c r="A267" i="9"/>
  <c r="H266" i="9"/>
  <c r="D266" i="9"/>
  <c r="K265" i="9"/>
  <c r="G265" i="9"/>
  <c r="C265" i="9"/>
  <c r="J264" i="9"/>
  <c r="F264" i="9"/>
  <c r="B264" i="9"/>
  <c r="I263" i="9"/>
  <c r="E263" i="9"/>
  <c r="A263" i="9"/>
  <c r="H262" i="9"/>
  <c r="D262" i="9"/>
  <c r="K261" i="9"/>
  <c r="G261" i="9"/>
  <c r="C261" i="9"/>
  <c r="J260" i="9"/>
  <c r="F260" i="9"/>
  <c r="B260" i="9"/>
  <c r="I259" i="9"/>
  <c r="E259" i="9"/>
  <c r="A259" i="9"/>
  <c r="H258" i="9"/>
  <c r="D258" i="9"/>
  <c r="K257" i="9"/>
  <c r="G257" i="9"/>
  <c r="C257" i="9"/>
  <c r="J256" i="9"/>
  <c r="F256" i="9"/>
  <c r="B256" i="9"/>
  <c r="I255" i="9"/>
  <c r="E255" i="9"/>
  <c r="A255" i="9"/>
  <c r="H254" i="9"/>
  <c r="D254" i="9"/>
  <c r="K253" i="9"/>
  <c r="G253" i="9"/>
  <c r="C253" i="9"/>
  <c r="J252" i="9"/>
  <c r="F252" i="9"/>
  <c r="B252" i="9"/>
  <c r="I251" i="9"/>
  <c r="E251" i="9"/>
  <c r="A251" i="9"/>
  <c r="H250" i="9"/>
  <c r="D250" i="9"/>
  <c r="K249" i="9"/>
  <c r="G249" i="9"/>
  <c r="C249" i="9"/>
  <c r="J248" i="9"/>
  <c r="F248" i="9"/>
  <c r="B248" i="9"/>
  <c r="I247" i="9"/>
  <c r="E247" i="9"/>
  <c r="A247" i="9"/>
  <c r="H246" i="9"/>
  <c r="D246" i="9"/>
  <c r="K245" i="9"/>
  <c r="G245" i="9"/>
  <c r="C245" i="9"/>
  <c r="J244" i="9"/>
  <c r="F244" i="9"/>
  <c r="B244" i="9"/>
  <c r="I243" i="9"/>
  <c r="E243" i="9"/>
  <c r="A243" i="9"/>
  <c r="H242" i="9"/>
  <c r="D242" i="9"/>
  <c r="K241" i="9"/>
  <c r="G241" i="9"/>
  <c r="C241" i="9"/>
  <c r="J240" i="9"/>
  <c r="F240" i="9"/>
  <c r="B240" i="9"/>
  <c r="I239" i="9"/>
  <c r="E239" i="9"/>
  <c r="A239" i="9"/>
  <c r="H238" i="9"/>
  <c r="D238" i="9"/>
  <c r="K237" i="9"/>
  <c r="G237" i="9"/>
  <c r="C237" i="9"/>
  <c r="J236" i="9"/>
  <c r="F236" i="9"/>
  <c r="B236" i="9"/>
  <c r="I235" i="9"/>
  <c r="E235" i="9"/>
  <c r="A235" i="9"/>
  <c r="H234" i="9"/>
  <c r="D234" i="9"/>
  <c r="K233" i="9"/>
  <c r="G233" i="9"/>
  <c r="C233" i="9"/>
  <c r="J232" i="9"/>
  <c r="F232" i="9"/>
  <c r="B232" i="9"/>
  <c r="I231" i="9"/>
  <c r="E231" i="9"/>
  <c r="A231" i="9"/>
  <c r="H230" i="9"/>
  <c r="D230" i="9"/>
  <c r="K229" i="9"/>
  <c r="G229" i="9"/>
  <c r="C229" i="9"/>
  <c r="J228" i="9"/>
  <c r="E228" i="9"/>
  <c r="A228" i="9"/>
  <c r="H227" i="9"/>
  <c r="D227" i="9"/>
  <c r="K226" i="9"/>
  <c r="G226" i="9"/>
  <c r="C226" i="9"/>
  <c r="J225" i="9"/>
  <c r="F225" i="9"/>
  <c r="B225" i="9"/>
  <c r="I224" i="9"/>
  <c r="E224" i="9"/>
  <c r="A224" i="9"/>
  <c r="H223" i="9"/>
  <c r="D223" i="9"/>
  <c r="K222" i="9"/>
  <c r="G222" i="9"/>
  <c r="C222" i="9"/>
  <c r="J221" i="9"/>
  <c r="F221" i="9"/>
  <c r="B221" i="9"/>
  <c r="I220" i="9"/>
  <c r="E220" i="9"/>
  <c r="A220" i="9"/>
  <c r="H219" i="9"/>
  <c r="D219" i="9"/>
  <c r="K218" i="9"/>
  <c r="G218" i="9"/>
  <c r="C218" i="9"/>
  <c r="J217" i="9"/>
  <c r="F217" i="9"/>
  <c r="B217" i="9"/>
  <c r="I216" i="9"/>
  <c r="E216" i="9"/>
  <c r="A216" i="9"/>
  <c r="H215" i="9"/>
  <c r="D215" i="9"/>
  <c r="K214" i="9"/>
  <c r="G214" i="9"/>
  <c r="C214" i="9"/>
  <c r="J213" i="9"/>
  <c r="F213" i="9"/>
  <c r="B213" i="9"/>
  <c r="I212" i="9"/>
  <c r="E212" i="9"/>
  <c r="A212" i="9"/>
  <c r="H211" i="9"/>
  <c r="D211" i="9"/>
  <c r="K210" i="9"/>
  <c r="G210" i="9"/>
  <c r="C210" i="9"/>
  <c r="J209" i="9"/>
  <c r="F209" i="9"/>
  <c r="B209" i="9"/>
  <c r="I208" i="9"/>
  <c r="E208" i="9"/>
  <c r="A208" i="9"/>
  <c r="H207" i="9"/>
  <c r="D207" i="9"/>
  <c r="K206" i="9"/>
  <c r="G206" i="9"/>
  <c r="C206" i="9"/>
  <c r="J205" i="9"/>
  <c r="F205" i="9"/>
  <c r="B205" i="9"/>
  <c r="I204" i="9"/>
  <c r="E204" i="9"/>
  <c r="A204" i="9"/>
  <c r="H203" i="9"/>
  <c r="D203" i="9"/>
  <c r="K202" i="9"/>
  <c r="G202" i="9"/>
  <c r="C202" i="9"/>
  <c r="J201" i="9"/>
  <c r="F201" i="9"/>
  <c r="B201" i="9"/>
  <c r="I200" i="9"/>
  <c r="E200" i="9"/>
  <c r="A200" i="9"/>
  <c r="H199" i="9"/>
  <c r="D199" i="9"/>
  <c r="K198" i="9"/>
  <c r="G198" i="9"/>
  <c r="C198" i="9"/>
  <c r="J197" i="9"/>
  <c r="F197" i="9"/>
  <c r="B197" i="9"/>
  <c r="I196" i="9"/>
  <c r="E196" i="9"/>
  <c r="A196" i="9"/>
  <c r="H195" i="9"/>
  <c r="D195" i="9"/>
  <c r="K194" i="9"/>
  <c r="G194" i="9"/>
  <c r="C194" i="9"/>
  <c r="J193" i="9"/>
  <c r="F193" i="9"/>
  <c r="B193" i="9"/>
  <c r="I192" i="9"/>
  <c r="E192" i="9"/>
  <c r="A192" i="9"/>
  <c r="H191" i="9"/>
  <c r="D191" i="9"/>
  <c r="K190" i="9"/>
  <c r="G190" i="9"/>
  <c r="C190" i="9"/>
  <c r="J189" i="9"/>
  <c r="F189" i="9"/>
  <c r="B189" i="9"/>
  <c r="I188" i="9"/>
  <c r="E188" i="9"/>
  <c r="A188" i="9"/>
  <c r="H187" i="9"/>
  <c r="D187" i="9"/>
  <c r="K186" i="9"/>
  <c r="G186" i="9"/>
  <c r="C186" i="9"/>
  <c r="J185" i="9"/>
  <c r="F185" i="9"/>
  <c r="B185" i="9"/>
  <c r="I184" i="9"/>
  <c r="E184" i="9"/>
  <c r="A184" i="9"/>
  <c r="H183" i="9"/>
  <c r="D183" i="9"/>
  <c r="K182" i="9"/>
  <c r="G182" i="9"/>
  <c r="C182" i="9"/>
  <c r="J181" i="9"/>
  <c r="F181" i="9"/>
  <c r="B181" i="9"/>
  <c r="I180" i="9"/>
  <c r="E180" i="9"/>
  <c r="A180" i="9"/>
  <c r="H179" i="9"/>
  <c r="D179" i="9"/>
  <c r="K178" i="9"/>
  <c r="G178" i="9"/>
  <c r="C178" i="9"/>
  <c r="J177" i="9"/>
  <c r="F177" i="9"/>
  <c r="B177" i="9"/>
  <c r="I176" i="9"/>
  <c r="E176" i="9"/>
  <c r="A176" i="9"/>
  <c r="H175" i="9"/>
  <c r="D175" i="9"/>
  <c r="K174" i="9"/>
  <c r="G174" i="9"/>
  <c r="C174" i="9"/>
  <c r="J173" i="9"/>
  <c r="F173" i="9"/>
  <c r="B173" i="9"/>
  <c r="I172" i="9"/>
  <c r="E172" i="9"/>
  <c r="A172" i="9"/>
  <c r="H171" i="9"/>
  <c r="D171" i="9"/>
  <c r="K170" i="9"/>
  <c r="G170" i="9"/>
  <c r="C170" i="9"/>
  <c r="J169" i="9"/>
  <c r="F169" i="9"/>
  <c r="B169" i="9"/>
  <c r="I168" i="9"/>
  <c r="E168" i="9"/>
  <c r="A168" i="9"/>
  <c r="H167" i="9"/>
  <c r="D167" i="9"/>
  <c r="K166" i="9"/>
  <c r="G166" i="9"/>
  <c r="C166" i="9"/>
  <c r="J165" i="9"/>
  <c r="F165" i="9"/>
  <c r="B165" i="9"/>
  <c r="I164" i="9"/>
  <c r="E164" i="9"/>
  <c r="A164" i="9"/>
  <c r="H163" i="9"/>
  <c r="D163" i="9"/>
  <c r="K162" i="9"/>
  <c r="G162" i="9"/>
  <c r="C162" i="9"/>
  <c r="J161" i="9"/>
  <c r="F161" i="9"/>
  <c r="B161" i="9"/>
  <c r="I160" i="9"/>
  <c r="E160" i="9"/>
  <c r="A160" i="9"/>
  <c r="H159" i="9"/>
  <c r="D159" i="9"/>
  <c r="K158" i="9"/>
  <c r="G158" i="9"/>
  <c r="C158" i="9"/>
  <c r="J157" i="9"/>
  <c r="F157" i="9"/>
  <c r="B157" i="9"/>
  <c r="I156" i="9"/>
  <c r="E156" i="9"/>
  <c r="A156" i="9"/>
  <c r="H155" i="9"/>
  <c r="D155" i="9"/>
  <c r="K154" i="9"/>
  <c r="G154" i="9"/>
  <c r="C154" i="9"/>
  <c r="J153" i="9"/>
  <c r="F153" i="9"/>
  <c r="B153" i="9"/>
  <c r="I152" i="9"/>
  <c r="E152" i="9"/>
  <c r="A152" i="9"/>
  <c r="H151" i="9"/>
  <c r="D151" i="9"/>
  <c r="K150" i="9"/>
  <c r="G150" i="9"/>
  <c r="C150" i="9"/>
  <c r="J149" i="9"/>
  <c r="F149" i="9"/>
  <c r="B149" i="9"/>
  <c r="I148" i="9"/>
  <c r="E148" i="9"/>
  <c r="A148" i="9"/>
  <c r="H147" i="9"/>
  <c r="D147" i="9"/>
  <c r="K146" i="9"/>
  <c r="G146" i="9"/>
  <c r="C146" i="9"/>
  <c r="J145" i="9"/>
  <c r="F145" i="9"/>
  <c r="B145" i="9"/>
  <c r="I144" i="9"/>
  <c r="E144" i="9"/>
  <c r="A144" i="9"/>
  <c r="H143" i="9"/>
  <c r="D143" i="9"/>
  <c r="K142" i="9"/>
  <c r="G142" i="9"/>
  <c r="C142" i="9"/>
  <c r="J141" i="9"/>
  <c r="F141" i="9"/>
  <c r="B141" i="9"/>
  <c r="I140" i="9"/>
  <c r="E140" i="9"/>
  <c r="A140" i="9"/>
  <c r="H139" i="9"/>
  <c r="D139" i="9"/>
  <c r="K138" i="9"/>
  <c r="G138" i="9"/>
  <c r="C138" i="9"/>
  <c r="J137" i="9"/>
  <c r="F137" i="9"/>
  <c r="B137" i="9"/>
  <c r="I136" i="9"/>
  <c r="E136" i="9"/>
  <c r="A136" i="9"/>
  <c r="H135" i="9"/>
  <c r="D135" i="9"/>
  <c r="K134" i="9"/>
  <c r="G134" i="9"/>
  <c r="C134" i="9"/>
  <c r="J133" i="9"/>
  <c r="F133" i="9"/>
  <c r="B133" i="9"/>
  <c r="I132" i="9"/>
  <c r="E132" i="9"/>
  <c r="A132" i="9"/>
  <c r="H131" i="9"/>
  <c r="D131" i="9"/>
  <c r="K130" i="9"/>
  <c r="G130" i="9"/>
  <c r="C130" i="9"/>
  <c r="J129" i="9"/>
  <c r="F129" i="9"/>
  <c r="B129" i="9"/>
  <c r="I128" i="9"/>
  <c r="E128" i="9"/>
  <c r="A128" i="9"/>
  <c r="H127" i="9"/>
  <c r="D127" i="9"/>
  <c r="K126" i="9"/>
  <c r="G126" i="9"/>
  <c r="C126" i="9"/>
  <c r="J125" i="9"/>
  <c r="F125" i="9"/>
  <c r="B125" i="9"/>
  <c r="I124" i="9"/>
  <c r="E124" i="9"/>
  <c r="A124" i="9"/>
  <c r="H123" i="9"/>
  <c r="D123" i="9"/>
  <c r="K122" i="9"/>
  <c r="G122" i="9"/>
  <c r="C122" i="9"/>
  <c r="J121" i="9"/>
  <c r="F121" i="9"/>
  <c r="B121" i="9"/>
  <c r="I120" i="9"/>
  <c r="E120" i="9"/>
  <c r="A120" i="9"/>
  <c r="H119" i="9"/>
  <c r="D119" i="9"/>
  <c r="K118" i="9"/>
  <c r="G118" i="9"/>
  <c r="C118" i="9"/>
  <c r="J117" i="9"/>
  <c r="F117" i="9"/>
  <c r="B117" i="9"/>
  <c r="I116" i="9"/>
  <c r="E116" i="9"/>
  <c r="A116" i="9"/>
  <c r="H115" i="9"/>
  <c r="D115" i="9"/>
  <c r="K114" i="9"/>
  <c r="G114" i="9"/>
  <c r="C114" i="9"/>
  <c r="J113" i="9"/>
  <c r="F113" i="9"/>
  <c r="B113" i="9"/>
  <c r="I112" i="9"/>
  <c r="E112" i="9"/>
  <c r="A112" i="9"/>
  <c r="H111" i="9"/>
  <c r="D111" i="9"/>
  <c r="K110" i="9"/>
  <c r="G110" i="9"/>
  <c r="C110" i="9"/>
  <c r="J109" i="9"/>
  <c r="F109" i="9"/>
  <c r="B109" i="9"/>
  <c r="I108" i="9"/>
  <c r="E108" i="9"/>
  <c r="A108" i="9"/>
  <c r="H107" i="9"/>
  <c r="D107" i="9"/>
  <c r="K106" i="9"/>
  <c r="G106" i="9"/>
  <c r="C106" i="9"/>
  <c r="J105" i="9"/>
  <c r="F105" i="9"/>
  <c r="B105" i="9"/>
  <c r="I104" i="9"/>
  <c r="E104" i="9"/>
  <c r="A104" i="9"/>
  <c r="H103" i="9"/>
  <c r="D103" i="9"/>
  <c r="K102" i="9"/>
  <c r="G102" i="9"/>
  <c r="C102" i="9"/>
  <c r="J101" i="9"/>
  <c r="F101" i="9"/>
  <c r="B101" i="9"/>
  <c r="I100" i="9"/>
  <c r="E100" i="9"/>
  <c r="A100" i="9"/>
  <c r="H99" i="9"/>
  <c r="D99" i="9"/>
  <c r="K98" i="9"/>
  <c r="G98" i="9"/>
  <c r="C98" i="9"/>
  <c r="J97" i="9"/>
  <c r="F97" i="9"/>
  <c r="B97" i="9"/>
  <c r="I96" i="9"/>
  <c r="E96" i="9"/>
  <c r="A96" i="9"/>
  <c r="H95" i="9"/>
  <c r="D95" i="9"/>
  <c r="K94" i="9"/>
  <c r="G94" i="9"/>
  <c r="C94" i="9"/>
  <c r="J93" i="9"/>
  <c r="F93" i="9"/>
  <c r="B93" i="9"/>
  <c r="I92" i="9"/>
  <c r="E92" i="9"/>
  <c r="A92" i="9"/>
  <c r="H91" i="9"/>
  <c r="D91" i="9"/>
  <c r="K90" i="9"/>
  <c r="G90" i="9"/>
  <c r="C90" i="9"/>
  <c r="J89" i="9"/>
  <c r="F89" i="9"/>
  <c r="B89" i="9"/>
  <c r="I88" i="9"/>
  <c r="E88" i="9"/>
  <c r="A88" i="9"/>
  <c r="H87" i="9"/>
  <c r="D87" i="9"/>
  <c r="K86" i="9"/>
  <c r="G86" i="9"/>
  <c r="C86" i="9"/>
  <c r="J85" i="9"/>
  <c r="F85" i="9"/>
  <c r="B85" i="9"/>
  <c r="I84" i="9"/>
  <c r="E84" i="9"/>
  <c r="A84" i="9"/>
  <c r="H83" i="9"/>
  <c r="D83" i="9"/>
  <c r="K82" i="9"/>
  <c r="G82" i="9"/>
  <c r="C82" i="9"/>
  <c r="J81" i="9"/>
  <c r="F81" i="9"/>
  <c r="B81" i="9"/>
  <c r="I80" i="9"/>
  <c r="E80" i="9"/>
  <c r="A80" i="9"/>
  <c r="H79" i="9"/>
  <c r="D79" i="9"/>
  <c r="K78" i="9"/>
  <c r="G78" i="9"/>
  <c r="C78" i="9"/>
  <c r="J77" i="9"/>
  <c r="F77" i="9"/>
  <c r="B77" i="9"/>
  <c r="I76" i="9"/>
  <c r="E76" i="9"/>
  <c r="A76" i="9"/>
  <c r="H75" i="9"/>
  <c r="D75" i="9"/>
  <c r="K74" i="9"/>
  <c r="G74" i="9"/>
  <c r="C74" i="9"/>
  <c r="J73" i="9"/>
  <c r="F73" i="9"/>
  <c r="B73" i="9"/>
  <c r="I72" i="9"/>
  <c r="E72" i="9"/>
  <c r="A72" i="9"/>
  <c r="H71" i="9"/>
  <c r="D71" i="9"/>
  <c r="K70" i="9"/>
  <c r="G70" i="9"/>
  <c r="C70" i="9"/>
  <c r="J69" i="9"/>
  <c r="F69" i="9"/>
  <c r="B69" i="9"/>
  <c r="I68" i="9"/>
  <c r="E68" i="9"/>
  <c r="A68" i="9"/>
  <c r="H67" i="9"/>
  <c r="D67" i="9"/>
  <c r="K66" i="9"/>
  <c r="G66" i="9"/>
  <c r="C66" i="9"/>
  <c r="J65" i="9"/>
  <c r="F65" i="9"/>
  <c r="B65" i="9"/>
  <c r="I64" i="9"/>
  <c r="E64" i="9"/>
  <c r="A64" i="9"/>
  <c r="H63" i="9"/>
  <c r="D63" i="9"/>
  <c r="K62" i="9"/>
  <c r="G62" i="9"/>
  <c r="C62" i="9"/>
  <c r="J61" i="9"/>
  <c r="F61" i="9"/>
  <c r="B61" i="9"/>
  <c r="I60" i="9"/>
  <c r="E60" i="9"/>
  <c r="A60" i="9"/>
  <c r="H59" i="9"/>
  <c r="D59" i="9"/>
  <c r="K58" i="9"/>
  <c r="G58" i="9"/>
  <c r="C58" i="9"/>
  <c r="J57" i="9"/>
  <c r="F57" i="9"/>
  <c r="B57" i="9"/>
  <c r="I56" i="9"/>
  <c r="E56" i="9"/>
  <c r="A56" i="9"/>
  <c r="H55" i="9"/>
  <c r="D55" i="9"/>
  <c r="K54" i="9"/>
  <c r="G54" i="9"/>
  <c r="C54" i="9"/>
  <c r="J53" i="9"/>
  <c r="F53" i="9"/>
  <c r="B53" i="9"/>
  <c r="I52" i="9"/>
  <c r="E52" i="9"/>
  <c r="A52" i="9"/>
  <c r="H51" i="9"/>
  <c r="D51" i="9"/>
  <c r="K50" i="9"/>
  <c r="G50" i="9"/>
  <c r="C50" i="9"/>
  <c r="J49" i="9"/>
  <c r="F49" i="9"/>
  <c r="B49" i="9"/>
  <c r="I48" i="9"/>
  <c r="E48" i="9"/>
  <c r="A48" i="9"/>
  <c r="H47" i="9"/>
  <c r="D47" i="9"/>
  <c r="K46" i="9"/>
  <c r="G46" i="9"/>
  <c r="C46" i="9"/>
  <c r="J45" i="9"/>
  <c r="F45" i="9"/>
  <c r="B45" i="9"/>
  <c r="I44" i="9"/>
  <c r="E44" i="9"/>
  <c r="A44" i="9"/>
  <c r="H43" i="9"/>
  <c r="D43" i="9"/>
  <c r="K42" i="9"/>
  <c r="G42" i="9"/>
  <c r="C42" i="9"/>
  <c r="J41" i="9"/>
  <c r="F41" i="9"/>
  <c r="B41" i="9"/>
  <c r="I40" i="9"/>
  <c r="E40" i="9"/>
  <c r="A40" i="9"/>
  <c r="H39" i="9"/>
  <c r="D39" i="9"/>
  <c r="K38" i="9"/>
  <c r="G38" i="9"/>
  <c r="C38" i="9"/>
  <c r="J37" i="9"/>
  <c r="F37" i="9"/>
  <c r="B37" i="9"/>
  <c r="I36" i="9"/>
  <c r="E36" i="9"/>
  <c r="A36" i="9"/>
  <c r="H35" i="9"/>
  <c r="D35" i="9"/>
  <c r="K34" i="9"/>
  <c r="G34" i="9"/>
  <c r="C34" i="9"/>
  <c r="J33" i="9"/>
  <c r="F33" i="9"/>
  <c r="B33" i="9"/>
  <c r="I32" i="9"/>
  <c r="E32" i="9"/>
  <c r="A32" i="9"/>
  <c r="H31" i="9"/>
  <c r="D31" i="9"/>
  <c r="K30" i="9"/>
  <c r="G30" i="9"/>
  <c r="C30" i="9"/>
  <c r="J29" i="9"/>
  <c r="F29" i="9"/>
  <c r="B29" i="9"/>
  <c r="I28" i="9"/>
  <c r="E28" i="9"/>
  <c r="A28" i="9"/>
  <c r="H27" i="9"/>
  <c r="D27" i="9"/>
  <c r="K26" i="9"/>
  <c r="G26" i="9"/>
  <c r="C26" i="9"/>
  <c r="J25" i="9"/>
  <c r="F25" i="9"/>
  <c r="B25" i="9"/>
  <c r="I24" i="9"/>
  <c r="E24" i="9"/>
  <c r="A24" i="9"/>
  <c r="H23" i="9"/>
  <c r="D23" i="9"/>
  <c r="K22" i="9"/>
  <c r="G22" i="9"/>
  <c r="C22" i="9"/>
  <c r="J21" i="9"/>
  <c r="F21" i="9"/>
  <c r="B21" i="9"/>
  <c r="I20" i="9"/>
  <c r="E20" i="9"/>
  <c r="A20" i="9"/>
  <c r="H19" i="9"/>
  <c r="D19" i="9"/>
  <c r="K18" i="9"/>
  <c r="G18" i="9"/>
  <c r="C18" i="9"/>
  <c r="J17" i="9"/>
  <c r="F17" i="9"/>
  <c r="B17" i="9"/>
  <c r="I16" i="9"/>
  <c r="E16" i="9"/>
  <c r="A16" i="9"/>
  <c r="H15" i="9"/>
  <c r="D15" i="9"/>
  <c r="K14" i="9"/>
  <c r="G14" i="9"/>
  <c r="C14" i="9"/>
  <c r="J13" i="9"/>
  <c r="F13" i="9"/>
  <c r="B13" i="9"/>
  <c r="I12" i="9"/>
  <c r="E12" i="9"/>
  <c r="A12" i="9"/>
  <c r="H11" i="9"/>
  <c r="D11" i="9"/>
  <c r="K10" i="9"/>
  <c r="G10" i="9"/>
  <c r="C10" i="9"/>
  <c r="J9" i="9"/>
  <c r="F9" i="9"/>
  <c r="B9" i="9"/>
  <c r="I8" i="9"/>
  <c r="E8" i="9"/>
  <c r="A8" i="9"/>
  <c r="H7" i="9"/>
  <c r="D7" i="9"/>
  <c r="K6" i="9"/>
  <c r="G6" i="9"/>
  <c r="C6" i="9"/>
  <c r="J5" i="9"/>
  <c r="F5" i="9"/>
  <c r="B5" i="9"/>
  <c r="I4" i="9"/>
  <c r="E4" i="9"/>
  <c r="A4" i="9"/>
  <c r="H3" i="9"/>
  <c r="D3" i="9"/>
  <c r="K2" i="9"/>
  <c r="G2" i="9"/>
  <c r="C2" i="9"/>
  <c r="K1290" i="9"/>
  <c r="F1250" i="9"/>
  <c r="A1227" i="9"/>
  <c r="I1203" i="9"/>
  <c r="D1185" i="9"/>
  <c r="H1173" i="9"/>
  <c r="A1162" i="9"/>
  <c r="E1150" i="9"/>
  <c r="D1141" i="9"/>
  <c r="F1135" i="9"/>
  <c r="H1129" i="9"/>
  <c r="J1123" i="9"/>
  <c r="A1118" i="9"/>
  <c r="C1112" i="9"/>
  <c r="E1106" i="9"/>
  <c r="D1100" i="9"/>
  <c r="F1094" i="9"/>
  <c r="D1088" i="9"/>
  <c r="E1082" i="9"/>
  <c r="F1076" i="9"/>
  <c r="H1070" i="9"/>
  <c r="I1064" i="9"/>
  <c r="F1058" i="9"/>
  <c r="F1052" i="9"/>
  <c r="F1046" i="9"/>
  <c r="H1040" i="9"/>
  <c r="H1034" i="9"/>
  <c r="G1028" i="9"/>
  <c r="F1022" i="9"/>
  <c r="D1016" i="9"/>
  <c r="E1010" i="9"/>
  <c r="G1004" i="9"/>
  <c r="A1000" i="9"/>
  <c r="B997" i="9"/>
  <c r="C994" i="9"/>
  <c r="D991" i="9"/>
  <c r="E988" i="9"/>
  <c r="F985" i="9"/>
  <c r="G982" i="9"/>
  <c r="H979" i="9"/>
  <c r="I976" i="9"/>
  <c r="J973" i="9"/>
  <c r="K970" i="9"/>
  <c r="A968" i="9"/>
  <c r="B965" i="9"/>
  <c r="C962" i="9"/>
  <c r="D959" i="9"/>
  <c r="E956" i="9"/>
  <c r="F953" i="9"/>
  <c r="G950" i="9"/>
  <c r="H947" i="9"/>
  <c r="I944" i="9"/>
  <c r="J941" i="9"/>
  <c r="K938" i="9"/>
  <c r="A936" i="9"/>
  <c r="B933" i="9"/>
  <c r="C930" i="9"/>
  <c r="D927" i="9"/>
  <c r="E924" i="9"/>
  <c r="F921" i="9"/>
  <c r="G918" i="9"/>
  <c r="H915" i="9"/>
  <c r="I912" i="9"/>
  <c r="J909" i="9"/>
  <c r="H907" i="9"/>
  <c r="C906" i="9"/>
  <c r="I904" i="9"/>
  <c r="D903" i="9"/>
  <c r="H901" i="9"/>
  <c r="C900" i="9"/>
  <c r="I898" i="9"/>
  <c r="C897" i="9"/>
  <c r="I895" i="9"/>
  <c r="D894" i="9"/>
  <c r="J892" i="9"/>
  <c r="E891" i="9"/>
  <c r="K889" i="9"/>
  <c r="F888" i="9"/>
  <c r="A887" i="9"/>
  <c r="G885" i="9"/>
  <c r="A884" i="9"/>
  <c r="F882" i="9"/>
  <c r="K880" i="9"/>
  <c r="D879" i="9"/>
  <c r="H877" i="9"/>
  <c r="B876" i="9"/>
  <c r="G874" i="9"/>
  <c r="B873" i="9"/>
  <c r="G871" i="9"/>
  <c r="B870" i="9"/>
  <c r="G868" i="9"/>
  <c r="B867" i="9"/>
  <c r="H865" i="9"/>
  <c r="B864" i="9"/>
  <c r="H862" i="9"/>
  <c r="B861" i="9"/>
  <c r="H859" i="9"/>
  <c r="C858" i="9"/>
  <c r="I856" i="9"/>
  <c r="D855" i="9"/>
  <c r="J853" i="9"/>
  <c r="E852" i="9"/>
  <c r="K850" i="9"/>
  <c r="E849" i="9"/>
  <c r="K847" i="9"/>
  <c r="E846" i="9"/>
  <c r="J844" i="9"/>
  <c r="E843" i="9"/>
  <c r="K841" i="9"/>
  <c r="E840" i="9"/>
  <c r="K838" i="9"/>
  <c r="F837" i="9"/>
  <c r="A836" i="9"/>
  <c r="G834" i="9"/>
  <c r="B833" i="9"/>
  <c r="H831" i="9"/>
  <c r="C830" i="9"/>
  <c r="I828" i="9"/>
  <c r="D827" i="9"/>
  <c r="J825" i="9"/>
  <c r="E824" i="9"/>
  <c r="K822" i="9"/>
  <c r="F821" i="9"/>
  <c r="A820" i="9"/>
  <c r="G818" i="9"/>
  <c r="B817" i="9"/>
  <c r="G815" i="9"/>
  <c r="B814" i="9"/>
  <c r="H812" i="9"/>
  <c r="C811" i="9"/>
  <c r="I809" i="9"/>
  <c r="D808" i="9"/>
  <c r="J806" i="9"/>
  <c r="E805" i="9"/>
  <c r="K803" i="9"/>
  <c r="F802" i="9"/>
  <c r="A801" i="9"/>
  <c r="G799" i="9"/>
  <c r="B798" i="9"/>
  <c r="H796" i="9"/>
  <c r="C795" i="9"/>
  <c r="I793" i="9"/>
  <c r="D792" i="9"/>
  <c r="J790" i="9"/>
  <c r="E789" i="9"/>
  <c r="K787" i="9"/>
  <c r="F786" i="9"/>
  <c r="A785" i="9"/>
  <c r="G783" i="9"/>
  <c r="B782" i="9"/>
  <c r="H780" i="9"/>
  <c r="C779" i="9"/>
  <c r="I777" i="9"/>
  <c r="D776" i="9"/>
  <c r="J774" i="9"/>
  <c r="E773" i="9"/>
  <c r="K771" i="9"/>
  <c r="F770" i="9"/>
  <c r="A769" i="9"/>
  <c r="G767" i="9"/>
  <c r="B766" i="9"/>
  <c r="H764" i="9"/>
  <c r="C763" i="9"/>
  <c r="I761" i="9"/>
  <c r="D760" i="9"/>
  <c r="J758" i="9"/>
  <c r="E757" i="9"/>
  <c r="K755" i="9"/>
  <c r="F754" i="9"/>
  <c r="A753" i="9"/>
  <c r="G751" i="9"/>
  <c r="B750" i="9"/>
  <c r="H748" i="9"/>
  <c r="C747" i="9"/>
  <c r="I745" i="9"/>
  <c r="D744" i="9"/>
  <c r="J742" i="9"/>
  <c r="E741" i="9"/>
  <c r="K739" i="9"/>
  <c r="F738" i="9"/>
  <c r="A737" i="9"/>
  <c r="G735" i="9"/>
  <c r="B734" i="9"/>
  <c r="H732" i="9"/>
  <c r="C731" i="9"/>
  <c r="I729" i="9"/>
  <c r="D728" i="9"/>
  <c r="J726" i="9"/>
  <c r="E725" i="9"/>
  <c r="K723" i="9"/>
  <c r="F722" i="9"/>
  <c r="A721" i="9"/>
  <c r="G719" i="9"/>
  <c r="B718" i="9"/>
  <c r="H716" i="9"/>
  <c r="C715" i="9"/>
  <c r="I713" i="9"/>
  <c r="D712" i="9"/>
  <c r="J710" i="9"/>
  <c r="E709" i="9"/>
  <c r="K707" i="9"/>
  <c r="F706" i="9"/>
  <c r="A705" i="9"/>
  <c r="G703" i="9"/>
  <c r="B702" i="9"/>
  <c r="H700" i="9"/>
  <c r="C699" i="9"/>
  <c r="I697" i="9"/>
  <c r="D696" i="9"/>
  <c r="J694" i="9"/>
  <c r="E693" i="9"/>
  <c r="K691" i="9"/>
  <c r="F690" i="9"/>
  <c r="A689" i="9"/>
  <c r="G687" i="9"/>
  <c r="B686" i="9"/>
  <c r="H684" i="9"/>
  <c r="C683" i="9"/>
  <c r="I681" i="9"/>
  <c r="D680" i="9"/>
  <c r="J678" i="9"/>
  <c r="E677" i="9"/>
  <c r="K675" i="9"/>
  <c r="F674" i="9"/>
  <c r="A673" i="9"/>
  <c r="G671" i="9"/>
  <c r="B670" i="9"/>
  <c r="H668" i="9"/>
  <c r="C667" i="9"/>
  <c r="I665" i="9"/>
  <c r="D664" i="9"/>
  <c r="J662" i="9"/>
  <c r="E661" i="9"/>
  <c r="K659" i="9"/>
  <c r="F658" i="9"/>
  <c r="A657" i="9"/>
  <c r="G655" i="9"/>
  <c r="B654" i="9"/>
  <c r="H652" i="9"/>
  <c r="C651" i="9"/>
  <c r="I649" i="9"/>
  <c r="D648" i="9"/>
  <c r="J646" i="9"/>
  <c r="E645" i="9"/>
  <c r="K643" i="9"/>
  <c r="F642" i="9"/>
  <c r="A641" i="9"/>
  <c r="G639" i="9"/>
  <c r="B638" i="9"/>
  <c r="H636" i="9"/>
  <c r="C635" i="9"/>
  <c r="I633" i="9"/>
  <c r="D632" i="9"/>
  <c r="J630" i="9"/>
  <c r="E629" i="9"/>
  <c r="K627" i="9"/>
  <c r="J626" i="9"/>
  <c r="B626" i="9"/>
  <c r="E625" i="9"/>
  <c r="H624" i="9"/>
  <c r="K623" i="9"/>
  <c r="C623" i="9"/>
  <c r="F622" i="9"/>
  <c r="I621" i="9"/>
  <c r="A621" i="9"/>
  <c r="D620" i="9"/>
  <c r="G619" i="9"/>
  <c r="J618" i="9"/>
  <c r="B618" i="9"/>
  <c r="E617" i="9"/>
  <c r="H616" i="9"/>
  <c r="K615" i="9"/>
  <c r="C615" i="9"/>
  <c r="F614" i="9"/>
  <c r="I613" i="9"/>
  <c r="A613" i="9"/>
  <c r="D612" i="9"/>
  <c r="G611" i="9"/>
  <c r="J610" i="9"/>
  <c r="B610" i="9"/>
  <c r="E609" i="9"/>
  <c r="H608" i="9"/>
  <c r="K607" i="9"/>
  <c r="C607" i="9"/>
  <c r="F606" i="9"/>
  <c r="I605" i="9"/>
  <c r="A605" i="9"/>
  <c r="D604" i="9"/>
  <c r="G603" i="9"/>
  <c r="J602" i="9"/>
  <c r="B602" i="9"/>
  <c r="E601" i="9"/>
  <c r="H600" i="9"/>
  <c r="K599" i="9"/>
  <c r="C599" i="9"/>
  <c r="F598" i="9"/>
  <c r="I597" i="9"/>
  <c r="A597" i="9"/>
  <c r="D596" i="9"/>
  <c r="G595" i="9"/>
  <c r="J594" i="9"/>
  <c r="B594" i="9"/>
  <c r="E593" i="9"/>
  <c r="H592" i="9"/>
  <c r="K591" i="9"/>
  <c r="C591" i="9"/>
  <c r="F590" i="9"/>
  <c r="I589" i="9"/>
  <c r="A589" i="9"/>
  <c r="D588" i="9"/>
  <c r="G587" i="9"/>
  <c r="J586" i="9"/>
  <c r="B586" i="9"/>
  <c r="E585" i="9"/>
  <c r="H584" i="9"/>
  <c r="K583" i="9"/>
  <c r="C583" i="9"/>
  <c r="F582" i="9"/>
  <c r="I581" i="9"/>
  <c r="A581" i="9"/>
  <c r="D580" i="9"/>
  <c r="G579" i="9"/>
  <c r="J578" i="9"/>
  <c r="B578" i="9"/>
  <c r="E577" i="9"/>
  <c r="H576" i="9"/>
  <c r="K575" i="9"/>
  <c r="C575" i="9"/>
  <c r="F574" i="9"/>
  <c r="I573" i="9"/>
  <c r="A573" i="9"/>
  <c r="D572" i="9"/>
  <c r="G571" i="9"/>
  <c r="J570" i="9"/>
  <c r="B570" i="9"/>
  <c r="E569" i="9"/>
  <c r="H568" i="9"/>
  <c r="K567" i="9"/>
  <c r="C567" i="9"/>
  <c r="F566" i="9"/>
  <c r="I565" i="9"/>
  <c r="A565" i="9"/>
  <c r="D564" i="9"/>
  <c r="G563" i="9"/>
  <c r="J562" i="9"/>
  <c r="B562" i="9"/>
  <c r="E561" i="9"/>
  <c r="H560" i="9"/>
  <c r="K559" i="9"/>
  <c r="C559" i="9"/>
  <c r="F558" i="9"/>
  <c r="I557" i="9"/>
  <c r="A557" i="9"/>
  <c r="D556" i="9"/>
  <c r="G555" i="9"/>
  <c r="J554" i="9"/>
  <c r="B554" i="9"/>
  <c r="E553" i="9"/>
  <c r="H552" i="9"/>
  <c r="K551" i="9"/>
  <c r="C551" i="9"/>
  <c r="F550" i="9"/>
  <c r="I549" i="9"/>
  <c r="A549" i="9"/>
  <c r="D548" i="9"/>
  <c r="G547" i="9"/>
  <c r="J546" i="9"/>
  <c r="B546" i="9"/>
  <c r="E545" i="9"/>
  <c r="H544" i="9"/>
  <c r="K543" i="9"/>
  <c r="C543" i="9"/>
  <c r="F542" i="9"/>
  <c r="I541" i="9"/>
  <c r="A541" i="9"/>
  <c r="D540" i="9"/>
  <c r="G539" i="9"/>
  <c r="J538" i="9"/>
  <c r="B538" i="9"/>
  <c r="E537" i="9"/>
  <c r="H536" i="9"/>
  <c r="K535" i="9"/>
  <c r="C535" i="9"/>
  <c r="F534" i="9"/>
  <c r="I533" i="9"/>
  <c r="A533" i="9"/>
  <c r="D532" i="9"/>
  <c r="G531" i="9"/>
  <c r="J530" i="9"/>
  <c r="B530" i="9"/>
  <c r="E529" i="9"/>
  <c r="H528" i="9"/>
  <c r="K527" i="9"/>
  <c r="C527" i="9"/>
  <c r="F526" i="9"/>
  <c r="I525" i="9"/>
  <c r="A525" i="9"/>
  <c r="D524" i="9"/>
  <c r="G523" i="9"/>
  <c r="J522" i="9"/>
  <c r="B522" i="9"/>
  <c r="E521" i="9"/>
  <c r="H520" i="9"/>
  <c r="K519" i="9"/>
  <c r="C519" i="9"/>
  <c r="F518" i="9"/>
  <c r="I517" i="9"/>
  <c r="A517" i="9"/>
  <c r="D516" i="9"/>
  <c r="G515" i="9"/>
  <c r="J514" i="9"/>
  <c r="B514" i="9"/>
  <c r="E513" i="9"/>
  <c r="H512" i="9"/>
  <c r="K511" i="9"/>
  <c r="C511" i="9"/>
  <c r="F510" i="9"/>
  <c r="I509" i="9"/>
  <c r="A509" i="9"/>
  <c r="D508" i="9"/>
  <c r="G507" i="9"/>
  <c r="J506" i="9"/>
  <c r="B506" i="9"/>
  <c r="E505" i="9"/>
  <c r="H504" i="9"/>
  <c r="K503" i="9"/>
  <c r="C503" i="9"/>
  <c r="F502" i="9"/>
  <c r="I501" i="9"/>
  <c r="A501" i="9"/>
  <c r="D500" i="9"/>
  <c r="G499" i="9"/>
  <c r="J498" i="9"/>
  <c r="B498" i="9"/>
  <c r="E497" i="9"/>
  <c r="H496" i="9"/>
  <c r="K495" i="9"/>
  <c r="C495" i="9"/>
  <c r="F494" i="9"/>
  <c r="I493" i="9"/>
  <c r="A493" i="9"/>
  <c r="D492" i="9"/>
  <c r="G491" i="9"/>
  <c r="J490" i="9"/>
  <c r="B490" i="9"/>
  <c r="E489" i="9"/>
  <c r="H488" i="9"/>
  <c r="K487" i="9"/>
  <c r="C487" i="9"/>
  <c r="F486" i="9"/>
  <c r="I485" i="9"/>
  <c r="A485" i="9"/>
  <c r="D484" i="9"/>
  <c r="G483" i="9"/>
  <c r="J482" i="9"/>
  <c r="B482" i="9"/>
  <c r="E481" i="9"/>
  <c r="H480" i="9"/>
  <c r="K479" i="9"/>
  <c r="C479" i="9"/>
  <c r="F478" i="9"/>
  <c r="I477" i="9"/>
  <c r="A477" i="9"/>
  <c r="D476" i="9"/>
  <c r="G475" i="9"/>
  <c r="J474" i="9"/>
  <c r="B474" i="9"/>
  <c r="E473" i="9"/>
  <c r="H472" i="9"/>
  <c r="K471" i="9"/>
  <c r="C471" i="9"/>
  <c r="F470" i="9"/>
  <c r="I469" i="9"/>
  <c r="A469" i="9"/>
  <c r="D468" i="9"/>
  <c r="G467" i="9"/>
  <c r="J466" i="9"/>
  <c r="B466" i="9"/>
  <c r="E465" i="9"/>
  <c r="H464" i="9"/>
  <c r="K463" i="9"/>
  <c r="C463" i="9"/>
  <c r="F462" i="9"/>
  <c r="I461" i="9"/>
  <c r="A461" i="9"/>
  <c r="D460" i="9"/>
  <c r="G459" i="9"/>
  <c r="J458" i="9"/>
  <c r="B458" i="9"/>
  <c r="E457" i="9"/>
  <c r="H456" i="9"/>
  <c r="K455" i="9"/>
  <c r="C455" i="9"/>
  <c r="F454" i="9"/>
  <c r="I453" i="9"/>
  <c r="A453" i="9"/>
  <c r="D452" i="9"/>
  <c r="G451" i="9"/>
  <c r="J450" i="9"/>
  <c r="B450" i="9"/>
  <c r="E449" i="9"/>
  <c r="H448" i="9"/>
  <c r="K447" i="9"/>
  <c r="C447" i="9"/>
  <c r="F446" i="9"/>
  <c r="I445" i="9"/>
  <c r="A445" i="9"/>
  <c r="D444" i="9"/>
  <c r="G443" i="9"/>
  <c r="J442" i="9"/>
  <c r="B442" i="9"/>
  <c r="E441" i="9"/>
  <c r="K440" i="9"/>
  <c r="G440" i="9"/>
  <c r="C440" i="9"/>
  <c r="J439" i="9"/>
  <c r="F439" i="9"/>
  <c r="B439" i="9"/>
  <c r="I438" i="9"/>
  <c r="E438" i="9"/>
  <c r="A438" i="9"/>
  <c r="H437" i="9"/>
  <c r="D437" i="9"/>
  <c r="K436" i="9"/>
  <c r="G436" i="9"/>
  <c r="C436" i="9"/>
  <c r="J435" i="9"/>
  <c r="F435" i="9"/>
  <c r="B435" i="9"/>
  <c r="I434" i="9"/>
  <c r="E434" i="9"/>
  <c r="A434" i="9"/>
  <c r="H433" i="9"/>
  <c r="D433" i="9"/>
  <c r="K432" i="9"/>
  <c r="G432" i="9"/>
  <c r="C432" i="9"/>
  <c r="J431" i="9"/>
  <c r="F431" i="9"/>
  <c r="B431" i="9"/>
  <c r="I430" i="9"/>
  <c r="E430" i="9"/>
  <c r="A430" i="9"/>
  <c r="H429" i="9"/>
  <c r="D429" i="9"/>
  <c r="K428" i="9"/>
  <c r="G428" i="9"/>
  <c r="C428" i="9"/>
  <c r="J427" i="9"/>
  <c r="F427" i="9"/>
  <c r="B427" i="9"/>
  <c r="I426" i="9"/>
  <c r="E426" i="9"/>
  <c r="A426" i="9"/>
  <c r="H425" i="9"/>
  <c r="D425" i="9"/>
  <c r="K424" i="9"/>
  <c r="G424" i="9"/>
  <c r="C424" i="9"/>
  <c r="J423" i="9"/>
  <c r="F423" i="9"/>
  <c r="B423" i="9"/>
  <c r="I422" i="9"/>
  <c r="E422" i="9"/>
  <c r="A422" i="9"/>
  <c r="H421" i="9"/>
  <c r="D421" i="9"/>
  <c r="K420" i="9"/>
  <c r="G420" i="9"/>
  <c r="C420" i="9"/>
  <c r="J419" i="9"/>
  <c r="F419" i="9"/>
  <c r="B419" i="9"/>
  <c r="I418" i="9"/>
  <c r="E418" i="9"/>
  <c r="A418" i="9"/>
  <c r="H417" i="9"/>
  <c r="D417" i="9"/>
  <c r="K416" i="9"/>
  <c r="G416" i="9"/>
  <c r="C416" i="9"/>
  <c r="J415" i="9"/>
  <c r="F415" i="9"/>
  <c r="B415" i="9"/>
  <c r="I414" i="9"/>
  <c r="E414" i="9"/>
  <c r="A414" i="9"/>
  <c r="H413" i="9"/>
  <c r="D413" i="9"/>
  <c r="K412" i="9"/>
  <c r="G412" i="9"/>
  <c r="C412" i="9"/>
  <c r="J411" i="9"/>
  <c r="F411" i="9"/>
  <c r="B411" i="9"/>
  <c r="I410" i="9"/>
  <c r="E410" i="9"/>
  <c r="A410" i="9"/>
  <c r="H409" i="9"/>
  <c r="D409" i="9"/>
  <c r="K408" i="9"/>
  <c r="G408" i="9"/>
  <c r="C408" i="9"/>
  <c r="J407" i="9"/>
  <c r="F407" i="9"/>
  <c r="B407" i="9"/>
  <c r="I406" i="9"/>
  <c r="E406" i="9"/>
  <c r="A406" i="9"/>
  <c r="H405" i="9"/>
  <c r="D405" i="9"/>
  <c r="K404" i="9"/>
  <c r="G404" i="9"/>
  <c r="C404" i="9"/>
  <c r="J403" i="9"/>
  <c r="F403" i="9"/>
  <c r="B403" i="9"/>
  <c r="I402" i="9"/>
  <c r="E402" i="9"/>
  <c r="A402" i="9"/>
  <c r="H401" i="9"/>
  <c r="D401" i="9"/>
  <c r="K400" i="9"/>
  <c r="G400" i="9"/>
  <c r="C400" i="9"/>
  <c r="J399" i="9"/>
  <c r="F399" i="9"/>
  <c r="B399" i="9"/>
  <c r="I398" i="9"/>
  <c r="E398" i="9"/>
  <c r="A398" i="9"/>
  <c r="H397" i="9"/>
  <c r="D397" i="9"/>
  <c r="K396" i="9"/>
  <c r="G396" i="9"/>
  <c r="C396" i="9"/>
  <c r="J395" i="9"/>
  <c r="F395" i="9"/>
  <c r="B395" i="9"/>
  <c r="I394" i="9"/>
  <c r="E394" i="9"/>
  <c r="A394" i="9"/>
  <c r="H393" i="9"/>
  <c r="D393" i="9"/>
  <c r="K392" i="9"/>
  <c r="G392" i="9"/>
  <c r="C392" i="9"/>
  <c r="J391" i="9"/>
  <c r="F391" i="9"/>
  <c r="B391" i="9"/>
  <c r="I390" i="9"/>
  <c r="E390" i="9"/>
  <c r="A390" i="9"/>
  <c r="H389" i="9"/>
  <c r="D389" i="9"/>
  <c r="K388" i="9"/>
  <c r="G388" i="9"/>
  <c r="C388" i="9"/>
  <c r="J387" i="9"/>
  <c r="F387" i="9"/>
  <c r="B387" i="9"/>
  <c r="I386" i="9"/>
  <c r="E386" i="9"/>
  <c r="A386" i="9"/>
  <c r="H385" i="9"/>
  <c r="D385" i="9"/>
  <c r="K384" i="9"/>
  <c r="G384" i="9"/>
  <c r="C384" i="9"/>
  <c r="J383" i="9"/>
  <c r="F383" i="9"/>
  <c r="B383" i="9"/>
  <c r="I382" i="9"/>
  <c r="E382" i="9"/>
  <c r="A382" i="9"/>
  <c r="H381" i="9"/>
  <c r="D381" i="9"/>
  <c r="K380" i="9"/>
  <c r="G380" i="9"/>
  <c r="C380" i="9"/>
  <c r="J379" i="9"/>
  <c r="F379" i="9"/>
  <c r="B379" i="9"/>
  <c r="I378" i="9"/>
  <c r="E378" i="9"/>
  <c r="A378" i="9"/>
  <c r="H377" i="9"/>
  <c r="D377" i="9"/>
  <c r="K376" i="9"/>
  <c r="G376" i="9"/>
  <c r="C376" i="9"/>
  <c r="J375" i="9"/>
  <c r="F375" i="9"/>
  <c r="B375" i="9"/>
  <c r="I374" i="9"/>
  <c r="E374" i="9"/>
  <c r="A374" i="9"/>
  <c r="H373" i="9"/>
  <c r="D373" i="9"/>
  <c r="K372" i="9"/>
  <c r="G372" i="9"/>
  <c r="C372" i="9"/>
  <c r="J371" i="9"/>
  <c r="F371" i="9"/>
  <c r="B371" i="9"/>
  <c r="I370" i="9"/>
  <c r="E370" i="9"/>
  <c r="A370" i="9"/>
  <c r="H369" i="9"/>
  <c r="D369" i="9"/>
  <c r="K368" i="9"/>
  <c r="G368" i="9"/>
  <c r="C368" i="9"/>
  <c r="J367" i="9"/>
  <c r="F367" i="9"/>
  <c r="B367" i="9"/>
  <c r="I366" i="9"/>
  <c r="E366" i="9"/>
  <c r="A366" i="9"/>
  <c r="H365" i="9"/>
  <c r="D365" i="9"/>
  <c r="K364" i="9"/>
  <c r="G364" i="9"/>
  <c r="C364" i="9"/>
  <c r="J363" i="9"/>
  <c r="F363" i="9"/>
  <c r="B363" i="9"/>
  <c r="I362" i="9"/>
  <c r="E362" i="9"/>
  <c r="A362" i="9"/>
  <c r="H361" i="9"/>
  <c r="D361" i="9"/>
  <c r="K360" i="9"/>
  <c r="G360" i="9"/>
  <c r="C360" i="9"/>
  <c r="J359" i="9"/>
  <c r="F359" i="9"/>
  <c r="B359" i="9"/>
  <c r="I358" i="9"/>
  <c r="E358" i="9"/>
  <c r="A358" i="9"/>
  <c r="H357" i="9"/>
  <c r="D357" i="9"/>
  <c r="K356" i="9"/>
  <c r="G356" i="9"/>
  <c r="C356" i="9"/>
  <c r="J355" i="9"/>
  <c r="F355" i="9"/>
  <c r="B355" i="9"/>
  <c r="I354" i="9"/>
  <c r="E354" i="9"/>
  <c r="A354" i="9"/>
  <c r="H353" i="9"/>
  <c r="D353" i="9"/>
  <c r="K352" i="9"/>
  <c r="G352" i="9"/>
  <c r="C352" i="9"/>
  <c r="J351" i="9"/>
  <c r="F351" i="9"/>
  <c r="B351" i="9"/>
  <c r="I350" i="9"/>
  <c r="E350" i="9"/>
  <c r="A350" i="9"/>
  <c r="H349" i="9"/>
  <c r="D349" i="9"/>
  <c r="K348" i="9"/>
  <c r="G348" i="9"/>
  <c r="C348" i="9"/>
  <c r="J347" i="9"/>
  <c r="F347" i="9"/>
  <c r="B347" i="9"/>
  <c r="I346" i="9"/>
  <c r="E346" i="9"/>
  <c r="A346" i="9"/>
  <c r="H345" i="9"/>
  <c r="D345" i="9"/>
  <c r="K344" i="9"/>
  <c r="G344" i="9"/>
  <c r="C344" i="9"/>
  <c r="J343" i="9"/>
  <c r="F343" i="9"/>
  <c r="B343" i="9"/>
  <c r="I342" i="9"/>
  <c r="E342" i="9"/>
  <c r="A342" i="9"/>
  <c r="H341" i="9"/>
  <c r="D341" i="9"/>
  <c r="K340" i="9"/>
  <c r="G340" i="9"/>
  <c r="C340" i="9"/>
  <c r="J339" i="9"/>
  <c r="F339" i="9"/>
  <c r="B339" i="9"/>
  <c r="I338" i="9"/>
  <c r="E338" i="9"/>
  <c r="A338" i="9"/>
  <c r="H337" i="9"/>
  <c r="D337" i="9"/>
  <c r="K336" i="9"/>
  <c r="G336" i="9"/>
  <c r="C336" i="9"/>
  <c r="J335" i="9"/>
  <c r="F335" i="9"/>
  <c r="B335" i="9"/>
  <c r="I334" i="9"/>
  <c r="E334" i="9"/>
  <c r="A334" i="9"/>
  <c r="H333" i="9"/>
  <c r="D333" i="9"/>
  <c r="K332" i="9"/>
  <c r="G332" i="9"/>
  <c r="C332" i="9"/>
  <c r="J331" i="9"/>
  <c r="F331" i="9"/>
  <c r="B331" i="9"/>
  <c r="I330" i="9"/>
  <c r="E330" i="9"/>
  <c r="A330" i="9"/>
  <c r="H329" i="9"/>
  <c r="D329" i="9"/>
  <c r="K328" i="9"/>
  <c r="G328" i="9"/>
  <c r="C328" i="9"/>
  <c r="J327" i="9"/>
  <c r="F327" i="9"/>
  <c r="B327" i="9"/>
  <c r="I326" i="9"/>
  <c r="E326" i="9"/>
  <c r="A326" i="9"/>
  <c r="H325" i="9"/>
  <c r="D325" i="9"/>
  <c r="K324" i="9"/>
  <c r="G324" i="9"/>
  <c r="C324" i="9"/>
  <c r="J323" i="9"/>
  <c r="F323" i="9"/>
  <c r="B323" i="9"/>
  <c r="I322" i="9"/>
  <c r="E322" i="9"/>
  <c r="A322" i="9"/>
  <c r="H321" i="9"/>
  <c r="D321" i="9"/>
  <c r="K320" i="9"/>
  <c r="G320" i="9"/>
  <c r="C320" i="9"/>
  <c r="J319" i="9"/>
  <c r="F319" i="9"/>
  <c r="B319" i="9"/>
  <c r="I318" i="9"/>
  <c r="E318" i="9"/>
  <c r="A318" i="9"/>
  <c r="H317" i="9"/>
  <c r="D317" i="9"/>
  <c r="K316" i="9"/>
  <c r="G316" i="9"/>
  <c r="C316" i="9"/>
  <c r="J315" i="9"/>
  <c r="F315" i="9"/>
  <c r="B315" i="9"/>
  <c r="I314" i="9"/>
  <c r="E314" i="9"/>
  <c r="A314" i="9"/>
  <c r="H313" i="9"/>
  <c r="D313" i="9"/>
  <c r="K312" i="9"/>
  <c r="G312" i="9"/>
  <c r="C312" i="9"/>
  <c r="J311" i="9"/>
  <c r="F311" i="9"/>
  <c r="B311" i="9"/>
  <c r="I310" i="9"/>
  <c r="E310" i="9"/>
  <c r="A310" i="9"/>
  <c r="H309" i="9"/>
  <c r="D309" i="9"/>
  <c r="K308" i="9"/>
  <c r="G308" i="9"/>
  <c r="C308" i="9"/>
  <c r="J307" i="9"/>
  <c r="F307" i="9"/>
  <c r="B307" i="9"/>
  <c r="I306" i="9"/>
  <c r="E306" i="9"/>
  <c r="A306" i="9"/>
  <c r="H305" i="9"/>
  <c r="D305" i="9"/>
  <c r="K304" i="9"/>
  <c r="G304" i="9"/>
  <c r="C304" i="9"/>
  <c r="J303" i="9"/>
  <c r="F303" i="9"/>
  <c r="B303" i="9"/>
  <c r="I302" i="9"/>
  <c r="E302" i="9"/>
  <c r="A302" i="9"/>
  <c r="H301" i="9"/>
  <c r="D301" i="9"/>
  <c r="K300" i="9"/>
  <c r="G300" i="9"/>
  <c r="C300" i="9"/>
  <c r="J299" i="9"/>
  <c r="F299" i="9"/>
  <c r="B299" i="9"/>
  <c r="I298" i="9"/>
  <c r="E298" i="9"/>
  <c r="A298" i="9"/>
  <c r="H297" i="9"/>
  <c r="D297" i="9"/>
  <c r="K296" i="9"/>
  <c r="G296" i="9"/>
  <c r="C296" i="9"/>
  <c r="J295" i="9"/>
  <c r="F295" i="9"/>
  <c r="B295" i="9"/>
  <c r="I294" i="9"/>
  <c r="E294" i="9"/>
  <c r="A294" i="9"/>
  <c r="H293" i="9"/>
  <c r="D293" i="9"/>
  <c r="K292" i="9"/>
  <c r="G292" i="9"/>
  <c r="C292" i="9"/>
  <c r="J291" i="9"/>
  <c r="F291" i="9"/>
  <c r="B291" i="9"/>
  <c r="I290" i="9"/>
  <c r="E290" i="9"/>
  <c r="A290" i="9"/>
  <c r="H289" i="9"/>
  <c r="D289" i="9"/>
  <c r="K288" i="9"/>
  <c r="G288" i="9"/>
  <c r="C288" i="9"/>
  <c r="J287" i="9"/>
  <c r="F287" i="9"/>
  <c r="B287" i="9"/>
  <c r="I286" i="9"/>
  <c r="E286" i="9"/>
  <c r="A286" i="9"/>
  <c r="H285" i="9"/>
  <c r="D285" i="9"/>
  <c r="K284" i="9"/>
  <c r="G284" i="9"/>
  <c r="C284" i="9"/>
  <c r="J283" i="9"/>
  <c r="F283" i="9"/>
  <c r="B283" i="9"/>
  <c r="I282" i="9"/>
  <c r="E282" i="9"/>
  <c r="A282" i="9"/>
  <c r="H281" i="9"/>
  <c r="D281" i="9"/>
  <c r="K280" i="9"/>
  <c r="G280" i="9"/>
  <c r="C280" i="9"/>
  <c r="J279" i="9"/>
  <c r="F279" i="9"/>
  <c r="B279" i="9"/>
  <c r="I278" i="9"/>
  <c r="E278" i="9"/>
  <c r="A278" i="9"/>
  <c r="H277" i="9"/>
  <c r="D277" i="9"/>
  <c r="K276" i="9"/>
  <c r="G276" i="9"/>
  <c r="C276" i="9"/>
  <c r="J275" i="9"/>
  <c r="F275" i="9"/>
  <c r="B275" i="9"/>
  <c r="I274" i="9"/>
  <c r="E274" i="9"/>
  <c r="A274" i="9"/>
  <c r="H273" i="9"/>
  <c r="D273" i="9"/>
  <c r="K272" i="9"/>
  <c r="G272" i="9"/>
  <c r="C272" i="9"/>
  <c r="J271" i="9"/>
  <c r="F271" i="9"/>
  <c r="B271" i="9"/>
  <c r="I270" i="9"/>
  <c r="E270" i="9"/>
  <c r="A270" i="9"/>
  <c r="H269" i="9"/>
  <c r="D269" i="9"/>
  <c r="K268" i="9"/>
  <c r="G268" i="9"/>
  <c r="C268" i="9"/>
  <c r="J267" i="9"/>
  <c r="F267" i="9"/>
  <c r="B267" i="9"/>
  <c r="I266" i="9"/>
  <c r="E266" i="9"/>
  <c r="A266" i="9"/>
  <c r="H265" i="9"/>
  <c r="D265" i="9"/>
  <c r="K264" i="9"/>
  <c r="G264" i="9"/>
  <c r="C264" i="9"/>
  <c r="J263" i="9"/>
  <c r="F263" i="9"/>
  <c r="B263" i="9"/>
  <c r="I262" i="9"/>
  <c r="E262" i="9"/>
  <c r="A262" i="9"/>
  <c r="H261" i="9"/>
  <c r="D261" i="9"/>
  <c r="K260" i="9"/>
  <c r="G260" i="9"/>
  <c r="C260" i="9"/>
  <c r="J259" i="9"/>
  <c r="F259" i="9"/>
  <c r="B259" i="9"/>
  <c r="I258" i="9"/>
  <c r="E258" i="9"/>
  <c r="A258" i="9"/>
  <c r="H257" i="9"/>
  <c r="D257" i="9"/>
  <c r="K256" i="9"/>
  <c r="G256" i="9"/>
  <c r="C256" i="9"/>
  <c r="J255" i="9"/>
  <c r="F255" i="9"/>
  <c r="B255" i="9"/>
  <c r="I254" i="9"/>
  <c r="E254" i="9"/>
  <c r="A254" i="9"/>
  <c r="H253" i="9"/>
  <c r="D253" i="9"/>
  <c r="K252" i="9"/>
  <c r="G252" i="9"/>
  <c r="C252" i="9"/>
  <c r="J251" i="9"/>
  <c r="F251" i="9"/>
  <c r="B251" i="9"/>
  <c r="I250" i="9"/>
  <c r="E250" i="9"/>
  <c r="A250" i="9"/>
  <c r="H249" i="9"/>
  <c r="D249" i="9"/>
  <c r="K248" i="9"/>
  <c r="G248" i="9"/>
  <c r="C248" i="9"/>
  <c r="J247" i="9"/>
  <c r="F247" i="9"/>
  <c r="B247" i="9"/>
  <c r="I246" i="9"/>
  <c r="E246" i="9"/>
  <c r="A246" i="9"/>
  <c r="H245" i="9"/>
  <c r="D245" i="9"/>
  <c r="K244" i="9"/>
  <c r="G244" i="9"/>
  <c r="C244" i="9"/>
  <c r="J243" i="9"/>
  <c r="F243" i="9"/>
  <c r="B243" i="9"/>
  <c r="I242" i="9"/>
  <c r="E242" i="9"/>
  <c r="A242" i="9"/>
  <c r="H241" i="9"/>
  <c r="D241" i="9"/>
  <c r="K240" i="9"/>
  <c r="G240" i="9"/>
  <c r="C240" i="9"/>
  <c r="J239" i="9"/>
  <c r="F239" i="9"/>
  <c r="B239" i="9"/>
  <c r="I238" i="9"/>
  <c r="E238" i="9"/>
  <c r="A238" i="9"/>
  <c r="H237" i="9"/>
  <c r="D237" i="9"/>
  <c r="K236" i="9"/>
  <c r="G236" i="9"/>
  <c r="C236" i="9"/>
  <c r="J235" i="9"/>
  <c r="F235" i="9"/>
  <c r="B235" i="9"/>
  <c r="I234" i="9"/>
  <c r="E234" i="9"/>
  <c r="A234" i="9"/>
  <c r="H233" i="9"/>
  <c r="D233" i="9"/>
  <c r="K232" i="9"/>
  <c r="G232" i="9"/>
  <c r="C232" i="9"/>
  <c r="J231" i="9"/>
  <c r="F231" i="9"/>
  <c r="B231" i="9"/>
  <c r="I230" i="9"/>
  <c r="E230" i="9"/>
  <c r="A230" i="9"/>
  <c r="H229" i="9"/>
  <c r="D229" i="9"/>
  <c r="K228" i="9"/>
  <c r="F228" i="9"/>
  <c r="B228" i="9"/>
  <c r="I227" i="9"/>
  <c r="E227" i="9"/>
  <c r="A227" i="9"/>
  <c r="H226" i="9"/>
  <c r="D226" i="9"/>
  <c r="K225" i="9"/>
  <c r="G225" i="9"/>
  <c r="C225" i="9"/>
  <c r="J224" i="9"/>
  <c r="F224" i="9"/>
  <c r="B224" i="9"/>
  <c r="I223" i="9"/>
  <c r="E223" i="9"/>
  <c r="A223" i="9"/>
  <c r="H222" i="9"/>
  <c r="D222" i="9"/>
  <c r="K221" i="9"/>
  <c r="G221" i="9"/>
  <c r="C221" i="9"/>
  <c r="J220" i="9"/>
  <c r="F220" i="9"/>
  <c r="B220" i="9"/>
  <c r="I219" i="9"/>
  <c r="E219" i="9"/>
  <c r="A219" i="9"/>
  <c r="H218" i="9"/>
  <c r="D218" i="9"/>
  <c r="K217" i="9"/>
  <c r="G217" i="9"/>
  <c r="C217" i="9"/>
  <c r="J216" i="9"/>
  <c r="F216" i="9"/>
  <c r="B216" i="9"/>
  <c r="I215" i="9"/>
  <c r="E215" i="9"/>
  <c r="A215" i="9"/>
  <c r="H214" i="9"/>
  <c r="D214" i="9"/>
  <c r="K213" i="9"/>
  <c r="G213" i="9"/>
  <c r="C213" i="9"/>
  <c r="J212" i="9"/>
  <c r="F212" i="9"/>
  <c r="B212" i="9"/>
  <c r="I211" i="9"/>
  <c r="E211" i="9"/>
  <c r="A211" i="9"/>
  <c r="H210" i="9"/>
  <c r="D210" i="9"/>
  <c r="K209" i="9"/>
  <c r="G209" i="9"/>
  <c r="C209" i="9"/>
  <c r="J208" i="9"/>
  <c r="F208" i="9"/>
  <c r="B208" i="9"/>
  <c r="I207" i="9"/>
  <c r="E207" i="9"/>
  <c r="A207" i="9"/>
  <c r="H206" i="9"/>
  <c r="D206" i="9"/>
  <c r="K205" i="9"/>
  <c r="G205" i="9"/>
  <c r="C205" i="9"/>
  <c r="J204" i="9"/>
  <c r="F204" i="9"/>
  <c r="B204" i="9"/>
  <c r="I203" i="9"/>
  <c r="E203" i="9"/>
  <c r="A203" i="9"/>
  <c r="H202" i="9"/>
  <c r="D202" i="9"/>
  <c r="K201" i="9"/>
  <c r="G201" i="9"/>
  <c r="C201" i="9"/>
  <c r="J200" i="9"/>
  <c r="F200" i="9"/>
  <c r="B200" i="9"/>
  <c r="I199" i="9"/>
  <c r="E199" i="9"/>
  <c r="A199" i="9"/>
  <c r="H198" i="9"/>
  <c r="D198" i="9"/>
  <c r="K197" i="9"/>
  <c r="G197" i="9"/>
  <c r="C197" i="9"/>
  <c r="J196" i="9"/>
  <c r="F196" i="9"/>
  <c r="B196" i="9"/>
  <c r="I195" i="9"/>
  <c r="E195" i="9"/>
  <c r="A195" i="9"/>
  <c r="H194" i="9"/>
  <c r="D194" i="9"/>
  <c r="K193" i="9"/>
  <c r="G193" i="9"/>
  <c r="C193" i="9"/>
  <c r="J192" i="9"/>
  <c r="F192" i="9"/>
  <c r="B192" i="9"/>
  <c r="I191" i="9"/>
  <c r="E191" i="9"/>
  <c r="A191" i="9"/>
  <c r="H190" i="9"/>
  <c r="D190" i="9"/>
  <c r="K189" i="9"/>
  <c r="G189" i="9"/>
  <c r="C189" i="9"/>
  <c r="J188" i="9"/>
  <c r="F188" i="9"/>
  <c r="B188" i="9"/>
  <c r="I187" i="9"/>
  <c r="E187" i="9"/>
  <c r="A187" i="9"/>
  <c r="H186" i="9"/>
  <c r="D186" i="9"/>
  <c r="K185" i="9"/>
  <c r="G185" i="9"/>
  <c r="C185" i="9"/>
  <c r="J184" i="9"/>
  <c r="F184" i="9"/>
  <c r="B184" i="9"/>
  <c r="I183" i="9"/>
  <c r="E183" i="9"/>
  <c r="A183" i="9"/>
  <c r="H182" i="9"/>
  <c r="D182" i="9"/>
  <c r="K181" i="9"/>
  <c r="G181" i="9"/>
  <c r="C181" i="9"/>
  <c r="J180" i="9"/>
  <c r="F180" i="9"/>
  <c r="B180" i="9"/>
  <c r="I179" i="9"/>
  <c r="E179" i="9"/>
  <c r="A179" i="9"/>
  <c r="H178" i="9"/>
  <c r="D178" i="9"/>
  <c r="K177" i="9"/>
  <c r="G177" i="9"/>
  <c r="C177" i="9"/>
  <c r="J176" i="9"/>
  <c r="F176" i="9"/>
  <c r="B176" i="9"/>
  <c r="I175" i="9"/>
  <c r="E175" i="9"/>
  <c r="A175" i="9"/>
  <c r="H174" i="9"/>
  <c r="D174" i="9"/>
  <c r="K173" i="9"/>
  <c r="G173" i="9"/>
  <c r="C173" i="9"/>
  <c r="J172" i="9"/>
  <c r="F172" i="9"/>
  <c r="B172" i="9"/>
  <c r="I171" i="9"/>
  <c r="E171" i="9"/>
  <c r="A171" i="9"/>
  <c r="H170" i="9"/>
  <c r="D170" i="9"/>
  <c r="K169" i="9"/>
  <c r="G169" i="9"/>
  <c r="C169" i="9"/>
  <c r="J168" i="9"/>
  <c r="F168" i="9"/>
  <c r="B168" i="9"/>
  <c r="I167" i="9"/>
  <c r="E167" i="9"/>
  <c r="A167" i="9"/>
  <c r="H166" i="9"/>
  <c r="D166" i="9"/>
  <c r="K165" i="9"/>
  <c r="G165" i="9"/>
  <c r="C165" i="9"/>
  <c r="J164" i="9"/>
  <c r="F164" i="9"/>
  <c r="B164" i="9"/>
  <c r="I163" i="9"/>
  <c r="E163" i="9"/>
  <c r="A163" i="9"/>
  <c r="H162" i="9"/>
  <c r="D162" i="9"/>
  <c r="K161" i="9"/>
  <c r="G161" i="9"/>
  <c r="C161" i="9"/>
  <c r="J160" i="9"/>
  <c r="F160" i="9"/>
  <c r="B160" i="9"/>
  <c r="I159" i="9"/>
  <c r="E159" i="9"/>
  <c r="A159" i="9"/>
  <c r="H158" i="9"/>
  <c r="D158" i="9"/>
  <c r="K157" i="9"/>
  <c r="G157" i="9"/>
  <c r="C157" i="9"/>
  <c r="J156" i="9"/>
  <c r="F156" i="9"/>
  <c r="B156" i="9"/>
  <c r="I155" i="9"/>
  <c r="E155" i="9"/>
  <c r="A155" i="9"/>
  <c r="H154" i="9"/>
  <c r="D154" i="9"/>
  <c r="K153" i="9"/>
  <c r="G153" i="9"/>
  <c r="C153" i="9"/>
  <c r="J152" i="9"/>
  <c r="F152" i="9"/>
  <c r="B152" i="9"/>
  <c r="I151" i="9"/>
  <c r="E151" i="9"/>
  <c r="A151" i="9"/>
  <c r="H150" i="9"/>
  <c r="D150" i="9"/>
  <c r="K149" i="9"/>
  <c r="G149" i="9"/>
  <c r="C149" i="9"/>
  <c r="J148" i="9"/>
  <c r="F148" i="9"/>
  <c r="B148" i="9"/>
  <c r="I147" i="9"/>
  <c r="E147" i="9"/>
  <c r="A147" i="9"/>
  <c r="H146" i="9"/>
  <c r="D146" i="9"/>
  <c r="K145" i="9"/>
  <c r="G145" i="9"/>
  <c r="C145" i="9"/>
  <c r="J144" i="9"/>
  <c r="F144" i="9"/>
  <c r="B144" i="9"/>
  <c r="I143" i="9"/>
  <c r="E143" i="9"/>
  <c r="A143" i="9"/>
  <c r="H142" i="9"/>
  <c r="D142" i="9"/>
  <c r="K141" i="9"/>
  <c r="G141" i="9"/>
  <c r="C141" i="9"/>
  <c r="J140" i="9"/>
  <c r="F140" i="9"/>
  <c r="B140" i="9"/>
  <c r="I139" i="9"/>
  <c r="E139" i="9"/>
  <c r="A139" i="9"/>
  <c r="H138" i="9"/>
  <c r="D138" i="9"/>
  <c r="K137" i="9"/>
  <c r="G137" i="9"/>
  <c r="C137" i="9"/>
  <c r="J136" i="9"/>
  <c r="F136" i="9"/>
  <c r="B136" i="9"/>
  <c r="I135" i="9"/>
  <c r="E135" i="9"/>
  <c r="A135" i="9"/>
  <c r="H134" i="9"/>
  <c r="D134" i="9"/>
  <c r="K133" i="9"/>
  <c r="G133" i="9"/>
  <c r="C133" i="9"/>
  <c r="J132" i="9"/>
  <c r="F132" i="9"/>
  <c r="B132" i="9"/>
  <c r="I131" i="9"/>
  <c r="E131" i="9"/>
  <c r="A131" i="9"/>
  <c r="H130" i="9"/>
  <c r="D130" i="9"/>
  <c r="K129" i="9"/>
  <c r="G129" i="9"/>
  <c r="C129" i="9"/>
  <c r="J128" i="9"/>
  <c r="F128" i="9"/>
  <c r="B128" i="9"/>
  <c r="I127" i="9"/>
  <c r="E127" i="9"/>
  <c r="A127" i="9"/>
  <c r="H126" i="9"/>
  <c r="D126" i="9"/>
  <c r="K125" i="9"/>
  <c r="G125" i="9"/>
  <c r="C125" i="9"/>
  <c r="J124" i="9"/>
  <c r="F124" i="9"/>
  <c r="B124" i="9"/>
  <c r="I123" i="9"/>
  <c r="E123" i="9"/>
  <c r="A123" i="9"/>
  <c r="H122" i="9"/>
  <c r="D122" i="9"/>
  <c r="K121" i="9"/>
  <c r="G121" i="9"/>
  <c r="C121" i="9"/>
  <c r="J120" i="9"/>
  <c r="F120" i="9"/>
  <c r="B120" i="9"/>
  <c r="I119" i="9"/>
  <c r="E119" i="9"/>
  <c r="A119" i="9"/>
  <c r="H118" i="9"/>
  <c r="D118" i="9"/>
  <c r="K117" i="9"/>
  <c r="G117" i="9"/>
  <c r="C117" i="9"/>
  <c r="J116" i="9"/>
  <c r="F116" i="9"/>
  <c r="B116" i="9"/>
  <c r="I115" i="9"/>
  <c r="E115" i="9"/>
  <c r="A115" i="9"/>
  <c r="H114" i="9"/>
  <c r="D114" i="9"/>
  <c r="K113" i="9"/>
  <c r="G113" i="9"/>
  <c r="C113" i="9"/>
  <c r="J112" i="9"/>
  <c r="F112" i="9"/>
  <c r="B112" i="9"/>
  <c r="I111" i="9"/>
  <c r="E111" i="9"/>
  <c r="A111" i="9"/>
  <c r="H110" i="9"/>
  <c r="D110" i="9"/>
  <c r="K109" i="9"/>
  <c r="G109" i="9"/>
  <c r="C109" i="9"/>
  <c r="J108" i="9"/>
  <c r="F108" i="9"/>
  <c r="B108" i="9"/>
  <c r="I107" i="9"/>
  <c r="E107" i="9"/>
  <c r="A107" i="9"/>
  <c r="H106" i="9"/>
  <c r="D106" i="9"/>
  <c r="K105" i="9"/>
  <c r="G105" i="9"/>
  <c r="C105" i="9"/>
  <c r="J104" i="9"/>
  <c r="F104" i="9"/>
  <c r="B104" i="9"/>
  <c r="I103" i="9"/>
  <c r="E103" i="9"/>
  <c r="A103" i="9"/>
  <c r="H102" i="9"/>
  <c r="D102" i="9"/>
  <c r="K101" i="9"/>
  <c r="G101" i="9"/>
  <c r="C101" i="9"/>
  <c r="J100" i="9"/>
  <c r="F100" i="9"/>
  <c r="B100" i="9"/>
  <c r="I99" i="9"/>
  <c r="E99" i="9"/>
  <c r="A99" i="9"/>
  <c r="H98" i="9"/>
  <c r="D98" i="9"/>
  <c r="K97" i="9"/>
  <c r="G97" i="9"/>
  <c r="C97" i="9"/>
  <c r="J96" i="9"/>
  <c r="F96" i="9"/>
  <c r="B96" i="9"/>
  <c r="I95" i="9"/>
  <c r="E95" i="9"/>
  <c r="A95" i="9"/>
  <c r="H94" i="9"/>
  <c r="D94" i="9"/>
  <c r="K93" i="9"/>
  <c r="G93" i="9"/>
  <c r="C93" i="9"/>
  <c r="J92" i="9"/>
  <c r="F92" i="9"/>
  <c r="B92" i="9"/>
  <c r="I91" i="9"/>
  <c r="E91" i="9"/>
  <c r="A91" i="9"/>
  <c r="H90" i="9"/>
  <c r="D90" i="9"/>
  <c r="K89" i="9"/>
  <c r="G89" i="9"/>
  <c r="C89" i="9"/>
  <c r="J88" i="9"/>
  <c r="F88" i="9"/>
  <c r="B88" i="9"/>
  <c r="I87" i="9"/>
  <c r="E87" i="9"/>
  <c r="A87" i="9"/>
  <c r="H86" i="9"/>
  <c r="D86" i="9"/>
  <c r="K85" i="9"/>
  <c r="G85" i="9"/>
  <c r="C85" i="9"/>
  <c r="J84" i="9"/>
  <c r="F84" i="9"/>
  <c r="B84" i="9"/>
  <c r="I83" i="9"/>
  <c r="E83" i="9"/>
  <c r="A83" i="9"/>
  <c r="H82" i="9"/>
  <c r="D82" i="9"/>
  <c r="K81" i="9"/>
  <c r="G81" i="9"/>
  <c r="C81" i="9"/>
  <c r="J80" i="9"/>
  <c r="F80" i="9"/>
  <c r="B80" i="9"/>
  <c r="I79" i="9"/>
  <c r="E79" i="9"/>
  <c r="A79" i="9"/>
  <c r="H78" i="9"/>
  <c r="D78" i="9"/>
  <c r="K77" i="9"/>
  <c r="G77" i="9"/>
  <c r="C77" i="9"/>
  <c r="J76" i="9"/>
  <c r="F76" i="9"/>
  <c r="B76" i="9"/>
  <c r="I75" i="9"/>
  <c r="E75" i="9"/>
  <c r="A75" i="9"/>
  <c r="H74" i="9"/>
  <c r="D74" i="9"/>
  <c r="K73" i="9"/>
  <c r="G73" i="9"/>
  <c r="C73" i="9"/>
  <c r="J72" i="9"/>
  <c r="F72" i="9"/>
  <c r="B72" i="9"/>
  <c r="I71" i="9"/>
  <c r="E71" i="9"/>
  <c r="A71" i="9"/>
  <c r="H70" i="9"/>
  <c r="D70" i="9"/>
  <c r="K69" i="9"/>
  <c r="G69" i="9"/>
  <c r="C69" i="9"/>
  <c r="J68" i="9"/>
  <c r="F68" i="9"/>
  <c r="B68" i="9"/>
  <c r="I67" i="9"/>
  <c r="E67" i="9"/>
  <c r="A67" i="9"/>
  <c r="H66" i="9"/>
  <c r="D66" i="9"/>
  <c r="K65" i="9"/>
  <c r="G65" i="9"/>
  <c r="C65" i="9"/>
  <c r="J64" i="9"/>
  <c r="F64" i="9"/>
  <c r="B64" i="9"/>
  <c r="I63" i="9"/>
  <c r="E63" i="9"/>
  <c r="A63" i="9"/>
  <c r="H62" i="9"/>
  <c r="D62" i="9"/>
  <c r="K61" i="9"/>
  <c r="G61" i="9"/>
  <c r="C61" i="9"/>
  <c r="J60" i="9"/>
  <c r="F60" i="9"/>
  <c r="B60" i="9"/>
  <c r="I59" i="9"/>
  <c r="E59" i="9"/>
  <c r="A59" i="9"/>
  <c r="H58" i="9"/>
  <c r="D58" i="9"/>
  <c r="K57" i="9"/>
  <c r="G57" i="9"/>
  <c r="C57" i="9"/>
  <c r="J56" i="9"/>
  <c r="F56" i="9"/>
  <c r="B56" i="9"/>
  <c r="I55" i="9"/>
  <c r="E55" i="9"/>
  <c r="A55" i="9"/>
  <c r="H54" i="9"/>
  <c r="D54" i="9"/>
  <c r="K53" i="9"/>
  <c r="G53" i="9"/>
  <c r="C53" i="9"/>
  <c r="J52" i="9"/>
  <c r="F52" i="9"/>
  <c r="B52" i="9"/>
  <c r="I51" i="9"/>
  <c r="E51" i="9"/>
  <c r="A51" i="9"/>
  <c r="H50" i="9"/>
  <c r="D50" i="9"/>
  <c r="K49" i="9"/>
  <c r="G49" i="9"/>
  <c r="C49" i="9"/>
  <c r="J48" i="9"/>
  <c r="F48" i="9"/>
  <c r="B48" i="9"/>
  <c r="I47" i="9"/>
  <c r="E47" i="9"/>
  <c r="A47" i="9"/>
  <c r="H46" i="9"/>
  <c r="D46" i="9"/>
  <c r="K45" i="9"/>
  <c r="G45" i="9"/>
  <c r="C45" i="9"/>
  <c r="J44" i="9"/>
  <c r="F44" i="9"/>
  <c r="B44" i="9"/>
  <c r="I43" i="9"/>
  <c r="E43" i="9"/>
  <c r="A43" i="9"/>
  <c r="H42" i="9"/>
  <c r="D42" i="9"/>
  <c r="K41" i="9"/>
  <c r="G41" i="9"/>
  <c r="C41" i="9"/>
  <c r="J40" i="9"/>
  <c r="F40" i="9"/>
  <c r="B40" i="9"/>
  <c r="I39" i="9"/>
  <c r="E39" i="9"/>
  <c r="A39" i="9"/>
  <c r="H38" i="9"/>
  <c r="D38" i="9"/>
  <c r="K37" i="9"/>
  <c r="G37" i="9"/>
  <c r="C37" i="9"/>
  <c r="J36" i="9"/>
  <c r="F36" i="9"/>
  <c r="B36" i="9"/>
  <c r="I35" i="9"/>
  <c r="E35" i="9"/>
  <c r="A35" i="9"/>
  <c r="H34" i="9"/>
  <c r="D34" i="9"/>
  <c r="K33" i="9"/>
  <c r="G33" i="9"/>
  <c r="C33" i="9"/>
  <c r="J32" i="9"/>
  <c r="F32" i="9"/>
  <c r="B32" i="9"/>
  <c r="I31" i="9"/>
  <c r="E31" i="9"/>
  <c r="A31" i="9"/>
  <c r="H30" i="9"/>
  <c r="D30" i="9"/>
  <c r="K29" i="9"/>
  <c r="G29" i="9"/>
  <c r="C29" i="9"/>
  <c r="J28" i="9"/>
  <c r="F28" i="9"/>
  <c r="B28" i="9"/>
  <c r="I27" i="9"/>
  <c r="E27" i="9"/>
  <c r="A27" i="9"/>
  <c r="H26" i="9"/>
  <c r="D26" i="9"/>
  <c r="K25" i="9"/>
  <c r="G25" i="9"/>
  <c r="C25" i="9"/>
  <c r="J24" i="9"/>
  <c r="F24" i="9"/>
  <c r="B24" i="9"/>
  <c r="I23" i="9"/>
  <c r="E23" i="9"/>
  <c r="A23" i="9"/>
  <c r="H22" i="9"/>
  <c r="D22" i="9"/>
  <c r="K21" i="9"/>
  <c r="G21" i="9"/>
  <c r="C21" i="9"/>
  <c r="J20" i="9"/>
  <c r="F20" i="9"/>
  <c r="B20" i="9"/>
  <c r="I19" i="9"/>
  <c r="E19" i="9"/>
  <c r="A19" i="9"/>
  <c r="H18" i="9"/>
  <c r="D18" i="9"/>
  <c r="K17" i="9"/>
  <c r="G17" i="9"/>
  <c r="C17" i="9"/>
  <c r="J16" i="9"/>
  <c r="F16" i="9"/>
  <c r="B16" i="9"/>
  <c r="I15" i="9"/>
  <c r="E15" i="9"/>
  <c r="A15" i="9"/>
  <c r="H14" i="9"/>
  <c r="D14" i="9"/>
  <c r="K13" i="9"/>
  <c r="G13" i="9"/>
  <c r="C13" i="9"/>
  <c r="J12" i="9"/>
  <c r="F12" i="9"/>
  <c r="B12" i="9"/>
  <c r="I11" i="9"/>
  <c r="E11" i="9"/>
  <c r="A11" i="9"/>
  <c r="H10" i="9"/>
  <c r="D10" i="9"/>
  <c r="K9" i="9"/>
  <c r="G9" i="9"/>
  <c r="C9" i="9"/>
  <c r="J8" i="9"/>
  <c r="F8" i="9"/>
  <c r="B8" i="9"/>
  <c r="I7" i="9"/>
  <c r="E7" i="9"/>
  <c r="A7" i="9"/>
  <c r="H6" i="9"/>
  <c r="D6" i="9"/>
  <c r="K5" i="9"/>
  <c r="G5" i="9"/>
  <c r="C5" i="9"/>
  <c r="J4" i="9"/>
  <c r="F4" i="9"/>
  <c r="B4" i="9"/>
  <c r="I3" i="9"/>
  <c r="E3" i="9"/>
  <c r="A3" i="9"/>
  <c r="H2" i="9"/>
  <c r="D2" i="9"/>
  <c r="I86" i="9"/>
  <c r="K1263" i="9"/>
  <c r="H1238" i="9"/>
  <c r="E1215" i="9"/>
  <c r="A1192" i="9"/>
  <c r="F1179" i="9"/>
  <c r="J1167" i="9"/>
  <c r="C1156" i="9"/>
  <c r="G1144" i="9"/>
  <c r="E1138" i="9"/>
  <c r="G1132" i="9"/>
  <c r="I1126" i="9"/>
  <c r="K1120" i="9"/>
  <c r="B1115" i="9"/>
  <c r="D1109" i="9"/>
  <c r="F1103" i="9"/>
  <c r="E1097" i="9"/>
  <c r="E1091" i="9"/>
  <c r="D1085" i="9"/>
  <c r="F1079" i="9"/>
  <c r="G1073" i="9"/>
  <c r="H1067" i="9"/>
  <c r="H1061" i="9"/>
  <c r="F1055" i="9"/>
  <c r="G1049" i="9"/>
  <c r="G1043" i="9"/>
  <c r="G1037" i="9"/>
  <c r="G1031" i="9"/>
  <c r="H1025" i="9"/>
  <c r="E1019" i="9"/>
  <c r="D1013" i="9"/>
  <c r="F1007" i="9"/>
  <c r="H1001" i="9"/>
  <c r="G998" i="9"/>
  <c r="H995" i="9"/>
  <c r="I992" i="9"/>
  <c r="J989" i="9"/>
  <c r="K986" i="9"/>
  <c r="A984" i="9"/>
  <c r="B981" i="9"/>
  <c r="C978" i="9"/>
  <c r="D975" i="9"/>
  <c r="E972" i="9"/>
  <c r="F969" i="9"/>
  <c r="G966" i="9"/>
  <c r="H963" i="9"/>
  <c r="I960" i="9"/>
  <c r="J957" i="9"/>
  <c r="K954" i="9"/>
  <c r="A952" i="9"/>
  <c r="B949" i="9"/>
  <c r="C946" i="9"/>
  <c r="D943" i="9"/>
  <c r="E940" i="9"/>
  <c r="F937" i="9"/>
  <c r="G934" i="9"/>
  <c r="H931" i="9"/>
  <c r="I928" i="9"/>
  <c r="J925" i="9"/>
  <c r="K922" i="9"/>
  <c r="A920" i="9"/>
  <c r="B917" i="9"/>
  <c r="C914" i="9"/>
  <c r="D911" i="9"/>
  <c r="E908" i="9"/>
  <c r="K906" i="9"/>
  <c r="F905" i="9"/>
  <c r="A904" i="9"/>
  <c r="F902" i="9"/>
  <c r="K900" i="9"/>
  <c r="F899" i="9"/>
  <c r="A898" i="9"/>
  <c r="F896" i="9"/>
  <c r="A895" i="9"/>
  <c r="G893" i="9"/>
  <c r="B892" i="9"/>
  <c r="H890" i="9"/>
  <c r="C889" i="9"/>
  <c r="I887" i="9"/>
  <c r="D886" i="9"/>
  <c r="J884" i="9"/>
  <c r="C883" i="9"/>
  <c r="H881" i="9"/>
  <c r="B880" i="9"/>
  <c r="F878" i="9"/>
  <c r="K876" i="9"/>
  <c r="D875" i="9"/>
  <c r="J873" i="9"/>
  <c r="E872" i="9"/>
  <c r="J870" i="9"/>
  <c r="E869" i="9"/>
  <c r="J867" i="9"/>
  <c r="E866" i="9"/>
  <c r="K864" i="9"/>
  <c r="E863" i="9"/>
  <c r="K861" i="9"/>
  <c r="E860" i="9"/>
  <c r="K858" i="9"/>
  <c r="F857" i="9"/>
  <c r="A856" i="9"/>
  <c r="G854" i="9"/>
  <c r="B853" i="9"/>
  <c r="H851" i="9"/>
  <c r="B850" i="9"/>
  <c r="H848" i="9"/>
  <c r="B847" i="9"/>
  <c r="G845" i="9"/>
  <c r="B844" i="9"/>
  <c r="H842" i="9"/>
  <c r="B841" i="9"/>
  <c r="H839" i="9"/>
  <c r="C838" i="9"/>
  <c r="I836" i="9"/>
  <c r="D835" i="9"/>
  <c r="J833" i="9"/>
  <c r="E832" i="9"/>
  <c r="K830" i="9"/>
  <c r="F829" i="9"/>
  <c r="A828" i="9"/>
  <c r="G826" i="9"/>
  <c r="B825" i="9"/>
  <c r="H823" i="9"/>
  <c r="C822" i="9"/>
  <c r="I820" i="9"/>
  <c r="D819" i="9"/>
  <c r="J817" i="9"/>
  <c r="D816" i="9"/>
  <c r="J814" i="9"/>
  <c r="E813" i="9"/>
  <c r="K811" i="9"/>
  <c r="F810" i="9"/>
  <c r="A809" i="9"/>
  <c r="G807" i="9"/>
  <c r="B806" i="9"/>
  <c r="H804" i="9"/>
  <c r="C803" i="9"/>
  <c r="I801" i="9"/>
  <c r="D800" i="9"/>
  <c r="J798" i="9"/>
  <c r="E797" i="9"/>
  <c r="K795" i="9"/>
  <c r="F794" i="9"/>
  <c r="A793" i="9"/>
  <c r="G791" i="9"/>
  <c r="B790" i="9"/>
  <c r="H788" i="9"/>
  <c r="C787" i="9"/>
  <c r="I785" i="9"/>
  <c r="D784" i="9"/>
  <c r="J782" i="9"/>
  <c r="E781" i="9"/>
  <c r="K779" i="9"/>
  <c r="F778" i="9"/>
  <c r="A777" i="9"/>
  <c r="G775" i="9"/>
  <c r="B774" i="9"/>
  <c r="H772" i="9"/>
  <c r="C771" i="9"/>
  <c r="I769" i="9"/>
  <c r="D768" i="9"/>
  <c r="J766" i="9"/>
  <c r="E765" i="9"/>
  <c r="K763" i="9"/>
  <c r="F762" i="9"/>
  <c r="A761" i="9"/>
  <c r="G759" i="9"/>
  <c r="B758" i="9"/>
  <c r="H756" i="9"/>
  <c r="C755" i="9"/>
  <c r="I753" i="9"/>
  <c r="D752" i="9"/>
  <c r="J750" i="9"/>
  <c r="E749" i="9"/>
  <c r="K747" i="9"/>
  <c r="F746" i="9"/>
  <c r="A745" i="9"/>
  <c r="G743" i="9"/>
  <c r="B742" i="9"/>
  <c r="H740" i="9"/>
  <c r="C739" i="9"/>
  <c r="I737" i="9"/>
  <c r="D736" i="9"/>
  <c r="J734" i="9"/>
  <c r="E733" i="9"/>
  <c r="K731" i="9"/>
  <c r="F730" i="9"/>
  <c r="A729" i="9"/>
  <c r="G727" i="9"/>
  <c r="B726" i="9"/>
  <c r="H724" i="9"/>
  <c r="C723" i="9"/>
  <c r="I721" i="9"/>
  <c r="D720" i="9"/>
  <c r="J718" i="9"/>
  <c r="E717" i="9"/>
  <c r="K715" i="9"/>
  <c r="F714" i="9"/>
  <c r="A713" i="9"/>
  <c r="G711" i="9"/>
  <c r="B710" i="9"/>
  <c r="H708" i="9"/>
  <c r="C707" i="9"/>
  <c r="I705" i="9"/>
  <c r="D704" i="9"/>
  <c r="J702" i="9"/>
  <c r="E701" i="9"/>
  <c r="K699" i="9"/>
  <c r="F698" i="9"/>
  <c r="A697" i="9"/>
  <c r="G695" i="9"/>
  <c r="B694" i="9"/>
  <c r="H692" i="9"/>
  <c r="C691" i="9"/>
  <c r="I689" i="9"/>
  <c r="D688" i="9"/>
  <c r="J686" i="9"/>
  <c r="E685" i="9"/>
  <c r="K683" i="9"/>
  <c r="F682" i="9"/>
  <c r="A681" i="9"/>
  <c r="G679" i="9"/>
  <c r="B678" i="9"/>
  <c r="H676" i="9"/>
  <c r="C675" i="9"/>
  <c r="I673" i="9"/>
  <c r="D672" i="9"/>
  <c r="J670" i="9"/>
  <c r="E669" i="9"/>
  <c r="K667" i="9"/>
  <c r="F666" i="9"/>
  <c r="A665" i="9"/>
  <c r="G663" i="9"/>
  <c r="B662" i="9"/>
  <c r="H660" i="9"/>
  <c r="C659" i="9"/>
  <c r="I657" i="9"/>
  <c r="D656" i="9"/>
  <c r="J654" i="9"/>
  <c r="E653" i="9"/>
  <c r="K651" i="9"/>
  <c r="F650" i="9"/>
  <c r="A649" i="9"/>
  <c r="G647" i="9"/>
  <c r="B646" i="9"/>
  <c r="H644" i="9"/>
  <c r="C643" i="9"/>
  <c r="I641" i="9"/>
  <c r="D640" i="9"/>
  <c r="J638" i="9"/>
  <c r="E637" i="9"/>
  <c r="K635" i="9"/>
  <c r="F634" i="9"/>
  <c r="A633" i="9"/>
  <c r="G631" i="9"/>
  <c r="B630" i="9"/>
  <c r="H628" i="9"/>
  <c r="C627" i="9"/>
  <c r="F626" i="9"/>
  <c r="I625" i="9"/>
  <c r="A625" i="9"/>
  <c r="D624" i="9"/>
  <c r="G623" i="9"/>
  <c r="J622" i="9"/>
  <c r="B622" i="9"/>
  <c r="E621" i="9"/>
  <c r="H620" i="9"/>
  <c r="K619" i="9"/>
  <c r="C619" i="9"/>
  <c r="F618" i="9"/>
  <c r="I617" i="9"/>
  <c r="A617" i="9"/>
  <c r="D616" i="9"/>
  <c r="G615" i="9"/>
  <c r="J614" i="9"/>
  <c r="B614" i="9"/>
  <c r="E613" i="9"/>
  <c r="H612" i="9"/>
  <c r="K611" i="9"/>
  <c r="C611" i="9"/>
  <c r="F610" i="9"/>
  <c r="I609" i="9"/>
  <c r="A609" i="9"/>
  <c r="D608" i="9"/>
  <c r="G607" i="9"/>
  <c r="J606" i="9"/>
  <c r="B606" i="9"/>
  <c r="E605" i="9"/>
  <c r="H604" i="9"/>
  <c r="K603" i="9"/>
  <c r="C603" i="9"/>
  <c r="F602" i="9"/>
  <c r="I601" i="9"/>
  <c r="A601" i="9"/>
  <c r="D600" i="9"/>
  <c r="G599" i="9"/>
  <c r="J598" i="9"/>
  <c r="B598" i="9"/>
  <c r="E597" i="9"/>
  <c r="H596" i="9"/>
  <c r="K595" i="9"/>
  <c r="C595" i="9"/>
  <c r="F594" i="9"/>
  <c r="I593" i="9"/>
  <c r="A593" i="9"/>
  <c r="D592" i="9"/>
  <c r="G591" i="9"/>
  <c r="J590" i="9"/>
  <c r="B590" i="9"/>
  <c r="E589" i="9"/>
  <c r="H588" i="9"/>
  <c r="K587" i="9"/>
  <c r="C587" i="9"/>
  <c r="F586" i="9"/>
  <c r="I585" i="9"/>
  <c r="A585" i="9"/>
  <c r="D584" i="9"/>
  <c r="G583" i="9"/>
  <c r="J582" i="9"/>
  <c r="B582" i="9"/>
  <c r="E581" i="9"/>
  <c r="H580" i="9"/>
  <c r="K579" i="9"/>
  <c r="C579" i="9"/>
  <c r="F578" i="9"/>
  <c r="I577" i="9"/>
  <c r="A577" i="9"/>
  <c r="D576" i="9"/>
  <c r="G575" i="9"/>
  <c r="J574" i="9"/>
  <c r="B574" i="9"/>
  <c r="E573" i="9"/>
  <c r="H572" i="9"/>
  <c r="K571" i="9"/>
  <c r="C571" i="9"/>
  <c r="F570" i="9"/>
  <c r="I569" i="9"/>
  <c r="A569" i="9"/>
  <c r="D568" i="9"/>
  <c r="G567" i="9"/>
  <c r="J566" i="9"/>
  <c r="B566" i="9"/>
  <c r="E565" i="9"/>
  <c r="H564" i="9"/>
  <c r="K563" i="9"/>
  <c r="C563" i="9"/>
  <c r="F562" i="9"/>
  <c r="I561" i="9"/>
  <c r="A561" i="9"/>
  <c r="D560" i="9"/>
  <c r="G559" i="9"/>
  <c r="J558" i="9"/>
  <c r="B558" i="9"/>
  <c r="E557" i="9"/>
  <c r="H556" i="9"/>
  <c r="K555" i="9"/>
  <c r="C555" i="9"/>
  <c r="F554" i="9"/>
  <c r="I553" i="9"/>
  <c r="A553" i="9"/>
  <c r="D552" i="9"/>
  <c r="G551" i="9"/>
  <c r="J550" i="9"/>
  <c r="B550" i="9"/>
  <c r="E549" i="9"/>
  <c r="H548" i="9"/>
  <c r="K547" i="9"/>
  <c r="C547" i="9"/>
  <c r="F546" i="9"/>
  <c r="I545" i="9"/>
  <c r="A545" i="9"/>
  <c r="D544" i="9"/>
  <c r="G543" i="9"/>
  <c r="J542" i="9"/>
  <c r="B542" i="9"/>
  <c r="E541" i="9"/>
  <c r="H540" i="9"/>
  <c r="K539" i="9"/>
  <c r="C539" i="9"/>
  <c r="F538" i="9"/>
  <c r="I537" i="9"/>
  <c r="A537" i="9"/>
  <c r="D536" i="9"/>
  <c r="G535" i="9"/>
  <c r="J534" i="9"/>
  <c r="B534" i="9"/>
  <c r="E533" i="9"/>
  <c r="H532" i="9"/>
  <c r="K531" i="9"/>
  <c r="C531" i="9"/>
  <c r="F530" i="9"/>
  <c r="I529" i="9"/>
  <c r="A529" i="9"/>
  <c r="D528" i="9"/>
  <c r="G527" i="9"/>
  <c r="J526" i="9"/>
  <c r="B526" i="9"/>
  <c r="E525" i="9"/>
  <c r="H524" i="9"/>
  <c r="K523" i="9"/>
  <c r="C523" i="9"/>
  <c r="F522" i="9"/>
  <c r="I521" i="9"/>
  <c r="A521" i="9"/>
  <c r="D520" i="9"/>
  <c r="G519" i="9"/>
  <c r="J518" i="9"/>
  <c r="B518" i="9"/>
  <c r="E517" i="9"/>
  <c r="H516" i="9"/>
  <c r="K515" i="9"/>
  <c r="C515" i="9"/>
  <c r="F514" i="9"/>
  <c r="I513" i="9"/>
  <c r="A513" i="9"/>
  <c r="D512" i="9"/>
  <c r="G511" i="9"/>
  <c r="J510" i="9"/>
  <c r="B510" i="9"/>
  <c r="E509" i="9"/>
  <c r="H508" i="9"/>
  <c r="K507" i="9"/>
  <c r="C507" i="9"/>
  <c r="F506" i="9"/>
  <c r="I505" i="9"/>
  <c r="A505" i="9"/>
  <c r="D504" i="9"/>
  <c r="G503" i="9"/>
  <c r="J502" i="9"/>
  <c r="B502" i="9"/>
  <c r="E501" i="9"/>
  <c r="H500" i="9"/>
  <c r="K499" i="9"/>
  <c r="C499" i="9"/>
  <c r="F498" i="9"/>
  <c r="I497" i="9"/>
  <c r="A497" i="9"/>
  <c r="D496" i="9"/>
  <c r="G495" i="9"/>
  <c r="J494" i="9"/>
  <c r="B494" i="9"/>
  <c r="E493" i="9"/>
  <c r="H492" i="9"/>
  <c r="K491" i="9"/>
  <c r="C491" i="9"/>
  <c r="F490" i="9"/>
  <c r="I489" i="9"/>
  <c r="A489" i="9"/>
  <c r="D488" i="9"/>
  <c r="G487" i="9"/>
  <c r="J486" i="9"/>
  <c r="B486" i="9"/>
  <c r="E485" i="9"/>
  <c r="H484" i="9"/>
  <c r="K483" i="9"/>
  <c r="C483" i="9"/>
  <c r="F482" i="9"/>
  <c r="I481" i="9"/>
  <c r="A481" i="9"/>
  <c r="D480" i="9"/>
  <c r="G479" i="9"/>
  <c r="J478" i="9"/>
  <c r="B478" i="9"/>
  <c r="E477" i="9"/>
  <c r="H476" i="9"/>
  <c r="K475" i="9"/>
  <c r="C475" i="9"/>
  <c r="F474" i="9"/>
  <c r="I473" i="9"/>
  <c r="A473" i="9"/>
  <c r="D472" i="9"/>
  <c r="G471" i="9"/>
  <c r="J470" i="9"/>
  <c r="B470" i="9"/>
  <c r="E469" i="9"/>
  <c r="H468" i="9"/>
  <c r="K467" i="9"/>
  <c r="C467" i="9"/>
  <c r="F466" i="9"/>
  <c r="I465" i="9"/>
  <c r="A465" i="9"/>
  <c r="D464" i="9"/>
  <c r="G463" i="9"/>
  <c r="J462" i="9"/>
  <c r="B462" i="9"/>
  <c r="E461" i="9"/>
  <c r="H460" i="9"/>
  <c r="K459" i="9"/>
  <c r="C459" i="9"/>
  <c r="F458" i="9"/>
  <c r="I457" i="9"/>
  <c r="A457" i="9"/>
  <c r="D456" i="9"/>
  <c r="G455" i="9"/>
  <c r="J454" i="9"/>
  <c r="B454" i="9"/>
  <c r="E453" i="9"/>
  <c r="H452" i="9"/>
  <c r="K451" i="9"/>
  <c r="C451" i="9"/>
  <c r="F450" i="9"/>
  <c r="I449" i="9"/>
  <c r="A449" i="9"/>
  <c r="D448" i="9"/>
  <c r="G447" i="9"/>
  <c r="J446" i="9"/>
  <c r="B446" i="9"/>
  <c r="E445" i="9"/>
  <c r="H444" i="9"/>
  <c r="K443" i="9"/>
  <c r="C443" i="9"/>
  <c r="F442" i="9"/>
  <c r="I441" i="9"/>
  <c r="B441" i="9"/>
  <c r="I440" i="9"/>
  <c r="E440" i="9"/>
  <c r="A440" i="9"/>
  <c r="H439" i="9"/>
  <c r="D439" i="9"/>
  <c r="K438" i="9"/>
  <c r="G438" i="9"/>
  <c r="C438" i="9"/>
  <c r="J437" i="9"/>
  <c r="F437" i="9"/>
  <c r="B437" i="9"/>
  <c r="I436" i="9"/>
  <c r="E436" i="9"/>
  <c r="A436" i="9"/>
  <c r="H435" i="9"/>
  <c r="D435" i="9"/>
  <c r="K434" i="9"/>
  <c r="G434" i="9"/>
  <c r="C434" i="9"/>
  <c r="J433" i="9"/>
  <c r="F433" i="9"/>
  <c r="B433" i="9"/>
  <c r="I432" i="9"/>
  <c r="E432" i="9"/>
  <c r="A432" i="9"/>
  <c r="H431" i="9"/>
  <c r="D431" i="9"/>
  <c r="K430" i="9"/>
  <c r="G430" i="9"/>
  <c r="C430" i="9"/>
  <c r="J429" i="9"/>
  <c r="F429" i="9"/>
  <c r="B429" i="9"/>
  <c r="I428" i="9"/>
  <c r="E428" i="9"/>
  <c r="A428" i="9"/>
  <c r="H427" i="9"/>
  <c r="D427" i="9"/>
  <c r="K426" i="9"/>
  <c r="G426" i="9"/>
  <c r="C426" i="9"/>
  <c r="J425" i="9"/>
  <c r="F425" i="9"/>
  <c r="B425" i="9"/>
  <c r="I424" i="9"/>
  <c r="E424" i="9"/>
  <c r="A424" i="9"/>
  <c r="H423" i="9"/>
  <c r="D423" i="9"/>
  <c r="K422" i="9"/>
  <c r="G422" i="9"/>
  <c r="C422" i="9"/>
  <c r="J421" i="9"/>
  <c r="F421" i="9"/>
  <c r="B421" i="9"/>
  <c r="I420" i="9"/>
  <c r="E420" i="9"/>
  <c r="A420" i="9"/>
  <c r="H419" i="9"/>
  <c r="D419" i="9"/>
  <c r="K418" i="9"/>
  <c r="G418" i="9"/>
  <c r="C418" i="9"/>
  <c r="J417" i="9"/>
  <c r="F417" i="9"/>
  <c r="B417" i="9"/>
  <c r="I416" i="9"/>
  <c r="E416" i="9"/>
  <c r="A416" i="9"/>
  <c r="H415" i="9"/>
  <c r="D415" i="9"/>
  <c r="K414" i="9"/>
  <c r="G414" i="9"/>
  <c r="C414" i="9"/>
  <c r="J413" i="9"/>
  <c r="F413" i="9"/>
  <c r="B413" i="9"/>
  <c r="I412" i="9"/>
  <c r="E412" i="9"/>
  <c r="A412" i="9"/>
  <c r="H411" i="9"/>
  <c r="D411" i="9"/>
  <c r="K410" i="9"/>
  <c r="G410" i="9"/>
  <c r="C410" i="9"/>
  <c r="J409" i="9"/>
  <c r="F409" i="9"/>
  <c r="B409" i="9"/>
  <c r="I408" i="9"/>
  <c r="E408" i="9"/>
  <c r="A408" i="9"/>
  <c r="H407" i="9"/>
  <c r="D407" i="9"/>
  <c r="K406" i="9"/>
  <c r="G406" i="9"/>
  <c r="C406" i="9"/>
  <c r="J405" i="9"/>
  <c r="F405" i="9"/>
  <c r="B405" i="9"/>
  <c r="I404" i="9"/>
  <c r="E404" i="9"/>
  <c r="A404" i="9"/>
  <c r="H403" i="9"/>
  <c r="D403" i="9"/>
  <c r="K402" i="9"/>
  <c r="G402" i="9"/>
  <c r="C402" i="9"/>
  <c r="J401" i="9"/>
  <c r="F401" i="9"/>
  <c r="B401" i="9"/>
  <c r="I400" i="9"/>
  <c r="E400" i="9"/>
  <c r="A400" i="9"/>
  <c r="H399" i="9"/>
  <c r="D399" i="9"/>
  <c r="K398" i="9"/>
  <c r="G398" i="9"/>
  <c r="C398" i="9"/>
  <c r="J397" i="9"/>
  <c r="F397" i="9"/>
  <c r="B397" i="9"/>
  <c r="I396" i="9"/>
  <c r="E396" i="9"/>
  <c r="A396" i="9"/>
  <c r="H395" i="9"/>
  <c r="D395" i="9"/>
  <c r="K394" i="9"/>
  <c r="G394" i="9"/>
  <c r="C394" i="9"/>
  <c r="J393" i="9"/>
  <c r="F393" i="9"/>
  <c r="B393" i="9"/>
  <c r="I392" i="9"/>
  <c r="E392" i="9"/>
  <c r="A392" i="9"/>
  <c r="H391" i="9"/>
  <c r="D391" i="9"/>
  <c r="K390" i="9"/>
  <c r="G390" i="9"/>
  <c r="C390" i="9"/>
  <c r="J389" i="9"/>
  <c r="F389" i="9"/>
  <c r="B389" i="9"/>
  <c r="I388" i="9"/>
  <c r="E388" i="9"/>
  <c r="A388" i="9"/>
  <c r="H387" i="9"/>
  <c r="D387" i="9"/>
  <c r="K386" i="9"/>
  <c r="G386" i="9"/>
  <c r="C386" i="9"/>
  <c r="J385" i="9"/>
  <c r="F385" i="9"/>
  <c r="B385" i="9"/>
  <c r="I384" i="9"/>
  <c r="E384" i="9"/>
  <c r="A384" i="9"/>
  <c r="H383" i="9"/>
  <c r="D383" i="9"/>
  <c r="K382" i="9"/>
  <c r="G382" i="9"/>
  <c r="C382" i="9"/>
  <c r="J381" i="9"/>
  <c r="F381" i="9"/>
  <c r="B381" i="9"/>
  <c r="I380" i="9"/>
  <c r="E380" i="9"/>
  <c r="A380" i="9"/>
  <c r="H379" i="9"/>
  <c r="D379" i="9"/>
  <c r="K378" i="9"/>
  <c r="G378" i="9"/>
  <c r="C378" i="9"/>
  <c r="J377" i="9"/>
  <c r="F377" i="9"/>
  <c r="B377" i="9"/>
  <c r="I376" i="9"/>
  <c r="E376" i="9"/>
  <c r="A376" i="9"/>
  <c r="H375" i="9"/>
  <c r="D375" i="9"/>
  <c r="K374" i="9"/>
  <c r="G374" i="9"/>
  <c r="C374" i="9"/>
  <c r="J373" i="9"/>
  <c r="F373" i="9"/>
  <c r="B373" i="9"/>
  <c r="I372" i="9"/>
  <c r="E372" i="9"/>
  <c r="A372" i="9"/>
  <c r="H371" i="9"/>
  <c r="D371" i="9"/>
  <c r="K370" i="9"/>
  <c r="G370" i="9"/>
  <c r="C370" i="9"/>
  <c r="J369" i="9"/>
  <c r="F369" i="9"/>
  <c r="B369" i="9"/>
  <c r="I368" i="9"/>
  <c r="E368" i="9"/>
  <c r="A368" i="9"/>
  <c r="H367" i="9"/>
  <c r="D367" i="9"/>
  <c r="K366" i="9"/>
  <c r="G366" i="9"/>
  <c r="C366" i="9"/>
  <c r="J365" i="9"/>
  <c r="F365" i="9"/>
  <c r="B365" i="9"/>
  <c r="I364" i="9"/>
  <c r="E364" i="9"/>
  <c r="A364" i="9"/>
  <c r="H363" i="9"/>
  <c r="D363" i="9"/>
  <c r="K362" i="9"/>
  <c r="G362" i="9"/>
  <c r="C362" i="9"/>
  <c r="J361" i="9"/>
  <c r="F361" i="9"/>
  <c r="B361" i="9"/>
  <c r="I360" i="9"/>
  <c r="E360" i="9"/>
  <c r="A360" i="9"/>
  <c r="H359" i="9"/>
  <c r="D359" i="9"/>
  <c r="K358" i="9"/>
  <c r="G358" i="9"/>
  <c r="C358" i="9"/>
  <c r="J357" i="9"/>
  <c r="F357" i="9"/>
  <c r="B357" i="9"/>
  <c r="I356" i="9"/>
  <c r="E356" i="9"/>
  <c r="A356" i="9"/>
  <c r="H355" i="9"/>
  <c r="D355" i="9"/>
  <c r="K354" i="9"/>
  <c r="G354" i="9"/>
  <c r="C354" i="9"/>
  <c r="J353" i="9"/>
  <c r="F353" i="9"/>
  <c r="B353" i="9"/>
  <c r="I352" i="9"/>
  <c r="E352" i="9"/>
  <c r="A352" i="9"/>
  <c r="H351" i="9"/>
  <c r="D351" i="9"/>
  <c r="K350" i="9"/>
  <c r="G350" i="9"/>
  <c r="C350" i="9"/>
  <c r="J349" i="9"/>
  <c r="F349" i="9"/>
  <c r="B349" i="9"/>
  <c r="I348" i="9"/>
  <c r="E348" i="9"/>
  <c r="A348" i="9"/>
  <c r="H347" i="9"/>
  <c r="D347" i="9"/>
  <c r="K346" i="9"/>
  <c r="G346" i="9"/>
  <c r="C346" i="9"/>
  <c r="J345" i="9"/>
  <c r="F345" i="9"/>
  <c r="B345" i="9"/>
  <c r="I344" i="9"/>
  <c r="E344" i="9"/>
  <c r="A344" i="9"/>
  <c r="H343" i="9"/>
  <c r="D343" i="9"/>
  <c r="K342" i="9"/>
  <c r="G342" i="9"/>
  <c r="C342" i="9"/>
  <c r="J341" i="9"/>
  <c r="F341" i="9"/>
  <c r="B341" i="9"/>
  <c r="I340" i="9"/>
  <c r="E340" i="9"/>
  <c r="A340" i="9"/>
  <c r="H339" i="9"/>
  <c r="D339" i="9"/>
  <c r="K338" i="9"/>
  <c r="G338" i="9"/>
  <c r="C338" i="9"/>
  <c r="J337" i="9"/>
  <c r="F337" i="9"/>
  <c r="B337" i="9"/>
  <c r="I336" i="9"/>
  <c r="E336" i="9"/>
  <c r="A336" i="9"/>
  <c r="H335" i="9"/>
  <c r="D335" i="9"/>
  <c r="K334" i="9"/>
  <c r="G334" i="9"/>
  <c r="C334" i="9"/>
  <c r="J333" i="9"/>
  <c r="F333" i="9"/>
  <c r="B333" i="9"/>
  <c r="I332" i="9"/>
  <c r="E332" i="9"/>
  <c r="A332" i="9"/>
  <c r="H331" i="9"/>
  <c r="D331" i="9"/>
  <c r="K330" i="9"/>
  <c r="G330" i="9"/>
  <c r="C330" i="9"/>
  <c r="J329" i="9"/>
  <c r="F329" i="9"/>
  <c r="B329" i="9"/>
  <c r="I328" i="9"/>
  <c r="E328" i="9"/>
  <c r="A328" i="9"/>
  <c r="H327" i="9"/>
  <c r="D327" i="9"/>
  <c r="K326" i="9"/>
  <c r="G326" i="9"/>
  <c r="C326" i="9"/>
  <c r="J325" i="9"/>
  <c r="F325" i="9"/>
  <c r="B325" i="9"/>
  <c r="I324" i="9"/>
  <c r="E324" i="9"/>
  <c r="A324" i="9"/>
  <c r="H323" i="9"/>
  <c r="D323" i="9"/>
  <c r="K322" i="9"/>
  <c r="G322" i="9"/>
  <c r="C322" i="9"/>
  <c r="J321" i="9"/>
  <c r="F321" i="9"/>
  <c r="B321" i="9"/>
  <c r="I320" i="9"/>
  <c r="E320" i="9"/>
  <c r="A320" i="9"/>
  <c r="H319" i="9"/>
  <c r="D319" i="9"/>
  <c r="K318" i="9"/>
  <c r="G318" i="9"/>
  <c r="C318" i="9"/>
  <c r="J317" i="9"/>
  <c r="F317" i="9"/>
  <c r="B317" i="9"/>
  <c r="I316" i="9"/>
  <c r="E316" i="9"/>
  <c r="A316" i="9"/>
  <c r="H315" i="9"/>
  <c r="D315" i="9"/>
  <c r="K314" i="9"/>
  <c r="G314" i="9"/>
  <c r="C314" i="9"/>
  <c r="J313" i="9"/>
  <c r="F313" i="9"/>
  <c r="B313" i="9"/>
  <c r="I312" i="9"/>
  <c r="E312" i="9"/>
  <c r="A312" i="9"/>
  <c r="H311" i="9"/>
  <c r="D311" i="9"/>
  <c r="K310" i="9"/>
  <c r="G310" i="9"/>
  <c r="C310" i="9"/>
  <c r="J309" i="9"/>
  <c r="F309" i="9"/>
  <c r="B309" i="9"/>
  <c r="I308" i="9"/>
  <c r="E308" i="9"/>
  <c r="A308" i="9"/>
  <c r="H307" i="9"/>
  <c r="D307" i="9"/>
  <c r="K306" i="9"/>
  <c r="G306" i="9"/>
  <c r="C306" i="9"/>
  <c r="J305" i="9"/>
  <c r="F305" i="9"/>
  <c r="B305" i="9"/>
  <c r="I304" i="9"/>
  <c r="E304" i="9"/>
  <c r="A304" i="9"/>
  <c r="H303" i="9"/>
  <c r="D303" i="9"/>
  <c r="K302" i="9"/>
  <c r="G302" i="9"/>
  <c r="C302" i="9"/>
  <c r="J301" i="9"/>
  <c r="F301" i="9"/>
  <c r="B301" i="9"/>
  <c r="I300" i="9"/>
  <c r="E300" i="9"/>
  <c r="A300" i="9"/>
  <c r="H299" i="9"/>
  <c r="D299" i="9"/>
  <c r="K298" i="9"/>
  <c r="G298" i="9"/>
  <c r="C298" i="9"/>
  <c r="J297" i="9"/>
  <c r="F297" i="9"/>
  <c r="B297" i="9"/>
  <c r="I296" i="9"/>
  <c r="E296" i="9"/>
  <c r="A296" i="9"/>
  <c r="H295" i="9"/>
  <c r="D295" i="9"/>
  <c r="K294" i="9"/>
  <c r="G294" i="9"/>
  <c r="C294" i="9"/>
  <c r="J293" i="9"/>
  <c r="F293" i="9"/>
  <c r="B293" i="9"/>
  <c r="I292" i="9"/>
  <c r="E292" i="9"/>
  <c r="A292" i="9"/>
  <c r="H291" i="9"/>
  <c r="D291" i="9"/>
  <c r="K290" i="9"/>
  <c r="G290" i="9"/>
  <c r="C290" i="9"/>
  <c r="J289" i="9"/>
  <c r="F289" i="9"/>
  <c r="B289" i="9"/>
  <c r="I288" i="9"/>
  <c r="E288" i="9"/>
  <c r="A288" i="9"/>
  <c r="H287" i="9"/>
  <c r="D287" i="9"/>
  <c r="K286" i="9"/>
  <c r="G286" i="9"/>
  <c r="C286" i="9"/>
  <c r="J285" i="9"/>
  <c r="F285" i="9"/>
  <c r="B285" i="9"/>
  <c r="I284" i="9"/>
  <c r="E284" i="9"/>
  <c r="A284" i="9"/>
  <c r="H283" i="9"/>
  <c r="D283" i="9"/>
  <c r="K282" i="9"/>
  <c r="G282" i="9"/>
  <c r="C282" i="9"/>
  <c r="J281" i="9"/>
  <c r="F281" i="9"/>
  <c r="B281" i="9"/>
  <c r="I280" i="9"/>
  <c r="E280" i="9"/>
  <c r="A280" i="9"/>
  <c r="H279" i="9"/>
  <c r="D279" i="9"/>
  <c r="K278" i="9"/>
  <c r="G278" i="9"/>
  <c r="C278" i="9"/>
  <c r="J277" i="9"/>
  <c r="F277" i="9"/>
  <c r="B277" i="9"/>
  <c r="I276" i="9"/>
  <c r="E276" i="9"/>
  <c r="A276" i="9"/>
  <c r="H275" i="9"/>
  <c r="D275" i="9"/>
  <c r="K274" i="9"/>
  <c r="G274" i="9"/>
  <c r="C274" i="9"/>
  <c r="J273" i="9"/>
  <c r="F273" i="9"/>
  <c r="B273" i="9"/>
  <c r="I272" i="9"/>
  <c r="E272" i="9"/>
  <c r="A272" i="9"/>
  <c r="H271" i="9"/>
  <c r="D271" i="9"/>
  <c r="K270" i="9"/>
  <c r="G270" i="9"/>
  <c r="C270" i="9"/>
  <c r="J269" i="9"/>
  <c r="F269" i="9"/>
  <c r="B269" i="9"/>
  <c r="I268" i="9"/>
  <c r="E268" i="9"/>
  <c r="A268" i="9"/>
  <c r="H267" i="9"/>
  <c r="D267" i="9"/>
  <c r="K266" i="9"/>
  <c r="G266" i="9"/>
  <c r="C266" i="9"/>
  <c r="J265" i="9"/>
  <c r="F265" i="9"/>
  <c r="B265" i="9"/>
  <c r="I264" i="9"/>
  <c r="E264" i="9"/>
  <c r="A264" i="9"/>
  <c r="H263" i="9"/>
  <c r="D263" i="9"/>
  <c r="K262" i="9"/>
  <c r="G262" i="9"/>
  <c r="C262" i="9"/>
  <c r="J261" i="9"/>
  <c r="F261" i="9"/>
  <c r="B261" i="9"/>
  <c r="I260" i="9"/>
  <c r="E260" i="9"/>
  <c r="A260" i="9"/>
  <c r="H259" i="9"/>
  <c r="D259" i="9"/>
  <c r="K258" i="9"/>
  <c r="G258" i="9"/>
  <c r="C258" i="9"/>
  <c r="J257" i="9"/>
  <c r="F257" i="9"/>
  <c r="B257" i="9"/>
  <c r="I256" i="9"/>
  <c r="E256" i="9"/>
  <c r="A256" i="9"/>
  <c r="H255" i="9"/>
  <c r="D255" i="9"/>
  <c r="K254" i="9"/>
  <c r="G254" i="9"/>
  <c r="C254" i="9"/>
  <c r="J253" i="9"/>
  <c r="F253" i="9"/>
  <c r="B253" i="9"/>
  <c r="I252" i="9"/>
  <c r="E252" i="9"/>
  <c r="A252" i="9"/>
  <c r="H251" i="9"/>
  <c r="D251" i="9"/>
  <c r="K250" i="9"/>
  <c r="G250" i="9"/>
  <c r="C250" i="9"/>
  <c r="J249" i="9"/>
  <c r="F249" i="9"/>
  <c r="B249" i="9"/>
  <c r="I248" i="9"/>
  <c r="E248" i="9"/>
  <c r="A248" i="9"/>
  <c r="H247" i="9"/>
  <c r="D247" i="9"/>
  <c r="K246" i="9"/>
  <c r="G246" i="9"/>
  <c r="C246" i="9"/>
  <c r="J245" i="9"/>
  <c r="F245" i="9"/>
  <c r="B245" i="9"/>
  <c r="I244" i="9"/>
  <c r="E244" i="9"/>
  <c r="A244" i="9"/>
  <c r="H243" i="9"/>
  <c r="D243" i="9"/>
  <c r="K242" i="9"/>
  <c r="G242" i="9"/>
  <c r="C242" i="9"/>
  <c r="J241" i="9"/>
  <c r="F241" i="9"/>
  <c r="B241" i="9"/>
  <c r="I240" i="9"/>
  <c r="E240" i="9"/>
  <c r="A240" i="9"/>
  <c r="H239" i="9"/>
  <c r="D239" i="9"/>
  <c r="K238" i="9"/>
  <c r="G238" i="9"/>
  <c r="C238" i="9"/>
  <c r="J237" i="9"/>
  <c r="F237" i="9"/>
  <c r="B237" i="9"/>
  <c r="I236" i="9"/>
  <c r="E236" i="9"/>
  <c r="A236" i="9"/>
  <c r="H235" i="9"/>
  <c r="D235" i="9"/>
  <c r="K234" i="9"/>
  <c r="G234" i="9"/>
  <c r="C234" i="9"/>
  <c r="J233" i="9"/>
  <c r="F233" i="9"/>
  <c r="B233" i="9"/>
  <c r="I232" i="9"/>
  <c r="E232" i="9"/>
  <c r="A232" i="9"/>
  <c r="H231" i="9"/>
  <c r="D231" i="9"/>
  <c r="K230" i="9"/>
  <c r="G230" i="9"/>
  <c r="C230" i="9"/>
  <c r="J229" i="9"/>
  <c r="F229" i="9"/>
  <c r="B229" i="9"/>
  <c r="H228" i="9"/>
  <c r="D228" i="9"/>
  <c r="K227" i="9"/>
  <c r="G227" i="9"/>
  <c r="C227" i="9"/>
  <c r="J226" i="9"/>
  <c r="F226" i="9"/>
  <c r="B226" i="9"/>
  <c r="I225" i="9"/>
  <c r="E225" i="9"/>
  <c r="A225" i="9"/>
  <c r="H224" i="9"/>
  <c r="D224" i="9"/>
  <c r="C493" i="9"/>
  <c r="I491" i="9"/>
  <c r="D490" i="9"/>
  <c r="J488" i="9"/>
  <c r="E487" i="9"/>
  <c r="K485" i="9"/>
  <c r="F484" i="9"/>
  <c r="A483" i="9"/>
  <c r="G481" i="9"/>
  <c r="B480" i="9"/>
  <c r="H478" i="9"/>
  <c r="C477" i="9"/>
  <c r="I475" i="9"/>
  <c r="D474" i="9"/>
  <c r="G473" i="9"/>
  <c r="J472" i="9"/>
  <c r="B472" i="9"/>
  <c r="E471" i="9"/>
  <c r="H470" i="9"/>
  <c r="K469" i="9"/>
  <c r="C469" i="9"/>
  <c r="F468" i="9"/>
  <c r="I467" i="9"/>
  <c r="A467" i="9"/>
  <c r="D466" i="9"/>
  <c r="G465" i="9"/>
  <c r="J464" i="9"/>
  <c r="B464" i="9"/>
  <c r="E463" i="9"/>
  <c r="H462" i="9"/>
  <c r="K461" i="9"/>
  <c r="C461" i="9"/>
  <c r="F460" i="9"/>
  <c r="I459" i="9"/>
  <c r="A459" i="9"/>
  <c r="D458" i="9"/>
  <c r="G457" i="9"/>
  <c r="J456" i="9"/>
  <c r="B456" i="9"/>
  <c r="E455" i="9"/>
  <c r="H454" i="9"/>
  <c r="K453" i="9"/>
  <c r="C453" i="9"/>
  <c r="F452" i="9"/>
  <c r="I451" i="9"/>
  <c r="A451" i="9"/>
  <c r="D450" i="9"/>
  <c r="G449" i="9"/>
  <c r="J448" i="9"/>
  <c r="B448" i="9"/>
  <c r="E447" i="9"/>
  <c r="H446" i="9"/>
  <c r="K445" i="9"/>
  <c r="C445" i="9"/>
  <c r="F444" i="9"/>
  <c r="I443" i="9"/>
  <c r="A443" i="9"/>
  <c r="D442" i="9"/>
  <c r="G441" i="9"/>
  <c r="A441" i="9"/>
  <c r="H440" i="9"/>
  <c r="D440" i="9"/>
  <c r="K439" i="9"/>
  <c r="G439" i="9"/>
  <c r="C439" i="9"/>
  <c r="J438" i="9"/>
  <c r="F438" i="9"/>
  <c r="B438" i="9"/>
  <c r="I437" i="9"/>
  <c r="E437" i="9"/>
  <c r="A437" i="9"/>
  <c r="H436" i="9"/>
  <c r="D436" i="9"/>
  <c r="K435" i="9"/>
  <c r="G435" i="9"/>
  <c r="C435" i="9"/>
  <c r="J434" i="9"/>
  <c r="F434" i="9"/>
  <c r="B434" i="9"/>
  <c r="I433" i="9"/>
  <c r="E433" i="9"/>
  <c r="A433" i="9"/>
  <c r="H432" i="9"/>
  <c r="D432" i="9"/>
  <c r="K431" i="9"/>
  <c r="G431" i="9"/>
  <c r="C431" i="9"/>
  <c r="J430" i="9"/>
  <c r="F430" i="9"/>
  <c r="B430" i="9"/>
  <c r="I429" i="9"/>
  <c r="E429" i="9"/>
  <c r="A429" i="9"/>
  <c r="H428" i="9"/>
  <c r="D428" i="9"/>
  <c r="K427" i="9"/>
  <c r="G427" i="9"/>
  <c r="C427" i="9"/>
  <c r="J426" i="9"/>
  <c r="F426" i="9"/>
  <c r="B426" i="9"/>
  <c r="I425" i="9"/>
  <c r="E425" i="9"/>
  <c r="A425" i="9"/>
  <c r="H424" i="9"/>
  <c r="D424" i="9"/>
  <c r="K423" i="9"/>
  <c r="G423" i="9"/>
  <c r="C423" i="9"/>
  <c r="J422" i="9"/>
  <c r="F422" i="9"/>
  <c r="B422" i="9"/>
  <c r="I421" i="9"/>
  <c r="E421" i="9"/>
  <c r="A421" i="9"/>
  <c r="H420" i="9"/>
  <c r="D420" i="9"/>
  <c r="K419" i="9"/>
  <c r="G419" i="9"/>
  <c r="C419" i="9"/>
  <c r="J418" i="9"/>
  <c r="F418" i="9"/>
  <c r="B418" i="9"/>
  <c r="I417" i="9"/>
  <c r="E417" i="9"/>
  <c r="A417" i="9"/>
  <c r="H416" i="9"/>
  <c r="D416" i="9"/>
  <c r="K415" i="9"/>
  <c r="G415" i="9"/>
  <c r="C415" i="9"/>
  <c r="J414" i="9"/>
  <c r="F414" i="9"/>
  <c r="B414" i="9"/>
  <c r="I413" i="9"/>
  <c r="E413" i="9"/>
  <c r="A413" i="9"/>
  <c r="H412" i="9"/>
  <c r="D412" i="9"/>
  <c r="K411" i="9"/>
  <c r="G411" i="9"/>
  <c r="C411" i="9"/>
  <c r="J410" i="9"/>
  <c r="F410" i="9"/>
  <c r="B410" i="9"/>
  <c r="I409" i="9"/>
  <c r="E409" i="9"/>
  <c r="A409" i="9"/>
  <c r="H408" i="9"/>
  <c r="D408" i="9"/>
  <c r="K407" i="9"/>
  <c r="G407" i="9"/>
  <c r="C407" i="9"/>
  <c r="J406" i="9"/>
  <c r="F406" i="9"/>
  <c r="B406" i="9"/>
  <c r="I405" i="9"/>
  <c r="E405" i="9"/>
  <c r="A405" i="9"/>
  <c r="H404" i="9"/>
  <c r="D404" i="9"/>
  <c r="K403" i="9"/>
  <c r="G403" i="9"/>
  <c r="C403" i="9"/>
  <c r="J402" i="9"/>
  <c r="F402" i="9"/>
  <c r="B402" i="9"/>
  <c r="I401" i="9"/>
  <c r="E401" i="9"/>
  <c r="A401" i="9"/>
  <c r="H400" i="9"/>
  <c r="D400" i="9"/>
  <c r="K399" i="9"/>
  <c r="G399" i="9"/>
  <c r="C399" i="9"/>
  <c r="J398" i="9"/>
  <c r="F398" i="9"/>
  <c r="B398" i="9"/>
  <c r="I397" i="9"/>
  <c r="E397" i="9"/>
  <c r="A397" i="9"/>
  <c r="H396" i="9"/>
  <c r="D396" i="9"/>
  <c r="K395" i="9"/>
  <c r="G395" i="9"/>
  <c r="C395" i="9"/>
  <c r="J394" i="9"/>
  <c r="F394" i="9"/>
  <c r="B394" i="9"/>
  <c r="I393" i="9"/>
  <c r="E393" i="9"/>
  <c r="A393" i="9"/>
  <c r="H392" i="9"/>
  <c r="D392" i="9"/>
  <c r="K391" i="9"/>
  <c r="G391" i="9"/>
  <c r="C391" i="9"/>
  <c r="J390" i="9"/>
  <c r="F390" i="9"/>
  <c r="B390" i="9"/>
  <c r="I389" i="9"/>
  <c r="E389" i="9"/>
  <c r="A389" i="9"/>
  <c r="H388" i="9"/>
  <c r="D388" i="9"/>
  <c r="K387" i="9"/>
  <c r="G387" i="9"/>
  <c r="C387" i="9"/>
  <c r="J386" i="9"/>
  <c r="F386" i="9"/>
  <c r="B386" i="9"/>
  <c r="I385" i="9"/>
  <c r="E385" i="9"/>
  <c r="A385" i="9"/>
  <c r="H384" i="9"/>
  <c r="D384" i="9"/>
  <c r="K383" i="9"/>
  <c r="G383" i="9"/>
  <c r="C383" i="9"/>
  <c r="J382" i="9"/>
  <c r="F382" i="9"/>
  <c r="B382" i="9"/>
  <c r="I381" i="9"/>
  <c r="E381" i="9"/>
  <c r="A381" i="9"/>
  <c r="H380" i="9"/>
  <c r="D380" i="9"/>
  <c r="K379" i="9"/>
  <c r="G379" i="9"/>
  <c r="C379" i="9"/>
  <c r="J378" i="9"/>
  <c r="F378" i="9"/>
  <c r="B378" i="9"/>
  <c r="I377" i="9"/>
  <c r="E377" i="9"/>
  <c r="A377" i="9"/>
  <c r="H376" i="9"/>
  <c r="D376" i="9"/>
  <c r="K375" i="9"/>
  <c r="G375" i="9"/>
  <c r="C375" i="9"/>
  <c r="J374" i="9"/>
  <c r="F374" i="9"/>
  <c r="B374" i="9"/>
  <c r="I373" i="9"/>
  <c r="E373" i="9"/>
  <c r="A373" i="9"/>
  <c r="H372" i="9"/>
  <c r="D372" i="9"/>
  <c r="K371" i="9"/>
  <c r="G371" i="9"/>
  <c r="C371" i="9"/>
  <c r="J370" i="9"/>
  <c r="F370" i="9"/>
  <c r="B370" i="9"/>
  <c r="I369" i="9"/>
  <c r="E369" i="9"/>
  <c r="A369" i="9"/>
  <c r="H368" i="9"/>
  <c r="D368" i="9"/>
  <c r="K367" i="9"/>
  <c r="G367" i="9"/>
  <c r="C367" i="9"/>
  <c r="J366" i="9"/>
  <c r="F366" i="9"/>
  <c r="B366" i="9"/>
  <c r="I365" i="9"/>
  <c r="E365" i="9"/>
  <c r="A365" i="9"/>
  <c r="H364" i="9"/>
  <c r="D364" i="9"/>
  <c r="K363" i="9"/>
  <c r="G363" i="9"/>
  <c r="C363" i="9"/>
  <c r="J362" i="9"/>
  <c r="F362" i="9"/>
  <c r="B362" i="9"/>
  <c r="I361" i="9"/>
  <c r="E361" i="9"/>
  <c r="A361" i="9"/>
  <c r="H360" i="9"/>
  <c r="D360" i="9"/>
  <c r="K359" i="9"/>
  <c r="G359" i="9"/>
  <c r="C359" i="9"/>
  <c r="J358" i="9"/>
  <c r="F358" i="9"/>
  <c r="B358" i="9"/>
  <c r="I357" i="9"/>
  <c r="E357" i="9"/>
  <c r="A357" i="9"/>
  <c r="H356" i="9"/>
  <c r="D356" i="9"/>
  <c r="K355" i="9"/>
  <c r="G355" i="9"/>
  <c r="C355" i="9"/>
  <c r="J354" i="9"/>
  <c r="F354" i="9"/>
  <c r="B354" i="9"/>
  <c r="I353" i="9"/>
  <c r="E353" i="9"/>
  <c r="A353" i="9"/>
  <c r="H352" i="9"/>
  <c r="D352" i="9"/>
  <c r="K351" i="9"/>
  <c r="G351" i="9"/>
  <c r="C351" i="9"/>
  <c r="J350" i="9"/>
  <c r="F350" i="9"/>
  <c r="B350" i="9"/>
  <c r="I349" i="9"/>
  <c r="E349" i="9"/>
  <c r="A349" i="9"/>
  <c r="H348" i="9"/>
  <c r="D348" i="9"/>
  <c r="K347" i="9"/>
  <c r="G347" i="9"/>
  <c r="C347" i="9"/>
  <c r="J346" i="9"/>
  <c r="F346" i="9"/>
  <c r="B346" i="9"/>
  <c r="I345" i="9"/>
  <c r="E345" i="9"/>
  <c r="A345" i="9"/>
  <c r="H344" i="9"/>
  <c r="D344" i="9"/>
  <c r="K343" i="9"/>
  <c r="G343" i="9"/>
  <c r="C343" i="9"/>
  <c r="J342" i="9"/>
  <c r="F342" i="9"/>
  <c r="B342" i="9"/>
  <c r="I341" i="9"/>
  <c r="E341" i="9"/>
  <c r="A341" i="9"/>
  <c r="H340" i="9"/>
  <c r="D340" i="9"/>
  <c r="K339" i="9"/>
  <c r="G339" i="9"/>
  <c r="C339" i="9"/>
  <c r="J338" i="9"/>
  <c r="F338" i="9"/>
  <c r="B338" i="9"/>
  <c r="I337" i="9"/>
  <c r="E337" i="9"/>
  <c r="A337" i="9"/>
  <c r="H336" i="9"/>
  <c r="D336" i="9"/>
  <c r="K335" i="9"/>
  <c r="G335" i="9"/>
  <c r="C335" i="9"/>
  <c r="J334" i="9"/>
  <c r="F334" i="9"/>
  <c r="B334" i="9"/>
  <c r="I333" i="9"/>
  <c r="E333" i="9"/>
  <c r="A333" i="9"/>
  <c r="H332" i="9"/>
  <c r="D332" i="9"/>
  <c r="K331" i="9"/>
  <c r="G331" i="9"/>
  <c r="C331" i="9"/>
  <c r="J330" i="9"/>
  <c r="F330" i="9"/>
  <c r="B330" i="9"/>
  <c r="I329" i="9"/>
  <c r="E329" i="9"/>
  <c r="A329" i="9"/>
  <c r="H328" i="9"/>
  <c r="D328" i="9"/>
  <c r="K327" i="9"/>
  <c r="G327" i="9"/>
  <c r="C327" i="9"/>
  <c r="J326" i="9"/>
  <c r="F326" i="9"/>
  <c r="B326" i="9"/>
  <c r="I325" i="9"/>
  <c r="E325" i="9"/>
  <c r="A325" i="9"/>
  <c r="H324" i="9"/>
  <c r="D324" i="9"/>
  <c r="K323" i="9"/>
  <c r="G323" i="9"/>
  <c r="C323" i="9"/>
  <c r="J322" i="9"/>
  <c r="F322" i="9"/>
  <c r="B322" i="9"/>
  <c r="I321" i="9"/>
  <c r="E321" i="9"/>
  <c r="A321" i="9"/>
  <c r="H320" i="9"/>
  <c r="D320" i="9"/>
  <c r="K319" i="9"/>
  <c r="G319" i="9"/>
  <c r="C319" i="9"/>
  <c r="J318" i="9"/>
  <c r="F318" i="9"/>
  <c r="B318" i="9"/>
  <c r="I317" i="9"/>
  <c r="E317" i="9"/>
  <c r="A317" i="9"/>
  <c r="H316" i="9"/>
  <c r="D316" i="9"/>
  <c r="K315" i="9"/>
  <c r="G315" i="9"/>
  <c r="C315" i="9"/>
  <c r="J314" i="9"/>
  <c r="F314" i="9"/>
  <c r="B314" i="9"/>
  <c r="I313" i="9"/>
  <c r="E313" i="9"/>
  <c r="A313" i="9"/>
  <c r="H312" i="9"/>
  <c r="D312" i="9"/>
  <c r="K311" i="9"/>
  <c r="G311" i="9"/>
  <c r="C311" i="9"/>
  <c r="J310" i="9"/>
  <c r="F310" i="9"/>
  <c r="B310" i="9"/>
  <c r="I309" i="9"/>
  <c r="E309" i="9"/>
  <c r="A309" i="9"/>
  <c r="H308" i="9"/>
  <c r="D308" i="9"/>
  <c r="K307" i="9"/>
  <c r="G307" i="9"/>
  <c r="C307" i="9"/>
  <c r="J306" i="9"/>
  <c r="F306" i="9"/>
  <c r="B306" i="9"/>
  <c r="I305" i="9"/>
  <c r="E305" i="9"/>
  <c r="A305" i="9"/>
  <c r="H304" i="9"/>
  <c r="D304" i="9"/>
  <c r="K303" i="9"/>
  <c r="G303" i="9"/>
  <c r="C303" i="9"/>
  <c r="J302" i="9"/>
  <c r="F302" i="9"/>
  <c r="B302" i="9"/>
  <c r="I301" i="9"/>
  <c r="E301" i="9"/>
  <c r="A301" i="9"/>
  <c r="H300" i="9"/>
  <c r="D300" i="9"/>
  <c r="K299" i="9"/>
  <c r="G299" i="9"/>
  <c r="C299" i="9"/>
  <c r="J298" i="9"/>
  <c r="F298" i="9"/>
  <c r="B298" i="9"/>
  <c r="I297" i="9"/>
  <c r="E297" i="9"/>
  <c r="A297" i="9"/>
  <c r="H296" i="9"/>
  <c r="D296" i="9"/>
  <c r="K295" i="9"/>
  <c r="G295" i="9"/>
  <c r="C295" i="9"/>
  <c r="J294" i="9"/>
  <c r="F294" i="9"/>
  <c r="B294" i="9"/>
  <c r="I293" i="9"/>
  <c r="E293" i="9"/>
  <c r="A293" i="9"/>
  <c r="H292" i="9"/>
  <c r="D292" i="9"/>
  <c r="K291" i="9"/>
  <c r="G291" i="9"/>
  <c r="C291" i="9"/>
  <c r="J290" i="9"/>
  <c r="F290" i="9"/>
  <c r="B290" i="9"/>
  <c r="I289" i="9"/>
  <c r="E289" i="9"/>
  <c r="A289" i="9"/>
  <c r="H288" i="9"/>
  <c r="D288" i="9"/>
  <c r="K287" i="9"/>
  <c r="G287" i="9"/>
  <c r="C287" i="9"/>
  <c r="J286" i="9"/>
  <c r="F286" i="9"/>
  <c r="B286" i="9"/>
  <c r="I285" i="9"/>
  <c r="E285" i="9"/>
  <c r="A285" i="9"/>
  <c r="H284" i="9"/>
  <c r="D284" i="9"/>
  <c r="K283" i="9"/>
  <c r="G283" i="9"/>
  <c r="C283" i="9"/>
  <c r="J282" i="9"/>
  <c r="F282" i="9"/>
  <c r="B282" i="9"/>
  <c r="I281" i="9"/>
  <c r="E281" i="9"/>
  <c r="A281" i="9"/>
  <c r="H280" i="9"/>
  <c r="D280" i="9"/>
  <c r="K279" i="9"/>
  <c r="G279" i="9"/>
  <c r="C279" i="9"/>
  <c r="J278" i="9"/>
  <c r="F278" i="9"/>
  <c r="B278" i="9"/>
  <c r="I277" i="9"/>
  <c r="E277" i="9"/>
  <c r="A277" i="9"/>
  <c r="H276" i="9"/>
  <c r="D276" i="9"/>
  <c r="K275" i="9"/>
  <c r="G275" i="9"/>
  <c r="C275" i="9"/>
  <c r="J274" i="9"/>
  <c r="F274" i="9"/>
  <c r="B274" i="9"/>
  <c r="I273" i="9"/>
  <c r="E273" i="9"/>
  <c r="A273" i="9"/>
  <c r="H272" i="9"/>
  <c r="D272" i="9"/>
  <c r="K271" i="9"/>
  <c r="G271" i="9"/>
  <c r="C271" i="9"/>
  <c r="J270" i="9"/>
  <c r="F270" i="9"/>
  <c r="B270" i="9"/>
  <c r="I269" i="9"/>
  <c r="E269" i="9"/>
  <c r="A269" i="9"/>
  <c r="H268" i="9"/>
  <c r="D268" i="9"/>
  <c r="K267" i="9"/>
  <c r="G267" i="9"/>
  <c r="C267" i="9"/>
  <c r="J266" i="9"/>
  <c r="F266" i="9"/>
  <c r="B266" i="9"/>
  <c r="I265" i="9"/>
  <c r="E265" i="9"/>
  <c r="A265" i="9"/>
  <c r="H264" i="9"/>
  <c r="D264" i="9"/>
  <c r="K263" i="9"/>
  <c r="G263" i="9"/>
  <c r="C263" i="9"/>
  <c r="J262" i="9"/>
  <c r="F262" i="9"/>
  <c r="B262" i="9"/>
  <c r="I261" i="9"/>
  <c r="E261" i="9"/>
  <c r="A261" i="9"/>
  <c r="H260" i="9"/>
  <c r="D260" i="9"/>
  <c r="K259" i="9"/>
  <c r="G259" i="9"/>
  <c r="C259" i="9"/>
  <c r="J258" i="9"/>
  <c r="F258" i="9"/>
  <c r="B258" i="9"/>
  <c r="I257" i="9"/>
  <c r="E257" i="9"/>
  <c r="A257" i="9"/>
  <c r="H256" i="9"/>
  <c r="D256" i="9"/>
  <c r="K255" i="9"/>
  <c r="G255" i="9"/>
  <c r="C255" i="9"/>
  <c r="J254" i="9"/>
  <c r="F254" i="9"/>
  <c r="B254" i="9"/>
  <c r="I253" i="9"/>
  <c r="E253" i="9"/>
  <c r="A253" i="9"/>
  <c r="H252" i="9"/>
  <c r="D252" i="9"/>
  <c r="K251" i="9"/>
  <c r="G251" i="9"/>
  <c r="C251" i="9"/>
  <c r="J250" i="9"/>
  <c r="F250" i="9"/>
  <c r="B250" i="9"/>
  <c r="I249" i="9"/>
  <c r="E249" i="9"/>
  <c r="A249" i="9"/>
  <c r="H248" i="9"/>
  <c r="D248" i="9"/>
  <c r="K247" i="9"/>
  <c r="G247" i="9"/>
  <c r="C247" i="9"/>
  <c r="J246" i="9"/>
  <c r="F246" i="9"/>
  <c r="B246" i="9"/>
  <c r="I245" i="9"/>
  <c r="E245" i="9"/>
  <c r="A245" i="9"/>
  <c r="H244" i="9"/>
  <c r="D244" i="9"/>
  <c r="K243" i="9"/>
  <c r="G243" i="9"/>
  <c r="C243" i="9"/>
  <c r="J242" i="9"/>
  <c r="F242" i="9"/>
  <c r="B242" i="9"/>
  <c r="I241" i="9"/>
  <c r="E241" i="9"/>
  <c r="A241" i="9"/>
  <c r="H240" i="9"/>
  <c r="D240" i="9"/>
  <c r="K239" i="9"/>
  <c r="G239" i="9"/>
  <c r="C239" i="9"/>
  <c r="J238" i="9"/>
  <c r="F238" i="9"/>
  <c r="B238" i="9"/>
  <c r="I237" i="9"/>
  <c r="E237" i="9"/>
  <c r="A237" i="9"/>
  <c r="H236" i="9"/>
  <c r="D236" i="9"/>
  <c r="K235" i="9"/>
  <c r="G235" i="9"/>
  <c r="C235" i="9"/>
  <c r="J234" i="9"/>
  <c r="F234" i="9"/>
  <c r="B234" i="9"/>
  <c r="I233" i="9"/>
  <c r="E233" i="9"/>
  <c r="A233" i="9"/>
  <c r="H232" i="9"/>
  <c r="D232" i="9"/>
  <c r="K231" i="9"/>
  <c r="G231" i="9"/>
  <c r="C231" i="9"/>
  <c r="J230" i="9"/>
  <c r="F230" i="9"/>
  <c r="B230" i="9"/>
  <c r="I229" i="9"/>
  <c r="E229" i="9"/>
  <c r="A229" i="9"/>
  <c r="G228" i="9"/>
  <c r="C228" i="9"/>
  <c r="J227" i="9"/>
  <c r="F227" i="9"/>
  <c r="B227" i="9"/>
  <c r="I226" i="9"/>
  <c r="E226" i="9"/>
  <c r="A226" i="9"/>
  <c r="H225" i="9"/>
  <c r="D225" i="9"/>
  <c r="K224" i="9"/>
  <c r="G224" i="9"/>
  <c r="C224" i="9"/>
  <c r="J223" i="9"/>
  <c r="F223" i="9"/>
  <c r="B223" i="9"/>
  <c r="I222" i="9"/>
  <c r="E222" i="9"/>
  <c r="A222" i="9"/>
  <c r="H221" i="9"/>
  <c r="D221" i="9"/>
  <c r="K220" i="9"/>
  <c r="G220" i="9"/>
  <c r="C220" i="9"/>
  <c r="J219" i="9"/>
  <c r="F219" i="9"/>
  <c r="B219" i="9"/>
  <c r="I218" i="9"/>
  <c r="E218" i="9"/>
  <c r="A218" i="9"/>
  <c r="H217" i="9"/>
  <c r="D217" i="9"/>
  <c r="K216" i="9"/>
  <c r="G216" i="9"/>
  <c r="C216" i="9"/>
  <c r="J215" i="9"/>
  <c r="F215" i="9"/>
  <c r="B215" i="9"/>
  <c r="I214" i="9"/>
  <c r="E214" i="9"/>
  <c r="A214" i="9"/>
  <c r="H213" i="9"/>
  <c r="D213" i="9"/>
  <c r="K212" i="9"/>
  <c r="G212" i="9"/>
  <c r="C212" i="9"/>
  <c r="J211" i="9"/>
  <c r="F211" i="9"/>
  <c r="B211" i="9"/>
  <c r="I210" i="9"/>
  <c r="E210" i="9"/>
  <c r="A210" i="9"/>
  <c r="H209" i="9"/>
  <c r="D209" i="9"/>
  <c r="K208" i="9"/>
  <c r="G208" i="9"/>
  <c r="C208" i="9"/>
  <c r="J207" i="9"/>
  <c r="F207" i="9"/>
  <c r="B207" i="9"/>
  <c r="I206" i="9"/>
  <c r="E206" i="9"/>
  <c r="A206" i="9"/>
  <c r="H205" i="9"/>
  <c r="D205" i="9"/>
  <c r="K204" i="9"/>
  <c r="G204" i="9"/>
  <c r="C204" i="9"/>
  <c r="J203" i="9"/>
  <c r="F203" i="9"/>
  <c r="B203" i="9"/>
  <c r="I202" i="9"/>
  <c r="E202" i="9"/>
  <c r="A202" i="9"/>
  <c r="H201" i="9"/>
  <c r="D201" i="9"/>
  <c r="K200" i="9"/>
  <c r="G200" i="9"/>
  <c r="C200" i="9"/>
  <c r="J199" i="9"/>
  <c r="F199" i="9"/>
  <c r="B199" i="9"/>
  <c r="I198" i="9"/>
  <c r="E198" i="9"/>
  <c r="A198" i="9"/>
  <c r="H197" i="9"/>
  <c r="D197" i="9"/>
  <c r="K196" i="9"/>
  <c r="G196" i="9"/>
  <c r="C196" i="9"/>
  <c r="J195" i="9"/>
  <c r="F195" i="9"/>
  <c r="B195" i="9"/>
  <c r="I194" i="9"/>
  <c r="E194" i="9"/>
  <c r="A194" i="9"/>
  <c r="H193" i="9"/>
  <c r="D193" i="9"/>
  <c r="K192" i="9"/>
  <c r="G192" i="9"/>
  <c r="C192" i="9"/>
  <c r="J191" i="9"/>
  <c r="F191" i="9"/>
  <c r="B191" i="9"/>
  <c r="I190" i="9"/>
  <c r="E190" i="9"/>
  <c r="A190" i="9"/>
  <c r="H189" i="9"/>
  <c r="D189" i="9"/>
  <c r="K188" i="9"/>
  <c r="G188" i="9"/>
  <c r="C188" i="9"/>
  <c r="J187" i="9"/>
  <c r="F187" i="9"/>
  <c r="B187" i="9"/>
  <c r="I186" i="9"/>
  <c r="E186" i="9"/>
  <c r="A186" i="9"/>
  <c r="H185" i="9"/>
  <c r="D185" i="9"/>
  <c r="K184" i="9"/>
  <c r="G184" i="9"/>
  <c r="C184" i="9"/>
  <c r="J183" i="9"/>
  <c r="F183" i="9"/>
  <c r="B183" i="9"/>
  <c r="I182" i="9"/>
  <c r="E182" i="9"/>
  <c r="A182" i="9"/>
  <c r="H181" i="9"/>
  <c r="D181" i="9"/>
  <c r="K180" i="9"/>
  <c r="G180" i="9"/>
  <c r="C180" i="9"/>
  <c r="J179" i="9"/>
  <c r="F179" i="9"/>
  <c r="B179" i="9"/>
  <c r="I178" i="9"/>
  <c r="E178" i="9"/>
  <c r="A178" i="9"/>
  <c r="H177" i="9"/>
  <c r="D177" i="9"/>
  <c r="K176" i="9"/>
  <c r="G176" i="9"/>
  <c r="C176" i="9"/>
  <c r="J175" i="9"/>
  <c r="F175" i="9"/>
  <c r="B175" i="9"/>
  <c r="I174" i="9"/>
  <c r="E174" i="9"/>
  <c r="A174" i="9"/>
  <c r="H173" i="9"/>
  <c r="D173" i="9"/>
  <c r="K172" i="9"/>
  <c r="G172" i="9"/>
  <c r="C172" i="9"/>
  <c r="J171" i="9"/>
  <c r="F171" i="9"/>
  <c r="B171" i="9"/>
  <c r="I170" i="9"/>
  <c r="E170" i="9"/>
  <c r="A170" i="9"/>
  <c r="H169" i="9"/>
  <c r="D169" i="9"/>
  <c r="K168" i="9"/>
  <c r="G168" i="9"/>
  <c r="C168" i="9"/>
  <c r="J167" i="9"/>
  <c r="F167" i="9"/>
  <c r="B167" i="9"/>
  <c r="I166" i="9"/>
  <c r="E166" i="9"/>
  <c r="A166" i="9"/>
  <c r="H165" i="9"/>
  <c r="D165" i="9"/>
  <c r="K164" i="9"/>
  <c r="G164" i="9"/>
  <c r="C164" i="9"/>
  <c r="J163" i="9"/>
  <c r="F163" i="9"/>
  <c r="B163" i="9"/>
  <c r="I162" i="9"/>
  <c r="E162" i="9"/>
  <c r="A162" i="9"/>
  <c r="H161" i="9"/>
  <c r="D161" i="9"/>
  <c r="K160" i="9"/>
  <c r="G160" i="9"/>
  <c r="C160" i="9"/>
  <c r="J159" i="9"/>
  <c r="F159" i="9"/>
  <c r="B159" i="9"/>
  <c r="I158" i="9"/>
  <c r="E158" i="9"/>
  <c r="A158" i="9"/>
  <c r="H157" i="9"/>
  <c r="D157" i="9"/>
  <c r="K156" i="9"/>
  <c r="G156" i="9"/>
  <c r="C156" i="9"/>
  <c r="J155" i="9"/>
  <c r="F155" i="9"/>
  <c r="B155" i="9"/>
  <c r="I154" i="9"/>
  <c r="E154" i="9"/>
  <c r="A154" i="9"/>
  <c r="H153" i="9"/>
  <c r="D153" i="9"/>
  <c r="K152" i="9"/>
  <c r="G152" i="9"/>
  <c r="C152" i="9"/>
  <c r="J151" i="9"/>
  <c r="F151" i="9"/>
  <c r="B151" i="9"/>
  <c r="I150" i="9"/>
  <c r="E150" i="9"/>
  <c r="A150" i="9"/>
  <c r="H149" i="9"/>
  <c r="D149" i="9"/>
  <c r="K148" i="9"/>
  <c r="G148" i="9"/>
  <c r="C148" i="9"/>
  <c r="J147" i="9"/>
  <c r="F147" i="9"/>
  <c r="B147" i="9"/>
  <c r="I146" i="9"/>
  <c r="E146" i="9"/>
  <c r="A146" i="9"/>
  <c r="H145" i="9"/>
  <c r="D145" i="9"/>
  <c r="K144" i="9"/>
  <c r="G144" i="9"/>
  <c r="C144" i="9"/>
  <c r="J143" i="9"/>
  <c r="F143" i="9"/>
  <c r="B143" i="9"/>
  <c r="I142" i="9"/>
  <c r="E142" i="9"/>
  <c r="A142" i="9"/>
  <c r="H141" i="9"/>
  <c r="D141" i="9"/>
  <c r="K140" i="9"/>
  <c r="G140" i="9"/>
  <c r="C140" i="9"/>
  <c r="J139" i="9"/>
  <c r="F139" i="9"/>
  <c r="B139" i="9"/>
  <c r="I138" i="9"/>
  <c r="E138" i="9"/>
  <c r="A138" i="9"/>
  <c r="H137" i="9"/>
  <c r="D137" i="9"/>
  <c r="K136" i="9"/>
  <c r="G136" i="9"/>
  <c r="C136" i="9"/>
  <c r="J135" i="9"/>
  <c r="F135" i="9"/>
  <c r="B135" i="9"/>
  <c r="I134" i="9"/>
  <c r="E134" i="9"/>
  <c r="A134" i="9"/>
  <c r="H133" i="9"/>
  <c r="D133" i="9"/>
  <c r="K132" i="9"/>
  <c r="G132" i="9"/>
  <c r="C132" i="9"/>
  <c r="J131" i="9"/>
  <c r="F131" i="9"/>
  <c r="B131" i="9"/>
  <c r="I130" i="9"/>
  <c r="E130" i="9"/>
  <c r="A130" i="9"/>
  <c r="H129" i="9"/>
  <c r="D129" i="9"/>
  <c r="K128" i="9"/>
  <c r="G128" i="9"/>
  <c r="C128" i="9"/>
  <c r="J127" i="9"/>
  <c r="F127" i="9"/>
  <c r="B127" i="9"/>
  <c r="I126" i="9"/>
  <c r="E126" i="9"/>
  <c r="A126" i="9"/>
  <c r="H125" i="9"/>
  <c r="D125" i="9"/>
  <c r="K124" i="9"/>
  <c r="G124" i="9"/>
  <c r="C124" i="9"/>
  <c r="J123" i="9"/>
  <c r="F123" i="9"/>
  <c r="B123" i="9"/>
  <c r="I122" i="9"/>
  <c r="E122" i="9"/>
  <c r="A122" i="9"/>
  <c r="H121" i="9"/>
  <c r="D121" i="9"/>
  <c r="K120" i="9"/>
  <c r="G120" i="9"/>
  <c r="C120" i="9"/>
  <c r="J119" i="9"/>
  <c r="F119" i="9"/>
  <c r="B119" i="9"/>
  <c r="I118" i="9"/>
  <c r="E118" i="9"/>
  <c r="A118" i="9"/>
  <c r="H117" i="9"/>
  <c r="D117" i="9"/>
  <c r="K116" i="9"/>
  <c r="G116" i="9"/>
  <c r="C116" i="9"/>
  <c r="J115" i="9"/>
  <c r="F115" i="9"/>
  <c r="B115" i="9"/>
  <c r="I114" i="9"/>
  <c r="E114" i="9"/>
  <c r="A114" i="9"/>
  <c r="H113" i="9"/>
  <c r="D113" i="9"/>
  <c r="K112" i="9"/>
  <c r="G112" i="9"/>
  <c r="C112" i="9"/>
  <c r="J111" i="9"/>
  <c r="F111" i="9"/>
  <c r="B111" i="9"/>
  <c r="I110" i="9"/>
  <c r="E110" i="9"/>
  <c r="A110" i="9"/>
  <c r="H109" i="9"/>
  <c r="D109" i="9"/>
  <c r="K108" i="9"/>
  <c r="G108" i="9"/>
  <c r="C108" i="9"/>
  <c r="J107" i="9"/>
  <c r="F107" i="9"/>
  <c r="B107" i="9"/>
  <c r="I106" i="9"/>
  <c r="E106" i="9"/>
  <c r="A106" i="9"/>
  <c r="H105" i="9"/>
  <c r="D105" i="9"/>
  <c r="K104" i="9"/>
  <c r="G104" i="9"/>
  <c r="C104" i="9"/>
  <c r="J103" i="9"/>
  <c r="F103" i="9"/>
  <c r="B103" i="9"/>
  <c r="I102" i="9"/>
  <c r="E102" i="9"/>
  <c r="A102" i="9"/>
  <c r="H101" i="9"/>
  <c r="D101" i="9"/>
  <c r="K100" i="9"/>
  <c r="G100" i="9"/>
  <c r="C100" i="9"/>
  <c r="J99" i="9"/>
  <c r="F99" i="9"/>
  <c r="B99" i="9"/>
  <c r="I98" i="9"/>
  <c r="E98" i="9"/>
  <c r="A98" i="9"/>
  <c r="H97" i="9"/>
  <c r="D97" i="9"/>
  <c r="K96" i="9"/>
  <c r="G96" i="9"/>
  <c r="C96" i="9"/>
  <c r="J95" i="9"/>
  <c r="F95" i="9"/>
  <c r="B95" i="9"/>
  <c r="I94" i="9"/>
  <c r="E94" i="9"/>
  <c r="A94" i="9"/>
  <c r="H93" i="9"/>
  <c r="D93" i="9"/>
  <c r="K92" i="9"/>
  <c r="G92" i="9"/>
  <c r="C92" i="9"/>
  <c r="J91" i="9"/>
  <c r="F91" i="9"/>
  <c r="B91" i="9"/>
  <c r="I90" i="9"/>
  <c r="E90" i="9"/>
  <c r="A90" i="9"/>
  <c r="H89" i="9"/>
  <c r="D89" i="9"/>
  <c r="K88" i="9"/>
  <c r="G88" i="9"/>
  <c r="C88" i="9"/>
  <c r="J87" i="9"/>
  <c r="F87" i="9"/>
  <c r="B87" i="9"/>
  <c r="E86" i="9"/>
  <c r="A86" i="9"/>
  <c r="H85" i="9"/>
  <c r="D85" i="9"/>
  <c r="K84" i="9"/>
  <c r="G84" i="9"/>
  <c r="C84" i="9"/>
  <c r="J83" i="9"/>
  <c r="F83" i="9"/>
  <c r="B83" i="9"/>
  <c r="I82" i="9"/>
  <c r="E82" i="9"/>
  <c r="A82" i="9"/>
  <c r="H81" i="9"/>
  <c r="D81" i="9"/>
  <c r="K80" i="9"/>
  <c r="G80" i="9"/>
  <c r="C80" i="9"/>
  <c r="J79" i="9"/>
  <c r="F79" i="9"/>
  <c r="B79" i="9"/>
  <c r="I78" i="9"/>
  <c r="E78" i="9"/>
  <c r="A78" i="9"/>
  <c r="H77" i="9"/>
  <c r="D77" i="9"/>
  <c r="K76" i="9"/>
  <c r="G76" i="9"/>
  <c r="C76" i="9"/>
  <c r="J75" i="9"/>
  <c r="F75" i="9"/>
  <c r="B75" i="9"/>
  <c r="I74" i="9"/>
  <c r="E74" i="9"/>
  <c r="A74" i="9"/>
  <c r="H73" i="9"/>
  <c r="D73" i="9"/>
  <c r="K72" i="9"/>
  <c r="G72" i="9"/>
  <c r="C72" i="9"/>
  <c r="J71" i="9"/>
  <c r="F71" i="9"/>
  <c r="B71" i="9"/>
  <c r="I70" i="9"/>
  <c r="E70" i="9"/>
  <c r="A70" i="9"/>
  <c r="H69" i="9"/>
  <c r="D69" i="9"/>
  <c r="K68" i="9"/>
  <c r="G68" i="9"/>
  <c r="C68" i="9"/>
  <c r="J67" i="9"/>
  <c r="F67" i="9"/>
  <c r="B67" i="9"/>
  <c r="I66" i="9"/>
  <c r="E66" i="9"/>
  <c r="A66" i="9"/>
  <c r="H65" i="9"/>
  <c r="D65" i="9"/>
  <c r="K64" i="9"/>
  <c r="G64" i="9"/>
  <c r="C64" i="9"/>
  <c r="J63" i="9"/>
  <c r="F63" i="9"/>
  <c r="B63" i="9"/>
  <c r="I62" i="9"/>
  <c r="E62" i="9"/>
  <c r="A62" i="9"/>
  <c r="H61" i="9"/>
  <c r="D61" i="9"/>
  <c r="K60" i="9"/>
  <c r="G60" i="9"/>
  <c r="C60" i="9"/>
  <c r="J59" i="9"/>
  <c r="F59" i="9"/>
  <c r="B59" i="9"/>
  <c r="I58" i="9"/>
  <c r="E58" i="9"/>
  <c r="A58" i="9"/>
  <c r="H57" i="9"/>
  <c r="D57" i="9"/>
  <c r="K56" i="9"/>
  <c r="G56" i="9"/>
  <c r="C56" i="9"/>
  <c r="J55" i="9"/>
  <c r="F55" i="9"/>
  <c r="B55" i="9"/>
  <c r="I54" i="9"/>
  <c r="E54" i="9"/>
  <c r="A54" i="9"/>
  <c r="H53" i="9"/>
  <c r="D53" i="9"/>
  <c r="K52" i="9"/>
  <c r="G52" i="9"/>
  <c r="C52" i="9"/>
  <c r="J51" i="9"/>
  <c r="F51" i="9"/>
  <c r="B51" i="9"/>
  <c r="I50" i="9"/>
  <c r="E50" i="9"/>
  <c r="A50" i="9"/>
  <c r="H49" i="9"/>
  <c r="D49" i="9"/>
  <c r="K48" i="9"/>
  <c r="G48" i="9"/>
  <c r="C48" i="9"/>
  <c r="J47" i="9"/>
  <c r="F47" i="9"/>
  <c r="B47" i="9"/>
  <c r="I46" i="9"/>
  <c r="E46" i="9"/>
  <c r="A46" i="9"/>
  <c r="H45" i="9"/>
  <c r="D45" i="9"/>
  <c r="K44" i="9"/>
  <c r="G44" i="9"/>
  <c r="C44" i="9"/>
  <c r="J43" i="9"/>
  <c r="F43" i="9"/>
  <c r="B43" i="9"/>
  <c r="I42" i="9"/>
  <c r="E42" i="9"/>
  <c r="A42" i="9"/>
  <c r="H41" i="9"/>
  <c r="D41" i="9"/>
  <c r="K40" i="9"/>
  <c r="G40" i="9"/>
  <c r="C40" i="9"/>
  <c r="J39" i="9"/>
  <c r="F39" i="9"/>
  <c r="B39" i="9"/>
  <c r="I38" i="9"/>
  <c r="E38" i="9"/>
  <c r="A38" i="9"/>
  <c r="H37" i="9"/>
  <c r="D37" i="9"/>
  <c r="K36" i="9"/>
  <c r="G36" i="9"/>
  <c r="C36" i="9"/>
  <c r="J35" i="9"/>
  <c r="F35" i="9"/>
  <c r="B35" i="9"/>
  <c r="I34" i="9"/>
  <c r="E34" i="9"/>
  <c r="A34" i="9"/>
  <c r="H33" i="9"/>
  <c r="D33" i="9"/>
  <c r="K32" i="9"/>
  <c r="G32" i="9"/>
  <c r="C32" i="9"/>
  <c r="J31" i="9"/>
  <c r="F31" i="9"/>
  <c r="B31" i="9"/>
  <c r="I30" i="9"/>
  <c r="E30" i="9"/>
  <c r="A30" i="9"/>
  <c r="H29" i="9"/>
  <c r="D29" i="9"/>
  <c r="K28" i="9"/>
  <c r="G28" i="9"/>
  <c r="C28" i="9"/>
  <c r="J27" i="9"/>
  <c r="F27" i="9"/>
  <c r="B27" i="9"/>
  <c r="I26" i="9"/>
  <c r="E26" i="9"/>
  <c r="A26" i="9"/>
  <c r="H25" i="9"/>
  <c r="D25" i="9"/>
  <c r="K24" i="9"/>
  <c r="G24" i="9"/>
  <c r="C24" i="9"/>
  <c r="J23" i="9"/>
  <c r="F23" i="9"/>
  <c r="B23" i="9"/>
  <c r="I22" i="9"/>
  <c r="E22" i="9"/>
  <c r="A22" i="9"/>
  <c r="H21" i="9"/>
  <c r="D21" i="9"/>
  <c r="K20" i="9"/>
  <c r="G20" i="9"/>
  <c r="C20" i="9"/>
  <c r="J19" i="9"/>
  <c r="F19" i="9"/>
  <c r="B19" i="9"/>
  <c r="I18" i="9"/>
  <c r="E18" i="9"/>
  <c r="A18" i="9"/>
  <c r="H17" i="9"/>
  <c r="D17" i="9"/>
  <c r="K16" i="9"/>
  <c r="G16" i="9"/>
  <c r="C16" i="9"/>
  <c r="J15" i="9"/>
  <c r="F15" i="9"/>
  <c r="B15" i="9"/>
  <c r="I14" i="9"/>
  <c r="E14" i="9"/>
  <c r="A14" i="9"/>
  <c r="H13" i="9"/>
  <c r="D13" i="9"/>
  <c r="K12" i="9"/>
  <c r="G12" i="9"/>
  <c r="C12" i="9"/>
  <c r="J11" i="9"/>
  <c r="F11" i="9"/>
  <c r="B11" i="9"/>
  <c r="I10" i="9"/>
  <c r="E10" i="9"/>
  <c r="A10" i="9"/>
  <c r="H9" i="9"/>
  <c r="D9" i="9"/>
  <c r="K8" i="9"/>
  <c r="G8" i="9"/>
  <c r="C8" i="9"/>
  <c r="J7" i="9"/>
  <c r="F7" i="9"/>
  <c r="B7" i="9"/>
  <c r="I6" i="9"/>
  <c r="E6" i="9"/>
  <c r="A6" i="9"/>
  <c r="H5" i="9"/>
  <c r="D5" i="9"/>
  <c r="K4" i="9"/>
  <c r="G4" i="9"/>
  <c r="C4" i="9"/>
  <c r="J3" i="9"/>
  <c r="F3" i="9"/>
  <c r="B3" i="9"/>
  <c r="I2" i="9"/>
  <c r="E2" i="9"/>
  <c r="A2" i="9"/>
  <c r="K223" i="9"/>
  <c r="C223" i="9"/>
  <c r="F222" i="9"/>
  <c r="I221" i="9"/>
  <c r="A221" i="9"/>
  <c r="D220" i="9"/>
  <c r="G219" i="9"/>
  <c r="J218" i="9"/>
  <c r="B218" i="9"/>
  <c r="E217" i="9"/>
  <c r="H216" i="9"/>
  <c r="K215" i="9"/>
  <c r="C215" i="9"/>
  <c r="F214" i="9"/>
  <c r="I213" i="9"/>
  <c r="A213" i="9"/>
  <c r="D212" i="9"/>
  <c r="G211" i="9"/>
  <c r="J210" i="9"/>
  <c r="B210" i="9"/>
  <c r="E209" i="9"/>
  <c r="H208" i="9"/>
  <c r="K207" i="9"/>
  <c r="C207" i="9"/>
  <c r="F206" i="9"/>
  <c r="I205" i="9"/>
  <c r="A205" i="9"/>
  <c r="D204" i="9"/>
  <c r="G203" i="9"/>
  <c r="J202" i="9"/>
  <c r="B202" i="9"/>
  <c r="E201" i="9"/>
  <c r="H200" i="9"/>
  <c r="K199" i="9"/>
  <c r="C199" i="9"/>
  <c r="F198" i="9"/>
  <c r="I197" i="9"/>
  <c r="A197" i="9"/>
  <c r="D196" i="9"/>
  <c r="G195" i="9"/>
  <c r="J194" i="9"/>
  <c r="B194" i="9"/>
  <c r="E193" i="9"/>
  <c r="H192" i="9"/>
  <c r="K191" i="9"/>
  <c r="C191" i="9"/>
  <c r="F190" i="9"/>
  <c r="I189" i="9"/>
  <c r="A189" i="9"/>
  <c r="D188" i="9"/>
  <c r="G187" i="9"/>
  <c r="J186" i="9"/>
  <c r="B186" i="9"/>
  <c r="E185" i="9"/>
  <c r="H184" i="9"/>
  <c r="K183" i="9"/>
  <c r="C183" i="9"/>
  <c r="F182" i="9"/>
  <c r="I181" i="9"/>
  <c r="A181" i="9"/>
  <c r="D180" i="9"/>
  <c r="G179" i="9"/>
  <c r="J178" i="9"/>
  <c r="B178" i="9"/>
  <c r="E177" i="9"/>
  <c r="H176" i="9"/>
  <c r="K175" i="9"/>
  <c r="C175" i="9"/>
  <c r="F174" i="9"/>
  <c r="I173" i="9"/>
  <c r="A173" i="9"/>
  <c r="D172" i="9"/>
  <c r="G171" i="9"/>
  <c r="J170" i="9"/>
  <c r="B170" i="9"/>
  <c r="E169" i="9"/>
  <c r="H168" i="9"/>
  <c r="K167" i="9"/>
  <c r="C167" i="9"/>
  <c r="F166" i="9"/>
  <c r="I165" i="9"/>
  <c r="A165" i="9"/>
  <c r="D164" i="9"/>
  <c r="G163" i="9"/>
  <c r="J162" i="9"/>
  <c r="B162" i="9"/>
  <c r="E161" i="9"/>
  <c r="H160" i="9"/>
  <c r="K159" i="9"/>
  <c r="C159" i="9"/>
  <c r="F158" i="9"/>
  <c r="I157" i="9"/>
  <c r="A157" i="9"/>
  <c r="D156" i="9"/>
  <c r="G155" i="9"/>
  <c r="J154" i="9"/>
  <c r="B154" i="9"/>
  <c r="E153" i="9"/>
  <c r="H152" i="9"/>
  <c r="K151" i="9"/>
  <c r="C151" i="9"/>
  <c r="F150" i="9"/>
  <c r="I149" i="9"/>
  <c r="A149" i="9"/>
  <c r="D148" i="9"/>
  <c r="G147" i="9"/>
  <c r="J146" i="9"/>
  <c r="B146" i="9"/>
  <c r="E145" i="9"/>
  <c r="H144" i="9"/>
  <c r="K143" i="9"/>
  <c r="C143" i="9"/>
  <c r="F142" i="9"/>
  <c r="I141" i="9"/>
  <c r="A141" i="9"/>
  <c r="D140" i="9"/>
  <c r="G139" i="9"/>
  <c r="J138" i="9"/>
  <c r="B138" i="9"/>
  <c r="E137" i="9"/>
  <c r="H136" i="9"/>
  <c r="K135" i="9"/>
  <c r="C135" i="9"/>
  <c r="F134" i="9"/>
  <c r="I133" i="9"/>
  <c r="A133" i="9"/>
  <c r="D132" i="9"/>
  <c r="G131" i="9"/>
  <c r="J130" i="9"/>
  <c r="B130" i="9"/>
  <c r="E129" i="9"/>
  <c r="H128" i="9"/>
  <c r="K127" i="9"/>
  <c r="C127" i="9"/>
  <c r="F126" i="9"/>
  <c r="I125" i="9"/>
  <c r="A125" i="9"/>
  <c r="D124" i="9"/>
  <c r="G123" i="9"/>
  <c r="J122" i="9"/>
  <c r="B122" i="9"/>
  <c r="E121" i="9"/>
  <c r="H120" i="9"/>
  <c r="K119" i="9"/>
  <c r="C119" i="9"/>
  <c r="F118" i="9"/>
  <c r="I117" i="9"/>
  <c r="A117" i="9"/>
  <c r="D116" i="9"/>
  <c r="G115" i="9"/>
  <c r="J114" i="9"/>
  <c r="B114" i="9"/>
  <c r="E113" i="9"/>
  <c r="H112" i="9"/>
  <c r="K111" i="9"/>
  <c r="C111" i="9"/>
  <c r="F110" i="9"/>
  <c r="I109" i="9"/>
  <c r="A109" i="9"/>
  <c r="D108" i="9"/>
  <c r="G107" i="9"/>
  <c r="J106" i="9"/>
  <c r="B106" i="9"/>
  <c r="E105" i="9"/>
  <c r="H104" i="9"/>
  <c r="K103" i="9"/>
  <c r="C103" i="9"/>
  <c r="F102" i="9"/>
  <c r="I101" i="9"/>
  <c r="A101" i="9"/>
  <c r="D100" i="9"/>
  <c r="G99" i="9"/>
  <c r="J98" i="9"/>
  <c r="B98" i="9"/>
  <c r="E97" i="9"/>
  <c r="H96" i="9"/>
  <c r="K95" i="9"/>
  <c r="C95" i="9"/>
  <c r="F94" i="9"/>
  <c r="I93" i="9"/>
  <c r="A93" i="9"/>
  <c r="D92" i="9"/>
  <c r="G91" i="9"/>
  <c r="J90" i="9"/>
  <c r="B90" i="9"/>
  <c r="E89" i="9"/>
  <c r="H88" i="9"/>
  <c r="K87" i="9"/>
  <c r="C87" i="9"/>
  <c r="F86" i="9"/>
  <c r="I85" i="9"/>
  <c r="A85" i="9"/>
  <c r="D84" i="9"/>
  <c r="G83" i="9"/>
  <c r="J82" i="9"/>
  <c r="B82" i="9"/>
  <c r="E81" i="9"/>
  <c r="H80" i="9"/>
  <c r="K79" i="9"/>
  <c r="C79" i="9"/>
  <c r="F78" i="9"/>
  <c r="I77" i="9"/>
  <c r="A77" i="9"/>
  <c r="D76" i="9"/>
  <c r="G75" i="9"/>
  <c r="J74" i="9"/>
  <c r="B74" i="9"/>
  <c r="E73" i="9"/>
  <c r="H72" i="9"/>
  <c r="K71" i="9"/>
  <c r="C71" i="9"/>
  <c r="F70" i="9"/>
  <c r="I69" i="9"/>
  <c r="A69" i="9"/>
  <c r="D68" i="9"/>
  <c r="G67" i="9"/>
  <c r="J66" i="9"/>
  <c r="B66" i="9"/>
  <c r="E65" i="9"/>
  <c r="H64" i="9"/>
  <c r="K63" i="9"/>
  <c r="C63" i="9"/>
  <c r="F62" i="9"/>
  <c r="I61" i="9"/>
  <c r="A61" i="9"/>
  <c r="D60" i="9"/>
  <c r="G59" i="9"/>
  <c r="J58" i="9"/>
  <c r="B58" i="9"/>
  <c r="E57" i="9"/>
  <c r="H56" i="9"/>
  <c r="K55" i="9"/>
  <c r="C55" i="9"/>
  <c r="F54" i="9"/>
  <c r="I53" i="9"/>
  <c r="A53" i="9"/>
  <c r="D52" i="9"/>
  <c r="G51" i="9"/>
  <c r="J50" i="9"/>
  <c r="B50" i="9"/>
  <c r="E49" i="9"/>
  <c r="H48" i="9"/>
  <c r="K47" i="9"/>
  <c r="C47" i="9"/>
  <c r="F46" i="9"/>
  <c r="I45" i="9"/>
  <c r="A45" i="9"/>
  <c r="D44" i="9"/>
  <c r="G43" i="9"/>
  <c r="J42" i="9"/>
  <c r="B42" i="9"/>
  <c r="E41" i="9"/>
  <c r="H40" i="9"/>
  <c r="K39" i="9"/>
  <c r="C39" i="9"/>
  <c r="F38" i="9"/>
  <c r="I37" i="9"/>
  <c r="A37" i="9"/>
  <c r="D36" i="9"/>
  <c r="G35" i="9"/>
  <c r="J34" i="9"/>
  <c r="B34" i="9"/>
  <c r="E33" i="9"/>
  <c r="H32" i="9"/>
  <c r="K31" i="9"/>
  <c r="C31" i="9"/>
  <c r="F30" i="9"/>
  <c r="I29" i="9"/>
  <c r="A29" i="9"/>
  <c r="D28" i="9"/>
  <c r="G27" i="9"/>
  <c r="J26" i="9"/>
  <c r="B26" i="9"/>
  <c r="E25" i="9"/>
  <c r="H24" i="9"/>
  <c r="K23" i="9"/>
  <c r="C23" i="9"/>
  <c r="F22" i="9"/>
  <c r="I21" i="9"/>
  <c r="A21" i="9"/>
  <c r="D20" i="9"/>
  <c r="G19" i="9"/>
  <c r="J18" i="9"/>
  <c r="B18" i="9"/>
  <c r="E17" i="9"/>
  <c r="H16" i="9"/>
  <c r="K15" i="9"/>
  <c r="C15" i="9"/>
  <c r="F14" i="9"/>
  <c r="I13" i="9"/>
  <c r="A13" i="9"/>
  <c r="D12" i="9"/>
  <c r="G11" i="9"/>
  <c r="J10" i="9"/>
  <c r="B10" i="9"/>
  <c r="E9" i="9"/>
  <c r="H8" i="9"/>
  <c r="K7" i="9"/>
  <c r="C7" i="9"/>
  <c r="F6" i="9"/>
  <c r="I5" i="9"/>
  <c r="A5" i="9"/>
  <c r="D4" i="9"/>
  <c r="G3" i="9"/>
  <c r="J2" i="9"/>
  <c r="B2" i="9"/>
  <c r="J222" i="9"/>
  <c r="B222" i="9"/>
  <c r="E221" i="9"/>
  <c r="H220" i="9"/>
  <c r="K219" i="9"/>
  <c r="C219" i="9"/>
  <c r="F218" i="9"/>
  <c r="I217" i="9"/>
  <c r="A217" i="9"/>
  <c r="D216" i="9"/>
  <c r="G215" i="9"/>
  <c r="J214" i="9"/>
  <c r="B214" i="9"/>
  <c r="E213" i="9"/>
  <c r="H212" i="9"/>
  <c r="K211" i="9"/>
  <c r="C211" i="9"/>
  <c r="F210" i="9"/>
  <c r="I209" i="9"/>
  <c r="A209" i="9"/>
  <c r="D208" i="9"/>
  <c r="G207" i="9"/>
  <c r="J206" i="9"/>
  <c r="B206" i="9"/>
  <c r="E205" i="9"/>
  <c r="H204" i="9"/>
  <c r="K203" i="9"/>
  <c r="C203" i="9"/>
  <c r="F202" i="9"/>
  <c r="I201" i="9"/>
  <c r="A201" i="9"/>
  <c r="D200" i="9"/>
  <c r="G199" i="9"/>
  <c r="J198" i="9"/>
  <c r="B198" i="9"/>
  <c r="E197" i="9"/>
  <c r="H196" i="9"/>
  <c r="K195" i="9"/>
  <c r="C195" i="9"/>
  <c r="F194" i="9"/>
  <c r="I193" i="9"/>
  <c r="A193" i="9"/>
  <c r="D192" i="9"/>
  <c r="G191" i="9"/>
  <c r="J190" i="9"/>
  <c r="B190" i="9"/>
  <c r="E189" i="9"/>
  <c r="H188" i="9"/>
  <c r="K187" i="9"/>
  <c r="C187" i="9"/>
  <c r="F186" i="9"/>
  <c r="I185" i="9"/>
  <c r="A185" i="9"/>
  <c r="D184" i="9"/>
  <c r="G183" i="9"/>
  <c r="J182" i="9"/>
  <c r="B182" i="9"/>
  <c r="E181" i="9"/>
  <c r="H180" i="9"/>
  <c r="K179" i="9"/>
  <c r="C179" i="9"/>
  <c r="F178" i="9"/>
  <c r="I177" i="9"/>
  <c r="A177" i="9"/>
  <c r="D176" i="9"/>
  <c r="G175" i="9"/>
  <c r="J174" i="9"/>
  <c r="B174" i="9"/>
  <c r="E173" i="9"/>
  <c r="H172" i="9"/>
  <c r="K171" i="9"/>
  <c r="C171" i="9"/>
  <c r="F170" i="9"/>
  <c r="I169" i="9"/>
  <c r="A169" i="9"/>
  <c r="D168" i="9"/>
  <c r="G167" i="9"/>
  <c r="J166" i="9"/>
  <c r="B166" i="9"/>
  <c r="E165" i="9"/>
  <c r="H164" i="9"/>
  <c r="K163" i="9"/>
  <c r="C163" i="9"/>
  <c r="F162" i="9"/>
  <c r="I161" i="9"/>
  <c r="A161" i="9"/>
  <c r="D160" i="9"/>
  <c r="G159" i="9"/>
  <c r="J158" i="9"/>
  <c r="B158" i="9"/>
  <c r="E157" i="9"/>
  <c r="H156" i="9"/>
  <c r="K155" i="9"/>
  <c r="C155" i="9"/>
  <c r="F154" i="9"/>
  <c r="I153" i="9"/>
  <c r="A153" i="9"/>
  <c r="D152" i="9"/>
  <c r="G151" i="9"/>
  <c r="J150" i="9"/>
  <c r="B150" i="9"/>
  <c r="E149" i="9"/>
  <c r="H148" i="9"/>
  <c r="K147" i="9"/>
  <c r="C147" i="9"/>
  <c r="F146" i="9"/>
  <c r="I145" i="9"/>
  <c r="A145" i="9"/>
  <c r="D144" i="9"/>
  <c r="G143" i="9"/>
  <c r="J142" i="9"/>
  <c r="B142" i="9"/>
  <c r="E141" i="9"/>
  <c r="H140" i="9"/>
  <c r="K139" i="9"/>
  <c r="C139" i="9"/>
  <c r="F138" i="9"/>
  <c r="I137" i="9"/>
  <c r="A137" i="9"/>
  <c r="D136" i="9"/>
  <c r="G135" i="9"/>
  <c r="J134" i="9"/>
  <c r="B134" i="9"/>
  <c r="E133" i="9"/>
  <c r="H132" i="9"/>
  <c r="K131" i="9"/>
  <c r="C131" i="9"/>
  <c r="F130" i="9"/>
  <c r="I129" i="9"/>
  <c r="A129" i="9"/>
  <c r="D128" i="9"/>
  <c r="G127" i="9"/>
  <c r="J126" i="9"/>
  <c r="B126" i="9"/>
  <c r="E125" i="9"/>
  <c r="H124" i="9"/>
  <c r="K123" i="9"/>
  <c r="C123" i="9"/>
  <c r="F122" i="9"/>
  <c r="I121" i="9"/>
  <c r="A121" i="9"/>
  <c r="D120" i="9"/>
  <c r="G119" i="9"/>
  <c r="J118" i="9"/>
  <c r="B118" i="9"/>
  <c r="E117" i="9"/>
  <c r="H116" i="9"/>
  <c r="K115" i="9"/>
  <c r="C115" i="9"/>
  <c r="F114" i="9"/>
  <c r="I113" i="9"/>
  <c r="A113" i="9"/>
  <c r="D112" i="9"/>
  <c r="G111" i="9"/>
  <c r="J110" i="9"/>
  <c r="B110" i="9"/>
  <c r="E109" i="9"/>
  <c r="H108" i="9"/>
  <c r="K107" i="9"/>
  <c r="C107" i="9"/>
  <c r="F106" i="9"/>
  <c r="I105" i="9"/>
  <c r="A105" i="9"/>
  <c r="D104" i="9"/>
  <c r="G103" i="9"/>
  <c r="J102" i="9"/>
  <c r="B102" i="9"/>
  <c r="E101" i="9"/>
  <c r="H100" i="9"/>
  <c r="K99" i="9"/>
  <c r="C99" i="9"/>
  <c r="F98" i="9"/>
  <c r="I97" i="9"/>
  <c r="A97" i="9"/>
  <c r="D96" i="9"/>
  <c r="G95" i="9"/>
  <c r="J94" i="9"/>
  <c r="B94" i="9"/>
  <c r="E93" i="9"/>
  <c r="H92" i="9"/>
  <c r="K91" i="9"/>
  <c r="C91" i="9"/>
  <c r="F90" i="9"/>
  <c r="I89" i="9"/>
  <c r="A89" i="9"/>
  <c r="D88" i="9"/>
  <c r="G87" i="9"/>
  <c r="J86" i="9"/>
  <c r="B86" i="9"/>
  <c r="E85" i="9"/>
  <c r="H84" i="9"/>
  <c r="K83" i="9"/>
  <c r="C83" i="9"/>
  <c r="F82" i="9"/>
  <c r="I81" i="9"/>
  <c r="A81" i="9"/>
  <c r="D80" i="9"/>
  <c r="G79" i="9"/>
  <c r="J78" i="9"/>
  <c r="B78" i="9"/>
  <c r="E77" i="9"/>
  <c r="H76" i="9"/>
  <c r="K75" i="9"/>
  <c r="C75" i="9"/>
  <c r="F74" i="9"/>
  <c r="I73" i="9"/>
  <c r="A73" i="9"/>
  <c r="D72" i="9"/>
  <c r="G71" i="9"/>
  <c r="J70" i="9"/>
  <c r="B70" i="9"/>
  <c r="E69" i="9"/>
  <c r="H68" i="9"/>
  <c r="K67" i="9"/>
  <c r="C67" i="9"/>
  <c r="F66" i="9"/>
  <c r="I65" i="9"/>
  <c r="A65" i="9"/>
  <c r="D64" i="9"/>
  <c r="G63" i="9"/>
  <c r="J62" i="9"/>
  <c r="B62" i="9"/>
  <c r="E61" i="9"/>
  <c r="H60" i="9"/>
  <c r="K59" i="9"/>
  <c r="C59" i="9"/>
  <c r="F58" i="9"/>
  <c r="I57" i="9"/>
  <c r="A57" i="9"/>
  <c r="D56" i="9"/>
  <c r="G55" i="9"/>
  <c r="J54" i="9"/>
  <c r="B54" i="9"/>
  <c r="E53" i="9"/>
  <c r="H52" i="9"/>
  <c r="K51" i="9"/>
  <c r="C51" i="9"/>
  <c r="F50" i="9"/>
  <c r="I49" i="9"/>
  <c r="A49" i="9"/>
  <c r="D48" i="9"/>
  <c r="G47" i="9"/>
  <c r="J46" i="9"/>
  <c r="B46" i="9"/>
  <c r="E45" i="9"/>
  <c r="H44" i="9"/>
  <c r="K43" i="9"/>
  <c r="C43" i="9"/>
  <c r="F42" i="9"/>
  <c r="I41" i="9"/>
  <c r="A41" i="9"/>
  <c r="D40" i="9"/>
  <c r="G39" i="9"/>
  <c r="J38" i="9"/>
  <c r="B38" i="9"/>
  <c r="E37" i="9"/>
  <c r="H36" i="9"/>
  <c r="K35" i="9"/>
  <c r="C35" i="9"/>
  <c r="F34" i="9"/>
  <c r="I33" i="9"/>
  <c r="A33" i="9"/>
  <c r="D32" i="9"/>
  <c r="G31" i="9"/>
  <c r="J30" i="9"/>
  <c r="B30" i="9"/>
  <c r="E29" i="9"/>
  <c r="H28" i="9"/>
  <c r="K27" i="9"/>
  <c r="C27" i="9"/>
  <c r="F26" i="9"/>
  <c r="I25" i="9"/>
  <c r="A25" i="9"/>
  <c r="D24" i="9"/>
  <c r="G23" i="9"/>
  <c r="J22" i="9"/>
  <c r="B22" i="9"/>
  <c r="E21" i="9"/>
  <c r="H20" i="9"/>
  <c r="K19" i="9"/>
  <c r="C19" i="9"/>
  <c r="F18" i="9"/>
  <c r="I17" i="9"/>
  <c r="A17" i="9"/>
  <c r="D16" i="9"/>
  <c r="G15" i="9"/>
  <c r="J14" i="9"/>
  <c r="B14" i="9"/>
  <c r="E13" i="9"/>
  <c r="H12" i="9"/>
  <c r="K11" i="9"/>
  <c r="C11" i="9"/>
  <c r="F10" i="9"/>
  <c r="I9" i="9"/>
  <c r="A9" i="9"/>
  <c r="D8" i="9"/>
  <c r="G7" i="9"/>
  <c r="J6" i="9"/>
  <c r="B6" i="9"/>
  <c r="E5" i="9"/>
  <c r="H4" i="9"/>
  <c r="K3" i="9"/>
  <c r="C3" i="9"/>
  <c r="F2" i="9"/>
  <c r="G223" i="9"/>
</calcChain>
</file>

<file path=xl/sharedStrings.xml><?xml version="1.0" encoding="utf-8"?>
<sst xmlns="http://schemas.openxmlformats.org/spreadsheetml/2006/main" count="11038" uniqueCount="3075">
  <si>
    <t>Product Name</t>
  </si>
  <si>
    <t>BU</t>
  </si>
  <si>
    <t>Client Name *</t>
  </si>
  <si>
    <t>Brief Code</t>
  </si>
  <si>
    <t>Worktype *</t>
  </si>
  <si>
    <t>Subtype *</t>
  </si>
  <si>
    <t>Qty *</t>
  </si>
  <si>
    <t>Submit Date *</t>
  </si>
  <si>
    <t>Submit Code *</t>
  </si>
  <si>
    <t>Status</t>
  </si>
  <si>
    <t>MPRO Link</t>
  </si>
  <si>
    <t>Aprv Date</t>
  </si>
  <si>
    <t>Vision Iron</t>
  </si>
  <si>
    <t>REL</t>
  </si>
  <si>
    <t>Antor Vai</t>
  </si>
  <si>
    <t>CB10198_Oct25</t>
  </si>
  <si>
    <t>ATC Box Output</t>
  </si>
  <si>
    <t>New</t>
  </si>
  <si>
    <t>CW13908_Oct25</t>
  </si>
  <si>
    <t>Brief Submitted</t>
  </si>
  <si>
    <t>Vision Blender</t>
  </si>
  <si>
    <t>Nur Vaiya</t>
  </si>
  <si>
    <t>CB10196_Oct25</t>
  </si>
  <si>
    <t>Output Setup (Gravure/Offset)</t>
  </si>
  <si>
    <t>CW13909_Oct25</t>
  </si>
  <si>
    <t>Mother Touch</t>
  </si>
  <si>
    <t>RFL Stationery</t>
  </si>
  <si>
    <t>RFL-Farjana Apu</t>
  </si>
  <si>
    <t>CB10480_Oct25</t>
  </si>
  <si>
    <t>CW13894_Oct25</t>
  </si>
  <si>
    <t>HoM Approved</t>
  </si>
  <si>
    <t>Bisk Club Funcrack</t>
  </si>
  <si>
    <t>BBL</t>
  </si>
  <si>
    <t>Sabbir Vai</t>
  </si>
  <si>
    <t>CB10404_Oct25</t>
  </si>
  <si>
    <t>CW13898_Oct25</t>
  </si>
  <si>
    <t>Bisk Club Europa</t>
  </si>
  <si>
    <t>Saidul Vai</t>
  </si>
  <si>
    <t>CB10328_Oct25</t>
  </si>
  <si>
    <t>CW13899_Oct25</t>
  </si>
  <si>
    <t>PRAN Noodles</t>
  </si>
  <si>
    <t>PAL</t>
  </si>
  <si>
    <t>Sanjida Apu</t>
  </si>
  <si>
    <t>CB10450_Oct25</t>
  </si>
  <si>
    <t>CW13914_Oct25</t>
  </si>
  <si>
    <t>Proton Accessories</t>
  </si>
  <si>
    <t>CB10637_Oct25</t>
  </si>
  <si>
    <t>CW14163_Oct25</t>
  </si>
  <si>
    <t>BM Approved</t>
  </si>
  <si>
    <t>PRAN Magic Cup</t>
  </si>
  <si>
    <t>Mitu Apu</t>
  </si>
  <si>
    <t>CB10320_Oct25</t>
  </si>
  <si>
    <t>CW14172_Oct25</t>
  </si>
  <si>
    <t>Vehicle Branding Design</t>
  </si>
  <si>
    <t>Export Common</t>
  </si>
  <si>
    <t>Prapty Apu</t>
  </si>
  <si>
    <t>CB10810_Oct25</t>
  </si>
  <si>
    <t>Leaflet/Poster Output</t>
  </si>
  <si>
    <t>CW14702_Nov25</t>
  </si>
  <si>
    <t>Bro Puffy Marshmallow</t>
  </si>
  <si>
    <t>PCL</t>
  </si>
  <si>
    <t>Anika Apu</t>
  </si>
  <si>
    <t>CB10546_Oct25</t>
  </si>
  <si>
    <t>Packaging Text Design #1</t>
  </si>
  <si>
    <t>CW14961_Nov25</t>
  </si>
  <si>
    <t>CB11017_Nov25</t>
  </si>
  <si>
    <t>CW14946_Nov25</t>
  </si>
  <si>
    <t>Walkar Footwear</t>
  </si>
  <si>
    <t>MLIL</t>
  </si>
  <si>
    <t>Shidul Vai</t>
  </si>
  <si>
    <t>CB8852_Sep25</t>
  </si>
  <si>
    <t>Outdoor/Event/Showroom Branding</t>
  </si>
  <si>
    <t>CW15165_Nov25</t>
  </si>
  <si>
    <t>Canton Soup</t>
  </si>
  <si>
    <t>Kafe Vai</t>
  </si>
  <si>
    <t>CB10088_Oct25</t>
  </si>
  <si>
    <t>CW15249_Nov25</t>
  </si>
  <si>
    <t>PRAN soft chew</t>
  </si>
  <si>
    <t>Sohel Vai</t>
  </si>
  <si>
    <t>CB10109_Oct25</t>
  </si>
  <si>
    <t>CW15244_Nov25</t>
  </si>
  <si>
    <t>Maimuna Jelly Drinks</t>
  </si>
  <si>
    <t>Nazmul Vai</t>
  </si>
  <si>
    <t>CB11250_Nov25</t>
  </si>
  <si>
    <t>CW15387_Nov25</t>
  </si>
  <si>
    <t>Bisk Club SHERO Biscuit</t>
  </si>
  <si>
    <t>Ove Vai</t>
  </si>
  <si>
    <t>CB11360_Nov25</t>
  </si>
  <si>
    <t>Gravure Output #2</t>
  </si>
  <si>
    <t>CW15542_Nov25</t>
  </si>
  <si>
    <t>PRAN Cookies</t>
  </si>
  <si>
    <t>Afrin Apu</t>
  </si>
  <si>
    <t>CB11477_Nov25</t>
  </si>
  <si>
    <t>CW15732_Nov25</t>
  </si>
  <si>
    <t>PRAN SOUP</t>
  </si>
  <si>
    <t>CB11476_Nov25</t>
  </si>
  <si>
    <t>CW15730_Nov25</t>
  </si>
  <si>
    <t>Snack Bar</t>
  </si>
  <si>
    <t>CB10551_Oct25</t>
  </si>
  <si>
    <t>CW15862_Nov25</t>
  </si>
  <si>
    <t>Mughal Chia Seeds</t>
  </si>
  <si>
    <t>NAL</t>
  </si>
  <si>
    <t>Sanjana Apu</t>
  </si>
  <si>
    <t>CB11551_Nov25</t>
  </si>
  <si>
    <t>CW15846_Nov25</t>
  </si>
  <si>
    <t>Divino Chocolate</t>
  </si>
  <si>
    <t>CB11702_Nov25</t>
  </si>
  <si>
    <t>CW16098_Nov25</t>
  </si>
  <si>
    <t>Kleen</t>
  </si>
  <si>
    <t>APCL</t>
  </si>
  <si>
    <t>Abdullah Vai</t>
  </si>
  <si>
    <t>CB11682_Nov25</t>
  </si>
  <si>
    <t>CW16233_Nov25</t>
  </si>
  <si>
    <t>All Time Honeycomb</t>
  </si>
  <si>
    <t>Lisa Apu</t>
  </si>
  <si>
    <t>CB10766_Oct25</t>
  </si>
  <si>
    <t>CW16415_Nov25</t>
  </si>
  <si>
    <t>All Time Cookies</t>
  </si>
  <si>
    <t>CB10321_Oct25</t>
  </si>
  <si>
    <t>CW16466_Nov25</t>
  </si>
  <si>
    <t>CW16479_Nov25</t>
  </si>
  <si>
    <t>CW16548_Nov25</t>
  </si>
  <si>
    <t>Orange Plus</t>
  </si>
  <si>
    <t>AMCL</t>
  </si>
  <si>
    <t>Miraj Vai</t>
  </si>
  <si>
    <t>CB11297_Nov25</t>
  </si>
  <si>
    <t>CW16679_Nov25</t>
  </si>
  <si>
    <t>CW16837_Nov25</t>
  </si>
  <si>
    <t>Pran Toast</t>
  </si>
  <si>
    <t>Nuhal Vai</t>
  </si>
  <si>
    <t>CB10215_Oct25</t>
  </si>
  <si>
    <t>CW16778_Nov25</t>
  </si>
  <si>
    <t>CW16818_Nov25</t>
  </si>
  <si>
    <t>Treat Boom Bite Cake</t>
  </si>
  <si>
    <t>CB11448_Nov25</t>
  </si>
  <si>
    <t>CW16839_Nov25</t>
  </si>
  <si>
    <t>CB9566_Oct25</t>
  </si>
  <si>
    <t>CW16867_Nov25</t>
  </si>
  <si>
    <t>Common - India Export</t>
  </si>
  <si>
    <t>India</t>
  </si>
  <si>
    <t>CB12131_Nov25</t>
  </si>
  <si>
    <t>Flyer/Brochure/Banner Output</t>
  </si>
  <si>
    <t>CW17003_Nov25</t>
  </si>
  <si>
    <t>Common - All PBL</t>
  </si>
  <si>
    <t>PBL</t>
  </si>
  <si>
    <t>Proshenjeet Vai</t>
  </si>
  <si>
    <t>CB9601_Oct25</t>
  </si>
  <si>
    <t>CW17019_Nov25</t>
  </si>
  <si>
    <t>Drinko Float</t>
  </si>
  <si>
    <t>CB9779_Oct25</t>
  </si>
  <si>
    <t>Packaging</t>
  </si>
  <si>
    <t>CW17020_Nov25</t>
  </si>
  <si>
    <t>Jim &amp; Jolly Tricycle</t>
  </si>
  <si>
    <t>DPL</t>
  </si>
  <si>
    <t>Sohan Vai</t>
  </si>
  <si>
    <t>CB11896_Nov25</t>
  </si>
  <si>
    <t>CW17236_Nov25</t>
  </si>
  <si>
    <t>Sticky Adhesive</t>
  </si>
  <si>
    <t>BBMT</t>
  </si>
  <si>
    <t>Nazmul Vaiya</t>
  </si>
  <si>
    <t>CB11880_Nov25</t>
  </si>
  <si>
    <t>CW17335_Nov25</t>
  </si>
  <si>
    <t>Common - All NAL</t>
  </si>
  <si>
    <t>CB11372_Nov25</t>
  </si>
  <si>
    <t>CW17368_Nov25</t>
  </si>
  <si>
    <t>Drinko Litchi/Orange</t>
  </si>
  <si>
    <t>Saifullah Vai</t>
  </si>
  <si>
    <t>CB12087_Nov25</t>
  </si>
  <si>
    <t>CW17499_Nov25</t>
  </si>
  <si>
    <t>Power Energy Drink</t>
  </si>
  <si>
    <t>Malaysia</t>
  </si>
  <si>
    <t>Duke Vai</t>
  </si>
  <si>
    <t>CB9990_Oct25</t>
  </si>
  <si>
    <t>CW17651_Nov25</t>
  </si>
  <si>
    <t>Bisk Club Fruit Fun Flavored Cream Biscuit</t>
  </si>
  <si>
    <t>CB11917_Nov25</t>
  </si>
  <si>
    <t>CW17661_Nov25</t>
  </si>
  <si>
    <t>PRAN FCMP</t>
  </si>
  <si>
    <t>Dairy</t>
  </si>
  <si>
    <t>Aydeed Vai</t>
  </si>
  <si>
    <t>CB11216_Nov25</t>
  </si>
  <si>
    <t>CW17794_Nov25</t>
  </si>
  <si>
    <t>CB12450_Nov25</t>
  </si>
  <si>
    <t>CW17783_Nov25</t>
  </si>
  <si>
    <t>PRAN Jelly Candy</t>
  </si>
  <si>
    <t>USA &amp; Europe</t>
  </si>
  <si>
    <t>Zahirul Vai</t>
  </si>
  <si>
    <t>CB12509_Nov25</t>
  </si>
  <si>
    <t>CW17714_Nov25</t>
  </si>
  <si>
    <t>CB12728_Dec25</t>
  </si>
  <si>
    <t>CW18386_Dec25</t>
  </si>
  <si>
    <t>PRAN Cream Biscuit</t>
  </si>
  <si>
    <t>CB12193_Nov25</t>
  </si>
  <si>
    <t>CW18504_Dec25</t>
  </si>
  <si>
    <t>CB13093_Dec25</t>
  </si>
  <si>
    <t>CW18556_Dec25</t>
  </si>
  <si>
    <t>RFL Welding Electrode</t>
  </si>
  <si>
    <t>RMIL-1</t>
  </si>
  <si>
    <t>Mehedi Vaiya</t>
  </si>
  <si>
    <t>CB12908_Dec25</t>
  </si>
  <si>
    <t>CW18688_Dec25</t>
  </si>
  <si>
    <t>Tasty Treat Cafe</t>
  </si>
  <si>
    <t>Tasty Treat</t>
  </si>
  <si>
    <t>Nahian Vai</t>
  </si>
  <si>
    <t>CB12669_Nov25</t>
  </si>
  <si>
    <t>CW18635_Dec25</t>
  </si>
  <si>
    <t>CW18790_Dec25</t>
  </si>
  <si>
    <t>CW18784_Dec25</t>
  </si>
  <si>
    <t>Pran Potata Spicy Biscuit  USA 3fl</t>
  </si>
  <si>
    <t>Africa</t>
  </si>
  <si>
    <t>CB12097_Nov25</t>
  </si>
  <si>
    <t>CW18814_Dec25</t>
  </si>
  <si>
    <t>PRAN Dry Cake</t>
  </si>
  <si>
    <t>KSA</t>
  </si>
  <si>
    <t>CB12984_Dec25</t>
  </si>
  <si>
    <t>CW18875_Dec25</t>
  </si>
  <si>
    <t>PRAN Frozen Foods</t>
  </si>
  <si>
    <t>PFF</t>
  </si>
  <si>
    <t>CB12692_Nov25</t>
  </si>
  <si>
    <t>CW19002_Dec25</t>
  </si>
  <si>
    <t>Vision Emporium</t>
  </si>
  <si>
    <t>Retail</t>
  </si>
  <si>
    <t>Sourav Vai</t>
  </si>
  <si>
    <t>CB11189_Nov25</t>
  </si>
  <si>
    <t>CW19145_Dec25</t>
  </si>
  <si>
    <t>CB13538_Dec25</t>
  </si>
  <si>
    <t>CW19273_Dec25</t>
  </si>
  <si>
    <t>Treat Chocolate</t>
  </si>
  <si>
    <t>Mona Apu</t>
  </si>
  <si>
    <t>CB12682_Nov25</t>
  </si>
  <si>
    <t>CW19396_Dec25</t>
  </si>
  <si>
    <t>Pran Dry Cake</t>
  </si>
  <si>
    <t>Shamsul Sir</t>
  </si>
  <si>
    <t>CB13714_Dec25</t>
  </si>
  <si>
    <t>CW19499_Dec25</t>
  </si>
  <si>
    <t>PRAN Basic Spice</t>
  </si>
  <si>
    <t>CB13712_Dec25</t>
  </si>
  <si>
    <t>CW19638_Dec25</t>
  </si>
  <si>
    <t>CB13524_Dec25</t>
  </si>
  <si>
    <t>CW19711_Dec25</t>
  </si>
  <si>
    <t>PRAN Lollipop</t>
  </si>
  <si>
    <t>CB13917_Dec25</t>
  </si>
  <si>
    <t>JAR Label Sticker Output</t>
  </si>
  <si>
    <t>CW19723_Dec25</t>
  </si>
  <si>
    <t>PRAN Chocolord</t>
  </si>
  <si>
    <t>Nusrat Apu</t>
  </si>
  <si>
    <t>CB13977_Dec25</t>
  </si>
  <si>
    <t>CW19850_Dec25</t>
  </si>
  <si>
    <t>Kofi House</t>
  </si>
  <si>
    <t>CB13736_Dec25</t>
  </si>
  <si>
    <t>CW19942_Dec25</t>
  </si>
  <si>
    <t>CB14179_Dec25</t>
  </si>
  <si>
    <t>CW20042_Dec25</t>
  </si>
  <si>
    <t>RFL Manhole Cover</t>
  </si>
  <si>
    <t>CB14298_Dec25</t>
  </si>
  <si>
    <t>CW20258_Dec25</t>
  </si>
  <si>
    <t>RFL Weighing scale</t>
  </si>
  <si>
    <t>Rasel Vai</t>
  </si>
  <si>
    <t>CB13655_Dec25</t>
  </si>
  <si>
    <t>CW20345_Dec25</t>
  </si>
  <si>
    <t>RFL Belcha</t>
  </si>
  <si>
    <t>CB14002_Dec25</t>
  </si>
  <si>
    <t>CW20481_Dec25</t>
  </si>
  <si>
    <t>CB13946_Dec25</t>
  </si>
  <si>
    <t>CW20966_Jan26</t>
  </si>
  <si>
    <t>CB12821_Dec25</t>
  </si>
  <si>
    <t>CW21083_Jan26</t>
  </si>
  <si>
    <t>PRAN UHT Milk</t>
  </si>
  <si>
    <t>Anis Vaiya</t>
  </si>
  <si>
    <t>CB14943_Jan26</t>
  </si>
  <si>
    <t>CW21175_Jan26</t>
  </si>
  <si>
    <t>CB14509_Dec25</t>
  </si>
  <si>
    <t>CW21163_Jan26</t>
  </si>
  <si>
    <t>CW21261_Jan26</t>
  </si>
  <si>
    <t>Canton Sauce</t>
  </si>
  <si>
    <t>Rakib Vai</t>
  </si>
  <si>
    <t>CB14337_Dec25</t>
  </si>
  <si>
    <t>CW21229_Jan26</t>
  </si>
  <si>
    <t>PRAN Mustard Oil</t>
  </si>
  <si>
    <t>CB14688_Dec25</t>
  </si>
  <si>
    <t>CW21242_Jan26</t>
  </si>
  <si>
    <t>Common - All PFL</t>
  </si>
  <si>
    <t>PFL</t>
  </si>
  <si>
    <t>Shamrid Vaiya</t>
  </si>
  <si>
    <t>CB14684_Dec25</t>
  </si>
  <si>
    <t>CW21333_Jan26</t>
  </si>
  <si>
    <t>Mithai</t>
  </si>
  <si>
    <t>Masum Vai</t>
  </si>
  <si>
    <t>CB14402_Dec25</t>
  </si>
  <si>
    <t>CW21611_Jan26</t>
  </si>
  <si>
    <t>CB13389_Dec25</t>
  </si>
  <si>
    <t>CW21583_Jan26</t>
  </si>
  <si>
    <t>Good Luck</t>
  </si>
  <si>
    <t>Rifath Vai</t>
  </si>
  <si>
    <t>CB14502_Dec25</t>
  </si>
  <si>
    <t>CW21670_Jan26</t>
  </si>
  <si>
    <t>PRAN Fruit Drink</t>
  </si>
  <si>
    <t>CB14941_Jan26</t>
  </si>
  <si>
    <t>CW21877_Jan26</t>
  </si>
  <si>
    <t>All Time Roma</t>
  </si>
  <si>
    <t>CB13519_Dec25</t>
  </si>
  <si>
    <t>CW21994_Jan26</t>
  </si>
  <si>
    <t>Packaging Text Design #2</t>
  </si>
  <si>
    <t>CB15584_Jan26</t>
  </si>
  <si>
    <t>CW22099_Jan26</t>
  </si>
  <si>
    <t>RFL Tubewell</t>
  </si>
  <si>
    <t>CB15485_Jan26</t>
  </si>
  <si>
    <t>CW22227_Jan26</t>
  </si>
  <si>
    <t>Humty Dumty</t>
  </si>
  <si>
    <t>CB15136_Jan26</t>
  </si>
  <si>
    <t>CW22355_Jan26</t>
  </si>
  <si>
    <t>CB14658_Dec25</t>
  </si>
  <si>
    <t>CW22482_Jan26</t>
  </si>
  <si>
    <t>Vinegar</t>
  </si>
  <si>
    <t>CB15408_Jan26</t>
  </si>
  <si>
    <t>CW22803_Jan26</t>
  </si>
  <si>
    <t>CB16130_Jan26</t>
  </si>
  <si>
    <t>CW22831_Jan26</t>
  </si>
  <si>
    <t>All Time Family Cake</t>
  </si>
  <si>
    <t>CB16075_Jan26</t>
  </si>
  <si>
    <t>CW23017_Jan26</t>
  </si>
  <si>
    <t>CB16474_Jan26</t>
  </si>
  <si>
    <t>CW23429_Jan26</t>
  </si>
  <si>
    <t>100% Natural Juice Latina</t>
  </si>
  <si>
    <t>CB16507_Jan26</t>
  </si>
  <si>
    <t>CW23332_Jan26</t>
  </si>
  <si>
    <t>CB16556_Jan26</t>
  </si>
  <si>
    <t>CW23445_Jan26</t>
  </si>
  <si>
    <t>Pran Mama Wafer</t>
  </si>
  <si>
    <t>CB16514_Jan26</t>
  </si>
  <si>
    <t>CW23342_Jan26</t>
  </si>
  <si>
    <t>Treat Chocolate Cambodia</t>
  </si>
  <si>
    <t>CB13858_Dec25</t>
  </si>
  <si>
    <t>CW24098_Feb26</t>
  </si>
  <si>
    <t>Regal Emporium</t>
  </si>
  <si>
    <t>Mouri Apu</t>
  </si>
  <si>
    <t>CB14930_Jan26</t>
  </si>
  <si>
    <t>CW24005_Feb26</t>
  </si>
  <si>
    <t>CB14934_Jan26</t>
  </si>
  <si>
    <t>CW24076_Feb26</t>
  </si>
  <si>
    <t>CB15101_Jan26</t>
  </si>
  <si>
    <t>CW24184_Feb26</t>
  </si>
  <si>
    <t>All Time Dry Cake</t>
  </si>
  <si>
    <t>CB15938_Jan26</t>
  </si>
  <si>
    <t>CW24291_Feb26</t>
  </si>
  <si>
    <t>CB17070_Feb26</t>
  </si>
  <si>
    <t>Gravure Output #1</t>
  </si>
  <si>
    <t>CW24314_Feb26</t>
  </si>
  <si>
    <t>Shaifuddin Vai</t>
  </si>
  <si>
    <t>CB16518_Jan26</t>
  </si>
  <si>
    <t>CW24350_Feb26</t>
  </si>
  <si>
    <t>CB17273_Feb26</t>
  </si>
  <si>
    <t>CW24517_Feb26</t>
  </si>
  <si>
    <t>Pluto Chocolate Gems</t>
  </si>
  <si>
    <t>CB17651_Feb26</t>
  </si>
  <si>
    <t>CW24989_Feb26</t>
  </si>
  <si>
    <t>Pran Lacchi</t>
  </si>
  <si>
    <t>CB17077_Feb26</t>
  </si>
  <si>
    <t>CW24988_Feb26</t>
  </si>
  <si>
    <t>CW25031_Feb26</t>
  </si>
  <si>
    <t>PRAN Ready to Eat</t>
  </si>
  <si>
    <t>CB15571_Jan26</t>
  </si>
  <si>
    <t>CW25120_Feb26</t>
  </si>
  <si>
    <t>PRAN Spice Powder</t>
  </si>
  <si>
    <t>CB15603_Jan26</t>
  </si>
  <si>
    <t>CW25307_Feb26</t>
  </si>
  <si>
    <t>CB17116_Feb26</t>
  </si>
  <si>
    <t>CW25317_Feb26</t>
  </si>
  <si>
    <t>Fatema Apu</t>
  </si>
  <si>
    <t>CB15901_Jan26</t>
  </si>
  <si>
    <t>CW25396_Feb26</t>
  </si>
  <si>
    <t>CB16993_Feb26</t>
  </si>
  <si>
    <t>CW25437_Feb26</t>
  </si>
  <si>
    <t>CB17952_Feb26</t>
  </si>
  <si>
    <t>CW25406_Feb26</t>
  </si>
  <si>
    <t>Treat Éclair</t>
  </si>
  <si>
    <t>CB17865_Feb26</t>
  </si>
  <si>
    <t>CW25428_Feb26</t>
  </si>
  <si>
    <t>CW25627_Feb26</t>
  </si>
  <si>
    <t>CB17181_Feb26</t>
  </si>
  <si>
    <t>CW25730_Feb26</t>
  </si>
  <si>
    <t>Golpo</t>
  </si>
  <si>
    <t>Farhan Vai</t>
  </si>
  <si>
    <t>CB17060_Feb26</t>
  </si>
  <si>
    <t>CW25786_Feb26</t>
  </si>
  <si>
    <t>Hurray Wafer</t>
  </si>
  <si>
    <t>CB16890_Feb26</t>
  </si>
  <si>
    <t>CW25845_Feb26</t>
  </si>
  <si>
    <t>Premio</t>
  </si>
  <si>
    <t>Aslam Vaiya</t>
  </si>
  <si>
    <t>CB17778_Feb26</t>
  </si>
  <si>
    <t>CW26332_Mar26</t>
  </si>
  <si>
    <t>Canton Noodles</t>
  </si>
  <si>
    <t>CB18265_Feb26</t>
  </si>
  <si>
    <t>CW26349_Mar26</t>
  </si>
  <si>
    <t>Common - USA &amp; Europe Export</t>
  </si>
  <si>
    <t>CB16987_Feb26</t>
  </si>
  <si>
    <t>CW26330_Mar26</t>
  </si>
  <si>
    <t>Jelly Drink</t>
  </si>
  <si>
    <t>CB16573_Jan26</t>
  </si>
  <si>
    <t>CW26448_Mar26</t>
  </si>
  <si>
    <t>CB17961_Feb26</t>
  </si>
  <si>
    <t>CW26439_Mar26</t>
  </si>
  <si>
    <t>PRAN Pulse candy</t>
  </si>
  <si>
    <t>CB17415_Feb26</t>
  </si>
  <si>
    <t>CW26463_Mar26</t>
  </si>
  <si>
    <t>CB18547_Mar26</t>
  </si>
  <si>
    <t>CW26547_Mar26</t>
  </si>
  <si>
    <t>Common</t>
  </si>
  <si>
    <t>CB18554_Feb26</t>
  </si>
  <si>
    <t>CW26559_Mar26</t>
  </si>
  <si>
    <t>CB17526_Feb26</t>
  </si>
  <si>
    <t>CW26575_Mar26</t>
  </si>
  <si>
    <t>CB19016_Mar26</t>
  </si>
  <si>
    <t>CW26813_Mar26</t>
  </si>
  <si>
    <t>Common - All Dairy</t>
  </si>
  <si>
    <t>Tamim Vaiya</t>
  </si>
  <si>
    <t>CB18881_Mar26</t>
  </si>
  <si>
    <t>CW26853_Mar26</t>
  </si>
  <si>
    <t>CB17402_Feb26</t>
  </si>
  <si>
    <t>CW27154_Mar26</t>
  </si>
  <si>
    <t>PRAN Recipe Mix</t>
  </si>
  <si>
    <t>Minhaz Vai</t>
  </si>
  <si>
    <t>CB18365_Feb26</t>
  </si>
  <si>
    <t>CW27227_Mar26</t>
  </si>
  <si>
    <t>CB19376_Mar26</t>
  </si>
  <si>
    <t>CW27296_Mar26</t>
  </si>
  <si>
    <t>CB18480_Feb26</t>
  </si>
  <si>
    <t>CW27546_Mar26</t>
  </si>
  <si>
    <t>PRAN Jelly</t>
  </si>
  <si>
    <t>CB19306_Mar26</t>
  </si>
  <si>
    <t>CW27547_Mar26</t>
  </si>
  <si>
    <t>Super Milk FCMP</t>
  </si>
  <si>
    <t>CB18287_Feb26</t>
  </si>
  <si>
    <t>CW27661_Mar26</t>
  </si>
  <si>
    <t>CB18249_Feb26</t>
  </si>
  <si>
    <t>CW27858_Mar26</t>
  </si>
  <si>
    <t>Jiggly Jells</t>
  </si>
  <si>
    <t>Junayed Vai</t>
  </si>
  <si>
    <t>CB19696_Mar26</t>
  </si>
  <si>
    <t>CW27988_Mar26</t>
  </si>
  <si>
    <t>CB19885_Mar26</t>
  </si>
  <si>
    <t>CW27984_Mar26</t>
  </si>
  <si>
    <t>Bisk Club Lexus Biscuits</t>
  </si>
  <si>
    <t>CB19875_Mar26</t>
  </si>
  <si>
    <t>CW28518_Mar26</t>
  </si>
  <si>
    <t>CW28735_Mar26</t>
  </si>
  <si>
    <t>CB19899_Mar26</t>
  </si>
  <si>
    <t>CW28797_Mar26</t>
  </si>
  <si>
    <t>Oliver Biscuits</t>
  </si>
  <si>
    <t>CB20675_Apr26</t>
  </si>
  <si>
    <t>CW29116_Apr26</t>
  </si>
  <si>
    <t>CB20686_Apr26</t>
  </si>
  <si>
    <t>CW29202_Apr26</t>
  </si>
  <si>
    <t>All Time Slice Cake</t>
  </si>
  <si>
    <t>Tamim Vai</t>
  </si>
  <si>
    <t>CB15279_Jan26</t>
  </si>
  <si>
    <t>Revision</t>
  </si>
  <si>
    <t>CW29542_Apr26</t>
  </si>
  <si>
    <t>Treat Pop Vietnam</t>
  </si>
  <si>
    <t>Vietnam</t>
  </si>
  <si>
    <t>Enamul Vai</t>
  </si>
  <si>
    <t>CB14229_Dec25</t>
  </si>
  <si>
    <t>CW29621_Apr26</t>
  </si>
  <si>
    <t>PRAN Crunchy Wafer</t>
  </si>
  <si>
    <t>CB17769_Feb26</t>
  </si>
  <si>
    <t>CW29604_Apr26</t>
  </si>
  <si>
    <t>Papa Chips</t>
  </si>
  <si>
    <t>CB19391_Mar26</t>
  </si>
  <si>
    <t>CW30179_Apr26</t>
  </si>
  <si>
    <t>Choco Choco</t>
  </si>
  <si>
    <t>CB21008_Apr26</t>
  </si>
  <si>
    <t>CW30261_Apr26</t>
  </si>
  <si>
    <t>Sunny Toothbrush</t>
  </si>
  <si>
    <t>Nuzhat Apu</t>
  </si>
  <si>
    <t>CB21690_Apr26</t>
  </si>
  <si>
    <t>CW30583_Apr26</t>
  </si>
  <si>
    <t>Shine Sanitary Ware &amp; Fittings</t>
  </si>
  <si>
    <t>RPL</t>
  </si>
  <si>
    <t>Shaikh Vai</t>
  </si>
  <si>
    <t>CB22041_Apr26</t>
  </si>
  <si>
    <t>CW30591_Apr26</t>
  </si>
  <si>
    <t>Mr. Noodles</t>
  </si>
  <si>
    <t>CB20426_Mar26</t>
  </si>
  <si>
    <t>CW30996_Apr26</t>
  </si>
  <si>
    <t>Krako Tangy Tomato, Krako Chilli Chaat, Krako Cream &amp; Onion, Krako Masala Masti</t>
  </si>
  <si>
    <t>Rafi Vaiya</t>
  </si>
  <si>
    <t>CB19858_Mar26</t>
  </si>
  <si>
    <t>CW31212_Apr26</t>
  </si>
  <si>
    <t>CB22619_Apr26</t>
  </si>
  <si>
    <t>Digital Static For Social Media</t>
  </si>
  <si>
    <t>CW31355_Apr26</t>
  </si>
  <si>
    <t>CB22028_Apr26</t>
  </si>
  <si>
    <t>CW31354_Apr26</t>
  </si>
  <si>
    <t>Travello Luggage</t>
  </si>
  <si>
    <t>RFL-Anika Apu</t>
  </si>
  <si>
    <t>CB21572_Apr26</t>
  </si>
  <si>
    <t>CW31425_Apr26</t>
  </si>
  <si>
    <t>CB21697_Apr26</t>
  </si>
  <si>
    <t>CW31618_Apr26</t>
  </si>
  <si>
    <t>Fry Bucket</t>
  </si>
  <si>
    <t>Shubhankar Vai</t>
  </si>
  <si>
    <t>CB22588_Apr26</t>
  </si>
  <si>
    <t>CW31803_Apr26</t>
  </si>
  <si>
    <t>CB20564_Apr26</t>
  </si>
  <si>
    <t>Black Cylinder Output</t>
  </si>
  <si>
    <t>CW32129_May26</t>
  </si>
  <si>
    <t>CW32204_May26</t>
  </si>
  <si>
    <t>CB22983_Apr26</t>
  </si>
  <si>
    <t>CW32208_May26</t>
  </si>
  <si>
    <t>CB21923_Apr26</t>
  </si>
  <si>
    <t>CW32299_May26</t>
  </si>
  <si>
    <t>Kofi Mate 6g</t>
  </si>
  <si>
    <t>CB22549_Apr26</t>
  </si>
  <si>
    <t>CW32369_May26</t>
  </si>
  <si>
    <t>TVS MOTOR BIKES</t>
  </si>
  <si>
    <t>RFL-TVS</t>
  </si>
  <si>
    <t>Roudra Vai</t>
  </si>
  <si>
    <t>CB22969_Apr26</t>
  </si>
  <si>
    <t>CW32341_May26</t>
  </si>
  <si>
    <t>VIGO Electronic Appliances</t>
  </si>
  <si>
    <t>Tanveer Vai</t>
  </si>
  <si>
    <t>CB22996_Apr26</t>
  </si>
  <si>
    <t>CW32524_May26</t>
  </si>
  <si>
    <t>CB21037_Apr26</t>
  </si>
  <si>
    <t>CW32495_May26</t>
  </si>
  <si>
    <t>Common - All DPL</t>
  </si>
  <si>
    <t>Fardin Vai</t>
  </si>
  <si>
    <t>CB22756_Apr26</t>
  </si>
  <si>
    <t>CW32695_May26</t>
  </si>
  <si>
    <t>CB23542_May26</t>
  </si>
  <si>
    <t>CW32902_May26</t>
  </si>
  <si>
    <t>PRAN Potato Sticks</t>
  </si>
  <si>
    <t>CB18806_Mar26</t>
  </si>
  <si>
    <t>CW32900_May26</t>
  </si>
  <si>
    <t>Proton mobile</t>
  </si>
  <si>
    <t>CB22819_Apr26</t>
  </si>
  <si>
    <t>CW33109_May26</t>
  </si>
  <si>
    <t>Livana</t>
  </si>
  <si>
    <t>Kishower Vai</t>
  </si>
  <si>
    <t>CB18691_Mar26</t>
  </si>
  <si>
    <t>CW33139_May26</t>
  </si>
  <si>
    <t>CW33160_May26</t>
  </si>
  <si>
    <t>CW33240_May26</t>
  </si>
  <si>
    <t>CW33414_May26</t>
  </si>
  <si>
    <t>Getwell</t>
  </si>
  <si>
    <t>Ifat Apu</t>
  </si>
  <si>
    <t>CB24273_May26</t>
  </si>
  <si>
    <t>CW33556_May26</t>
  </si>
  <si>
    <t>PRAN Fruit Drinks (TP)-</t>
  </si>
  <si>
    <t>CB22763_Apr26</t>
  </si>
  <si>
    <t>CW33582_May26</t>
  </si>
  <si>
    <t>CB22621_Apr26</t>
  </si>
  <si>
    <t>CW33698_May26</t>
  </si>
  <si>
    <t>CB24375_May26</t>
  </si>
  <si>
    <t>CW33945_May26</t>
  </si>
  <si>
    <t>CB24618_May26</t>
  </si>
  <si>
    <t>CW34261_May26</t>
  </si>
  <si>
    <t>PRAN Potato Cracker</t>
  </si>
  <si>
    <t>CB24405_May26</t>
  </si>
  <si>
    <t>CW34113_May26</t>
  </si>
  <si>
    <t>CB21676_Apr26</t>
  </si>
  <si>
    <t>CW34120_May26</t>
  </si>
  <si>
    <t>PRAN Ball Gum</t>
  </si>
  <si>
    <t>CB24744_May26</t>
  </si>
  <si>
    <t>CW34324_May26</t>
  </si>
  <si>
    <t>Sundrop Junior Fruit Drink</t>
  </si>
  <si>
    <t>CB20654_Apr26</t>
  </si>
  <si>
    <t>CW34340_May26</t>
  </si>
  <si>
    <t>PRAN Pudding</t>
  </si>
  <si>
    <t>CB21931_Apr26</t>
  </si>
  <si>
    <t>CW34509_May26</t>
  </si>
  <si>
    <t>CB23978_May26</t>
  </si>
  <si>
    <t>CW34671_May26</t>
  </si>
  <si>
    <t>CB25041_May26</t>
  </si>
  <si>
    <t>CW35000_May26</t>
  </si>
  <si>
    <t>Bisk Club Dry Cake</t>
  </si>
  <si>
    <t>CB24845_May26</t>
  </si>
  <si>
    <t>CW34962_May26</t>
  </si>
  <si>
    <t>Emon Vai</t>
  </si>
  <si>
    <t>CB24997_May26</t>
  </si>
  <si>
    <t>CW35097_May26</t>
  </si>
  <si>
    <t>CB25130_May26</t>
  </si>
  <si>
    <t>CW35187_May26</t>
  </si>
  <si>
    <t>CW35279_Jun26</t>
  </si>
  <si>
    <t>CB25224_May26</t>
  </si>
  <si>
    <t>CW35374_Jun26</t>
  </si>
  <si>
    <t>CTN-(SRP)format-of-Cardinal-Noodles(Korean)</t>
  </si>
  <si>
    <t>Needed</t>
  </si>
  <si>
    <t>Layout/Dieline Making</t>
  </si>
  <si>
    <t>In Review</t>
  </si>
  <si>
    <t>Rugby-Ball</t>
  </si>
  <si>
    <t>Mifta Apu</t>
  </si>
  <si>
    <t>CB35378_Jun26</t>
  </si>
  <si>
    <t>CW35442_Jun26</t>
  </si>
  <si>
    <t>PRAN Basic Spice of Herbs and seasoning items in master food jar under PRAN for KSA</t>
  </si>
  <si>
    <t>CB24308_May26</t>
  </si>
  <si>
    <t>CW35559</t>
  </si>
  <si>
    <t>FIFA Fixture Vision Emporium Leaflet</t>
  </si>
  <si>
    <t>RFL - Vision</t>
  </si>
  <si>
    <t>CW35438_Jun26</t>
  </si>
  <si>
    <t>CW35479_Jun26</t>
  </si>
  <si>
    <t>Pack Design for Belgio Cocomelt, PINGO Saltiana, PRAN Multigrain Bar</t>
  </si>
  <si>
    <t>Nasif Vai</t>
  </si>
  <si>
    <t>CB35354_Jun26</t>
  </si>
  <si>
    <t>CW37509_Jun26</t>
  </si>
  <si>
    <t>PRAN Juice 1000ml</t>
  </si>
  <si>
    <t>CB35608_Jun26</t>
  </si>
  <si>
    <t>CW35628_Jun26</t>
  </si>
  <si>
    <t>Treat Choco Choco Assorted Paste 8g X 80pcs Sticker</t>
  </si>
  <si>
    <t>CB22598_Apr26</t>
  </si>
  <si>
    <t>CW35637_Jun26</t>
  </si>
  <si>
    <t xml:space="preserve">Coffee Chocolate Bar 15g Foil </t>
  </si>
  <si>
    <t>CB24607_May26</t>
  </si>
  <si>
    <t>CW35837_Jun26</t>
  </si>
  <si>
    <t>Coffee Chocolate Bar 15g x 24 Pcs ATC Box</t>
  </si>
  <si>
    <t>PRAN Chanachur 150g for KSA</t>
  </si>
  <si>
    <t>CB35363_Jun26</t>
  </si>
  <si>
    <t>CW35839_Jun26</t>
  </si>
  <si>
    <t>Indya Puffed Rice for Australia (500gm &amp; 1Kg)</t>
  </si>
  <si>
    <t>BML</t>
  </si>
  <si>
    <t>CB35689_Jun26</t>
  </si>
  <si>
    <t>CW35978_Jun26</t>
  </si>
  <si>
    <t>PRAN Twist Drink for India</t>
  </si>
  <si>
    <t>CW35989_Jun26</t>
  </si>
  <si>
    <t>Kofi Mate 350</t>
  </si>
  <si>
    <t>CB22650_Apr26</t>
  </si>
  <si>
    <t>CW36008_Jun26</t>
  </si>
  <si>
    <t xml:space="preserve">Pran Mango Flavored Drink 250ml Philippines </t>
  </si>
  <si>
    <t>CB35404_Jun26</t>
  </si>
  <si>
    <t>CW36223_Jun26</t>
  </si>
  <si>
    <t>Bro Puffy Mini Marshmallow Blister Pack</t>
  </si>
  <si>
    <t>CB36062_Jun26</t>
  </si>
  <si>
    <t>CW36246_Jun26</t>
  </si>
  <si>
    <t>Bro Puffy Mini Marshmallow Jar label</t>
  </si>
  <si>
    <t>TVS MOTOR BIKES Dangler Output File</t>
  </si>
  <si>
    <t>CB36150_Jun26</t>
  </si>
  <si>
    <t>CW36354_Jun26</t>
  </si>
  <si>
    <t>PRAN Robo Drink Litchi, Orange, Strawberry 50ml &amp; 50ml X 24 Pcs</t>
  </si>
  <si>
    <t>CB36147_Jun26</t>
  </si>
  <si>
    <t>CW36406_Jun26</t>
  </si>
  <si>
    <t>Pran Kala Bhuna Masala 50g for UK &amp; EU Common</t>
  </si>
  <si>
    <t>CB25053_May26</t>
  </si>
  <si>
    <t>CW36495_Jun26</t>
  </si>
  <si>
    <t>Pran jelly candy jar label revise design for Philippines</t>
  </si>
  <si>
    <t>CB25046_May26</t>
  </si>
  <si>
    <t>CW36653_Jun26</t>
  </si>
  <si>
    <t>PRAN Ring Chips</t>
  </si>
  <si>
    <t>CB25121_May26</t>
  </si>
  <si>
    <t>CW36789_Jun26</t>
  </si>
  <si>
    <t>The Chef Vinegar 475ml Label (Africa)</t>
  </si>
  <si>
    <t>CB36753_Jun26</t>
  </si>
  <si>
    <t>CW37036_Jun26</t>
  </si>
  <si>
    <t>Kofi Mate 350g &amp; 6g</t>
  </si>
  <si>
    <t>CB22650</t>
  </si>
  <si>
    <t>Europa Dry Cake_290g_ATC_for Local</t>
  </si>
  <si>
    <t>CB24845</t>
  </si>
  <si>
    <t xml:space="preserve">Mr. Noodles Spaghetti 80g </t>
  </si>
  <si>
    <t>CB18738</t>
  </si>
  <si>
    <t>CW37207_Jun26</t>
  </si>
  <si>
    <t>Lolly King Vampire Blood Gum 150g Pack</t>
  </si>
  <si>
    <t>CB36838_Jun26</t>
  </si>
  <si>
    <t>CW37229_Jun26</t>
  </si>
  <si>
    <t>Tasty Treat Dangler Output</t>
  </si>
  <si>
    <t>CB36667_Jun26</t>
  </si>
  <si>
    <t>CW37256_Jun26</t>
  </si>
  <si>
    <t>Tasty Treat Sandwich ATC output</t>
  </si>
  <si>
    <t>CB21316_Apr26</t>
  </si>
  <si>
    <t>CW37302_Jun26</t>
  </si>
  <si>
    <t>Tasty Treat Sandwich ATC Die making</t>
  </si>
  <si>
    <t>Lolly King Vampire Blood 4g Pack New Zealand</t>
  </si>
  <si>
    <t>CW37315_Jun26</t>
  </si>
  <si>
    <t>Bavan Mustard Oil (USA)</t>
  </si>
  <si>
    <t>CB37085</t>
  </si>
  <si>
    <t>CW37444_Jun26</t>
  </si>
  <si>
    <t xml:space="preserve"> </t>
  </si>
  <si>
    <t>CB37083_RFL Tubewell Flyar</t>
  </si>
  <si>
    <t>CB37083</t>
  </si>
  <si>
    <t>Fruitfil Chewing Gum Strawberry Flavour 12g Pouch Pack (Malaysia)</t>
  </si>
  <si>
    <t>CB37168</t>
  </si>
  <si>
    <t>CW37546_Jun26</t>
  </si>
  <si>
    <t>Xcel Mint Chewing Gum 120g Pouch Pack (Malaysia)</t>
  </si>
  <si>
    <t>Pran Tea Biscuit 100g for Oman</t>
  </si>
  <si>
    <t>CB37041</t>
  </si>
  <si>
    <t>CW37551_Jun26</t>
  </si>
  <si>
    <t>Pran Mustard Oil for EU Common</t>
  </si>
  <si>
    <t>CB37219</t>
  </si>
  <si>
    <t>CW38670_Jun26</t>
  </si>
  <si>
    <t>Family Festival Box Design_output</t>
  </si>
  <si>
    <t>Maksuda Apu</t>
  </si>
  <si>
    <t>CB23255_May26</t>
  </si>
  <si>
    <t>CW37661_Jun26</t>
  </si>
  <si>
    <t>PRAN Garam Masala 50g_USA &amp; Europe</t>
  </si>
  <si>
    <t>CB37514_Jun26</t>
  </si>
  <si>
    <t>CW38059_Jun26</t>
  </si>
  <si>
    <t>Veggie Crisp 240g ATC box for USA</t>
  </si>
  <si>
    <t>CB37604_Jun26</t>
  </si>
  <si>
    <t>CW38368_Jun26</t>
  </si>
  <si>
    <t>Soft Bite Premium Round ATC Box</t>
  </si>
  <si>
    <t>CB36732_Jun26</t>
  </si>
  <si>
    <t>CW39648_Jul26</t>
  </si>
  <si>
    <t>Tasty Treat Soan Papdi 25g, 200g &amp; 500g Foil Pack.</t>
  </si>
  <si>
    <t>CB36041_Jun26</t>
  </si>
  <si>
    <t>CW38852_Jul26</t>
  </si>
  <si>
    <t>Pran Spice Powder 100g / 500g / 1kg Foil for Singapore</t>
  </si>
  <si>
    <t>CB37300_Jun26</t>
  </si>
  <si>
    <t>CW39073_Jul26</t>
  </si>
  <si>
    <t>CB38624_Jul26</t>
  </si>
  <si>
    <t>CW39309_Jul26</t>
  </si>
  <si>
    <t>Pran Noodles Ramen 85g for KSA</t>
  </si>
  <si>
    <t>CB36692_Jun26</t>
  </si>
  <si>
    <t>CW39754_Jul26</t>
  </si>
  <si>
    <t>Desime Noodles Single &amp; Family Pack_USA &amp; Europe</t>
  </si>
  <si>
    <t>CB36681_Jun26</t>
  </si>
  <si>
    <t>CW39419_Jul26</t>
  </si>
  <si>
    <t>CB37137_Mr. Noodles Thai Exotic 85g (Philipine)</t>
  </si>
  <si>
    <t>CB37137</t>
  </si>
  <si>
    <t>Pran Vapa Pitha 400g ATC</t>
  </si>
  <si>
    <t>CB38723_Jul26</t>
  </si>
  <si>
    <t>CW39657_Jul26</t>
  </si>
  <si>
    <t>Vapa Pitha 4 Pcs ATC</t>
  </si>
  <si>
    <t xml:space="preserve">PRAN Lolli Pop Assorted Fruit Flavoured 9g x 36 Pcs Jar Label </t>
  </si>
  <si>
    <t>CB38746</t>
  </si>
  <si>
    <t>PRAN Whirly Lollipops 15g x 28 Pcs ATC Box.</t>
  </si>
  <si>
    <t>Lolli king Assorted Eclair-300 gm_ATC</t>
  </si>
  <si>
    <t>CB22746</t>
  </si>
  <si>
    <t>Logo Design</t>
  </si>
  <si>
    <t>PRAN Fruitfun Drinks 1 Litre (TP)</t>
  </si>
  <si>
    <t>CB38971_Jul26</t>
  </si>
  <si>
    <t>UAE</t>
  </si>
  <si>
    <t>Yeasin Vai</t>
  </si>
  <si>
    <t>CB6383_Jul25</t>
  </si>
  <si>
    <t>CW9439_Jul25</t>
  </si>
  <si>
    <t>CB10374_Oct25</t>
  </si>
  <si>
    <t>CW13730_Oct25</t>
  </si>
  <si>
    <t>CB10412_Oct25</t>
  </si>
  <si>
    <t>CW13782_Oct25</t>
  </si>
  <si>
    <t>Yummy Choco Chips</t>
  </si>
  <si>
    <t>CB10104_Oct25</t>
  </si>
  <si>
    <t>CW15242_Nov25</t>
  </si>
  <si>
    <t>Yummy Biscuits</t>
  </si>
  <si>
    <t>CB10110_Oct25</t>
  </si>
  <si>
    <t>CW15240_Nov25</t>
  </si>
  <si>
    <t>CB10715_Oct25</t>
  </si>
  <si>
    <t>CW15723_Nov25</t>
  </si>
  <si>
    <t>Common - All PAL</t>
  </si>
  <si>
    <t>Farjana Apu</t>
  </si>
  <si>
    <t>CB11548_Nov25</t>
  </si>
  <si>
    <t>Document Text Correction</t>
  </si>
  <si>
    <t>CW15841_Nov25</t>
  </si>
  <si>
    <t>CB10636_Oct25</t>
  </si>
  <si>
    <t>CW16357_Nov25</t>
  </si>
  <si>
    <t>SCT - Common</t>
  </si>
  <si>
    <t>AKC</t>
  </si>
  <si>
    <t>CB12023_Nov25</t>
  </si>
  <si>
    <t>CW16772_Nov25</t>
  </si>
  <si>
    <t>CW16769_Nov25</t>
  </si>
  <si>
    <t>CB12148_Nov25</t>
  </si>
  <si>
    <t>CW17107_Nov25</t>
  </si>
  <si>
    <t>Bisk Club Hatrick Sandwich Cream Biscuits</t>
  </si>
  <si>
    <t>CB11919_Nov25</t>
  </si>
  <si>
    <t>CW17110_Nov25</t>
  </si>
  <si>
    <t>CB12358_Nov25</t>
  </si>
  <si>
    <t>CW17371_Nov25</t>
  </si>
  <si>
    <t>CB12284_Nov25</t>
  </si>
  <si>
    <t>CW17372_Nov25</t>
  </si>
  <si>
    <t>CB12437_Nov25</t>
  </si>
  <si>
    <t>CW17755_Nov25</t>
  </si>
  <si>
    <t>CB12723_Dec25</t>
  </si>
  <si>
    <t>CW18124_Dec25</t>
  </si>
  <si>
    <t>CB12694_Nov25</t>
  </si>
  <si>
    <t>CW18279_Dec25</t>
  </si>
  <si>
    <t>Naples Mayonnaise</t>
  </si>
  <si>
    <t>Rafid Vai</t>
  </si>
  <si>
    <t>CB12603_Nov25</t>
  </si>
  <si>
    <t>CW18296_Dec25</t>
  </si>
  <si>
    <t>CB12738_Dec25</t>
  </si>
  <si>
    <t>CW18414_Dec25</t>
  </si>
  <si>
    <t>CB13016_Dec25</t>
  </si>
  <si>
    <t>CW18494_Dec25</t>
  </si>
  <si>
    <t>CB12455_Nov25</t>
  </si>
  <si>
    <t>CW18502_Dec25</t>
  </si>
  <si>
    <t>Potata Biscuit</t>
  </si>
  <si>
    <t>CW18642_Dec25</t>
  </si>
  <si>
    <t>CB12879_Dec25</t>
  </si>
  <si>
    <t>CW18880_Dec25</t>
  </si>
  <si>
    <t>CB13269_Dec25</t>
  </si>
  <si>
    <t>CW19353_Dec25</t>
  </si>
  <si>
    <t>CB13106_Dec25</t>
  </si>
  <si>
    <t>CW19352_Dec25</t>
  </si>
  <si>
    <t>Common - All BBL</t>
  </si>
  <si>
    <t>CB13162_Dec25</t>
  </si>
  <si>
    <t>CW19727_Dec25</t>
  </si>
  <si>
    <t>CB11569_Nov25</t>
  </si>
  <si>
    <t>CW19842_Dec25</t>
  </si>
  <si>
    <t>Sixers</t>
  </si>
  <si>
    <t>CB13873_Dec25</t>
  </si>
  <si>
    <t>CW19846_Dec25</t>
  </si>
  <si>
    <t>CB13841_Dec25</t>
  </si>
  <si>
    <t>CW19993_Dec25</t>
  </si>
  <si>
    <t>CW20024_Dec25</t>
  </si>
  <si>
    <t>ROADBEAT- Motorcycle Tyre</t>
  </si>
  <si>
    <t>RFL Tyre</t>
  </si>
  <si>
    <t>Rizvi Vai</t>
  </si>
  <si>
    <t>CB13652_Dec25</t>
  </si>
  <si>
    <t>CW20110_Dec25</t>
  </si>
  <si>
    <t>Buddy Chew Candy</t>
  </si>
  <si>
    <t>CB13551_Dec25</t>
  </si>
  <si>
    <t>CW20159_Dec25</t>
  </si>
  <si>
    <t>Bisk Club Cookies</t>
  </si>
  <si>
    <t>CB13445_Dec25</t>
  </si>
  <si>
    <t>CW20351_Dec25</t>
  </si>
  <si>
    <t>CB14626_Dec25</t>
  </si>
  <si>
    <t>CW20489_Dec25</t>
  </si>
  <si>
    <t>CB13056_Dec25</t>
  </si>
  <si>
    <t>CW20915_Jan26</t>
  </si>
  <si>
    <t>CB14898_Jan26</t>
  </si>
  <si>
    <t>CW21085_Jan26</t>
  </si>
  <si>
    <t>CB13687_Dec25</t>
  </si>
  <si>
    <t>CW21110_Jan26</t>
  </si>
  <si>
    <t>CB14645_Dec25</t>
  </si>
  <si>
    <t>CW21155_Jan26</t>
  </si>
  <si>
    <t>CB14812_Jan26</t>
  </si>
  <si>
    <t>CW21173_Jan26</t>
  </si>
  <si>
    <t>CB14464_Dec25</t>
  </si>
  <si>
    <t>CW21224_Jan26</t>
  </si>
  <si>
    <t>CB14579_Dec25</t>
  </si>
  <si>
    <t>CW21334_Jan26</t>
  </si>
  <si>
    <t>Sakib Vai</t>
  </si>
  <si>
    <t>CB14999_Jan26</t>
  </si>
  <si>
    <t>CW21306_Jan26</t>
  </si>
  <si>
    <t>CB14562_Dec25</t>
  </si>
  <si>
    <t>CW21522_Jan26</t>
  </si>
  <si>
    <t>CB13833_Dec25</t>
  </si>
  <si>
    <t>CW21660_Jan26</t>
  </si>
  <si>
    <t>CB13979_Dec25</t>
  </si>
  <si>
    <t>CW21764_Jan26</t>
  </si>
  <si>
    <t>CB14578_Dec25</t>
  </si>
  <si>
    <t>CW21798_Jan26</t>
  </si>
  <si>
    <t>Hurray Jelly Drink</t>
  </si>
  <si>
    <t>CB13581_Dec25</t>
  </si>
  <si>
    <t>CW21868_Jan26</t>
  </si>
  <si>
    <t>CB14978_Jan26</t>
  </si>
  <si>
    <t>CW21882_Jan26</t>
  </si>
  <si>
    <t>Fruto candy</t>
  </si>
  <si>
    <t>CB13600_Dec25</t>
  </si>
  <si>
    <t>CW21866_Jan26</t>
  </si>
  <si>
    <t>Waliul Vai</t>
  </si>
  <si>
    <t>CB15562_Jan26</t>
  </si>
  <si>
    <t>CW21981_Jan26</t>
  </si>
  <si>
    <t>Kuwait</t>
  </si>
  <si>
    <t>CB15317_Jan26</t>
  </si>
  <si>
    <t>CW22008_Jan26</t>
  </si>
  <si>
    <t>CB15262_Jan26</t>
  </si>
  <si>
    <t>CW22058_Jan26</t>
  </si>
  <si>
    <t>CB13124_Dec25</t>
  </si>
  <si>
    <t>CW22100_Jan26</t>
  </si>
  <si>
    <t>CB15358_Jan26</t>
  </si>
  <si>
    <t>CW22064_Jan26</t>
  </si>
  <si>
    <t>CB13537_Dec25</t>
  </si>
  <si>
    <t>CW22034_Jan26</t>
  </si>
  <si>
    <t>CW22217_Jan26</t>
  </si>
  <si>
    <t>CW22198_Jan26</t>
  </si>
  <si>
    <t>CB15705_Jan26</t>
  </si>
  <si>
    <t>CW22184_Jan26</t>
  </si>
  <si>
    <t>CB14430_Dec25</t>
  </si>
  <si>
    <t>CW22314_Jan26</t>
  </si>
  <si>
    <t>Chao Chao Lollipop</t>
  </si>
  <si>
    <t>CB15804_Jan26</t>
  </si>
  <si>
    <t>CW22453_Jan26</t>
  </si>
  <si>
    <t>CB14287_Dec25</t>
  </si>
  <si>
    <t>CW22389_Jan26</t>
  </si>
  <si>
    <t>Blaze Switch &amp; Accessories</t>
  </si>
  <si>
    <t>RPLE</t>
  </si>
  <si>
    <t>Tanjid Vai</t>
  </si>
  <si>
    <t>CB15684_Jan26</t>
  </si>
  <si>
    <t>CW22399_Jan26</t>
  </si>
  <si>
    <t>CB16018_Jan26</t>
  </si>
  <si>
    <t>CW22533_Jan26</t>
  </si>
  <si>
    <t>CW22514_Jan26</t>
  </si>
  <si>
    <t>CB13730_Dec25</t>
  </si>
  <si>
    <t>CW22703_Jan26</t>
  </si>
  <si>
    <t>CB16064_Jan26</t>
  </si>
  <si>
    <t>CW23010_Jan26</t>
  </si>
  <si>
    <t>CB15150_Jan26</t>
  </si>
  <si>
    <t>CW23005_Jan26</t>
  </si>
  <si>
    <t>CB16079_Jan26</t>
  </si>
  <si>
    <t>CW22963_Jan26</t>
  </si>
  <si>
    <t>PRAN Yogurt</t>
  </si>
  <si>
    <t>CB16180_Jan26</t>
  </si>
  <si>
    <t>CW23053_Jan26</t>
  </si>
  <si>
    <t>Power</t>
  </si>
  <si>
    <t>CB16461_Jan26</t>
  </si>
  <si>
    <t>CW23176_Jan26</t>
  </si>
  <si>
    <t>PRAN Fruit Drinks (TP)</t>
  </si>
  <si>
    <t>CB16471_Jan26</t>
  </si>
  <si>
    <t>CW23228_Jan26</t>
  </si>
  <si>
    <t>Pran Choice Sweet &amp; Salty Biscuits</t>
  </si>
  <si>
    <t>CB16476_Jan26</t>
  </si>
  <si>
    <t>CW23251_Jan26</t>
  </si>
  <si>
    <t>CW23304_Jan26</t>
  </si>
  <si>
    <t>PRAN Twister</t>
  </si>
  <si>
    <t>CB16659_Jan26</t>
  </si>
  <si>
    <t>CW23499_Jan26</t>
  </si>
  <si>
    <t>Wonder Muffin</t>
  </si>
  <si>
    <t>CB16603_Jan26</t>
  </si>
  <si>
    <t>CW23504_Jan26</t>
  </si>
  <si>
    <t>PRAN Chewy</t>
  </si>
  <si>
    <t>CB16692_Jan26</t>
  </si>
  <si>
    <t>CW23517_Jan26</t>
  </si>
  <si>
    <t>PRAN Spicy Chanachur</t>
  </si>
  <si>
    <t>CB16715_Jan26</t>
  </si>
  <si>
    <t>CW23644_Jan26</t>
  </si>
  <si>
    <t>CB16695_Jan26</t>
  </si>
  <si>
    <t>CW23520_Jan26</t>
  </si>
  <si>
    <t>Buddy Choco Choco</t>
  </si>
  <si>
    <t>Philippines</t>
  </si>
  <si>
    <t>CB16632_Jan26</t>
  </si>
  <si>
    <t>CW23901_Feb26</t>
  </si>
  <si>
    <t>Pran Potata</t>
  </si>
  <si>
    <t>Borhan Vaiya</t>
  </si>
  <si>
    <t>CB16755_Jan26</t>
  </si>
  <si>
    <t>CW23891_Feb26</t>
  </si>
  <si>
    <t>CB16793_Jan26</t>
  </si>
  <si>
    <t>CW23893_Feb26</t>
  </si>
  <si>
    <t>Common - All PCL</t>
  </si>
  <si>
    <t>CB16646_Jan26</t>
  </si>
  <si>
    <t>CW23896_Feb26</t>
  </si>
  <si>
    <t>PRAN Mr. Mango</t>
  </si>
  <si>
    <t>CB16734_Jan26</t>
  </si>
  <si>
    <t>CW23880_Feb26</t>
  </si>
  <si>
    <t>CB16652_Jan26</t>
  </si>
  <si>
    <t>CW23900_Feb26</t>
  </si>
  <si>
    <t>CB16504_Jan26</t>
  </si>
  <si>
    <t>CW23902_Feb26</t>
  </si>
  <si>
    <t>CB16861_Feb26</t>
  </si>
  <si>
    <t>CW23935_Feb26</t>
  </si>
  <si>
    <t>Activo</t>
  </si>
  <si>
    <t>Reza Vai</t>
  </si>
  <si>
    <t>CB16640_Jan26</t>
  </si>
  <si>
    <t>CW23933_Feb26</t>
  </si>
  <si>
    <t>CW23874_Feb26</t>
  </si>
  <si>
    <t>CB16765_Jan26</t>
  </si>
  <si>
    <t>CW23911_Feb26</t>
  </si>
  <si>
    <t>PRAN Laban</t>
  </si>
  <si>
    <t>CB16238_Jan26</t>
  </si>
  <si>
    <t>CW24084_Feb26</t>
  </si>
  <si>
    <t>CB16926_Feb26</t>
  </si>
  <si>
    <t>CW24097_Feb26</t>
  </si>
  <si>
    <t>CW24073_Feb26</t>
  </si>
  <si>
    <t>CB16124_Jan26</t>
  </si>
  <si>
    <t>CW24040_Feb26</t>
  </si>
  <si>
    <t>RFL Gas Stove</t>
  </si>
  <si>
    <t>Humayun Vaiya</t>
  </si>
  <si>
    <t>CB15378_Jan26</t>
  </si>
  <si>
    <t>CW24202_Feb26</t>
  </si>
  <si>
    <t>SARA Pizza</t>
  </si>
  <si>
    <t>Sajid Vai</t>
  </si>
  <si>
    <t>CB16113_Jan26</t>
  </si>
  <si>
    <t>CW24187_Feb26</t>
  </si>
  <si>
    <t>CB17006_Feb26</t>
  </si>
  <si>
    <t>CW24165_Feb26</t>
  </si>
  <si>
    <t>PRAN Matha</t>
  </si>
  <si>
    <t>CB16747_Jan26</t>
  </si>
  <si>
    <t>CW24263_Feb26</t>
  </si>
  <si>
    <t>CB16044_Jan26</t>
  </si>
  <si>
    <t>CW24342_Feb26</t>
  </si>
  <si>
    <t>CB16874_Feb26</t>
  </si>
  <si>
    <t>CW24357_Feb26</t>
  </si>
  <si>
    <t>CB16796_Jan26</t>
  </si>
  <si>
    <t>CW24487_Feb26</t>
  </si>
  <si>
    <t>Muntasir Vai</t>
  </si>
  <si>
    <t>CB17143_Feb26</t>
  </si>
  <si>
    <t>CW24610_Feb26</t>
  </si>
  <si>
    <t>RYDO Electric Scooter</t>
  </si>
  <si>
    <t>RFL-RYDO</t>
  </si>
  <si>
    <t>CB17051_Feb26</t>
  </si>
  <si>
    <t>CW24809_Feb26</t>
  </si>
  <si>
    <t>PRAN Sauce</t>
  </si>
  <si>
    <t>CB17477_Feb26</t>
  </si>
  <si>
    <t>CW24901_Feb26</t>
  </si>
  <si>
    <t>CB17237_Feb26</t>
  </si>
  <si>
    <t>CW24994_Feb26</t>
  </si>
  <si>
    <t>Decent Rickshaw Van Tyre &amp; Tube</t>
  </si>
  <si>
    <t>RFL Bike</t>
  </si>
  <si>
    <t>CB17483_Feb26</t>
  </si>
  <si>
    <t>CW25007_Feb26</t>
  </si>
  <si>
    <t>PRAN Bubble Gum</t>
  </si>
  <si>
    <t>CB17290_Feb26</t>
  </si>
  <si>
    <t>CW25117_Feb26</t>
  </si>
  <si>
    <t>CB14835_Jan26</t>
  </si>
  <si>
    <t>CW25212_Feb26</t>
  </si>
  <si>
    <t>CB17934_Feb26</t>
  </si>
  <si>
    <t>CW25316_Feb26</t>
  </si>
  <si>
    <t>CB17247_Feb26</t>
  </si>
  <si>
    <t>CW25357_Feb26</t>
  </si>
  <si>
    <t>CB17806_Feb26</t>
  </si>
  <si>
    <t>CW25381_Feb26</t>
  </si>
  <si>
    <t>CB17686_Feb26</t>
  </si>
  <si>
    <t>CW25497_Feb26</t>
  </si>
  <si>
    <t>CB15103_Jan26</t>
  </si>
  <si>
    <t>CW25575_Feb26</t>
  </si>
  <si>
    <t>Bizli Cables (Domestic)</t>
  </si>
  <si>
    <t>Cables</t>
  </si>
  <si>
    <t>Muntakim Vai</t>
  </si>
  <si>
    <t>CB17572_Feb26</t>
  </si>
  <si>
    <t>CW25852_Feb26</t>
  </si>
  <si>
    <t>Shero Wafer Cambodia</t>
  </si>
  <si>
    <t>CB18502_Feb26</t>
  </si>
  <si>
    <t>CW26267_Feb26</t>
  </si>
  <si>
    <t>Bisk Club Nice Biscuits</t>
  </si>
  <si>
    <t>CB18140_Feb26</t>
  </si>
  <si>
    <t>CW26268_Feb26</t>
  </si>
  <si>
    <t>CB18409_Feb26</t>
  </si>
  <si>
    <t>CW26461_Mar26</t>
  </si>
  <si>
    <t>CB15406_Jan26</t>
  </si>
  <si>
    <t>CW26447_Mar26</t>
  </si>
  <si>
    <t>CB18749_Mar26</t>
  </si>
  <si>
    <t>CW26539_Mar26</t>
  </si>
  <si>
    <t>Drinko Float-UAE</t>
  </si>
  <si>
    <t>CB18793_Mar26</t>
  </si>
  <si>
    <t>CW26551_Mar26</t>
  </si>
  <si>
    <t>CW26531_Mar26</t>
  </si>
  <si>
    <t>CB16843_Feb26</t>
  </si>
  <si>
    <t>CW26562_Mar26</t>
  </si>
  <si>
    <t>Xcel Gum</t>
  </si>
  <si>
    <t>CB18710_Mar26</t>
  </si>
  <si>
    <t>CW26571_Mar26</t>
  </si>
  <si>
    <t>CB14513_Dec25</t>
  </si>
  <si>
    <t>CW26686_Mar26</t>
  </si>
  <si>
    <t>CB18048_Feb26</t>
  </si>
  <si>
    <t>CW26689_Mar26</t>
  </si>
  <si>
    <t>CB18921_Mar26</t>
  </si>
  <si>
    <t>CW26681_Mar26</t>
  </si>
  <si>
    <t>CB18817_Mar26</t>
  </si>
  <si>
    <t>CW26679_Mar26</t>
  </si>
  <si>
    <t>CW26688_Mar26</t>
  </si>
  <si>
    <t>PRAN Litchi Drink</t>
  </si>
  <si>
    <t>Sahidul Vai</t>
  </si>
  <si>
    <t>CB18679_Mar26</t>
  </si>
  <si>
    <t>CW26766_Mar26</t>
  </si>
  <si>
    <t>Mango Roll</t>
  </si>
  <si>
    <t>CB18090_Feb26</t>
  </si>
  <si>
    <t>CW26772_Mar26</t>
  </si>
  <si>
    <t>PRAN Oh Cake</t>
  </si>
  <si>
    <t>CB18118_Feb26</t>
  </si>
  <si>
    <t>CW26835_Mar26</t>
  </si>
  <si>
    <t>CB12046_Nov25</t>
  </si>
  <si>
    <t>CW26918_Mar26</t>
  </si>
  <si>
    <t>Rainbow Paints</t>
  </si>
  <si>
    <t>Badhon Vai</t>
  </si>
  <si>
    <t>CB19175_Mar26</t>
  </si>
  <si>
    <t>CW26993_Mar26</t>
  </si>
  <si>
    <t>Soft Bite</t>
  </si>
  <si>
    <t>PSC</t>
  </si>
  <si>
    <t>CB19005_Mar26</t>
  </si>
  <si>
    <t>CW27042_Mar26</t>
  </si>
  <si>
    <t>Ray Detergent Powder</t>
  </si>
  <si>
    <t>CB18700_Mar26</t>
  </si>
  <si>
    <t>CW27175_Mar26</t>
  </si>
  <si>
    <t>CB19027_Mar26</t>
  </si>
  <si>
    <t>CW27134_Mar26</t>
  </si>
  <si>
    <t>CB17538_Feb26</t>
  </si>
  <si>
    <t>CW27139_Mar26</t>
  </si>
  <si>
    <t>CB18880_Mar26</t>
  </si>
  <si>
    <t>CW27228_Mar26</t>
  </si>
  <si>
    <t>CB17637_Feb26</t>
  </si>
  <si>
    <t>CW27222_Mar26</t>
  </si>
  <si>
    <t>CB18829_Mar26</t>
  </si>
  <si>
    <t>CW27215_Mar26</t>
  </si>
  <si>
    <t>CB19505_Mar26</t>
  </si>
  <si>
    <t>CW27334_Mar26</t>
  </si>
  <si>
    <t>CW27507_Mar26</t>
  </si>
  <si>
    <t>CB14967_Jan26</t>
  </si>
  <si>
    <t>CW27535_Mar26</t>
  </si>
  <si>
    <t>Sadman Vaiya</t>
  </si>
  <si>
    <t>CB19383_Mar26</t>
  </si>
  <si>
    <t>Carton Design</t>
  </si>
  <si>
    <t>CW27664_Mar26</t>
  </si>
  <si>
    <t>CB19602_Mar26</t>
  </si>
  <si>
    <t>CW27636_Mar26</t>
  </si>
  <si>
    <t>CB19532_Mar26</t>
  </si>
  <si>
    <t>CW27763_Mar26</t>
  </si>
  <si>
    <t>OLIVER LAYER CAKE</t>
  </si>
  <si>
    <t>CB19390_Mar26</t>
  </si>
  <si>
    <t>CW27753_Mar26</t>
  </si>
  <si>
    <t>CB19301_Mar26</t>
  </si>
  <si>
    <t>CW27764_Mar26</t>
  </si>
  <si>
    <t>Daily Fresh</t>
  </si>
  <si>
    <t>CB19087_Mar26</t>
  </si>
  <si>
    <t>CW27778_Mar26</t>
  </si>
  <si>
    <t>CB19849_Mar26</t>
  </si>
  <si>
    <t>CW27859_Mar26</t>
  </si>
  <si>
    <t>Iffat Apu</t>
  </si>
  <si>
    <t>CB20264_Mar26</t>
  </si>
  <si>
    <t>CW28322_Mar26</t>
  </si>
  <si>
    <t>CB20204_Mar26</t>
  </si>
  <si>
    <t>CW28352_Mar26</t>
  </si>
  <si>
    <t>CB20315_Mar26</t>
  </si>
  <si>
    <t>CW28495_Mar26</t>
  </si>
  <si>
    <t>PRAN Potata Biscuit</t>
  </si>
  <si>
    <t>CB20545_Mar26</t>
  </si>
  <si>
    <t>CW28795_Mar26</t>
  </si>
  <si>
    <t>CB18902_Mar26</t>
  </si>
  <si>
    <t>CW28937_Apr26</t>
  </si>
  <si>
    <t>CB20139_Mar26</t>
  </si>
  <si>
    <t>CW29076_Apr26</t>
  </si>
  <si>
    <t>CB20704_Apr26</t>
  </si>
  <si>
    <t>CW29520_Apr26</t>
  </si>
  <si>
    <t>CB13062_Dec25</t>
  </si>
  <si>
    <t>CW29771_Apr26</t>
  </si>
  <si>
    <t>CB20490_Mar26</t>
  </si>
  <si>
    <t>CW29880_Apr26</t>
  </si>
  <si>
    <t>CW29915_Apr26</t>
  </si>
  <si>
    <t>Icy Water Bottle</t>
  </si>
  <si>
    <t>Fahim Vai</t>
  </si>
  <si>
    <t>CB20816_Apr26</t>
  </si>
  <si>
    <t>CW30148_Apr26</t>
  </si>
  <si>
    <t>CB20789_Apr26</t>
  </si>
  <si>
    <t>CW30277_Apr26</t>
  </si>
  <si>
    <t>CW30257_Apr26</t>
  </si>
  <si>
    <t>CB20493_Apr26</t>
  </si>
  <si>
    <t>CW30430_Apr26</t>
  </si>
  <si>
    <t>Glass</t>
  </si>
  <si>
    <t>Apurba Vai</t>
  </si>
  <si>
    <t>CB21488_Apr26</t>
  </si>
  <si>
    <t>CW30478_Apr26</t>
  </si>
  <si>
    <t>CB17951_Feb26</t>
  </si>
  <si>
    <t>CW30829_Apr26</t>
  </si>
  <si>
    <t>CB21188_Apr26</t>
  </si>
  <si>
    <t>CW31317_Apr26</t>
  </si>
  <si>
    <t>Sabiha Spice Powder</t>
  </si>
  <si>
    <t>CB19948_Mar26</t>
  </si>
  <si>
    <t>CW31412_Apr26</t>
  </si>
  <si>
    <t>CB19953_Mar26</t>
  </si>
  <si>
    <t>CW31413_Apr26</t>
  </si>
  <si>
    <t>CB19199_Mar26</t>
  </si>
  <si>
    <t>CW31435_Apr26</t>
  </si>
  <si>
    <t>Chocobean</t>
  </si>
  <si>
    <t>Samantha Apu</t>
  </si>
  <si>
    <t>CB21735_Apr26</t>
  </si>
  <si>
    <t>CW31632_Apr26</t>
  </si>
  <si>
    <t>CB22513_Apr26</t>
  </si>
  <si>
    <t>CW31793_Apr26</t>
  </si>
  <si>
    <t>CB20938_Apr26</t>
  </si>
  <si>
    <t>CW31792_Apr26</t>
  </si>
  <si>
    <t>CB19795_Mar26</t>
  </si>
  <si>
    <t>CW32185_May26</t>
  </si>
  <si>
    <t>CB22490_Apr26</t>
  </si>
  <si>
    <t>CW32276_May26</t>
  </si>
  <si>
    <t>CB22209_Apr26</t>
  </si>
  <si>
    <t>CW32382_May26</t>
  </si>
  <si>
    <t>RFL Bathroom Fittings</t>
  </si>
  <si>
    <t>Jaheen Vai</t>
  </si>
  <si>
    <t>CB21825_Apr26</t>
  </si>
  <si>
    <t>CW32601_May26</t>
  </si>
  <si>
    <t>CB23429_May26</t>
  </si>
  <si>
    <t>CW32620_May26</t>
  </si>
  <si>
    <t>Falcon MS &amp; GI Pipe</t>
  </si>
  <si>
    <t>RPLM</t>
  </si>
  <si>
    <t>Farhan Labib Vai</t>
  </si>
  <si>
    <t>CB23165_May26</t>
  </si>
  <si>
    <t>CW32677_May26</t>
  </si>
  <si>
    <t>CB22557_Apr26</t>
  </si>
  <si>
    <t>CW32892_May26</t>
  </si>
  <si>
    <t>CB23323_May26</t>
  </si>
  <si>
    <t>CW32895_May26</t>
  </si>
  <si>
    <t>CB21524_Apr26</t>
  </si>
  <si>
    <t>CW33106_May26</t>
  </si>
  <si>
    <t>Jim &amp; Jolly Toys</t>
  </si>
  <si>
    <t>CB23655_May26</t>
  </si>
  <si>
    <t>CW33103_May26</t>
  </si>
  <si>
    <t>CB22785_Apr26</t>
  </si>
  <si>
    <t>CW33540_May26</t>
  </si>
  <si>
    <t>CB23067_May26</t>
  </si>
  <si>
    <t>CW33559_May26</t>
  </si>
  <si>
    <t>CW33562_May26</t>
  </si>
  <si>
    <t>CB21010_Apr26</t>
  </si>
  <si>
    <t>CW33536_May26</t>
  </si>
  <si>
    <t>PRAN Peanut Bar</t>
  </si>
  <si>
    <t>CB21953_Apr26</t>
  </si>
  <si>
    <t>CW33548_May26</t>
  </si>
  <si>
    <t>CB23850_May26</t>
  </si>
  <si>
    <t>CW33538_May26</t>
  </si>
  <si>
    <t>CB22677_Apr26</t>
  </si>
  <si>
    <t>CW33533_May26</t>
  </si>
  <si>
    <t>CB23329_May26</t>
  </si>
  <si>
    <t>CW33554_May26</t>
  </si>
  <si>
    <t>Staysafe Sanitary Napkin</t>
  </si>
  <si>
    <t>CB19028_Mar26</t>
  </si>
  <si>
    <t>CW33633_May26</t>
  </si>
  <si>
    <t>CB24428_May26</t>
  </si>
  <si>
    <t>CW33737_May26</t>
  </si>
  <si>
    <t>CB24385_May26</t>
  </si>
  <si>
    <t>CW33890_May26</t>
  </si>
  <si>
    <t>CB22953_May26</t>
  </si>
  <si>
    <t>CW33880_May26</t>
  </si>
  <si>
    <t>CB20745_Apr26</t>
  </si>
  <si>
    <t>CW34155_May26</t>
  </si>
  <si>
    <t>CB22593_Apr26</t>
  </si>
  <si>
    <t>CW34263_May26</t>
  </si>
  <si>
    <t>CB24328_May26</t>
  </si>
  <si>
    <t>CW34508_May26</t>
  </si>
  <si>
    <t>CB24865_May26</t>
  </si>
  <si>
    <t>CW34482_May26</t>
  </si>
  <si>
    <t>Drinkit Water Purifier</t>
  </si>
  <si>
    <t>CB24086_May26</t>
  </si>
  <si>
    <t>CW34989_May26</t>
  </si>
  <si>
    <t>RFL Pipe &amp; Fittings</t>
  </si>
  <si>
    <t>CB25044_May26</t>
  </si>
  <si>
    <t>CW34911_May26</t>
  </si>
  <si>
    <t>PRAN Jelly Sip Drinks</t>
  </si>
  <si>
    <t>CB24548_May26</t>
  </si>
  <si>
    <t>CW35006_May26</t>
  </si>
  <si>
    <t>CB25095_May26</t>
  </si>
  <si>
    <t>CW35102_May26</t>
  </si>
  <si>
    <t>CB25179_May26</t>
  </si>
  <si>
    <t>CW35275_Jun26</t>
  </si>
  <si>
    <t>Dangler Design for showroom</t>
  </si>
  <si>
    <t>Tamim_RFL Brand</t>
  </si>
  <si>
    <t>CB24794_May26</t>
  </si>
  <si>
    <t>CW35453_Jun26</t>
  </si>
  <si>
    <t>GOOD LUCK Tape Dispenser Inner Box Packaging Design</t>
  </si>
  <si>
    <t>Nuzhat_RFL Brand</t>
  </si>
  <si>
    <t>CB21664_Apr26</t>
  </si>
  <si>
    <t>CW35461_Jun26</t>
  </si>
  <si>
    <t>TREAT COCO CHOCO 30G x 20Pcs for Philippines</t>
  </si>
  <si>
    <t>CB35367_Jun26</t>
  </si>
  <si>
    <t>CW35476_Jun26</t>
  </si>
  <si>
    <t>Packet design for Plastic check valve</t>
  </si>
  <si>
    <t>RMIL</t>
  </si>
  <si>
    <t>CB22706_Apr26</t>
  </si>
  <si>
    <t>CW35540_Jun26</t>
  </si>
  <si>
    <t>Mama creamy crunch wafer 40g</t>
  </si>
  <si>
    <t>CB22830_Apr26</t>
  </si>
  <si>
    <t>CW35560_Jun26</t>
  </si>
  <si>
    <t>Need to Redesign a Flyer</t>
  </si>
  <si>
    <t>CB25169_May26</t>
  </si>
  <si>
    <t>CW35808_Jun26</t>
  </si>
  <si>
    <t>Indya Jelly Fruits 18g x 75pcs Jar Label</t>
  </si>
  <si>
    <t>CB35705_Jun26</t>
  </si>
  <si>
    <t>CW35832_Jun26</t>
  </si>
  <si>
    <t>Support uPVC Ceiling Panel</t>
  </si>
  <si>
    <t>BBML</t>
  </si>
  <si>
    <t>Shehab_RFL</t>
  </si>
  <si>
    <t>CB23778_May26</t>
  </si>
  <si>
    <t>CW35843_Jun26</t>
  </si>
  <si>
    <t>CW35960_Jun26</t>
  </si>
  <si>
    <t>CW35962_Jun26</t>
  </si>
  <si>
    <t>CW35964_Jun26</t>
  </si>
  <si>
    <t>CW35967_Jun26</t>
  </si>
  <si>
    <t>Rusana Dry Cake UK</t>
  </si>
  <si>
    <t>CB24495_May26</t>
  </si>
  <si>
    <t>CW33863_May26</t>
  </si>
  <si>
    <t>Sabiha Hanger Design</t>
  </si>
  <si>
    <t>CW36226_Jun26</t>
  </si>
  <si>
    <t>PRAN Jelly Powder</t>
  </si>
  <si>
    <t>CB25241_Jun26</t>
  </si>
  <si>
    <t>CW36247_Jun26</t>
  </si>
  <si>
    <t>Sheikh Khan</t>
  </si>
  <si>
    <t>CB24835_May26</t>
  </si>
  <si>
    <t>CW36905_Jun26</t>
  </si>
  <si>
    <t>CB21839_Apr26</t>
  </si>
  <si>
    <t>CW36326_Jun26</t>
  </si>
  <si>
    <t xml:space="preserve">Toys Label, sticker, tag design </t>
  </si>
  <si>
    <t>CB36182_Jun26</t>
  </si>
  <si>
    <t>CW36352_Jun26</t>
  </si>
  <si>
    <t>Treat Cappuchino Candy for Vietnam Market</t>
  </si>
  <si>
    <t>CB13634_Dec25</t>
  </si>
  <si>
    <t>CW36392_Jun26</t>
  </si>
  <si>
    <t>Traifold-brochure</t>
  </si>
  <si>
    <t>Malaysia Export</t>
  </si>
  <si>
    <t>Sadia apu</t>
  </si>
  <si>
    <t>CB36256_Jun26</t>
  </si>
  <si>
    <t>CW36623_Jun26</t>
  </si>
  <si>
    <t>All Time Borfi cookies</t>
  </si>
  <si>
    <t>CB23782_May26</t>
  </si>
  <si>
    <t>CW37209_Jun26</t>
  </si>
  <si>
    <t>Potata Biscuit Sticker</t>
  </si>
  <si>
    <t>Sadia Apu</t>
  </si>
  <si>
    <t>CB36861_Jun26</t>
  </si>
  <si>
    <t>CW37210_Jun26</t>
  </si>
  <si>
    <t>Sunny Toothbrush Kids Lion</t>
  </si>
  <si>
    <t>CB35305_Jun26</t>
  </si>
  <si>
    <t>CW37317_Jun26</t>
  </si>
  <si>
    <t>Sunny Kids LION Toothbrush INNER PKT</t>
  </si>
  <si>
    <t>CB36928_Jun26</t>
  </si>
  <si>
    <t>CW37493_Jun26</t>
  </si>
  <si>
    <t>Pran Vorta 200g For USA</t>
  </si>
  <si>
    <t>CB22767_Apr26</t>
  </si>
  <si>
    <t>CW37651_Jun26</t>
  </si>
  <si>
    <t>Packaging Needed- hair brush-Square</t>
  </si>
  <si>
    <t>Haimonti apu_RFL</t>
  </si>
  <si>
    <t>CB36951_Jun26</t>
  </si>
  <si>
    <t>CW37912_Jun26</t>
  </si>
  <si>
    <t xml:space="preserve">Hair brush packaging- Cushion </t>
  </si>
  <si>
    <t>CB37070_Jun26</t>
  </si>
  <si>
    <t>CW38134_Jun26</t>
  </si>
  <si>
    <t xml:space="preserve">Soft bite packaging </t>
  </si>
  <si>
    <t>CW37948_Jun26</t>
  </si>
  <si>
    <t>CW37983_Jun26</t>
  </si>
  <si>
    <t>Mad Max Nachos 30g</t>
  </si>
  <si>
    <t>CB37589_Jun26</t>
  </si>
  <si>
    <t>CW38186_Jun26</t>
  </si>
  <si>
    <t>Cheer Up label design with new mnemonic</t>
  </si>
  <si>
    <t>Sharif_PRAN Brand</t>
  </si>
  <si>
    <t>CB36502_Jun26</t>
  </si>
  <si>
    <t>CW38405_Jun26</t>
  </si>
  <si>
    <t>Jhotpot frozen Foods</t>
  </si>
  <si>
    <t>CB37449_Jun26</t>
  </si>
  <si>
    <t>CW38596_Jun26</t>
  </si>
  <si>
    <t>Need New design For Kidstar baby soap</t>
  </si>
  <si>
    <t>Reza_PRAN Brand</t>
  </si>
  <si>
    <t>CB20450_Mar26</t>
  </si>
  <si>
    <t>CW38665_Jun26</t>
  </si>
  <si>
    <t>Australia frozen label update (Pran Brand)</t>
  </si>
  <si>
    <t>CB37448_Jun26</t>
  </si>
  <si>
    <t>CW39054_Jul26</t>
  </si>
  <si>
    <t>Tasty Treat 4 types of Cookies New ATC Pack Design</t>
  </si>
  <si>
    <t>Shubhankar Bhai</t>
  </si>
  <si>
    <t>CB22566_Apr26</t>
  </si>
  <si>
    <t>CW39305_Jul26</t>
  </si>
  <si>
    <t>Kheersha Doi</t>
  </si>
  <si>
    <t>CB38609_Jul26</t>
  </si>
  <si>
    <t>CW39317_Jul26</t>
  </si>
  <si>
    <t>Mama Crunchy Wafer 120g x 6pcs ATC Box</t>
  </si>
  <si>
    <t>CB38680_Jul26</t>
  </si>
  <si>
    <t>CW39465_Jul26</t>
  </si>
  <si>
    <t xml:space="preserve">Need Printing Description output file for sticker </t>
  </si>
  <si>
    <t>CB38786_Jul26</t>
  </si>
  <si>
    <t>CW39545_Jul26</t>
  </si>
  <si>
    <t>Shelf Talker Design</t>
  </si>
  <si>
    <t>Anika_RFL Brand</t>
  </si>
  <si>
    <t>CB37719_Jun26</t>
  </si>
  <si>
    <t>CW39628_Jul26</t>
  </si>
  <si>
    <t>POSM for PRAN Soy Sauce</t>
  </si>
  <si>
    <t>CB21031_Apr26</t>
  </si>
  <si>
    <t>CW39644_Jul26</t>
  </si>
  <si>
    <t>Electronics Mela Leaflet Output</t>
  </si>
  <si>
    <t>Sourav_RFL Brand</t>
  </si>
  <si>
    <t>CB38718_Jul26</t>
  </si>
  <si>
    <t>CW39728_Jul26</t>
  </si>
  <si>
    <t xml:space="preserve">PDQ BOX design required for all Car Category  </t>
  </si>
  <si>
    <t>CB35318_Jun26</t>
  </si>
  <si>
    <t>CW39725_Jul26</t>
  </si>
  <si>
    <t>Discount Tag to Sale %</t>
  </si>
  <si>
    <t>CB38464_Jul26</t>
  </si>
  <si>
    <t>CW39745_Jul26</t>
  </si>
  <si>
    <t>Football &amp; Whirly</t>
  </si>
  <si>
    <t>CB38746_Jul26</t>
  </si>
  <si>
    <t>CW39977_Jul26</t>
  </si>
  <si>
    <t>PRAN Fruit Drinks (TP)-Fruitfun for Nepal</t>
  </si>
  <si>
    <t>CW40015_Jul26</t>
  </si>
  <si>
    <t>CW19210_Dec25</t>
  </si>
  <si>
    <t>CB12835_Dec25</t>
  </si>
  <si>
    <t>Text Sticker Design #1</t>
  </si>
  <si>
    <t>CW19213_Dec25</t>
  </si>
  <si>
    <t>CB13531_Dec25</t>
  </si>
  <si>
    <t>CW19491_Dec25</t>
  </si>
  <si>
    <t>CB10004_Oct25</t>
  </si>
  <si>
    <t>CW19514_Dec25</t>
  </si>
  <si>
    <t>CB11549_Nov25</t>
  </si>
  <si>
    <t>CW19515_Dec25</t>
  </si>
  <si>
    <t>CB11585_Nov25</t>
  </si>
  <si>
    <t>CW19507_Dec25</t>
  </si>
  <si>
    <t>CW19508_Dec25</t>
  </si>
  <si>
    <t>PRAN Rusk Premium Bake</t>
  </si>
  <si>
    <t>CB12834_Dec25</t>
  </si>
  <si>
    <t>CW19519_Dec25</t>
  </si>
  <si>
    <t>CW19502_Dec25</t>
  </si>
  <si>
    <t>CB13097_Dec25</t>
  </si>
  <si>
    <t>CW19511_Dec25</t>
  </si>
  <si>
    <t>CB13813_Dec25</t>
  </si>
  <si>
    <t>Text Sticker Design #2</t>
  </si>
  <si>
    <t>CW19555_Dec25</t>
  </si>
  <si>
    <t>CW19733_Dec25</t>
  </si>
  <si>
    <t>CW19741_Dec25</t>
  </si>
  <si>
    <t>CB13969_Dec25</t>
  </si>
  <si>
    <t>CW19735_Dec25</t>
  </si>
  <si>
    <t>PRAN Coffee Candy</t>
  </si>
  <si>
    <t>CW19948_Dec25</t>
  </si>
  <si>
    <t>CW19895_Dec25</t>
  </si>
  <si>
    <t>CB13983_Dec25</t>
  </si>
  <si>
    <t>CW19911_Dec25</t>
  </si>
  <si>
    <t>CB11100_Nov25</t>
  </si>
  <si>
    <t>CW19899_Dec25</t>
  </si>
  <si>
    <t>Ice Pop</t>
  </si>
  <si>
    <t>CB14221_Dec25</t>
  </si>
  <si>
    <t>CW20061_Dec25</t>
  </si>
  <si>
    <t>IRD ALL</t>
  </si>
  <si>
    <t>CB14203_Dec25</t>
  </si>
  <si>
    <t>CW20121_Dec25</t>
  </si>
  <si>
    <t>CW20150_Dec25</t>
  </si>
  <si>
    <t>Naples Spread Chocolate</t>
  </si>
  <si>
    <t>CB14065_Dec25</t>
  </si>
  <si>
    <t>CW20260_Dec25</t>
  </si>
  <si>
    <t>HIP-ALL</t>
  </si>
  <si>
    <t>CB14264_Dec25</t>
  </si>
  <si>
    <t>CW20269_Dec25</t>
  </si>
  <si>
    <t>PRAN DAIRY LTD. PIP - ALL</t>
  </si>
  <si>
    <t>CB14573_Dec25</t>
  </si>
  <si>
    <t>CW20412_Dec25</t>
  </si>
  <si>
    <t>CB14577_Dec25</t>
  </si>
  <si>
    <t>CW20407_Dec25</t>
  </si>
  <si>
    <t>CB14576_Dec25</t>
  </si>
  <si>
    <t>CW20409_Dec25</t>
  </si>
  <si>
    <t>CB14575_Dec25</t>
  </si>
  <si>
    <t>CW20410_Dec25</t>
  </si>
  <si>
    <t>CB14572_Dec25</t>
  </si>
  <si>
    <t>CW20413_Dec25</t>
  </si>
  <si>
    <t>CB13975_Dec25</t>
  </si>
  <si>
    <t>CW20348_Dec25</t>
  </si>
  <si>
    <t>CB14570_Dec25</t>
  </si>
  <si>
    <t>CW20415_Dec25</t>
  </si>
  <si>
    <t>Gandour India Food Processing Pvt. Ltd</t>
  </si>
  <si>
    <t>CB14542_Dec25</t>
  </si>
  <si>
    <t>CW20416_Dec25</t>
  </si>
  <si>
    <t>CB14574_Dec25</t>
  </si>
  <si>
    <t>CW20411_Dec25</t>
  </si>
  <si>
    <t>CB14571_Dec25</t>
  </si>
  <si>
    <t>CW20414_Dec25</t>
  </si>
  <si>
    <t>Rabby Vai</t>
  </si>
  <si>
    <t>CB14085_Dec25</t>
  </si>
  <si>
    <t>CW20394_Dec25</t>
  </si>
  <si>
    <t>CB14200_Dec25</t>
  </si>
  <si>
    <t>CW20370_Dec25</t>
  </si>
  <si>
    <t>PRAN Choco Choco</t>
  </si>
  <si>
    <t>CB14637_Dec25</t>
  </si>
  <si>
    <t>CW20509_Dec25</t>
  </si>
  <si>
    <t>CB14693_Dec25</t>
  </si>
  <si>
    <t>CW20588_Dec25</t>
  </si>
  <si>
    <t>CB14602_Dec25</t>
  </si>
  <si>
    <t>CW21221_Jan26</t>
  </si>
  <si>
    <t>CB15203_Jan26</t>
  </si>
  <si>
    <t>CW21495_Jan26</t>
  </si>
  <si>
    <t>CB15184_Jan26</t>
  </si>
  <si>
    <t>CW21496_Jan26</t>
  </si>
  <si>
    <t>CB14772_Jan26</t>
  </si>
  <si>
    <t>CW21498_Jan26</t>
  </si>
  <si>
    <t>CB14773_Jan26</t>
  </si>
  <si>
    <t>CW21497_Jan26</t>
  </si>
  <si>
    <t>CB14769_Jan26</t>
  </si>
  <si>
    <t>CW21550_Jan26</t>
  </si>
  <si>
    <t>CB14629_Dec25</t>
  </si>
  <si>
    <t>CW21654_Jan26</t>
  </si>
  <si>
    <t>CB14605_Dec25</t>
  </si>
  <si>
    <t>CW21655_Jan26</t>
  </si>
  <si>
    <t>CB14592_Dec25</t>
  </si>
  <si>
    <t>CW21656_Jan26</t>
  </si>
  <si>
    <t>CB15161_Jan26</t>
  </si>
  <si>
    <t>CW21742_Jan26</t>
  </si>
  <si>
    <t>CB15466_Jan26</t>
  </si>
  <si>
    <t>CW21848_Jan26</t>
  </si>
  <si>
    <t>CB15394_Jan26</t>
  </si>
  <si>
    <t>CW21846_Jan26</t>
  </si>
  <si>
    <t>CB15430_Jan26</t>
  </si>
  <si>
    <t>CW21847_Jan26</t>
  </si>
  <si>
    <t>CB14980_Jan26</t>
  </si>
  <si>
    <t>CW21849_Jan26</t>
  </si>
  <si>
    <t>CB14632_Dec25</t>
  </si>
  <si>
    <t>CW21850_Jan26</t>
  </si>
  <si>
    <t>CB14625_Dec25</t>
  </si>
  <si>
    <t>CW21851_Jan26</t>
  </si>
  <si>
    <t>CB15502_Jan26</t>
  </si>
  <si>
    <t>CW21991_Jan26</t>
  </si>
  <si>
    <t>MAL - ALL</t>
  </si>
  <si>
    <t>CB15554_Jan26</t>
  </si>
  <si>
    <t>CW21992_Jan26</t>
  </si>
  <si>
    <t>CW21986_Jan26</t>
  </si>
  <si>
    <t>CB14058_Dec25</t>
  </si>
  <si>
    <t>CW22030_Jan26</t>
  </si>
  <si>
    <t>CB14610_Dec25</t>
  </si>
  <si>
    <t>CW22028_Jan26</t>
  </si>
  <si>
    <t>CB14499_Dec25</t>
  </si>
  <si>
    <t>CW22031_Jan26</t>
  </si>
  <si>
    <t>CB15652_Jan26</t>
  </si>
  <si>
    <t>CW22097_Jan26</t>
  </si>
  <si>
    <t>CB15086_Jan26</t>
  </si>
  <si>
    <t>CW22048_Jan26</t>
  </si>
  <si>
    <t>CB15118_Jan26</t>
  </si>
  <si>
    <t>CW22050_Jan26</t>
  </si>
  <si>
    <t>CB15098_Jan26</t>
  </si>
  <si>
    <t>CW22043_Jan26</t>
  </si>
  <si>
    <t>Mr. Noodles Korean</t>
  </si>
  <si>
    <t>CB15008_Jan26</t>
  </si>
  <si>
    <t>CW22049_Jan26</t>
  </si>
  <si>
    <t>CB15109_Jan26</t>
  </si>
  <si>
    <t>CW22040_Jan26</t>
  </si>
  <si>
    <t>CB15094_Jan26</t>
  </si>
  <si>
    <t>CW22046_Jan26</t>
  </si>
  <si>
    <t>CB15114_Jan26</t>
  </si>
  <si>
    <t>CW22051_Jan26</t>
  </si>
  <si>
    <t>CB15575_Jan26</t>
  </si>
  <si>
    <t>CW22213_Jan26</t>
  </si>
  <si>
    <t>PFG ALL</t>
  </si>
  <si>
    <t>CB15769_Jan26</t>
  </si>
  <si>
    <t>CW22207_Jan26</t>
  </si>
  <si>
    <t>CB15588_Jan26</t>
  </si>
  <si>
    <t>CW22211_Jan26</t>
  </si>
  <si>
    <t>CB15577_Jan26</t>
  </si>
  <si>
    <t>CW22212_Jan26</t>
  </si>
  <si>
    <t>CB15589_Jan26</t>
  </si>
  <si>
    <t>CW22209_Jan26</t>
  </si>
  <si>
    <t>CB15734_Jan26</t>
  </si>
  <si>
    <t>Full Cylinder Output</t>
  </si>
  <si>
    <t>CW22157_Jan26</t>
  </si>
  <si>
    <t>CW22131_Jan26</t>
  </si>
  <si>
    <t>CW22318_Jan26</t>
  </si>
  <si>
    <t>CB15956_Jan26</t>
  </si>
  <si>
    <t>CW22474_Jan26</t>
  </si>
  <si>
    <t>CB15859_Jan26</t>
  </si>
  <si>
    <t>CW22379_Jan26</t>
  </si>
  <si>
    <t>CB15780_Jan26</t>
  </si>
  <si>
    <t>CW22436_Jan26</t>
  </si>
  <si>
    <t>PRAN Layer</t>
  </si>
  <si>
    <t>CB15788_Jan26</t>
  </si>
  <si>
    <t>CW22434_Jan26</t>
  </si>
  <si>
    <t>Malt Beverage</t>
  </si>
  <si>
    <t>CB15958_Jan26</t>
  </si>
  <si>
    <t>CW22513_Jan26</t>
  </si>
  <si>
    <t>CB16155_Jan26</t>
  </si>
  <si>
    <t>CW22778_Jan26</t>
  </si>
  <si>
    <t>CB16156_Jan26</t>
  </si>
  <si>
    <t>CW22777_Jan26</t>
  </si>
  <si>
    <t>CB16359_Jan26</t>
  </si>
  <si>
    <t>CW23219_Jan26</t>
  </si>
  <si>
    <t>CB16347_Jan26</t>
  </si>
  <si>
    <t>CW23220_Jan26</t>
  </si>
  <si>
    <t>CB15821_Jan26</t>
  </si>
  <si>
    <t>CW23224_Jan26</t>
  </si>
  <si>
    <t>CB15351_Jan26</t>
  </si>
  <si>
    <t>CW23218_Jan26</t>
  </si>
  <si>
    <t>CB15825_Jan26</t>
  </si>
  <si>
    <t>CW23222_Jan26</t>
  </si>
  <si>
    <t>CB15824_Jan26</t>
  </si>
  <si>
    <t>CW23223_Jan26</t>
  </si>
  <si>
    <t>Bisk Club Shero Biscuit</t>
  </si>
  <si>
    <t>CB16184_Jan26</t>
  </si>
  <si>
    <t>CW23199_Jan26</t>
  </si>
  <si>
    <t>PRAN Éclair</t>
  </si>
  <si>
    <t>CB16558_Jan26</t>
  </si>
  <si>
    <t>CW23878_Feb26</t>
  </si>
  <si>
    <t>CB16685_Jan26</t>
  </si>
  <si>
    <t>CW23907_Feb26</t>
  </si>
  <si>
    <t>CB16604_Jan26</t>
  </si>
  <si>
    <t>CW23881_Feb26</t>
  </si>
  <si>
    <t>CB16366_Jan26</t>
  </si>
  <si>
    <t>CW23882_Feb26</t>
  </si>
  <si>
    <t>CB16587_Jan26</t>
  </si>
  <si>
    <t>CW23884_Feb26</t>
  </si>
  <si>
    <t>CB16812_Jan26</t>
  </si>
  <si>
    <t>CW23921_Feb26</t>
  </si>
  <si>
    <t>CB16827_Feb26</t>
  </si>
  <si>
    <t>CW23925_Feb26</t>
  </si>
  <si>
    <t>PRAN Macaroni</t>
  </si>
  <si>
    <t>CB15902_Jan26</t>
  </si>
  <si>
    <t>CW23886_Feb26</t>
  </si>
  <si>
    <t>KSA-PRAN Crunchy Wafer</t>
  </si>
  <si>
    <t>CB16651_Jan26</t>
  </si>
  <si>
    <t>CW23873_Feb26</t>
  </si>
  <si>
    <t>CB16271_Jan26</t>
  </si>
  <si>
    <t>CW23879_Feb26</t>
  </si>
  <si>
    <t>HIP JUICE &amp; DRINK</t>
  </si>
  <si>
    <t>CB14072_Dec25</t>
  </si>
  <si>
    <t>CW23999_Feb26</t>
  </si>
  <si>
    <t>CB16957_Feb26</t>
  </si>
  <si>
    <t>CW24215_Feb26</t>
  </si>
  <si>
    <t>CW24379_Feb26</t>
  </si>
  <si>
    <t>CW24803_Feb26</t>
  </si>
  <si>
    <t>CB16990_Feb26</t>
  </si>
  <si>
    <t>CW24805_Feb26</t>
  </si>
  <si>
    <t>CW24804_Feb26</t>
  </si>
  <si>
    <t>CW24806_Feb26</t>
  </si>
  <si>
    <t>Sweetland Chocolate</t>
  </si>
  <si>
    <t>CB16066_Jan26</t>
  </si>
  <si>
    <t>CW25072_Feb26</t>
  </si>
  <si>
    <t>CW25305_Feb26</t>
  </si>
  <si>
    <t>CB17930_Feb26</t>
  </si>
  <si>
    <t>CW25475_Feb26</t>
  </si>
  <si>
    <t>CB18064_Feb26</t>
  </si>
  <si>
    <t>CW25503_Feb26</t>
  </si>
  <si>
    <t>CB18079_Feb26</t>
  </si>
  <si>
    <t>CW25502_Feb26</t>
  </si>
  <si>
    <t>CB17989_Feb26</t>
  </si>
  <si>
    <t>CW25504_Feb26</t>
  </si>
  <si>
    <t>CB17986_Feb26</t>
  </si>
  <si>
    <t>CW25524_Feb26</t>
  </si>
  <si>
    <t>MAL ALL</t>
  </si>
  <si>
    <t>CB17319_Feb26</t>
  </si>
  <si>
    <t>CW25558_Feb26</t>
  </si>
  <si>
    <t>CB17165_Feb26</t>
  </si>
  <si>
    <t>CW25611_Feb26</t>
  </si>
  <si>
    <t>CB18098_Feb26</t>
  </si>
  <si>
    <t>CW25551_Feb26</t>
  </si>
  <si>
    <t>CB17332_Feb26</t>
  </si>
  <si>
    <t>CW25552_Feb26</t>
  </si>
  <si>
    <t>CB17331_Feb26</t>
  </si>
  <si>
    <t>CW25553_Feb26</t>
  </si>
  <si>
    <t>CB17330_Feb26</t>
  </si>
  <si>
    <t>CW25554_Feb26</t>
  </si>
  <si>
    <t>CB17326_Feb26</t>
  </si>
  <si>
    <t>CW25555_Feb26</t>
  </si>
  <si>
    <t>CB17313_Feb26</t>
  </si>
  <si>
    <t>CW25556_Feb26</t>
  </si>
  <si>
    <t>CB17102_Feb26</t>
  </si>
  <si>
    <t>CW25549_Feb26</t>
  </si>
  <si>
    <t>CB17316_Feb26</t>
  </si>
  <si>
    <t>CW25557_Feb26</t>
  </si>
  <si>
    <t>Pran Apple Drink</t>
  </si>
  <si>
    <t>CB17053_Feb26</t>
  </si>
  <si>
    <t>CW25559_Feb26</t>
  </si>
  <si>
    <t>CB17693_Feb26</t>
  </si>
  <si>
    <t>CW25548_Feb26</t>
  </si>
  <si>
    <t>CB18279_Feb26</t>
  </si>
  <si>
    <t>CW25709_Feb26</t>
  </si>
  <si>
    <t>CB18235_Feb26</t>
  </si>
  <si>
    <t>CW25772_Feb26</t>
  </si>
  <si>
    <t>CB18627_Mar26</t>
  </si>
  <si>
    <t>CW26440_Mar26</t>
  </si>
  <si>
    <t>CB17925_Feb26</t>
  </si>
  <si>
    <t>CW26441_Mar26</t>
  </si>
  <si>
    <t>CB19008_Mar26</t>
  </si>
  <si>
    <t>CW26817_Mar26</t>
  </si>
  <si>
    <t>CW26892_Mar26</t>
  </si>
  <si>
    <t>CB18324_Feb26</t>
  </si>
  <si>
    <t>CW26893_Mar26</t>
  </si>
  <si>
    <t>CB18717_Mar26</t>
  </si>
  <si>
    <t>CW26891_Mar26</t>
  </si>
  <si>
    <t>CB19082_Mar26</t>
  </si>
  <si>
    <t>CW26890_Mar26</t>
  </si>
  <si>
    <t>CB19187_Mar26</t>
  </si>
  <si>
    <t>CW27008_Mar26</t>
  </si>
  <si>
    <t>CB18694_Mar26</t>
  </si>
  <si>
    <t>CW27006_Mar26</t>
  </si>
  <si>
    <t>CB17876_Feb26</t>
  </si>
  <si>
    <t>CW27007_Mar26</t>
  </si>
  <si>
    <t>CB19125_Mar26</t>
  </si>
  <si>
    <t>CW26986_Mar26</t>
  </si>
  <si>
    <t>CW27148_Mar26</t>
  </si>
  <si>
    <t>CW27147_Mar26</t>
  </si>
  <si>
    <t>Cosmic Door</t>
  </si>
  <si>
    <t>CB19610_Mar26</t>
  </si>
  <si>
    <t>CW27527_Mar26</t>
  </si>
  <si>
    <t>CB19446_Mar26</t>
  </si>
  <si>
    <t>CW27529_Mar26</t>
  </si>
  <si>
    <t>CB19611_Mar26</t>
  </si>
  <si>
    <t>CW27526_Mar26</t>
  </si>
  <si>
    <t>CB19609_Mar26</t>
  </si>
  <si>
    <t>CW27528_Mar26</t>
  </si>
  <si>
    <t>CB19556_Mar26</t>
  </si>
  <si>
    <t>CW27532_Mar26</t>
  </si>
  <si>
    <t>CW27838_Mar26</t>
  </si>
  <si>
    <t>CW28291_Mar26</t>
  </si>
  <si>
    <t>CB20610_Apr26</t>
  </si>
  <si>
    <t>CW28908_Apr26</t>
  </si>
  <si>
    <t>VISION Fan</t>
  </si>
  <si>
    <t>Afroja Apu</t>
  </si>
  <si>
    <t>CB19430_Mar26</t>
  </si>
  <si>
    <t>CW29381_Apr26</t>
  </si>
  <si>
    <t>Asif Ahmed Vai</t>
  </si>
  <si>
    <t>CB18203_Feb26</t>
  </si>
  <si>
    <t>CW29379_Apr26</t>
  </si>
  <si>
    <t>CB20753_Apr26</t>
  </si>
  <si>
    <t>CW29391_Apr26</t>
  </si>
  <si>
    <t>CB20714_Apr26</t>
  </si>
  <si>
    <t>CW29392_Apr26</t>
  </si>
  <si>
    <t>Kick Out Aerosol</t>
  </si>
  <si>
    <t>CB20188_Mar26</t>
  </si>
  <si>
    <t>CW29375_Apr26</t>
  </si>
  <si>
    <t>CB17873_Feb26</t>
  </si>
  <si>
    <t>CW29376_Apr26</t>
  </si>
  <si>
    <t>CB20573_Apr26</t>
  </si>
  <si>
    <t>CW29394_Apr26</t>
  </si>
  <si>
    <t>CW29385_Apr26</t>
  </si>
  <si>
    <t>CB20691_Apr26</t>
  </si>
  <si>
    <t>CW29388_Apr26</t>
  </si>
  <si>
    <t>CB20652_Apr26</t>
  </si>
  <si>
    <t>CW29389_Apr26</t>
  </si>
  <si>
    <t>CW29373_Apr26</t>
  </si>
  <si>
    <t>CW29374_Apr26</t>
  </si>
  <si>
    <t>CB20560_Apr26</t>
  </si>
  <si>
    <t>CW29386_Apr26</t>
  </si>
  <si>
    <t>CB20559_Apr26</t>
  </si>
  <si>
    <t>CW29387_Apr26</t>
  </si>
  <si>
    <t>PRAN Pickle</t>
  </si>
  <si>
    <t>Sharika Apu</t>
  </si>
  <si>
    <t>CB20446_Mar26</t>
  </si>
  <si>
    <t>FOP Sticker Making</t>
  </si>
  <si>
    <t>CW29382_Apr26</t>
  </si>
  <si>
    <t>CB20469_Mar26</t>
  </si>
  <si>
    <t>CW29383_Apr26</t>
  </si>
  <si>
    <t>PRAN Junior Fruit Drink</t>
  </si>
  <si>
    <t>CB20246_Mar26</t>
  </si>
  <si>
    <t>CW29377_Apr26</t>
  </si>
  <si>
    <t>CB20548_Mar26</t>
  </si>
  <si>
    <t>CW29384_Apr26</t>
  </si>
  <si>
    <t>CW29487_Apr26</t>
  </si>
  <si>
    <t>CB21501_Apr26</t>
  </si>
  <si>
    <t>CW30160_Apr26</t>
  </si>
  <si>
    <t>CW30158_Apr26</t>
  </si>
  <si>
    <t>PRAN Chanachur</t>
  </si>
  <si>
    <t>CB19442_Mar26</t>
  </si>
  <si>
    <t>CW30166_Apr26</t>
  </si>
  <si>
    <t>Pingo</t>
  </si>
  <si>
    <t>CB21085_Apr26</t>
  </si>
  <si>
    <t>CW30165_Apr26</t>
  </si>
  <si>
    <t>CB19672_Mar26</t>
  </si>
  <si>
    <t>CW30168_Apr26</t>
  </si>
  <si>
    <t>Bisk Club Flavored Cream biscuit</t>
  </si>
  <si>
    <t>CB21088_Apr26</t>
  </si>
  <si>
    <t>CW30159_Apr26</t>
  </si>
  <si>
    <t>Saema Apu</t>
  </si>
  <si>
    <t>CB21595_Apr26</t>
  </si>
  <si>
    <t>CW30167_Apr26</t>
  </si>
  <si>
    <t>CB21232_Apr26</t>
  </si>
  <si>
    <t>CW30169_Apr26</t>
  </si>
  <si>
    <t>CB21382_Apr26</t>
  </si>
  <si>
    <t>CW30163_Apr26</t>
  </si>
  <si>
    <t>CB19515_Mar26</t>
  </si>
  <si>
    <t>CW30164_Apr26</t>
  </si>
  <si>
    <t>CB21516_Apr26</t>
  </si>
  <si>
    <t>CW30155_Apr26</t>
  </si>
  <si>
    <t>CW30161_Apr26</t>
  </si>
  <si>
    <t>CW30280_Apr26</t>
  </si>
  <si>
    <t>CW30234_Apr26</t>
  </si>
  <si>
    <t>Mubassira Apu</t>
  </si>
  <si>
    <t>CB21474_Apr26</t>
  </si>
  <si>
    <t>CW30309_Apr26</t>
  </si>
  <si>
    <t>CW30809_Apr26</t>
  </si>
  <si>
    <t>CB23146_May26</t>
  </si>
  <si>
    <t>CW32582_May26</t>
  </si>
  <si>
    <t>CW32581_May26</t>
  </si>
  <si>
    <t>Fiza Apu</t>
  </si>
  <si>
    <t>CB21782_Apr26</t>
  </si>
  <si>
    <t>CW33273_May26</t>
  </si>
  <si>
    <t>CW33270_May26</t>
  </si>
  <si>
    <t>CB23803_May26</t>
  </si>
  <si>
    <t>CW33261_May26</t>
  </si>
  <si>
    <t>Eco Door</t>
  </si>
  <si>
    <t>CB22355_Apr26</t>
  </si>
  <si>
    <t>CW33278_May26</t>
  </si>
  <si>
    <t>CB22407_Apr26</t>
  </si>
  <si>
    <t>CW33274_May26</t>
  </si>
  <si>
    <t>CW33277_May26</t>
  </si>
  <si>
    <t>CW33279_May26</t>
  </si>
  <si>
    <t>Frooto</t>
  </si>
  <si>
    <t>CB21688_Apr26</t>
  </si>
  <si>
    <t>CW33272_May26</t>
  </si>
  <si>
    <t>CW33271_May26</t>
  </si>
  <si>
    <t>CB22747_Apr26</t>
  </si>
  <si>
    <t>CW33404_May26</t>
  </si>
  <si>
    <t>CB22691_Apr26</t>
  </si>
  <si>
    <t>CW33388_May26</t>
  </si>
  <si>
    <t>CB22979_Apr26</t>
  </si>
  <si>
    <t>CW33407_May26</t>
  </si>
  <si>
    <t>CW33408_May26</t>
  </si>
  <si>
    <t>Comfy PVC Rexin</t>
  </si>
  <si>
    <t>CB22695_Apr26</t>
  </si>
  <si>
    <t>CW33387_May26</t>
  </si>
  <si>
    <t>CB23395_May26</t>
  </si>
  <si>
    <t>CW33410_May26</t>
  </si>
  <si>
    <t>CW33409_May26</t>
  </si>
  <si>
    <t>CW33384_May26</t>
  </si>
  <si>
    <t>CB22489_Apr26</t>
  </si>
  <si>
    <t>CW33385_May26</t>
  </si>
  <si>
    <t>CW33406_May26</t>
  </si>
  <si>
    <t>CB22986_Apr26</t>
  </si>
  <si>
    <t>CW33529_May26</t>
  </si>
  <si>
    <t>CB23030_May26</t>
  </si>
  <si>
    <t>CW33539_May26</t>
  </si>
  <si>
    <t>CB22680_Apr26</t>
  </si>
  <si>
    <t>CW33509_May26</t>
  </si>
  <si>
    <t>CB23917_May26</t>
  </si>
  <si>
    <t>CW33567_May26</t>
  </si>
  <si>
    <t>CB22751_Apr26</t>
  </si>
  <si>
    <t>CW33513_May26</t>
  </si>
  <si>
    <t>CB22857_Apr26</t>
  </si>
  <si>
    <t>CW33514_May26</t>
  </si>
  <si>
    <t>CB23619_May26</t>
  </si>
  <si>
    <t>CW33555_May26</t>
  </si>
  <si>
    <t>CB23720_May26</t>
  </si>
  <si>
    <t>CW33557_May26</t>
  </si>
  <si>
    <t>CB22623_Apr26</t>
  </si>
  <si>
    <t>CW33507_May26</t>
  </si>
  <si>
    <t>All Time Cream Roll</t>
  </si>
  <si>
    <t>CB20575_Apr26</t>
  </si>
  <si>
    <t>CW33553_May26</t>
  </si>
  <si>
    <t>CW33505_May26</t>
  </si>
  <si>
    <t>CB22902_Apr26</t>
  </si>
  <si>
    <t>CW33527_May26</t>
  </si>
  <si>
    <t>CB23742_May26</t>
  </si>
  <si>
    <t>CW33558_May26</t>
  </si>
  <si>
    <t>CB22901_Apr26</t>
  </si>
  <si>
    <t>CW33525_May26</t>
  </si>
  <si>
    <t>CB23133_May26</t>
  </si>
  <si>
    <t>CW33550_May26</t>
  </si>
  <si>
    <t>CB24038_May26</t>
  </si>
  <si>
    <t>CW33571_May26</t>
  </si>
  <si>
    <t>CB22520_Apr26</t>
  </si>
  <si>
    <t>CW33516_May26</t>
  </si>
  <si>
    <t>CW33566_May26</t>
  </si>
  <si>
    <t>Wonder Kids</t>
  </si>
  <si>
    <t>CB23859_May26</t>
  </si>
  <si>
    <t>CW33564_May26</t>
  </si>
  <si>
    <t>CW33530_May26</t>
  </si>
  <si>
    <t>CB19604_Mar26</t>
  </si>
  <si>
    <t>CW33526_May26</t>
  </si>
  <si>
    <t>CB23336_May26</t>
  </si>
  <si>
    <t>CW33532_May26</t>
  </si>
  <si>
    <t>CB23864_May26</t>
  </si>
  <si>
    <t>CW33506_May26</t>
  </si>
  <si>
    <t>CB23037_May26</t>
  </si>
  <si>
    <t>CW33543_May26</t>
  </si>
  <si>
    <t>CB23996_May26</t>
  </si>
  <si>
    <t>CW33534_May26</t>
  </si>
  <si>
    <t>CB24266_May26</t>
  </si>
  <si>
    <t>CW33500_May26</t>
  </si>
  <si>
    <t>CW33528_May26</t>
  </si>
  <si>
    <t>CW33512_May26</t>
  </si>
  <si>
    <t>PRAN BASIL SEED STRAWBERY FLAVORED DRINK 250ML</t>
  </si>
  <si>
    <t>CB24304_May26</t>
  </si>
  <si>
    <t>CW35528_Jun26</t>
  </si>
  <si>
    <t>Text correction of Herbs &amp; Seasoning</t>
  </si>
  <si>
    <t>CW35446_Jun26</t>
  </si>
  <si>
    <t xml:space="preserve">BBL Powder drinks pouch design </t>
  </si>
  <si>
    <t>CB23212_May26</t>
  </si>
  <si>
    <t>CW35524_Jun26</t>
  </si>
  <si>
    <t>CB24553_May26</t>
  </si>
  <si>
    <t>CW35449_Jun26</t>
  </si>
  <si>
    <t>Text correction of Bhujia</t>
  </si>
  <si>
    <t>CW35735_Jun26</t>
  </si>
  <si>
    <t>KOFI HOUSE COFFEE CANDY (3G x 50 PCS)</t>
  </si>
  <si>
    <t>PDL</t>
  </si>
  <si>
    <t>CB23616_May26</t>
  </si>
  <si>
    <t>CW35526_Jun26</t>
  </si>
  <si>
    <t>PRAN Kala Bhuna Masala 50g</t>
  </si>
  <si>
    <t>CW35525_Jun26</t>
  </si>
  <si>
    <t>Text correction of Malt beverage</t>
  </si>
  <si>
    <t>CB25154_May26</t>
  </si>
  <si>
    <t>CW35523_Jun26</t>
  </si>
  <si>
    <t>PRAN NOODLES SUPER SPICY FLAVOR 85G</t>
  </si>
  <si>
    <t>CB24445_May26</t>
  </si>
  <si>
    <t>CW35741_Jun26</t>
  </si>
  <si>
    <t>HURRAY CHOCOLATE BAR 12G ; HURRAY MILKY BAR 12G</t>
  </si>
  <si>
    <t>CB24357_May26</t>
  </si>
  <si>
    <t>CW35742_Jun26</t>
  </si>
  <si>
    <t>OLIVER CARAMELO CARAMEL FLAVOR BISCUITS 60G</t>
  </si>
  <si>
    <t>CB24826_May26</t>
  </si>
  <si>
    <t>CW35743_Jun26</t>
  </si>
  <si>
    <t xml:space="preserve">CANTON  SOUP 2 ITEMS </t>
  </si>
  <si>
    <t>CB25025_May26</t>
  </si>
  <si>
    <t>CW35810_Jun26</t>
  </si>
  <si>
    <t>PRAN Cheera Mix 150g for Europe</t>
  </si>
  <si>
    <t>CB25052_May26</t>
  </si>
  <si>
    <t>CW35811_Jun26</t>
  </si>
  <si>
    <t>Certificate Correction</t>
  </si>
  <si>
    <t>CB35445_Jun26</t>
  </si>
  <si>
    <t>CW35721_Jun26</t>
  </si>
  <si>
    <t>CB35444_Jun26</t>
  </si>
  <si>
    <t>CW35726_Jun26</t>
  </si>
  <si>
    <t>CB35443_Jun26</t>
  </si>
  <si>
    <t>CW35729_Jun26</t>
  </si>
  <si>
    <t>PRAN CRUNCHY WAFER CHOCOLATE FLAVORED CREAMY WAFER BISCUIT 150G</t>
  </si>
  <si>
    <t>CB35347_Jun26</t>
  </si>
  <si>
    <t>CW35814_Jun26</t>
  </si>
  <si>
    <t xml:space="preserve">PRAN CHOCO CHOCO (ASSORTED FLAVOR) (4G x 50 Pcs) </t>
  </si>
  <si>
    <t>CB35284_Jun26</t>
  </si>
  <si>
    <t>CW35818_Jun26</t>
  </si>
  <si>
    <t>PRAN EASY INSTANT NOODLES VEGETABLE FLAVOR 60G</t>
  </si>
  <si>
    <t>CB35303_Jun26</t>
  </si>
  <si>
    <t>CW35990_Jun26</t>
  </si>
  <si>
    <t>PRAN EASY INSTANT NOODLES CHICKEN FLAVOR 60G</t>
  </si>
  <si>
    <t>CB35310_Jun26</t>
  </si>
  <si>
    <t>CW35993_Jun26</t>
  </si>
  <si>
    <t>HURRAY 3 FLAVORED PASTE (4G)</t>
  </si>
  <si>
    <t>CB25226_Jun26</t>
  </si>
  <si>
    <t>CW35812_Jun26</t>
  </si>
  <si>
    <t>PRAN COATED PEANUT PUNJABI TASTY MIX 150G</t>
  </si>
  <si>
    <t>CB25193_May26</t>
  </si>
  <si>
    <t>CW35819_Jun26</t>
  </si>
  <si>
    <t>HUMTY DUMTY MILK,COCOA &amp; HAZELNUT FLAVOURED CREAM (20G x 16 pcs)</t>
  </si>
  <si>
    <t>CB25205_May26</t>
  </si>
  <si>
    <t>CW35813_Jun26</t>
  </si>
  <si>
    <t>CW35816_Jun26</t>
  </si>
  <si>
    <t>ALL TIME POTATO CRUNCH CREAM AND ONION FLAVORED BISCUITS 100G</t>
  </si>
  <si>
    <t>CB25138_May26</t>
  </si>
  <si>
    <t>CW35820_Jun26</t>
  </si>
  <si>
    <t>ALL TIME POTATO CRUNCH SPICY BISCUITS 100G</t>
  </si>
  <si>
    <t>CB25134_May26</t>
  </si>
  <si>
    <t>CW35821_Jun26</t>
  </si>
  <si>
    <t>ALL TIME POTATO CRUNCH BBQ FLAVORED BISCUITS 100G</t>
  </si>
  <si>
    <t>CB25131_May26</t>
  </si>
  <si>
    <t>CW35822_Jun26</t>
  </si>
  <si>
    <t>ALL TIME POTATO FLAVORED BISCUITS 100G</t>
  </si>
  <si>
    <t>CB25132_May26</t>
  </si>
  <si>
    <t>CW35823_Jun26</t>
  </si>
  <si>
    <t xml:space="preserve">Tropical Drinks </t>
  </si>
  <si>
    <t>CB36115_Jun26</t>
  </si>
  <si>
    <t>CW36219_Jun26</t>
  </si>
  <si>
    <t xml:space="preserve">CERTIFICATE CORRECTION - 10 </t>
  </si>
  <si>
    <t>CB35829_Jun26</t>
  </si>
  <si>
    <t>CW35830_Jun26</t>
  </si>
  <si>
    <t>PRAN CHEW CANDY STRAWBERRY FLAVOR (3G x 250 PCS)</t>
  </si>
  <si>
    <t>CB35500_Jun26</t>
  </si>
  <si>
    <t>CW35965_Jun26</t>
  </si>
  <si>
    <t>PRAN Choco Stick 20g</t>
  </si>
  <si>
    <t>CB35557_Jun26</t>
  </si>
  <si>
    <t>CW35963_Jun26</t>
  </si>
  <si>
    <t>PRAN OH CREAM PINEAPPLE FLAVORED CREAM BISCUITS 25G</t>
  </si>
  <si>
    <t>CB35562_Jun26</t>
  </si>
  <si>
    <t>CW35966_Jun26</t>
  </si>
  <si>
    <t>PINGO HOLO CHIPS 12G</t>
  </si>
  <si>
    <t>CB24818_May26</t>
  </si>
  <si>
    <t>CW35968_Jun26</t>
  </si>
  <si>
    <t>ALL TIME PEANUT COOKIES BISCUITS 165G</t>
  </si>
  <si>
    <t>CB35720_Jun26</t>
  </si>
  <si>
    <t>CW35971_Jun26</t>
  </si>
  <si>
    <t>ALL TIME PEANUT COOKIES BISCUITS 45G</t>
  </si>
  <si>
    <t>CB35721_Jun26</t>
  </si>
  <si>
    <t>CW35972_Jun26_</t>
  </si>
  <si>
    <t>ALL TIME COCONUT COOKIES BISCUITS 45G</t>
  </si>
  <si>
    <t>CB35812_Jun26</t>
  </si>
  <si>
    <t>CW35973_Jun26</t>
  </si>
  <si>
    <t xml:space="preserve"> CERTIFICATE CORRECTION </t>
  </si>
  <si>
    <t>CW35975_Jun26</t>
  </si>
  <si>
    <t>PREMIO CHOCO BUENO WHITE MILK WAFER 45G</t>
  </si>
  <si>
    <t>CB35587_Jun26</t>
  </si>
  <si>
    <t>CW35979_Jun26</t>
  </si>
  <si>
    <t xml:space="preserve">CERTIFICATE CORRECTION </t>
  </si>
  <si>
    <t>CB35713_Jun26</t>
  </si>
  <si>
    <t>CW35980_Jun26</t>
  </si>
  <si>
    <t>ALL TIME CHOCO CHIPS COOKIES 45G</t>
  </si>
  <si>
    <t>CB35816_Jun26</t>
  </si>
  <si>
    <t>CW35983_Jun26</t>
  </si>
  <si>
    <t>ALL TIME CHOCO CHIPS COOKIES 165G</t>
  </si>
  <si>
    <t>CB35814_Jun26</t>
  </si>
  <si>
    <t>CW35984_Jun26</t>
  </si>
  <si>
    <t>Treat Cappuccino Candy 3.5g x 40 Pcs Pouch</t>
  </si>
  <si>
    <t>CW36093_Jun26</t>
  </si>
  <si>
    <t>PRAN Nata Float 250ml</t>
  </si>
  <si>
    <t>CW36095_Jun26</t>
  </si>
  <si>
    <t xml:space="preserve">Bro puffy text corrections - Blister pack </t>
  </si>
  <si>
    <t>CW36221_Jun26</t>
  </si>
  <si>
    <t>PCL - Treat Chocolate</t>
  </si>
  <si>
    <t>CB36216_Jun26</t>
  </si>
  <si>
    <t>CW38284_Jun26</t>
  </si>
  <si>
    <t>Treat Milk Candy</t>
  </si>
  <si>
    <t>CB36219_Jun26</t>
  </si>
  <si>
    <t>Running</t>
  </si>
  <si>
    <t>Treat Coco Cup 10g x 20 Pcs Pouch</t>
  </si>
  <si>
    <t>CB36221_Jun26</t>
  </si>
  <si>
    <t>CW38991_Jul26</t>
  </si>
  <si>
    <t>Text correction of lollipop 16g x 48 pcs</t>
  </si>
  <si>
    <t>CB36220_Jun26</t>
  </si>
  <si>
    <t>CW36629_Jun26</t>
  </si>
  <si>
    <t>KOFI HOUSE BROWN 3 IN 1 27.5G</t>
  </si>
  <si>
    <t>CB36144_Jun26</t>
  </si>
  <si>
    <t>CW36622_Jun26</t>
  </si>
  <si>
    <t>PRAN SIPA (5 FLAVORED) FRUIT DRINK 250ML</t>
  </si>
  <si>
    <t>CB36128_Jun26</t>
  </si>
  <si>
    <t>CW36621_Jun26</t>
  </si>
  <si>
    <t>KANDY MAN ASSORTED ÉCLAIR (ASSORTED FLAVORED ÉCLAIR) 160G</t>
  </si>
  <si>
    <t>CB36288_Jun26</t>
  </si>
  <si>
    <t>CW36620_Jun26</t>
  </si>
  <si>
    <t>KOFI HOUSE BLACK 3 IN 1 30G</t>
  </si>
  <si>
    <t>CB36145_Jun26</t>
  </si>
  <si>
    <t>CW36618_Jun26</t>
  </si>
  <si>
    <t>PRAN ORANGE JELLY 8G</t>
  </si>
  <si>
    <t>CB36386_Jun26</t>
  </si>
  <si>
    <t>CW36617_Jun26</t>
  </si>
  <si>
    <t>MOO JOY GREEN APPLE FLAVORED MILK ADDED DRINK 80ML</t>
  </si>
  <si>
    <t>CB23972_May26</t>
  </si>
  <si>
    <t>CW36625_Jun26</t>
  </si>
  <si>
    <t>MOO JOY MANGO FLAVORED MILK ADDED DRINK 80ML</t>
  </si>
  <si>
    <t>CB23974_May26</t>
  </si>
  <si>
    <t>CW36626_Jun26</t>
  </si>
  <si>
    <t>MOO JOY ORANGE FLAVORED MILK ADDED DRINK 80ML</t>
  </si>
  <si>
    <t>CB23975_May26</t>
  </si>
  <si>
    <t>CW36627_Jun26</t>
  </si>
  <si>
    <t>MOO JOY YOGURT FLAVORED MILK ADDED DRINK 80ML</t>
  </si>
  <si>
    <t>CB24279_May26</t>
  </si>
  <si>
    <t>CW36628_Jun26</t>
  </si>
  <si>
    <t>Pack design: PRAN Noodles - Ramen Series</t>
  </si>
  <si>
    <t>CB16267_Jan26</t>
  </si>
  <si>
    <t>CW36630_Jun26</t>
  </si>
  <si>
    <t>Veira Aloe Vera 1.5L for UK</t>
  </si>
  <si>
    <t>CB36523_Jun26</t>
  </si>
  <si>
    <t>CW36676_Jun26</t>
  </si>
  <si>
    <t>PRAN Frooto Mango Punch 1L</t>
  </si>
  <si>
    <t>CB36524_Jun26</t>
  </si>
  <si>
    <t>CW36674_Jun26</t>
  </si>
  <si>
    <t xml:space="preserve">Text correction of Braver Malt Beverage </t>
  </si>
  <si>
    <t>CB36491_Jun26</t>
  </si>
  <si>
    <t>CW36739_Jun26</t>
  </si>
  <si>
    <t>PRAN Litchi Packaging and text correction</t>
  </si>
  <si>
    <t>Meher Parthona Apu</t>
  </si>
  <si>
    <t>CB36408_Jun26</t>
  </si>
  <si>
    <t>CW36679_Jun26</t>
  </si>
  <si>
    <t>PRAN_Mango_Bar_10pcs_Pouch_Foil_Design</t>
  </si>
  <si>
    <t>CB35269_Jun26</t>
  </si>
  <si>
    <t>CW36772_Jun26</t>
  </si>
  <si>
    <t>Make new carton of Pran Herbs &amp; Spice</t>
  </si>
  <si>
    <t>CB36507_Jun26</t>
  </si>
  <si>
    <t>CW37278_Jun26</t>
  </si>
  <si>
    <t>PRAN SALTINO COOKIES BISCUITS 75G and PRAN YUMMY CHOCOLATE CHIPS &amp; OATS COOKIES 42G</t>
  </si>
  <si>
    <t>CB36773_Jun26</t>
  </si>
  <si>
    <t>CW37275_Jun26</t>
  </si>
  <si>
    <t>Text correction of Jolpai Pickle 400g</t>
  </si>
  <si>
    <t>CB36934_Jun26</t>
  </si>
  <si>
    <t>CW37276_Jun26</t>
  </si>
  <si>
    <t>CERTIFICATE CORRECTION - 25</t>
  </si>
  <si>
    <t>CB36829_Jun26</t>
  </si>
  <si>
    <t>CW37277_Jun26</t>
  </si>
  <si>
    <t>True milk, Pran yogurt drink</t>
  </si>
  <si>
    <t>CB36987_Jun26</t>
  </si>
  <si>
    <t>CW37300_Jun26</t>
  </si>
  <si>
    <t>Veggie Crisp 20g foil and ATC for USA</t>
  </si>
  <si>
    <t>CW38402_Jun26</t>
  </si>
  <si>
    <t>Lolli Island Assorted 60g for Italy</t>
  </si>
  <si>
    <t>Pran Mustard Oil 200ml, 500ml, 1000ml for Italy</t>
  </si>
  <si>
    <t>CB37219_Jun26</t>
  </si>
  <si>
    <t>CW37630_Jun26</t>
  </si>
  <si>
    <t>Tea Biscuit 100g for KSA</t>
  </si>
  <si>
    <t>CB37041_Jun26</t>
  </si>
  <si>
    <t>CW37631_Jun26</t>
  </si>
  <si>
    <t>CW39017_Jul26</t>
  </si>
  <si>
    <t>PRAN LItchi Drink Cartoon Design</t>
  </si>
  <si>
    <t>meher Parthona Apu</t>
  </si>
  <si>
    <t>CB36970_Jun26</t>
  </si>
  <si>
    <t>Cheer Up text correction for local</t>
  </si>
  <si>
    <t>Sharif Vai</t>
  </si>
  <si>
    <t>CW38400_Jun26</t>
  </si>
  <si>
    <t>PRAN Bhujia Both Masala and Mint 40g, 300g for Export</t>
  </si>
  <si>
    <t>CB37192_Jun26</t>
  </si>
  <si>
    <t>Pran Chilli, Turmeric, Cumin for Vietnam</t>
  </si>
  <si>
    <t>CW37915_Jun26</t>
  </si>
  <si>
    <t>Princes Hair Brush</t>
  </si>
  <si>
    <t>haimonti apu</t>
  </si>
  <si>
    <t>CW37910_Jun26</t>
  </si>
  <si>
    <t>Jolpai Pickle 900g</t>
  </si>
  <si>
    <t>PRAN CHOCOBEAN TOFFEE (FEEDER SHAPE) (35G x 20 PCS)</t>
  </si>
  <si>
    <t>CB37291_Jun26</t>
  </si>
  <si>
    <t>CW38288_Jun26</t>
  </si>
  <si>
    <t>M&amp;S CHOCOLATE YUMMY CHOCOLATE BEAN 11G</t>
  </si>
  <si>
    <t>CB36572_Jun26</t>
  </si>
  <si>
    <t>CW38290_Jun26</t>
  </si>
  <si>
    <t xml:space="preserve">Text Corrections for Mama Wafer Chocolate </t>
  </si>
  <si>
    <t>CB37488_Jun26</t>
  </si>
  <si>
    <t>CW39000_Jul26</t>
  </si>
  <si>
    <t>PRAN Garam Masala 50g</t>
  </si>
  <si>
    <t>CW38285_Jun26</t>
  </si>
  <si>
    <t>Jhotpot Chicken Pizza</t>
  </si>
  <si>
    <t>CB37647_Jun26</t>
  </si>
  <si>
    <t>CW38287_Jun26</t>
  </si>
  <si>
    <t>Pran Plus Plus Tamarind Candy</t>
  </si>
  <si>
    <t>CB37769_Jun26</t>
  </si>
  <si>
    <t>CW38398_Jun26</t>
  </si>
  <si>
    <t>Choco Choco Paste 4g for Phillipine</t>
  </si>
  <si>
    <t>CB37770_Jun26</t>
  </si>
  <si>
    <t>CW38397_Jun26</t>
  </si>
  <si>
    <t>Treat Choco Candy Carton Design</t>
  </si>
  <si>
    <t>CB37524_Jun26</t>
  </si>
  <si>
    <t>CW39602_Jul26</t>
  </si>
  <si>
    <t>Pran Yummy Casew, Pistachio, Oats Cookies 42g for Phillipine</t>
  </si>
  <si>
    <t>CB37771_Jun26</t>
  </si>
  <si>
    <t>CW38396_Jun26</t>
  </si>
  <si>
    <t>Pran Instant Noodles Chicken Flavour</t>
  </si>
  <si>
    <t>CB37772_Jun26</t>
  </si>
  <si>
    <t>CW38395_Jun26</t>
  </si>
  <si>
    <t>Document Correction</t>
  </si>
  <si>
    <t>CB37797_Jun26</t>
  </si>
  <si>
    <t>*</t>
  </si>
  <si>
    <t>PRAN SALTINO COOKIES BISCUITS 75G</t>
  </si>
  <si>
    <t>CW38394_Jun26</t>
  </si>
  <si>
    <t>Pran Twiest Candy foil for KSA</t>
  </si>
  <si>
    <t>CB38442_Jul26</t>
  </si>
  <si>
    <t>CW39603_Jul26</t>
  </si>
  <si>
    <t>Pran Shero Cream Biscuit for Gulf Market</t>
  </si>
  <si>
    <t>Coffee Bite 42g for Indonesia</t>
  </si>
  <si>
    <t>CB38227_Jun26</t>
  </si>
  <si>
    <t>CW39604_Jul26</t>
  </si>
  <si>
    <t>Treat Chocolate Indonesia</t>
  </si>
  <si>
    <t>CB38206_Jun26</t>
  </si>
  <si>
    <t>CW39605_Jul26</t>
  </si>
  <si>
    <t>CB38228_Jun26</t>
  </si>
  <si>
    <t>CW39028_Jul26</t>
  </si>
  <si>
    <t>CB38330_Jul26</t>
  </si>
  <si>
    <t>Naples Maynoise 485g for Phillipine</t>
  </si>
  <si>
    <t>CB38296_Jul26</t>
  </si>
  <si>
    <t>PRAN APPLE FRUIT DRINK 1000M</t>
  </si>
  <si>
    <t>CB38357_Jul26</t>
  </si>
  <si>
    <t>CW39607_Jul26</t>
  </si>
  <si>
    <t>Pran Noodles BBQ Chicken Flavor 85g</t>
  </si>
  <si>
    <t>CB38358_Jul26</t>
  </si>
  <si>
    <t>CW39612_Jul26</t>
  </si>
  <si>
    <t>Pran Noodles Thailand 30g Chain Pack</t>
  </si>
  <si>
    <t>PRAN DRY CAKE ATC for EU</t>
  </si>
  <si>
    <t>CB38429_Jul26</t>
  </si>
  <si>
    <t>CW39613_Jul26</t>
  </si>
  <si>
    <t>CW39615_Jul26</t>
  </si>
  <si>
    <t>CB38459_Jul26</t>
  </si>
  <si>
    <t>CW39618_Jul26</t>
  </si>
  <si>
    <t>Bisk Club Shero Cream Roll for Phillipine</t>
  </si>
  <si>
    <t>CB38428_Jul26</t>
  </si>
  <si>
    <t>All time Bun</t>
  </si>
  <si>
    <t>CB36187_Jun26</t>
  </si>
  <si>
    <t>Developing format of Bran Belvita (Cinnamon flavor) Biscuits- 48g (Export) - KSA</t>
  </si>
  <si>
    <t>CB38606_Jul26</t>
  </si>
  <si>
    <t>Emira Paratha 1.6kg for EU</t>
  </si>
  <si>
    <t>CB38762</t>
  </si>
  <si>
    <t>Kulfigo Packaging</t>
  </si>
  <si>
    <t>CB21808_Apr26</t>
  </si>
  <si>
    <t>Treat Choco Bis 12g</t>
  </si>
  <si>
    <t>CB38833_Jul26</t>
  </si>
  <si>
    <t>Pran Elachi Cookies</t>
  </si>
  <si>
    <t>CB38554_Jul26</t>
  </si>
  <si>
    <t>Candy man acory for Phillipine</t>
  </si>
  <si>
    <t>CB38829_Jul26</t>
  </si>
  <si>
    <t>CW39656_Jul26</t>
  </si>
  <si>
    <t>NAPLES WASSABI MAYONNAISE 400 G</t>
  </si>
  <si>
    <t>CB38360_Jul26</t>
  </si>
  <si>
    <t>Sabiha Spice  recipe Mix Text Correction</t>
  </si>
  <si>
    <t>CB37317_Jun26</t>
  </si>
  <si>
    <t>Certificate correction</t>
  </si>
  <si>
    <t>CB37863_Jun26</t>
  </si>
  <si>
    <t>CW39132_Jul26</t>
  </si>
  <si>
    <t xml:space="preserve"> MOO JOY YOGURT FLAVORED MILK ADDED DRINK 80ML</t>
  </si>
  <si>
    <t>CB38924_Jul26</t>
  </si>
  <si>
    <t>CW39812_Jul26</t>
  </si>
  <si>
    <t xml:space="preserve"> MOO JOY GREEN APPLE FLAVORED MILK ADDED DRINK 80ML</t>
  </si>
  <si>
    <t>CB38923_Jul26</t>
  </si>
  <si>
    <t>CW39814_Jul26</t>
  </si>
  <si>
    <t xml:space="preserve"> MOO JOY ORANGE FLAVORED MILK ADDED DRINK 80ML</t>
  </si>
  <si>
    <t>CB38922_Jul26</t>
  </si>
  <si>
    <t>CW39818_Jul26</t>
  </si>
  <si>
    <t xml:space="preserve"> MOO JOY MANGO FLAVORED MILK ADDED DRINK 80ML</t>
  </si>
  <si>
    <t>CB38921_Jul26</t>
  </si>
  <si>
    <t>CW39820_Jul26</t>
  </si>
  <si>
    <t xml:space="preserve"> TREAT PULSE MANGO MASALA FLAVORED CANDY (3.6G x 200 Pcs)</t>
  </si>
  <si>
    <t>CB38908_Jul26</t>
  </si>
  <si>
    <t>CW39824_Jul26</t>
  </si>
  <si>
    <t>PRAN CHOCO CHOCO MEGA MANGO FLAVORED PASTE (8G x 100PCS)</t>
  </si>
  <si>
    <t>CB38835_Jul26</t>
  </si>
  <si>
    <t>CW39825_Jul26</t>
  </si>
  <si>
    <t>Pran Instant Noodles Chicken Curry Flavour 70g</t>
  </si>
  <si>
    <t>CB39030_Jul26</t>
  </si>
  <si>
    <t>CW39884_Jul26</t>
  </si>
  <si>
    <t>CB38978</t>
  </si>
  <si>
    <t>CB39067_Jul26</t>
  </si>
  <si>
    <t>CW39880_Jul26</t>
  </si>
  <si>
    <t>PRAN GREEN PEAS 400G</t>
  </si>
  <si>
    <t>CB39065_Jul26</t>
  </si>
  <si>
    <t>CW39882_Jul26</t>
  </si>
  <si>
    <t>PRAN SWEET CORN 400G</t>
  </si>
  <si>
    <t>CB39064_Jul26</t>
  </si>
  <si>
    <t>CW39883_Jul26</t>
  </si>
  <si>
    <t>Certificate</t>
  </si>
  <si>
    <t>Hurray Fruit Fantasy Phillipine</t>
  </si>
  <si>
    <t>The Shef Basil/ Chilli Leaves</t>
  </si>
  <si>
    <t>CB24555</t>
  </si>
  <si>
    <t>F</t>
  </si>
  <si>
    <t>CB18251_Feb26</t>
  </si>
  <si>
    <t>CW28341_Mar26</t>
  </si>
  <si>
    <t>Bisk Club Glucose Based Biscuit</t>
  </si>
  <si>
    <t>CB19037_Mar26</t>
  </si>
  <si>
    <t>CW28347_Mar26</t>
  </si>
  <si>
    <t>CB18284_Feb26</t>
  </si>
  <si>
    <t>CW28343_Mar26</t>
  </si>
  <si>
    <t>CW28340_Mar26</t>
  </si>
  <si>
    <t>CW28342_Mar26</t>
  </si>
  <si>
    <t>CB18316_Feb26</t>
  </si>
  <si>
    <t>CW28344_Mar26</t>
  </si>
  <si>
    <t>CW28338_Mar26</t>
  </si>
  <si>
    <t>CW28345_Mar26</t>
  </si>
  <si>
    <t>CW28332_Mar26</t>
  </si>
  <si>
    <t>CW28298_Mar26</t>
  </si>
  <si>
    <t>Bisk Club Coffee Bite</t>
  </si>
  <si>
    <t>CB18702_Mar26</t>
  </si>
  <si>
    <t>CW28346_Mar26</t>
  </si>
  <si>
    <t>CW28339_Mar26</t>
  </si>
  <si>
    <t>CW28460_Mar26</t>
  </si>
  <si>
    <t>CW28449_Mar26</t>
  </si>
  <si>
    <t>CB19084_Mar26</t>
  </si>
  <si>
    <t>CW28450_Mar26</t>
  </si>
  <si>
    <t>PRAN Ice Lolly</t>
  </si>
  <si>
    <t>CB19115_Mar26</t>
  </si>
  <si>
    <t>CW28455_Mar26</t>
  </si>
  <si>
    <t>CB18614_Mar26</t>
  </si>
  <si>
    <t>CW28453_Mar26</t>
  </si>
  <si>
    <t>CB19627_Mar26</t>
  </si>
  <si>
    <t>CW28461_Mar26</t>
  </si>
  <si>
    <t>CB19329_Mar26</t>
  </si>
  <si>
    <t>CW28502_Mar26</t>
  </si>
  <si>
    <t>CW28913_Apr26</t>
  </si>
  <si>
    <t>PRAN Badam Bhaja</t>
  </si>
  <si>
    <t>CB20159_Mar26</t>
  </si>
  <si>
    <t>CW29103_Apr26</t>
  </si>
  <si>
    <t>CB19411_Mar26</t>
  </si>
  <si>
    <t>CW29179_Apr26</t>
  </si>
  <si>
    <t>Bisk Club Glucose Biscuits</t>
  </si>
  <si>
    <t>CB19240_Mar26</t>
  </si>
  <si>
    <t>CW29193_Apr26</t>
  </si>
  <si>
    <t>CB19520_Mar26</t>
  </si>
  <si>
    <t>CW29181_Apr26</t>
  </si>
  <si>
    <t>CB19197_Mar26</t>
  </si>
  <si>
    <t>CW29192_Apr26</t>
  </si>
  <si>
    <t>CW29190_Apr26</t>
  </si>
  <si>
    <t>CW29281_Apr26</t>
  </si>
  <si>
    <t>CW29763_Apr26</t>
  </si>
  <si>
    <t>CB18705_Mar26</t>
  </si>
  <si>
    <t>CW29774_Apr26</t>
  </si>
  <si>
    <t>CW29775_Apr26</t>
  </si>
  <si>
    <t>CB21068_Apr26</t>
  </si>
  <si>
    <t>CW30064_Apr26</t>
  </si>
  <si>
    <t>CW30170_Apr26</t>
  </si>
  <si>
    <t>CW30256_Apr26</t>
  </si>
  <si>
    <t>CW30258_Apr26</t>
  </si>
  <si>
    <t>CW30316_Apr26</t>
  </si>
  <si>
    <t>CW30318_Apr26</t>
  </si>
  <si>
    <t>CB20677_Apr26</t>
  </si>
  <si>
    <t>CW30337_Apr26</t>
  </si>
  <si>
    <t>CB21774_Apr26</t>
  </si>
  <si>
    <t>CW30422_Apr26</t>
  </si>
  <si>
    <t>CB13450_Dec25</t>
  </si>
  <si>
    <t>CW30531_Apr26</t>
  </si>
  <si>
    <t>CB19717_Mar26</t>
  </si>
  <si>
    <t>CW30536_Apr26</t>
  </si>
  <si>
    <t>CB16886_Feb26</t>
  </si>
  <si>
    <t>CW31352_Apr26</t>
  </si>
  <si>
    <t>CW31771_Apr26</t>
  </si>
  <si>
    <t>CB22337_Apr26</t>
  </si>
  <si>
    <t>CW31773_Apr26</t>
  </si>
  <si>
    <t>CW31997_Apr26</t>
  </si>
  <si>
    <t>CB21032_Apr26</t>
  </si>
  <si>
    <t>CW32190_May26</t>
  </si>
  <si>
    <t>CB22998_Apr26</t>
  </si>
  <si>
    <t>CW32345_May26</t>
  </si>
  <si>
    <t>CB23246_May26</t>
  </si>
  <si>
    <t>CW32372_May26</t>
  </si>
  <si>
    <t>Comfy</t>
  </si>
  <si>
    <t>Sanjan Vai</t>
  </si>
  <si>
    <t>CB22974_Apr26</t>
  </si>
  <si>
    <t>CW32343_May26</t>
  </si>
  <si>
    <t>CB21856_Apr26</t>
  </si>
  <si>
    <t>CW32347_May26</t>
  </si>
  <si>
    <t>CB19045_Mar26</t>
  </si>
  <si>
    <t>CW32460_May26</t>
  </si>
  <si>
    <t>Pran Glucose Biscuits</t>
  </si>
  <si>
    <t>CB23342_May26</t>
  </si>
  <si>
    <t>CW32673_May26</t>
  </si>
  <si>
    <t>CB23350_May26</t>
  </si>
  <si>
    <t>CW32649_May26</t>
  </si>
  <si>
    <t>CB23534_May26</t>
  </si>
  <si>
    <t>CW32694_May26</t>
  </si>
  <si>
    <t>CB23541_May26</t>
  </si>
  <si>
    <t>CW32696_May26</t>
  </si>
  <si>
    <t>CB21513_Apr26</t>
  </si>
  <si>
    <t>CW32651_May26</t>
  </si>
  <si>
    <t>CB19897_Mar26</t>
  </si>
  <si>
    <t>CW32650_May26</t>
  </si>
  <si>
    <t>CW33119_May26</t>
  </si>
  <si>
    <t>CB23992_May26</t>
  </si>
  <si>
    <t>CW33161_May26</t>
  </si>
  <si>
    <t>CW33396_May26</t>
  </si>
  <si>
    <t>CB22064_Apr26</t>
  </si>
  <si>
    <t>CW33358_May26</t>
  </si>
  <si>
    <t>CB23333_May26</t>
  </si>
  <si>
    <t>CW33349_May26</t>
  </si>
  <si>
    <t>CB24100_May26</t>
  </si>
  <si>
    <t>CW33348_May26</t>
  </si>
  <si>
    <t>CB21089_Apr26</t>
  </si>
  <si>
    <t>CW33352_May26</t>
  </si>
  <si>
    <t>CB22313_Apr26</t>
  </si>
  <si>
    <t>CW33371_May26</t>
  </si>
  <si>
    <t>CB21517_Apr26</t>
  </si>
  <si>
    <t>CW33368_May26</t>
  </si>
  <si>
    <t>PRAN Chutney</t>
  </si>
  <si>
    <t>CB20501_Apr26</t>
  </si>
  <si>
    <t>CW33350_May26</t>
  </si>
  <si>
    <t>CB22148_Apr26</t>
  </si>
  <si>
    <t>CW33364_May26</t>
  </si>
  <si>
    <t>CB23871_May26</t>
  </si>
  <si>
    <t>CW33493_May26</t>
  </si>
  <si>
    <t>CB21686_Apr26</t>
  </si>
  <si>
    <t>CW33598_May26</t>
  </si>
  <si>
    <t>CB24187_May26</t>
  </si>
  <si>
    <t>CW33600_May26</t>
  </si>
  <si>
    <t>CB24281_May26</t>
  </si>
  <si>
    <t>CW33634_May26</t>
  </si>
  <si>
    <t>PRAN Potata</t>
  </si>
  <si>
    <t>CB20483_Mar26</t>
  </si>
  <si>
    <t>CW33787_May26</t>
  </si>
  <si>
    <t>CW33788_May26</t>
  </si>
  <si>
    <t>CB19820_Mar26</t>
  </si>
  <si>
    <t>CW33694_May26</t>
  </si>
  <si>
    <t>Kandyman</t>
  </si>
  <si>
    <t>CB22746_Apr26</t>
  </si>
  <si>
    <t>CW33792_May26</t>
  </si>
  <si>
    <t>Bro Crispy Candy</t>
  </si>
  <si>
    <t>CB24436_May26</t>
  </si>
  <si>
    <t>CW33789_May26</t>
  </si>
  <si>
    <t>CB24438_May26</t>
  </si>
  <si>
    <t>CW33842_May26</t>
  </si>
  <si>
    <t>CB24439_May26</t>
  </si>
  <si>
    <t>CW33845_May26</t>
  </si>
  <si>
    <t>CB21807_Apr26</t>
  </si>
  <si>
    <t>CW33872_May26</t>
  </si>
  <si>
    <t>CB22470_Apr26</t>
  </si>
  <si>
    <t>CW33971_May26</t>
  </si>
  <si>
    <t>Treat Coco Choco</t>
  </si>
  <si>
    <t>CB24424_May26</t>
  </si>
  <si>
    <t>Visiting/ ID Card design</t>
  </si>
  <si>
    <t>CW34051_May26</t>
  </si>
  <si>
    <t>CB19247_Mar26</t>
  </si>
  <si>
    <t>CW34131_May26</t>
  </si>
  <si>
    <t>CW34202_May26</t>
  </si>
  <si>
    <t>CB21932_Apr26</t>
  </si>
  <si>
    <t>CW34370_May26</t>
  </si>
  <si>
    <t>CB24743_May26</t>
  </si>
  <si>
    <t>CW34476_May26</t>
  </si>
  <si>
    <t>CB24733_May26</t>
  </si>
  <si>
    <t>CW34475_May26</t>
  </si>
  <si>
    <t>CB19525_Mar26</t>
  </si>
  <si>
    <t>CW34473_May26</t>
  </si>
  <si>
    <t>CW34653_May26</t>
  </si>
  <si>
    <t>CW34863_May26</t>
  </si>
  <si>
    <t>CW34921_May26</t>
  </si>
  <si>
    <t>CW34925_May26</t>
  </si>
  <si>
    <t>CW34929_May26</t>
  </si>
  <si>
    <t>CW34931_May26</t>
  </si>
  <si>
    <t>CW34932_May26</t>
  </si>
  <si>
    <t>CW35284_Jun26</t>
  </si>
  <si>
    <t>CW35348_Jun26</t>
  </si>
  <si>
    <t>CB25239_Jun26</t>
  </si>
  <si>
    <t>CW35331_Jun26</t>
  </si>
  <si>
    <t>CW35329_Jun26</t>
  </si>
  <si>
    <t>CB25240_Jun26</t>
  </si>
  <si>
    <t>CW35332_Jun26</t>
  </si>
  <si>
    <t xml:space="preserve">PRAN Lollipop Kulfi Caramel </t>
  </si>
  <si>
    <t>CB19393_Mar26</t>
  </si>
  <si>
    <t>PRAN ORANGE FLAVOURED CREAM BISCITS</t>
  </si>
  <si>
    <t>CB20524_Mar26</t>
  </si>
  <si>
    <t>CW36384_Jun26</t>
  </si>
  <si>
    <t>Lentil Soup-Pack Design</t>
  </si>
  <si>
    <t>Sumaiya Apu</t>
  </si>
  <si>
    <t>CB21014_Apr26</t>
  </si>
  <si>
    <t xml:space="preserve">Treat Choco Stick  20g X 24 Pcs X 6 Tray </t>
  </si>
  <si>
    <t>CB21178_Apr26</t>
  </si>
  <si>
    <t>PRAN Bhujia Mix Pack Design for Export</t>
  </si>
  <si>
    <t>CB17258_Feb26</t>
  </si>
  <si>
    <t>Pran Oh Cake Pandan &amp; Strawberry Flavor</t>
  </si>
  <si>
    <t>CB21095_Apr26</t>
  </si>
  <si>
    <t>CW35431_Jun26</t>
  </si>
  <si>
    <t>Pran Ice Lolly Assorted 78ml X 8 Pcs X 10 Pouch</t>
  </si>
  <si>
    <t>CB21765_Apr26</t>
  </si>
  <si>
    <t>Mayonnaise Africa</t>
  </si>
  <si>
    <t>CB21819_Apr26</t>
  </si>
  <si>
    <t>Ko-Lee Cup Noodles 65g</t>
  </si>
  <si>
    <t>CB21510_Apr26</t>
  </si>
  <si>
    <t>CB22500_Apr26</t>
  </si>
  <si>
    <t>CB22597_Apr26</t>
  </si>
  <si>
    <t>CW35697_Jun26</t>
  </si>
  <si>
    <t>CW35586_Jun26</t>
  </si>
  <si>
    <t>Drinko Float- Combodia</t>
  </si>
  <si>
    <t>CB22766_Apr26</t>
  </si>
  <si>
    <t>CW37110_Jun26</t>
  </si>
  <si>
    <t>Drinko Float- Vietnam</t>
  </si>
  <si>
    <t>CB22770_Apr26</t>
  </si>
  <si>
    <t>CW37230_Jun26</t>
  </si>
  <si>
    <t>Danish Butter Cookies Design</t>
  </si>
  <si>
    <t>CB19083_Mar26</t>
  </si>
  <si>
    <t>CW36118_Jun26</t>
  </si>
  <si>
    <t>Jar label of pran magic cup butterfly</t>
  </si>
  <si>
    <t>CB22762_Apr26</t>
  </si>
  <si>
    <t>CB22266_Apr26</t>
  </si>
  <si>
    <t>Tasty Treat Sandwich Packaging</t>
  </si>
  <si>
    <t>CW37173_Jun26</t>
  </si>
  <si>
    <t>CB24175_May26</t>
  </si>
  <si>
    <t>CB24168_May26</t>
  </si>
  <si>
    <t>CW39426_Jul26</t>
  </si>
  <si>
    <t>Fruit Fun Vanilla 18gm Local Output</t>
  </si>
  <si>
    <t>CB24272_May26</t>
  </si>
  <si>
    <t>CW37505_Jun26</t>
  </si>
  <si>
    <t>Radwa unprinted carton sticker for UK</t>
  </si>
  <si>
    <t>CB24479_May26</t>
  </si>
  <si>
    <t>CW35435_Jun26</t>
  </si>
  <si>
    <t xml:space="preserve">FRUITFIL CHEWING GUM </t>
  </si>
  <si>
    <t>CB24582_May26</t>
  </si>
  <si>
    <t>CW35587_Jun26</t>
  </si>
  <si>
    <t>Europa wafer</t>
  </si>
  <si>
    <t>CB24525_May26</t>
  </si>
  <si>
    <t>CW35931_Jun26</t>
  </si>
  <si>
    <t>Ripe N Fresh Sourcing</t>
  </si>
  <si>
    <t>CB24868_May26</t>
  </si>
  <si>
    <t>CW35959_Jun26</t>
  </si>
  <si>
    <t>CW36494_Jun26</t>
  </si>
  <si>
    <t>Snako Ring Chips</t>
  </si>
  <si>
    <t>CW36657_Jun26</t>
  </si>
  <si>
    <t>CB35371_Jun26</t>
  </si>
  <si>
    <t>CW36872_Jun26</t>
  </si>
  <si>
    <t>TREAT COCO CHOCO 30G x 20Pcs</t>
  </si>
  <si>
    <t>CW35458_Jun26</t>
  </si>
  <si>
    <t>Treat Coco Choco Coconut Bar 30g x 20 Pcs x 12 Box</t>
  </si>
  <si>
    <t>CB35375_Jun26</t>
  </si>
  <si>
    <t>CW36870_Jun26</t>
  </si>
  <si>
    <t>Pran Coffee Bite Biscuits 12g</t>
  </si>
  <si>
    <t>CB35484_Jun26</t>
  </si>
  <si>
    <t>Treat Pop Mega 10gm X15 Pcs X 20 Sticks</t>
  </si>
  <si>
    <t>CB35550_Jun26</t>
  </si>
  <si>
    <t>Treat Goldy Chocolate Coin 3g x 60 Pcs</t>
  </si>
  <si>
    <t>CB35588_Jun26</t>
  </si>
  <si>
    <t>CW38141_Jun26</t>
  </si>
  <si>
    <t>1L TP Malaysia</t>
  </si>
  <si>
    <t>CW35594_Jun26</t>
  </si>
  <si>
    <t>PRAN Vegetable &amp; Sweet Stickers</t>
  </si>
  <si>
    <t>CB35609_Jun26</t>
  </si>
  <si>
    <t>CW35595_Jun26</t>
  </si>
  <si>
    <t>CB35478_Jun26</t>
  </si>
  <si>
    <t>CB35737_Jun26</t>
  </si>
  <si>
    <t>CW38359_Jun26</t>
  </si>
  <si>
    <t>CW35803_Jun26</t>
  </si>
  <si>
    <t>CB35822_Jun26</t>
  </si>
  <si>
    <t>CW38358_Jun26</t>
  </si>
  <si>
    <t xml:space="preserve">Treat Soft Chewy Candy </t>
  </si>
  <si>
    <t>CB35830_Jun26</t>
  </si>
  <si>
    <t>CW36874_Jun26</t>
  </si>
  <si>
    <t>Pran Potata  Biscuits Regular 12.5g &amp; Spicy 12.5g</t>
  </si>
  <si>
    <t>CB35918_Jun26</t>
  </si>
  <si>
    <t>Treat Choco Choco Mega Chocolate, Strawberry, Milk Flavor 8g X 80 Pcs Jar</t>
  </si>
  <si>
    <t>CB35919_Jun26</t>
  </si>
  <si>
    <t>CB35960_Jun26</t>
  </si>
  <si>
    <t>CB19409_Mar26</t>
  </si>
  <si>
    <t>PRAN Sauce Ketchup</t>
  </si>
  <si>
    <t>CB22627_Apr26</t>
  </si>
  <si>
    <t>Lolliking Assorted Ecliar New design 300g</t>
  </si>
  <si>
    <t>CB35997_Jun26</t>
  </si>
  <si>
    <t>CW36351_Jun26</t>
  </si>
  <si>
    <t xml:space="preserve"> PRAN YUMMY BUTTER &amp; OATS COOKIES 42G</t>
  </si>
  <si>
    <t>CB36277_Jun26</t>
  </si>
  <si>
    <t>CB36301_Jun26</t>
  </si>
  <si>
    <t>CW36416_Jun26</t>
  </si>
  <si>
    <t>Soan Papdi Packaging</t>
  </si>
  <si>
    <t>CW38151_Jun26</t>
  </si>
  <si>
    <t>Butter Bun 55g</t>
  </si>
  <si>
    <t>CB36086_Jun26</t>
  </si>
  <si>
    <t>CW39974_Jul26</t>
  </si>
  <si>
    <t xml:space="preserve">All time Big Cookies Peanut, Sesame, Vanilla </t>
  </si>
  <si>
    <t>CB36451_Jun26</t>
  </si>
  <si>
    <t>CW36635_Jun26</t>
  </si>
  <si>
    <t>All Time Butter Toast Pouch Pack</t>
  </si>
  <si>
    <t>CB24796_May26</t>
  </si>
  <si>
    <t>Tasty Treat 4 types of Cookies</t>
  </si>
  <si>
    <t>CW39288_Jul26</t>
  </si>
  <si>
    <t>All Time Big Cookies carton</t>
  </si>
  <si>
    <t>CB36704_Jun26</t>
  </si>
  <si>
    <t>CW36901_Jun26</t>
  </si>
  <si>
    <t>PRAN NOODLES ( SPECIAL CHICKEN FLAVOR) 70G</t>
  </si>
  <si>
    <t>CB36725_Jun26</t>
  </si>
  <si>
    <t>CW37231_Jun26</t>
  </si>
  <si>
    <t>All Time Pineapple Cream Biscuit CTN Design</t>
  </si>
  <si>
    <t>CB36751_Jun26</t>
  </si>
  <si>
    <t>CW36982_Jun26</t>
  </si>
  <si>
    <t>CW37186_Jun26</t>
  </si>
  <si>
    <t>Vinegar Africa</t>
  </si>
  <si>
    <t>CW37009_Jun26</t>
  </si>
  <si>
    <t>Pack design - Spaghetti</t>
  </si>
  <si>
    <t>CB18738_Mar26</t>
  </si>
  <si>
    <t>CW37111_Jun26</t>
  </si>
  <si>
    <t>CB36739_Jun26</t>
  </si>
  <si>
    <t>CB36818_Jun26</t>
  </si>
  <si>
    <t>CW37914_Jun26</t>
  </si>
  <si>
    <t>Lolliking Assorted Eclair New design</t>
  </si>
  <si>
    <t>CW37112_Jun26</t>
  </si>
  <si>
    <t>Xcel Chewing Gum 8g</t>
  </si>
  <si>
    <t>CB36841_Jun26</t>
  </si>
  <si>
    <t>CW39856_Jul26</t>
  </si>
  <si>
    <t>PRAN DW Cartoon</t>
  </si>
  <si>
    <t>CB36793_Jun26</t>
  </si>
  <si>
    <t>CW37118_Jun26</t>
  </si>
  <si>
    <t>Crunchy Wafer USA</t>
  </si>
  <si>
    <t>CB36884_Jun26</t>
  </si>
  <si>
    <t>CW37233_Jun26</t>
  </si>
  <si>
    <t>PRAN Oh Cake 4 Flabvour (Combodia)</t>
  </si>
  <si>
    <t>CB37084_Jun26</t>
  </si>
  <si>
    <t>CW37911_Jun26</t>
  </si>
  <si>
    <t>Indya Jelly Drinks New design Australia Lid &amp; label</t>
  </si>
  <si>
    <t>CB37143_Jun26</t>
  </si>
  <si>
    <t>CW37460_Jun26</t>
  </si>
  <si>
    <t>CW38614_Jun26</t>
  </si>
  <si>
    <t>Jhotpot frozen label</t>
  </si>
  <si>
    <t>CW38611_Jun26</t>
  </si>
  <si>
    <t>OSI CLASSIC PUNJABI SAMOSA 75GMX25P BOX X 6 BOXES</t>
  </si>
  <si>
    <t>CB37450_Jun26</t>
  </si>
  <si>
    <t xml:space="preserve">Pran Fruit Drink Sticker for Australia </t>
  </si>
  <si>
    <t>CB37451_Jun26</t>
  </si>
  <si>
    <t>CW37925_Jun26</t>
  </si>
  <si>
    <t>Treat Chocolate Bean Bar 15g, 15g X 18 Pcs Plastic Box, 15g X 24 Pcs Atc Box</t>
  </si>
  <si>
    <t>CB17570_Feb26</t>
  </si>
  <si>
    <t>CW37959_Jun26</t>
  </si>
  <si>
    <t>DIVINO CHOCOLATE SMILE BOX 12G</t>
  </si>
  <si>
    <t>CB38234_Jun26</t>
  </si>
  <si>
    <t xml:space="preserve">Treat Chocolate Gems Hanger 48 Pcs </t>
  </si>
  <si>
    <t>CB38420_Jul26</t>
  </si>
  <si>
    <t>Super Milk Yoghurt Drinks Yoghurt, Mango, Orange, Green Apple, Strawberry Flavor 125ml</t>
  </si>
  <si>
    <t>CB38418_Jul26</t>
  </si>
  <si>
    <t>Henman's Hard Boiled Sweet Sherbet Shot Assorted 200g x 12 Pcs pouch</t>
  </si>
  <si>
    <t>CB38448_Jul26</t>
  </si>
  <si>
    <t>CW39074_Jul26</t>
  </si>
  <si>
    <t>Treat Menthol Candy 3.5g x 40 Pcs Pouch</t>
  </si>
  <si>
    <t>CB38472_Jul26</t>
  </si>
  <si>
    <t>Tasty Treat Dub Pudding Packaging Label(Patira Factory)</t>
  </si>
  <si>
    <t>CB37679_Jun26</t>
  </si>
  <si>
    <t>CW39281_Jul26</t>
  </si>
  <si>
    <t>Drinko Float 330ml Philippines Black Correction</t>
  </si>
  <si>
    <t>CB38614_Jul26</t>
  </si>
  <si>
    <t>CW39871_Jul26</t>
  </si>
  <si>
    <t>NF sticker</t>
  </si>
  <si>
    <t>CB38509_Jul26</t>
  </si>
  <si>
    <t>CW39302_Jul26</t>
  </si>
  <si>
    <t>CB38508_Jul26</t>
  </si>
  <si>
    <t>CW39298_Jul26</t>
  </si>
  <si>
    <t>Bowlful Carbonara Dailine Making</t>
  </si>
  <si>
    <t>CB38506_Jul26</t>
  </si>
  <si>
    <t>CW39299_Jul26</t>
  </si>
  <si>
    <t>Mr. Noodles NF Sticker</t>
  </si>
  <si>
    <t>CB38507_Jul26</t>
  </si>
  <si>
    <t>CW39300_Jul26</t>
  </si>
  <si>
    <t>Treat Pop Milk, Watermelon, Cola, Strawberry, Milk &amp; Mint, Orange, Blue Boy Ted Pop, Vampire Blood Pop 10g</t>
  </si>
  <si>
    <t>CB38830_Jul26</t>
  </si>
  <si>
    <t>Lolliking Easter Egg Hunt 200g &amp; 900g</t>
  </si>
  <si>
    <t>CB38876_Jul26</t>
  </si>
  <si>
    <t>Lolliking Easter Choc Mini Eggs 200g x 36pcs &amp; 900g x 8pcs</t>
  </si>
  <si>
    <t>CB38882_Jul26</t>
  </si>
  <si>
    <t>Chocolate Bun 55g</t>
  </si>
  <si>
    <t>CB36087_Jun26</t>
  </si>
  <si>
    <t>CW40006_Jul26</t>
  </si>
  <si>
    <t>CB19642_Mar26</t>
  </si>
  <si>
    <t>CW28217_Mar26</t>
  </si>
  <si>
    <t>CB20622_Apr26</t>
  </si>
  <si>
    <t>CW28928_Apr26</t>
  </si>
  <si>
    <t>CB20037_Mar26</t>
  </si>
  <si>
    <t>CW28915_Apr26</t>
  </si>
  <si>
    <t>CB18767_Mar26</t>
  </si>
  <si>
    <t>CW28940_Apr26</t>
  </si>
  <si>
    <t>CB20598_Apr26</t>
  </si>
  <si>
    <t>CW29095_Apr26</t>
  </si>
  <si>
    <t>CW29229_Apr26</t>
  </si>
  <si>
    <t>CW29312_Apr26</t>
  </si>
  <si>
    <t>CB20841_Apr26</t>
  </si>
  <si>
    <t>CW29268_Apr26</t>
  </si>
  <si>
    <t>CW29405_Apr26</t>
  </si>
  <si>
    <t>Potata</t>
  </si>
  <si>
    <t>CB21120_Apr26</t>
  </si>
  <si>
    <t>CW29581_Apr26</t>
  </si>
  <si>
    <t>RFL Kitchen Sink</t>
  </si>
  <si>
    <t>CB19943_Mar26</t>
  </si>
  <si>
    <t>CW29588_Apr26</t>
  </si>
  <si>
    <t>PRAN Potata- Singapore</t>
  </si>
  <si>
    <t>CB21503_Apr26</t>
  </si>
  <si>
    <t>CW29898_Apr26</t>
  </si>
  <si>
    <t>CB20676_Apr26</t>
  </si>
  <si>
    <t>CW29886_Apr26</t>
  </si>
  <si>
    <t>PRAN Chinigura Rice</t>
  </si>
  <si>
    <t>CB21268_Apr26</t>
  </si>
  <si>
    <t>CW30061_Apr26</t>
  </si>
  <si>
    <t>CB21616_Apr26</t>
  </si>
  <si>
    <t>CW30063_Apr26</t>
  </si>
  <si>
    <t>CB21299_Apr26</t>
  </si>
  <si>
    <t>CW30078_Apr26</t>
  </si>
  <si>
    <t>CB18336_Feb26</t>
  </si>
  <si>
    <t>CW30153_Apr26</t>
  </si>
  <si>
    <t>Mango bar</t>
  </si>
  <si>
    <t>CB19775_Mar26</t>
  </si>
  <si>
    <t>CW30154_Apr26</t>
  </si>
  <si>
    <t>Vision Washing Machine</t>
  </si>
  <si>
    <t>Sayed Vai</t>
  </si>
  <si>
    <t>CB21018_Apr26</t>
  </si>
  <si>
    <t>CW30151_Apr26</t>
  </si>
  <si>
    <t>CB16709_Jan26</t>
  </si>
  <si>
    <t>CW30149_Apr26</t>
  </si>
  <si>
    <t>CB21801_Apr26</t>
  </si>
  <si>
    <t>CW30298_Apr26</t>
  </si>
  <si>
    <t>Meher Apu</t>
  </si>
  <si>
    <t>CB21070_Apr26</t>
  </si>
  <si>
    <t>CW30352_Apr26</t>
  </si>
  <si>
    <t>CB21164_Apr26</t>
  </si>
  <si>
    <t>CW30377_Apr26</t>
  </si>
  <si>
    <t>CB21514_Apr26</t>
  </si>
  <si>
    <t>CW30555_Apr26</t>
  </si>
  <si>
    <t>CB22135_Apr26</t>
  </si>
  <si>
    <t>CW30737_Apr26</t>
  </si>
  <si>
    <t>Ayesha Apu</t>
  </si>
  <si>
    <t>CB21596_Apr26</t>
  </si>
  <si>
    <t>CW30824_Apr26</t>
  </si>
  <si>
    <t>CB22174_Apr26</t>
  </si>
  <si>
    <t>CW30810_Apr26</t>
  </si>
  <si>
    <t>Xpart Water Pump</t>
  </si>
  <si>
    <t>CB21505_Apr26</t>
  </si>
  <si>
    <t>CW31180_Apr26</t>
  </si>
  <si>
    <t>CW31564_Apr26</t>
  </si>
  <si>
    <t>CB22583_Apr26</t>
  </si>
  <si>
    <t>CW31806_Apr26</t>
  </si>
  <si>
    <t>CB22779_Apr26</t>
  </si>
  <si>
    <t>CW31778_Apr26</t>
  </si>
  <si>
    <t>CB22958_Apr26</t>
  </si>
  <si>
    <t>CW32024_Apr26</t>
  </si>
  <si>
    <t>CW32063_Apr26</t>
  </si>
  <si>
    <t>CB23060_May26</t>
  </si>
  <si>
    <t>CW32189_May26</t>
  </si>
  <si>
    <t>CB22151_Apr26</t>
  </si>
  <si>
    <t>CW32163_May26</t>
  </si>
  <si>
    <t>Duranta Sports Galley</t>
  </si>
  <si>
    <t>Asif Abdullah Vai</t>
  </si>
  <si>
    <t>CB22886_Apr26</t>
  </si>
  <si>
    <t>CW32352_May26</t>
  </si>
  <si>
    <t>CB23364_May26</t>
  </si>
  <si>
    <t>CW32491_May26</t>
  </si>
  <si>
    <t>CB15779_Jan26</t>
  </si>
  <si>
    <t>CW32498_May26</t>
  </si>
  <si>
    <t>CB22221_Apr26</t>
  </si>
  <si>
    <t>CW32506_May26</t>
  </si>
  <si>
    <t>CB21841_Apr26</t>
  </si>
  <si>
    <t>CW32466_May26</t>
  </si>
  <si>
    <t>CB23363_May26</t>
  </si>
  <si>
    <t>CW32584_May26</t>
  </si>
  <si>
    <t>Property Lift</t>
  </si>
  <si>
    <t>BLIL</t>
  </si>
  <si>
    <t>Masud Vai</t>
  </si>
  <si>
    <t>CB23254_May26</t>
  </si>
  <si>
    <t>CW32760_May26</t>
  </si>
  <si>
    <t>CW32722_May26</t>
  </si>
  <si>
    <t>CB23352_May26</t>
  </si>
  <si>
    <t>CW32867_May26</t>
  </si>
  <si>
    <t>CB23206_May26</t>
  </si>
  <si>
    <t>CW32894_May26</t>
  </si>
  <si>
    <t>CB23454_May26</t>
  </si>
  <si>
    <t>CW33116_May26</t>
  </si>
  <si>
    <t>CW33105_May26</t>
  </si>
  <si>
    <t>CW33259_May26</t>
  </si>
  <si>
    <t>CB22289_Apr26</t>
  </si>
  <si>
    <t>CW33496_May26</t>
  </si>
  <si>
    <t>CB24287_May26</t>
  </si>
  <si>
    <t>CW33619_May26</t>
  </si>
  <si>
    <t>Pran Rice Crackers</t>
  </si>
  <si>
    <t>CB21728_Apr26</t>
  </si>
  <si>
    <t>CW33637_May26</t>
  </si>
  <si>
    <t>CB24295_May26</t>
  </si>
  <si>
    <t>CW33588_May26</t>
  </si>
  <si>
    <t>CW33593_May26</t>
  </si>
  <si>
    <t>CB23439_May26</t>
  </si>
  <si>
    <t>CW33583_May26</t>
  </si>
  <si>
    <t>CB21399_Apr26</t>
  </si>
  <si>
    <t>CW33614_May26</t>
  </si>
  <si>
    <t>CB23804_May26</t>
  </si>
  <si>
    <t>CW33780_May26</t>
  </si>
  <si>
    <t>CB24659_May26</t>
  </si>
  <si>
    <t>CW34185_May26</t>
  </si>
  <si>
    <t>CW34127_May26</t>
  </si>
  <si>
    <t>CW34146_May26</t>
  </si>
  <si>
    <t>CB24825_May26</t>
  </si>
  <si>
    <t>CW34374_May26</t>
  </si>
  <si>
    <t>CB23613_May26</t>
  </si>
  <si>
    <t>CW34323_May26</t>
  </si>
  <si>
    <t>CW34329_May26</t>
  </si>
  <si>
    <t>CW34325_May26</t>
  </si>
  <si>
    <t>CW34327_May26</t>
  </si>
  <si>
    <t>CB23854_May26</t>
  </si>
  <si>
    <t>CW34333_May26</t>
  </si>
  <si>
    <t>CW34330_May26</t>
  </si>
  <si>
    <t>CW34487_May26</t>
  </si>
  <si>
    <t>CB22956_Apr26</t>
  </si>
  <si>
    <t>CW34506_May26</t>
  </si>
  <si>
    <t>Vision LED TV</t>
  </si>
  <si>
    <t>CB23801_May26</t>
  </si>
  <si>
    <t>CW34930_May26</t>
  </si>
  <si>
    <t>CW35008_May26</t>
  </si>
  <si>
    <t>CB24836_May26</t>
  </si>
  <si>
    <t>CW35091_May26</t>
  </si>
  <si>
    <t>CB23940_May26</t>
  </si>
  <si>
    <t>CW35087_May26</t>
  </si>
  <si>
    <t>CW35107_May26</t>
  </si>
  <si>
    <t>CW35009_May26</t>
  </si>
  <si>
    <t>Ajina Clock</t>
  </si>
  <si>
    <t>CB25027_May26</t>
  </si>
  <si>
    <t>CW35278_Jun26</t>
  </si>
  <si>
    <t>CB35264_Jun26</t>
  </si>
  <si>
    <t>CW35352_Jun26</t>
  </si>
  <si>
    <t>CB35293_Jun26</t>
  </si>
  <si>
    <t>CW35459_Jun26</t>
  </si>
  <si>
    <t>Tasty Treat - Tasty Treat Cafe</t>
  </si>
  <si>
    <t>CW35440_Jun26</t>
  </si>
  <si>
    <t>BBMT - Sticky Adhesive</t>
  </si>
  <si>
    <t>Shahir Vai</t>
  </si>
  <si>
    <t>CB24503_May26</t>
  </si>
  <si>
    <t>CW35689_Jun26</t>
  </si>
  <si>
    <t>CB35548_Jun26</t>
  </si>
  <si>
    <t>CW35733_Jun26</t>
  </si>
  <si>
    <t>REL - Vision Refrigerator</t>
  </si>
  <si>
    <t>Mujdalifa Apu</t>
  </si>
  <si>
    <t>CB25182_May26</t>
  </si>
  <si>
    <t>CW35727_Jun26</t>
  </si>
  <si>
    <t>DPL - Jim &amp; Jolly Toys</t>
  </si>
  <si>
    <t>CW35815_Jun26</t>
  </si>
  <si>
    <t>BBL - Pran Potata</t>
  </si>
  <si>
    <t>CB35465_Jun26</t>
  </si>
  <si>
    <t>CW35824_Jun26</t>
  </si>
  <si>
    <t>Tasty Treat Burger Bun Sticker</t>
  </si>
  <si>
    <t>CB24591_May26</t>
  </si>
  <si>
    <t>CW36211_Jun26</t>
  </si>
  <si>
    <t>Header card design for Fantasy Animal series (Jungle, Forest, Safari)</t>
  </si>
  <si>
    <t>CB35396_Jun26</t>
  </si>
  <si>
    <t>CW36210_Jun26</t>
  </si>
  <si>
    <t>Cheer Up Branding Sticker</t>
  </si>
  <si>
    <t>CB36034_Jun26</t>
  </si>
  <si>
    <t>CW36314_Jun26</t>
  </si>
  <si>
    <t>CB36123_Jun26</t>
  </si>
  <si>
    <t>Tasty Treat Danish Butter Cookies</t>
  </si>
  <si>
    <t>CW36358_Jun26</t>
  </si>
  <si>
    <t>Treat Goldy Coin</t>
  </si>
  <si>
    <t>CB24813_May26</t>
  </si>
  <si>
    <t>CW36613_Jun26</t>
  </si>
  <si>
    <t>CW37041_Jun26</t>
  </si>
  <si>
    <t>Bisk Club Elachi Cookies 14g</t>
  </si>
  <si>
    <t>CB17055_Feb26</t>
  </si>
  <si>
    <t>Shine Teflon Tape Carton</t>
  </si>
  <si>
    <t>CB22255_Apr26</t>
  </si>
  <si>
    <t>CW36524_Jun26</t>
  </si>
  <si>
    <t>Pran Toast Shop Sticker</t>
  </si>
  <si>
    <t>CB23573_May26</t>
  </si>
  <si>
    <t>CW36543_Jun26</t>
  </si>
  <si>
    <t>STAR LIGHT CANDY- 3 Flavors (STRAWBERRY, ORANGE, LEMON)</t>
  </si>
  <si>
    <t>CB36251_Jun26</t>
  </si>
  <si>
    <t>CW36615_Jun26</t>
  </si>
  <si>
    <t>RFL Belcha Sticker</t>
  </si>
  <si>
    <t>CB21323_Apr26</t>
  </si>
  <si>
    <t>CW36662_Jun26</t>
  </si>
  <si>
    <t>Philippines - PRAN DAIRY LTD. PIP - ALL</t>
  </si>
  <si>
    <t>CB36508_Jun26</t>
  </si>
  <si>
    <t>CW36737_Jun26</t>
  </si>
  <si>
    <t>PRAN BBQ CHANACHUR Sticker</t>
  </si>
  <si>
    <t>CB25248_Jun26</t>
  </si>
  <si>
    <t>CW36740_Jun26</t>
  </si>
  <si>
    <t xml:space="preserve">Philippines - PRAN DAIRY LTD. PIP - ALL
</t>
  </si>
  <si>
    <t>CB36570_Jun26</t>
  </si>
  <si>
    <t>CW37208_Jun26</t>
  </si>
  <si>
    <t>CB36578</t>
  </si>
  <si>
    <t xml:space="preserve">LOOPS (MINT FLAVOR) (15G x 20 pcs) </t>
  </si>
  <si>
    <t>Rainbow Paints Water Based Putty</t>
  </si>
  <si>
    <t>Asif Vai</t>
  </si>
  <si>
    <t>CB23521_May26</t>
  </si>
  <si>
    <t>CW36796_Jun26</t>
  </si>
  <si>
    <t>Rainbow Paints Water Based Sealer</t>
  </si>
  <si>
    <t>CB18822_Mar26</t>
  </si>
  <si>
    <t>CW36798_Jun26</t>
  </si>
  <si>
    <t>PRAN POTATA SPICY FLAVOURED BISCUITS</t>
  </si>
  <si>
    <t>CB36612_Jun26</t>
  </si>
  <si>
    <t>CW37206_Jun26</t>
  </si>
  <si>
    <t>Jim &amp; Jolly Bubble Bucket Blaster Sticker Lebel</t>
  </si>
  <si>
    <t>CW37083_Jun26</t>
  </si>
  <si>
    <t>Teasty Treat Fermented Milk Tok Doi</t>
  </si>
  <si>
    <t>CB36368_Jun26</t>
  </si>
  <si>
    <t>CW37081_Jun26</t>
  </si>
  <si>
    <t>PRAN MANGO DRINK  Sticker</t>
  </si>
  <si>
    <t>CB36656_Jun26</t>
  </si>
  <si>
    <t>CW37203_Jun26</t>
  </si>
  <si>
    <t>Humza Importer Sticker</t>
  </si>
  <si>
    <t>CB36706_Jun26</t>
  </si>
  <si>
    <t>CW37204_Jun26</t>
  </si>
  <si>
    <t>ALL TIME WOW POTATA ORIGINAL BISCUITS 15G</t>
  </si>
  <si>
    <t>CB36691_Jun26</t>
  </si>
  <si>
    <t>CW37205_Jun26</t>
  </si>
  <si>
    <t>HURRAY GEMS CHOCOLATE (11G x 24 pcs)</t>
  </si>
  <si>
    <t>SUPPORT PE FOAM All Size</t>
  </si>
  <si>
    <t>CB36839_Jun26</t>
  </si>
  <si>
    <t>CW37289_Jun26</t>
  </si>
  <si>
    <t>Jolpai Achar 400g for KSA</t>
  </si>
  <si>
    <t>CW37313_Jun26</t>
  </si>
  <si>
    <t>Asian Food Group Importer Sticker</t>
  </si>
  <si>
    <t>CB36707_Jun26</t>
  </si>
  <si>
    <t>CW37314_Jun26</t>
  </si>
  <si>
    <t>Jim &amp; Jolly_Sand Sieve Tag</t>
  </si>
  <si>
    <t>CB37096_Jun26</t>
  </si>
  <si>
    <t>CW37428_Jun26</t>
  </si>
  <si>
    <t>Vision AC Week Leaflet</t>
  </si>
  <si>
    <t>CB36662_Jun26</t>
  </si>
  <si>
    <t>CW37441_Jun26</t>
  </si>
  <si>
    <t>Tasty Treat Jhal Chanachur 400g</t>
  </si>
  <si>
    <t xml:space="preserve">Akhi Apu </t>
  </si>
  <si>
    <t>CB35365_Jun26</t>
  </si>
  <si>
    <t>CW37508_Jun26</t>
  </si>
  <si>
    <t>Bizli Cables Sticker, Memo &amp; Note Pad</t>
  </si>
  <si>
    <t>Bizli Cables</t>
  </si>
  <si>
    <t>Rabbi Vai</t>
  </si>
  <si>
    <t>CB36516_Jun26</t>
  </si>
  <si>
    <t>CW37534_Jun26</t>
  </si>
  <si>
    <t>Asif vai</t>
  </si>
  <si>
    <t>CW37556_Jun26</t>
  </si>
  <si>
    <t>CB23782_All Time Borfi cookies_BBL</t>
  </si>
  <si>
    <t>CW37602_Jun26</t>
  </si>
  <si>
    <t>CB36740_kids wardrobe</t>
  </si>
  <si>
    <t>Rakib Vaiya</t>
  </si>
  <si>
    <t>CB36740_Jun26</t>
  </si>
  <si>
    <t>CW37652_Jun26</t>
  </si>
  <si>
    <t>CB36382_TVS Genuine Parts Dangler</t>
  </si>
  <si>
    <t>CB36382_Jun26</t>
  </si>
  <si>
    <t>CW37758_Jun26</t>
  </si>
  <si>
    <t>Pran Pickle All Flavour Jar Lebel for USA</t>
  </si>
  <si>
    <t>CB24488_May26</t>
  </si>
  <si>
    <t>CW37908_Jun26</t>
  </si>
  <si>
    <t>Pran Oh Cake ChocoMilk, Banana, Pandan, Strawberry 16g X 20 Pcs Atc box (Combodia)</t>
  </si>
  <si>
    <t>CW37942_Jun26</t>
  </si>
  <si>
    <t>Pran Oh Cake Banana, Strawberry, Choco-Milk, Pandan 16g x 20 Pcs Atc Box (Vietnam)</t>
  </si>
  <si>
    <t>CW37945_Jun26</t>
  </si>
  <si>
    <t>PRAN Special Dry Cake 380g for Malaysia</t>
  </si>
  <si>
    <t>CB37568_Jun26</t>
  </si>
  <si>
    <t>CW38053_Jun26</t>
  </si>
  <si>
    <t>PRAN Lolli Island Assorted Pop Sticker &amp;  Jar Lebel for Italy</t>
  </si>
  <si>
    <t>Princess Hair Brush Catalogue</t>
  </si>
  <si>
    <t>Haimonti Apu</t>
  </si>
  <si>
    <t>CB25139_May26</t>
  </si>
  <si>
    <t>CW38386_Jun26</t>
  </si>
  <si>
    <t>PRAN Potata Thin Paper Hanger for (Vietnam)</t>
  </si>
  <si>
    <t>CW38399_Jun26</t>
  </si>
  <si>
    <t>Jar Design development</t>
  </si>
  <si>
    <t>CB36096</t>
  </si>
  <si>
    <t>All Time Elachi Cookies</t>
  </si>
  <si>
    <t>CB23782</t>
  </si>
  <si>
    <t>Tasty Treat PVC Board Menu Card</t>
  </si>
  <si>
    <t>CB38347_Jul26</t>
  </si>
  <si>
    <t>CW39013_Jul26</t>
  </si>
  <si>
    <t xml:space="preserve">Vision Emporium Discount Cupon </t>
  </si>
  <si>
    <t>CB37352_Jun26</t>
  </si>
  <si>
    <t>CW39036_Jul26</t>
  </si>
  <si>
    <t>T-shirt Design For Rainbow Paints</t>
  </si>
  <si>
    <t>Runa Apu</t>
  </si>
  <si>
    <t>CB36906_Jun26</t>
  </si>
  <si>
    <t>CW39253_Jul26</t>
  </si>
  <si>
    <t>Jom Mosquito Coil Leaflet</t>
  </si>
  <si>
    <t>Shaibal Vaiya</t>
  </si>
  <si>
    <t>CB37311_Jun26</t>
  </si>
  <si>
    <t>CW39301_Jul26</t>
  </si>
  <si>
    <t>Jom Mosquito Coil T-shirt &amp; Cap</t>
  </si>
  <si>
    <t>Belgio Assorted Bars 5 in 1 Atc Box</t>
  </si>
  <si>
    <t>CB38531_Jul26</t>
  </si>
  <si>
    <t>CW39408_Jul26</t>
  </si>
  <si>
    <t>Belgio Assorted Bars 5 in 1 Tray</t>
  </si>
  <si>
    <t>Tasty Treat Coconut Pudding 80g &amp;150g</t>
  </si>
  <si>
    <t>CW39413_Jul26</t>
  </si>
  <si>
    <t>PRAN Yogurt Drink Adhesive Sticker Malaysia X3</t>
  </si>
  <si>
    <t>CB38598_Jul26</t>
  </si>
  <si>
    <t>CW39418_Jul26</t>
  </si>
  <si>
    <t>Hurray Chocolate Gems 32g Tag &amp; 32g x 20 Pcs Jar Label for Nepal</t>
  </si>
  <si>
    <t>CB38696_Jul26</t>
  </si>
  <si>
    <t>CW39444_Jul26</t>
  </si>
  <si>
    <t>PRAN Sauce Carton</t>
  </si>
  <si>
    <t>CB38650_Jul26</t>
  </si>
  <si>
    <t>CW39590_Jul26</t>
  </si>
  <si>
    <t>Pran Tea Export stickers for mihas far</t>
  </si>
  <si>
    <t>Zubair Vai</t>
  </si>
  <si>
    <t>CB38751_Jul26</t>
  </si>
  <si>
    <t>CW39898_Jul26</t>
  </si>
  <si>
    <t>Output file for Vision Style Catalogue 2026</t>
  </si>
  <si>
    <t>CB36958_Jun26</t>
  </si>
  <si>
    <t>CW39896_Jul26</t>
  </si>
  <si>
    <t>PRAN Lolli Pop Assorted Fruit Flavoured 9g x 36 Pcs Jar Label (Malaysia)</t>
  </si>
  <si>
    <t>CB20166_Mar26</t>
  </si>
  <si>
    <t>CW28223_Mar26</t>
  </si>
  <si>
    <t>CW28230_Mar26</t>
  </si>
  <si>
    <t>CB20152_Mar26</t>
  </si>
  <si>
    <t>CW28315_Mar26</t>
  </si>
  <si>
    <t>CW28323_Mar26</t>
  </si>
  <si>
    <t>CB20394_Mar26</t>
  </si>
  <si>
    <t>CW28517_Mar26</t>
  </si>
  <si>
    <t>CB19791_Mar26</t>
  </si>
  <si>
    <t>CW28404_Mar26</t>
  </si>
  <si>
    <t>CB13958_Dec25</t>
  </si>
  <si>
    <t>CW28789_Mar26</t>
  </si>
  <si>
    <t>CW28946_Apr26</t>
  </si>
  <si>
    <t>Jhatpot</t>
  </si>
  <si>
    <t>CB20048_Mar26</t>
  </si>
  <si>
    <t>CW29081_Apr26</t>
  </si>
  <si>
    <t>CW29136_Apr26</t>
  </si>
  <si>
    <t>CB20040_Mar26</t>
  </si>
  <si>
    <t>CW29214_Apr26</t>
  </si>
  <si>
    <t>CB20906_Apr26</t>
  </si>
  <si>
    <t>CW29318_Apr26</t>
  </si>
  <si>
    <t>CB20784_Apr26</t>
  </si>
  <si>
    <t>CW29321_Apr26</t>
  </si>
  <si>
    <t>CB20990_Apr26</t>
  </si>
  <si>
    <t>CW29467_Apr26</t>
  </si>
  <si>
    <t>CW29416_Apr26</t>
  </si>
  <si>
    <t>CB21013_Apr26</t>
  </si>
  <si>
    <t>CW29785_Apr26</t>
  </si>
  <si>
    <t>CB21229_Apr26</t>
  </si>
  <si>
    <t>CW29765_Apr26</t>
  </si>
  <si>
    <t>CW29883_Apr26</t>
  </si>
  <si>
    <t>CW29912_Apr26</t>
  </si>
  <si>
    <t>CB19684_Mar26</t>
  </si>
  <si>
    <t>CW29927_Apr26</t>
  </si>
  <si>
    <t>CB21453_Apr26</t>
  </si>
  <si>
    <t>CW29921_Apr26</t>
  </si>
  <si>
    <t>Sreejon Vai</t>
  </si>
  <si>
    <t>CB19370_Mar26</t>
  </si>
  <si>
    <t>CW30027_Apr26</t>
  </si>
  <si>
    <t>CB19557_Mar26</t>
  </si>
  <si>
    <t>CW30067_Apr26</t>
  </si>
  <si>
    <t>CB20751_Apr26</t>
  </si>
  <si>
    <t>CW30264_Apr26</t>
  </si>
  <si>
    <t>CB21471_Apr26</t>
  </si>
  <si>
    <t>CW30296_Apr26</t>
  </si>
  <si>
    <t>Bisk Club Sugar Free</t>
  </si>
  <si>
    <t>CB21756_Apr26</t>
  </si>
  <si>
    <t>CW30366_Apr26</t>
  </si>
  <si>
    <t>CB21794_Apr26</t>
  </si>
  <si>
    <t>CW30336_Apr26</t>
  </si>
  <si>
    <t>CB19459_Mar26</t>
  </si>
  <si>
    <t>CW30459_Apr26</t>
  </si>
  <si>
    <t>CB21989_Apr26</t>
  </si>
  <si>
    <t>CW30547_Apr26</t>
  </si>
  <si>
    <t>CW30744_Apr26</t>
  </si>
  <si>
    <t>CW30752_Apr26</t>
  </si>
  <si>
    <t>CB22133_Apr26</t>
  </si>
  <si>
    <t>CW30865_Apr26</t>
  </si>
  <si>
    <t>CB20930_Apr26</t>
  </si>
  <si>
    <t>CW31029_Apr26</t>
  </si>
  <si>
    <t>CB22104_Apr26</t>
  </si>
  <si>
    <t>CW31159_Apr26</t>
  </si>
  <si>
    <t>CB18043_Feb26</t>
  </si>
  <si>
    <t>CW31221_Apr26</t>
  </si>
  <si>
    <t>CB20861_Apr26</t>
  </si>
  <si>
    <t>CW29254_Apr26</t>
  </si>
  <si>
    <t>CB15275_Jan26</t>
  </si>
  <si>
    <t>CW29263_Apr26</t>
  </si>
  <si>
    <t>CB19021_Mar26</t>
  </si>
  <si>
    <t>CW29495_Apr26</t>
  </si>
  <si>
    <t>Cosmic upvc window</t>
  </si>
  <si>
    <t>CB19162_Mar26</t>
  </si>
  <si>
    <t>CW29500_Apr26</t>
  </si>
  <si>
    <t>CB20381_Mar26</t>
  </si>
  <si>
    <t>CW29492_Apr26</t>
  </si>
  <si>
    <t>CW29529_Apr26</t>
  </si>
  <si>
    <t>CB16256_Jan26</t>
  </si>
  <si>
    <t>CW29494_Apr26</t>
  </si>
  <si>
    <t>CB19996_Mar26</t>
  </si>
  <si>
    <t>CW29509_Apr26</t>
  </si>
  <si>
    <t>CB19512_Mar26</t>
  </si>
  <si>
    <t>CW29508_Apr26</t>
  </si>
  <si>
    <t>CB19143_Mar26</t>
  </si>
  <si>
    <t>CW29504_Apr26</t>
  </si>
  <si>
    <t>CB19511_Mar26</t>
  </si>
  <si>
    <t>CW29506_Apr26</t>
  </si>
  <si>
    <t>CB17944_Feb26</t>
  </si>
  <si>
    <t>CW29493_Apr26</t>
  </si>
  <si>
    <t>CW29485_Apr26</t>
  </si>
  <si>
    <t>CW29541_Apr26</t>
  </si>
  <si>
    <t>CW29523_Apr26</t>
  </si>
  <si>
    <t>CW29489_Apr26</t>
  </si>
  <si>
    <t>CB16852_Feb26</t>
  </si>
  <si>
    <t>CW29497_Apr26</t>
  </si>
  <si>
    <t>CB21191_Apr26</t>
  </si>
  <si>
    <t>CW29624_Apr26</t>
  </si>
  <si>
    <t>CW29576_Apr26</t>
  </si>
  <si>
    <t>CB20466_Mar26</t>
  </si>
  <si>
    <t>CW29575_Apr26</t>
  </si>
  <si>
    <t>Drinking Water</t>
  </si>
  <si>
    <t>CB20158_Mar26</t>
  </si>
  <si>
    <t>CW29625_Apr26</t>
  </si>
  <si>
    <t>CB21406_Apr26</t>
  </si>
  <si>
    <t>CW29940_Apr26</t>
  </si>
  <si>
    <t>CW30730_Apr26</t>
  </si>
  <si>
    <t>CB19194_Mar26</t>
  </si>
  <si>
    <t>CW32137_May26</t>
  </si>
  <si>
    <t>CB15084_Jan26</t>
  </si>
  <si>
    <t>CW32127_May26</t>
  </si>
  <si>
    <t>Mr. Noodles Ramen</t>
  </si>
  <si>
    <t>CB17812_Feb26</t>
  </si>
  <si>
    <t>CW32126_May26</t>
  </si>
  <si>
    <t>CW32144_May26</t>
  </si>
  <si>
    <t>CW32147_May26</t>
  </si>
  <si>
    <t>CB22349_Apr26</t>
  </si>
  <si>
    <t>CW32149_May26</t>
  </si>
  <si>
    <t>CW32139_May26</t>
  </si>
  <si>
    <t>CW32468_May26</t>
  </si>
  <si>
    <t>PRAN Fruitfun</t>
  </si>
  <si>
    <t>CB22595_Apr26</t>
  </si>
  <si>
    <t>CW32469_May26</t>
  </si>
  <si>
    <t>CB19534_Mar26</t>
  </si>
  <si>
    <t>CW32583_May26</t>
  </si>
  <si>
    <t>CW32691_May26</t>
  </si>
  <si>
    <t>CB23609_May26</t>
  </si>
  <si>
    <t>CW33032_May26</t>
  </si>
  <si>
    <t>CW33251_May26</t>
  </si>
  <si>
    <t>CW33515_May26</t>
  </si>
  <si>
    <t>CW33616_May26</t>
  </si>
  <si>
    <t>PRAN Magic Stick</t>
  </si>
  <si>
    <t>CB17963_Feb26</t>
  </si>
  <si>
    <t>CW33715_May26</t>
  </si>
  <si>
    <t>PRAN Litchi</t>
  </si>
  <si>
    <t>CB15671_Jan26</t>
  </si>
  <si>
    <t>CW33713_May26</t>
  </si>
  <si>
    <t>CW33726_May26</t>
  </si>
  <si>
    <t>CW33728_May26</t>
  </si>
  <si>
    <t>CB24155_May26</t>
  </si>
  <si>
    <t>CW33722_May26</t>
  </si>
  <si>
    <t>CW33730_May26</t>
  </si>
  <si>
    <t>CW33700_May26</t>
  </si>
  <si>
    <t>CB24519_May26</t>
  </si>
  <si>
    <t>CW33893_May26</t>
  </si>
  <si>
    <t>CB24564_May26</t>
  </si>
  <si>
    <t>CW33935_May26</t>
  </si>
  <si>
    <t>PRAN Love Jello</t>
  </si>
  <si>
    <t>CB22921_Apr26</t>
  </si>
  <si>
    <t>CW34189_May26</t>
  </si>
  <si>
    <t>CB24581_May26</t>
  </si>
  <si>
    <t>CW34380_May26</t>
  </si>
  <si>
    <t>CW34360_May26</t>
  </si>
  <si>
    <t>CB24838_May26</t>
  </si>
  <si>
    <t>CW34359_May26</t>
  </si>
  <si>
    <t>CB24595_May26</t>
  </si>
  <si>
    <t>CW34492_May26</t>
  </si>
  <si>
    <t>Client Name</t>
  </si>
  <si>
    <t>Worktype</t>
  </si>
  <si>
    <t>Subtype</t>
  </si>
  <si>
    <t>Active Designer Sheet</t>
  </si>
  <si>
    <t>Active Designer Name</t>
  </si>
  <si>
    <t>ATC BOX</t>
  </si>
  <si>
    <t>Shohag_S188138</t>
  </si>
  <si>
    <t>Jyotirmay Sarker (S188138)</t>
  </si>
  <si>
    <t>Faruk_521288</t>
  </si>
  <si>
    <t>Faruk Hossain (521288)</t>
  </si>
  <si>
    <t>Background Remove/Image Resize</t>
  </si>
  <si>
    <t>Iasin_S204960</t>
  </si>
  <si>
    <t>Md Iasin Ahmed Showrov (S204960)</t>
  </si>
  <si>
    <t>Sani_S223034</t>
  </si>
  <si>
    <t>Masud Parvez Sani (S223034)</t>
  </si>
  <si>
    <t>Branding</t>
  </si>
  <si>
    <t>Azizul_S223035</t>
  </si>
  <si>
    <t>Md. Azizul Hakim (S223035)</t>
  </si>
  <si>
    <t>Cancelled</t>
  </si>
  <si>
    <t>Sujan_S223038</t>
  </si>
  <si>
    <t>Sujan Kumar (S223038)</t>
  </si>
  <si>
    <t>Clipping Path</t>
  </si>
  <si>
    <t>Ariful_S223037</t>
  </si>
  <si>
    <t>Md. Ariful Islam (S223037)</t>
  </si>
  <si>
    <t>Best Buy</t>
  </si>
  <si>
    <t>Gulf</t>
  </si>
  <si>
    <t>Voice Over</t>
  </si>
  <si>
    <t>Packing &amp; Label</t>
  </si>
  <si>
    <t>RMIL-3</t>
  </si>
  <si>
    <t>SAARC</t>
  </si>
  <si>
    <t>UK</t>
  </si>
  <si>
    <t>RFL - RYDO</t>
  </si>
  <si>
    <t>Akash Vaiya</t>
  </si>
  <si>
    <t>Arnob Vai</t>
  </si>
  <si>
    <t>Fahim Vaiya</t>
  </si>
  <si>
    <t>Hafsa Apu</t>
  </si>
  <si>
    <t>Humayra Apu</t>
  </si>
  <si>
    <t>Mahfuza Apu</t>
  </si>
  <si>
    <t>Minha Apu</t>
  </si>
  <si>
    <t>Mishkat Vai</t>
  </si>
  <si>
    <t>Nazmul Sir</t>
  </si>
  <si>
    <t>Nupur Vai</t>
  </si>
  <si>
    <t>Parnava Apu</t>
  </si>
  <si>
    <t>Priya Apu</t>
  </si>
  <si>
    <t>Reba Apu</t>
  </si>
  <si>
    <t>Rimon Vai</t>
  </si>
  <si>
    <t>Sakhawat Vai</t>
  </si>
  <si>
    <t>Sharmin Apu</t>
  </si>
  <si>
    <t>Shawn Vai</t>
  </si>
  <si>
    <t>Shehab Vai</t>
  </si>
  <si>
    <t>Minhazur Ifti Vai</t>
  </si>
  <si>
    <t>Designer Name</t>
  </si>
  <si>
    <t>Qty</t>
  </si>
  <si>
    <t>Submit Date</t>
  </si>
  <si>
    <t>Submit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</si>
</sst>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yy"/>
    <numFmt numFmtId="165" formatCode="mmmd"/>
    <numFmt numFmtId="166" formatCode="mmmmd"/>
  </numFmts>
  <fonts count="24">
    <font>
      <sz val="10"/>
      <color rgb="FF000000"/>
      <name val="Roboto"/>
      <scheme val="minor"/>
    </font>
    <font>
      <b/>
      <u/>
      <sz val="13"/>
      <color rgb="FF075985"/>
      <name val="Roboto"/>
    </font>
    <font>
      <b/>
      <sz val="11"/>
      <color rgb="FFFFFFFF"/>
      <name val="Roboto"/>
      <scheme val="minor"/>
    </font>
    <font>
      <sz val="10"/>
      <color theme="1"/>
      <name val="Roboto"/>
      <scheme val="minor"/>
    </font>
    <font>
      <sz val="10"/>
      <color rgb="FF0B1F3A"/>
      <name val="Arial"/>
    </font>
    <font>
      <b/>
      <u/>
      <sz val="10"/>
      <color rgb="FF1E88FF"/>
      <name val="Arial"/>
    </font>
    <font>
      <sz val="10"/>
      <color theme="1"/>
      <name val="OpenSans-Regular"/>
    </font>
    <font>
      <b/>
      <sz val="10"/>
      <color rgb="FF1E88FF"/>
      <name val="Arial"/>
    </font>
    <font>
      <sz val="11"/>
      <color rgb="FF333639"/>
      <name val="Arial"/>
    </font>
    <font>
      <sz val="11"/>
      <color rgb="FF333639"/>
      <name val="OpenSans-Semibold"/>
    </font>
    <font>
      <b/>
      <u/>
      <sz val="10"/>
      <color rgb="FF1E88FF"/>
      <name val="Arial"/>
    </font>
    <font>
      <sz val="9"/>
      <color rgb="FF333333"/>
      <name val="OpenSans-Regular"/>
    </font>
    <font>
      <sz val="10"/>
      <color theme="1"/>
      <name val="Arial"/>
    </font>
    <font>
      <sz val="9"/>
      <color rgb="FF333333"/>
      <name val="Arial"/>
    </font>
    <font>
      <sz val="11"/>
      <color rgb="FF697A8D"/>
      <name val="OpenSans-Regular"/>
    </font>
    <font>
      <b/>
      <u/>
      <sz val="10"/>
      <color rgb="FF1E88FF"/>
      <name val="Arial"/>
    </font>
    <font>
      <sz val="10"/>
      <color rgb="FF0B1F3A"/>
      <name val="Arial"/>
    </font>
    <font>
      <b/>
      <sz val="13"/>
      <color rgb="FF1F1F1F"/>
      <name val="Roboto"/>
      <scheme val="minor"/>
    </font>
    <font>
      <b/>
      <u/>
      <sz val="10"/>
      <color rgb="FF1E88FF"/>
      <name val="Arial"/>
    </font>
    <font>
      <b/>
      <u/>
      <sz val="10"/>
      <color rgb="FF1E88FF"/>
      <name val="Arial"/>
    </font>
    <font>
      <b/>
      <u/>
      <sz val="10"/>
      <color rgb="FF1E88FF"/>
      <name val="Arial"/>
    </font>
    <font>
      <b/>
      <u/>
      <sz val="10"/>
      <color rgb="FF1E88FF"/>
      <name val="Roboto"/>
    </font>
    <font>
      <b/>
      <sz val="10"/>
      <color rgb="FFFFFFFF"/>
      <name val="Arial"/>
    </font>
    <font>
      <sz val="10"/>
      <color theme="1"/>
      <name val="Arial"/>
    </font>
  </fonts>
  <fills count="25">
    <fill>
      <patternFill patternType="none"/>
    </fill>
    <fill>
      <patternFill patternType="gray125"/>
    </fill>
    <fill>
      <patternFill patternType="solid">
        <fgColor rgb="FFE0F2FE"/>
        <bgColor rgb="FFE0F2FE"/>
      </patternFill>
    </fill>
    <fill>
      <patternFill patternType="solid">
        <fgColor rgb="FF0B4EA2"/>
        <bgColor rgb="FF0B4EA2"/>
      </patternFill>
    </fill>
    <fill>
      <patternFill patternType="solid">
        <fgColor rgb="FFB91C1C"/>
        <bgColor rgb="FFB91C1C"/>
      </patternFill>
    </fill>
    <fill>
      <patternFill patternType="solid">
        <fgColor rgb="FFFFFFFF"/>
        <bgColor rgb="FFFFFFFF"/>
      </patternFill>
    </fill>
    <fill>
      <patternFill patternType="solid">
        <fgColor rgb="FFECFEFF"/>
        <bgColor rgb="FFECFEFF"/>
      </patternFill>
    </fill>
    <fill>
      <patternFill patternType="solid">
        <fgColor rgb="FFFFF9C4"/>
        <bgColor rgb="FFFFF9C4"/>
      </patternFill>
    </fill>
    <fill>
      <patternFill patternType="solid">
        <fgColor rgb="FFFFF7ED"/>
        <bgColor rgb="FFFFF7ED"/>
      </patternFill>
    </fill>
    <fill>
      <patternFill patternType="solid">
        <fgColor rgb="FFF5F3FF"/>
        <bgColor rgb="FFF5F3FF"/>
      </patternFill>
    </fill>
    <fill>
      <patternFill patternType="solid">
        <fgColor rgb="FFEFF6FF"/>
        <bgColor rgb="FFEFF6FF"/>
      </patternFill>
    </fill>
    <fill>
      <patternFill patternType="solid">
        <fgColor rgb="FFFEFCE8"/>
        <bgColor rgb="FFFEFCE8"/>
      </patternFill>
    </fill>
    <fill>
      <patternFill patternType="solid">
        <fgColor rgb="FFF0FDFA"/>
        <bgColor rgb="FFF0FDFA"/>
      </patternFill>
    </fill>
    <fill>
      <patternFill patternType="solid">
        <fgColor rgb="FFFFF1F2"/>
        <bgColor rgb="FFFFF1F2"/>
      </patternFill>
    </fill>
    <fill>
      <patternFill patternType="solid">
        <fgColor rgb="FFE5E7EB"/>
        <bgColor rgb="FFE5E7EB"/>
      </patternFill>
    </fill>
    <fill>
      <patternFill patternType="solid">
        <fgColor rgb="FFEAF3FF"/>
        <bgColor rgb="FFEAF3FF"/>
      </patternFill>
    </fill>
    <fill>
      <patternFill patternType="solid">
        <fgColor rgb="FFFEF7ED"/>
        <bgColor rgb="FFFEF7ED"/>
      </patternFill>
    </fill>
    <fill>
      <patternFill patternType="solid">
        <fgColor rgb="FFFEE2E2"/>
        <bgColor rgb="FFFEE2E2"/>
      </patternFill>
    </fill>
    <fill>
      <patternFill patternType="solid">
        <fgColor theme="0"/>
        <bgColor theme="0"/>
      </patternFill>
    </fill>
    <fill>
      <patternFill patternType="solid">
        <fgColor rgb="FFD2DEF9"/>
        <bgColor rgb="FFD2DEF9"/>
      </patternFill>
    </fill>
    <fill>
      <patternFill patternType="solid">
        <fgColor rgb="FF111827"/>
        <bgColor rgb="FF111827"/>
      </patternFill>
    </fill>
    <fill>
      <patternFill patternType="solid">
        <fgColor rgb="FF0F766E"/>
        <bgColor rgb="FF0F766E"/>
      </patternFill>
    </fill>
    <fill>
      <patternFill patternType="solid">
        <fgColor rgb="FFF8FAFC"/>
        <bgColor rgb="FFF8FAFC"/>
      </patternFill>
    </fill>
    <fill>
      <patternFill patternType="solid">
        <fgColor rgb="FF991B1B"/>
        <bgColor rgb="FF991B1B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CFE0F5"/>
      </left>
      <right style="thin">
        <color rgb="FFCFE0F5"/>
      </right>
      <top style="thin">
        <color rgb="FFCFE0F5"/>
      </top>
      <bottom style="thin">
        <color rgb="FFCFE0F5"/>
      </bottom>
      <diagonal/>
    </border>
    <border>
      <left style="thin">
        <color rgb="FFCFE0F5"/>
      </left>
      <right style="thin">
        <color rgb="FFCFE0F5"/>
      </right>
      <top style="thin">
        <color rgb="FFCFE0F5"/>
      </top>
      <bottom/>
      <diagonal/>
    </border>
    <border>
      <left style="thin">
        <color rgb="FFCFE0F5"/>
      </left>
      <right style="thin">
        <color rgb="FFCFE0F5"/>
      </right>
      <top/>
      <bottom style="thin">
        <color rgb="FFCFE0F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8">
    <xf numFmtId="0" fontId="0" fillId="0" borderId="0" xfId="0" applyFont="1" applyAlignment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/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1" fontId="4" fillId="11" borderId="1" xfId="0" applyNumberFormat="1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5" fillId="15" borderId="1" xfId="0" applyFont="1" applyFill="1" applyBorder="1" applyAlignment="1">
      <alignment horizontal="center" vertical="center"/>
    </xf>
    <xf numFmtId="165" fontId="3" fillId="0" borderId="0" xfId="0" applyNumberFormat="1" applyFont="1" applyAlignment="1"/>
    <xf numFmtId="0" fontId="4" fillId="6" borderId="1" xfId="0" applyFont="1" applyFill="1" applyBorder="1" applyAlignment="1">
      <alignment vertical="center"/>
    </xf>
    <xf numFmtId="0" fontId="6" fillId="5" borderId="0" xfId="0" applyFont="1" applyFill="1" applyAlignment="1"/>
    <xf numFmtId="166" fontId="3" fillId="0" borderId="0" xfId="0" applyNumberFormat="1" applyFont="1" applyAlignment="1"/>
    <xf numFmtId="0" fontId="7" fillId="15" borderId="1" xfId="0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1" fontId="4" fillId="11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vertical="center"/>
    </xf>
    <xf numFmtId="0" fontId="8" fillId="7" borderId="0" xfId="0" applyFont="1" applyFill="1" applyAlignment="1"/>
    <xf numFmtId="0" fontId="6" fillId="16" borderId="0" xfId="0" applyFont="1" applyFill="1" applyAlignment="1"/>
    <xf numFmtId="0" fontId="6" fillId="13" borderId="0" xfId="0" applyFont="1" applyFill="1" applyAlignment="1"/>
    <xf numFmtId="0" fontId="9" fillId="5" borderId="0" xfId="0" applyFont="1" applyFill="1" applyAlignment="1"/>
    <xf numFmtId="0" fontId="4" fillId="17" borderId="1" xfId="0" applyFont="1" applyFill="1" applyBorder="1" applyAlignment="1">
      <alignment vertical="center"/>
    </xf>
    <xf numFmtId="0" fontId="6" fillId="17" borderId="0" xfId="0" applyFont="1" applyFill="1" applyAlignment="1"/>
    <xf numFmtId="1" fontId="4" fillId="17" borderId="1" xfId="0" applyNumberFormat="1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3" fillId="17" borderId="0" xfId="0" applyFont="1" applyFill="1"/>
    <xf numFmtId="0" fontId="9" fillId="18" borderId="0" xfId="0" applyFont="1" applyFill="1" applyAlignment="1"/>
    <xf numFmtId="0" fontId="11" fillId="19" borderId="0" xfId="0" applyFont="1" applyFill="1" applyAlignment="1">
      <alignment horizontal="center"/>
    </xf>
    <xf numFmtId="0" fontId="12" fillId="5" borderId="0" xfId="0" applyFont="1" applyFill="1" applyAlignment="1"/>
    <xf numFmtId="0" fontId="13" fillId="19" borderId="0" xfId="0" applyFont="1" applyFill="1" applyAlignment="1">
      <alignment horizontal="center"/>
    </xf>
    <xf numFmtId="0" fontId="14" fillId="5" borderId="0" xfId="0" applyFont="1" applyFill="1"/>
    <xf numFmtId="0" fontId="15" fillId="15" borderId="1" xfId="0" applyFont="1" applyFill="1" applyBorder="1" applyAlignment="1">
      <alignment horizontal="center" vertical="center"/>
    </xf>
    <xf numFmtId="1" fontId="16" fillId="11" borderId="1" xfId="0" applyNumberFormat="1" applyFont="1" applyFill="1" applyBorder="1" applyAlignment="1">
      <alignment horizontal="center"/>
    </xf>
    <xf numFmtId="1" fontId="16" fillId="11" borderId="1" xfId="0" applyNumberFormat="1" applyFont="1" applyFill="1" applyBorder="1" applyAlignment="1">
      <alignment horizontal="center"/>
    </xf>
    <xf numFmtId="0" fontId="8" fillId="5" borderId="0" xfId="0" applyFont="1" applyFill="1" applyAlignment="1"/>
    <xf numFmtId="0" fontId="12" fillId="8" borderId="0" xfId="0" applyFont="1" applyFill="1" applyAlignment="1"/>
    <xf numFmtId="0" fontId="4" fillId="5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vertical="center"/>
    </xf>
    <xf numFmtId="0" fontId="4" fillId="10" borderId="2" xfId="0" applyFont="1" applyFill="1" applyBorder="1" applyAlignment="1">
      <alignment vertical="center"/>
    </xf>
    <xf numFmtId="1" fontId="4" fillId="11" borderId="2" xfId="0" applyNumberFormat="1" applyFont="1" applyFill="1" applyBorder="1" applyAlignment="1">
      <alignment horizontal="center" vertical="center"/>
    </xf>
    <xf numFmtId="164" fontId="4" fillId="12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vertical="center"/>
    </xf>
    <xf numFmtId="0" fontId="4" fillId="14" borderId="2" xfId="0" applyFont="1" applyFill="1" applyBorder="1" applyAlignment="1">
      <alignment vertical="center"/>
    </xf>
    <xf numFmtId="0" fontId="18" fillId="15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1" fontId="4" fillId="11" borderId="0" xfId="0" applyNumberFormat="1" applyFont="1" applyFill="1" applyAlignment="1">
      <alignment horizontal="center" vertical="center"/>
    </xf>
    <xf numFmtId="164" fontId="4" fillId="12" borderId="0" xfId="0" applyNumberFormat="1" applyFont="1" applyFill="1" applyAlignment="1">
      <alignment horizontal="center" vertical="center"/>
    </xf>
    <xf numFmtId="0" fontId="4" fillId="13" borderId="0" xfId="0" applyFont="1" applyFill="1" applyAlignment="1">
      <alignment vertical="center"/>
    </xf>
    <xf numFmtId="0" fontId="4" fillId="14" borderId="0" xfId="0" applyFont="1" applyFill="1" applyAlignment="1">
      <alignment vertical="center"/>
    </xf>
    <xf numFmtId="0" fontId="19" fillId="1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4" fillId="10" borderId="3" xfId="0" applyFont="1" applyFill="1" applyBorder="1" applyAlignment="1">
      <alignment vertical="center"/>
    </xf>
    <xf numFmtId="1" fontId="4" fillId="11" borderId="3" xfId="0" applyNumberFormat="1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vertical="center"/>
    </xf>
    <xf numFmtId="0" fontId="4" fillId="14" borderId="3" xfId="0" applyFont="1" applyFill="1" applyBorder="1" applyAlignment="1">
      <alignment vertical="center"/>
    </xf>
    <xf numFmtId="0" fontId="20" fillId="15" borderId="3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20" borderId="4" xfId="0" applyFont="1" applyFill="1" applyBorder="1" applyAlignment="1">
      <alignment horizontal="center"/>
    </xf>
    <xf numFmtId="0" fontId="23" fillId="0" borderId="4" xfId="0" applyFont="1" applyBorder="1" applyAlignment="1"/>
    <xf numFmtId="0" fontId="23" fillId="0" borderId="4" xfId="0" applyFont="1" applyBorder="1"/>
    <xf numFmtId="0" fontId="12" fillId="0" borderId="4" xfId="0" applyFont="1" applyBorder="1" applyAlignment="1"/>
    <xf numFmtId="0" fontId="3" fillId="0" borderId="0" xfId="0" applyFont="1"/>
    <xf numFmtId="0" fontId="23" fillId="0" borderId="0" xfId="0" applyFont="1"/>
    <xf numFmtId="0" fontId="2" fillId="21" borderId="0" xfId="0" applyFont="1" applyFill="1" applyAlignment="1">
      <alignment horizontal="center" vertical="center"/>
    </xf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22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1" fontId="4" fillId="11" borderId="1" xfId="0" applyNumberFormat="1" applyFont="1" applyFill="1" applyBorder="1" applyAlignment="1">
      <alignment horizontal="center"/>
    </xf>
    <xf numFmtId="164" fontId="4" fillId="12" borderId="1" xfId="0" applyNumberFormat="1" applyFont="1" applyFill="1" applyBorder="1" applyAlignment="1">
      <alignment horizontal="center"/>
    </xf>
    <xf numFmtId="0" fontId="4" fillId="13" borderId="1" xfId="0" applyFont="1" applyFill="1" applyBorder="1"/>
    <xf numFmtId="0" fontId="4" fillId="14" borderId="1" xfId="0" applyFont="1" applyFill="1" applyBorder="1"/>
    <xf numFmtId="0" fontId="2" fillId="23" borderId="0" xfId="0" applyFont="1" applyFill="1" applyAlignment="1">
      <alignment horizontal="center" vertical="center"/>
    </xf>
    <xf numFmtId="0" fontId="4" fillId="22" borderId="1" xfId="0" applyFont="1" applyFill="1" applyBorder="1" applyAlignment="1">
      <alignment vertical="center"/>
    </xf>
    <xf numFmtId="0" fontId="3" fillId="24" borderId="0" xfId="0" applyFont="1" applyFill="1" applyAlignment="1"/>
    <xf numFmtId="0" fontId="3" fillId="24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17" fillId="2" borderId="0" xfId="0" applyFont="1" applyFill="1" applyAlignment="1">
      <alignment horizontal="center" vertical="center"/>
    </xf>
    <xf numFmtId="0" fontId="3" fillId="0" borderId="0" xfId="0" applyFont="1" applyFill="1" applyAlignment="1"/>
  </cellXfs>
  <cellStyles count="1">
    <cellStyle name="Normal" xfId="0" builtinId="0"/>
  </cellStyles>
  <dxfs count="438">
    <dxf>
      <font>
        <color rgb="FF0B1F3A"/>
      </font>
      <fill>
        <patternFill patternType="solid">
          <fgColor rgb="FFFFFFFF"/>
          <bgColor rgb="FFFFFFFF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FFFFFF"/>
      </font>
      <fill>
        <patternFill patternType="solid">
          <fgColor rgb="FFDC2626"/>
          <bgColor rgb="FFDC2626"/>
        </patternFill>
      </fill>
    </dxf>
    <dxf>
      <font>
        <color rgb="FF000000"/>
      </font>
      <fill>
        <patternFill patternType="solid">
          <fgColor rgb="FFDDD6FE"/>
          <bgColor rgb="FFDDD6FE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DC2626"/>
          <bgColor rgb="FFDC2626"/>
        </patternFill>
      </fill>
    </dxf>
    <dxf>
      <font>
        <color rgb="FF000000"/>
      </font>
      <fill>
        <patternFill patternType="solid">
          <fgColor rgb="FFDDD6FE"/>
          <bgColor rgb="FFDDD6FE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0B1F3A"/>
      </font>
      <fill>
        <patternFill patternType="solid">
          <fgColor rgb="FFFFFFFF"/>
          <bgColor rgb="FFFFFFFF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FFFFFF"/>
      </font>
      <fill>
        <patternFill patternType="solid">
          <fgColor rgb="FFDC2626"/>
          <bgColor rgb="FFDC2626"/>
        </patternFill>
      </fill>
    </dxf>
    <dxf>
      <font>
        <color rgb="FF000000"/>
      </font>
      <fill>
        <patternFill patternType="solid">
          <fgColor rgb="FFDDD6FE"/>
          <bgColor rgb="FFDDD6FE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0B1F3A"/>
      </font>
      <fill>
        <patternFill patternType="solid">
          <fgColor rgb="FFFFFFFF"/>
          <bgColor rgb="FFFFFFFF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FFFFFF"/>
      </font>
      <fill>
        <patternFill patternType="solid">
          <fgColor rgb="FFDC2626"/>
          <bgColor rgb="FFDC2626"/>
        </patternFill>
      </fill>
    </dxf>
    <dxf>
      <font>
        <color rgb="FF000000"/>
      </font>
      <fill>
        <patternFill patternType="solid">
          <fgColor rgb="FFDDD6FE"/>
          <bgColor rgb="FFDDD6FE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0B1F3A"/>
      </font>
      <fill>
        <patternFill patternType="solid">
          <fgColor rgb="FFFFFFFF"/>
          <bgColor rgb="FFFFFFFF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FFFFFF"/>
      </font>
      <fill>
        <patternFill patternType="solid">
          <fgColor rgb="FFDC2626"/>
          <bgColor rgb="FFDC2626"/>
        </patternFill>
      </fill>
    </dxf>
    <dxf>
      <font>
        <color rgb="FF000000"/>
      </font>
      <fill>
        <patternFill patternType="solid">
          <fgColor rgb="FFDDD6FE"/>
          <bgColor rgb="FFDDD6FE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0B1F3A"/>
      </font>
      <fill>
        <patternFill patternType="solid">
          <fgColor rgb="FFFFFFFF"/>
          <bgColor rgb="FFFFFFFF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FFFFFF"/>
      </font>
      <fill>
        <patternFill patternType="solid">
          <fgColor rgb="FFDC2626"/>
          <bgColor rgb="FFDC2626"/>
        </patternFill>
      </fill>
    </dxf>
    <dxf>
      <font>
        <color rgb="FF000000"/>
      </font>
      <fill>
        <patternFill patternType="solid">
          <fgColor rgb="FFDDD6FE"/>
          <bgColor rgb="FFDDD6FE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0B1F3A"/>
      </font>
      <fill>
        <patternFill patternType="solid">
          <fgColor rgb="FFFFFFFF"/>
          <bgColor rgb="FFFFFFFF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FFFFFF"/>
      </font>
      <fill>
        <patternFill patternType="solid">
          <fgColor rgb="FFDC2626"/>
          <bgColor rgb="FFDC2626"/>
        </patternFill>
      </fill>
    </dxf>
    <dxf>
      <font>
        <color rgb="FF000000"/>
      </font>
      <fill>
        <patternFill patternType="solid">
          <fgColor rgb="FFDDD6FE"/>
          <bgColor rgb="FFDDD6FE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0B1F3A"/>
      </font>
      <fill>
        <patternFill patternType="solid">
          <fgColor rgb="FFFFFFFF"/>
          <bgColor rgb="FFFFFFFF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FFFFFF"/>
      </font>
      <fill>
        <patternFill patternType="solid">
          <fgColor rgb="FFDC2626"/>
          <bgColor rgb="FFDC2626"/>
        </patternFill>
      </fill>
    </dxf>
    <dxf>
      <font>
        <color rgb="FF000000"/>
      </font>
      <fill>
        <patternFill patternType="solid">
          <fgColor rgb="FFDDD6FE"/>
          <bgColor rgb="FFDDD6FE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0B1F3A"/>
      </font>
      <fill>
        <patternFill patternType="solid">
          <fgColor rgb="FFFFFFFF"/>
          <bgColor rgb="FFFFFFFF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FFFFFF"/>
      </font>
      <fill>
        <patternFill patternType="solid">
          <fgColor rgb="FFDC2626"/>
          <bgColor rgb="FFDC2626"/>
        </patternFill>
      </fill>
    </dxf>
    <dxf>
      <font>
        <color rgb="FF000000"/>
      </font>
      <fill>
        <patternFill patternType="solid">
          <fgColor rgb="FFDDD6FE"/>
          <bgColor rgb="FFDDD6FE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000000"/>
      </font>
      <fill>
        <patternFill patternType="solid">
          <fgColor rgb="FFFDBA74"/>
          <bgColor rgb="FFFDBA74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6D28D9"/>
          <bgColor rgb="FF6D28D9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1D4ED8"/>
          <bgColor rgb="FF1D4ED8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047857"/>
          <bgColor rgb="FF047857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  <dxf>
      <font>
        <color rgb="FFFFFFFF"/>
      </font>
      <fill>
        <patternFill patternType="solid">
          <fgColor rgb="FF991B1B"/>
          <bgColor rgb="FF991B1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outlinePr summaryBelow="0" summaryRight="0"/>
  </sheetPr>
  <dimension ref="A1:N1498"/>
  <sheetViews>
    <sheetView workbookViewId="0">
      <pane ySplit="2" topLeftCell="A19" activePane="bottomLeft" state="frozen"/>
      <selection pane="bottomLeft" activeCell="B3" sqref="B3"/>
    </sheetView>
  </sheetViews>
  <sheetFormatPr defaultColWidth="12.6640625" defaultRowHeight="15.75" customHeight="1"/>
  <cols>
    <col min="1" max="1" width="28.88671875" customWidth="1"/>
    <col min="2" max="2" width="13.21875" customWidth="1"/>
    <col min="3" max="3" width="21.33203125" customWidth="1"/>
    <col min="4" max="4" width="17.6640625" customWidth="1"/>
    <col min="5" max="5" width="28.88671875" customWidth="1"/>
    <col min="6" max="6" width="13.21875" customWidth="1"/>
    <col min="7" max="7" width="9.44140625" customWidth="1"/>
    <col min="8" max="8" width="16.33203125" customWidth="1"/>
    <col min="9" max="9" width="18.88671875" customWidth="1"/>
    <col min="10" max="10" width="17" customWidth="1"/>
    <col min="11" max="11" width="12.6640625" customWidth="1"/>
    <col min="12" max="12" width="9.109375" customWidth="1"/>
  </cols>
  <sheetData>
    <row r="1" spans="1:12" ht="27" customHeight="1">
      <c r="A1" s="104" t="str">
        <f>HYPERLINK("https://docs.google.com/spreadsheets/d/1K9G-wDk_WFUTXFBEzHiTsPAPTkgmvY6ydUUckPlDbUM/edit?gid=2135007239#gid=2135007239","➜ Go to Dashboard")</f>
        <v>➜ Go to Dashboard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2" ht="25.5" customHeight="1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" t="s">
        <v>10</v>
      </c>
      <c r="L2" s="3" t="s">
        <v>11</v>
      </c>
    </row>
    <row r="3" spans="1:12" ht="13.2">
      <c r="A3" s="4" t="s">
        <v>12</v>
      </c>
      <c r="B3" s="5" t="s">
        <v>13</v>
      </c>
      <c r="C3" s="6" t="s">
        <v>14</v>
      </c>
      <c r="D3" s="7" t="s">
        <v>15</v>
      </c>
      <c r="E3" s="8" t="s">
        <v>16</v>
      </c>
      <c r="F3" s="9" t="s">
        <v>17</v>
      </c>
      <c r="G3" s="10">
        <v>1</v>
      </c>
      <c r="H3" s="11">
        <v>45955</v>
      </c>
      <c r="I3" s="12" t="s">
        <v>18</v>
      </c>
      <c r="J3" s="13" t="s">
        <v>19</v>
      </c>
      <c r="K3" s="14" t="str">
        <f>HYPERLINK("http://mpro.prangroup.com:4000/CreativeWorks/Edit/13908","Open")</f>
        <v>Open</v>
      </c>
    </row>
    <row r="4" spans="1:12" ht="13.2">
      <c r="A4" s="4" t="s">
        <v>20</v>
      </c>
      <c r="B4" s="5" t="s">
        <v>13</v>
      </c>
      <c r="C4" s="6" t="s">
        <v>21</v>
      </c>
      <c r="D4" s="7" t="s">
        <v>22</v>
      </c>
      <c r="E4" s="8" t="s">
        <v>23</v>
      </c>
      <c r="F4" s="9" t="s">
        <v>17</v>
      </c>
      <c r="G4" s="10">
        <v>1</v>
      </c>
      <c r="H4" s="11">
        <v>45955</v>
      </c>
      <c r="I4" s="12" t="s">
        <v>24</v>
      </c>
      <c r="J4" s="13" t="s">
        <v>19</v>
      </c>
      <c r="K4" s="14" t="str">
        <f>HYPERLINK("http://mpro.prangroup.com:4000/CreativeWorks/Edit/13909","Open")</f>
        <v>Open</v>
      </c>
    </row>
    <row r="5" spans="1:12" ht="13.2">
      <c r="A5" s="4" t="s">
        <v>25</v>
      </c>
      <c r="B5" s="5" t="s">
        <v>26</v>
      </c>
      <c r="C5" s="6" t="s">
        <v>27</v>
      </c>
      <c r="D5" s="7" t="s">
        <v>28</v>
      </c>
      <c r="E5" s="8" t="s">
        <v>23</v>
      </c>
      <c r="F5" s="9" t="s">
        <v>17</v>
      </c>
      <c r="G5" s="10">
        <v>1</v>
      </c>
      <c r="H5" s="11">
        <v>45955</v>
      </c>
      <c r="I5" s="12" t="s">
        <v>29</v>
      </c>
      <c r="J5" s="13" t="s">
        <v>30</v>
      </c>
      <c r="K5" s="14" t="str">
        <f>HYPERLINK("http://mpro.prangroup.com:4000/CreativeWorks/Edit/13894","Open")</f>
        <v>Open</v>
      </c>
    </row>
    <row r="6" spans="1:12" ht="13.2">
      <c r="A6" s="4" t="s">
        <v>31</v>
      </c>
      <c r="B6" s="5" t="s">
        <v>32</v>
      </c>
      <c r="C6" s="6" t="s">
        <v>33</v>
      </c>
      <c r="D6" s="7" t="s">
        <v>34</v>
      </c>
      <c r="E6" s="8" t="s">
        <v>23</v>
      </c>
      <c r="F6" s="9" t="s">
        <v>17</v>
      </c>
      <c r="G6" s="10">
        <v>1</v>
      </c>
      <c r="H6" s="11">
        <v>45955</v>
      </c>
      <c r="I6" s="12" t="s">
        <v>35</v>
      </c>
      <c r="J6" s="13" t="s">
        <v>30</v>
      </c>
      <c r="K6" s="14" t="str">
        <f>HYPERLINK("http://mpro.prangroup.com:4000/CreativeWorks/Edit/13898","Open")</f>
        <v>Open</v>
      </c>
    </row>
    <row r="7" spans="1:12" ht="13.2">
      <c r="A7" s="4" t="s">
        <v>36</v>
      </c>
      <c r="B7" s="5" t="s">
        <v>32</v>
      </c>
      <c r="C7" s="6" t="s">
        <v>37</v>
      </c>
      <c r="D7" s="7" t="s">
        <v>38</v>
      </c>
      <c r="E7" s="8" t="s">
        <v>23</v>
      </c>
      <c r="F7" s="9" t="s">
        <v>17</v>
      </c>
      <c r="G7" s="10">
        <v>3</v>
      </c>
      <c r="H7" s="11">
        <v>45955</v>
      </c>
      <c r="I7" s="12" t="s">
        <v>39</v>
      </c>
      <c r="J7" s="13" t="s">
        <v>30</v>
      </c>
      <c r="K7" s="14" t="str">
        <f>HYPERLINK("http://mpro.prangroup.com:4000/CreativeWorks/Edit/13899","Open")</f>
        <v>Open</v>
      </c>
    </row>
    <row r="8" spans="1:12" ht="13.2">
      <c r="A8" s="4" t="s">
        <v>40</v>
      </c>
      <c r="B8" s="5" t="s">
        <v>41</v>
      </c>
      <c r="C8" s="6" t="s">
        <v>42</v>
      </c>
      <c r="D8" s="7" t="s">
        <v>43</v>
      </c>
      <c r="E8" s="8" t="s">
        <v>23</v>
      </c>
      <c r="F8" s="9" t="s">
        <v>17</v>
      </c>
      <c r="G8" s="10">
        <v>2</v>
      </c>
      <c r="H8" s="11">
        <v>45955</v>
      </c>
      <c r="I8" s="12" t="s">
        <v>44</v>
      </c>
      <c r="J8" s="13" t="s">
        <v>30</v>
      </c>
      <c r="K8" s="14" t="str">
        <f>HYPERLINK("http://mpro.prangroup.com:4000/CreativeWorks/Edit/13914","Open")</f>
        <v>Open</v>
      </c>
    </row>
    <row r="9" spans="1:12" ht="13.2">
      <c r="A9" s="4" t="s">
        <v>45</v>
      </c>
      <c r="B9" s="5" t="s">
        <v>13</v>
      </c>
      <c r="C9" s="6" t="s">
        <v>14</v>
      </c>
      <c r="D9" s="7" t="s">
        <v>46</v>
      </c>
      <c r="E9" s="8" t="s">
        <v>16</v>
      </c>
      <c r="F9" s="9" t="s">
        <v>17</v>
      </c>
      <c r="G9" s="10">
        <v>1</v>
      </c>
      <c r="H9" s="11">
        <v>45957</v>
      </c>
      <c r="I9" s="12" t="s">
        <v>47</v>
      </c>
      <c r="J9" s="13" t="s">
        <v>48</v>
      </c>
      <c r="K9" s="14" t="str">
        <f>HYPERLINK("http://mpro.prangroup.com:4000/CreativeWorks/Edit/14163","Open")</f>
        <v>Open</v>
      </c>
    </row>
    <row r="10" spans="1:12" ht="13.2">
      <c r="A10" s="4" t="s">
        <v>49</v>
      </c>
      <c r="B10" s="5" t="s">
        <v>41</v>
      </c>
      <c r="C10" s="6" t="s">
        <v>50</v>
      </c>
      <c r="D10" s="7" t="s">
        <v>51</v>
      </c>
      <c r="E10" s="8" t="s">
        <v>16</v>
      </c>
      <c r="F10" s="9" t="s">
        <v>17</v>
      </c>
      <c r="G10" s="10">
        <v>1</v>
      </c>
      <c r="H10" s="11">
        <v>45957</v>
      </c>
      <c r="I10" s="12" t="s">
        <v>52</v>
      </c>
      <c r="J10" s="13" t="s">
        <v>19</v>
      </c>
      <c r="K10" s="14" t="str">
        <f>HYPERLINK("http://mpro.prangroup.com:4000/CreativeWorks/Edit/14172","Open")</f>
        <v>Open</v>
      </c>
    </row>
    <row r="11" spans="1:12" ht="13.2">
      <c r="A11" s="4" t="s">
        <v>53</v>
      </c>
      <c r="B11" s="5" t="s">
        <v>54</v>
      </c>
      <c r="C11" s="6" t="s">
        <v>55</v>
      </c>
      <c r="D11" s="7" t="s">
        <v>56</v>
      </c>
      <c r="E11" s="8" t="s">
        <v>57</v>
      </c>
      <c r="F11" s="9" t="s">
        <v>17</v>
      </c>
      <c r="G11" s="10">
        <v>7</v>
      </c>
      <c r="H11" s="11">
        <v>45962</v>
      </c>
      <c r="I11" s="12" t="s">
        <v>58</v>
      </c>
      <c r="J11" s="13" t="s">
        <v>30</v>
      </c>
      <c r="K11" s="14" t="str">
        <f>HYPERLINK("http://mpro.prangroup.com:4000/CreativeWorks/Edit/14702","Open")</f>
        <v>Open</v>
      </c>
    </row>
    <row r="12" spans="1:12" ht="13.2">
      <c r="A12" s="4" t="s">
        <v>59</v>
      </c>
      <c r="B12" s="5" t="s">
        <v>60</v>
      </c>
      <c r="C12" s="6" t="s">
        <v>61</v>
      </c>
      <c r="D12" s="7" t="s">
        <v>62</v>
      </c>
      <c r="E12" s="8" t="s">
        <v>63</v>
      </c>
      <c r="F12" s="9" t="s">
        <v>17</v>
      </c>
      <c r="G12" s="10">
        <v>2</v>
      </c>
      <c r="H12" s="11">
        <v>45963</v>
      </c>
      <c r="I12" s="12" t="s">
        <v>64</v>
      </c>
      <c r="J12" s="13" t="s">
        <v>30</v>
      </c>
      <c r="K12" s="14" t="str">
        <f t="shared" ref="K12:K13" si="0">HYPERLINK("http://mpro.prangroup.com:4000/CreativeWorks/Edit/14961","Open")</f>
        <v>Open</v>
      </c>
    </row>
    <row r="13" spans="1:12" ht="13.2">
      <c r="A13" s="4" t="s">
        <v>59</v>
      </c>
      <c r="B13" s="5" t="s">
        <v>60</v>
      </c>
      <c r="C13" s="6" t="s">
        <v>61</v>
      </c>
      <c r="D13" s="7" t="s">
        <v>62</v>
      </c>
      <c r="E13" s="8" t="s">
        <v>23</v>
      </c>
      <c r="F13" s="9" t="s">
        <v>17</v>
      </c>
      <c r="G13" s="10">
        <v>2</v>
      </c>
      <c r="H13" s="11">
        <v>45963</v>
      </c>
      <c r="I13" s="12" t="s">
        <v>64</v>
      </c>
      <c r="J13" s="13" t="s">
        <v>30</v>
      </c>
      <c r="K13" s="14" t="str">
        <f t="shared" si="0"/>
        <v>Open</v>
      </c>
    </row>
    <row r="14" spans="1:12" ht="13.2">
      <c r="A14" s="4" t="s">
        <v>45</v>
      </c>
      <c r="B14" s="5" t="s">
        <v>13</v>
      </c>
      <c r="C14" s="6" t="s">
        <v>14</v>
      </c>
      <c r="D14" s="7" t="s">
        <v>65</v>
      </c>
      <c r="E14" s="8" t="s">
        <v>23</v>
      </c>
      <c r="F14" s="9" t="s">
        <v>17</v>
      </c>
      <c r="G14" s="10">
        <v>1</v>
      </c>
      <c r="H14" s="11">
        <v>45963</v>
      </c>
      <c r="I14" s="12" t="s">
        <v>66</v>
      </c>
      <c r="J14" s="13" t="s">
        <v>30</v>
      </c>
      <c r="K14" s="14" t="str">
        <f>HYPERLINK("http://mpro.prangroup.com:4000/CreativeWorks/Edit/14946","Open")</f>
        <v>Open</v>
      </c>
    </row>
    <row r="15" spans="1:12" ht="13.2">
      <c r="A15" s="4" t="s">
        <v>67</v>
      </c>
      <c r="B15" s="5" t="s">
        <v>68</v>
      </c>
      <c r="C15" s="6" t="s">
        <v>69</v>
      </c>
      <c r="D15" s="7" t="s">
        <v>70</v>
      </c>
      <c r="E15" s="8" t="s">
        <v>71</v>
      </c>
      <c r="F15" s="9" t="s">
        <v>17</v>
      </c>
      <c r="G15" s="10">
        <v>4</v>
      </c>
      <c r="H15" s="11">
        <v>45964</v>
      </c>
      <c r="I15" s="12" t="s">
        <v>72</v>
      </c>
      <c r="J15" s="13" t="s">
        <v>30</v>
      </c>
      <c r="K15" s="14" t="str">
        <f>HYPERLINK("http://mpro.prangroup.com:4000/CreativeWorks/Edit/15165","Open")</f>
        <v>Open</v>
      </c>
    </row>
    <row r="16" spans="1:12" ht="13.2">
      <c r="A16" s="4" t="s">
        <v>73</v>
      </c>
      <c r="B16" s="5" t="s">
        <v>41</v>
      </c>
      <c r="C16" s="6" t="s">
        <v>74</v>
      </c>
      <c r="D16" s="7" t="s">
        <v>75</v>
      </c>
      <c r="E16" s="8" t="s">
        <v>23</v>
      </c>
      <c r="F16" s="9" t="s">
        <v>17</v>
      </c>
      <c r="G16" s="10">
        <v>3</v>
      </c>
      <c r="H16" s="11">
        <v>45965</v>
      </c>
      <c r="I16" s="12" t="s">
        <v>76</v>
      </c>
      <c r="J16" s="13" t="s">
        <v>30</v>
      </c>
      <c r="K16" s="14" t="str">
        <f>HYPERLINK("http://mpro.prangroup.com:4000/CreativeWorks/Edit/15249","Open")</f>
        <v>Open</v>
      </c>
    </row>
    <row r="17" spans="1:11" ht="13.2">
      <c r="A17" s="4" t="s">
        <v>77</v>
      </c>
      <c r="B17" s="5" t="s">
        <v>60</v>
      </c>
      <c r="C17" s="6" t="s">
        <v>78</v>
      </c>
      <c r="D17" s="7" t="s">
        <v>79</v>
      </c>
      <c r="E17" s="8" t="s">
        <v>23</v>
      </c>
      <c r="F17" s="9" t="s">
        <v>17</v>
      </c>
      <c r="G17" s="10">
        <v>2</v>
      </c>
      <c r="H17" s="11">
        <v>45965</v>
      </c>
      <c r="I17" s="12" t="s">
        <v>80</v>
      </c>
      <c r="J17" s="13" t="s">
        <v>30</v>
      </c>
      <c r="K17" s="14" t="str">
        <f>HYPERLINK("http://mpro.prangroup.com:4000/CreativeWorks/Edit/15244","Open")</f>
        <v>Open</v>
      </c>
    </row>
    <row r="18" spans="1:11" ht="13.2">
      <c r="A18" s="4" t="s">
        <v>81</v>
      </c>
      <c r="B18" s="5" t="s">
        <v>41</v>
      </c>
      <c r="C18" s="6" t="s">
        <v>82</v>
      </c>
      <c r="D18" s="7" t="s">
        <v>83</v>
      </c>
      <c r="E18" s="8" t="s">
        <v>23</v>
      </c>
      <c r="F18" s="9" t="s">
        <v>17</v>
      </c>
      <c r="G18" s="10">
        <v>1</v>
      </c>
      <c r="H18" s="11">
        <v>45966</v>
      </c>
      <c r="I18" s="12" t="s">
        <v>84</v>
      </c>
      <c r="J18" s="13" t="s">
        <v>30</v>
      </c>
      <c r="K18" s="14" t="str">
        <f>HYPERLINK("http://mpro.prangroup.com:4000/CreativeWorks/Edit/15387","Open")</f>
        <v>Open</v>
      </c>
    </row>
    <row r="19" spans="1:11" ht="13.2">
      <c r="A19" s="4" t="s">
        <v>85</v>
      </c>
      <c r="B19" s="5" t="s">
        <v>32</v>
      </c>
      <c r="C19" s="6" t="s">
        <v>86</v>
      </c>
      <c r="D19" s="7" t="s">
        <v>87</v>
      </c>
      <c r="E19" s="8" t="s">
        <v>88</v>
      </c>
      <c r="F19" s="9" t="s">
        <v>17</v>
      </c>
      <c r="G19" s="10">
        <v>1</v>
      </c>
      <c r="H19" s="11">
        <v>45969</v>
      </c>
      <c r="I19" s="12" t="s">
        <v>89</v>
      </c>
      <c r="J19" s="13" t="s">
        <v>19</v>
      </c>
      <c r="K19" s="14" t="str">
        <f>HYPERLINK("http://mpro.prangroup.com:4000/CreativeWorks/Edit/15542","Open")</f>
        <v>Open</v>
      </c>
    </row>
    <row r="20" spans="1:11" ht="13.2">
      <c r="A20" s="4" t="s">
        <v>90</v>
      </c>
      <c r="B20" s="5" t="s">
        <v>32</v>
      </c>
      <c r="C20" s="6" t="s">
        <v>91</v>
      </c>
      <c r="D20" s="7" t="s">
        <v>92</v>
      </c>
      <c r="E20" s="8" t="s">
        <v>23</v>
      </c>
      <c r="F20" s="9" t="s">
        <v>17</v>
      </c>
      <c r="G20" s="10">
        <v>2</v>
      </c>
      <c r="H20" s="11">
        <v>45971</v>
      </c>
      <c r="I20" s="12" t="s">
        <v>93</v>
      </c>
      <c r="J20" s="13" t="s">
        <v>30</v>
      </c>
      <c r="K20" s="14" t="str">
        <f>HYPERLINK("http://mpro.prangroup.com:4000/CreativeWorks/Edit/15732","Open")</f>
        <v>Open</v>
      </c>
    </row>
    <row r="21" spans="1:11" ht="13.2">
      <c r="A21" s="4" t="s">
        <v>94</v>
      </c>
      <c r="B21" s="5" t="s">
        <v>41</v>
      </c>
      <c r="C21" s="6" t="s">
        <v>74</v>
      </c>
      <c r="D21" s="7" t="s">
        <v>95</v>
      </c>
      <c r="E21" s="8" t="s">
        <v>23</v>
      </c>
      <c r="F21" s="9" t="s">
        <v>17</v>
      </c>
      <c r="G21" s="10">
        <v>1</v>
      </c>
      <c r="H21" s="11">
        <v>45971</v>
      </c>
      <c r="I21" s="12" t="s">
        <v>96</v>
      </c>
      <c r="J21" s="13" t="s">
        <v>30</v>
      </c>
      <c r="K21" s="14" t="str">
        <f>HYPERLINK("http://mpro.prangroup.com:4000/CreativeWorks/Edit/15730","Open")</f>
        <v>Open</v>
      </c>
    </row>
    <row r="22" spans="1:11" ht="13.2">
      <c r="A22" s="4" t="s">
        <v>97</v>
      </c>
      <c r="B22" s="5" t="s">
        <v>41</v>
      </c>
      <c r="C22" s="6" t="s">
        <v>50</v>
      </c>
      <c r="D22" s="7" t="s">
        <v>98</v>
      </c>
      <c r="E22" s="8" t="s">
        <v>23</v>
      </c>
      <c r="F22" s="9" t="s">
        <v>17</v>
      </c>
      <c r="G22" s="10">
        <v>1</v>
      </c>
      <c r="H22" s="11">
        <v>45972</v>
      </c>
      <c r="I22" s="12" t="s">
        <v>99</v>
      </c>
      <c r="J22" s="13" t="s">
        <v>30</v>
      </c>
      <c r="K22" s="14" t="str">
        <f>HYPERLINK("http://mpro.prangroup.com:4000/CreativeWorks/Edit/15862","Open")</f>
        <v>Open</v>
      </c>
    </row>
    <row r="23" spans="1:11" ht="13.2">
      <c r="A23" s="4" t="s">
        <v>100</v>
      </c>
      <c r="B23" s="5" t="s">
        <v>101</v>
      </c>
      <c r="C23" s="6" t="s">
        <v>102</v>
      </c>
      <c r="D23" s="7" t="s">
        <v>103</v>
      </c>
      <c r="E23" s="8" t="s">
        <v>16</v>
      </c>
      <c r="F23" s="9" t="s">
        <v>17</v>
      </c>
      <c r="G23" s="10">
        <v>1</v>
      </c>
      <c r="H23" s="11">
        <v>45972</v>
      </c>
      <c r="I23" s="12" t="s">
        <v>104</v>
      </c>
      <c r="J23" s="13" t="s">
        <v>30</v>
      </c>
      <c r="K23" s="14" t="str">
        <f>HYPERLINK("http://mpro.prangroup.com:4000/CreativeWorks/Edit/15846","Open")</f>
        <v>Open</v>
      </c>
    </row>
    <row r="24" spans="1:11" ht="13.2">
      <c r="A24" s="4" t="s">
        <v>105</v>
      </c>
      <c r="B24" s="5" t="s">
        <v>60</v>
      </c>
      <c r="C24" s="6" t="s">
        <v>78</v>
      </c>
      <c r="D24" s="7" t="s">
        <v>106</v>
      </c>
      <c r="E24" s="8" t="s">
        <v>23</v>
      </c>
      <c r="F24" s="9" t="s">
        <v>17</v>
      </c>
      <c r="G24" s="10">
        <v>2</v>
      </c>
      <c r="H24" s="11">
        <v>45974</v>
      </c>
      <c r="I24" s="12" t="s">
        <v>107</v>
      </c>
      <c r="J24" s="13" t="s">
        <v>30</v>
      </c>
      <c r="K24" s="14" t="str">
        <f>HYPERLINK("http://mpro.prangroup.com:4000/CreativeWorks/Edit/16098","Open")</f>
        <v>Open</v>
      </c>
    </row>
    <row r="25" spans="1:11" ht="13.2">
      <c r="A25" s="4" t="s">
        <v>108</v>
      </c>
      <c r="B25" s="5" t="s">
        <v>109</v>
      </c>
      <c r="C25" s="6" t="s">
        <v>110</v>
      </c>
      <c r="D25" s="7" t="s">
        <v>111</v>
      </c>
      <c r="E25" s="8" t="s">
        <v>23</v>
      </c>
      <c r="F25" s="9" t="s">
        <v>17</v>
      </c>
      <c r="G25" s="10">
        <v>1</v>
      </c>
      <c r="H25" s="11">
        <v>45976</v>
      </c>
      <c r="I25" s="12" t="s">
        <v>112</v>
      </c>
      <c r="J25" s="13" t="s">
        <v>30</v>
      </c>
      <c r="K25" s="14" t="str">
        <f>HYPERLINK("http://mpro.prangroup.com:4000/CreativeWorks/Edit/16233","Open")</f>
        <v>Open</v>
      </c>
    </row>
    <row r="26" spans="1:11" ht="13.2">
      <c r="A26" s="4" t="s">
        <v>113</v>
      </c>
      <c r="B26" s="5" t="s">
        <v>32</v>
      </c>
      <c r="C26" s="6" t="s">
        <v>114</v>
      </c>
      <c r="D26" s="7" t="s">
        <v>115</v>
      </c>
      <c r="E26" s="8" t="s">
        <v>23</v>
      </c>
      <c r="F26" s="9" t="s">
        <v>17</v>
      </c>
      <c r="G26" s="10">
        <v>1</v>
      </c>
      <c r="H26" s="11">
        <v>45977</v>
      </c>
      <c r="I26" s="12" t="s">
        <v>116</v>
      </c>
      <c r="J26" s="13" t="s">
        <v>30</v>
      </c>
      <c r="K26" s="14" t="str">
        <f>HYPERLINK("http://mpro.prangroup.com:4000/CreativeWorks/Edit/16415","Open")</f>
        <v>Open</v>
      </c>
    </row>
    <row r="27" spans="1:11" ht="13.2">
      <c r="A27" s="4" t="s">
        <v>117</v>
      </c>
      <c r="B27" s="5" t="s">
        <v>32</v>
      </c>
      <c r="C27" s="6" t="s">
        <v>91</v>
      </c>
      <c r="D27" s="7" t="s">
        <v>118</v>
      </c>
      <c r="E27" s="8" t="s">
        <v>23</v>
      </c>
      <c r="F27" s="9" t="s">
        <v>17</v>
      </c>
      <c r="G27" s="10">
        <v>2</v>
      </c>
      <c r="H27" s="11">
        <v>45978</v>
      </c>
      <c r="I27" s="12" t="s">
        <v>119</v>
      </c>
      <c r="J27" s="13" t="s">
        <v>30</v>
      </c>
      <c r="K27" s="14" t="str">
        <f>HYPERLINK("http://mpro.prangroup.com:4000/CreativeWorks/Edit/16466","Open")</f>
        <v>Open</v>
      </c>
    </row>
    <row r="28" spans="1:11" ht="13.2">
      <c r="A28" s="4" t="s">
        <v>97</v>
      </c>
      <c r="B28" s="5" t="s">
        <v>41</v>
      </c>
      <c r="C28" s="6" t="s">
        <v>50</v>
      </c>
      <c r="D28" s="7" t="s">
        <v>98</v>
      </c>
      <c r="E28" s="8" t="s">
        <v>23</v>
      </c>
      <c r="F28" s="9" t="s">
        <v>17</v>
      </c>
      <c r="G28" s="10">
        <v>1</v>
      </c>
      <c r="H28" s="11">
        <v>45978</v>
      </c>
      <c r="I28" s="12" t="s">
        <v>120</v>
      </c>
      <c r="J28" s="13" t="s">
        <v>30</v>
      </c>
      <c r="K28" s="14" t="str">
        <f>HYPERLINK("http://mpro.prangroup.com:4000/CreativeWorks/Edit/16479","Open")</f>
        <v>Open</v>
      </c>
    </row>
    <row r="29" spans="1:11" ht="13.2">
      <c r="A29" s="4" t="s">
        <v>117</v>
      </c>
      <c r="B29" s="5" t="s">
        <v>32</v>
      </c>
      <c r="C29" s="6" t="s">
        <v>91</v>
      </c>
      <c r="D29" s="7" t="s">
        <v>118</v>
      </c>
      <c r="E29" s="8" t="s">
        <v>23</v>
      </c>
      <c r="F29" s="9" t="s">
        <v>17</v>
      </c>
      <c r="G29" s="10">
        <v>1</v>
      </c>
      <c r="H29" s="11">
        <v>45979</v>
      </c>
      <c r="I29" s="12" t="s">
        <v>121</v>
      </c>
      <c r="J29" s="13" t="s">
        <v>30</v>
      </c>
      <c r="K29" s="14" t="str">
        <f>HYPERLINK("http://mpro.prangroup.com:4000/CreativeWorks/Edit/16548","Open")</f>
        <v>Open</v>
      </c>
    </row>
    <row r="30" spans="1:11" ht="13.2">
      <c r="A30" s="4" t="s">
        <v>122</v>
      </c>
      <c r="B30" s="5" t="s">
        <v>123</v>
      </c>
      <c r="C30" s="6" t="s">
        <v>124</v>
      </c>
      <c r="D30" s="7" t="s">
        <v>125</v>
      </c>
      <c r="E30" s="8" t="s">
        <v>23</v>
      </c>
      <c r="F30" s="9" t="s">
        <v>17</v>
      </c>
      <c r="G30" s="10">
        <v>4</v>
      </c>
      <c r="H30" s="11">
        <v>45980</v>
      </c>
      <c r="I30" s="12" t="s">
        <v>126</v>
      </c>
      <c r="J30" s="13" t="s">
        <v>30</v>
      </c>
      <c r="K30" s="14" t="str">
        <f>HYPERLINK("http://mpro.prangroup.com:4000/CreativeWorks/Edit/16679","Open")</f>
        <v>Open</v>
      </c>
    </row>
    <row r="31" spans="1:11" ht="13.2">
      <c r="A31" s="4" t="s">
        <v>122</v>
      </c>
      <c r="B31" s="5" t="s">
        <v>123</v>
      </c>
      <c r="C31" s="6" t="s">
        <v>124</v>
      </c>
      <c r="D31" s="7" t="s">
        <v>125</v>
      </c>
      <c r="E31" s="8" t="s">
        <v>23</v>
      </c>
      <c r="F31" s="9" t="s">
        <v>17</v>
      </c>
      <c r="G31" s="10">
        <v>2</v>
      </c>
      <c r="H31" s="11">
        <v>45981</v>
      </c>
      <c r="I31" s="12" t="s">
        <v>127</v>
      </c>
      <c r="J31" s="13" t="s">
        <v>30</v>
      </c>
      <c r="K31" s="14" t="str">
        <f>HYPERLINK("http://mpro.prangroup.com:4000/CreativeWorks/Edit/16837","Open")</f>
        <v>Open</v>
      </c>
    </row>
    <row r="32" spans="1:11" ht="13.2">
      <c r="A32" s="4" t="s">
        <v>128</v>
      </c>
      <c r="B32" s="5" t="s">
        <v>32</v>
      </c>
      <c r="C32" s="6" t="s">
        <v>129</v>
      </c>
      <c r="D32" s="7" t="s">
        <v>130</v>
      </c>
      <c r="E32" s="8" t="s">
        <v>23</v>
      </c>
      <c r="F32" s="9" t="s">
        <v>17</v>
      </c>
      <c r="G32" s="10">
        <v>1</v>
      </c>
      <c r="H32" s="11">
        <v>45981</v>
      </c>
      <c r="I32" s="12" t="s">
        <v>131</v>
      </c>
      <c r="J32" s="13" t="s">
        <v>30</v>
      </c>
      <c r="K32" s="14" t="str">
        <f>HYPERLINK("http://mpro.prangroup.com:4000/CreativeWorks/Edit/16778","Open")</f>
        <v>Open</v>
      </c>
    </row>
    <row r="33" spans="1:12" ht="13.2">
      <c r="A33" s="4" t="s">
        <v>128</v>
      </c>
      <c r="B33" s="5" t="s">
        <v>32</v>
      </c>
      <c r="C33" s="6" t="s">
        <v>129</v>
      </c>
      <c r="D33" s="7" t="s">
        <v>130</v>
      </c>
      <c r="E33" s="8" t="s">
        <v>23</v>
      </c>
      <c r="F33" s="9" t="s">
        <v>17</v>
      </c>
      <c r="G33" s="10">
        <v>2</v>
      </c>
      <c r="H33" s="11">
        <v>45981</v>
      </c>
      <c r="I33" s="12" t="s">
        <v>132</v>
      </c>
      <c r="J33" s="13" t="s">
        <v>30</v>
      </c>
      <c r="K33" s="14" t="str">
        <f>HYPERLINK("http://mpro.prangroup.com:4000/CreativeWorks/Edit/16818","Open")</f>
        <v>Open</v>
      </c>
    </row>
    <row r="34" spans="1:12" ht="13.2">
      <c r="A34" s="4" t="s">
        <v>133</v>
      </c>
      <c r="B34" s="5" t="s">
        <v>60</v>
      </c>
      <c r="C34" s="6" t="s">
        <v>78</v>
      </c>
      <c r="D34" s="7" t="s">
        <v>134</v>
      </c>
      <c r="E34" s="8" t="s">
        <v>23</v>
      </c>
      <c r="F34" s="9" t="s">
        <v>17</v>
      </c>
      <c r="G34" s="10">
        <v>1</v>
      </c>
      <c r="H34" s="11">
        <v>45981</v>
      </c>
      <c r="I34" s="12" t="s">
        <v>135</v>
      </c>
      <c r="J34" s="13" t="s">
        <v>30</v>
      </c>
      <c r="K34" s="14" t="str">
        <f>HYPERLINK("http://mpro.prangroup.com:4000/CreativeWorks/Edit/16839","Open")</f>
        <v>Open</v>
      </c>
    </row>
    <row r="35" spans="1:12" ht="13.2">
      <c r="A35" s="4" t="s">
        <v>117</v>
      </c>
      <c r="B35" s="5" t="s">
        <v>32</v>
      </c>
      <c r="C35" s="6" t="s">
        <v>91</v>
      </c>
      <c r="D35" s="7" t="s">
        <v>136</v>
      </c>
      <c r="E35" s="8" t="s">
        <v>23</v>
      </c>
      <c r="F35" s="9" t="s">
        <v>17</v>
      </c>
      <c r="G35" s="10">
        <v>1</v>
      </c>
      <c r="H35" s="11">
        <v>45982</v>
      </c>
      <c r="I35" s="12" t="s">
        <v>137</v>
      </c>
      <c r="J35" s="13" t="s">
        <v>30</v>
      </c>
      <c r="K35" s="14" t="str">
        <f>HYPERLINK("http://mpro.prangroup.com:4000/CreativeWorks/Edit/16867","Open")</f>
        <v>Open</v>
      </c>
    </row>
    <row r="36" spans="1:12" ht="13.2">
      <c r="A36" s="4" t="s">
        <v>138</v>
      </c>
      <c r="B36" s="5" t="s">
        <v>139</v>
      </c>
      <c r="C36" s="6" t="s">
        <v>55</v>
      </c>
      <c r="D36" s="7" t="s">
        <v>140</v>
      </c>
      <c r="E36" s="8" t="s">
        <v>141</v>
      </c>
      <c r="F36" s="9" t="s">
        <v>17</v>
      </c>
      <c r="G36" s="10">
        <v>2</v>
      </c>
      <c r="H36" s="11">
        <v>45983</v>
      </c>
      <c r="I36" s="12" t="s">
        <v>142</v>
      </c>
      <c r="J36" s="13" t="s">
        <v>30</v>
      </c>
      <c r="K36" s="14" t="str">
        <f>HYPERLINK("http://mpro.prangroup.com:4000/CreativeWorks/Edit/17003","Open")</f>
        <v>Open</v>
      </c>
    </row>
    <row r="37" spans="1:12" ht="13.2">
      <c r="A37" s="4" t="s">
        <v>143</v>
      </c>
      <c r="B37" s="5" t="s">
        <v>144</v>
      </c>
      <c r="C37" s="6" t="s">
        <v>145</v>
      </c>
      <c r="D37" s="7" t="s">
        <v>146</v>
      </c>
      <c r="E37" s="8" t="s">
        <v>23</v>
      </c>
      <c r="F37" s="9" t="s">
        <v>17</v>
      </c>
      <c r="G37" s="10">
        <v>3</v>
      </c>
      <c r="H37" s="11">
        <v>45983</v>
      </c>
      <c r="I37" s="12" t="s">
        <v>147</v>
      </c>
      <c r="J37" s="13" t="s">
        <v>19</v>
      </c>
      <c r="K37" s="14" t="str">
        <f>HYPERLINK("http://mpro.prangroup.com:4000/CreativeWorks/Edit/17019","Open")</f>
        <v>Open</v>
      </c>
    </row>
    <row r="38" spans="1:12" ht="13.2">
      <c r="A38" s="4" t="s">
        <v>148</v>
      </c>
      <c r="B38" s="5" t="s">
        <v>144</v>
      </c>
      <c r="C38" s="6" t="s">
        <v>145</v>
      </c>
      <c r="D38" s="7" t="s">
        <v>149</v>
      </c>
      <c r="E38" s="8" t="s">
        <v>150</v>
      </c>
      <c r="F38" s="9" t="s">
        <v>17</v>
      </c>
      <c r="G38" s="10">
        <v>1</v>
      </c>
      <c r="H38" s="11">
        <v>45983</v>
      </c>
      <c r="I38" s="12" t="s">
        <v>151</v>
      </c>
      <c r="J38" s="13" t="s">
        <v>30</v>
      </c>
      <c r="K38" s="14" t="str">
        <f>HYPERLINK("http://mpro.prangroup.com:4000/CreativeWorks/Edit/17020","Open")</f>
        <v>Open</v>
      </c>
    </row>
    <row r="39" spans="1:12" ht="13.2">
      <c r="A39" s="4" t="s">
        <v>152</v>
      </c>
      <c r="B39" s="5" t="s">
        <v>153</v>
      </c>
      <c r="C39" s="6" t="s">
        <v>154</v>
      </c>
      <c r="D39" s="7" t="s">
        <v>155</v>
      </c>
      <c r="E39" s="8" t="s">
        <v>16</v>
      </c>
      <c r="F39" s="9" t="s">
        <v>17</v>
      </c>
      <c r="G39" s="10">
        <v>1</v>
      </c>
      <c r="H39" s="11">
        <v>45985</v>
      </c>
      <c r="I39" s="12" t="s">
        <v>156</v>
      </c>
      <c r="J39" s="13" t="s">
        <v>30</v>
      </c>
      <c r="K39" s="14" t="str">
        <f>HYPERLINK("http://mpro.prangroup.com:4000/CreativeWorks/Edit/17236","Open")</f>
        <v>Open</v>
      </c>
    </row>
    <row r="40" spans="1:12" ht="13.2">
      <c r="A40" s="4" t="s">
        <v>157</v>
      </c>
      <c r="B40" s="5" t="s">
        <v>158</v>
      </c>
      <c r="C40" s="6" t="s">
        <v>159</v>
      </c>
      <c r="D40" s="7" t="s">
        <v>160</v>
      </c>
      <c r="E40" s="8" t="s">
        <v>141</v>
      </c>
      <c r="F40" s="9" t="s">
        <v>17</v>
      </c>
      <c r="G40" s="10">
        <v>1</v>
      </c>
      <c r="H40" s="11">
        <v>45986</v>
      </c>
      <c r="I40" s="12" t="s">
        <v>161</v>
      </c>
      <c r="J40" s="13" t="s">
        <v>30</v>
      </c>
      <c r="K40" s="14" t="str">
        <f>HYPERLINK("http://mpro.prangroup.com:4000/CreativeWorks/Edit/17335","Open")</f>
        <v>Open</v>
      </c>
    </row>
    <row r="41" spans="1:12" ht="13.2">
      <c r="A41" s="4" t="s">
        <v>162</v>
      </c>
      <c r="B41" s="5" t="s">
        <v>101</v>
      </c>
      <c r="C41" s="6" t="s">
        <v>102</v>
      </c>
      <c r="D41" s="7" t="s">
        <v>163</v>
      </c>
      <c r="E41" s="8" t="s">
        <v>141</v>
      </c>
      <c r="F41" s="9" t="s">
        <v>17</v>
      </c>
      <c r="G41" s="10">
        <v>1</v>
      </c>
      <c r="H41" s="11">
        <v>45986</v>
      </c>
      <c r="I41" s="12" t="s">
        <v>164</v>
      </c>
      <c r="J41" s="13" t="s">
        <v>30</v>
      </c>
      <c r="K41" s="14" t="str">
        <f>HYPERLINK("http://mpro.prangroup.com:4000/CreativeWorks/Edit/17368","Open")</f>
        <v>Open</v>
      </c>
    </row>
    <row r="42" spans="1:12" ht="13.2">
      <c r="A42" s="4" t="s">
        <v>165</v>
      </c>
      <c r="B42" s="5" t="s">
        <v>144</v>
      </c>
      <c r="C42" s="6" t="s">
        <v>166</v>
      </c>
      <c r="D42" s="7" t="s">
        <v>167</v>
      </c>
      <c r="E42" s="8" t="s">
        <v>88</v>
      </c>
      <c r="F42" s="9" t="s">
        <v>17</v>
      </c>
      <c r="G42" s="10">
        <v>1</v>
      </c>
      <c r="H42" s="11">
        <v>45987</v>
      </c>
      <c r="I42" s="12" t="s">
        <v>168</v>
      </c>
      <c r="J42" s="13" t="s">
        <v>30</v>
      </c>
      <c r="K42" s="14" t="str">
        <f>HYPERLINK("http://mpro.prangroup.com:4000/CreativeWorks/Edit/17499","Open")</f>
        <v>Open</v>
      </c>
    </row>
    <row r="43" spans="1:12" ht="13.2">
      <c r="A43" s="4" t="s">
        <v>169</v>
      </c>
      <c r="B43" s="5" t="s">
        <v>170</v>
      </c>
      <c r="C43" s="6" t="s">
        <v>171</v>
      </c>
      <c r="D43" s="7" t="s">
        <v>172</v>
      </c>
      <c r="E43" s="8" t="s">
        <v>141</v>
      </c>
      <c r="F43" s="9" t="s">
        <v>17</v>
      </c>
      <c r="G43" s="10">
        <v>1</v>
      </c>
      <c r="H43" s="11">
        <v>45988</v>
      </c>
      <c r="I43" s="12" t="s">
        <v>173</v>
      </c>
      <c r="J43" s="13" t="s">
        <v>30</v>
      </c>
      <c r="K43" s="14" t="str">
        <f>HYPERLINK("http://mpro.prangroup.com:4000/CreativeWorks/Edit/17651","Open")</f>
        <v>Open</v>
      </c>
    </row>
    <row r="44" spans="1:12" ht="13.2">
      <c r="A44" s="4" t="s">
        <v>174</v>
      </c>
      <c r="B44" s="5" t="s">
        <v>32</v>
      </c>
      <c r="C44" s="6" t="s">
        <v>86</v>
      </c>
      <c r="D44" s="7" t="s">
        <v>175</v>
      </c>
      <c r="E44" s="8" t="s">
        <v>23</v>
      </c>
      <c r="F44" s="9" t="s">
        <v>17</v>
      </c>
      <c r="G44" s="10">
        <v>2</v>
      </c>
      <c r="H44" s="11">
        <v>45988</v>
      </c>
      <c r="I44" s="12" t="s">
        <v>176</v>
      </c>
      <c r="J44" s="13" t="s">
        <v>30</v>
      </c>
      <c r="K44" s="14" t="str">
        <f>HYPERLINK("http://mpro.prangroup.com:4000/CreativeWorks/Edit/17661","Open")</f>
        <v>Open</v>
      </c>
    </row>
    <row r="45" spans="1:12" ht="13.2">
      <c r="A45" s="4" t="s">
        <v>177</v>
      </c>
      <c r="B45" s="5" t="s">
        <v>178</v>
      </c>
      <c r="C45" s="6" t="s">
        <v>179</v>
      </c>
      <c r="D45" s="7" t="s">
        <v>180</v>
      </c>
      <c r="E45" s="8" t="s">
        <v>141</v>
      </c>
      <c r="F45" s="9" t="s">
        <v>17</v>
      </c>
      <c r="G45" s="10">
        <v>1</v>
      </c>
      <c r="H45" s="11">
        <v>45990</v>
      </c>
      <c r="I45" s="12" t="s">
        <v>181</v>
      </c>
      <c r="J45" s="13" t="s">
        <v>30</v>
      </c>
      <c r="K45" s="14" t="str">
        <f>HYPERLINK("http://mpro.prangroup.com:4000/CreativeWorks/Edit/17794","Open")</f>
        <v>Open</v>
      </c>
      <c r="L45" s="15">
        <v>46199</v>
      </c>
    </row>
    <row r="46" spans="1:12" ht="13.2">
      <c r="A46" s="4" t="s">
        <v>138</v>
      </c>
      <c r="B46" s="5" t="s">
        <v>139</v>
      </c>
      <c r="C46" s="6" t="s">
        <v>55</v>
      </c>
      <c r="D46" s="7" t="s">
        <v>182</v>
      </c>
      <c r="E46" s="8" t="s">
        <v>23</v>
      </c>
      <c r="F46" s="9" t="s">
        <v>17</v>
      </c>
      <c r="G46" s="10">
        <v>9</v>
      </c>
      <c r="H46" s="11">
        <v>45990</v>
      </c>
      <c r="I46" s="12" t="s">
        <v>183</v>
      </c>
      <c r="J46" s="13" t="s">
        <v>30</v>
      </c>
      <c r="K46" s="14" t="str">
        <f>HYPERLINK("http://mpro.prangroup.com:4000/CreativeWorks/Edit/17783","Open")</f>
        <v>Open</v>
      </c>
    </row>
    <row r="47" spans="1:12" ht="13.2">
      <c r="A47" s="4" t="s">
        <v>184</v>
      </c>
      <c r="B47" s="5" t="s">
        <v>185</v>
      </c>
      <c r="C47" s="6" t="s">
        <v>186</v>
      </c>
      <c r="D47" s="7" t="s">
        <v>187</v>
      </c>
      <c r="E47" s="8" t="s">
        <v>23</v>
      </c>
      <c r="F47" s="9" t="s">
        <v>17</v>
      </c>
      <c r="G47" s="10">
        <v>2</v>
      </c>
      <c r="H47" s="11">
        <v>45990</v>
      </c>
      <c r="I47" s="12" t="s">
        <v>188</v>
      </c>
      <c r="J47" s="13" t="s">
        <v>30</v>
      </c>
      <c r="K47" s="14" t="str">
        <f>HYPERLINK("http://mpro.prangroup.com:4000/CreativeWorks/Edit/17714","Open")</f>
        <v>Open</v>
      </c>
    </row>
    <row r="48" spans="1:12" ht="13.2">
      <c r="A48" s="4" t="s">
        <v>138</v>
      </c>
      <c r="B48" s="5" t="s">
        <v>139</v>
      </c>
      <c r="C48" s="6" t="s">
        <v>55</v>
      </c>
      <c r="D48" s="7" t="s">
        <v>189</v>
      </c>
      <c r="E48" s="8" t="s">
        <v>23</v>
      </c>
      <c r="F48" s="9" t="s">
        <v>17</v>
      </c>
      <c r="G48" s="10">
        <v>9</v>
      </c>
      <c r="H48" s="11">
        <v>45995</v>
      </c>
      <c r="I48" s="12" t="s">
        <v>190</v>
      </c>
      <c r="J48" s="13" t="s">
        <v>30</v>
      </c>
      <c r="K48" s="14" t="str">
        <f>HYPERLINK("http://mpro.prangroup.com:4000/CreativeWorks/Edit/18386","Open")</f>
        <v>Open</v>
      </c>
    </row>
    <row r="49" spans="1:11" ht="13.2">
      <c r="A49" s="4" t="s">
        <v>191</v>
      </c>
      <c r="B49" s="5" t="s">
        <v>32</v>
      </c>
      <c r="C49" s="6" t="s">
        <v>86</v>
      </c>
      <c r="D49" s="7" t="s">
        <v>192</v>
      </c>
      <c r="E49" s="8" t="s">
        <v>23</v>
      </c>
      <c r="F49" s="9" t="s">
        <v>17</v>
      </c>
      <c r="G49" s="10">
        <v>4</v>
      </c>
      <c r="H49" s="11">
        <v>45997</v>
      </c>
      <c r="I49" s="12" t="s">
        <v>193</v>
      </c>
      <c r="J49" s="13" t="s">
        <v>30</v>
      </c>
      <c r="K49" s="14" t="str">
        <f>HYPERLINK("http://mpro.prangroup.com:4000/CreativeWorks/Edit/18504","Open")</f>
        <v>Open</v>
      </c>
    </row>
    <row r="50" spans="1:11" ht="13.2">
      <c r="A50" s="4" t="s">
        <v>85</v>
      </c>
      <c r="B50" s="5" t="s">
        <v>32</v>
      </c>
      <c r="C50" s="6" t="s">
        <v>186</v>
      </c>
      <c r="D50" s="7" t="s">
        <v>194</v>
      </c>
      <c r="E50" s="8" t="s">
        <v>16</v>
      </c>
      <c r="F50" s="9" t="s">
        <v>17</v>
      </c>
      <c r="G50" s="10">
        <v>3</v>
      </c>
      <c r="H50" s="11">
        <v>45998</v>
      </c>
      <c r="I50" s="12" t="s">
        <v>195</v>
      </c>
      <c r="J50" s="13" t="s">
        <v>30</v>
      </c>
      <c r="K50" s="14" t="str">
        <f>HYPERLINK("http://mpro.prangroup.com:4000/CreativeWorks/Edit/18556","Open")</f>
        <v>Open</v>
      </c>
    </row>
    <row r="51" spans="1:11" ht="13.2">
      <c r="A51" s="4" t="s">
        <v>196</v>
      </c>
      <c r="B51" s="5" t="s">
        <v>197</v>
      </c>
      <c r="C51" s="6" t="s">
        <v>198</v>
      </c>
      <c r="D51" s="7" t="s">
        <v>199</v>
      </c>
      <c r="E51" s="8" t="s">
        <v>23</v>
      </c>
      <c r="F51" s="9" t="s">
        <v>17</v>
      </c>
      <c r="G51" s="10">
        <v>7</v>
      </c>
      <c r="H51" s="11">
        <v>45999</v>
      </c>
      <c r="I51" s="12" t="s">
        <v>200</v>
      </c>
      <c r="J51" s="13" t="s">
        <v>30</v>
      </c>
      <c r="K51" s="14" t="str">
        <f>HYPERLINK("http://mpro.prangroup.com:4000/CreativeWorks/Edit/18688","Open")</f>
        <v>Open</v>
      </c>
    </row>
    <row r="52" spans="1:11" ht="13.2">
      <c r="A52" s="4" t="s">
        <v>201</v>
      </c>
      <c r="B52" s="5" t="s">
        <v>202</v>
      </c>
      <c r="C52" s="6" t="s">
        <v>203</v>
      </c>
      <c r="D52" s="7" t="s">
        <v>204</v>
      </c>
      <c r="E52" s="8" t="s">
        <v>23</v>
      </c>
      <c r="F52" s="9" t="s">
        <v>17</v>
      </c>
      <c r="G52" s="10">
        <v>6</v>
      </c>
      <c r="H52" s="11">
        <v>45999</v>
      </c>
      <c r="I52" s="12" t="s">
        <v>205</v>
      </c>
      <c r="J52" s="13" t="s">
        <v>30</v>
      </c>
      <c r="K52" s="14" t="str">
        <f>HYPERLINK("http://mpro.prangroup.com:4000/CreativeWorks/Edit/18635","Open")</f>
        <v>Open</v>
      </c>
    </row>
    <row r="53" spans="1:11" ht="13.2">
      <c r="A53" s="4" t="s">
        <v>117</v>
      </c>
      <c r="B53" s="5" t="s">
        <v>32</v>
      </c>
      <c r="C53" s="6" t="s">
        <v>91</v>
      </c>
      <c r="D53" s="7" t="s">
        <v>136</v>
      </c>
      <c r="E53" s="8" t="s">
        <v>23</v>
      </c>
      <c r="F53" s="9" t="s">
        <v>17</v>
      </c>
      <c r="G53" s="10">
        <v>1</v>
      </c>
      <c r="H53" s="11">
        <v>46000</v>
      </c>
      <c r="I53" s="12" t="s">
        <v>206</v>
      </c>
      <c r="J53" s="13" t="s">
        <v>30</v>
      </c>
      <c r="K53" s="14" t="str">
        <f>HYPERLINK("http://mpro.prangroup.com:4000/CreativeWorks/Edit/18790","Open")</f>
        <v>Open</v>
      </c>
    </row>
    <row r="54" spans="1:11" ht="13.2">
      <c r="A54" s="4" t="s">
        <v>122</v>
      </c>
      <c r="B54" s="5" t="s">
        <v>123</v>
      </c>
      <c r="C54" s="6" t="s">
        <v>124</v>
      </c>
      <c r="D54" s="7" t="s">
        <v>125</v>
      </c>
      <c r="E54" s="8" t="s">
        <v>23</v>
      </c>
      <c r="F54" s="9" t="s">
        <v>17</v>
      </c>
      <c r="G54" s="10">
        <v>2</v>
      </c>
      <c r="H54" s="11">
        <v>46000</v>
      </c>
      <c r="I54" s="12" t="s">
        <v>207</v>
      </c>
      <c r="J54" s="13" t="s">
        <v>30</v>
      </c>
      <c r="K54" s="14" t="str">
        <f>HYPERLINK("http://mpro.prangroup.com:4000/CreativeWorks/Edit/18784","Open")</f>
        <v>Open</v>
      </c>
    </row>
    <row r="55" spans="1:11" ht="13.2">
      <c r="A55" s="4" t="s">
        <v>208</v>
      </c>
      <c r="B55" s="5" t="s">
        <v>209</v>
      </c>
      <c r="C55" s="6" t="s">
        <v>186</v>
      </c>
      <c r="D55" s="7" t="s">
        <v>210</v>
      </c>
      <c r="E55" s="8" t="s">
        <v>16</v>
      </c>
      <c r="F55" s="9" t="s">
        <v>17</v>
      </c>
      <c r="G55" s="10">
        <v>3</v>
      </c>
      <c r="H55" s="11">
        <v>46000</v>
      </c>
      <c r="I55" s="12" t="s">
        <v>211</v>
      </c>
      <c r="J55" s="13" t="s">
        <v>30</v>
      </c>
      <c r="K55" s="14" t="str">
        <f>HYPERLINK("http://mpro.prangroup.com:4000/CreativeWorks/Edit/18814","Open")</f>
        <v>Open</v>
      </c>
    </row>
    <row r="56" spans="1:11" ht="13.2">
      <c r="A56" s="4" t="s">
        <v>212</v>
      </c>
      <c r="B56" s="5" t="s">
        <v>213</v>
      </c>
      <c r="C56" s="6" t="s">
        <v>86</v>
      </c>
      <c r="D56" s="7" t="s">
        <v>214</v>
      </c>
      <c r="E56" s="8" t="s">
        <v>16</v>
      </c>
      <c r="F56" s="9" t="s">
        <v>17</v>
      </c>
      <c r="G56" s="10">
        <v>1</v>
      </c>
      <c r="H56" s="11">
        <v>46001</v>
      </c>
      <c r="I56" s="12" t="s">
        <v>215</v>
      </c>
      <c r="J56" s="13" t="s">
        <v>19</v>
      </c>
      <c r="K56" s="14" t="str">
        <f>HYPERLINK("http://mpro.prangroup.com:4000/CreativeWorks/Edit/18875","Open")</f>
        <v>Open</v>
      </c>
    </row>
    <row r="57" spans="1:11" ht="13.2">
      <c r="A57" s="4" t="s">
        <v>216</v>
      </c>
      <c r="B57" s="5" t="s">
        <v>217</v>
      </c>
      <c r="C57" s="6" t="s">
        <v>186</v>
      </c>
      <c r="D57" s="7" t="s">
        <v>218</v>
      </c>
      <c r="E57" s="8" t="s">
        <v>16</v>
      </c>
      <c r="F57" s="9" t="s">
        <v>17</v>
      </c>
      <c r="G57" s="10">
        <v>4</v>
      </c>
      <c r="H57" s="11">
        <v>46002</v>
      </c>
      <c r="I57" s="12" t="s">
        <v>219</v>
      </c>
      <c r="J57" s="13" t="s">
        <v>30</v>
      </c>
      <c r="K57" s="14" t="str">
        <f>HYPERLINK("http://mpro.prangroup.com:4000/CreativeWorks/Edit/19002","Open")</f>
        <v>Open</v>
      </c>
    </row>
    <row r="58" spans="1:11" ht="13.2">
      <c r="A58" s="4" t="s">
        <v>220</v>
      </c>
      <c r="B58" s="5" t="s">
        <v>221</v>
      </c>
      <c r="C58" s="6" t="s">
        <v>222</v>
      </c>
      <c r="D58" s="7" t="s">
        <v>223</v>
      </c>
      <c r="E58" s="8" t="s">
        <v>23</v>
      </c>
      <c r="F58" s="9" t="s">
        <v>17</v>
      </c>
      <c r="G58" s="10">
        <v>1</v>
      </c>
      <c r="H58" s="11">
        <v>46005</v>
      </c>
      <c r="I58" s="12" t="s">
        <v>224</v>
      </c>
      <c r="J58" s="13" t="s">
        <v>30</v>
      </c>
      <c r="K58" s="14" t="str">
        <f>HYPERLINK("http://mpro.prangroup.com:4000/CreativeWorks/Edit/19145","Open")</f>
        <v>Open</v>
      </c>
    </row>
    <row r="59" spans="1:11" ht="13.2">
      <c r="A59" s="4" t="s">
        <v>177</v>
      </c>
      <c r="B59" s="5" t="s">
        <v>178</v>
      </c>
      <c r="C59" s="6" t="s">
        <v>179</v>
      </c>
      <c r="D59" s="7" t="s">
        <v>225</v>
      </c>
      <c r="E59" s="8" t="s">
        <v>23</v>
      </c>
      <c r="F59" s="9" t="s">
        <v>17</v>
      </c>
      <c r="G59" s="10">
        <v>1</v>
      </c>
      <c r="H59" s="11">
        <v>46006</v>
      </c>
      <c r="I59" s="12" t="s">
        <v>226</v>
      </c>
      <c r="J59" s="13" t="s">
        <v>30</v>
      </c>
      <c r="K59" s="14" t="str">
        <f>HYPERLINK("http://mpro.prangroup.com:4000/CreativeWorks/Edit/19273","Open")</f>
        <v>Open</v>
      </c>
    </row>
    <row r="60" spans="1:11" ht="13.2">
      <c r="A60" s="4" t="s">
        <v>227</v>
      </c>
      <c r="B60" s="5" t="s">
        <v>60</v>
      </c>
      <c r="C60" s="6" t="s">
        <v>228</v>
      </c>
      <c r="D60" s="7" t="s">
        <v>229</v>
      </c>
      <c r="E60" s="8" t="s">
        <v>16</v>
      </c>
      <c r="F60" s="9" t="s">
        <v>17</v>
      </c>
      <c r="G60" s="10">
        <v>1</v>
      </c>
      <c r="H60" s="11">
        <v>46008</v>
      </c>
      <c r="I60" s="12" t="s">
        <v>230</v>
      </c>
      <c r="J60" s="13" t="s">
        <v>30</v>
      </c>
      <c r="K60" s="14" t="str">
        <f>HYPERLINK("http://mpro.prangroup.com:4000/CreativeWorks/Edit/19396","Open")</f>
        <v>Open</v>
      </c>
    </row>
    <row r="61" spans="1:11" ht="13.2">
      <c r="A61" s="4" t="s">
        <v>231</v>
      </c>
      <c r="B61" s="5" t="s">
        <v>32</v>
      </c>
      <c r="C61" s="6" t="s">
        <v>232</v>
      </c>
      <c r="D61" s="7" t="s">
        <v>233</v>
      </c>
      <c r="E61" s="8" t="s">
        <v>16</v>
      </c>
      <c r="F61" s="9" t="s">
        <v>17</v>
      </c>
      <c r="G61" s="10">
        <v>1</v>
      </c>
      <c r="H61" s="11">
        <v>46009</v>
      </c>
      <c r="I61" s="12" t="s">
        <v>234</v>
      </c>
      <c r="J61" s="13" t="s">
        <v>30</v>
      </c>
      <c r="K61" s="14" t="str">
        <f>HYPERLINK("http://mpro.prangroup.com:4000/CreativeWorks/Edit/19499","Open")</f>
        <v>Open</v>
      </c>
    </row>
    <row r="62" spans="1:11" ht="13.2">
      <c r="A62" s="4" t="s">
        <v>235</v>
      </c>
      <c r="B62" s="5" t="s">
        <v>101</v>
      </c>
      <c r="C62" s="6" t="s">
        <v>232</v>
      </c>
      <c r="D62" s="7" t="s">
        <v>236</v>
      </c>
      <c r="E62" s="8" t="s">
        <v>16</v>
      </c>
      <c r="F62" s="9" t="s">
        <v>17</v>
      </c>
      <c r="G62" s="10">
        <v>9</v>
      </c>
      <c r="H62" s="11">
        <v>46011</v>
      </c>
      <c r="I62" s="12" t="s">
        <v>237</v>
      </c>
      <c r="J62" s="13" t="s">
        <v>30</v>
      </c>
      <c r="K62" s="14" t="str">
        <f>HYPERLINK("http://mpro.prangroup.com:4000/CreativeWorks/Edit/19638","Open")</f>
        <v>Open</v>
      </c>
    </row>
    <row r="63" spans="1:11" ht="13.2">
      <c r="A63" s="4" t="s">
        <v>117</v>
      </c>
      <c r="B63" s="5" t="s">
        <v>32</v>
      </c>
      <c r="C63" s="6" t="s">
        <v>186</v>
      </c>
      <c r="D63" s="7" t="s">
        <v>238</v>
      </c>
      <c r="E63" s="8" t="s">
        <v>16</v>
      </c>
      <c r="F63" s="9" t="s">
        <v>17</v>
      </c>
      <c r="G63" s="10">
        <v>1</v>
      </c>
      <c r="H63" s="11">
        <v>46012</v>
      </c>
      <c r="I63" s="12" t="s">
        <v>239</v>
      </c>
      <c r="J63" s="13" t="s">
        <v>30</v>
      </c>
      <c r="K63" s="14" t="str">
        <f>HYPERLINK("http://mpro.prangroup.com:4000/CreativeWorks/Edit/19711","Open")</f>
        <v>Open</v>
      </c>
    </row>
    <row r="64" spans="1:11" ht="13.2">
      <c r="A64" s="4" t="s">
        <v>240</v>
      </c>
      <c r="B64" s="5" t="s">
        <v>60</v>
      </c>
      <c r="C64" s="6" t="s">
        <v>186</v>
      </c>
      <c r="D64" s="7" t="s">
        <v>241</v>
      </c>
      <c r="E64" s="8" t="s">
        <v>242</v>
      </c>
      <c r="F64" s="9" t="s">
        <v>17</v>
      </c>
      <c r="G64" s="10">
        <v>2</v>
      </c>
      <c r="H64" s="11">
        <v>46012</v>
      </c>
      <c r="I64" s="12" t="s">
        <v>243</v>
      </c>
      <c r="J64" s="13" t="s">
        <v>30</v>
      </c>
      <c r="K64" s="14" t="str">
        <f>HYPERLINK("http://mpro.prangroup.com:4000/CreativeWorks/Edit/19723","Open")</f>
        <v>Open</v>
      </c>
    </row>
    <row r="65" spans="1:12" ht="13.2">
      <c r="A65" s="4" t="s">
        <v>244</v>
      </c>
      <c r="B65" s="5" t="s">
        <v>41</v>
      </c>
      <c r="C65" s="6" t="s">
        <v>245</v>
      </c>
      <c r="D65" s="7" t="s">
        <v>246</v>
      </c>
      <c r="E65" s="8" t="s">
        <v>242</v>
      </c>
      <c r="F65" s="9" t="s">
        <v>17</v>
      </c>
      <c r="G65" s="10">
        <v>1</v>
      </c>
      <c r="H65" s="11">
        <v>46013</v>
      </c>
      <c r="I65" s="12" t="s">
        <v>247</v>
      </c>
      <c r="J65" s="13" t="s">
        <v>19</v>
      </c>
      <c r="K65" s="14" t="str">
        <f>HYPERLINK("http://mpro.prangroup.com:4000/CreativeWorks/Edit/19850","Open")</f>
        <v>Open</v>
      </c>
    </row>
    <row r="66" spans="1:12" ht="13.2">
      <c r="A66" s="4" t="s">
        <v>248</v>
      </c>
      <c r="B66" s="5" t="s">
        <v>123</v>
      </c>
      <c r="C66" s="6" t="s">
        <v>124</v>
      </c>
      <c r="D66" s="7" t="s">
        <v>249</v>
      </c>
      <c r="E66" s="8" t="s">
        <v>23</v>
      </c>
      <c r="F66" s="9" t="s">
        <v>17</v>
      </c>
      <c r="G66" s="10">
        <v>1</v>
      </c>
      <c r="H66" s="11">
        <v>46014</v>
      </c>
      <c r="I66" s="12" t="s">
        <v>250</v>
      </c>
      <c r="J66" s="13" t="s">
        <v>30</v>
      </c>
      <c r="K66" s="14" t="str">
        <f>HYPERLINK("http://mpro.prangroup.com:4000/CreativeWorks/Edit/19942","Open")</f>
        <v>Open</v>
      </c>
    </row>
    <row r="67" spans="1:12" ht="13.2">
      <c r="A67" s="4" t="s">
        <v>40</v>
      </c>
      <c r="B67" s="5" t="s">
        <v>41</v>
      </c>
      <c r="C67" s="6" t="s">
        <v>186</v>
      </c>
      <c r="D67" s="7" t="s">
        <v>251</v>
      </c>
      <c r="E67" s="8" t="s">
        <v>23</v>
      </c>
      <c r="F67" s="9" t="s">
        <v>17</v>
      </c>
      <c r="G67" s="10">
        <v>2</v>
      </c>
      <c r="H67" s="11">
        <v>46015</v>
      </c>
      <c r="I67" s="12" t="s">
        <v>252</v>
      </c>
      <c r="J67" s="13" t="s">
        <v>30</v>
      </c>
      <c r="K67" s="14" t="str">
        <f>HYPERLINK("http://mpro.prangroup.com:4000/CreativeWorks/Edit/20042","Open")</f>
        <v>Open</v>
      </c>
    </row>
    <row r="68" spans="1:12" ht="13.2">
      <c r="A68" s="4" t="s">
        <v>253</v>
      </c>
      <c r="B68" s="5" t="s">
        <v>197</v>
      </c>
      <c r="C68" s="6" t="s">
        <v>198</v>
      </c>
      <c r="D68" s="7" t="s">
        <v>254</v>
      </c>
      <c r="E68" s="8" t="s">
        <v>23</v>
      </c>
      <c r="F68" s="9" t="s">
        <v>17</v>
      </c>
      <c r="G68" s="10">
        <v>3</v>
      </c>
      <c r="H68" s="11">
        <v>46019</v>
      </c>
      <c r="I68" s="12" t="s">
        <v>255</v>
      </c>
      <c r="J68" s="13" t="s">
        <v>30</v>
      </c>
      <c r="K68" s="14" t="str">
        <f>HYPERLINK("http://mpro.prangroup.com:4000/CreativeWorks/Edit/20258","Open")</f>
        <v>Open</v>
      </c>
    </row>
    <row r="69" spans="1:12" ht="13.2">
      <c r="A69" s="4" t="s">
        <v>256</v>
      </c>
      <c r="B69" s="5" t="s">
        <v>197</v>
      </c>
      <c r="C69" s="6" t="s">
        <v>257</v>
      </c>
      <c r="D69" s="7" t="s">
        <v>258</v>
      </c>
      <c r="E69" s="8" t="s">
        <v>23</v>
      </c>
      <c r="F69" s="9" t="s">
        <v>17</v>
      </c>
      <c r="G69" s="10">
        <v>4</v>
      </c>
      <c r="H69" s="11">
        <v>46020</v>
      </c>
      <c r="I69" s="12" t="s">
        <v>259</v>
      </c>
      <c r="J69" s="13" t="s">
        <v>30</v>
      </c>
      <c r="K69" s="14" t="str">
        <f>HYPERLINK("http://mpro.prangroup.com:4000/CreativeWorks/Edit/20345","Open")</f>
        <v>Open</v>
      </c>
    </row>
    <row r="70" spans="1:12" ht="13.2">
      <c r="A70" s="4" t="s">
        <v>260</v>
      </c>
      <c r="B70" s="5" t="s">
        <v>197</v>
      </c>
      <c r="C70" s="6" t="s">
        <v>198</v>
      </c>
      <c r="D70" s="7" t="s">
        <v>261</v>
      </c>
      <c r="E70" s="8" t="s">
        <v>23</v>
      </c>
      <c r="F70" s="9" t="s">
        <v>17</v>
      </c>
      <c r="G70" s="10">
        <v>1</v>
      </c>
      <c r="H70" s="11">
        <v>46021</v>
      </c>
      <c r="I70" s="12" t="s">
        <v>262</v>
      </c>
      <c r="J70" s="13" t="s">
        <v>30</v>
      </c>
      <c r="K70" s="14" t="str">
        <f>HYPERLINK("http://mpro.prangroup.com:4000/CreativeWorks/Edit/20481","Open")</f>
        <v>Open</v>
      </c>
    </row>
    <row r="71" spans="1:12" ht="13.2">
      <c r="A71" s="4" t="s">
        <v>216</v>
      </c>
      <c r="B71" s="5" t="s">
        <v>217</v>
      </c>
      <c r="C71" s="6" t="s">
        <v>186</v>
      </c>
      <c r="D71" s="7" t="s">
        <v>263</v>
      </c>
      <c r="E71" s="8" t="s">
        <v>16</v>
      </c>
      <c r="F71" s="9" t="s">
        <v>17</v>
      </c>
      <c r="G71" s="10">
        <v>1</v>
      </c>
      <c r="H71" s="11">
        <v>46025</v>
      </c>
      <c r="I71" s="12" t="s">
        <v>264</v>
      </c>
      <c r="J71" s="13" t="s">
        <v>30</v>
      </c>
      <c r="K71" s="14" t="str">
        <f>HYPERLINK("http://mpro.prangroup.com:4000/CreativeWorks/Edit/20966","Open")</f>
        <v>Open</v>
      </c>
    </row>
    <row r="72" spans="1:12" ht="13.2">
      <c r="A72" s="4" t="s">
        <v>235</v>
      </c>
      <c r="B72" s="5" t="s">
        <v>101</v>
      </c>
      <c r="C72" s="6" t="s">
        <v>228</v>
      </c>
      <c r="D72" s="7" t="s">
        <v>265</v>
      </c>
      <c r="E72" s="8" t="s">
        <v>242</v>
      </c>
      <c r="F72" s="9" t="s">
        <v>17</v>
      </c>
      <c r="G72" s="10">
        <v>10</v>
      </c>
      <c r="H72" s="11">
        <v>46026</v>
      </c>
      <c r="I72" s="12" t="s">
        <v>266</v>
      </c>
      <c r="J72" s="13" t="s">
        <v>30</v>
      </c>
      <c r="K72" s="14" t="str">
        <f>HYPERLINK("http://mpro.prangroup.com:4000/CreativeWorks/Edit/21083","Open")</f>
        <v>Open</v>
      </c>
    </row>
    <row r="73" spans="1:12" ht="13.2">
      <c r="A73" s="4" t="s">
        <v>267</v>
      </c>
      <c r="B73" s="5" t="s">
        <v>178</v>
      </c>
      <c r="C73" s="6" t="s">
        <v>268</v>
      </c>
      <c r="D73" s="7" t="s">
        <v>269</v>
      </c>
      <c r="E73" s="8" t="s">
        <v>141</v>
      </c>
      <c r="F73" s="9" t="s">
        <v>17</v>
      </c>
      <c r="G73" s="10">
        <v>1</v>
      </c>
      <c r="H73" s="11">
        <v>46027</v>
      </c>
      <c r="I73" s="12" t="s">
        <v>270</v>
      </c>
      <c r="J73" s="13" t="s">
        <v>30</v>
      </c>
      <c r="K73" s="14" t="str">
        <f>HYPERLINK("http://mpro.prangroup.com:4000/CreativeWorks/Edit/21175","Open")</f>
        <v>Open</v>
      </c>
      <c r="L73" s="15">
        <v>46199</v>
      </c>
    </row>
    <row r="74" spans="1:12" ht="13.2">
      <c r="A74" s="4" t="s">
        <v>174</v>
      </c>
      <c r="B74" s="5" t="s">
        <v>32</v>
      </c>
      <c r="C74" s="6" t="s">
        <v>86</v>
      </c>
      <c r="D74" s="7" t="s">
        <v>271</v>
      </c>
      <c r="E74" s="8" t="s">
        <v>141</v>
      </c>
      <c r="F74" s="9" t="s">
        <v>17</v>
      </c>
      <c r="G74" s="10">
        <v>1</v>
      </c>
      <c r="H74" s="11">
        <v>46027</v>
      </c>
      <c r="I74" s="12" t="s">
        <v>272</v>
      </c>
      <c r="J74" s="13" t="s">
        <v>19</v>
      </c>
      <c r="K74" s="14" t="str">
        <f>HYPERLINK("http://mpro.prangroup.com:4000/CreativeWorks/Edit/21163","Open")</f>
        <v>Open</v>
      </c>
    </row>
    <row r="75" spans="1:12" ht="13.2">
      <c r="A75" s="4" t="s">
        <v>244</v>
      </c>
      <c r="B75" s="5" t="s">
        <v>41</v>
      </c>
      <c r="C75" s="6" t="s">
        <v>245</v>
      </c>
      <c r="D75" s="7" t="s">
        <v>246</v>
      </c>
      <c r="E75" s="8" t="s">
        <v>23</v>
      </c>
      <c r="F75" s="9" t="s">
        <v>17</v>
      </c>
      <c r="G75" s="10">
        <v>1</v>
      </c>
      <c r="H75" s="11">
        <v>46028</v>
      </c>
      <c r="I75" s="12" t="s">
        <v>273</v>
      </c>
      <c r="J75" s="13" t="s">
        <v>19</v>
      </c>
      <c r="K75" s="14" t="str">
        <f>HYPERLINK("http://mpro.prangroup.com:4000/CreativeWorks/Edit/21261","Open")</f>
        <v>Open</v>
      </c>
    </row>
    <row r="76" spans="1:12" ht="13.2">
      <c r="A76" s="4" t="s">
        <v>274</v>
      </c>
      <c r="B76" s="5" t="s">
        <v>41</v>
      </c>
      <c r="C76" s="6" t="s">
        <v>275</v>
      </c>
      <c r="D76" s="7" t="s">
        <v>276</v>
      </c>
      <c r="E76" s="8" t="s">
        <v>242</v>
      </c>
      <c r="F76" s="9" t="s">
        <v>17</v>
      </c>
      <c r="G76" s="10">
        <v>2</v>
      </c>
      <c r="H76" s="11">
        <v>46028</v>
      </c>
      <c r="I76" s="12" t="s">
        <v>277</v>
      </c>
      <c r="J76" s="13" t="s">
        <v>30</v>
      </c>
      <c r="K76" s="14" t="str">
        <f>HYPERLINK("http://mpro.prangroup.com:4000/CreativeWorks/Edit/21229","Open")</f>
        <v>Open</v>
      </c>
    </row>
    <row r="77" spans="1:12" ht="13.2">
      <c r="A77" s="4" t="s">
        <v>278</v>
      </c>
      <c r="B77" s="5" t="s">
        <v>170</v>
      </c>
      <c r="C77" s="6" t="s">
        <v>186</v>
      </c>
      <c r="D77" s="7" t="s">
        <v>279</v>
      </c>
      <c r="E77" s="8" t="s">
        <v>242</v>
      </c>
      <c r="F77" s="9" t="s">
        <v>17</v>
      </c>
      <c r="G77" s="10">
        <v>3</v>
      </c>
      <c r="H77" s="11">
        <v>46028</v>
      </c>
      <c r="I77" s="12" t="s">
        <v>280</v>
      </c>
      <c r="J77" s="13" t="s">
        <v>30</v>
      </c>
      <c r="K77" s="14" t="str">
        <f>HYPERLINK("http://mpro.prangroup.com:4000/CreativeWorks/Edit/21242","Open")</f>
        <v>Open</v>
      </c>
    </row>
    <row r="78" spans="1:12" ht="13.2">
      <c r="A78" s="4" t="s">
        <v>281</v>
      </c>
      <c r="B78" s="5" t="s">
        <v>282</v>
      </c>
      <c r="C78" s="6" t="s">
        <v>283</v>
      </c>
      <c r="D78" s="7" t="s">
        <v>284</v>
      </c>
      <c r="E78" s="8" t="s">
        <v>23</v>
      </c>
      <c r="F78" s="9" t="s">
        <v>17</v>
      </c>
      <c r="G78" s="10">
        <v>6</v>
      </c>
      <c r="H78" s="11">
        <v>46029</v>
      </c>
      <c r="I78" s="12" t="s">
        <v>285</v>
      </c>
      <c r="J78" s="13" t="s">
        <v>30</v>
      </c>
      <c r="K78" s="14" t="str">
        <f>HYPERLINK("http://mpro.prangroup.com:4000/CreativeWorks/Edit/21333","Open")</f>
        <v>Open</v>
      </c>
    </row>
    <row r="79" spans="1:12" ht="13.2">
      <c r="A79" s="4" t="s">
        <v>286</v>
      </c>
      <c r="B79" s="5" t="s">
        <v>32</v>
      </c>
      <c r="C79" s="6" t="s">
        <v>287</v>
      </c>
      <c r="D79" s="7" t="s">
        <v>288</v>
      </c>
      <c r="E79" s="8" t="s">
        <v>23</v>
      </c>
      <c r="F79" s="9" t="s">
        <v>17</v>
      </c>
      <c r="G79" s="10">
        <v>2</v>
      </c>
      <c r="H79" s="11">
        <v>46033</v>
      </c>
      <c r="I79" s="12" t="s">
        <v>289</v>
      </c>
      <c r="J79" s="13" t="s">
        <v>30</v>
      </c>
      <c r="K79" s="14" t="str">
        <f>HYPERLINK("http://mpro.prangroup.com:4000/CreativeWorks/Edit/21611","Open")</f>
        <v>Open</v>
      </c>
    </row>
    <row r="80" spans="1:12" ht="13.2">
      <c r="A80" s="4" t="s">
        <v>227</v>
      </c>
      <c r="B80" s="5" t="s">
        <v>60</v>
      </c>
      <c r="C80" s="6" t="s">
        <v>186</v>
      </c>
      <c r="D80" s="7" t="s">
        <v>290</v>
      </c>
      <c r="E80" s="8" t="s">
        <v>23</v>
      </c>
      <c r="F80" s="9" t="s">
        <v>17</v>
      </c>
      <c r="G80" s="10">
        <v>2</v>
      </c>
      <c r="H80" s="11">
        <v>46033</v>
      </c>
      <c r="I80" s="12" t="s">
        <v>291</v>
      </c>
      <c r="J80" s="13" t="s">
        <v>30</v>
      </c>
      <c r="K80" s="14" t="str">
        <f>HYPERLINK("http://mpro.prangroup.com:4000/CreativeWorks/Edit/21583","Open")</f>
        <v>Open</v>
      </c>
    </row>
    <row r="81" spans="1:12" ht="13.2">
      <c r="A81" s="4" t="s">
        <v>292</v>
      </c>
      <c r="B81" s="5" t="s">
        <v>26</v>
      </c>
      <c r="C81" s="6" t="s">
        <v>293</v>
      </c>
      <c r="D81" s="7" t="s">
        <v>294</v>
      </c>
      <c r="E81" s="8" t="s">
        <v>23</v>
      </c>
      <c r="F81" s="9" t="s">
        <v>17</v>
      </c>
      <c r="G81" s="10">
        <v>4</v>
      </c>
      <c r="H81" s="11">
        <v>46034</v>
      </c>
      <c r="I81" s="12" t="s">
        <v>295</v>
      </c>
      <c r="J81" s="13" t="s">
        <v>30</v>
      </c>
      <c r="K81" s="14" t="str">
        <f>HYPERLINK("http://mpro.prangroup.com:4000/CreativeWorks/Edit/21670","Open")</f>
        <v>Open</v>
      </c>
    </row>
    <row r="82" spans="1:12" ht="13.2">
      <c r="A82" s="4" t="s">
        <v>296</v>
      </c>
      <c r="B82" s="5" t="s">
        <v>123</v>
      </c>
      <c r="C82" s="6" t="s">
        <v>232</v>
      </c>
      <c r="D82" s="7" t="s">
        <v>297</v>
      </c>
      <c r="E82" s="8" t="s">
        <v>88</v>
      </c>
      <c r="F82" s="9" t="s">
        <v>17</v>
      </c>
      <c r="G82" s="10">
        <v>4</v>
      </c>
      <c r="H82" s="11">
        <v>46036</v>
      </c>
      <c r="I82" s="12" t="s">
        <v>298</v>
      </c>
      <c r="J82" s="13" t="s">
        <v>30</v>
      </c>
      <c r="K82" s="14" t="str">
        <f>HYPERLINK("http://mpro.prangroup.com:4000/CreativeWorks/Edit/21877","Open")</f>
        <v>Open</v>
      </c>
    </row>
    <row r="83" spans="1:12" ht="13.2">
      <c r="A83" s="4" t="s">
        <v>299</v>
      </c>
      <c r="B83" s="5" t="s">
        <v>32</v>
      </c>
      <c r="C83" s="6" t="s">
        <v>186</v>
      </c>
      <c r="D83" s="7" t="s">
        <v>300</v>
      </c>
      <c r="E83" s="8" t="s">
        <v>16</v>
      </c>
      <c r="F83" s="9" t="s">
        <v>17</v>
      </c>
      <c r="G83" s="10">
        <v>3</v>
      </c>
      <c r="H83" s="11">
        <v>46037</v>
      </c>
      <c r="I83" s="12" t="s">
        <v>301</v>
      </c>
      <c r="J83" s="13" t="s">
        <v>30</v>
      </c>
      <c r="K83" s="14" t="str">
        <f t="shared" ref="K83:K85" si="1">HYPERLINK("http://mpro.prangroup.com:4000/CreativeWorks/Edit/21994","Open")</f>
        <v>Open</v>
      </c>
    </row>
    <row r="84" spans="1:12" ht="13.2">
      <c r="A84" s="4" t="s">
        <v>299</v>
      </c>
      <c r="B84" s="5" t="s">
        <v>32</v>
      </c>
      <c r="C84" s="6" t="s">
        <v>186</v>
      </c>
      <c r="D84" s="7" t="s">
        <v>300</v>
      </c>
      <c r="E84" s="8" t="s">
        <v>88</v>
      </c>
      <c r="F84" s="9" t="s">
        <v>17</v>
      </c>
      <c r="G84" s="10">
        <v>3</v>
      </c>
      <c r="H84" s="11">
        <v>46037</v>
      </c>
      <c r="I84" s="12" t="s">
        <v>301</v>
      </c>
      <c r="J84" s="13" t="s">
        <v>30</v>
      </c>
      <c r="K84" s="14" t="str">
        <f t="shared" si="1"/>
        <v>Open</v>
      </c>
    </row>
    <row r="85" spans="1:12" ht="13.2">
      <c r="A85" s="4" t="s">
        <v>299</v>
      </c>
      <c r="B85" s="5" t="s">
        <v>32</v>
      </c>
      <c r="C85" s="6" t="s">
        <v>186</v>
      </c>
      <c r="D85" s="7" t="s">
        <v>300</v>
      </c>
      <c r="E85" s="8" t="s">
        <v>302</v>
      </c>
      <c r="F85" s="9" t="s">
        <v>17</v>
      </c>
      <c r="G85" s="10">
        <v>6</v>
      </c>
      <c r="H85" s="11">
        <v>46037</v>
      </c>
      <c r="I85" s="12" t="s">
        <v>301</v>
      </c>
      <c r="J85" s="13" t="s">
        <v>30</v>
      </c>
      <c r="K85" s="14" t="str">
        <f t="shared" si="1"/>
        <v>Open</v>
      </c>
    </row>
    <row r="86" spans="1:12" ht="13.2">
      <c r="A86" s="4" t="s">
        <v>235</v>
      </c>
      <c r="B86" s="5" t="s">
        <v>101</v>
      </c>
      <c r="C86" s="6" t="s">
        <v>232</v>
      </c>
      <c r="D86" s="7" t="s">
        <v>303</v>
      </c>
      <c r="E86" s="8" t="s">
        <v>242</v>
      </c>
      <c r="F86" s="9" t="s">
        <v>17</v>
      </c>
      <c r="G86" s="10">
        <v>9</v>
      </c>
      <c r="H86" s="11">
        <v>46039</v>
      </c>
      <c r="I86" s="12" t="s">
        <v>304</v>
      </c>
      <c r="J86" s="13" t="s">
        <v>30</v>
      </c>
      <c r="K86" s="14" t="str">
        <f>HYPERLINK("http://mpro.prangroup.com:4000/CreativeWorks/Edit/22099","Open")</f>
        <v>Open</v>
      </c>
    </row>
    <row r="87" spans="1:12" ht="13.2">
      <c r="A87" s="4" t="s">
        <v>305</v>
      </c>
      <c r="B87" s="5" t="s">
        <v>197</v>
      </c>
      <c r="C87" s="6" t="s">
        <v>198</v>
      </c>
      <c r="D87" s="7" t="s">
        <v>306</v>
      </c>
      <c r="E87" s="8" t="s">
        <v>23</v>
      </c>
      <c r="F87" s="9" t="s">
        <v>17</v>
      </c>
      <c r="G87" s="10">
        <v>4</v>
      </c>
      <c r="H87" s="11">
        <v>46040</v>
      </c>
      <c r="I87" s="12" t="s">
        <v>307</v>
      </c>
      <c r="J87" s="13" t="s">
        <v>30</v>
      </c>
      <c r="K87" s="14" t="str">
        <f>HYPERLINK("http://mpro.prangroup.com:4000/CreativeWorks/Edit/22227","Open")</f>
        <v>Open</v>
      </c>
    </row>
    <row r="88" spans="1:12" ht="13.2">
      <c r="A88" s="4" t="s">
        <v>308</v>
      </c>
      <c r="B88" s="5" t="s">
        <v>170</v>
      </c>
      <c r="C88" s="6" t="s">
        <v>186</v>
      </c>
      <c r="D88" s="7" t="s">
        <v>309</v>
      </c>
      <c r="E88" s="8" t="s">
        <v>16</v>
      </c>
      <c r="F88" s="9" t="s">
        <v>17</v>
      </c>
      <c r="G88" s="10">
        <v>1</v>
      </c>
      <c r="H88" s="11">
        <v>46041</v>
      </c>
      <c r="I88" s="12" t="s">
        <v>310</v>
      </c>
      <c r="J88" s="13" t="s">
        <v>30</v>
      </c>
      <c r="K88" s="14" t="str">
        <f>HYPERLINK("http://mpro.prangroup.com:4000/CreativeWorks/Edit/22355","Open")</f>
        <v>Open</v>
      </c>
    </row>
    <row r="89" spans="1:12" ht="13.2">
      <c r="A89" s="4" t="s">
        <v>216</v>
      </c>
      <c r="B89" s="5" t="s">
        <v>185</v>
      </c>
      <c r="C89" s="6" t="s">
        <v>166</v>
      </c>
      <c r="D89" s="7" t="s">
        <v>311</v>
      </c>
      <c r="E89" s="8" t="s">
        <v>88</v>
      </c>
      <c r="F89" s="9" t="s">
        <v>17</v>
      </c>
      <c r="G89" s="10">
        <v>1</v>
      </c>
      <c r="H89" s="11">
        <v>46042</v>
      </c>
      <c r="I89" s="12" t="s">
        <v>312</v>
      </c>
      <c r="J89" s="13" t="s">
        <v>30</v>
      </c>
      <c r="K89" s="14" t="str">
        <f>HYPERLINK("http://mpro.prangroup.com:4000/CreativeWorks/Edit/22482","Open")</f>
        <v>Open</v>
      </c>
    </row>
    <row r="90" spans="1:12" ht="13.2">
      <c r="A90" s="4" t="s">
        <v>313</v>
      </c>
      <c r="B90" s="5" t="s">
        <v>123</v>
      </c>
      <c r="C90" s="6" t="s">
        <v>275</v>
      </c>
      <c r="D90" s="7" t="s">
        <v>314</v>
      </c>
      <c r="E90" s="8" t="s">
        <v>242</v>
      </c>
      <c r="F90" s="9" t="s">
        <v>17</v>
      </c>
      <c r="G90" s="10">
        <v>3</v>
      </c>
      <c r="H90" s="11">
        <v>46046</v>
      </c>
      <c r="I90" s="12" t="s">
        <v>315</v>
      </c>
      <c r="J90" s="13" t="s">
        <v>30</v>
      </c>
      <c r="K90" s="14" t="str">
        <f>HYPERLINK("http://mpro.prangroup.com:4000/CreativeWorks/Edit/22803","Open")</f>
        <v>Open</v>
      </c>
    </row>
    <row r="91" spans="1:12" ht="13.2">
      <c r="A91" s="4" t="s">
        <v>235</v>
      </c>
      <c r="B91" s="5" t="s">
        <v>101</v>
      </c>
      <c r="C91" s="6" t="s">
        <v>232</v>
      </c>
      <c r="D91" s="7" t="s">
        <v>316</v>
      </c>
      <c r="E91" s="8" t="s">
        <v>242</v>
      </c>
      <c r="F91" s="9" t="s">
        <v>17</v>
      </c>
      <c r="G91" s="10">
        <v>7</v>
      </c>
      <c r="H91" s="11">
        <v>46047</v>
      </c>
      <c r="I91" s="12" t="s">
        <v>317</v>
      </c>
      <c r="J91" s="13" t="s">
        <v>30</v>
      </c>
      <c r="K91" s="14" t="str">
        <f>HYPERLINK("http://mpro.prangroup.com:4000/CreativeWorks/Edit/22831","Open")</f>
        <v>Open</v>
      </c>
    </row>
    <row r="92" spans="1:12" ht="13.2">
      <c r="A92" s="4" t="s">
        <v>318</v>
      </c>
      <c r="B92" s="5" t="s">
        <v>32</v>
      </c>
      <c r="C92" s="6" t="s">
        <v>186</v>
      </c>
      <c r="D92" s="7" t="s">
        <v>319</v>
      </c>
      <c r="E92" s="8" t="s">
        <v>16</v>
      </c>
      <c r="F92" s="9" t="s">
        <v>17</v>
      </c>
      <c r="G92" s="10">
        <v>1</v>
      </c>
      <c r="H92" s="11">
        <v>46048</v>
      </c>
      <c r="I92" s="12" t="s">
        <v>320</v>
      </c>
      <c r="J92" s="13" t="s">
        <v>30</v>
      </c>
      <c r="K92" s="14" t="str">
        <f>HYPERLINK("http://mpro.prangroup.com:4000/CreativeWorks/Edit/23017","Open")</f>
        <v>Open</v>
      </c>
    </row>
    <row r="93" spans="1:12" ht="13.2">
      <c r="A93" s="4" t="s">
        <v>90</v>
      </c>
      <c r="B93" s="5" t="s">
        <v>32</v>
      </c>
      <c r="C93" s="6" t="s">
        <v>91</v>
      </c>
      <c r="D93" s="7" t="s">
        <v>321</v>
      </c>
      <c r="E93" s="8" t="s">
        <v>242</v>
      </c>
      <c r="F93" s="9" t="s">
        <v>17</v>
      </c>
      <c r="G93" s="10">
        <v>5</v>
      </c>
      <c r="H93" s="11">
        <v>46051</v>
      </c>
      <c r="I93" s="12" t="s">
        <v>322</v>
      </c>
      <c r="J93" s="13" t="s">
        <v>30</v>
      </c>
      <c r="K93" s="14" t="str">
        <f>HYPERLINK("http://mpro.prangroup.com:4000/CreativeWorks/Edit/23429","Open")</f>
        <v>Open</v>
      </c>
    </row>
    <row r="94" spans="1:12" ht="13.2">
      <c r="A94" s="4" t="s">
        <v>323</v>
      </c>
      <c r="B94" s="5" t="s">
        <v>178</v>
      </c>
      <c r="C94" s="6" t="s">
        <v>268</v>
      </c>
      <c r="D94" s="7" t="s">
        <v>324</v>
      </c>
      <c r="E94" s="8" t="s">
        <v>242</v>
      </c>
      <c r="F94" s="9" t="s">
        <v>17</v>
      </c>
      <c r="G94" s="10">
        <v>1</v>
      </c>
      <c r="H94" s="11">
        <v>46051</v>
      </c>
      <c r="I94" s="12" t="s">
        <v>325</v>
      </c>
      <c r="J94" s="13" t="s">
        <v>30</v>
      </c>
      <c r="K94" s="14" t="str">
        <f>HYPERLINK("http://mpro.prangroup.com:4000/CreativeWorks/Edit/23332","Open")</f>
        <v>Open</v>
      </c>
      <c r="L94" s="15">
        <v>46199</v>
      </c>
    </row>
    <row r="95" spans="1:12" ht="13.2">
      <c r="A95" s="4" t="s">
        <v>174</v>
      </c>
      <c r="B95" s="5" t="s">
        <v>32</v>
      </c>
      <c r="C95" s="6" t="s">
        <v>86</v>
      </c>
      <c r="D95" s="7" t="s">
        <v>326</v>
      </c>
      <c r="E95" s="8" t="s">
        <v>242</v>
      </c>
      <c r="F95" s="9" t="s">
        <v>17</v>
      </c>
      <c r="G95" s="10">
        <v>1</v>
      </c>
      <c r="H95" s="11">
        <v>46051</v>
      </c>
      <c r="I95" s="12" t="s">
        <v>327</v>
      </c>
      <c r="J95" s="13" t="s">
        <v>19</v>
      </c>
      <c r="K95" s="14" t="str">
        <f>HYPERLINK("http://mpro.prangroup.com:4000/CreativeWorks/Edit/23445","Open")</f>
        <v>Open</v>
      </c>
    </row>
    <row r="96" spans="1:12" ht="13.2">
      <c r="A96" s="4" t="s">
        <v>328</v>
      </c>
      <c r="B96" s="5" t="s">
        <v>32</v>
      </c>
      <c r="C96" s="6" t="s">
        <v>37</v>
      </c>
      <c r="D96" s="7" t="s">
        <v>329</v>
      </c>
      <c r="E96" s="8" t="s">
        <v>242</v>
      </c>
      <c r="F96" s="9" t="s">
        <v>17</v>
      </c>
      <c r="G96" s="10">
        <v>1</v>
      </c>
      <c r="H96" s="11">
        <v>46051</v>
      </c>
      <c r="I96" s="12" t="s">
        <v>330</v>
      </c>
      <c r="J96" s="13" t="s">
        <v>30</v>
      </c>
      <c r="K96" s="14" t="str">
        <f>HYPERLINK("http://mpro.prangroup.com:4000/CreativeWorks/Edit/23342","Open")</f>
        <v>Open</v>
      </c>
    </row>
    <row r="97" spans="1:11" ht="13.2">
      <c r="A97" s="4" t="s">
        <v>331</v>
      </c>
      <c r="B97" s="5" t="s">
        <v>60</v>
      </c>
      <c r="C97" s="6" t="s">
        <v>228</v>
      </c>
      <c r="D97" s="7" t="s">
        <v>332</v>
      </c>
      <c r="E97" s="8" t="s">
        <v>16</v>
      </c>
      <c r="F97" s="9" t="s">
        <v>17</v>
      </c>
      <c r="G97" s="10">
        <v>1</v>
      </c>
      <c r="H97" s="11">
        <v>46055</v>
      </c>
      <c r="I97" s="12" t="s">
        <v>333</v>
      </c>
      <c r="J97" s="13" t="s">
        <v>30</v>
      </c>
      <c r="K97" s="14" t="str">
        <f>HYPERLINK("http://mpro.prangroup.com:4000/CreativeWorks/Edit/24098","Open")</f>
        <v>Open</v>
      </c>
    </row>
    <row r="98" spans="1:11" ht="13.2">
      <c r="A98" s="4" t="s">
        <v>334</v>
      </c>
      <c r="B98" s="5" t="s">
        <v>221</v>
      </c>
      <c r="C98" s="6" t="s">
        <v>335</v>
      </c>
      <c r="D98" s="7" t="s">
        <v>336</v>
      </c>
      <c r="E98" s="8" t="s">
        <v>141</v>
      </c>
      <c r="F98" s="9" t="s">
        <v>17</v>
      </c>
      <c r="G98" s="10">
        <v>3</v>
      </c>
      <c r="H98" s="11">
        <v>46055</v>
      </c>
      <c r="I98" s="12" t="s">
        <v>337</v>
      </c>
      <c r="J98" s="13" t="s">
        <v>30</v>
      </c>
      <c r="K98" s="14" t="str">
        <f>HYPERLINK("http://mpro.prangroup.com:4000/CreativeWorks/Edit/24005","Open")</f>
        <v>Open</v>
      </c>
    </row>
    <row r="99" spans="1:11" ht="13.2">
      <c r="A99" s="4" t="s">
        <v>334</v>
      </c>
      <c r="B99" s="5" t="s">
        <v>221</v>
      </c>
      <c r="C99" s="6" t="s">
        <v>335</v>
      </c>
      <c r="D99" s="7" t="s">
        <v>338</v>
      </c>
      <c r="E99" s="8" t="s">
        <v>141</v>
      </c>
      <c r="F99" s="9" t="s">
        <v>17</v>
      </c>
      <c r="G99" s="10">
        <v>1</v>
      </c>
      <c r="H99" s="11">
        <v>46055</v>
      </c>
      <c r="I99" s="12" t="s">
        <v>339</v>
      </c>
      <c r="J99" s="13" t="s">
        <v>30</v>
      </c>
      <c r="K99" s="14" t="str">
        <f>HYPERLINK("http://mpro.prangroup.com:4000/CreativeWorks/Edit/24076","Open")</f>
        <v>Open</v>
      </c>
    </row>
    <row r="100" spans="1:11" ht="13.2">
      <c r="A100" s="4" t="s">
        <v>256</v>
      </c>
      <c r="B100" s="5" t="s">
        <v>197</v>
      </c>
      <c r="C100" s="6" t="s">
        <v>257</v>
      </c>
      <c r="D100" s="7" t="s">
        <v>340</v>
      </c>
      <c r="E100" s="8" t="s">
        <v>141</v>
      </c>
      <c r="F100" s="9" t="s">
        <v>17</v>
      </c>
      <c r="G100" s="10">
        <v>8</v>
      </c>
      <c r="H100" s="11">
        <v>46056</v>
      </c>
      <c r="I100" s="12" t="s">
        <v>341</v>
      </c>
      <c r="J100" s="13" t="s">
        <v>30</v>
      </c>
      <c r="K100" s="14" t="str">
        <f>HYPERLINK("http://mpro.prangroup.com:4000/CreativeWorks/Edit/24184","Open")</f>
        <v>Open</v>
      </c>
    </row>
    <row r="101" spans="1:11" ht="13.2">
      <c r="A101" s="4" t="s">
        <v>342</v>
      </c>
      <c r="B101" s="5" t="s">
        <v>32</v>
      </c>
      <c r="C101" s="6" t="s">
        <v>186</v>
      </c>
      <c r="D101" s="7" t="s">
        <v>343</v>
      </c>
      <c r="E101" s="8" t="s">
        <v>16</v>
      </c>
      <c r="F101" s="9" t="s">
        <v>17</v>
      </c>
      <c r="G101" s="10">
        <v>3</v>
      </c>
      <c r="H101" s="11">
        <v>46058</v>
      </c>
      <c r="I101" s="12" t="s">
        <v>344</v>
      </c>
      <c r="J101" s="13" t="s">
        <v>30</v>
      </c>
      <c r="K101" s="14" t="str">
        <f>HYPERLINK("http://mpro.prangroup.com:4000/CreativeWorks/Edit/24291","Open")</f>
        <v>Open</v>
      </c>
    </row>
    <row r="102" spans="1:11" ht="13.2">
      <c r="A102" s="4" t="s">
        <v>40</v>
      </c>
      <c r="B102" s="5" t="s">
        <v>41</v>
      </c>
      <c r="C102" s="6" t="s">
        <v>42</v>
      </c>
      <c r="D102" s="7" t="s">
        <v>345</v>
      </c>
      <c r="E102" s="8" t="s">
        <v>346</v>
      </c>
      <c r="F102" s="9" t="s">
        <v>17</v>
      </c>
      <c r="G102" s="10">
        <v>3</v>
      </c>
      <c r="H102" s="11">
        <v>46060</v>
      </c>
      <c r="I102" s="12" t="s">
        <v>347</v>
      </c>
      <c r="J102" s="13" t="s">
        <v>19</v>
      </c>
      <c r="K102" s="14" t="str">
        <f>HYPERLINK("http://mpro.prangroup.com:4000/CreativeWorks/Edit/24314","Open")</f>
        <v>Open</v>
      </c>
    </row>
    <row r="103" spans="1:11" ht="13.2">
      <c r="A103" s="4" t="s">
        <v>318</v>
      </c>
      <c r="B103" s="5" t="s">
        <v>32</v>
      </c>
      <c r="C103" s="6" t="s">
        <v>348</v>
      </c>
      <c r="D103" s="7" t="s">
        <v>349</v>
      </c>
      <c r="E103" s="8" t="s">
        <v>141</v>
      </c>
      <c r="F103" s="9" t="s">
        <v>17</v>
      </c>
      <c r="G103" s="10">
        <v>2</v>
      </c>
      <c r="H103" s="11">
        <v>46060</v>
      </c>
      <c r="I103" s="12" t="s">
        <v>350</v>
      </c>
      <c r="J103" s="13" t="s">
        <v>30</v>
      </c>
      <c r="K103" s="14" t="str">
        <f>HYPERLINK("http://mpro.prangroup.com:4000/CreativeWorks/Edit/24350","Open")</f>
        <v>Open</v>
      </c>
    </row>
    <row r="104" spans="1:11" ht="13.2">
      <c r="A104" s="4" t="s">
        <v>235</v>
      </c>
      <c r="B104" s="5" t="s">
        <v>101</v>
      </c>
      <c r="C104" s="6" t="s">
        <v>232</v>
      </c>
      <c r="D104" s="7" t="s">
        <v>351</v>
      </c>
      <c r="E104" s="8" t="s">
        <v>242</v>
      </c>
      <c r="F104" s="9" t="s">
        <v>17</v>
      </c>
      <c r="G104" s="10">
        <v>6</v>
      </c>
      <c r="H104" s="11">
        <v>46062</v>
      </c>
      <c r="I104" s="12" t="s">
        <v>352</v>
      </c>
      <c r="J104" s="13" t="s">
        <v>30</v>
      </c>
      <c r="K104" s="14" t="str">
        <f>HYPERLINK("http://mpro.prangroup.com:4000/CreativeWorks/Edit/24517","Open")</f>
        <v>Open</v>
      </c>
    </row>
    <row r="105" spans="1:11" ht="13.2">
      <c r="A105" s="4" t="s">
        <v>353</v>
      </c>
      <c r="B105" s="5" t="s">
        <v>60</v>
      </c>
      <c r="C105" s="6" t="s">
        <v>61</v>
      </c>
      <c r="D105" s="7" t="s">
        <v>354</v>
      </c>
      <c r="E105" s="8" t="s">
        <v>88</v>
      </c>
      <c r="F105" s="9" t="s">
        <v>17</v>
      </c>
      <c r="G105" s="10">
        <v>6</v>
      </c>
      <c r="H105" s="11">
        <v>46069</v>
      </c>
      <c r="I105" s="12" t="s">
        <v>355</v>
      </c>
      <c r="J105" s="13" t="s">
        <v>30</v>
      </c>
      <c r="K105" s="14" t="str">
        <f>HYPERLINK("http://mpro.prangroup.com:4000/CreativeWorks/Edit/24989","Open")</f>
        <v>Open</v>
      </c>
    </row>
    <row r="106" spans="1:11" ht="13.2">
      <c r="A106" s="4" t="s">
        <v>356</v>
      </c>
      <c r="B106" s="5" t="s">
        <v>144</v>
      </c>
      <c r="C106" s="6" t="s">
        <v>171</v>
      </c>
      <c r="D106" s="7" t="s">
        <v>357</v>
      </c>
      <c r="E106" s="8" t="s">
        <v>88</v>
      </c>
      <c r="F106" s="9" t="s">
        <v>17</v>
      </c>
      <c r="G106" s="10">
        <v>5</v>
      </c>
      <c r="H106" s="11">
        <v>46069</v>
      </c>
      <c r="I106" s="12" t="s">
        <v>358</v>
      </c>
      <c r="J106" s="13" t="s">
        <v>30</v>
      </c>
      <c r="K106" s="14" t="str">
        <f>HYPERLINK("http://mpro.prangroup.com:4000/CreativeWorks/Edit/24988","Open")</f>
        <v>Open</v>
      </c>
    </row>
    <row r="107" spans="1:11" ht="13.2">
      <c r="A107" s="4" t="s">
        <v>342</v>
      </c>
      <c r="B107" s="5" t="s">
        <v>32</v>
      </c>
      <c r="C107" s="6" t="s">
        <v>186</v>
      </c>
      <c r="D107" s="7" t="s">
        <v>343</v>
      </c>
      <c r="E107" s="8" t="s">
        <v>16</v>
      </c>
      <c r="F107" s="9" t="s">
        <v>17</v>
      </c>
      <c r="G107" s="10">
        <v>3</v>
      </c>
      <c r="H107" s="11">
        <v>46069</v>
      </c>
      <c r="I107" s="12" t="s">
        <v>359</v>
      </c>
      <c r="J107" s="13" t="s">
        <v>30</v>
      </c>
      <c r="K107" s="14" t="str">
        <f>HYPERLINK("http://mpro.prangroup.com:4000/CreativeWorks/Edit/25031","Open")</f>
        <v>Open</v>
      </c>
    </row>
    <row r="108" spans="1:11" ht="13.2">
      <c r="A108" s="4" t="s">
        <v>360</v>
      </c>
      <c r="B108" s="5" t="s">
        <v>101</v>
      </c>
      <c r="C108" s="6" t="s">
        <v>166</v>
      </c>
      <c r="D108" s="7" t="s">
        <v>361</v>
      </c>
      <c r="E108" s="8" t="s">
        <v>16</v>
      </c>
      <c r="F108" s="9" t="s">
        <v>17</v>
      </c>
      <c r="G108" s="10">
        <v>1</v>
      </c>
      <c r="H108" s="11">
        <v>46070</v>
      </c>
      <c r="I108" s="12" t="s">
        <v>362</v>
      </c>
      <c r="J108" s="13" t="s">
        <v>30</v>
      </c>
      <c r="K108" s="14" t="str">
        <f>HYPERLINK("http://mpro.prangroup.com:4000/CreativeWorks/Edit/25120","Open")</f>
        <v>Open</v>
      </c>
    </row>
    <row r="109" spans="1:11" ht="13.2">
      <c r="A109" s="4" t="s">
        <v>363</v>
      </c>
      <c r="B109" s="5" t="s">
        <v>185</v>
      </c>
      <c r="C109" s="6" t="s">
        <v>186</v>
      </c>
      <c r="D109" s="7" t="s">
        <v>364</v>
      </c>
      <c r="E109" s="8" t="s">
        <v>16</v>
      </c>
      <c r="F109" s="9" t="s">
        <v>17</v>
      </c>
      <c r="G109" s="10">
        <v>7</v>
      </c>
      <c r="H109" s="11">
        <v>46072</v>
      </c>
      <c r="I109" s="12" t="s">
        <v>365</v>
      </c>
      <c r="J109" s="13" t="s">
        <v>30</v>
      </c>
      <c r="K109" s="14" t="str">
        <f>HYPERLINK("http://mpro.prangroup.com:4000/CreativeWorks/Edit/25307","Open")</f>
        <v>Open</v>
      </c>
    </row>
    <row r="110" spans="1:11" ht="13.2">
      <c r="A110" s="4" t="s">
        <v>216</v>
      </c>
      <c r="B110" s="5" t="s">
        <v>217</v>
      </c>
      <c r="C110" s="6" t="s">
        <v>186</v>
      </c>
      <c r="D110" s="7" t="s">
        <v>366</v>
      </c>
      <c r="E110" s="8" t="s">
        <v>16</v>
      </c>
      <c r="F110" s="9" t="s">
        <v>17</v>
      </c>
      <c r="G110" s="10">
        <v>1</v>
      </c>
      <c r="H110" s="11">
        <v>46072</v>
      </c>
      <c r="I110" s="12" t="s">
        <v>367</v>
      </c>
      <c r="J110" s="13" t="s">
        <v>30</v>
      </c>
      <c r="K110" s="14" t="str">
        <f>HYPERLINK("http://mpro.prangroup.com:4000/CreativeWorks/Edit/25317","Open")</f>
        <v>Open</v>
      </c>
    </row>
    <row r="111" spans="1:11" ht="13.2">
      <c r="A111" s="4" t="s">
        <v>363</v>
      </c>
      <c r="B111" s="5" t="s">
        <v>185</v>
      </c>
      <c r="C111" s="6" t="s">
        <v>186</v>
      </c>
      <c r="D111" s="7" t="s">
        <v>364</v>
      </c>
      <c r="E111" s="8" t="s">
        <v>242</v>
      </c>
      <c r="F111" s="9" t="s">
        <v>17</v>
      </c>
      <c r="G111" s="10">
        <v>2</v>
      </c>
      <c r="H111" s="11">
        <v>46072</v>
      </c>
      <c r="I111" s="12" t="s">
        <v>365</v>
      </c>
      <c r="J111" s="13" t="s">
        <v>30</v>
      </c>
      <c r="K111" s="14" t="str">
        <f>HYPERLINK("http://mpro.prangroup.com:4000/CreativeWorks/Edit/25307","Open")</f>
        <v>Open</v>
      </c>
    </row>
    <row r="112" spans="1:11" ht="13.2">
      <c r="A112" s="4" t="s">
        <v>328</v>
      </c>
      <c r="B112" s="5" t="s">
        <v>32</v>
      </c>
      <c r="C112" s="6" t="s">
        <v>368</v>
      </c>
      <c r="D112" s="7" t="s">
        <v>369</v>
      </c>
      <c r="E112" s="8" t="s">
        <v>88</v>
      </c>
      <c r="F112" s="9" t="s">
        <v>17</v>
      </c>
      <c r="G112" s="10">
        <v>1</v>
      </c>
      <c r="H112" s="11">
        <v>46075</v>
      </c>
      <c r="I112" s="12" t="s">
        <v>370</v>
      </c>
      <c r="J112" s="13" t="s">
        <v>30</v>
      </c>
      <c r="K112" s="14" t="str">
        <f>HYPERLINK("http://mpro.prangroup.com:4000/CreativeWorks/Edit/25396","Open")</f>
        <v>Open</v>
      </c>
    </row>
    <row r="113" spans="1:11" ht="13.2">
      <c r="A113" s="4" t="s">
        <v>105</v>
      </c>
      <c r="B113" s="5" t="s">
        <v>60</v>
      </c>
      <c r="C113" s="6" t="s">
        <v>78</v>
      </c>
      <c r="D113" s="7" t="s">
        <v>371</v>
      </c>
      <c r="E113" s="8" t="s">
        <v>16</v>
      </c>
      <c r="F113" s="9" t="s">
        <v>17</v>
      </c>
      <c r="G113" s="10">
        <v>3</v>
      </c>
      <c r="H113" s="11">
        <v>46075</v>
      </c>
      <c r="I113" s="12" t="s">
        <v>372</v>
      </c>
      <c r="J113" s="13" t="s">
        <v>30</v>
      </c>
      <c r="K113" s="14" t="str">
        <f>HYPERLINK("http://mpro.prangroup.com:4000/CreativeWorks/Edit/25437","Open")</f>
        <v>Open</v>
      </c>
    </row>
    <row r="114" spans="1:11" ht="13.2">
      <c r="A114" s="4" t="s">
        <v>212</v>
      </c>
      <c r="B114" s="5" t="s">
        <v>170</v>
      </c>
      <c r="C114" s="6" t="s">
        <v>186</v>
      </c>
      <c r="D114" s="7" t="s">
        <v>373</v>
      </c>
      <c r="E114" s="8" t="s">
        <v>242</v>
      </c>
      <c r="F114" s="9" t="s">
        <v>17</v>
      </c>
      <c r="G114" s="10">
        <v>1</v>
      </c>
      <c r="H114" s="11">
        <v>46075</v>
      </c>
      <c r="I114" s="12" t="s">
        <v>374</v>
      </c>
      <c r="J114" s="13" t="s">
        <v>30</v>
      </c>
      <c r="K114" s="14" t="str">
        <f>HYPERLINK("http://mpro.prangroup.com:4000/CreativeWorks/Edit/25406","Open")</f>
        <v>Open</v>
      </c>
    </row>
    <row r="115" spans="1:11" ht="13.2">
      <c r="A115" s="4" t="s">
        <v>375</v>
      </c>
      <c r="B115" s="5" t="s">
        <v>60</v>
      </c>
      <c r="C115" s="6" t="s">
        <v>186</v>
      </c>
      <c r="D115" s="7" t="s">
        <v>376</v>
      </c>
      <c r="E115" s="8" t="s">
        <v>242</v>
      </c>
      <c r="F115" s="9" t="s">
        <v>17</v>
      </c>
      <c r="G115" s="10">
        <v>2</v>
      </c>
      <c r="H115" s="11">
        <v>46075</v>
      </c>
      <c r="I115" s="12" t="s">
        <v>377</v>
      </c>
      <c r="J115" s="13" t="s">
        <v>30</v>
      </c>
      <c r="K115" s="14" t="str">
        <f>HYPERLINK("http://mpro.prangroup.com:4000/CreativeWorks/Edit/25428","Open")</f>
        <v>Open</v>
      </c>
    </row>
    <row r="116" spans="1:11" ht="13.2">
      <c r="A116" s="4" t="s">
        <v>248</v>
      </c>
      <c r="B116" s="5" t="s">
        <v>123</v>
      </c>
      <c r="C116" s="6" t="s">
        <v>124</v>
      </c>
      <c r="D116" s="7" t="s">
        <v>249</v>
      </c>
      <c r="E116" s="8" t="s">
        <v>88</v>
      </c>
      <c r="F116" s="9" t="s">
        <v>17</v>
      </c>
      <c r="G116" s="10">
        <v>1</v>
      </c>
      <c r="H116" s="11">
        <v>46077</v>
      </c>
      <c r="I116" s="12" t="s">
        <v>378</v>
      </c>
      <c r="J116" s="13" t="s">
        <v>30</v>
      </c>
      <c r="K116" s="14" t="str">
        <f>HYPERLINK("http://mpro.prangroup.com:4000/CreativeWorks/Edit/25627","Open")</f>
        <v>Open</v>
      </c>
    </row>
    <row r="117" spans="1:11" ht="13.2">
      <c r="A117" s="4" t="s">
        <v>40</v>
      </c>
      <c r="B117" s="5" t="s">
        <v>41</v>
      </c>
      <c r="C117" s="6" t="s">
        <v>42</v>
      </c>
      <c r="D117" s="7" t="s">
        <v>379</v>
      </c>
      <c r="E117" s="8" t="s">
        <v>141</v>
      </c>
      <c r="F117" s="9" t="s">
        <v>17</v>
      </c>
      <c r="G117" s="10">
        <v>1</v>
      </c>
      <c r="H117" s="11">
        <v>46078</v>
      </c>
      <c r="I117" s="12" t="s">
        <v>380</v>
      </c>
      <c r="J117" s="13" t="s">
        <v>30</v>
      </c>
      <c r="K117" s="14" t="str">
        <f>HYPERLINK("http://mpro.prangroup.com:4000/CreativeWorks/Edit/25730","Open")</f>
        <v>Open</v>
      </c>
    </row>
    <row r="118" spans="1:11" ht="13.2">
      <c r="A118" s="4" t="s">
        <v>381</v>
      </c>
      <c r="B118" s="5" t="s">
        <v>32</v>
      </c>
      <c r="C118" s="6" t="s">
        <v>382</v>
      </c>
      <c r="D118" s="7" t="s">
        <v>383</v>
      </c>
      <c r="E118" s="8" t="s">
        <v>16</v>
      </c>
      <c r="F118" s="9" t="s">
        <v>17</v>
      </c>
      <c r="G118" s="10">
        <v>1</v>
      </c>
      <c r="H118" s="11">
        <v>46079</v>
      </c>
      <c r="I118" s="12" t="s">
        <v>384</v>
      </c>
      <c r="J118" s="13" t="s">
        <v>30</v>
      </c>
      <c r="K118" s="14" t="str">
        <f>HYPERLINK("http://mpro.prangroup.com:4000/CreativeWorks/Edit/25786","Open")</f>
        <v>Open</v>
      </c>
    </row>
    <row r="119" spans="1:11" ht="13.2">
      <c r="A119" s="4" t="s">
        <v>385</v>
      </c>
      <c r="B119" s="5" t="s">
        <v>60</v>
      </c>
      <c r="C119" s="6" t="s">
        <v>275</v>
      </c>
      <c r="D119" s="7" t="s">
        <v>386</v>
      </c>
      <c r="E119" s="8" t="s">
        <v>88</v>
      </c>
      <c r="F119" s="9" t="s">
        <v>17</v>
      </c>
      <c r="G119" s="10">
        <v>4</v>
      </c>
      <c r="H119" s="11">
        <v>46079</v>
      </c>
      <c r="I119" s="12" t="s">
        <v>387</v>
      </c>
      <c r="J119" s="13" t="s">
        <v>30</v>
      </c>
      <c r="K119" s="14" t="str">
        <f>HYPERLINK("http://mpro.prangroup.com:4000/CreativeWorks/Edit/25845","Open")</f>
        <v>Open</v>
      </c>
    </row>
    <row r="120" spans="1:11" ht="13.2">
      <c r="A120" s="4" t="s">
        <v>388</v>
      </c>
      <c r="B120" s="5" t="s">
        <v>60</v>
      </c>
      <c r="C120" s="6" t="s">
        <v>389</v>
      </c>
      <c r="D120" s="7" t="s">
        <v>390</v>
      </c>
      <c r="E120" s="8" t="s">
        <v>88</v>
      </c>
      <c r="F120" s="9" t="s">
        <v>17</v>
      </c>
      <c r="G120" s="10">
        <v>2</v>
      </c>
      <c r="H120" s="11">
        <v>46082</v>
      </c>
      <c r="I120" s="12" t="s">
        <v>391</v>
      </c>
      <c r="J120" s="13" t="s">
        <v>30</v>
      </c>
      <c r="K120" s="14" t="str">
        <f>HYPERLINK("http://mpro.prangroup.com:4000/CreativeWorks/Edit/26332","Open")</f>
        <v>Open</v>
      </c>
    </row>
    <row r="121" spans="1:11" ht="13.2">
      <c r="A121" s="4" t="s">
        <v>392</v>
      </c>
      <c r="B121" s="5" t="s">
        <v>41</v>
      </c>
      <c r="C121" s="6" t="s">
        <v>275</v>
      </c>
      <c r="D121" s="7" t="s">
        <v>393</v>
      </c>
      <c r="E121" s="8" t="s">
        <v>88</v>
      </c>
      <c r="F121" s="9" t="s">
        <v>17</v>
      </c>
      <c r="G121" s="10">
        <v>4</v>
      </c>
      <c r="H121" s="11">
        <v>46082</v>
      </c>
      <c r="I121" s="12" t="s">
        <v>394</v>
      </c>
      <c r="J121" s="13" t="s">
        <v>30</v>
      </c>
      <c r="K121" s="14" t="str">
        <f>HYPERLINK("http://mpro.prangroup.com:4000/CreativeWorks/Edit/26349","Open")</f>
        <v>Open</v>
      </c>
    </row>
    <row r="122" spans="1:11" ht="13.2">
      <c r="A122" s="4" t="s">
        <v>395</v>
      </c>
      <c r="B122" s="5" t="s">
        <v>185</v>
      </c>
      <c r="C122" s="6" t="s">
        <v>166</v>
      </c>
      <c r="D122" s="7" t="s">
        <v>396</v>
      </c>
      <c r="E122" s="8" t="s">
        <v>88</v>
      </c>
      <c r="F122" s="9" t="s">
        <v>17</v>
      </c>
      <c r="G122" s="10">
        <v>1</v>
      </c>
      <c r="H122" s="11">
        <v>46082</v>
      </c>
      <c r="I122" s="12" t="s">
        <v>397</v>
      </c>
      <c r="J122" s="13" t="s">
        <v>30</v>
      </c>
      <c r="K122" s="14" t="str">
        <f t="shared" ref="K122:K123" si="2">HYPERLINK("http://mpro.prangroup.com:4000/CreativeWorks/Edit/26330","Open")</f>
        <v>Open</v>
      </c>
    </row>
    <row r="123" spans="1:11" ht="13.2">
      <c r="A123" s="4" t="s">
        <v>395</v>
      </c>
      <c r="B123" s="5" t="s">
        <v>185</v>
      </c>
      <c r="C123" s="6" t="s">
        <v>166</v>
      </c>
      <c r="D123" s="7" t="s">
        <v>396</v>
      </c>
      <c r="E123" s="8" t="s">
        <v>242</v>
      </c>
      <c r="F123" s="9" t="s">
        <v>17</v>
      </c>
      <c r="G123" s="10">
        <v>1</v>
      </c>
      <c r="H123" s="11">
        <v>46082</v>
      </c>
      <c r="I123" s="12" t="s">
        <v>397</v>
      </c>
      <c r="J123" s="13" t="s">
        <v>30</v>
      </c>
      <c r="K123" s="14" t="str">
        <f t="shared" si="2"/>
        <v>Open</v>
      </c>
    </row>
    <row r="124" spans="1:11" ht="13.2">
      <c r="A124" s="4" t="s">
        <v>398</v>
      </c>
      <c r="B124" s="5" t="s">
        <v>41</v>
      </c>
      <c r="C124" s="6" t="s">
        <v>275</v>
      </c>
      <c r="D124" s="7" t="s">
        <v>399</v>
      </c>
      <c r="E124" s="8" t="s">
        <v>242</v>
      </c>
      <c r="F124" s="9" t="s">
        <v>17</v>
      </c>
      <c r="G124" s="10">
        <v>1</v>
      </c>
      <c r="H124" s="11">
        <v>46083</v>
      </c>
      <c r="I124" s="12" t="s">
        <v>400</v>
      </c>
      <c r="J124" s="13" t="s">
        <v>30</v>
      </c>
      <c r="K124" s="14" t="str">
        <f>HYPERLINK("http://mpro.prangroup.com:4000/CreativeWorks/Edit/26448","Open")</f>
        <v>Open</v>
      </c>
    </row>
    <row r="125" spans="1:11" ht="13.2">
      <c r="A125" s="4" t="s">
        <v>395</v>
      </c>
      <c r="B125" s="5" t="s">
        <v>185</v>
      </c>
      <c r="C125" s="6" t="s">
        <v>166</v>
      </c>
      <c r="D125" s="7" t="s">
        <v>401</v>
      </c>
      <c r="E125" s="8" t="s">
        <v>242</v>
      </c>
      <c r="F125" s="9" t="s">
        <v>17</v>
      </c>
      <c r="G125" s="10">
        <v>2</v>
      </c>
      <c r="H125" s="11">
        <v>46083</v>
      </c>
      <c r="I125" s="12" t="s">
        <v>402</v>
      </c>
      <c r="J125" s="13" t="s">
        <v>30</v>
      </c>
      <c r="K125" s="14" t="str">
        <f>HYPERLINK("http://mpro.prangroup.com:4000/CreativeWorks/Edit/26439","Open")</f>
        <v>Open</v>
      </c>
    </row>
    <row r="126" spans="1:11" ht="13.2">
      <c r="A126" s="4" t="s">
        <v>403</v>
      </c>
      <c r="B126" s="5" t="s">
        <v>60</v>
      </c>
      <c r="C126" s="6" t="s">
        <v>186</v>
      </c>
      <c r="D126" s="7" t="s">
        <v>404</v>
      </c>
      <c r="E126" s="8" t="s">
        <v>88</v>
      </c>
      <c r="F126" s="9" t="s">
        <v>17</v>
      </c>
      <c r="G126" s="10">
        <v>6</v>
      </c>
      <c r="H126" s="11">
        <v>46083</v>
      </c>
      <c r="I126" s="12" t="s">
        <v>405</v>
      </c>
      <c r="J126" s="13" t="s">
        <v>30</v>
      </c>
      <c r="K126" s="14" t="str">
        <f>HYPERLINK("http://mpro.prangroup.com:4000/CreativeWorks/Edit/26463","Open")</f>
        <v>Open</v>
      </c>
    </row>
    <row r="127" spans="1:11" ht="13.2">
      <c r="A127" s="4" t="s">
        <v>334</v>
      </c>
      <c r="B127" s="5" t="s">
        <v>221</v>
      </c>
      <c r="C127" s="6" t="s">
        <v>335</v>
      </c>
      <c r="D127" s="7" t="s">
        <v>406</v>
      </c>
      <c r="E127" s="8" t="s">
        <v>141</v>
      </c>
      <c r="F127" s="9" t="s">
        <v>17</v>
      </c>
      <c r="G127" s="10">
        <v>10</v>
      </c>
      <c r="H127" s="11">
        <v>46084</v>
      </c>
      <c r="I127" s="12" t="s">
        <v>407</v>
      </c>
      <c r="J127" s="13" t="s">
        <v>30</v>
      </c>
      <c r="K127" s="14" t="str">
        <f>HYPERLINK("http://mpro.prangroup.com:4000/CreativeWorks/Edit/26547","Open")</f>
        <v>Open</v>
      </c>
    </row>
    <row r="128" spans="1:11" ht="13.2">
      <c r="A128" s="4" t="s">
        <v>408</v>
      </c>
      <c r="B128" s="5" t="s">
        <v>54</v>
      </c>
      <c r="C128" s="6" t="s">
        <v>166</v>
      </c>
      <c r="D128" s="7" t="s">
        <v>409</v>
      </c>
      <c r="E128" s="8" t="s">
        <v>88</v>
      </c>
      <c r="F128" s="9" t="s">
        <v>17</v>
      </c>
      <c r="G128" s="10">
        <v>1</v>
      </c>
      <c r="H128" s="11">
        <v>46084</v>
      </c>
      <c r="I128" s="12" t="s">
        <v>410</v>
      </c>
      <c r="J128" s="13" t="s">
        <v>30</v>
      </c>
      <c r="K128" s="14" t="str">
        <f>HYPERLINK("http://mpro.prangroup.com:4000/CreativeWorks/Edit/26559","Open")</f>
        <v>Open</v>
      </c>
    </row>
    <row r="129" spans="1:11" ht="13.2">
      <c r="A129" s="4" t="s">
        <v>40</v>
      </c>
      <c r="B129" s="5" t="s">
        <v>41</v>
      </c>
      <c r="C129" s="6" t="s">
        <v>42</v>
      </c>
      <c r="D129" s="7" t="s">
        <v>411</v>
      </c>
      <c r="E129" s="8" t="s">
        <v>242</v>
      </c>
      <c r="F129" s="9" t="s">
        <v>17</v>
      </c>
      <c r="G129" s="10">
        <v>1</v>
      </c>
      <c r="H129" s="11">
        <v>46084</v>
      </c>
      <c r="I129" s="12" t="s">
        <v>412</v>
      </c>
      <c r="J129" s="13" t="s">
        <v>30</v>
      </c>
      <c r="K129" s="14" t="str">
        <f>HYPERLINK("http://mpro.prangroup.com:4000/CreativeWorks/Edit/26575","Open")</f>
        <v>Open</v>
      </c>
    </row>
    <row r="130" spans="1:11" ht="13.2">
      <c r="A130" s="4" t="s">
        <v>138</v>
      </c>
      <c r="B130" s="5" t="s">
        <v>139</v>
      </c>
      <c r="C130" s="6" t="s">
        <v>166</v>
      </c>
      <c r="D130" s="7" t="s">
        <v>413</v>
      </c>
      <c r="E130" s="8" t="s">
        <v>242</v>
      </c>
      <c r="F130" s="9" t="s">
        <v>17</v>
      </c>
      <c r="G130" s="10">
        <v>1</v>
      </c>
      <c r="H130" s="11">
        <v>46088</v>
      </c>
      <c r="I130" s="12" t="s">
        <v>414</v>
      </c>
      <c r="J130" s="13" t="s">
        <v>30</v>
      </c>
      <c r="K130" s="14" t="str">
        <f>HYPERLINK("http://mpro.prangroup.com:4000/CreativeWorks/Edit/26813","Open")</f>
        <v>Open</v>
      </c>
    </row>
    <row r="131" spans="1:11" ht="13.2">
      <c r="A131" s="4" t="s">
        <v>415</v>
      </c>
      <c r="B131" s="5" t="s">
        <v>178</v>
      </c>
      <c r="C131" s="6" t="s">
        <v>416</v>
      </c>
      <c r="D131" s="7" t="s">
        <v>417</v>
      </c>
      <c r="E131" s="8" t="s">
        <v>16</v>
      </c>
      <c r="F131" s="9" t="s">
        <v>17</v>
      </c>
      <c r="G131" s="10">
        <v>1</v>
      </c>
      <c r="H131" s="11">
        <v>46088</v>
      </c>
      <c r="I131" s="12" t="s">
        <v>418</v>
      </c>
      <c r="J131" s="13" t="s">
        <v>30</v>
      </c>
      <c r="K131" s="14" t="str">
        <f>HYPERLINK("http://mpro.prangroup.com:4000/CreativeWorks/Edit/26853","Open")</f>
        <v>Open</v>
      </c>
    </row>
    <row r="132" spans="1:11" ht="13.2">
      <c r="A132" s="4" t="s">
        <v>385</v>
      </c>
      <c r="B132" s="5" t="s">
        <v>60</v>
      </c>
      <c r="C132" s="6" t="s">
        <v>389</v>
      </c>
      <c r="D132" s="7" t="s">
        <v>419</v>
      </c>
      <c r="E132" s="8" t="s">
        <v>242</v>
      </c>
      <c r="F132" s="9" t="s">
        <v>17</v>
      </c>
      <c r="G132" s="10">
        <v>1</v>
      </c>
      <c r="H132" s="11">
        <v>46091</v>
      </c>
      <c r="I132" s="12" t="s">
        <v>420</v>
      </c>
      <c r="J132" s="13" t="s">
        <v>30</v>
      </c>
      <c r="K132" s="14" t="str">
        <f>HYPERLINK("http://mpro.prangroup.com:4000/CreativeWorks/Edit/27154","Open")</f>
        <v>Open</v>
      </c>
    </row>
    <row r="133" spans="1:11" ht="13.2">
      <c r="A133" s="4" t="s">
        <v>421</v>
      </c>
      <c r="B133" s="5" t="s">
        <v>101</v>
      </c>
      <c r="C133" s="6" t="s">
        <v>422</v>
      </c>
      <c r="D133" s="7" t="s">
        <v>423</v>
      </c>
      <c r="E133" s="8" t="s">
        <v>141</v>
      </c>
      <c r="F133" s="9" t="s">
        <v>17</v>
      </c>
      <c r="G133" s="10">
        <v>1</v>
      </c>
      <c r="H133" s="11">
        <v>46092</v>
      </c>
      <c r="I133" s="12" t="s">
        <v>424</v>
      </c>
      <c r="J133" s="13" t="s">
        <v>30</v>
      </c>
      <c r="K133" s="14" t="str">
        <f>HYPERLINK("http://mpro.prangroup.com:4000/CreativeWorks/Edit/27227","Open")</f>
        <v>Open</v>
      </c>
    </row>
    <row r="134" spans="1:11" ht="13.2">
      <c r="A134" s="4" t="s">
        <v>408</v>
      </c>
      <c r="B134" s="5" t="s">
        <v>54</v>
      </c>
      <c r="C134" s="6" t="s">
        <v>166</v>
      </c>
      <c r="D134" s="7" t="s">
        <v>425</v>
      </c>
      <c r="E134" s="8" t="s">
        <v>16</v>
      </c>
      <c r="F134" s="9" t="s">
        <v>17</v>
      </c>
      <c r="G134" s="10">
        <v>4</v>
      </c>
      <c r="H134" s="11">
        <v>46093</v>
      </c>
      <c r="I134" s="12" t="s">
        <v>426</v>
      </c>
      <c r="J134" s="13" t="s">
        <v>30</v>
      </c>
      <c r="K134" s="14" t="str">
        <f t="shared" ref="K134:K135" si="3">HYPERLINK("http://mpro.prangroup.com:4000/CreativeWorks/Edit/27296","Open")</f>
        <v>Open</v>
      </c>
    </row>
    <row r="135" spans="1:11" ht="13.2">
      <c r="A135" s="4" t="s">
        <v>408</v>
      </c>
      <c r="B135" s="5" t="s">
        <v>54</v>
      </c>
      <c r="C135" s="6" t="s">
        <v>166</v>
      </c>
      <c r="D135" s="7" t="s">
        <v>425</v>
      </c>
      <c r="E135" s="8" t="s">
        <v>88</v>
      </c>
      <c r="F135" s="9" t="s">
        <v>17</v>
      </c>
      <c r="G135" s="10">
        <v>2</v>
      </c>
      <c r="H135" s="11">
        <v>46093</v>
      </c>
      <c r="I135" s="12" t="s">
        <v>426</v>
      </c>
      <c r="J135" s="13" t="s">
        <v>30</v>
      </c>
      <c r="K135" s="14" t="str">
        <f t="shared" si="3"/>
        <v>Open</v>
      </c>
    </row>
    <row r="136" spans="1:11" ht="13.2">
      <c r="A136" s="4" t="s">
        <v>388</v>
      </c>
      <c r="B136" s="5" t="s">
        <v>60</v>
      </c>
      <c r="C136" s="6" t="s">
        <v>389</v>
      </c>
      <c r="D136" s="7" t="s">
        <v>427</v>
      </c>
      <c r="E136" s="8" t="s">
        <v>16</v>
      </c>
      <c r="F136" s="9" t="s">
        <v>17</v>
      </c>
      <c r="G136" s="10">
        <v>1</v>
      </c>
      <c r="H136" s="11">
        <v>46095</v>
      </c>
      <c r="I136" s="12" t="s">
        <v>428</v>
      </c>
      <c r="J136" s="13" t="s">
        <v>30</v>
      </c>
      <c r="K136" s="14" t="str">
        <f>HYPERLINK("http://mpro.prangroup.com:4000/CreativeWorks/Edit/27546","Open")</f>
        <v>Open</v>
      </c>
    </row>
    <row r="137" spans="1:11" ht="13.2">
      <c r="A137" s="4" t="s">
        <v>429</v>
      </c>
      <c r="B137" s="5" t="s">
        <v>41</v>
      </c>
      <c r="C137" s="6" t="s">
        <v>232</v>
      </c>
      <c r="D137" s="7" t="s">
        <v>430</v>
      </c>
      <c r="E137" s="8" t="s">
        <v>242</v>
      </c>
      <c r="F137" s="9" t="s">
        <v>17</v>
      </c>
      <c r="G137" s="10">
        <v>1</v>
      </c>
      <c r="H137" s="11">
        <v>46095</v>
      </c>
      <c r="I137" s="12" t="s">
        <v>431</v>
      </c>
      <c r="J137" s="13" t="s">
        <v>30</v>
      </c>
      <c r="K137" s="14" t="str">
        <f>HYPERLINK("http://mpro.prangroup.com:4000/CreativeWorks/Edit/27547","Open")</f>
        <v>Open</v>
      </c>
    </row>
    <row r="138" spans="1:11" ht="13.2">
      <c r="A138" s="4" t="s">
        <v>432</v>
      </c>
      <c r="B138" s="5" t="s">
        <v>178</v>
      </c>
      <c r="C138" s="6" t="s">
        <v>228</v>
      </c>
      <c r="D138" s="7" t="s">
        <v>433</v>
      </c>
      <c r="E138" s="8" t="s">
        <v>88</v>
      </c>
      <c r="F138" s="9" t="s">
        <v>17</v>
      </c>
      <c r="G138" s="10">
        <v>5</v>
      </c>
      <c r="H138" s="11">
        <v>46096</v>
      </c>
      <c r="I138" s="12" t="s">
        <v>434</v>
      </c>
      <c r="J138" s="13" t="s">
        <v>30</v>
      </c>
      <c r="K138" s="14" t="str">
        <f t="shared" ref="K138:K139" si="4">HYPERLINK("http://mpro.prangroup.com:4000/CreativeWorks/Edit/27661","Open")</f>
        <v>Open</v>
      </c>
    </row>
    <row r="139" spans="1:11" ht="13.2">
      <c r="A139" s="4" t="s">
        <v>432</v>
      </c>
      <c r="B139" s="5" t="s">
        <v>178</v>
      </c>
      <c r="C139" s="6" t="s">
        <v>228</v>
      </c>
      <c r="D139" s="7" t="s">
        <v>433</v>
      </c>
      <c r="E139" s="8" t="s">
        <v>242</v>
      </c>
      <c r="F139" s="9" t="s">
        <v>17</v>
      </c>
      <c r="G139" s="10">
        <v>5</v>
      </c>
      <c r="H139" s="11">
        <v>46096</v>
      </c>
      <c r="I139" s="12" t="s">
        <v>434</v>
      </c>
      <c r="J139" s="13" t="s">
        <v>30</v>
      </c>
      <c r="K139" s="14" t="str">
        <f t="shared" si="4"/>
        <v>Open</v>
      </c>
    </row>
    <row r="140" spans="1:11" ht="13.2">
      <c r="A140" s="4" t="s">
        <v>353</v>
      </c>
      <c r="B140" s="5" t="s">
        <v>60</v>
      </c>
      <c r="C140" s="6" t="s">
        <v>228</v>
      </c>
      <c r="D140" s="7" t="s">
        <v>435</v>
      </c>
      <c r="E140" s="8" t="s">
        <v>346</v>
      </c>
      <c r="F140" s="9" t="s">
        <v>17</v>
      </c>
      <c r="G140" s="10">
        <v>6</v>
      </c>
      <c r="H140" s="11">
        <v>46099</v>
      </c>
      <c r="I140" s="12" t="s">
        <v>436</v>
      </c>
      <c r="J140" s="13" t="s">
        <v>30</v>
      </c>
      <c r="K140" s="14" t="str">
        <f t="shared" ref="K140:K141" si="5">HYPERLINK("http://mpro.prangroup.com:4000/CreativeWorks/Edit/27858","Open")</f>
        <v>Open</v>
      </c>
    </row>
    <row r="141" spans="1:11" ht="13.2">
      <c r="A141" s="4" t="s">
        <v>353</v>
      </c>
      <c r="B141" s="5" t="s">
        <v>60</v>
      </c>
      <c r="C141" s="6" t="s">
        <v>228</v>
      </c>
      <c r="D141" s="7" t="s">
        <v>435</v>
      </c>
      <c r="E141" s="8" t="s">
        <v>88</v>
      </c>
      <c r="F141" s="9" t="s">
        <v>17</v>
      </c>
      <c r="G141" s="10">
        <v>6</v>
      </c>
      <c r="H141" s="11">
        <v>46099</v>
      </c>
      <c r="I141" s="12" t="s">
        <v>436</v>
      </c>
      <c r="J141" s="13" t="s">
        <v>30</v>
      </c>
      <c r="K141" s="14" t="str">
        <f t="shared" si="5"/>
        <v>Open</v>
      </c>
    </row>
    <row r="142" spans="1:11" ht="13.2">
      <c r="A142" s="4" t="s">
        <v>437</v>
      </c>
      <c r="B142" s="5" t="s">
        <v>41</v>
      </c>
      <c r="C142" s="6" t="s">
        <v>438</v>
      </c>
      <c r="D142" s="7" t="s">
        <v>439</v>
      </c>
      <c r="E142" s="8" t="s">
        <v>63</v>
      </c>
      <c r="F142" s="9" t="s">
        <v>17</v>
      </c>
      <c r="G142" s="10">
        <v>3</v>
      </c>
      <c r="H142" s="11">
        <v>46105</v>
      </c>
      <c r="I142" s="12" t="s">
        <v>440</v>
      </c>
      <c r="J142" s="13" t="s">
        <v>30</v>
      </c>
      <c r="K142" s="14" t="str">
        <f>HYPERLINK("http://mpro.prangroup.com:4000/CreativeWorks/Edit/27988","Open")</f>
        <v>Open</v>
      </c>
    </row>
    <row r="143" spans="1:11" ht="13.2">
      <c r="A143" s="4" t="s">
        <v>40</v>
      </c>
      <c r="B143" s="5" t="s">
        <v>41</v>
      </c>
      <c r="C143" s="6" t="s">
        <v>166</v>
      </c>
      <c r="D143" s="7" t="s">
        <v>441</v>
      </c>
      <c r="E143" s="8" t="s">
        <v>88</v>
      </c>
      <c r="F143" s="9" t="s">
        <v>17</v>
      </c>
      <c r="G143" s="10">
        <v>2</v>
      </c>
      <c r="H143" s="11">
        <v>46105</v>
      </c>
      <c r="I143" s="12" t="s">
        <v>442</v>
      </c>
      <c r="J143" s="13" t="s">
        <v>30</v>
      </c>
      <c r="K143" s="14" t="str">
        <f>HYPERLINK("http://mpro.prangroup.com:4000/CreativeWorks/Edit/27984","Open")</f>
        <v>Open</v>
      </c>
    </row>
    <row r="144" spans="1:11" ht="13.2">
      <c r="A144" s="4" t="s">
        <v>443</v>
      </c>
      <c r="B144" s="5" t="s">
        <v>32</v>
      </c>
      <c r="C144" s="6" t="s">
        <v>166</v>
      </c>
      <c r="D144" s="7" t="s">
        <v>444</v>
      </c>
      <c r="E144" s="8" t="s">
        <v>16</v>
      </c>
      <c r="F144" s="9" t="s">
        <v>17</v>
      </c>
      <c r="G144" s="10">
        <v>1</v>
      </c>
      <c r="H144" s="11">
        <v>46111</v>
      </c>
      <c r="I144" s="12" t="s">
        <v>445</v>
      </c>
      <c r="J144" s="13" t="s">
        <v>30</v>
      </c>
      <c r="K144" s="14" t="str">
        <f t="shared" ref="K144:K145" si="6">HYPERLINK("http://mpro.prangroup.com:4000/CreativeWorks/Edit/28518","Open")</f>
        <v>Open</v>
      </c>
    </row>
    <row r="145" spans="1:11" ht="13.2">
      <c r="A145" s="4" t="s">
        <v>443</v>
      </c>
      <c r="B145" s="5" t="s">
        <v>32</v>
      </c>
      <c r="C145" s="6" t="s">
        <v>166</v>
      </c>
      <c r="D145" s="7" t="s">
        <v>444</v>
      </c>
      <c r="E145" s="8" t="s">
        <v>88</v>
      </c>
      <c r="F145" s="9" t="s">
        <v>17</v>
      </c>
      <c r="G145" s="10">
        <v>1</v>
      </c>
      <c r="H145" s="11">
        <v>46111</v>
      </c>
      <c r="I145" s="12" t="s">
        <v>445</v>
      </c>
      <c r="J145" s="13" t="s">
        <v>30</v>
      </c>
      <c r="K145" s="14" t="str">
        <f t="shared" si="6"/>
        <v>Open</v>
      </c>
    </row>
    <row r="146" spans="1:11" ht="13.2">
      <c r="A146" s="4" t="s">
        <v>437</v>
      </c>
      <c r="B146" s="5" t="s">
        <v>41</v>
      </c>
      <c r="C146" s="6" t="s">
        <v>438</v>
      </c>
      <c r="D146" s="7" t="s">
        <v>439</v>
      </c>
      <c r="E146" s="8" t="s">
        <v>88</v>
      </c>
      <c r="F146" s="9" t="s">
        <v>17</v>
      </c>
      <c r="G146" s="10">
        <v>3</v>
      </c>
      <c r="H146" s="11">
        <v>46112</v>
      </c>
      <c r="I146" s="12" t="s">
        <v>446</v>
      </c>
      <c r="J146" s="13" t="s">
        <v>30</v>
      </c>
      <c r="K146" s="14" t="str">
        <f>HYPERLINK("http://mpro.prangroup.com:4000/CreativeWorks/Edit/28735","Open")</f>
        <v>Open</v>
      </c>
    </row>
    <row r="147" spans="1:11" ht="13.2">
      <c r="A147" s="4" t="s">
        <v>256</v>
      </c>
      <c r="B147" s="5" t="s">
        <v>197</v>
      </c>
      <c r="C147" s="6" t="s">
        <v>257</v>
      </c>
      <c r="D147" s="7" t="s">
        <v>447</v>
      </c>
      <c r="E147" s="8" t="s">
        <v>141</v>
      </c>
      <c r="F147" s="9" t="s">
        <v>17</v>
      </c>
      <c r="G147" s="10">
        <v>8</v>
      </c>
      <c r="H147" s="11">
        <v>46112</v>
      </c>
      <c r="I147" s="12" t="s">
        <v>448</v>
      </c>
      <c r="J147" s="13" t="s">
        <v>30</v>
      </c>
      <c r="K147" s="14" t="str">
        <f>HYPERLINK("http://mpro.prangroup.com:4000/CreativeWorks/Edit/28797","Open")</f>
        <v>Open</v>
      </c>
    </row>
    <row r="148" spans="1:11" ht="13.2">
      <c r="A148" s="4" t="s">
        <v>449</v>
      </c>
      <c r="B148" s="5" t="s">
        <v>144</v>
      </c>
      <c r="C148" s="6" t="s">
        <v>275</v>
      </c>
      <c r="D148" s="7" t="s">
        <v>450</v>
      </c>
      <c r="E148" s="8" t="s">
        <v>88</v>
      </c>
      <c r="F148" s="9" t="s">
        <v>17</v>
      </c>
      <c r="G148" s="10">
        <v>3</v>
      </c>
      <c r="H148" s="11">
        <v>46116</v>
      </c>
      <c r="I148" s="12" t="s">
        <v>451</v>
      </c>
      <c r="J148" s="13" t="s">
        <v>30</v>
      </c>
      <c r="K148" s="14" t="str">
        <f>HYPERLINK("http://mpro.prangroup.com:4000/CreativeWorks/Edit/29116","Open")</f>
        <v>Open</v>
      </c>
    </row>
    <row r="149" spans="1:11" ht="13.2">
      <c r="A149" s="4" t="s">
        <v>395</v>
      </c>
      <c r="B149" s="5" t="s">
        <v>185</v>
      </c>
      <c r="C149" s="6" t="s">
        <v>166</v>
      </c>
      <c r="D149" s="7" t="s">
        <v>452</v>
      </c>
      <c r="E149" s="8" t="s">
        <v>88</v>
      </c>
      <c r="F149" s="9" t="s">
        <v>17</v>
      </c>
      <c r="G149" s="10">
        <v>4</v>
      </c>
      <c r="H149" s="11">
        <v>46117</v>
      </c>
      <c r="I149" s="12" t="s">
        <v>453</v>
      </c>
      <c r="J149" s="13" t="s">
        <v>30</v>
      </c>
      <c r="K149" s="14" t="str">
        <f>HYPERLINK("http://mpro.prangroup.com:4000/CreativeWorks/Edit/29202","Open")</f>
        <v>Open</v>
      </c>
    </row>
    <row r="150" spans="1:11" ht="13.2">
      <c r="A150" s="4" t="s">
        <v>454</v>
      </c>
      <c r="B150" s="5" t="s">
        <v>32</v>
      </c>
      <c r="C150" s="6" t="s">
        <v>455</v>
      </c>
      <c r="D150" s="7" t="s">
        <v>456</v>
      </c>
      <c r="E150" s="8" t="s">
        <v>88</v>
      </c>
      <c r="F150" s="9" t="s">
        <v>457</v>
      </c>
      <c r="G150" s="10">
        <v>2</v>
      </c>
      <c r="H150" s="11">
        <v>46120</v>
      </c>
      <c r="I150" s="12" t="s">
        <v>458</v>
      </c>
      <c r="J150" s="13" t="s">
        <v>30</v>
      </c>
      <c r="K150" s="14" t="str">
        <f t="shared" ref="K150:K151" si="7">HYPERLINK("http://mpro.prangroup.com:4000/CreativeWorks/Edit/29542","Open")</f>
        <v>Open</v>
      </c>
    </row>
    <row r="151" spans="1:11" ht="13.2">
      <c r="A151" s="4" t="s">
        <v>454</v>
      </c>
      <c r="B151" s="5" t="s">
        <v>32</v>
      </c>
      <c r="C151" s="6" t="s">
        <v>455</v>
      </c>
      <c r="D151" s="7" t="s">
        <v>456</v>
      </c>
      <c r="E151" s="8" t="s">
        <v>88</v>
      </c>
      <c r="F151" s="9" t="s">
        <v>17</v>
      </c>
      <c r="G151" s="10">
        <v>2</v>
      </c>
      <c r="H151" s="11">
        <v>46120</v>
      </c>
      <c r="I151" s="12" t="s">
        <v>458</v>
      </c>
      <c r="J151" s="13" t="s">
        <v>30</v>
      </c>
      <c r="K151" s="14" t="str">
        <f t="shared" si="7"/>
        <v>Open</v>
      </c>
    </row>
    <row r="152" spans="1:11" ht="13.2">
      <c r="A152" s="4" t="s">
        <v>459</v>
      </c>
      <c r="B152" s="5" t="s">
        <v>460</v>
      </c>
      <c r="C152" s="6" t="s">
        <v>461</v>
      </c>
      <c r="D152" s="7" t="s">
        <v>462</v>
      </c>
      <c r="E152" s="8" t="s">
        <v>141</v>
      </c>
      <c r="F152" s="9" t="s">
        <v>17</v>
      </c>
      <c r="G152" s="10">
        <v>1</v>
      </c>
      <c r="H152" s="11">
        <v>46121</v>
      </c>
      <c r="I152" s="12" t="s">
        <v>463</v>
      </c>
      <c r="J152" s="13" t="s">
        <v>30</v>
      </c>
      <c r="K152" s="14" t="str">
        <f>HYPERLINK("http://mpro.prangroup.com:4000/CreativeWorks/Edit/29621","Open")</f>
        <v>Open</v>
      </c>
    </row>
    <row r="153" spans="1:11" ht="13.2">
      <c r="A153" s="4" t="s">
        <v>464</v>
      </c>
      <c r="B153" s="5" t="s">
        <v>213</v>
      </c>
      <c r="C153" s="6" t="s">
        <v>186</v>
      </c>
      <c r="D153" s="7" t="s">
        <v>465</v>
      </c>
      <c r="E153" s="8" t="s">
        <v>242</v>
      </c>
      <c r="F153" s="9" t="s">
        <v>17</v>
      </c>
      <c r="G153" s="10">
        <v>1</v>
      </c>
      <c r="H153" s="11">
        <v>46121</v>
      </c>
      <c r="I153" s="12" t="s">
        <v>466</v>
      </c>
      <c r="J153" s="13" t="s">
        <v>30</v>
      </c>
      <c r="K153" s="14" t="str">
        <f>HYPERLINK("http://mpro.prangroup.com:4000/CreativeWorks/Edit/29604","Open")</f>
        <v>Open</v>
      </c>
    </row>
    <row r="154" spans="1:11" ht="13.2">
      <c r="A154" s="4" t="s">
        <v>467</v>
      </c>
      <c r="B154" s="5" t="s">
        <v>282</v>
      </c>
      <c r="C154" s="6" t="s">
        <v>186</v>
      </c>
      <c r="D154" s="7" t="s">
        <v>468</v>
      </c>
      <c r="E154" s="8" t="s">
        <v>88</v>
      </c>
      <c r="F154" s="9" t="s">
        <v>17</v>
      </c>
      <c r="G154" s="10">
        <v>2</v>
      </c>
      <c r="H154" s="11">
        <v>46127</v>
      </c>
      <c r="I154" s="12" t="s">
        <v>469</v>
      </c>
      <c r="J154" s="13" t="s">
        <v>30</v>
      </c>
      <c r="K154" s="14" t="str">
        <f>HYPERLINK("http://mpro.prangroup.com:4000/CreativeWorks/Edit/30179","Open")</f>
        <v>Open</v>
      </c>
    </row>
    <row r="155" spans="1:11" ht="13.2">
      <c r="A155" s="4" t="s">
        <v>470</v>
      </c>
      <c r="B155" s="5" t="s">
        <v>209</v>
      </c>
      <c r="C155" s="6" t="s">
        <v>186</v>
      </c>
      <c r="D155" s="7" t="s">
        <v>471</v>
      </c>
      <c r="E155" s="8" t="s">
        <v>88</v>
      </c>
      <c r="F155" s="9" t="s">
        <v>17</v>
      </c>
      <c r="G155" s="10">
        <v>1</v>
      </c>
      <c r="H155" s="11">
        <v>46128</v>
      </c>
      <c r="I155" s="12" t="s">
        <v>472</v>
      </c>
      <c r="J155" s="13" t="s">
        <v>30</v>
      </c>
      <c r="K155" s="14" t="str">
        <f>HYPERLINK("http://mpro.prangroup.com:4000/CreativeWorks/Edit/30261","Open")</f>
        <v>Open</v>
      </c>
    </row>
    <row r="156" spans="1:11" ht="13.2">
      <c r="A156" s="4" t="s">
        <v>473</v>
      </c>
      <c r="B156" s="5" t="s">
        <v>26</v>
      </c>
      <c r="C156" s="6" t="s">
        <v>474</v>
      </c>
      <c r="D156" s="7" t="s">
        <v>475</v>
      </c>
      <c r="E156" s="8" t="s">
        <v>88</v>
      </c>
      <c r="F156" s="9" t="s">
        <v>17</v>
      </c>
      <c r="G156" s="10">
        <v>1</v>
      </c>
      <c r="H156" s="11">
        <v>46132</v>
      </c>
      <c r="I156" s="12" t="s">
        <v>476</v>
      </c>
      <c r="J156" s="13" t="s">
        <v>30</v>
      </c>
      <c r="K156" s="14" t="str">
        <f>HYPERLINK("http://mpro.prangroup.com:4000/CreativeWorks/Edit/30583","Open")</f>
        <v>Open</v>
      </c>
    </row>
    <row r="157" spans="1:11" ht="13.2">
      <c r="A157" s="4" t="s">
        <v>477</v>
      </c>
      <c r="B157" s="5" t="s">
        <v>478</v>
      </c>
      <c r="C157" s="6" t="s">
        <v>479</v>
      </c>
      <c r="D157" s="7" t="s">
        <v>480</v>
      </c>
      <c r="E157" s="8" t="s">
        <v>141</v>
      </c>
      <c r="F157" s="9" t="s">
        <v>17</v>
      </c>
      <c r="G157" s="10">
        <v>2</v>
      </c>
      <c r="H157" s="11">
        <v>46132</v>
      </c>
      <c r="I157" s="12" t="s">
        <v>481</v>
      </c>
      <c r="J157" s="13" t="s">
        <v>30</v>
      </c>
      <c r="K157" s="14" t="str">
        <f>HYPERLINK("http://mpro.prangroup.com:4000/CreativeWorks/Edit/30591","Open")</f>
        <v>Open</v>
      </c>
    </row>
    <row r="158" spans="1:11" ht="13.2">
      <c r="A158" s="4" t="s">
        <v>482</v>
      </c>
      <c r="B158" s="5" t="s">
        <v>41</v>
      </c>
      <c r="C158" s="6" t="s">
        <v>275</v>
      </c>
      <c r="D158" s="7" t="s">
        <v>483</v>
      </c>
      <c r="E158" s="8" t="s">
        <v>88</v>
      </c>
      <c r="F158" s="9" t="s">
        <v>17</v>
      </c>
      <c r="G158" s="10">
        <v>2</v>
      </c>
      <c r="H158" s="11">
        <v>46135</v>
      </c>
      <c r="I158" s="12" t="s">
        <v>484</v>
      </c>
      <c r="J158" s="13" t="s">
        <v>30</v>
      </c>
      <c r="K158" s="14" t="str">
        <f>HYPERLINK("http://mpro.prangroup.com:4000/CreativeWorks/Edit/30996","Open")</f>
        <v>Open</v>
      </c>
    </row>
    <row r="159" spans="1:11" ht="13.2">
      <c r="A159" s="4" t="s">
        <v>485</v>
      </c>
      <c r="B159" s="5" t="s">
        <v>282</v>
      </c>
      <c r="C159" s="6" t="s">
        <v>486</v>
      </c>
      <c r="D159" s="7" t="s">
        <v>487</v>
      </c>
      <c r="E159" s="8" t="s">
        <v>88</v>
      </c>
      <c r="F159" s="9" t="s">
        <v>17</v>
      </c>
      <c r="G159" s="10">
        <v>1</v>
      </c>
      <c r="H159" s="11">
        <v>46137</v>
      </c>
      <c r="I159" s="12" t="s">
        <v>488</v>
      </c>
      <c r="J159" s="13" t="s">
        <v>30</v>
      </c>
      <c r="K159" s="14" t="str">
        <f>HYPERLINK("http://mpro.prangroup.com:4000/CreativeWorks/Edit/31212","Open")</f>
        <v>Open</v>
      </c>
    </row>
    <row r="160" spans="1:11" ht="13.2">
      <c r="A160" s="4" t="s">
        <v>395</v>
      </c>
      <c r="B160" s="5" t="s">
        <v>185</v>
      </c>
      <c r="C160" s="6" t="s">
        <v>166</v>
      </c>
      <c r="D160" s="7" t="s">
        <v>489</v>
      </c>
      <c r="E160" s="8" t="s">
        <v>490</v>
      </c>
      <c r="F160" s="9" t="s">
        <v>17</v>
      </c>
      <c r="G160" s="10">
        <v>1</v>
      </c>
      <c r="H160" s="11">
        <v>46138</v>
      </c>
      <c r="I160" s="12" t="s">
        <v>491</v>
      </c>
      <c r="J160" s="13" t="s">
        <v>30</v>
      </c>
      <c r="K160" s="14" t="str">
        <f>HYPERLINK("http://mpro.prangroup.com:4000/CreativeWorks/Edit/31355","Open")</f>
        <v>Open</v>
      </c>
    </row>
    <row r="161" spans="1:12" ht="13.2">
      <c r="A161" s="4" t="s">
        <v>108</v>
      </c>
      <c r="B161" s="5" t="s">
        <v>109</v>
      </c>
      <c r="C161" s="6" t="s">
        <v>232</v>
      </c>
      <c r="D161" s="7" t="s">
        <v>492</v>
      </c>
      <c r="E161" s="8" t="s">
        <v>242</v>
      </c>
      <c r="F161" s="9" t="s">
        <v>17</v>
      </c>
      <c r="G161" s="10">
        <v>4</v>
      </c>
      <c r="H161" s="11">
        <v>46138</v>
      </c>
      <c r="I161" s="12" t="s">
        <v>493</v>
      </c>
      <c r="J161" s="13" t="s">
        <v>30</v>
      </c>
      <c r="K161" s="14" t="str">
        <f>HYPERLINK("http://mpro.prangroup.com:4000/CreativeWorks/Edit/31354","Open")</f>
        <v>Open</v>
      </c>
    </row>
    <row r="162" spans="1:12" ht="13.2">
      <c r="A162" s="4" t="s">
        <v>494</v>
      </c>
      <c r="B162" s="5" t="s">
        <v>68</v>
      </c>
      <c r="C162" s="6" t="s">
        <v>495</v>
      </c>
      <c r="D162" s="7" t="s">
        <v>496</v>
      </c>
      <c r="E162" s="8" t="s">
        <v>141</v>
      </c>
      <c r="F162" s="9" t="s">
        <v>17</v>
      </c>
      <c r="G162" s="10">
        <v>1</v>
      </c>
      <c r="H162" s="11">
        <v>46139</v>
      </c>
      <c r="I162" s="12" t="s">
        <v>497</v>
      </c>
      <c r="J162" s="13" t="s">
        <v>30</v>
      </c>
      <c r="K162" s="14" t="str">
        <f>HYPERLINK("http://mpro.prangroup.com:4000/CreativeWorks/Edit/31425","Open")</f>
        <v>Open</v>
      </c>
    </row>
    <row r="163" spans="1:12" ht="13.2">
      <c r="A163" s="4" t="s">
        <v>473</v>
      </c>
      <c r="B163" s="5" t="s">
        <v>26</v>
      </c>
      <c r="C163" s="6" t="s">
        <v>474</v>
      </c>
      <c r="D163" s="7" t="s">
        <v>498</v>
      </c>
      <c r="E163" s="8" t="s">
        <v>242</v>
      </c>
      <c r="F163" s="9" t="s">
        <v>17</v>
      </c>
      <c r="G163" s="10">
        <v>2</v>
      </c>
      <c r="H163" s="11">
        <v>46140</v>
      </c>
      <c r="I163" s="12" t="s">
        <v>499</v>
      </c>
      <c r="J163" s="13" t="s">
        <v>30</v>
      </c>
      <c r="K163" s="14" t="str">
        <f>HYPERLINK("http://mpro.prangroup.com:4000/CreativeWorks/Edit/31618","Open")</f>
        <v>Open</v>
      </c>
    </row>
    <row r="164" spans="1:12" ht="13.2">
      <c r="A164" s="4" t="s">
        <v>500</v>
      </c>
      <c r="B164" s="5" t="s">
        <v>202</v>
      </c>
      <c r="C164" s="6" t="s">
        <v>501</v>
      </c>
      <c r="D164" s="7" t="s">
        <v>502</v>
      </c>
      <c r="E164" s="8" t="s">
        <v>141</v>
      </c>
      <c r="F164" s="9" t="s">
        <v>17</v>
      </c>
      <c r="G164" s="10">
        <v>1</v>
      </c>
      <c r="H164" s="11">
        <v>46141</v>
      </c>
      <c r="I164" s="12" t="s">
        <v>503</v>
      </c>
      <c r="J164" s="13" t="s">
        <v>30</v>
      </c>
      <c r="K164" s="14" t="str">
        <f>HYPERLINK("http://mpro.prangroup.com:4000/CreativeWorks/Edit/31803","Open")</f>
        <v>Open</v>
      </c>
    </row>
    <row r="165" spans="1:12" ht="13.2">
      <c r="A165" s="4" t="s">
        <v>299</v>
      </c>
      <c r="B165" s="5" t="s">
        <v>32</v>
      </c>
      <c r="C165" s="6" t="s">
        <v>91</v>
      </c>
      <c r="D165" s="7" t="s">
        <v>504</v>
      </c>
      <c r="E165" s="8" t="s">
        <v>505</v>
      </c>
      <c r="F165" s="9" t="s">
        <v>17</v>
      </c>
      <c r="G165" s="10">
        <v>8</v>
      </c>
      <c r="H165" s="11">
        <v>46144</v>
      </c>
      <c r="I165" s="12" t="s">
        <v>506</v>
      </c>
      <c r="J165" s="13" t="s">
        <v>30</v>
      </c>
      <c r="K165" s="14" t="str">
        <f>HYPERLINK("http://mpro.prangroup.com:4000/CreativeWorks/Edit/32129","Open")</f>
        <v>Open</v>
      </c>
      <c r="L165" s="15">
        <v>46199</v>
      </c>
    </row>
    <row r="166" spans="1:12" ht="13.2">
      <c r="A166" s="4" t="s">
        <v>299</v>
      </c>
      <c r="B166" s="5" t="s">
        <v>32</v>
      </c>
      <c r="C166" s="6" t="s">
        <v>91</v>
      </c>
      <c r="D166" s="7" t="s">
        <v>504</v>
      </c>
      <c r="E166" s="8" t="s">
        <v>88</v>
      </c>
      <c r="F166" s="9" t="s">
        <v>17</v>
      </c>
      <c r="G166" s="10">
        <v>1</v>
      </c>
      <c r="H166" s="11">
        <v>46144</v>
      </c>
      <c r="I166" s="12" t="s">
        <v>507</v>
      </c>
      <c r="J166" s="13" t="s">
        <v>30</v>
      </c>
      <c r="K166" s="14" t="str">
        <f>HYPERLINK("http://mpro.prangroup.com:4000/CreativeWorks/Edit/32204","Open")</f>
        <v>Open</v>
      </c>
      <c r="L166" s="15">
        <v>46199</v>
      </c>
    </row>
    <row r="167" spans="1:12" ht="13.2">
      <c r="A167" s="4" t="s">
        <v>449</v>
      </c>
      <c r="B167" s="5" t="s">
        <v>144</v>
      </c>
      <c r="C167" s="6" t="s">
        <v>275</v>
      </c>
      <c r="D167" s="7" t="s">
        <v>508</v>
      </c>
      <c r="E167" s="8" t="s">
        <v>88</v>
      </c>
      <c r="F167" s="9" t="s">
        <v>17</v>
      </c>
      <c r="G167" s="10">
        <v>3</v>
      </c>
      <c r="H167" s="11">
        <v>46144</v>
      </c>
      <c r="I167" s="12" t="s">
        <v>509</v>
      </c>
      <c r="J167" s="13" t="s">
        <v>30</v>
      </c>
      <c r="K167" s="14" t="str">
        <f>HYPERLINK("http://mpro.prangroup.com:4000/CreativeWorks/Edit/32208","Open")</f>
        <v>Open</v>
      </c>
    </row>
    <row r="168" spans="1:12" ht="13.2">
      <c r="A168" s="4" t="s">
        <v>395</v>
      </c>
      <c r="B168" s="5" t="s">
        <v>185</v>
      </c>
      <c r="C168" s="6" t="s">
        <v>166</v>
      </c>
      <c r="D168" s="7" t="s">
        <v>510</v>
      </c>
      <c r="E168" s="8" t="s">
        <v>242</v>
      </c>
      <c r="F168" s="9" t="s">
        <v>17</v>
      </c>
      <c r="G168" s="10">
        <v>3</v>
      </c>
      <c r="H168" s="11">
        <v>46145</v>
      </c>
      <c r="I168" s="12" t="s">
        <v>511</v>
      </c>
      <c r="J168" s="13" t="s">
        <v>30</v>
      </c>
      <c r="K168" s="14" t="str">
        <f>HYPERLINK("http://mpro.prangroup.com:4000/CreativeWorks/Edit/32299","Open")</f>
        <v>Open</v>
      </c>
    </row>
    <row r="169" spans="1:12" ht="13.2">
      <c r="A169" s="4" t="s">
        <v>512</v>
      </c>
      <c r="B169" s="5" t="s">
        <v>123</v>
      </c>
      <c r="C169" s="6" t="s">
        <v>124</v>
      </c>
      <c r="D169" s="7" t="s">
        <v>513</v>
      </c>
      <c r="E169" s="8" t="s">
        <v>88</v>
      </c>
      <c r="F169" s="9" t="s">
        <v>17</v>
      </c>
      <c r="G169" s="10">
        <v>1</v>
      </c>
      <c r="H169" s="11">
        <v>46146</v>
      </c>
      <c r="I169" s="12" t="s">
        <v>514</v>
      </c>
      <c r="J169" s="13" t="s">
        <v>30</v>
      </c>
      <c r="K169" s="14" t="str">
        <f>HYPERLINK("http://mpro.prangroup.com:4000/CreativeWorks/Edit/32369","Open")</f>
        <v>Open</v>
      </c>
    </row>
    <row r="170" spans="1:12" ht="13.2">
      <c r="A170" s="4" t="s">
        <v>515</v>
      </c>
      <c r="B170" s="5" t="s">
        <v>516</v>
      </c>
      <c r="C170" s="6" t="s">
        <v>517</v>
      </c>
      <c r="D170" s="7" t="s">
        <v>518</v>
      </c>
      <c r="E170" s="8" t="s">
        <v>141</v>
      </c>
      <c r="F170" s="9" t="s">
        <v>457</v>
      </c>
      <c r="G170" s="10">
        <v>2</v>
      </c>
      <c r="H170" s="11">
        <v>46146</v>
      </c>
      <c r="I170" s="12" t="s">
        <v>519</v>
      </c>
      <c r="J170" s="13" t="s">
        <v>30</v>
      </c>
      <c r="K170" s="14" t="str">
        <f>HYPERLINK("http://mpro.prangroup.com:4000/CreativeWorks/Edit/32341","Open")</f>
        <v>Open</v>
      </c>
    </row>
    <row r="171" spans="1:12" ht="13.2">
      <c r="A171" s="4" t="s">
        <v>520</v>
      </c>
      <c r="B171" s="5" t="s">
        <v>13</v>
      </c>
      <c r="C171" s="6" t="s">
        <v>521</v>
      </c>
      <c r="D171" s="7" t="s">
        <v>522</v>
      </c>
      <c r="E171" s="8" t="s">
        <v>141</v>
      </c>
      <c r="F171" s="9" t="s">
        <v>17</v>
      </c>
      <c r="G171" s="10">
        <v>4</v>
      </c>
      <c r="H171" s="11">
        <v>46147</v>
      </c>
      <c r="I171" s="12" t="s">
        <v>523</v>
      </c>
      <c r="J171" s="13" t="s">
        <v>19</v>
      </c>
      <c r="K171" s="14" t="str">
        <f>HYPERLINK("http://mpro.prangroup.com:4000/CreativeWorks/Edit/32524","Open")</f>
        <v>Open</v>
      </c>
    </row>
    <row r="172" spans="1:12" ht="13.2">
      <c r="A172" s="4" t="s">
        <v>128</v>
      </c>
      <c r="B172" s="5" t="s">
        <v>32</v>
      </c>
      <c r="C172" s="6" t="s">
        <v>186</v>
      </c>
      <c r="D172" s="7" t="s">
        <v>524</v>
      </c>
      <c r="E172" s="8" t="s">
        <v>88</v>
      </c>
      <c r="F172" s="9" t="s">
        <v>17</v>
      </c>
      <c r="G172" s="10">
        <v>1</v>
      </c>
      <c r="H172" s="11">
        <v>46147</v>
      </c>
      <c r="I172" s="12" t="s">
        <v>525</v>
      </c>
      <c r="J172" s="13" t="s">
        <v>30</v>
      </c>
      <c r="K172" s="14" t="str">
        <f>HYPERLINK("http://mpro.prangroup.com:4000/CreativeWorks/Edit/32495","Open")</f>
        <v>Open</v>
      </c>
    </row>
    <row r="173" spans="1:12" ht="13.2">
      <c r="A173" s="4" t="s">
        <v>526</v>
      </c>
      <c r="B173" s="5" t="s">
        <v>153</v>
      </c>
      <c r="C173" s="6" t="s">
        <v>527</v>
      </c>
      <c r="D173" s="7" t="s">
        <v>528</v>
      </c>
      <c r="E173" s="8" t="s">
        <v>88</v>
      </c>
      <c r="F173" s="9" t="s">
        <v>17</v>
      </c>
      <c r="G173" s="10">
        <v>1</v>
      </c>
      <c r="H173" s="11">
        <v>46149</v>
      </c>
      <c r="I173" s="12" t="s">
        <v>529</v>
      </c>
      <c r="J173" s="13" t="s">
        <v>30</v>
      </c>
      <c r="K173" s="14" t="str">
        <f>HYPERLINK("http://mpro.prangroup.com:4000/CreativeWorks/Edit/32695","Open")</f>
        <v>Open</v>
      </c>
    </row>
    <row r="174" spans="1:12" ht="13.2">
      <c r="A174" s="4" t="s">
        <v>138</v>
      </c>
      <c r="B174" s="5" t="s">
        <v>139</v>
      </c>
      <c r="C174" s="6" t="s">
        <v>166</v>
      </c>
      <c r="D174" s="7" t="s">
        <v>530</v>
      </c>
      <c r="E174" s="8" t="s">
        <v>16</v>
      </c>
      <c r="F174" s="9" t="s">
        <v>17</v>
      </c>
      <c r="G174" s="10">
        <v>1</v>
      </c>
      <c r="H174" s="11">
        <v>46151</v>
      </c>
      <c r="I174" s="12" t="s">
        <v>531</v>
      </c>
      <c r="J174" s="13" t="s">
        <v>30</v>
      </c>
      <c r="K174" s="14" t="str">
        <f>HYPERLINK("http://mpro.prangroup.com:4000/CreativeWorks/Edit/32902","Open")</f>
        <v>Open</v>
      </c>
    </row>
    <row r="175" spans="1:12" ht="13.2">
      <c r="A175" s="4" t="s">
        <v>532</v>
      </c>
      <c r="B175" s="5" t="s">
        <v>282</v>
      </c>
      <c r="C175" s="6" t="s">
        <v>283</v>
      </c>
      <c r="D175" s="7" t="s">
        <v>533</v>
      </c>
      <c r="E175" s="8" t="s">
        <v>88</v>
      </c>
      <c r="F175" s="9" t="s">
        <v>17</v>
      </c>
      <c r="G175" s="10">
        <v>2</v>
      </c>
      <c r="H175" s="11">
        <v>46151</v>
      </c>
      <c r="I175" s="12" t="s">
        <v>534</v>
      </c>
      <c r="J175" s="13" t="s">
        <v>30</v>
      </c>
      <c r="K175" s="14" t="str">
        <f>HYPERLINK("http://mpro.prangroup.com:4000/CreativeWorks/Edit/32900","Open")</f>
        <v>Open</v>
      </c>
    </row>
    <row r="176" spans="1:12" ht="13.2">
      <c r="A176" s="4" t="s">
        <v>535</v>
      </c>
      <c r="B176" s="5" t="s">
        <v>13</v>
      </c>
      <c r="C176" s="6" t="s">
        <v>14</v>
      </c>
      <c r="D176" s="7" t="s">
        <v>536</v>
      </c>
      <c r="E176" s="8" t="s">
        <v>141</v>
      </c>
      <c r="F176" s="9" t="s">
        <v>17</v>
      </c>
      <c r="G176" s="10">
        <v>1</v>
      </c>
      <c r="H176" s="11">
        <v>46153</v>
      </c>
      <c r="I176" s="12" t="s">
        <v>537</v>
      </c>
      <c r="J176" s="13" t="s">
        <v>48</v>
      </c>
      <c r="K176" s="14" t="str">
        <f>HYPERLINK("http://mpro.prangroup.com:4000/CreativeWorks/Edit/33109","Open")</f>
        <v>Open</v>
      </c>
    </row>
    <row r="177" spans="1:12" ht="13.2">
      <c r="A177" s="4" t="s">
        <v>538</v>
      </c>
      <c r="B177" s="5" t="s">
        <v>109</v>
      </c>
      <c r="C177" s="6" t="s">
        <v>539</v>
      </c>
      <c r="D177" s="7" t="s">
        <v>540</v>
      </c>
      <c r="E177" s="8" t="s">
        <v>88</v>
      </c>
      <c r="F177" s="9" t="s">
        <v>17</v>
      </c>
      <c r="G177" s="10">
        <v>1</v>
      </c>
      <c r="H177" s="11">
        <v>46153</v>
      </c>
      <c r="I177" s="12" t="s">
        <v>541</v>
      </c>
      <c r="J177" s="13" t="s">
        <v>30</v>
      </c>
      <c r="K177" s="14" t="str">
        <f>HYPERLINK("http://mpro.prangroup.com:4000/CreativeWorks/Edit/33139","Open")</f>
        <v>Open</v>
      </c>
    </row>
    <row r="178" spans="1:12" ht="13.2">
      <c r="A178" s="4" t="s">
        <v>464</v>
      </c>
      <c r="B178" s="5" t="s">
        <v>213</v>
      </c>
      <c r="C178" s="6" t="s">
        <v>186</v>
      </c>
      <c r="D178" s="7" t="s">
        <v>465</v>
      </c>
      <c r="E178" s="8" t="s">
        <v>88</v>
      </c>
      <c r="F178" s="9" t="s">
        <v>17</v>
      </c>
      <c r="G178" s="10">
        <v>1</v>
      </c>
      <c r="H178" s="11">
        <v>46153</v>
      </c>
      <c r="I178" s="12" t="s">
        <v>542</v>
      </c>
      <c r="J178" s="13" t="s">
        <v>30</v>
      </c>
      <c r="K178" s="14" t="str">
        <f>HYPERLINK("http://mpro.prangroup.com:4000/CreativeWorks/Edit/33160","Open")</f>
        <v>Open</v>
      </c>
    </row>
    <row r="179" spans="1:12" ht="13.2">
      <c r="A179" s="4" t="s">
        <v>328</v>
      </c>
      <c r="B179" s="5" t="s">
        <v>32</v>
      </c>
      <c r="C179" s="6" t="s">
        <v>368</v>
      </c>
      <c r="D179" s="7" t="s">
        <v>369</v>
      </c>
      <c r="E179" s="8" t="s">
        <v>88</v>
      </c>
      <c r="F179" s="9" t="s">
        <v>17</v>
      </c>
      <c r="G179" s="10">
        <v>1</v>
      </c>
      <c r="H179" s="11">
        <v>46154</v>
      </c>
      <c r="I179" s="12" t="s">
        <v>543</v>
      </c>
      <c r="J179" s="13" t="s">
        <v>19</v>
      </c>
      <c r="K179" s="14" t="str">
        <f>HYPERLINK("http://mpro.prangroup.com:4000/CreativeWorks/Edit/33240","Open")</f>
        <v>Open</v>
      </c>
    </row>
    <row r="180" spans="1:12" ht="13.2">
      <c r="A180" s="4" t="s">
        <v>526</v>
      </c>
      <c r="B180" s="5" t="s">
        <v>153</v>
      </c>
      <c r="C180" s="6" t="s">
        <v>527</v>
      </c>
      <c r="D180" s="7" t="s">
        <v>528</v>
      </c>
      <c r="E180" s="8" t="s">
        <v>88</v>
      </c>
      <c r="F180" s="9" t="s">
        <v>17</v>
      </c>
      <c r="G180" s="10">
        <v>4</v>
      </c>
      <c r="H180" s="11">
        <v>46155</v>
      </c>
      <c r="I180" s="12" t="s">
        <v>544</v>
      </c>
      <c r="J180" s="13" t="s">
        <v>30</v>
      </c>
      <c r="K180" s="14" t="str">
        <f>HYPERLINK("http://mpro.prangroup.com:4000/CreativeWorks/Edit/33414","Open")</f>
        <v>Open</v>
      </c>
    </row>
    <row r="181" spans="1:12" ht="13.2">
      <c r="A181" s="4" t="s">
        <v>545</v>
      </c>
      <c r="B181" s="5" t="s">
        <v>545</v>
      </c>
      <c r="C181" s="6" t="s">
        <v>546</v>
      </c>
      <c r="D181" s="7" t="s">
        <v>547</v>
      </c>
      <c r="E181" s="8" t="s">
        <v>88</v>
      </c>
      <c r="F181" s="9" t="s">
        <v>17</v>
      </c>
      <c r="G181" s="10">
        <v>1</v>
      </c>
      <c r="H181" s="11">
        <v>46156</v>
      </c>
      <c r="I181" s="12" t="s">
        <v>548</v>
      </c>
      <c r="J181" s="13" t="s">
        <v>30</v>
      </c>
      <c r="K181" s="14" t="str">
        <f>HYPERLINK("http://mpro.prangroup.com:4000/CreativeWorks/Edit/33556","Open")</f>
        <v>Open</v>
      </c>
    </row>
    <row r="182" spans="1:12" ht="13.2">
      <c r="A182" s="4" t="s">
        <v>549</v>
      </c>
      <c r="B182" s="5" t="s">
        <v>178</v>
      </c>
      <c r="C182" s="6" t="s">
        <v>186</v>
      </c>
      <c r="D182" s="7" t="s">
        <v>550</v>
      </c>
      <c r="E182" s="8" t="s">
        <v>16</v>
      </c>
      <c r="F182" s="9" t="s">
        <v>17</v>
      </c>
      <c r="G182" s="10">
        <v>6</v>
      </c>
      <c r="H182" s="11">
        <v>46158</v>
      </c>
      <c r="I182" s="12" t="s">
        <v>551</v>
      </c>
      <c r="J182" s="13" t="s">
        <v>30</v>
      </c>
      <c r="K182" s="14" t="str">
        <f>HYPERLINK("http://mpro.prangroup.com:4000/CreativeWorks/Edit/33582","Open")</f>
        <v>Open</v>
      </c>
    </row>
    <row r="183" spans="1:12" ht="13.2">
      <c r="A183" s="4" t="s">
        <v>395</v>
      </c>
      <c r="B183" s="5" t="s">
        <v>185</v>
      </c>
      <c r="C183" s="6" t="s">
        <v>166</v>
      </c>
      <c r="D183" s="7" t="s">
        <v>552</v>
      </c>
      <c r="E183" s="8" t="s">
        <v>88</v>
      </c>
      <c r="F183" s="9" t="s">
        <v>17</v>
      </c>
      <c r="G183" s="10">
        <v>1</v>
      </c>
      <c r="H183" s="11">
        <v>46159</v>
      </c>
      <c r="I183" s="12" t="s">
        <v>553</v>
      </c>
      <c r="J183" s="13" t="s">
        <v>30</v>
      </c>
      <c r="K183" s="14" t="str">
        <f>HYPERLINK("http://mpro.prangroup.com:4000/CreativeWorks/Edit/33698","Open")</f>
        <v>Open</v>
      </c>
    </row>
    <row r="184" spans="1:12" ht="13.2">
      <c r="A184" s="4" t="s">
        <v>138</v>
      </c>
      <c r="B184" s="5" t="s">
        <v>139</v>
      </c>
      <c r="C184" s="6" t="s">
        <v>166</v>
      </c>
      <c r="D184" s="7" t="s">
        <v>554</v>
      </c>
      <c r="E184" s="8" t="s">
        <v>88</v>
      </c>
      <c r="F184" s="9" t="s">
        <v>17</v>
      </c>
      <c r="G184" s="10">
        <v>4</v>
      </c>
      <c r="H184" s="11">
        <v>46160</v>
      </c>
      <c r="I184" s="12" t="s">
        <v>555</v>
      </c>
      <c r="J184" s="13" t="s">
        <v>30</v>
      </c>
      <c r="K184" s="14" t="str">
        <f>HYPERLINK("http://mpro.prangroup.com:4000/CreativeWorks/Edit/33945","Open")</f>
        <v>Open</v>
      </c>
    </row>
    <row r="185" spans="1:12" ht="13.2">
      <c r="A185" s="4" t="s">
        <v>515</v>
      </c>
      <c r="B185" s="5" t="s">
        <v>516</v>
      </c>
      <c r="C185" s="6" t="s">
        <v>517</v>
      </c>
      <c r="D185" s="7" t="s">
        <v>556</v>
      </c>
      <c r="E185" s="8" t="s">
        <v>141</v>
      </c>
      <c r="F185" s="9" t="s">
        <v>17</v>
      </c>
      <c r="G185" s="10">
        <v>6</v>
      </c>
      <c r="H185" s="11">
        <v>46162</v>
      </c>
      <c r="I185" s="12" t="s">
        <v>557</v>
      </c>
      <c r="J185" s="13" t="s">
        <v>30</v>
      </c>
      <c r="K185" s="14" t="str">
        <f>HYPERLINK("http://mpro.prangroup.com:4000/CreativeWorks/Edit/34261","Open")</f>
        <v>Open</v>
      </c>
    </row>
    <row r="186" spans="1:12" ht="13.2">
      <c r="A186" s="4" t="s">
        <v>558</v>
      </c>
      <c r="B186" s="5" t="s">
        <v>282</v>
      </c>
      <c r="C186" s="6" t="s">
        <v>232</v>
      </c>
      <c r="D186" s="7" t="s">
        <v>559</v>
      </c>
      <c r="E186" s="8" t="s">
        <v>242</v>
      </c>
      <c r="F186" s="9" t="s">
        <v>17</v>
      </c>
      <c r="G186" s="10">
        <v>1</v>
      </c>
      <c r="H186" s="11">
        <v>46162</v>
      </c>
      <c r="I186" s="12" t="s">
        <v>560</v>
      </c>
      <c r="J186" s="13" t="s">
        <v>30</v>
      </c>
      <c r="K186" s="14" t="str">
        <f>HYPERLINK("http://mpro.prangroup.com:4000/CreativeWorks/Edit/34113","Open")</f>
        <v>Open</v>
      </c>
    </row>
    <row r="187" spans="1:12" ht="13.2">
      <c r="A187" s="4" t="s">
        <v>216</v>
      </c>
      <c r="B187" s="5" t="s">
        <v>217</v>
      </c>
      <c r="C187" s="6" t="s">
        <v>186</v>
      </c>
      <c r="D187" s="7" t="s">
        <v>561</v>
      </c>
      <c r="E187" s="8" t="s">
        <v>88</v>
      </c>
      <c r="F187" s="9" t="s">
        <v>17</v>
      </c>
      <c r="G187" s="10">
        <v>1</v>
      </c>
      <c r="H187" s="11">
        <v>46162</v>
      </c>
      <c r="I187" s="12" t="s">
        <v>562</v>
      </c>
      <c r="J187" s="13" t="s">
        <v>30</v>
      </c>
      <c r="K187" s="14" t="str">
        <f>HYPERLINK("http://mpro.prangroup.com:4000/CreativeWorks/Edit/34120","Open")</f>
        <v>Open</v>
      </c>
    </row>
    <row r="188" spans="1:12" ht="13.2">
      <c r="A188" s="4" t="s">
        <v>563</v>
      </c>
      <c r="B188" s="5" t="s">
        <v>60</v>
      </c>
      <c r="C188" s="6" t="s">
        <v>275</v>
      </c>
      <c r="D188" s="7" t="s">
        <v>564</v>
      </c>
      <c r="E188" s="8" t="s">
        <v>88</v>
      </c>
      <c r="F188" s="9" t="s">
        <v>17</v>
      </c>
      <c r="G188" s="10">
        <v>1</v>
      </c>
      <c r="H188" s="11">
        <v>46163</v>
      </c>
      <c r="I188" s="12" t="s">
        <v>565</v>
      </c>
      <c r="J188" s="13" t="s">
        <v>30</v>
      </c>
      <c r="K188" s="14" t="str">
        <f>HYPERLINK("http://mpro.prangroup.com:4000/CreativeWorks/Edit/34324","Open")</f>
        <v>Open</v>
      </c>
      <c r="L188" s="15">
        <v>46199</v>
      </c>
    </row>
    <row r="189" spans="1:12" ht="13.2">
      <c r="A189" s="4" t="s">
        <v>566</v>
      </c>
      <c r="B189" s="5" t="s">
        <v>178</v>
      </c>
      <c r="C189" s="6" t="s">
        <v>232</v>
      </c>
      <c r="D189" s="7" t="s">
        <v>567</v>
      </c>
      <c r="E189" s="8" t="s">
        <v>16</v>
      </c>
      <c r="F189" s="9" t="s">
        <v>17</v>
      </c>
      <c r="G189" s="10">
        <v>3</v>
      </c>
      <c r="H189" s="11">
        <v>46163</v>
      </c>
      <c r="I189" s="12" t="s">
        <v>568</v>
      </c>
      <c r="J189" s="13" t="s">
        <v>30</v>
      </c>
      <c r="K189" s="14" t="str">
        <f>HYPERLINK("http://mpro.prangroup.com:4000/CreativeWorks/Edit/34340","Open")</f>
        <v>Open</v>
      </c>
      <c r="L189" s="15">
        <v>46199</v>
      </c>
    </row>
    <row r="190" spans="1:12" ht="13.2">
      <c r="A190" s="4" t="s">
        <v>569</v>
      </c>
      <c r="B190" s="5" t="s">
        <v>41</v>
      </c>
      <c r="C190" s="6" t="s">
        <v>228</v>
      </c>
      <c r="D190" s="7" t="s">
        <v>570</v>
      </c>
      <c r="E190" s="8" t="s">
        <v>88</v>
      </c>
      <c r="F190" s="9" t="s">
        <v>17</v>
      </c>
      <c r="G190" s="10">
        <v>2</v>
      </c>
      <c r="H190" s="11">
        <v>46164</v>
      </c>
      <c r="I190" s="12" t="s">
        <v>571</v>
      </c>
      <c r="J190" s="13" t="s">
        <v>30</v>
      </c>
      <c r="K190" s="14" t="str">
        <f>HYPERLINK("http://mpro.prangroup.com:4000/CreativeWorks/Edit/34509","Open")</f>
        <v>Open</v>
      </c>
      <c r="L190" s="15">
        <v>46199</v>
      </c>
    </row>
    <row r="191" spans="1:12" ht="13.2">
      <c r="A191" s="4" t="s">
        <v>549</v>
      </c>
      <c r="B191" s="5" t="s">
        <v>178</v>
      </c>
      <c r="C191" s="6" t="s">
        <v>275</v>
      </c>
      <c r="D191" s="7" t="s">
        <v>572</v>
      </c>
      <c r="E191" s="8" t="s">
        <v>16</v>
      </c>
      <c r="F191" s="9" t="s">
        <v>17</v>
      </c>
      <c r="G191" s="10">
        <v>2</v>
      </c>
      <c r="H191" s="11">
        <v>46165</v>
      </c>
      <c r="I191" s="12" t="s">
        <v>573</v>
      </c>
      <c r="J191" s="13" t="s">
        <v>30</v>
      </c>
      <c r="K191" s="14" t="str">
        <f>HYPERLINK("http://mpro.prangroup.com:4000/CreativeWorks/Edit/34671","Open")</f>
        <v>Open</v>
      </c>
      <c r="L191" s="15">
        <v>46199</v>
      </c>
    </row>
    <row r="192" spans="1:12" ht="13.2">
      <c r="A192" s="4" t="s">
        <v>227</v>
      </c>
      <c r="B192" s="5" t="s">
        <v>60</v>
      </c>
      <c r="C192" s="6" t="s">
        <v>228</v>
      </c>
      <c r="D192" s="7" t="s">
        <v>574</v>
      </c>
      <c r="E192" s="8" t="s">
        <v>242</v>
      </c>
      <c r="F192" s="9" t="s">
        <v>17</v>
      </c>
      <c r="G192" s="10">
        <v>4</v>
      </c>
      <c r="H192" s="11">
        <v>46166</v>
      </c>
      <c r="I192" s="12" t="s">
        <v>575</v>
      </c>
      <c r="J192" s="13" t="s">
        <v>30</v>
      </c>
      <c r="K192" s="14" t="str">
        <f>HYPERLINK("http://mpro.prangroup.com:4000/CreativeWorks/Edit/35000","Open")</f>
        <v>Open</v>
      </c>
      <c r="L192" s="15">
        <v>46199</v>
      </c>
    </row>
    <row r="193" spans="1:12" ht="13.2">
      <c r="A193" s="4" t="s">
        <v>576</v>
      </c>
      <c r="B193" s="5" t="s">
        <v>32</v>
      </c>
      <c r="C193" s="6" t="s">
        <v>455</v>
      </c>
      <c r="D193" s="7" t="s">
        <v>577</v>
      </c>
      <c r="E193" s="8" t="s">
        <v>16</v>
      </c>
      <c r="F193" s="9" t="s">
        <v>17</v>
      </c>
      <c r="G193" s="10">
        <v>1</v>
      </c>
      <c r="H193" s="11">
        <v>46166</v>
      </c>
      <c r="I193" s="12" t="s">
        <v>578</v>
      </c>
      <c r="J193" s="13" t="s">
        <v>30</v>
      </c>
      <c r="K193" s="14" t="str">
        <f>HYPERLINK("http://mpro.prangroup.com:4000/CreativeWorks/Edit/34962","Open")</f>
        <v>Open</v>
      </c>
      <c r="L193" s="15">
        <v>46199</v>
      </c>
    </row>
    <row r="194" spans="1:12" ht="13.2">
      <c r="A194" s="4" t="s">
        <v>292</v>
      </c>
      <c r="B194" s="5" t="s">
        <v>26</v>
      </c>
      <c r="C194" s="6" t="s">
        <v>579</v>
      </c>
      <c r="D194" s="7" t="s">
        <v>580</v>
      </c>
      <c r="E194" s="8" t="s">
        <v>16</v>
      </c>
      <c r="F194" s="9" t="s">
        <v>17</v>
      </c>
      <c r="G194" s="10">
        <v>2</v>
      </c>
      <c r="H194" s="11">
        <v>46167</v>
      </c>
      <c r="I194" s="12" t="s">
        <v>581</v>
      </c>
      <c r="J194" s="13" t="s">
        <v>30</v>
      </c>
      <c r="K194" s="14" t="str">
        <f>HYPERLINK("http://mpro.prangroup.com:4000/CreativeWorks/Edit/35097","Open")</f>
        <v>Open</v>
      </c>
      <c r="L194" s="15">
        <v>46199</v>
      </c>
    </row>
    <row r="195" spans="1:12" ht="13.2">
      <c r="A195" s="4" t="s">
        <v>90</v>
      </c>
      <c r="B195" s="5" t="s">
        <v>32</v>
      </c>
      <c r="C195" s="6" t="s">
        <v>228</v>
      </c>
      <c r="D195" s="7" t="s">
        <v>582</v>
      </c>
      <c r="E195" s="8" t="s">
        <v>490</v>
      </c>
      <c r="F195" s="9" t="s">
        <v>17</v>
      </c>
      <c r="G195" s="10">
        <v>1</v>
      </c>
      <c r="H195" s="11">
        <v>46168</v>
      </c>
      <c r="I195" s="12" t="s">
        <v>583</v>
      </c>
      <c r="J195" s="13" t="s">
        <v>30</v>
      </c>
      <c r="K195" s="14" t="str">
        <f>HYPERLINK("http://mpro.prangroup.com:4000/CreativeWorks/Edit/35187","Open")</f>
        <v>Open</v>
      </c>
      <c r="L195" s="15">
        <v>46199</v>
      </c>
    </row>
    <row r="196" spans="1:12" ht="13.2">
      <c r="A196" s="4" t="s">
        <v>563</v>
      </c>
      <c r="B196" s="5" t="s">
        <v>60</v>
      </c>
      <c r="C196" s="6" t="s">
        <v>275</v>
      </c>
      <c r="D196" s="7" t="s">
        <v>564</v>
      </c>
      <c r="E196" s="8" t="s">
        <v>88</v>
      </c>
      <c r="F196" s="9" t="s">
        <v>17</v>
      </c>
      <c r="G196" s="10">
        <v>1</v>
      </c>
      <c r="H196" s="11">
        <v>46174</v>
      </c>
      <c r="I196" s="12" t="s">
        <v>584</v>
      </c>
      <c r="J196" s="13" t="s">
        <v>30</v>
      </c>
      <c r="K196" s="14" t="str">
        <f>HYPERLINK("http://mpro.prangroup.com:4000/CreativeWorks/Edit/35279","Open")</f>
        <v>Open</v>
      </c>
      <c r="L196" s="15">
        <v>46199</v>
      </c>
    </row>
    <row r="197" spans="1:12" ht="13.2">
      <c r="A197" s="4" t="s">
        <v>105</v>
      </c>
      <c r="B197" s="5" t="s">
        <v>60</v>
      </c>
      <c r="C197" s="6" t="s">
        <v>275</v>
      </c>
      <c r="D197" s="7" t="s">
        <v>585</v>
      </c>
      <c r="E197" s="8" t="s">
        <v>242</v>
      </c>
      <c r="F197" s="9" t="s">
        <v>17</v>
      </c>
      <c r="G197" s="10">
        <v>1</v>
      </c>
      <c r="H197" s="11">
        <v>46175</v>
      </c>
      <c r="I197" s="12" t="s">
        <v>586</v>
      </c>
      <c r="J197" s="13" t="s">
        <v>30</v>
      </c>
      <c r="K197" s="14" t="str">
        <f>HYPERLINK("http://mpro.prangroup.com:4000/CreativeWorks/Edit/35374","Open")</f>
        <v>Open</v>
      </c>
      <c r="L197" s="15">
        <v>46199</v>
      </c>
    </row>
    <row r="198" spans="1:12" ht="13.2">
      <c r="A198" s="4" t="s">
        <v>587</v>
      </c>
      <c r="B198" s="16"/>
      <c r="C198" s="6" t="s">
        <v>166</v>
      </c>
      <c r="D198" s="7" t="s">
        <v>588</v>
      </c>
      <c r="E198" s="8" t="s">
        <v>589</v>
      </c>
      <c r="F198" s="9" t="s">
        <v>17</v>
      </c>
      <c r="G198" s="10">
        <v>19</v>
      </c>
      <c r="H198" s="11">
        <v>46175</v>
      </c>
      <c r="I198" s="12">
        <v>0</v>
      </c>
      <c r="J198" s="13" t="s">
        <v>590</v>
      </c>
      <c r="K198" s="14" t="str">
        <f>HYPERLINK("http://mpro.prangroup.com:4000/CreativeWorks/Edit/0","Open")</f>
        <v>Open</v>
      </c>
    </row>
    <row r="199" spans="1:12" ht="13.2">
      <c r="A199" s="4" t="s">
        <v>591</v>
      </c>
      <c r="B199" s="5" t="s">
        <v>158</v>
      </c>
      <c r="C199" s="6" t="s">
        <v>592</v>
      </c>
      <c r="D199" s="7" t="s">
        <v>593</v>
      </c>
      <c r="E199" s="8" t="s">
        <v>141</v>
      </c>
      <c r="F199" s="9" t="s">
        <v>17</v>
      </c>
      <c r="G199" s="10">
        <v>1</v>
      </c>
      <c r="H199" s="11">
        <v>46176</v>
      </c>
      <c r="I199" s="12" t="s">
        <v>594</v>
      </c>
      <c r="J199" s="13" t="s">
        <v>30</v>
      </c>
      <c r="K199" s="14" t="str">
        <f>HYPERLINK("http://mpro.prangroup.com:4000/CreativeWorks/Edit/35442","Open")</f>
        <v>Open</v>
      </c>
      <c r="L199" s="15">
        <v>46199</v>
      </c>
    </row>
    <row r="200" spans="1:12" ht="13.2">
      <c r="A200" s="4" t="s">
        <v>595</v>
      </c>
      <c r="B200" s="5" t="s">
        <v>101</v>
      </c>
      <c r="C200" s="6" t="s">
        <v>232</v>
      </c>
      <c r="D200" s="7" t="s">
        <v>596</v>
      </c>
      <c r="E200" s="8" t="s">
        <v>242</v>
      </c>
      <c r="F200" s="9" t="s">
        <v>17</v>
      </c>
      <c r="G200" s="10">
        <v>8</v>
      </c>
      <c r="H200" s="11">
        <v>46177</v>
      </c>
      <c r="I200" s="12" t="s">
        <v>597</v>
      </c>
      <c r="J200" s="13" t="s">
        <v>30</v>
      </c>
      <c r="K200" s="14" t="str">
        <f>HYPERLINK("http://mpro.prangroup.com:4000/CreativeWorks/Edit/35559","Open")</f>
        <v>Open</v>
      </c>
      <c r="L200" s="15">
        <v>46199</v>
      </c>
    </row>
    <row r="201" spans="1:12" ht="13.2">
      <c r="A201" s="17" t="s">
        <v>598</v>
      </c>
      <c r="B201" s="5" t="s">
        <v>599</v>
      </c>
      <c r="C201" s="6" t="s">
        <v>222</v>
      </c>
      <c r="D201" s="7" t="s">
        <v>600</v>
      </c>
      <c r="E201" s="8" t="s">
        <v>141</v>
      </c>
      <c r="F201" s="9" t="s">
        <v>17</v>
      </c>
      <c r="G201" s="10">
        <v>1</v>
      </c>
      <c r="H201" s="11">
        <v>46176</v>
      </c>
      <c r="I201" s="12" t="s">
        <v>601</v>
      </c>
      <c r="J201" s="13" t="s">
        <v>30</v>
      </c>
      <c r="K201" s="14" t="str">
        <f>HYPERLINK("http://mpro.prangroup.com:4000/CreativeWorks/Edit/35479","Open")</f>
        <v>Open</v>
      </c>
      <c r="L201" s="15">
        <v>46199</v>
      </c>
    </row>
    <row r="202" spans="1:12" ht="13.2">
      <c r="A202" s="4" t="s">
        <v>602</v>
      </c>
      <c r="B202" s="5" t="s">
        <v>41</v>
      </c>
      <c r="C202" s="6" t="s">
        <v>603</v>
      </c>
      <c r="D202" s="7" t="s">
        <v>604</v>
      </c>
      <c r="E202" s="8" t="s">
        <v>88</v>
      </c>
      <c r="F202" s="9" t="s">
        <v>17</v>
      </c>
      <c r="G202" s="10">
        <v>1</v>
      </c>
      <c r="H202" s="11">
        <v>46195</v>
      </c>
      <c r="I202" s="12" t="s">
        <v>605</v>
      </c>
      <c r="J202" s="13" t="s">
        <v>30</v>
      </c>
      <c r="K202" s="14" t="str">
        <f>HYPERLINK("http://mpro.prangroup.com:4000/CreativeWorks/Edit/37509","Open")</f>
        <v>Open</v>
      </c>
      <c r="L202" s="18">
        <v>46229</v>
      </c>
    </row>
    <row r="203" spans="1:12" ht="13.2">
      <c r="A203" s="4" t="s">
        <v>606</v>
      </c>
      <c r="B203" s="5" t="s">
        <v>170</v>
      </c>
      <c r="C203" s="6" t="s">
        <v>186</v>
      </c>
      <c r="D203" s="7" t="s">
        <v>607</v>
      </c>
      <c r="E203" s="8" t="s">
        <v>16</v>
      </c>
      <c r="F203" s="9" t="s">
        <v>17</v>
      </c>
      <c r="G203" s="10">
        <v>6</v>
      </c>
      <c r="H203" s="11">
        <v>46178</v>
      </c>
      <c r="I203" s="12" t="s">
        <v>608</v>
      </c>
      <c r="J203" s="13" t="s">
        <v>30</v>
      </c>
      <c r="K203" s="14" t="str">
        <f>HYPERLINK("http://mpro.prangroup.com:4000/CreativeWorks/Edit/35628","Open")</f>
        <v>Open</v>
      </c>
      <c r="L203" s="15">
        <v>46199</v>
      </c>
    </row>
    <row r="204" spans="1:12" ht="13.2">
      <c r="A204" s="4" t="s">
        <v>609</v>
      </c>
      <c r="B204" s="5" t="s">
        <v>209</v>
      </c>
      <c r="C204" s="6" t="s">
        <v>228</v>
      </c>
      <c r="D204" s="7" t="s">
        <v>610</v>
      </c>
      <c r="E204" s="8" t="s">
        <v>242</v>
      </c>
      <c r="F204" s="9" t="s">
        <v>17</v>
      </c>
      <c r="G204" s="10">
        <v>1</v>
      </c>
      <c r="H204" s="11">
        <v>46179</v>
      </c>
      <c r="I204" s="12" t="s">
        <v>611</v>
      </c>
      <c r="J204" s="13" t="s">
        <v>30</v>
      </c>
      <c r="K204" s="14" t="str">
        <f>HYPERLINK("http://mpro.prangroup.com:4000/CreativeWorks/Edit/35637","Open")</f>
        <v>Open</v>
      </c>
      <c r="L204" s="15">
        <v>46199</v>
      </c>
    </row>
    <row r="205" spans="1:12" ht="13.2">
      <c r="A205" s="4" t="s">
        <v>612</v>
      </c>
      <c r="B205" s="5" t="s">
        <v>60</v>
      </c>
      <c r="C205" s="6" t="s">
        <v>228</v>
      </c>
      <c r="D205" s="7" t="s">
        <v>613</v>
      </c>
      <c r="E205" s="8" t="s">
        <v>88</v>
      </c>
      <c r="F205" s="9" t="s">
        <v>17</v>
      </c>
      <c r="G205" s="10">
        <v>1</v>
      </c>
      <c r="H205" s="11">
        <v>46180</v>
      </c>
      <c r="I205" s="12" t="s">
        <v>614</v>
      </c>
      <c r="J205" s="13" t="s">
        <v>30</v>
      </c>
      <c r="K205" s="14" t="str">
        <f t="shared" ref="K205:K206" si="8">HYPERLINK("http://mpro.prangroup.com:4000/CreativeWorks/Edit/35837","Open")</f>
        <v>Open</v>
      </c>
      <c r="L205" s="15">
        <v>46199</v>
      </c>
    </row>
    <row r="206" spans="1:12" ht="13.2">
      <c r="A206" s="4" t="s">
        <v>615</v>
      </c>
      <c r="B206" s="5" t="s">
        <v>60</v>
      </c>
      <c r="C206" s="6" t="s">
        <v>228</v>
      </c>
      <c r="D206" s="7" t="s">
        <v>613</v>
      </c>
      <c r="E206" s="8" t="s">
        <v>16</v>
      </c>
      <c r="F206" s="9" t="s">
        <v>17</v>
      </c>
      <c r="G206" s="10">
        <v>1</v>
      </c>
      <c r="H206" s="11">
        <v>46180</v>
      </c>
      <c r="I206" s="12" t="s">
        <v>614</v>
      </c>
      <c r="J206" s="13" t="s">
        <v>30</v>
      </c>
      <c r="K206" s="14" t="str">
        <f t="shared" si="8"/>
        <v>Open</v>
      </c>
      <c r="L206" s="15">
        <v>46199</v>
      </c>
    </row>
    <row r="207" spans="1:12" ht="13.2">
      <c r="A207" s="4" t="s">
        <v>616</v>
      </c>
      <c r="B207" s="5" t="s">
        <v>282</v>
      </c>
      <c r="C207" s="6" t="s">
        <v>232</v>
      </c>
      <c r="D207" s="7" t="s">
        <v>617</v>
      </c>
      <c r="E207" s="8" t="s">
        <v>88</v>
      </c>
      <c r="F207" s="9" t="s">
        <v>17</v>
      </c>
      <c r="G207" s="10">
        <v>2</v>
      </c>
      <c r="H207" s="11">
        <v>46180</v>
      </c>
      <c r="I207" s="12" t="s">
        <v>618</v>
      </c>
      <c r="J207" s="13" t="s">
        <v>30</v>
      </c>
      <c r="K207" s="14" t="str">
        <f>HYPERLINK("http://mpro.prangroup.com:4000/CreativeWorks/Edit/35839","Open")</f>
        <v>Open</v>
      </c>
      <c r="L207" s="15">
        <v>46199</v>
      </c>
    </row>
    <row r="208" spans="1:12" ht="13.2">
      <c r="A208" s="4" t="s">
        <v>619</v>
      </c>
      <c r="B208" s="5" t="s">
        <v>620</v>
      </c>
      <c r="C208" s="6" t="s">
        <v>275</v>
      </c>
      <c r="D208" s="7" t="s">
        <v>621</v>
      </c>
      <c r="E208" s="8" t="s">
        <v>88</v>
      </c>
      <c r="F208" s="9" t="s">
        <v>17</v>
      </c>
      <c r="G208" s="10">
        <v>2</v>
      </c>
      <c r="H208" s="11">
        <v>46181</v>
      </c>
      <c r="I208" s="12" t="s">
        <v>622</v>
      </c>
      <c r="J208" s="13" t="s">
        <v>30</v>
      </c>
      <c r="K208" s="14" t="str">
        <f>HYPERLINK("http://mpro.prangroup.com:4000/CreativeWorks/Edit/35978","Open")</f>
        <v>Open</v>
      </c>
      <c r="L208" s="15">
        <v>46199</v>
      </c>
    </row>
    <row r="209" spans="1:12" ht="13.2">
      <c r="A209" s="4" t="s">
        <v>623</v>
      </c>
      <c r="B209" s="5" t="s">
        <v>139</v>
      </c>
      <c r="C209" s="6" t="s">
        <v>166</v>
      </c>
      <c r="D209" s="7" t="s">
        <v>554</v>
      </c>
      <c r="E209" s="8" t="s">
        <v>88</v>
      </c>
      <c r="F209" s="9" t="s">
        <v>17</v>
      </c>
      <c r="G209" s="10">
        <v>1</v>
      </c>
      <c r="H209" s="11">
        <v>46181</v>
      </c>
      <c r="I209" s="12" t="s">
        <v>624</v>
      </c>
      <c r="J209" s="13" t="s">
        <v>30</v>
      </c>
      <c r="K209" s="14" t="str">
        <f>HYPERLINK("http://mpro.prangroup.com:4000/CreativeWorks/Edit/35989","Open")</f>
        <v>Open</v>
      </c>
      <c r="L209" s="15">
        <v>46199</v>
      </c>
    </row>
    <row r="210" spans="1:12" ht="13.2">
      <c r="A210" s="4" t="s">
        <v>625</v>
      </c>
      <c r="B210" s="5" t="s">
        <v>123</v>
      </c>
      <c r="C210" s="6" t="s">
        <v>124</v>
      </c>
      <c r="D210" s="7" t="s">
        <v>626</v>
      </c>
      <c r="E210" s="8" t="s">
        <v>88</v>
      </c>
      <c r="F210" s="9" t="s">
        <v>17</v>
      </c>
      <c r="G210" s="10">
        <v>1</v>
      </c>
      <c r="H210" s="11">
        <v>46181</v>
      </c>
      <c r="I210" s="12" t="s">
        <v>627</v>
      </c>
      <c r="J210" s="13" t="s">
        <v>30</v>
      </c>
      <c r="K210" s="14" t="str">
        <f>HYPERLINK("http://mpro.prangroup.com:4000/CreativeWorks/Edit/36008","Open")</f>
        <v>Open</v>
      </c>
      <c r="L210" s="15">
        <v>46199</v>
      </c>
    </row>
    <row r="211" spans="1:12" ht="13.2">
      <c r="A211" s="4" t="s">
        <v>628</v>
      </c>
      <c r="B211" s="5" t="s">
        <v>144</v>
      </c>
      <c r="C211" s="6" t="s">
        <v>275</v>
      </c>
      <c r="D211" s="7" t="s">
        <v>629</v>
      </c>
      <c r="E211" s="8" t="s">
        <v>88</v>
      </c>
      <c r="F211" s="9" t="s">
        <v>17</v>
      </c>
      <c r="G211" s="10">
        <v>1</v>
      </c>
      <c r="H211" s="11">
        <v>46183</v>
      </c>
      <c r="I211" s="12" t="s">
        <v>630</v>
      </c>
      <c r="J211" s="13" t="s">
        <v>30</v>
      </c>
      <c r="K211" s="14" t="str">
        <f>HYPERLINK("http://mpro.prangroup.com:4000/CreativeWorks/Edit/36223","Open")</f>
        <v>Open</v>
      </c>
      <c r="L211" s="15">
        <v>46199</v>
      </c>
    </row>
    <row r="212" spans="1:12" ht="13.2">
      <c r="A212" s="4" t="s">
        <v>631</v>
      </c>
      <c r="B212" s="5" t="s">
        <v>60</v>
      </c>
      <c r="C212" s="6" t="s">
        <v>61</v>
      </c>
      <c r="D212" s="7" t="s">
        <v>632</v>
      </c>
      <c r="E212" s="8" t="s">
        <v>88</v>
      </c>
      <c r="F212" s="9" t="s">
        <v>17</v>
      </c>
      <c r="G212" s="10">
        <v>1</v>
      </c>
      <c r="H212" s="11">
        <v>46183</v>
      </c>
      <c r="I212" s="12" t="s">
        <v>633</v>
      </c>
      <c r="J212" s="13" t="s">
        <v>30</v>
      </c>
      <c r="K212" s="14" t="str">
        <f t="shared" ref="K212:K213" si="9">HYPERLINK("http://mpro.prangroup.com:4000/CreativeWorks/Edit/36246","Open")</f>
        <v>Open</v>
      </c>
      <c r="L212" s="15">
        <v>46199</v>
      </c>
    </row>
    <row r="213" spans="1:12" ht="13.2">
      <c r="A213" s="4" t="s">
        <v>634</v>
      </c>
      <c r="B213" s="5" t="s">
        <v>60</v>
      </c>
      <c r="C213" s="6" t="s">
        <v>61</v>
      </c>
      <c r="D213" s="7" t="s">
        <v>632</v>
      </c>
      <c r="E213" s="8" t="s">
        <v>242</v>
      </c>
      <c r="F213" s="9" t="s">
        <v>17</v>
      </c>
      <c r="G213" s="10">
        <v>4</v>
      </c>
      <c r="H213" s="11">
        <v>46183</v>
      </c>
      <c r="I213" s="12" t="s">
        <v>633</v>
      </c>
      <c r="J213" s="13" t="s">
        <v>30</v>
      </c>
      <c r="K213" s="14" t="str">
        <f t="shared" si="9"/>
        <v>Open</v>
      </c>
      <c r="L213" s="15">
        <v>46199</v>
      </c>
    </row>
    <row r="214" spans="1:12" ht="13.2">
      <c r="A214" s="4" t="s">
        <v>635</v>
      </c>
      <c r="B214" s="5" t="s">
        <v>516</v>
      </c>
      <c r="C214" s="6" t="s">
        <v>517</v>
      </c>
      <c r="D214" s="7" t="s">
        <v>636</v>
      </c>
      <c r="E214" s="8" t="s">
        <v>141</v>
      </c>
      <c r="F214" s="9" t="s">
        <v>17</v>
      </c>
      <c r="G214" s="10">
        <v>3</v>
      </c>
      <c r="H214" s="11">
        <v>46184</v>
      </c>
      <c r="I214" s="12" t="s">
        <v>637</v>
      </c>
      <c r="J214" s="13" t="s">
        <v>30</v>
      </c>
      <c r="K214" s="14" t="str">
        <f>HYPERLINK("http://mpro.prangroup.com:4000/CreativeWorks/Edit/36354","Open")</f>
        <v>Open</v>
      </c>
      <c r="L214" s="15">
        <v>46199</v>
      </c>
    </row>
    <row r="215" spans="1:12" ht="13.2">
      <c r="A215" s="4" t="s">
        <v>638</v>
      </c>
      <c r="B215" s="5" t="s">
        <v>139</v>
      </c>
      <c r="C215" s="6" t="s">
        <v>166</v>
      </c>
      <c r="D215" s="7" t="s">
        <v>639</v>
      </c>
      <c r="E215" s="8" t="s">
        <v>88</v>
      </c>
      <c r="F215" s="9" t="s">
        <v>17</v>
      </c>
      <c r="G215" s="10">
        <v>3</v>
      </c>
      <c r="H215" s="11">
        <v>46184</v>
      </c>
      <c r="I215" s="12" t="s">
        <v>640</v>
      </c>
      <c r="J215" s="13" t="s">
        <v>48</v>
      </c>
      <c r="K215" s="14" t="str">
        <f>HYPERLINK("http://mpro.prangroup.com:4000/CreativeWorks/Edit/36406","Open")</f>
        <v>Open</v>
      </c>
      <c r="L215" s="18">
        <v>46229</v>
      </c>
    </row>
    <row r="216" spans="1:12" ht="13.2">
      <c r="A216" s="4" t="s">
        <v>641</v>
      </c>
      <c r="B216" s="5" t="s">
        <v>185</v>
      </c>
      <c r="C216" s="6" t="s">
        <v>166</v>
      </c>
      <c r="D216" s="7" t="s">
        <v>642</v>
      </c>
      <c r="E216" s="8" t="s">
        <v>16</v>
      </c>
      <c r="F216" s="9" t="s">
        <v>17</v>
      </c>
      <c r="G216" s="10">
        <v>1</v>
      </c>
      <c r="H216" s="11">
        <v>46185</v>
      </c>
      <c r="I216" s="12" t="s">
        <v>643</v>
      </c>
      <c r="J216" s="13" t="s">
        <v>30</v>
      </c>
      <c r="K216" s="14" t="str">
        <f>HYPERLINK("http://mpro.prangroup.com:4000/CreativeWorks/Edit/36495","Open")</f>
        <v>Open</v>
      </c>
      <c r="L216" s="15">
        <v>46199</v>
      </c>
    </row>
    <row r="217" spans="1:12" ht="13.2">
      <c r="A217" s="4" t="s">
        <v>644</v>
      </c>
      <c r="B217" s="5" t="s">
        <v>60</v>
      </c>
      <c r="C217" s="6" t="s">
        <v>275</v>
      </c>
      <c r="D217" s="7" t="s">
        <v>645</v>
      </c>
      <c r="E217" s="8" t="s">
        <v>242</v>
      </c>
      <c r="F217" s="9" t="s">
        <v>17</v>
      </c>
      <c r="G217" s="10">
        <v>8</v>
      </c>
      <c r="H217" s="11">
        <v>46188</v>
      </c>
      <c r="I217" s="12" t="s">
        <v>646</v>
      </c>
      <c r="J217" s="13" t="s">
        <v>30</v>
      </c>
      <c r="K217" s="14" t="str">
        <f>HYPERLINK("http://mpro.prangroup.com:4000/CreativeWorks/Edit/36653","Open")</f>
        <v>Open</v>
      </c>
      <c r="L217" s="15">
        <v>46199</v>
      </c>
    </row>
    <row r="218" spans="1:12" ht="13.2">
      <c r="A218" s="4" t="s">
        <v>647</v>
      </c>
      <c r="B218" s="5" t="s">
        <v>282</v>
      </c>
      <c r="C218" s="6" t="s">
        <v>283</v>
      </c>
      <c r="D218" s="7" t="s">
        <v>648</v>
      </c>
      <c r="E218" s="8" t="s">
        <v>88</v>
      </c>
      <c r="F218" s="9" t="s">
        <v>17</v>
      </c>
      <c r="G218" s="10">
        <v>1</v>
      </c>
      <c r="H218" s="11">
        <v>46188</v>
      </c>
      <c r="I218" s="12" t="s">
        <v>649</v>
      </c>
      <c r="J218" s="13" t="s">
        <v>30</v>
      </c>
      <c r="K218" s="14" t="str">
        <f>HYPERLINK("http://mpro.prangroup.com:4000/CreativeWorks/Edit/36789","Open")</f>
        <v>Open</v>
      </c>
      <c r="L218" s="15">
        <v>46199</v>
      </c>
    </row>
    <row r="219" spans="1:12" ht="13.2">
      <c r="A219" s="4" t="s">
        <v>650</v>
      </c>
      <c r="B219" s="5" t="s">
        <v>101</v>
      </c>
      <c r="C219" s="6" t="s">
        <v>186</v>
      </c>
      <c r="D219" s="7" t="s">
        <v>651</v>
      </c>
      <c r="E219" s="8" t="s">
        <v>242</v>
      </c>
      <c r="F219" s="9" t="s">
        <v>17</v>
      </c>
      <c r="G219" s="10">
        <v>1</v>
      </c>
      <c r="H219" s="11">
        <v>46191</v>
      </c>
      <c r="I219" s="12" t="s">
        <v>652</v>
      </c>
      <c r="J219" s="13" t="s">
        <v>30</v>
      </c>
      <c r="K219" s="14" t="str">
        <f>HYPERLINK("http://mpro.prangroup.com:4000/CreativeWorks/Edit/37036","Open")</f>
        <v>Open</v>
      </c>
      <c r="L219" s="15">
        <v>46199</v>
      </c>
    </row>
    <row r="220" spans="1:12" ht="13.2">
      <c r="A220" s="4" t="s">
        <v>653</v>
      </c>
      <c r="B220" s="5" t="s">
        <v>123</v>
      </c>
      <c r="C220" s="6" t="s">
        <v>124</v>
      </c>
      <c r="D220" s="7" t="s">
        <v>654</v>
      </c>
      <c r="E220" s="8" t="s">
        <v>88</v>
      </c>
      <c r="F220" s="9" t="s">
        <v>457</v>
      </c>
      <c r="G220" s="10">
        <v>2</v>
      </c>
      <c r="H220" s="11">
        <v>46191</v>
      </c>
      <c r="I220" s="12">
        <v>0</v>
      </c>
      <c r="J220" s="13" t="s">
        <v>19</v>
      </c>
      <c r="K220" s="14" t="str">
        <f>HYPERLINK("http://mpro.prangroup.com:4000/CreativeWorks/Edit/0","Open")</f>
        <v>Open</v>
      </c>
    </row>
    <row r="221" spans="1:12" ht="13.2">
      <c r="A221" s="4" t="s">
        <v>655</v>
      </c>
      <c r="B221" s="5" t="s">
        <v>32</v>
      </c>
      <c r="C221" s="6" t="s">
        <v>455</v>
      </c>
      <c r="D221" s="7" t="s">
        <v>656</v>
      </c>
      <c r="E221" s="8" t="s">
        <v>16</v>
      </c>
      <c r="F221" s="9" t="s">
        <v>457</v>
      </c>
      <c r="G221" s="10">
        <v>1</v>
      </c>
      <c r="H221" s="11">
        <v>46191</v>
      </c>
      <c r="I221" s="12">
        <v>0</v>
      </c>
      <c r="J221" s="13" t="s">
        <v>19</v>
      </c>
      <c r="K221" s="19"/>
    </row>
    <row r="222" spans="1:12" ht="13.2">
      <c r="A222" s="4" t="s">
        <v>657</v>
      </c>
      <c r="B222" s="5" t="s">
        <v>41</v>
      </c>
      <c r="C222" s="6" t="s">
        <v>186</v>
      </c>
      <c r="D222" s="7" t="s">
        <v>658</v>
      </c>
      <c r="E222" s="8" t="s">
        <v>88</v>
      </c>
      <c r="F222" s="9" t="s">
        <v>17</v>
      </c>
      <c r="G222" s="10">
        <v>3</v>
      </c>
      <c r="H222" s="11">
        <v>46192</v>
      </c>
      <c r="I222" s="12" t="s">
        <v>659</v>
      </c>
      <c r="J222" s="13" t="s">
        <v>30</v>
      </c>
      <c r="K222" s="14" t="str">
        <f>HYPERLINK("http://mpro.prangroup.com:4000/CreativeWorks/Edit/37207","Open")</f>
        <v>Open</v>
      </c>
      <c r="L222" s="18">
        <v>46229</v>
      </c>
    </row>
    <row r="223" spans="1:12" ht="13.2">
      <c r="A223" s="4" t="s">
        <v>660</v>
      </c>
      <c r="B223" s="5" t="s">
        <v>60</v>
      </c>
      <c r="C223" s="6" t="s">
        <v>275</v>
      </c>
      <c r="D223" s="7" t="s">
        <v>661</v>
      </c>
      <c r="E223" s="8" t="s">
        <v>88</v>
      </c>
      <c r="F223" s="9" t="s">
        <v>17</v>
      </c>
      <c r="G223" s="10">
        <v>1</v>
      </c>
      <c r="H223" s="11">
        <v>46193</v>
      </c>
      <c r="I223" s="12" t="s">
        <v>662</v>
      </c>
      <c r="J223" s="13" t="s">
        <v>19</v>
      </c>
      <c r="K223" s="14" t="str">
        <f>HYPERLINK("http://mpro.prangroup.com:4000/CreativeWorks/Edit/37229","Open")</f>
        <v>Open</v>
      </c>
    </row>
    <row r="224" spans="1:12" ht="13.2">
      <c r="A224" s="4" t="s">
        <v>663</v>
      </c>
      <c r="B224" s="5" t="s">
        <v>202</v>
      </c>
      <c r="C224" s="6" t="s">
        <v>501</v>
      </c>
      <c r="D224" s="7" t="s">
        <v>664</v>
      </c>
      <c r="E224" s="8" t="s">
        <v>141</v>
      </c>
      <c r="F224" s="9" t="s">
        <v>17</v>
      </c>
      <c r="G224" s="10">
        <v>1</v>
      </c>
      <c r="H224" s="11">
        <v>46193</v>
      </c>
      <c r="I224" s="12" t="s">
        <v>665</v>
      </c>
      <c r="J224" s="13" t="s">
        <v>30</v>
      </c>
      <c r="K224" s="14" t="str">
        <f>HYPERLINK("http://mpro.prangroup.com:4000/CreativeWorks/Edit/37256","Open")</f>
        <v>Open</v>
      </c>
      <c r="L224" s="15">
        <v>46199</v>
      </c>
    </row>
    <row r="225" spans="1:14" ht="13.2">
      <c r="A225" s="4" t="s">
        <v>666</v>
      </c>
      <c r="B225" s="5" t="s">
        <v>202</v>
      </c>
      <c r="C225" s="6" t="s">
        <v>501</v>
      </c>
      <c r="D225" s="7" t="s">
        <v>667</v>
      </c>
      <c r="E225" s="8" t="s">
        <v>16</v>
      </c>
      <c r="F225" s="9" t="s">
        <v>17</v>
      </c>
      <c r="G225" s="10">
        <v>1</v>
      </c>
      <c r="H225" s="11">
        <v>46193</v>
      </c>
      <c r="I225" s="12" t="s">
        <v>668</v>
      </c>
      <c r="J225" s="13" t="s">
        <v>30</v>
      </c>
      <c r="K225" s="14" t="str">
        <f t="shared" ref="K225:K226" si="10">HYPERLINK("http://mpro.prangroup.com:4000/CreativeWorks/Edit/37302","Open")</f>
        <v>Open</v>
      </c>
      <c r="L225" s="18">
        <v>46229</v>
      </c>
    </row>
    <row r="226" spans="1:14" ht="13.2">
      <c r="A226" s="4" t="s">
        <v>669</v>
      </c>
      <c r="B226" s="5" t="s">
        <v>202</v>
      </c>
      <c r="C226" s="6" t="s">
        <v>501</v>
      </c>
      <c r="D226" s="7" t="s">
        <v>667</v>
      </c>
      <c r="E226" s="8" t="s">
        <v>589</v>
      </c>
      <c r="F226" s="9" t="s">
        <v>17</v>
      </c>
      <c r="G226" s="10">
        <v>1</v>
      </c>
      <c r="H226" s="11">
        <v>46193</v>
      </c>
      <c r="I226" s="12" t="s">
        <v>668</v>
      </c>
      <c r="J226" s="13" t="s">
        <v>30</v>
      </c>
      <c r="K226" s="14" t="str">
        <f t="shared" si="10"/>
        <v>Open</v>
      </c>
      <c r="L226" s="18">
        <v>46229</v>
      </c>
    </row>
    <row r="227" spans="1:14" ht="13.2">
      <c r="A227" s="4" t="s">
        <v>670</v>
      </c>
      <c r="B227" s="5" t="s">
        <v>60</v>
      </c>
      <c r="C227" s="6" t="s">
        <v>275</v>
      </c>
      <c r="D227" s="7" t="s">
        <v>661</v>
      </c>
      <c r="E227" s="8" t="s">
        <v>23</v>
      </c>
      <c r="F227" s="9" t="s">
        <v>17</v>
      </c>
      <c r="G227" s="10">
        <v>1</v>
      </c>
      <c r="H227" s="11">
        <v>46193</v>
      </c>
      <c r="I227" s="12" t="s">
        <v>671</v>
      </c>
      <c r="J227" s="13" t="s">
        <v>19</v>
      </c>
      <c r="K227" s="14" t="str">
        <f>HYPERLINK("http://mpro.prangroup.com:4000/CreativeWorks/Edit/37315","Open")</f>
        <v>Open</v>
      </c>
    </row>
    <row r="228" spans="1:14" ht="13.2">
      <c r="A228" s="4" t="s">
        <v>672</v>
      </c>
      <c r="B228" s="5" t="s">
        <v>101</v>
      </c>
      <c r="C228" s="6" t="s">
        <v>186</v>
      </c>
      <c r="D228" s="7" t="s">
        <v>673</v>
      </c>
      <c r="E228" s="8" t="s">
        <v>242</v>
      </c>
      <c r="F228" s="9" t="s">
        <v>17</v>
      </c>
      <c r="G228" s="10">
        <v>3</v>
      </c>
      <c r="H228" s="11">
        <v>46194</v>
      </c>
      <c r="I228" s="12" t="s">
        <v>674</v>
      </c>
      <c r="J228" s="13" t="s">
        <v>19</v>
      </c>
      <c r="K228" s="14" t="str">
        <f>HYPERLINK("http://mpro.prangroup.com:4000/CreativeWorks/Edit/37444","Open")</f>
        <v>Open</v>
      </c>
      <c r="N228" s="3" t="s">
        <v>675</v>
      </c>
    </row>
    <row r="229" spans="1:14" ht="13.2">
      <c r="A229" s="4" t="s">
        <v>676</v>
      </c>
      <c r="B229" s="5" t="s">
        <v>197</v>
      </c>
      <c r="C229" s="6" t="s">
        <v>198</v>
      </c>
      <c r="D229" s="7" t="s">
        <v>677</v>
      </c>
      <c r="E229" s="8" t="s">
        <v>141</v>
      </c>
      <c r="F229" s="9" t="s">
        <v>17</v>
      </c>
      <c r="G229" s="10">
        <v>1</v>
      </c>
      <c r="H229" s="20"/>
      <c r="I229" s="12"/>
      <c r="J229" s="13" t="s">
        <v>590</v>
      </c>
      <c r="K229" s="19"/>
    </row>
    <row r="230" spans="1:14" ht="13.2">
      <c r="A230" s="4" t="s">
        <v>678</v>
      </c>
      <c r="B230" s="5" t="s">
        <v>60</v>
      </c>
      <c r="C230" s="6" t="s">
        <v>186</v>
      </c>
      <c r="D230" s="7" t="s">
        <v>679</v>
      </c>
      <c r="E230" s="8" t="s">
        <v>88</v>
      </c>
      <c r="F230" s="9" t="s">
        <v>17</v>
      </c>
      <c r="G230" s="10">
        <v>1</v>
      </c>
      <c r="H230" s="11">
        <v>46195</v>
      </c>
      <c r="I230" s="12" t="s">
        <v>680</v>
      </c>
      <c r="J230" s="13" t="s">
        <v>19</v>
      </c>
      <c r="K230" s="14" t="str">
        <f t="shared" ref="K230:K231" si="11">HYPERLINK("http://mpro.prangroup.com:4000/CreativeWorks/Edit/37546","Open")</f>
        <v>Open</v>
      </c>
    </row>
    <row r="231" spans="1:14" ht="13.2">
      <c r="A231" s="4" t="s">
        <v>681</v>
      </c>
      <c r="B231" s="5" t="s">
        <v>60</v>
      </c>
      <c r="C231" s="6" t="s">
        <v>186</v>
      </c>
      <c r="D231" s="7" t="s">
        <v>679</v>
      </c>
      <c r="E231" s="8" t="s">
        <v>88</v>
      </c>
      <c r="F231" s="9" t="s">
        <v>17</v>
      </c>
      <c r="G231" s="10">
        <v>1</v>
      </c>
      <c r="H231" s="11">
        <v>46195</v>
      </c>
      <c r="I231" s="12" t="s">
        <v>680</v>
      </c>
      <c r="J231" s="13" t="s">
        <v>19</v>
      </c>
      <c r="K231" s="14" t="str">
        <f t="shared" si="11"/>
        <v>Open</v>
      </c>
    </row>
    <row r="232" spans="1:14" ht="13.2">
      <c r="A232" s="4" t="s">
        <v>682</v>
      </c>
      <c r="B232" s="5" t="s">
        <v>32</v>
      </c>
      <c r="C232" s="6" t="s">
        <v>232</v>
      </c>
      <c r="D232" s="7" t="s">
        <v>683</v>
      </c>
      <c r="E232" s="8" t="s">
        <v>88</v>
      </c>
      <c r="F232" s="9" t="s">
        <v>17</v>
      </c>
      <c r="G232" s="10">
        <v>1</v>
      </c>
      <c r="H232" s="11">
        <v>46195</v>
      </c>
      <c r="I232" s="12" t="s">
        <v>684</v>
      </c>
      <c r="J232" s="13" t="s">
        <v>19</v>
      </c>
      <c r="K232" s="14" t="str">
        <f>HYPERLINK("http://mpro.prangroup.com:4000/CreativeWorks/Edit/37551","Open")</f>
        <v>Open</v>
      </c>
    </row>
    <row r="233" spans="1:14" ht="13.2">
      <c r="A233" s="4" t="s">
        <v>685</v>
      </c>
      <c r="B233" s="5" t="s">
        <v>41</v>
      </c>
      <c r="C233" s="6" t="s">
        <v>166</v>
      </c>
      <c r="D233" s="7" t="s">
        <v>686</v>
      </c>
      <c r="E233" s="8" t="s">
        <v>242</v>
      </c>
      <c r="F233" s="9" t="s">
        <v>17</v>
      </c>
      <c r="G233" s="10">
        <v>3</v>
      </c>
      <c r="H233" s="11">
        <v>46195</v>
      </c>
      <c r="I233" s="12" t="s">
        <v>687</v>
      </c>
      <c r="J233" s="13" t="s">
        <v>19</v>
      </c>
      <c r="K233" s="14" t="str">
        <f>HYPERLINK("http://mpro.prangroup.com:4000/CreativeWorks/Edit/38670","Open")</f>
        <v>Open</v>
      </c>
    </row>
    <row r="234" spans="1:14" ht="13.2">
      <c r="A234" s="4" t="s">
        <v>688</v>
      </c>
      <c r="B234" s="5" t="s">
        <v>32</v>
      </c>
      <c r="C234" s="6" t="s">
        <v>689</v>
      </c>
      <c r="D234" s="7" t="s">
        <v>690</v>
      </c>
      <c r="E234" s="8" t="s">
        <v>16</v>
      </c>
      <c r="F234" s="9" t="s">
        <v>17</v>
      </c>
      <c r="G234" s="10">
        <v>3</v>
      </c>
      <c r="H234" s="11">
        <v>46196</v>
      </c>
      <c r="I234" s="12" t="s">
        <v>691</v>
      </c>
      <c r="J234" s="13" t="s">
        <v>30</v>
      </c>
      <c r="K234" s="14" t="str">
        <f>HYPERLINK("http://mpro.prangroup.com:4000/CreativeWorks/Edit/37661","Open")</f>
        <v>Open</v>
      </c>
      <c r="L234" s="18">
        <v>46229</v>
      </c>
    </row>
    <row r="235" spans="1:14" ht="13.2">
      <c r="A235" s="4" t="s">
        <v>692</v>
      </c>
      <c r="B235" s="5" t="s">
        <v>185</v>
      </c>
      <c r="C235" s="6" t="s">
        <v>166</v>
      </c>
      <c r="D235" s="7" t="s">
        <v>693</v>
      </c>
      <c r="E235" s="8" t="s">
        <v>16</v>
      </c>
      <c r="F235" s="9" t="s">
        <v>17</v>
      </c>
      <c r="G235" s="10">
        <v>1</v>
      </c>
      <c r="H235" s="11">
        <v>46200</v>
      </c>
      <c r="I235" s="12" t="s">
        <v>694</v>
      </c>
      <c r="J235" s="13" t="s">
        <v>19</v>
      </c>
      <c r="K235" s="14" t="str">
        <f>HYPERLINK("http://mpro.prangroup.com:4000/CreativeWorks/Edit/38059","Open")</f>
        <v>Open</v>
      </c>
    </row>
    <row r="236" spans="1:14" ht="13.2">
      <c r="A236" s="4" t="s">
        <v>695</v>
      </c>
      <c r="B236" s="5" t="s">
        <v>32</v>
      </c>
      <c r="C236" s="6" t="s">
        <v>186</v>
      </c>
      <c r="D236" s="7" t="s">
        <v>696</v>
      </c>
      <c r="E236" s="8" t="s">
        <v>16</v>
      </c>
      <c r="F236" s="9" t="s">
        <v>17</v>
      </c>
      <c r="G236" s="10">
        <v>1</v>
      </c>
      <c r="H236" s="11">
        <v>46202</v>
      </c>
      <c r="I236" s="12" t="s">
        <v>697</v>
      </c>
      <c r="J236" s="13" t="s">
        <v>19</v>
      </c>
      <c r="K236" s="14" t="str">
        <f t="shared" ref="K236:K237" si="12">HYPERLINK("http://mpro.prangroup.com:4000/CreativeWorks/Edit/38368","Open")</f>
        <v>Open</v>
      </c>
    </row>
    <row r="237" spans="1:14" ht="13.2">
      <c r="A237" s="4" t="s">
        <v>695</v>
      </c>
      <c r="B237" s="5" t="s">
        <v>32</v>
      </c>
      <c r="C237" s="6" t="s">
        <v>186</v>
      </c>
      <c r="D237" s="7" t="s">
        <v>696</v>
      </c>
      <c r="E237" s="8" t="s">
        <v>589</v>
      </c>
      <c r="F237" s="9" t="s">
        <v>17</v>
      </c>
      <c r="G237" s="10">
        <v>1</v>
      </c>
      <c r="H237" s="11">
        <v>46202</v>
      </c>
      <c r="I237" s="12" t="s">
        <v>697</v>
      </c>
      <c r="J237" s="13" t="s">
        <v>19</v>
      </c>
      <c r="K237" s="14" t="str">
        <f t="shared" si="12"/>
        <v>Open</v>
      </c>
      <c r="M237" s="3" t="s">
        <v>675</v>
      </c>
    </row>
    <row r="238" spans="1:14" ht="13.2">
      <c r="A238" s="4" t="s">
        <v>698</v>
      </c>
      <c r="B238" s="5" t="s">
        <v>60</v>
      </c>
      <c r="C238" s="6" t="s">
        <v>78</v>
      </c>
      <c r="D238" s="7" t="s">
        <v>699</v>
      </c>
      <c r="E238" s="8" t="s">
        <v>16</v>
      </c>
      <c r="F238" s="9" t="s">
        <v>17</v>
      </c>
      <c r="G238" s="10">
        <v>4</v>
      </c>
      <c r="H238" s="11">
        <v>46209</v>
      </c>
      <c r="I238" s="12" t="s">
        <v>700</v>
      </c>
      <c r="J238" s="13" t="s">
        <v>19</v>
      </c>
      <c r="K238" s="14" t="str">
        <f t="shared" ref="K238:K239" si="13">HYPERLINK("http://mpro.prangroup.com:4000/CreativeWorks/Edit/39648","Open")</f>
        <v>Open</v>
      </c>
    </row>
    <row r="239" spans="1:14" ht="13.2">
      <c r="A239" s="4" t="s">
        <v>698</v>
      </c>
      <c r="B239" s="5" t="s">
        <v>60</v>
      </c>
      <c r="C239" s="6" t="s">
        <v>78</v>
      </c>
      <c r="D239" s="7" t="s">
        <v>699</v>
      </c>
      <c r="E239" s="8" t="s">
        <v>589</v>
      </c>
      <c r="F239" s="9" t="s">
        <v>17</v>
      </c>
      <c r="G239" s="10">
        <v>4</v>
      </c>
      <c r="H239" s="11">
        <v>46209</v>
      </c>
      <c r="I239" s="12" t="s">
        <v>700</v>
      </c>
      <c r="J239" s="13" t="s">
        <v>19</v>
      </c>
      <c r="K239" s="14" t="str">
        <f t="shared" si="13"/>
        <v>Open</v>
      </c>
    </row>
    <row r="240" spans="1:14" ht="13.2">
      <c r="A240" s="4" t="s">
        <v>701</v>
      </c>
      <c r="B240" s="5" t="s">
        <v>202</v>
      </c>
      <c r="C240" s="6" t="s">
        <v>203</v>
      </c>
      <c r="D240" s="7" t="s">
        <v>702</v>
      </c>
      <c r="E240" s="8" t="s">
        <v>88</v>
      </c>
      <c r="F240" s="9" t="s">
        <v>17</v>
      </c>
      <c r="G240" s="10">
        <v>3</v>
      </c>
      <c r="H240" s="11">
        <v>46204</v>
      </c>
      <c r="I240" s="12" t="s">
        <v>703</v>
      </c>
      <c r="J240" s="13" t="s">
        <v>30</v>
      </c>
      <c r="K240" s="14" t="str">
        <f>HYPERLINK("http://mpro.prangroup.com:4000/CreativeWorks/Edit/38852","Open")</f>
        <v>Open</v>
      </c>
    </row>
    <row r="241" spans="1:11" ht="13.2">
      <c r="A241" s="4" t="s">
        <v>704</v>
      </c>
      <c r="B241" s="5" t="s">
        <v>209</v>
      </c>
      <c r="C241" s="6" t="s">
        <v>228</v>
      </c>
      <c r="D241" s="7" t="s">
        <v>705</v>
      </c>
      <c r="E241" s="8" t="s">
        <v>88</v>
      </c>
      <c r="F241" s="9" t="s">
        <v>17</v>
      </c>
      <c r="G241" s="10">
        <v>6</v>
      </c>
      <c r="H241" s="11">
        <v>46205</v>
      </c>
      <c r="I241" s="12" t="s">
        <v>706</v>
      </c>
      <c r="J241" s="13" t="s">
        <v>19</v>
      </c>
      <c r="K241" s="14" t="str">
        <f>HYPERLINK("http://mpro.prangroup.com:4000/CreativeWorks/Edit/39073","Open")</f>
        <v>Open</v>
      </c>
    </row>
    <row r="242" spans="1:11" ht="13.2">
      <c r="A242" s="4" t="s">
        <v>443</v>
      </c>
      <c r="B242" s="5" t="s">
        <v>32</v>
      </c>
      <c r="C242" s="6" t="s">
        <v>689</v>
      </c>
      <c r="D242" s="7" t="s">
        <v>707</v>
      </c>
      <c r="E242" s="8" t="s">
        <v>16</v>
      </c>
      <c r="F242" s="9" t="s">
        <v>17</v>
      </c>
      <c r="G242" s="10">
        <v>1</v>
      </c>
      <c r="H242" s="11">
        <v>46207</v>
      </c>
      <c r="I242" s="12" t="s">
        <v>708</v>
      </c>
      <c r="J242" s="13" t="s">
        <v>48</v>
      </c>
      <c r="K242" s="14" t="str">
        <f>HYPERLINK("http://mpro.prangroup.com:4000/CreativeWorks/Edit/39309","Open")</f>
        <v>Open</v>
      </c>
    </row>
    <row r="243" spans="1:11" ht="13.2">
      <c r="A243" s="4" t="s">
        <v>709</v>
      </c>
      <c r="B243" s="5" t="s">
        <v>41</v>
      </c>
      <c r="C243" s="6" t="s">
        <v>232</v>
      </c>
      <c r="D243" s="7" t="s">
        <v>710</v>
      </c>
      <c r="E243" s="8" t="s">
        <v>88</v>
      </c>
      <c r="F243" s="9" t="s">
        <v>17</v>
      </c>
      <c r="G243" s="10">
        <v>4</v>
      </c>
      <c r="H243" s="11">
        <v>46210</v>
      </c>
      <c r="I243" s="12" t="s">
        <v>711</v>
      </c>
      <c r="J243" s="13" t="s">
        <v>19</v>
      </c>
      <c r="K243" s="14" t="str">
        <f>HYPERLINK("http://mpro.prangroup.com:4000/CreativeWorks/Edit/39754","Open")</f>
        <v>Open</v>
      </c>
    </row>
    <row r="244" spans="1:11" ht="13.2">
      <c r="A244" s="4" t="s">
        <v>712</v>
      </c>
      <c r="B244" s="5" t="s">
        <v>185</v>
      </c>
      <c r="C244" s="6" t="s">
        <v>166</v>
      </c>
      <c r="D244" s="7" t="s">
        <v>713</v>
      </c>
      <c r="E244" s="8" t="s">
        <v>88</v>
      </c>
      <c r="F244" s="9" t="s">
        <v>17</v>
      </c>
      <c r="G244" s="10">
        <v>2</v>
      </c>
      <c r="H244" s="11">
        <v>46208</v>
      </c>
      <c r="I244" s="12" t="s">
        <v>714</v>
      </c>
      <c r="J244" s="13" t="s">
        <v>19</v>
      </c>
      <c r="K244" s="14" t="str">
        <f>HYPERLINK("http://mpro.prangroup.com:4000/CreativeWorks/Edit/39419","Open")</f>
        <v>Open</v>
      </c>
    </row>
    <row r="245" spans="1:11" ht="13.2">
      <c r="A245" s="4" t="s">
        <v>715</v>
      </c>
      <c r="B245" s="16"/>
      <c r="C245" s="6" t="s">
        <v>275</v>
      </c>
      <c r="D245" s="7" t="s">
        <v>716</v>
      </c>
      <c r="E245" s="8" t="s">
        <v>505</v>
      </c>
      <c r="F245" s="9" t="s">
        <v>17</v>
      </c>
      <c r="G245" s="10">
        <v>5</v>
      </c>
      <c r="H245" s="11">
        <v>46208</v>
      </c>
      <c r="I245" s="21"/>
      <c r="J245" s="13" t="s">
        <v>19</v>
      </c>
      <c r="K245" s="19"/>
    </row>
    <row r="246" spans="1:11" ht="13.2">
      <c r="A246" s="4" t="s">
        <v>717</v>
      </c>
      <c r="B246" s="5" t="s">
        <v>217</v>
      </c>
      <c r="C246" s="6" t="s">
        <v>186</v>
      </c>
      <c r="D246" s="7" t="s">
        <v>718</v>
      </c>
      <c r="E246" s="8" t="s">
        <v>16</v>
      </c>
      <c r="F246" s="9" t="s">
        <v>17</v>
      </c>
      <c r="G246" s="10">
        <v>1</v>
      </c>
      <c r="H246" s="11">
        <v>46208</v>
      </c>
      <c r="I246" s="12" t="s">
        <v>719</v>
      </c>
      <c r="J246" s="13" t="s">
        <v>19</v>
      </c>
      <c r="K246" s="14" t="str">
        <f t="shared" ref="K246:K247" si="14">HYPERLINK("http://mpro.prangroup.com:4000/CreativeWorks/Edit/39657","Open")</f>
        <v>Open</v>
      </c>
    </row>
    <row r="247" spans="1:11" ht="13.2">
      <c r="A247" s="4" t="s">
        <v>720</v>
      </c>
      <c r="B247" s="5" t="s">
        <v>217</v>
      </c>
      <c r="C247" s="6" t="s">
        <v>186</v>
      </c>
      <c r="D247" s="7" t="s">
        <v>718</v>
      </c>
      <c r="E247" s="8" t="s">
        <v>16</v>
      </c>
      <c r="F247" s="9" t="s">
        <v>17</v>
      </c>
      <c r="G247" s="10">
        <v>1</v>
      </c>
      <c r="H247" s="11">
        <v>46208</v>
      </c>
      <c r="I247" s="12" t="s">
        <v>719</v>
      </c>
      <c r="J247" s="13" t="s">
        <v>19</v>
      </c>
      <c r="K247" s="14" t="str">
        <f t="shared" si="14"/>
        <v>Open</v>
      </c>
    </row>
    <row r="248" spans="1:11" ht="13.2">
      <c r="A248" s="4" t="s">
        <v>721</v>
      </c>
      <c r="B248" s="5" t="s">
        <v>60</v>
      </c>
      <c r="C248" s="6" t="s">
        <v>186</v>
      </c>
      <c r="D248" s="7" t="s">
        <v>722</v>
      </c>
      <c r="E248" s="8" t="s">
        <v>242</v>
      </c>
      <c r="F248" s="9" t="s">
        <v>17</v>
      </c>
      <c r="G248" s="10">
        <v>1</v>
      </c>
      <c r="H248" s="11">
        <v>46210</v>
      </c>
      <c r="I248" s="21"/>
      <c r="J248" s="13" t="s">
        <v>590</v>
      </c>
      <c r="K248" s="19"/>
    </row>
    <row r="249" spans="1:11" ht="13.2">
      <c r="A249" s="4" t="s">
        <v>723</v>
      </c>
      <c r="B249" s="5" t="s">
        <v>60</v>
      </c>
      <c r="C249" s="6" t="s">
        <v>186</v>
      </c>
      <c r="D249" s="7" t="s">
        <v>722</v>
      </c>
      <c r="E249" s="8" t="s">
        <v>16</v>
      </c>
      <c r="F249" s="9" t="s">
        <v>17</v>
      </c>
      <c r="G249" s="10">
        <v>1</v>
      </c>
      <c r="H249" s="11">
        <v>46210</v>
      </c>
      <c r="I249" s="21"/>
      <c r="J249" s="13" t="s">
        <v>590</v>
      </c>
      <c r="K249" s="19"/>
    </row>
    <row r="250" spans="1:11" ht="13.2">
      <c r="A250" s="4" t="s">
        <v>724</v>
      </c>
      <c r="B250" s="16"/>
      <c r="C250" s="6" t="s">
        <v>275</v>
      </c>
      <c r="D250" s="7" t="s">
        <v>725</v>
      </c>
      <c r="E250" s="8" t="s">
        <v>726</v>
      </c>
      <c r="F250" s="9" t="s">
        <v>17</v>
      </c>
      <c r="G250" s="10">
        <v>1</v>
      </c>
      <c r="H250" s="11">
        <v>46211</v>
      </c>
      <c r="I250" s="21"/>
      <c r="J250" s="13" t="s">
        <v>590</v>
      </c>
      <c r="K250" s="19"/>
    </row>
    <row r="251" spans="1:11" ht="13.2">
      <c r="A251" s="4" t="s">
        <v>727</v>
      </c>
      <c r="B251" s="5" t="s">
        <v>178</v>
      </c>
      <c r="C251" s="6" t="s">
        <v>186</v>
      </c>
      <c r="D251" s="7" t="s">
        <v>728</v>
      </c>
      <c r="E251" s="8" t="s">
        <v>16</v>
      </c>
      <c r="F251" s="9" t="s">
        <v>17</v>
      </c>
      <c r="G251" s="10">
        <v>6</v>
      </c>
      <c r="H251" s="11">
        <v>46211</v>
      </c>
      <c r="I251" s="21"/>
      <c r="J251" s="13" t="s">
        <v>590</v>
      </c>
      <c r="K251" s="19"/>
    </row>
    <row r="252" spans="1:11" ht="13.2">
      <c r="A252" s="22"/>
      <c r="B252" s="16"/>
      <c r="C252" s="23"/>
      <c r="D252" s="24"/>
      <c r="E252" s="25"/>
      <c r="F252" s="26"/>
      <c r="G252" s="27"/>
      <c r="H252" s="20"/>
      <c r="I252" s="12"/>
      <c r="J252" s="28"/>
      <c r="K252" s="19"/>
    </row>
    <row r="253" spans="1:11" ht="13.2">
      <c r="A253" s="22"/>
      <c r="B253" s="16"/>
      <c r="C253" s="23"/>
      <c r="D253" s="24"/>
      <c r="E253" s="25"/>
      <c r="F253" s="26"/>
      <c r="G253" s="27"/>
      <c r="H253" s="20"/>
      <c r="I253" s="21"/>
      <c r="J253" s="28"/>
      <c r="K253" s="19"/>
    </row>
    <row r="254" spans="1:11" ht="13.2">
      <c r="A254" s="22"/>
      <c r="B254" s="16"/>
      <c r="C254" s="23"/>
      <c r="D254" s="24"/>
      <c r="E254" s="25"/>
      <c r="F254" s="26"/>
      <c r="G254" s="27"/>
      <c r="H254" s="20"/>
      <c r="I254" s="21"/>
      <c r="J254" s="28"/>
      <c r="K254" s="19"/>
    </row>
    <row r="255" spans="1:11" ht="13.2">
      <c r="A255" s="22"/>
      <c r="B255" s="16"/>
      <c r="C255" s="23"/>
      <c r="D255" s="24"/>
      <c r="E255" s="25"/>
      <c r="F255" s="26"/>
      <c r="G255" s="27"/>
      <c r="H255" s="20"/>
      <c r="I255" s="21"/>
      <c r="J255" s="28"/>
      <c r="K255" s="19"/>
    </row>
    <row r="256" spans="1:11" ht="13.2">
      <c r="A256" s="22"/>
      <c r="B256" s="16"/>
      <c r="C256" s="23"/>
      <c r="D256" s="24"/>
      <c r="E256" s="25"/>
      <c r="F256" s="26"/>
      <c r="G256" s="27"/>
      <c r="H256" s="20"/>
      <c r="I256" s="21"/>
      <c r="J256" s="28"/>
      <c r="K256" s="19"/>
    </row>
    <row r="257" spans="1:11" ht="13.2">
      <c r="A257" s="22"/>
      <c r="B257" s="16"/>
      <c r="C257" s="23"/>
      <c r="D257" s="24"/>
      <c r="E257" s="25"/>
      <c r="F257" s="26"/>
      <c r="G257" s="27"/>
      <c r="H257" s="20"/>
      <c r="I257" s="21"/>
      <c r="J257" s="28"/>
      <c r="K257" s="19"/>
    </row>
    <row r="258" spans="1:11" ht="13.2">
      <c r="A258" s="22"/>
      <c r="B258" s="16"/>
      <c r="C258" s="23"/>
      <c r="D258" s="24"/>
      <c r="E258" s="25"/>
      <c r="F258" s="26"/>
      <c r="G258" s="27"/>
      <c r="H258" s="20"/>
      <c r="I258" s="21"/>
      <c r="J258" s="28"/>
      <c r="K258" s="19"/>
    </row>
    <row r="259" spans="1:11" ht="13.2">
      <c r="A259" s="22"/>
      <c r="B259" s="16"/>
      <c r="C259" s="23"/>
      <c r="D259" s="24"/>
      <c r="E259" s="25"/>
      <c r="F259" s="26"/>
      <c r="G259" s="27"/>
      <c r="H259" s="20"/>
      <c r="I259" s="21"/>
      <c r="J259" s="28"/>
      <c r="K259" s="19"/>
    </row>
    <row r="260" spans="1:11" ht="13.2">
      <c r="A260" s="22"/>
      <c r="B260" s="16"/>
      <c r="C260" s="23"/>
      <c r="D260" s="24"/>
      <c r="E260" s="25"/>
      <c r="F260" s="26"/>
      <c r="G260" s="27"/>
      <c r="H260" s="20"/>
      <c r="I260" s="21"/>
      <c r="J260" s="28"/>
      <c r="K260" s="19"/>
    </row>
    <row r="261" spans="1:11" ht="13.2">
      <c r="A261" s="22"/>
      <c r="B261" s="16"/>
      <c r="C261" s="23"/>
      <c r="D261" s="24"/>
      <c r="E261" s="25"/>
      <c r="F261" s="26"/>
      <c r="G261" s="27"/>
      <c r="H261" s="20"/>
      <c r="I261" s="21"/>
      <c r="J261" s="28"/>
      <c r="K261" s="19"/>
    </row>
    <row r="262" spans="1:11" ht="13.2">
      <c r="A262" s="22"/>
      <c r="B262" s="16"/>
      <c r="C262" s="23"/>
      <c r="D262" s="24"/>
      <c r="E262" s="25"/>
      <c r="F262" s="26"/>
      <c r="G262" s="27"/>
      <c r="H262" s="20"/>
      <c r="I262" s="21"/>
      <c r="J262" s="28"/>
      <c r="K262" s="19"/>
    </row>
    <row r="263" spans="1:11" ht="13.2">
      <c r="A263" s="22"/>
      <c r="B263" s="16"/>
      <c r="C263" s="23"/>
      <c r="D263" s="24"/>
      <c r="E263" s="25"/>
      <c r="F263" s="26"/>
      <c r="G263" s="27"/>
      <c r="H263" s="20"/>
      <c r="I263" s="21"/>
      <c r="J263" s="28"/>
      <c r="K263" s="19"/>
    </row>
    <row r="264" spans="1:11" ht="13.2">
      <c r="A264" s="22"/>
      <c r="B264" s="16"/>
      <c r="C264" s="23"/>
      <c r="D264" s="24"/>
      <c r="E264" s="25"/>
      <c r="F264" s="26"/>
      <c r="G264" s="27"/>
      <c r="H264" s="20"/>
      <c r="I264" s="21"/>
      <c r="J264" s="28"/>
      <c r="K264" s="19"/>
    </row>
    <row r="265" spans="1:11" ht="13.2">
      <c r="A265" s="22"/>
      <c r="B265" s="16"/>
      <c r="C265" s="23"/>
      <c r="D265" s="24"/>
      <c r="E265" s="25"/>
      <c r="F265" s="26"/>
      <c r="G265" s="27"/>
      <c r="H265" s="20"/>
      <c r="I265" s="21"/>
      <c r="J265" s="28"/>
      <c r="K265" s="19"/>
    </row>
    <row r="266" spans="1:11" ht="13.2">
      <c r="A266" s="22"/>
      <c r="B266" s="16"/>
      <c r="C266" s="23"/>
      <c r="D266" s="24"/>
      <c r="E266" s="25"/>
      <c r="F266" s="26"/>
      <c r="G266" s="27"/>
      <c r="H266" s="20"/>
      <c r="I266" s="21"/>
      <c r="J266" s="28"/>
      <c r="K266" s="19"/>
    </row>
    <row r="267" spans="1:11" ht="13.2">
      <c r="A267" s="22"/>
      <c r="B267" s="16"/>
      <c r="C267" s="23"/>
      <c r="D267" s="24"/>
      <c r="E267" s="25"/>
      <c r="F267" s="26"/>
      <c r="G267" s="27"/>
      <c r="H267" s="20"/>
      <c r="I267" s="21"/>
      <c r="J267" s="28"/>
      <c r="K267" s="19"/>
    </row>
    <row r="268" spans="1:11" ht="13.2">
      <c r="A268" s="22"/>
      <c r="B268" s="16"/>
      <c r="C268" s="23"/>
      <c r="D268" s="24"/>
      <c r="E268" s="25"/>
      <c r="F268" s="26"/>
      <c r="G268" s="27"/>
      <c r="H268" s="20"/>
      <c r="I268" s="21"/>
      <c r="J268" s="28"/>
      <c r="K268" s="19"/>
    </row>
    <row r="269" spans="1:11" ht="13.2">
      <c r="A269" s="22"/>
      <c r="B269" s="16"/>
      <c r="C269" s="23"/>
      <c r="D269" s="24"/>
      <c r="E269" s="25"/>
      <c r="F269" s="26"/>
      <c r="G269" s="27"/>
      <c r="H269" s="20"/>
      <c r="I269" s="21"/>
      <c r="J269" s="28"/>
      <c r="K269" s="19"/>
    </row>
    <row r="270" spans="1:11" ht="13.2">
      <c r="A270" s="22"/>
      <c r="B270" s="16"/>
      <c r="C270" s="23"/>
      <c r="D270" s="24"/>
      <c r="E270" s="25"/>
      <c r="F270" s="26"/>
      <c r="G270" s="27"/>
      <c r="H270" s="20"/>
      <c r="I270" s="21"/>
      <c r="J270" s="28"/>
      <c r="K270" s="19"/>
    </row>
    <row r="271" spans="1:11" ht="13.2">
      <c r="A271" s="22"/>
      <c r="B271" s="16"/>
      <c r="C271" s="23"/>
      <c r="D271" s="24"/>
      <c r="E271" s="25"/>
      <c r="F271" s="26"/>
      <c r="G271" s="27"/>
      <c r="H271" s="20"/>
      <c r="I271" s="21"/>
      <c r="J271" s="28"/>
      <c r="K271" s="19"/>
    </row>
    <row r="272" spans="1:11" ht="13.2">
      <c r="A272" s="22"/>
      <c r="B272" s="16"/>
      <c r="C272" s="23"/>
      <c r="D272" s="24"/>
      <c r="E272" s="25"/>
      <c r="F272" s="26"/>
      <c r="G272" s="27"/>
      <c r="H272" s="20"/>
      <c r="I272" s="21"/>
      <c r="J272" s="28"/>
      <c r="K272" s="19"/>
    </row>
    <row r="273" spans="1:11" ht="13.2">
      <c r="A273" s="22"/>
      <c r="B273" s="16"/>
      <c r="C273" s="23"/>
      <c r="D273" s="24"/>
      <c r="E273" s="25"/>
      <c r="F273" s="26"/>
      <c r="G273" s="27"/>
      <c r="H273" s="20"/>
      <c r="I273" s="21"/>
      <c r="J273" s="28"/>
      <c r="K273" s="19"/>
    </row>
    <row r="274" spans="1:11" ht="13.2">
      <c r="A274" s="22"/>
      <c r="B274" s="16"/>
      <c r="C274" s="23"/>
      <c r="D274" s="24"/>
      <c r="E274" s="25"/>
      <c r="F274" s="26"/>
      <c r="G274" s="27"/>
      <c r="H274" s="20"/>
      <c r="I274" s="21"/>
      <c r="J274" s="28"/>
      <c r="K274" s="19"/>
    </row>
    <row r="275" spans="1:11" ht="13.2">
      <c r="A275" s="22"/>
      <c r="B275" s="16"/>
      <c r="C275" s="23"/>
      <c r="D275" s="24"/>
      <c r="E275" s="25"/>
      <c r="F275" s="26"/>
      <c r="G275" s="27"/>
      <c r="H275" s="20"/>
      <c r="I275" s="21"/>
      <c r="J275" s="28"/>
      <c r="K275" s="19"/>
    </row>
    <row r="276" spans="1:11" ht="13.2">
      <c r="A276" s="22"/>
      <c r="B276" s="16"/>
      <c r="C276" s="23"/>
      <c r="D276" s="24"/>
      <c r="E276" s="25"/>
      <c r="F276" s="26"/>
      <c r="G276" s="27"/>
      <c r="H276" s="20"/>
      <c r="I276" s="21"/>
      <c r="J276" s="28"/>
      <c r="K276" s="19"/>
    </row>
    <row r="277" spans="1:11" ht="13.2">
      <c r="A277" s="22"/>
      <c r="B277" s="16"/>
      <c r="C277" s="23"/>
      <c r="D277" s="24"/>
      <c r="E277" s="25"/>
      <c r="F277" s="26"/>
      <c r="G277" s="27"/>
      <c r="H277" s="20"/>
      <c r="I277" s="21"/>
      <c r="J277" s="28"/>
      <c r="K277" s="19"/>
    </row>
    <row r="278" spans="1:11" ht="13.2">
      <c r="A278" s="22"/>
      <c r="B278" s="16"/>
      <c r="C278" s="23"/>
      <c r="D278" s="24"/>
      <c r="E278" s="25"/>
      <c r="F278" s="26"/>
      <c r="G278" s="27"/>
      <c r="H278" s="20"/>
      <c r="I278" s="21"/>
      <c r="J278" s="28"/>
      <c r="K278" s="19"/>
    </row>
    <row r="279" spans="1:11" ht="13.2">
      <c r="A279" s="22"/>
      <c r="B279" s="16"/>
      <c r="C279" s="23"/>
      <c r="D279" s="24"/>
      <c r="E279" s="25"/>
      <c r="F279" s="26"/>
      <c r="G279" s="27"/>
      <c r="H279" s="20"/>
      <c r="I279" s="21"/>
      <c r="J279" s="28"/>
      <c r="K279" s="19"/>
    </row>
    <row r="280" spans="1:11" ht="13.2">
      <c r="A280" s="22"/>
      <c r="B280" s="16"/>
      <c r="C280" s="23"/>
      <c r="D280" s="24"/>
      <c r="E280" s="25"/>
      <c r="F280" s="26"/>
      <c r="G280" s="27"/>
      <c r="H280" s="20"/>
      <c r="I280" s="21"/>
      <c r="J280" s="28"/>
      <c r="K280" s="19"/>
    </row>
    <row r="281" spans="1:11" ht="13.2">
      <c r="A281" s="22"/>
      <c r="B281" s="16"/>
      <c r="C281" s="23"/>
      <c r="D281" s="24"/>
      <c r="E281" s="25"/>
      <c r="F281" s="26"/>
      <c r="G281" s="27"/>
      <c r="H281" s="20"/>
      <c r="I281" s="21"/>
      <c r="J281" s="28"/>
      <c r="K281" s="19"/>
    </row>
    <row r="282" spans="1:11" ht="13.2">
      <c r="A282" s="22"/>
      <c r="B282" s="16"/>
      <c r="C282" s="23"/>
      <c r="D282" s="24"/>
      <c r="E282" s="25"/>
      <c r="F282" s="26"/>
      <c r="G282" s="27"/>
      <c r="H282" s="20"/>
      <c r="I282" s="21"/>
      <c r="J282" s="28"/>
      <c r="K282" s="19"/>
    </row>
    <row r="283" spans="1:11" ht="13.2">
      <c r="A283" s="22"/>
      <c r="B283" s="16"/>
      <c r="C283" s="23"/>
      <c r="D283" s="24"/>
      <c r="E283" s="25"/>
      <c r="F283" s="26"/>
      <c r="G283" s="27"/>
      <c r="H283" s="20"/>
      <c r="I283" s="21"/>
      <c r="J283" s="28"/>
      <c r="K283" s="19"/>
    </row>
    <row r="284" spans="1:11" ht="13.2">
      <c r="A284" s="22"/>
      <c r="B284" s="16"/>
      <c r="C284" s="23"/>
      <c r="D284" s="24"/>
      <c r="E284" s="25"/>
      <c r="F284" s="26"/>
      <c r="G284" s="27"/>
      <c r="H284" s="20"/>
      <c r="I284" s="21"/>
      <c r="J284" s="28"/>
      <c r="K284" s="19"/>
    </row>
    <row r="285" spans="1:11" ht="13.2">
      <c r="A285" s="22"/>
      <c r="B285" s="16"/>
      <c r="C285" s="23"/>
      <c r="D285" s="24"/>
      <c r="E285" s="25"/>
      <c r="F285" s="26"/>
      <c r="G285" s="27"/>
      <c r="H285" s="20"/>
      <c r="I285" s="21"/>
      <c r="J285" s="28"/>
      <c r="K285" s="19"/>
    </row>
    <row r="286" spans="1:11" ht="13.2">
      <c r="A286" s="22"/>
      <c r="B286" s="16"/>
      <c r="C286" s="23"/>
      <c r="D286" s="24"/>
      <c r="E286" s="25"/>
      <c r="F286" s="26"/>
      <c r="G286" s="27"/>
      <c r="H286" s="20"/>
      <c r="I286" s="21"/>
      <c r="J286" s="28"/>
      <c r="K286" s="19"/>
    </row>
    <row r="287" spans="1:11" ht="13.2">
      <c r="A287" s="22"/>
      <c r="B287" s="16"/>
      <c r="C287" s="23"/>
      <c r="D287" s="24"/>
      <c r="E287" s="25"/>
      <c r="F287" s="26"/>
      <c r="G287" s="27"/>
      <c r="H287" s="20"/>
      <c r="I287" s="21"/>
      <c r="J287" s="28"/>
      <c r="K287" s="19"/>
    </row>
    <row r="288" spans="1:11" ht="13.2">
      <c r="A288" s="22"/>
      <c r="B288" s="16"/>
      <c r="C288" s="23"/>
      <c r="D288" s="24"/>
      <c r="E288" s="25"/>
      <c r="F288" s="26"/>
      <c r="G288" s="27"/>
      <c r="H288" s="20"/>
      <c r="I288" s="21"/>
      <c r="J288" s="28"/>
      <c r="K288" s="19"/>
    </row>
    <row r="289" spans="1:11" ht="13.2">
      <c r="A289" s="22"/>
      <c r="B289" s="16"/>
      <c r="C289" s="23"/>
      <c r="D289" s="24"/>
      <c r="E289" s="25"/>
      <c r="F289" s="26"/>
      <c r="G289" s="27"/>
      <c r="H289" s="20"/>
      <c r="I289" s="21"/>
      <c r="J289" s="28"/>
      <c r="K289" s="19"/>
    </row>
    <row r="290" spans="1:11" ht="13.2">
      <c r="A290" s="22"/>
      <c r="B290" s="16"/>
      <c r="C290" s="23"/>
      <c r="D290" s="24"/>
      <c r="E290" s="25"/>
      <c r="F290" s="26"/>
      <c r="G290" s="27"/>
      <c r="H290" s="20"/>
      <c r="I290" s="21"/>
      <c r="J290" s="28"/>
      <c r="K290" s="19"/>
    </row>
    <row r="291" spans="1:11" ht="13.2">
      <c r="A291" s="22"/>
      <c r="B291" s="16"/>
      <c r="C291" s="23"/>
      <c r="D291" s="24"/>
      <c r="E291" s="25"/>
      <c r="F291" s="26"/>
      <c r="G291" s="27"/>
      <c r="H291" s="20"/>
      <c r="I291" s="21"/>
      <c r="J291" s="28"/>
      <c r="K291" s="19"/>
    </row>
    <row r="292" spans="1:11" ht="13.2">
      <c r="A292" s="22"/>
      <c r="B292" s="16"/>
      <c r="C292" s="23"/>
      <c r="D292" s="24"/>
      <c r="E292" s="25"/>
      <c r="F292" s="26"/>
      <c r="G292" s="27"/>
      <c r="H292" s="20"/>
      <c r="I292" s="21"/>
      <c r="J292" s="28"/>
      <c r="K292" s="19"/>
    </row>
    <row r="293" spans="1:11" ht="13.2">
      <c r="A293" s="22"/>
      <c r="B293" s="16"/>
      <c r="C293" s="23"/>
      <c r="D293" s="24"/>
      <c r="E293" s="25"/>
      <c r="F293" s="26"/>
      <c r="G293" s="27"/>
      <c r="H293" s="20"/>
      <c r="I293" s="21"/>
      <c r="J293" s="28"/>
      <c r="K293" s="19"/>
    </row>
    <row r="294" spans="1:11" ht="13.2">
      <c r="A294" s="22"/>
      <c r="B294" s="16"/>
      <c r="C294" s="23"/>
      <c r="D294" s="24"/>
      <c r="E294" s="25"/>
      <c r="F294" s="26"/>
      <c r="G294" s="27"/>
      <c r="H294" s="20"/>
      <c r="I294" s="21"/>
      <c r="J294" s="28"/>
      <c r="K294" s="19"/>
    </row>
    <row r="295" spans="1:11" ht="13.2">
      <c r="A295" s="22"/>
      <c r="B295" s="16"/>
      <c r="C295" s="23"/>
      <c r="D295" s="24"/>
      <c r="E295" s="25"/>
      <c r="F295" s="26"/>
      <c r="G295" s="27"/>
      <c r="H295" s="20"/>
      <c r="I295" s="21"/>
      <c r="J295" s="28"/>
      <c r="K295" s="19"/>
    </row>
    <row r="296" spans="1:11" ht="13.2">
      <c r="A296" s="22"/>
      <c r="B296" s="16"/>
      <c r="C296" s="23"/>
      <c r="D296" s="24"/>
      <c r="E296" s="25"/>
      <c r="F296" s="26"/>
      <c r="G296" s="27"/>
      <c r="H296" s="20"/>
      <c r="I296" s="21"/>
      <c r="J296" s="28"/>
      <c r="K296" s="19"/>
    </row>
    <row r="297" spans="1:11" ht="13.2">
      <c r="A297" s="22"/>
      <c r="B297" s="16"/>
      <c r="C297" s="23"/>
      <c r="D297" s="24"/>
      <c r="E297" s="25"/>
      <c r="F297" s="26"/>
      <c r="G297" s="27"/>
      <c r="H297" s="20"/>
      <c r="I297" s="21"/>
      <c r="J297" s="28"/>
      <c r="K297" s="19"/>
    </row>
    <row r="298" spans="1:11" ht="13.2">
      <c r="A298" s="22"/>
      <c r="B298" s="16"/>
      <c r="C298" s="23"/>
      <c r="D298" s="24"/>
      <c r="E298" s="25"/>
      <c r="F298" s="26"/>
      <c r="G298" s="27"/>
      <c r="H298" s="20"/>
      <c r="I298" s="21"/>
      <c r="J298" s="28"/>
      <c r="K298" s="19"/>
    </row>
    <row r="299" spans="1:11" ht="13.2">
      <c r="A299" s="22"/>
      <c r="B299" s="16"/>
      <c r="C299" s="23"/>
      <c r="D299" s="24"/>
      <c r="E299" s="25"/>
      <c r="F299" s="26"/>
      <c r="G299" s="27"/>
      <c r="H299" s="20"/>
      <c r="I299" s="21"/>
      <c r="J299" s="28"/>
      <c r="K299" s="19"/>
    </row>
    <row r="300" spans="1:11" ht="13.2">
      <c r="A300" s="22"/>
      <c r="B300" s="16"/>
      <c r="C300" s="23"/>
      <c r="D300" s="24"/>
      <c r="E300" s="25"/>
      <c r="F300" s="26"/>
      <c r="G300" s="27"/>
      <c r="H300" s="20"/>
      <c r="I300" s="21"/>
      <c r="J300" s="28"/>
      <c r="K300" s="19"/>
    </row>
    <row r="301" spans="1:11" ht="13.2">
      <c r="A301" s="22"/>
      <c r="B301" s="16"/>
      <c r="C301" s="23"/>
      <c r="D301" s="24"/>
      <c r="E301" s="25"/>
      <c r="F301" s="26"/>
      <c r="G301" s="27"/>
      <c r="H301" s="20"/>
      <c r="I301" s="21"/>
      <c r="J301" s="28"/>
      <c r="K301" s="19"/>
    </row>
    <row r="302" spans="1:11" ht="13.2">
      <c r="A302" s="22"/>
      <c r="B302" s="16"/>
      <c r="C302" s="23"/>
      <c r="D302" s="24"/>
      <c r="E302" s="25"/>
      <c r="F302" s="26"/>
      <c r="G302" s="27"/>
      <c r="H302" s="20"/>
      <c r="I302" s="21"/>
      <c r="J302" s="28"/>
      <c r="K302" s="19"/>
    </row>
    <row r="303" spans="1:11" ht="13.2">
      <c r="A303" s="22"/>
      <c r="B303" s="16"/>
      <c r="C303" s="23"/>
      <c r="D303" s="24"/>
      <c r="E303" s="25"/>
      <c r="F303" s="26"/>
      <c r="G303" s="27"/>
      <c r="H303" s="20"/>
      <c r="I303" s="21"/>
      <c r="J303" s="28"/>
      <c r="K303" s="19"/>
    </row>
    <row r="304" spans="1:11" ht="13.2">
      <c r="A304" s="22"/>
      <c r="B304" s="16"/>
      <c r="C304" s="23"/>
      <c r="D304" s="24"/>
      <c r="E304" s="25"/>
      <c r="F304" s="26"/>
      <c r="G304" s="27"/>
      <c r="H304" s="20"/>
      <c r="I304" s="21"/>
      <c r="J304" s="28"/>
      <c r="K304" s="19"/>
    </row>
    <row r="305" spans="1:11" ht="13.2">
      <c r="A305" s="22"/>
      <c r="B305" s="16"/>
      <c r="C305" s="23"/>
      <c r="D305" s="24"/>
      <c r="E305" s="25"/>
      <c r="F305" s="26"/>
      <c r="G305" s="27"/>
      <c r="H305" s="20"/>
      <c r="I305" s="21"/>
      <c r="J305" s="28"/>
      <c r="K305" s="19"/>
    </row>
    <row r="306" spans="1:11" ht="13.2">
      <c r="A306" s="22"/>
      <c r="B306" s="16"/>
      <c r="C306" s="23"/>
      <c r="D306" s="24"/>
      <c r="E306" s="25"/>
      <c r="F306" s="26"/>
      <c r="G306" s="27"/>
      <c r="H306" s="20"/>
      <c r="I306" s="21"/>
      <c r="J306" s="28"/>
      <c r="K306" s="19"/>
    </row>
    <row r="307" spans="1:11" ht="13.2">
      <c r="A307" s="22"/>
      <c r="B307" s="16"/>
      <c r="C307" s="23"/>
      <c r="D307" s="24"/>
      <c r="E307" s="25"/>
      <c r="F307" s="26"/>
      <c r="G307" s="27"/>
      <c r="H307" s="20"/>
      <c r="I307" s="21"/>
      <c r="J307" s="28"/>
      <c r="K307" s="19"/>
    </row>
    <row r="308" spans="1:11" ht="13.2">
      <c r="A308" s="22"/>
      <c r="B308" s="16"/>
      <c r="C308" s="23"/>
      <c r="D308" s="24"/>
      <c r="E308" s="25"/>
      <c r="F308" s="26"/>
      <c r="G308" s="27"/>
      <c r="H308" s="20"/>
      <c r="I308" s="21"/>
      <c r="J308" s="28"/>
      <c r="K308" s="19"/>
    </row>
    <row r="309" spans="1:11" ht="13.2">
      <c r="A309" s="22"/>
      <c r="B309" s="16"/>
      <c r="C309" s="23"/>
      <c r="D309" s="24"/>
      <c r="E309" s="25"/>
      <c r="F309" s="26"/>
      <c r="G309" s="27"/>
      <c r="H309" s="20"/>
      <c r="I309" s="21"/>
      <c r="J309" s="28"/>
      <c r="K309" s="19"/>
    </row>
    <row r="310" spans="1:11" ht="13.2">
      <c r="A310" s="22"/>
      <c r="B310" s="16"/>
      <c r="C310" s="23"/>
      <c r="D310" s="24"/>
      <c r="E310" s="25"/>
      <c r="F310" s="26"/>
      <c r="G310" s="27"/>
      <c r="H310" s="20"/>
      <c r="I310" s="21"/>
      <c r="J310" s="28"/>
      <c r="K310" s="19"/>
    </row>
    <row r="311" spans="1:11" ht="13.2">
      <c r="A311" s="22"/>
      <c r="B311" s="16"/>
      <c r="C311" s="23"/>
      <c r="D311" s="24"/>
      <c r="E311" s="25"/>
      <c r="F311" s="26"/>
      <c r="G311" s="27"/>
      <c r="H311" s="20"/>
      <c r="I311" s="21"/>
      <c r="J311" s="28"/>
      <c r="K311" s="19"/>
    </row>
    <row r="312" spans="1:11" ht="13.2">
      <c r="A312" s="22"/>
      <c r="B312" s="16"/>
      <c r="C312" s="23"/>
      <c r="D312" s="24"/>
      <c r="E312" s="25"/>
      <c r="F312" s="26"/>
      <c r="G312" s="27"/>
      <c r="H312" s="20"/>
      <c r="I312" s="21"/>
      <c r="J312" s="28"/>
      <c r="K312" s="19"/>
    </row>
    <row r="313" spans="1:11" ht="13.2">
      <c r="A313" s="22"/>
      <c r="B313" s="16"/>
      <c r="C313" s="23"/>
      <c r="D313" s="24"/>
      <c r="E313" s="25"/>
      <c r="F313" s="26"/>
      <c r="G313" s="27"/>
      <c r="H313" s="20"/>
      <c r="I313" s="21"/>
      <c r="J313" s="28"/>
      <c r="K313" s="19"/>
    </row>
    <row r="314" spans="1:11" ht="13.2">
      <c r="A314" s="22"/>
      <c r="B314" s="16"/>
      <c r="C314" s="23"/>
      <c r="D314" s="24"/>
      <c r="E314" s="25"/>
      <c r="F314" s="26"/>
      <c r="G314" s="27"/>
      <c r="H314" s="20"/>
      <c r="I314" s="21"/>
      <c r="J314" s="28"/>
      <c r="K314" s="19"/>
    </row>
    <row r="315" spans="1:11" ht="13.2">
      <c r="A315" s="22"/>
      <c r="B315" s="16"/>
      <c r="C315" s="23"/>
      <c r="D315" s="24"/>
      <c r="E315" s="25"/>
      <c r="F315" s="26"/>
      <c r="G315" s="27"/>
      <c r="H315" s="20"/>
      <c r="I315" s="21"/>
      <c r="J315" s="28"/>
      <c r="K315" s="19"/>
    </row>
    <row r="316" spans="1:11" ht="13.2">
      <c r="A316" s="22"/>
      <c r="B316" s="16"/>
      <c r="C316" s="23"/>
      <c r="D316" s="24"/>
      <c r="E316" s="25"/>
      <c r="F316" s="26"/>
      <c r="G316" s="27"/>
      <c r="H316" s="20"/>
      <c r="I316" s="21"/>
      <c r="J316" s="28"/>
      <c r="K316" s="19"/>
    </row>
    <row r="317" spans="1:11" ht="13.2">
      <c r="A317" s="22"/>
      <c r="B317" s="16"/>
      <c r="C317" s="23"/>
      <c r="D317" s="24"/>
      <c r="E317" s="25"/>
      <c r="F317" s="26"/>
      <c r="G317" s="27"/>
      <c r="H317" s="20"/>
      <c r="I317" s="21"/>
      <c r="J317" s="28"/>
      <c r="K317" s="19"/>
    </row>
    <row r="318" spans="1:11" ht="13.2">
      <c r="A318" s="22"/>
      <c r="B318" s="16"/>
      <c r="C318" s="23"/>
      <c r="D318" s="24"/>
      <c r="E318" s="25"/>
      <c r="F318" s="26"/>
      <c r="G318" s="27"/>
      <c r="H318" s="20"/>
      <c r="I318" s="21"/>
      <c r="J318" s="28"/>
      <c r="K318" s="19"/>
    </row>
    <row r="319" spans="1:11" ht="13.2">
      <c r="A319" s="22"/>
      <c r="B319" s="16"/>
      <c r="C319" s="23"/>
      <c r="D319" s="24"/>
      <c r="E319" s="25"/>
      <c r="F319" s="26"/>
      <c r="G319" s="27"/>
      <c r="H319" s="20"/>
      <c r="I319" s="21"/>
      <c r="J319" s="28"/>
      <c r="K319" s="19"/>
    </row>
    <row r="320" spans="1:11" ht="13.2">
      <c r="A320" s="22"/>
      <c r="B320" s="16"/>
      <c r="C320" s="23"/>
      <c r="D320" s="24"/>
      <c r="E320" s="25"/>
      <c r="F320" s="26"/>
      <c r="G320" s="27"/>
      <c r="H320" s="20"/>
      <c r="I320" s="21"/>
      <c r="J320" s="28"/>
      <c r="K320" s="19"/>
    </row>
    <row r="321" spans="1:11" ht="13.2">
      <c r="A321" s="22"/>
      <c r="B321" s="16"/>
      <c r="C321" s="23"/>
      <c r="D321" s="24"/>
      <c r="E321" s="25"/>
      <c r="F321" s="26"/>
      <c r="G321" s="27"/>
      <c r="H321" s="20"/>
      <c r="I321" s="21"/>
      <c r="J321" s="28"/>
      <c r="K321" s="19"/>
    </row>
    <row r="322" spans="1:11" ht="13.2">
      <c r="A322" s="22"/>
      <c r="B322" s="16"/>
      <c r="C322" s="23"/>
      <c r="D322" s="24"/>
      <c r="E322" s="25"/>
      <c r="F322" s="26"/>
      <c r="G322" s="27"/>
      <c r="H322" s="20"/>
      <c r="I322" s="21"/>
      <c r="J322" s="28"/>
      <c r="K322" s="19"/>
    </row>
    <row r="323" spans="1:11" ht="13.2">
      <c r="A323" s="22"/>
      <c r="B323" s="16"/>
      <c r="C323" s="23"/>
      <c r="D323" s="24"/>
      <c r="E323" s="25"/>
      <c r="F323" s="26"/>
      <c r="G323" s="27"/>
      <c r="H323" s="20"/>
      <c r="I323" s="21"/>
      <c r="J323" s="28"/>
      <c r="K323" s="19"/>
    </row>
    <row r="324" spans="1:11" ht="13.2">
      <c r="A324" s="22"/>
      <c r="B324" s="16"/>
      <c r="C324" s="23"/>
      <c r="D324" s="24"/>
      <c r="E324" s="25"/>
      <c r="F324" s="26"/>
      <c r="G324" s="27"/>
      <c r="H324" s="20"/>
      <c r="I324" s="21"/>
      <c r="J324" s="28"/>
      <c r="K324" s="19"/>
    </row>
    <row r="325" spans="1:11" ht="13.2">
      <c r="A325" s="22"/>
      <c r="B325" s="16"/>
      <c r="C325" s="23"/>
      <c r="D325" s="24"/>
      <c r="E325" s="25"/>
      <c r="F325" s="26"/>
      <c r="G325" s="27"/>
      <c r="H325" s="20"/>
      <c r="I325" s="21"/>
      <c r="J325" s="28"/>
      <c r="K325" s="19"/>
    </row>
    <row r="326" spans="1:11" ht="13.2">
      <c r="A326" s="22"/>
      <c r="B326" s="16"/>
      <c r="C326" s="23"/>
      <c r="D326" s="24"/>
      <c r="E326" s="25"/>
      <c r="F326" s="26"/>
      <c r="G326" s="27"/>
      <c r="H326" s="20"/>
      <c r="I326" s="21"/>
      <c r="J326" s="28"/>
      <c r="K326" s="19"/>
    </row>
    <row r="327" spans="1:11" ht="13.2">
      <c r="A327" s="22"/>
      <c r="B327" s="16"/>
      <c r="C327" s="23"/>
      <c r="D327" s="24"/>
      <c r="E327" s="25"/>
      <c r="F327" s="26"/>
      <c r="G327" s="27"/>
      <c r="H327" s="20"/>
      <c r="I327" s="21"/>
      <c r="J327" s="28"/>
      <c r="K327" s="19"/>
    </row>
    <row r="328" spans="1:11" ht="13.2">
      <c r="A328" s="22"/>
      <c r="B328" s="16"/>
      <c r="C328" s="23"/>
      <c r="D328" s="24"/>
      <c r="E328" s="25"/>
      <c r="F328" s="26"/>
      <c r="G328" s="27"/>
      <c r="H328" s="20"/>
      <c r="I328" s="21"/>
      <c r="J328" s="28"/>
      <c r="K328" s="19"/>
    </row>
    <row r="329" spans="1:11" ht="13.2">
      <c r="A329" s="22"/>
      <c r="B329" s="16"/>
      <c r="C329" s="23"/>
      <c r="D329" s="24"/>
      <c r="E329" s="25"/>
      <c r="F329" s="26"/>
      <c r="G329" s="27"/>
      <c r="H329" s="20"/>
      <c r="I329" s="21"/>
      <c r="J329" s="28"/>
      <c r="K329" s="19"/>
    </row>
    <row r="330" spans="1:11" ht="13.2">
      <c r="A330" s="22"/>
      <c r="B330" s="16"/>
      <c r="C330" s="23"/>
      <c r="D330" s="24"/>
      <c r="E330" s="25"/>
      <c r="F330" s="26"/>
      <c r="G330" s="27"/>
      <c r="H330" s="20"/>
      <c r="I330" s="21"/>
      <c r="J330" s="28"/>
      <c r="K330" s="19"/>
    </row>
    <row r="331" spans="1:11" ht="13.2">
      <c r="A331" s="22"/>
      <c r="B331" s="16"/>
      <c r="C331" s="23"/>
      <c r="D331" s="24"/>
      <c r="E331" s="25"/>
      <c r="F331" s="26"/>
      <c r="G331" s="27"/>
      <c r="H331" s="20"/>
      <c r="I331" s="21"/>
      <c r="J331" s="28"/>
      <c r="K331" s="19"/>
    </row>
    <row r="332" spans="1:11" ht="13.2">
      <c r="A332" s="22"/>
      <c r="B332" s="16"/>
      <c r="C332" s="23"/>
      <c r="D332" s="24"/>
      <c r="E332" s="25"/>
      <c r="F332" s="26"/>
      <c r="G332" s="27"/>
      <c r="H332" s="20"/>
      <c r="I332" s="21"/>
      <c r="J332" s="28"/>
      <c r="K332" s="19"/>
    </row>
    <row r="333" spans="1:11" ht="13.2">
      <c r="A333" s="22"/>
      <c r="B333" s="16"/>
      <c r="C333" s="23"/>
      <c r="D333" s="24"/>
      <c r="E333" s="25"/>
      <c r="F333" s="26"/>
      <c r="G333" s="27"/>
      <c r="H333" s="20"/>
      <c r="I333" s="21"/>
      <c r="J333" s="28"/>
      <c r="K333" s="19"/>
    </row>
    <row r="334" spans="1:11" ht="13.2">
      <c r="A334" s="22"/>
      <c r="B334" s="16"/>
      <c r="C334" s="23"/>
      <c r="D334" s="24"/>
      <c r="E334" s="25"/>
      <c r="F334" s="26"/>
      <c r="G334" s="27"/>
      <c r="H334" s="20"/>
      <c r="I334" s="21"/>
      <c r="J334" s="28"/>
      <c r="K334" s="19"/>
    </row>
    <row r="335" spans="1:11" ht="13.2">
      <c r="A335" s="22"/>
      <c r="B335" s="16"/>
      <c r="C335" s="23"/>
      <c r="D335" s="24"/>
      <c r="E335" s="25"/>
      <c r="F335" s="26"/>
      <c r="G335" s="27"/>
      <c r="H335" s="20"/>
      <c r="I335" s="21"/>
      <c r="J335" s="28"/>
      <c r="K335" s="19"/>
    </row>
    <row r="336" spans="1:11" ht="13.2">
      <c r="A336" s="22"/>
      <c r="B336" s="16"/>
      <c r="C336" s="23"/>
      <c r="D336" s="24"/>
      <c r="E336" s="25"/>
      <c r="F336" s="26"/>
      <c r="G336" s="27"/>
      <c r="H336" s="20"/>
      <c r="I336" s="21"/>
      <c r="J336" s="28"/>
      <c r="K336" s="19"/>
    </row>
    <row r="337" spans="1:11" ht="13.2">
      <c r="A337" s="22"/>
      <c r="B337" s="16"/>
      <c r="C337" s="23"/>
      <c r="D337" s="24"/>
      <c r="E337" s="25"/>
      <c r="F337" s="26"/>
      <c r="G337" s="27"/>
      <c r="H337" s="20"/>
      <c r="I337" s="21"/>
      <c r="J337" s="28"/>
      <c r="K337" s="19"/>
    </row>
    <row r="338" spans="1:11" ht="13.2">
      <c r="A338" s="22"/>
      <c r="B338" s="16"/>
      <c r="C338" s="23"/>
      <c r="D338" s="24"/>
      <c r="E338" s="25"/>
      <c r="F338" s="26"/>
      <c r="G338" s="27"/>
      <c r="H338" s="20"/>
      <c r="I338" s="21"/>
      <c r="J338" s="28"/>
      <c r="K338" s="19"/>
    </row>
    <row r="339" spans="1:11" ht="13.2">
      <c r="A339" s="22"/>
      <c r="B339" s="16"/>
      <c r="C339" s="23"/>
      <c r="D339" s="24"/>
      <c r="E339" s="25"/>
      <c r="F339" s="26"/>
      <c r="G339" s="27"/>
      <c r="H339" s="20"/>
      <c r="I339" s="21"/>
      <c r="J339" s="28"/>
      <c r="K339" s="19"/>
    </row>
    <row r="340" spans="1:11" ht="13.2">
      <c r="A340" s="22"/>
      <c r="B340" s="16"/>
      <c r="C340" s="23"/>
      <c r="D340" s="24"/>
      <c r="E340" s="25"/>
      <c r="F340" s="26"/>
      <c r="G340" s="27"/>
      <c r="H340" s="20"/>
      <c r="I340" s="21"/>
      <c r="J340" s="28"/>
      <c r="K340" s="19"/>
    </row>
    <row r="341" spans="1:11" ht="13.2">
      <c r="A341" s="22"/>
      <c r="B341" s="16"/>
      <c r="C341" s="23"/>
      <c r="D341" s="24"/>
      <c r="E341" s="25"/>
      <c r="F341" s="26"/>
      <c r="G341" s="27"/>
      <c r="H341" s="20"/>
      <c r="I341" s="21"/>
      <c r="J341" s="28"/>
      <c r="K341" s="19"/>
    </row>
    <row r="342" spans="1:11" ht="13.2">
      <c r="A342" s="22"/>
      <c r="B342" s="16"/>
      <c r="C342" s="23"/>
      <c r="D342" s="24"/>
      <c r="E342" s="25"/>
      <c r="F342" s="26"/>
      <c r="G342" s="27"/>
      <c r="H342" s="20"/>
      <c r="I342" s="21"/>
      <c r="J342" s="28"/>
      <c r="K342" s="19"/>
    </row>
    <row r="343" spans="1:11" ht="13.2">
      <c r="A343" s="22"/>
      <c r="B343" s="16"/>
      <c r="C343" s="23"/>
      <c r="D343" s="24"/>
      <c r="E343" s="25"/>
      <c r="F343" s="26"/>
      <c r="G343" s="27"/>
      <c r="H343" s="20"/>
      <c r="I343" s="21"/>
      <c r="J343" s="28"/>
      <c r="K343" s="19"/>
    </row>
    <row r="344" spans="1:11" ht="13.2">
      <c r="A344" s="22"/>
      <c r="B344" s="16"/>
      <c r="C344" s="23"/>
      <c r="D344" s="24"/>
      <c r="E344" s="25"/>
      <c r="F344" s="26"/>
      <c r="G344" s="27"/>
      <c r="H344" s="20"/>
      <c r="I344" s="21"/>
      <c r="J344" s="28"/>
      <c r="K344" s="19"/>
    </row>
    <row r="345" spans="1:11" ht="13.2">
      <c r="A345" s="22"/>
      <c r="B345" s="16"/>
      <c r="C345" s="23"/>
      <c r="D345" s="24"/>
      <c r="E345" s="25"/>
      <c r="F345" s="26"/>
      <c r="G345" s="27"/>
      <c r="H345" s="20"/>
      <c r="I345" s="21"/>
      <c r="J345" s="28"/>
      <c r="K345" s="19"/>
    </row>
    <row r="346" spans="1:11" ht="13.2">
      <c r="A346" s="22"/>
      <c r="B346" s="16"/>
      <c r="C346" s="23"/>
      <c r="D346" s="24"/>
      <c r="E346" s="25"/>
      <c r="F346" s="26"/>
      <c r="G346" s="27"/>
      <c r="H346" s="20"/>
      <c r="I346" s="21"/>
      <c r="J346" s="28"/>
      <c r="K346" s="19"/>
    </row>
    <row r="347" spans="1:11" ht="13.2">
      <c r="A347" s="22"/>
      <c r="B347" s="16"/>
      <c r="C347" s="23"/>
      <c r="D347" s="24"/>
      <c r="E347" s="25"/>
      <c r="F347" s="26"/>
      <c r="G347" s="27"/>
      <c r="H347" s="20"/>
      <c r="I347" s="21"/>
      <c r="J347" s="28"/>
      <c r="K347" s="19"/>
    </row>
    <row r="348" spans="1:11" ht="13.2">
      <c r="A348" s="22"/>
      <c r="B348" s="16"/>
      <c r="C348" s="23"/>
      <c r="D348" s="24"/>
      <c r="E348" s="25"/>
      <c r="F348" s="26"/>
      <c r="G348" s="27"/>
      <c r="H348" s="20"/>
      <c r="I348" s="21"/>
      <c r="J348" s="28"/>
      <c r="K348" s="19"/>
    </row>
    <row r="349" spans="1:11" ht="13.2">
      <c r="A349" s="22"/>
      <c r="B349" s="16"/>
      <c r="C349" s="23"/>
      <c r="D349" s="24"/>
      <c r="E349" s="25"/>
      <c r="F349" s="26"/>
      <c r="G349" s="27"/>
      <c r="H349" s="20"/>
      <c r="I349" s="21"/>
      <c r="J349" s="28"/>
      <c r="K349" s="19"/>
    </row>
    <row r="350" spans="1:11" ht="13.2">
      <c r="A350" s="22"/>
      <c r="B350" s="16"/>
      <c r="C350" s="23"/>
      <c r="D350" s="24"/>
      <c r="E350" s="25"/>
      <c r="F350" s="26"/>
      <c r="G350" s="27"/>
      <c r="H350" s="20"/>
      <c r="I350" s="21"/>
      <c r="J350" s="28"/>
      <c r="K350" s="19"/>
    </row>
    <row r="351" spans="1:11" ht="13.2">
      <c r="A351" s="22"/>
      <c r="B351" s="16"/>
      <c r="C351" s="23"/>
      <c r="D351" s="24"/>
      <c r="E351" s="25"/>
      <c r="F351" s="26"/>
      <c r="G351" s="27"/>
      <c r="H351" s="20"/>
      <c r="I351" s="21"/>
      <c r="J351" s="28"/>
      <c r="K351" s="19"/>
    </row>
    <row r="352" spans="1:11" ht="13.2">
      <c r="A352" s="22"/>
      <c r="B352" s="16"/>
      <c r="C352" s="23"/>
      <c r="D352" s="24"/>
      <c r="E352" s="25"/>
      <c r="F352" s="26"/>
      <c r="G352" s="27"/>
      <c r="H352" s="20"/>
      <c r="I352" s="21"/>
      <c r="J352" s="28"/>
      <c r="K352" s="19"/>
    </row>
    <row r="353" spans="1:11" ht="13.2">
      <c r="A353" s="22"/>
      <c r="B353" s="16"/>
      <c r="C353" s="23"/>
      <c r="D353" s="24"/>
      <c r="E353" s="25"/>
      <c r="F353" s="26"/>
      <c r="G353" s="27"/>
      <c r="H353" s="20"/>
      <c r="I353" s="21"/>
      <c r="J353" s="28"/>
      <c r="K353" s="19"/>
    </row>
    <row r="354" spans="1:11" ht="13.2">
      <c r="A354" s="22"/>
      <c r="B354" s="16"/>
      <c r="C354" s="23"/>
      <c r="D354" s="24"/>
      <c r="E354" s="25"/>
      <c r="F354" s="26"/>
      <c r="G354" s="27"/>
      <c r="H354" s="20"/>
      <c r="I354" s="21"/>
      <c r="J354" s="28"/>
      <c r="K354" s="19"/>
    </row>
    <row r="355" spans="1:11" ht="13.2">
      <c r="A355" s="22"/>
      <c r="B355" s="16"/>
      <c r="C355" s="23"/>
      <c r="D355" s="24"/>
      <c r="E355" s="25"/>
      <c r="F355" s="26"/>
      <c r="G355" s="27"/>
      <c r="H355" s="20"/>
      <c r="I355" s="21"/>
      <c r="J355" s="28"/>
      <c r="K355" s="19"/>
    </row>
    <row r="356" spans="1:11" ht="13.2">
      <c r="A356" s="22"/>
      <c r="B356" s="16"/>
      <c r="C356" s="23"/>
      <c r="D356" s="24"/>
      <c r="E356" s="25"/>
      <c r="F356" s="26"/>
      <c r="G356" s="27"/>
      <c r="H356" s="20"/>
      <c r="I356" s="21"/>
      <c r="J356" s="28"/>
      <c r="K356" s="19"/>
    </row>
    <row r="357" spans="1:11" ht="13.2">
      <c r="A357" s="22"/>
      <c r="B357" s="16"/>
      <c r="C357" s="23"/>
      <c r="D357" s="24"/>
      <c r="E357" s="25"/>
      <c r="F357" s="26"/>
      <c r="G357" s="27"/>
      <c r="H357" s="20"/>
      <c r="I357" s="21"/>
      <c r="J357" s="28"/>
      <c r="K357" s="19"/>
    </row>
    <row r="358" spans="1:11" ht="13.2">
      <c r="A358" s="22"/>
      <c r="B358" s="16"/>
      <c r="C358" s="23"/>
      <c r="D358" s="24"/>
      <c r="E358" s="25"/>
      <c r="F358" s="26"/>
      <c r="G358" s="27"/>
      <c r="H358" s="20"/>
      <c r="I358" s="21"/>
      <c r="J358" s="28"/>
      <c r="K358" s="19"/>
    </row>
    <row r="359" spans="1:11" ht="13.2">
      <c r="A359" s="22"/>
      <c r="B359" s="16"/>
      <c r="C359" s="23"/>
      <c r="D359" s="24"/>
      <c r="E359" s="25"/>
      <c r="F359" s="26"/>
      <c r="G359" s="27"/>
      <c r="H359" s="20"/>
      <c r="I359" s="21"/>
      <c r="J359" s="28"/>
      <c r="K359" s="19"/>
    </row>
    <row r="360" spans="1:11" ht="13.2">
      <c r="A360" s="22"/>
      <c r="B360" s="16"/>
      <c r="C360" s="23"/>
      <c r="D360" s="24"/>
      <c r="E360" s="25"/>
      <c r="F360" s="26"/>
      <c r="G360" s="27"/>
      <c r="H360" s="20"/>
      <c r="I360" s="21"/>
      <c r="J360" s="28"/>
      <c r="K360" s="19"/>
    </row>
    <row r="361" spans="1:11" ht="13.2">
      <c r="A361" s="22"/>
      <c r="B361" s="16"/>
      <c r="C361" s="23"/>
      <c r="D361" s="24"/>
      <c r="E361" s="25"/>
      <c r="F361" s="26"/>
      <c r="G361" s="27"/>
      <c r="H361" s="20"/>
      <c r="I361" s="21"/>
      <c r="J361" s="28"/>
      <c r="K361" s="19"/>
    </row>
    <row r="362" spans="1:11" ht="13.2">
      <c r="A362" s="22"/>
      <c r="B362" s="16"/>
      <c r="C362" s="23"/>
      <c r="D362" s="24"/>
      <c r="E362" s="25"/>
      <c r="F362" s="26"/>
      <c r="G362" s="27"/>
      <c r="H362" s="20"/>
      <c r="I362" s="21"/>
      <c r="J362" s="28"/>
      <c r="K362" s="19"/>
    </row>
    <row r="363" spans="1:11" ht="13.2">
      <c r="A363" s="22"/>
      <c r="B363" s="16"/>
      <c r="C363" s="23"/>
      <c r="D363" s="24"/>
      <c r="E363" s="25"/>
      <c r="F363" s="26"/>
      <c r="G363" s="27"/>
      <c r="H363" s="20"/>
      <c r="I363" s="21"/>
      <c r="J363" s="28"/>
      <c r="K363" s="19"/>
    </row>
    <row r="364" spans="1:11" ht="13.2">
      <c r="A364" s="22"/>
      <c r="B364" s="16"/>
      <c r="C364" s="23"/>
      <c r="D364" s="24"/>
      <c r="E364" s="25"/>
      <c r="F364" s="26"/>
      <c r="G364" s="27"/>
      <c r="H364" s="20"/>
      <c r="I364" s="21"/>
      <c r="J364" s="28"/>
      <c r="K364" s="19"/>
    </row>
    <row r="365" spans="1:11" ht="13.2">
      <c r="A365" s="22"/>
      <c r="B365" s="16"/>
      <c r="C365" s="23"/>
      <c r="D365" s="24"/>
      <c r="E365" s="25"/>
      <c r="F365" s="26"/>
      <c r="G365" s="27"/>
      <c r="H365" s="20"/>
      <c r="I365" s="21"/>
      <c r="J365" s="28"/>
      <c r="K365" s="19"/>
    </row>
    <row r="366" spans="1:11" ht="13.2">
      <c r="A366" s="22"/>
      <c r="B366" s="16"/>
      <c r="C366" s="23"/>
      <c r="D366" s="24"/>
      <c r="E366" s="25"/>
      <c r="F366" s="26"/>
      <c r="G366" s="27"/>
      <c r="H366" s="20"/>
      <c r="I366" s="21"/>
      <c r="J366" s="28"/>
      <c r="K366" s="19"/>
    </row>
    <row r="367" spans="1:11" ht="13.2">
      <c r="A367" s="22"/>
      <c r="B367" s="16"/>
      <c r="C367" s="23"/>
      <c r="D367" s="24"/>
      <c r="E367" s="25"/>
      <c r="F367" s="26"/>
      <c r="G367" s="27"/>
      <c r="H367" s="20"/>
      <c r="I367" s="21"/>
      <c r="J367" s="28"/>
      <c r="K367" s="19"/>
    </row>
    <row r="368" spans="1:11" ht="13.2">
      <c r="A368" s="22"/>
      <c r="B368" s="16"/>
      <c r="C368" s="23"/>
      <c r="D368" s="24"/>
      <c r="E368" s="25"/>
      <c r="F368" s="26"/>
      <c r="G368" s="27"/>
      <c r="H368" s="20"/>
      <c r="I368" s="21"/>
      <c r="J368" s="28"/>
      <c r="K368" s="19"/>
    </row>
    <row r="369" spans="1:11" ht="13.2">
      <c r="A369" s="22"/>
      <c r="B369" s="16"/>
      <c r="C369" s="23"/>
      <c r="D369" s="24"/>
      <c r="E369" s="25"/>
      <c r="F369" s="26"/>
      <c r="G369" s="27"/>
      <c r="H369" s="20"/>
      <c r="I369" s="21"/>
      <c r="J369" s="28"/>
      <c r="K369" s="19"/>
    </row>
    <row r="370" spans="1:11" ht="13.2">
      <c r="A370" s="22"/>
      <c r="B370" s="16"/>
      <c r="C370" s="23"/>
      <c r="D370" s="24"/>
      <c r="E370" s="25"/>
      <c r="F370" s="26"/>
      <c r="G370" s="27"/>
      <c r="H370" s="20"/>
      <c r="I370" s="21"/>
      <c r="J370" s="28"/>
      <c r="K370" s="19"/>
    </row>
    <row r="371" spans="1:11" ht="13.2">
      <c r="A371" s="22"/>
      <c r="B371" s="16"/>
      <c r="C371" s="23"/>
      <c r="D371" s="24"/>
      <c r="E371" s="25"/>
      <c r="F371" s="26"/>
      <c r="G371" s="27"/>
      <c r="H371" s="20"/>
      <c r="I371" s="21"/>
      <c r="J371" s="28"/>
      <c r="K371" s="19"/>
    </row>
    <row r="372" spans="1:11" ht="13.2">
      <c r="A372" s="22"/>
      <c r="B372" s="16"/>
      <c r="C372" s="23"/>
      <c r="D372" s="24"/>
      <c r="E372" s="25"/>
      <c r="F372" s="26"/>
      <c r="G372" s="27"/>
      <c r="H372" s="20"/>
      <c r="I372" s="21"/>
      <c r="J372" s="28"/>
      <c r="K372" s="19"/>
    </row>
    <row r="373" spans="1:11" ht="13.2">
      <c r="A373" s="22"/>
      <c r="B373" s="16"/>
      <c r="C373" s="23"/>
      <c r="D373" s="24"/>
      <c r="E373" s="25"/>
      <c r="F373" s="26"/>
      <c r="G373" s="27"/>
      <c r="H373" s="20"/>
      <c r="I373" s="21"/>
      <c r="J373" s="28"/>
      <c r="K373" s="19"/>
    </row>
    <row r="374" spans="1:11" ht="13.2">
      <c r="A374" s="22"/>
      <c r="B374" s="16"/>
      <c r="C374" s="23"/>
      <c r="D374" s="24"/>
      <c r="E374" s="25"/>
      <c r="F374" s="26"/>
      <c r="G374" s="27"/>
      <c r="H374" s="20"/>
      <c r="I374" s="21"/>
      <c r="J374" s="28"/>
      <c r="K374" s="19"/>
    </row>
    <row r="375" spans="1:11" ht="13.2">
      <c r="A375" s="22"/>
      <c r="B375" s="16"/>
      <c r="C375" s="23"/>
      <c r="D375" s="24"/>
      <c r="E375" s="25"/>
      <c r="F375" s="26"/>
      <c r="G375" s="27"/>
      <c r="H375" s="20"/>
      <c r="I375" s="21"/>
      <c r="J375" s="28"/>
      <c r="K375" s="19"/>
    </row>
    <row r="376" spans="1:11" ht="13.2">
      <c r="A376" s="22"/>
      <c r="B376" s="16"/>
      <c r="C376" s="23"/>
      <c r="D376" s="24"/>
      <c r="E376" s="25"/>
      <c r="F376" s="26"/>
      <c r="G376" s="27"/>
      <c r="H376" s="20"/>
      <c r="I376" s="21"/>
      <c r="J376" s="28"/>
      <c r="K376" s="19"/>
    </row>
    <row r="377" spans="1:11" ht="13.2">
      <c r="A377" s="22"/>
      <c r="B377" s="16"/>
      <c r="C377" s="23"/>
      <c r="D377" s="24"/>
      <c r="E377" s="25"/>
      <c r="F377" s="26"/>
      <c r="G377" s="27"/>
      <c r="H377" s="20"/>
      <c r="I377" s="21"/>
      <c r="J377" s="28"/>
      <c r="K377" s="19"/>
    </row>
    <row r="378" spans="1:11" ht="13.2">
      <c r="A378" s="22"/>
      <c r="B378" s="16"/>
      <c r="C378" s="23"/>
      <c r="D378" s="24"/>
      <c r="E378" s="25"/>
      <c r="F378" s="26"/>
      <c r="G378" s="27"/>
      <c r="H378" s="20"/>
      <c r="I378" s="21"/>
      <c r="J378" s="28"/>
      <c r="K378" s="19"/>
    </row>
    <row r="379" spans="1:11" ht="13.2">
      <c r="A379" s="22"/>
      <c r="B379" s="16"/>
      <c r="C379" s="23"/>
      <c r="D379" s="24"/>
      <c r="E379" s="25"/>
      <c r="F379" s="26"/>
      <c r="G379" s="27"/>
      <c r="H379" s="20"/>
      <c r="I379" s="21"/>
      <c r="J379" s="28"/>
      <c r="K379" s="19"/>
    </row>
    <row r="380" spans="1:11" ht="13.2">
      <c r="A380" s="22"/>
      <c r="B380" s="16"/>
      <c r="C380" s="23"/>
      <c r="D380" s="24"/>
      <c r="E380" s="25"/>
      <c r="F380" s="26"/>
      <c r="G380" s="27"/>
      <c r="H380" s="20"/>
      <c r="I380" s="21"/>
      <c r="J380" s="28"/>
      <c r="K380" s="19"/>
    </row>
    <row r="381" spans="1:11" ht="13.2">
      <c r="A381" s="22"/>
      <c r="B381" s="16"/>
      <c r="C381" s="23"/>
      <c r="D381" s="24"/>
      <c r="E381" s="25"/>
      <c r="F381" s="26"/>
      <c r="G381" s="27"/>
      <c r="H381" s="20"/>
      <c r="I381" s="21"/>
      <c r="J381" s="28"/>
      <c r="K381" s="19"/>
    </row>
    <row r="382" spans="1:11" ht="13.2">
      <c r="A382" s="22"/>
      <c r="B382" s="16"/>
      <c r="C382" s="23"/>
      <c r="D382" s="24"/>
      <c r="E382" s="25"/>
      <c r="F382" s="26"/>
      <c r="G382" s="27"/>
      <c r="H382" s="20"/>
      <c r="I382" s="21"/>
      <c r="J382" s="28"/>
      <c r="K382" s="19"/>
    </row>
    <row r="383" spans="1:11" ht="13.2">
      <c r="A383" s="22"/>
      <c r="B383" s="16"/>
      <c r="C383" s="23"/>
      <c r="D383" s="24"/>
      <c r="E383" s="25"/>
      <c r="F383" s="26"/>
      <c r="G383" s="27"/>
      <c r="H383" s="20"/>
      <c r="I383" s="21"/>
      <c r="J383" s="28"/>
      <c r="K383" s="19"/>
    </row>
    <row r="384" spans="1:11" ht="13.2">
      <c r="A384" s="22"/>
      <c r="B384" s="16"/>
      <c r="C384" s="23"/>
      <c r="D384" s="24"/>
      <c r="E384" s="25"/>
      <c r="F384" s="26"/>
      <c r="G384" s="27"/>
      <c r="H384" s="20"/>
      <c r="I384" s="21"/>
      <c r="J384" s="28"/>
      <c r="K384" s="19"/>
    </row>
    <row r="385" spans="1:11" ht="13.2">
      <c r="A385" s="22"/>
      <c r="B385" s="16"/>
      <c r="C385" s="23"/>
      <c r="D385" s="24"/>
      <c r="E385" s="25"/>
      <c r="F385" s="26"/>
      <c r="G385" s="27"/>
      <c r="H385" s="20"/>
      <c r="I385" s="21"/>
      <c r="J385" s="28"/>
      <c r="K385" s="19"/>
    </row>
    <row r="386" spans="1:11" ht="13.2">
      <c r="A386" s="22"/>
      <c r="B386" s="16"/>
      <c r="C386" s="23"/>
      <c r="D386" s="24"/>
      <c r="E386" s="25"/>
      <c r="F386" s="26"/>
      <c r="G386" s="27"/>
      <c r="H386" s="20"/>
      <c r="I386" s="21"/>
      <c r="J386" s="28"/>
      <c r="K386" s="19"/>
    </row>
    <row r="387" spans="1:11" ht="13.2">
      <c r="A387" s="22"/>
      <c r="B387" s="16"/>
      <c r="C387" s="23"/>
      <c r="D387" s="24"/>
      <c r="E387" s="25"/>
      <c r="F387" s="26"/>
      <c r="G387" s="27"/>
      <c r="H387" s="20"/>
      <c r="I387" s="21"/>
      <c r="J387" s="28"/>
      <c r="K387" s="19"/>
    </row>
    <row r="388" spans="1:11" ht="13.2">
      <c r="A388" s="22"/>
      <c r="B388" s="16"/>
      <c r="C388" s="23"/>
      <c r="D388" s="24"/>
      <c r="E388" s="25"/>
      <c r="F388" s="26"/>
      <c r="G388" s="27"/>
      <c r="H388" s="20"/>
      <c r="I388" s="21"/>
      <c r="J388" s="28"/>
      <c r="K388" s="19"/>
    </row>
    <row r="389" spans="1:11" ht="13.2">
      <c r="A389" s="22"/>
      <c r="B389" s="16"/>
      <c r="C389" s="23"/>
      <c r="D389" s="24"/>
      <c r="E389" s="25"/>
      <c r="F389" s="26"/>
      <c r="G389" s="27"/>
      <c r="H389" s="20"/>
      <c r="I389" s="21"/>
      <c r="J389" s="28"/>
      <c r="K389" s="19"/>
    </row>
    <row r="390" spans="1:11" ht="13.2">
      <c r="A390" s="22"/>
      <c r="B390" s="16"/>
      <c r="C390" s="23"/>
      <c r="D390" s="24"/>
      <c r="E390" s="25"/>
      <c r="F390" s="26"/>
      <c r="G390" s="27"/>
      <c r="H390" s="20"/>
      <c r="I390" s="21"/>
      <c r="J390" s="28"/>
      <c r="K390" s="19"/>
    </row>
    <row r="391" spans="1:11" ht="13.2">
      <c r="A391" s="22"/>
      <c r="B391" s="16"/>
      <c r="C391" s="23"/>
      <c r="D391" s="24"/>
      <c r="E391" s="25"/>
      <c r="F391" s="26"/>
      <c r="G391" s="27"/>
      <c r="H391" s="20"/>
      <c r="I391" s="21"/>
      <c r="J391" s="28"/>
      <c r="K391" s="19"/>
    </row>
    <row r="392" spans="1:11" ht="13.2">
      <c r="A392" s="22"/>
      <c r="B392" s="16"/>
      <c r="C392" s="23"/>
      <c r="D392" s="24"/>
      <c r="E392" s="25"/>
      <c r="F392" s="26"/>
      <c r="G392" s="27"/>
      <c r="H392" s="20"/>
      <c r="I392" s="21"/>
      <c r="J392" s="28"/>
      <c r="K392" s="19"/>
    </row>
    <row r="393" spans="1:11" ht="13.2">
      <c r="A393" s="22"/>
      <c r="B393" s="16"/>
      <c r="C393" s="23"/>
      <c r="D393" s="24"/>
      <c r="E393" s="25"/>
      <c r="F393" s="26"/>
      <c r="G393" s="27"/>
      <c r="H393" s="20"/>
      <c r="I393" s="21"/>
      <c r="J393" s="28"/>
      <c r="K393" s="19"/>
    </row>
    <row r="394" spans="1:11" ht="13.2">
      <c r="A394" s="22"/>
      <c r="B394" s="16"/>
      <c r="C394" s="23"/>
      <c r="D394" s="24"/>
      <c r="E394" s="25"/>
      <c r="F394" s="26"/>
      <c r="G394" s="27"/>
      <c r="H394" s="20"/>
      <c r="I394" s="21"/>
      <c r="J394" s="28"/>
      <c r="K394" s="19"/>
    </row>
    <row r="395" spans="1:11" ht="13.2">
      <c r="A395" s="22"/>
      <c r="B395" s="16"/>
      <c r="C395" s="23"/>
      <c r="D395" s="24"/>
      <c r="E395" s="25"/>
      <c r="F395" s="26"/>
      <c r="G395" s="27"/>
      <c r="H395" s="20"/>
      <c r="I395" s="21"/>
      <c r="J395" s="28"/>
      <c r="K395" s="19"/>
    </row>
    <row r="396" spans="1:11" ht="13.2">
      <c r="A396" s="22"/>
      <c r="B396" s="16"/>
      <c r="C396" s="23"/>
      <c r="D396" s="24"/>
      <c r="E396" s="25"/>
      <c r="F396" s="26"/>
      <c r="G396" s="27"/>
      <c r="H396" s="20"/>
      <c r="I396" s="21"/>
      <c r="J396" s="28"/>
      <c r="K396" s="19"/>
    </row>
    <row r="397" spans="1:11" ht="13.2">
      <c r="A397" s="22"/>
      <c r="B397" s="16"/>
      <c r="C397" s="23"/>
      <c r="D397" s="24"/>
      <c r="E397" s="25"/>
      <c r="F397" s="26"/>
      <c r="G397" s="27"/>
      <c r="H397" s="20"/>
      <c r="I397" s="21"/>
      <c r="J397" s="28"/>
      <c r="K397" s="19"/>
    </row>
    <row r="398" spans="1:11" ht="13.2">
      <c r="A398" s="22"/>
      <c r="B398" s="16"/>
      <c r="C398" s="23"/>
      <c r="D398" s="24"/>
      <c r="E398" s="25"/>
      <c r="F398" s="26"/>
      <c r="G398" s="27"/>
      <c r="H398" s="20"/>
      <c r="I398" s="21"/>
      <c r="J398" s="28"/>
      <c r="K398" s="19"/>
    </row>
    <row r="399" spans="1:11" ht="13.2">
      <c r="A399" s="22"/>
      <c r="B399" s="16"/>
      <c r="C399" s="23"/>
      <c r="D399" s="24"/>
      <c r="E399" s="25"/>
      <c r="F399" s="26"/>
      <c r="G399" s="27"/>
      <c r="H399" s="20"/>
      <c r="I399" s="21"/>
      <c r="J399" s="28"/>
      <c r="K399" s="19"/>
    </row>
    <row r="400" spans="1:11" ht="13.2">
      <c r="A400" s="22"/>
      <c r="B400" s="16"/>
      <c r="C400" s="23"/>
      <c r="D400" s="24"/>
      <c r="E400" s="25"/>
      <c r="F400" s="26"/>
      <c r="G400" s="27"/>
      <c r="H400" s="20"/>
      <c r="I400" s="21"/>
      <c r="J400" s="28"/>
      <c r="K400" s="19"/>
    </row>
    <row r="401" spans="1:11" ht="13.2">
      <c r="A401" s="22"/>
      <c r="B401" s="16"/>
      <c r="C401" s="23"/>
      <c r="D401" s="24"/>
      <c r="E401" s="25"/>
      <c r="F401" s="26"/>
      <c r="G401" s="27"/>
      <c r="H401" s="20"/>
      <c r="I401" s="21"/>
      <c r="J401" s="28"/>
      <c r="K401" s="19"/>
    </row>
    <row r="402" spans="1:11" ht="13.2">
      <c r="A402" s="22"/>
      <c r="B402" s="16"/>
      <c r="C402" s="23"/>
      <c r="D402" s="24"/>
      <c r="E402" s="25"/>
      <c r="F402" s="26"/>
      <c r="G402" s="27"/>
      <c r="H402" s="20"/>
      <c r="I402" s="21"/>
      <c r="J402" s="28"/>
      <c r="K402" s="19"/>
    </row>
    <row r="403" spans="1:11" ht="13.2">
      <c r="A403" s="22"/>
      <c r="B403" s="16"/>
      <c r="C403" s="23"/>
      <c r="D403" s="24"/>
      <c r="E403" s="25"/>
      <c r="F403" s="26"/>
      <c r="G403" s="27"/>
      <c r="H403" s="20"/>
      <c r="I403" s="21"/>
      <c r="J403" s="28"/>
      <c r="K403" s="19"/>
    </row>
    <row r="404" spans="1:11" ht="13.2">
      <c r="A404" s="22"/>
      <c r="B404" s="16"/>
      <c r="C404" s="23"/>
      <c r="D404" s="24"/>
      <c r="E404" s="25"/>
      <c r="F404" s="26"/>
      <c r="G404" s="27"/>
      <c r="H404" s="20"/>
      <c r="I404" s="21"/>
      <c r="J404" s="28"/>
      <c r="K404" s="19"/>
    </row>
    <row r="405" spans="1:11" ht="13.2">
      <c r="A405" s="22"/>
      <c r="B405" s="16"/>
      <c r="C405" s="23"/>
      <c r="D405" s="24"/>
      <c r="E405" s="25"/>
      <c r="F405" s="26"/>
      <c r="G405" s="27"/>
      <c r="H405" s="20"/>
      <c r="I405" s="21"/>
      <c r="J405" s="28"/>
      <c r="K405" s="19"/>
    </row>
    <row r="406" spans="1:11" ht="13.2">
      <c r="A406" s="22"/>
      <c r="B406" s="16"/>
      <c r="C406" s="23"/>
      <c r="D406" s="24"/>
      <c r="E406" s="25"/>
      <c r="F406" s="26"/>
      <c r="G406" s="27"/>
      <c r="H406" s="20"/>
      <c r="I406" s="21"/>
      <c r="J406" s="28"/>
      <c r="K406" s="19"/>
    </row>
    <row r="407" spans="1:11" ht="13.2">
      <c r="A407" s="22"/>
      <c r="B407" s="16"/>
      <c r="C407" s="23"/>
      <c r="D407" s="24"/>
      <c r="E407" s="25"/>
      <c r="F407" s="26"/>
      <c r="G407" s="27"/>
      <c r="H407" s="20"/>
      <c r="I407" s="21"/>
      <c r="J407" s="28"/>
      <c r="K407" s="19"/>
    </row>
    <row r="408" spans="1:11" ht="13.2">
      <c r="A408" s="22"/>
      <c r="B408" s="16"/>
      <c r="C408" s="23"/>
      <c r="D408" s="24"/>
      <c r="E408" s="25"/>
      <c r="F408" s="26"/>
      <c r="G408" s="27"/>
      <c r="H408" s="20"/>
      <c r="I408" s="21"/>
      <c r="J408" s="28"/>
      <c r="K408" s="19"/>
    </row>
    <row r="409" spans="1:11" ht="13.2">
      <c r="A409" s="22"/>
      <c r="B409" s="16"/>
      <c r="C409" s="23"/>
      <c r="D409" s="24"/>
      <c r="E409" s="25"/>
      <c r="F409" s="26"/>
      <c r="G409" s="27"/>
      <c r="H409" s="20"/>
      <c r="I409" s="21"/>
      <c r="J409" s="28"/>
      <c r="K409" s="19"/>
    </row>
    <row r="410" spans="1:11" ht="13.2">
      <c r="A410" s="22"/>
      <c r="B410" s="16"/>
      <c r="C410" s="23"/>
      <c r="D410" s="24"/>
      <c r="E410" s="25"/>
      <c r="F410" s="26"/>
      <c r="G410" s="27"/>
      <c r="H410" s="20"/>
      <c r="I410" s="21"/>
      <c r="J410" s="28"/>
      <c r="K410" s="19"/>
    </row>
    <row r="411" spans="1:11" ht="13.2">
      <c r="A411" s="22"/>
      <c r="B411" s="16"/>
      <c r="C411" s="23"/>
      <c r="D411" s="24"/>
      <c r="E411" s="25"/>
      <c r="F411" s="26"/>
      <c r="G411" s="27"/>
      <c r="H411" s="20"/>
      <c r="I411" s="21"/>
      <c r="J411" s="28"/>
      <c r="K411" s="19"/>
    </row>
    <row r="412" spans="1:11" ht="13.2">
      <c r="A412" s="22"/>
      <c r="B412" s="16"/>
      <c r="C412" s="23"/>
      <c r="D412" s="24"/>
      <c r="E412" s="25"/>
      <c r="F412" s="26"/>
      <c r="G412" s="27"/>
      <c r="H412" s="20"/>
      <c r="I412" s="21"/>
      <c r="J412" s="28"/>
      <c r="K412" s="19"/>
    </row>
    <row r="413" spans="1:11" ht="13.2">
      <c r="A413" s="22"/>
      <c r="B413" s="16"/>
      <c r="C413" s="23"/>
      <c r="D413" s="24"/>
      <c r="E413" s="25"/>
      <c r="F413" s="26"/>
      <c r="G413" s="27"/>
      <c r="H413" s="20"/>
      <c r="I413" s="21"/>
      <c r="J413" s="28"/>
      <c r="K413" s="19"/>
    </row>
    <row r="414" spans="1:11" ht="13.2">
      <c r="A414" s="22"/>
      <c r="B414" s="16"/>
      <c r="C414" s="23"/>
      <c r="D414" s="24"/>
      <c r="E414" s="25"/>
      <c r="F414" s="26"/>
      <c r="G414" s="27"/>
      <c r="H414" s="20"/>
      <c r="I414" s="21"/>
      <c r="J414" s="28"/>
      <c r="K414" s="19"/>
    </row>
    <row r="415" spans="1:11" ht="13.2">
      <c r="A415" s="22"/>
      <c r="B415" s="16"/>
      <c r="C415" s="23"/>
      <c r="D415" s="24"/>
      <c r="E415" s="25"/>
      <c r="F415" s="26"/>
      <c r="G415" s="27"/>
      <c r="H415" s="20"/>
      <c r="I415" s="21"/>
      <c r="J415" s="28"/>
      <c r="K415" s="19"/>
    </row>
    <row r="416" spans="1:11" ht="13.2">
      <c r="A416" s="22"/>
      <c r="B416" s="16"/>
      <c r="C416" s="23"/>
      <c r="D416" s="24"/>
      <c r="E416" s="25"/>
      <c r="F416" s="26"/>
      <c r="G416" s="27"/>
      <c r="H416" s="20"/>
      <c r="I416" s="21"/>
      <c r="J416" s="28"/>
      <c r="K416" s="19"/>
    </row>
    <row r="417" spans="1:11" ht="13.2">
      <c r="A417" s="22"/>
      <c r="B417" s="16"/>
      <c r="C417" s="23"/>
      <c r="D417" s="24"/>
      <c r="E417" s="25"/>
      <c r="F417" s="26"/>
      <c r="G417" s="27"/>
      <c r="H417" s="20"/>
      <c r="I417" s="21"/>
      <c r="J417" s="28"/>
      <c r="K417" s="19"/>
    </row>
    <row r="418" spans="1:11" ht="13.2">
      <c r="A418" s="22"/>
      <c r="B418" s="16"/>
      <c r="C418" s="23"/>
      <c r="D418" s="24"/>
      <c r="E418" s="25"/>
      <c r="F418" s="26"/>
      <c r="G418" s="27"/>
      <c r="H418" s="20"/>
      <c r="I418" s="21"/>
      <c r="J418" s="28"/>
      <c r="K418" s="19"/>
    </row>
    <row r="419" spans="1:11" ht="13.2">
      <c r="A419" s="22"/>
      <c r="B419" s="16"/>
      <c r="C419" s="23"/>
      <c r="D419" s="24"/>
      <c r="E419" s="25"/>
      <c r="F419" s="26"/>
      <c r="G419" s="27"/>
      <c r="H419" s="20"/>
      <c r="I419" s="21"/>
      <c r="J419" s="28"/>
      <c r="K419" s="19"/>
    </row>
    <row r="420" spans="1:11" ht="13.2">
      <c r="A420" s="22"/>
      <c r="B420" s="16"/>
      <c r="C420" s="23"/>
      <c r="D420" s="24"/>
      <c r="E420" s="25"/>
      <c r="F420" s="26"/>
      <c r="G420" s="27"/>
      <c r="H420" s="20"/>
      <c r="I420" s="21"/>
      <c r="J420" s="28"/>
      <c r="K420" s="19"/>
    </row>
    <row r="421" spans="1:11" ht="13.2">
      <c r="A421" s="22"/>
      <c r="B421" s="16"/>
      <c r="C421" s="23"/>
      <c r="D421" s="24"/>
      <c r="E421" s="25"/>
      <c r="F421" s="26"/>
      <c r="G421" s="27"/>
      <c r="H421" s="20"/>
      <c r="I421" s="21"/>
      <c r="J421" s="28"/>
      <c r="K421" s="19"/>
    </row>
    <row r="422" spans="1:11" ht="13.2">
      <c r="A422" s="22"/>
      <c r="B422" s="16"/>
      <c r="C422" s="23"/>
      <c r="D422" s="24"/>
      <c r="E422" s="25"/>
      <c r="F422" s="26"/>
      <c r="G422" s="27"/>
      <c r="H422" s="20"/>
      <c r="I422" s="21"/>
      <c r="J422" s="28"/>
      <c r="K422" s="19"/>
    </row>
    <row r="423" spans="1:11" ht="13.2">
      <c r="A423" s="22"/>
      <c r="B423" s="16"/>
      <c r="C423" s="23"/>
      <c r="D423" s="24"/>
      <c r="E423" s="25"/>
      <c r="F423" s="26"/>
      <c r="G423" s="27"/>
      <c r="H423" s="20"/>
      <c r="I423" s="21"/>
      <c r="J423" s="28"/>
      <c r="K423" s="19"/>
    </row>
    <row r="424" spans="1:11" ht="13.2">
      <c r="A424" s="22"/>
      <c r="B424" s="16"/>
      <c r="C424" s="23"/>
      <c r="D424" s="24"/>
      <c r="E424" s="25"/>
      <c r="F424" s="26"/>
      <c r="G424" s="27"/>
      <c r="H424" s="20"/>
      <c r="I424" s="21"/>
      <c r="J424" s="28"/>
      <c r="K424" s="19"/>
    </row>
    <row r="425" spans="1:11" ht="13.2">
      <c r="A425" s="22"/>
      <c r="B425" s="16"/>
      <c r="C425" s="23"/>
      <c r="D425" s="24"/>
      <c r="E425" s="25"/>
      <c r="F425" s="26"/>
      <c r="G425" s="27"/>
      <c r="H425" s="20"/>
      <c r="I425" s="21"/>
      <c r="J425" s="28"/>
      <c r="K425" s="19"/>
    </row>
    <row r="426" spans="1:11" ht="13.2">
      <c r="A426" s="22"/>
      <c r="B426" s="16"/>
      <c r="C426" s="23"/>
      <c r="D426" s="24"/>
      <c r="E426" s="25"/>
      <c r="F426" s="26"/>
      <c r="G426" s="27"/>
      <c r="H426" s="20"/>
      <c r="I426" s="21"/>
      <c r="J426" s="28"/>
      <c r="K426" s="19"/>
    </row>
    <row r="427" spans="1:11" ht="13.2">
      <c r="A427" s="22"/>
      <c r="B427" s="16"/>
      <c r="C427" s="23"/>
      <c r="D427" s="24"/>
      <c r="E427" s="25"/>
      <c r="F427" s="26"/>
      <c r="G427" s="27"/>
      <c r="H427" s="20"/>
      <c r="I427" s="21"/>
      <c r="J427" s="28"/>
      <c r="K427" s="19"/>
    </row>
    <row r="428" spans="1:11" ht="13.2">
      <c r="A428" s="22"/>
      <c r="B428" s="16"/>
      <c r="C428" s="23"/>
      <c r="D428" s="24"/>
      <c r="E428" s="25"/>
      <c r="F428" s="26"/>
      <c r="G428" s="27"/>
      <c r="H428" s="20"/>
      <c r="I428" s="21"/>
      <c r="J428" s="28"/>
      <c r="K428" s="19"/>
    </row>
    <row r="429" spans="1:11" ht="13.2">
      <c r="A429" s="22"/>
      <c r="B429" s="16"/>
      <c r="C429" s="23"/>
      <c r="D429" s="24"/>
      <c r="E429" s="25"/>
      <c r="F429" s="26"/>
      <c r="G429" s="27"/>
      <c r="H429" s="20"/>
      <c r="I429" s="21"/>
      <c r="J429" s="28"/>
      <c r="K429" s="19"/>
    </row>
    <row r="430" spans="1:11" ht="13.2">
      <c r="A430" s="22"/>
      <c r="B430" s="16"/>
      <c r="C430" s="23"/>
      <c r="D430" s="24"/>
      <c r="E430" s="25"/>
      <c r="F430" s="26"/>
      <c r="G430" s="27"/>
      <c r="H430" s="20"/>
      <c r="I430" s="21"/>
      <c r="J430" s="28"/>
      <c r="K430" s="19"/>
    </row>
    <row r="431" spans="1:11" ht="13.2">
      <c r="A431" s="22"/>
      <c r="B431" s="16"/>
      <c r="C431" s="23"/>
      <c r="D431" s="24"/>
      <c r="E431" s="25"/>
      <c r="F431" s="26"/>
      <c r="G431" s="27"/>
      <c r="H431" s="20"/>
      <c r="I431" s="21"/>
      <c r="J431" s="28"/>
      <c r="K431" s="19"/>
    </row>
    <row r="432" spans="1:11" ht="13.2">
      <c r="A432" s="22"/>
      <c r="B432" s="16"/>
      <c r="C432" s="23"/>
      <c r="D432" s="24"/>
      <c r="E432" s="25"/>
      <c r="F432" s="26"/>
      <c r="G432" s="27"/>
      <c r="H432" s="20"/>
      <c r="I432" s="21"/>
      <c r="J432" s="28"/>
      <c r="K432" s="19"/>
    </row>
    <row r="433" spans="1:11" ht="13.2">
      <c r="A433" s="22"/>
      <c r="B433" s="16"/>
      <c r="C433" s="23"/>
      <c r="D433" s="24"/>
      <c r="E433" s="25"/>
      <c r="F433" s="26"/>
      <c r="G433" s="27"/>
      <c r="H433" s="20"/>
      <c r="I433" s="21"/>
      <c r="J433" s="28"/>
      <c r="K433" s="19"/>
    </row>
    <row r="434" spans="1:11" ht="13.2">
      <c r="A434" s="22"/>
      <c r="B434" s="16"/>
      <c r="C434" s="23"/>
      <c r="D434" s="24"/>
      <c r="E434" s="25"/>
      <c r="F434" s="26"/>
      <c r="G434" s="27"/>
      <c r="H434" s="20"/>
      <c r="I434" s="21"/>
      <c r="J434" s="28"/>
      <c r="K434" s="19"/>
    </row>
    <row r="435" spans="1:11" ht="13.2">
      <c r="A435" s="22"/>
      <c r="B435" s="16"/>
      <c r="C435" s="23"/>
      <c r="D435" s="24"/>
      <c r="E435" s="25"/>
      <c r="F435" s="26"/>
      <c r="G435" s="27"/>
      <c r="H435" s="20"/>
      <c r="I435" s="21"/>
      <c r="J435" s="28"/>
      <c r="K435" s="19"/>
    </row>
    <row r="436" spans="1:11" ht="13.2">
      <c r="A436" s="22"/>
      <c r="B436" s="16"/>
      <c r="C436" s="23"/>
      <c r="D436" s="24"/>
      <c r="E436" s="25"/>
      <c r="F436" s="26"/>
      <c r="G436" s="27"/>
      <c r="H436" s="20"/>
      <c r="I436" s="21"/>
      <c r="J436" s="28"/>
      <c r="K436" s="19"/>
    </row>
    <row r="437" spans="1:11" ht="13.2">
      <c r="A437" s="22"/>
      <c r="B437" s="16"/>
      <c r="C437" s="23"/>
      <c r="D437" s="24"/>
      <c r="E437" s="25"/>
      <c r="F437" s="26"/>
      <c r="G437" s="27"/>
      <c r="H437" s="20"/>
      <c r="I437" s="21"/>
      <c r="J437" s="28"/>
      <c r="K437" s="19"/>
    </row>
    <row r="438" spans="1:11" ht="13.2">
      <c r="A438" s="22"/>
      <c r="B438" s="16"/>
      <c r="C438" s="23"/>
      <c r="D438" s="24"/>
      <c r="E438" s="25"/>
      <c r="F438" s="26"/>
      <c r="G438" s="27"/>
      <c r="H438" s="20"/>
      <c r="I438" s="21"/>
      <c r="J438" s="28"/>
      <c r="K438" s="19"/>
    </row>
    <row r="439" spans="1:11" ht="13.2">
      <c r="A439" s="22"/>
      <c r="B439" s="16"/>
      <c r="C439" s="23"/>
      <c r="D439" s="24"/>
      <c r="E439" s="25"/>
      <c r="F439" s="26"/>
      <c r="G439" s="27"/>
      <c r="H439" s="20"/>
      <c r="I439" s="21"/>
      <c r="J439" s="28"/>
      <c r="K439" s="19"/>
    </row>
    <row r="440" spans="1:11" ht="13.2">
      <c r="A440" s="22"/>
      <c r="B440" s="16"/>
      <c r="C440" s="23"/>
      <c r="D440" s="24"/>
      <c r="E440" s="25"/>
      <c r="F440" s="26"/>
      <c r="G440" s="27"/>
      <c r="H440" s="20"/>
      <c r="I440" s="21"/>
      <c r="J440" s="28"/>
      <c r="K440" s="19"/>
    </row>
    <row r="441" spans="1:11" ht="13.2">
      <c r="A441" s="22"/>
      <c r="B441" s="16"/>
      <c r="C441" s="23"/>
      <c r="D441" s="24"/>
      <c r="E441" s="25"/>
      <c r="F441" s="26"/>
      <c r="G441" s="27"/>
      <c r="H441" s="20"/>
      <c r="I441" s="21"/>
      <c r="J441" s="28"/>
      <c r="K441" s="19"/>
    </row>
    <row r="442" spans="1:11" ht="13.2">
      <c r="A442" s="22"/>
      <c r="B442" s="16"/>
      <c r="C442" s="23"/>
      <c r="D442" s="24"/>
      <c r="E442" s="25"/>
      <c r="F442" s="26"/>
      <c r="G442" s="27"/>
      <c r="H442" s="20"/>
      <c r="I442" s="21"/>
      <c r="J442" s="28"/>
      <c r="K442" s="19"/>
    </row>
    <row r="443" spans="1:11" ht="13.2">
      <c r="A443" s="22"/>
      <c r="B443" s="16"/>
      <c r="C443" s="23"/>
      <c r="D443" s="24"/>
      <c r="E443" s="25"/>
      <c r="F443" s="26"/>
      <c r="G443" s="27"/>
      <c r="H443" s="20"/>
      <c r="I443" s="21"/>
      <c r="J443" s="28"/>
      <c r="K443" s="19"/>
    </row>
    <row r="444" spans="1:11" ht="13.2">
      <c r="A444" s="22"/>
      <c r="B444" s="16"/>
      <c r="C444" s="23"/>
      <c r="D444" s="24"/>
      <c r="E444" s="25"/>
      <c r="F444" s="26"/>
      <c r="G444" s="27"/>
      <c r="H444" s="20"/>
      <c r="I444" s="21"/>
      <c r="J444" s="28"/>
      <c r="K444" s="19"/>
    </row>
    <row r="445" spans="1:11" ht="13.2">
      <c r="A445" s="22"/>
      <c r="B445" s="16"/>
      <c r="C445" s="23"/>
      <c r="D445" s="24"/>
      <c r="E445" s="25"/>
      <c r="F445" s="26"/>
      <c r="G445" s="27"/>
      <c r="H445" s="20"/>
      <c r="I445" s="21"/>
      <c r="J445" s="28"/>
      <c r="K445" s="19"/>
    </row>
    <row r="446" spans="1:11" ht="13.2">
      <c r="A446" s="22"/>
      <c r="B446" s="16"/>
      <c r="C446" s="23"/>
      <c r="D446" s="24"/>
      <c r="E446" s="25"/>
      <c r="F446" s="26"/>
      <c r="G446" s="27"/>
      <c r="H446" s="20"/>
      <c r="I446" s="21"/>
      <c r="J446" s="28"/>
      <c r="K446" s="19"/>
    </row>
    <row r="447" spans="1:11" ht="13.2">
      <c r="A447" s="22"/>
      <c r="B447" s="16"/>
      <c r="C447" s="23"/>
      <c r="D447" s="24"/>
      <c r="E447" s="25"/>
      <c r="F447" s="26"/>
      <c r="G447" s="27"/>
      <c r="H447" s="20"/>
      <c r="I447" s="21"/>
      <c r="J447" s="28"/>
      <c r="K447" s="19"/>
    </row>
    <row r="448" spans="1:11" ht="13.2">
      <c r="A448" s="22"/>
      <c r="B448" s="16"/>
      <c r="C448" s="23"/>
      <c r="D448" s="24"/>
      <c r="E448" s="25"/>
      <c r="F448" s="26"/>
      <c r="G448" s="27"/>
      <c r="H448" s="20"/>
      <c r="I448" s="21"/>
      <c r="J448" s="28"/>
      <c r="K448" s="19"/>
    </row>
    <row r="449" spans="1:11" ht="13.2">
      <c r="A449" s="22"/>
      <c r="B449" s="16"/>
      <c r="C449" s="23"/>
      <c r="D449" s="24"/>
      <c r="E449" s="25"/>
      <c r="F449" s="26"/>
      <c r="G449" s="27"/>
      <c r="H449" s="20"/>
      <c r="I449" s="21"/>
      <c r="J449" s="28"/>
      <c r="K449" s="19"/>
    </row>
    <row r="450" spans="1:11" ht="13.2">
      <c r="A450" s="22"/>
      <c r="B450" s="16"/>
      <c r="C450" s="23"/>
      <c r="D450" s="24"/>
      <c r="E450" s="25"/>
      <c r="F450" s="26"/>
      <c r="G450" s="27"/>
      <c r="H450" s="20"/>
      <c r="I450" s="21"/>
      <c r="J450" s="28"/>
      <c r="K450" s="19"/>
    </row>
    <row r="451" spans="1:11" ht="13.2">
      <c r="A451" s="22"/>
      <c r="B451" s="16"/>
      <c r="C451" s="23"/>
      <c r="D451" s="24"/>
      <c r="E451" s="25"/>
      <c r="F451" s="26"/>
      <c r="G451" s="27"/>
      <c r="H451" s="20"/>
      <c r="I451" s="21"/>
      <c r="J451" s="28"/>
      <c r="K451" s="19"/>
    </row>
    <row r="452" spans="1:11" ht="13.2">
      <c r="A452" s="22"/>
      <c r="B452" s="16"/>
      <c r="C452" s="23"/>
      <c r="D452" s="24"/>
      <c r="E452" s="25"/>
      <c r="F452" s="26"/>
      <c r="G452" s="27"/>
      <c r="H452" s="20"/>
      <c r="I452" s="21"/>
      <c r="J452" s="28"/>
      <c r="K452" s="19"/>
    </row>
    <row r="453" spans="1:11" ht="13.2">
      <c r="A453" s="22"/>
      <c r="B453" s="16"/>
      <c r="C453" s="23"/>
      <c r="D453" s="24"/>
      <c r="E453" s="25"/>
      <c r="F453" s="26"/>
      <c r="G453" s="27"/>
      <c r="H453" s="20"/>
      <c r="I453" s="21"/>
      <c r="J453" s="28"/>
      <c r="K453" s="19"/>
    </row>
    <row r="454" spans="1:11" ht="13.2">
      <c r="A454" s="22"/>
      <c r="B454" s="16"/>
      <c r="C454" s="23"/>
      <c r="D454" s="24"/>
      <c r="E454" s="25"/>
      <c r="F454" s="26"/>
      <c r="G454" s="27"/>
      <c r="H454" s="20"/>
      <c r="I454" s="21"/>
      <c r="J454" s="28"/>
      <c r="K454" s="19"/>
    </row>
    <row r="455" spans="1:11" ht="13.2">
      <c r="A455" s="22"/>
      <c r="B455" s="16"/>
      <c r="C455" s="23"/>
      <c r="D455" s="24"/>
      <c r="E455" s="25"/>
      <c r="F455" s="26"/>
      <c r="G455" s="27"/>
      <c r="H455" s="20"/>
      <c r="I455" s="21"/>
      <c r="J455" s="28"/>
      <c r="K455" s="19"/>
    </row>
    <row r="456" spans="1:11" ht="13.2">
      <c r="A456" s="22"/>
      <c r="B456" s="16"/>
      <c r="C456" s="23"/>
      <c r="D456" s="24"/>
      <c r="E456" s="25"/>
      <c r="F456" s="26"/>
      <c r="G456" s="27"/>
      <c r="H456" s="20"/>
      <c r="I456" s="21"/>
      <c r="J456" s="28"/>
      <c r="K456" s="19"/>
    </row>
    <row r="457" spans="1:11" ht="13.2">
      <c r="A457" s="22"/>
      <c r="B457" s="16"/>
      <c r="C457" s="23"/>
      <c r="D457" s="24"/>
      <c r="E457" s="25"/>
      <c r="F457" s="26"/>
      <c r="G457" s="27"/>
      <c r="H457" s="20"/>
      <c r="I457" s="21"/>
      <c r="J457" s="28"/>
      <c r="K457" s="19"/>
    </row>
    <row r="458" spans="1:11" ht="13.2">
      <c r="A458" s="22"/>
      <c r="B458" s="16"/>
      <c r="C458" s="23"/>
      <c r="D458" s="24"/>
      <c r="E458" s="25"/>
      <c r="F458" s="26"/>
      <c r="G458" s="27"/>
      <c r="H458" s="20"/>
      <c r="I458" s="21"/>
      <c r="J458" s="28"/>
      <c r="K458" s="19"/>
    </row>
    <row r="459" spans="1:11" ht="13.2">
      <c r="A459" s="22"/>
      <c r="B459" s="16"/>
      <c r="C459" s="23"/>
      <c r="D459" s="24"/>
      <c r="E459" s="25"/>
      <c r="F459" s="26"/>
      <c r="G459" s="27"/>
      <c r="H459" s="20"/>
      <c r="I459" s="21"/>
      <c r="J459" s="28"/>
      <c r="K459" s="19"/>
    </row>
    <row r="460" spans="1:11" ht="13.2">
      <c r="A460" s="22"/>
      <c r="B460" s="16"/>
      <c r="C460" s="23"/>
      <c r="D460" s="24"/>
      <c r="E460" s="25"/>
      <c r="F460" s="26"/>
      <c r="G460" s="27"/>
      <c r="H460" s="20"/>
      <c r="I460" s="21"/>
      <c r="J460" s="28"/>
      <c r="K460" s="19"/>
    </row>
    <row r="461" spans="1:11" ht="13.2">
      <c r="A461" s="22"/>
      <c r="B461" s="16"/>
      <c r="C461" s="23"/>
      <c r="D461" s="24"/>
      <c r="E461" s="25"/>
      <c r="F461" s="26"/>
      <c r="G461" s="27"/>
      <c r="H461" s="20"/>
      <c r="I461" s="21"/>
      <c r="J461" s="28"/>
      <c r="K461" s="19"/>
    </row>
    <row r="462" spans="1:11" ht="13.2">
      <c r="A462" s="22"/>
      <c r="B462" s="16"/>
      <c r="C462" s="23"/>
      <c r="D462" s="24"/>
      <c r="E462" s="25"/>
      <c r="F462" s="26"/>
      <c r="G462" s="27"/>
      <c r="H462" s="20"/>
      <c r="I462" s="21"/>
      <c r="J462" s="28"/>
      <c r="K462" s="19"/>
    </row>
    <row r="463" spans="1:11" ht="13.2">
      <c r="A463" s="22"/>
      <c r="B463" s="16"/>
      <c r="C463" s="23"/>
      <c r="D463" s="24"/>
      <c r="E463" s="25"/>
      <c r="F463" s="26"/>
      <c r="G463" s="27"/>
      <c r="H463" s="20"/>
      <c r="I463" s="21"/>
      <c r="J463" s="28"/>
      <c r="K463" s="19"/>
    </row>
    <row r="464" spans="1:11" ht="13.2">
      <c r="A464" s="22"/>
      <c r="B464" s="16"/>
      <c r="C464" s="23"/>
      <c r="D464" s="24"/>
      <c r="E464" s="25"/>
      <c r="F464" s="26"/>
      <c r="G464" s="27"/>
      <c r="H464" s="20"/>
      <c r="I464" s="21"/>
      <c r="J464" s="28"/>
      <c r="K464" s="19"/>
    </row>
    <row r="465" spans="1:11" ht="13.2">
      <c r="A465" s="22"/>
      <c r="B465" s="16"/>
      <c r="C465" s="23"/>
      <c r="D465" s="24"/>
      <c r="E465" s="25"/>
      <c r="F465" s="26"/>
      <c r="G465" s="27"/>
      <c r="H465" s="20"/>
      <c r="I465" s="21"/>
      <c r="J465" s="28"/>
      <c r="K465" s="19"/>
    </row>
    <row r="466" spans="1:11" ht="13.2">
      <c r="A466" s="22"/>
      <c r="B466" s="16"/>
      <c r="C466" s="23"/>
      <c r="D466" s="24"/>
      <c r="E466" s="25"/>
      <c r="F466" s="26"/>
      <c r="G466" s="27"/>
      <c r="H466" s="20"/>
      <c r="I466" s="21"/>
      <c r="J466" s="28"/>
      <c r="K466" s="19"/>
    </row>
    <row r="467" spans="1:11" ht="13.2">
      <c r="A467" s="22"/>
      <c r="B467" s="16"/>
      <c r="C467" s="23"/>
      <c r="D467" s="24"/>
      <c r="E467" s="25"/>
      <c r="F467" s="26"/>
      <c r="G467" s="27"/>
      <c r="H467" s="20"/>
      <c r="I467" s="21"/>
      <c r="J467" s="28"/>
      <c r="K467" s="19"/>
    </row>
    <row r="468" spans="1:11" ht="13.2">
      <c r="A468" s="22"/>
      <c r="B468" s="16"/>
      <c r="C468" s="23"/>
      <c r="D468" s="24"/>
      <c r="E468" s="25"/>
      <c r="F468" s="26"/>
      <c r="G468" s="27"/>
      <c r="H468" s="20"/>
      <c r="I468" s="21"/>
      <c r="J468" s="28"/>
      <c r="K468" s="19"/>
    </row>
    <row r="469" spans="1:11" ht="13.2">
      <c r="A469" s="22"/>
      <c r="B469" s="16"/>
      <c r="C469" s="23"/>
      <c r="D469" s="24"/>
      <c r="E469" s="25"/>
      <c r="F469" s="26"/>
      <c r="G469" s="27"/>
      <c r="H469" s="20"/>
      <c r="I469" s="21"/>
      <c r="J469" s="28"/>
      <c r="K469" s="19"/>
    </row>
    <row r="470" spans="1:11" ht="13.2">
      <c r="A470" s="22"/>
      <c r="B470" s="16"/>
      <c r="C470" s="23"/>
      <c r="D470" s="24"/>
      <c r="E470" s="25"/>
      <c r="F470" s="26"/>
      <c r="G470" s="27"/>
      <c r="H470" s="20"/>
      <c r="I470" s="21"/>
      <c r="J470" s="28"/>
      <c r="K470" s="19"/>
    </row>
    <row r="471" spans="1:11" ht="13.2">
      <c r="A471" s="22"/>
      <c r="B471" s="16"/>
      <c r="C471" s="23"/>
      <c r="D471" s="24"/>
      <c r="E471" s="25"/>
      <c r="F471" s="26"/>
      <c r="G471" s="27"/>
      <c r="H471" s="20"/>
      <c r="I471" s="21"/>
      <c r="J471" s="28"/>
      <c r="K471" s="19"/>
    </row>
    <row r="472" spans="1:11" ht="13.2">
      <c r="A472" s="22"/>
      <c r="B472" s="16"/>
      <c r="C472" s="23"/>
      <c r="D472" s="24"/>
      <c r="E472" s="25"/>
      <c r="F472" s="26"/>
      <c r="G472" s="27"/>
      <c r="H472" s="20"/>
      <c r="I472" s="21"/>
      <c r="J472" s="28"/>
      <c r="K472" s="19"/>
    </row>
    <row r="473" spans="1:11" ht="13.2">
      <c r="A473" s="22"/>
      <c r="B473" s="16"/>
      <c r="C473" s="23"/>
      <c r="D473" s="24"/>
      <c r="E473" s="25"/>
      <c r="F473" s="26"/>
      <c r="G473" s="27"/>
      <c r="H473" s="20"/>
      <c r="I473" s="21"/>
      <c r="J473" s="28"/>
      <c r="K473" s="19"/>
    </row>
    <row r="474" spans="1:11" ht="13.2">
      <c r="A474" s="22"/>
      <c r="B474" s="16"/>
      <c r="C474" s="23"/>
      <c r="D474" s="24"/>
      <c r="E474" s="25"/>
      <c r="F474" s="26"/>
      <c r="G474" s="27"/>
      <c r="H474" s="20"/>
      <c r="I474" s="21"/>
      <c r="J474" s="28"/>
      <c r="K474" s="19"/>
    </row>
    <row r="475" spans="1:11" ht="13.2">
      <c r="A475" s="22"/>
      <c r="B475" s="16"/>
      <c r="C475" s="23"/>
      <c r="D475" s="24"/>
      <c r="E475" s="25"/>
      <c r="F475" s="26"/>
      <c r="G475" s="27"/>
      <c r="H475" s="20"/>
      <c r="I475" s="21"/>
      <c r="J475" s="28"/>
      <c r="K475" s="19"/>
    </row>
    <row r="476" spans="1:11" ht="13.2">
      <c r="A476" s="22"/>
      <c r="B476" s="16"/>
      <c r="C476" s="23"/>
      <c r="D476" s="24"/>
      <c r="E476" s="25"/>
      <c r="F476" s="26"/>
      <c r="G476" s="27"/>
      <c r="H476" s="20"/>
      <c r="I476" s="21"/>
      <c r="J476" s="28"/>
      <c r="K476" s="19"/>
    </row>
    <row r="477" spans="1:11" ht="13.2">
      <c r="A477" s="22"/>
      <c r="B477" s="16"/>
      <c r="C477" s="23"/>
      <c r="D477" s="24"/>
      <c r="E477" s="25"/>
      <c r="F477" s="26"/>
      <c r="G477" s="27"/>
      <c r="H477" s="20"/>
      <c r="I477" s="21"/>
      <c r="J477" s="28"/>
      <c r="K477" s="19"/>
    </row>
    <row r="478" spans="1:11" ht="13.2">
      <c r="A478" s="22"/>
      <c r="B478" s="16"/>
      <c r="C478" s="23"/>
      <c r="D478" s="24"/>
      <c r="E478" s="25"/>
      <c r="F478" s="26"/>
      <c r="G478" s="27"/>
      <c r="H478" s="20"/>
      <c r="I478" s="21"/>
      <c r="J478" s="28"/>
      <c r="K478" s="19"/>
    </row>
    <row r="479" spans="1:11" ht="13.2">
      <c r="A479" s="22"/>
      <c r="B479" s="16"/>
      <c r="C479" s="23"/>
      <c r="D479" s="24"/>
      <c r="E479" s="25"/>
      <c r="F479" s="26"/>
      <c r="G479" s="27"/>
      <c r="H479" s="20"/>
      <c r="I479" s="21"/>
      <c r="J479" s="28"/>
      <c r="K479" s="19"/>
    </row>
    <row r="480" spans="1:11" ht="13.2">
      <c r="A480" s="22"/>
      <c r="B480" s="16"/>
      <c r="C480" s="23"/>
      <c r="D480" s="24"/>
      <c r="E480" s="25"/>
      <c r="F480" s="26"/>
      <c r="G480" s="27"/>
      <c r="H480" s="20"/>
      <c r="I480" s="21"/>
      <c r="J480" s="28"/>
      <c r="K480" s="19"/>
    </row>
    <row r="481" spans="1:11" ht="13.2">
      <c r="A481" s="22"/>
      <c r="B481" s="16"/>
      <c r="C481" s="23"/>
      <c r="D481" s="24"/>
      <c r="E481" s="25"/>
      <c r="F481" s="26"/>
      <c r="G481" s="27"/>
      <c r="H481" s="20"/>
      <c r="I481" s="21"/>
      <c r="J481" s="28"/>
      <c r="K481" s="19"/>
    </row>
    <row r="482" spans="1:11" ht="13.2">
      <c r="A482" s="22"/>
      <c r="B482" s="16"/>
      <c r="C482" s="23"/>
      <c r="D482" s="24"/>
      <c r="E482" s="25"/>
      <c r="F482" s="26"/>
      <c r="G482" s="27"/>
      <c r="H482" s="20"/>
      <c r="I482" s="21"/>
      <c r="J482" s="28"/>
      <c r="K482" s="19"/>
    </row>
    <row r="483" spans="1:11" ht="13.2">
      <c r="A483" s="22"/>
      <c r="B483" s="16"/>
      <c r="C483" s="23"/>
      <c r="D483" s="24"/>
      <c r="E483" s="25"/>
      <c r="F483" s="26"/>
      <c r="G483" s="27"/>
      <c r="H483" s="20"/>
      <c r="I483" s="21"/>
      <c r="J483" s="28"/>
      <c r="K483" s="19"/>
    </row>
    <row r="484" spans="1:11" ht="13.2">
      <c r="A484" s="22"/>
      <c r="B484" s="16"/>
      <c r="C484" s="23"/>
      <c r="D484" s="24"/>
      <c r="E484" s="25"/>
      <c r="F484" s="26"/>
      <c r="G484" s="27"/>
      <c r="H484" s="20"/>
      <c r="I484" s="21"/>
      <c r="J484" s="28"/>
      <c r="K484" s="19"/>
    </row>
    <row r="485" spans="1:11" ht="13.2">
      <c r="A485" s="22"/>
      <c r="B485" s="16"/>
      <c r="C485" s="23"/>
      <c r="D485" s="24"/>
      <c r="E485" s="25"/>
      <c r="F485" s="26"/>
      <c r="G485" s="27"/>
      <c r="H485" s="20"/>
      <c r="I485" s="21"/>
      <c r="J485" s="28"/>
      <c r="K485" s="19"/>
    </row>
    <row r="486" spans="1:11" ht="13.2">
      <c r="A486" s="22"/>
      <c r="B486" s="16"/>
      <c r="C486" s="23"/>
      <c r="D486" s="24"/>
      <c r="E486" s="25"/>
      <c r="F486" s="26"/>
      <c r="G486" s="27"/>
      <c r="H486" s="20"/>
      <c r="I486" s="21"/>
      <c r="J486" s="28"/>
      <c r="K486" s="19"/>
    </row>
    <row r="487" spans="1:11" ht="13.2">
      <c r="A487" s="22"/>
      <c r="B487" s="16"/>
      <c r="C487" s="23"/>
      <c r="D487" s="24"/>
      <c r="E487" s="25"/>
      <c r="F487" s="26"/>
      <c r="G487" s="27"/>
      <c r="H487" s="20"/>
      <c r="I487" s="21"/>
      <c r="J487" s="28"/>
      <c r="K487" s="19"/>
    </row>
    <row r="488" spans="1:11" ht="13.2">
      <c r="A488" s="22"/>
      <c r="B488" s="16"/>
      <c r="C488" s="23"/>
      <c r="D488" s="24"/>
      <c r="E488" s="25"/>
      <c r="F488" s="26"/>
      <c r="G488" s="27"/>
      <c r="H488" s="20"/>
      <c r="I488" s="21"/>
      <c r="J488" s="28"/>
      <c r="K488" s="19"/>
    </row>
    <row r="489" spans="1:11" ht="13.2">
      <c r="A489" s="22"/>
      <c r="B489" s="16"/>
      <c r="C489" s="23"/>
      <c r="D489" s="24"/>
      <c r="E489" s="25"/>
      <c r="F489" s="26"/>
      <c r="G489" s="27"/>
      <c r="H489" s="20"/>
      <c r="I489" s="21"/>
      <c r="J489" s="28"/>
      <c r="K489" s="19"/>
    </row>
    <row r="490" spans="1:11" ht="13.2">
      <c r="A490" s="22"/>
      <c r="B490" s="16"/>
      <c r="C490" s="23"/>
      <c r="D490" s="24"/>
      <c r="E490" s="25"/>
      <c r="F490" s="26"/>
      <c r="G490" s="27"/>
      <c r="H490" s="20"/>
      <c r="I490" s="21"/>
      <c r="J490" s="28"/>
      <c r="K490" s="19"/>
    </row>
    <row r="491" spans="1:11" ht="13.2">
      <c r="A491" s="22"/>
      <c r="B491" s="16"/>
      <c r="C491" s="23"/>
      <c r="D491" s="24"/>
      <c r="E491" s="25"/>
      <c r="F491" s="26"/>
      <c r="G491" s="27"/>
      <c r="H491" s="20"/>
      <c r="I491" s="21"/>
      <c r="J491" s="28"/>
      <c r="K491" s="19"/>
    </row>
    <row r="492" spans="1:11" ht="13.2">
      <c r="A492" s="22"/>
      <c r="B492" s="16"/>
      <c r="C492" s="23"/>
      <c r="D492" s="24"/>
      <c r="E492" s="25"/>
      <c r="F492" s="26"/>
      <c r="G492" s="27"/>
      <c r="H492" s="20"/>
      <c r="I492" s="21"/>
      <c r="J492" s="28"/>
      <c r="K492" s="19"/>
    </row>
    <row r="493" spans="1:11" ht="13.2">
      <c r="A493" s="22"/>
      <c r="B493" s="16"/>
      <c r="C493" s="23"/>
      <c r="D493" s="24"/>
      <c r="E493" s="25"/>
      <c r="F493" s="26"/>
      <c r="G493" s="27"/>
      <c r="H493" s="20"/>
      <c r="I493" s="21"/>
      <c r="J493" s="28"/>
      <c r="K493" s="19"/>
    </row>
    <row r="494" spans="1:11" ht="13.2">
      <c r="A494" s="22"/>
      <c r="B494" s="16"/>
      <c r="C494" s="23"/>
      <c r="D494" s="24"/>
      <c r="E494" s="25"/>
      <c r="F494" s="26"/>
      <c r="G494" s="27"/>
      <c r="H494" s="20"/>
      <c r="I494" s="21"/>
      <c r="J494" s="28"/>
      <c r="K494" s="19"/>
    </row>
    <row r="495" spans="1:11" ht="13.2">
      <c r="A495" s="22"/>
      <c r="B495" s="16"/>
      <c r="C495" s="23"/>
      <c r="D495" s="24"/>
      <c r="E495" s="25"/>
      <c r="F495" s="26"/>
      <c r="G495" s="27"/>
      <c r="H495" s="20"/>
      <c r="I495" s="21"/>
      <c r="J495" s="28"/>
      <c r="K495" s="19"/>
    </row>
    <row r="496" spans="1:11" ht="13.2">
      <c r="A496" s="22"/>
      <c r="B496" s="16"/>
      <c r="C496" s="23"/>
      <c r="D496" s="24"/>
      <c r="E496" s="25"/>
      <c r="F496" s="26"/>
      <c r="G496" s="27"/>
      <c r="H496" s="20"/>
      <c r="I496" s="21"/>
      <c r="J496" s="28"/>
      <c r="K496" s="19"/>
    </row>
    <row r="497" spans="1:11" ht="13.2">
      <c r="A497" s="22"/>
      <c r="B497" s="16"/>
      <c r="C497" s="23"/>
      <c r="D497" s="24"/>
      <c r="E497" s="25"/>
      <c r="F497" s="26"/>
      <c r="G497" s="27"/>
      <c r="H497" s="20"/>
      <c r="I497" s="21"/>
      <c r="J497" s="28"/>
      <c r="K497" s="19"/>
    </row>
    <row r="498" spans="1:11" ht="13.2">
      <c r="A498" s="22"/>
      <c r="B498" s="16"/>
      <c r="C498" s="23"/>
      <c r="D498" s="24"/>
      <c r="E498" s="25"/>
      <c r="F498" s="26"/>
      <c r="G498" s="27"/>
      <c r="H498" s="20"/>
      <c r="I498" s="21"/>
      <c r="J498" s="28"/>
      <c r="K498" s="19"/>
    </row>
    <row r="499" spans="1:11" ht="13.2">
      <c r="A499" s="22"/>
      <c r="B499" s="16"/>
      <c r="C499" s="23"/>
      <c r="D499" s="24"/>
      <c r="E499" s="25"/>
      <c r="F499" s="26"/>
      <c r="G499" s="27"/>
      <c r="H499" s="20"/>
      <c r="I499" s="21"/>
      <c r="J499" s="28"/>
      <c r="K499" s="19"/>
    </row>
    <row r="500" spans="1:11" ht="13.2">
      <c r="A500" s="22"/>
      <c r="B500" s="16"/>
      <c r="C500" s="23"/>
      <c r="D500" s="24"/>
      <c r="E500" s="25"/>
      <c r="F500" s="26"/>
      <c r="G500" s="27"/>
      <c r="H500" s="20"/>
      <c r="I500" s="21"/>
      <c r="J500" s="28"/>
      <c r="K500" s="19"/>
    </row>
    <row r="501" spans="1:11" ht="13.2">
      <c r="A501" s="22"/>
      <c r="B501" s="16"/>
      <c r="C501" s="23"/>
      <c r="D501" s="24"/>
      <c r="E501" s="25"/>
      <c r="F501" s="26"/>
      <c r="G501" s="27"/>
      <c r="H501" s="20"/>
      <c r="I501" s="21"/>
      <c r="J501" s="28"/>
      <c r="K501" s="19"/>
    </row>
    <row r="502" spans="1:11" ht="13.2">
      <c r="A502" s="22"/>
      <c r="B502" s="16"/>
      <c r="C502" s="23"/>
      <c r="D502" s="24"/>
      <c r="E502" s="25"/>
      <c r="F502" s="26"/>
      <c r="G502" s="27"/>
      <c r="H502" s="20"/>
      <c r="I502" s="21"/>
      <c r="J502" s="28"/>
      <c r="K502" s="19"/>
    </row>
    <row r="503" spans="1:11" ht="13.2">
      <c r="A503" s="22"/>
      <c r="B503" s="16"/>
      <c r="C503" s="23"/>
      <c r="D503" s="24"/>
      <c r="E503" s="25"/>
      <c r="F503" s="26"/>
      <c r="G503" s="27"/>
      <c r="H503" s="20"/>
      <c r="I503" s="21"/>
      <c r="J503" s="28"/>
      <c r="K503" s="19"/>
    </row>
    <row r="504" spans="1:11" ht="13.2">
      <c r="A504" s="22"/>
      <c r="B504" s="16"/>
      <c r="C504" s="23"/>
      <c r="D504" s="24"/>
      <c r="E504" s="25"/>
      <c r="F504" s="26"/>
      <c r="G504" s="27"/>
      <c r="H504" s="20"/>
      <c r="I504" s="21"/>
      <c r="J504" s="28"/>
      <c r="K504" s="19"/>
    </row>
    <row r="505" spans="1:11" ht="13.2">
      <c r="A505" s="22"/>
      <c r="B505" s="16"/>
      <c r="C505" s="23"/>
      <c r="D505" s="24"/>
      <c r="E505" s="25"/>
      <c r="F505" s="26"/>
      <c r="G505" s="27"/>
      <c r="H505" s="20"/>
      <c r="I505" s="21"/>
      <c r="J505" s="28"/>
      <c r="K505" s="19"/>
    </row>
    <row r="506" spans="1:11" ht="13.2">
      <c r="A506" s="22"/>
      <c r="B506" s="16"/>
      <c r="C506" s="23"/>
      <c r="D506" s="24"/>
      <c r="E506" s="25"/>
      <c r="F506" s="26"/>
      <c r="G506" s="27"/>
      <c r="H506" s="20"/>
      <c r="I506" s="21"/>
      <c r="J506" s="28"/>
      <c r="K506" s="19"/>
    </row>
    <row r="507" spans="1:11" ht="13.2">
      <c r="A507" s="22"/>
      <c r="B507" s="16"/>
      <c r="C507" s="23"/>
      <c r="D507" s="24"/>
      <c r="E507" s="25"/>
      <c r="F507" s="26"/>
      <c r="G507" s="27"/>
      <c r="H507" s="20"/>
      <c r="I507" s="21"/>
      <c r="J507" s="28"/>
      <c r="K507" s="19"/>
    </row>
    <row r="508" spans="1:11" ht="13.2">
      <c r="A508" s="22"/>
      <c r="B508" s="16"/>
      <c r="C508" s="23"/>
      <c r="D508" s="24"/>
      <c r="E508" s="25"/>
      <c r="F508" s="26"/>
      <c r="G508" s="27"/>
      <c r="H508" s="20"/>
      <c r="I508" s="21"/>
      <c r="J508" s="28"/>
      <c r="K508" s="19"/>
    </row>
    <row r="509" spans="1:11" ht="13.2">
      <c r="A509" s="22"/>
      <c r="B509" s="16"/>
      <c r="C509" s="23"/>
      <c r="D509" s="24"/>
      <c r="E509" s="25"/>
      <c r="F509" s="26"/>
      <c r="G509" s="27"/>
      <c r="H509" s="20"/>
      <c r="I509" s="21"/>
      <c r="J509" s="28"/>
      <c r="K509" s="19"/>
    </row>
    <row r="510" spans="1:11" ht="13.2">
      <c r="A510" s="22"/>
      <c r="B510" s="16"/>
      <c r="C510" s="23"/>
      <c r="D510" s="24"/>
      <c r="E510" s="25"/>
      <c r="F510" s="26"/>
      <c r="G510" s="27"/>
      <c r="H510" s="20"/>
      <c r="I510" s="21"/>
      <c r="J510" s="28"/>
      <c r="K510" s="19"/>
    </row>
    <row r="511" spans="1:11" ht="13.2">
      <c r="A511" s="22"/>
      <c r="B511" s="16"/>
      <c r="C511" s="23"/>
      <c r="D511" s="24"/>
      <c r="E511" s="25"/>
      <c r="F511" s="26"/>
      <c r="G511" s="27"/>
      <c r="H511" s="20"/>
      <c r="I511" s="21"/>
      <c r="J511" s="28"/>
      <c r="K511" s="19"/>
    </row>
    <row r="512" spans="1:11" ht="13.2">
      <c r="A512" s="22"/>
      <c r="B512" s="16"/>
      <c r="C512" s="23"/>
      <c r="D512" s="24"/>
      <c r="E512" s="25"/>
      <c r="F512" s="26"/>
      <c r="G512" s="27"/>
      <c r="H512" s="20"/>
      <c r="I512" s="21"/>
      <c r="J512" s="28"/>
      <c r="K512" s="19"/>
    </row>
    <row r="513" spans="1:11" ht="13.2">
      <c r="A513" s="22"/>
      <c r="B513" s="16"/>
      <c r="C513" s="23"/>
      <c r="D513" s="24"/>
      <c r="E513" s="25"/>
      <c r="F513" s="26"/>
      <c r="G513" s="27"/>
      <c r="H513" s="20"/>
      <c r="I513" s="21"/>
      <c r="J513" s="28"/>
      <c r="K513" s="19"/>
    </row>
    <row r="514" spans="1:11" ht="13.2">
      <c r="A514" s="22"/>
      <c r="B514" s="16"/>
      <c r="C514" s="23"/>
      <c r="D514" s="24"/>
      <c r="E514" s="25"/>
      <c r="F514" s="26"/>
      <c r="G514" s="27"/>
      <c r="H514" s="20"/>
      <c r="I514" s="21"/>
      <c r="J514" s="28"/>
      <c r="K514" s="19"/>
    </row>
    <row r="515" spans="1:11" ht="13.2">
      <c r="A515" s="22"/>
      <c r="B515" s="16"/>
      <c r="C515" s="23"/>
      <c r="D515" s="24"/>
      <c r="E515" s="25"/>
      <c r="F515" s="26"/>
      <c r="G515" s="27"/>
      <c r="H515" s="20"/>
      <c r="I515" s="21"/>
      <c r="J515" s="28"/>
      <c r="K515" s="19"/>
    </row>
    <row r="516" spans="1:11" ht="13.2">
      <c r="A516" s="22"/>
      <c r="B516" s="16"/>
      <c r="C516" s="23"/>
      <c r="D516" s="24"/>
      <c r="E516" s="25"/>
      <c r="F516" s="26"/>
      <c r="G516" s="27"/>
      <c r="H516" s="20"/>
      <c r="I516" s="21"/>
      <c r="J516" s="28"/>
      <c r="K516" s="19"/>
    </row>
    <row r="517" spans="1:11" ht="13.2">
      <c r="A517" s="22"/>
      <c r="B517" s="16"/>
      <c r="C517" s="23"/>
      <c r="D517" s="24"/>
      <c r="E517" s="25"/>
      <c r="F517" s="26"/>
      <c r="G517" s="27"/>
      <c r="H517" s="20"/>
      <c r="I517" s="21"/>
      <c r="J517" s="28"/>
      <c r="K517" s="19"/>
    </row>
    <row r="518" spans="1:11" ht="13.2">
      <c r="A518" s="22"/>
      <c r="B518" s="16"/>
      <c r="C518" s="23"/>
      <c r="D518" s="24"/>
      <c r="E518" s="25"/>
      <c r="F518" s="26"/>
      <c r="G518" s="27"/>
      <c r="H518" s="20"/>
      <c r="I518" s="21"/>
      <c r="J518" s="28"/>
      <c r="K518" s="19"/>
    </row>
    <row r="519" spans="1:11" ht="13.2">
      <c r="A519" s="22"/>
      <c r="B519" s="16"/>
      <c r="C519" s="23"/>
      <c r="D519" s="24"/>
      <c r="E519" s="25"/>
      <c r="F519" s="26"/>
      <c r="G519" s="27"/>
      <c r="H519" s="20"/>
      <c r="I519" s="21"/>
      <c r="J519" s="28"/>
      <c r="K519" s="19"/>
    </row>
    <row r="520" spans="1:11" ht="13.2">
      <c r="A520" s="22"/>
      <c r="B520" s="16"/>
      <c r="C520" s="23"/>
      <c r="D520" s="24"/>
      <c r="E520" s="25"/>
      <c r="F520" s="26"/>
      <c r="G520" s="27"/>
      <c r="H520" s="20"/>
      <c r="I520" s="21"/>
      <c r="J520" s="28"/>
      <c r="K520" s="19"/>
    </row>
    <row r="521" spans="1:11" ht="13.2">
      <c r="A521" s="22"/>
      <c r="B521" s="16"/>
      <c r="C521" s="23"/>
      <c r="D521" s="24"/>
      <c r="E521" s="25"/>
      <c r="F521" s="26"/>
      <c r="G521" s="27"/>
      <c r="H521" s="20"/>
      <c r="I521" s="21"/>
      <c r="J521" s="28"/>
      <c r="K521" s="19"/>
    </row>
    <row r="522" spans="1:11" ht="13.2">
      <c r="A522" s="22"/>
      <c r="B522" s="16"/>
      <c r="C522" s="23"/>
      <c r="D522" s="24"/>
      <c r="E522" s="25"/>
      <c r="F522" s="26"/>
      <c r="G522" s="27"/>
      <c r="H522" s="20"/>
      <c r="I522" s="21"/>
      <c r="J522" s="28"/>
      <c r="K522" s="19"/>
    </row>
    <row r="523" spans="1:11" ht="13.2">
      <c r="A523" s="22"/>
      <c r="B523" s="16"/>
      <c r="C523" s="23"/>
      <c r="D523" s="24"/>
      <c r="E523" s="25"/>
      <c r="F523" s="26"/>
      <c r="G523" s="27"/>
      <c r="H523" s="20"/>
      <c r="I523" s="21"/>
      <c r="J523" s="28"/>
      <c r="K523" s="19"/>
    </row>
    <row r="524" spans="1:11" ht="13.2">
      <c r="A524" s="22"/>
      <c r="B524" s="16"/>
      <c r="C524" s="23"/>
      <c r="D524" s="24"/>
      <c r="E524" s="25"/>
      <c r="F524" s="26"/>
      <c r="G524" s="27"/>
      <c r="H524" s="20"/>
      <c r="I524" s="21"/>
      <c r="J524" s="28"/>
      <c r="K524" s="19"/>
    </row>
    <row r="525" spans="1:11" ht="13.2">
      <c r="A525" s="22"/>
      <c r="B525" s="16"/>
      <c r="C525" s="23"/>
      <c r="D525" s="24"/>
      <c r="E525" s="25"/>
      <c r="F525" s="26"/>
      <c r="G525" s="27"/>
      <c r="H525" s="20"/>
      <c r="I525" s="21"/>
      <c r="J525" s="28"/>
      <c r="K525" s="19"/>
    </row>
    <row r="526" spans="1:11" ht="13.2">
      <c r="A526" s="22"/>
      <c r="B526" s="16"/>
      <c r="C526" s="23"/>
      <c r="D526" s="24"/>
      <c r="E526" s="25"/>
      <c r="F526" s="26"/>
      <c r="G526" s="27"/>
      <c r="H526" s="20"/>
      <c r="I526" s="21"/>
      <c r="J526" s="28"/>
      <c r="K526" s="19"/>
    </row>
    <row r="527" spans="1:11" ht="13.2">
      <c r="A527" s="22"/>
      <c r="B527" s="16"/>
      <c r="C527" s="23"/>
      <c r="D527" s="24"/>
      <c r="E527" s="25"/>
      <c r="F527" s="26"/>
      <c r="G527" s="27"/>
      <c r="H527" s="20"/>
      <c r="I527" s="21"/>
      <c r="J527" s="28"/>
      <c r="K527" s="19"/>
    </row>
    <row r="528" spans="1:11" ht="13.2">
      <c r="A528" s="22"/>
      <c r="B528" s="16"/>
      <c r="C528" s="23"/>
      <c r="D528" s="24"/>
      <c r="E528" s="25"/>
      <c r="F528" s="26"/>
      <c r="G528" s="27"/>
      <c r="H528" s="20"/>
      <c r="I528" s="21"/>
      <c r="J528" s="28"/>
      <c r="K528" s="19"/>
    </row>
    <row r="529" spans="1:11" ht="13.2">
      <c r="A529" s="22"/>
      <c r="B529" s="16"/>
      <c r="C529" s="23"/>
      <c r="D529" s="24"/>
      <c r="E529" s="25"/>
      <c r="F529" s="26"/>
      <c r="G529" s="27"/>
      <c r="H529" s="20"/>
      <c r="I529" s="21"/>
      <c r="J529" s="28"/>
      <c r="K529" s="19"/>
    </row>
    <row r="530" spans="1:11" ht="13.2">
      <c r="A530" s="22"/>
      <c r="B530" s="16"/>
      <c r="C530" s="23"/>
      <c r="D530" s="24"/>
      <c r="E530" s="25"/>
      <c r="F530" s="26"/>
      <c r="G530" s="27"/>
      <c r="H530" s="20"/>
      <c r="I530" s="21"/>
      <c r="J530" s="28"/>
      <c r="K530" s="19"/>
    </row>
    <row r="531" spans="1:11" ht="13.2">
      <c r="A531" s="22"/>
      <c r="B531" s="16"/>
      <c r="C531" s="23"/>
      <c r="D531" s="24"/>
      <c r="E531" s="25"/>
      <c r="F531" s="26"/>
      <c r="G531" s="27"/>
      <c r="H531" s="20"/>
      <c r="I531" s="21"/>
      <c r="J531" s="28"/>
      <c r="K531" s="19"/>
    </row>
    <row r="532" spans="1:11" ht="13.2">
      <c r="A532" s="22"/>
      <c r="B532" s="16"/>
      <c r="C532" s="23"/>
      <c r="D532" s="24"/>
      <c r="E532" s="25"/>
      <c r="F532" s="26"/>
      <c r="G532" s="27"/>
      <c r="H532" s="20"/>
      <c r="I532" s="21"/>
      <c r="J532" s="28"/>
      <c r="K532" s="19"/>
    </row>
    <row r="533" spans="1:11" ht="13.2">
      <c r="A533" s="22"/>
      <c r="B533" s="16"/>
      <c r="C533" s="23"/>
      <c r="D533" s="24"/>
      <c r="E533" s="25"/>
      <c r="F533" s="26"/>
      <c r="G533" s="27"/>
      <c r="H533" s="20"/>
      <c r="I533" s="21"/>
      <c r="J533" s="28"/>
      <c r="K533" s="19"/>
    </row>
    <row r="534" spans="1:11" ht="13.2">
      <c r="A534" s="22"/>
      <c r="B534" s="16"/>
      <c r="C534" s="23"/>
      <c r="D534" s="24"/>
      <c r="E534" s="25"/>
      <c r="F534" s="26"/>
      <c r="G534" s="27"/>
      <c r="H534" s="20"/>
      <c r="I534" s="21"/>
      <c r="J534" s="28"/>
      <c r="K534" s="19"/>
    </row>
    <row r="535" spans="1:11" ht="13.2">
      <c r="A535" s="22"/>
      <c r="B535" s="16"/>
      <c r="C535" s="23"/>
      <c r="D535" s="24"/>
      <c r="E535" s="25"/>
      <c r="F535" s="26"/>
      <c r="G535" s="27"/>
      <c r="H535" s="20"/>
      <c r="I535" s="21"/>
      <c r="J535" s="28"/>
      <c r="K535" s="19"/>
    </row>
    <row r="536" spans="1:11" ht="13.2">
      <c r="A536" s="22"/>
      <c r="B536" s="16"/>
      <c r="C536" s="23"/>
      <c r="D536" s="24"/>
      <c r="E536" s="25"/>
      <c r="F536" s="26"/>
      <c r="G536" s="27"/>
      <c r="H536" s="20"/>
      <c r="I536" s="21"/>
      <c r="J536" s="28"/>
      <c r="K536" s="19"/>
    </row>
    <row r="537" spans="1:11" ht="13.2">
      <c r="A537" s="22"/>
      <c r="B537" s="16"/>
      <c r="C537" s="23"/>
      <c r="D537" s="24"/>
      <c r="E537" s="25"/>
      <c r="F537" s="26"/>
      <c r="G537" s="27"/>
      <c r="H537" s="20"/>
      <c r="I537" s="21"/>
      <c r="J537" s="28"/>
      <c r="K537" s="19"/>
    </row>
    <row r="538" spans="1:11" ht="13.2">
      <c r="A538" s="22"/>
      <c r="B538" s="16"/>
      <c r="C538" s="23"/>
      <c r="D538" s="24"/>
      <c r="E538" s="25"/>
      <c r="F538" s="26"/>
      <c r="G538" s="27"/>
      <c r="H538" s="20"/>
      <c r="I538" s="21"/>
      <c r="J538" s="28"/>
      <c r="K538" s="19"/>
    </row>
    <row r="539" spans="1:11" ht="13.2">
      <c r="A539" s="22"/>
      <c r="B539" s="16"/>
      <c r="C539" s="23"/>
      <c r="D539" s="24"/>
      <c r="E539" s="25"/>
      <c r="F539" s="26"/>
      <c r="G539" s="27"/>
      <c r="H539" s="20"/>
      <c r="I539" s="21"/>
      <c r="J539" s="28"/>
      <c r="K539" s="19"/>
    </row>
    <row r="540" spans="1:11" ht="13.2">
      <c r="A540" s="22"/>
      <c r="B540" s="16"/>
      <c r="C540" s="23"/>
      <c r="D540" s="24"/>
      <c r="E540" s="25"/>
      <c r="F540" s="26"/>
      <c r="G540" s="27"/>
      <c r="H540" s="20"/>
      <c r="I540" s="21"/>
      <c r="J540" s="28"/>
      <c r="K540" s="19"/>
    </row>
    <row r="541" spans="1:11" ht="13.2">
      <c r="A541" s="22"/>
      <c r="B541" s="16"/>
      <c r="C541" s="23"/>
      <c r="D541" s="24"/>
      <c r="E541" s="25"/>
      <c r="F541" s="26"/>
      <c r="G541" s="27"/>
      <c r="H541" s="20"/>
      <c r="I541" s="21"/>
      <c r="J541" s="28"/>
      <c r="K541" s="19"/>
    </row>
    <row r="542" spans="1:11" ht="13.2">
      <c r="A542" s="22"/>
      <c r="B542" s="16"/>
      <c r="C542" s="23"/>
      <c r="D542" s="24"/>
      <c r="E542" s="25"/>
      <c r="F542" s="26"/>
      <c r="G542" s="27"/>
      <c r="H542" s="20"/>
      <c r="I542" s="21"/>
      <c r="J542" s="28"/>
      <c r="K542" s="19"/>
    </row>
    <row r="543" spans="1:11" ht="13.2">
      <c r="A543" s="22"/>
      <c r="B543" s="16"/>
      <c r="C543" s="23"/>
      <c r="D543" s="24"/>
      <c r="E543" s="25"/>
      <c r="F543" s="26"/>
      <c r="G543" s="27"/>
      <c r="H543" s="20"/>
      <c r="I543" s="21"/>
      <c r="J543" s="28"/>
      <c r="K543" s="19"/>
    </row>
    <row r="544" spans="1:11" ht="13.2">
      <c r="A544" s="22"/>
      <c r="B544" s="16"/>
      <c r="C544" s="23"/>
      <c r="D544" s="24"/>
      <c r="E544" s="25"/>
      <c r="F544" s="26"/>
      <c r="G544" s="27"/>
      <c r="H544" s="20"/>
      <c r="I544" s="21"/>
      <c r="J544" s="28"/>
      <c r="K544" s="19"/>
    </row>
    <row r="545" spans="1:11" ht="13.2">
      <c r="A545" s="22"/>
      <c r="B545" s="16"/>
      <c r="C545" s="23"/>
      <c r="D545" s="24"/>
      <c r="E545" s="25"/>
      <c r="F545" s="26"/>
      <c r="G545" s="27"/>
      <c r="H545" s="20"/>
      <c r="I545" s="21"/>
      <c r="J545" s="28"/>
      <c r="K545" s="19"/>
    </row>
    <row r="546" spans="1:11" ht="13.2">
      <c r="A546" s="22"/>
      <c r="B546" s="16"/>
      <c r="C546" s="23"/>
      <c r="D546" s="24"/>
      <c r="E546" s="25"/>
      <c r="F546" s="26"/>
      <c r="G546" s="27"/>
      <c r="H546" s="20"/>
      <c r="I546" s="21"/>
      <c r="J546" s="28"/>
      <c r="K546" s="19"/>
    </row>
    <row r="547" spans="1:11" ht="13.2">
      <c r="A547" s="22"/>
      <c r="B547" s="16"/>
      <c r="C547" s="23"/>
      <c r="D547" s="24"/>
      <c r="E547" s="25"/>
      <c r="F547" s="26"/>
      <c r="G547" s="27"/>
      <c r="H547" s="20"/>
      <c r="I547" s="21"/>
      <c r="J547" s="28"/>
      <c r="K547" s="19"/>
    </row>
    <row r="548" spans="1:11" ht="13.2">
      <c r="A548" s="22"/>
      <c r="B548" s="16"/>
      <c r="C548" s="23"/>
      <c r="D548" s="24"/>
      <c r="E548" s="25"/>
      <c r="F548" s="26"/>
      <c r="G548" s="27"/>
      <c r="H548" s="20"/>
      <c r="I548" s="21"/>
      <c r="J548" s="28"/>
      <c r="K548" s="19"/>
    </row>
    <row r="549" spans="1:11" ht="13.2">
      <c r="A549" s="22"/>
      <c r="B549" s="16"/>
      <c r="C549" s="23"/>
      <c r="D549" s="24"/>
      <c r="E549" s="25"/>
      <c r="F549" s="26"/>
      <c r="G549" s="27"/>
      <c r="H549" s="20"/>
      <c r="I549" s="21"/>
      <c r="J549" s="28"/>
      <c r="K549" s="19"/>
    </row>
    <row r="550" spans="1:11" ht="13.2">
      <c r="A550" s="22"/>
      <c r="B550" s="16"/>
      <c r="C550" s="23"/>
      <c r="D550" s="24"/>
      <c r="E550" s="25"/>
      <c r="F550" s="26"/>
      <c r="G550" s="27"/>
      <c r="H550" s="20"/>
      <c r="I550" s="21"/>
      <c r="J550" s="28"/>
      <c r="K550" s="19"/>
    </row>
    <row r="551" spans="1:11" ht="13.2">
      <c r="A551" s="22"/>
      <c r="B551" s="16"/>
      <c r="C551" s="23"/>
      <c r="D551" s="24"/>
      <c r="E551" s="25"/>
      <c r="F551" s="26"/>
      <c r="G551" s="27"/>
      <c r="H551" s="20"/>
      <c r="I551" s="21"/>
      <c r="J551" s="28"/>
      <c r="K551" s="19"/>
    </row>
    <row r="552" spans="1:11" ht="13.2">
      <c r="A552" s="22"/>
      <c r="B552" s="16"/>
      <c r="C552" s="23"/>
      <c r="D552" s="24"/>
      <c r="E552" s="25"/>
      <c r="F552" s="26"/>
      <c r="G552" s="27"/>
      <c r="H552" s="20"/>
      <c r="I552" s="21"/>
      <c r="J552" s="28"/>
      <c r="K552" s="19"/>
    </row>
    <row r="553" spans="1:11" ht="13.2">
      <c r="A553" s="22"/>
      <c r="B553" s="16"/>
      <c r="C553" s="23"/>
      <c r="D553" s="24"/>
      <c r="E553" s="25"/>
      <c r="F553" s="26"/>
      <c r="G553" s="27"/>
      <c r="H553" s="20"/>
      <c r="I553" s="21"/>
      <c r="J553" s="28"/>
      <c r="K553" s="19"/>
    </row>
    <row r="554" spans="1:11" ht="13.2">
      <c r="A554" s="22"/>
      <c r="B554" s="16"/>
      <c r="C554" s="23"/>
      <c r="D554" s="24"/>
      <c r="E554" s="25"/>
      <c r="F554" s="26"/>
      <c r="G554" s="27"/>
      <c r="H554" s="20"/>
      <c r="I554" s="21"/>
      <c r="J554" s="28"/>
      <c r="K554" s="19"/>
    </row>
    <row r="555" spans="1:11" ht="13.2">
      <c r="A555" s="22"/>
      <c r="B555" s="16"/>
      <c r="C555" s="23"/>
      <c r="D555" s="24"/>
      <c r="E555" s="25"/>
      <c r="F555" s="26"/>
      <c r="G555" s="27"/>
      <c r="H555" s="20"/>
      <c r="I555" s="21"/>
      <c r="J555" s="28"/>
      <c r="K555" s="19"/>
    </row>
    <row r="556" spans="1:11" ht="13.2">
      <c r="A556" s="22"/>
      <c r="B556" s="16"/>
      <c r="C556" s="23"/>
      <c r="D556" s="24"/>
      <c r="E556" s="25"/>
      <c r="F556" s="26"/>
      <c r="G556" s="27"/>
      <c r="H556" s="20"/>
      <c r="I556" s="21"/>
      <c r="J556" s="28"/>
      <c r="K556" s="19"/>
    </row>
    <row r="557" spans="1:11" ht="13.2">
      <c r="A557" s="22"/>
      <c r="B557" s="16"/>
      <c r="C557" s="23"/>
      <c r="D557" s="24"/>
      <c r="E557" s="25"/>
      <c r="F557" s="26"/>
      <c r="G557" s="27"/>
      <c r="H557" s="20"/>
      <c r="I557" s="21"/>
      <c r="J557" s="28"/>
      <c r="K557" s="19"/>
    </row>
    <row r="558" spans="1:11" ht="13.2">
      <c r="A558" s="22"/>
      <c r="B558" s="16"/>
      <c r="C558" s="23"/>
      <c r="D558" s="24"/>
      <c r="E558" s="25"/>
      <c r="F558" s="26"/>
      <c r="G558" s="27"/>
      <c r="H558" s="20"/>
      <c r="I558" s="21"/>
      <c r="J558" s="28"/>
      <c r="K558" s="19"/>
    </row>
    <row r="559" spans="1:11" ht="13.2">
      <c r="A559" s="22"/>
      <c r="B559" s="16"/>
      <c r="C559" s="23"/>
      <c r="D559" s="24"/>
      <c r="E559" s="25"/>
      <c r="F559" s="26"/>
      <c r="G559" s="27"/>
      <c r="H559" s="20"/>
      <c r="I559" s="21"/>
      <c r="J559" s="28"/>
      <c r="K559" s="19"/>
    </row>
    <row r="560" spans="1:11" ht="13.2">
      <c r="A560" s="22"/>
      <c r="B560" s="16"/>
      <c r="C560" s="23"/>
      <c r="D560" s="24"/>
      <c r="E560" s="25"/>
      <c r="F560" s="26"/>
      <c r="G560" s="27"/>
      <c r="H560" s="20"/>
      <c r="I560" s="21"/>
      <c r="J560" s="28"/>
      <c r="K560" s="19"/>
    </row>
    <row r="561" spans="1:11" ht="13.2">
      <c r="A561" s="22"/>
      <c r="B561" s="16"/>
      <c r="C561" s="23"/>
      <c r="D561" s="24"/>
      <c r="E561" s="25"/>
      <c r="F561" s="26"/>
      <c r="G561" s="27"/>
      <c r="H561" s="20"/>
      <c r="I561" s="21"/>
      <c r="J561" s="28"/>
      <c r="K561" s="19"/>
    </row>
    <row r="562" spans="1:11" ht="13.2">
      <c r="A562" s="22"/>
      <c r="B562" s="16"/>
      <c r="C562" s="23"/>
      <c r="D562" s="24"/>
      <c r="E562" s="25"/>
      <c r="F562" s="26"/>
      <c r="G562" s="27"/>
      <c r="H562" s="20"/>
      <c r="I562" s="21"/>
      <c r="J562" s="28"/>
      <c r="K562" s="19"/>
    </row>
    <row r="563" spans="1:11" ht="13.2">
      <c r="A563" s="22"/>
      <c r="B563" s="16"/>
      <c r="C563" s="23"/>
      <c r="D563" s="24"/>
      <c r="E563" s="25"/>
      <c r="F563" s="26"/>
      <c r="G563" s="27"/>
      <c r="H563" s="20"/>
      <c r="I563" s="21"/>
      <c r="J563" s="28"/>
      <c r="K563" s="19"/>
    </row>
    <row r="564" spans="1:11" ht="13.2">
      <c r="A564" s="22"/>
      <c r="B564" s="16"/>
      <c r="C564" s="23"/>
      <c r="D564" s="24"/>
      <c r="E564" s="25"/>
      <c r="F564" s="26"/>
      <c r="G564" s="27"/>
      <c r="H564" s="20"/>
      <c r="I564" s="21"/>
      <c r="J564" s="28"/>
      <c r="K564" s="19"/>
    </row>
    <row r="565" spans="1:11" ht="13.2">
      <c r="A565" s="22"/>
      <c r="B565" s="16"/>
      <c r="C565" s="23"/>
      <c r="D565" s="24"/>
      <c r="E565" s="25"/>
      <c r="F565" s="26"/>
      <c r="G565" s="27"/>
      <c r="H565" s="20"/>
      <c r="I565" s="21"/>
      <c r="J565" s="28"/>
      <c r="K565" s="19"/>
    </row>
    <row r="566" spans="1:11" ht="13.2">
      <c r="A566" s="22"/>
      <c r="B566" s="16"/>
      <c r="C566" s="23"/>
      <c r="D566" s="24"/>
      <c r="E566" s="25"/>
      <c r="F566" s="26"/>
      <c r="G566" s="27"/>
      <c r="H566" s="20"/>
      <c r="I566" s="21"/>
      <c r="J566" s="28"/>
      <c r="K566" s="19"/>
    </row>
    <row r="567" spans="1:11" ht="13.2">
      <c r="A567" s="22"/>
      <c r="B567" s="16"/>
      <c r="C567" s="23"/>
      <c r="D567" s="24"/>
      <c r="E567" s="25"/>
      <c r="F567" s="26"/>
      <c r="G567" s="27"/>
      <c r="H567" s="20"/>
      <c r="I567" s="21"/>
      <c r="J567" s="28"/>
      <c r="K567" s="19"/>
    </row>
    <row r="568" spans="1:11" ht="13.2">
      <c r="A568" s="22"/>
      <c r="B568" s="16"/>
      <c r="C568" s="23"/>
      <c r="D568" s="24"/>
      <c r="E568" s="25"/>
      <c r="F568" s="26"/>
      <c r="G568" s="27"/>
      <c r="H568" s="20"/>
      <c r="I568" s="21"/>
      <c r="J568" s="28"/>
      <c r="K568" s="19"/>
    </row>
    <row r="569" spans="1:11" ht="13.2">
      <c r="A569" s="22"/>
      <c r="B569" s="16"/>
      <c r="C569" s="23"/>
      <c r="D569" s="24"/>
      <c r="E569" s="25"/>
      <c r="F569" s="26"/>
      <c r="G569" s="27"/>
      <c r="H569" s="20"/>
      <c r="I569" s="21"/>
      <c r="J569" s="28"/>
      <c r="K569" s="19"/>
    </row>
    <row r="570" spans="1:11" ht="13.2">
      <c r="A570" s="22"/>
      <c r="B570" s="16"/>
      <c r="C570" s="23"/>
      <c r="D570" s="24"/>
      <c r="E570" s="25"/>
      <c r="F570" s="26"/>
      <c r="G570" s="27"/>
      <c r="H570" s="20"/>
      <c r="I570" s="21"/>
      <c r="J570" s="28"/>
      <c r="K570" s="19"/>
    </row>
    <row r="571" spans="1:11" ht="13.2">
      <c r="A571" s="22"/>
      <c r="B571" s="16"/>
      <c r="C571" s="23"/>
      <c r="D571" s="24"/>
      <c r="E571" s="25"/>
      <c r="F571" s="26"/>
      <c r="G571" s="27"/>
      <c r="H571" s="20"/>
      <c r="I571" s="21"/>
      <c r="J571" s="28"/>
      <c r="K571" s="19"/>
    </row>
    <row r="572" spans="1:11" ht="13.2">
      <c r="A572" s="22"/>
      <c r="B572" s="16"/>
      <c r="C572" s="23"/>
      <c r="D572" s="24"/>
      <c r="E572" s="25"/>
      <c r="F572" s="26"/>
      <c r="G572" s="27"/>
      <c r="H572" s="20"/>
      <c r="I572" s="21"/>
      <c r="J572" s="28"/>
      <c r="K572" s="19"/>
    </row>
    <row r="573" spans="1:11" ht="13.2">
      <c r="A573" s="22"/>
      <c r="B573" s="16"/>
      <c r="C573" s="23"/>
      <c r="D573" s="24"/>
      <c r="E573" s="25"/>
      <c r="F573" s="26"/>
      <c r="G573" s="27"/>
      <c r="H573" s="20"/>
      <c r="I573" s="21"/>
      <c r="J573" s="28"/>
      <c r="K573" s="19"/>
    </row>
    <row r="574" spans="1:11" ht="13.2">
      <c r="A574" s="22"/>
      <c r="B574" s="16"/>
      <c r="C574" s="23"/>
      <c r="D574" s="24"/>
      <c r="E574" s="25"/>
      <c r="F574" s="26"/>
      <c r="G574" s="27"/>
      <c r="H574" s="20"/>
      <c r="I574" s="21"/>
      <c r="J574" s="28"/>
      <c r="K574" s="19"/>
    </row>
    <row r="575" spans="1:11" ht="13.2">
      <c r="A575" s="22"/>
      <c r="B575" s="16"/>
      <c r="C575" s="23"/>
      <c r="D575" s="24"/>
      <c r="E575" s="25"/>
      <c r="F575" s="26"/>
      <c r="G575" s="27"/>
      <c r="H575" s="20"/>
      <c r="I575" s="21"/>
      <c r="J575" s="28"/>
      <c r="K575" s="19"/>
    </row>
    <row r="576" spans="1:11" ht="13.2">
      <c r="A576" s="22"/>
      <c r="B576" s="16"/>
      <c r="C576" s="23"/>
      <c r="D576" s="24"/>
      <c r="E576" s="25"/>
      <c r="F576" s="26"/>
      <c r="G576" s="27"/>
      <c r="H576" s="20"/>
      <c r="I576" s="21"/>
      <c r="J576" s="28"/>
      <c r="K576" s="19"/>
    </row>
    <row r="577" spans="1:11" ht="13.2">
      <c r="A577" s="22"/>
      <c r="B577" s="16"/>
      <c r="C577" s="23"/>
      <c r="D577" s="24"/>
      <c r="E577" s="25"/>
      <c r="F577" s="26"/>
      <c r="G577" s="27"/>
      <c r="H577" s="20"/>
      <c r="I577" s="21"/>
      <c r="J577" s="28"/>
      <c r="K577" s="19"/>
    </row>
    <row r="578" spans="1:11" ht="13.2">
      <c r="A578" s="22"/>
      <c r="B578" s="16"/>
      <c r="C578" s="23"/>
      <c r="D578" s="24"/>
      <c r="E578" s="25"/>
      <c r="F578" s="26"/>
      <c r="G578" s="27"/>
      <c r="H578" s="20"/>
      <c r="I578" s="21"/>
      <c r="J578" s="28"/>
      <c r="K578" s="19"/>
    </row>
    <row r="579" spans="1:11" ht="13.2">
      <c r="A579" s="22"/>
      <c r="B579" s="16"/>
      <c r="C579" s="23"/>
      <c r="D579" s="24"/>
      <c r="E579" s="25"/>
      <c r="F579" s="26"/>
      <c r="G579" s="27"/>
      <c r="H579" s="20"/>
      <c r="I579" s="21"/>
      <c r="J579" s="28"/>
      <c r="K579" s="19"/>
    </row>
    <row r="580" spans="1:11" ht="13.2">
      <c r="A580" s="22"/>
      <c r="B580" s="16"/>
      <c r="C580" s="23"/>
      <c r="D580" s="24"/>
      <c r="E580" s="25"/>
      <c r="F580" s="26"/>
      <c r="G580" s="27"/>
      <c r="H580" s="20"/>
      <c r="I580" s="21"/>
      <c r="J580" s="28"/>
      <c r="K580" s="19"/>
    </row>
    <row r="581" spans="1:11" ht="13.2">
      <c r="A581" s="22"/>
      <c r="B581" s="16"/>
      <c r="C581" s="23"/>
      <c r="D581" s="24"/>
      <c r="E581" s="25"/>
      <c r="F581" s="26"/>
      <c r="G581" s="27"/>
      <c r="H581" s="20"/>
      <c r="I581" s="21"/>
      <c r="J581" s="28"/>
      <c r="K581" s="19"/>
    </row>
    <row r="582" spans="1:11" ht="13.2">
      <c r="A582" s="22"/>
      <c r="B582" s="16"/>
      <c r="C582" s="23"/>
      <c r="D582" s="24"/>
      <c r="E582" s="25"/>
      <c r="F582" s="26"/>
      <c r="G582" s="27"/>
      <c r="H582" s="20"/>
      <c r="I582" s="21"/>
      <c r="J582" s="28"/>
      <c r="K582" s="19"/>
    </row>
    <row r="583" spans="1:11" ht="13.2">
      <c r="A583" s="22"/>
      <c r="B583" s="16"/>
      <c r="C583" s="23"/>
      <c r="D583" s="24"/>
      <c r="E583" s="25"/>
      <c r="F583" s="26"/>
      <c r="G583" s="27"/>
      <c r="H583" s="20"/>
      <c r="I583" s="21"/>
      <c r="J583" s="28"/>
      <c r="K583" s="19"/>
    </row>
    <row r="584" spans="1:11" ht="13.2">
      <c r="A584" s="22"/>
      <c r="B584" s="16"/>
      <c r="C584" s="23"/>
      <c r="D584" s="24"/>
      <c r="E584" s="25"/>
      <c r="F584" s="26"/>
      <c r="G584" s="27"/>
      <c r="H584" s="20"/>
      <c r="I584" s="21"/>
      <c r="J584" s="28"/>
      <c r="K584" s="19"/>
    </row>
    <row r="585" spans="1:11" ht="13.2">
      <c r="A585" s="22"/>
      <c r="B585" s="16"/>
      <c r="C585" s="23"/>
      <c r="D585" s="24"/>
      <c r="E585" s="25"/>
      <c r="F585" s="26"/>
      <c r="G585" s="27"/>
      <c r="H585" s="20"/>
      <c r="I585" s="21"/>
      <c r="J585" s="28"/>
      <c r="K585" s="19"/>
    </row>
    <row r="586" spans="1:11" ht="13.2">
      <c r="A586" s="22"/>
      <c r="B586" s="16"/>
      <c r="C586" s="23"/>
      <c r="D586" s="24"/>
      <c r="E586" s="25"/>
      <c r="F586" s="26"/>
      <c r="G586" s="27"/>
      <c r="H586" s="20"/>
      <c r="I586" s="21"/>
      <c r="J586" s="28"/>
      <c r="K586" s="19"/>
    </row>
    <row r="587" spans="1:11" ht="13.2">
      <c r="A587" s="22"/>
      <c r="B587" s="16"/>
      <c r="C587" s="23"/>
      <c r="D587" s="24"/>
      <c r="E587" s="25"/>
      <c r="F587" s="26"/>
      <c r="G587" s="27"/>
      <c r="H587" s="20"/>
      <c r="I587" s="21"/>
      <c r="J587" s="28"/>
      <c r="K587" s="19"/>
    </row>
    <row r="588" spans="1:11" ht="13.2">
      <c r="A588" s="22"/>
      <c r="B588" s="16"/>
      <c r="C588" s="23"/>
      <c r="D588" s="24"/>
      <c r="E588" s="25"/>
      <c r="F588" s="26"/>
      <c r="G588" s="27"/>
      <c r="H588" s="20"/>
      <c r="I588" s="21"/>
      <c r="J588" s="28"/>
      <c r="K588" s="19"/>
    </row>
    <row r="589" spans="1:11" ht="13.2">
      <c r="A589" s="22"/>
      <c r="B589" s="16"/>
      <c r="C589" s="23"/>
      <c r="D589" s="24"/>
      <c r="E589" s="25"/>
      <c r="F589" s="26"/>
      <c r="G589" s="27"/>
      <c r="H589" s="20"/>
      <c r="I589" s="21"/>
      <c r="J589" s="28"/>
      <c r="K589" s="19"/>
    </row>
    <row r="590" spans="1:11" ht="13.2">
      <c r="A590" s="22"/>
      <c r="B590" s="16"/>
      <c r="C590" s="23"/>
      <c r="D590" s="24"/>
      <c r="E590" s="25"/>
      <c r="F590" s="26"/>
      <c r="G590" s="27"/>
      <c r="H590" s="20"/>
      <c r="I590" s="21"/>
      <c r="J590" s="28"/>
      <c r="K590" s="19"/>
    </row>
    <row r="591" spans="1:11" ht="13.2">
      <c r="A591" s="22"/>
      <c r="B591" s="16"/>
      <c r="C591" s="23"/>
      <c r="D591" s="24"/>
      <c r="E591" s="25"/>
      <c r="F591" s="26"/>
      <c r="G591" s="27"/>
      <c r="H591" s="20"/>
      <c r="I591" s="21"/>
      <c r="J591" s="28"/>
      <c r="K591" s="19"/>
    </row>
    <row r="592" spans="1:11" ht="13.2">
      <c r="A592" s="22"/>
      <c r="B592" s="16"/>
      <c r="C592" s="23"/>
      <c r="D592" s="24"/>
      <c r="E592" s="25"/>
      <c r="F592" s="26"/>
      <c r="G592" s="27"/>
      <c r="H592" s="20"/>
      <c r="I592" s="21"/>
      <c r="J592" s="28"/>
      <c r="K592" s="19"/>
    </row>
    <row r="593" spans="1:11" ht="13.2">
      <c r="A593" s="22"/>
      <c r="B593" s="16"/>
      <c r="C593" s="23"/>
      <c r="D593" s="24"/>
      <c r="E593" s="25"/>
      <c r="F593" s="26"/>
      <c r="G593" s="27"/>
      <c r="H593" s="20"/>
      <c r="I593" s="21"/>
      <c r="J593" s="28"/>
      <c r="K593" s="19"/>
    </row>
    <row r="594" spans="1:11" ht="13.2">
      <c r="A594" s="22"/>
      <c r="B594" s="16"/>
      <c r="C594" s="23"/>
      <c r="D594" s="24"/>
      <c r="E594" s="25"/>
      <c r="F594" s="26"/>
      <c r="G594" s="27"/>
      <c r="H594" s="20"/>
      <c r="I594" s="21"/>
      <c r="J594" s="28"/>
      <c r="K594" s="19"/>
    </row>
    <row r="595" spans="1:11" ht="13.2">
      <c r="A595" s="22"/>
      <c r="B595" s="16"/>
      <c r="C595" s="23"/>
      <c r="D595" s="24"/>
      <c r="E595" s="25"/>
      <c r="F595" s="26"/>
      <c r="G595" s="27"/>
      <c r="H595" s="20"/>
      <c r="I595" s="21"/>
      <c r="J595" s="28"/>
      <c r="K595" s="19"/>
    </row>
    <row r="596" spans="1:11" ht="13.2">
      <c r="A596" s="22"/>
      <c r="B596" s="16"/>
      <c r="C596" s="23"/>
      <c r="D596" s="24"/>
      <c r="E596" s="25"/>
      <c r="F596" s="26"/>
      <c r="G596" s="27"/>
      <c r="H596" s="20"/>
      <c r="I596" s="21"/>
      <c r="J596" s="28"/>
      <c r="K596" s="19"/>
    </row>
    <row r="597" spans="1:11" ht="13.2">
      <c r="A597" s="22"/>
      <c r="B597" s="16"/>
      <c r="C597" s="23"/>
      <c r="D597" s="24"/>
      <c r="E597" s="25"/>
      <c r="F597" s="26"/>
      <c r="G597" s="27"/>
      <c r="H597" s="20"/>
      <c r="I597" s="21"/>
      <c r="J597" s="28"/>
      <c r="K597" s="19"/>
    </row>
    <row r="598" spans="1:11" ht="13.2">
      <c r="A598" s="22"/>
      <c r="B598" s="16"/>
      <c r="C598" s="23"/>
      <c r="D598" s="24"/>
      <c r="E598" s="25"/>
      <c r="F598" s="26"/>
      <c r="G598" s="27"/>
      <c r="H598" s="20"/>
      <c r="I598" s="21"/>
      <c r="J598" s="28"/>
      <c r="K598" s="19"/>
    </row>
    <row r="599" spans="1:11" ht="13.2">
      <c r="A599" s="22"/>
      <c r="B599" s="16"/>
      <c r="C599" s="23"/>
      <c r="D599" s="24"/>
      <c r="E599" s="25"/>
      <c r="F599" s="26"/>
      <c r="G599" s="27"/>
      <c r="H599" s="20"/>
      <c r="I599" s="21"/>
      <c r="J599" s="28"/>
      <c r="K599" s="19"/>
    </row>
    <row r="600" spans="1:11" ht="13.2">
      <c r="A600" s="22"/>
      <c r="B600" s="16"/>
      <c r="C600" s="23"/>
      <c r="D600" s="24"/>
      <c r="E600" s="25"/>
      <c r="F600" s="26"/>
      <c r="G600" s="27"/>
      <c r="H600" s="20"/>
      <c r="I600" s="21"/>
      <c r="J600" s="28"/>
      <c r="K600" s="19"/>
    </row>
    <row r="601" spans="1:11" ht="13.2">
      <c r="A601" s="22"/>
      <c r="B601" s="16"/>
      <c r="C601" s="23"/>
      <c r="D601" s="24"/>
      <c r="E601" s="25"/>
      <c r="F601" s="26"/>
      <c r="G601" s="27"/>
      <c r="H601" s="20"/>
      <c r="I601" s="21"/>
      <c r="J601" s="28"/>
      <c r="K601" s="19"/>
    </row>
    <row r="602" spans="1:11" ht="13.2">
      <c r="A602" s="22"/>
      <c r="B602" s="16"/>
      <c r="C602" s="23"/>
      <c r="D602" s="24"/>
      <c r="E602" s="25"/>
      <c r="F602" s="26"/>
      <c r="G602" s="27"/>
      <c r="H602" s="20"/>
      <c r="I602" s="21"/>
      <c r="J602" s="28"/>
      <c r="K602" s="19"/>
    </row>
    <row r="603" spans="1:11" ht="13.2">
      <c r="A603" s="22"/>
      <c r="B603" s="16"/>
      <c r="C603" s="23"/>
      <c r="D603" s="24"/>
      <c r="E603" s="25"/>
      <c r="F603" s="26"/>
      <c r="G603" s="27"/>
      <c r="H603" s="20"/>
      <c r="I603" s="21"/>
      <c r="J603" s="28"/>
      <c r="K603" s="19"/>
    </row>
    <row r="604" spans="1:11" ht="13.2">
      <c r="A604" s="22"/>
      <c r="B604" s="16"/>
      <c r="C604" s="23"/>
      <c r="D604" s="24"/>
      <c r="E604" s="25"/>
      <c r="F604" s="26"/>
      <c r="G604" s="27"/>
      <c r="H604" s="20"/>
      <c r="I604" s="21"/>
      <c r="J604" s="28"/>
      <c r="K604" s="19"/>
    </row>
    <row r="605" spans="1:11" ht="13.2">
      <c r="A605" s="22"/>
      <c r="B605" s="16"/>
      <c r="C605" s="23"/>
      <c r="D605" s="24"/>
      <c r="E605" s="25"/>
      <c r="F605" s="26"/>
      <c r="G605" s="27"/>
      <c r="H605" s="20"/>
      <c r="I605" s="21"/>
      <c r="J605" s="28"/>
      <c r="K605" s="19"/>
    </row>
    <row r="606" spans="1:11" ht="13.2">
      <c r="A606" s="22"/>
      <c r="B606" s="16"/>
      <c r="C606" s="23"/>
      <c r="D606" s="24"/>
      <c r="E606" s="25"/>
      <c r="F606" s="26"/>
      <c r="G606" s="27"/>
      <c r="H606" s="20"/>
      <c r="I606" s="21"/>
      <c r="J606" s="28"/>
      <c r="K606" s="19"/>
    </row>
    <row r="607" spans="1:11" ht="13.2">
      <c r="A607" s="22"/>
      <c r="B607" s="16"/>
      <c r="C607" s="23"/>
      <c r="D607" s="24"/>
      <c r="E607" s="25"/>
      <c r="F607" s="26"/>
      <c r="G607" s="27"/>
      <c r="H607" s="20"/>
      <c r="I607" s="21"/>
      <c r="J607" s="28"/>
      <c r="K607" s="19"/>
    </row>
    <row r="608" spans="1:11" ht="13.2">
      <c r="A608" s="22"/>
      <c r="B608" s="16"/>
      <c r="C608" s="23"/>
      <c r="D608" s="24"/>
      <c r="E608" s="25"/>
      <c r="F608" s="26"/>
      <c r="G608" s="27"/>
      <c r="H608" s="20"/>
      <c r="I608" s="21"/>
      <c r="J608" s="28"/>
      <c r="K608" s="19"/>
    </row>
    <row r="609" spans="1:11" ht="13.2">
      <c r="A609" s="22"/>
      <c r="B609" s="16"/>
      <c r="C609" s="23"/>
      <c r="D609" s="24"/>
      <c r="E609" s="25"/>
      <c r="F609" s="26"/>
      <c r="G609" s="27"/>
      <c r="H609" s="20"/>
      <c r="I609" s="21"/>
      <c r="J609" s="28"/>
      <c r="K609" s="19"/>
    </row>
    <row r="610" spans="1:11" ht="13.2">
      <c r="A610" s="22"/>
      <c r="B610" s="16"/>
      <c r="C610" s="23"/>
      <c r="D610" s="24"/>
      <c r="E610" s="25"/>
      <c r="F610" s="26"/>
      <c r="G610" s="27"/>
      <c r="H610" s="20"/>
      <c r="I610" s="21"/>
      <c r="J610" s="28"/>
      <c r="K610" s="19"/>
    </row>
    <row r="611" spans="1:11" ht="13.2">
      <c r="A611" s="22"/>
      <c r="B611" s="16"/>
      <c r="C611" s="23"/>
      <c r="D611" s="24"/>
      <c r="E611" s="25"/>
      <c r="F611" s="26"/>
      <c r="G611" s="27"/>
      <c r="H611" s="20"/>
      <c r="I611" s="21"/>
      <c r="J611" s="28"/>
      <c r="K611" s="19"/>
    </row>
    <row r="612" spans="1:11" ht="13.2">
      <c r="A612" s="22"/>
      <c r="B612" s="16"/>
      <c r="C612" s="23"/>
      <c r="D612" s="24"/>
      <c r="E612" s="25"/>
      <c r="F612" s="26"/>
      <c r="G612" s="27"/>
      <c r="H612" s="20"/>
      <c r="I612" s="21"/>
      <c r="J612" s="28"/>
      <c r="K612" s="19"/>
    </row>
    <row r="613" spans="1:11" ht="13.2">
      <c r="A613" s="22"/>
      <c r="B613" s="16"/>
      <c r="C613" s="23"/>
      <c r="D613" s="24"/>
      <c r="E613" s="25"/>
      <c r="F613" s="26"/>
      <c r="G613" s="27"/>
      <c r="H613" s="20"/>
      <c r="I613" s="21"/>
      <c r="J613" s="28"/>
      <c r="K613" s="19"/>
    </row>
    <row r="614" spans="1:11" ht="13.2">
      <c r="A614" s="22"/>
      <c r="B614" s="16"/>
      <c r="C614" s="23"/>
      <c r="D614" s="24"/>
      <c r="E614" s="25"/>
      <c r="F614" s="26"/>
      <c r="G614" s="27"/>
      <c r="H614" s="20"/>
      <c r="I614" s="21"/>
      <c r="J614" s="28"/>
      <c r="K614" s="19"/>
    </row>
    <row r="615" spans="1:11" ht="13.2">
      <c r="A615" s="22"/>
      <c r="B615" s="16"/>
      <c r="C615" s="23"/>
      <c r="D615" s="24"/>
      <c r="E615" s="25"/>
      <c r="F615" s="26"/>
      <c r="G615" s="27"/>
      <c r="H615" s="20"/>
      <c r="I615" s="21"/>
      <c r="J615" s="28"/>
      <c r="K615" s="19"/>
    </row>
    <row r="616" spans="1:11" ht="13.2">
      <c r="A616" s="22"/>
      <c r="B616" s="16"/>
      <c r="C616" s="23"/>
      <c r="D616" s="24"/>
      <c r="E616" s="25"/>
      <c r="F616" s="26"/>
      <c r="G616" s="27"/>
      <c r="H616" s="20"/>
      <c r="I616" s="21"/>
      <c r="J616" s="28"/>
      <c r="K616" s="19"/>
    </row>
    <row r="617" spans="1:11" ht="13.2">
      <c r="A617" s="22"/>
      <c r="B617" s="16"/>
      <c r="C617" s="23"/>
      <c r="D617" s="24"/>
      <c r="E617" s="25"/>
      <c r="F617" s="26"/>
      <c r="G617" s="27"/>
      <c r="H617" s="20"/>
      <c r="I617" s="21"/>
      <c r="J617" s="28"/>
      <c r="K617" s="19"/>
    </row>
    <row r="618" spans="1:11" ht="13.2">
      <c r="A618" s="22"/>
      <c r="B618" s="16"/>
      <c r="C618" s="23"/>
      <c r="D618" s="24"/>
      <c r="E618" s="25"/>
      <c r="F618" s="26"/>
      <c r="G618" s="27"/>
      <c r="H618" s="20"/>
      <c r="I618" s="21"/>
      <c r="J618" s="28"/>
      <c r="K618" s="19"/>
    </row>
    <row r="619" spans="1:11" ht="13.2">
      <c r="A619" s="22"/>
      <c r="B619" s="16"/>
      <c r="C619" s="23"/>
      <c r="D619" s="24"/>
      <c r="E619" s="25"/>
      <c r="F619" s="26"/>
      <c r="G619" s="27"/>
      <c r="H619" s="20"/>
      <c r="I619" s="21"/>
      <c r="J619" s="28"/>
      <c r="K619" s="19"/>
    </row>
    <row r="620" spans="1:11" ht="13.2">
      <c r="A620" s="22"/>
      <c r="B620" s="16"/>
      <c r="C620" s="23"/>
      <c r="D620" s="24"/>
      <c r="E620" s="25"/>
      <c r="F620" s="26"/>
      <c r="G620" s="27"/>
      <c r="H620" s="20"/>
      <c r="I620" s="21"/>
      <c r="J620" s="28"/>
      <c r="K620" s="19"/>
    </row>
    <row r="621" spans="1:11" ht="13.2">
      <c r="A621" s="22"/>
      <c r="B621" s="16"/>
      <c r="C621" s="23"/>
      <c r="D621" s="24"/>
      <c r="E621" s="25"/>
      <c r="F621" s="26"/>
      <c r="G621" s="27"/>
      <c r="H621" s="20"/>
      <c r="I621" s="21"/>
      <c r="J621" s="28"/>
      <c r="K621" s="19"/>
    </row>
    <row r="622" spans="1:11" ht="13.2">
      <c r="A622" s="22"/>
      <c r="B622" s="16"/>
      <c r="C622" s="23"/>
      <c r="D622" s="24"/>
      <c r="E622" s="25"/>
      <c r="F622" s="26"/>
      <c r="G622" s="27"/>
      <c r="H622" s="20"/>
      <c r="I622" s="21"/>
      <c r="J622" s="28"/>
      <c r="K622" s="19"/>
    </row>
    <row r="623" spans="1:11" ht="13.2">
      <c r="A623" s="22"/>
      <c r="B623" s="16"/>
      <c r="C623" s="23"/>
      <c r="D623" s="24"/>
      <c r="E623" s="25"/>
      <c r="F623" s="26"/>
      <c r="G623" s="27"/>
      <c r="H623" s="20"/>
      <c r="I623" s="21"/>
      <c r="J623" s="28"/>
      <c r="K623" s="19"/>
    </row>
    <row r="624" spans="1:11" ht="13.2">
      <c r="A624" s="22"/>
      <c r="B624" s="16"/>
      <c r="C624" s="23"/>
      <c r="D624" s="24"/>
      <c r="E624" s="25"/>
      <c r="F624" s="26"/>
      <c r="G624" s="27"/>
      <c r="H624" s="20"/>
      <c r="I624" s="21"/>
      <c r="J624" s="28"/>
      <c r="K624" s="19"/>
    </row>
    <row r="625" spans="1:11" ht="13.2">
      <c r="A625" s="22"/>
      <c r="B625" s="16"/>
      <c r="C625" s="23"/>
      <c r="D625" s="24"/>
      <c r="E625" s="25"/>
      <c r="F625" s="26"/>
      <c r="G625" s="27"/>
      <c r="H625" s="20"/>
      <c r="I625" s="21"/>
      <c r="J625" s="28"/>
      <c r="K625" s="19"/>
    </row>
    <row r="626" spans="1:11" ht="13.2">
      <c r="A626" s="22"/>
      <c r="B626" s="16"/>
      <c r="C626" s="23"/>
      <c r="D626" s="24"/>
      <c r="E626" s="25"/>
      <c r="F626" s="26"/>
      <c r="G626" s="27"/>
      <c r="H626" s="20"/>
      <c r="I626" s="21"/>
      <c r="J626" s="28"/>
      <c r="K626" s="19"/>
    </row>
    <row r="627" spans="1:11" ht="13.2">
      <c r="A627" s="22"/>
      <c r="B627" s="16"/>
      <c r="C627" s="23"/>
      <c r="D627" s="24"/>
      <c r="E627" s="25"/>
      <c r="F627" s="26"/>
      <c r="G627" s="27"/>
      <c r="H627" s="20"/>
      <c r="I627" s="21"/>
      <c r="J627" s="28"/>
      <c r="K627" s="19"/>
    </row>
    <row r="628" spans="1:11" ht="13.2">
      <c r="A628" s="22"/>
      <c r="B628" s="16"/>
      <c r="C628" s="23"/>
      <c r="D628" s="24"/>
      <c r="E628" s="25"/>
      <c r="F628" s="26"/>
      <c r="G628" s="27"/>
      <c r="H628" s="20"/>
      <c r="I628" s="21"/>
      <c r="J628" s="28"/>
      <c r="K628" s="19"/>
    </row>
    <row r="629" spans="1:11" ht="13.2">
      <c r="A629" s="22"/>
      <c r="B629" s="16"/>
      <c r="C629" s="23"/>
      <c r="D629" s="24"/>
      <c r="E629" s="25"/>
      <c r="F629" s="26"/>
      <c r="G629" s="27"/>
      <c r="H629" s="20"/>
      <c r="I629" s="21"/>
      <c r="J629" s="28"/>
      <c r="K629" s="19"/>
    </row>
    <row r="630" spans="1:11" ht="13.2">
      <c r="A630" s="22"/>
      <c r="B630" s="16"/>
      <c r="C630" s="23"/>
      <c r="D630" s="24"/>
      <c r="E630" s="25"/>
      <c r="F630" s="26"/>
      <c r="G630" s="27"/>
      <c r="H630" s="20"/>
      <c r="I630" s="21"/>
      <c r="J630" s="28"/>
      <c r="K630" s="19"/>
    </row>
    <row r="631" spans="1:11" ht="13.2">
      <c r="A631" s="22"/>
      <c r="B631" s="16"/>
      <c r="C631" s="23"/>
      <c r="D631" s="24"/>
      <c r="E631" s="25"/>
      <c r="F631" s="26"/>
      <c r="G631" s="27"/>
      <c r="H631" s="20"/>
      <c r="I631" s="21"/>
      <c r="J631" s="28"/>
      <c r="K631" s="19"/>
    </row>
    <row r="632" spans="1:11" ht="13.2">
      <c r="A632" s="22"/>
      <c r="B632" s="16"/>
      <c r="C632" s="23"/>
      <c r="D632" s="24"/>
      <c r="E632" s="25"/>
      <c r="F632" s="26"/>
      <c r="G632" s="27"/>
      <c r="H632" s="20"/>
      <c r="I632" s="21"/>
      <c r="J632" s="28"/>
      <c r="K632" s="19"/>
    </row>
    <row r="633" spans="1:11" ht="13.2">
      <c r="A633" s="22"/>
      <c r="B633" s="16"/>
      <c r="C633" s="23"/>
      <c r="D633" s="24"/>
      <c r="E633" s="25"/>
      <c r="F633" s="26"/>
      <c r="G633" s="27"/>
      <c r="H633" s="20"/>
      <c r="I633" s="21"/>
      <c r="J633" s="28"/>
      <c r="K633" s="19"/>
    </row>
    <row r="634" spans="1:11" ht="13.2">
      <c r="A634" s="22"/>
      <c r="B634" s="16"/>
      <c r="C634" s="23"/>
      <c r="D634" s="24"/>
      <c r="E634" s="25"/>
      <c r="F634" s="26"/>
      <c r="G634" s="27"/>
      <c r="H634" s="20"/>
      <c r="I634" s="21"/>
      <c r="J634" s="28"/>
      <c r="K634" s="19"/>
    </row>
    <row r="635" spans="1:11" ht="13.2">
      <c r="A635" s="22"/>
      <c r="B635" s="16"/>
      <c r="C635" s="23"/>
      <c r="D635" s="24"/>
      <c r="E635" s="25"/>
      <c r="F635" s="26"/>
      <c r="G635" s="27"/>
      <c r="H635" s="20"/>
      <c r="I635" s="21"/>
      <c r="J635" s="28"/>
      <c r="K635" s="19"/>
    </row>
    <row r="636" spans="1:11" ht="13.2">
      <c r="A636" s="22"/>
      <c r="B636" s="16"/>
      <c r="C636" s="23"/>
      <c r="D636" s="24"/>
      <c r="E636" s="25"/>
      <c r="F636" s="26"/>
      <c r="G636" s="27"/>
      <c r="H636" s="20"/>
      <c r="I636" s="21"/>
      <c r="J636" s="28"/>
      <c r="K636" s="19"/>
    </row>
    <row r="637" spans="1:11" ht="13.2">
      <c r="A637" s="22"/>
      <c r="B637" s="16"/>
      <c r="C637" s="23"/>
      <c r="D637" s="24"/>
      <c r="E637" s="25"/>
      <c r="F637" s="26"/>
      <c r="G637" s="27"/>
      <c r="H637" s="20"/>
      <c r="I637" s="21"/>
      <c r="J637" s="28"/>
      <c r="K637" s="19"/>
    </row>
    <row r="638" spans="1:11" ht="13.2">
      <c r="A638" s="22"/>
      <c r="B638" s="16"/>
      <c r="C638" s="23"/>
      <c r="D638" s="24"/>
      <c r="E638" s="25"/>
      <c r="F638" s="26"/>
      <c r="G638" s="27"/>
      <c r="H638" s="20"/>
      <c r="I638" s="21"/>
      <c r="J638" s="28"/>
      <c r="K638" s="19"/>
    </row>
    <row r="639" spans="1:11" ht="13.2">
      <c r="A639" s="22"/>
      <c r="B639" s="16"/>
      <c r="C639" s="23"/>
      <c r="D639" s="24"/>
      <c r="E639" s="25"/>
      <c r="F639" s="26"/>
      <c r="G639" s="27"/>
      <c r="H639" s="20"/>
      <c r="I639" s="21"/>
      <c r="J639" s="28"/>
      <c r="K639" s="19"/>
    </row>
    <row r="640" spans="1:11" ht="13.2">
      <c r="A640" s="22"/>
      <c r="B640" s="16"/>
      <c r="C640" s="23"/>
      <c r="D640" s="24"/>
      <c r="E640" s="25"/>
      <c r="F640" s="26"/>
      <c r="G640" s="27"/>
      <c r="H640" s="20"/>
      <c r="I640" s="21"/>
      <c r="J640" s="28"/>
      <c r="K640" s="19"/>
    </row>
    <row r="641" spans="1:11" ht="13.2">
      <c r="A641" s="22"/>
      <c r="B641" s="16"/>
      <c r="C641" s="23"/>
      <c r="D641" s="24"/>
      <c r="E641" s="25"/>
      <c r="F641" s="26"/>
      <c r="G641" s="27"/>
      <c r="H641" s="20"/>
      <c r="I641" s="21"/>
      <c r="J641" s="28"/>
      <c r="K641" s="19"/>
    </row>
    <row r="642" spans="1:11" ht="13.2">
      <c r="A642" s="22"/>
      <c r="B642" s="16"/>
      <c r="C642" s="23"/>
      <c r="D642" s="24"/>
      <c r="E642" s="25"/>
      <c r="F642" s="26"/>
      <c r="G642" s="27"/>
      <c r="H642" s="20"/>
      <c r="I642" s="21"/>
      <c r="J642" s="28"/>
      <c r="K642" s="19"/>
    </row>
    <row r="643" spans="1:11" ht="13.2">
      <c r="A643" s="22"/>
      <c r="B643" s="16"/>
      <c r="C643" s="23"/>
      <c r="D643" s="24"/>
      <c r="E643" s="25"/>
      <c r="F643" s="26"/>
      <c r="G643" s="27"/>
      <c r="H643" s="20"/>
      <c r="I643" s="21"/>
      <c r="J643" s="28"/>
      <c r="K643" s="19"/>
    </row>
    <row r="644" spans="1:11" ht="13.2">
      <c r="A644" s="22"/>
      <c r="B644" s="16"/>
      <c r="C644" s="23"/>
      <c r="D644" s="24"/>
      <c r="E644" s="25"/>
      <c r="F644" s="26"/>
      <c r="G644" s="27"/>
      <c r="H644" s="20"/>
      <c r="I644" s="21"/>
      <c r="J644" s="28"/>
      <c r="K644" s="19"/>
    </row>
    <row r="645" spans="1:11" ht="13.2">
      <c r="A645" s="22"/>
      <c r="B645" s="16"/>
      <c r="C645" s="23"/>
      <c r="D645" s="24"/>
      <c r="E645" s="25"/>
      <c r="F645" s="26"/>
      <c r="G645" s="27"/>
      <c r="H645" s="20"/>
      <c r="I645" s="21"/>
      <c r="J645" s="28"/>
      <c r="K645" s="19"/>
    </row>
    <row r="646" spans="1:11" ht="13.2">
      <c r="A646" s="22"/>
      <c r="B646" s="16"/>
      <c r="C646" s="23"/>
      <c r="D646" s="24"/>
      <c r="E646" s="25"/>
      <c r="F646" s="26"/>
      <c r="G646" s="27"/>
      <c r="H646" s="20"/>
      <c r="I646" s="21"/>
      <c r="J646" s="28"/>
      <c r="K646" s="19"/>
    </row>
    <row r="647" spans="1:11" ht="13.2">
      <c r="A647" s="22"/>
      <c r="B647" s="16"/>
      <c r="C647" s="23"/>
      <c r="D647" s="24"/>
      <c r="E647" s="25"/>
      <c r="F647" s="26"/>
      <c r="G647" s="27"/>
      <c r="H647" s="20"/>
      <c r="I647" s="21"/>
      <c r="J647" s="28"/>
      <c r="K647" s="19"/>
    </row>
    <row r="648" spans="1:11" ht="13.2">
      <c r="A648" s="22"/>
      <c r="B648" s="16"/>
      <c r="C648" s="23"/>
      <c r="D648" s="24"/>
      <c r="E648" s="25"/>
      <c r="F648" s="26"/>
      <c r="G648" s="27"/>
      <c r="H648" s="20"/>
      <c r="I648" s="21"/>
      <c r="J648" s="28"/>
      <c r="K648" s="19"/>
    </row>
    <row r="649" spans="1:11" ht="13.2">
      <c r="A649" s="22"/>
      <c r="B649" s="16"/>
      <c r="C649" s="23"/>
      <c r="D649" s="24"/>
      <c r="E649" s="25"/>
      <c r="F649" s="26"/>
      <c r="G649" s="27"/>
      <c r="H649" s="20"/>
      <c r="I649" s="21"/>
      <c r="J649" s="28"/>
      <c r="K649" s="19"/>
    </row>
    <row r="650" spans="1:11" ht="13.2">
      <c r="A650" s="22"/>
      <c r="B650" s="16"/>
      <c r="C650" s="23"/>
      <c r="D650" s="24"/>
      <c r="E650" s="25"/>
      <c r="F650" s="26"/>
      <c r="G650" s="27"/>
      <c r="H650" s="20"/>
      <c r="I650" s="21"/>
      <c r="J650" s="28"/>
      <c r="K650" s="19"/>
    </row>
    <row r="651" spans="1:11" ht="13.2">
      <c r="A651" s="22"/>
      <c r="B651" s="16"/>
      <c r="C651" s="23"/>
      <c r="D651" s="24"/>
      <c r="E651" s="25"/>
      <c r="F651" s="26"/>
      <c r="G651" s="27"/>
      <c r="H651" s="20"/>
      <c r="I651" s="21"/>
      <c r="J651" s="28"/>
      <c r="K651" s="19"/>
    </row>
    <row r="652" spans="1:11" ht="13.2">
      <c r="A652" s="22"/>
      <c r="B652" s="16"/>
      <c r="C652" s="23"/>
      <c r="D652" s="24"/>
      <c r="E652" s="25"/>
      <c r="F652" s="26"/>
      <c r="G652" s="27"/>
      <c r="H652" s="20"/>
      <c r="I652" s="21"/>
      <c r="J652" s="28"/>
      <c r="K652" s="19"/>
    </row>
    <row r="653" spans="1:11" ht="13.2">
      <c r="A653" s="22"/>
      <c r="B653" s="16"/>
      <c r="C653" s="23"/>
      <c r="D653" s="24"/>
      <c r="E653" s="25"/>
      <c r="F653" s="26"/>
      <c r="G653" s="27"/>
      <c r="H653" s="20"/>
      <c r="I653" s="21"/>
      <c r="J653" s="28"/>
      <c r="K653" s="19"/>
    </row>
    <row r="654" spans="1:11" ht="13.2">
      <c r="A654" s="22"/>
      <c r="B654" s="16"/>
      <c r="C654" s="23"/>
      <c r="D654" s="24"/>
      <c r="E654" s="25"/>
      <c r="F654" s="26"/>
      <c r="G654" s="27"/>
      <c r="H654" s="20"/>
      <c r="I654" s="21"/>
      <c r="J654" s="28"/>
      <c r="K654" s="19"/>
    </row>
    <row r="655" spans="1:11" ht="13.2">
      <c r="A655" s="22"/>
      <c r="B655" s="16"/>
      <c r="C655" s="23"/>
      <c r="D655" s="24"/>
      <c r="E655" s="25"/>
      <c r="F655" s="26"/>
      <c r="G655" s="27"/>
      <c r="H655" s="20"/>
      <c r="I655" s="21"/>
      <c r="J655" s="28"/>
      <c r="K655" s="19"/>
    </row>
    <row r="656" spans="1:11" ht="13.2">
      <c r="A656" s="22"/>
      <c r="B656" s="16"/>
      <c r="C656" s="23"/>
      <c r="D656" s="24"/>
      <c r="E656" s="25"/>
      <c r="F656" s="26"/>
      <c r="G656" s="27"/>
      <c r="H656" s="20"/>
      <c r="I656" s="21"/>
      <c r="J656" s="28"/>
      <c r="K656" s="19"/>
    </row>
    <row r="657" spans="1:11" ht="13.2">
      <c r="A657" s="22"/>
      <c r="B657" s="16"/>
      <c r="C657" s="23"/>
      <c r="D657" s="24"/>
      <c r="E657" s="25"/>
      <c r="F657" s="26"/>
      <c r="G657" s="27"/>
      <c r="H657" s="20"/>
      <c r="I657" s="21"/>
      <c r="J657" s="28"/>
      <c r="K657" s="19"/>
    </row>
    <row r="658" spans="1:11" ht="13.2">
      <c r="A658" s="22"/>
      <c r="B658" s="16"/>
      <c r="C658" s="23"/>
      <c r="D658" s="24"/>
      <c r="E658" s="25"/>
      <c r="F658" s="26"/>
      <c r="G658" s="27"/>
      <c r="H658" s="20"/>
      <c r="I658" s="21"/>
      <c r="J658" s="28"/>
      <c r="K658" s="19"/>
    </row>
    <row r="659" spans="1:11" ht="13.2">
      <c r="A659" s="22"/>
      <c r="B659" s="16"/>
      <c r="C659" s="23"/>
      <c r="D659" s="24"/>
      <c r="E659" s="25"/>
      <c r="F659" s="26"/>
      <c r="G659" s="27"/>
      <c r="H659" s="20"/>
      <c r="I659" s="21"/>
      <c r="J659" s="28"/>
      <c r="K659" s="19"/>
    </row>
    <row r="660" spans="1:11" ht="13.2">
      <c r="A660" s="22"/>
      <c r="B660" s="16"/>
      <c r="C660" s="23"/>
      <c r="D660" s="24"/>
      <c r="E660" s="25"/>
      <c r="F660" s="26"/>
      <c r="G660" s="27"/>
      <c r="H660" s="20"/>
      <c r="I660" s="21"/>
      <c r="J660" s="28"/>
      <c r="K660" s="19"/>
    </row>
    <row r="661" spans="1:11" ht="13.2">
      <c r="A661" s="22"/>
      <c r="B661" s="16"/>
      <c r="C661" s="23"/>
      <c r="D661" s="24"/>
      <c r="E661" s="25"/>
      <c r="F661" s="26"/>
      <c r="G661" s="27"/>
      <c r="H661" s="20"/>
      <c r="I661" s="21"/>
      <c r="J661" s="28"/>
      <c r="K661" s="19"/>
    </row>
    <row r="662" spans="1:11" ht="13.2">
      <c r="A662" s="22"/>
      <c r="B662" s="16"/>
      <c r="C662" s="23"/>
      <c r="D662" s="24"/>
      <c r="E662" s="25"/>
      <c r="F662" s="26"/>
      <c r="G662" s="27"/>
      <c r="H662" s="20"/>
      <c r="I662" s="21"/>
      <c r="J662" s="28"/>
      <c r="K662" s="19"/>
    </row>
    <row r="663" spans="1:11" ht="13.2">
      <c r="A663" s="22"/>
      <c r="B663" s="16"/>
      <c r="C663" s="23"/>
      <c r="D663" s="24"/>
      <c r="E663" s="25"/>
      <c r="F663" s="26"/>
      <c r="G663" s="27"/>
      <c r="H663" s="20"/>
      <c r="I663" s="21"/>
      <c r="J663" s="28"/>
      <c r="K663" s="19"/>
    </row>
    <row r="664" spans="1:11" ht="13.2">
      <c r="A664" s="22"/>
      <c r="B664" s="16"/>
      <c r="C664" s="23"/>
      <c r="D664" s="24"/>
      <c r="E664" s="25"/>
      <c r="F664" s="26"/>
      <c r="G664" s="27"/>
      <c r="H664" s="20"/>
      <c r="I664" s="21"/>
      <c r="J664" s="28"/>
      <c r="K664" s="19"/>
    </row>
    <row r="665" spans="1:11" ht="13.2">
      <c r="A665" s="22"/>
      <c r="B665" s="16"/>
      <c r="C665" s="23"/>
      <c r="D665" s="24"/>
      <c r="E665" s="25"/>
      <c r="F665" s="26"/>
      <c r="G665" s="27"/>
      <c r="H665" s="20"/>
      <c r="I665" s="21"/>
      <c r="J665" s="28"/>
      <c r="K665" s="19"/>
    </row>
    <row r="666" spans="1:11" ht="13.2">
      <c r="A666" s="22"/>
      <c r="B666" s="16"/>
      <c r="C666" s="23"/>
      <c r="D666" s="24"/>
      <c r="E666" s="25"/>
      <c r="F666" s="26"/>
      <c r="G666" s="27"/>
      <c r="H666" s="20"/>
      <c r="I666" s="21"/>
      <c r="J666" s="28"/>
      <c r="K666" s="19"/>
    </row>
    <row r="667" spans="1:11" ht="13.2">
      <c r="A667" s="22"/>
      <c r="B667" s="16"/>
      <c r="C667" s="23"/>
      <c r="D667" s="24"/>
      <c r="E667" s="25"/>
      <c r="F667" s="26"/>
      <c r="G667" s="27"/>
      <c r="H667" s="20"/>
      <c r="I667" s="21"/>
      <c r="J667" s="28"/>
      <c r="K667" s="19"/>
    </row>
    <row r="668" spans="1:11" ht="13.2">
      <c r="A668" s="22"/>
      <c r="B668" s="16"/>
      <c r="C668" s="23"/>
      <c r="D668" s="24"/>
      <c r="E668" s="25"/>
      <c r="F668" s="26"/>
      <c r="G668" s="27"/>
      <c r="H668" s="20"/>
      <c r="I668" s="21"/>
      <c r="J668" s="28"/>
      <c r="K668" s="19"/>
    </row>
    <row r="669" spans="1:11" ht="13.2">
      <c r="A669" s="22"/>
      <c r="B669" s="16"/>
      <c r="C669" s="23"/>
      <c r="D669" s="24"/>
      <c r="E669" s="25"/>
      <c r="F669" s="26"/>
      <c r="G669" s="27"/>
      <c r="H669" s="20"/>
      <c r="I669" s="21"/>
      <c r="J669" s="28"/>
      <c r="K669" s="19"/>
    </row>
    <row r="670" spans="1:11" ht="13.2">
      <c r="A670" s="22"/>
      <c r="B670" s="16"/>
      <c r="C670" s="23"/>
      <c r="D670" s="24"/>
      <c r="E670" s="25"/>
      <c r="F670" s="26"/>
      <c r="G670" s="27"/>
      <c r="H670" s="20"/>
      <c r="I670" s="21"/>
      <c r="J670" s="28"/>
      <c r="K670" s="19"/>
    </row>
    <row r="671" spans="1:11" ht="13.2">
      <c r="A671" s="22"/>
      <c r="B671" s="16"/>
      <c r="C671" s="23"/>
      <c r="D671" s="24"/>
      <c r="E671" s="25"/>
      <c r="F671" s="26"/>
      <c r="G671" s="27"/>
      <c r="H671" s="20"/>
      <c r="I671" s="21"/>
      <c r="J671" s="28"/>
      <c r="K671" s="19"/>
    </row>
    <row r="672" spans="1:11" ht="13.2">
      <c r="A672" s="22"/>
      <c r="B672" s="16"/>
      <c r="C672" s="23"/>
      <c r="D672" s="24"/>
      <c r="E672" s="25"/>
      <c r="F672" s="26"/>
      <c r="G672" s="27"/>
      <c r="H672" s="20"/>
      <c r="I672" s="21"/>
      <c r="J672" s="28"/>
      <c r="K672" s="19"/>
    </row>
    <row r="673" spans="1:11" ht="13.2">
      <c r="A673" s="22"/>
      <c r="B673" s="16"/>
      <c r="C673" s="23"/>
      <c r="D673" s="24"/>
      <c r="E673" s="25"/>
      <c r="F673" s="26"/>
      <c r="G673" s="27"/>
      <c r="H673" s="20"/>
      <c r="I673" s="21"/>
      <c r="J673" s="28"/>
      <c r="K673" s="19"/>
    </row>
    <row r="674" spans="1:11" ht="13.2">
      <c r="A674" s="22"/>
      <c r="B674" s="16"/>
      <c r="C674" s="23"/>
      <c r="D674" s="24"/>
      <c r="E674" s="25"/>
      <c r="F674" s="26"/>
      <c r="G674" s="27"/>
      <c r="H674" s="20"/>
      <c r="I674" s="21"/>
      <c r="J674" s="28"/>
      <c r="K674" s="19"/>
    </row>
    <row r="675" spans="1:11" ht="13.2">
      <c r="A675" s="22"/>
      <c r="B675" s="16"/>
      <c r="C675" s="23"/>
      <c r="D675" s="24"/>
      <c r="E675" s="25"/>
      <c r="F675" s="26"/>
      <c r="G675" s="27"/>
      <c r="H675" s="20"/>
      <c r="I675" s="21"/>
      <c r="J675" s="28"/>
      <c r="K675" s="19"/>
    </row>
    <row r="676" spans="1:11" ht="13.2">
      <c r="A676" s="22"/>
      <c r="B676" s="16"/>
      <c r="C676" s="23"/>
      <c r="D676" s="24"/>
      <c r="E676" s="25"/>
      <c r="F676" s="26"/>
      <c r="G676" s="27"/>
      <c r="H676" s="20"/>
      <c r="I676" s="21"/>
      <c r="J676" s="28"/>
      <c r="K676" s="19"/>
    </row>
    <row r="677" spans="1:11" ht="13.2">
      <c r="A677" s="22"/>
      <c r="B677" s="16"/>
      <c r="C677" s="23"/>
      <c r="D677" s="24"/>
      <c r="E677" s="25"/>
      <c r="F677" s="26"/>
      <c r="G677" s="27"/>
      <c r="H677" s="20"/>
      <c r="I677" s="21"/>
      <c r="J677" s="28"/>
      <c r="K677" s="19"/>
    </row>
    <row r="678" spans="1:11" ht="13.2">
      <c r="A678" s="22"/>
      <c r="B678" s="16"/>
      <c r="C678" s="23"/>
      <c r="D678" s="24"/>
      <c r="E678" s="25"/>
      <c r="F678" s="26"/>
      <c r="G678" s="27"/>
      <c r="H678" s="20"/>
      <c r="I678" s="21"/>
      <c r="J678" s="28"/>
      <c r="K678" s="19"/>
    </row>
    <row r="679" spans="1:11" ht="13.2">
      <c r="A679" s="22"/>
      <c r="B679" s="16"/>
      <c r="C679" s="23"/>
      <c r="D679" s="24"/>
      <c r="E679" s="25"/>
      <c r="F679" s="26"/>
      <c r="G679" s="27"/>
      <c r="H679" s="20"/>
      <c r="I679" s="21"/>
      <c r="J679" s="28"/>
      <c r="K679" s="19"/>
    </row>
    <row r="680" spans="1:11" ht="13.2">
      <c r="A680" s="22"/>
      <c r="B680" s="16"/>
      <c r="C680" s="23"/>
      <c r="D680" s="24"/>
      <c r="E680" s="25"/>
      <c r="F680" s="26"/>
      <c r="G680" s="27"/>
      <c r="H680" s="20"/>
      <c r="I680" s="21"/>
      <c r="J680" s="28"/>
      <c r="K680" s="19"/>
    </row>
    <row r="681" spans="1:11" ht="13.2">
      <c r="A681" s="22"/>
      <c r="B681" s="16"/>
      <c r="C681" s="23"/>
      <c r="D681" s="24"/>
      <c r="E681" s="25"/>
      <c r="F681" s="26"/>
      <c r="G681" s="27"/>
      <c r="H681" s="20"/>
      <c r="I681" s="21"/>
      <c r="J681" s="28"/>
      <c r="K681" s="19"/>
    </row>
    <row r="682" spans="1:11" ht="13.2">
      <c r="A682" s="22"/>
      <c r="B682" s="16"/>
      <c r="C682" s="23"/>
      <c r="D682" s="24"/>
      <c r="E682" s="25"/>
      <c r="F682" s="26"/>
      <c r="G682" s="27"/>
      <c r="H682" s="20"/>
      <c r="I682" s="21"/>
      <c r="J682" s="28"/>
      <c r="K682" s="19"/>
    </row>
    <row r="683" spans="1:11" ht="13.2">
      <c r="A683" s="22"/>
      <c r="B683" s="16"/>
      <c r="C683" s="23"/>
      <c r="D683" s="24"/>
      <c r="E683" s="25"/>
      <c r="F683" s="26"/>
      <c r="G683" s="27"/>
      <c r="H683" s="20"/>
      <c r="I683" s="21"/>
      <c r="J683" s="28"/>
      <c r="K683" s="19"/>
    </row>
    <row r="684" spans="1:11" ht="13.2">
      <c r="A684" s="22"/>
      <c r="B684" s="16"/>
      <c r="C684" s="23"/>
      <c r="D684" s="24"/>
      <c r="E684" s="25"/>
      <c r="F684" s="26"/>
      <c r="G684" s="27"/>
      <c r="H684" s="20"/>
      <c r="I684" s="21"/>
      <c r="J684" s="28"/>
      <c r="K684" s="19"/>
    </row>
    <row r="685" spans="1:11" ht="13.2">
      <c r="A685" s="22"/>
      <c r="B685" s="16"/>
      <c r="C685" s="23"/>
      <c r="D685" s="24"/>
      <c r="E685" s="25"/>
      <c r="F685" s="26"/>
      <c r="G685" s="27"/>
      <c r="H685" s="20"/>
      <c r="I685" s="21"/>
      <c r="J685" s="28"/>
      <c r="K685" s="19"/>
    </row>
    <row r="686" spans="1:11" ht="13.2">
      <c r="A686" s="22"/>
      <c r="B686" s="16"/>
      <c r="C686" s="23"/>
      <c r="D686" s="24"/>
      <c r="E686" s="25"/>
      <c r="F686" s="26"/>
      <c r="G686" s="27"/>
      <c r="H686" s="20"/>
      <c r="I686" s="21"/>
      <c r="J686" s="28"/>
      <c r="K686" s="19"/>
    </row>
    <row r="687" spans="1:11" ht="13.2">
      <c r="A687" s="22"/>
      <c r="B687" s="16"/>
      <c r="C687" s="23"/>
      <c r="D687" s="24"/>
      <c r="E687" s="25"/>
      <c r="F687" s="26"/>
      <c r="G687" s="27"/>
      <c r="H687" s="20"/>
      <c r="I687" s="21"/>
      <c r="J687" s="28"/>
      <c r="K687" s="19"/>
    </row>
    <row r="688" spans="1:11" ht="13.2">
      <c r="A688" s="22"/>
      <c r="B688" s="16"/>
      <c r="C688" s="23"/>
      <c r="D688" s="24"/>
      <c r="E688" s="25"/>
      <c r="F688" s="26"/>
      <c r="G688" s="27"/>
      <c r="H688" s="20"/>
      <c r="I688" s="21"/>
      <c r="J688" s="28"/>
      <c r="K688" s="19"/>
    </row>
    <row r="689" spans="1:11" ht="13.2">
      <c r="A689" s="22"/>
      <c r="B689" s="16"/>
      <c r="C689" s="23"/>
      <c r="D689" s="24"/>
      <c r="E689" s="25"/>
      <c r="F689" s="26"/>
      <c r="G689" s="27"/>
      <c r="H689" s="20"/>
      <c r="I689" s="21"/>
      <c r="J689" s="28"/>
      <c r="K689" s="19"/>
    </row>
    <row r="690" spans="1:11" ht="13.2">
      <c r="A690" s="22"/>
      <c r="B690" s="16"/>
      <c r="C690" s="23"/>
      <c r="D690" s="24"/>
      <c r="E690" s="25"/>
      <c r="F690" s="26"/>
      <c r="G690" s="27"/>
      <c r="H690" s="20"/>
      <c r="I690" s="21"/>
      <c r="J690" s="28"/>
      <c r="K690" s="19"/>
    </row>
    <row r="691" spans="1:11" ht="13.2">
      <c r="A691" s="22"/>
      <c r="B691" s="16"/>
      <c r="C691" s="23"/>
      <c r="D691" s="24"/>
      <c r="E691" s="25"/>
      <c r="F691" s="26"/>
      <c r="G691" s="27"/>
      <c r="H691" s="20"/>
      <c r="I691" s="21"/>
      <c r="J691" s="28"/>
      <c r="K691" s="19"/>
    </row>
    <row r="692" spans="1:11" ht="13.2">
      <c r="A692" s="22"/>
      <c r="B692" s="16"/>
      <c r="C692" s="23"/>
      <c r="D692" s="24"/>
      <c r="E692" s="25"/>
      <c r="F692" s="26"/>
      <c r="G692" s="27"/>
      <c r="H692" s="20"/>
      <c r="I692" s="21"/>
      <c r="J692" s="28"/>
      <c r="K692" s="19"/>
    </row>
    <row r="693" spans="1:11" ht="13.2">
      <c r="A693" s="22"/>
      <c r="B693" s="16"/>
      <c r="C693" s="23"/>
      <c r="D693" s="24"/>
      <c r="E693" s="25"/>
      <c r="F693" s="26"/>
      <c r="G693" s="27"/>
      <c r="H693" s="20"/>
      <c r="I693" s="21"/>
      <c r="J693" s="28"/>
      <c r="K693" s="19"/>
    </row>
    <row r="694" spans="1:11" ht="13.2">
      <c r="A694" s="22"/>
      <c r="B694" s="16"/>
      <c r="C694" s="23"/>
      <c r="D694" s="24"/>
      <c r="E694" s="25"/>
      <c r="F694" s="26"/>
      <c r="G694" s="27"/>
      <c r="H694" s="20"/>
      <c r="I694" s="21"/>
      <c r="J694" s="28"/>
      <c r="K694" s="19"/>
    </row>
    <row r="695" spans="1:11" ht="13.2">
      <c r="A695" s="22"/>
      <c r="B695" s="16"/>
      <c r="C695" s="23"/>
      <c r="D695" s="24"/>
      <c r="E695" s="25"/>
      <c r="F695" s="26"/>
      <c r="G695" s="27"/>
      <c r="H695" s="20"/>
      <c r="I695" s="21"/>
      <c r="J695" s="28"/>
      <c r="K695" s="19"/>
    </row>
    <row r="696" spans="1:11" ht="13.2">
      <c r="A696" s="22"/>
      <c r="B696" s="16"/>
      <c r="C696" s="23"/>
      <c r="D696" s="24"/>
      <c r="E696" s="25"/>
      <c r="F696" s="26"/>
      <c r="G696" s="27"/>
      <c r="H696" s="20"/>
      <c r="I696" s="21"/>
      <c r="J696" s="28"/>
      <c r="K696" s="19"/>
    </row>
    <row r="697" spans="1:11" ht="13.2">
      <c r="A697" s="22"/>
      <c r="B697" s="16"/>
      <c r="C697" s="23"/>
      <c r="D697" s="24"/>
      <c r="E697" s="25"/>
      <c r="F697" s="26"/>
      <c r="G697" s="27"/>
      <c r="H697" s="20"/>
      <c r="I697" s="21"/>
      <c r="J697" s="28"/>
      <c r="K697" s="19"/>
    </row>
    <row r="698" spans="1:11" ht="13.2">
      <c r="A698" s="22"/>
      <c r="B698" s="16"/>
      <c r="C698" s="23"/>
      <c r="D698" s="24"/>
      <c r="E698" s="25"/>
      <c r="F698" s="26"/>
      <c r="G698" s="27"/>
      <c r="H698" s="20"/>
      <c r="I698" s="21"/>
      <c r="J698" s="28"/>
      <c r="K698" s="19"/>
    </row>
    <row r="699" spans="1:11" ht="13.2">
      <c r="A699" s="22"/>
      <c r="B699" s="16"/>
      <c r="C699" s="23"/>
      <c r="D699" s="24"/>
      <c r="E699" s="25"/>
      <c r="F699" s="26"/>
      <c r="G699" s="27"/>
      <c r="H699" s="20"/>
      <c r="I699" s="21"/>
      <c r="J699" s="28"/>
      <c r="K699" s="19"/>
    </row>
    <row r="700" spans="1:11" ht="13.2">
      <c r="A700" s="22"/>
      <c r="B700" s="16"/>
      <c r="C700" s="23"/>
      <c r="D700" s="24"/>
      <c r="E700" s="25"/>
      <c r="F700" s="26"/>
      <c r="G700" s="27"/>
      <c r="H700" s="20"/>
      <c r="I700" s="21"/>
      <c r="J700" s="28"/>
      <c r="K700" s="19"/>
    </row>
    <row r="701" spans="1:11" ht="13.2">
      <c r="A701" s="22"/>
      <c r="B701" s="16"/>
      <c r="C701" s="23"/>
      <c r="D701" s="24"/>
      <c r="E701" s="25"/>
      <c r="F701" s="26"/>
      <c r="G701" s="27"/>
      <c r="H701" s="20"/>
      <c r="I701" s="21"/>
      <c r="J701" s="28"/>
      <c r="K701" s="19"/>
    </row>
    <row r="702" spans="1:11" ht="13.2">
      <c r="A702" s="22"/>
      <c r="B702" s="16"/>
      <c r="C702" s="23"/>
      <c r="D702" s="24"/>
      <c r="E702" s="25"/>
      <c r="F702" s="26"/>
      <c r="G702" s="27"/>
      <c r="H702" s="20"/>
      <c r="I702" s="21"/>
      <c r="J702" s="28"/>
      <c r="K702" s="19"/>
    </row>
    <row r="703" spans="1:11" ht="13.2">
      <c r="A703" s="22"/>
      <c r="B703" s="16"/>
      <c r="C703" s="23"/>
      <c r="D703" s="24"/>
      <c r="E703" s="25"/>
      <c r="F703" s="26"/>
      <c r="G703" s="27"/>
      <c r="H703" s="20"/>
      <c r="I703" s="21"/>
      <c r="J703" s="28"/>
      <c r="K703" s="19"/>
    </row>
    <row r="704" spans="1:11" ht="13.2">
      <c r="A704" s="22"/>
      <c r="B704" s="16"/>
      <c r="C704" s="23"/>
      <c r="D704" s="24"/>
      <c r="E704" s="25"/>
      <c r="F704" s="26"/>
      <c r="G704" s="27"/>
      <c r="H704" s="20"/>
      <c r="I704" s="21"/>
      <c r="J704" s="28"/>
      <c r="K704" s="19"/>
    </row>
    <row r="705" spans="1:11" ht="13.2">
      <c r="A705" s="22"/>
      <c r="B705" s="16"/>
      <c r="C705" s="23"/>
      <c r="D705" s="24"/>
      <c r="E705" s="25"/>
      <c r="F705" s="26"/>
      <c r="G705" s="27"/>
      <c r="H705" s="20"/>
      <c r="I705" s="21"/>
      <c r="J705" s="28"/>
      <c r="K705" s="19"/>
    </row>
    <row r="706" spans="1:11" ht="13.2">
      <c r="A706" s="22"/>
      <c r="B706" s="16"/>
      <c r="C706" s="23"/>
      <c r="D706" s="24"/>
      <c r="E706" s="25"/>
      <c r="F706" s="26"/>
      <c r="G706" s="27"/>
      <c r="H706" s="20"/>
      <c r="I706" s="21"/>
      <c r="J706" s="28"/>
      <c r="K706" s="19"/>
    </row>
    <row r="707" spans="1:11" ht="13.2">
      <c r="A707" s="22"/>
      <c r="B707" s="16"/>
      <c r="C707" s="23"/>
      <c r="D707" s="24"/>
      <c r="E707" s="25"/>
      <c r="F707" s="26"/>
      <c r="G707" s="27"/>
      <c r="H707" s="20"/>
      <c r="I707" s="21"/>
      <c r="J707" s="28"/>
      <c r="K707" s="19"/>
    </row>
    <row r="708" spans="1:11" ht="13.2">
      <c r="A708" s="22"/>
      <c r="B708" s="16"/>
      <c r="C708" s="23"/>
      <c r="D708" s="24"/>
      <c r="E708" s="25"/>
      <c r="F708" s="26"/>
      <c r="G708" s="27"/>
      <c r="H708" s="20"/>
      <c r="I708" s="21"/>
      <c r="J708" s="28"/>
      <c r="K708" s="19"/>
    </row>
    <row r="709" spans="1:11" ht="13.2">
      <c r="A709" s="22"/>
      <c r="B709" s="16"/>
      <c r="C709" s="23"/>
      <c r="D709" s="24"/>
      <c r="E709" s="25"/>
      <c r="F709" s="26"/>
      <c r="G709" s="27"/>
      <c r="H709" s="20"/>
      <c r="I709" s="21"/>
      <c r="J709" s="28"/>
      <c r="K709" s="19"/>
    </row>
    <row r="710" spans="1:11" ht="13.2">
      <c r="A710" s="22"/>
      <c r="B710" s="16"/>
      <c r="C710" s="23"/>
      <c r="D710" s="24"/>
      <c r="E710" s="25"/>
      <c r="F710" s="26"/>
      <c r="G710" s="27"/>
      <c r="H710" s="20"/>
      <c r="I710" s="21"/>
      <c r="J710" s="28"/>
      <c r="K710" s="19"/>
    </row>
    <row r="711" spans="1:11" ht="13.2">
      <c r="A711" s="22"/>
      <c r="B711" s="16"/>
      <c r="C711" s="23"/>
      <c r="D711" s="24"/>
      <c r="E711" s="25"/>
      <c r="F711" s="26"/>
      <c r="G711" s="27"/>
      <c r="H711" s="20"/>
      <c r="I711" s="21"/>
      <c r="J711" s="28"/>
      <c r="K711" s="19"/>
    </row>
    <row r="712" spans="1:11" ht="13.2">
      <c r="A712" s="22"/>
      <c r="B712" s="16"/>
      <c r="C712" s="23"/>
      <c r="D712" s="24"/>
      <c r="E712" s="25"/>
      <c r="F712" s="26"/>
      <c r="G712" s="27"/>
      <c r="H712" s="20"/>
      <c r="I712" s="21"/>
      <c r="J712" s="28"/>
      <c r="K712" s="19"/>
    </row>
    <row r="713" spans="1:11" ht="13.2">
      <c r="A713" s="22"/>
      <c r="B713" s="16"/>
      <c r="C713" s="23"/>
      <c r="D713" s="24"/>
      <c r="E713" s="25"/>
      <c r="F713" s="26"/>
      <c r="G713" s="27"/>
      <c r="H713" s="20"/>
      <c r="I713" s="21"/>
      <c r="J713" s="28"/>
      <c r="K713" s="19"/>
    </row>
    <row r="714" spans="1:11" ht="13.2">
      <c r="A714" s="22"/>
      <c r="B714" s="16"/>
      <c r="C714" s="23"/>
      <c r="D714" s="24"/>
      <c r="E714" s="25"/>
      <c r="F714" s="26"/>
      <c r="G714" s="27"/>
      <c r="H714" s="20"/>
      <c r="I714" s="21"/>
      <c r="J714" s="28"/>
      <c r="K714" s="19"/>
    </row>
    <row r="715" spans="1:11" ht="13.2">
      <c r="A715" s="22"/>
      <c r="B715" s="16"/>
      <c r="C715" s="23"/>
      <c r="D715" s="24"/>
      <c r="E715" s="25"/>
      <c r="F715" s="26"/>
      <c r="G715" s="27"/>
      <c r="H715" s="20"/>
      <c r="I715" s="21"/>
      <c r="J715" s="28"/>
      <c r="K715" s="19"/>
    </row>
    <row r="716" spans="1:11" ht="13.2">
      <c r="A716" s="22"/>
      <c r="B716" s="16"/>
      <c r="C716" s="23"/>
      <c r="D716" s="24"/>
      <c r="E716" s="25"/>
      <c r="F716" s="26"/>
      <c r="G716" s="27"/>
      <c r="H716" s="20"/>
      <c r="I716" s="21"/>
      <c r="J716" s="28"/>
      <c r="K716" s="19"/>
    </row>
    <row r="717" spans="1:11" ht="13.2">
      <c r="A717" s="22"/>
      <c r="B717" s="16"/>
      <c r="C717" s="23"/>
      <c r="D717" s="24"/>
      <c r="E717" s="25"/>
      <c r="F717" s="26"/>
      <c r="G717" s="27"/>
      <c r="H717" s="20"/>
      <c r="I717" s="21"/>
      <c r="J717" s="28"/>
      <c r="K717" s="19"/>
    </row>
    <row r="718" spans="1:11" ht="13.2">
      <c r="A718" s="22"/>
      <c r="B718" s="16"/>
      <c r="C718" s="23"/>
      <c r="D718" s="24"/>
      <c r="E718" s="25"/>
      <c r="F718" s="26"/>
      <c r="G718" s="27"/>
      <c r="H718" s="20"/>
      <c r="I718" s="21"/>
      <c r="J718" s="28"/>
      <c r="K718" s="19"/>
    </row>
    <row r="719" spans="1:11" ht="13.2">
      <c r="A719" s="22"/>
      <c r="B719" s="16"/>
      <c r="C719" s="23"/>
      <c r="D719" s="24"/>
      <c r="E719" s="25"/>
      <c r="F719" s="26"/>
      <c r="G719" s="27"/>
      <c r="H719" s="20"/>
      <c r="I719" s="21"/>
      <c r="J719" s="28"/>
      <c r="K719" s="19"/>
    </row>
    <row r="720" spans="1:11" ht="13.2">
      <c r="A720" s="22"/>
      <c r="B720" s="16"/>
      <c r="C720" s="23"/>
      <c r="D720" s="24"/>
      <c r="E720" s="25"/>
      <c r="F720" s="26"/>
      <c r="G720" s="27"/>
      <c r="H720" s="20"/>
      <c r="I720" s="21"/>
      <c r="J720" s="28"/>
      <c r="K720" s="19"/>
    </row>
    <row r="721" spans="1:11" ht="13.2">
      <c r="A721" s="22"/>
      <c r="B721" s="16"/>
      <c r="C721" s="23"/>
      <c r="D721" s="24"/>
      <c r="E721" s="25"/>
      <c r="F721" s="26"/>
      <c r="G721" s="27"/>
      <c r="H721" s="20"/>
      <c r="I721" s="21"/>
      <c r="J721" s="28"/>
      <c r="K721" s="19"/>
    </row>
    <row r="722" spans="1:11" ht="13.2">
      <c r="A722" s="22"/>
      <c r="B722" s="16"/>
      <c r="C722" s="23"/>
      <c r="D722" s="24"/>
      <c r="E722" s="25"/>
      <c r="F722" s="26"/>
      <c r="G722" s="27"/>
      <c r="H722" s="20"/>
      <c r="I722" s="21"/>
      <c r="J722" s="28"/>
      <c r="K722" s="19"/>
    </row>
    <row r="723" spans="1:11" ht="13.2">
      <c r="A723" s="22"/>
      <c r="B723" s="16"/>
      <c r="C723" s="23"/>
      <c r="D723" s="24"/>
      <c r="E723" s="25"/>
      <c r="F723" s="26"/>
      <c r="G723" s="27"/>
      <c r="H723" s="20"/>
      <c r="I723" s="21"/>
      <c r="J723" s="28"/>
      <c r="K723" s="19"/>
    </row>
    <row r="724" spans="1:11" ht="13.2">
      <c r="A724" s="22"/>
      <c r="B724" s="16"/>
      <c r="C724" s="23"/>
      <c r="D724" s="24"/>
      <c r="E724" s="25"/>
      <c r="F724" s="26"/>
      <c r="G724" s="27"/>
      <c r="H724" s="20"/>
      <c r="I724" s="21"/>
      <c r="J724" s="28"/>
      <c r="K724" s="19"/>
    </row>
    <row r="725" spans="1:11" ht="13.2">
      <c r="A725" s="22"/>
      <c r="B725" s="16"/>
      <c r="C725" s="23"/>
      <c r="D725" s="24"/>
      <c r="E725" s="25"/>
      <c r="F725" s="26"/>
      <c r="G725" s="27"/>
      <c r="H725" s="20"/>
      <c r="I725" s="21"/>
      <c r="J725" s="28"/>
      <c r="K725" s="19"/>
    </row>
    <row r="726" spans="1:11" ht="13.2">
      <c r="A726" s="22"/>
      <c r="B726" s="16"/>
      <c r="C726" s="23"/>
      <c r="D726" s="24"/>
      <c r="E726" s="25"/>
      <c r="F726" s="26"/>
      <c r="G726" s="27"/>
      <c r="H726" s="20"/>
      <c r="I726" s="21"/>
      <c r="J726" s="28"/>
      <c r="K726" s="19"/>
    </row>
    <row r="727" spans="1:11" ht="13.2">
      <c r="A727" s="22"/>
      <c r="B727" s="16"/>
      <c r="C727" s="23"/>
      <c r="D727" s="24"/>
      <c r="E727" s="25"/>
      <c r="F727" s="26"/>
      <c r="G727" s="27"/>
      <c r="H727" s="20"/>
      <c r="I727" s="21"/>
      <c r="J727" s="28"/>
      <c r="K727" s="19"/>
    </row>
    <row r="728" spans="1:11" ht="13.2">
      <c r="A728" s="22"/>
      <c r="B728" s="16"/>
      <c r="C728" s="23"/>
      <c r="D728" s="24"/>
      <c r="E728" s="25"/>
      <c r="F728" s="26"/>
      <c r="G728" s="27"/>
      <c r="H728" s="20"/>
      <c r="I728" s="21"/>
      <c r="J728" s="28"/>
      <c r="K728" s="19"/>
    </row>
    <row r="729" spans="1:11" ht="13.2">
      <c r="A729" s="22"/>
      <c r="B729" s="16"/>
      <c r="C729" s="23"/>
      <c r="D729" s="24"/>
      <c r="E729" s="25"/>
      <c r="F729" s="26"/>
      <c r="G729" s="27"/>
      <c r="H729" s="20"/>
      <c r="I729" s="21"/>
      <c r="J729" s="28"/>
      <c r="K729" s="19"/>
    </row>
    <row r="730" spans="1:11" ht="13.2">
      <c r="A730" s="22"/>
      <c r="B730" s="16"/>
      <c r="C730" s="23"/>
      <c r="D730" s="24"/>
      <c r="E730" s="25"/>
      <c r="F730" s="26"/>
      <c r="G730" s="27"/>
      <c r="H730" s="20"/>
      <c r="I730" s="21"/>
      <c r="J730" s="28"/>
      <c r="K730" s="19"/>
    </row>
    <row r="731" spans="1:11" ht="13.2">
      <c r="A731" s="22"/>
      <c r="B731" s="16"/>
      <c r="C731" s="23"/>
      <c r="D731" s="24"/>
      <c r="E731" s="25"/>
      <c r="F731" s="26"/>
      <c r="G731" s="27"/>
      <c r="H731" s="20"/>
      <c r="I731" s="21"/>
      <c r="J731" s="28"/>
      <c r="K731" s="19"/>
    </row>
    <row r="732" spans="1:11" ht="13.2">
      <c r="A732" s="22"/>
      <c r="B732" s="16"/>
      <c r="C732" s="23"/>
      <c r="D732" s="24"/>
      <c r="E732" s="25"/>
      <c r="F732" s="26"/>
      <c r="G732" s="27"/>
      <c r="H732" s="20"/>
      <c r="I732" s="21"/>
      <c r="J732" s="28"/>
      <c r="K732" s="19"/>
    </row>
    <row r="733" spans="1:11" ht="13.2">
      <c r="A733" s="22"/>
      <c r="B733" s="16"/>
      <c r="C733" s="23"/>
      <c r="D733" s="24"/>
      <c r="E733" s="25"/>
      <c r="F733" s="26"/>
      <c r="G733" s="27"/>
      <c r="H733" s="20"/>
      <c r="I733" s="21"/>
      <c r="J733" s="28"/>
      <c r="K733" s="19"/>
    </row>
    <row r="734" spans="1:11" ht="13.2">
      <c r="A734" s="22"/>
      <c r="B734" s="16"/>
      <c r="C734" s="23"/>
      <c r="D734" s="24"/>
      <c r="E734" s="25"/>
      <c r="F734" s="26"/>
      <c r="G734" s="27"/>
      <c r="H734" s="20"/>
      <c r="I734" s="21"/>
      <c r="J734" s="28"/>
      <c r="K734" s="19"/>
    </row>
    <row r="735" spans="1:11" ht="13.2">
      <c r="A735" s="22"/>
      <c r="B735" s="16"/>
      <c r="C735" s="23"/>
      <c r="D735" s="24"/>
      <c r="E735" s="25"/>
      <c r="F735" s="26"/>
      <c r="G735" s="27"/>
      <c r="H735" s="20"/>
      <c r="I735" s="21"/>
      <c r="J735" s="28"/>
      <c r="K735" s="19"/>
    </row>
    <row r="736" spans="1:11" ht="13.2">
      <c r="A736" s="22"/>
      <c r="B736" s="16"/>
      <c r="C736" s="23"/>
      <c r="D736" s="24"/>
      <c r="E736" s="25"/>
      <c r="F736" s="26"/>
      <c r="G736" s="27"/>
      <c r="H736" s="20"/>
      <c r="I736" s="21"/>
      <c r="J736" s="28"/>
      <c r="K736" s="19"/>
    </row>
    <row r="737" spans="1:11" ht="13.2">
      <c r="A737" s="22"/>
      <c r="B737" s="16"/>
      <c r="C737" s="23"/>
      <c r="D737" s="24"/>
      <c r="E737" s="25"/>
      <c r="F737" s="26"/>
      <c r="G737" s="27"/>
      <c r="H737" s="20"/>
      <c r="I737" s="21"/>
      <c r="J737" s="28"/>
      <c r="K737" s="19"/>
    </row>
    <row r="738" spans="1:11" ht="13.2">
      <c r="A738" s="22"/>
      <c r="B738" s="16"/>
      <c r="C738" s="23"/>
      <c r="D738" s="24"/>
      <c r="E738" s="25"/>
      <c r="F738" s="26"/>
      <c r="G738" s="27"/>
      <c r="H738" s="20"/>
      <c r="I738" s="21"/>
      <c r="J738" s="28"/>
      <c r="K738" s="19"/>
    </row>
    <row r="739" spans="1:11" ht="13.2">
      <c r="A739" s="22"/>
      <c r="B739" s="16"/>
      <c r="C739" s="23"/>
      <c r="D739" s="24"/>
      <c r="E739" s="25"/>
      <c r="F739" s="26"/>
      <c r="G739" s="27"/>
      <c r="H739" s="20"/>
      <c r="I739" s="21"/>
      <c r="J739" s="28"/>
      <c r="K739" s="19"/>
    </row>
    <row r="740" spans="1:11" ht="13.2">
      <c r="A740" s="22"/>
      <c r="B740" s="16"/>
      <c r="C740" s="23"/>
      <c r="D740" s="24"/>
      <c r="E740" s="25"/>
      <c r="F740" s="26"/>
      <c r="G740" s="27"/>
      <c r="H740" s="20"/>
      <c r="I740" s="21"/>
      <c r="J740" s="28"/>
      <c r="K740" s="19"/>
    </row>
    <row r="741" spans="1:11" ht="13.2">
      <c r="A741" s="22"/>
      <c r="B741" s="16"/>
      <c r="C741" s="23"/>
      <c r="D741" s="24"/>
      <c r="E741" s="25"/>
      <c r="F741" s="26"/>
      <c r="G741" s="27"/>
      <c r="H741" s="20"/>
      <c r="I741" s="21"/>
      <c r="J741" s="28"/>
      <c r="K741" s="19"/>
    </row>
    <row r="742" spans="1:11" ht="13.2">
      <c r="A742" s="22"/>
      <c r="B742" s="16"/>
      <c r="C742" s="23"/>
      <c r="D742" s="24"/>
      <c r="E742" s="25"/>
      <c r="F742" s="26"/>
      <c r="G742" s="27"/>
      <c r="H742" s="20"/>
      <c r="I742" s="21"/>
      <c r="J742" s="28"/>
      <c r="K742" s="19"/>
    </row>
    <row r="743" spans="1:11" ht="13.2">
      <c r="A743" s="22"/>
      <c r="B743" s="16"/>
      <c r="C743" s="23"/>
      <c r="D743" s="24"/>
      <c r="E743" s="25"/>
      <c r="F743" s="26"/>
      <c r="G743" s="27"/>
      <c r="H743" s="20"/>
      <c r="I743" s="21"/>
      <c r="J743" s="28"/>
      <c r="K743" s="19"/>
    </row>
    <row r="744" spans="1:11" ht="13.2">
      <c r="A744" s="22"/>
      <c r="B744" s="16"/>
      <c r="C744" s="23"/>
      <c r="D744" s="24"/>
      <c r="E744" s="25"/>
      <c r="F744" s="26"/>
      <c r="G744" s="27"/>
      <c r="H744" s="20"/>
      <c r="I744" s="21"/>
      <c r="J744" s="28"/>
      <c r="K744" s="19"/>
    </row>
    <row r="745" spans="1:11" ht="13.2">
      <c r="A745" s="22"/>
      <c r="B745" s="16"/>
      <c r="C745" s="23"/>
      <c r="D745" s="24"/>
      <c r="E745" s="25"/>
      <c r="F745" s="26"/>
      <c r="G745" s="27"/>
      <c r="H745" s="20"/>
      <c r="I745" s="21"/>
      <c r="J745" s="28"/>
      <c r="K745" s="19"/>
    </row>
    <row r="746" spans="1:11" ht="13.2">
      <c r="A746" s="22"/>
      <c r="B746" s="16"/>
      <c r="C746" s="23"/>
      <c r="D746" s="24"/>
      <c r="E746" s="25"/>
      <c r="F746" s="26"/>
      <c r="G746" s="27"/>
      <c r="H746" s="20"/>
      <c r="I746" s="21"/>
      <c r="J746" s="28"/>
      <c r="K746" s="19"/>
    </row>
    <row r="747" spans="1:11" ht="13.2">
      <c r="A747" s="22"/>
      <c r="B747" s="16"/>
      <c r="C747" s="23"/>
      <c r="D747" s="24"/>
      <c r="E747" s="25"/>
      <c r="F747" s="26"/>
      <c r="G747" s="27"/>
      <c r="H747" s="20"/>
      <c r="I747" s="21"/>
      <c r="J747" s="28"/>
      <c r="K747" s="19"/>
    </row>
    <row r="748" spans="1:11" ht="13.2">
      <c r="A748" s="22"/>
      <c r="B748" s="16"/>
      <c r="C748" s="23"/>
      <c r="D748" s="24"/>
      <c r="E748" s="25"/>
      <c r="F748" s="26"/>
      <c r="G748" s="27"/>
      <c r="H748" s="20"/>
      <c r="I748" s="21"/>
      <c r="J748" s="28"/>
      <c r="K748" s="19"/>
    </row>
    <row r="749" spans="1:11" ht="13.2">
      <c r="A749" s="22"/>
      <c r="B749" s="16"/>
      <c r="C749" s="23"/>
      <c r="D749" s="24"/>
      <c r="E749" s="25"/>
      <c r="F749" s="26"/>
      <c r="G749" s="27"/>
      <c r="H749" s="20"/>
      <c r="I749" s="21"/>
      <c r="J749" s="28"/>
      <c r="K749" s="19"/>
    </row>
    <row r="750" spans="1:11" ht="13.2">
      <c r="A750" s="22"/>
      <c r="B750" s="16"/>
      <c r="C750" s="23"/>
      <c r="D750" s="24"/>
      <c r="E750" s="25"/>
      <c r="F750" s="26"/>
      <c r="G750" s="27"/>
      <c r="H750" s="20"/>
      <c r="I750" s="21"/>
      <c r="J750" s="28"/>
      <c r="K750" s="19"/>
    </row>
    <row r="751" spans="1:11" ht="13.2">
      <c r="A751" s="22"/>
      <c r="B751" s="16"/>
      <c r="C751" s="23"/>
      <c r="D751" s="24"/>
      <c r="E751" s="25"/>
      <c r="F751" s="26"/>
      <c r="G751" s="27"/>
      <c r="H751" s="20"/>
      <c r="I751" s="21"/>
      <c r="J751" s="28"/>
      <c r="K751" s="19"/>
    </row>
    <row r="752" spans="1:11" ht="13.2">
      <c r="A752" s="22"/>
      <c r="B752" s="16"/>
      <c r="C752" s="23"/>
      <c r="D752" s="24"/>
      <c r="E752" s="25"/>
      <c r="F752" s="26"/>
      <c r="G752" s="27"/>
      <c r="H752" s="20"/>
      <c r="I752" s="21"/>
      <c r="J752" s="28"/>
      <c r="K752" s="19"/>
    </row>
    <row r="753" spans="1:11" ht="13.2">
      <c r="A753" s="22"/>
      <c r="B753" s="16"/>
      <c r="C753" s="23"/>
      <c r="D753" s="24"/>
      <c r="E753" s="25"/>
      <c r="F753" s="26"/>
      <c r="G753" s="27"/>
      <c r="H753" s="20"/>
      <c r="I753" s="21"/>
      <c r="J753" s="28"/>
      <c r="K753" s="19"/>
    </row>
    <row r="754" spans="1:11" ht="13.2">
      <c r="A754" s="22"/>
      <c r="B754" s="16"/>
      <c r="C754" s="23"/>
      <c r="D754" s="24"/>
      <c r="E754" s="25"/>
      <c r="F754" s="26"/>
      <c r="G754" s="27"/>
      <c r="H754" s="20"/>
      <c r="I754" s="21"/>
      <c r="J754" s="28"/>
      <c r="K754" s="19"/>
    </row>
    <row r="755" spans="1:11" ht="13.2">
      <c r="A755" s="22"/>
      <c r="B755" s="16"/>
      <c r="C755" s="23"/>
      <c r="D755" s="24"/>
      <c r="E755" s="25"/>
      <c r="F755" s="26"/>
      <c r="G755" s="27"/>
      <c r="H755" s="20"/>
      <c r="I755" s="21"/>
      <c r="J755" s="28"/>
      <c r="K755" s="19"/>
    </row>
    <row r="756" spans="1:11" ht="13.2">
      <c r="A756" s="22"/>
      <c r="B756" s="16"/>
      <c r="C756" s="23"/>
      <c r="D756" s="24"/>
      <c r="E756" s="25"/>
      <c r="F756" s="26"/>
      <c r="G756" s="27"/>
      <c r="H756" s="20"/>
      <c r="I756" s="21"/>
      <c r="J756" s="28"/>
      <c r="K756" s="19"/>
    </row>
    <row r="757" spans="1:11" ht="13.2">
      <c r="A757" s="22"/>
      <c r="B757" s="16"/>
      <c r="C757" s="23"/>
      <c r="D757" s="24"/>
      <c r="E757" s="25"/>
      <c r="F757" s="26"/>
      <c r="G757" s="27"/>
      <c r="H757" s="20"/>
      <c r="I757" s="21"/>
      <c r="J757" s="28"/>
      <c r="K757" s="19"/>
    </row>
    <row r="758" spans="1:11" ht="13.2">
      <c r="A758" s="22"/>
      <c r="B758" s="16"/>
      <c r="C758" s="23"/>
      <c r="D758" s="24"/>
      <c r="E758" s="25"/>
      <c r="F758" s="26"/>
      <c r="G758" s="27"/>
      <c r="H758" s="20"/>
      <c r="I758" s="21"/>
      <c r="J758" s="28"/>
      <c r="K758" s="19"/>
    </row>
    <row r="759" spans="1:11" ht="13.2">
      <c r="A759" s="22"/>
      <c r="B759" s="16"/>
      <c r="C759" s="23"/>
      <c r="D759" s="24"/>
      <c r="E759" s="25"/>
      <c r="F759" s="26"/>
      <c r="G759" s="27"/>
      <c r="H759" s="20"/>
      <c r="I759" s="21"/>
      <c r="J759" s="28"/>
      <c r="K759" s="19"/>
    </row>
    <row r="760" spans="1:11" ht="13.2">
      <c r="A760" s="22"/>
      <c r="B760" s="16"/>
      <c r="C760" s="23"/>
      <c r="D760" s="24"/>
      <c r="E760" s="25"/>
      <c r="F760" s="26"/>
      <c r="G760" s="27"/>
      <c r="H760" s="20"/>
      <c r="I760" s="21"/>
      <c r="J760" s="28"/>
      <c r="K760" s="19"/>
    </row>
    <row r="761" spans="1:11" ht="13.2">
      <c r="A761" s="22"/>
      <c r="B761" s="16"/>
      <c r="C761" s="23"/>
      <c r="D761" s="24"/>
      <c r="E761" s="25"/>
      <c r="F761" s="26"/>
      <c r="G761" s="27"/>
      <c r="H761" s="20"/>
      <c r="I761" s="21"/>
      <c r="J761" s="28"/>
      <c r="K761" s="19"/>
    </row>
    <row r="762" spans="1:11" ht="13.2">
      <c r="A762" s="22"/>
      <c r="B762" s="16"/>
      <c r="C762" s="23"/>
      <c r="D762" s="24"/>
      <c r="E762" s="25"/>
      <c r="F762" s="26"/>
      <c r="G762" s="27"/>
      <c r="H762" s="20"/>
      <c r="I762" s="21"/>
      <c r="J762" s="28"/>
      <c r="K762" s="19"/>
    </row>
    <row r="763" spans="1:11" ht="13.2">
      <c r="A763" s="22"/>
      <c r="B763" s="16"/>
      <c r="C763" s="23"/>
      <c r="D763" s="24"/>
      <c r="E763" s="25"/>
      <c r="F763" s="26"/>
      <c r="G763" s="27"/>
      <c r="H763" s="20"/>
      <c r="I763" s="21"/>
      <c r="J763" s="28"/>
      <c r="K763" s="19"/>
    </row>
    <row r="764" spans="1:11" ht="13.2">
      <c r="A764" s="22"/>
      <c r="B764" s="16"/>
      <c r="C764" s="23"/>
      <c r="D764" s="24"/>
      <c r="E764" s="25"/>
      <c r="F764" s="26"/>
      <c r="G764" s="27"/>
      <c r="H764" s="20"/>
      <c r="I764" s="21"/>
      <c r="J764" s="28"/>
      <c r="K764" s="19"/>
    </row>
    <row r="765" spans="1:11" ht="13.2">
      <c r="A765" s="22"/>
      <c r="B765" s="16"/>
      <c r="C765" s="23"/>
      <c r="D765" s="24"/>
      <c r="E765" s="25"/>
      <c r="F765" s="26"/>
      <c r="G765" s="27"/>
      <c r="H765" s="20"/>
      <c r="I765" s="21"/>
      <c r="J765" s="28"/>
      <c r="K765" s="19"/>
    </row>
    <row r="766" spans="1:11" ht="13.2">
      <c r="A766" s="22"/>
      <c r="B766" s="16"/>
      <c r="C766" s="23"/>
      <c r="D766" s="24"/>
      <c r="E766" s="25"/>
      <c r="F766" s="26"/>
      <c r="G766" s="27"/>
      <c r="H766" s="20"/>
      <c r="I766" s="21"/>
      <c r="J766" s="28"/>
      <c r="K766" s="19"/>
    </row>
    <row r="767" spans="1:11" ht="13.2">
      <c r="A767" s="22"/>
      <c r="B767" s="16"/>
      <c r="C767" s="23"/>
      <c r="D767" s="24"/>
      <c r="E767" s="25"/>
      <c r="F767" s="26"/>
      <c r="G767" s="27"/>
      <c r="H767" s="20"/>
      <c r="I767" s="21"/>
      <c r="J767" s="28"/>
      <c r="K767" s="19"/>
    </row>
    <row r="768" spans="1:11" ht="13.2">
      <c r="A768" s="22"/>
      <c r="B768" s="16"/>
      <c r="C768" s="23"/>
      <c r="D768" s="24"/>
      <c r="E768" s="25"/>
      <c r="F768" s="26"/>
      <c r="G768" s="27"/>
      <c r="H768" s="20"/>
      <c r="I768" s="21"/>
      <c r="J768" s="28"/>
      <c r="K768" s="19"/>
    </row>
    <row r="769" spans="1:11" ht="13.2">
      <c r="A769" s="22"/>
      <c r="B769" s="16"/>
      <c r="C769" s="23"/>
      <c r="D769" s="24"/>
      <c r="E769" s="25"/>
      <c r="F769" s="26"/>
      <c r="G769" s="27"/>
      <c r="H769" s="20"/>
      <c r="I769" s="21"/>
      <c r="J769" s="28"/>
      <c r="K769" s="19"/>
    </row>
    <row r="770" spans="1:11" ht="13.2">
      <c r="A770" s="22"/>
      <c r="B770" s="16"/>
      <c r="C770" s="23"/>
      <c r="D770" s="24"/>
      <c r="E770" s="25"/>
      <c r="F770" s="26"/>
      <c r="G770" s="27"/>
      <c r="H770" s="20"/>
      <c r="I770" s="21"/>
      <c r="J770" s="28"/>
      <c r="K770" s="19"/>
    </row>
    <row r="771" spans="1:11" ht="13.2">
      <c r="A771" s="22"/>
      <c r="B771" s="16"/>
      <c r="C771" s="23"/>
      <c r="D771" s="24"/>
      <c r="E771" s="25"/>
      <c r="F771" s="26"/>
      <c r="G771" s="27"/>
      <c r="H771" s="20"/>
      <c r="I771" s="21"/>
      <c r="J771" s="28"/>
      <c r="K771" s="19"/>
    </row>
    <row r="772" spans="1:11" ht="13.2">
      <c r="A772" s="22"/>
      <c r="B772" s="16"/>
      <c r="C772" s="23"/>
      <c r="D772" s="24"/>
      <c r="E772" s="25"/>
      <c r="F772" s="26"/>
      <c r="G772" s="27"/>
      <c r="H772" s="20"/>
      <c r="I772" s="21"/>
      <c r="J772" s="28"/>
      <c r="K772" s="19"/>
    </row>
    <row r="773" spans="1:11" ht="13.2">
      <c r="A773" s="22"/>
      <c r="B773" s="16"/>
      <c r="C773" s="23"/>
      <c r="D773" s="24"/>
      <c r="E773" s="25"/>
      <c r="F773" s="26"/>
      <c r="G773" s="27"/>
      <c r="H773" s="20"/>
      <c r="I773" s="21"/>
      <c r="J773" s="28"/>
      <c r="K773" s="19"/>
    </row>
    <row r="774" spans="1:11" ht="13.2">
      <c r="A774" s="22"/>
      <c r="B774" s="16"/>
      <c r="C774" s="23"/>
      <c r="D774" s="24"/>
      <c r="E774" s="25"/>
      <c r="F774" s="26"/>
      <c r="G774" s="27"/>
      <c r="H774" s="20"/>
      <c r="I774" s="21"/>
      <c r="J774" s="28"/>
      <c r="K774" s="19"/>
    </row>
    <row r="775" spans="1:11" ht="13.2">
      <c r="A775" s="22"/>
      <c r="B775" s="16"/>
      <c r="C775" s="23"/>
      <c r="D775" s="24"/>
      <c r="E775" s="25"/>
      <c r="F775" s="26"/>
      <c r="G775" s="27"/>
      <c r="H775" s="20"/>
      <c r="I775" s="21"/>
      <c r="J775" s="28"/>
      <c r="K775" s="19"/>
    </row>
    <row r="776" spans="1:11" ht="13.2">
      <c r="A776" s="22"/>
      <c r="B776" s="16"/>
      <c r="C776" s="23"/>
      <c r="D776" s="24"/>
      <c r="E776" s="25"/>
      <c r="F776" s="26"/>
      <c r="G776" s="27"/>
      <c r="H776" s="20"/>
      <c r="I776" s="21"/>
      <c r="J776" s="28"/>
      <c r="K776" s="19"/>
    </row>
    <row r="777" spans="1:11" ht="13.2">
      <c r="A777" s="22"/>
      <c r="B777" s="16"/>
      <c r="C777" s="23"/>
      <c r="D777" s="24"/>
      <c r="E777" s="25"/>
      <c r="F777" s="26"/>
      <c r="G777" s="27"/>
      <c r="H777" s="20"/>
      <c r="I777" s="21"/>
      <c r="J777" s="28"/>
      <c r="K777" s="19"/>
    </row>
    <row r="778" spans="1:11" ht="13.2">
      <c r="A778" s="22"/>
      <c r="B778" s="16"/>
      <c r="C778" s="23"/>
      <c r="D778" s="24"/>
      <c r="E778" s="25"/>
      <c r="F778" s="26"/>
      <c r="G778" s="27"/>
      <c r="H778" s="20"/>
      <c r="I778" s="21"/>
      <c r="J778" s="28"/>
      <c r="K778" s="19"/>
    </row>
    <row r="779" spans="1:11" ht="13.2">
      <c r="A779" s="22"/>
      <c r="B779" s="16"/>
      <c r="C779" s="23"/>
      <c r="D779" s="24"/>
      <c r="E779" s="25"/>
      <c r="F779" s="26"/>
      <c r="G779" s="27"/>
      <c r="H779" s="20"/>
      <c r="I779" s="21"/>
      <c r="J779" s="28"/>
      <c r="K779" s="19"/>
    </row>
    <row r="780" spans="1:11" ht="13.2">
      <c r="A780" s="22"/>
      <c r="B780" s="16"/>
      <c r="C780" s="23"/>
      <c r="D780" s="24"/>
      <c r="E780" s="25"/>
      <c r="F780" s="26"/>
      <c r="G780" s="27"/>
      <c r="H780" s="20"/>
      <c r="I780" s="21"/>
      <c r="J780" s="28"/>
      <c r="K780" s="19"/>
    </row>
    <row r="781" spans="1:11" ht="13.2">
      <c r="A781" s="22"/>
      <c r="B781" s="16"/>
      <c r="C781" s="23"/>
      <c r="D781" s="24"/>
      <c r="E781" s="25"/>
      <c r="F781" s="26"/>
      <c r="G781" s="27"/>
      <c r="H781" s="20"/>
      <c r="I781" s="21"/>
      <c r="J781" s="28"/>
      <c r="K781" s="19"/>
    </row>
    <row r="782" spans="1:11" ht="13.2">
      <c r="A782" s="22"/>
      <c r="B782" s="16"/>
      <c r="C782" s="23"/>
      <c r="D782" s="24"/>
      <c r="E782" s="25"/>
      <c r="F782" s="26"/>
      <c r="G782" s="27"/>
      <c r="H782" s="20"/>
      <c r="I782" s="21"/>
      <c r="J782" s="28"/>
      <c r="K782" s="19"/>
    </row>
    <row r="783" spans="1:11" ht="13.2">
      <c r="A783" s="22"/>
      <c r="B783" s="16"/>
      <c r="C783" s="23"/>
      <c r="D783" s="24"/>
      <c r="E783" s="25"/>
      <c r="F783" s="26"/>
      <c r="G783" s="27"/>
      <c r="H783" s="20"/>
      <c r="I783" s="21"/>
      <c r="J783" s="28"/>
      <c r="K783" s="19"/>
    </row>
    <row r="784" spans="1:11" ht="13.2">
      <c r="A784" s="22"/>
      <c r="B784" s="16"/>
      <c r="C784" s="23"/>
      <c r="D784" s="24"/>
      <c r="E784" s="25"/>
      <c r="F784" s="26"/>
      <c r="G784" s="27"/>
      <c r="H784" s="20"/>
      <c r="I784" s="21"/>
      <c r="J784" s="28"/>
      <c r="K784" s="19"/>
    </row>
    <row r="785" spans="1:11" ht="13.2">
      <c r="A785" s="22"/>
      <c r="B785" s="16"/>
      <c r="C785" s="23"/>
      <c r="D785" s="24"/>
      <c r="E785" s="25"/>
      <c r="F785" s="26"/>
      <c r="G785" s="27"/>
      <c r="H785" s="20"/>
      <c r="I785" s="21"/>
      <c r="J785" s="28"/>
      <c r="K785" s="19"/>
    </row>
    <row r="786" spans="1:11" ht="13.2">
      <c r="A786" s="22"/>
      <c r="B786" s="16"/>
      <c r="C786" s="23"/>
      <c r="D786" s="24"/>
      <c r="E786" s="25"/>
      <c r="F786" s="26"/>
      <c r="G786" s="27"/>
      <c r="H786" s="20"/>
      <c r="I786" s="21"/>
      <c r="J786" s="28"/>
      <c r="K786" s="19"/>
    </row>
    <row r="787" spans="1:11" ht="13.2">
      <c r="A787" s="22"/>
      <c r="B787" s="16"/>
      <c r="C787" s="23"/>
      <c r="D787" s="24"/>
      <c r="E787" s="25"/>
      <c r="F787" s="26"/>
      <c r="G787" s="27"/>
      <c r="H787" s="20"/>
      <c r="I787" s="21"/>
      <c r="J787" s="28"/>
      <c r="K787" s="19"/>
    </row>
    <row r="788" spans="1:11" ht="13.2">
      <c r="A788" s="22"/>
      <c r="B788" s="16"/>
      <c r="C788" s="23"/>
      <c r="D788" s="24"/>
      <c r="E788" s="25"/>
      <c r="F788" s="26"/>
      <c r="G788" s="27"/>
      <c r="H788" s="20"/>
      <c r="I788" s="21"/>
      <c r="J788" s="28"/>
      <c r="K788" s="19"/>
    </row>
    <row r="789" spans="1:11" ht="13.2">
      <c r="A789" s="22"/>
      <c r="B789" s="16"/>
      <c r="C789" s="23"/>
      <c r="D789" s="24"/>
      <c r="E789" s="25"/>
      <c r="F789" s="26"/>
      <c r="G789" s="27"/>
      <c r="H789" s="20"/>
      <c r="I789" s="21"/>
      <c r="J789" s="28"/>
      <c r="K789" s="19"/>
    </row>
    <row r="790" spans="1:11" ht="13.2">
      <c r="A790" s="22"/>
      <c r="B790" s="16"/>
      <c r="C790" s="23"/>
      <c r="D790" s="24"/>
      <c r="E790" s="25"/>
      <c r="F790" s="26"/>
      <c r="G790" s="27"/>
      <c r="H790" s="20"/>
      <c r="I790" s="21"/>
      <c r="J790" s="28"/>
      <c r="K790" s="19"/>
    </row>
    <row r="791" spans="1:11" ht="13.2">
      <c r="A791" s="22"/>
      <c r="B791" s="16"/>
      <c r="C791" s="23"/>
      <c r="D791" s="24"/>
      <c r="E791" s="25"/>
      <c r="F791" s="26"/>
      <c r="G791" s="27"/>
      <c r="H791" s="20"/>
      <c r="I791" s="21"/>
      <c r="J791" s="28"/>
      <c r="K791" s="19"/>
    </row>
    <row r="792" spans="1:11" ht="13.2">
      <c r="A792" s="22"/>
      <c r="B792" s="16"/>
      <c r="C792" s="23"/>
      <c r="D792" s="24"/>
      <c r="E792" s="25"/>
      <c r="F792" s="26"/>
      <c r="G792" s="27"/>
      <c r="H792" s="20"/>
      <c r="I792" s="21"/>
      <c r="J792" s="28"/>
      <c r="K792" s="19"/>
    </row>
    <row r="793" spans="1:11" ht="13.2">
      <c r="A793" s="22"/>
      <c r="B793" s="16"/>
      <c r="C793" s="23"/>
      <c r="D793" s="24"/>
      <c r="E793" s="25"/>
      <c r="F793" s="26"/>
      <c r="G793" s="27"/>
      <c r="H793" s="20"/>
      <c r="I793" s="21"/>
      <c r="J793" s="28"/>
      <c r="K793" s="19"/>
    </row>
    <row r="794" spans="1:11" ht="13.2">
      <c r="A794" s="22"/>
      <c r="B794" s="16"/>
      <c r="C794" s="23"/>
      <c r="D794" s="24"/>
      <c r="E794" s="25"/>
      <c r="F794" s="26"/>
      <c r="G794" s="27"/>
      <c r="H794" s="20"/>
      <c r="I794" s="21"/>
      <c r="J794" s="28"/>
      <c r="K794" s="19"/>
    </row>
    <row r="795" spans="1:11" ht="13.2">
      <c r="A795" s="22"/>
      <c r="B795" s="16"/>
      <c r="C795" s="23"/>
      <c r="D795" s="24"/>
      <c r="E795" s="25"/>
      <c r="F795" s="26"/>
      <c r="G795" s="27"/>
      <c r="H795" s="20"/>
      <c r="I795" s="21"/>
      <c r="J795" s="28"/>
      <c r="K795" s="19"/>
    </row>
    <row r="796" spans="1:11" ht="13.2">
      <c r="A796" s="22"/>
      <c r="B796" s="16"/>
      <c r="C796" s="23"/>
      <c r="D796" s="24"/>
      <c r="E796" s="25"/>
      <c r="F796" s="26"/>
      <c r="G796" s="27"/>
      <c r="H796" s="20"/>
      <c r="I796" s="21"/>
      <c r="J796" s="28"/>
      <c r="K796" s="19"/>
    </row>
    <row r="797" spans="1:11" ht="13.2">
      <c r="A797" s="22"/>
      <c r="B797" s="16"/>
      <c r="C797" s="23"/>
      <c r="D797" s="24"/>
      <c r="E797" s="25"/>
      <c r="F797" s="26"/>
      <c r="G797" s="27"/>
      <c r="H797" s="20"/>
      <c r="I797" s="21"/>
      <c r="J797" s="28"/>
      <c r="K797" s="19"/>
    </row>
    <row r="798" spans="1:11" ht="13.2">
      <c r="A798" s="22"/>
      <c r="B798" s="16"/>
      <c r="C798" s="23"/>
      <c r="D798" s="24"/>
      <c r="E798" s="25"/>
      <c r="F798" s="26"/>
      <c r="G798" s="27"/>
      <c r="H798" s="20"/>
      <c r="I798" s="21"/>
      <c r="J798" s="28"/>
      <c r="K798" s="19"/>
    </row>
    <row r="799" spans="1:11" ht="13.2">
      <c r="A799" s="22"/>
      <c r="B799" s="16"/>
      <c r="C799" s="23"/>
      <c r="D799" s="24"/>
      <c r="E799" s="25"/>
      <c r="F799" s="26"/>
      <c r="G799" s="27"/>
      <c r="H799" s="20"/>
      <c r="I799" s="21"/>
      <c r="J799" s="28"/>
      <c r="K799" s="19"/>
    </row>
    <row r="800" spans="1:11" ht="13.2">
      <c r="A800" s="22"/>
      <c r="B800" s="16"/>
      <c r="C800" s="23"/>
      <c r="D800" s="24"/>
      <c r="E800" s="25"/>
      <c r="F800" s="26"/>
      <c r="G800" s="27"/>
      <c r="H800" s="20"/>
      <c r="I800" s="21"/>
      <c r="J800" s="28"/>
      <c r="K800" s="19"/>
    </row>
    <row r="801" spans="1:11" ht="13.2">
      <c r="A801" s="22"/>
      <c r="B801" s="16"/>
      <c r="C801" s="23"/>
      <c r="D801" s="24"/>
      <c r="E801" s="25"/>
      <c r="F801" s="26"/>
      <c r="G801" s="27"/>
      <c r="H801" s="20"/>
      <c r="I801" s="21"/>
      <c r="J801" s="28"/>
      <c r="K801" s="19"/>
    </row>
    <row r="802" spans="1:11" ht="13.2">
      <c r="A802" s="22"/>
      <c r="B802" s="16"/>
      <c r="C802" s="23"/>
      <c r="D802" s="24"/>
      <c r="E802" s="25"/>
      <c r="F802" s="26"/>
      <c r="G802" s="27"/>
      <c r="H802" s="20"/>
      <c r="I802" s="21"/>
      <c r="J802" s="28"/>
      <c r="K802" s="19"/>
    </row>
    <row r="803" spans="1:11" ht="13.2">
      <c r="A803" s="22"/>
      <c r="B803" s="16"/>
      <c r="C803" s="23"/>
      <c r="D803" s="24"/>
      <c r="E803" s="25"/>
      <c r="F803" s="26"/>
      <c r="G803" s="27"/>
      <c r="H803" s="20"/>
      <c r="I803" s="21"/>
      <c r="J803" s="28"/>
      <c r="K803" s="19"/>
    </row>
    <row r="804" spans="1:11" ht="13.2">
      <c r="A804" s="22"/>
      <c r="B804" s="16"/>
      <c r="C804" s="23"/>
      <c r="D804" s="24"/>
      <c r="E804" s="25"/>
      <c r="F804" s="26"/>
      <c r="G804" s="27"/>
      <c r="H804" s="20"/>
      <c r="I804" s="21"/>
      <c r="J804" s="28"/>
      <c r="K804" s="19"/>
    </row>
    <row r="805" spans="1:11" ht="13.2">
      <c r="A805" s="22"/>
      <c r="B805" s="16"/>
      <c r="C805" s="23"/>
      <c r="D805" s="24"/>
      <c r="E805" s="25"/>
      <c r="F805" s="26"/>
      <c r="G805" s="27"/>
      <c r="H805" s="20"/>
      <c r="I805" s="21"/>
      <c r="J805" s="28"/>
      <c r="K805" s="19"/>
    </row>
    <row r="806" spans="1:11" ht="13.2">
      <c r="A806" s="22"/>
      <c r="B806" s="16"/>
      <c r="C806" s="23"/>
      <c r="D806" s="24"/>
      <c r="E806" s="25"/>
      <c r="F806" s="26"/>
      <c r="G806" s="27"/>
      <c r="H806" s="20"/>
      <c r="I806" s="21"/>
      <c r="J806" s="28"/>
      <c r="K806" s="19"/>
    </row>
    <row r="807" spans="1:11" ht="13.2">
      <c r="A807" s="22"/>
      <c r="B807" s="16"/>
      <c r="C807" s="23"/>
      <c r="D807" s="24"/>
      <c r="E807" s="25"/>
      <c r="F807" s="26"/>
      <c r="G807" s="27"/>
      <c r="H807" s="20"/>
      <c r="I807" s="21"/>
      <c r="J807" s="28"/>
      <c r="K807" s="19"/>
    </row>
    <row r="808" spans="1:11" ht="13.2">
      <c r="A808" s="22"/>
      <c r="B808" s="16"/>
      <c r="C808" s="23"/>
      <c r="D808" s="24"/>
      <c r="E808" s="25"/>
      <c r="F808" s="26"/>
      <c r="G808" s="27"/>
      <c r="H808" s="20"/>
      <c r="I808" s="21"/>
      <c r="J808" s="28"/>
      <c r="K808" s="19"/>
    </row>
    <row r="809" spans="1:11" ht="13.2">
      <c r="A809" s="22"/>
      <c r="B809" s="16"/>
      <c r="C809" s="23"/>
      <c r="D809" s="24"/>
      <c r="E809" s="25"/>
      <c r="F809" s="26"/>
      <c r="G809" s="27"/>
      <c r="H809" s="20"/>
      <c r="I809" s="21"/>
      <c r="J809" s="28"/>
      <c r="K809" s="19"/>
    </row>
    <row r="810" spans="1:11" ht="13.2">
      <c r="A810" s="22"/>
      <c r="B810" s="16"/>
      <c r="C810" s="23"/>
      <c r="D810" s="24"/>
      <c r="E810" s="25"/>
      <c r="F810" s="26"/>
      <c r="G810" s="27"/>
      <c r="H810" s="20"/>
      <c r="I810" s="21"/>
      <c r="J810" s="28"/>
      <c r="K810" s="19"/>
    </row>
    <row r="811" spans="1:11" ht="13.2">
      <c r="A811" s="22"/>
      <c r="B811" s="16"/>
      <c r="C811" s="23"/>
      <c r="D811" s="24"/>
      <c r="E811" s="25"/>
      <c r="F811" s="26"/>
      <c r="G811" s="27"/>
      <c r="H811" s="20"/>
      <c r="I811" s="21"/>
      <c r="J811" s="28"/>
      <c r="K811" s="19"/>
    </row>
    <row r="812" spans="1:11" ht="13.2">
      <c r="A812" s="22"/>
      <c r="B812" s="16"/>
      <c r="C812" s="23"/>
      <c r="D812" s="24"/>
      <c r="E812" s="25"/>
      <c r="F812" s="26"/>
      <c r="G812" s="27"/>
      <c r="H812" s="20"/>
      <c r="I812" s="21"/>
      <c r="J812" s="28"/>
      <c r="K812" s="19"/>
    </row>
    <row r="813" spans="1:11" ht="13.2">
      <c r="A813" s="22"/>
      <c r="B813" s="16"/>
      <c r="C813" s="23"/>
      <c r="D813" s="24"/>
      <c r="E813" s="25"/>
      <c r="F813" s="26"/>
      <c r="G813" s="27"/>
      <c r="H813" s="20"/>
      <c r="I813" s="21"/>
      <c r="J813" s="28"/>
      <c r="K813" s="19"/>
    </row>
    <row r="814" spans="1:11" ht="13.2">
      <c r="A814" s="22"/>
      <c r="B814" s="16"/>
      <c r="C814" s="23"/>
      <c r="D814" s="24"/>
      <c r="E814" s="25"/>
      <c r="F814" s="26"/>
      <c r="G814" s="27"/>
      <c r="H814" s="20"/>
      <c r="I814" s="21"/>
      <c r="J814" s="28"/>
      <c r="K814" s="19"/>
    </row>
    <row r="815" spans="1:11" ht="13.2">
      <c r="A815" s="22"/>
      <c r="B815" s="16"/>
      <c r="C815" s="23"/>
      <c r="D815" s="24"/>
      <c r="E815" s="25"/>
      <c r="F815" s="26"/>
      <c r="G815" s="27"/>
      <c r="H815" s="20"/>
      <c r="I815" s="21"/>
      <c r="J815" s="28"/>
      <c r="K815" s="19"/>
    </row>
    <row r="816" spans="1:11" ht="13.2">
      <c r="A816" s="22"/>
      <c r="B816" s="16"/>
      <c r="C816" s="23"/>
      <c r="D816" s="24"/>
      <c r="E816" s="25"/>
      <c r="F816" s="26"/>
      <c r="G816" s="27"/>
      <c r="H816" s="20"/>
      <c r="I816" s="21"/>
      <c r="J816" s="28"/>
      <c r="K816" s="19"/>
    </row>
    <row r="817" spans="1:11" ht="13.2">
      <c r="A817" s="22"/>
      <c r="B817" s="16"/>
      <c r="C817" s="23"/>
      <c r="D817" s="24"/>
      <c r="E817" s="25"/>
      <c r="F817" s="26"/>
      <c r="G817" s="27"/>
      <c r="H817" s="20"/>
      <c r="I817" s="21"/>
      <c r="J817" s="28"/>
      <c r="K817" s="19"/>
    </row>
    <row r="818" spans="1:11" ht="13.2">
      <c r="A818" s="22"/>
      <c r="B818" s="16"/>
      <c r="C818" s="23"/>
      <c r="D818" s="24"/>
      <c r="E818" s="25"/>
      <c r="F818" s="26"/>
      <c r="G818" s="27"/>
      <c r="H818" s="20"/>
      <c r="I818" s="21"/>
      <c r="J818" s="28"/>
      <c r="K818" s="19"/>
    </row>
    <row r="819" spans="1:11" ht="13.2">
      <c r="A819" s="22"/>
      <c r="B819" s="16"/>
      <c r="C819" s="23"/>
      <c r="D819" s="24"/>
      <c r="E819" s="25"/>
      <c r="F819" s="26"/>
      <c r="G819" s="27"/>
      <c r="H819" s="20"/>
      <c r="I819" s="21"/>
      <c r="J819" s="28"/>
      <c r="K819" s="19"/>
    </row>
    <row r="820" spans="1:11" ht="13.2">
      <c r="A820" s="22"/>
      <c r="B820" s="16"/>
      <c r="C820" s="23"/>
      <c r="D820" s="24"/>
      <c r="E820" s="25"/>
      <c r="F820" s="26"/>
      <c r="G820" s="27"/>
      <c r="H820" s="20"/>
      <c r="I820" s="21"/>
      <c r="J820" s="28"/>
      <c r="K820" s="19"/>
    </row>
    <row r="821" spans="1:11" ht="13.2">
      <c r="A821" s="22"/>
      <c r="B821" s="16"/>
      <c r="C821" s="23"/>
      <c r="D821" s="24"/>
      <c r="E821" s="25"/>
      <c r="F821" s="26"/>
      <c r="G821" s="27"/>
      <c r="H821" s="20"/>
      <c r="I821" s="21"/>
      <c r="J821" s="28"/>
      <c r="K821" s="19"/>
    </row>
    <row r="822" spans="1:11" ht="13.2">
      <c r="A822" s="22"/>
      <c r="B822" s="16"/>
      <c r="C822" s="23"/>
      <c r="D822" s="24"/>
      <c r="E822" s="25"/>
      <c r="F822" s="26"/>
      <c r="G822" s="27"/>
      <c r="H822" s="20"/>
      <c r="I822" s="21"/>
      <c r="J822" s="28"/>
      <c r="K822" s="19"/>
    </row>
    <row r="823" spans="1:11" ht="13.2">
      <c r="A823" s="22"/>
      <c r="B823" s="16"/>
      <c r="C823" s="23"/>
      <c r="D823" s="24"/>
      <c r="E823" s="25"/>
      <c r="F823" s="26"/>
      <c r="G823" s="27"/>
      <c r="H823" s="20"/>
      <c r="I823" s="21"/>
      <c r="J823" s="28"/>
      <c r="K823" s="19"/>
    </row>
    <row r="824" spans="1:11" ht="13.2">
      <c r="A824" s="22"/>
      <c r="B824" s="16"/>
      <c r="C824" s="23"/>
      <c r="D824" s="24"/>
      <c r="E824" s="25"/>
      <c r="F824" s="26"/>
      <c r="G824" s="27"/>
      <c r="H824" s="20"/>
      <c r="I824" s="21"/>
      <c r="J824" s="28"/>
      <c r="K824" s="19"/>
    </row>
    <row r="825" spans="1:11" ht="13.2">
      <c r="A825" s="22"/>
      <c r="B825" s="16"/>
      <c r="C825" s="23"/>
      <c r="D825" s="24"/>
      <c r="E825" s="25"/>
      <c r="F825" s="26"/>
      <c r="G825" s="27"/>
      <c r="H825" s="20"/>
      <c r="I825" s="21"/>
      <c r="J825" s="28"/>
      <c r="K825" s="19"/>
    </row>
    <row r="826" spans="1:11" ht="13.2">
      <c r="A826" s="22"/>
      <c r="B826" s="16"/>
      <c r="C826" s="23"/>
      <c r="D826" s="24"/>
      <c r="E826" s="25"/>
      <c r="F826" s="26"/>
      <c r="G826" s="27"/>
      <c r="H826" s="20"/>
      <c r="I826" s="21"/>
      <c r="J826" s="28"/>
      <c r="K826" s="19"/>
    </row>
    <row r="827" spans="1:11" ht="13.2">
      <c r="A827" s="22"/>
      <c r="B827" s="16"/>
      <c r="C827" s="23"/>
      <c r="D827" s="24"/>
      <c r="E827" s="25"/>
      <c r="F827" s="26"/>
      <c r="G827" s="27"/>
      <c r="H827" s="20"/>
      <c r="I827" s="21"/>
      <c r="J827" s="28"/>
      <c r="K827" s="19"/>
    </row>
    <row r="828" spans="1:11" ht="13.2">
      <c r="A828" s="22"/>
      <c r="B828" s="16"/>
      <c r="C828" s="23"/>
      <c r="D828" s="24"/>
      <c r="E828" s="25"/>
      <c r="F828" s="26"/>
      <c r="G828" s="27"/>
      <c r="H828" s="20"/>
      <c r="I828" s="21"/>
      <c r="J828" s="28"/>
      <c r="K828" s="19"/>
    </row>
    <row r="829" spans="1:11" ht="13.2">
      <c r="A829" s="22"/>
      <c r="B829" s="16"/>
      <c r="C829" s="23"/>
      <c r="D829" s="24"/>
      <c r="E829" s="25"/>
      <c r="F829" s="26"/>
      <c r="G829" s="27"/>
      <c r="H829" s="20"/>
      <c r="I829" s="21"/>
      <c r="J829" s="28"/>
      <c r="K829" s="19"/>
    </row>
    <row r="830" spans="1:11" ht="13.2">
      <c r="A830" s="22"/>
      <c r="B830" s="16"/>
      <c r="C830" s="23"/>
      <c r="D830" s="24"/>
      <c r="E830" s="25"/>
      <c r="F830" s="26"/>
      <c r="G830" s="27"/>
      <c r="H830" s="20"/>
      <c r="I830" s="21"/>
      <c r="J830" s="28"/>
      <c r="K830" s="19"/>
    </row>
    <row r="831" spans="1:11" ht="13.2">
      <c r="A831" s="22"/>
      <c r="B831" s="16"/>
      <c r="C831" s="23"/>
      <c r="D831" s="24"/>
      <c r="E831" s="25"/>
      <c r="F831" s="26"/>
      <c r="G831" s="27"/>
      <c r="H831" s="20"/>
      <c r="I831" s="21"/>
      <c r="J831" s="28"/>
      <c r="K831" s="19"/>
    </row>
    <row r="832" spans="1:11" ht="13.2">
      <c r="A832" s="22"/>
      <c r="B832" s="16"/>
      <c r="C832" s="23"/>
      <c r="D832" s="24"/>
      <c r="E832" s="25"/>
      <c r="F832" s="26"/>
      <c r="G832" s="27"/>
      <c r="H832" s="20"/>
      <c r="I832" s="21"/>
      <c r="J832" s="28"/>
      <c r="K832" s="19"/>
    </row>
    <row r="833" spans="1:11" ht="13.2">
      <c r="A833" s="22"/>
      <c r="B833" s="16"/>
      <c r="C833" s="23"/>
      <c r="D833" s="24"/>
      <c r="E833" s="25"/>
      <c r="F833" s="26"/>
      <c r="G833" s="27"/>
      <c r="H833" s="20"/>
      <c r="I833" s="21"/>
      <c r="J833" s="28"/>
      <c r="K833" s="19"/>
    </row>
    <row r="834" spans="1:11" ht="13.2">
      <c r="A834" s="22"/>
      <c r="B834" s="16"/>
      <c r="C834" s="23"/>
      <c r="D834" s="24"/>
      <c r="E834" s="25"/>
      <c r="F834" s="26"/>
      <c r="G834" s="27"/>
      <c r="H834" s="20"/>
      <c r="I834" s="21"/>
      <c r="J834" s="28"/>
      <c r="K834" s="19"/>
    </row>
    <row r="835" spans="1:11" ht="13.2">
      <c r="A835" s="22"/>
      <c r="B835" s="16"/>
      <c r="C835" s="23"/>
      <c r="D835" s="24"/>
      <c r="E835" s="25"/>
      <c r="F835" s="26"/>
      <c r="G835" s="27"/>
      <c r="H835" s="20"/>
      <c r="I835" s="21"/>
      <c r="J835" s="28"/>
      <c r="K835" s="19"/>
    </row>
    <row r="836" spans="1:11" ht="13.2">
      <c r="A836" s="22"/>
      <c r="B836" s="16"/>
      <c r="C836" s="23"/>
      <c r="D836" s="24"/>
      <c r="E836" s="25"/>
      <c r="F836" s="26"/>
      <c r="G836" s="27"/>
      <c r="H836" s="20"/>
      <c r="I836" s="21"/>
      <c r="J836" s="28"/>
      <c r="K836" s="19"/>
    </row>
    <row r="837" spans="1:11" ht="13.2">
      <c r="A837" s="22"/>
      <c r="B837" s="16"/>
      <c r="C837" s="23"/>
      <c r="D837" s="24"/>
      <c r="E837" s="25"/>
      <c r="F837" s="26"/>
      <c r="G837" s="27"/>
      <c r="H837" s="20"/>
      <c r="I837" s="21"/>
      <c r="J837" s="28"/>
      <c r="K837" s="19"/>
    </row>
    <row r="838" spans="1:11" ht="13.2">
      <c r="A838" s="22"/>
      <c r="B838" s="16"/>
      <c r="C838" s="23"/>
      <c r="D838" s="24"/>
      <c r="E838" s="25"/>
      <c r="F838" s="26"/>
      <c r="G838" s="27"/>
      <c r="H838" s="20"/>
      <c r="I838" s="21"/>
      <c r="J838" s="28"/>
      <c r="K838" s="19"/>
    </row>
    <row r="839" spans="1:11" ht="13.2">
      <c r="A839" s="22"/>
      <c r="B839" s="16"/>
      <c r="C839" s="23"/>
      <c r="D839" s="24"/>
      <c r="E839" s="25"/>
      <c r="F839" s="26"/>
      <c r="G839" s="27"/>
      <c r="H839" s="20"/>
      <c r="I839" s="21"/>
      <c r="J839" s="28"/>
      <c r="K839" s="19"/>
    </row>
    <row r="840" spans="1:11" ht="13.2">
      <c r="A840" s="22"/>
      <c r="B840" s="16"/>
      <c r="C840" s="23"/>
      <c r="D840" s="24"/>
      <c r="E840" s="25"/>
      <c r="F840" s="26"/>
      <c r="G840" s="27"/>
      <c r="H840" s="20"/>
      <c r="I840" s="21"/>
      <c r="J840" s="28"/>
      <c r="K840" s="19"/>
    </row>
    <row r="841" spans="1:11" ht="13.2">
      <c r="A841" s="22"/>
      <c r="B841" s="16"/>
      <c r="C841" s="23"/>
      <c r="D841" s="24"/>
      <c r="E841" s="25"/>
      <c r="F841" s="26"/>
      <c r="G841" s="27"/>
      <c r="H841" s="20"/>
      <c r="I841" s="21"/>
      <c r="J841" s="28"/>
      <c r="K841" s="19"/>
    </row>
    <row r="842" spans="1:11" ht="13.2">
      <c r="A842" s="22"/>
      <c r="B842" s="16"/>
      <c r="C842" s="23"/>
      <c r="D842" s="24"/>
      <c r="E842" s="25"/>
      <c r="F842" s="26"/>
      <c r="G842" s="27"/>
      <c r="H842" s="20"/>
      <c r="I842" s="21"/>
      <c r="J842" s="28"/>
      <c r="K842" s="19"/>
    </row>
    <row r="843" spans="1:11" ht="13.2">
      <c r="A843" s="22"/>
      <c r="B843" s="16"/>
      <c r="C843" s="23"/>
      <c r="D843" s="24"/>
      <c r="E843" s="25"/>
      <c r="F843" s="26"/>
      <c r="G843" s="27"/>
      <c r="H843" s="20"/>
      <c r="I843" s="21"/>
      <c r="J843" s="28"/>
      <c r="K843" s="19"/>
    </row>
    <row r="844" spans="1:11" ht="13.2">
      <c r="A844" s="22"/>
      <c r="B844" s="16"/>
      <c r="C844" s="23"/>
      <c r="D844" s="24"/>
      <c r="E844" s="25"/>
      <c r="F844" s="26"/>
      <c r="G844" s="27"/>
      <c r="H844" s="20"/>
      <c r="I844" s="21"/>
      <c r="J844" s="28"/>
      <c r="K844" s="19"/>
    </row>
    <row r="845" spans="1:11" ht="13.2">
      <c r="A845" s="22"/>
      <c r="B845" s="16"/>
      <c r="C845" s="23"/>
      <c r="D845" s="24"/>
      <c r="E845" s="25"/>
      <c r="F845" s="26"/>
      <c r="G845" s="27"/>
      <c r="H845" s="20"/>
      <c r="I845" s="21"/>
      <c r="J845" s="28"/>
      <c r="K845" s="19"/>
    </row>
    <row r="846" spans="1:11" ht="13.2">
      <c r="A846" s="22"/>
      <c r="B846" s="16"/>
      <c r="C846" s="23"/>
      <c r="D846" s="24"/>
      <c r="E846" s="25"/>
      <c r="F846" s="26"/>
      <c r="G846" s="27"/>
      <c r="H846" s="20"/>
      <c r="I846" s="21"/>
      <c r="J846" s="28"/>
      <c r="K846" s="19"/>
    </row>
    <row r="847" spans="1:11" ht="13.2">
      <c r="A847" s="22"/>
      <c r="B847" s="16"/>
      <c r="C847" s="23"/>
      <c r="D847" s="24"/>
      <c r="E847" s="25"/>
      <c r="F847" s="26"/>
      <c r="G847" s="27"/>
      <c r="H847" s="20"/>
      <c r="I847" s="21"/>
      <c r="J847" s="28"/>
      <c r="K847" s="19"/>
    </row>
    <row r="848" spans="1:11" ht="13.2">
      <c r="A848" s="22"/>
      <c r="B848" s="16"/>
      <c r="C848" s="23"/>
      <c r="D848" s="24"/>
      <c r="E848" s="25"/>
      <c r="F848" s="26"/>
      <c r="G848" s="27"/>
      <c r="H848" s="20"/>
      <c r="I848" s="21"/>
      <c r="J848" s="28"/>
      <c r="K848" s="19"/>
    </row>
    <row r="849" spans="1:11" ht="13.2">
      <c r="A849" s="22"/>
      <c r="B849" s="16"/>
      <c r="C849" s="23"/>
      <c r="D849" s="24"/>
      <c r="E849" s="25"/>
      <c r="F849" s="26"/>
      <c r="G849" s="27"/>
      <c r="H849" s="20"/>
      <c r="I849" s="21"/>
      <c r="J849" s="28"/>
      <c r="K849" s="19"/>
    </row>
    <row r="850" spans="1:11" ht="13.2">
      <c r="A850" s="22"/>
      <c r="B850" s="16"/>
      <c r="C850" s="23"/>
      <c r="D850" s="24"/>
      <c r="E850" s="25"/>
      <c r="F850" s="26"/>
      <c r="G850" s="27"/>
      <c r="H850" s="20"/>
      <c r="I850" s="21"/>
      <c r="J850" s="28"/>
      <c r="K850" s="19"/>
    </row>
    <row r="851" spans="1:11" ht="13.2">
      <c r="A851" s="22"/>
      <c r="B851" s="16"/>
      <c r="C851" s="23"/>
      <c r="D851" s="24"/>
      <c r="E851" s="25"/>
      <c r="F851" s="26"/>
      <c r="G851" s="27"/>
      <c r="H851" s="20"/>
      <c r="I851" s="21"/>
      <c r="J851" s="28"/>
      <c r="K851" s="19"/>
    </row>
    <row r="852" spans="1:11" ht="13.2">
      <c r="A852" s="22"/>
      <c r="B852" s="16"/>
      <c r="C852" s="23"/>
      <c r="D852" s="24"/>
      <c r="E852" s="25"/>
      <c r="F852" s="26"/>
      <c r="G852" s="27"/>
      <c r="H852" s="20"/>
      <c r="I852" s="21"/>
      <c r="J852" s="28"/>
      <c r="K852" s="19"/>
    </row>
    <row r="853" spans="1:11" ht="13.2">
      <c r="A853" s="22"/>
      <c r="B853" s="16"/>
      <c r="C853" s="23"/>
      <c r="D853" s="24"/>
      <c r="E853" s="25"/>
      <c r="F853" s="26"/>
      <c r="G853" s="27"/>
      <c r="H853" s="20"/>
      <c r="I853" s="21"/>
      <c r="J853" s="28"/>
      <c r="K853" s="19"/>
    </row>
    <row r="854" spans="1:11" ht="13.2">
      <c r="A854" s="22"/>
      <c r="B854" s="16"/>
      <c r="C854" s="23"/>
      <c r="D854" s="24"/>
      <c r="E854" s="25"/>
      <c r="F854" s="26"/>
      <c r="G854" s="27"/>
      <c r="H854" s="20"/>
      <c r="I854" s="21"/>
      <c r="J854" s="28"/>
      <c r="K854" s="19"/>
    </row>
    <row r="855" spans="1:11" ht="13.2">
      <c r="A855" s="22"/>
      <c r="B855" s="16"/>
      <c r="C855" s="23"/>
      <c r="D855" s="24"/>
      <c r="E855" s="25"/>
      <c r="F855" s="26"/>
      <c r="G855" s="27"/>
      <c r="H855" s="20"/>
      <c r="I855" s="21"/>
      <c r="J855" s="28"/>
      <c r="K855" s="19"/>
    </row>
    <row r="856" spans="1:11" ht="13.2">
      <c r="A856" s="22"/>
      <c r="B856" s="16"/>
      <c r="C856" s="23"/>
      <c r="D856" s="24"/>
      <c r="E856" s="25"/>
      <c r="F856" s="26"/>
      <c r="G856" s="27"/>
      <c r="H856" s="20"/>
      <c r="I856" s="21"/>
      <c r="J856" s="28"/>
      <c r="K856" s="19"/>
    </row>
    <row r="857" spans="1:11" ht="13.2">
      <c r="A857" s="22"/>
      <c r="B857" s="16"/>
      <c r="C857" s="23"/>
      <c r="D857" s="24"/>
      <c r="E857" s="25"/>
      <c r="F857" s="26"/>
      <c r="G857" s="27"/>
      <c r="H857" s="20"/>
      <c r="I857" s="21"/>
      <c r="J857" s="28"/>
      <c r="K857" s="19"/>
    </row>
    <row r="858" spans="1:11" ht="13.2">
      <c r="A858" s="22"/>
      <c r="B858" s="16"/>
      <c r="C858" s="23"/>
      <c r="D858" s="24"/>
      <c r="E858" s="25"/>
      <c r="F858" s="26"/>
      <c r="G858" s="27"/>
      <c r="H858" s="20"/>
      <c r="I858" s="21"/>
      <c r="J858" s="28"/>
      <c r="K858" s="19"/>
    </row>
    <row r="859" spans="1:11" ht="13.2">
      <c r="A859" s="22"/>
      <c r="B859" s="16"/>
      <c r="C859" s="23"/>
      <c r="D859" s="24"/>
      <c r="E859" s="25"/>
      <c r="F859" s="26"/>
      <c r="G859" s="27"/>
      <c r="H859" s="20"/>
      <c r="I859" s="21"/>
      <c r="J859" s="28"/>
      <c r="K859" s="19"/>
    </row>
    <row r="860" spans="1:11" ht="13.2">
      <c r="A860" s="22"/>
      <c r="B860" s="16"/>
      <c r="C860" s="23"/>
      <c r="D860" s="24"/>
      <c r="E860" s="25"/>
      <c r="F860" s="26"/>
      <c r="G860" s="27"/>
      <c r="H860" s="20"/>
      <c r="I860" s="21"/>
      <c r="J860" s="28"/>
      <c r="K860" s="19"/>
    </row>
    <row r="861" spans="1:11" ht="13.2">
      <c r="A861" s="22"/>
      <c r="B861" s="16"/>
      <c r="C861" s="23"/>
      <c r="D861" s="24"/>
      <c r="E861" s="25"/>
      <c r="F861" s="26"/>
      <c r="G861" s="27"/>
      <c r="H861" s="20"/>
      <c r="I861" s="21"/>
      <c r="J861" s="28"/>
      <c r="K861" s="19"/>
    </row>
    <row r="862" spans="1:11" ht="13.2">
      <c r="A862" s="22"/>
      <c r="B862" s="16"/>
      <c r="C862" s="23"/>
      <c r="D862" s="24"/>
      <c r="E862" s="25"/>
      <c r="F862" s="26"/>
      <c r="G862" s="27"/>
      <c r="H862" s="20"/>
      <c r="I862" s="21"/>
      <c r="J862" s="28"/>
      <c r="K862" s="19"/>
    </row>
    <row r="863" spans="1:11" ht="13.2">
      <c r="A863" s="22"/>
      <c r="B863" s="16"/>
      <c r="C863" s="23"/>
      <c r="D863" s="24"/>
      <c r="E863" s="25"/>
      <c r="F863" s="26"/>
      <c r="G863" s="27"/>
      <c r="H863" s="20"/>
      <c r="I863" s="21"/>
      <c r="J863" s="28"/>
      <c r="K863" s="19"/>
    </row>
    <row r="864" spans="1:11" ht="13.2">
      <c r="A864" s="22"/>
      <c r="B864" s="16"/>
      <c r="C864" s="23"/>
      <c r="D864" s="24"/>
      <c r="E864" s="25"/>
      <c r="F864" s="26"/>
      <c r="G864" s="27"/>
      <c r="H864" s="20"/>
      <c r="I864" s="21"/>
      <c r="J864" s="28"/>
      <c r="K864" s="19"/>
    </row>
    <row r="865" spans="1:11" ht="13.2">
      <c r="A865" s="22"/>
      <c r="B865" s="16"/>
      <c r="C865" s="23"/>
      <c r="D865" s="24"/>
      <c r="E865" s="25"/>
      <c r="F865" s="26"/>
      <c r="G865" s="27"/>
      <c r="H865" s="20"/>
      <c r="I865" s="21"/>
      <c r="J865" s="28"/>
      <c r="K865" s="19"/>
    </row>
    <row r="866" spans="1:11" ht="13.2">
      <c r="A866" s="22"/>
      <c r="B866" s="16"/>
      <c r="C866" s="23"/>
      <c r="D866" s="24"/>
      <c r="E866" s="25"/>
      <c r="F866" s="26"/>
      <c r="G866" s="27"/>
      <c r="H866" s="20"/>
      <c r="I866" s="21"/>
      <c r="J866" s="28"/>
      <c r="K866" s="19"/>
    </row>
    <row r="867" spans="1:11" ht="13.2">
      <c r="A867" s="22"/>
      <c r="B867" s="16"/>
      <c r="C867" s="23"/>
      <c r="D867" s="24"/>
      <c r="E867" s="25"/>
      <c r="F867" s="26"/>
      <c r="G867" s="27"/>
      <c r="H867" s="20"/>
      <c r="I867" s="21"/>
      <c r="J867" s="28"/>
      <c r="K867" s="19"/>
    </row>
    <row r="868" spans="1:11" ht="13.2">
      <c r="A868" s="22"/>
      <c r="B868" s="16"/>
      <c r="C868" s="23"/>
      <c r="D868" s="24"/>
      <c r="E868" s="25"/>
      <c r="F868" s="26"/>
      <c r="G868" s="27"/>
      <c r="H868" s="20"/>
      <c r="I868" s="21"/>
      <c r="J868" s="28"/>
      <c r="K868" s="19"/>
    </row>
    <row r="869" spans="1:11" ht="13.2">
      <c r="A869" s="22"/>
      <c r="B869" s="16"/>
      <c r="C869" s="23"/>
      <c r="D869" s="24"/>
      <c r="E869" s="25"/>
      <c r="F869" s="26"/>
      <c r="G869" s="27"/>
      <c r="H869" s="20"/>
      <c r="I869" s="21"/>
      <c r="J869" s="28"/>
      <c r="K869" s="19"/>
    </row>
    <row r="870" spans="1:11" ht="13.2">
      <c r="A870" s="22"/>
      <c r="B870" s="16"/>
      <c r="C870" s="23"/>
      <c r="D870" s="24"/>
      <c r="E870" s="25"/>
      <c r="F870" s="26"/>
      <c r="G870" s="27"/>
      <c r="H870" s="20"/>
      <c r="I870" s="21"/>
      <c r="J870" s="28"/>
      <c r="K870" s="19"/>
    </row>
    <row r="871" spans="1:11" ht="13.2">
      <c r="A871" s="22"/>
      <c r="B871" s="16"/>
      <c r="C871" s="23"/>
      <c r="D871" s="24"/>
      <c r="E871" s="25"/>
      <c r="F871" s="26"/>
      <c r="G871" s="27"/>
      <c r="H871" s="20"/>
      <c r="I871" s="21"/>
      <c r="J871" s="28"/>
      <c r="K871" s="19"/>
    </row>
    <row r="872" spans="1:11" ht="13.2">
      <c r="A872" s="22"/>
      <c r="B872" s="16"/>
      <c r="C872" s="23"/>
      <c r="D872" s="24"/>
      <c r="E872" s="25"/>
      <c r="F872" s="26"/>
      <c r="G872" s="27"/>
      <c r="H872" s="20"/>
      <c r="I872" s="21"/>
      <c r="J872" s="28"/>
      <c r="K872" s="19"/>
    </row>
    <row r="873" spans="1:11" ht="13.2">
      <c r="A873" s="22"/>
      <c r="B873" s="16"/>
      <c r="C873" s="23"/>
      <c r="D873" s="24"/>
      <c r="E873" s="25"/>
      <c r="F873" s="26"/>
      <c r="G873" s="27"/>
      <c r="H873" s="20"/>
      <c r="I873" s="21"/>
      <c r="J873" s="28"/>
      <c r="K873" s="19"/>
    </row>
    <row r="874" spans="1:11" ht="13.2">
      <c r="A874" s="22"/>
      <c r="B874" s="16"/>
      <c r="C874" s="23"/>
      <c r="D874" s="24"/>
      <c r="E874" s="25"/>
      <c r="F874" s="26"/>
      <c r="G874" s="27"/>
      <c r="H874" s="20"/>
      <c r="I874" s="21"/>
      <c r="J874" s="28"/>
      <c r="K874" s="19"/>
    </row>
    <row r="875" spans="1:11" ht="13.2">
      <c r="A875" s="22"/>
      <c r="B875" s="16"/>
      <c r="C875" s="23"/>
      <c r="D875" s="24"/>
      <c r="E875" s="25"/>
      <c r="F875" s="26"/>
      <c r="G875" s="27"/>
      <c r="H875" s="20"/>
      <c r="I875" s="21"/>
      <c r="J875" s="28"/>
      <c r="K875" s="19"/>
    </row>
    <row r="876" spans="1:11" ht="13.2">
      <c r="A876" s="22"/>
      <c r="B876" s="16"/>
      <c r="C876" s="23"/>
      <c r="D876" s="24"/>
      <c r="E876" s="25"/>
      <c r="F876" s="26"/>
      <c r="G876" s="27"/>
      <c r="H876" s="20"/>
      <c r="I876" s="21"/>
      <c r="J876" s="28"/>
      <c r="K876" s="19"/>
    </row>
    <row r="877" spans="1:11" ht="13.2">
      <c r="A877" s="22"/>
      <c r="B877" s="16"/>
      <c r="C877" s="23"/>
      <c r="D877" s="24"/>
      <c r="E877" s="25"/>
      <c r="F877" s="26"/>
      <c r="G877" s="27"/>
      <c r="H877" s="20"/>
      <c r="I877" s="21"/>
      <c r="J877" s="28"/>
      <c r="K877" s="19"/>
    </row>
    <row r="878" spans="1:11" ht="13.2">
      <c r="A878" s="22"/>
      <c r="B878" s="16"/>
      <c r="C878" s="23"/>
      <c r="D878" s="24"/>
      <c r="E878" s="25"/>
      <c r="F878" s="26"/>
      <c r="G878" s="27"/>
      <c r="H878" s="20"/>
      <c r="I878" s="21"/>
      <c r="J878" s="28"/>
      <c r="K878" s="19"/>
    </row>
    <row r="879" spans="1:11" ht="13.2">
      <c r="A879" s="22"/>
      <c r="B879" s="16"/>
      <c r="C879" s="23"/>
      <c r="D879" s="24"/>
      <c r="E879" s="25"/>
      <c r="F879" s="26"/>
      <c r="G879" s="27"/>
      <c r="H879" s="20"/>
      <c r="I879" s="21"/>
      <c r="J879" s="28"/>
      <c r="K879" s="19"/>
    </row>
    <row r="880" spans="1:11" ht="13.2">
      <c r="A880" s="22"/>
      <c r="B880" s="16"/>
      <c r="C880" s="23"/>
      <c r="D880" s="24"/>
      <c r="E880" s="25"/>
      <c r="F880" s="26"/>
      <c r="G880" s="27"/>
      <c r="H880" s="20"/>
      <c r="I880" s="21"/>
      <c r="J880" s="28"/>
      <c r="K880" s="19"/>
    </row>
    <row r="881" spans="1:11" ht="13.2">
      <c r="A881" s="22"/>
      <c r="B881" s="16"/>
      <c r="C881" s="23"/>
      <c r="D881" s="24"/>
      <c r="E881" s="25"/>
      <c r="F881" s="26"/>
      <c r="G881" s="27"/>
      <c r="H881" s="20"/>
      <c r="I881" s="21"/>
      <c r="J881" s="28"/>
      <c r="K881" s="19"/>
    </row>
    <row r="882" spans="1:11" ht="13.2">
      <c r="A882" s="22"/>
      <c r="B882" s="16"/>
      <c r="C882" s="23"/>
      <c r="D882" s="24"/>
      <c r="E882" s="25"/>
      <c r="F882" s="26"/>
      <c r="G882" s="27"/>
      <c r="H882" s="20"/>
      <c r="I882" s="21"/>
      <c r="J882" s="28"/>
      <c r="K882" s="19"/>
    </row>
    <row r="883" spans="1:11" ht="13.2">
      <c r="A883" s="22"/>
      <c r="B883" s="16"/>
      <c r="C883" s="23"/>
      <c r="D883" s="24"/>
      <c r="E883" s="25"/>
      <c r="F883" s="26"/>
      <c r="G883" s="27"/>
      <c r="H883" s="20"/>
      <c r="I883" s="21"/>
      <c r="J883" s="28"/>
      <c r="K883" s="19"/>
    </row>
    <row r="884" spans="1:11" ht="13.2">
      <c r="A884" s="22"/>
      <c r="B884" s="16"/>
      <c r="C884" s="23"/>
      <c r="D884" s="24"/>
      <c r="E884" s="25"/>
      <c r="F884" s="26"/>
      <c r="G884" s="27"/>
      <c r="H884" s="20"/>
      <c r="I884" s="21"/>
      <c r="J884" s="28"/>
      <c r="K884" s="19"/>
    </row>
    <row r="885" spans="1:11" ht="13.2">
      <c r="A885" s="22"/>
      <c r="B885" s="16"/>
      <c r="C885" s="23"/>
      <c r="D885" s="24"/>
      <c r="E885" s="25"/>
      <c r="F885" s="26"/>
      <c r="G885" s="27"/>
      <c r="H885" s="20"/>
      <c r="I885" s="21"/>
      <c r="J885" s="28"/>
      <c r="K885" s="19"/>
    </row>
    <row r="886" spans="1:11" ht="13.2">
      <c r="A886" s="22"/>
      <c r="B886" s="16"/>
      <c r="C886" s="23"/>
      <c r="D886" s="24"/>
      <c r="E886" s="25"/>
      <c r="F886" s="26"/>
      <c r="G886" s="27"/>
      <c r="H886" s="20"/>
      <c r="I886" s="21"/>
      <c r="J886" s="28"/>
      <c r="K886" s="19"/>
    </row>
    <row r="887" spans="1:11" ht="13.2">
      <c r="A887" s="22"/>
      <c r="B887" s="16"/>
      <c r="C887" s="23"/>
      <c r="D887" s="24"/>
      <c r="E887" s="25"/>
      <c r="F887" s="26"/>
      <c r="G887" s="27"/>
      <c r="H887" s="20"/>
      <c r="I887" s="21"/>
      <c r="J887" s="28"/>
      <c r="K887" s="19"/>
    </row>
    <row r="888" spans="1:11" ht="13.2">
      <c r="A888" s="22"/>
      <c r="B888" s="16"/>
      <c r="C888" s="23"/>
      <c r="D888" s="24"/>
      <c r="E888" s="25"/>
      <c r="F888" s="26"/>
      <c r="G888" s="27"/>
      <c r="H888" s="20"/>
      <c r="I888" s="21"/>
      <c r="J888" s="28"/>
      <c r="K888" s="19"/>
    </row>
    <row r="889" spans="1:11" ht="13.2">
      <c r="A889" s="22"/>
      <c r="B889" s="16"/>
      <c r="C889" s="23"/>
      <c r="D889" s="24"/>
      <c r="E889" s="25"/>
      <c r="F889" s="26"/>
      <c r="G889" s="27"/>
      <c r="H889" s="20"/>
      <c r="I889" s="21"/>
      <c r="J889" s="28"/>
      <c r="K889" s="19"/>
    </row>
    <row r="890" spans="1:11" ht="13.2">
      <c r="A890" s="22"/>
      <c r="B890" s="16"/>
      <c r="C890" s="23"/>
      <c r="D890" s="24"/>
      <c r="E890" s="25"/>
      <c r="F890" s="26"/>
      <c r="G890" s="27"/>
      <c r="H890" s="20"/>
      <c r="I890" s="21"/>
      <c r="J890" s="28"/>
      <c r="K890" s="19"/>
    </row>
    <row r="891" spans="1:11" ht="13.2">
      <c r="A891" s="22"/>
      <c r="B891" s="16"/>
      <c r="C891" s="23"/>
      <c r="D891" s="24"/>
      <c r="E891" s="25"/>
      <c r="F891" s="26"/>
      <c r="G891" s="27"/>
      <c r="H891" s="20"/>
      <c r="I891" s="21"/>
      <c r="J891" s="28"/>
      <c r="K891" s="19"/>
    </row>
    <row r="892" spans="1:11" ht="13.2">
      <c r="A892" s="22"/>
      <c r="B892" s="16"/>
      <c r="C892" s="23"/>
      <c r="D892" s="24"/>
      <c r="E892" s="25"/>
      <c r="F892" s="26"/>
      <c r="G892" s="27"/>
      <c r="H892" s="20"/>
      <c r="I892" s="21"/>
      <c r="J892" s="28"/>
      <c r="K892" s="19"/>
    </row>
    <row r="893" spans="1:11" ht="13.2">
      <c r="A893" s="22"/>
      <c r="B893" s="16"/>
      <c r="C893" s="23"/>
      <c r="D893" s="24"/>
      <c r="E893" s="25"/>
      <c r="F893" s="26"/>
      <c r="G893" s="27"/>
      <c r="H893" s="20"/>
      <c r="I893" s="21"/>
      <c r="J893" s="28"/>
      <c r="K893" s="19"/>
    </row>
    <row r="894" spans="1:11" ht="13.2">
      <c r="A894" s="22"/>
      <c r="B894" s="16"/>
      <c r="C894" s="23"/>
      <c r="D894" s="24"/>
      <c r="E894" s="25"/>
      <c r="F894" s="26"/>
      <c r="G894" s="27"/>
      <c r="H894" s="20"/>
      <c r="I894" s="21"/>
      <c r="J894" s="28"/>
      <c r="K894" s="19"/>
    </row>
    <row r="895" spans="1:11" ht="13.2">
      <c r="A895" s="22"/>
      <c r="B895" s="16"/>
      <c r="C895" s="23"/>
      <c r="D895" s="24"/>
      <c r="E895" s="25"/>
      <c r="F895" s="26"/>
      <c r="G895" s="27"/>
      <c r="H895" s="20"/>
      <c r="I895" s="21"/>
      <c r="J895" s="28"/>
      <c r="K895" s="19"/>
    </row>
    <row r="896" spans="1:11" ht="13.2">
      <c r="A896" s="22"/>
      <c r="B896" s="16"/>
      <c r="C896" s="23"/>
      <c r="D896" s="24"/>
      <c r="E896" s="25"/>
      <c r="F896" s="26"/>
      <c r="G896" s="27"/>
      <c r="H896" s="20"/>
      <c r="I896" s="21"/>
      <c r="J896" s="28"/>
      <c r="K896" s="19"/>
    </row>
    <row r="897" spans="1:11" ht="13.2">
      <c r="A897" s="22"/>
      <c r="B897" s="16"/>
      <c r="C897" s="23"/>
      <c r="D897" s="24"/>
      <c r="E897" s="25"/>
      <c r="F897" s="26"/>
      <c r="G897" s="27"/>
      <c r="H897" s="20"/>
      <c r="I897" s="21"/>
      <c r="J897" s="28"/>
      <c r="K897" s="19"/>
    </row>
    <row r="898" spans="1:11" ht="13.2">
      <c r="A898" s="22"/>
      <c r="B898" s="16"/>
      <c r="C898" s="23"/>
      <c r="D898" s="24"/>
      <c r="E898" s="25"/>
      <c r="F898" s="26"/>
      <c r="G898" s="27"/>
      <c r="H898" s="20"/>
      <c r="I898" s="21"/>
      <c r="J898" s="28"/>
      <c r="K898" s="19"/>
    </row>
    <row r="899" spans="1:11" ht="13.2">
      <c r="A899" s="22"/>
      <c r="B899" s="16"/>
      <c r="C899" s="23"/>
      <c r="D899" s="24"/>
      <c r="E899" s="25"/>
      <c r="F899" s="26"/>
      <c r="G899" s="27"/>
      <c r="H899" s="20"/>
      <c r="I899" s="21"/>
      <c r="J899" s="28"/>
      <c r="K899" s="19"/>
    </row>
    <row r="900" spans="1:11" ht="13.2">
      <c r="A900" s="22"/>
      <c r="B900" s="16"/>
      <c r="C900" s="23"/>
      <c r="D900" s="24"/>
      <c r="E900" s="25"/>
      <c r="F900" s="26"/>
      <c r="G900" s="27"/>
      <c r="H900" s="20"/>
      <c r="I900" s="21"/>
      <c r="J900" s="28"/>
      <c r="K900" s="19"/>
    </row>
    <row r="901" spans="1:11" ht="13.2">
      <c r="A901" s="22"/>
      <c r="B901" s="16"/>
      <c r="C901" s="23"/>
      <c r="D901" s="24"/>
      <c r="E901" s="25"/>
      <c r="F901" s="26"/>
      <c r="G901" s="27"/>
      <c r="H901" s="20"/>
      <c r="I901" s="21"/>
      <c r="J901" s="28"/>
      <c r="K901" s="19"/>
    </row>
    <row r="902" spans="1:11" ht="13.2">
      <c r="A902" s="22"/>
      <c r="B902" s="16"/>
      <c r="C902" s="23"/>
      <c r="D902" s="24"/>
      <c r="E902" s="25"/>
      <c r="F902" s="26"/>
      <c r="G902" s="27"/>
      <c r="H902" s="20"/>
      <c r="I902" s="21"/>
      <c r="J902" s="28"/>
      <c r="K902" s="19"/>
    </row>
    <row r="903" spans="1:11" ht="13.2">
      <c r="A903" s="22"/>
      <c r="B903" s="16"/>
      <c r="C903" s="23"/>
      <c r="D903" s="24"/>
      <c r="E903" s="25"/>
      <c r="F903" s="26"/>
      <c r="G903" s="27"/>
      <c r="H903" s="20"/>
      <c r="I903" s="21"/>
      <c r="J903" s="28"/>
      <c r="K903" s="19"/>
    </row>
    <row r="904" spans="1:11" ht="13.2">
      <c r="A904" s="22"/>
      <c r="B904" s="16"/>
      <c r="C904" s="23"/>
      <c r="D904" s="24"/>
      <c r="E904" s="25"/>
      <c r="F904" s="26"/>
      <c r="G904" s="27"/>
      <c r="H904" s="20"/>
      <c r="I904" s="21"/>
      <c r="J904" s="28"/>
      <c r="K904" s="19"/>
    </row>
    <row r="905" spans="1:11" ht="13.2">
      <c r="A905" s="22"/>
      <c r="B905" s="16"/>
      <c r="C905" s="23"/>
      <c r="D905" s="24"/>
      <c r="E905" s="25"/>
      <c r="F905" s="26"/>
      <c r="G905" s="27"/>
      <c r="H905" s="20"/>
      <c r="I905" s="21"/>
      <c r="J905" s="28"/>
      <c r="K905" s="19"/>
    </row>
    <row r="906" spans="1:11" ht="13.2">
      <c r="A906" s="22"/>
      <c r="B906" s="16"/>
      <c r="C906" s="23"/>
      <c r="D906" s="24"/>
      <c r="E906" s="25"/>
      <c r="F906" s="26"/>
      <c r="G906" s="27"/>
      <c r="H906" s="20"/>
      <c r="I906" s="21"/>
      <c r="J906" s="28"/>
      <c r="K906" s="19"/>
    </row>
    <row r="907" spans="1:11" ht="13.2">
      <c r="A907" s="22"/>
      <c r="B907" s="16"/>
      <c r="C907" s="23"/>
      <c r="D907" s="24"/>
      <c r="E907" s="25"/>
      <c r="F907" s="26"/>
      <c r="G907" s="27"/>
      <c r="H907" s="20"/>
      <c r="I907" s="21"/>
      <c r="J907" s="28"/>
      <c r="K907" s="19"/>
    </row>
    <row r="908" spans="1:11" ht="13.2">
      <c r="A908" s="22"/>
      <c r="B908" s="16"/>
      <c r="C908" s="23"/>
      <c r="D908" s="24"/>
      <c r="E908" s="25"/>
      <c r="F908" s="26"/>
      <c r="G908" s="27"/>
      <c r="H908" s="20"/>
      <c r="I908" s="21"/>
      <c r="J908" s="28"/>
      <c r="K908" s="19"/>
    </row>
    <row r="909" spans="1:11" ht="13.2">
      <c r="A909" s="22"/>
      <c r="B909" s="16"/>
      <c r="C909" s="23"/>
      <c r="D909" s="24"/>
      <c r="E909" s="25"/>
      <c r="F909" s="26"/>
      <c r="G909" s="27"/>
      <c r="H909" s="20"/>
      <c r="I909" s="21"/>
      <c r="J909" s="28"/>
      <c r="K909" s="19"/>
    </row>
    <row r="910" spans="1:11" ht="13.2">
      <c r="A910" s="22"/>
      <c r="B910" s="16"/>
      <c r="C910" s="23"/>
      <c r="D910" s="24"/>
      <c r="E910" s="25"/>
      <c r="F910" s="26"/>
      <c r="G910" s="27"/>
      <c r="H910" s="20"/>
      <c r="I910" s="21"/>
      <c r="J910" s="28"/>
      <c r="K910" s="19"/>
    </row>
    <row r="911" spans="1:11" ht="13.2">
      <c r="A911" s="22"/>
      <c r="B911" s="16"/>
      <c r="C911" s="23"/>
      <c r="D911" s="24"/>
      <c r="E911" s="25"/>
      <c r="F911" s="26"/>
      <c r="G911" s="27"/>
      <c r="H911" s="20"/>
      <c r="I911" s="21"/>
      <c r="J911" s="28"/>
      <c r="K911" s="19"/>
    </row>
    <row r="912" spans="1:11" ht="13.2">
      <c r="A912" s="22"/>
      <c r="B912" s="16"/>
      <c r="C912" s="23"/>
      <c r="D912" s="24"/>
      <c r="E912" s="25"/>
      <c r="F912" s="26"/>
      <c r="G912" s="27"/>
      <c r="H912" s="20"/>
      <c r="I912" s="21"/>
      <c r="J912" s="28"/>
      <c r="K912" s="19"/>
    </row>
    <row r="913" spans="1:11" ht="13.2">
      <c r="A913" s="22"/>
      <c r="B913" s="16"/>
      <c r="C913" s="23"/>
      <c r="D913" s="24"/>
      <c r="E913" s="25"/>
      <c r="F913" s="26"/>
      <c r="G913" s="27"/>
      <c r="H913" s="20"/>
      <c r="I913" s="21"/>
      <c r="J913" s="28"/>
      <c r="K913" s="19"/>
    </row>
    <row r="914" spans="1:11" ht="13.2">
      <c r="A914" s="22"/>
      <c r="B914" s="16"/>
      <c r="C914" s="23"/>
      <c r="D914" s="24"/>
      <c r="E914" s="25"/>
      <c r="F914" s="26"/>
      <c r="G914" s="27"/>
      <c r="H914" s="20"/>
      <c r="I914" s="21"/>
      <c r="J914" s="28"/>
      <c r="K914" s="19"/>
    </row>
    <row r="915" spans="1:11" ht="13.2">
      <c r="A915" s="22"/>
      <c r="B915" s="16"/>
      <c r="C915" s="23"/>
      <c r="D915" s="24"/>
      <c r="E915" s="25"/>
      <c r="F915" s="26"/>
      <c r="G915" s="27"/>
      <c r="H915" s="20"/>
      <c r="I915" s="21"/>
      <c r="J915" s="28"/>
      <c r="K915" s="19"/>
    </row>
    <row r="916" spans="1:11" ht="13.2">
      <c r="A916" s="22"/>
      <c r="B916" s="16"/>
      <c r="C916" s="23"/>
      <c r="D916" s="24"/>
      <c r="E916" s="25"/>
      <c r="F916" s="26"/>
      <c r="G916" s="27"/>
      <c r="H916" s="20"/>
      <c r="I916" s="21"/>
      <c r="J916" s="28"/>
      <c r="K916" s="19"/>
    </row>
    <row r="917" spans="1:11" ht="13.2">
      <c r="A917" s="22"/>
      <c r="B917" s="16"/>
      <c r="C917" s="23"/>
      <c r="D917" s="24"/>
      <c r="E917" s="25"/>
      <c r="F917" s="26"/>
      <c r="G917" s="27"/>
      <c r="H917" s="20"/>
      <c r="I917" s="21"/>
      <c r="J917" s="28"/>
      <c r="K917" s="19"/>
    </row>
    <row r="918" spans="1:11" ht="13.2">
      <c r="A918" s="22"/>
      <c r="B918" s="16"/>
      <c r="C918" s="23"/>
      <c r="D918" s="24"/>
      <c r="E918" s="25"/>
      <c r="F918" s="26"/>
      <c r="G918" s="27"/>
      <c r="H918" s="20"/>
      <c r="I918" s="21"/>
      <c r="J918" s="28"/>
      <c r="K918" s="19"/>
    </row>
    <row r="919" spans="1:11" ht="13.2">
      <c r="A919" s="22"/>
      <c r="B919" s="16"/>
      <c r="C919" s="23"/>
      <c r="D919" s="24"/>
      <c r="E919" s="25"/>
      <c r="F919" s="26"/>
      <c r="G919" s="27"/>
      <c r="H919" s="20"/>
      <c r="I919" s="21"/>
      <c r="J919" s="28"/>
      <c r="K919" s="19"/>
    </row>
    <row r="920" spans="1:11" ht="13.2">
      <c r="A920" s="22"/>
      <c r="B920" s="16"/>
      <c r="C920" s="23"/>
      <c r="D920" s="24"/>
      <c r="E920" s="25"/>
      <c r="F920" s="26"/>
      <c r="G920" s="27"/>
      <c r="H920" s="20"/>
      <c r="I920" s="21"/>
      <c r="J920" s="28"/>
      <c r="K920" s="19"/>
    </row>
    <row r="921" spans="1:11" ht="13.2">
      <c r="A921" s="22"/>
      <c r="B921" s="16"/>
      <c r="C921" s="23"/>
      <c r="D921" s="24"/>
      <c r="E921" s="25"/>
      <c r="F921" s="26"/>
      <c r="G921" s="27"/>
      <c r="H921" s="20"/>
      <c r="I921" s="21"/>
      <c r="J921" s="28"/>
      <c r="K921" s="19"/>
    </row>
    <row r="922" spans="1:11" ht="13.2">
      <c r="A922" s="22"/>
      <c r="B922" s="16"/>
      <c r="C922" s="23"/>
      <c r="D922" s="24"/>
      <c r="E922" s="25"/>
      <c r="F922" s="26"/>
      <c r="G922" s="27"/>
      <c r="H922" s="20"/>
      <c r="I922" s="21"/>
      <c r="J922" s="28"/>
      <c r="K922" s="19"/>
    </row>
    <row r="923" spans="1:11" ht="13.2">
      <c r="A923" s="22"/>
      <c r="B923" s="16"/>
      <c r="C923" s="23"/>
      <c r="D923" s="24"/>
      <c r="E923" s="25"/>
      <c r="F923" s="26"/>
      <c r="G923" s="27"/>
      <c r="H923" s="20"/>
      <c r="I923" s="21"/>
      <c r="J923" s="28"/>
      <c r="K923" s="19"/>
    </row>
    <row r="924" spans="1:11" ht="13.2">
      <c r="A924" s="22"/>
      <c r="B924" s="16"/>
      <c r="C924" s="23"/>
      <c r="D924" s="24"/>
      <c r="E924" s="25"/>
      <c r="F924" s="26"/>
      <c r="G924" s="27"/>
      <c r="H924" s="20"/>
      <c r="I924" s="21"/>
      <c r="J924" s="28"/>
      <c r="K924" s="19"/>
    </row>
    <row r="925" spans="1:11" ht="13.2">
      <c r="A925" s="22"/>
      <c r="B925" s="16"/>
      <c r="C925" s="23"/>
      <c r="D925" s="24"/>
      <c r="E925" s="25"/>
      <c r="F925" s="26"/>
      <c r="G925" s="27"/>
      <c r="H925" s="20"/>
      <c r="I925" s="21"/>
      <c r="J925" s="28"/>
      <c r="K925" s="19"/>
    </row>
    <row r="926" spans="1:11" ht="13.2">
      <c r="A926" s="22"/>
      <c r="B926" s="16"/>
      <c r="C926" s="23"/>
      <c r="D926" s="24"/>
      <c r="E926" s="25"/>
      <c r="F926" s="26"/>
      <c r="G926" s="27"/>
      <c r="H926" s="20"/>
      <c r="I926" s="21"/>
      <c r="J926" s="28"/>
      <c r="K926" s="19"/>
    </row>
    <row r="927" spans="1:11" ht="13.2">
      <c r="A927" s="22"/>
      <c r="B927" s="16"/>
      <c r="C927" s="23"/>
      <c r="D927" s="24"/>
      <c r="E927" s="25"/>
      <c r="F927" s="26"/>
      <c r="G927" s="27"/>
      <c r="H927" s="20"/>
      <c r="I927" s="21"/>
      <c r="J927" s="28"/>
      <c r="K927" s="19"/>
    </row>
    <row r="928" spans="1:11" ht="13.2">
      <c r="A928" s="22"/>
      <c r="B928" s="16"/>
      <c r="C928" s="23"/>
      <c r="D928" s="24"/>
      <c r="E928" s="25"/>
      <c r="F928" s="26"/>
      <c r="G928" s="27"/>
      <c r="H928" s="20"/>
      <c r="I928" s="21"/>
      <c r="J928" s="28"/>
      <c r="K928" s="19"/>
    </row>
    <row r="929" spans="1:11" ht="13.2">
      <c r="A929" s="22"/>
      <c r="B929" s="16"/>
      <c r="C929" s="23"/>
      <c r="D929" s="24"/>
      <c r="E929" s="25"/>
      <c r="F929" s="26"/>
      <c r="G929" s="27"/>
      <c r="H929" s="20"/>
      <c r="I929" s="21"/>
      <c r="J929" s="28"/>
      <c r="K929" s="19"/>
    </row>
    <row r="930" spans="1:11" ht="13.2">
      <c r="A930" s="22"/>
      <c r="B930" s="16"/>
      <c r="C930" s="23"/>
      <c r="D930" s="24"/>
      <c r="E930" s="25"/>
      <c r="F930" s="26"/>
      <c r="G930" s="27"/>
      <c r="H930" s="20"/>
      <c r="I930" s="21"/>
      <c r="J930" s="28"/>
      <c r="K930" s="19"/>
    </row>
    <row r="931" spans="1:11" ht="13.2">
      <c r="A931" s="22"/>
      <c r="B931" s="16"/>
      <c r="C931" s="23"/>
      <c r="D931" s="24"/>
      <c r="E931" s="25"/>
      <c r="F931" s="26"/>
      <c r="G931" s="27"/>
      <c r="H931" s="20"/>
      <c r="I931" s="21"/>
      <c r="J931" s="28"/>
      <c r="K931" s="19"/>
    </row>
    <row r="932" spans="1:11" ht="13.2">
      <c r="A932" s="22"/>
      <c r="B932" s="16"/>
      <c r="C932" s="23"/>
      <c r="D932" s="24"/>
      <c r="E932" s="25"/>
      <c r="F932" s="26"/>
      <c r="G932" s="27"/>
      <c r="H932" s="20"/>
      <c r="I932" s="21"/>
      <c r="J932" s="28"/>
      <c r="K932" s="19"/>
    </row>
    <row r="933" spans="1:11" ht="13.2">
      <c r="A933" s="22"/>
      <c r="B933" s="16"/>
      <c r="C933" s="23"/>
      <c r="D933" s="24"/>
      <c r="E933" s="25"/>
      <c r="F933" s="26"/>
      <c r="G933" s="27"/>
      <c r="H933" s="20"/>
      <c r="I933" s="21"/>
      <c r="J933" s="28"/>
      <c r="K933" s="19"/>
    </row>
    <row r="934" spans="1:11" ht="13.2">
      <c r="A934" s="22"/>
      <c r="B934" s="16"/>
      <c r="C934" s="23"/>
      <c r="D934" s="24"/>
      <c r="E934" s="25"/>
      <c r="F934" s="26"/>
      <c r="G934" s="27"/>
      <c r="H934" s="20"/>
      <c r="I934" s="21"/>
      <c r="J934" s="28"/>
      <c r="K934" s="19"/>
    </row>
    <row r="935" spans="1:11" ht="13.2">
      <c r="A935" s="22"/>
      <c r="B935" s="16"/>
      <c r="C935" s="23"/>
      <c r="D935" s="24"/>
      <c r="E935" s="25"/>
      <c r="F935" s="26"/>
      <c r="G935" s="27"/>
      <c r="H935" s="20"/>
      <c r="I935" s="21"/>
      <c r="J935" s="28"/>
      <c r="K935" s="19"/>
    </row>
    <row r="936" spans="1:11" ht="13.2">
      <c r="A936" s="22"/>
      <c r="B936" s="16"/>
      <c r="C936" s="23"/>
      <c r="D936" s="24"/>
      <c r="E936" s="25"/>
      <c r="F936" s="26"/>
      <c r="G936" s="27"/>
      <c r="H936" s="20"/>
      <c r="I936" s="21"/>
      <c r="J936" s="28"/>
      <c r="K936" s="19"/>
    </row>
    <row r="937" spans="1:11" ht="13.2">
      <c r="A937" s="22"/>
      <c r="B937" s="16"/>
      <c r="C937" s="23"/>
      <c r="D937" s="24"/>
      <c r="E937" s="25"/>
      <c r="F937" s="26"/>
      <c r="G937" s="27"/>
      <c r="H937" s="20"/>
      <c r="I937" s="21"/>
      <c r="J937" s="28"/>
      <c r="K937" s="19"/>
    </row>
    <row r="938" spans="1:11" ht="13.2">
      <c r="A938" s="22"/>
      <c r="B938" s="16"/>
      <c r="C938" s="23"/>
      <c r="D938" s="24"/>
      <c r="E938" s="25"/>
      <c r="F938" s="26"/>
      <c r="G938" s="27"/>
      <c r="H938" s="20"/>
      <c r="I938" s="21"/>
      <c r="J938" s="28"/>
      <c r="K938" s="19"/>
    </row>
    <row r="939" spans="1:11" ht="13.2">
      <c r="A939" s="22"/>
      <c r="B939" s="16"/>
      <c r="C939" s="23"/>
      <c r="D939" s="24"/>
      <c r="E939" s="25"/>
      <c r="F939" s="26"/>
      <c r="G939" s="27"/>
      <c r="H939" s="20"/>
      <c r="I939" s="21"/>
      <c r="J939" s="28"/>
      <c r="K939" s="19"/>
    </row>
    <row r="940" spans="1:11" ht="13.2">
      <c r="A940" s="22"/>
      <c r="B940" s="16"/>
      <c r="C940" s="23"/>
      <c r="D940" s="24"/>
      <c r="E940" s="25"/>
      <c r="F940" s="26"/>
      <c r="G940" s="27"/>
      <c r="H940" s="20"/>
      <c r="I940" s="21"/>
      <c r="J940" s="28"/>
      <c r="K940" s="19"/>
    </row>
    <row r="941" spans="1:11" ht="13.2">
      <c r="A941" s="22"/>
      <c r="B941" s="16"/>
      <c r="C941" s="23"/>
      <c r="D941" s="24"/>
      <c r="E941" s="25"/>
      <c r="F941" s="26"/>
      <c r="G941" s="27"/>
      <c r="H941" s="20"/>
      <c r="I941" s="21"/>
      <c r="J941" s="28"/>
      <c r="K941" s="19"/>
    </row>
    <row r="942" spans="1:11" ht="13.2">
      <c r="A942" s="22"/>
      <c r="B942" s="16"/>
      <c r="C942" s="23"/>
      <c r="D942" s="24"/>
      <c r="E942" s="25"/>
      <c r="F942" s="26"/>
      <c r="G942" s="27"/>
      <c r="H942" s="20"/>
      <c r="I942" s="21"/>
      <c r="J942" s="28"/>
      <c r="K942" s="19"/>
    </row>
    <row r="943" spans="1:11" ht="13.2">
      <c r="A943" s="22"/>
      <c r="B943" s="16"/>
      <c r="C943" s="23"/>
      <c r="D943" s="24"/>
      <c r="E943" s="25"/>
      <c r="F943" s="26"/>
      <c r="G943" s="27"/>
      <c r="H943" s="20"/>
      <c r="I943" s="21"/>
      <c r="J943" s="28"/>
      <c r="K943" s="19"/>
    </row>
    <row r="944" spans="1:11" ht="13.2">
      <c r="A944" s="22"/>
      <c r="B944" s="16"/>
      <c r="C944" s="23"/>
      <c r="D944" s="24"/>
      <c r="E944" s="25"/>
      <c r="F944" s="26"/>
      <c r="G944" s="27"/>
      <c r="H944" s="20"/>
      <c r="I944" s="21"/>
      <c r="J944" s="28"/>
      <c r="K944" s="19"/>
    </row>
    <row r="945" spans="1:11" ht="13.2">
      <c r="A945" s="22"/>
      <c r="B945" s="16"/>
      <c r="C945" s="23"/>
      <c r="D945" s="24"/>
      <c r="E945" s="25"/>
      <c r="F945" s="26"/>
      <c r="G945" s="27"/>
      <c r="H945" s="20"/>
      <c r="I945" s="21"/>
      <c r="J945" s="28"/>
      <c r="K945" s="19"/>
    </row>
    <row r="946" spans="1:11" ht="13.2">
      <c r="A946" s="22"/>
      <c r="B946" s="16"/>
      <c r="C946" s="23"/>
      <c r="D946" s="24"/>
      <c r="E946" s="25"/>
      <c r="F946" s="26"/>
      <c r="G946" s="27"/>
      <c r="H946" s="20"/>
      <c r="I946" s="21"/>
      <c r="J946" s="28"/>
      <c r="K946" s="19"/>
    </row>
    <row r="947" spans="1:11" ht="13.2">
      <c r="A947" s="22"/>
      <c r="B947" s="16"/>
      <c r="C947" s="23"/>
      <c r="D947" s="24"/>
      <c r="E947" s="25"/>
      <c r="F947" s="26"/>
      <c r="G947" s="27"/>
      <c r="H947" s="20"/>
      <c r="I947" s="21"/>
      <c r="J947" s="28"/>
      <c r="K947" s="19"/>
    </row>
    <row r="948" spans="1:11" ht="13.2">
      <c r="A948" s="22"/>
      <c r="B948" s="16"/>
      <c r="C948" s="23"/>
      <c r="D948" s="24"/>
      <c r="E948" s="25"/>
      <c r="F948" s="26"/>
      <c r="G948" s="27"/>
      <c r="H948" s="20"/>
      <c r="I948" s="21"/>
      <c r="J948" s="28"/>
      <c r="K948" s="19"/>
    </row>
    <row r="949" spans="1:11" ht="13.2">
      <c r="A949" s="22"/>
      <c r="B949" s="16"/>
      <c r="C949" s="23"/>
      <c r="D949" s="24"/>
      <c r="E949" s="25"/>
      <c r="F949" s="26"/>
      <c r="G949" s="27"/>
      <c r="H949" s="20"/>
      <c r="I949" s="21"/>
      <c r="J949" s="28"/>
      <c r="K949" s="19"/>
    </row>
    <row r="950" spans="1:11" ht="13.2">
      <c r="A950" s="22"/>
      <c r="B950" s="16"/>
      <c r="C950" s="23"/>
      <c r="D950" s="24"/>
      <c r="E950" s="25"/>
      <c r="F950" s="26"/>
      <c r="G950" s="27"/>
      <c r="H950" s="20"/>
      <c r="I950" s="21"/>
      <c r="J950" s="28"/>
      <c r="K950" s="19"/>
    </row>
    <row r="951" spans="1:11" ht="13.2">
      <c r="A951" s="22"/>
      <c r="B951" s="16"/>
      <c r="C951" s="23"/>
      <c r="D951" s="24"/>
      <c r="E951" s="25"/>
      <c r="F951" s="26"/>
      <c r="G951" s="27"/>
      <c r="H951" s="20"/>
      <c r="I951" s="21"/>
      <c r="J951" s="28"/>
      <c r="K951" s="19"/>
    </row>
    <row r="952" spans="1:11" ht="13.2">
      <c r="A952" s="22"/>
      <c r="B952" s="16"/>
      <c r="C952" s="23"/>
      <c r="D952" s="24"/>
      <c r="E952" s="25"/>
      <c r="F952" s="26"/>
      <c r="G952" s="27"/>
      <c r="H952" s="20"/>
      <c r="I952" s="21"/>
      <c r="J952" s="28"/>
      <c r="K952" s="19"/>
    </row>
    <row r="953" spans="1:11" ht="13.2">
      <c r="A953" s="22"/>
      <c r="B953" s="16"/>
      <c r="C953" s="23"/>
      <c r="D953" s="24"/>
      <c r="E953" s="25"/>
      <c r="F953" s="26"/>
      <c r="G953" s="27"/>
      <c r="H953" s="20"/>
      <c r="I953" s="21"/>
      <c r="J953" s="28"/>
      <c r="K953" s="19"/>
    </row>
    <row r="954" spans="1:11" ht="13.2">
      <c r="A954" s="22"/>
      <c r="B954" s="16"/>
      <c r="C954" s="23"/>
      <c r="D954" s="24"/>
      <c r="E954" s="25"/>
      <c r="F954" s="26"/>
      <c r="G954" s="27"/>
      <c r="H954" s="20"/>
      <c r="I954" s="21"/>
      <c r="J954" s="28"/>
      <c r="K954" s="19"/>
    </row>
    <row r="955" spans="1:11" ht="13.2">
      <c r="A955" s="22"/>
      <c r="B955" s="16"/>
      <c r="C955" s="23"/>
      <c r="D955" s="24"/>
      <c r="E955" s="25"/>
      <c r="F955" s="26"/>
      <c r="G955" s="27"/>
      <c r="H955" s="20"/>
      <c r="I955" s="21"/>
      <c r="J955" s="28"/>
      <c r="K955" s="19"/>
    </row>
    <row r="956" spans="1:11" ht="13.2">
      <c r="A956" s="22"/>
      <c r="B956" s="16"/>
      <c r="C956" s="23"/>
      <c r="D956" s="24"/>
      <c r="E956" s="25"/>
      <c r="F956" s="26"/>
      <c r="G956" s="27"/>
      <c r="H956" s="20"/>
      <c r="I956" s="21"/>
      <c r="J956" s="28"/>
      <c r="K956" s="19"/>
    </row>
    <row r="957" spans="1:11" ht="13.2">
      <c r="A957" s="22"/>
      <c r="B957" s="16"/>
      <c r="C957" s="23"/>
      <c r="D957" s="24"/>
      <c r="E957" s="25"/>
      <c r="F957" s="26"/>
      <c r="G957" s="27"/>
      <c r="H957" s="20"/>
      <c r="I957" s="21"/>
      <c r="J957" s="28"/>
      <c r="K957" s="19"/>
    </row>
    <row r="958" spans="1:11" ht="13.2">
      <c r="A958" s="22"/>
      <c r="B958" s="16"/>
      <c r="C958" s="23"/>
      <c r="D958" s="24"/>
      <c r="E958" s="25"/>
      <c r="F958" s="26"/>
      <c r="G958" s="27"/>
      <c r="H958" s="20"/>
      <c r="I958" s="21"/>
      <c r="J958" s="28"/>
      <c r="K958" s="19"/>
    </row>
    <row r="959" spans="1:11" ht="13.2">
      <c r="A959" s="22"/>
      <c r="B959" s="16"/>
      <c r="C959" s="23"/>
      <c r="D959" s="24"/>
      <c r="E959" s="25"/>
      <c r="F959" s="26"/>
      <c r="G959" s="27"/>
      <c r="H959" s="20"/>
      <c r="I959" s="21"/>
      <c r="J959" s="28"/>
      <c r="K959" s="19"/>
    </row>
    <row r="960" spans="1:11" ht="13.2">
      <c r="A960" s="22"/>
      <c r="B960" s="16"/>
      <c r="C960" s="23"/>
      <c r="D960" s="24"/>
      <c r="E960" s="25"/>
      <c r="F960" s="26"/>
      <c r="G960" s="27"/>
      <c r="H960" s="20"/>
      <c r="I960" s="21"/>
      <c r="J960" s="28"/>
      <c r="K960" s="19"/>
    </row>
    <row r="961" spans="1:11" ht="13.2">
      <c r="A961" s="22"/>
      <c r="B961" s="16"/>
      <c r="C961" s="23"/>
      <c r="D961" s="24"/>
      <c r="E961" s="25"/>
      <c r="F961" s="26"/>
      <c r="G961" s="27"/>
      <c r="H961" s="20"/>
      <c r="I961" s="21"/>
      <c r="J961" s="28"/>
      <c r="K961" s="19"/>
    </row>
    <row r="962" spans="1:11" ht="13.2">
      <c r="A962" s="22"/>
      <c r="B962" s="16"/>
      <c r="C962" s="23"/>
      <c r="D962" s="24"/>
      <c r="E962" s="25"/>
      <c r="F962" s="26"/>
      <c r="G962" s="27"/>
      <c r="H962" s="20"/>
      <c r="I962" s="21"/>
      <c r="J962" s="28"/>
      <c r="K962" s="19"/>
    </row>
    <row r="963" spans="1:11" ht="13.2">
      <c r="A963" s="22"/>
      <c r="B963" s="16"/>
      <c r="C963" s="23"/>
      <c r="D963" s="24"/>
      <c r="E963" s="25"/>
      <c r="F963" s="26"/>
      <c r="G963" s="27"/>
      <c r="H963" s="20"/>
      <c r="I963" s="21"/>
      <c r="J963" s="28"/>
      <c r="K963" s="19"/>
    </row>
    <row r="964" spans="1:11" ht="13.2">
      <c r="A964" s="22"/>
      <c r="B964" s="16"/>
      <c r="C964" s="23"/>
      <c r="D964" s="24"/>
      <c r="E964" s="25"/>
      <c r="F964" s="26"/>
      <c r="G964" s="27"/>
      <c r="H964" s="20"/>
      <c r="I964" s="21"/>
      <c r="J964" s="28"/>
      <c r="K964" s="19"/>
    </row>
    <row r="965" spans="1:11" ht="13.2">
      <c r="A965" s="22"/>
      <c r="B965" s="16"/>
      <c r="C965" s="23"/>
      <c r="D965" s="24"/>
      <c r="E965" s="25"/>
      <c r="F965" s="26"/>
      <c r="G965" s="27"/>
      <c r="H965" s="20"/>
      <c r="I965" s="21"/>
      <c r="J965" s="28"/>
      <c r="K965" s="19"/>
    </row>
    <row r="966" spans="1:11" ht="13.2">
      <c r="A966" s="22"/>
      <c r="B966" s="16"/>
      <c r="C966" s="23"/>
      <c r="D966" s="24"/>
      <c r="E966" s="25"/>
      <c r="F966" s="26"/>
      <c r="G966" s="27"/>
      <c r="H966" s="20"/>
      <c r="I966" s="21"/>
      <c r="J966" s="28"/>
      <c r="K966" s="19"/>
    </row>
    <row r="967" spans="1:11" ht="13.2">
      <c r="A967" s="22"/>
      <c r="B967" s="16"/>
      <c r="C967" s="23"/>
      <c r="D967" s="24"/>
      <c r="E967" s="25"/>
      <c r="F967" s="26"/>
      <c r="G967" s="27"/>
      <c r="H967" s="20"/>
      <c r="I967" s="21"/>
      <c r="J967" s="28"/>
      <c r="K967" s="19"/>
    </row>
    <row r="968" spans="1:11" ht="13.2">
      <c r="A968" s="22"/>
      <c r="B968" s="16"/>
      <c r="C968" s="23"/>
      <c r="D968" s="24"/>
      <c r="E968" s="25"/>
      <c r="F968" s="26"/>
      <c r="G968" s="27"/>
      <c r="H968" s="20"/>
      <c r="I968" s="21"/>
      <c r="J968" s="28"/>
      <c r="K968" s="19"/>
    </row>
    <row r="969" spans="1:11" ht="13.2">
      <c r="A969" s="22"/>
      <c r="B969" s="16"/>
      <c r="C969" s="23"/>
      <c r="D969" s="24"/>
      <c r="E969" s="25"/>
      <c r="F969" s="26"/>
      <c r="G969" s="27"/>
      <c r="H969" s="20"/>
      <c r="I969" s="21"/>
      <c r="J969" s="28"/>
      <c r="K969" s="19"/>
    </row>
    <row r="970" spans="1:11" ht="13.2">
      <c r="A970" s="22"/>
      <c r="B970" s="16"/>
      <c r="C970" s="23"/>
      <c r="D970" s="24"/>
      <c r="E970" s="25"/>
      <c r="F970" s="26"/>
      <c r="G970" s="27"/>
      <c r="H970" s="20"/>
      <c r="I970" s="21"/>
      <c r="J970" s="28"/>
      <c r="K970" s="19"/>
    </row>
    <row r="971" spans="1:11" ht="13.2">
      <c r="A971" s="22"/>
      <c r="B971" s="16"/>
      <c r="C971" s="23"/>
      <c r="D971" s="24"/>
      <c r="E971" s="25"/>
      <c r="F971" s="26"/>
      <c r="G971" s="27"/>
      <c r="H971" s="20"/>
      <c r="I971" s="21"/>
      <c r="J971" s="28"/>
      <c r="K971" s="19"/>
    </row>
    <row r="972" spans="1:11" ht="13.2">
      <c r="A972" s="22"/>
      <c r="B972" s="16"/>
      <c r="C972" s="23"/>
      <c r="D972" s="24"/>
      <c r="E972" s="25"/>
      <c r="F972" s="26"/>
      <c r="G972" s="27"/>
      <c r="H972" s="20"/>
      <c r="I972" s="21"/>
      <c r="J972" s="28"/>
      <c r="K972" s="19"/>
    </row>
    <row r="973" spans="1:11" ht="13.2">
      <c r="A973" s="22"/>
      <c r="B973" s="16"/>
      <c r="C973" s="23"/>
      <c r="D973" s="24"/>
      <c r="E973" s="25"/>
      <c r="F973" s="26"/>
      <c r="G973" s="27"/>
      <c r="H973" s="20"/>
      <c r="I973" s="21"/>
      <c r="J973" s="28"/>
      <c r="K973" s="19"/>
    </row>
    <row r="974" spans="1:11" ht="13.2">
      <c r="A974" s="22"/>
      <c r="B974" s="16"/>
      <c r="C974" s="23"/>
      <c r="D974" s="24"/>
      <c r="E974" s="25"/>
      <c r="F974" s="26"/>
      <c r="G974" s="27"/>
      <c r="H974" s="20"/>
      <c r="I974" s="21"/>
      <c r="J974" s="28"/>
      <c r="K974" s="19"/>
    </row>
    <row r="975" spans="1:11" ht="13.2">
      <c r="A975" s="22"/>
      <c r="B975" s="16"/>
      <c r="C975" s="23"/>
      <c r="D975" s="24"/>
      <c r="E975" s="25"/>
      <c r="F975" s="26"/>
      <c r="G975" s="27"/>
      <c r="H975" s="20"/>
      <c r="I975" s="21"/>
      <c r="J975" s="28"/>
      <c r="K975" s="19"/>
    </row>
    <row r="976" spans="1:11" ht="13.2">
      <c r="A976" s="22"/>
      <c r="B976" s="16"/>
      <c r="C976" s="23"/>
      <c r="D976" s="24"/>
      <c r="E976" s="25"/>
      <c r="F976" s="26"/>
      <c r="G976" s="27"/>
      <c r="H976" s="20"/>
      <c r="I976" s="21"/>
      <c r="J976" s="28"/>
      <c r="K976" s="19"/>
    </row>
    <row r="977" spans="1:11" ht="13.2">
      <c r="A977" s="22"/>
      <c r="B977" s="16"/>
      <c r="C977" s="23"/>
      <c r="D977" s="24"/>
      <c r="E977" s="25"/>
      <c r="F977" s="26"/>
      <c r="G977" s="27"/>
      <c r="H977" s="20"/>
      <c r="I977" s="21"/>
      <c r="J977" s="28"/>
      <c r="K977" s="19"/>
    </row>
    <row r="978" spans="1:11" ht="13.2">
      <c r="A978" s="22"/>
      <c r="B978" s="16"/>
      <c r="C978" s="23"/>
      <c r="D978" s="24"/>
      <c r="E978" s="25"/>
      <c r="F978" s="26"/>
      <c r="G978" s="27"/>
      <c r="H978" s="20"/>
      <c r="I978" s="21"/>
      <c r="J978" s="28"/>
      <c r="K978" s="19"/>
    </row>
    <row r="979" spans="1:11" ht="13.2">
      <c r="A979" s="22"/>
      <c r="B979" s="16"/>
      <c r="C979" s="23"/>
      <c r="D979" s="24"/>
      <c r="E979" s="25"/>
      <c r="F979" s="26"/>
      <c r="G979" s="27"/>
      <c r="H979" s="20"/>
      <c r="I979" s="21"/>
      <c r="J979" s="28"/>
      <c r="K979" s="19"/>
    </row>
    <row r="980" spans="1:11" ht="13.2">
      <c r="A980" s="22"/>
      <c r="B980" s="16"/>
      <c r="C980" s="23"/>
      <c r="D980" s="24"/>
      <c r="E980" s="25"/>
      <c r="F980" s="26"/>
      <c r="G980" s="27"/>
      <c r="H980" s="20"/>
      <c r="I980" s="21"/>
      <c r="J980" s="28"/>
      <c r="K980" s="19"/>
    </row>
    <row r="981" spans="1:11" ht="13.2">
      <c r="A981" s="22"/>
      <c r="B981" s="16"/>
      <c r="C981" s="23"/>
      <c r="D981" s="24"/>
      <c r="E981" s="25"/>
      <c r="F981" s="26"/>
      <c r="G981" s="27"/>
      <c r="H981" s="20"/>
      <c r="I981" s="21"/>
      <c r="J981" s="28"/>
      <c r="K981" s="19"/>
    </row>
    <row r="982" spans="1:11" ht="13.2">
      <c r="A982" s="22"/>
      <c r="B982" s="16"/>
      <c r="C982" s="23"/>
      <c r="D982" s="24"/>
      <c r="E982" s="25"/>
      <c r="F982" s="26"/>
      <c r="G982" s="27"/>
      <c r="H982" s="20"/>
      <c r="I982" s="21"/>
      <c r="J982" s="28"/>
      <c r="K982" s="19"/>
    </row>
    <row r="983" spans="1:11" ht="13.2">
      <c r="A983" s="22"/>
      <c r="B983" s="16"/>
      <c r="C983" s="23"/>
      <c r="D983" s="24"/>
      <c r="E983" s="25"/>
      <c r="F983" s="26"/>
      <c r="G983" s="27"/>
      <c r="H983" s="20"/>
      <c r="I983" s="21"/>
      <c r="J983" s="28"/>
      <c r="K983" s="19"/>
    </row>
    <row r="984" spans="1:11" ht="13.2">
      <c r="A984" s="22"/>
      <c r="B984" s="16"/>
      <c r="C984" s="23"/>
      <c r="D984" s="24"/>
      <c r="E984" s="25"/>
      <c r="F984" s="26"/>
      <c r="G984" s="27"/>
      <c r="H984" s="20"/>
      <c r="I984" s="21"/>
      <c r="J984" s="28"/>
      <c r="K984" s="19"/>
    </row>
    <row r="985" spans="1:11" ht="13.2">
      <c r="A985" s="22"/>
      <c r="B985" s="16"/>
      <c r="C985" s="23"/>
      <c r="D985" s="24"/>
      <c r="E985" s="25"/>
      <c r="F985" s="26"/>
      <c r="G985" s="27"/>
      <c r="H985" s="20"/>
      <c r="I985" s="21"/>
      <c r="J985" s="28"/>
      <c r="K985" s="19"/>
    </row>
    <row r="986" spans="1:11" ht="13.2">
      <c r="A986" s="22"/>
      <c r="B986" s="16"/>
      <c r="C986" s="23"/>
      <c r="D986" s="24"/>
      <c r="E986" s="25"/>
      <c r="F986" s="26"/>
      <c r="G986" s="27"/>
      <c r="H986" s="20"/>
      <c r="I986" s="21"/>
      <c r="J986" s="28"/>
      <c r="K986" s="19"/>
    </row>
    <row r="987" spans="1:11" ht="13.2">
      <c r="A987" s="22"/>
      <c r="B987" s="16"/>
      <c r="C987" s="23"/>
      <c r="D987" s="24"/>
      <c r="E987" s="25"/>
      <c r="F987" s="26"/>
      <c r="G987" s="27"/>
      <c r="H987" s="20"/>
      <c r="I987" s="21"/>
      <c r="J987" s="28"/>
      <c r="K987" s="19"/>
    </row>
    <row r="988" spans="1:11" ht="13.2">
      <c r="A988" s="22"/>
      <c r="B988" s="16"/>
      <c r="C988" s="23"/>
      <c r="D988" s="24"/>
      <c r="E988" s="25"/>
      <c r="F988" s="26"/>
      <c r="G988" s="27"/>
      <c r="H988" s="20"/>
      <c r="I988" s="21"/>
      <c r="J988" s="28"/>
      <c r="K988" s="19"/>
    </row>
    <row r="989" spans="1:11" ht="13.2">
      <c r="A989" s="22"/>
      <c r="B989" s="16"/>
      <c r="C989" s="23"/>
      <c r="D989" s="24"/>
      <c r="E989" s="25"/>
      <c r="F989" s="26"/>
      <c r="G989" s="27"/>
      <c r="H989" s="20"/>
      <c r="I989" s="21"/>
      <c r="J989" s="28"/>
      <c r="K989" s="19"/>
    </row>
    <row r="990" spans="1:11" ht="13.2">
      <c r="A990" s="22"/>
      <c r="B990" s="16"/>
      <c r="C990" s="23"/>
      <c r="D990" s="24"/>
      <c r="E990" s="25"/>
      <c r="F990" s="26"/>
      <c r="G990" s="27"/>
      <c r="H990" s="20"/>
      <c r="I990" s="21"/>
      <c r="J990" s="28"/>
      <c r="K990" s="19"/>
    </row>
    <row r="991" spans="1:11" ht="13.2">
      <c r="A991" s="22"/>
      <c r="B991" s="16"/>
      <c r="C991" s="23"/>
      <c r="D991" s="24"/>
      <c r="E991" s="25"/>
      <c r="F991" s="26"/>
      <c r="G991" s="27"/>
      <c r="H991" s="20"/>
      <c r="I991" s="21"/>
      <c r="J991" s="28"/>
      <c r="K991" s="19"/>
    </row>
    <row r="992" spans="1:11" ht="13.2">
      <c r="A992" s="22"/>
      <c r="B992" s="16"/>
      <c r="C992" s="23"/>
      <c r="D992" s="24"/>
      <c r="E992" s="25"/>
      <c r="F992" s="26"/>
      <c r="G992" s="27"/>
      <c r="H992" s="20"/>
      <c r="I992" s="21"/>
      <c r="J992" s="28"/>
      <c r="K992" s="19"/>
    </row>
    <row r="993" spans="1:11" ht="13.2">
      <c r="A993" s="22"/>
      <c r="B993" s="16"/>
      <c r="C993" s="23"/>
      <c r="D993" s="24"/>
      <c r="E993" s="25"/>
      <c r="F993" s="26"/>
      <c r="G993" s="27"/>
      <c r="H993" s="20"/>
      <c r="I993" s="21"/>
      <c r="J993" s="28"/>
      <c r="K993" s="19"/>
    </row>
    <row r="994" spans="1:11" ht="13.2">
      <c r="A994" s="22"/>
      <c r="B994" s="16"/>
      <c r="C994" s="23"/>
      <c r="D994" s="24"/>
      <c r="E994" s="25"/>
      <c r="F994" s="26"/>
      <c r="G994" s="27"/>
      <c r="H994" s="20"/>
      <c r="I994" s="21"/>
      <c r="J994" s="28"/>
      <c r="K994" s="19"/>
    </row>
    <row r="995" spans="1:11" ht="13.2">
      <c r="A995" s="22"/>
      <c r="B995" s="16"/>
      <c r="C995" s="23"/>
      <c r="D995" s="24"/>
      <c r="E995" s="25"/>
      <c r="F995" s="26"/>
      <c r="G995" s="27"/>
      <c r="H995" s="20"/>
      <c r="I995" s="21"/>
      <c r="J995" s="28"/>
      <c r="K995" s="19"/>
    </row>
    <row r="996" spans="1:11" ht="13.2">
      <c r="A996" s="22"/>
      <c r="B996" s="16"/>
      <c r="C996" s="23"/>
      <c r="D996" s="24"/>
      <c r="E996" s="25"/>
      <c r="F996" s="26"/>
      <c r="G996" s="27"/>
      <c r="H996" s="20"/>
      <c r="I996" s="21"/>
      <c r="J996" s="28"/>
      <c r="K996" s="19"/>
    </row>
    <row r="997" spans="1:11" ht="13.2">
      <c r="A997" s="22"/>
      <c r="B997" s="16"/>
      <c r="C997" s="23"/>
      <c r="D997" s="24"/>
      <c r="E997" s="25"/>
      <c r="F997" s="26"/>
      <c r="G997" s="27"/>
      <c r="H997" s="20"/>
      <c r="I997" s="21"/>
      <c r="J997" s="28"/>
      <c r="K997" s="19"/>
    </row>
    <row r="998" spans="1:11" ht="13.2">
      <c r="A998" s="22"/>
      <c r="B998" s="16"/>
      <c r="C998" s="23"/>
      <c r="D998" s="24"/>
      <c r="E998" s="25"/>
      <c r="F998" s="26"/>
      <c r="G998" s="27"/>
      <c r="H998" s="20"/>
      <c r="I998" s="21"/>
      <c r="J998" s="28"/>
      <c r="K998" s="19"/>
    </row>
    <row r="999" spans="1:11" ht="13.2">
      <c r="A999" s="22"/>
      <c r="B999" s="16"/>
      <c r="C999" s="23"/>
      <c r="D999" s="24"/>
      <c r="E999" s="25"/>
      <c r="F999" s="26"/>
      <c r="G999" s="27"/>
      <c r="H999" s="20"/>
      <c r="I999" s="21"/>
      <c r="J999" s="28"/>
      <c r="K999" s="19"/>
    </row>
    <row r="1000" spans="1:11" ht="13.2">
      <c r="A1000" s="22"/>
      <c r="B1000" s="16"/>
      <c r="C1000" s="23"/>
      <c r="D1000" s="24"/>
      <c r="E1000" s="25"/>
      <c r="F1000" s="26"/>
      <c r="G1000" s="27"/>
      <c r="H1000" s="20"/>
      <c r="I1000" s="21"/>
      <c r="J1000" s="28"/>
      <c r="K1000" s="19"/>
    </row>
    <row r="1001" spans="1:11" ht="13.2">
      <c r="A1001" s="22"/>
      <c r="B1001" s="16"/>
      <c r="C1001" s="23"/>
      <c r="D1001" s="24"/>
      <c r="E1001" s="25"/>
      <c r="F1001" s="26"/>
      <c r="G1001" s="27"/>
      <c r="H1001" s="20"/>
      <c r="I1001" s="21"/>
      <c r="J1001" s="28"/>
      <c r="K1001" s="19"/>
    </row>
    <row r="1002" spans="1:11" ht="13.2">
      <c r="A1002" s="22"/>
      <c r="B1002" s="16"/>
      <c r="C1002" s="23"/>
      <c r="D1002" s="24"/>
      <c r="E1002" s="25"/>
      <c r="F1002" s="26"/>
      <c r="G1002" s="27"/>
      <c r="H1002" s="20"/>
      <c r="I1002" s="21"/>
      <c r="J1002" s="28"/>
      <c r="K1002" s="19"/>
    </row>
    <row r="1003" spans="1:11" ht="13.2">
      <c r="A1003" s="22"/>
      <c r="B1003" s="16"/>
      <c r="C1003" s="23"/>
      <c r="D1003" s="24"/>
      <c r="E1003" s="25"/>
      <c r="F1003" s="26"/>
      <c r="G1003" s="27"/>
      <c r="H1003" s="20"/>
      <c r="I1003" s="21"/>
      <c r="J1003" s="28"/>
      <c r="K1003" s="19"/>
    </row>
    <row r="1004" spans="1:11" ht="13.2">
      <c r="A1004" s="22"/>
      <c r="B1004" s="16"/>
      <c r="C1004" s="23"/>
      <c r="D1004" s="24"/>
      <c r="E1004" s="25"/>
      <c r="F1004" s="26"/>
      <c r="G1004" s="27"/>
      <c r="H1004" s="20"/>
      <c r="I1004" s="21"/>
      <c r="J1004" s="28"/>
      <c r="K1004" s="19"/>
    </row>
    <row r="1005" spans="1:11" ht="13.2">
      <c r="A1005" s="22"/>
      <c r="B1005" s="16"/>
      <c r="C1005" s="23"/>
      <c r="D1005" s="24"/>
      <c r="E1005" s="25"/>
      <c r="F1005" s="26"/>
      <c r="G1005" s="27"/>
      <c r="H1005" s="20"/>
      <c r="I1005" s="21"/>
      <c r="J1005" s="28"/>
      <c r="K1005" s="19"/>
    </row>
    <row r="1006" spans="1:11" ht="13.2">
      <c r="A1006" s="22"/>
      <c r="B1006" s="16"/>
      <c r="C1006" s="23"/>
      <c r="D1006" s="24"/>
      <c r="E1006" s="25"/>
      <c r="F1006" s="26"/>
      <c r="G1006" s="27"/>
      <c r="H1006" s="20"/>
      <c r="I1006" s="21"/>
      <c r="J1006" s="28"/>
      <c r="K1006" s="19"/>
    </row>
    <row r="1007" spans="1:11" ht="13.2">
      <c r="A1007" s="22"/>
      <c r="B1007" s="16"/>
      <c r="C1007" s="23"/>
      <c r="D1007" s="24"/>
      <c r="E1007" s="25"/>
      <c r="F1007" s="26"/>
      <c r="G1007" s="27"/>
      <c r="H1007" s="20"/>
      <c r="I1007" s="21"/>
      <c r="J1007" s="28"/>
      <c r="K1007" s="19"/>
    </row>
    <row r="1008" spans="1:11" ht="13.2">
      <c r="A1008" s="22"/>
      <c r="B1008" s="16"/>
      <c r="C1008" s="23"/>
      <c r="D1008" s="24"/>
      <c r="E1008" s="25"/>
      <c r="F1008" s="26"/>
      <c r="G1008" s="27"/>
      <c r="H1008" s="20"/>
      <c r="I1008" s="21"/>
      <c r="J1008" s="28"/>
      <c r="K1008" s="19"/>
    </row>
    <row r="1009" spans="1:11" ht="13.2">
      <c r="A1009" s="22"/>
      <c r="B1009" s="16"/>
      <c r="C1009" s="23"/>
      <c r="D1009" s="24"/>
      <c r="E1009" s="25"/>
      <c r="F1009" s="26"/>
      <c r="G1009" s="27"/>
      <c r="H1009" s="20"/>
      <c r="I1009" s="21"/>
      <c r="J1009" s="28"/>
      <c r="K1009" s="19"/>
    </row>
    <row r="1010" spans="1:11" ht="13.2">
      <c r="A1010" s="22"/>
      <c r="B1010" s="16"/>
      <c r="C1010" s="23"/>
      <c r="D1010" s="24"/>
      <c r="E1010" s="25"/>
      <c r="F1010" s="26"/>
      <c r="G1010" s="27"/>
      <c r="H1010" s="20"/>
      <c r="I1010" s="21"/>
      <c r="J1010" s="28"/>
      <c r="K1010" s="19"/>
    </row>
    <row r="1011" spans="1:11" ht="13.2">
      <c r="A1011" s="22"/>
      <c r="B1011" s="16"/>
      <c r="C1011" s="23"/>
      <c r="D1011" s="24"/>
      <c r="E1011" s="25"/>
      <c r="F1011" s="26"/>
      <c r="G1011" s="27"/>
      <c r="H1011" s="20"/>
      <c r="I1011" s="21"/>
      <c r="J1011" s="28"/>
      <c r="K1011" s="19"/>
    </row>
    <row r="1012" spans="1:11" ht="13.2">
      <c r="A1012" s="22"/>
      <c r="B1012" s="16"/>
      <c r="C1012" s="23"/>
      <c r="D1012" s="24"/>
      <c r="E1012" s="25"/>
      <c r="F1012" s="26"/>
      <c r="G1012" s="27"/>
      <c r="H1012" s="20"/>
      <c r="I1012" s="21"/>
      <c r="J1012" s="28"/>
      <c r="K1012" s="19"/>
    </row>
    <row r="1013" spans="1:11" ht="13.2">
      <c r="A1013" s="22"/>
      <c r="B1013" s="16"/>
      <c r="C1013" s="23"/>
      <c r="D1013" s="24"/>
      <c r="E1013" s="25"/>
      <c r="F1013" s="26"/>
      <c r="G1013" s="27"/>
      <c r="H1013" s="20"/>
      <c r="I1013" s="21"/>
      <c r="J1013" s="28"/>
      <c r="K1013" s="19"/>
    </row>
    <row r="1014" spans="1:11" ht="13.2">
      <c r="A1014" s="22"/>
      <c r="B1014" s="16"/>
      <c r="C1014" s="23"/>
      <c r="D1014" s="24"/>
      <c r="E1014" s="25"/>
      <c r="F1014" s="26"/>
      <c r="G1014" s="27"/>
      <c r="H1014" s="20"/>
      <c r="I1014" s="21"/>
      <c r="J1014" s="28"/>
      <c r="K1014" s="19"/>
    </row>
    <row r="1015" spans="1:11" ht="13.2">
      <c r="A1015" s="22"/>
      <c r="B1015" s="16"/>
      <c r="C1015" s="23"/>
      <c r="D1015" s="24"/>
      <c r="E1015" s="25"/>
      <c r="F1015" s="26"/>
      <c r="G1015" s="27"/>
      <c r="H1015" s="20"/>
      <c r="I1015" s="21"/>
      <c r="J1015" s="28"/>
      <c r="K1015" s="19"/>
    </row>
    <row r="1016" spans="1:11" ht="13.2">
      <c r="A1016" s="22"/>
      <c r="B1016" s="16"/>
      <c r="C1016" s="23"/>
      <c r="D1016" s="24"/>
      <c r="E1016" s="25"/>
      <c r="F1016" s="26"/>
      <c r="G1016" s="27"/>
      <c r="H1016" s="20"/>
      <c r="I1016" s="21"/>
      <c r="J1016" s="28"/>
      <c r="K1016" s="19"/>
    </row>
    <row r="1017" spans="1:11" ht="13.2">
      <c r="A1017" s="22"/>
      <c r="B1017" s="16"/>
      <c r="C1017" s="23"/>
      <c r="D1017" s="24"/>
      <c r="E1017" s="25"/>
      <c r="F1017" s="26"/>
      <c r="G1017" s="27"/>
      <c r="H1017" s="20"/>
      <c r="I1017" s="21"/>
      <c r="J1017" s="28"/>
      <c r="K1017" s="19"/>
    </row>
    <row r="1018" spans="1:11" ht="13.2">
      <c r="A1018" s="22"/>
      <c r="B1018" s="16"/>
      <c r="C1018" s="23"/>
      <c r="D1018" s="24"/>
      <c r="E1018" s="25"/>
      <c r="F1018" s="26"/>
      <c r="G1018" s="27"/>
      <c r="H1018" s="20"/>
      <c r="I1018" s="21"/>
      <c r="J1018" s="28"/>
      <c r="K1018" s="19"/>
    </row>
    <row r="1019" spans="1:11" ht="13.2">
      <c r="A1019" s="22"/>
      <c r="B1019" s="16"/>
      <c r="C1019" s="23"/>
      <c r="D1019" s="24"/>
      <c r="E1019" s="25"/>
      <c r="F1019" s="26"/>
      <c r="G1019" s="27"/>
      <c r="H1019" s="20"/>
      <c r="I1019" s="21"/>
      <c r="J1019" s="28"/>
      <c r="K1019" s="19"/>
    </row>
    <row r="1020" spans="1:11" ht="13.2">
      <c r="A1020" s="22"/>
      <c r="B1020" s="16"/>
      <c r="C1020" s="23"/>
      <c r="D1020" s="24"/>
      <c r="E1020" s="25"/>
      <c r="F1020" s="26"/>
      <c r="G1020" s="27"/>
      <c r="H1020" s="20"/>
      <c r="I1020" s="21"/>
      <c r="J1020" s="28"/>
      <c r="K1020" s="19"/>
    </row>
    <row r="1021" spans="1:11" ht="13.2">
      <c r="A1021" s="22"/>
      <c r="B1021" s="16"/>
      <c r="C1021" s="23"/>
      <c r="D1021" s="24"/>
      <c r="E1021" s="25"/>
      <c r="F1021" s="26"/>
      <c r="G1021" s="27"/>
      <c r="H1021" s="20"/>
      <c r="I1021" s="21"/>
      <c r="J1021" s="28"/>
      <c r="K1021" s="19"/>
    </row>
    <row r="1022" spans="1:11" ht="13.2">
      <c r="A1022" s="22"/>
      <c r="B1022" s="16"/>
      <c r="C1022" s="23"/>
      <c r="D1022" s="24"/>
      <c r="E1022" s="25"/>
      <c r="F1022" s="26"/>
      <c r="G1022" s="27"/>
      <c r="H1022" s="20"/>
      <c r="I1022" s="21"/>
      <c r="J1022" s="28"/>
      <c r="K1022" s="19"/>
    </row>
    <row r="1023" spans="1:11" ht="13.2">
      <c r="A1023" s="22"/>
      <c r="B1023" s="16"/>
      <c r="C1023" s="23"/>
      <c r="D1023" s="24"/>
      <c r="E1023" s="25"/>
      <c r="F1023" s="26"/>
      <c r="G1023" s="27"/>
      <c r="H1023" s="20"/>
      <c r="I1023" s="21"/>
      <c r="J1023" s="28"/>
      <c r="K1023" s="19"/>
    </row>
    <row r="1024" spans="1:11" ht="13.2">
      <c r="A1024" s="22"/>
      <c r="B1024" s="16"/>
      <c r="C1024" s="23"/>
      <c r="D1024" s="24"/>
      <c r="E1024" s="25"/>
      <c r="F1024" s="26"/>
      <c r="G1024" s="27"/>
      <c r="H1024" s="20"/>
      <c r="I1024" s="21"/>
      <c r="J1024" s="28"/>
      <c r="K1024" s="19"/>
    </row>
    <row r="1025" spans="1:11" ht="13.2">
      <c r="A1025" s="22"/>
      <c r="B1025" s="16"/>
      <c r="C1025" s="23"/>
      <c r="D1025" s="24"/>
      <c r="E1025" s="25"/>
      <c r="F1025" s="26"/>
      <c r="G1025" s="27"/>
      <c r="H1025" s="20"/>
      <c r="I1025" s="21"/>
      <c r="J1025" s="28"/>
      <c r="K1025" s="19"/>
    </row>
    <row r="1026" spans="1:11" ht="13.2">
      <c r="A1026" s="22"/>
      <c r="B1026" s="16"/>
      <c r="C1026" s="23"/>
      <c r="D1026" s="24"/>
      <c r="E1026" s="25"/>
      <c r="F1026" s="26"/>
      <c r="G1026" s="27"/>
      <c r="H1026" s="20"/>
      <c r="I1026" s="21"/>
      <c r="J1026" s="28"/>
      <c r="K1026" s="19"/>
    </row>
    <row r="1027" spans="1:11" ht="13.2">
      <c r="A1027" s="22"/>
      <c r="B1027" s="16"/>
      <c r="C1027" s="23"/>
      <c r="D1027" s="24"/>
      <c r="E1027" s="25"/>
      <c r="F1027" s="26"/>
      <c r="G1027" s="27"/>
      <c r="H1027" s="20"/>
      <c r="I1027" s="21"/>
      <c r="J1027" s="28"/>
      <c r="K1027" s="19"/>
    </row>
    <row r="1028" spans="1:11" ht="13.2">
      <c r="A1028" s="22"/>
      <c r="B1028" s="16"/>
      <c r="C1028" s="23"/>
      <c r="D1028" s="24"/>
      <c r="E1028" s="25"/>
      <c r="F1028" s="26"/>
      <c r="G1028" s="27"/>
      <c r="H1028" s="20"/>
      <c r="I1028" s="21"/>
      <c r="J1028" s="28"/>
      <c r="K1028" s="19"/>
    </row>
    <row r="1029" spans="1:11" ht="13.2">
      <c r="A1029" s="22"/>
      <c r="B1029" s="16"/>
      <c r="C1029" s="23"/>
      <c r="D1029" s="24"/>
      <c r="E1029" s="25"/>
      <c r="F1029" s="26"/>
      <c r="G1029" s="27"/>
      <c r="H1029" s="20"/>
      <c r="I1029" s="21"/>
      <c r="J1029" s="28"/>
      <c r="K1029" s="19"/>
    </row>
    <row r="1030" spans="1:11" ht="13.2">
      <c r="A1030" s="22"/>
      <c r="B1030" s="16"/>
      <c r="C1030" s="23"/>
      <c r="D1030" s="24"/>
      <c r="E1030" s="25"/>
      <c r="F1030" s="26"/>
      <c r="G1030" s="27"/>
      <c r="H1030" s="20"/>
      <c r="I1030" s="21"/>
      <c r="J1030" s="28"/>
      <c r="K1030" s="19"/>
    </row>
    <row r="1031" spans="1:11" ht="13.2">
      <c r="A1031" s="22"/>
      <c r="B1031" s="16"/>
      <c r="C1031" s="23"/>
      <c r="D1031" s="24"/>
      <c r="E1031" s="25"/>
      <c r="F1031" s="26"/>
      <c r="G1031" s="27"/>
      <c r="H1031" s="20"/>
      <c r="I1031" s="21"/>
      <c r="J1031" s="28"/>
      <c r="K1031" s="19"/>
    </row>
    <row r="1032" spans="1:11" ht="13.2">
      <c r="A1032" s="22"/>
      <c r="B1032" s="16"/>
      <c r="C1032" s="23"/>
      <c r="D1032" s="24"/>
      <c r="E1032" s="25"/>
      <c r="F1032" s="26"/>
      <c r="G1032" s="27"/>
      <c r="H1032" s="20"/>
      <c r="I1032" s="21"/>
      <c r="J1032" s="28"/>
      <c r="K1032" s="19"/>
    </row>
    <row r="1033" spans="1:11" ht="13.2">
      <c r="A1033" s="22"/>
      <c r="B1033" s="16"/>
      <c r="C1033" s="23"/>
      <c r="D1033" s="24"/>
      <c r="E1033" s="25"/>
      <c r="F1033" s="26"/>
      <c r="G1033" s="27"/>
      <c r="H1033" s="20"/>
      <c r="I1033" s="21"/>
      <c r="J1033" s="28"/>
      <c r="K1033" s="19"/>
    </row>
    <row r="1034" spans="1:11" ht="13.2">
      <c r="A1034" s="22"/>
      <c r="B1034" s="16"/>
      <c r="C1034" s="23"/>
      <c r="D1034" s="24"/>
      <c r="E1034" s="25"/>
      <c r="F1034" s="26"/>
      <c r="G1034" s="27"/>
      <c r="H1034" s="20"/>
      <c r="I1034" s="21"/>
      <c r="J1034" s="28"/>
      <c r="K1034" s="19"/>
    </row>
    <row r="1035" spans="1:11" ht="13.2">
      <c r="A1035" s="22"/>
      <c r="B1035" s="16"/>
      <c r="C1035" s="23"/>
      <c r="D1035" s="24"/>
      <c r="E1035" s="25"/>
      <c r="F1035" s="26"/>
      <c r="G1035" s="27"/>
      <c r="H1035" s="20"/>
      <c r="I1035" s="21"/>
      <c r="J1035" s="28"/>
      <c r="K1035" s="19"/>
    </row>
    <row r="1036" spans="1:11" ht="13.2">
      <c r="A1036" s="22"/>
      <c r="B1036" s="16"/>
      <c r="C1036" s="23"/>
      <c r="D1036" s="24"/>
      <c r="E1036" s="25"/>
      <c r="F1036" s="26"/>
      <c r="G1036" s="27"/>
      <c r="H1036" s="20"/>
      <c r="I1036" s="21"/>
      <c r="J1036" s="28"/>
      <c r="K1036" s="19"/>
    </row>
    <row r="1037" spans="1:11" ht="13.2">
      <c r="A1037" s="22"/>
      <c r="B1037" s="16"/>
      <c r="C1037" s="23"/>
      <c r="D1037" s="24"/>
      <c r="E1037" s="25"/>
      <c r="F1037" s="26"/>
      <c r="G1037" s="27"/>
      <c r="H1037" s="20"/>
      <c r="I1037" s="21"/>
      <c r="J1037" s="28"/>
      <c r="K1037" s="19"/>
    </row>
    <row r="1038" spans="1:11" ht="13.2">
      <c r="A1038" s="22"/>
      <c r="B1038" s="16"/>
      <c r="C1038" s="23"/>
      <c r="D1038" s="24"/>
      <c r="E1038" s="25"/>
      <c r="F1038" s="26"/>
      <c r="G1038" s="27"/>
      <c r="H1038" s="20"/>
      <c r="I1038" s="21"/>
      <c r="J1038" s="28"/>
      <c r="K1038" s="19"/>
    </row>
    <row r="1039" spans="1:11" ht="13.2">
      <c r="A1039" s="22"/>
      <c r="B1039" s="16"/>
      <c r="C1039" s="23"/>
      <c r="D1039" s="24"/>
      <c r="E1039" s="25"/>
      <c r="F1039" s="26"/>
      <c r="G1039" s="27"/>
      <c r="H1039" s="20"/>
      <c r="I1039" s="21"/>
      <c r="J1039" s="28"/>
      <c r="K1039" s="19"/>
    </row>
    <row r="1040" spans="1:11" ht="13.2">
      <c r="A1040" s="22"/>
      <c r="B1040" s="16"/>
      <c r="C1040" s="23"/>
      <c r="D1040" s="24"/>
      <c r="E1040" s="25"/>
      <c r="F1040" s="26"/>
      <c r="G1040" s="27"/>
      <c r="H1040" s="20"/>
      <c r="I1040" s="21"/>
      <c r="J1040" s="28"/>
      <c r="K1040" s="19"/>
    </row>
    <row r="1041" spans="1:11" ht="13.2">
      <c r="A1041" s="22"/>
      <c r="B1041" s="16"/>
      <c r="C1041" s="23"/>
      <c r="D1041" s="24"/>
      <c r="E1041" s="25"/>
      <c r="F1041" s="26"/>
      <c r="G1041" s="27"/>
      <c r="H1041" s="20"/>
      <c r="I1041" s="21"/>
      <c r="J1041" s="28"/>
      <c r="K1041" s="19"/>
    </row>
    <row r="1042" spans="1:11" ht="13.2">
      <c r="A1042" s="22"/>
      <c r="B1042" s="16"/>
      <c r="C1042" s="23"/>
      <c r="D1042" s="24"/>
      <c r="E1042" s="25"/>
      <c r="F1042" s="26"/>
      <c r="G1042" s="27"/>
      <c r="H1042" s="20"/>
      <c r="I1042" s="21"/>
      <c r="J1042" s="28"/>
      <c r="K1042" s="19"/>
    </row>
    <row r="1043" spans="1:11" ht="13.2">
      <c r="A1043" s="22"/>
      <c r="B1043" s="16"/>
      <c r="C1043" s="23"/>
      <c r="D1043" s="24"/>
      <c r="E1043" s="25"/>
      <c r="F1043" s="26"/>
      <c r="G1043" s="27"/>
      <c r="H1043" s="20"/>
      <c r="I1043" s="21"/>
      <c r="J1043" s="28"/>
      <c r="K1043" s="19"/>
    </row>
    <row r="1044" spans="1:11" ht="13.2">
      <c r="A1044" s="22"/>
      <c r="B1044" s="16"/>
      <c r="C1044" s="23"/>
      <c r="D1044" s="24"/>
      <c r="E1044" s="25"/>
      <c r="F1044" s="26"/>
      <c r="G1044" s="27"/>
      <c r="H1044" s="20"/>
      <c r="I1044" s="21"/>
      <c r="J1044" s="28"/>
      <c r="K1044" s="19"/>
    </row>
    <row r="1045" spans="1:11" ht="13.2">
      <c r="A1045" s="22"/>
      <c r="B1045" s="16"/>
      <c r="C1045" s="23"/>
      <c r="D1045" s="24"/>
      <c r="E1045" s="25"/>
      <c r="F1045" s="26"/>
      <c r="G1045" s="27"/>
      <c r="H1045" s="20"/>
      <c r="I1045" s="21"/>
      <c r="J1045" s="28"/>
      <c r="K1045" s="19"/>
    </row>
    <row r="1046" spans="1:11" ht="13.2">
      <c r="A1046" s="22"/>
      <c r="B1046" s="16"/>
      <c r="C1046" s="23"/>
      <c r="D1046" s="24"/>
      <c r="E1046" s="25"/>
      <c r="F1046" s="26"/>
      <c r="G1046" s="27"/>
      <c r="H1046" s="20"/>
      <c r="I1046" s="21"/>
      <c r="J1046" s="28"/>
      <c r="K1046" s="19"/>
    </row>
    <row r="1047" spans="1:11" ht="13.2">
      <c r="A1047" s="22"/>
      <c r="B1047" s="16"/>
      <c r="C1047" s="23"/>
      <c r="D1047" s="24"/>
      <c r="E1047" s="25"/>
      <c r="F1047" s="26"/>
      <c r="G1047" s="27"/>
      <c r="H1047" s="20"/>
      <c r="I1047" s="21"/>
      <c r="J1047" s="28"/>
      <c r="K1047" s="19"/>
    </row>
    <row r="1048" spans="1:11" ht="13.2">
      <c r="A1048" s="22"/>
      <c r="B1048" s="16"/>
      <c r="C1048" s="23"/>
      <c r="D1048" s="24"/>
      <c r="E1048" s="25"/>
      <c r="F1048" s="26"/>
      <c r="G1048" s="27"/>
      <c r="H1048" s="20"/>
      <c r="I1048" s="21"/>
      <c r="J1048" s="28"/>
      <c r="K1048" s="19"/>
    </row>
    <row r="1049" spans="1:11" ht="13.2">
      <c r="A1049" s="22"/>
      <c r="B1049" s="16"/>
      <c r="C1049" s="23"/>
      <c r="D1049" s="24"/>
      <c r="E1049" s="25"/>
      <c r="F1049" s="26"/>
      <c r="G1049" s="27"/>
      <c r="H1049" s="20"/>
      <c r="I1049" s="21"/>
      <c r="J1049" s="28"/>
      <c r="K1049" s="19"/>
    </row>
    <row r="1050" spans="1:11" ht="13.2">
      <c r="A1050" s="22"/>
      <c r="B1050" s="16"/>
      <c r="C1050" s="23"/>
      <c r="D1050" s="24"/>
      <c r="E1050" s="25"/>
      <c r="F1050" s="26"/>
      <c r="G1050" s="27"/>
      <c r="H1050" s="20"/>
      <c r="I1050" s="21"/>
      <c r="J1050" s="28"/>
      <c r="K1050" s="19"/>
    </row>
    <row r="1051" spans="1:11" ht="13.2">
      <c r="A1051" s="22"/>
      <c r="B1051" s="16"/>
      <c r="C1051" s="23"/>
      <c r="D1051" s="24"/>
      <c r="E1051" s="25"/>
      <c r="F1051" s="26"/>
      <c r="G1051" s="27"/>
      <c r="H1051" s="20"/>
      <c r="I1051" s="21"/>
      <c r="J1051" s="28"/>
      <c r="K1051" s="19"/>
    </row>
    <row r="1052" spans="1:11" ht="13.2">
      <c r="A1052" s="22"/>
      <c r="B1052" s="16"/>
      <c r="C1052" s="23"/>
      <c r="D1052" s="24"/>
      <c r="E1052" s="25"/>
      <c r="F1052" s="26"/>
      <c r="G1052" s="27"/>
      <c r="H1052" s="20"/>
      <c r="I1052" s="21"/>
      <c r="J1052" s="28"/>
      <c r="K1052" s="19"/>
    </row>
    <row r="1053" spans="1:11" ht="13.2">
      <c r="A1053" s="22"/>
      <c r="B1053" s="16"/>
      <c r="C1053" s="23"/>
      <c r="D1053" s="24"/>
      <c r="E1053" s="25"/>
      <c r="F1053" s="26"/>
      <c r="G1053" s="27"/>
      <c r="H1053" s="20"/>
      <c r="I1053" s="21"/>
      <c r="J1053" s="28"/>
      <c r="K1053" s="19"/>
    </row>
    <row r="1054" spans="1:11" ht="13.2">
      <c r="A1054" s="22"/>
      <c r="B1054" s="16"/>
      <c r="C1054" s="23"/>
      <c r="D1054" s="24"/>
      <c r="E1054" s="25"/>
      <c r="F1054" s="26"/>
      <c r="G1054" s="27"/>
      <c r="H1054" s="20"/>
      <c r="I1054" s="21"/>
      <c r="J1054" s="28"/>
      <c r="K1054" s="19"/>
    </row>
    <row r="1055" spans="1:11" ht="13.2">
      <c r="A1055" s="22"/>
      <c r="B1055" s="16"/>
      <c r="C1055" s="23"/>
      <c r="D1055" s="24"/>
      <c r="E1055" s="25"/>
      <c r="F1055" s="26"/>
      <c r="G1055" s="27"/>
      <c r="H1055" s="20"/>
      <c r="I1055" s="21"/>
      <c r="J1055" s="28"/>
      <c r="K1055" s="19"/>
    </row>
    <row r="1056" spans="1:11" ht="13.2">
      <c r="A1056" s="22"/>
      <c r="B1056" s="16"/>
      <c r="C1056" s="23"/>
      <c r="D1056" s="24"/>
      <c r="E1056" s="25"/>
      <c r="F1056" s="26"/>
      <c r="G1056" s="27"/>
      <c r="H1056" s="20"/>
      <c r="I1056" s="21"/>
      <c r="J1056" s="28"/>
      <c r="K1056" s="19"/>
    </row>
    <row r="1057" spans="1:11" ht="13.2">
      <c r="A1057" s="22"/>
      <c r="B1057" s="16"/>
      <c r="C1057" s="23"/>
      <c r="D1057" s="24"/>
      <c r="E1057" s="25"/>
      <c r="F1057" s="26"/>
      <c r="G1057" s="27"/>
      <c r="H1057" s="20"/>
      <c r="I1057" s="21"/>
      <c r="J1057" s="28"/>
      <c r="K1057" s="19"/>
    </row>
    <row r="1058" spans="1:11" ht="13.2">
      <c r="A1058" s="22"/>
      <c r="B1058" s="16"/>
      <c r="C1058" s="23"/>
      <c r="D1058" s="24"/>
      <c r="E1058" s="25"/>
      <c r="F1058" s="26"/>
      <c r="G1058" s="27"/>
      <c r="H1058" s="20"/>
      <c r="I1058" s="21"/>
      <c r="J1058" s="28"/>
      <c r="K1058" s="19"/>
    </row>
    <row r="1059" spans="1:11" ht="13.2">
      <c r="A1059" s="22"/>
      <c r="B1059" s="16"/>
      <c r="C1059" s="23"/>
      <c r="D1059" s="24"/>
      <c r="E1059" s="25"/>
      <c r="F1059" s="26"/>
      <c r="G1059" s="27"/>
      <c r="H1059" s="20"/>
      <c r="I1059" s="21"/>
      <c r="J1059" s="28"/>
      <c r="K1059" s="19"/>
    </row>
    <row r="1060" spans="1:11" ht="13.2">
      <c r="A1060" s="22"/>
      <c r="B1060" s="16"/>
      <c r="C1060" s="23"/>
      <c r="D1060" s="24"/>
      <c r="E1060" s="25"/>
      <c r="F1060" s="26"/>
      <c r="G1060" s="27"/>
      <c r="H1060" s="20"/>
      <c r="I1060" s="21"/>
      <c r="J1060" s="28"/>
      <c r="K1060" s="19"/>
    </row>
    <row r="1061" spans="1:11" ht="13.2">
      <c r="A1061" s="22"/>
      <c r="B1061" s="16"/>
      <c r="C1061" s="23"/>
      <c r="D1061" s="24"/>
      <c r="E1061" s="25"/>
      <c r="F1061" s="26"/>
      <c r="G1061" s="27"/>
      <c r="H1061" s="20"/>
      <c r="I1061" s="21"/>
      <c r="J1061" s="28"/>
      <c r="K1061" s="19"/>
    </row>
    <row r="1062" spans="1:11" ht="13.2">
      <c r="A1062" s="22"/>
      <c r="B1062" s="16"/>
      <c r="C1062" s="23"/>
      <c r="D1062" s="24"/>
      <c r="E1062" s="25"/>
      <c r="F1062" s="26"/>
      <c r="G1062" s="27"/>
      <c r="H1062" s="20"/>
      <c r="I1062" s="21"/>
      <c r="J1062" s="28"/>
      <c r="K1062" s="19"/>
    </row>
    <row r="1063" spans="1:11" ht="13.2">
      <c r="A1063" s="22"/>
      <c r="B1063" s="16"/>
      <c r="C1063" s="23"/>
      <c r="D1063" s="24"/>
      <c r="E1063" s="25"/>
      <c r="F1063" s="26"/>
      <c r="G1063" s="27"/>
      <c r="H1063" s="20"/>
      <c r="I1063" s="21"/>
      <c r="J1063" s="28"/>
      <c r="K1063" s="19"/>
    </row>
    <row r="1064" spans="1:11" ht="13.2">
      <c r="A1064" s="22"/>
      <c r="B1064" s="16"/>
      <c r="C1064" s="23"/>
      <c r="D1064" s="24"/>
      <c r="E1064" s="25"/>
      <c r="F1064" s="26"/>
      <c r="G1064" s="27"/>
      <c r="H1064" s="20"/>
      <c r="I1064" s="21"/>
      <c r="J1064" s="28"/>
      <c r="K1064" s="19"/>
    </row>
    <row r="1065" spans="1:11" ht="13.2">
      <c r="A1065" s="22"/>
      <c r="B1065" s="16"/>
      <c r="C1065" s="23"/>
      <c r="D1065" s="24"/>
      <c r="E1065" s="25"/>
      <c r="F1065" s="26"/>
      <c r="G1065" s="27"/>
      <c r="H1065" s="20"/>
      <c r="I1065" s="21"/>
      <c r="J1065" s="28"/>
      <c r="K1065" s="19"/>
    </row>
    <row r="1066" spans="1:11" ht="13.2">
      <c r="A1066" s="22"/>
      <c r="B1066" s="16"/>
      <c r="C1066" s="23"/>
      <c r="D1066" s="24"/>
      <c r="E1066" s="25"/>
      <c r="F1066" s="26"/>
      <c r="G1066" s="27"/>
      <c r="H1066" s="20"/>
      <c r="I1066" s="21"/>
      <c r="J1066" s="28"/>
      <c r="K1066" s="19"/>
    </row>
    <row r="1067" spans="1:11" ht="13.2">
      <c r="A1067" s="22"/>
      <c r="B1067" s="16"/>
      <c r="C1067" s="23"/>
      <c r="D1067" s="24"/>
      <c r="E1067" s="25"/>
      <c r="F1067" s="26"/>
      <c r="G1067" s="27"/>
      <c r="H1067" s="20"/>
      <c r="I1067" s="21"/>
      <c r="J1067" s="28"/>
      <c r="K1067" s="19"/>
    </row>
    <row r="1068" spans="1:11" ht="13.2">
      <c r="A1068" s="22"/>
      <c r="B1068" s="16"/>
      <c r="C1068" s="23"/>
      <c r="D1068" s="24"/>
      <c r="E1068" s="25"/>
      <c r="F1068" s="26"/>
      <c r="G1068" s="27"/>
      <c r="H1068" s="20"/>
      <c r="I1068" s="21"/>
      <c r="J1068" s="28"/>
      <c r="K1068" s="19"/>
    </row>
    <row r="1069" spans="1:11" ht="13.2">
      <c r="A1069" s="22"/>
      <c r="B1069" s="16"/>
      <c r="C1069" s="23"/>
      <c r="D1069" s="24"/>
      <c r="E1069" s="25"/>
      <c r="F1069" s="26"/>
      <c r="G1069" s="27"/>
      <c r="H1069" s="20"/>
      <c r="I1069" s="21"/>
      <c r="J1069" s="28"/>
      <c r="K1069" s="19"/>
    </row>
    <row r="1070" spans="1:11" ht="13.2">
      <c r="A1070" s="22"/>
      <c r="B1070" s="16"/>
      <c r="C1070" s="23"/>
      <c r="D1070" s="24"/>
      <c r="E1070" s="25"/>
      <c r="F1070" s="26"/>
      <c r="G1070" s="27"/>
      <c r="H1070" s="20"/>
      <c r="I1070" s="21"/>
      <c r="J1070" s="28"/>
      <c r="K1070" s="19"/>
    </row>
    <row r="1071" spans="1:11" ht="13.2">
      <c r="A1071" s="22"/>
      <c r="B1071" s="16"/>
      <c r="C1071" s="23"/>
      <c r="D1071" s="24"/>
      <c r="E1071" s="25"/>
      <c r="F1071" s="26"/>
      <c r="G1071" s="27"/>
      <c r="H1071" s="20"/>
      <c r="I1071" s="21"/>
      <c r="J1071" s="28"/>
      <c r="K1071" s="19"/>
    </row>
    <row r="1072" spans="1:11" ht="13.2">
      <c r="A1072" s="22"/>
      <c r="B1072" s="16"/>
      <c r="C1072" s="23"/>
      <c r="D1072" s="24"/>
      <c r="E1072" s="25"/>
      <c r="F1072" s="26"/>
      <c r="G1072" s="27"/>
      <c r="H1072" s="20"/>
      <c r="I1072" s="21"/>
      <c r="J1072" s="28"/>
      <c r="K1072" s="19"/>
    </row>
    <row r="1073" spans="1:11" ht="13.2">
      <c r="A1073" s="22"/>
      <c r="B1073" s="16"/>
      <c r="C1073" s="23"/>
      <c r="D1073" s="24"/>
      <c r="E1073" s="25"/>
      <c r="F1073" s="26"/>
      <c r="G1073" s="27"/>
      <c r="H1073" s="20"/>
      <c r="I1073" s="21"/>
      <c r="J1073" s="28"/>
      <c r="K1073" s="19"/>
    </row>
    <row r="1074" spans="1:11" ht="13.2">
      <c r="A1074" s="22"/>
      <c r="B1074" s="16"/>
      <c r="C1074" s="23"/>
      <c r="D1074" s="24"/>
      <c r="E1074" s="25"/>
      <c r="F1074" s="26"/>
      <c r="G1074" s="27"/>
      <c r="H1074" s="20"/>
      <c r="I1074" s="21"/>
      <c r="J1074" s="28"/>
      <c r="K1074" s="19"/>
    </row>
    <row r="1075" spans="1:11" ht="13.2">
      <c r="A1075" s="22"/>
      <c r="B1075" s="16"/>
      <c r="C1075" s="23"/>
      <c r="D1075" s="24"/>
      <c r="E1075" s="25"/>
      <c r="F1075" s="26"/>
      <c r="G1075" s="27"/>
      <c r="H1075" s="20"/>
      <c r="I1075" s="21"/>
      <c r="J1075" s="28"/>
      <c r="K1075" s="19"/>
    </row>
    <row r="1076" spans="1:11" ht="13.2">
      <c r="A1076" s="22"/>
      <c r="B1076" s="16"/>
      <c r="C1076" s="23"/>
      <c r="D1076" s="24"/>
      <c r="E1076" s="25"/>
      <c r="F1076" s="26"/>
      <c r="G1076" s="27"/>
      <c r="H1076" s="20"/>
      <c r="I1076" s="21"/>
      <c r="J1076" s="28"/>
      <c r="K1076" s="19"/>
    </row>
    <row r="1077" spans="1:11" ht="13.2">
      <c r="A1077" s="22"/>
      <c r="B1077" s="16"/>
      <c r="C1077" s="23"/>
      <c r="D1077" s="24"/>
      <c r="E1077" s="25"/>
      <c r="F1077" s="26"/>
      <c r="G1077" s="27"/>
      <c r="H1077" s="20"/>
      <c r="I1077" s="21"/>
      <c r="J1077" s="28"/>
      <c r="K1077" s="19"/>
    </row>
    <row r="1078" spans="1:11" ht="13.2">
      <c r="A1078" s="22"/>
      <c r="B1078" s="16"/>
      <c r="C1078" s="23"/>
      <c r="D1078" s="24"/>
      <c r="E1078" s="25"/>
      <c r="F1078" s="26"/>
      <c r="G1078" s="27"/>
      <c r="H1078" s="20"/>
      <c r="I1078" s="21"/>
      <c r="J1078" s="28"/>
      <c r="K1078" s="19"/>
    </row>
    <row r="1079" spans="1:11" ht="13.2">
      <c r="A1079" s="22"/>
      <c r="B1079" s="16"/>
      <c r="C1079" s="23"/>
      <c r="D1079" s="24"/>
      <c r="E1079" s="25"/>
      <c r="F1079" s="26"/>
      <c r="G1079" s="27"/>
      <c r="H1079" s="20"/>
      <c r="I1079" s="21"/>
      <c r="J1079" s="28"/>
      <c r="K1079" s="19"/>
    </row>
    <row r="1080" spans="1:11" ht="13.2">
      <c r="A1080" s="22"/>
      <c r="B1080" s="16"/>
      <c r="C1080" s="23"/>
      <c r="D1080" s="24"/>
      <c r="E1080" s="25"/>
      <c r="F1080" s="26"/>
      <c r="G1080" s="27"/>
      <c r="H1080" s="20"/>
      <c r="I1080" s="21"/>
      <c r="J1080" s="28"/>
      <c r="K1080" s="19"/>
    </row>
    <row r="1081" spans="1:11" ht="13.2">
      <c r="A1081" s="22"/>
      <c r="B1081" s="16"/>
      <c r="C1081" s="23"/>
      <c r="D1081" s="24"/>
      <c r="E1081" s="25"/>
      <c r="F1081" s="26"/>
      <c r="G1081" s="27"/>
      <c r="H1081" s="20"/>
      <c r="I1081" s="21"/>
      <c r="J1081" s="28"/>
      <c r="K1081" s="19"/>
    </row>
    <row r="1082" spans="1:11" ht="13.2">
      <c r="A1082" s="22"/>
      <c r="B1082" s="16"/>
      <c r="C1082" s="23"/>
      <c r="D1082" s="24"/>
      <c r="E1082" s="25"/>
      <c r="F1082" s="26"/>
      <c r="G1082" s="27"/>
      <c r="H1082" s="20"/>
      <c r="I1082" s="21"/>
      <c r="J1082" s="28"/>
      <c r="K1082" s="19"/>
    </row>
    <row r="1083" spans="1:11" ht="13.2">
      <c r="A1083" s="22"/>
      <c r="B1083" s="16"/>
      <c r="C1083" s="23"/>
      <c r="D1083" s="24"/>
      <c r="E1083" s="25"/>
      <c r="F1083" s="26"/>
      <c r="G1083" s="27"/>
      <c r="H1083" s="20"/>
      <c r="I1083" s="21"/>
      <c r="J1083" s="28"/>
      <c r="K1083" s="19"/>
    </row>
    <row r="1084" spans="1:11" ht="13.2">
      <c r="A1084" s="22"/>
      <c r="B1084" s="16"/>
      <c r="C1084" s="23"/>
      <c r="D1084" s="24"/>
      <c r="E1084" s="25"/>
      <c r="F1084" s="26"/>
      <c r="G1084" s="27"/>
      <c r="H1084" s="20"/>
      <c r="I1084" s="21"/>
      <c r="J1084" s="28"/>
      <c r="K1084" s="19"/>
    </row>
    <row r="1085" spans="1:11" ht="13.2">
      <c r="A1085" s="22"/>
      <c r="B1085" s="16"/>
      <c r="C1085" s="23"/>
      <c r="D1085" s="24"/>
      <c r="E1085" s="25"/>
      <c r="F1085" s="26"/>
      <c r="G1085" s="27"/>
      <c r="H1085" s="20"/>
      <c r="I1085" s="21"/>
      <c r="J1085" s="28"/>
      <c r="K1085" s="19"/>
    </row>
    <row r="1086" spans="1:11" ht="13.2">
      <c r="A1086" s="22"/>
      <c r="B1086" s="16"/>
      <c r="C1086" s="23"/>
      <c r="D1086" s="24"/>
      <c r="E1086" s="25"/>
      <c r="F1086" s="26"/>
      <c r="G1086" s="27"/>
      <c r="H1086" s="20"/>
      <c r="I1086" s="21"/>
      <c r="J1086" s="28"/>
      <c r="K1086" s="19"/>
    </row>
    <row r="1087" spans="1:11" ht="13.2">
      <c r="A1087" s="22"/>
      <c r="B1087" s="16"/>
      <c r="C1087" s="23"/>
      <c r="D1087" s="24"/>
      <c r="E1087" s="25"/>
      <c r="F1087" s="26"/>
      <c r="G1087" s="27"/>
      <c r="H1087" s="20"/>
      <c r="I1087" s="21"/>
      <c r="J1087" s="28"/>
      <c r="K1087" s="19"/>
    </row>
    <row r="1088" spans="1:11" ht="13.2">
      <c r="A1088" s="22"/>
      <c r="B1088" s="16"/>
      <c r="C1088" s="23"/>
      <c r="D1088" s="24"/>
      <c r="E1088" s="25"/>
      <c r="F1088" s="26"/>
      <c r="G1088" s="27"/>
      <c r="H1088" s="20"/>
      <c r="I1088" s="21"/>
      <c r="J1088" s="28"/>
      <c r="K1088" s="19"/>
    </row>
    <row r="1089" spans="1:11" ht="13.2">
      <c r="A1089" s="22"/>
      <c r="B1089" s="16"/>
      <c r="C1089" s="23"/>
      <c r="D1089" s="24"/>
      <c r="E1089" s="25"/>
      <c r="F1089" s="26"/>
      <c r="G1089" s="27"/>
      <c r="H1089" s="20"/>
      <c r="I1089" s="21"/>
      <c r="J1089" s="28"/>
      <c r="K1089" s="19"/>
    </row>
    <row r="1090" spans="1:11" ht="13.2">
      <c r="A1090" s="22"/>
      <c r="B1090" s="16"/>
      <c r="C1090" s="23"/>
      <c r="D1090" s="24"/>
      <c r="E1090" s="25"/>
      <c r="F1090" s="26"/>
      <c r="G1090" s="27"/>
      <c r="H1090" s="20"/>
      <c r="I1090" s="21"/>
      <c r="J1090" s="28"/>
      <c r="K1090" s="19"/>
    </row>
    <row r="1091" spans="1:11" ht="13.2">
      <c r="A1091" s="22"/>
      <c r="B1091" s="16"/>
      <c r="C1091" s="23"/>
      <c r="D1091" s="24"/>
      <c r="E1091" s="25"/>
      <c r="F1091" s="26"/>
      <c r="G1091" s="27"/>
      <c r="H1091" s="20"/>
      <c r="I1091" s="21"/>
      <c r="J1091" s="28"/>
      <c r="K1091" s="19"/>
    </row>
    <row r="1092" spans="1:11" ht="13.2">
      <c r="A1092" s="22"/>
      <c r="B1092" s="16"/>
      <c r="C1092" s="23"/>
      <c r="D1092" s="24"/>
      <c r="E1092" s="25"/>
      <c r="F1092" s="26"/>
      <c r="G1092" s="27"/>
      <c r="H1092" s="20"/>
      <c r="I1092" s="21"/>
      <c r="J1092" s="28"/>
      <c r="K1092" s="19"/>
    </row>
    <row r="1093" spans="1:11" ht="13.2">
      <c r="A1093" s="22"/>
      <c r="B1093" s="16"/>
      <c r="C1093" s="23"/>
      <c r="D1093" s="24"/>
      <c r="E1093" s="25"/>
      <c r="F1093" s="26"/>
      <c r="G1093" s="27"/>
      <c r="H1093" s="20"/>
      <c r="I1093" s="21"/>
      <c r="J1093" s="28"/>
      <c r="K1093" s="19"/>
    </row>
    <row r="1094" spans="1:11" ht="13.2">
      <c r="A1094" s="22"/>
      <c r="B1094" s="16"/>
      <c r="C1094" s="23"/>
      <c r="D1094" s="24"/>
      <c r="E1094" s="25"/>
      <c r="F1094" s="26"/>
      <c r="G1094" s="27"/>
      <c r="H1094" s="20"/>
      <c r="I1094" s="21"/>
      <c r="J1094" s="28"/>
      <c r="K1094" s="19"/>
    </row>
    <row r="1095" spans="1:11" ht="13.2">
      <c r="A1095" s="22"/>
      <c r="B1095" s="16"/>
      <c r="C1095" s="23"/>
      <c r="D1095" s="24"/>
      <c r="E1095" s="25"/>
      <c r="F1095" s="26"/>
      <c r="G1095" s="27"/>
      <c r="H1095" s="20"/>
      <c r="I1095" s="21"/>
      <c r="J1095" s="28"/>
      <c r="K1095" s="19"/>
    </row>
    <row r="1096" spans="1:11" ht="13.2">
      <c r="A1096" s="22"/>
      <c r="B1096" s="16"/>
      <c r="C1096" s="23"/>
      <c r="D1096" s="24"/>
      <c r="E1096" s="25"/>
      <c r="F1096" s="26"/>
      <c r="G1096" s="27"/>
      <c r="H1096" s="20"/>
      <c r="I1096" s="21"/>
      <c r="J1096" s="28"/>
      <c r="K1096" s="19"/>
    </row>
    <row r="1097" spans="1:11" ht="13.2">
      <c r="A1097" s="22"/>
      <c r="B1097" s="16"/>
      <c r="C1097" s="23"/>
      <c r="D1097" s="24"/>
      <c r="E1097" s="25"/>
      <c r="F1097" s="26"/>
      <c r="G1097" s="27"/>
      <c r="H1097" s="20"/>
      <c r="I1097" s="21"/>
      <c r="J1097" s="28"/>
      <c r="K1097" s="19"/>
    </row>
    <row r="1098" spans="1:11" ht="13.2">
      <c r="A1098" s="22"/>
      <c r="B1098" s="16"/>
      <c r="C1098" s="23"/>
      <c r="D1098" s="24"/>
      <c r="E1098" s="25"/>
      <c r="F1098" s="26"/>
      <c r="G1098" s="27"/>
      <c r="H1098" s="20"/>
      <c r="I1098" s="21"/>
      <c r="J1098" s="28"/>
      <c r="K1098" s="19"/>
    </row>
    <row r="1099" spans="1:11" ht="13.2">
      <c r="A1099" s="22"/>
      <c r="B1099" s="16"/>
      <c r="C1099" s="23"/>
      <c r="D1099" s="24"/>
      <c r="E1099" s="25"/>
      <c r="F1099" s="26"/>
      <c r="G1099" s="27"/>
      <c r="H1099" s="20"/>
      <c r="I1099" s="21"/>
      <c r="J1099" s="28"/>
      <c r="K1099" s="19"/>
    </row>
    <row r="1100" spans="1:11" ht="13.2">
      <c r="A1100" s="22"/>
      <c r="B1100" s="16"/>
      <c r="C1100" s="23"/>
      <c r="D1100" s="24"/>
      <c r="E1100" s="25"/>
      <c r="F1100" s="26"/>
      <c r="G1100" s="27"/>
      <c r="H1100" s="20"/>
      <c r="I1100" s="21"/>
      <c r="J1100" s="28"/>
      <c r="K1100" s="19"/>
    </row>
    <row r="1101" spans="1:11" ht="13.2">
      <c r="A1101" s="22"/>
      <c r="B1101" s="16"/>
      <c r="C1101" s="23"/>
      <c r="D1101" s="24"/>
      <c r="E1101" s="25"/>
      <c r="F1101" s="26"/>
      <c r="G1101" s="27"/>
      <c r="H1101" s="20"/>
      <c r="I1101" s="21"/>
      <c r="J1101" s="28"/>
      <c r="K1101" s="19"/>
    </row>
    <row r="1102" spans="1:11" ht="13.2">
      <c r="A1102" s="22"/>
      <c r="B1102" s="16"/>
      <c r="C1102" s="23"/>
      <c r="D1102" s="24"/>
      <c r="E1102" s="25"/>
      <c r="F1102" s="26"/>
      <c r="G1102" s="27"/>
      <c r="H1102" s="20"/>
      <c r="I1102" s="21"/>
      <c r="J1102" s="28"/>
      <c r="K1102" s="19"/>
    </row>
    <row r="1103" spans="1:11" ht="13.2">
      <c r="A1103" s="22"/>
      <c r="B1103" s="16"/>
      <c r="C1103" s="23"/>
      <c r="D1103" s="24"/>
      <c r="E1103" s="25"/>
      <c r="F1103" s="26"/>
      <c r="G1103" s="27"/>
      <c r="H1103" s="20"/>
      <c r="I1103" s="21"/>
      <c r="J1103" s="28"/>
      <c r="K1103" s="19"/>
    </row>
    <row r="1104" spans="1:11" ht="13.2">
      <c r="A1104" s="22"/>
      <c r="B1104" s="16"/>
      <c r="C1104" s="23"/>
      <c r="D1104" s="24"/>
      <c r="E1104" s="25"/>
      <c r="F1104" s="26"/>
      <c r="G1104" s="27"/>
      <c r="H1104" s="20"/>
      <c r="I1104" s="21"/>
      <c r="J1104" s="28"/>
      <c r="K1104" s="19"/>
    </row>
    <row r="1105" spans="1:11" ht="13.2">
      <c r="A1105" s="22"/>
      <c r="B1105" s="16"/>
      <c r="C1105" s="23"/>
      <c r="D1105" s="24"/>
      <c r="E1105" s="25"/>
      <c r="F1105" s="26"/>
      <c r="G1105" s="27"/>
      <c r="H1105" s="20"/>
      <c r="I1105" s="21"/>
      <c r="J1105" s="28"/>
      <c r="K1105" s="19"/>
    </row>
    <row r="1106" spans="1:11" ht="13.2">
      <c r="A1106" s="22"/>
      <c r="B1106" s="16"/>
      <c r="C1106" s="23"/>
      <c r="D1106" s="24"/>
      <c r="E1106" s="25"/>
      <c r="F1106" s="26"/>
      <c r="G1106" s="27"/>
      <c r="H1106" s="20"/>
      <c r="I1106" s="21"/>
      <c r="J1106" s="28"/>
      <c r="K1106" s="19"/>
    </row>
    <row r="1107" spans="1:11" ht="13.2">
      <c r="A1107" s="22"/>
      <c r="B1107" s="16"/>
      <c r="C1107" s="23"/>
      <c r="D1107" s="24"/>
      <c r="E1107" s="25"/>
      <c r="F1107" s="26"/>
      <c r="G1107" s="27"/>
      <c r="H1107" s="20"/>
      <c r="I1107" s="21"/>
      <c r="J1107" s="28"/>
      <c r="K1107" s="19"/>
    </row>
    <row r="1108" spans="1:11" ht="13.2">
      <c r="A1108" s="22"/>
      <c r="B1108" s="16"/>
      <c r="C1108" s="23"/>
      <c r="D1108" s="24"/>
      <c r="E1108" s="25"/>
      <c r="F1108" s="26"/>
      <c r="G1108" s="27"/>
      <c r="H1108" s="20"/>
      <c r="I1108" s="21"/>
      <c r="J1108" s="28"/>
      <c r="K1108" s="19"/>
    </row>
    <row r="1109" spans="1:11" ht="13.2">
      <c r="A1109" s="22"/>
      <c r="B1109" s="16"/>
      <c r="C1109" s="23"/>
      <c r="D1109" s="24"/>
      <c r="E1109" s="25"/>
      <c r="F1109" s="26"/>
      <c r="G1109" s="27"/>
      <c r="H1109" s="20"/>
      <c r="I1109" s="21"/>
      <c r="J1109" s="28"/>
      <c r="K1109" s="19"/>
    </row>
    <row r="1110" spans="1:11" ht="13.2">
      <c r="A1110" s="22"/>
      <c r="B1110" s="16"/>
      <c r="C1110" s="23"/>
      <c r="D1110" s="24"/>
      <c r="E1110" s="25"/>
      <c r="F1110" s="26"/>
      <c r="G1110" s="27"/>
      <c r="H1110" s="20"/>
      <c r="I1110" s="21"/>
      <c r="J1110" s="28"/>
      <c r="K1110" s="19"/>
    </row>
    <row r="1111" spans="1:11" ht="13.2">
      <c r="A1111" s="22"/>
      <c r="B1111" s="16"/>
      <c r="C1111" s="23"/>
      <c r="D1111" s="24"/>
      <c r="E1111" s="25"/>
      <c r="F1111" s="26"/>
      <c r="G1111" s="27"/>
      <c r="H1111" s="20"/>
      <c r="I1111" s="21"/>
      <c r="J1111" s="28"/>
      <c r="K1111" s="19"/>
    </row>
    <row r="1112" spans="1:11" ht="13.2">
      <c r="A1112" s="22"/>
      <c r="B1112" s="16"/>
      <c r="C1112" s="23"/>
      <c r="D1112" s="24"/>
      <c r="E1112" s="25"/>
      <c r="F1112" s="26"/>
      <c r="G1112" s="27"/>
      <c r="H1112" s="20"/>
      <c r="I1112" s="21"/>
      <c r="J1112" s="28"/>
      <c r="K1112" s="19"/>
    </row>
    <row r="1113" spans="1:11" ht="13.2">
      <c r="A1113" s="22"/>
      <c r="B1113" s="16"/>
      <c r="C1113" s="23"/>
      <c r="D1113" s="24"/>
      <c r="E1113" s="25"/>
      <c r="F1113" s="26"/>
      <c r="G1113" s="27"/>
      <c r="H1113" s="20"/>
      <c r="I1113" s="21"/>
      <c r="J1113" s="28"/>
      <c r="K1113" s="19"/>
    </row>
    <row r="1114" spans="1:11" ht="13.2">
      <c r="A1114" s="22"/>
      <c r="B1114" s="16"/>
      <c r="C1114" s="23"/>
      <c r="D1114" s="24"/>
      <c r="E1114" s="25"/>
      <c r="F1114" s="26"/>
      <c r="G1114" s="27"/>
      <c r="H1114" s="20"/>
      <c r="I1114" s="21"/>
      <c r="J1114" s="28"/>
      <c r="K1114" s="19"/>
    </row>
    <row r="1115" spans="1:11" ht="13.2">
      <c r="A1115" s="22"/>
      <c r="B1115" s="16"/>
      <c r="C1115" s="23"/>
      <c r="D1115" s="24"/>
      <c r="E1115" s="25"/>
      <c r="F1115" s="26"/>
      <c r="G1115" s="27"/>
      <c r="H1115" s="20"/>
      <c r="I1115" s="21"/>
      <c r="J1115" s="28"/>
      <c r="K1115" s="19"/>
    </row>
    <row r="1116" spans="1:11" ht="13.2">
      <c r="A1116" s="22"/>
      <c r="B1116" s="16"/>
      <c r="C1116" s="23"/>
      <c r="D1116" s="24"/>
      <c r="E1116" s="25"/>
      <c r="F1116" s="26"/>
      <c r="G1116" s="27"/>
      <c r="H1116" s="20"/>
      <c r="I1116" s="21"/>
      <c r="J1116" s="28"/>
      <c r="K1116" s="19"/>
    </row>
    <row r="1117" spans="1:11" ht="13.2">
      <c r="A1117" s="22"/>
      <c r="B1117" s="16"/>
      <c r="C1117" s="23"/>
      <c r="D1117" s="24"/>
      <c r="E1117" s="25"/>
      <c r="F1117" s="26"/>
      <c r="G1117" s="27"/>
      <c r="H1117" s="20"/>
      <c r="I1117" s="21"/>
      <c r="J1117" s="28"/>
      <c r="K1117" s="19"/>
    </row>
    <row r="1118" spans="1:11" ht="13.2">
      <c r="A1118" s="22"/>
      <c r="B1118" s="16"/>
      <c r="C1118" s="23"/>
      <c r="D1118" s="24"/>
      <c r="E1118" s="25"/>
      <c r="F1118" s="26"/>
      <c r="G1118" s="27"/>
      <c r="H1118" s="20"/>
      <c r="I1118" s="21"/>
      <c r="J1118" s="28"/>
      <c r="K1118" s="19"/>
    </row>
    <row r="1119" spans="1:11" ht="13.2">
      <c r="A1119" s="22"/>
      <c r="B1119" s="16"/>
      <c r="C1119" s="23"/>
      <c r="D1119" s="24"/>
      <c r="E1119" s="25"/>
      <c r="F1119" s="26"/>
      <c r="G1119" s="27"/>
      <c r="H1119" s="20"/>
      <c r="I1119" s="21"/>
      <c r="J1119" s="28"/>
      <c r="K1119" s="19"/>
    </row>
    <row r="1120" spans="1:11" ht="13.2">
      <c r="A1120" s="22"/>
      <c r="B1120" s="16"/>
      <c r="C1120" s="23"/>
      <c r="D1120" s="24"/>
      <c r="E1120" s="25"/>
      <c r="F1120" s="26"/>
      <c r="G1120" s="27"/>
      <c r="H1120" s="20"/>
      <c r="I1120" s="21"/>
      <c r="J1120" s="28"/>
      <c r="K1120" s="19"/>
    </row>
    <row r="1121" spans="1:11" ht="13.2">
      <c r="A1121" s="22"/>
      <c r="B1121" s="16"/>
      <c r="C1121" s="23"/>
      <c r="D1121" s="24"/>
      <c r="E1121" s="25"/>
      <c r="F1121" s="26"/>
      <c r="G1121" s="27"/>
      <c r="H1121" s="20"/>
      <c r="I1121" s="21"/>
      <c r="J1121" s="28"/>
      <c r="K1121" s="19"/>
    </row>
    <row r="1122" spans="1:11" ht="13.2">
      <c r="A1122" s="22"/>
      <c r="B1122" s="16"/>
      <c r="C1122" s="23"/>
      <c r="D1122" s="24"/>
      <c r="E1122" s="25"/>
      <c r="F1122" s="26"/>
      <c r="G1122" s="27"/>
      <c r="H1122" s="20"/>
      <c r="I1122" s="21"/>
      <c r="J1122" s="28"/>
      <c r="K1122" s="19"/>
    </row>
    <row r="1123" spans="1:11" ht="13.2">
      <c r="A1123" s="22"/>
      <c r="B1123" s="16"/>
      <c r="C1123" s="23"/>
      <c r="D1123" s="24"/>
      <c r="E1123" s="25"/>
      <c r="F1123" s="26"/>
      <c r="G1123" s="27"/>
      <c r="H1123" s="20"/>
      <c r="I1123" s="21"/>
      <c r="J1123" s="28"/>
      <c r="K1123" s="19"/>
    </row>
    <row r="1124" spans="1:11" ht="13.2">
      <c r="A1124" s="22"/>
      <c r="B1124" s="16"/>
      <c r="C1124" s="23"/>
      <c r="D1124" s="24"/>
      <c r="E1124" s="25"/>
      <c r="F1124" s="26"/>
      <c r="G1124" s="27"/>
      <c r="H1124" s="20"/>
      <c r="I1124" s="21"/>
      <c r="J1124" s="28"/>
      <c r="K1124" s="19"/>
    </row>
    <row r="1125" spans="1:11" ht="13.2">
      <c r="A1125" s="22"/>
      <c r="B1125" s="16"/>
      <c r="C1125" s="23"/>
      <c r="D1125" s="24"/>
      <c r="E1125" s="25"/>
      <c r="F1125" s="26"/>
      <c r="G1125" s="27"/>
      <c r="H1125" s="20"/>
      <c r="I1125" s="21"/>
      <c r="J1125" s="28"/>
      <c r="K1125" s="19"/>
    </row>
    <row r="1126" spans="1:11" ht="13.2">
      <c r="A1126" s="22"/>
      <c r="B1126" s="16"/>
      <c r="C1126" s="23"/>
      <c r="D1126" s="24"/>
      <c r="E1126" s="25"/>
      <c r="F1126" s="26"/>
      <c r="G1126" s="27"/>
      <c r="H1126" s="20"/>
      <c r="I1126" s="21"/>
      <c r="J1126" s="28"/>
      <c r="K1126" s="19"/>
    </row>
    <row r="1127" spans="1:11" ht="13.2">
      <c r="A1127" s="22"/>
      <c r="B1127" s="16"/>
      <c r="C1127" s="23"/>
      <c r="D1127" s="24"/>
      <c r="E1127" s="25"/>
      <c r="F1127" s="26"/>
      <c r="G1127" s="27"/>
      <c r="H1127" s="20"/>
      <c r="I1127" s="21"/>
      <c r="J1127" s="28"/>
      <c r="K1127" s="19"/>
    </row>
    <row r="1128" spans="1:11" ht="13.2">
      <c r="A1128" s="22"/>
      <c r="B1128" s="16"/>
      <c r="C1128" s="23"/>
      <c r="D1128" s="24"/>
      <c r="E1128" s="25"/>
      <c r="F1128" s="26"/>
      <c r="G1128" s="27"/>
      <c r="H1128" s="20"/>
      <c r="I1128" s="21"/>
      <c r="J1128" s="28"/>
      <c r="K1128" s="19"/>
    </row>
    <row r="1129" spans="1:11" ht="13.2">
      <c r="A1129" s="22"/>
      <c r="B1129" s="16"/>
      <c r="C1129" s="23"/>
      <c r="D1129" s="24"/>
      <c r="E1129" s="25"/>
      <c r="F1129" s="26"/>
      <c r="G1129" s="27"/>
      <c r="H1129" s="20"/>
      <c r="I1129" s="21"/>
      <c r="J1129" s="28"/>
      <c r="K1129" s="19"/>
    </row>
    <row r="1130" spans="1:11" ht="13.2">
      <c r="A1130" s="22"/>
      <c r="B1130" s="16"/>
      <c r="C1130" s="23"/>
      <c r="D1130" s="24"/>
      <c r="E1130" s="25"/>
      <c r="F1130" s="26"/>
      <c r="G1130" s="27"/>
      <c r="H1130" s="20"/>
      <c r="I1130" s="21"/>
      <c r="J1130" s="28"/>
      <c r="K1130" s="19"/>
    </row>
    <row r="1131" spans="1:11" ht="13.2">
      <c r="A1131" s="22"/>
      <c r="B1131" s="16"/>
      <c r="C1131" s="23"/>
      <c r="D1131" s="24"/>
      <c r="E1131" s="25"/>
      <c r="F1131" s="26"/>
      <c r="G1131" s="27"/>
      <c r="H1131" s="20"/>
      <c r="I1131" s="21"/>
      <c r="J1131" s="28"/>
      <c r="K1131" s="19"/>
    </row>
    <row r="1132" spans="1:11" ht="13.2">
      <c r="A1132" s="22"/>
      <c r="B1132" s="16"/>
      <c r="C1132" s="23"/>
      <c r="D1132" s="24"/>
      <c r="E1132" s="25"/>
      <c r="F1132" s="26"/>
      <c r="G1132" s="27"/>
      <c r="H1132" s="20"/>
      <c r="I1132" s="21"/>
      <c r="J1132" s="28"/>
      <c r="K1132" s="19"/>
    </row>
    <row r="1133" spans="1:11" ht="13.2">
      <c r="A1133" s="22"/>
      <c r="B1133" s="16"/>
      <c r="C1133" s="23"/>
      <c r="D1133" s="24"/>
      <c r="E1133" s="25"/>
      <c r="F1133" s="26"/>
      <c r="G1133" s="27"/>
      <c r="H1133" s="20"/>
      <c r="I1133" s="21"/>
      <c r="J1133" s="28"/>
      <c r="K1133" s="19"/>
    </row>
    <row r="1134" spans="1:11" ht="13.2">
      <c r="A1134" s="22"/>
      <c r="B1134" s="16"/>
      <c r="C1134" s="23"/>
      <c r="D1134" s="24"/>
      <c r="E1134" s="25"/>
      <c r="F1134" s="26"/>
      <c r="G1134" s="27"/>
      <c r="H1134" s="20"/>
      <c r="I1134" s="21"/>
      <c r="J1134" s="28"/>
      <c r="K1134" s="19"/>
    </row>
    <row r="1135" spans="1:11" ht="13.2">
      <c r="A1135" s="22"/>
      <c r="B1135" s="16"/>
      <c r="C1135" s="23"/>
      <c r="D1135" s="24"/>
      <c r="E1135" s="25"/>
      <c r="F1135" s="26"/>
      <c r="G1135" s="27"/>
      <c r="H1135" s="20"/>
      <c r="I1135" s="21"/>
      <c r="J1135" s="28"/>
      <c r="K1135" s="19"/>
    </row>
    <row r="1136" spans="1:11" ht="13.2">
      <c r="A1136" s="22"/>
      <c r="B1136" s="16"/>
      <c r="C1136" s="23"/>
      <c r="D1136" s="24"/>
      <c r="E1136" s="25"/>
      <c r="F1136" s="26"/>
      <c r="G1136" s="27"/>
      <c r="H1136" s="20"/>
      <c r="I1136" s="21"/>
      <c r="J1136" s="28"/>
      <c r="K1136" s="19"/>
    </row>
    <row r="1137" spans="1:11" ht="13.2">
      <c r="A1137" s="22"/>
      <c r="B1137" s="16"/>
      <c r="C1137" s="23"/>
      <c r="D1137" s="24"/>
      <c r="E1137" s="25"/>
      <c r="F1137" s="26"/>
      <c r="G1137" s="27"/>
      <c r="H1137" s="20"/>
      <c r="I1137" s="21"/>
      <c r="J1137" s="28"/>
      <c r="K1137" s="19"/>
    </row>
    <row r="1138" spans="1:11" ht="13.2">
      <c r="A1138" s="22"/>
      <c r="B1138" s="16"/>
      <c r="C1138" s="23"/>
      <c r="D1138" s="24"/>
      <c r="E1138" s="25"/>
      <c r="F1138" s="26"/>
      <c r="G1138" s="27"/>
      <c r="H1138" s="20"/>
      <c r="I1138" s="21"/>
      <c r="J1138" s="28"/>
      <c r="K1138" s="19"/>
    </row>
    <row r="1139" spans="1:11" ht="13.2">
      <c r="A1139" s="22"/>
      <c r="B1139" s="16"/>
      <c r="C1139" s="23"/>
      <c r="D1139" s="24"/>
      <c r="E1139" s="25"/>
      <c r="F1139" s="26"/>
      <c r="G1139" s="27"/>
      <c r="H1139" s="20"/>
      <c r="I1139" s="21"/>
      <c r="J1139" s="28"/>
      <c r="K1139" s="19"/>
    </row>
    <row r="1140" spans="1:11" ht="13.2">
      <c r="A1140" s="22"/>
      <c r="B1140" s="16"/>
      <c r="C1140" s="23"/>
      <c r="D1140" s="24"/>
      <c r="E1140" s="25"/>
      <c r="F1140" s="26"/>
      <c r="G1140" s="27"/>
      <c r="H1140" s="20"/>
      <c r="I1140" s="21"/>
      <c r="J1140" s="28"/>
      <c r="K1140" s="19"/>
    </row>
    <row r="1141" spans="1:11" ht="13.2">
      <c r="A1141" s="22"/>
      <c r="B1141" s="16"/>
      <c r="C1141" s="23"/>
      <c r="D1141" s="24"/>
      <c r="E1141" s="25"/>
      <c r="F1141" s="26"/>
      <c r="G1141" s="27"/>
      <c r="H1141" s="20"/>
      <c r="I1141" s="21"/>
      <c r="J1141" s="28"/>
      <c r="K1141" s="19"/>
    </row>
    <row r="1142" spans="1:11" ht="13.2">
      <c r="A1142" s="22"/>
      <c r="B1142" s="16"/>
      <c r="C1142" s="23"/>
      <c r="D1142" s="24"/>
      <c r="E1142" s="25"/>
      <c r="F1142" s="26"/>
      <c r="G1142" s="27"/>
      <c r="H1142" s="20"/>
      <c r="I1142" s="21"/>
      <c r="J1142" s="28"/>
      <c r="K1142" s="19"/>
    </row>
    <row r="1143" spans="1:11" ht="13.2">
      <c r="A1143" s="22"/>
      <c r="B1143" s="16"/>
      <c r="C1143" s="23"/>
      <c r="D1143" s="24"/>
      <c r="E1143" s="25"/>
      <c r="F1143" s="26"/>
      <c r="G1143" s="27"/>
      <c r="H1143" s="20"/>
      <c r="I1143" s="21"/>
      <c r="J1143" s="28"/>
      <c r="K1143" s="19"/>
    </row>
    <row r="1144" spans="1:11" ht="13.2">
      <c r="A1144" s="22"/>
      <c r="B1144" s="16"/>
      <c r="C1144" s="23"/>
      <c r="D1144" s="24"/>
      <c r="E1144" s="25"/>
      <c r="F1144" s="26"/>
      <c r="G1144" s="27"/>
      <c r="H1144" s="20"/>
      <c r="I1144" s="21"/>
      <c r="J1144" s="28"/>
      <c r="K1144" s="19"/>
    </row>
    <row r="1145" spans="1:11" ht="13.2">
      <c r="A1145" s="22"/>
      <c r="B1145" s="16"/>
      <c r="C1145" s="23"/>
      <c r="D1145" s="24"/>
      <c r="E1145" s="25"/>
      <c r="F1145" s="26"/>
      <c r="G1145" s="27"/>
      <c r="H1145" s="20"/>
      <c r="I1145" s="21"/>
      <c r="J1145" s="28"/>
      <c r="K1145" s="19"/>
    </row>
    <row r="1146" spans="1:11" ht="13.2">
      <c r="A1146" s="22"/>
      <c r="B1146" s="16"/>
      <c r="C1146" s="23"/>
      <c r="D1146" s="24"/>
      <c r="E1146" s="25"/>
      <c r="F1146" s="26"/>
      <c r="G1146" s="27"/>
      <c r="H1146" s="20"/>
      <c r="I1146" s="21"/>
      <c r="J1146" s="28"/>
      <c r="K1146" s="19"/>
    </row>
    <row r="1147" spans="1:11" ht="13.2">
      <c r="A1147" s="22"/>
      <c r="B1147" s="16"/>
      <c r="C1147" s="23"/>
      <c r="D1147" s="24"/>
      <c r="E1147" s="25"/>
      <c r="F1147" s="26"/>
      <c r="G1147" s="27"/>
      <c r="H1147" s="20"/>
      <c r="I1147" s="21"/>
      <c r="J1147" s="28"/>
      <c r="K1147" s="19"/>
    </row>
    <row r="1148" spans="1:11" ht="13.2">
      <c r="A1148" s="22"/>
      <c r="B1148" s="16"/>
      <c r="C1148" s="23"/>
      <c r="D1148" s="24"/>
      <c r="E1148" s="25"/>
      <c r="F1148" s="26"/>
      <c r="G1148" s="27"/>
      <c r="H1148" s="20"/>
      <c r="I1148" s="21"/>
      <c r="J1148" s="28"/>
      <c r="K1148" s="19"/>
    </row>
    <row r="1149" spans="1:11" ht="13.2">
      <c r="A1149" s="22"/>
      <c r="B1149" s="16"/>
      <c r="C1149" s="23"/>
      <c r="D1149" s="24"/>
      <c r="E1149" s="25"/>
      <c r="F1149" s="26"/>
      <c r="G1149" s="27"/>
      <c r="H1149" s="20"/>
      <c r="I1149" s="21"/>
      <c r="J1149" s="28"/>
      <c r="K1149" s="19"/>
    </row>
    <row r="1150" spans="1:11" ht="13.2">
      <c r="A1150" s="22"/>
      <c r="B1150" s="16"/>
      <c r="C1150" s="23"/>
      <c r="D1150" s="24"/>
      <c r="E1150" s="25"/>
      <c r="F1150" s="26"/>
      <c r="G1150" s="27"/>
      <c r="H1150" s="20"/>
      <c r="I1150" s="21"/>
      <c r="J1150" s="28"/>
      <c r="K1150" s="19"/>
    </row>
    <row r="1151" spans="1:11" ht="13.2">
      <c r="A1151" s="22"/>
      <c r="B1151" s="16"/>
      <c r="C1151" s="23"/>
      <c r="D1151" s="24"/>
      <c r="E1151" s="25"/>
      <c r="F1151" s="26"/>
      <c r="G1151" s="27"/>
      <c r="H1151" s="20"/>
      <c r="I1151" s="21"/>
      <c r="J1151" s="28"/>
      <c r="K1151" s="19"/>
    </row>
    <row r="1152" spans="1:11" ht="13.2">
      <c r="A1152" s="22"/>
      <c r="B1152" s="16"/>
      <c r="C1152" s="23"/>
      <c r="D1152" s="24"/>
      <c r="E1152" s="25"/>
      <c r="F1152" s="26"/>
      <c r="G1152" s="27"/>
      <c r="H1152" s="20"/>
      <c r="I1152" s="21"/>
      <c r="J1152" s="28"/>
      <c r="K1152" s="19"/>
    </row>
    <row r="1153" spans="1:11" ht="13.2">
      <c r="A1153" s="22"/>
      <c r="B1153" s="16"/>
      <c r="C1153" s="23"/>
      <c r="D1153" s="24"/>
      <c r="E1153" s="25"/>
      <c r="F1153" s="26"/>
      <c r="G1153" s="27"/>
      <c r="H1153" s="20"/>
      <c r="I1153" s="21"/>
      <c r="J1153" s="28"/>
      <c r="K1153" s="19"/>
    </row>
    <row r="1154" spans="1:11" ht="13.2">
      <c r="A1154" s="22"/>
      <c r="B1154" s="16"/>
      <c r="C1154" s="23"/>
      <c r="D1154" s="24"/>
      <c r="E1154" s="25"/>
      <c r="F1154" s="26"/>
      <c r="G1154" s="27"/>
      <c r="H1154" s="20"/>
      <c r="I1154" s="21"/>
      <c r="J1154" s="28"/>
      <c r="K1154" s="19"/>
    </row>
    <row r="1155" spans="1:11" ht="13.2">
      <c r="A1155" s="22"/>
      <c r="B1155" s="16"/>
      <c r="C1155" s="23"/>
      <c r="D1155" s="24"/>
      <c r="E1155" s="25"/>
      <c r="F1155" s="26"/>
      <c r="G1155" s="27"/>
      <c r="H1155" s="20"/>
      <c r="I1155" s="21"/>
      <c r="J1155" s="28"/>
      <c r="K1155" s="19"/>
    </row>
    <row r="1156" spans="1:11" ht="13.2">
      <c r="A1156" s="22"/>
      <c r="B1156" s="16"/>
      <c r="C1156" s="23"/>
      <c r="D1156" s="24"/>
      <c r="E1156" s="25"/>
      <c r="F1156" s="26"/>
      <c r="G1156" s="27"/>
      <c r="H1156" s="20"/>
      <c r="I1156" s="21"/>
      <c r="J1156" s="28"/>
      <c r="K1156" s="19"/>
    </row>
    <row r="1157" spans="1:11" ht="13.2">
      <c r="A1157" s="22"/>
      <c r="B1157" s="16"/>
      <c r="C1157" s="23"/>
      <c r="D1157" s="24"/>
      <c r="E1157" s="25"/>
      <c r="F1157" s="26"/>
      <c r="G1157" s="27"/>
      <c r="H1157" s="20"/>
      <c r="I1157" s="21"/>
      <c r="J1157" s="28"/>
      <c r="K1157" s="19"/>
    </row>
    <row r="1158" spans="1:11" ht="13.2">
      <c r="A1158" s="22"/>
      <c r="B1158" s="16"/>
      <c r="C1158" s="23"/>
      <c r="D1158" s="24"/>
      <c r="E1158" s="25"/>
      <c r="F1158" s="26"/>
      <c r="G1158" s="27"/>
      <c r="H1158" s="20"/>
      <c r="I1158" s="21"/>
      <c r="J1158" s="28"/>
      <c r="K1158" s="19"/>
    </row>
    <row r="1159" spans="1:11" ht="13.2">
      <c r="A1159" s="22"/>
      <c r="B1159" s="16"/>
      <c r="C1159" s="23"/>
      <c r="D1159" s="24"/>
      <c r="E1159" s="25"/>
      <c r="F1159" s="26"/>
      <c r="G1159" s="27"/>
      <c r="H1159" s="20"/>
      <c r="I1159" s="21"/>
      <c r="J1159" s="28"/>
      <c r="K1159" s="19"/>
    </row>
    <row r="1160" spans="1:11" ht="13.2">
      <c r="A1160" s="22"/>
      <c r="B1160" s="16"/>
      <c r="C1160" s="23"/>
      <c r="D1160" s="24"/>
      <c r="E1160" s="25"/>
      <c r="F1160" s="26"/>
      <c r="G1160" s="27"/>
      <c r="H1160" s="20"/>
      <c r="I1160" s="21"/>
      <c r="J1160" s="28"/>
      <c r="K1160" s="19"/>
    </row>
    <row r="1161" spans="1:11" ht="13.2">
      <c r="A1161" s="22"/>
      <c r="B1161" s="16"/>
      <c r="C1161" s="23"/>
      <c r="D1161" s="24"/>
      <c r="E1161" s="25"/>
      <c r="F1161" s="26"/>
      <c r="G1161" s="27"/>
      <c r="H1161" s="20"/>
      <c r="I1161" s="21"/>
      <c r="J1161" s="28"/>
      <c r="K1161" s="19"/>
    </row>
    <row r="1162" spans="1:11" ht="13.2">
      <c r="A1162" s="22"/>
      <c r="B1162" s="16"/>
      <c r="C1162" s="23"/>
      <c r="D1162" s="24"/>
      <c r="E1162" s="25"/>
      <c r="F1162" s="26"/>
      <c r="G1162" s="27"/>
      <c r="H1162" s="20"/>
      <c r="I1162" s="21"/>
      <c r="J1162" s="28"/>
      <c r="K1162" s="19"/>
    </row>
    <row r="1163" spans="1:11" ht="13.2">
      <c r="A1163" s="22"/>
      <c r="B1163" s="16"/>
      <c r="C1163" s="23"/>
      <c r="D1163" s="24"/>
      <c r="E1163" s="25"/>
      <c r="F1163" s="26"/>
      <c r="G1163" s="27"/>
      <c r="H1163" s="20"/>
      <c r="I1163" s="21"/>
      <c r="J1163" s="28"/>
      <c r="K1163" s="19"/>
    </row>
    <row r="1164" spans="1:11" ht="13.2">
      <c r="A1164" s="22"/>
      <c r="B1164" s="16"/>
      <c r="C1164" s="23"/>
      <c r="D1164" s="24"/>
      <c r="E1164" s="25"/>
      <c r="F1164" s="26"/>
      <c r="G1164" s="27"/>
      <c r="H1164" s="20"/>
      <c r="I1164" s="21"/>
      <c r="J1164" s="28"/>
      <c r="K1164" s="19"/>
    </row>
    <row r="1165" spans="1:11" ht="13.2">
      <c r="A1165" s="22"/>
      <c r="B1165" s="16"/>
      <c r="C1165" s="23"/>
      <c r="D1165" s="24"/>
      <c r="E1165" s="25"/>
      <c r="F1165" s="26"/>
      <c r="G1165" s="27"/>
      <c r="H1165" s="20"/>
      <c r="I1165" s="21"/>
      <c r="J1165" s="28"/>
      <c r="K1165" s="19"/>
    </row>
    <row r="1166" spans="1:11" ht="13.2">
      <c r="A1166" s="22"/>
      <c r="B1166" s="16"/>
      <c r="C1166" s="23"/>
      <c r="D1166" s="24"/>
      <c r="E1166" s="25"/>
      <c r="F1166" s="26"/>
      <c r="G1166" s="27"/>
      <c r="H1166" s="20"/>
      <c r="I1166" s="21"/>
      <c r="J1166" s="28"/>
      <c r="K1166" s="19"/>
    </row>
    <row r="1167" spans="1:11" ht="13.2">
      <c r="A1167" s="22"/>
      <c r="B1167" s="16"/>
      <c r="C1167" s="23"/>
      <c r="D1167" s="24"/>
      <c r="E1167" s="25"/>
      <c r="F1167" s="26"/>
      <c r="G1167" s="27"/>
      <c r="H1167" s="20"/>
      <c r="I1167" s="21"/>
      <c r="J1167" s="28"/>
      <c r="K1167" s="19"/>
    </row>
    <row r="1168" spans="1:11" ht="13.2">
      <c r="A1168" s="22"/>
      <c r="B1168" s="16"/>
      <c r="C1168" s="23"/>
      <c r="D1168" s="24"/>
      <c r="E1168" s="25"/>
      <c r="F1168" s="26"/>
      <c r="G1168" s="27"/>
      <c r="H1168" s="20"/>
      <c r="I1168" s="21"/>
      <c r="J1168" s="28"/>
      <c r="K1168" s="19"/>
    </row>
    <row r="1169" spans="1:11" ht="13.2">
      <c r="A1169" s="22"/>
      <c r="B1169" s="16"/>
      <c r="C1169" s="23"/>
      <c r="D1169" s="24"/>
      <c r="E1169" s="25"/>
      <c r="F1169" s="26"/>
      <c r="G1169" s="27"/>
      <c r="H1169" s="20"/>
      <c r="I1169" s="21"/>
      <c r="J1169" s="28"/>
      <c r="K1169" s="19"/>
    </row>
    <row r="1170" spans="1:11" ht="13.2">
      <c r="A1170" s="22"/>
      <c r="B1170" s="16"/>
      <c r="C1170" s="23"/>
      <c r="D1170" s="24"/>
      <c r="E1170" s="25"/>
      <c r="F1170" s="26"/>
      <c r="G1170" s="27"/>
      <c r="H1170" s="20"/>
      <c r="I1170" s="21"/>
      <c r="J1170" s="28"/>
      <c r="K1170" s="19"/>
    </row>
    <row r="1171" spans="1:11" ht="13.2">
      <c r="A1171" s="22"/>
      <c r="B1171" s="16"/>
      <c r="C1171" s="23"/>
      <c r="D1171" s="24"/>
      <c r="E1171" s="25"/>
      <c r="F1171" s="26"/>
      <c r="G1171" s="27"/>
      <c r="H1171" s="20"/>
      <c r="I1171" s="21"/>
      <c r="J1171" s="28"/>
      <c r="K1171" s="19"/>
    </row>
    <row r="1172" spans="1:11" ht="13.2">
      <c r="A1172" s="22"/>
      <c r="B1172" s="16"/>
      <c r="C1172" s="23"/>
      <c r="D1172" s="24"/>
      <c r="E1172" s="25"/>
      <c r="F1172" s="26"/>
      <c r="G1172" s="27"/>
      <c r="H1172" s="20"/>
      <c r="I1172" s="21"/>
      <c r="J1172" s="28"/>
      <c r="K1172" s="19"/>
    </row>
    <row r="1173" spans="1:11" ht="13.2">
      <c r="A1173" s="22"/>
      <c r="B1173" s="16"/>
      <c r="C1173" s="23"/>
      <c r="D1173" s="24"/>
      <c r="E1173" s="25"/>
      <c r="F1173" s="26"/>
      <c r="G1173" s="27"/>
      <c r="H1173" s="20"/>
      <c r="I1173" s="21"/>
      <c r="J1173" s="28"/>
      <c r="K1173" s="19"/>
    </row>
    <row r="1174" spans="1:11" ht="13.2">
      <c r="A1174" s="22"/>
      <c r="B1174" s="16"/>
      <c r="C1174" s="23"/>
      <c r="D1174" s="24"/>
      <c r="E1174" s="25"/>
      <c r="F1174" s="26"/>
      <c r="G1174" s="27"/>
      <c r="H1174" s="20"/>
      <c r="I1174" s="21"/>
      <c r="J1174" s="28"/>
      <c r="K1174" s="19"/>
    </row>
    <row r="1175" spans="1:11" ht="13.2">
      <c r="A1175" s="22"/>
      <c r="B1175" s="16"/>
      <c r="C1175" s="23"/>
      <c r="D1175" s="24"/>
      <c r="E1175" s="25"/>
      <c r="F1175" s="26"/>
      <c r="G1175" s="27"/>
      <c r="H1175" s="20"/>
      <c r="I1175" s="21"/>
      <c r="J1175" s="28"/>
      <c r="K1175" s="19"/>
    </row>
    <row r="1176" spans="1:11" ht="13.2">
      <c r="A1176" s="22"/>
      <c r="B1176" s="16"/>
      <c r="C1176" s="23"/>
      <c r="D1176" s="24"/>
      <c r="E1176" s="25"/>
      <c r="F1176" s="26"/>
      <c r="G1176" s="27"/>
      <c r="H1176" s="20"/>
      <c r="I1176" s="21"/>
      <c r="J1176" s="28"/>
      <c r="K1176" s="19"/>
    </row>
    <row r="1177" spans="1:11" ht="13.2">
      <c r="A1177" s="22"/>
      <c r="B1177" s="16"/>
      <c r="C1177" s="23"/>
      <c r="D1177" s="24"/>
      <c r="E1177" s="25"/>
      <c r="F1177" s="26"/>
      <c r="G1177" s="27"/>
      <c r="H1177" s="20"/>
      <c r="I1177" s="21"/>
      <c r="J1177" s="28"/>
      <c r="K1177" s="19"/>
    </row>
    <row r="1178" spans="1:11" ht="13.2">
      <c r="A1178" s="22"/>
      <c r="B1178" s="16"/>
      <c r="C1178" s="23"/>
      <c r="D1178" s="24"/>
      <c r="E1178" s="25"/>
      <c r="F1178" s="26"/>
      <c r="G1178" s="27"/>
      <c r="H1178" s="20"/>
      <c r="I1178" s="21"/>
      <c r="J1178" s="28"/>
      <c r="K1178" s="19"/>
    </row>
    <row r="1179" spans="1:11" ht="13.2">
      <c r="A1179" s="22"/>
      <c r="B1179" s="16"/>
      <c r="C1179" s="23"/>
      <c r="D1179" s="24"/>
      <c r="E1179" s="25"/>
      <c r="F1179" s="26"/>
      <c r="G1179" s="27"/>
      <c r="H1179" s="20"/>
      <c r="I1179" s="21"/>
      <c r="J1179" s="28"/>
      <c r="K1179" s="19"/>
    </row>
    <row r="1180" spans="1:11" ht="13.2">
      <c r="A1180" s="22"/>
      <c r="B1180" s="16"/>
      <c r="C1180" s="23"/>
      <c r="D1180" s="24"/>
      <c r="E1180" s="25"/>
      <c r="F1180" s="26"/>
      <c r="G1180" s="27"/>
      <c r="H1180" s="20"/>
      <c r="I1180" s="21"/>
      <c r="J1180" s="28"/>
      <c r="K1180" s="19"/>
    </row>
    <row r="1181" spans="1:11" ht="13.2">
      <c r="A1181" s="22"/>
      <c r="B1181" s="16"/>
      <c r="C1181" s="23"/>
      <c r="D1181" s="24"/>
      <c r="E1181" s="25"/>
      <c r="F1181" s="26"/>
      <c r="G1181" s="27"/>
      <c r="H1181" s="20"/>
      <c r="I1181" s="21"/>
      <c r="J1181" s="28"/>
      <c r="K1181" s="19"/>
    </row>
    <row r="1182" spans="1:11" ht="13.2">
      <c r="A1182" s="22"/>
      <c r="B1182" s="16"/>
      <c r="C1182" s="23"/>
      <c r="D1182" s="24"/>
      <c r="E1182" s="25"/>
      <c r="F1182" s="26"/>
      <c r="G1182" s="27"/>
      <c r="H1182" s="20"/>
      <c r="I1182" s="21"/>
      <c r="J1182" s="28"/>
      <c r="K1182" s="19"/>
    </row>
    <row r="1183" spans="1:11" ht="13.2">
      <c r="A1183" s="22"/>
      <c r="B1183" s="16"/>
      <c r="C1183" s="23"/>
      <c r="D1183" s="24"/>
      <c r="E1183" s="25"/>
      <c r="F1183" s="26"/>
      <c r="G1183" s="27"/>
      <c r="H1183" s="20"/>
      <c r="I1183" s="21"/>
      <c r="J1183" s="28"/>
      <c r="K1183" s="19"/>
    </row>
    <row r="1184" spans="1:11" ht="13.2">
      <c r="A1184" s="22"/>
      <c r="B1184" s="16"/>
      <c r="C1184" s="23"/>
      <c r="D1184" s="24"/>
      <c r="E1184" s="25"/>
      <c r="F1184" s="26"/>
      <c r="G1184" s="27"/>
      <c r="H1184" s="20"/>
      <c r="I1184" s="21"/>
      <c r="J1184" s="28"/>
      <c r="K1184" s="19"/>
    </row>
    <row r="1185" spans="1:11" ht="13.2">
      <c r="A1185" s="22"/>
      <c r="B1185" s="16"/>
      <c r="C1185" s="23"/>
      <c r="D1185" s="24"/>
      <c r="E1185" s="25"/>
      <c r="F1185" s="26"/>
      <c r="G1185" s="27"/>
      <c r="H1185" s="20"/>
      <c r="I1185" s="21"/>
      <c r="J1185" s="28"/>
      <c r="K1185" s="19"/>
    </row>
    <row r="1186" spans="1:11" ht="13.2">
      <c r="A1186" s="22"/>
      <c r="B1186" s="16"/>
      <c r="C1186" s="23"/>
      <c r="D1186" s="24"/>
      <c r="E1186" s="25"/>
      <c r="F1186" s="26"/>
      <c r="G1186" s="27"/>
      <c r="H1186" s="20"/>
      <c r="I1186" s="21"/>
      <c r="J1186" s="28"/>
      <c r="K1186" s="19"/>
    </row>
    <row r="1187" spans="1:11" ht="13.2">
      <c r="A1187" s="22"/>
      <c r="B1187" s="16"/>
      <c r="C1187" s="23"/>
      <c r="D1187" s="24"/>
      <c r="E1187" s="25"/>
      <c r="F1187" s="26"/>
      <c r="G1187" s="27"/>
      <c r="H1187" s="20"/>
      <c r="I1187" s="21"/>
      <c r="J1187" s="28"/>
      <c r="K1187" s="19"/>
    </row>
    <row r="1188" spans="1:11" ht="13.2">
      <c r="A1188" s="22"/>
      <c r="B1188" s="16"/>
      <c r="C1188" s="23"/>
      <c r="D1188" s="24"/>
      <c r="E1188" s="25"/>
      <c r="F1188" s="26"/>
      <c r="G1188" s="27"/>
      <c r="H1188" s="20"/>
      <c r="I1188" s="21"/>
      <c r="J1188" s="28"/>
      <c r="K1188" s="19"/>
    </row>
    <row r="1189" spans="1:11" ht="13.2">
      <c r="A1189" s="22"/>
      <c r="B1189" s="16"/>
      <c r="C1189" s="23"/>
      <c r="D1189" s="24"/>
      <c r="E1189" s="25"/>
      <c r="F1189" s="26"/>
      <c r="G1189" s="27"/>
      <c r="H1189" s="20"/>
      <c r="I1189" s="21"/>
      <c r="J1189" s="28"/>
      <c r="K1189" s="19"/>
    </row>
    <row r="1190" spans="1:11" ht="13.2">
      <c r="A1190" s="22"/>
      <c r="B1190" s="16"/>
      <c r="C1190" s="23"/>
      <c r="D1190" s="24"/>
      <c r="E1190" s="25"/>
      <c r="F1190" s="26"/>
      <c r="G1190" s="27"/>
      <c r="H1190" s="20"/>
      <c r="I1190" s="21"/>
      <c r="J1190" s="28"/>
      <c r="K1190" s="19"/>
    </row>
    <row r="1191" spans="1:11" ht="13.2">
      <c r="A1191" s="22"/>
      <c r="B1191" s="16"/>
      <c r="C1191" s="23"/>
      <c r="D1191" s="24"/>
      <c r="E1191" s="25"/>
      <c r="F1191" s="26"/>
      <c r="G1191" s="27"/>
      <c r="H1191" s="20"/>
      <c r="I1191" s="21"/>
      <c r="J1191" s="28"/>
      <c r="K1191" s="19"/>
    </row>
    <row r="1192" spans="1:11" ht="13.2">
      <c r="A1192" s="22"/>
      <c r="B1192" s="16"/>
      <c r="C1192" s="23"/>
      <c r="D1192" s="24"/>
      <c r="E1192" s="25"/>
      <c r="F1192" s="26"/>
      <c r="G1192" s="27"/>
      <c r="H1192" s="20"/>
      <c r="I1192" s="21"/>
      <c r="J1192" s="28"/>
      <c r="K1192" s="19"/>
    </row>
    <row r="1193" spans="1:11" ht="13.2">
      <c r="A1193" s="22"/>
      <c r="B1193" s="16"/>
      <c r="C1193" s="23"/>
      <c r="D1193" s="24"/>
      <c r="E1193" s="25"/>
      <c r="F1193" s="26"/>
      <c r="G1193" s="27"/>
      <c r="H1193" s="20"/>
      <c r="I1193" s="21"/>
      <c r="J1193" s="28"/>
      <c r="K1193" s="19"/>
    </row>
    <row r="1194" spans="1:11" ht="13.2">
      <c r="A1194" s="22"/>
      <c r="B1194" s="16"/>
      <c r="C1194" s="23"/>
      <c r="D1194" s="24"/>
      <c r="E1194" s="25"/>
      <c r="F1194" s="26"/>
      <c r="G1194" s="27"/>
      <c r="H1194" s="20"/>
      <c r="I1194" s="21"/>
      <c r="J1194" s="28"/>
      <c r="K1194" s="19"/>
    </row>
    <row r="1195" spans="1:11" ht="13.2">
      <c r="A1195" s="22"/>
      <c r="B1195" s="16"/>
      <c r="C1195" s="23"/>
      <c r="D1195" s="24"/>
      <c r="E1195" s="25"/>
      <c r="F1195" s="26"/>
      <c r="G1195" s="27"/>
      <c r="H1195" s="20"/>
      <c r="I1195" s="21"/>
      <c r="J1195" s="28"/>
      <c r="K1195" s="19"/>
    </row>
    <row r="1196" spans="1:11" ht="13.2">
      <c r="A1196" s="22"/>
      <c r="B1196" s="16"/>
      <c r="C1196" s="23"/>
      <c r="D1196" s="24"/>
      <c r="E1196" s="25"/>
      <c r="F1196" s="26"/>
      <c r="G1196" s="27"/>
      <c r="H1196" s="20"/>
      <c r="I1196" s="21"/>
      <c r="J1196" s="28"/>
      <c r="K1196" s="19"/>
    </row>
    <row r="1197" spans="1:11" ht="13.2">
      <c r="A1197" s="22"/>
      <c r="B1197" s="16"/>
      <c r="C1197" s="23"/>
      <c r="D1197" s="24"/>
      <c r="E1197" s="25"/>
      <c r="F1197" s="26"/>
      <c r="G1197" s="27"/>
      <c r="H1197" s="20"/>
      <c r="I1197" s="21"/>
      <c r="J1197" s="28"/>
      <c r="K1197" s="19"/>
    </row>
    <row r="1198" spans="1:11" ht="13.2">
      <c r="A1198" s="22"/>
      <c r="B1198" s="16"/>
      <c r="C1198" s="23"/>
      <c r="D1198" s="24"/>
      <c r="E1198" s="25"/>
      <c r="F1198" s="26"/>
      <c r="G1198" s="27"/>
      <c r="H1198" s="20"/>
      <c r="I1198" s="21"/>
      <c r="J1198" s="28"/>
      <c r="K1198" s="19"/>
    </row>
    <row r="1199" spans="1:11" ht="13.2">
      <c r="A1199" s="22"/>
      <c r="B1199" s="16"/>
      <c r="C1199" s="23"/>
      <c r="D1199" s="24"/>
      <c r="E1199" s="25"/>
      <c r="F1199" s="26"/>
      <c r="G1199" s="27"/>
      <c r="H1199" s="20"/>
      <c r="I1199" s="21"/>
      <c r="J1199" s="28"/>
      <c r="K1199" s="19"/>
    </row>
    <row r="1200" spans="1:11" ht="13.2">
      <c r="A1200" s="22"/>
      <c r="B1200" s="16"/>
      <c r="C1200" s="23"/>
      <c r="D1200" s="24"/>
      <c r="E1200" s="25"/>
      <c r="F1200" s="26"/>
      <c r="G1200" s="27"/>
      <c r="H1200" s="20"/>
      <c r="I1200" s="21"/>
      <c r="J1200" s="28"/>
      <c r="K1200" s="19"/>
    </row>
    <row r="1201" spans="1:11" ht="13.2">
      <c r="A1201" s="22"/>
      <c r="B1201" s="16"/>
      <c r="C1201" s="23"/>
      <c r="D1201" s="24"/>
      <c r="E1201" s="25"/>
      <c r="F1201" s="26"/>
      <c r="G1201" s="27"/>
      <c r="H1201" s="20"/>
      <c r="I1201" s="21"/>
      <c r="J1201" s="28"/>
      <c r="K1201" s="19"/>
    </row>
    <row r="1202" spans="1:11" ht="13.2">
      <c r="A1202" s="22"/>
      <c r="B1202" s="16"/>
      <c r="C1202" s="23"/>
      <c r="D1202" s="24"/>
      <c r="E1202" s="25"/>
      <c r="F1202" s="26"/>
      <c r="G1202" s="27"/>
      <c r="H1202" s="20"/>
      <c r="I1202" s="21"/>
      <c r="J1202" s="28"/>
      <c r="K1202" s="19"/>
    </row>
    <row r="1203" spans="1:11" ht="13.2">
      <c r="A1203" s="22"/>
      <c r="B1203" s="16"/>
      <c r="C1203" s="23"/>
      <c r="D1203" s="24"/>
      <c r="E1203" s="25"/>
      <c r="F1203" s="26"/>
      <c r="G1203" s="27"/>
      <c r="H1203" s="20"/>
      <c r="I1203" s="21"/>
      <c r="J1203" s="28"/>
      <c r="K1203" s="19"/>
    </row>
    <row r="1204" spans="1:11" ht="13.2">
      <c r="A1204" s="22"/>
      <c r="B1204" s="16"/>
      <c r="C1204" s="23"/>
      <c r="D1204" s="24"/>
      <c r="E1204" s="25"/>
      <c r="F1204" s="26"/>
      <c r="G1204" s="27"/>
      <c r="H1204" s="20"/>
      <c r="I1204" s="21"/>
      <c r="J1204" s="28"/>
      <c r="K1204" s="19"/>
    </row>
    <row r="1205" spans="1:11" ht="13.2">
      <c r="A1205" s="22"/>
      <c r="B1205" s="16"/>
      <c r="C1205" s="23"/>
      <c r="D1205" s="24"/>
      <c r="E1205" s="25"/>
      <c r="F1205" s="26"/>
      <c r="G1205" s="27"/>
      <c r="H1205" s="20"/>
      <c r="I1205" s="21"/>
      <c r="J1205" s="28"/>
      <c r="K1205" s="19"/>
    </row>
    <row r="1206" spans="1:11" ht="13.2">
      <c r="A1206" s="22"/>
      <c r="B1206" s="16"/>
      <c r="C1206" s="23"/>
      <c r="D1206" s="24"/>
      <c r="E1206" s="25"/>
      <c r="F1206" s="26"/>
      <c r="G1206" s="27"/>
      <c r="H1206" s="20"/>
      <c r="I1206" s="21"/>
      <c r="J1206" s="28"/>
      <c r="K1206" s="19"/>
    </row>
    <row r="1207" spans="1:11" ht="13.2">
      <c r="A1207" s="22"/>
      <c r="B1207" s="16"/>
      <c r="C1207" s="23"/>
      <c r="D1207" s="24"/>
      <c r="E1207" s="25"/>
      <c r="F1207" s="26"/>
      <c r="G1207" s="27"/>
      <c r="H1207" s="20"/>
      <c r="I1207" s="21"/>
      <c r="J1207" s="28"/>
      <c r="K1207" s="19"/>
    </row>
    <row r="1208" spans="1:11" ht="13.2">
      <c r="A1208" s="22"/>
      <c r="B1208" s="16"/>
      <c r="C1208" s="23"/>
      <c r="D1208" s="24"/>
      <c r="E1208" s="25"/>
      <c r="F1208" s="26"/>
      <c r="G1208" s="27"/>
      <c r="H1208" s="20"/>
      <c r="I1208" s="21"/>
      <c r="J1208" s="28"/>
      <c r="K1208" s="19"/>
    </row>
    <row r="1209" spans="1:11" ht="13.2">
      <c r="A1209" s="22"/>
      <c r="B1209" s="16"/>
      <c r="C1209" s="23"/>
      <c r="D1209" s="24"/>
      <c r="E1209" s="25"/>
      <c r="F1209" s="26"/>
      <c r="G1209" s="27"/>
      <c r="H1209" s="20"/>
      <c r="I1209" s="21"/>
      <c r="J1209" s="28"/>
      <c r="K1209" s="19"/>
    </row>
    <row r="1210" spans="1:11" ht="13.2">
      <c r="A1210" s="22"/>
      <c r="B1210" s="16"/>
      <c r="C1210" s="23"/>
      <c r="D1210" s="24"/>
      <c r="E1210" s="25"/>
      <c r="F1210" s="26"/>
      <c r="G1210" s="27"/>
      <c r="H1210" s="20"/>
      <c r="I1210" s="21"/>
      <c r="J1210" s="28"/>
      <c r="K1210" s="19"/>
    </row>
    <row r="1211" spans="1:11" ht="13.2">
      <c r="A1211" s="22"/>
      <c r="B1211" s="16"/>
      <c r="C1211" s="23"/>
      <c r="D1211" s="24"/>
      <c r="E1211" s="25"/>
      <c r="F1211" s="26"/>
      <c r="G1211" s="27"/>
      <c r="H1211" s="20"/>
      <c r="I1211" s="21"/>
      <c r="J1211" s="28"/>
      <c r="K1211" s="19"/>
    </row>
    <row r="1212" spans="1:11" ht="13.2">
      <c r="A1212" s="22"/>
      <c r="B1212" s="16"/>
      <c r="C1212" s="23"/>
      <c r="D1212" s="24"/>
      <c r="E1212" s="25"/>
      <c r="F1212" s="26"/>
      <c r="G1212" s="27"/>
      <c r="H1212" s="20"/>
      <c r="I1212" s="21"/>
      <c r="J1212" s="28"/>
      <c r="K1212" s="19"/>
    </row>
    <row r="1213" spans="1:11" ht="13.2">
      <c r="A1213" s="22"/>
      <c r="B1213" s="16"/>
      <c r="C1213" s="23"/>
      <c r="D1213" s="24"/>
      <c r="E1213" s="25"/>
      <c r="F1213" s="26"/>
      <c r="G1213" s="27"/>
      <c r="H1213" s="20"/>
      <c r="I1213" s="21"/>
      <c r="J1213" s="28"/>
      <c r="K1213" s="19"/>
    </row>
    <row r="1214" spans="1:11" ht="13.2">
      <c r="A1214" s="22"/>
      <c r="B1214" s="16"/>
      <c r="C1214" s="23"/>
      <c r="D1214" s="24"/>
      <c r="E1214" s="25"/>
      <c r="F1214" s="26"/>
      <c r="G1214" s="27"/>
      <c r="H1214" s="20"/>
      <c r="I1214" s="21"/>
      <c r="J1214" s="28"/>
      <c r="K1214" s="19"/>
    </row>
    <row r="1215" spans="1:11" ht="13.2">
      <c r="A1215" s="22"/>
      <c r="B1215" s="16"/>
      <c r="C1215" s="23"/>
      <c r="D1215" s="24"/>
      <c r="E1215" s="25"/>
      <c r="F1215" s="26"/>
      <c r="G1215" s="27"/>
      <c r="H1215" s="20"/>
      <c r="I1215" s="21"/>
      <c r="J1215" s="28"/>
      <c r="K1215" s="19"/>
    </row>
    <row r="1216" spans="1:11" ht="13.2">
      <c r="A1216" s="22"/>
      <c r="B1216" s="16"/>
      <c r="C1216" s="23"/>
      <c r="D1216" s="24"/>
      <c r="E1216" s="25"/>
      <c r="F1216" s="26"/>
      <c r="G1216" s="27"/>
      <c r="H1216" s="20"/>
      <c r="I1216" s="21"/>
      <c r="J1216" s="28"/>
      <c r="K1216" s="19"/>
    </row>
    <row r="1217" spans="1:11" ht="13.2">
      <c r="A1217" s="22"/>
      <c r="B1217" s="16"/>
      <c r="C1217" s="23"/>
      <c r="D1217" s="24"/>
      <c r="E1217" s="25"/>
      <c r="F1217" s="26"/>
      <c r="G1217" s="27"/>
      <c r="H1217" s="20"/>
      <c r="I1217" s="21"/>
      <c r="J1217" s="28"/>
      <c r="K1217" s="19"/>
    </row>
    <row r="1218" spans="1:11" ht="13.2">
      <c r="A1218" s="22"/>
      <c r="B1218" s="16"/>
      <c r="C1218" s="23"/>
      <c r="D1218" s="24"/>
      <c r="E1218" s="25"/>
      <c r="F1218" s="26"/>
      <c r="G1218" s="27"/>
      <c r="H1218" s="20"/>
      <c r="I1218" s="21"/>
      <c r="J1218" s="28"/>
      <c r="K1218" s="19"/>
    </row>
    <row r="1219" spans="1:11" ht="13.2">
      <c r="A1219" s="22"/>
      <c r="B1219" s="16"/>
      <c r="C1219" s="23"/>
      <c r="D1219" s="24"/>
      <c r="E1219" s="25"/>
      <c r="F1219" s="26"/>
      <c r="G1219" s="27"/>
      <c r="H1219" s="20"/>
      <c r="I1219" s="21"/>
      <c r="J1219" s="28"/>
      <c r="K1219" s="19"/>
    </row>
    <row r="1220" spans="1:11" ht="13.2">
      <c r="A1220" s="22"/>
      <c r="B1220" s="16"/>
      <c r="C1220" s="23"/>
      <c r="D1220" s="24"/>
      <c r="E1220" s="25"/>
      <c r="F1220" s="26"/>
      <c r="G1220" s="27"/>
      <c r="H1220" s="20"/>
      <c r="I1220" s="21"/>
      <c r="J1220" s="28"/>
      <c r="K1220" s="19"/>
    </row>
    <row r="1221" spans="1:11" ht="13.2">
      <c r="A1221" s="22"/>
      <c r="B1221" s="16"/>
      <c r="C1221" s="23"/>
      <c r="D1221" s="24"/>
      <c r="E1221" s="25"/>
      <c r="F1221" s="26"/>
      <c r="G1221" s="27"/>
      <c r="H1221" s="20"/>
      <c r="I1221" s="21"/>
      <c r="J1221" s="28"/>
      <c r="K1221" s="19"/>
    </row>
    <row r="1222" spans="1:11" ht="13.2">
      <c r="A1222" s="22"/>
      <c r="B1222" s="16"/>
      <c r="C1222" s="23"/>
      <c r="D1222" s="24"/>
      <c r="E1222" s="25"/>
      <c r="F1222" s="26"/>
      <c r="G1222" s="27"/>
      <c r="H1222" s="20"/>
      <c r="I1222" s="21"/>
      <c r="J1222" s="28"/>
      <c r="K1222" s="19"/>
    </row>
    <row r="1223" spans="1:11" ht="13.2">
      <c r="A1223" s="22"/>
      <c r="B1223" s="16"/>
      <c r="C1223" s="23"/>
      <c r="D1223" s="24"/>
      <c r="E1223" s="25"/>
      <c r="F1223" s="26"/>
      <c r="G1223" s="27"/>
      <c r="H1223" s="20"/>
      <c r="I1223" s="21"/>
      <c r="J1223" s="28"/>
      <c r="K1223" s="19"/>
    </row>
    <row r="1224" spans="1:11" ht="13.2">
      <c r="A1224" s="22"/>
      <c r="B1224" s="16"/>
      <c r="C1224" s="23"/>
      <c r="D1224" s="24"/>
      <c r="E1224" s="25"/>
      <c r="F1224" s="26"/>
      <c r="G1224" s="27"/>
      <c r="H1224" s="20"/>
      <c r="I1224" s="21"/>
      <c r="J1224" s="28"/>
      <c r="K1224" s="19"/>
    </row>
    <row r="1225" spans="1:11" ht="13.2">
      <c r="A1225" s="22"/>
      <c r="B1225" s="16"/>
      <c r="C1225" s="23"/>
      <c r="D1225" s="24"/>
      <c r="E1225" s="25"/>
      <c r="F1225" s="26"/>
      <c r="G1225" s="27"/>
      <c r="H1225" s="20"/>
      <c r="I1225" s="21"/>
      <c r="J1225" s="28"/>
      <c r="K1225" s="19"/>
    </row>
    <row r="1226" spans="1:11" ht="13.2">
      <c r="A1226" s="22"/>
      <c r="B1226" s="16"/>
      <c r="C1226" s="23"/>
      <c r="D1226" s="24"/>
      <c r="E1226" s="25"/>
      <c r="F1226" s="26"/>
      <c r="G1226" s="27"/>
      <c r="H1226" s="20"/>
      <c r="I1226" s="21"/>
      <c r="J1226" s="28"/>
      <c r="K1226" s="19"/>
    </row>
    <row r="1227" spans="1:11" ht="13.2">
      <c r="A1227" s="22"/>
      <c r="B1227" s="16"/>
      <c r="C1227" s="23"/>
      <c r="D1227" s="24"/>
      <c r="E1227" s="25"/>
      <c r="F1227" s="26"/>
      <c r="G1227" s="27"/>
      <c r="H1227" s="20"/>
      <c r="I1227" s="21"/>
      <c r="J1227" s="28"/>
      <c r="K1227" s="19"/>
    </row>
    <row r="1228" spans="1:11" ht="13.2">
      <c r="A1228" s="22"/>
      <c r="B1228" s="16"/>
      <c r="C1228" s="23"/>
      <c r="D1228" s="24"/>
      <c r="E1228" s="25"/>
      <c r="F1228" s="26"/>
      <c r="G1228" s="27"/>
      <c r="H1228" s="20"/>
      <c r="I1228" s="21"/>
      <c r="J1228" s="28"/>
      <c r="K1228" s="19"/>
    </row>
    <row r="1229" spans="1:11" ht="13.2">
      <c r="A1229" s="22"/>
      <c r="B1229" s="16"/>
      <c r="C1229" s="23"/>
      <c r="D1229" s="24"/>
      <c r="E1229" s="25"/>
      <c r="F1229" s="26"/>
      <c r="G1229" s="27"/>
      <c r="H1229" s="20"/>
      <c r="I1229" s="21"/>
      <c r="J1229" s="28"/>
      <c r="K1229" s="19"/>
    </row>
    <row r="1230" spans="1:11" ht="13.2">
      <c r="A1230" s="22"/>
      <c r="B1230" s="16"/>
      <c r="C1230" s="23"/>
      <c r="D1230" s="24"/>
      <c r="E1230" s="25"/>
      <c r="F1230" s="26"/>
      <c r="G1230" s="27"/>
      <c r="H1230" s="20"/>
      <c r="I1230" s="21"/>
      <c r="J1230" s="28"/>
      <c r="K1230" s="19"/>
    </row>
    <row r="1231" spans="1:11" ht="13.2">
      <c r="A1231" s="22"/>
      <c r="B1231" s="16"/>
      <c r="C1231" s="23"/>
      <c r="D1231" s="24"/>
      <c r="E1231" s="25"/>
      <c r="F1231" s="26"/>
      <c r="G1231" s="27"/>
      <c r="H1231" s="20"/>
      <c r="I1231" s="21"/>
      <c r="J1231" s="28"/>
      <c r="K1231" s="19"/>
    </row>
    <row r="1232" spans="1:11" ht="13.2">
      <c r="A1232" s="22"/>
      <c r="B1232" s="16"/>
      <c r="C1232" s="23"/>
      <c r="D1232" s="24"/>
      <c r="E1232" s="25"/>
      <c r="F1232" s="26"/>
      <c r="G1232" s="27"/>
      <c r="H1232" s="20"/>
      <c r="I1232" s="21"/>
      <c r="J1232" s="28"/>
      <c r="K1232" s="19"/>
    </row>
    <row r="1233" spans="1:11" ht="13.2">
      <c r="A1233" s="22"/>
      <c r="B1233" s="16"/>
      <c r="C1233" s="23"/>
      <c r="D1233" s="24"/>
      <c r="E1233" s="25"/>
      <c r="F1233" s="26"/>
      <c r="G1233" s="27"/>
      <c r="H1233" s="20"/>
      <c r="I1233" s="21"/>
      <c r="J1233" s="28"/>
      <c r="K1233" s="19"/>
    </row>
    <row r="1234" spans="1:11" ht="13.2">
      <c r="A1234" s="22"/>
      <c r="B1234" s="16"/>
      <c r="C1234" s="23"/>
      <c r="D1234" s="24"/>
      <c r="E1234" s="25"/>
      <c r="F1234" s="26"/>
      <c r="G1234" s="27"/>
      <c r="H1234" s="20"/>
      <c r="I1234" s="21"/>
      <c r="J1234" s="28"/>
      <c r="K1234" s="19"/>
    </row>
    <row r="1235" spans="1:11" ht="13.2">
      <c r="A1235" s="22"/>
      <c r="B1235" s="16"/>
      <c r="C1235" s="23"/>
      <c r="D1235" s="24"/>
      <c r="E1235" s="25"/>
      <c r="F1235" s="26"/>
      <c r="G1235" s="27"/>
      <c r="H1235" s="20"/>
      <c r="I1235" s="21"/>
      <c r="J1235" s="28"/>
      <c r="K1235" s="19"/>
    </row>
    <row r="1236" spans="1:11" ht="13.2">
      <c r="A1236" s="22"/>
      <c r="B1236" s="16"/>
      <c r="C1236" s="23"/>
      <c r="D1236" s="24"/>
      <c r="E1236" s="25"/>
      <c r="F1236" s="26"/>
      <c r="G1236" s="27"/>
      <c r="H1236" s="20"/>
      <c r="I1236" s="21"/>
      <c r="J1236" s="28"/>
      <c r="K1236" s="19"/>
    </row>
    <row r="1237" spans="1:11" ht="13.2">
      <c r="A1237" s="22"/>
      <c r="B1237" s="16"/>
      <c r="C1237" s="23"/>
      <c r="D1237" s="24"/>
      <c r="E1237" s="25"/>
      <c r="F1237" s="26"/>
      <c r="G1237" s="27"/>
      <c r="H1237" s="20"/>
      <c r="I1237" s="21"/>
      <c r="J1237" s="28"/>
      <c r="K1237" s="19"/>
    </row>
    <row r="1238" spans="1:11" ht="13.2">
      <c r="A1238" s="22"/>
      <c r="B1238" s="16"/>
      <c r="C1238" s="23"/>
      <c r="D1238" s="24"/>
      <c r="E1238" s="25"/>
      <c r="F1238" s="26"/>
      <c r="G1238" s="27"/>
      <c r="H1238" s="20"/>
      <c r="I1238" s="21"/>
      <c r="J1238" s="28"/>
      <c r="K1238" s="19"/>
    </row>
    <row r="1239" spans="1:11" ht="13.2">
      <c r="A1239" s="22"/>
      <c r="B1239" s="16"/>
      <c r="C1239" s="23"/>
      <c r="D1239" s="24"/>
      <c r="E1239" s="25"/>
      <c r="F1239" s="26"/>
      <c r="G1239" s="27"/>
      <c r="H1239" s="20"/>
      <c r="I1239" s="21"/>
      <c r="J1239" s="28"/>
      <c r="K1239" s="19"/>
    </row>
    <row r="1240" spans="1:11" ht="13.2">
      <c r="A1240" s="22"/>
      <c r="B1240" s="16"/>
      <c r="C1240" s="23"/>
      <c r="D1240" s="24"/>
      <c r="E1240" s="25"/>
      <c r="F1240" s="26"/>
      <c r="G1240" s="27"/>
      <c r="H1240" s="20"/>
      <c r="I1240" s="21"/>
      <c r="J1240" s="28"/>
      <c r="K1240" s="19"/>
    </row>
    <row r="1241" spans="1:11" ht="13.2">
      <c r="A1241" s="22"/>
      <c r="B1241" s="16"/>
      <c r="C1241" s="23"/>
      <c r="D1241" s="24"/>
      <c r="E1241" s="25"/>
      <c r="F1241" s="26"/>
      <c r="G1241" s="27"/>
      <c r="H1241" s="20"/>
      <c r="I1241" s="21"/>
      <c r="J1241" s="28"/>
      <c r="K1241" s="19"/>
    </row>
    <row r="1242" spans="1:11" ht="13.2">
      <c r="A1242" s="22"/>
      <c r="B1242" s="16"/>
      <c r="C1242" s="23"/>
      <c r="D1242" s="24"/>
      <c r="E1242" s="25"/>
      <c r="F1242" s="26"/>
      <c r="G1242" s="27"/>
      <c r="H1242" s="20"/>
      <c r="I1242" s="21"/>
      <c r="J1242" s="28"/>
      <c r="K1242" s="19"/>
    </row>
    <row r="1243" spans="1:11" ht="13.2">
      <c r="A1243" s="22"/>
      <c r="B1243" s="16"/>
      <c r="C1243" s="23"/>
      <c r="D1243" s="24"/>
      <c r="E1243" s="25"/>
      <c r="F1243" s="26"/>
      <c r="G1243" s="27"/>
      <c r="H1243" s="20"/>
      <c r="I1243" s="21"/>
      <c r="J1243" s="28"/>
      <c r="K1243" s="19"/>
    </row>
    <row r="1244" spans="1:11" ht="13.2">
      <c r="A1244" s="22"/>
      <c r="B1244" s="16"/>
      <c r="C1244" s="23"/>
      <c r="D1244" s="24"/>
      <c r="E1244" s="25"/>
      <c r="F1244" s="26"/>
      <c r="G1244" s="27"/>
      <c r="H1244" s="20"/>
      <c r="I1244" s="21"/>
      <c r="J1244" s="28"/>
      <c r="K1244" s="19"/>
    </row>
    <row r="1245" spans="1:11" ht="13.2">
      <c r="A1245" s="22"/>
      <c r="B1245" s="16"/>
      <c r="C1245" s="23"/>
      <c r="D1245" s="24"/>
      <c r="E1245" s="25"/>
      <c r="F1245" s="26"/>
      <c r="G1245" s="27"/>
      <c r="H1245" s="20"/>
      <c r="I1245" s="21"/>
      <c r="J1245" s="28"/>
      <c r="K1245" s="19"/>
    </row>
    <row r="1246" spans="1:11" ht="13.2">
      <c r="A1246" s="22"/>
      <c r="B1246" s="16"/>
      <c r="C1246" s="23"/>
      <c r="D1246" s="24"/>
      <c r="E1246" s="25"/>
      <c r="F1246" s="26"/>
      <c r="G1246" s="27"/>
      <c r="H1246" s="20"/>
      <c r="I1246" s="21"/>
      <c r="J1246" s="28"/>
      <c r="K1246" s="19"/>
    </row>
    <row r="1247" spans="1:11" ht="13.2">
      <c r="A1247" s="22"/>
      <c r="B1247" s="16"/>
      <c r="C1247" s="23"/>
      <c r="D1247" s="24"/>
      <c r="E1247" s="25"/>
      <c r="F1247" s="26"/>
      <c r="G1247" s="27"/>
      <c r="H1247" s="20"/>
      <c r="I1247" s="21"/>
      <c r="J1247" s="28"/>
      <c r="K1247" s="19"/>
    </row>
    <row r="1248" spans="1:11" ht="13.2">
      <c r="A1248" s="22"/>
      <c r="B1248" s="16"/>
      <c r="C1248" s="23"/>
      <c r="D1248" s="24"/>
      <c r="E1248" s="25"/>
      <c r="F1248" s="26"/>
      <c r="G1248" s="27"/>
      <c r="H1248" s="20"/>
      <c r="I1248" s="21"/>
      <c r="J1248" s="28"/>
      <c r="K1248" s="19"/>
    </row>
    <row r="1249" spans="1:11" ht="13.2">
      <c r="A1249" s="22"/>
      <c r="B1249" s="16"/>
      <c r="C1249" s="23"/>
      <c r="D1249" s="24"/>
      <c r="E1249" s="25"/>
      <c r="F1249" s="26"/>
      <c r="G1249" s="27"/>
      <c r="H1249" s="20"/>
      <c r="I1249" s="21"/>
      <c r="J1249" s="28"/>
      <c r="K1249" s="19"/>
    </row>
    <row r="1250" spans="1:11" ht="13.2">
      <c r="A1250" s="22"/>
      <c r="B1250" s="16"/>
      <c r="C1250" s="23"/>
      <c r="D1250" s="24"/>
      <c r="E1250" s="25"/>
      <c r="F1250" s="26"/>
      <c r="G1250" s="27"/>
      <c r="H1250" s="20"/>
      <c r="I1250" s="21"/>
      <c r="J1250" s="28"/>
      <c r="K1250" s="19"/>
    </row>
    <row r="1251" spans="1:11" ht="13.2">
      <c r="A1251" s="22"/>
      <c r="B1251" s="16"/>
      <c r="C1251" s="23"/>
      <c r="D1251" s="24"/>
      <c r="E1251" s="25"/>
      <c r="F1251" s="26"/>
      <c r="G1251" s="27"/>
      <c r="H1251" s="20"/>
      <c r="I1251" s="21"/>
      <c r="J1251" s="28"/>
      <c r="K1251" s="19"/>
    </row>
    <row r="1252" spans="1:11" ht="13.2">
      <c r="A1252" s="22"/>
      <c r="B1252" s="16"/>
      <c r="C1252" s="23"/>
      <c r="D1252" s="24"/>
      <c r="E1252" s="25"/>
      <c r="F1252" s="26"/>
      <c r="G1252" s="27"/>
      <c r="H1252" s="20"/>
      <c r="I1252" s="21"/>
      <c r="J1252" s="28"/>
      <c r="K1252" s="19"/>
    </row>
    <row r="1253" spans="1:11" ht="13.2">
      <c r="A1253" s="22"/>
      <c r="B1253" s="16"/>
      <c r="C1253" s="23"/>
      <c r="D1253" s="24"/>
      <c r="E1253" s="25"/>
      <c r="F1253" s="26"/>
      <c r="G1253" s="27"/>
      <c r="H1253" s="20"/>
      <c r="I1253" s="21"/>
      <c r="J1253" s="28"/>
      <c r="K1253" s="19"/>
    </row>
    <row r="1254" spans="1:11" ht="13.2">
      <c r="A1254" s="22"/>
      <c r="B1254" s="16"/>
      <c r="C1254" s="23"/>
      <c r="D1254" s="24"/>
      <c r="E1254" s="25"/>
      <c r="F1254" s="26"/>
      <c r="G1254" s="27"/>
      <c r="H1254" s="20"/>
      <c r="I1254" s="21"/>
      <c r="J1254" s="28"/>
      <c r="K1254" s="19"/>
    </row>
    <row r="1255" spans="1:11" ht="13.2">
      <c r="A1255" s="22"/>
      <c r="B1255" s="16"/>
      <c r="C1255" s="23"/>
      <c r="D1255" s="24"/>
      <c r="E1255" s="25"/>
      <c r="F1255" s="26"/>
      <c r="G1255" s="27"/>
      <c r="H1255" s="20"/>
      <c r="I1255" s="21"/>
      <c r="J1255" s="28"/>
      <c r="K1255" s="19"/>
    </row>
    <row r="1256" spans="1:11" ht="13.2">
      <c r="A1256" s="22"/>
      <c r="B1256" s="16"/>
      <c r="C1256" s="23"/>
      <c r="D1256" s="24"/>
      <c r="E1256" s="25"/>
      <c r="F1256" s="26"/>
      <c r="G1256" s="27"/>
      <c r="H1256" s="20"/>
      <c r="I1256" s="21"/>
      <c r="J1256" s="28"/>
      <c r="K1256" s="19"/>
    </row>
    <row r="1257" spans="1:11" ht="13.2">
      <c r="A1257" s="22"/>
      <c r="B1257" s="16"/>
      <c r="C1257" s="23"/>
      <c r="D1257" s="24"/>
      <c r="E1257" s="25"/>
      <c r="F1257" s="26"/>
      <c r="G1257" s="27"/>
      <c r="H1257" s="20"/>
      <c r="I1257" s="21"/>
      <c r="J1257" s="28"/>
      <c r="K1257" s="19"/>
    </row>
    <row r="1258" spans="1:11" ht="13.2">
      <c r="A1258" s="22"/>
      <c r="B1258" s="16"/>
      <c r="C1258" s="23"/>
      <c r="D1258" s="24"/>
      <c r="E1258" s="25"/>
      <c r="F1258" s="26"/>
      <c r="G1258" s="27"/>
      <c r="H1258" s="20"/>
      <c r="I1258" s="21"/>
      <c r="J1258" s="28"/>
      <c r="K1258" s="19"/>
    </row>
    <row r="1259" spans="1:11" ht="13.2">
      <c r="A1259" s="22"/>
      <c r="B1259" s="16"/>
      <c r="C1259" s="23"/>
      <c r="D1259" s="24"/>
      <c r="E1259" s="25"/>
      <c r="F1259" s="26"/>
      <c r="G1259" s="27"/>
      <c r="H1259" s="20"/>
      <c r="I1259" s="21"/>
      <c r="J1259" s="28"/>
      <c r="K1259" s="19"/>
    </row>
    <row r="1260" spans="1:11" ht="13.2">
      <c r="A1260" s="22"/>
      <c r="B1260" s="16"/>
      <c r="C1260" s="23"/>
      <c r="D1260" s="24"/>
      <c r="E1260" s="25"/>
      <c r="F1260" s="26"/>
      <c r="G1260" s="27"/>
      <c r="H1260" s="20"/>
      <c r="I1260" s="21"/>
      <c r="J1260" s="28"/>
      <c r="K1260" s="19"/>
    </row>
    <row r="1261" spans="1:11" ht="13.2">
      <c r="A1261" s="22"/>
      <c r="B1261" s="16"/>
      <c r="C1261" s="23"/>
      <c r="D1261" s="24"/>
      <c r="E1261" s="25"/>
      <c r="F1261" s="26"/>
      <c r="G1261" s="27"/>
      <c r="H1261" s="20"/>
      <c r="I1261" s="21"/>
      <c r="J1261" s="28"/>
      <c r="K1261" s="19"/>
    </row>
    <row r="1262" spans="1:11" ht="13.2">
      <c r="A1262" s="22"/>
      <c r="B1262" s="16"/>
      <c r="C1262" s="23"/>
      <c r="D1262" s="24"/>
      <c r="E1262" s="25"/>
      <c r="F1262" s="26"/>
      <c r="G1262" s="27"/>
      <c r="H1262" s="20"/>
      <c r="I1262" s="21"/>
      <c r="J1262" s="28"/>
      <c r="K1262" s="19"/>
    </row>
    <row r="1263" spans="1:11" ht="13.2">
      <c r="A1263" s="22"/>
      <c r="B1263" s="16"/>
      <c r="C1263" s="23"/>
      <c r="D1263" s="24"/>
      <c r="E1263" s="25"/>
      <c r="F1263" s="26"/>
      <c r="G1263" s="27"/>
      <c r="H1263" s="20"/>
      <c r="I1263" s="21"/>
      <c r="J1263" s="28"/>
      <c r="K1263" s="19"/>
    </row>
    <row r="1264" spans="1:11" ht="13.2">
      <c r="A1264" s="22"/>
      <c r="B1264" s="16"/>
      <c r="C1264" s="23"/>
      <c r="D1264" s="24"/>
      <c r="E1264" s="25"/>
      <c r="F1264" s="26"/>
      <c r="G1264" s="27"/>
      <c r="H1264" s="20"/>
      <c r="I1264" s="21"/>
      <c r="J1264" s="28"/>
      <c r="K1264" s="19"/>
    </row>
    <row r="1265" spans="1:11" ht="13.2">
      <c r="A1265" s="22"/>
      <c r="B1265" s="16"/>
      <c r="C1265" s="23"/>
      <c r="D1265" s="24"/>
      <c r="E1265" s="25"/>
      <c r="F1265" s="26"/>
      <c r="G1265" s="27"/>
      <c r="H1265" s="20"/>
      <c r="I1265" s="21"/>
      <c r="J1265" s="28"/>
      <c r="K1265" s="19"/>
    </row>
    <row r="1266" spans="1:11" ht="13.2">
      <c r="A1266" s="22"/>
      <c r="B1266" s="16"/>
      <c r="C1266" s="23"/>
      <c r="D1266" s="24"/>
      <c r="E1266" s="25"/>
      <c r="F1266" s="26"/>
      <c r="G1266" s="27"/>
      <c r="H1266" s="20"/>
      <c r="I1266" s="21"/>
      <c r="J1266" s="28"/>
      <c r="K1266" s="19"/>
    </row>
    <row r="1267" spans="1:11" ht="13.2">
      <c r="A1267" s="22"/>
      <c r="B1267" s="16"/>
      <c r="C1267" s="23"/>
      <c r="D1267" s="24"/>
      <c r="E1267" s="25"/>
      <c r="F1267" s="26"/>
      <c r="G1267" s="27"/>
      <c r="H1267" s="20"/>
      <c r="I1267" s="21"/>
      <c r="J1267" s="28"/>
      <c r="K1267" s="19"/>
    </row>
    <row r="1268" spans="1:11" ht="13.2">
      <c r="A1268" s="22"/>
      <c r="B1268" s="16"/>
      <c r="C1268" s="23"/>
      <c r="D1268" s="24"/>
      <c r="E1268" s="25"/>
      <c r="F1268" s="26"/>
      <c r="G1268" s="27"/>
      <c r="H1268" s="20"/>
      <c r="I1268" s="21"/>
      <c r="J1268" s="28"/>
      <c r="K1268" s="19"/>
    </row>
    <row r="1269" spans="1:11" ht="13.2">
      <c r="A1269" s="22"/>
      <c r="B1269" s="16"/>
      <c r="C1269" s="23"/>
      <c r="D1269" s="24"/>
      <c r="E1269" s="25"/>
      <c r="F1269" s="26"/>
      <c r="G1269" s="27"/>
      <c r="H1269" s="20"/>
      <c r="I1269" s="21"/>
      <c r="J1269" s="28"/>
      <c r="K1269" s="19"/>
    </row>
    <row r="1270" spans="1:11" ht="13.2">
      <c r="A1270" s="22"/>
      <c r="B1270" s="16"/>
      <c r="C1270" s="23"/>
      <c r="D1270" s="24"/>
      <c r="E1270" s="25"/>
      <c r="F1270" s="26"/>
      <c r="G1270" s="27"/>
      <c r="H1270" s="20"/>
      <c r="I1270" s="21"/>
      <c r="J1270" s="28"/>
      <c r="K1270" s="19"/>
    </row>
    <row r="1271" spans="1:11" ht="13.2">
      <c r="A1271" s="22"/>
      <c r="B1271" s="16"/>
      <c r="C1271" s="23"/>
      <c r="D1271" s="24"/>
      <c r="E1271" s="25"/>
      <c r="F1271" s="26"/>
      <c r="G1271" s="27"/>
      <c r="H1271" s="20"/>
      <c r="I1271" s="21"/>
      <c r="J1271" s="28"/>
      <c r="K1271" s="19"/>
    </row>
    <row r="1272" spans="1:11" ht="13.2">
      <c r="A1272" s="22"/>
      <c r="B1272" s="16"/>
      <c r="C1272" s="23"/>
      <c r="D1272" s="24"/>
      <c r="E1272" s="25"/>
      <c r="F1272" s="26"/>
      <c r="G1272" s="27"/>
      <c r="H1272" s="20"/>
      <c r="I1272" s="21"/>
      <c r="J1272" s="28"/>
      <c r="K1272" s="19"/>
    </row>
    <row r="1273" spans="1:11" ht="13.2">
      <c r="A1273" s="22"/>
      <c r="B1273" s="16"/>
      <c r="C1273" s="23"/>
      <c r="D1273" s="24"/>
      <c r="E1273" s="25"/>
      <c r="F1273" s="26"/>
      <c r="G1273" s="27"/>
      <c r="H1273" s="20"/>
      <c r="I1273" s="21"/>
      <c r="J1273" s="28"/>
      <c r="K1273" s="19"/>
    </row>
    <row r="1274" spans="1:11" ht="13.2">
      <c r="A1274" s="22"/>
      <c r="B1274" s="16"/>
      <c r="C1274" s="23"/>
      <c r="D1274" s="24"/>
      <c r="E1274" s="25"/>
      <c r="F1274" s="26"/>
      <c r="G1274" s="27"/>
      <c r="H1274" s="20"/>
      <c r="I1274" s="21"/>
      <c r="J1274" s="28"/>
      <c r="K1274" s="19"/>
    </row>
    <row r="1275" spans="1:11" ht="13.2">
      <c r="A1275" s="22"/>
      <c r="B1275" s="16"/>
      <c r="C1275" s="23"/>
      <c r="D1275" s="24"/>
      <c r="E1275" s="25"/>
      <c r="F1275" s="26"/>
      <c r="G1275" s="27"/>
      <c r="H1275" s="20"/>
      <c r="I1275" s="21"/>
      <c r="J1275" s="28"/>
      <c r="K1275" s="19"/>
    </row>
    <row r="1276" spans="1:11" ht="13.2">
      <c r="A1276" s="22"/>
      <c r="B1276" s="16"/>
      <c r="C1276" s="23"/>
      <c r="D1276" s="24"/>
      <c r="E1276" s="25"/>
      <c r="F1276" s="26"/>
      <c r="G1276" s="27"/>
      <c r="H1276" s="20"/>
      <c r="I1276" s="21"/>
      <c r="J1276" s="28"/>
      <c r="K1276" s="19"/>
    </row>
    <row r="1277" spans="1:11" ht="13.2">
      <c r="A1277" s="22"/>
      <c r="B1277" s="16"/>
      <c r="C1277" s="23"/>
      <c r="D1277" s="24"/>
      <c r="E1277" s="25"/>
      <c r="F1277" s="26"/>
      <c r="G1277" s="27"/>
      <c r="H1277" s="20"/>
      <c r="I1277" s="21"/>
      <c r="J1277" s="28"/>
      <c r="K1277" s="19"/>
    </row>
    <row r="1278" spans="1:11" ht="13.2">
      <c r="A1278" s="22"/>
      <c r="B1278" s="16"/>
      <c r="C1278" s="23"/>
      <c r="D1278" s="24"/>
      <c r="E1278" s="25"/>
      <c r="F1278" s="26"/>
      <c r="G1278" s="27"/>
      <c r="H1278" s="20"/>
      <c r="I1278" s="21"/>
      <c r="J1278" s="28"/>
      <c r="K1278" s="19"/>
    </row>
    <row r="1279" spans="1:11" ht="13.2">
      <c r="A1279" s="22"/>
      <c r="B1279" s="16"/>
      <c r="C1279" s="23"/>
      <c r="D1279" s="24"/>
      <c r="E1279" s="25"/>
      <c r="F1279" s="26"/>
      <c r="G1279" s="27"/>
      <c r="H1279" s="20"/>
      <c r="I1279" s="21"/>
      <c r="J1279" s="28"/>
      <c r="K1279" s="19"/>
    </row>
    <row r="1280" spans="1:11" ht="13.2">
      <c r="A1280" s="22"/>
      <c r="B1280" s="16"/>
      <c r="C1280" s="23"/>
      <c r="D1280" s="24"/>
      <c r="E1280" s="25"/>
      <c r="F1280" s="26"/>
      <c r="G1280" s="27"/>
      <c r="H1280" s="20"/>
      <c r="I1280" s="21"/>
      <c r="J1280" s="28"/>
      <c r="K1280" s="19"/>
    </row>
    <row r="1281" spans="1:11" ht="13.2">
      <c r="A1281" s="22"/>
      <c r="B1281" s="16"/>
      <c r="C1281" s="23"/>
      <c r="D1281" s="24"/>
      <c r="E1281" s="25"/>
      <c r="F1281" s="26"/>
      <c r="G1281" s="27"/>
      <c r="H1281" s="20"/>
      <c r="I1281" s="21"/>
      <c r="J1281" s="28"/>
      <c r="K1281" s="19"/>
    </row>
    <row r="1282" spans="1:11" ht="13.2">
      <c r="A1282" s="22"/>
      <c r="B1282" s="16"/>
      <c r="C1282" s="23"/>
      <c r="D1282" s="24"/>
      <c r="E1282" s="25"/>
      <c r="F1282" s="26"/>
      <c r="G1282" s="27"/>
      <c r="H1282" s="20"/>
      <c r="I1282" s="21"/>
      <c r="J1282" s="28"/>
      <c r="K1282" s="19"/>
    </row>
    <row r="1283" spans="1:11" ht="13.2">
      <c r="A1283" s="22"/>
      <c r="B1283" s="16"/>
      <c r="C1283" s="23"/>
      <c r="D1283" s="24"/>
      <c r="E1283" s="25"/>
      <c r="F1283" s="26"/>
      <c r="G1283" s="27"/>
      <c r="H1283" s="20"/>
      <c r="I1283" s="21"/>
      <c r="J1283" s="28"/>
      <c r="K1283" s="19"/>
    </row>
    <row r="1284" spans="1:11" ht="13.2">
      <c r="A1284" s="22"/>
      <c r="B1284" s="16"/>
      <c r="C1284" s="23"/>
      <c r="D1284" s="24"/>
      <c r="E1284" s="25"/>
      <c r="F1284" s="26"/>
      <c r="G1284" s="27"/>
      <c r="H1284" s="20"/>
      <c r="I1284" s="21"/>
      <c r="J1284" s="28"/>
      <c r="K1284" s="19"/>
    </row>
    <row r="1285" spans="1:11" ht="13.2">
      <c r="A1285" s="22"/>
      <c r="B1285" s="16"/>
      <c r="C1285" s="23"/>
      <c r="D1285" s="24"/>
      <c r="E1285" s="25"/>
      <c r="F1285" s="26"/>
      <c r="G1285" s="27"/>
      <c r="H1285" s="20"/>
      <c r="I1285" s="21"/>
      <c r="J1285" s="28"/>
      <c r="K1285" s="19"/>
    </row>
    <row r="1286" spans="1:11" ht="13.2">
      <c r="A1286" s="22"/>
      <c r="B1286" s="16"/>
      <c r="C1286" s="23"/>
      <c r="D1286" s="24"/>
      <c r="E1286" s="25"/>
      <c r="F1286" s="26"/>
      <c r="G1286" s="27"/>
      <c r="H1286" s="20"/>
      <c r="I1286" s="21"/>
      <c r="J1286" s="28"/>
      <c r="K1286" s="19"/>
    </row>
    <row r="1287" spans="1:11" ht="13.2">
      <c r="A1287" s="22"/>
      <c r="B1287" s="16"/>
      <c r="C1287" s="23"/>
      <c r="D1287" s="24"/>
      <c r="E1287" s="25"/>
      <c r="F1287" s="26"/>
      <c r="G1287" s="27"/>
      <c r="H1287" s="20"/>
      <c r="I1287" s="21"/>
      <c r="J1287" s="28"/>
      <c r="K1287" s="19"/>
    </row>
    <row r="1288" spans="1:11" ht="13.2">
      <c r="A1288" s="22"/>
      <c r="B1288" s="16"/>
      <c r="C1288" s="23"/>
      <c r="D1288" s="24"/>
      <c r="E1288" s="25"/>
      <c r="F1288" s="26"/>
      <c r="G1288" s="27"/>
      <c r="H1288" s="20"/>
      <c r="I1288" s="21"/>
      <c r="J1288" s="28"/>
      <c r="K1288" s="19"/>
    </row>
    <row r="1289" spans="1:11" ht="13.2">
      <c r="A1289" s="22"/>
      <c r="B1289" s="16"/>
      <c r="C1289" s="23"/>
      <c r="D1289" s="24"/>
      <c r="E1289" s="25"/>
      <c r="F1289" s="26"/>
      <c r="G1289" s="27"/>
      <c r="H1289" s="20"/>
      <c r="I1289" s="21"/>
      <c r="J1289" s="28"/>
      <c r="K1289" s="19"/>
    </row>
    <row r="1290" spans="1:11" ht="13.2">
      <c r="A1290" s="22"/>
      <c r="B1290" s="16"/>
      <c r="C1290" s="23"/>
      <c r="D1290" s="24"/>
      <c r="E1290" s="25"/>
      <c r="F1290" s="26"/>
      <c r="G1290" s="27"/>
      <c r="H1290" s="20"/>
      <c r="I1290" s="21"/>
      <c r="J1290" s="28"/>
      <c r="K1290" s="19"/>
    </row>
    <row r="1291" spans="1:11" ht="13.2">
      <c r="A1291" s="22"/>
      <c r="B1291" s="16"/>
      <c r="C1291" s="23"/>
      <c r="D1291" s="24"/>
      <c r="E1291" s="25"/>
      <c r="F1291" s="26"/>
      <c r="G1291" s="27"/>
      <c r="H1291" s="20"/>
      <c r="I1291" s="21"/>
      <c r="J1291" s="28"/>
      <c r="K1291" s="19"/>
    </row>
    <row r="1292" spans="1:11" ht="13.2">
      <c r="A1292" s="22"/>
      <c r="B1292" s="16"/>
      <c r="C1292" s="23"/>
      <c r="D1292" s="24"/>
      <c r="E1292" s="25"/>
      <c r="F1292" s="26"/>
      <c r="G1292" s="27"/>
      <c r="H1292" s="20"/>
      <c r="I1292" s="21"/>
      <c r="J1292" s="28"/>
      <c r="K1292" s="19"/>
    </row>
    <row r="1293" spans="1:11" ht="13.2">
      <c r="A1293" s="22"/>
      <c r="B1293" s="16"/>
      <c r="C1293" s="23"/>
      <c r="D1293" s="24"/>
      <c r="E1293" s="25"/>
      <c r="F1293" s="26"/>
      <c r="G1293" s="27"/>
      <c r="H1293" s="20"/>
      <c r="I1293" s="21"/>
      <c r="J1293" s="28"/>
      <c r="K1293" s="19"/>
    </row>
    <row r="1294" spans="1:11" ht="13.2">
      <c r="A1294" s="22"/>
      <c r="B1294" s="16"/>
      <c r="C1294" s="23"/>
      <c r="D1294" s="24"/>
      <c r="E1294" s="25"/>
      <c r="F1294" s="26"/>
      <c r="G1294" s="27"/>
      <c r="H1294" s="20"/>
      <c r="I1294" s="21"/>
      <c r="J1294" s="28"/>
      <c r="K1294" s="19"/>
    </row>
    <row r="1295" spans="1:11" ht="13.2">
      <c r="A1295" s="22"/>
      <c r="B1295" s="16"/>
      <c r="C1295" s="23"/>
      <c r="D1295" s="24"/>
      <c r="E1295" s="25"/>
      <c r="F1295" s="26"/>
      <c r="G1295" s="27"/>
      <c r="H1295" s="20"/>
      <c r="I1295" s="21"/>
      <c r="J1295" s="28"/>
      <c r="K1295" s="19"/>
    </row>
    <row r="1296" spans="1:11" ht="13.2">
      <c r="A1296" s="22"/>
      <c r="B1296" s="16"/>
      <c r="C1296" s="23"/>
      <c r="D1296" s="24"/>
      <c r="E1296" s="25"/>
      <c r="F1296" s="26"/>
      <c r="G1296" s="27"/>
      <c r="H1296" s="20"/>
      <c r="I1296" s="21"/>
      <c r="J1296" s="28"/>
      <c r="K1296" s="19"/>
    </row>
    <row r="1297" spans="1:11" ht="13.2">
      <c r="A1297" s="22"/>
      <c r="B1297" s="16"/>
      <c r="C1297" s="23"/>
      <c r="D1297" s="24"/>
      <c r="E1297" s="25"/>
      <c r="F1297" s="26"/>
      <c r="G1297" s="27"/>
      <c r="H1297" s="20"/>
      <c r="I1297" s="21"/>
      <c r="J1297" s="28"/>
      <c r="K1297" s="19"/>
    </row>
    <row r="1298" spans="1:11" ht="13.2">
      <c r="A1298" s="22"/>
      <c r="B1298" s="16"/>
      <c r="C1298" s="23"/>
      <c r="D1298" s="24"/>
      <c r="E1298" s="25"/>
      <c r="F1298" s="26"/>
      <c r="G1298" s="27"/>
      <c r="H1298" s="20"/>
      <c r="I1298" s="21"/>
      <c r="J1298" s="28"/>
      <c r="K1298" s="19"/>
    </row>
    <row r="1299" spans="1:11" ht="13.2">
      <c r="A1299" s="22"/>
      <c r="B1299" s="16"/>
      <c r="C1299" s="23"/>
      <c r="D1299" s="24"/>
      <c r="E1299" s="25"/>
      <c r="F1299" s="26"/>
      <c r="G1299" s="27"/>
      <c r="H1299" s="20"/>
      <c r="I1299" s="21"/>
      <c r="J1299" s="28"/>
      <c r="K1299" s="19"/>
    </row>
    <row r="1300" spans="1:11" ht="13.2">
      <c r="A1300" s="22"/>
      <c r="B1300" s="16"/>
      <c r="C1300" s="23"/>
      <c r="D1300" s="24"/>
      <c r="E1300" s="25"/>
      <c r="F1300" s="26"/>
      <c r="G1300" s="27"/>
      <c r="H1300" s="20"/>
      <c r="I1300" s="21"/>
      <c r="J1300" s="28"/>
      <c r="K1300" s="19"/>
    </row>
    <row r="1301" spans="1:11" ht="13.2">
      <c r="A1301" s="22"/>
      <c r="B1301" s="16"/>
      <c r="C1301" s="23"/>
      <c r="D1301" s="24"/>
      <c r="E1301" s="25"/>
      <c r="F1301" s="26"/>
      <c r="G1301" s="27"/>
      <c r="H1301" s="20"/>
      <c r="I1301" s="21"/>
      <c r="J1301" s="28"/>
      <c r="K1301" s="19"/>
    </row>
    <row r="1302" spans="1:11" ht="13.2">
      <c r="A1302" s="22"/>
      <c r="B1302" s="16"/>
      <c r="C1302" s="23"/>
      <c r="D1302" s="24"/>
      <c r="E1302" s="25"/>
      <c r="F1302" s="26"/>
      <c r="G1302" s="27"/>
      <c r="H1302" s="20"/>
      <c r="I1302" s="21"/>
      <c r="J1302" s="28"/>
      <c r="K1302" s="19"/>
    </row>
    <row r="1303" spans="1:11" ht="13.2">
      <c r="A1303" s="22"/>
      <c r="B1303" s="16"/>
      <c r="C1303" s="23"/>
      <c r="D1303" s="24"/>
      <c r="E1303" s="25"/>
      <c r="F1303" s="26"/>
      <c r="G1303" s="27"/>
      <c r="H1303" s="20"/>
      <c r="I1303" s="21"/>
      <c r="J1303" s="28"/>
      <c r="K1303" s="19"/>
    </row>
    <row r="1304" spans="1:11" ht="13.2">
      <c r="A1304" s="22"/>
      <c r="B1304" s="16"/>
      <c r="C1304" s="23"/>
      <c r="D1304" s="24"/>
      <c r="E1304" s="25"/>
      <c r="F1304" s="26"/>
      <c r="G1304" s="27"/>
      <c r="H1304" s="20"/>
      <c r="I1304" s="21"/>
      <c r="J1304" s="28"/>
      <c r="K1304" s="19"/>
    </row>
    <row r="1305" spans="1:11" ht="13.2">
      <c r="A1305" s="22"/>
      <c r="B1305" s="16"/>
      <c r="C1305" s="23"/>
      <c r="D1305" s="24"/>
      <c r="E1305" s="25"/>
      <c r="F1305" s="26"/>
      <c r="G1305" s="27"/>
      <c r="H1305" s="20"/>
      <c r="I1305" s="21"/>
      <c r="J1305" s="28"/>
      <c r="K1305" s="19"/>
    </row>
    <row r="1306" spans="1:11" ht="13.2">
      <c r="A1306" s="22"/>
      <c r="B1306" s="16"/>
      <c r="C1306" s="23"/>
      <c r="D1306" s="24"/>
      <c r="E1306" s="25"/>
      <c r="F1306" s="26"/>
      <c r="G1306" s="27"/>
      <c r="H1306" s="20"/>
      <c r="I1306" s="21"/>
      <c r="J1306" s="28"/>
      <c r="K1306" s="19"/>
    </row>
    <row r="1307" spans="1:11" ht="13.2">
      <c r="A1307" s="22"/>
      <c r="B1307" s="16"/>
      <c r="C1307" s="23"/>
      <c r="D1307" s="24"/>
      <c r="E1307" s="25"/>
      <c r="F1307" s="26"/>
      <c r="G1307" s="27"/>
      <c r="H1307" s="20"/>
      <c r="I1307" s="21"/>
      <c r="J1307" s="28"/>
      <c r="K1307" s="19"/>
    </row>
    <row r="1308" spans="1:11" ht="13.2">
      <c r="A1308" s="22"/>
      <c r="B1308" s="16"/>
      <c r="C1308" s="23"/>
      <c r="D1308" s="24"/>
      <c r="E1308" s="25"/>
      <c r="F1308" s="26"/>
      <c r="G1308" s="27"/>
      <c r="H1308" s="20"/>
      <c r="I1308" s="21"/>
      <c r="J1308" s="28"/>
      <c r="K1308" s="19"/>
    </row>
    <row r="1309" spans="1:11" ht="13.2">
      <c r="A1309" s="22"/>
      <c r="B1309" s="16"/>
      <c r="C1309" s="23"/>
      <c r="D1309" s="24"/>
      <c r="E1309" s="25"/>
      <c r="F1309" s="26"/>
      <c r="G1309" s="27"/>
      <c r="H1309" s="20"/>
      <c r="I1309" s="21"/>
      <c r="J1309" s="28"/>
      <c r="K1309" s="19"/>
    </row>
    <row r="1310" spans="1:11" ht="13.2">
      <c r="A1310" s="22"/>
      <c r="B1310" s="16"/>
      <c r="C1310" s="23"/>
      <c r="D1310" s="24"/>
      <c r="E1310" s="25"/>
      <c r="F1310" s="26"/>
      <c r="G1310" s="27"/>
      <c r="H1310" s="20"/>
      <c r="I1310" s="21"/>
      <c r="J1310" s="28"/>
      <c r="K1310" s="19"/>
    </row>
    <row r="1311" spans="1:11" ht="13.2">
      <c r="A1311" s="22"/>
      <c r="B1311" s="16"/>
      <c r="C1311" s="23"/>
      <c r="D1311" s="24"/>
      <c r="E1311" s="25"/>
      <c r="F1311" s="26"/>
      <c r="G1311" s="27"/>
      <c r="H1311" s="20"/>
      <c r="I1311" s="21"/>
      <c r="J1311" s="28"/>
      <c r="K1311" s="19"/>
    </row>
    <row r="1312" spans="1:11" ht="13.2">
      <c r="A1312" s="22"/>
      <c r="B1312" s="16"/>
      <c r="C1312" s="23"/>
      <c r="D1312" s="24"/>
      <c r="E1312" s="25"/>
      <c r="F1312" s="26"/>
      <c r="G1312" s="27"/>
      <c r="H1312" s="20"/>
      <c r="I1312" s="21"/>
      <c r="J1312" s="28"/>
      <c r="K1312" s="19"/>
    </row>
    <row r="1313" spans="1:11" ht="13.2">
      <c r="A1313" s="22"/>
      <c r="B1313" s="16"/>
      <c r="C1313" s="23"/>
      <c r="D1313" s="24"/>
      <c r="E1313" s="25"/>
      <c r="F1313" s="26"/>
      <c r="G1313" s="27"/>
      <c r="H1313" s="20"/>
      <c r="I1313" s="21"/>
      <c r="J1313" s="28"/>
      <c r="K1313" s="19"/>
    </row>
    <row r="1314" spans="1:11" ht="13.2">
      <c r="A1314" s="22"/>
      <c r="B1314" s="16"/>
      <c r="C1314" s="23"/>
      <c r="D1314" s="24"/>
      <c r="E1314" s="25"/>
      <c r="F1314" s="26"/>
      <c r="G1314" s="27"/>
      <c r="H1314" s="20"/>
      <c r="I1314" s="21"/>
      <c r="J1314" s="28"/>
      <c r="K1314" s="19"/>
    </row>
    <row r="1315" spans="1:11" ht="13.2">
      <c r="A1315" s="22"/>
      <c r="B1315" s="16"/>
      <c r="C1315" s="23"/>
      <c r="D1315" s="24"/>
      <c r="E1315" s="25"/>
      <c r="F1315" s="26"/>
      <c r="G1315" s="27"/>
      <c r="H1315" s="20"/>
      <c r="I1315" s="21"/>
      <c r="J1315" s="28"/>
      <c r="K1315" s="19"/>
    </row>
    <row r="1316" spans="1:11" ht="13.2">
      <c r="A1316" s="22"/>
      <c r="B1316" s="16"/>
      <c r="C1316" s="23"/>
      <c r="D1316" s="24"/>
      <c r="E1316" s="25"/>
      <c r="F1316" s="26"/>
      <c r="G1316" s="27"/>
      <c r="H1316" s="20"/>
      <c r="I1316" s="21"/>
      <c r="J1316" s="28"/>
      <c r="K1316" s="19"/>
    </row>
    <row r="1317" spans="1:11" ht="13.2">
      <c r="A1317" s="22"/>
      <c r="B1317" s="16"/>
      <c r="C1317" s="23"/>
      <c r="D1317" s="24"/>
      <c r="E1317" s="25"/>
      <c r="F1317" s="26"/>
      <c r="G1317" s="27"/>
      <c r="H1317" s="20"/>
      <c r="I1317" s="21"/>
      <c r="J1317" s="28"/>
      <c r="K1317" s="19"/>
    </row>
    <row r="1318" spans="1:11" ht="13.2">
      <c r="A1318" s="22"/>
      <c r="B1318" s="16"/>
      <c r="C1318" s="23"/>
      <c r="D1318" s="24"/>
      <c r="E1318" s="25"/>
      <c r="F1318" s="26"/>
      <c r="G1318" s="27"/>
      <c r="H1318" s="20"/>
      <c r="I1318" s="21"/>
      <c r="J1318" s="28"/>
      <c r="K1318" s="19"/>
    </row>
    <row r="1319" spans="1:11" ht="13.2">
      <c r="A1319" s="22"/>
      <c r="B1319" s="16"/>
      <c r="C1319" s="23"/>
      <c r="D1319" s="24"/>
      <c r="E1319" s="25"/>
      <c r="F1319" s="26"/>
      <c r="G1319" s="27"/>
      <c r="H1319" s="20"/>
      <c r="I1319" s="21"/>
      <c r="J1319" s="28"/>
      <c r="K1319" s="19"/>
    </row>
    <row r="1320" spans="1:11" ht="13.2">
      <c r="A1320" s="22"/>
      <c r="B1320" s="16"/>
      <c r="C1320" s="23"/>
      <c r="D1320" s="24"/>
      <c r="E1320" s="25"/>
      <c r="F1320" s="26"/>
      <c r="G1320" s="27"/>
      <c r="H1320" s="20"/>
      <c r="I1320" s="21"/>
      <c r="J1320" s="28"/>
      <c r="K1320" s="19"/>
    </row>
    <row r="1321" spans="1:11" ht="13.2">
      <c r="A1321" s="22"/>
      <c r="B1321" s="16"/>
      <c r="C1321" s="23"/>
      <c r="D1321" s="24"/>
      <c r="E1321" s="25"/>
      <c r="F1321" s="26"/>
      <c r="G1321" s="27"/>
      <c r="H1321" s="20"/>
      <c r="I1321" s="21"/>
      <c r="J1321" s="28"/>
      <c r="K1321" s="19"/>
    </row>
    <row r="1322" spans="1:11" ht="13.2">
      <c r="A1322" s="22"/>
      <c r="B1322" s="16"/>
      <c r="C1322" s="23"/>
      <c r="D1322" s="24"/>
      <c r="E1322" s="25"/>
      <c r="F1322" s="26"/>
      <c r="G1322" s="27"/>
      <c r="H1322" s="20"/>
      <c r="I1322" s="21"/>
      <c r="J1322" s="28"/>
      <c r="K1322" s="19"/>
    </row>
    <row r="1323" spans="1:11" ht="13.2">
      <c r="A1323" s="22"/>
      <c r="B1323" s="16"/>
      <c r="C1323" s="23"/>
      <c r="D1323" s="24"/>
      <c r="E1323" s="25"/>
      <c r="F1323" s="26"/>
      <c r="G1323" s="27"/>
      <c r="H1323" s="20"/>
      <c r="I1323" s="21"/>
      <c r="J1323" s="28"/>
      <c r="K1323" s="19"/>
    </row>
    <row r="1324" spans="1:11" ht="13.2">
      <c r="A1324" s="22"/>
      <c r="B1324" s="16"/>
      <c r="C1324" s="23"/>
      <c r="D1324" s="24"/>
      <c r="E1324" s="25"/>
      <c r="F1324" s="26"/>
      <c r="G1324" s="27"/>
      <c r="H1324" s="20"/>
      <c r="I1324" s="21"/>
      <c r="J1324" s="28"/>
      <c r="K1324" s="19"/>
    </row>
    <row r="1325" spans="1:11" ht="13.2">
      <c r="A1325" s="22"/>
      <c r="B1325" s="16"/>
      <c r="C1325" s="23"/>
      <c r="D1325" s="24"/>
      <c r="E1325" s="25"/>
      <c r="F1325" s="26"/>
      <c r="G1325" s="27"/>
      <c r="H1325" s="20"/>
      <c r="I1325" s="21"/>
      <c r="J1325" s="28"/>
      <c r="K1325" s="19"/>
    </row>
    <row r="1326" spans="1:11" ht="13.2">
      <c r="A1326" s="22"/>
      <c r="B1326" s="16"/>
      <c r="C1326" s="23"/>
      <c r="D1326" s="24"/>
      <c r="E1326" s="25"/>
      <c r="F1326" s="26"/>
      <c r="G1326" s="27"/>
      <c r="H1326" s="20"/>
      <c r="I1326" s="21"/>
      <c r="J1326" s="28"/>
      <c r="K1326" s="19"/>
    </row>
    <row r="1327" spans="1:11" ht="13.2">
      <c r="A1327" s="22"/>
      <c r="B1327" s="16"/>
      <c r="C1327" s="23"/>
      <c r="D1327" s="24"/>
      <c r="E1327" s="25"/>
      <c r="F1327" s="26"/>
      <c r="G1327" s="27"/>
      <c r="H1327" s="20"/>
      <c r="I1327" s="21"/>
      <c r="J1327" s="28"/>
      <c r="K1327" s="19"/>
    </row>
    <row r="1328" spans="1:11" ht="13.2">
      <c r="A1328" s="22"/>
      <c r="B1328" s="16"/>
      <c r="C1328" s="23"/>
      <c r="D1328" s="24"/>
      <c r="E1328" s="25"/>
      <c r="F1328" s="26"/>
      <c r="G1328" s="27"/>
      <c r="H1328" s="20"/>
      <c r="I1328" s="21"/>
      <c r="J1328" s="28"/>
      <c r="K1328" s="19"/>
    </row>
    <row r="1329" spans="1:11" ht="13.2">
      <c r="A1329" s="22"/>
      <c r="B1329" s="16"/>
      <c r="C1329" s="23"/>
      <c r="D1329" s="24"/>
      <c r="E1329" s="25"/>
      <c r="F1329" s="26"/>
      <c r="G1329" s="27"/>
      <c r="H1329" s="20"/>
      <c r="I1329" s="21"/>
      <c r="J1329" s="28"/>
      <c r="K1329" s="19"/>
    </row>
    <row r="1330" spans="1:11" ht="13.2">
      <c r="A1330" s="22"/>
      <c r="B1330" s="16"/>
      <c r="C1330" s="23"/>
      <c r="D1330" s="24"/>
      <c r="E1330" s="25"/>
      <c r="F1330" s="26"/>
      <c r="G1330" s="27"/>
      <c r="H1330" s="20"/>
      <c r="I1330" s="21"/>
      <c r="J1330" s="28"/>
      <c r="K1330" s="19"/>
    </row>
    <row r="1331" spans="1:11" ht="13.2">
      <c r="A1331" s="22"/>
      <c r="B1331" s="16"/>
      <c r="C1331" s="23"/>
      <c r="D1331" s="24"/>
      <c r="E1331" s="25"/>
      <c r="F1331" s="26"/>
      <c r="G1331" s="27"/>
      <c r="H1331" s="20"/>
      <c r="I1331" s="21"/>
      <c r="J1331" s="28"/>
      <c r="K1331" s="19"/>
    </row>
    <row r="1332" spans="1:11" ht="13.2">
      <c r="A1332" s="22"/>
      <c r="B1332" s="16"/>
      <c r="C1332" s="23"/>
      <c r="D1332" s="24"/>
      <c r="E1332" s="25"/>
      <c r="F1332" s="26"/>
      <c r="G1332" s="27"/>
      <c r="H1332" s="20"/>
      <c r="I1332" s="21"/>
      <c r="J1332" s="28"/>
      <c r="K1332" s="19"/>
    </row>
    <row r="1333" spans="1:11" ht="13.2">
      <c r="A1333" s="22"/>
      <c r="B1333" s="16"/>
      <c r="C1333" s="23"/>
      <c r="D1333" s="24"/>
      <c r="E1333" s="25"/>
      <c r="F1333" s="26"/>
      <c r="G1333" s="27"/>
      <c r="H1333" s="20"/>
      <c r="I1333" s="21"/>
      <c r="J1333" s="28"/>
      <c r="K1333" s="19"/>
    </row>
    <row r="1334" spans="1:11" ht="13.2">
      <c r="A1334" s="22"/>
      <c r="B1334" s="16"/>
      <c r="C1334" s="23"/>
      <c r="D1334" s="24"/>
      <c r="E1334" s="25"/>
      <c r="F1334" s="26"/>
      <c r="G1334" s="27"/>
      <c r="H1334" s="20"/>
      <c r="I1334" s="21"/>
      <c r="J1334" s="28"/>
      <c r="K1334" s="19"/>
    </row>
    <row r="1335" spans="1:11" ht="13.2">
      <c r="A1335" s="22"/>
      <c r="B1335" s="16"/>
      <c r="C1335" s="23"/>
      <c r="D1335" s="24"/>
      <c r="E1335" s="25"/>
      <c r="F1335" s="26"/>
      <c r="G1335" s="27"/>
      <c r="H1335" s="20"/>
      <c r="I1335" s="21"/>
      <c r="J1335" s="28"/>
      <c r="K1335" s="19"/>
    </row>
    <row r="1336" spans="1:11" ht="13.2">
      <c r="A1336" s="22"/>
      <c r="B1336" s="16"/>
      <c r="C1336" s="23"/>
      <c r="D1336" s="24"/>
      <c r="E1336" s="25"/>
      <c r="F1336" s="26"/>
      <c r="G1336" s="27"/>
      <c r="H1336" s="20"/>
      <c r="I1336" s="21"/>
      <c r="J1336" s="28"/>
      <c r="K1336" s="19"/>
    </row>
    <row r="1337" spans="1:11" ht="13.2">
      <c r="A1337" s="22"/>
      <c r="B1337" s="16"/>
      <c r="C1337" s="23"/>
      <c r="D1337" s="24"/>
      <c r="E1337" s="25"/>
      <c r="F1337" s="26"/>
      <c r="G1337" s="27"/>
      <c r="H1337" s="20"/>
      <c r="I1337" s="21"/>
      <c r="J1337" s="28"/>
      <c r="K1337" s="19"/>
    </row>
    <row r="1338" spans="1:11" ht="13.2">
      <c r="A1338" s="22"/>
      <c r="B1338" s="16"/>
      <c r="C1338" s="23"/>
      <c r="D1338" s="24"/>
      <c r="E1338" s="25"/>
      <c r="F1338" s="26"/>
      <c r="G1338" s="27"/>
      <c r="H1338" s="20"/>
      <c r="I1338" s="21"/>
      <c r="J1338" s="28"/>
      <c r="K1338" s="19"/>
    </row>
    <row r="1339" spans="1:11" ht="13.2">
      <c r="A1339" s="22"/>
      <c r="B1339" s="16"/>
      <c r="C1339" s="23"/>
      <c r="D1339" s="24"/>
      <c r="E1339" s="25"/>
      <c r="F1339" s="26"/>
      <c r="G1339" s="27"/>
      <c r="H1339" s="20"/>
      <c r="I1339" s="21"/>
      <c r="J1339" s="28"/>
      <c r="K1339" s="19"/>
    </row>
    <row r="1340" spans="1:11" ht="13.2">
      <c r="A1340" s="22"/>
      <c r="B1340" s="16"/>
      <c r="C1340" s="23"/>
      <c r="D1340" s="24"/>
      <c r="E1340" s="25"/>
      <c r="F1340" s="26"/>
      <c r="G1340" s="27"/>
      <c r="H1340" s="20"/>
      <c r="I1340" s="21"/>
      <c r="J1340" s="28"/>
      <c r="K1340" s="19"/>
    </row>
    <row r="1341" spans="1:11" ht="13.2">
      <c r="A1341" s="22"/>
      <c r="B1341" s="16"/>
      <c r="C1341" s="23"/>
      <c r="D1341" s="24"/>
      <c r="E1341" s="25"/>
      <c r="F1341" s="26"/>
      <c r="G1341" s="27"/>
      <c r="H1341" s="20"/>
      <c r="I1341" s="21"/>
      <c r="J1341" s="28"/>
      <c r="K1341" s="19"/>
    </row>
    <row r="1342" spans="1:11" ht="13.2">
      <c r="A1342" s="22"/>
      <c r="B1342" s="16"/>
      <c r="C1342" s="23"/>
      <c r="D1342" s="24"/>
      <c r="E1342" s="25"/>
      <c r="F1342" s="26"/>
      <c r="G1342" s="27"/>
      <c r="H1342" s="20"/>
      <c r="I1342" s="21"/>
      <c r="J1342" s="28"/>
      <c r="K1342" s="19"/>
    </row>
    <row r="1343" spans="1:11" ht="13.2">
      <c r="A1343" s="22"/>
      <c r="B1343" s="16"/>
      <c r="C1343" s="23"/>
      <c r="D1343" s="24"/>
      <c r="E1343" s="25"/>
      <c r="F1343" s="26"/>
      <c r="G1343" s="27"/>
      <c r="H1343" s="20"/>
      <c r="I1343" s="21"/>
      <c r="J1343" s="28"/>
      <c r="K1343" s="19"/>
    </row>
    <row r="1344" spans="1:11" ht="13.2">
      <c r="A1344" s="22"/>
      <c r="B1344" s="16"/>
      <c r="C1344" s="23"/>
      <c r="D1344" s="24"/>
      <c r="E1344" s="25"/>
      <c r="F1344" s="26"/>
      <c r="G1344" s="27"/>
      <c r="H1344" s="20"/>
      <c r="I1344" s="21"/>
      <c r="J1344" s="28"/>
      <c r="K1344" s="19"/>
    </row>
    <row r="1345" spans="1:11" ht="13.2">
      <c r="A1345" s="22"/>
      <c r="B1345" s="16"/>
      <c r="C1345" s="23"/>
      <c r="D1345" s="24"/>
      <c r="E1345" s="25"/>
      <c r="F1345" s="26"/>
      <c r="G1345" s="27"/>
      <c r="H1345" s="20"/>
      <c r="I1345" s="21"/>
      <c r="J1345" s="28"/>
      <c r="K1345" s="19"/>
    </row>
    <row r="1346" spans="1:11" ht="13.2">
      <c r="A1346" s="22"/>
      <c r="B1346" s="16"/>
      <c r="C1346" s="23"/>
      <c r="D1346" s="24"/>
      <c r="E1346" s="25"/>
      <c r="F1346" s="26"/>
      <c r="G1346" s="27"/>
      <c r="H1346" s="20"/>
      <c r="I1346" s="21"/>
      <c r="J1346" s="28"/>
      <c r="K1346" s="19"/>
    </row>
    <row r="1347" spans="1:11" ht="13.2">
      <c r="A1347" s="22"/>
      <c r="B1347" s="16"/>
      <c r="C1347" s="23"/>
      <c r="D1347" s="24"/>
      <c r="E1347" s="25"/>
      <c r="F1347" s="26"/>
      <c r="G1347" s="27"/>
      <c r="H1347" s="20"/>
      <c r="I1347" s="21"/>
      <c r="J1347" s="28"/>
      <c r="K1347" s="19"/>
    </row>
    <row r="1348" spans="1:11" ht="13.2">
      <c r="A1348" s="22"/>
      <c r="B1348" s="16"/>
      <c r="C1348" s="23"/>
      <c r="D1348" s="24"/>
      <c r="E1348" s="25"/>
      <c r="F1348" s="26"/>
      <c r="G1348" s="27"/>
      <c r="H1348" s="20"/>
      <c r="I1348" s="21"/>
      <c r="J1348" s="28"/>
      <c r="K1348" s="19"/>
    </row>
    <row r="1349" spans="1:11" ht="13.2">
      <c r="A1349" s="22"/>
      <c r="B1349" s="16"/>
      <c r="C1349" s="23"/>
      <c r="D1349" s="24"/>
      <c r="E1349" s="25"/>
      <c r="F1349" s="26"/>
      <c r="G1349" s="27"/>
      <c r="H1349" s="20"/>
      <c r="I1349" s="21"/>
      <c r="J1349" s="28"/>
      <c r="K1349" s="19"/>
    </row>
    <row r="1350" spans="1:11" ht="13.2">
      <c r="A1350" s="22"/>
      <c r="B1350" s="16"/>
      <c r="C1350" s="23"/>
      <c r="D1350" s="24"/>
      <c r="E1350" s="25"/>
      <c r="F1350" s="26"/>
      <c r="G1350" s="27"/>
      <c r="H1350" s="20"/>
      <c r="I1350" s="21"/>
      <c r="J1350" s="28"/>
      <c r="K1350" s="19"/>
    </row>
    <row r="1351" spans="1:11" ht="13.2">
      <c r="A1351" s="22"/>
      <c r="B1351" s="16"/>
      <c r="C1351" s="23"/>
      <c r="D1351" s="24"/>
      <c r="E1351" s="25"/>
      <c r="F1351" s="26"/>
      <c r="G1351" s="27"/>
      <c r="H1351" s="20"/>
      <c r="I1351" s="21"/>
      <c r="J1351" s="28"/>
      <c r="K1351" s="19"/>
    </row>
    <row r="1352" spans="1:11" ht="13.2">
      <c r="A1352" s="22"/>
      <c r="B1352" s="16"/>
      <c r="C1352" s="23"/>
      <c r="D1352" s="24"/>
      <c r="E1352" s="25"/>
      <c r="F1352" s="26"/>
      <c r="G1352" s="27"/>
      <c r="H1352" s="20"/>
      <c r="I1352" s="21"/>
      <c r="J1352" s="28"/>
      <c r="K1352" s="19"/>
    </row>
    <row r="1353" spans="1:11" ht="13.2">
      <c r="A1353" s="22"/>
      <c r="B1353" s="16"/>
      <c r="C1353" s="23"/>
      <c r="D1353" s="24"/>
      <c r="E1353" s="25"/>
      <c r="F1353" s="26"/>
      <c r="G1353" s="27"/>
      <c r="H1353" s="20"/>
      <c r="I1353" s="21"/>
      <c r="J1353" s="28"/>
      <c r="K1353" s="19"/>
    </row>
    <row r="1354" spans="1:11" ht="13.2">
      <c r="A1354" s="22"/>
      <c r="B1354" s="16"/>
      <c r="C1354" s="23"/>
      <c r="D1354" s="24"/>
      <c r="E1354" s="25"/>
      <c r="F1354" s="26"/>
      <c r="G1354" s="27"/>
      <c r="H1354" s="20"/>
      <c r="I1354" s="21"/>
      <c r="J1354" s="28"/>
      <c r="K1354" s="19"/>
    </row>
    <row r="1355" spans="1:11" ht="13.2">
      <c r="A1355" s="22"/>
      <c r="B1355" s="16"/>
      <c r="C1355" s="23"/>
      <c r="D1355" s="24"/>
      <c r="E1355" s="25"/>
      <c r="F1355" s="26"/>
      <c r="G1355" s="27"/>
      <c r="H1355" s="20"/>
      <c r="I1355" s="21"/>
      <c r="J1355" s="28"/>
      <c r="K1355" s="19"/>
    </row>
    <row r="1356" spans="1:11" ht="13.2">
      <c r="A1356" s="22"/>
      <c r="B1356" s="16"/>
      <c r="C1356" s="23"/>
      <c r="D1356" s="24"/>
      <c r="E1356" s="25"/>
      <c r="F1356" s="26"/>
      <c r="G1356" s="27"/>
      <c r="H1356" s="20"/>
      <c r="I1356" s="21"/>
      <c r="J1356" s="28"/>
      <c r="K1356" s="19"/>
    </row>
    <row r="1357" spans="1:11" ht="13.2">
      <c r="A1357" s="22"/>
      <c r="B1357" s="16"/>
      <c r="C1357" s="23"/>
      <c r="D1357" s="24"/>
      <c r="E1357" s="25"/>
      <c r="F1357" s="26"/>
      <c r="G1357" s="27"/>
      <c r="H1357" s="20"/>
      <c r="I1357" s="21"/>
      <c r="J1357" s="28"/>
      <c r="K1357" s="19"/>
    </row>
    <row r="1358" spans="1:11" ht="13.2">
      <c r="A1358" s="22"/>
      <c r="B1358" s="16"/>
      <c r="C1358" s="23"/>
      <c r="D1358" s="24"/>
      <c r="E1358" s="25"/>
      <c r="F1358" s="26"/>
      <c r="G1358" s="27"/>
      <c r="H1358" s="20"/>
      <c r="I1358" s="21"/>
      <c r="J1358" s="28"/>
      <c r="K1358" s="19"/>
    </row>
    <row r="1359" spans="1:11" ht="13.2">
      <c r="A1359" s="22"/>
      <c r="B1359" s="16"/>
      <c r="C1359" s="23"/>
      <c r="D1359" s="24"/>
      <c r="E1359" s="25"/>
      <c r="F1359" s="26"/>
      <c r="G1359" s="27"/>
      <c r="H1359" s="20"/>
      <c r="I1359" s="21"/>
      <c r="J1359" s="28"/>
      <c r="K1359" s="19"/>
    </row>
    <row r="1360" spans="1:11" ht="13.2">
      <c r="A1360" s="22"/>
      <c r="B1360" s="16"/>
      <c r="C1360" s="23"/>
      <c r="D1360" s="24"/>
      <c r="E1360" s="25"/>
      <c r="F1360" s="26"/>
      <c r="G1360" s="27"/>
      <c r="H1360" s="20"/>
      <c r="I1360" s="21"/>
      <c r="J1360" s="28"/>
      <c r="K1360" s="19"/>
    </row>
    <row r="1361" spans="1:11" ht="13.2">
      <c r="A1361" s="22"/>
      <c r="B1361" s="16"/>
      <c r="C1361" s="23"/>
      <c r="D1361" s="24"/>
      <c r="E1361" s="25"/>
      <c r="F1361" s="26"/>
      <c r="G1361" s="27"/>
      <c r="H1361" s="20"/>
      <c r="I1361" s="21"/>
      <c r="J1361" s="28"/>
      <c r="K1361" s="19"/>
    </row>
    <row r="1362" spans="1:11" ht="13.2">
      <c r="A1362" s="22"/>
      <c r="B1362" s="16"/>
      <c r="C1362" s="23"/>
      <c r="D1362" s="24"/>
      <c r="E1362" s="25"/>
      <c r="F1362" s="26"/>
      <c r="G1362" s="27"/>
      <c r="H1362" s="20"/>
      <c r="I1362" s="21"/>
      <c r="J1362" s="28"/>
      <c r="K1362" s="19"/>
    </row>
    <row r="1363" spans="1:11" ht="13.2">
      <c r="A1363" s="22"/>
      <c r="B1363" s="16"/>
      <c r="C1363" s="23"/>
      <c r="D1363" s="24"/>
      <c r="E1363" s="25"/>
      <c r="F1363" s="26"/>
      <c r="G1363" s="27"/>
      <c r="H1363" s="20"/>
      <c r="I1363" s="21"/>
      <c r="J1363" s="28"/>
      <c r="K1363" s="19"/>
    </row>
    <row r="1364" spans="1:11" ht="13.2">
      <c r="A1364" s="22"/>
      <c r="B1364" s="16"/>
      <c r="C1364" s="23"/>
      <c r="D1364" s="24"/>
      <c r="E1364" s="25"/>
      <c r="F1364" s="26"/>
      <c r="G1364" s="27"/>
      <c r="H1364" s="20"/>
      <c r="I1364" s="21"/>
      <c r="J1364" s="28"/>
      <c r="K1364" s="19"/>
    </row>
    <row r="1365" spans="1:11" ht="13.2">
      <c r="A1365" s="22"/>
      <c r="B1365" s="16"/>
      <c r="C1365" s="23"/>
      <c r="D1365" s="24"/>
      <c r="E1365" s="25"/>
      <c r="F1365" s="26"/>
      <c r="G1365" s="27"/>
      <c r="H1365" s="20"/>
      <c r="I1365" s="21"/>
      <c r="J1365" s="28"/>
      <c r="K1365" s="19"/>
    </row>
    <row r="1366" spans="1:11" ht="13.2">
      <c r="A1366" s="22"/>
      <c r="B1366" s="16"/>
      <c r="C1366" s="23"/>
      <c r="D1366" s="24"/>
      <c r="E1366" s="25"/>
      <c r="F1366" s="26"/>
      <c r="G1366" s="27"/>
      <c r="H1366" s="20"/>
      <c r="I1366" s="21"/>
      <c r="J1366" s="28"/>
      <c r="K1366" s="19"/>
    </row>
    <row r="1367" spans="1:11" ht="13.2">
      <c r="A1367" s="22"/>
      <c r="B1367" s="16"/>
      <c r="C1367" s="23"/>
      <c r="D1367" s="24"/>
      <c r="E1367" s="25"/>
      <c r="F1367" s="26"/>
      <c r="G1367" s="27"/>
      <c r="H1367" s="20"/>
      <c r="I1367" s="21"/>
      <c r="J1367" s="28"/>
      <c r="K1367" s="19"/>
    </row>
    <row r="1368" spans="1:11" ht="13.2">
      <c r="A1368" s="22"/>
      <c r="B1368" s="16"/>
      <c r="C1368" s="23"/>
      <c r="D1368" s="24"/>
      <c r="E1368" s="25"/>
      <c r="F1368" s="26"/>
      <c r="G1368" s="27"/>
      <c r="H1368" s="20"/>
      <c r="I1368" s="21"/>
      <c r="J1368" s="28"/>
      <c r="K1368" s="19"/>
    </row>
    <row r="1369" spans="1:11" ht="13.2">
      <c r="A1369" s="22"/>
      <c r="B1369" s="16"/>
      <c r="C1369" s="23"/>
      <c r="D1369" s="24"/>
      <c r="E1369" s="25"/>
      <c r="F1369" s="26"/>
      <c r="G1369" s="27"/>
      <c r="H1369" s="20"/>
      <c r="I1369" s="21"/>
      <c r="J1369" s="28"/>
      <c r="K1369" s="19"/>
    </row>
    <row r="1370" spans="1:11" ht="13.2">
      <c r="A1370" s="22"/>
      <c r="B1370" s="16"/>
      <c r="C1370" s="23"/>
      <c r="D1370" s="24"/>
      <c r="E1370" s="25"/>
      <c r="F1370" s="26"/>
      <c r="G1370" s="27"/>
      <c r="H1370" s="20"/>
      <c r="I1370" s="21"/>
      <c r="J1370" s="28"/>
      <c r="K1370" s="19"/>
    </row>
    <row r="1371" spans="1:11" ht="13.2">
      <c r="A1371" s="22"/>
      <c r="B1371" s="16"/>
      <c r="C1371" s="23"/>
      <c r="D1371" s="24"/>
      <c r="E1371" s="25"/>
      <c r="F1371" s="26"/>
      <c r="G1371" s="27"/>
      <c r="H1371" s="20"/>
      <c r="I1371" s="21"/>
      <c r="J1371" s="28"/>
      <c r="K1371" s="19"/>
    </row>
    <row r="1372" spans="1:11" ht="13.2">
      <c r="A1372" s="22"/>
      <c r="B1372" s="16"/>
      <c r="C1372" s="23"/>
      <c r="D1372" s="24"/>
      <c r="E1372" s="25"/>
      <c r="F1372" s="26"/>
      <c r="G1372" s="27"/>
      <c r="H1372" s="20"/>
      <c r="I1372" s="21"/>
      <c r="J1372" s="28"/>
      <c r="K1372" s="19"/>
    </row>
    <row r="1373" spans="1:11" ht="13.2">
      <c r="A1373" s="22"/>
      <c r="B1373" s="16"/>
      <c r="C1373" s="23"/>
      <c r="D1373" s="24"/>
      <c r="E1373" s="25"/>
      <c r="F1373" s="26"/>
      <c r="G1373" s="27"/>
      <c r="H1373" s="20"/>
      <c r="I1373" s="21"/>
      <c r="J1373" s="28"/>
      <c r="K1373" s="19"/>
    </row>
    <row r="1374" spans="1:11" ht="13.2">
      <c r="A1374" s="22"/>
      <c r="B1374" s="16"/>
      <c r="C1374" s="23"/>
      <c r="D1374" s="24"/>
      <c r="E1374" s="25"/>
      <c r="F1374" s="26"/>
      <c r="G1374" s="27"/>
      <c r="H1374" s="20"/>
      <c r="I1374" s="21"/>
      <c r="J1374" s="28"/>
      <c r="K1374" s="19"/>
    </row>
    <row r="1375" spans="1:11" ht="13.2">
      <c r="A1375" s="22"/>
      <c r="B1375" s="16"/>
      <c r="C1375" s="23"/>
      <c r="D1375" s="24"/>
      <c r="E1375" s="25"/>
      <c r="F1375" s="26"/>
      <c r="G1375" s="27"/>
      <c r="H1375" s="20"/>
      <c r="I1375" s="21"/>
      <c r="J1375" s="28"/>
      <c r="K1375" s="19"/>
    </row>
    <row r="1376" spans="1:11" ht="13.2">
      <c r="A1376" s="22"/>
      <c r="B1376" s="16"/>
      <c r="C1376" s="23"/>
      <c r="D1376" s="24"/>
      <c r="E1376" s="25"/>
      <c r="F1376" s="26"/>
      <c r="G1376" s="27"/>
      <c r="H1376" s="20"/>
      <c r="I1376" s="21"/>
      <c r="J1376" s="28"/>
      <c r="K1376" s="19"/>
    </row>
    <row r="1377" spans="1:11" ht="13.2">
      <c r="A1377" s="22"/>
      <c r="B1377" s="16"/>
      <c r="C1377" s="23"/>
      <c r="D1377" s="24"/>
      <c r="E1377" s="25"/>
      <c r="F1377" s="26"/>
      <c r="G1377" s="27"/>
      <c r="H1377" s="20"/>
      <c r="I1377" s="21"/>
      <c r="J1377" s="28"/>
      <c r="K1377" s="19"/>
    </row>
    <row r="1378" spans="1:11" ht="13.2">
      <c r="A1378" s="22"/>
      <c r="B1378" s="16"/>
      <c r="C1378" s="23"/>
      <c r="D1378" s="24"/>
      <c r="E1378" s="25"/>
      <c r="F1378" s="26"/>
      <c r="G1378" s="27"/>
      <c r="H1378" s="20"/>
      <c r="I1378" s="21"/>
      <c r="J1378" s="28"/>
      <c r="K1378" s="19"/>
    </row>
    <row r="1379" spans="1:11" ht="13.2">
      <c r="A1379" s="22"/>
      <c r="B1379" s="16"/>
      <c r="C1379" s="23"/>
      <c r="D1379" s="24"/>
      <c r="E1379" s="25"/>
      <c r="F1379" s="26"/>
      <c r="G1379" s="27"/>
      <c r="H1379" s="20"/>
      <c r="I1379" s="21"/>
      <c r="J1379" s="28"/>
      <c r="K1379" s="19"/>
    </row>
    <row r="1380" spans="1:11" ht="13.2">
      <c r="A1380" s="22"/>
      <c r="B1380" s="16"/>
      <c r="C1380" s="23"/>
      <c r="D1380" s="24"/>
      <c r="E1380" s="25"/>
      <c r="F1380" s="26"/>
      <c r="G1380" s="27"/>
      <c r="H1380" s="20"/>
      <c r="I1380" s="21"/>
      <c r="J1380" s="28"/>
      <c r="K1380" s="19"/>
    </row>
    <row r="1381" spans="1:11" ht="13.2">
      <c r="A1381" s="22"/>
      <c r="B1381" s="16"/>
      <c r="C1381" s="23"/>
      <c r="D1381" s="24"/>
      <c r="E1381" s="25"/>
      <c r="F1381" s="26"/>
      <c r="G1381" s="27"/>
      <c r="H1381" s="20"/>
      <c r="I1381" s="21"/>
      <c r="J1381" s="28"/>
      <c r="K1381" s="19"/>
    </row>
    <row r="1382" spans="1:11" ht="13.2">
      <c r="A1382" s="22"/>
      <c r="B1382" s="16"/>
      <c r="C1382" s="23"/>
      <c r="D1382" s="24"/>
      <c r="E1382" s="25"/>
      <c r="F1382" s="26"/>
      <c r="G1382" s="27"/>
      <c r="H1382" s="20"/>
      <c r="I1382" s="21"/>
      <c r="J1382" s="28"/>
      <c r="K1382" s="19"/>
    </row>
    <row r="1383" spans="1:11" ht="13.2">
      <c r="A1383" s="22"/>
      <c r="B1383" s="16"/>
      <c r="C1383" s="23"/>
      <c r="D1383" s="24"/>
      <c r="E1383" s="25"/>
      <c r="F1383" s="26"/>
      <c r="G1383" s="27"/>
      <c r="H1383" s="20"/>
      <c r="I1383" s="21"/>
      <c r="J1383" s="28"/>
      <c r="K1383" s="19"/>
    </row>
    <row r="1384" spans="1:11" ht="13.2">
      <c r="A1384" s="22"/>
      <c r="B1384" s="16"/>
      <c r="C1384" s="23"/>
      <c r="D1384" s="24"/>
      <c r="E1384" s="25"/>
      <c r="F1384" s="26"/>
      <c r="G1384" s="27"/>
      <c r="H1384" s="20"/>
      <c r="I1384" s="21"/>
      <c r="J1384" s="28"/>
      <c r="K1384" s="19"/>
    </row>
    <row r="1385" spans="1:11" ht="13.2">
      <c r="A1385" s="22"/>
      <c r="B1385" s="16"/>
      <c r="C1385" s="23"/>
      <c r="D1385" s="24"/>
      <c r="E1385" s="25"/>
      <c r="F1385" s="26"/>
      <c r="G1385" s="27"/>
      <c r="H1385" s="20"/>
      <c r="I1385" s="21"/>
      <c r="J1385" s="28"/>
      <c r="K1385" s="19"/>
    </row>
    <row r="1386" spans="1:11" ht="13.2">
      <c r="A1386" s="22"/>
      <c r="B1386" s="16"/>
      <c r="C1386" s="23"/>
      <c r="D1386" s="24"/>
      <c r="E1386" s="25"/>
      <c r="F1386" s="26"/>
      <c r="G1386" s="27"/>
      <c r="H1386" s="20"/>
      <c r="I1386" s="21"/>
      <c r="J1386" s="28"/>
      <c r="K1386" s="19"/>
    </row>
    <row r="1387" spans="1:11" ht="13.2">
      <c r="A1387" s="22"/>
      <c r="B1387" s="16"/>
      <c r="C1387" s="23"/>
      <c r="D1387" s="24"/>
      <c r="E1387" s="25"/>
      <c r="F1387" s="26"/>
      <c r="G1387" s="27"/>
      <c r="H1387" s="20"/>
      <c r="I1387" s="21"/>
      <c r="J1387" s="28"/>
      <c r="K1387" s="19"/>
    </row>
    <row r="1388" spans="1:11" ht="13.2">
      <c r="A1388" s="22"/>
      <c r="B1388" s="16"/>
      <c r="C1388" s="23"/>
      <c r="D1388" s="24"/>
      <c r="E1388" s="25"/>
      <c r="F1388" s="26"/>
      <c r="G1388" s="27"/>
      <c r="H1388" s="20"/>
      <c r="I1388" s="21"/>
      <c r="J1388" s="28"/>
      <c r="K1388" s="19"/>
    </row>
    <row r="1389" spans="1:11" ht="13.2">
      <c r="A1389" s="22"/>
      <c r="B1389" s="16"/>
      <c r="C1389" s="23"/>
      <c r="D1389" s="24"/>
      <c r="E1389" s="25"/>
      <c r="F1389" s="26"/>
      <c r="G1389" s="27"/>
      <c r="H1389" s="20"/>
      <c r="I1389" s="21"/>
      <c r="J1389" s="28"/>
      <c r="K1389" s="19"/>
    </row>
    <row r="1390" spans="1:11" ht="13.2">
      <c r="A1390" s="22"/>
      <c r="B1390" s="16"/>
      <c r="C1390" s="23"/>
      <c r="D1390" s="24"/>
      <c r="E1390" s="25"/>
      <c r="F1390" s="26"/>
      <c r="G1390" s="27"/>
      <c r="H1390" s="20"/>
      <c r="I1390" s="21"/>
      <c r="J1390" s="28"/>
      <c r="K1390" s="19"/>
    </row>
    <row r="1391" spans="1:11" ht="13.2">
      <c r="A1391" s="22"/>
      <c r="B1391" s="16"/>
      <c r="C1391" s="23"/>
      <c r="D1391" s="24"/>
      <c r="E1391" s="25"/>
      <c r="F1391" s="26"/>
      <c r="G1391" s="27"/>
      <c r="H1391" s="20"/>
      <c r="I1391" s="21"/>
      <c r="J1391" s="28"/>
      <c r="K1391" s="19"/>
    </row>
    <row r="1392" spans="1:11" ht="13.2">
      <c r="A1392" s="22"/>
      <c r="B1392" s="16"/>
      <c r="C1392" s="23"/>
      <c r="D1392" s="24"/>
      <c r="E1392" s="25"/>
      <c r="F1392" s="26"/>
      <c r="G1392" s="27"/>
      <c r="H1392" s="20"/>
      <c r="I1392" s="21"/>
      <c r="J1392" s="28"/>
      <c r="K1392" s="19"/>
    </row>
    <row r="1393" spans="1:11" ht="13.2">
      <c r="A1393" s="22"/>
      <c r="B1393" s="16"/>
      <c r="C1393" s="23"/>
      <c r="D1393" s="24"/>
      <c r="E1393" s="25"/>
      <c r="F1393" s="26"/>
      <c r="G1393" s="27"/>
      <c r="H1393" s="20"/>
      <c r="I1393" s="21"/>
      <c r="J1393" s="28"/>
      <c r="K1393" s="19"/>
    </row>
    <row r="1394" spans="1:11" ht="13.2">
      <c r="A1394" s="22"/>
      <c r="B1394" s="16"/>
      <c r="C1394" s="23"/>
      <c r="D1394" s="24"/>
      <c r="E1394" s="25"/>
      <c r="F1394" s="26"/>
      <c r="G1394" s="27"/>
      <c r="H1394" s="20"/>
      <c r="I1394" s="21"/>
      <c r="J1394" s="28"/>
      <c r="K1394" s="19"/>
    </row>
    <row r="1395" spans="1:11" ht="13.2">
      <c r="A1395" s="22"/>
      <c r="B1395" s="16"/>
      <c r="C1395" s="23"/>
      <c r="D1395" s="24"/>
      <c r="E1395" s="25"/>
      <c r="F1395" s="26"/>
      <c r="G1395" s="27"/>
      <c r="H1395" s="20"/>
      <c r="I1395" s="21"/>
      <c r="J1395" s="28"/>
      <c r="K1395" s="19"/>
    </row>
    <row r="1396" spans="1:11" ht="13.2">
      <c r="A1396" s="22"/>
      <c r="B1396" s="16"/>
      <c r="C1396" s="23"/>
      <c r="D1396" s="24"/>
      <c r="E1396" s="25"/>
      <c r="F1396" s="26"/>
      <c r="G1396" s="27"/>
      <c r="H1396" s="20"/>
      <c r="I1396" s="21"/>
      <c r="J1396" s="28"/>
      <c r="K1396" s="19"/>
    </row>
    <row r="1397" spans="1:11" ht="13.2">
      <c r="A1397" s="22"/>
      <c r="B1397" s="16"/>
      <c r="C1397" s="23"/>
      <c r="D1397" s="24"/>
      <c r="E1397" s="25"/>
      <c r="F1397" s="26"/>
      <c r="G1397" s="27"/>
      <c r="H1397" s="20"/>
      <c r="I1397" s="21"/>
      <c r="J1397" s="28"/>
      <c r="K1397" s="19"/>
    </row>
    <row r="1398" spans="1:11" ht="13.2">
      <c r="A1398" s="22"/>
      <c r="B1398" s="16"/>
      <c r="C1398" s="23"/>
      <c r="D1398" s="24"/>
      <c r="E1398" s="25"/>
      <c r="F1398" s="26"/>
      <c r="G1398" s="27"/>
      <c r="H1398" s="20"/>
      <c r="I1398" s="21"/>
      <c r="J1398" s="28"/>
      <c r="K1398" s="19"/>
    </row>
    <row r="1399" spans="1:11" ht="13.2">
      <c r="A1399" s="22"/>
      <c r="B1399" s="16"/>
      <c r="C1399" s="23"/>
      <c r="D1399" s="24"/>
      <c r="E1399" s="25"/>
      <c r="F1399" s="26"/>
      <c r="G1399" s="27"/>
      <c r="H1399" s="20"/>
      <c r="I1399" s="21"/>
      <c r="J1399" s="28"/>
      <c r="K1399" s="19"/>
    </row>
    <row r="1400" spans="1:11" ht="13.2">
      <c r="A1400" s="22"/>
      <c r="B1400" s="16"/>
      <c r="C1400" s="23"/>
      <c r="D1400" s="24"/>
      <c r="E1400" s="25"/>
      <c r="F1400" s="26"/>
      <c r="G1400" s="27"/>
      <c r="H1400" s="20"/>
      <c r="I1400" s="21"/>
      <c r="J1400" s="28"/>
      <c r="K1400" s="19"/>
    </row>
    <row r="1401" spans="1:11" ht="13.2">
      <c r="A1401" s="22"/>
      <c r="B1401" s="16"/>
      <c r="C1401" s="23"/>
      <c r="D1401" s="24"/>
      <c r="E1401" s="25"/>
      <c r="F1401" s="26"/>
      <c r="G1401" s="27"/>
      <c r="H1401" s="20"/>
      <c r="I1401" s="21"/>
      <c r="J1401" s="28"/>
      <c r="K1401" s="19"/>
    </row>
    <row r="1402" spans="1:11" ht="13.2">
      <c r="A1402" s="22"/>
      <c r="B1402" s="16"/>
      <c r="C1402" s="23"/>
      <c r="D1402" s="24"/>
      <c r="E1402" s="25"/>
      <c r="F1402" s="26"/>
      <c r="G1402" s="27"/>
      <c r="H1402" s="20"/>
      <c r="I1402" s="21"/>
      <c r="J1402" s="28"/>
      <c r="K1402" s="19"/>
    </row>
    <row r="1403" spans="1:11" ht="13.2">
      <c r="A1403" s="22"/>
      <c r="B1403" s="16"/>
      <c r="C1403" s="23"/>
      <c r="D1403" s="24"/>
      <c r="E1403" s="25"/>
      <c r="F1403" s="26"/>
      <c r="G1403" s="27"/>
      <c r="H1403" s="20"/>
      <c r="I1403" s="21"/>
      <c r="J1403" s="28"/>
      <c r="K1403" s="19"/>
    </row>
    <row r="1404" spans="1:11" ht="13.2">
      <c r="A1404" s="22"/>
      <c r="B1404" s="16"/>
      <c r="C1404" s="23"/>
      <c r="D1404" s="24"/>
      <c r="E1404" s="25"/>
      <c r="F1404" s="26"/>
      <c r="G1404" s="27"/>
      <c r="H1404" s="20"/>
      <c r="I1404" s="21"/>
      <c r="J1404" s="28"/>
      <c r="K1404" s="19"/>
    </row>
    <row r="1405" spans="1:11" ht="13.2">
      <c r="A1405" s="22"/>
      <c r="B1405" s="16"/>
      <c r="C1405" s="23"/>
      <c r="D1405" s="24"/>
      <c r="E1405" s="25"/>
      <c r="F1405" s="26"/>
      <c r="G1405" s="27"/>
      <c r="H1405" s="20"/>
      <c r="I1405" s="21"/>
      <c r="J1405" s="28"/>
      <c r="K1405" s="19"/>
    </row>
    <row r="1406" spans="1:11" ht="13.2">
      <c r="A1406" s="22"/>
      <c r="B1406" s="16"/>
      <c r="C1406" s="23"/>
      <c r="D1406" s="24"/>
      <c r="E1406" s="25"/>
      <c r="F1406" s="26"/>
      <c r="G1406" s="27"/>
      <c r="H1406" s="20"/>
      <c r="I1406" s="21"/>
      <c r="J1406" s="28"/>
      <c r="K1406" s="19"/>
    </row>
    <row r="1407" spans="1:11" ht="13.2">
      <c r="A1407" s="22"/>
      <c r="B1407" s="16"/>
      <c r="C1407" s="23"/>
      <c r="D1407" s="24"/>
      <c r="E1407" s="25"/>
      <c r="F1407" s="26"/>
      <c r="G1407" s="27"/>
      <c r="H1407" s="20"/>
      <c r="I1407" s="21"/>
      <c r="J1407" s="28"/>
      <c r="K1407" s="19"/>
    </row>
    <row r="1408" spans="1:11" ht="13.2">
      <c r="A1408" s="22"/>
      <c r="B1408" s="16"/>
      <c r="C1408" s="23"/>
      <c r="D1408" s="24"/>
      <c r="E1408" s="25"/>
      <c r="F1408" s="26"/>
      <c r="G1408" s="27"/>
      <c r="H1408" s="20"/>
      <c r="I1408" s="21"/>
      <c r="J1408" s="28"/>
      <c r="K1408" s="19"/>
    </row>
    <row r="1409" spans="1:11" ht="13.2">
      <c r="A1409" s="22"/>
      <c r="B1409" s="16"/>
      <c r="C1409" s="23"/>
      <c r="D1409" s="24"/>
      <c r="E1409" s="25"/>
      <c r="F1409" s="26"/>
      <c r="G1409" s="27"/>
      <c r="H1409" s="20"/>
      <c r="I1409" s="21"/>
      <c r="J1409" s="28"/>
      <c r="K1409" s="19"/>
    </row>
    <row r="1410" spans="1:11" ht="13.2">
      <c r="A1410" s="22"/>
      <c r="B1410" s="16"/>
      <c r="C1410" s="23"/>
      <c r="D1410" s="24"/>
      <c r="E1410" s="25"/>
      <c r="F1410" s="26"/>
      <c r="G1410" s="27"/>
      <c r="H1410" s="20"/>
      <c r="I1410" s="21"/>
      <c r="J1410" s="28"/>
      <c r="K1410" s="19"/>
    </row>
    <row r="1411" spans="1:11" ht="13.2">
      <c r="A1411" s="22"/>
      <c r="B1411" s="16"/>
      <c r="C1411" s="23"/>
      <c r="D1411" s="24"/>
      <c r="E1411" s="25"/>
      <c r="F1411" s="26"/>
      <c r="G1411" s="27"/>
      <c r="H1411" s="20"/>
      <c r="I1411" s="21"/>
      <c r="J1411" s="28"/>
      <c r="K1411" s="19"/>
    </row>
    <row r="1412" spans="1:11" ht="13.2">
      <c r="A1412" s="22"/>
      <c r="B1412" s="16"/>
      <c r="C1412" s="23"/>
      <c r="D1412" s="24"/>
      <c r="E1412" s="25"/>
      <c r="F1412" s="26"/>
      <c r="G1412" s="27"/>
      <c r="H1412" s="20"/>
      <c r="I1412" s="21"/>
      <c r="J1412" s="28"/>
      <c r="K1412" s="19"/>
    </row>
    <row r="1413" spans="1:11" ht="13.2">
      <c r="A1413" s="22"/>
      <c r="B1413" s="16"/>
      <c r="C1413" s="23"/>
      <c r="D1413" s="24"/>
      <c r="E1413" s="25"/>
      <c r="F1413" s="26"/>
      <c r="G1413" s="27"/>
      <c r="H1413" s="20"/>
      <c r="I1413" s="21"/>
      <c r="J1413" s="28"/>
      <c r="K1413" s="19"/>
    </row>
    <row r="1414" spans="1:11" ht="13.2">
      <c r="A1414" s="22"/>
      <c r="B1414" s="16"/>
      <c r="C1414" s="23"/>
      <c r="D1414" s="24"/>
      <c r="E1414" s="25"/>
      <c r="F1414" s="26"/>
      <c r="G1414" s="27"/>
      <c r="H1414" s="20"/>
      <c r="I1414" s="21"/>
      <c r="J1414" s="28"/>
      <c r="K1414" s="19"/>
    </row>
    <row r="1415" spans="1:11" ht="13.2">
      <c r="A1415" s="22"/>
      <c r="B1415" s="16"/>
      <c r="C1415" s="23"/>
      <c r="D1415" s="24"/>
      <c r="E1415" s="25"/>
      <c r="F1415" s="26"/>
      <c r="G1415" s="27"/>
      <c r="H1415" s="20"/>
      <c r="I1415" s="21"/>
      <c r="J1415" s="28"/>
      <c r="K1415" s="19"/>
    </row>
    <row r="1416" spans="1:11" ht="13.2">
      <c r="A1416" s="22"/>
      <c r="B1416" s="16"/>
      <c r="C1416" s="23"/>
      <c r="D1416" s="24"/>
      <c r="E1416" s="25"/>
      <c r="F1416" s="26"/>
      <c r="G1416" s="27"/>
      <c r="H1416" s="20"/>
      <c r="I1416" s="21"/>
      <c r="J1416" s="28"/>
      <c r="K1416" s="19"/>
    </row>
    <row r="1417" spans="1:11" ht="13.2">
      <c r="A1417" s="22"/>
      <c r="B1417" s="16"/>
      <c r="C1417" s="23"/>
      <c r="D1417" s="24"/>
      <c r="E1417" s="25"/>
      <c r="F1417" s="26"/>
      <c r="G1417" s="27"/>
      <c r="H1417" s="20"/>
      <c r="I1417" s="21"/>
      <c r="J1417" s="28"/>
      <c r="K1417" s="19"/>
    </row>
    <row r="1418" spans="1:11" ht="13.2">
      <c r="A1418" s="22"/>
      <c r="B1418" s="16"/>
      <c r="C1418" s="23"/>
      <c r="D1418" s="24"/>
      <c r="E1418" s="25"/>
      <c r="F1418" s="26"/>
      <c r="G1418" s="27"/>
      <c r="H1418" s="20"/>
      <c r="I1418" s="21"/>
      <c r="J1418" s="28"/>
      <c r="K1418" s="19"/>
    </row>
    <row r="1419" spans="1:11" ht="13.2">
      <c r="A1419" s="22"/>
      <c r="B1419" s="16"/>
      <c r="C1419" s="23"/>
      <c r="D1419" s="24"/>
      <c r="E1419" s="25"/>
      <c r="F1419" s="26"/>
      <c r="G1419" s="27"/>
      <c r="H1419" s="20"/>
      <c r="I1419" s="21"/>
      <c r="J1419" s="28"/>
      <c r="K1419" s="19"/>
    </row>
    <row r="1420" spans="1:11" ht="13.2">
      <c r="A1420" s="22"/>
      <c r="B1420" s="16"/>
      <c r="C1420" s="23"/>
      <c r="D1420" s="24"/>
      <c r="E1420" s="25"/>
      <c r="F1420" s="26"/>
      <c r="G1420" s="27"/>
      <c r="H1420" s="20"/>
      <c r="I1420" s="21"/>
      <c r="J1420" s="28"/>
      <c r="K1420" s="19"/>
    </row>
    <row r="1421" spans="1:11" ht="13.2">
      <c r="A1421" s="22"/>
      <c r="B1421" s="16"/>
      <c r="C1421" s="23"/>
      <c r="D1421" s="24"/>
      <c r="E1421" s="25"/>
      <c r="F1421" s="26"/>
      <c r="G1421" s="27"/>
      <c r="H1421" s="20"/>
      <c r="I1421" s="21"/>
      <c r="J1421" s="28"/>
      <c r="K1421" s="19"/>
    </row>
    <row r="1422" spans="1:11" ht="13.2">
      <c r="A1422" s="22"/>
      <c r="B1422" s="16"/>
      <c r="C1422" s="23"/>
      <c r="D1422" s="24"/>
      <c r="E1422" s="25"/>
      <c r="F1422" s="26"/>
      <c r="G1422" s="27"/>
      <c r="H1422" s="20"/>
      <c r="I1422" s="21"/>
      <c r="J1422" s="28"/>
      <c r="K1422" s="19"/>
    </row>
    <row r="1423" spans="1:11" ht="13.2">
      <c r="A1423" s="22"/>
      <c r="B1423" s="16"/>
      <c r="C1423" s="23"/>
      <c r="D1423" s="24"/>
      <c r="E1423" s="25"/>
      <c r="F1423" s="26"/>
      <c r="G1423" s="27"/>
      <c r="H1423" s="20"/>
      <c r="I1423" s="21"/>
      <c r="J1423" s="28"/>
      <c r="K1423" s="19"/>
    </row>
    <row r="1424" spans="1:11" ht="13.2">
      <c r="A1424" s="22"/>
      <c r="B1424" s="16"/>
      <c r="C1424" s="23"/>
      <c r="D1424" s="24"/>
      <c r="E1424" s="25"/>
      <c r="F1424" s="26"/>
      <c r="G1424" s="27"/>
      <c r="H1424" s="20"/>
      <c r="I1424" s="21"/>
      <c r="J1424" s="28"/>
      <c r="K1424" s="19"/>
    </row>
    <row r="1425" spans="1:11" ht="13.2">
      <c r="A1425" s="22"/>
      <c r="B1425" s="16"/>
      <c r="C1425" s="23"/>
      <c r="D1425" s="24"/>
      <c r="E1425" s="25"/>
      <c r="F1425" s="26"/>
      <c r="G1425" s="27"/>
      <c r="H1425" s="20"/>
      <c r="I1425" s="21"/>
      <c r="J1425" s="28"/>
      <c r="K1425" s="19"/>
    </row>
    <row r="1426" spans="1:11" ht="13.2">
      <c r="A1426" s="22"/>
      <c r="B1426" s="16"/>
      <c r="C1426" s="23"/>
      <c r="D1426" s="24"/>
      <c r="E1426" s="25"/>
      <c r="F1426" s="26"/>
      <c r="G1426" s="27"/>
      <c r="H1426" s="20"/>
      <c r="I1426" s="21"/>
      <c r="J1426" s="28"/>
      <c r="K1426" s="19"/>
    </row>
    <row r="1427" spans="1:11" ht="13.2">
      <c r="A1427" s="22"/>
      <c r="B1427" s="16"/>
      <c r="C1427" s="23"/>
      <c r="D1427" s="24"/>
      <c r="E1427" s="25"/>
      <c r="F1427" s="26"/>
      <c r="G1427" s="27"/>
      <c r="H1427" s="20"/>
      <c r="I1427" s="21"/>
      <c r="J1427" s="28"/>
      <c r="K1427" s="19"/>
    </row>
    <row r="1428" spans="1:11" ht="13.2">
      <c r="A1428" s="22"/>
      <c r="B1428" s="16"/>
      <c r="C1428" s="23"/>
      <c r="D1428" s="24"/>
      <c r="E1428" s="25"/>
      <c r="F1428" s="26"/>
      <c r="G1428" s="27"/>
      <c r="H1428" s="20"/>
      <c r="I1428" s="21"/>
      <c r="J1428" s="28"/>
      <c r="K1428" s="19"/>
    </row>
    <row r="1429" spans="1:11" ht="13.2">
      <c r="A1429" s="22"/>
      <c r="B1429" s="16"/>
      <c r="C1429" s="23"/>
      <c r="D1429" s="24"/>
      <c r="E1429" s="25"/>
      <c r="F1429" s="26"/>
      <c r="G1429" s="27"/>
      <c r="H1429" s="20"/>
      <c r="I1429" s="21"/>
      <c r="J1429" s="28"/>
      <c r="K1429" s="19"/>
    </row>
    <row r="1430" spans="1:11" ht="13.2">
      <c r="A1430" s="22"/>
      <c r="B1430" s="16"/>
      <c r="C1430" s="23"/>
      <c r="D1430" s="24"/>
      <c r="E1430" s="25"/>
      <c r="F1430" s="26"/>
      <c r="G1430" s="27"/>
      <c r="H1430" s="20"/>
      <c r="I1430" s="21"/>
      <c r="J1430" s="28"/>
      <c r="K1430" s="19"/>
    </row>
    <row r="1431" spans="1:11" ht="13.2">
      <c r="A1431" s="22"/>
      <c r="B1431" s="16"/>
      <c r="C1431" s="23"/>
      <c r="D1431" s="24"/>
      <c r="E1431" s="25"/>
      <c r="F1431" s="26"/>
      <c r="G1431" s="27"/>
      <c r="H1431" s="20"/>
      <c r="I1431" s="21"/>
      <c r="J1431" s="28"/>
      <c r="K1431" s="19"/>
    </row>
    <row r="1432" spans="1:11" ht="13.2">
      <c r="A1432" s="22"/>
      <c r="B1432" s="16"/>
      <c r="C1432" s="23"/>
      <c r="D1432" s="24"/>
      <c r="E1432" s="25"/>
      <c r="F1432" s="26"/>
      <c r="G1432" s="27"/>
      <c r="H1432" s="20"/>
      <c r="I1432" s="21"/>
      <c r="J1432" s="28"/>
      <c r="K1432" s="19"/>
    </row>
    <row r="1433" spans="1:11" ht="13.2">
      <c r="A1433" s="22"/>
      <c r="B1433" s="16"/>
      <c r="C1433" s="23"/>
      <c r="D1433" s="24"/>
      <c r="E1433" s="25"/>
      <c r="F1433" s="26"/>
      <c r="G1433" s="27"/>
      <c r="H1433" s="20"/>
      <c r="I1433" s="21"/>
      <c r="J1433" s="28"/>
      <c r="K1433" s="19"/>
    </row>
    <row r="1434" spans="1:11" ht="13.2">
      <c r="A1434" s="22"/>
      <c r="B1434" s="16"/>
      <c r="C1434" s="23"/>
      <c r="D1434" s="24"/>
      <c r="E1434" s="25"/>
      <c r="F1434" s="26"/>
      <c r="G1434" s="27"/>
      <c r="H1434" s="20"/>
      <c r="I1434" s="21"/>
      <c r="J1434" s="28"/>
      <c r="K1434" s="19"/>
    </row>
    <row r="1435" spans="1:11" ht="13.2">
      <c r="A1435" s="22"/>
      <c r="B1435" s="16"/>
      <c r="C1435" s="23"/>
      <c r="D1435" s="24"/>
      <c r="E1435" s="25"/>
      <c r="F1435" s="26"/>
      <c r="G1435" s="27"/>
      <c r="H1435" s="20"/>
      <c r="I1435" s="21"/>
      <c r="J1435" s="28"/>
      <c r="K1435" s="19"/>
    </row>
    <row r="1436" spans="1:11" ht="13.2">
      <c r="A1436" s="22"/>
      <c r="B1436" s="16"/>
      <c r="C1436" s="23"/>
      <c r="D1436" s="24"/>
      <c r="E1436" s="25"/>
      <c r="F1436" s="26"/>
      <c r="G1436" s="27"/>
      <c r="H1436" s="20"/>
      <c r="I1436" s="21"/>
      <c r="J1436" s="28"/>
      <c r="K1436" s="19"/>
    </row>
    <row r="1437" spans="1:11" ht="13.2">
      <c r="A1437" s="22"/>
      <c r="B1437" s="16"/>
      <c r="C1437" s="23"/>
      <c r="D1437" s="24"/>
      <c r="E1437" s="25"/>
      <c r="F1437" s="26"/>
      <c r="G1437" s="27"/>
      <c r="H1437" s="20"/>
      <c r="I1437" s="21"/>
      <c r="J1437" s="28"/>
      <c r="K1437" s="19"/>
    </row>
    <row r="1438" spans="1:11" ht="13.2">
      <c r="A1438" s="22"/>
      <c r="B1438" s="16"/>
      <c r="C1438" s="23"/>
      <c r="D1438" s="24"/>
      <c r="E1438" s="25"/>
      <c r="F1438" s="26"/>
      <c r="G1438" s="27"/>
      <c r="H1438" s="20"/>
      <c r="I1438" s="21"/>
      <c r="J1438" s="28"/>
      <c r="K1438" s="19"/>
    </row>
    <row r="1439" spans="1:11" ht="13.2">
      <c r="A1439" s="22"/>
      <c r="B1439" s="16"/>
      <c r="C1439" s="23"/>
      <c r="D1439" s="24"/>
      <c r="E1439" s="25"/>
      <c r="F1439" s="26"/>
      <c r="G1439" s="27"/>
      <c r="H1439" s="20"/>
      <c r="I1439" s="21"/>
      <c r="J1439" s="28"/>
      <c r="K1439" s="19"/>
    </row>
    <row r="1440" spans="1:11" ht="13.2">
      <c r="A1440" s="22"/>
      <c r="B1440" s="16"/>
      <c r="C1440" s="23"/>
      <c r="D1440" s="24"/>
      <c r="E1440" s="25"/>
      <c r="F1440" s="26"/>
      <c r="G1440" s="27"/>
      <c r="H1440" s="20"/>
      <c r="I1440" s="21"/>
      <c r="J1440" s="28"/>
      <c r="K1440" s="19"/>
    </row>
    <row r="1441" spans="1:11" ht="13.2">
      <c r="A1441" s="22"/>
      <c r="B1441" s="16"/>
      <c r="C1441" s="23"/>
      <c r="D1441" s="24"/>
      <c r="E1441" s="25"/>
      <c r="F1441" s="26"/>
      <c r="G1441" s="27"/>
      <c r="H1441" s="20"/>
      <c r="I1441" s="21"/>
      <c r="J1441" s="28"/>
      <c r="K1441" s="19"/>
    </row>
    <row r="1442" spans="1:11" ht="13.2">
      <c r="A1442" s="22"/>
      <c r="B1442" s="16"/>
      <c r="C1442" s="23"/>
      <c r="D1442" s="24"/>
      <c r="E1442" s="25"/>
      <c r="F1442" s="26"/>
      <c r="G1442" s="27"/>
      <c r="H1442" s="20"/>
      <c r="I1442" s="21"/>
      <c r="J1442" s="28"/>
      <c r="K1442" s="19"/>
    </row>
    <row r="1443" spans="1:11" ht="13.2">
      <c r="A1443" s="22"/>
      <c r="B1443" s="16"/>
      <c r="C1443" s="23"/>
      <c r="D1443" s="24"/>
      <c r="E1443" s="25"/>
      <c r="F1443" s="26"/>
      <c r="G1443" s="27"/>
      <c r="H1443" s="20"/>
      <c r="I1443" s="21"/>
      <c r="J1443" s="28"/>
      <c r="K1443" s="19"/>
    </row>
    <row r="1444" spans="1:11" ht="13.2">
      <c r="A1444" s="22"/>
      <c r="B1444" s="16"/>
      <c r="C1444" s="23"/>
      <c r="D1444" s="24"/>
      <c r="E1444" s="25"/>
      <c r="F1444" s="26"/>
      <c r="G1444" s="27"/>
      <c r="H1444" s="20"/>
      <c r="I1444" s="21"/>
      <c r="J1444" s="28"/>
      <c r="K1444" s="19"/>
    </row>
    <row r="1445" spans="1:11" ht="13.2">
      <c r="A1445" s="22"/>
      <c r="B1445" s="16"/>
      <c r="C1445" s="23"/>
      <c r="D1445" s="24"/>
      <c r="E1445" s="25"/>
      <c r="F1445" s="26"/>
      <c r="G1445" s="27"/>
      <c r="H1445" s="20"/>
      <c r="I1445" s="21"/>
      <c r="J1445" s="28"/>
      <c r="K1445" s="19"/>
    </row>
    <row r="1446" spans="1:11" ht="13.2">
      <c r="A1446" s="22"/>
      <c r="B1446" s="16"/>
      <c r="C1446" s="23"/>
      <c r="D1446" s="24"/>
      <c r="E1446" s="25"/>
      <c r="F1446" s="26"/>
      <c r="G1446" s="27"/>
      <c r="H1446" s="20"/>
      <c r="I1446" s="21"/>
      <c r="J1446" s="28"/>
      <c r="K1446" s="19"/>
    </row>
    <row r="1447" spans="1:11" ht="13.2">
      <c r="A1447" s="22"/>
      <c r="B1447" s="16"/>
      <c r="C1447" s="23"/>
      <c r="D1447" s="24"/>
      <c r="E1447" s="25"/>
      <c r="F1447" s="26"/>
      <c r="G1447" s="27"/>
      <c r="H1447" s="20"/>
      <c r="I1447" s="21"/>
      <c r="J1447" s="28"/>
      <c r="K1447" s="19"/>
    </row>
    <row r="1448" spans="1:11" ht="13.2">
      <c r="A1448" s="22"/>
      <c r="B1448" s="16"/>
      <c r="C1448" s="23"/>
      <c r="D1448" s="24"/>
      <c r="E1448" s="25"/>
      <c r="F1448" s="26"/>
      <c r="G1448" s="27"/>
      <c r="H1448" s="20"/>
      <c r="I1448" s="21"/>
      <c r="J1448" s="28"/>
      <c r="K1448" s="19"/>
    </row>
    <row r="1449" spans="1:11" ht="13.2">
      <c r="A1449" s="22"/>
      <c r="B1449" s="16"/>
      <c r="C1449" s="23"/>
      <c r="D1449" s="24"/>
      <c r="E1449" s="25"/>
      <c r="F1449" s="26"/>
      <c r="G1449" s="27"/>
      <c r="H1449" s="20"/>
      <c r="I1449" s="21"/>
      <c r="J1449" s="28"/>
      <c r="K1449" s="19"/>
    </row>
    <row r="1450" spans="1:11" ht="13.2">
      <c r="A1450" s="22"/>
      <c r="B1450" s="16"/>
      <c r="C1450" s="23"/>
      <c r="D1450" s="24"/>
      <c r="E1450" s="25"/>
      <c r="F1450" s="26"/>
      <c r="G1450" s="27"/>
      <c r="H1450" s="20"/>
      <c r="I1450" s="21"/>
      <c r="J1450" s="28"/>
      <c r="K1450" s="19"/>
    </row>
    <row r="1451" spans="1:11" ht="13.2">
      <c r="A1451" s="22"/>
      <c r="B1451" s="16"/>
      <c r="C1451" s="23"/>
      <c r="D1451" s="24"/>
      <c r="E1451" s="25"/>
      <c r="F1451" s="26"/>
      <c r="G1451" s="27"/>
      <c r="H1451" s="20"/>
      <c r="I1451" s="21"/>
      <c r="J1451" s="28"/>
      <c r="K1451" s="19"/>
    </row>
    <row r="1452" spans="1:11" ht="13.2">
      <c r="A1452" s="22"/>
      <c r="B1452" s="16"/>
      <c r="C1452" s="23"/>
      <c r="D1452" s="24"/>
      <c r="E1452" s="25"/>
      <c r="F1452" s="26"/>
      <c r="G1452" s="27"/>
      <c r="H1452" s="20"/>
      <c r="I1452" s="21"/>
      <c r="J1452" s="28"/>
      <c r="K1452" s="19"/>
    </row>
    <row r="1453" spans="1:11" ht="13.2">
      <c r="A1453" s="22"/>
      <c r="B1453" s="16"/>
      <c r="C1453" s="23"/>
      <c r="D1453" s="24"/>
      <c r="E1453" s="25"/>
      <c r="F1453" s="26"/>
      <c r="G1453" s="27"/>
      <c r="H1453" s="20"/>
      <c r="I1453" s="21"/>
      <c r="J1453" s="28"/>
      <c r="K1453" s="19"/>
    </row>
    <row r="1454" spans="1:11" ht="13.2">
      <c r="A1454" s="22"/>
      <c r="B1454" s="16"/>
      <c r="C1454" s="23"/>
      <c r="D1454" s="24"/>
      <c r="E1454" s="25"/>
      <c r="F1454" s="26"/>
      <c r="G1454" s="27"/>
      <c r="H1454" s="20"/>
      <c r="I1454" s="21"/>
      <c r="J1454" s="28"/>
      <c r="K1454" s="19"/>
    </row>
    <row r="1455" spans="1:11" ht="13.2">
      <c r="A1455" s="22"/>
      <c r="B1455" s="16"/>
      <c r="C1455" s="23"/>
      <c r="D1455" s="24"/>
      <c r="E1455" s="25"/>
      <c r="F1455" s="26"/>
      <c r="G1455" s="27"/>
      <c r="H1455" s="20"/>
      <c r="I1455" s="21"/>
      <c r="J1455" s="28"/>
      <c r="K1455" s="19"/>
    </row>
    <row r="1456" spans="1:11" ht="13.2">
      <c r="A1456" s="22"/>
      <c r="B1456" s="16"/>
      <c r="C1456" s="23"/>
      <c r="D1456" s="24"/>
      <c r="E1456" s="25"/>
      <c r="F1456" s="26"/>
      <c r="G1456" s="27"/>
      <c r="H1456" s="20"/>
      <c r="I1456" s="21"/>
      <c r="J1456" s="28"/>
      <c r="K1456" s="19"/>
    </row>
    <row r="1457" spans="1:11" ht="13.2">
      <c r="A1457" s="22"/>
      <c r="B1457" s="16"/>
      <c r="C1457" s="23"/>
      <c r="D1457" s="24"/>
      <c r="E1457" s="25"/>
      <c r="F1457" s="26"/>
      <c r="G1457" s="27"/>
      <c r="H1457" s="20"/>
      <c r="I1457" s="21"/>
      <c r="J1457" s="28"/>
      <c r="K1457" s="19"/>
    </row>
    <row r="1458" spans="1:11" ht="13.2">
      <c r="A1458" s="22"/>
      <c r="B1458" s="16"/>
      <c r="C1458" s="23"/>
      <c r="D1458" s="24"/>
      <c r="E1458" s="25"/>
      <c r="F1458" s="26"/>
      <c r="G1458" s="27"/>
      <c r="H1458" s="20"/>
      <c r="I1458" s="21"/>
      <c r="J1458" s="28"/>
      <c r="K1458" s="19"/>
    </row>
    <row r="1459" spans="1:11" ht="13.2">
      <c r="A1459" s="22"/>
      <c r="B1459" s="16"/>
      <c r="C1459" s="23"/>
      <c r="D1459" s="24"/>
      <c r="E1459" s="25"/>
      <c r="F1459" s="26"/>
      <c r="G1459" s="27"/>
      <c r="H1459" s="20"/>
      <c r="I1459" s="21"/>
      <c r="J1459" s="28"/>
      <c r="K1459" s="19"/>
    </row>
    <row r="1460" spans="1:11" ht="13.2">
      <c r="A1460" s="22"/>
      <c r="B1460" s="16"/>
      <c r="C1460" s="23"/>
      <c r="D1460" s="24"/>
      <c r="E1460" s="25"/>
      <c r="F1460" s="26"/>
      <c r="G1460" s="27"/>
      <c r="H1460" s="20"/>
      <c r="I1460" s="21"/>
      <c r="J1460" s="28"/>
      <c r="K1460" s="19"/>
    </row>
    <row r="1461" spans="1:11" ht="13.2">
      <c r="A1461" s="22"/>
      <c r="B1461" s="16"/>
      <c r="C1461" s="23"/>
      <c r="D1461" s="24"/>
      <c r="E1461" s="25"/>
      <c r="F1461" s="26"/>
      <c r="G1461" s="27"/>
      <c r="H1461" s="20"/>
      <c r="I1461" s="21"/>
      <c r="J1461" s="28"/>
      <c r="K1461" s="19"/>
    </row>
    <row r="1462" spans="1:11" ht="13.2">
      <c r="A1462" s="22"/>
      <c r="B1462" s="16"/>
      <c r="C1462" s="23"/>
      <c r="D1462" s="24"/>
      <c r="E1462" s="25"/>
      <c r="F1462" s="26"/>
      <c r="G1462" s="27"/>
      <c r="H1462" s="20"/>
      <c r="I1462" s="21"/>
      <c r="J1462" s="28"/>
      <c r="K1462" s="19"/>
    </row>
    <row r="1463" spans="1:11" ht="13.2">
      <c r="A1463" s="22"/>
      <c r="B1463" s="16"/>
      <c r="C1463" s="23"/>
      <c r="D1463" s="24"/>
      <c r="E1463" s="25"/>
      <c r="F1463" s="26"/>
      <c r="G1463" s="27"/>
      <c r="H1463" s="20"/>
      <c r="I1463" s="21"/>
      <c r="J1463" s="28"/>
      <c r="K1463" s="19"/>
    </row>
    <row r="1464" spans="1:11" ht="13.2">
      <c r="A1464" s="22"/>
      <c r="B1464" s="16"/>
      <c r="C1464" s="23"/>
      <c r="D1464" s="24"/>
      <c r="E1464" s="25"/>
      <c r="F1464" s="26"/>
      <c r="G1464" s="27"/>
      <c r="H1464" s="20"/>
      <c r="I1464" s="21"/>
      <c r="J1464" s="28"/>
      <c r="K1464" s="19"/>
    </row>
    <row r="1465" spans="1:11" ht="13.2">
      <c r="A1465" s="22"/>
      <c r="B1465" s="16"/>
      <c r="C1465" s="23"/>
      <c r="D1465" s="24"/>
      <c r="E1465" s="25"/>
      <c r="F1465" s="26"/>
      <c r="G1465" s="27"/>
      <c r="H1465" s="20"/>
      <c r="I1465" s="21"/>
      <c r="J1465" s="28"/>
      <c r="K1465" s="19"/>
    </row>
    <row r="1466" spans="1:11" ht="13.2">
      <c r="A1466" s="22"/>
      <c r="B1466" s="16"/>
      <c r="C1466" s="23"/>
      <c r="D1466" s="24"/>
      <c r="E1466" s="25"/>
      <c r="F1466" s="26"/>
      <c r="G1466" s="27"/>
      <c r="H1466" s="20"/>
      <c r="I1466" s="21"/>
      <c r="J1466" s="28"/>
      <c r="K1466" s="19"/>
    </row>
    <row r="1467" spans="1:11" ht="13.2">
      <c r="A1467" s="22"/>
      <c r="B1467" s="16"/>
      <c r="C1467" s="23"/>
      <c r="D1467" s="24"/>
      <c r="E1467" s="25"/>
      <c r="F1467" s="26"/>
      <c r="G1467" s="27"/>
      <c r="H1467" s="20"/>
      <c r="I1467" s="21"/>
      <c r="J1467" s="28"/>
      <c r="K1467" s="19"/>
    </row>
    <row r="1468" spans="1:11" ht="13.2">
      <c r="A1468" s="22"/>
      <c r="B1468" s="16"/>
      <c r="C1468" s="23"/>
      <c r="D1468" s="24"/>
      <c r="E1468" s="25"/>
      <c r="F1468" s="26"/>
      <c r="G1468" s="27"/>
      <c r="H1468" s="20"/>
      <c r="I1468" s="21"/>
      <c r="J1468" s="28"/>
      <c r="K1468" s="19"/>
    </row>
    <row r="1469" spans="1:11" ht="13.2">
      <c r="A1469" s="22"/>
      <c r="B1469" s="16"/>
      <c r="C1469" s="23"/>
      <c r="D1469" s="24"/>
      <c r="E1469" s="25"/>
      <c r="F1469" s="26"/>
      <c r="G1469" s="27"/>
      <c r="H1469" s="20"/>
      <c r="I1469" s="21"/>
      <c r="J1469" s="28"/>
      <c r="K1469" s="19"/>
    </row>
    <row r="1470" spans="1:11" ht="13.2">
      <c r="A1470" s="22"/>
      <c r="B1470" s="16"/>
      <c r="C1470" s="23"/>
      <c r="D1470" s="24"/>
      <c r="E1470" s="25"/>
      <c r="F1470" s="26"/>
      <c r="G1470" s="27"/>
      <c r="H1470" s="20"/>
      <c r="I1470" s="21"/>
      <c r="J1470" s="28"/>
      <c r="K1470" s="19"/>
    </row>
    <row r="1471" spans="1:11" ht="13.2">
      <c r="A1471" s="22"/>
      <c r="B1471" s="16"/>
      <c r="C1471" s="23"/>
      <c r="D1471" s="24"/>
      <c r="E1471" s="25"/>
      <c r="F1471" s="26"/>
      <c r="G1471" s="27"/>
      <c r="H1471" s="20"/>
      <c r="I1471" s="21"/>
      <c r="J1471" s="28"/>
      <c r="K1471" s="19"/>
    </row>
    <row r="1472" spans="1:11" ht="13.2">
      <c r="A1472" s="22"/>
      <c r="B1472" s="16"/>
      <c r="C1472" s="23"/>
      <c r="D1472" s="24"/>
      <c r="E1472" s="25"/>
      <c r="F1472" s="26"/>
      <c r="G1472" s="27"/>
      <c r="H1472" s="20"/>
      <c r="I1472" s="21"/>
      <c r="J1472" s="28"/>
      <c r="K1472" s="19"/>
    </row>
    <row r="1473" spans="1:11" ht="13.2">
      <c r="A1473" s="22"/>
      <c r="B1473" s="16"/>
      <c r="C1473" s="23"/>
      <c r="D1473" s="24"/>
      <c r="E1473" s="25"/>
      <c r="F1473" s="26"/>
      <c r="G1473" s="27"/>
      <c r="H1473" s="20"/>
      <c r="I1473" s="21"/>
      <c r="J1473" s="28"/>
      <c r="K1473" s="19"/>
    </row>
    <row r="1474" spans="1:11" ht="13.2">
      <c r="A1474" s="22"/>
      <c r="B1474" s="16"/>
      <c r="C1474" s="23"/>
      <c r="D1474" s="24"/>
      <c r="E1474" s="25"/>
      <c r="F1474" s="26"/>
      <c r="G1474" s="27"/>
      <c r="H1474" s="20"/>
      <c r="I1474" s="21"/>
      <c r="J1474" s="28"/>
      <c r="K1474" s="19"/>
    </row>
    <row r="1475" spans="1:11" ht="13.2">
      <c r="A1475" s="22"/>
      <c r="B1475" s="16"/>
      <c r="C1475" s="23"/>
      <c r="D1475" s="24"/>
      <c r="E1475" s="25"/>
      <c r="F1475" s="26"/>
      <c r="G1475" s="27"/>
      <c r="H1475" s="20"/>
      <c r="I1475" s="21"/>
      <c r="J1475" s="28"/>
      <c r="K1475" s="19"/>
    </row>
    <row r="1476" spans="1:11" ht="13.2">
      <c r="A1476" s="22"/>
      <c r="B1476" s="16"/>
      <c r="C1476" s="23"/>
      <c r="D1476" s="24"/>
      <c r="E1476" s="25"/>
      <c r="F1476" s="26"/>
      <c r="G1476" s="27"/>
      <c r="H1476" s="20"/>
      <c r="I1476" s="21"/>
      <c r="J1476" s="28"/>
      <c r="K1476" s="19"/>
    </row>
    <row r="1477" spans="1:11" ht="13.2">
      <c r="A1477" s="22"/>
      <c r="B1477" s="16"/>
      <c r="C1477" s="23"/>
      <c r="D1477" s="24"/>
      <c r="E1477" s="25"/>
      <c r="F1477" s="26"/>
      <c r="G1477" s="27"/>
      <c r="H1477" s="20"/>
      <c r="I1477" s="21"/>
      <c r="J1477" s="28"/>
      <c r="K1477" s="19"/>
    </row>
    <row r="1478" spans="1:11" ht="13.2">
      <c r="A1478" s="22"/>
      <c r="B1478" s="16"/>
      <c r="C1478" s="23"/>
      <c r="D1478" s="24"/>
      <c r="E1478" s="25"/>
      <c r="F1478" s="26"/>
      <c r="G1478" s="27"/>
      <c r="H1478" s="20"/>
      <c r="I1478" s="21"/>
      <c r="J1478" s="28"/>
      <c r="K1478" s="19"/>
    </row>
    <row r="1479" spans="1:11" ht="13.2">
      <c r="A1479" s="22"/>
      <c r="B1479" s="16"/>
      <c r="C1479" s="23"/>
      <c r="D1479" s="24"/>
      <c r="E1479" s="25"/>
      <c r="F1479" s="26"/>
      <c r="G1479" s="27"/>
      <c r="H1479" s="20"/>
      <c r="I1479" s="21"/>
      <c r="J1479" s="28"/>
      <c r="K1479" s="19"/>
    </row>
    <row r="1480" spans="1:11" ht="13.2">
      <c r="A1480" s="22"/>
      <c r="B1480" s="16"/>
      <c r="C1480" s="23"/>
      <c r="D1480" s="24"/>
      <c r="E1480" s="25"/>
      <c r="F1480" s="26"/>
      <c r="G1480" s="27"/>
      <c r="H1480" s="20"/>
      <c r="I1480" s="21"/>
      <c r="J1480" s="28"/>
      <c r="K1480" s="19"/>
    </row>
    <row r="1481" spans="1:11" ht="13.2">
      <c r="A1481" s="22"/>
      <c r="B1481" s="16"/>
      <c r="C1481" s="23"/>
      <c r="D1481" s="24"/>
      <c r="E1481" s="25"/>
      <c r="F1481" s="26"/>
      <c r="G1481" s="27"/>
      <c r="H1481" s="20"/>
      <c r="I1481" s="21"/>
      <c r="J1481" s="28"/>
      <c r="K1481" s="19"/>
    </row>
    <row r="1482" spans="1:11" ht="13.2">
      <c r="A1482" s="22"/>
      <c r="B1482" s="16"/>
      <c r="C1482" s="23"/>
      <c r="D1482" s="24"/>
      <c r="E1482" s="25"/>
      <c r="F1482" s="26"/>
      <c r="G1482" s="27"/>
      <c r="H1482" s="20"/>
      <c r="I1482" s="21"/>
      <c r="J1482" s="28"/>
      <c r="K1482" s="19"/>
    </row>
    <row r="1483" spans="1:11" ht="13.2">
      <c r="A1483" s="22"/>
      <c r="B1483" s="16"/>
      <c r="C1483" s="23"/>
      <c r="D1483" s="24"/>
      <c r="E1483" s="25"/>
      <c r="F1483" s="26"/>
      <c r="G1483" s="27"/>
      <c r="H1483" s="20"/>
      <c r="I1483" s="21"/>
      <c r="J1483" s="28"/>
      <c r="K1483" s="19"/>
    </row>
    <row r="1484" spans="1:11" ht="13.2">
      <c r="A1484" s="22"/>
      <c r="B1484" s="16"/>
      <c r="C1484" s="23"/>
      <c r="D1484" s="24"/>
      <c r="E1484" s="25"/>
      <c r="F1484" s="26"/>
      <c r="G1484" s="27"/>
      <c r="H1484" s="20"/>
      <c r="I1484" s="21"/>
      <c r="J1484" s="28"/>
      <c r="K1484" s="19"/>
    </row>
    <row r="1485" spans="1:11" ht="13.2">
      <c r="A1485" s="22"/>
      <c r="B1485" s="16"/>
      <c r="C1485" s="23"/>
      <c r="D1485" s="24"/>
      <c r="E1485" s="25"/>
      <c r="F1485" s="26"/>
      <c r="G1485" s="27"/>
      <c r="H1485" s="20"/>
      <c r="I1485" s="21"/>
      <c r="J1485" s="28"/>
      <c r="K1485" s="19"/>
    </row>
    <row r="1486" spans="1:11" ht="13.2">
      <c r="A1486" s="22"/>
      <c r="B1486" s="16"/>
      <c r="C1486" s="23"/>
      <c r="D1486" s="24"/>
      <c r="E1486" s="25"/>
      <c r="F1486" s="26"/>
      <c r="G1486" s="27"/>
      <c r="H1486" s="20"/>
      <c r="I1486" s="21"/>
      <c r="J1486" s="28"/>
      <c r="K1486" s="19"/>
    </row>
    <row r="1487" spans="1:11" ht="13.2">
      <c r="A1487" s="22"/>
      <c r="B1487" s="16"/>
      <c r="C1487" s="23"/>
      <c r="D1487" s="24"/>
      <c r="E1487" s="25"/>
      <c r="F1487" s="26"/>
      <c r="G1487" s="27"/>
      <c r="H1487" s="20"/>
      <c r="I1487" s="21"/>
      <c r="J1487" s="28"/>
      <c r="K1487" s="19"/>
    </row>
    <row r="1488" spans="1:11" ht="13.2">
      <c r="A1488" s="22"/>
      <c r="B1488" s="16"/>
      <c r="C1488" s="23"/>
      <c r="D1488" s="24"/>
      <c r="E1488" s="25"/>
      <c r="F1488" s="26"/>
      <c r="G1488" s="27"/>
      <c r="H1488" s="20"/>
      <c r="I1488" s="21"/>
      <c r="J1488" s="28"/>
      <c r="K1488" s="19"/>
    </row>
    <row r="1489" spans="1:11" ht="13.2">
      <c r="A1489" s="22"/>
      <c r="B1489" s="16"/>
      <c r="C1489" s="23"/>
      <c r="D1489" s="24"/>
      <c r="E1489" s="25"/>
      <c r="F1489" s="26"/>
      <c r="G1489" s="27"/>
      <c r="H1489" s="20"/>
      <c r="I1489" s="21"/>
      <c r="J1489" s="28"/>
      <c r="K1489" s="19"/>
    </row>
    <row r="1490" spans="1:11" ht="13.2">
      <c r="A1490" s="22"/>
      <c r="B1490" s="16"/>
      <c r="C1490" s="23"/>
      <c r="D1490" s="24"/>
      <c r="E1490" s="25"/>
      <c r="F1490" s="26"/>
      <c r="G1490" s="27"/>
      <c r="H1490" s="20"/>
      <c r="I1490" s="21"/>
      <c r="J1490" s="28"/>
      <c r="K1490" s="19"/>
    </row>
    <row r="1491" spans="1:11" ht="13.2">
      <c r="A1491" s="22"/>
      <c r="B1491" s="16"/>
      <c r="C1491" s="23"/>
      <c r="D1491" s="24"/>
      <c r="E1491" s="25"/>
      <c r="F1491" s="26"/>
      <c r="G1491" s="27"/>
      <c r="H1491" s="20"/>
      <c r="I1491" s="21"/>
      <c r="J1491" s="28"/>
      <c r="K1491" s="19"/>
    </row>
    <row r="1492" spans="1:11" ht="13.2">
      <c r="A1492" s="22"/>
      <c r="B1492" s="16"/>
      <c r="C1492" s="23"/>
      <c r="D1492" s="24"/>
      <c r="E1492" s="25"/>
      <c r="F1492" s="26"/>
      <c r="G1492" s="27"/>
      <c r="H1492" s="20"/>
      <c r="I1492" s="21"/>
      <c r="J1492" s="28"/>
      <c r="K1492" s="19"/>
    </row>
    <row r="1493" spans="1:11" ht="13.2">
      <c r="A1493" s="22"/>
      <c r="B1493" s="16"/>
      <c r="C1493" s="23"/>
      <c r="D1493" s="24"/>
      <c r="E1493" s="25"/>
      <c r="F1493" s="26"/>
      <c r="G1493" s="27"/>
      <c r="H1493" s="20"/>
      <c r="I1493" s="21"/>
      <c r="J1493" s="28"/>
      <c r="K1493" s="19"/>
    </row>
    <row r="1494" spans="1:11" ht="13.2">
      <c r="A1494" s="22"/>
      <c r="B1494" s="16"/>
      <c r="C1494" s="23"/>
      <c r="D1494" s="24"/>
      <c r="E1494" s="25"/>
      <c r="F1494" s="26"/>
      <c r="G1494" s="27"/>
      <c r="H1494" s="20"/>
      <c r="I1494" s="21"/>
      <c r="J1494" s="28"/>
      <c r="K1494" s="19"/>
    </row>
    <row r="1495" spans="1:11" ht="13.2">
      <c r="A1495" s="22"/>
      <c r="B1495" s="16"/>
      <c r="C1495" s="23"/>
      <c r="D1495" s="24"/>
      <c r="E1495" s="25"/>
      <c r="F1495" s="26"/>
      <c r="G1495" s="27"/>
      <c r="H1495" s="20"/>
      <c r="I1495" s="21"/>
      <c r="J1495" s="28"/>
      <c r="K1495" s="19"/>
    </row>
    <row r="1496" spans="1:11" ht="13.2">
      <c r="A1496" s="22"/>
      <c r="B1496" s="16"/>
      <c r="C1496" s="23"/>
      <c r="D1496" s="24"/>
      <c r="E1496" s="25"/>
      <c r="F1496" s="26"/>
      <c r="G1496" s="27"/>
      <c r="H1496" s="20"/>
      <c r="I1496" s="21"/>
      <c r="J1496" s="28"/>
      <c r="K1496" s="19"/>
    </row>
    <row r="1497" spans="1:11" ht="13.2">
      <c r="A1497" s="22"/>
      <c r="B1497" s="16"/>
      <c r="C1497" s="23"/>
      <c r="D1497" s="24"/>
      <c r="E1497" s="25"/>
      <c r="F1497" s="26"/>
      <c r="G1497" s="27"/>
      <c r="H1497" s="20"/>
      <c r="I1497" s="21"/>
      <c r="J1497" s="28"/>
      <c r="K1497" s="19"/>
    </row>
    <row r="1498" spans="1:11" ht="13.2">
      <c r="A1498" s="22"/>
      <c r="B1498" s="16"/>
      <c r="C1498" s="23"/>
      <c r="D1498" s="24"/>
      <c r="E1498" s="25"/>
      <c r="F1498" s="26"/>
      <c r="G1498" s="27"/>
      <c r="H1498" s="20"/>
      <c r="I1498" s="21"/>
      <c r="J1498" s="28"/>
      <c r="K1498" s="19"/>
    </row>
  </sheetData>
  <customSheetViews>
    <customSheetView guid="{17A1FCDB-D63F-4251-9FA4-2E82AA86A3CB}" filter="1" showAutoFilter="1">
      <pageMargins left="0.7" right="0.7" top="0.75" bottom="0.75" header="0.3" footer="0.3"/>
      <autoFilter ref="A2:K236"/>
    </customSheetView>
  </customSheetViews>
  <mergeCells count="1">
    <mergeCell ref="A1:K1"/>
  </mergeCells>
  <conditionalFormatting sqref="C3:C1498">
    <cfRule type="cellIs" dxfId="437" priority="1" stopIfTrue="1" operator="equal">
      <formula>"Farjana Apu"</formula>
    </cfRule>
  </conditionalFormatting>
  <conditionalFormatting sqref="C3:C1498">
    <cfRule type="cellIs" dxfId="436" priority="2" stopIfTrue="1" operator="equal">
      <formula>"Fiza Apu"</formula>
    </cfRule>
  </conditionalFormatting>
  <conditionalFormatting sqref="C3:C1498">
    <cfRule type="cellIs" dxfId="435" priority="3" stopIfTrue="1" operator="equal">
      <formula>"Nazmul Sir"</formula>
    </cfRule>
  </conditionalFormatting>
  <conditionalFormatting sqref="C3:C1498">
    <cfRule type="cellIs" dxfId="434" priority="4" stopIfTrue="1" operator="equal">
      <formula>"Rabby Vai"</formula>
    </cfRule>
  </conditionalFormatting>
  <conditionalFormatting sqref="C3:C1498">
    <cfRule type="cellIs" dxfId="433" priority="5" stopIfTrue="1" operator="equal">
      <formula>"Reba Apu"</formula>
    </cfRule>
  </conditionalFormatting>
  <conditionalFormatting sqref="C3:C1498">
    <cfRule type="cellIs" dxfId="432" priority="6" stopIfTrue="1" operator="equal">
      <formula>"Saema Apu"</formula>
    </cfRule>
  </conditionalFormatting>
  <conditionalFormatting sqref="C3:C1498">
    <cfRule type="cellIs" dxfId="431" priority="7" stopIfTrue="1" operator="equal">
      <formula>"Sharika Apu"</formula>
    </cfRule>
  </conditionalFormatting>
  <conditionalFormatting sqref="C3:C1498">
    <cfRule type="cellIs" dxfId="430" priority="8" stopIfTrue="1" operator="equal">
      <formula>"Sharmin Apu"</formula>
    </cfRule>
  </conditionalFormatting>
  <conditionalFormatting sqref="C3:C1498">
    <cfRule type="cellIs" dxfId="429" priority="9" stopIfTrue="1" operator="equal">
      <formula>"Mubassira Apu"</formula>
    </cfRule>
  </conditionalFormatting>
  <conditionalFormatting sqref="C3:C1498">
    <cfRule type="cellIs" dxfId="428" priority="10" stopIfTrue="1" operator="equal">
      <formula>"Mona Apu"</formula>
    </cfRule>
  </conditionalFormatting>
  <conditionalFormatting sqref="C3:C1498">
    <cfRule type="cellIs" dxfId="427" priority="11" stopIfTrue="1" operator="equal">
      <formula>"Rakib Vai"</formula>
    </cfRule>
  </conditionalFormatting>
  <conditionalFormatting sqref="C3:C1498">
    <cfRule type="cellIs" dxfId="426" priority="12" stopIfTrue="1" operator="equal">
      <formula>"Saifullah Vai"</formula>
    </cfRule>
  </conditionalFormatting>
  <conditionalFormatting sqref="C3:C1498">
    <cfRule type="cellIs" dxfId="425" priority="13" stopIfTrue="1" operator="equal">
      <formula>"Shamsul Sir"</formula>
    </cfRule>
  </conditionalFormatting>
  <conditionalFormatting sqref="C3:C1498">
    <cfRule type="cellIs" dxfId="424" priority="14" stopIfTrue="1" operator="equal">
      <formula>"Zahirul Vai"</formula>
    </cfRule>
  </conditionalFormatting>
  <conditionalFormatting sqref="E3:E1498">
    <cfRule type="cellIs" dxfId="423" priority="15" stopIfTrue="1" operator="equal">
      <formula>"ATC Box Output"</formula>
    </cfRule>
  </conditionalFormatting>
  <conditionalFormatting sqref="E3:E1498">
    <cfRule type="cellIs" dxfId="422" priority="16" stopIfTrue="1" operator="equal">
      <formula>"Black Cylinder Output"</formula>
    </cfRule>
  </conditionalFormatting>
  <conditionalFormatting sqref="E3:E1498">
    <cfRule type="cellIs" dxfId="421" priority="17" stopIfTrue="1" operator="equal">
      <formula>"Flyer/Brochure/Banner Output"</formula>
    </cfRule>
  </conditionalFormatting>
  <conditionalFormatting sqref="E3:E1498">
    <cfRule type="cellIs" dxfId="420" priority="18" stopIfTrue="1" operator="equal">
      <formula>"Full Cylinder Output"</formula>
    </cfRule>
  </conditionalFormatting>
  <conditionalFormatting sqref="E3:E1498">
    <cfRule type="cellIs" dxfId="419" priority="19" stopIfTrue="1" operator="equal">
      <formula>"Gravure Output #1"</formula>
    </cfRule>
  </conditionalFormatting>
  <conditionalFormatting sqref="E3:E1498">
    <cfRule type="cellIs" dxfId="418" priority="20" stopIfTrue="1" operator="equal">
      <formula>"Gravure Output #2"</formula>
    </cfRule>
  </conditionalFormatting>
  <conditionalFormatting sqref="E3:E1498">
    <cfRule type="cellIs" dxfId="417" priority="21" stopIfTrue="1" operator="equal">
      <formula>"JAR Label Sticker Output"</formula>
    </cfRule>
  </conditionalFormatting>
  <conditionalFormatting sqref="E3:E1498">
    <cfRule type="cellIs" dxfId="416" priority="22" stopIfTrue="1" operator="equal">
      <formula>"Leaflet/Poster Output"</formula>
    </cfRule>
  </conditionalFormatting>
  <conditionalFormatting sqref="E3:E1498">
    <cfRule type="cellIs" dxfId="415" priority="23" stopIfTrue="1" operator="equal">
      <formula>"Output Setup (Gravure/Offset)"</formula>
    </cfRule>
  </conditionalFormatting>
  <conditionalFormatting sqref="E3:E1498">
    <cfRule type="cellIs" dxfId="414" priority="24" stopIfTrue="1" operator="equal">
      <formula>"Carton Design"</formula>
    </cfRule>
  </conditionalFormatting>
  <conditionalFormatting sqref="E3:E1498">
    <cfRule type="cellIs" dxfId="413" priority="25" stopIfTrue="1" operator="equal">
      <formula>"Document Text Correction"</formula>
    </cfRule>
  </conditionalFormatting>
  <conditionalFormatting sqref="E3:E1498">
    <cfRule type="cellIs" dxfId="412" priority="26" stopIfTrue="1" operator="equal">
      <formula>"FOP Sticker Making"</formula>
    </cfRule>
  </conditionalFormatting>
  <conditionalFormatting sqref="E3:E1498">
    <cfRule type="cellIs" dxfId="411" priority="27" stopIfTrue="1" operator="equal">
      <formula>"Layout/Dieline Making"</formula>
    </cfRule>
  </conditionalFormatting>
  <conditionalFormatting sqref="E3:E1498">
    <cfRule type="cellIs" dxfId="410" priority="28" stopIfTrue="1" operator="equal">
      <formula>"Packaging Text Design #1"</formula>
    </cfRule>
  </conditionalFormatting>
  <conditionalFormatting sqref="E3:E1498">
    <cfRule type="cellIs" dxfId="409" priority="29" stopIfTrue="1" operator="equal">
      <formula>"Packaging Text Design #2"</formula>
    </cfRule>
  </conditionalFormatting>
  <conditionalFormatting sqref="E3:E1498">
    <cfRule type="cellIs" dxfId="408" priority="30" stopIfTrue="1" operator="equal">
      <formula>"Text Sticker Design #1"</formula>
    </cfRule>
  </conditionalFormatting>
  <conditionalFormatting sqref="E3:E1498">
    <cfRule type="cellIs" dxfId="407" priority="31" stopIfTrue="1" operator="equal">
      <formula>"Text Sticker Design #2"</formula>
    </cfRule>
  </conditionalFormatting>
  <conditionalFormatting sqref="E3:E1498">
    <cfRule type="cellIs" dxfId="406" priority="32" stopIfTrue="1" operator="equal">
      <formula>"ATC BOX"</formula>
    </cfRule>
  </conditionalFormatting>
  <conditionalFormatting sqref="E3:E1498">
    <cfRule type="cellIs" dxfId="405" priority="33" stopIfTrue="1" operator="equal">
      <formula>"Background Remove/Image Resize"</formula>
    </cfRule>
  </conditionalFormatting>
  <conditionalFormatting sqref="E3:E1498">
    <cfRule type="cellIs" dxfId="404" priority="34" stopIfTrue="1" operator="equal">
      <formula>"Branding"</formula>
    </cfRule>
  </conditionalFormatting>
  <conditionalFormatting sqref="E3:E1498">
    <cfRule type="cellIs" dxfId="403" priority="35" stopIfTrue="1" operator="equal">
      <formula>"Clipping Path"</formula>
    </cfRule>
  </conditionalFormatting>
  <conditionalFormatting sqref="E3:E1498">
    <cfRule type="cellIs" dxfId="402" priority="36" stopIfTrue="1" operator="equal">
      <formula>"Digital Static For Social Media"</formula>
    </cfRule>
  </conditionalFormatting>
  <conditionalFormatting sqref="E3:E1498">
    <cfRule type="cellIs" dxfId="401" priority="37" stopIfTrue="1" operator="equal">
      <formula>"Logo Design"</formula>
    </cfRule>
  </conditionalFormatting>
  <conditionalFormatting sqref="E3:E1498">
    <cfRule type="cellIs" dxfId="400" priority="38" stopIfTrue="1" operator="equal">
      <formula>"Outdoor/Event/Showroom Branding"</formula>
    </cfRule>
  </conditionalFormatting>
  <conditionalFormatting sqref="E3:E1498">
    <cfRule type="cellIs" dxfId="399" priority="39" stopIfTrue="1" operator="equal">
      <formula>"Packaging"</formula>
    </cfRule>
  </conditionalFormatting>
  <conditionalFormatting sqref="E3:E1498">
    <cfRule type="cellIs" dxfId="398" priority="40" stopIfTrue="1" operator="equal">
      <formula>"Visiting/ ID Card design"</formula>
    </cfRule>
  </conditionalFormatting>
  <conditionalFormatting sqref="E3:E1498">
    <cfRule type="cellIs" dxfId="397" priority="41" stopIfTrue="1" operator="equal">
      <formula>"Voice Over"</formula>
    </cfRule>
  </conditionalFormatting>
  <conditionalFormatting sqref="J3:J1498">
    <cfRule type="cellIs" dxfId="396" priority="42" stopIfTrue="1" operator="equal">
      <formula>"HoM Approved"</formula>
    </cfRule>
  </conditionalFormatting>
  <conditionalFormatting sqref="J3:J1498">
    <cfRule type="cellIs" dxfId="395" priority="43" stopIfTrue="1" operator="equal">
      <formula>"Brief Submitted"</formula>
    </cfRule>
  </conditionalFormatting>
  <conditionalFormatting sqref="J3:J1498">
    <cfRule type="cellIs" dxfId="394" priority="44" stopIfTrue="1" operator="equal">
      <formula>"In Review"</formula>
    </cfRule>
  </conditionalFormatting>
  <conditionalFormatting sqref="J3:J1498">
    <cfRule type="cellIs" dxfId="393" priority="45" stopIfTrue="1" operator="equal">
      <formula>"BM Approved"</formula>
    </cfRule>
  </conditionalFormatting>
  <conditionalFormatting sqref="J3:J1498">
    <cfRule type="cellIs" dxfId="392" priority="46" stopIfTrue="1" operator="equal">
      <formula>"Running"</formula>
    </cfRule>
  </conditionalFormatting>
  <conditionalFormatting sqref="C3:C1498">
    <cfRule type="expression" dxfId="391" priority="47" stopIfTrue="1">
      <formula>"=AND(=COUNTA($A3:$J3)&gt;0,$C3="")"</formula>
    </cfRule>
  </conditionalFormatting>
  <conditionalFormatting sqref="E3:I1498">
    <cfRule type="expression" dxfId="390" priority="48" stopIfTrue="1">
      <formula>"=AND(=COUNTA($A3:$J3)&gt;0,E3="")"</formula>
    </cfRule>
  </conditionalFormatting>
  <conditionalFormatting sqref="A3:K1498">
    <cfRule type="expression" dxfId="389" priority="49" stopIfTrue="1">
      <formula>COUNTA($A3:$K3)=0</formula>
    </cfRule>
  </conditionalFormatting>
  <dataValidations count="2">
    <dataValidation type="decimal" operator="greaterThan" allowBlank="1" showDropDown="1" showErrorMessage="1" sqref="G3:G1498">
      <formula1>0</formula1>
    </dataValidation>
    <dataValidation type="custom" allowBlank="1" showDropDown="1" showErrorMessage="1" sqref="H3:H1498">
      <formula1>OR(NOT(ISERROR(DATEVALUE(H3))), AND(ISNUMBER(H3), LEFT(CELL("format", H3))="D"))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Helper!$A$2:$A1498</xm:f>
          </x14:formula1>
          <xm:sqref>B3:B1498</xm:sqref>
        </x14:dataValidation>
        <x14:dataValidation type="list" allowBlank="1">
          <x14:formula1>
            <xm:f>Helper!$B$2:$B1498</xm:f>
          </x14:formula1>
          <xm:sqref>C3:C1498</xm:sqref>
        </x14:dataValidation>
        <x14:dataValidation type="list" allowBlank="1">
          <x14:formula1>
            <xm:f>Helper!$C$2:$C1498</xm:f>
          </x14:formula1>
          <xm:sqref>E3:E1498</xm:sqref>
        </x14:dataValidation>
        <x14:dataValidation type="list" allowBlank="1">
          <x14:formula1>
            <xm:f>Helper!$D$2:$D1498</xm:f>
          </x14:formula1>
          <xm:sqref>F3:F1498</xm:sqref>
        </x14:dataValidation>
        <x14:dataValidation type="list" allowBlank="1">
          <x14:formula1>
            <xm:f>Helper!$E$2:$E1498</xm:f>
          </x14:formula1>
          <xm:sqref>J3:J1498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  <outlinePr summaryBelow="0" summaryRight="0"/>
  </sheetPr>
  <dimension ref="A1:Z15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28.88671875" customWidth="1"/>
    <col min="2" max="2" width="13.21875" customWidth="1"/>
    <col min="3" max="3" width="21.33203125" customWidth="1"/>
    <col min="4" max="4" width="17.6640625" customWidth="1"/>
    <col min="5" max="5" width="28.88671875" customWidth="1"/>
    <col min="6" max="6" width="13.21875" customWidth="1"/>
    <col min="7" max="7" width="9.44140625" customWidth="1"/>
    <col min="8" max="8" width="16.33203125" customWidth="1"/>
    <col min="9" max="9" width="18.88671875" customWidth="1"/>
    <col min="10" max="10" width="17" customWidth="1"/>
    <col min="11" max="11" width="12.6640625" customWidth="1"/>
  </cols>
  <sheetData>
    <row r="1" spans="1:11" ht="27" customHeight="1">
      <c r="A1" s="104" t="str">
        <f>HYPERLINK("https://docs.google.com/spreadsheets/d/1K9G-wDk_WFUTXFBEzHiTsPAPTkgmvY6ydUUckPlDbUM/edit?gid=2135007239#gid=2135007239","➜ Go to Dashboard")</f>
        <v>➜ Go to Dashboard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5.5" customHeight="1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" t="s">
        <v>10</v>
      </c>
    </row>
    <row r="3" spans="1:11" ht="13.2">
      <c r="A3" s="4" t="s">
        <v>408</v>
      </c>
      <c r="B3" s="5" t="s">
        <v>729</v>
      </c>
      <c r="C3" s="6" t="s">
        <v>730</v>
      </c>
      <c r="D3" s="7" t="s">
        <v>731</v>
      </c>
      <c r="E3" s="8" t="s">
        <v>490</v>
      </c>
      <c r="F3" s="9" t="s">
        <v>17</v>
      </c>
      <c r="G3" s="10">
        <v>2</v>
      </c>
      <c r="H3" s="11">
        <v>45850</v>
      </c>
      <c r="I3" s="12" t="s">
        <v>732</v>
      </c>
      <c r="J3" s="13" t="s">
        <v>19</v>
      </c>
      <c r="K3" s="14" t="str">
        <f>HYPERLINK("http://mpro.prangroup.com:4000/CreativeWorks/Edit/9439","Open")</f>
        <v>Open</v>
      </c>
    </row>
    <row r="4" spans="1:11" ht="13.2">
      <c r="A4" s="4" t="s">
        <v>408</v>
      </c>
      <c r="B4" s="5" t="s">
        <v>729</v>
      </c>
      <c r="C4" s="6" t="s">
        <v>730</v>
      </c>
      <c r="D4" s="7" t="s">
        <v>733</v>
      </c>
      <c r="E4" s="8" t="s">
        <v>490</v>
      </c>
      <c r="F4" s="9" t="s">
        <v>17</v>
      </c>
      <c r="G4" s="10">
        <v>7</v>
      </c>
      <c r="H4" s="11">
        <v>45952</v>
      </c>
      <c r="I4" s="12" t="s">
        <v>734</v>
      </c>
      <c r="J4" s="13" t="s">
        <v>30</v>
      </c>
      <c r="K4" s="14" t="str">
        <f>HYPERLINK("http://mpro.prangroup.com:4000/CreativeWorks/Edit/13730","Open")</f>
        <v>Open</v>
      </c>
    </row>
    <row r="5" spans="1:11" ht="13.2">
      <c r="A5" s="4" t="s">
        <v>408</v>
      </c>
      <c r="B5" s="5" t="s">
        <v>729</v>
      </c>
      <c r="C5" s="6" t="s">
        <v>730</v>
      </c>
      <c r="D5" s="7" t="s">
        <v>735</v>
      </c>
      <c r="E5" s="8" t="s">
        <v>490</v>
      </c>
      <c r="F5" s="9" t="s">
        <v>17</v>
      </c>
      <c r="G5" s="10">
        <v>11</v>
      </c>
      <c r="H5" s="11">
        <v>45953</v>
      </c>
      <c r="I5" s="12" t="s">
        <v>736</v>
      </c>
      <c r="J5" s="13" t="s">
        <v>30</v>
      </c>
      <c r="K5" s="14" t="str">
        <f>HYPERLINK("http://mpro.prangroup.com:4000/CreativeWorks/Edit/13782","Open")</f>
        <v>Open</v>
      </c>
    </row>
    <row r="6" spans="1:11" ht="13.2">
      <c r="A6" s="4" t="s">
        <v>737</v>
      </c>
      <c r="B6" s="5" t="s">
        <v>32</v>
      </c>
      <c r="C6" s="6" t="s">
        <v>91</v>
      </c>
      <c r="D6" s="7" t="s">
        <v>738</v>
      </c>
      <c r="E6" s="8" t="s">
        <v>63</v>
      </c>
      <c r="F6" s="9" t="s">
        <v>17</v>
      </c>
      <c r="G6" s="10">
        <v>1</v>
      </c>
      <c r="H6" s="11">
        <v>45965</v>
      </c>
      <c r="I6" s="12" t="s">
        <v>739</v>
      </c>
      <c r="J6" s="13" t="s">
        <v>30</v>
      </c>
      <c r="K6" s="14" t="str">
        <f>HYPERLINK("http://mpro.prangroup.com:4000/CreativeWorks/Edit/15242","Open")</f>
        <v>Open</v>
      </c>
    </row>
    <row r="7" spans="1:11" ht="13.2">
      <c r="A7" s="4" t="s">
        <v>740</v>
      </c>
      <c r="B7" s="5" t="s">
        <v>32</v>
      </c>
      <c r="C7" s="6" t="s">
        <v>91</v>
      </c>
      <c r="D7" s="7" t="s">
        <v>741</v>
      </c>
      <c r="E7" s="8" t="s">
        <v>23</v>
      </c>
      <c r="F7" s="9" t="s">
        <v>17</v>
      </c>
      <c r="G7" s="10">
        <v>2</v>
      </c>
      <c r="H7" s="11">
        <v>45965</v>
      </c>
      <c r="I7" s="12" t="s">
        <v>742</v>
      </c>
      <c r="J7" s="13" t="s">
        <v>30</v>
      </c>
      <c r="K7" s="14" t="str">
        <f>HYPERLINK("http://mpro.prangroup.com:4000/CreativeWorks/Edit/15240","Open")</f>
        <v>Open</v>
      </c>
    </row>
    <row r="8" spans="1:11" ht="13.2">
      <c r="A8" s="4" t="s">
        <v>737</v>
      </c>
      <c r="B8" s="5" t="s">
        <v>32</v>
      </c>
      <c r="C8" s="6" t="s">
        <v>91</v>
      </c>
      <c r="D8" s="7" t="s">
        <v>738</v>
      </c>
      <c r="E8" s="8" t="s">
        <v>23</v>
      </c>
      <c r="F8" s="9" t="s">
        <v>17</v>
      </c>
      <c r="G8" s="10">
        <v>1</v>
      </c>
      <c r="H8" s="11">
        <v>45965</v>
      </c>
      <c r="I8" s="12" t="s">
        <v>739</v>
      </c>
      <c r="J8" s="13" t="s">
        <v>30</v>
      </c>
      <c r="K8" s="14" t="str">
        <f>HYPERLINK("http://mpro.prangroup.com:4000/CreativeWorks/Edit/15242","Open")</f>
        <v>Open</v>
      </c>
    </row>
    <row r="9" spans="1:11" ht="13.2">
      <c r="A9" s="4" t="s">
        <v>90</v>
      </c>
      <c r="B9" s="5" t="s">
        <v>32</v>
      </c>
      <c r="C9" s="6" t="s">
        <v>91</v>
      </c>
      <c r="D9" s="7" t="s">
        <v>743</v>
      </c>
      <c r="E9" s="8" t="s">
        <v>23</v>
      </c>
      <c r="F9" s="9" t="s">
        <v>17</v>
      </c>
      <c r="G9" s="10">
        <v>1</v>
      </c>
      <c r="H9" s="11">
        <v>45971</v>
      </c>
      <c r="I9" s="12" t="s">
        <v>744</v>
      </c>
      <c r="J9" s="13" t="s">
        <v>30</v>
      </c>
      <c r="K9" s="14" t="str">
        <f>HYPERLINK("http://mpro.prangroup.com:4000/CreativeWorks/Edit/15723","Open")</f>
        <v>Open</v>
      </c>
    </row>
    <row r="10" spans="1:11" ht="13.2">
      <c r="A10" s="4" t="s">
        <v>745</v>
      </c>
      <c r="B10" s="5" t="s">
        <v>41</v>
      </c>
      <c r="C10" s="6" t="s">
        <v>746</v>
      </c>
      <c r="D10" s="7" t="s">
        <v>747</v>
      </c>
      <c r="E10" s="8" t="s">
        <v>748</v>
      </c>
      <c r="F10" s="9" t="s">
        <v>17</v>
      </c>
      <c r="G10" s="10">
        <v>10</v>
      </c>
      <c r="H10" s="11">
        <v>45972</v>
      </c>
      <c r="I10" s="12" t="s">
        <v>749</v>
      </c>
      <c r="J10" s="13" t="s">
        <v>19</v>
      </c>
      <c r="K10" s="14" t="str">
        <f>HYPERLINK("http://mpro.prangroup.com:4000/CreativeWorks/Edit/15841","Open")</f>
        <v>Open</v>
      </c>
    </row>
    <row r="11" spans="1:11" ht="13.2">
      <c r="A11" s="4" t="s">
        <v>105</v>
      </c>
      <c r="B11" s="5" t="s">
        <v>60</v>
      </c>
      <c r="C11" s="6" t="s">
        <v>78</v>
      </c>
      <c r="D11" s="7" t="s">
        <v>750</v>
      </c>
      <c r="E11" s="8" t="s">
        <v>16</v>
      </c>
      <c r="F11" s="9" t="s">
        <v>17</v>
      </c>
      <c r="G11" s="10">
        <v>1</v>
      </c>
      <c r="H11" s="11">
        <v>45977</v>
      </c>
      <c r="I11" s="12" t="s">
        <v>751</v>
      </c>
      <c r="J11" s="13" t="s">
        <v>30</v>
      </c>
      <c r="K11" s="14" t="str">
        <f>HYPERLINK("http://mpro.prangroup.com:4000/CreativeWorks/Edit/16357","Open")</f>
        <v>Open</v>
      </c>
    </row>
    <row r="12" spans="1:11" ht="13.2">
      <c r="A12" s="4" t="s">
        <v>752</v>
      </c>
      <c r="B12" s="5" t="s">
        <v>753</v>
      </c>
      <c r="C12" s="6" t="s">
        <v>746</v>
      </c>
      <c r="D12" s="7" t="s">
        <v>754</v>
      </c>
      <c r="E12" s="8" t="s">
        <v>748</v>
      </c>
      <c r="F12" s="9" t="s">
        <v>17</v>
      </c>
      <c r="G12" s="10">
        <v>5</v>
      </c>
      <c r="H12" s="11">
        <v>45981</v>
      </c>
      <c r="I12" s="12" t="s">
        <v>755</v>
      </c>
      <c r="J12" s="13" t="s">
        <v>19</v>
      </c>
      <c r="K12" s="14" t="str">
        <f>HYPERLINK("http://mpro.prangroup.com:4000/CreativeWorks/Edit/16772","Open")</f>
        <v>Open</v>
      </c>
    </row>
    <row r="13" spans="1:11" ht="13.2">
      <c r="A13" s="4" t="s">
        <v>122</v>
      </c>
      <c r="B13" s="5" t="s">
        <v>123</v>
      </c>
      <c r="C13" s="6" t="s">
        <v>124</v>
      </c>
      <c r="D13" s="7" t="s">
        <v>125</v>
      </c>
      <c r="E13" s="8" t="s">
        <v>23</v>
      </c>
      <c r="F13" s="9" t="s">
        <v>17</v>
      </c>
      <c r="G13" s="10">
        <v>2</v>
      </c>
      <c r="H13" s="11">
        <v>45981</v>
      </c>
      <c r="I13" s="12" t="s">
        <v>756</v>
      </c>
      <c r="J13" s="13" t="s">
        <v>30</v>
      </c>
      <c r="K13" s="14" t="str">
        <f>HYPERLINK("http://mpro.prangroup.com:4000/CreativeWorks/Edit/16769","Open")</f>
        <v>Open</v>
      </c>
    </row>
    <row r="14" spans="1:11" ht="13.2">
      <c r="A14" s="4" t="s">
        <v>128</v>
      </c>
      <c r="B14" s="5" t="s">
        <v>32</v>
      </c>
      <c r="C14" s="6" t="s">
        <v>129</v>
      </c>
      <c r="D14" s="7" t="s">
        <v>130</v>
      </c>
      <c r="E14" s="8" t="s">
        <v>23</v>
      </c>
      <c r="F14" s="9" t="s">
        <v>17</v>
      </c>
      <c r="G14" s="10">
        <v>1</v>
      </c>
      <c r="H14" s="11">
        <v>45981</v>
      </c>
      <c r="I14" s="12" t="s">
        <v>132</v>
      </c>
      <c r="J14" s="13" t="s">
        <v>30</v>
      </c>
      <c r="K14" s="14" t="str">
        <f>HYPERLINK("http://mpro.prangroup.com:4000/CreativeWorks/Edit/16818","Open")</f>
        <v>Open</v>
      </c>
    </row>
    <row r="15" spans="1:11" ht="13.2">
      <c r="A15" s="4" t="s">
        <v>745</v>
      </c>
      <c r="B15" s="5" t="s">
        <v>41</v>
      </c>
      <c r="C15" s="6" t="s">
        <v>746</v>
      </c>
      <c r="D15" s="7" t="s">
        <v>757</v>
      </c>
      <c r="E15" s="8" t="s">
        <v>748</v>
      </c>
      <c r="F15" s="9" t="s">
        <v>17</v>
      </c>
      <c r="G15" s="10">
        <v>4</v>
      </c>
      <c r="H15" s="11">
        <v>45984</v>
      </c>
      <c r="I15" s="12" t="s">
        <v>758</v>
      </c>
      <c r="J15" s="13" t="s">
        <v>19</v>
      </c>
      <c r="K15" s="14" t="str">
        <f>HYPERLINK("http://mpro.prangroup.com:4000/CreativeWorks/Edit/17107","Open")</f>
        <v>Open</v>
      </c>
    </row>
    <row r="16" spans="1:11" ht="13.2">
      <c r="A16" s="4" t="s">
        <v>759</v>
      </c>
      <c r="B16" s="5" t="s">
        <v>32</v>
      </c>
      <c r="C16" s="6" t="s">
        <v>86</v>
      </c>
      <c r="D16" s="7" t="s">
        <v>760</v>
      </c>
      <c r="E16" s="8" t="s">
        <v>23</v>
      </c>
      <c r="F16" s="9" t="s">
        <v>17</v>
      </c>
      <c r="G16" s="10">
        <v>1</v>
      </c>
      <c r="H16" s="11">
        <v>45984</v>
      </c>
      <c r="I16" s="12" t="s">
        <v>761</v>
      </c>
      <c r="J16" s="13" t="s">
        <v>30</v>
      </c>
      <c r="K16" s="14" t="str">
        <f>HYPERLINK("http://mpro.prangroup.com:4000/CreativeWorks/Edit/17110","Open")</f>
        <v>Open</v>
      </c>
    </row>
    <row r="17" spans="1:11" ht="13.2">
      <c r="A17" s="4" t="s">
        <v>745</v>
      </c>
      <c r="B17" s="5" t="s">
        <v>41</v>
      </c>
      <c r="C17" s="6" t="s">
        <v>746</v>
      </c>
      <c r="D17" s="7" t="s">
        <v>762</v>
      </c>
      <c r="E17" s="8" t="s">
        <v>748</v>
      </c>
      <c r="F17" s="9" t="s">
        <v>17</v>
      </c>
      <c r="G17" s="10">
        <v>3</v>
      </c>
      <c r="H17" s="11">
        <v>45986</v>
      </c>
      <c r="I17" s="12" t="s">
        <v>763</v>
      </c>
      <c r="J17" s="13" t="s">
        <v>19</v>
      </c>
      <c r="K17" s="14" t="str">
        <f>HYPERLINK("http://mpro.prangroup.com:4000/CreativeWorks/Edit/17371","Open")</f>
        <v>Open</v>
      </c>
    </row>
    <row r="18" spans="1:11" ht="13.2">
      <c r="A18" s="4" t="s">
        <v>745</v>
      </c>
      <c r="B18" s="5" t="s">
        <v>41</v>
      </c>
      <c r="C18" s="6" t="s">
        <v>746</v>
      </c>
      <c r="D18" s="7" t="s">
        <v>764</v>
      </c>
      <c r="E18" s="8" t="s">
        <v>748</v>
      </c>
      <c r="F18" s="9" t="s">
        <v>17</v>
      </c>
      <c r="G18" s="10">
        <v>4</v>
      </c>
      <c r="H18" s="11">
        <v>45986</v>
      </c>
      <c r="I18" s="12" t="s">
        <v>765</v>
      </c>
      <c r="J18" s="13" t="s">
        <v>19</v>
      </c>
      <c r="K18" s="14" t="str">
        <f>HYPERLINK("http://mpro.prangroup.com:4000/CreativeWorks/Edit/17372","Open")</f>
        <v>Open</v>
      </c>
    </row>
    <row r="19" spans="1:11" ht="13.2">
      <c r="A19" s="4" t="s">
        <v>745</v>
      </c>
      <c r="B19" s="5" t="s">
        <v>41</v>
      </c>
      <c r="C19" s="6" t="s">
        <v>746</v>
      </c>
      <c r="D19" s="7" t="s">
        <v>766</v>
      </c>
      <c r="E19" s="8" t="s">
        <v>63</v>
      </c>
      <c r="F19" s="9" t="s">
        <v>17</v>
      </c>
      <c r="G19" s="10">
        <v>1</v>
      </c>
      <c r="H19" s="11">
        <v>45990</v>
      </c>
      <c r="I19" s="12" t="s">
        <v>767</v>
      </c>
      <c r="J19" s="13" t="s">
        <v>19</v>
      </c>
      <c r="K19" s="14" t="str">
        <f>HYPERLINK("http://mpro.prangroup.com:4000/CreativeWorks/Edit/17755","Open")</f>
        <v>Open</v>
      </c>
    </row>
    <row r="20" spans="1:11" ht="13.2">
      <c r="A20" s="4" t="s">
        <v>745</v>
      </c>
      <c r="B20" s="5" t="s">
        <v>41</v>
      </c>
      <c r="C20" s="6" t="s">
        <v>746</v>
      </c>
      <c r="D20" s="7" t="s">
        <v>768</v>
      </c>
      <c r="E20" s="8" t="s">
        <v>748</v>
      </c>
      <c r="F20" s="9" t="s">
        <v>17</v>
      </c>
      <c r="G20" s="10">
        <v>1</v>
      </c>
      <c r="H20" s="11">
        <v>45992</v>
      </c>
      <c r="I20" s="12" t="s">
        <v>769</v>
      </c>
      <c r="J20" s="13" t="s">
        <v>48</v>
      </c>
      <c r="K20" s="14" t="str">
        <f>HYPERLINK("http://mpro.prangroup.com:4000/CreativeWorks/Edit/18124","Open")</f>
        <v>Open</v>
      </c>
    </row>
    <row r="21" spans="1:11" ht="13.2">
      <c r="A21" s="4" t="s">
        <v>73</v>
      </c>
      <c r="B21" s="5" t="s">
        <v>41</v>
      </c>
      <c r="C21" s="6" t="s">
        <v>74</v>
      </c>
      <c r="D21" s="7" t="s">
        <v>770</v>
      </c>
      <c r="E21" s="8" t="s">
        <v>23</v>
      </c>
      <c r="F21" s="9" t="s">
        <v>17</v>
      </c>
      <c r="G21" s="10">
        <v>1</v>
      </c>
      <c r="H21" s="11">
        <v>45994</v>
      </c>
      <c r="I21" s="12" t="s">
        <v>771</v>
      </c>
      <c r="J21" s="13" t="s">
        <v>30</v>
      </c>
      <c r="K21" s="14" t="str">
        <f>HYPERLINK("http://mpro.prangroup.com:4000/CreativeWorks/Edit/18279","Open")</f>
        <v>Open</v>
      </c>
    </row>
    <row r="22" spans="1:11" ht="13.2">
      <c r="A22" s="4" t="s">
        <v>772</v>
      </c>
      <c r="B22" s="5" t="s">
        <v>41</v>
      </c>
      <c r="C22" s="6" t="s">
        <v>773</v>
      </c>
      <c r="D22" s="7" t="s">
        <v>774</v>
      </c>
      <c r="E22" s="8" t="s">
        <v>23</v>
      </c>
      <c r="F22" s="9" t="s">
        <v>17</v>
      </c>
      <c r="G22" s="10">
        <v>2</v>
      </c>
      <c r="H22" s="11">
        <v>45994</v>
      </c>
      <c r="I22" s="12" t="s">
        <v>775</v>
      </c>
      <c r="J22" s="13" t="s">
        <v>30</v>
      </c>
      <c r="K22" s="14" t="str">
        <f>HYPERLINK("http://mpro.prangroup.com:4000/CreativeWorks/Edit/18296","Open")</f>
        <v>Open</v>
      </c>
    </row>
    <row r="23" spans="1:11" ht="13.2">
      <c r="A23" s="4" t="s">
        <v>117</v>
      </c>
      <c r="B23" s="5" t="s">
        <v>32</v>
      </c>
      <c r="C23" s="6" t="s">
        <v>186</v>
      </c>
      <c r="D23" s="7" t="s">
        <v>776</v>
      </c>
      <c r="E23" s="8" t="s">
        <v>63</v>
      </c>
      <c r="F23" s="9" t="s">
        <v>17</v>
      </c>
      <c r="G23" s="10">
        <v>2</v>
      </c>
      <c r="H23" s="11">
        <v>45995</v>
      </c>
      <c r="I23" s="12" t="s">
        <v>777</v>
      </c>
      <c r="J23" s="13" t="s">
        <v>30</v>
      </c>
      <c r="K23" s="14" t="str">
        <f t="shared" ref="K23:K24" si="0">HYPERLINK("http://mpro.prangroup.com:4000/CreativeWorks/Edit/18414","Open")</f>
        <v>Open</v>
      </c>
    </row>
    <row r="24" spans="1:11" ht="13.2">
      <c r="A24" s="4" t="s">
        <v>117</v>
      </c>
      <c r="B24" s="5" t="s">
        <v>32</v>
      </c>
      <c r="C24" s="6" t="s">
        <v>186</v>
      </c>
      <c r="D24" s="7" t="s">
        <v>776</v>
      </c>
      <c r="E24" s="8" t="s">
        <v>23</v>
      </c>
      <c r="F24" s="9" t="s">
        <v>17</v>
      </c>
      <c r="G24" s="10">
        <v>1</v>
      </c>
      <c r="H24" s="11">
        <v>45995</v>
      </c>
      <c r="I24" s="12" t="s">
        <v>777</v>
      </c>
      <c r="J24" s="13" t="s">
        <v>30</v>
      </c>
      <c r="K24" s="14" t="str">
        <f t="shared" si="0"/>
        <v>Open</v>
      </c>
    </row>
    <row r="25" spans="1:11" ht="13.2">
      <c r="A25" s="4" t="s">
        <v>745</v>
      </c>
      <c r="B25" s="5" t="s">
        <v>41</v>
      </c>
      <c r="C25" s="6" t="s">
        <v>746</v>
      </c>
      <c r="D25" s="7" t="s">
        <v>778</v>
      </c>
      <c r="E25" s="8" t="s">
        <v>63</v>
      </c>
      <c r="F25" s="9" t="s">
        <v>17</v>
      </c>
      <c r="G25" s="10">
        <v>1</v>
      </c>
      <c r="H25" s="11">
        <v>45997</v>
      </c>
      <c r="I25" s="12" t="s">
        <v>779</v>
      </c>
      <c r="J25" s="13" t="s">
        <v>30</v>
      </c>
      <c r="K25" s="14" t="str">
        <f>HYPERLINK("http://mpro.prangroup.com:4000/CreativeWorks/Edit/18494","Open")</f>
        <v>Open</v>
      </c>
    </row>
    <row r="26" spans="1:11" ht="13.2">
      <c r="A26" s="4" t="s">
        <v>36</v>
      </c>
      <c r="B26" s="5" t="s">
        <v>32</v>
      </c>
      <c r="C26" s="6" t="s">
        <v>186</v>
      </c>
      <c r="D26" s="7" t="s">
        <v>780</v>
      </c>
      <c r="E26" s="8" t="s">
        <v>63</v>
      </c>
      <c r="F26" s="9" t="s">
        <v>17</v>
      </c>
      <c r="G26" s="10">
        <v>3</v>
      </c>
      <c r="H26" s="11">
        <v>45997</v>
      </c>
      <c r="I26" s="12" t="s">
        <v>781</v>
      </c>
      <c r="J26" s="13" t="s">
        <v>30</v>
      </c>
      <c r="K26" s="14" t="str">
        <f>HYPERLINK("http://mpro.prangroup.com:4000/CreativeWorks/Edit/18502","Open")</f>
        <v>Open</v>
      </c>
    </row>
    <row r="27" spans="1:11" ht="13.2">
      <c r="A27" s="4" t="s">
        <v>85</v>
      </c>
      <c r="B27" s="5" t="s">
        <v>32</v>
      </c>
      <c r="C27" s="6" t="s">
        <v>186</v>
      </c>
      <c r="D27" s="7" t="s">
        <v>194</v>
      </c>
      <c r="E27" s="8" t="s">
        <v>16</v>
      </c>
      <c r="F27" s="9" t="s">
        <v>17</v>
      </c>
      <c r="G27" s="10">
        <v>4</v>
      </c>
      <c r="H27" s="11">
        <v>45998</v>
      </c>
      <c r="I27" s="12" t="s">
        <v>195</v>
      </c>
      <c r="J27" s="13" t="s">
        <v>30</v>
      </c>
      <c r="K27" s="14" t="str">
        <f>HYPERLINK("http://mpro.prangroup.com:4000/CreativeWorks/Edit/18556","Open")</f>
        <v>Open</v>
      </c>
    </row>
    <row r="28" spans="1:11" ht="13.2">
      <c r="A28" s="4" t="s">
        <v>782</v>
      </c>
      <c r="B28" s="5" t="s">
        <v>209</v>
      </c>
      <c r="C28" s="6" t="s">
        <v>186</v>
      </c>
      <c r="D28" s="7" t="s">
        <v>210</v>
      </c>
      <c r="E28" s="8" t="s">
        <v>302</v>
      </c>
      <c r="F28" s="9" t="s">
        <v>17</v>
      </c>
      <c r="G28" s="10">
        <v>3</v>
      </c>
      <c r="H28" s="11">
        <v>45999</v>
      </c>
      <c r="I28" s="12" t="s">
        <v>783</v>
      </c>
      <c r="J28" s="13" t="s">
        <v>30</v>
      </c>
      <c r="K28" s="14" t="str">
        <f>HYPERLINK("http://mpro.prangroup.com:4000/CreativeWorks/Edit/18642","Open")</f>
        <v>Open</v>
      </c>
    </row>
    <row r="29" spans="1:11" ht="13.2">
      <c r="A29" s="4" t="s">
        <v>292</v>
      </c>
      <c r="B29" s="5" t="s">
        <v>26</v>
      </c>
      <c r="C29" s="6" t="s">
        <v>293</v>
      </c>
      <c r="D29" s="7" t="s">
        <v>784</v>
      </c>
      <c r="E29" s="8" t="s">
        <v>23</v>
      </c>
      <c r="F29" s="9" t="s">
        <v>17</v>
      </c>
      <c r="G29" s="10">
        <v>2</v>
      </c>
      <c r="H29" s="11">
        <v>46001</v>
      </c>
      <c r="I29" s="12" t="s">
        <v>785</v>
      </c>
      <c r="J29" s="13" t="s">
        <v>30</v>
      </c>
      <c r="K29" s="14" t="str">
        <f>HYPERLINK("http://mpro.prangroup.com:4000/CreativeWorks/Edit/18880","Open")</f>
        <v>Open</v>
      </c>
    </row>
    <row r="30" spans="1:11" ht="13.2">
      <c r="A30" s="4" t="s">
        <v>117</v>
      </c>
      <c r="B30" s="5" t="s">
        <v>32</v>
      </c>
      <c r="C30" s="6" t="s">
        <v>228</v>
      </c>
      <c r="D30" s="7" t="s">
        <v>786</v>
      </c>
      <c r="E30" s="8" t="s">
        <v>63</v>
      </c>
      <c r="F30" s="9" t="s">
        <v>17</v>
      </c>
      <c r="G30" s="10">
        <v>5</v>
      </c>
      <c r="H30" s="11">
        <v>46008</v>
      </c>
      <c r="I30" s="12" t="s">
        <v>787</v>
      </c>
      <c r="J30" s="13" t="s">
        <v>30</v>
      </c>
      <c r="K30" s="14" t="str">
        <f t="shared" ref="K30:K31" si="1">HYPERLINK("http://mpro.prangroup.com:4000/CreativeWorks/Edit/19353","Open")</f>
        <v>Open</v>
      </c>
    </row>
    <row r="31" spans="1:11" ht="13.2">
      <c r="A31" s="4" t="s">
        <v>117</v>
      </c>
      <c r="B31" s="5" t="s">
        <v>32</v>
      </c>
      <c r="C31" s="6" t="s">
        <v>228</v>
      </c>
      <c r="D31" s="7" t="s">
        <v>786</v>
      </c>
      <c r="E31" s="8" t="s">
        <v>23</v>
      </c>
      <c r="F31" s="9" t="s">
        <v>17</v>
      </c>
      <c r="G31" s="10">
        <v>5</v>
      </c>
      <c r="H31" s="11">
        <v>46008</v>
      </c>
      <c r="I31" s="12" t="s">
        <v>787</v>
      </c>
      <c r="J31" s="13" t="s">
        <v>30</v>
      </c>
      <c r="K31" s="14" t="str">
        <f t="shared" si="1"/>
        <v>Open</v>
      </c>
    </row>
    <row r="32" spans="1:11" ht="13.2">
      <c r="A32" s="4" t="s">
        <v>216</v>
      </c>
      <c r="B32" s="5" t="s">
        <v>217</v>
      </c>
      <c r="C32" s="6" t="s">
        <v>275</v>
      </c>
      <c r="D32" s="7" t="s">
        <v>788</v>
      </c>
      <c r="E32" s="8" t="s">
        <v>63</v>
      </c>
      <c r="F32" s="9" t="s">
        <v>17</v>
      </c>
      <c r="G32" s="10">
        <v>7</v>
      </c>
      <c r="H32" s="11">
        <v>46008</v>
      </c>
      <c r="I32" s="12" t="s">
        <v>789</v>
      </c>
      <c r="J32" s="13" t="s">
        <v>30</v>
      </c>
      <c r="K32" s="14" t="str">
        <f>HYPERLINK("http://mpro.prangroup.com:4000/CreativeWorks/Edit/19352","Open")</f>
        <v>Open</v>
      </c>
    </row>
    <row r="33" spans="1:11" ht="13.2">
      <c r="A33" s="4" t="s">
        <v>790</v>
      </c>
      <c r="B33" s="5" t="s">
        <v>32</v>
      </c>
      <c r="C33" s="6" t="s">
        <v>86</v>
      </c>
      <c r="D33" s="7" t="s">
        <v>791</v>
      </c>
      <c r="E33" s="8" t="s">
        <v>23</v>
      </c>
      <c r="F33" s="9" t="s">
        <v>17</v>
      </c>
      <c r="G33" s="10">
        <v>8</v>
      </c>
      <c r="H33" s="11">
        <v>46012</v>
      </c>
      <c r="I33" s="12" t="s">
        <v>792</v>
      </c>
      <c r="J33" s="13" t="s">
        <v>30</v>
      </c>
      <c r="K33" s="14" t="str">
        <f>HYPERLINK("http://mpro.prangroup.com:4000/CreativeWorks/Edit/19727","Open")</f>
        <v>Open</v>
      </c>
    </row>
    <row r="34" spans="1:11" ht="13.2">
      <c r="A34" s="4" t="s">
        <v>196</v>
      </c>
      <c r="B34" s="5" t="s">
        <v>197</v>
      </c>
      <c r="C34" s="6" t="s">
        <v>198</v>
      </c>
      <c r="D34" s="7" t="s">
        <v>793</v>
      </c>
      <c r="E34" s="8" t="s">
        <v>23</v>
      </c>
      <c r="F34" s="9" t="s">
        <v>17</v>
      </c>
      <c r="G34" s="10">
        <v>1</v>
      </c>
      <c r="H34" s="11">
        <v>46013</v>
      </c>
      <c r="I34" s="12" t="s">
        <v>794</v>
      </c>
      <c r="J34" s="13" t="s">
        <v>30</v>
      </c>
      <c r="K34" s="14" t="str">
        <f>HYPERLINK("http://mpro.prangroup.com:4000/CreativeWorks/Edit/19842","Open")</f>
        <v>Open</v>
      </c>
    </row>
    <row r="35" spans="1:11" ht="13.2">
      <c r="A35" s="4" t="s">
        <v>795</v>
      </c>
      <c r="B35" s="5" t="s">
        <v>60</v>
      </c>
      <c r="C35" s="6" t="s">
        <v>186</v>
      </c>
      <c r="D35" s="7" t="s">
        <v>796</v>
      </c>
      <c r="E35" s="8" t="s">
        <v>23</v>
      </c>
      <c r="F35" s="9" t="s">
        <v>17</v>
      </c>
      <c r="G35" s="10">
        <v>4</v>
      </c>
      <c r="H35" s="11">
        <v>46013</v>
      </c>
      <c r="I35" s="12" t="s">
        <v>797</v>
      </c>
      <c r="J35" s="13" t="s">
        <v>30</v>
      </c>
      <c r="K35" s="14" t="str">
        <f>HYPERLINK("http://mpro.prangroup.com:4000/CreativeWorks/Edit/19846","Open")</f>
        <v>Open</v>
      </c>
    </row>
    <row r="36" spans="1:11" ht="13.2">
      <c r="A36" s="4" t="s">
        <v>356</v>
      </c>
      <c r="B36" s="5" t="s">
        <v>144</v>
      </c>
      <c r="C36" s="6" t="s">
        <v>171</v>
      </c>
      <c r="D36" s="7" t="s">
        <v>798</v>
      </c>
      <c r="E36" s="8" t="s">
        <v>23</v>
      </c>
      <c r="F36" s="9" t="s">
        <v>17</v>
      </c>
      <c r="G36" s="10">
        <v>4</v>
      </c>
      <c r="H36" s="11">
        <v>46015</v>
      </c>
      <c r="I36" s="12" t="s">
        <v>799</v>
      </c>
      <c r="J36" s="13" t="s">
        <v>30</v>
      </c>
      <c r="K36" s="14" t="str">
        <f>HYPERLINK("http://mpro.prangroup.com:4000/CreativeWorks/Edit/19993","Open")</f>
        <v>Open</v>
      </c>
    </row>
    <row r="37" spans="1:11" ht="13.2">
      <c r="A37" s="4" t="s">
        <v>248</v>
      </c>
      <c r="B37" s="5" t="s">
        <v>123</v>
      </c>
      <c r="C37" s="6" t="s">
        <v>124</v>
      </c>
      <c r="D37" s="7" t="s">
        <v>249</v>
      </c>
      <c r="E37" s="8" t="s">
        <v>23</v>
      </c>
      <c r="F37" s="9" t="s">
        <v>17</v>
      </c>
      <c r="G37" s="10">
        <v>1</v>
      </c>
      <c r="H37" s="11">
        <v>46015</v>
      </c>
      <c r="I37" s="12" t="s">
        <v>800</v>
      </c>
      <c r="J37" s="13" t="s">
        <v>30</v>
      </c>
      <c r="K37" s="14" t="str">
        <f>HYPERLINK("http://mpro.prangroup.com:4000/CreativeWorks/Edit/20024","Open")</f>
        <v>Open</v>
      </c>
    </row>
    <row r="38" spans="1:11" ht="13.2">
      <c r="A38" s="4" t="s">
        <v>40</v>
      </c>
      <c r="B38" s="5" t="s">
        <v>41</v>
      </c>
      <c r="C38" s="6" t="s">
        <v>186</v>
      </c>
      <c r="D38" s="7" t="s">
        <v>251</v>
      </c>
      <c r="E38" s="8" t="s">
        <v>23</v>
      </c>
      <c r="F38" s="9" t="s">
        <v>17</v>
      </c>
      <c r="G38" s="10">
        <v>1</v>
      </c>
      <c r="H38" s="11">
        <v>46015</v>
      </c>
      <c r="I38" s="12" t="s">
        <v>252</v>
      </c>
      <c r="J38" s="13" t="s">
        <v>30</v>
      </c>
      <c r="K38" s="14" t="str">
        <f>HYPERLINK("http://mpro.prangroup.com:4000/CreativeWorks/Edit/20042","Open")</f>
        <v>Open</v>
      </c>
    </row>
    <row r="39" spans="1:11" ht="13.2">
      <c r="A39" s="4" t="s">
        <v>801</v>
      </c>
      <c r="B39" s="5" t="s">
        <v>802</v>
      </c>
      <c r="C39" s="6" t="s">
        <v>803</v>
      </c>
      <c r="D39" s="7" t="s">
        <v>804</v>
      </c>
      <c r="E39" s="8" t="s">
        <v>23</v>
      </c>
      <c r="F39" s="9" t="s">
        <v>17</v>
      </c>
      <c r="G39" s="10">
        <v>2</v>
      </c>
      <c r="H39" s="11">
        <v>46018</v>
      </c>
      <c r="I39" s="12" t="s">
        <v>805</v>
      </c>
      <c r="J39" s="13" t="s">
        <v>30</v>
      </c>
      <c r="K39" s="14" t="str">
        <f>HYPERLINK("http://mpro.prangroup.com:4000/CreativeWorks/Edit/20110","Open")</f>
        <v>Open</v>
      </c>
    </row>
    <row r="40" spans="1:11" ht="13.2">
      <c r="A40" s="4" t="s">
        <v>806</v>
      </c>
      <c r="B40" s="5" t="s">
        <v>60</v>
      </c>
      <c r="C40" s="6" t="s">
        <v>186</v>
      </c>
      <c r="D40" s="7" t="s">
        <v>807</v>
      </c>
      <c r="E40" s="8" t="s">
        <v>23</v>
      </c>
      <c r="F40" s="9" t="s">
        <v>17</v>
      </c>
      <c r="G40" s="10">
        <v>2</v>
      </c>
      <c r="H40" s="11">
        <v>46018</v>
      </c>
      <c r="I40" s="12" t="s">
        <v>808</v>
      </c>
      <c r="J40" s="13" t="s">
        <v>30</v>
      </c>
      <c r="K40" s="14" t="str">
        <f>HYPERLINK("http://mpro.prangroup.com:4000/CreativeWorks/Edit/20159","Open")</f>
        <v>Open</v>
      </c>
    </row>
    <row r="41" spans="1:11" ht="13.2">
      <c r="A41" s="4" t="s">
        <v>809</v>
      </c>
      <c r="B41" s="5" t="s">
        <v>32</v>
      </c>
      <c r="C41" s="6" t="s">
        <v>91</v>
      </c>
      <c r="D41" s="7" t="s">
        <v>810</v>
      </c>
      <c r="E41" s="8" t="s">
        <v>23</v>
      </c>
      <c r="F41" s="9" t="s">
        <v>17</v>
      </c>
      <c r="G41" s="10">
        <v>1</v>
      </c>
      <c r="H41" s="11">
        <v>46020</v>
      </c>
      <c r="I41" s="12" t="s">
        <v>811</v>
      </c>
      <c r="J41" s="13" t="s">
        <v>48</v>
      </c>
      <c r="K41" s="14" t="str">
        <f>HYPERLINK("http://mpro.prangroup.com:4000/CreativeWorks/Edit/20351","Open")</f>
        <v>Open</v>
      </c>
    </row>
    <row r="42" spans="1:11" ht="13.2">
      <c r="A42" s="4" t="s">
        <v>408</v>
      </c>
      <c r="B42" s="5" t="s">
        <v>729</v>
      </c>
      <c r="C42" s="6" t="s">
        <v>730</v>
      </c>
      <c r="D42" s="7" t="s">
        <v>812</v>
      </c>
      <c r="E42" s="8" t="s">
        <v>23</v>
      </c>
      <c r="F42" s="9" t="s">
        <v>17</v>
      </c>
      <c r="G42" s="10">
        <v>1</v>
      </c>
      <c r="H42" s="11">
        <v>46021</v>
      </c>
      <c r="I42" s="12" t="s">
        <v>813</v>
      </c>
      <c r="J42" s="13" t="s">
        <v>30</v>
      </c>
      <c r="K42" s="14" t="str">
        <f>HYPERLINK("http://mpro.prangroup.com:4000/CreativeWorks/Edit/20489","Open")</f>
        <v>Open</v>
      </c>
    </row>
    <row r="43" spans="1:11" ht="13.2">
      <c r="A43" s="4" t="s">
        <v>260</v>
      </c>
      <c r="B43" s="5" t="s">
        <v>197</v>
      </c>
      <c r="C43" s="6" t="s">
        <v>198</v>
      </c>
      <c r="D43" s="7" t="s">
        <v>814</v>
      </c>
      <c r="E43" s="8" t="s">
        <v>23</v>
      </c>
      <c r="F43" s="9" t="s">
        <v>17</v>
      </c>
      <c r="G43" s="10">
        <v>7</v>
      </c>
      <c r="H43" s="11">
        <v>46023</v>
      </c>
      <c r="I43" s="12" t="s">
        <v>815</v>
      </c>
      <c r="J43" s="13" t="s">
        <v>30</v>
      </c>
      <c r="K43" s="14" t="str">
        <f>HYPERLINK("http://mpro.prangroup.com:4000/CreativeWorks/Edit/20915","Open")</f>
        <v>Open</v>
      </c>
    </row>
    <row r="44" spans="1:11" ht="13.2">
      <c r="A44" s="4" t="s">
        <v>809</v>
      </c>
      <c r="B44" s="5" t="s">
        <v>32</v>
      </c>
      <c r="C44" s="6" t="s">
        <v>91</v>
      </c>
      <c r="D44" s="7" t="s">
        <v>816</v>
      </c>
      <c r="E44" s="8" t="s">
        <v>23</v>
      </c>
      <c r="F44" s="9" t="s">
        <v>17</v>
      </c>
      <c r="G44" s="10">
        <v>1</v>
      </c>
      <c r="H44" s="11">
        <v>46026</v>
      </c>
      <c r="I44" s="12" t="s">
        <v>817</v>
      </c>
      <c r="J44" s="13" t="s">
        <v>30</v>
      </c>
      <c r="K44" s="14" t="str">
        <f t="shared" ref="K44:K45" si="2">HYPERLINK("http://mpro.prangroup.com:4000/CreativeWorks/Edit/21085","Open")</f>
        <v>Open</v>
      </c>
    </row>
    <row r="45" spans="1:11" ht="13.2">
      <c r="A45" s="4" t="s">
        <v>809</v>
      </c>
      <c r="B45" s="5" t="s">
        <v>32</v>
      </c>
      <c r="C45" s="6" t="s">
        <v>91</v>
      </c>
      <c r="D45" s="7" t="s">
        <v>816</v>
      </c>
      <c r="E45" s="8" t="s">
        <v>150</v>
      </c>
      <c r="F45" s="9" t="s">
        <v>17</v>
      </c>
      <c r="G45" s="10">
        <v>1</v>
      </c>
      <c r="H45" s="11">
        <v>46026</v>
      </c>
      <c r="I45" s="12" t="s">
        <v>817</v>
      </c>
      <c r="J45" s="13" t="s">
        <v>30</v>
      </c>
      <c r="K45" s="14" t="str">
        <f t="shared" si="2"/>
        <v>Open</v>
      </c>
    </row>
    <row r="46" spans="1:11" ht="13.2">
      <c r="A46" s="4" t="s">
        <v>117</v>
      </c>
      <c r="B46" s="5" t="s">
        <v>32</v>
      </c>
      <c r="C46" s="6" t="s">
        <v>186</v>
      </c>
      <c r="D46" s="7" t="s">
        <v>818</v>
      </c>
      <c r="E46" s="8" t="s">
        <v>23</v>
      </c>
      <c r="F46" s="9" t="s">
        <v>17</v>
      </c>
      <c r="G46" s="10">
        <v>3</v>
      </c>
      <c r="H46" s="11">
        <v>46026</v>
      </c>
      <c r="I46" s="12" t="s">
        <v>819</v>
      </c>
      <c r="J46" s="13" t="s">
        <v>30</v>
      </c>
      <c r="K46" s="14" t="str">
        <f>HYPERLINK("http://mpro.prangroup.com:4000/CreativeWorks/Edit/21110","Open")</f>
        <v>Open</v>
      </c>
    </row>
    <row r="47" spans="1:11" ht="13.2">
      <c r="A47" s="4" t="s">
        <v>128</v>
      </c>
      <c r="B47" s="5" t="s">
        <v>32</v>
      </c>
      <c r="C47" s="6" t="s">
        <v>86</v>
      </c>
      <c r="D47" s="7" t="s">
        <v>820</v>
      </c>
      <c r="E47" s="8" t="s">
        <v>23</v>
      </c>
      <c r="F47" s="9" t="s">
        <v>17</v>
      </c>
      <c r="G47" s="10">
        <v>1</v>
      </c>
      <c r="H47" s="11">
        <v>46027</v>
      </c>
      <c r="I47" s="12" t="s">
        <v>821</v>
      </c>
      <c r="J47" s="13" t="s">
        <v>30</v>
      </c>
      <c r="K47" s="14" t="str">
        <f>HYPERLINK("http://mpro.prangroup.com:4000/CreativeWorks/Edit/21155","Open")</f>
        <v>Open</v>
      </c>
    </row>
    <row r="48" spans="1:11" ht="13.2">
      <c r="A48" s="4" t="s">
        <v>235</v>
      </c>
      <c r="B48" s="5" t="s">
        <v>101</v>
      </c>
      <c r="C48" s="6" t="s">
        <v>232</v>
      </c>
      <c r="D48" s="7" t="s">
        <v>822</v>
      </c>
      <c r="E48" s="8" t="s">
        <v>242</v>
      </c>
      <c r="F48" s="9" t="s">
        <v>17</v>
      </c>
      <c r="G48" s="10">
        <v>7</v>
      </c>
      <c r="H48" s="11">
        <v>46027</v>
      </c>
      <c r="I48" s="12" t="s">
        <v>823</v>
      </c>
      <c r="J48" s="13" t="s">
        <v>30</v>
      </c>
      <c r="K48" s="14" t="str">
        <f>HYPERLINK("http://mpro.prangroup.com:4000/CreativeWorks/Edit/21173","Open")</f>
        <v>Open</v>
      </c>
    </row>
    <row r="49" spans="1:11" ht="13.2">
      <c r="A49" s="4" t="s">
        <v>443</v>
      </c>
      <c r="B49" s="5" t="s">
        <v>32</v>
      </c>
      <c r="C49" s="6" t="s">
        <v>33</v>
      </c>
      <c r="D49" s="7" t="s">
        <v>824</v>
      </c>
      <c r="E49" s="8" t="s">
        <v>23</v>
      </c>
      <c r="F49" s="9" t="s">
        <v>17</v>
      </c>
      <c r="G49" s="10">
        <v>1</v>
      </c>
      <c r="H49" s="11">
        <v>46028</v>
      </c>
      <c r="I49" s="12" t="s">
        <v>825</v>
      </c>
      <c r="J49" s="13" t="s">
        <v>30</v>
      </c>
      <c r="K49" s="14" t="str">
        <f>HYPERLINK("http://mpro.prangroup.com:4000/CreativeWorks/Edit/21224","Open")</f>
        <v>Open</v>
      </c>
    </row>
    <row r="50" spans="1:11" ht="13.2">
      <c r="A50" s="4" t="s">
        <v>801</v>
      </c>
      <c r="B50" s="5" t="s">
        <v>802</v>
      </c>
      <c r="C50" s="6" t="s">
        <v>803</v>
      </c>
      <c r="D50" s="7" t="s">
        <v>826</v>
      </c>
      <c r="E50" s="8" t="s">
        <v>23</v>
      </c>
      <c r="F50" s="9" t="s">
        <v>17</v>
      </c>
      <c r="G50" s="10">
        <v>2</v>
      </c>
      <c r="H50" s="11">
        <v>46029</v>
      </c>
      <c r="I50" s="12" t="s">
        <v>827</v>
      </c>
      <c r="J50" s="13" t="s">
        <v>30</v>
      </c>
      <c r="K50" s="14" t="str">
        <f>HYPERLINK("http://mpro.prangroup.com:4000/CreativeWorks/Edit/21334","Open")</f>
        <v>Open</v>
      </c>
    </row>
    <row r="51" spans="1:11" ht="13.2">
      <c r="A51" s="4" t="s">
        <v>421</v>
      </c>
      <c r="B51" s="5" t="s">
        <v>101</v>
      </c>
      <c r="C51" s="6" t="s">
        <v>828</v>
      </c>
      <c r="D51" s="7" t="s">
        <v>829</v>
      </c>
      <c r="E51" s="8" t="s">
        <v>23</v>
      </c>
      <c r="F51" s="9" t="s">
        <v>17</v>
      </c>
      <c r="G51" s="10">
        <v>1</v>
      </c>
      <c r="H51" s="11">
        <v>46029</v>
      </c>
      <c r="I51" s="12" t="s">
        <v>830</v>
      </c>
      <c r="J51" s="13" t="s">
        <v>30</v>
      </c>
      <c r="K51" s="14" t="str">
        <f>HYPERLINK("http://mpro.prangroup.com:4000/CreativeWorks/Edit/21306","Open")</f>
        <v>Open</v>
      </c>
    </row>
    <row r="52" spans="1:11" ht="13.2">
      <c r="A52" s="4" t="s">
        <v>281</v>
      </c>
      <c r="B52" s="5" t="s">
        <v>282</v>
      </c>
      <c r="C52" s="6" t="s">
        <v>283</v>
      </c>
      <c r="D52" s="7" t="s">
        <v>284</v>
      </c>
      <c r="E52" s="8" t="s">
        <v>23</v>
      </c>
      <c r="F52" s="9" t="s">
        <v>17</v>
      </c>
      <c r="G52" s="10">
        <v>2</v>
      </c>
      <c r="H52" s="11">
        <v>46029</v>
      </c>
      <c r="I52" s="12" t="s">
        <v>285</v>
      </c>
      <c r="J52" s="13" t="s">
        <v>30</v>
      </c>
      <c r="K52" s="14" t="str">
        <f>HYPERLINK("http://mpro.prangroup.com:4000/CreativeWorks/Edit/21333","Open")</f>
        <v>Open</v>
      </c>
    </row>
    <row r="53" spans="1:11" ht="13.2">
      <c r="A53" s="4" t="s">
        <v>801</v>
      </c>
      <c r="B53" s="5" t="s">
        <v>802</v>
      </c>
      <c r="C53" s="6" t="s">
        <v>803</v>
      </c>
      <c r="D53" s="7" t="s">
        <v>831</v>
      </c>
      <c r="E53" s="8" t="s">
        <v>23</v>
      </c>
      <c r="F53" s="9" t="s">
        <v>17</v>
      </c>
      <c r="G53" s="10">
        <v>3</v>
      </c>
      <c r="H53" s="11">
        <v>46032</v>
      </c>
      <c r="I53" s="12" t="s">
        <v>832</v>
      </c>
      <c r="J53" s="13" t="s">
        <v>30</v>
      </c>
      <c r="K53" s="14" t="str">
        <f>HYPERLINK("http://mpro.prangroup.com:4000/CreativeWorks/Edit/21522","Open")</f>
        <v>Open</v>
      </c>
    </row>
    <row r="54" spans="1:11" ht="13.2">
      <c r="A54" s="4" t="s">
        <v>244</v>
      </c>
      <c r="B54" s="5" t="s">
        <v>41</v>
      </c>
      <c r="C54" s="6" t="s">
        <v>245</v>
      </c>
      <c r="D54" s="7" t="s">
        <v>833</v>
      </c>
      <c r="E54" s="8" t="s">
        <v>23</v>
      </c>
      <c r="F54" s="9" t="s">
        <v>17</v>
      </c>
      <c r="G54" s="10">
        <v>1</v>
      </c>
      <c r="H54" s="11">
        <v>46034</v>
      </c>
      <c r="I54" s="12" t="s">
        <v>834</v>
      </c>
      <c r="J54" s="13" t="s">
        <v>30</v>
      </c>
      <c r="K54" s="14" t="str">
        <f>HYPERLINK("http://mpro.prangroup.com:4000/CreativeWorks/Edit/21660","Open")</f>
        <v>Open</v>
      </c>
    </row>
    <row r="55" spans="1:11" ht="13.2">
      <c r="A55" s="4" t="s">
        <v>90</v>
      </c>
      <c r="B55" s="5" t="s">
        <v>32</v>
      </c>
      <c r="C55" s="6" t="s">
        <v>228</v>
      </c>
      <c r="D55" s="7" t="s">
        <v>835</v>
      </c>
      <c r="E55" s="8" t="s">
        <v>23</v>
      </c>
      <c r="F55" s="9" t="s">
        <v>17</v>
      </c>
      <c r="G55" s="10">
        <v>1</v>
      </c>
      <c r="H55" s="11">
        <v>46035</v>
      </c>
      <c r="I55" s="12" t="s">
        <v>836</v>
      </c>
      <c r="J55" s="13" t="s">
        <v>30</v>
      </c>
      <c r="K55" s="14" t="str">
        <f>HYPERLINK("http://mpro.prangroup.com:4000/CreativeWorks/Edit/21764","Open")</f>
        <v>Open</v>
      </c>
    </row>
    <row r="56" spans="1:11" ht="13.2">
      <c r="A56" s="4" t="s">
        <v>191</v>
      </c>
      <c r="B56" s="5" t="s">
        <v>32</v>
      </c>
      <c r="C56" s="6" t="s">
        <v>86</v>
      </c>
      <c r="D56" s="7" t="s">
        <v>837</v>
      </c>
      <c r="E56" s="8" t="s">
        <v>23</v>
      </c>
      <c r="F56" s="9" t="s">
        <v>17</v>
      </c>
      <c r="G56" s="10">
        <v>1</v>
      </c>
      <c r="H56" s="11">
        <v>46035</v>
      </c>
      <c r="I56" s="12" t="s">
        <v>838</v>
      </c>
      <c r="J56" s="13" t="s">
        <v>30</v>
      </c>
      <c r="K56" s="14" t="str">
        <f>HYPERLINK("http://mpro.prangroup.com:4000/CreativeWorks/Edit/21798","Open")</f>
        <v>Open</v>
      </c>
    </row>
    <row r="57" spans="1:11" ht="13.2">
      <c r="A57" s="4" t="s">
        <v>839</v>
      </c>
      <c r="B57" s="5" t="s">
        <v>60</v>
      </c>
      <c r="C57" s="6" t="s">
        <v>389</v>
      </c>
      <c r="D57" s="7" t="s">
        <v>840</v>
      </c>
      <c r="E57" s="8" t="s">
        <v>63</v>
      </c>
      <c r="F57" s="9" t="s">
        <v>17</v>
      </c>
      <c r="G57" s="10">
        <v>1</v>
      </c>
      <c r="H57" s="11">
        <v>46036</v>
      </c>
      <c r="I57" s="12" t="s">
        <v>841</v>
      </c>
      <c r="J57" s="13" t="s">
        <v>30</v>
      </c>
      <c r="K57" s="14" t="str">
        <f>HYPERLINK("http://mpro.prangroup.com:4000/CreativeWorks/Edit/21868","Open")</f>
        <v>Open</v>
      </c>
    </row>
    <row r="58" spans="1:11" ht="13.2">
      <c r="A58" s="4" t="s">
        <v>305</v>
      </c>
      <c r="B58" s="5" t="s">
        <v>197</v>
      </c>
      <c r="C58" s="6" t="s">
        <v>198</v>
      </c>
      <c r="D58" s="7" t="s">
        <v>842</v>
      </c>
      <c r="E58" s="8" t="s">
        <v>23</v>
      </c>
      <c r="F58" s="9" t="s">
        <v>17</v>
      </c>
      <c r="G58" s="10">
        <v>8</v>
      </c>
      <c r="H58" s="11">
        <v>46036</v>
      </c>
      <c r="I58" s="12" t="s">
        <v>843</v>
      </c>
      <c r="J58" s="13" t="s">
        <v>30</v>
      </c>
      <c r="K58" s="14" t="str">
        <f>HYPERLINK("http://mpro.prangroup.com:4000/CreativeWorks/Edit/21882","Open")</f>
        <v>Open</v>
      </c>
    </row>
    <row r="59" spans="1:11" ht="13.2">
      <c r="A59" s="4" t="s">
        <v>844</v>
      </c>
      <c r="B59" s="5" t="s">
        <v>60</v>
      </c>
      <c r="C59" s="6" t="s">
        <v>275</v>
      </c>
      <c r="D59" s="7" t="s">
        <v>845</v>
      </c>
      <c r="E59" s="8" t="s">
        <v>63</v>
      </c>
      <c r="F59" s="9" t="s">
        <v>17</v>
      </c>
      <c r="G59" s="10">
        <v>4</v>
      </c>
      <c r="H59" s="11">
        <v>46036</v>
      </c>
      <c r="I59" s="12" t="s">
        <v>846</v>
      </c>
      <c r="J59" s="13" t="s">
        <v>30</v>
      </c>
      <c r="K59" s="14" t="str">
        <f>HYPERLINK("http://mpro.prangroup.com:4000/CreativeWorks/Edit/21866","Open")</f>
        <v>Open</v>
      </c>
    </row>
    <row r="60" spans="1:11" ht="13.2">
      <c r="A60" s="4" t="s">
        <v>143</v>
      </c>
      <c r="B60" s="5" t="s">
        <v>144</v>
      </c>
      <c r="C60" s="6" t="s">
        <v>847</v>
      </c>
      <c r="D60" s="7" t="s">
        <v>848</v>
      </c>
      <c r="E60" s="8" t="s">
        <v>23</v>
      </c>
      <c r="F60" s="9" t="s">
        <v>17</v>
      </c>
      <c r="G60" s="10">
        <v>2</v>
      </c>
      <c r="H60" s="11">
        <v>46037</v>
      </c>
      <c r="I60" s="12" t="s">
        <v>849</v>
      </c>
      <c r="J60" s="13" t="s">
        <v>30</v>
      </c>
      <c r="K60" s="14" t="str">
        <f>HYPERLINK("http://mpro.prangroup.com:4000/CreativeWorks/Edit/21981","Open")</f>
        <v>Open</v>
      </c>
    </row>
    <row r="61" spans="1:11" ht="13.2">
      <c r="A61" s="4" t="s">
        <v>363</v>
      </c>
      <c r="B61" s="5" t="s">
        <v>850</v>
      </c>
      <c r="C61" s="6" t="s">
        <v>186</v>
      </c>
      <c r="D61" s="7" t="s">
        <v>851</v>
      </c>
      <c r="E61" s="8" t="s">
        <v>242</v>
      </c>
      <c r="F61" s="9" t="s">
        <v>17</v>
      </c>
      <c r="G61" s="10">
        <v>3</v>
      </c>
      <c r="H61" s="11">
        <v>46037</v>
      </c>
      <c r="I61" s="12" t="s">
        <v>852</v>
      </c>
      <c r="J61" s="13" t="s">
        <v>30</v>
      </c>
      <c r="K61" s="14" t="str">
        <f>HYPERLINK("http://mpro.prangroup.com:4000/CreativeWorks/Edit/22008","Open")</f>
        <v>Open</v>
      </c>
    </row>
    <row r="62" spans="1:11" ht="13.2">
      <c r="A62" s="4" t="s">
        <v>267</v>
      </c>
      <c r="B62" s="5" t="s">
        <v>178</v>
      </c>
      <c r="C62" s="6" t="s">
        <v>268</v>
      </c>
      <c r="D62" s="7" t="s">
        <v>853</v>
      </c>
      <c r="E62" s="8" t="s">
        <v>23</v>
      </c>
      <c r="F62" s="9" t="s">
        <v>17</v>
      </c>
      <c r="G62" s="10">
        <v>1</v>
      </c>
      <c r="H62" s="11">
        <v>46039</v>
      </c>
      <c r="I62" s="12" t="s">
        <v>854</v>
      </c>
      <c r="J62" s="13" t="s">
        <v>30</v>
      </c>
      <c r="K62" s="14" t="str">
        <f>HYPERLINK("http://mpro.prangroup.com:4000/CreativeWorks/Edit/22058","Open")</f>
        <v>Open</v>
      </c>
    </row>
    <row r="63" spans="1:11" ht="13.2">
      <c r="A63" s="4" t="s">
        <v>113</v>
      </c>
      <c r="B63" s="5" t="s">
        <v>32</v>
      </c>
      <c r="C63" s="6" t="s">
        <v>114</v>
      </c>
      <c r="D63" s="7" t="s">
        <v>855</v>
      </c>
      <c r="E63" s="8" t="s">
        <v>23</v>
      </c>
      <c r="F63" s="9" t="s">
        <v>17</v>
      </c>
      <c r="G63" s="10">
        <v>1</v>
      </c>
      <c r="H63" s="11">
        <v>46039</v>
      </c>
      <c r="I63" s="12" t="s">
        <v>856</v>
      </c>
      <c r="J63" s="13" t="s">
        <v>30</v>
      </c>
      <c r="K63" s="14" t="str">
        <f>HYPERLINK("http://mpro.prangroup.com:4000/CreativeWorks/Edit/22100","Open")</f>
        <v>Open</v>
      </c>
    </row>
    <row r="64" spans="1:11" ht="13.2">
      <c r="A64" s="4" t="s">
        <v>253</v>
      </c>
      <c r="B64" s="5" t="s">
        <v>197</v>
      </c>
      <c r="C64" s="6" t="s">
        <v>198</v>
      </c>
      <c r="D64" s="7" t="s">
        <v>857</v>
      </c>
      <c r="E64" s="8" t="s">
        <v>23</v>
      </c>
      <c r="F64" s="9" t="s">
        <v>17</v>
      </c>
      <c r="G64" s="10">
        <v>2</v>
      </c>
      <c r="H64" s="11">
        <v>46039</v>
      </c>
      <c r="I64" s="12" t="s">
        <v>858</v>
      </c>
      <c r="J64" s="13" t="s">
        <v>30</v>
      </c>
      <c r="K64" s="14" t="str">
        <f>HYPERLINK("http://mpro.prangroup.com:4000/CreativeWorks/Edit/22064","Open")</f>
        <v>Open</v>
      </c>
    </row>
    <row r="65" spans="1:11" ht="13.2">
      <c r="A65" s="4" t="s">
        <v>227</v>
      </c>
      <c r="B65" s="5" t="s">
        <v>60</v>
      </c>
      <c r="C65" s="6" t="s">
        <v>78</v>
      </c>
      <c r="D65" s="7" t="s">
        <v>859</v>
      </c>
      <c r="E65" s="8" t="s">
        <v>23</v>
      </c>
      <c r="F65" s="9" t="s">
        <v>17</v>
      </c>
      <c r="G65" s="10">
        <v>1</v>
      </c>
      <c r="H65" s="11">
        <v>46039</v>
      </c>
      <c r="I65" s="12" t="s">
        <v>860</v>
      </c>
      <c r="J65" s="13" t="s">
        <v>30</v>
      </c>
      <c r="K65" s="14" t="str">
        <f>HYPERLINK("http://mpro.prangroup.com:4000/CreativeWorks/Edit/22034","Open")</f>
        <v>Open</v>
      </c>
    </row>
    <row r="66" spans="1:11" ht="13.2">
      <c r="A66" s="4" t="s">
        <v>113</v>
      </c>
      <c r="B66" s="5" t="s">
        <v>32</v>
      </c>
      <c r="C66" s="6" t="s">
        <v>114</v>
      </c>
      <c r="D66" s="7" t="s">
        <v>855</v>
      </c>
      <c r="E66" s="8" t="s">
        <v>23</v>
      </c>
      <c r="F66" s="9" t="s">
        <v>17</v>
      </c>
      <c r="G66" s="10">
        <v>1</v>
      </c>
      <c r="H66" s="11">
        <v>46040</v>
      </c>
      <c r="I66" s="12" t="s">
        <v>861</v>
      </c>
      <c r="J66" s="13" t="s">
        <v>30</v>
      </c>
      <c r="K66" s="14" t="str">
        <f>HYPERLINK("http://mpro.prangroup.com:4000/CreativeWorks/Edit/22217","Open")</f>
        <v>Open</v>
      </c>
    </row>
    <row r="67" spans="1:11" ht="13.2">
      <c r="A67" s="4" t="s">
        <v>305</v>
      </c>
      <c r="B67" s="5" t="s">
        <v>197</v>
      </c>
      <c r="C67" s="6" t="s">
        <v>198</v>
      </c>
      <c r="D67" s="7" t="s">
        <v>842</v>
      </c>
      <c r="E67" s="8" t="s">
        <v>23</v>
      </c>
      <c r="F67" s="9" t="s">
        <v>17</v>
      </c>
      <c r="G67" s="10">
        <v>4</v>
      </c>
      <c r="H67" s="11">
        <v>46040</v>
      </c>
      <c r="I67" s="12" t="s">
        <v>862</v>
      </c>
      <c r="J67" s="13" t="s">
        <v>30</v>
      </c>
      <c r="K67" s="14" t="str">
        <f>HYPERLINK("http://mpro.prangroup.com:4000/CreativeWorks/Edit/22198","Open")</f>
        <v>Open</v>
      </c>
    </row>
    <row r="68" spans="1:11" ht="13.2">
      <c r="A68" s="4" t="s">
        <v>162</v>
      </c>
      <c r="B68" s="5" t="s">
        <v>101</v>
      </c>
      <c r="C68" s="6" t="s">
        <v>166</v>
      </c>
      <c r="D68" s="7" t="s">
        <v>863</v>
      </c>
      <c r="E68" s="8" t="s">
        <v>242</v>
      </c>
      <c r="F68" s="9" t="s">
        <v>17</v>
      </c>
      <c r="G68" s="10">
        <v>6</v>
      </c>
      <c r="H68" s="11">
        <v>46040</v>
      </c>
      <c r="I68" s="12" t="s">
        <v>864</v>
      </c>
      <c r="J68" s="13" t="s">
        <v>30</v>
      </c>
      <c r="K68" s="14" t="str">
        <f>HYPERLINK("http://mpro.prangroup.com:4000/CreativeWorks/Edit/22184","Open")</f>
        <v>Open</v>
      </c>
    </row>
    <row r="69" spans="1:11" ht="13.2">
      <c r="A69" s="4" t="s">
        <v>122</v>
      </c>
      <c r="B69" s="5" t="s">
        <v>123</v>
      </c>
      <c r="C69" s="6" t="s">
        <v>124</v>
      </c>
      <c r="D69" s="7" t="s">
        <v>865</v>
      </c>
      <c r="E69" s="8" t="s">
        <v>23</v>
      </c>
      <c r="F69" s="9" t="s">
        <v>17</v>
      </c>
      <c r="G69" s="10">
        <v>1</v>
      </c>
      <c r="H69" s="11">
        <v>46041</v>
      </c>
      <c r="I69" s="12" t="s">
        <v>866</v>
      </c>
      <c r="J69" s="13" t="s">
        <v>30</v>
      </c>
      <c r="K69" s="14" t="str">
        <f>HYPERLINK("http://mpro.prangroup.com:4000/CreativeWorks/Edit/22314","Open")</f>
        <v>Open</v>
      </c>
    </row>
    <row r="70" spans="1:11" ht="13.2">
      <c r="A70" s="4" t="s">
        <v>867</v>
      </c>
      <c r="B70" s="5" t="s">
        <v>60</v>
      </c>
      <c r="C70" s="6" t="s">
        <v>461</v>
      </c>
      <c r="D70" s="7" t="s">
        <v>868</v>
      </c>
      <c r="E70" s="8" t="s">
        <v>23</v>
      </c>
      <c r="F70" s="9" t="s">
        <v>17</v>
      </c>
      <c r="G70" s="10">
        <v>1</v>
      </c>
      <c r="H70" s="11">
        <v>46042</v>
      </c>
      <c r="I70" s="12" t="s">
        <v>869</v>
      </c>
      <c r="J70" s="13" t="s">
        <v>30</v>
      </c>
      <c r="K70" s="14" t="str">
        <f>HYPERLINK("http://mpro.prangroup.com:4000/CreativeWorks/Edit/22453","Open")</f>
        <v>Open</v>
      </c>
    </row>
    <row r="71" spans="1:11" ht="13.2">
      <c r="A71" s="4" t="s">
        <v>31</v>
      </c>
      <c r="B71" s="5" t="s">
        <v>32</v>
      </c>
      <c r="C71" s="6" t="s">
        <v>33</v>
      </c>
      <c r="D71" s="7" t="s">
        <v>870</v>
      </c>
      <c r="E71" s="8" t="s">
        <v>63</v>
      </c>
      <c r="F71" s="9" t="s">
        <v>17</v>
      </c>
      <c r="G71" s="10">
        <v>1</v>
      </c>
      <c r="H71" s="11">
        <v>46042</v>
      </c>
      <c r="I71" s="12" t="s">
        <v>871</v>
      </c>
      <c r="J71" s="13" t="s">
        <v>30</v>
      </c>
      <c r="K71" s="14" t="str">
        <f>HYPERLINK("http://mpro.prangroup.com:4000/CreativeWorks/Edit/22389","Open")</f>
        <v>Open</v>
      </c>
    </row>
    <row r="72" spans="1:11" ht="13.2">
      <c r="A72" s="4" t="s">
        <v>872</v>
      </c>
      <c r="B72" s="5" t="s">
        <v>873</v>
      </c>
      <c r="C72" s="6" t="s">
        <v>874</v>
      </c>
      <c r="D72" s="7" t="s">
        <v>875</v>
      </c>
      <c r="E72" s="8" t="s">
        <v>23</v>
      </c>
      <c r="F72" s="9" t="s">
        <v>17</v>
      </c>
      <c r="G72" s="10">
        <v>1</v>
      </c>
      <c r="H72" s="11">
        <v>46042</v>
      </c>
      <c r="I72" s="12" t="s">
        <v>876</v>
      </c>
      <c r="J72" s="13" t="s">
        <v>30</v>
      </c>
      <c r="K72" s="14" t="str">
        <f>HYPERLINK("http://mpro.prangroup.com:4000/CreativeWorks/Edit/22399","Open")</f>
        <v>Open</v>
      </c>
    </row>
    <row r="73" spans="1:11" ht="13.2">
      <c r="A73" s="4" t="s">
        <v>558</v>
      </c>
      <c r="B73" s="5" t="s">
        <v>282</v>
      </c>
      <c r="C73" s="6" t="s">
        <v>283</v>
      </c>
      <c r="D73" s="7" t="s">
        <v>877</v>
      </c>
      <c r="E73" s="8" t="s">
        <v>23</v>
      </c>
      <c r="F73" s="9" t="s">
        <v>17</v>
      </c>
      <c r="G73" s="10">
        <v>3</v>
      </c>
      <c r="H73" s="11">
        <v>46043</v>
      </c>
      <c r="I73" s="12" t="s">
        <v>878</v>
      </c>
      <c r="J73" s="13" t="s">
        <v>30</v>
      </c>
      <c r="K73" s="14" t="str">
        <f>HYPERLINK("http://mpro.prangroup.com:4000/CreativeWorks/Edit/22533","Open")</f>
        <v>Open</v>
      </c>
    </row>
    <row r="74" spans="1:11" ht="13.2">
      <c r="A74" s="4" t="s">
        <v>227</v>
      </c>
      <c r="B74" s="5" t="s">
        <v>60</v>
      </c>
      <c r="C74" s="6" t="s">
        <v>78</v>
      </c>
      <c r="D74" s="7" t="s">
        <v>859</v>
      </c>
      <c r="E74" s="8" t="s">
        <v>23</v>
      </c>
      <c r="F74" s="9" t="s">
        <v>17</v>
      </c>
      <c r="G74" s="10">
        <v>2</v>
      </c>
      <c r="H74" s="11">
        <v>46043</v>
      </c>
      <c r="I74" s="12" t="s">
        <v>879</v>
      </c>
      <c r="J74" s="13" t="s">
        <v>30</v>
      </c>
      <c r="K74" s="14" t="str">
        <f>HYPERLINK("http://mpro.prangroup.com:4000/CreativeWorks/Edit/22514","Open")</f>
        <v>Open</v>
      </c>
    </row>
    <row r="75" spans="1:11" ht="13.2">
      <c r="A75" s="4" t="s">
        <v>305</v>
      </c>
      <c r="B75" s="5" t="s">
        <v>197</v>
      </c>
      <c r="C75" s="6" t="s">
        <v>198</v>
      </c>
      <c r="D75" s="7" t="s">
        <v>880</v>
      </c>
      <c r="E75" s="8" t="s">
        <v>23</v>
      </c>
      <c r="F75" s="9" t="s">
        <v>17</v>
      </c>
      <c r="G75" s="10">
        <v>2</v>
      </c>
      <c r="H75" s="11">
        <v>46044</v>
      </c>
      <c r="I75" s="12" t="s">
        <v>881</v>
      </c>
      <c r="J75" s="13" t="s">
        <v>30</v>
      </c>
      <c r="K75" s="14" t="str">
        <f>HYPERLINK("http://mpro.prangroup.com:4000/CreativeWorks/Edit/22703","Open")</f>
        <v>Open</v>
      </c>
    </row>
    <row r="76" spans="1:11" ht="13.2">
      <c r="A76" s="4" t="s">
        <v>122</v>
      </c>
      <c r="B76" s="5" t="s">
        <v>123</v>
      </c>
      <c r="C76" s="6" t="s">
        <v>124</v>
      </c>
      <c r="D76" s="7" t="s">
        <v>882</v>
      </c>
      <c r="E76" s="8" t="s">
        <v>141</v>
      </c>
      <c r="F76" s="9" t="s">
        <v>17</v>
      </c>
      <c r="G76" s="10">
        <v>4</v>
      </c>
      <c r="H76" s="11">
        <v>46048</v>
      </c>
      <c r="I76" s="12" t="s">
        <v>883</v>
      </c>
      <c r="J76" s="13" t="s">
        <v>30</v>
      </c>
      <c r="K76" s="14" t="str">
        <f>HYPERLINK("http://mpro.prangroup.com:4000/CreativeWorks/Edit/23010","Open")</f>
        <v>Open</v>
      </c>
    </row>
    <row r="77" spans="1:11" ht="13.2">
      <c r="A77" s="4" t="s">
        <v>240</v>
      </c>
      <c r="B77" s="5" t="s">
        <v>60</v>
      </c>
      <c r="C77" s="6" t="s">
        <v>186</v>
      </c>
      <c r="D77" s="7" t="s">
        <v>884</v>
      </c>
      <c r="E77" s="8" t="s">
        <v>23</v>
      </c>
      <c r="F77" s="9" t="s">
        <v>17</v>
      </c>
      <c r="G77" s="10">
        <v>1</v>
      </c>
      <c r="H77" s="11">
        <v>46048</v>
      </c>
      <c r="I77" s="12" t="s">
        <v>885</v>
      </c>
      <c r="J77" s="13" t="s">
        <v>30</v>
      </c>
      <c r="K77" s="14" t="str">
        <f>HYPERLINK("http://mpro.prangroup.com:4000/CreativeWorks/Edit/23005","Open")</f>
        <v>Open</v>
      </c>
    </row>
    <row r="78" spans="1:11" ht="13.2">
      <c r="A78" s="4" t="s">
        <v>308</v>
      </c>
      <c r="B78" s="5" t="s">
        <v>60</v>
      </c>
      <c r="C78" s="6" t="s">
        <v>186</v>
      </c>
      <c r="D78" s="7" t="s">
        <v>886</v>
      </c>
      <c r="E78" s="8" t="s">
        <v>23</v>
      </c>
      <c r="F78" s="9" t="s">
        <v>17</v>
      </c>
      <c r="G78" s="10">
        <v>1</v>
      </c>
      <c r="H78" s="11">
        <v>46048</v>
      </c>
      <c r="I78" s="12" t="s">
        <v>887</v>
      </c>
      <c r="J78" s="13" t="s">
        <v>30</v>
      </c>
      <c r="K78" s="14" t="str">
        <f>HYPERLINK("http://mpro.prangroup.com:4000/CreativeWorks/Edit/22963","Open")</f>
        <v>Open</v>
      </c>
    </row>
    <row r="79" spans="1:11" ht="13.2">
      <c r="A79" s="4" t="s">
        <v>888</v>
      </c>
      <c r="B79" s="5" t="s">
        <v>178</v>
      </c>
      <c r="C79" s="6" t="s">
        <v>179</v>
      </c>
      <c r="D79" s="7" t="s">
        <v>889</v>
      </c>
      <c r="E79" s="8" t="s">
        <v>141</v>
      </c>
      <c r="F79" s="9" t="s">
        <v>17</v>
      </c>
      <c r="G79" s="10">
        <v>1</v>
      </c>
      <c r="H79" s="11">
        <v>46049</v>
      </c>
      <c r="I79" s="12" t="s">
        <v>890</v>
      </c>
      <c r="J79" s="13" t="s">
        <v>30</v>
      </c>
      <c r="K79" s="14" t="str">
        <f>HYPERLINK("http://mpro.prangroup.com:4000/CreativeWorks/Edit/23053","Open")</f>
        <v>Open</v>
      </c>
    </row>
    <row r="80" spans="1:11" ht="13.2">
      <c r="A80" s="4" t="s">
        <v>891</v>
      </c>
      <c r="B80" s="5" t="s">
        <v>144</v>
      </c>
      <c r="C80" s="6" t="s">
        <v>171</v>
      </c>
      <c r="D80" s="7" t="s">
        <v>892</v>
      </c>
      <c r="E80" s="8" t="s">
        <v>242</v>
      </c>
      <c r="F80" s="9" t="s">
        <v>17</v>
      </c>
      <c r="G80" s="10">
        <v>3</v>
      </c>
      <c r="H80" s="11">
        <v>46049</v>
      </c>
      <c r="I80" s="12" t="s">
        <v>893</v>
      </c>
      <c r="J80" s="13" t="s">
        <v>30</v>
      </c>
      <c r="K80" s="14" t="str">
        <f>HYPERLINK("http://mpro.prangroup.com:4000/CreativeWorks/Edit/23176","Open")</f>
        <v>Open</v>
      </c>
    </row>
    <row r="81" spans="1:11" ht="13.2">
      <c r="A81" s="4" t="s">
        <v>894</v>
      </c>
      <c r="B81" s="5" t="s">
        <v>178</v>
      </c>
      <c r="C81" s="6" t="s">
        <v>268</v>
      </c>
      <c r="D81" s="7" t="s">
        <v>895</v>
      </c>
      <c r="E81" s="8" t="s">
        <v>242</v>
      </c>
      <c r="F81" s="9" t="s">
        <v>17</v>
      </c>
      <c r="G81" s="10">
        <v>1</v>
      </c>
      <c r="H81" s="11">
        <v>46050</v>
      </c>
      <c r="I81" s="12" t="s">
        <v>896</v>
      </c>
      <c r="J81" s="13" t="s">
        <v>30</v>
      </c>
      <c r="K81" s="14" t="str">
        <f>HYPERLINK("http://mpro.prangroup.com:4000/CreativeWorks/Edit/23228","Open")</f>
        <v>Open</v>
      </c>
    </row>
    <row r="82" spans="1:11" ht="13.2">
      <c r="A82" s="4" t="s">
        <v>897</v>
      </c>
      <c r="B82" s="5" t="s">
        <v>32</v>
      </c>
      <c r="C82" s="6" t="s">
        <v>689</v>
      </c>
      <c r="D82" s="7" t="s">
        <v>898</v>
      </c>
      <c r="E82" s="8" t="s">
        <v>242</v>
      </c>
      <c r="F82" s="9" t="s">
        <v>17</v>
      </c>
      <c r="G82" s="10">
        <v>4</v>
      </c>
      <c r="H82" s="11">
        <v>46050</v>
      </c>
      <c r="I82" s="12" t="s">
        <v>899</v>
      </c>
      <c r="J82" s="13" t="s">
        <v>30</v>
      </c>
      <c r="K82" s="14" t="str">
        <f>HYPERLINK("http://mpro.prangroup.com:4000/CreativeWorks/Edit/23251","Open")</f>
        <v>Open</v>
      </c>
    </row>
    <row r="83" spans="1:11" ht="13.2">
      <c r="A83" s="4" t="s">
        <v>323</v>
      </c>
      <c r="B83" s="5" t="s">
        <v>178</v>
      </c>
      <c r="C83" s="6" t="s">
        <v>268</v>
      </c>
      <c r="D83" s="7" t="s">
        <v>324</v>
      </c>
      <c r="E83" s="8" t="s">
        <v>242</v>
      </c>
      <c r="F83" s="9" t="s">
        <v>17</v>
      </c>
      <c r="G83" s="10">
        <v>2</v>
      </c>
      <c r="H83" s="11">
        <v>46051</v>
      </c>
      <c r="I83" s="12" t="s">
        <v>900</v>
      </c>
      <c r="J83" s="13" t="s">
        <v>30</v>
      </c>
      <c r="K83" s="14" t="str">
        <f>HYPERLINK("http://mpro.prangroup.com:4000/CreativeWorks/Edit/23304","Open")</f>
        <v>Open</v>
      </c>
    </row>
    <row r="84" spans="1:11" ht="13.2">
      <c r="A84" s="4" t="s">
        <v>901</v>
      </c>
      <c r="B84" s="5" t="s">
        <v>282</v>
      </c>
      <c r="C84" s="6" t="s">
        <v>486</v>
      </c>
      <c r="D84" s="7" t="s">
        <v>902</v>
      </c>
      <c r="E84" s="8" t="s">
        <v>242</v>
      </c>
      <c r="F84" s="9" t="s">
        <v>17</v>
      </c>
      <c r="G84" s="10">
        <v>5</v>
      </c>
      <c r="H84" s="11">
        <v>46052</v>
      </c>
      <c r="I84" s="12" t="s">
        <v>903</v>
      </c>
      <c r="J84" s="13" t="s">
        <v>30</v>
      </c>
      <c r="K84" s="14" t="str">
        <f>HYPERLINK("http://mpro.prangroup.com:4000/CreativeWorks/Edit/23499","Open")</f>
        <v>Open</v>
      </c>
    </row>
    <row r="85" spans="1:11" ht="13.2">
      <c r="A85" s="4" t="s">
        <v>904</v>
      </c>
      <c r="B85" s="5" t="s">
        <v>32</v>
      </c>
      <c r="C85" s="6" t="s">
        <v>455</v>
      </c>
      <c r="D85" s="7" t="s">
        <v>905</v>
      </c>
      <c r="E85" s="8" t="s">
        <v>242</v>
      </c>
      <c r="F85" s="9" t="s">
        <v>17</v>
      </c>
      <c r="G85" s="10">
        <v>4</v>
      </c>
      <c r="H85" s="11">
        <v>46052</v>
      </c>
      <c r="I85" s="12" t="s">
        <v>906</v>
      </c>
      <c r="J85" s="13" t="s">
        <v>30</v>
      </c>
      <c r="K85" s="14" t="str">
        <f>HYPERLINK("http://mpro.prangroup.com:4000/CreativeWorks/Edit/23504","Open")</f>
        <v>Open</v>
      </c>
    </row>
    <row r="86" spans="1:11" ht="13.2">
      <c r="A86" s="4" t="s">
        <v>907</v>
      </c>
      <c r="B86" s="5" t="s">
        <v>60</v>
      </c>
      <c r="C86" s="6" t="s">
        <v>461</v>
      </c>
      <c r="D86" s="7" t="s">
        <v>908</v>
      </c>
      <c r="E86" s="8" t="s">
        <v>242</v>
      </c>
      <c r="F86" s="9" t="s">
        <v>17</v>
      </c>
      <c r="G86" s="10">
        <v>3</v>
      </c>
      <c r="H86" s="11">
        <v>46053</v>
      </c>
      <c r="I86" s="12" t="s">
        <v>909</v>
      </c>
      <c r="J86" s="13" t="s">
        <v>30</v>
      </c>
      <c r="K86" s="14" t="str">
        <f>HYPERLINK("http://mpro.prangroup.com:4000/CreativeWorks/Edit/23517","Open")</f>
        <v>Open</v>
      </c>
    </row>
    <row r="87" spans="1:11" ht="13.2">
      <c r="A87" s="4" t="s">
        <v>910</v>
      </c>
      <c r="B87" s="5" t="s">
        <v>282</v>
      </c>
      <c r="C87" s="6" t="s">
        <v>486</v>
      </c>
      <c r="D87" s="7" t="s">
        <v>911</v>
      </c>
      <c r="E87" s="8" t="s">
        <v>242</v>
      </c>
      <c r="F87" s="9" t="s">
        <v>17</v>
      </c>
      <c r="G87" s="10">
        <v>14</v>
      </c>
      <c r="H87" s="11">
        <v>46053</v>
      </c>
      <c r="I87" s="12" t="s">
        <v>912</v>
      </c>
      <c r="J87" s="13" t="s">
        <v>30</v>
      </c>
      <c r="K87" s="14" t="str">
        <f>HYPERLINK("http://mpro.prangroup.com:4000/CreativeWorks/Edit/23644","Open")</f>
        <v>Open</v>
      </c>
    </row>
    <row r="88" spans="1:11" ht="13.2">
      <c r="A88" s="4" t="s">
        <v>227</v>
      </c>
      <c r="B88" s="5" t="s">
        <v>60</v>
      </c>
      <c r="C88" s="6" t="s">
        <v>78</v>
      </c>
      <c r="D88" s="7" t="s">
        <v>913</v>
      </c>
      <c r="E88" s="8" t="s">
        <v>242</v>
      </c>
      <c r="F88" s="9" t="s">
        <v>17</v>
      </c>
      <c r="G88" s="10">
        <v>3</v>
      </c>
      <c r="H88" s="11">
        <v>46053</v>
      </c>
      <c r="I88" s="12" t="s">
        <v>914</v>
      </c>
      <c r="J88" s="13" t="s">
        <v>30</v>
      </c>
      <c r="K88" s="14" t="str">
        <f>HYPERLINK("http://mpro.prangroup.com:4000/CreativeWorks/Edit/23520","Open")</f>
        <v>Open</v>
      </c>
    </row>
    <row r="89" spans="1:11" ht="13.2">
      <c r="A89" s="4" t="s">
        <v>915</v>
      </c>
      <c r="B89" s="5" t="s">
        <v>916</v>
      </c>
      <c r="C89" s="6" t="s">
        <v>389</v>
      </c>
      <c r="D89" s="7" t="s">
        <v>917</v>
      </c>
      <c r="E89" s="8" t="s">
        <v>242</v>
      </c>
      <c r="F89" s="9" t="s">
        <v>17</v>
      </c>
      <c r="G89" s="10">
        <v>3</v>
      </c>
      <c r="H89" s="11">
        <v>46054</v>
      </c>
      <c r="I89" s="12" t="s">
        <v>918</v>
      </c>
      <c r="J89" s="13" t="s">
        <v>30</v>
      </c>
      <c r="K89" s="14" t="str">
        <f>HYPERLINK("http://mpro.prangroup.com:4000/CreativeWorks/Edit/23901","Open")</f>
        <v>Open</v>
      </c>
    </row>
    <row r="90" spans="1:11" ht="13.2">
      <c r="A90" s="4" t="s">
        <v>919</v>
      </c>
      <c r="B90" s="5" t="s">
        <v>32</v>
      </c>
      <c r="C90" s="6" t="s">
        <v>920</v>
      </c>
      <c r="D90" s="7" t="s">
        <v>921</v>
      </c>
      <c r="E90" s="8" t="s">
        <v>242</v>
      </c>
      <c r="F90" s="9" t="s">
        <v>17</v>
      </c>
      <c r="G90" s="10">
        <v>1</v>
      </c>
      <c r="H90" s="11">
        <v>46054</v>
      </c>
      <c r="I90" s="12" t="s">
        <v>922</v>
      </c>
      <c r="J90" s="13" t="s">
        <v>30</v>
      </c>
      <c r="K90" s="14" t="str">
        <f>HYPERLINK("http://mpro.prangroup.com:4000/CreativeWorks/Edit/23891","Open")</f>
        <v>Open</v>
      </c>
    </row>
    <row r="91" spans="1:11" ht="13.2">
      <c r="A91" s="4" t="s">
        <v>919</v>
      </c>
      <c r="B91" s="5" t="s">
        <v>32</v>
      </c>
      <c r="C91" s="6" t="s">
        <v>920</v>
      </c>
      <c r="D91" s="7" t="s">
        <v>923</v>
      </c>
      <c r="E91" s="8" t="s">
        <v>242</v>
      </c>
      <c r="F91" s="9" t="s">
        <v>17</v>
      </c>
      <c r="G91" s="10">
        <v>1</v>
      </c>
      <c r="H91" s="11">
        <v>46054</v>
      </c>
      <c r="I91" s="12" t="s">
        <v>924</v>
      </c>
      <c r="J91" s="13" t="s">
        <v>30</v>
      </c>
      <c r="K91" s="14" t="str">
        <f>HYPERLINK("http://mpro.prangroup.com:4000/CreativeWorks/Edit/23893","Open")</f>
        <v>Open</v>
      </c>
    </row>
    <row r="92" spans="1:11" ht="13.2">
      <c r="A92" s="4" t="s">
        <v>925</v>
      </c>
      <c r="B92" s="5" t="s">
        <v>60</v>
      </c>
      <c r="C92" s="6" t="s">
        <v>461</v>
      </c>
      <c r="D92" s="7" t="s">
        <v>926</v>
      </c>
      <c r="E92" s="8" t="s">
        <v>242</v>
      </c>
      <c r="F92" s="9" t="s">
        <v>17</v>
      </c>
      <c r="G92" s="10">
        <v>7</v>
      </c>
      <c r="H92" s="11">
        <v>46054</v>
      </c>
      <c r="I92" s="12" t="s">
        <v>927</v>
      </c>
      <c r="J92" s="13" t="s">
        <v>30</v>
      </c>
      <c r="K92" s="14" t="str">
        <f>HYPERLINK("http://mpro.prangroup.com:4000/CreativeWorks/Edit/23896","Open")</f>
        <v>Open</v>
      </c>
    </row>
    <row r="93" spans="1:11" ht="13.2">
      <c r="A93" s="4" t="s">
        <v>928</v>
      </c>
      <c r="B93" s="5" t="s">
        <v>60</v>
      </c>
      <c r="C93" s="6" t="s">
        <v>461</v>
      </c>
      <c r="D93" s="7" t="s">
        <v>929</v>
      </c>
      <c r="E93" s="8" t="s">
        <v>242</v>
      </c>
      <c r="F93" s="9" t="s">
        <v>17</v>
      </c>
      <c r="G93" s="10">
        <v>2</v>
      </c>
      <c r="H93" s="11">
        <v>46054</v>
      </c>
      <c r="I93" s="12" t="s">
        <v>930</v>
      </c>
      <c r="J93" s="13" t="s">
        <v>30</v>
      </c>
      <c r="K93" s="14" t="str">
        <f>HYPERLINK("http://mpro.prangroup.com:4000/CreativeWorks/Edit/23880","Open")</f>
        <v>Open</v>
      </c>
    </row>
    <row r="94" spans="1:11" ht="13.2">
      <c r="A94" s="4" t="s">
        <v>240</v>
      </c>
      <c r="B94" s="5" t="s">
        <v>60</v>
      </c>
      <c r="C94" s="6" t="s">
        <v>461</v>
      </c>
      <c r="D94" s="7" t="s">
        <v>931</v>
      </c>
      <c r="E94" s="8" t="s">
        <v>242</v>
      </c>
      <c r="F94" s="9" t="s">
        <v>17</v>
      </c>
      <c r="G94" s="10">
        <v>3</v>
      </c>
      <c r="H94" s="11">
        <v>46054</v>
      </c>
      <c r="I94" s="12" t="s">
        <v>932</v>
      </c>
      <c r="J94" s="13" t="s">
        <v>30</v>
      </c>
      <c r="K94" s="14" t="str">
        <f>HYPERLINK("http://mpro.prangroup.com:4000/CreativeWorks/Edit/23900","Open")</f>
        <v>Open</v>
      </c>
    </row>
    <row r="95" spans="1:11" ht="13.2">
      <c r="A95" s="4" t="s">
        <v>328</v>
      </c>
      <c r="B95" s="5" t="s">
        <v>32</v>
      </c>
      <c r="C95" s="6" t="s">
        <v>368</v>
      </c>
      <c r="D95" s="7" t="s">
        <v>933</v>
      </c>
      <c r="E95" s="8" t="s">
        <v>242</v>
      </c>
      <c r="F95" s="9" t="s">
        <v>17</v>
      </c>
      <c r="G95" s="10">
        <v>3</v>
      </c>
      <c r="H95" s="11">
        <v>46054</v>
      </c>
      <c r="I95" s="12" t="s">
        <v>934</v>
      </c>
      <c r="J95" s="13" t="s">
        <v>30</v>
      </c>
      <c r="K95" s="14" t="str">
        <f>HYPERLINK("http://mpro.prangroup.com:4000/CreativeWorks/Edit/23902","Open")</f>
        <v>Open</v>
      </c>
    </row>
    <row r="96" spans="1:11" ht="13.2">
      <c r="A96" s="4" t="s">
        <v>174</v>
      </c>
      <c r="B96" s="5" t="s">
        <v>32</v>
      </c>
      <c r="C96" s="6" t="s">
        <v>86</v>
      </c>
      <c r="D96" s="7" t="s">
        <v>935</v>
      </c>
      <c r="E96" s="8" t="s">
        <v>242</v>
      </c>
      <c r="F96" s="9" t="s">
        <v>17</v>
      </c>
      <c r="G96" s="10">
        <v>2</v>
      </c>
      <c r="H96" s="11">
        <v>46054</v>
      </c>
      <c r="I96" s="12" t="s">
        <v>936</v>
      </c>
      <c r="J96" s="13" t="s">
        <v>30</v>
      </c>
      <c r="K96" s="14" t="str">
        <f>HYPERLINK("http://mpro.prangroup.com:4000/CreativeWorks/Edit/23935","Open")</f>
        <v>Open</v>
      </c>
    </row>
    <row r="97" spans="1:11" ht="13.2">
      <c r="A97" s="4" t="s">
        <v>937</v>
      </c>
      <c r="B97" s="5" t="s">
        <v>109</v>
      </c>
      <c r="C97" s="6" t="s">
        <v>938</v>
      </c>
      <c r="D97" s="7" t="s">
        <v>939</v>
      </c>
      <c r="E97" s="8" t="s">
        <v>242</v>
      </c>
      <c r="F97" s="9" t="s">
        <v>17</v>
      </c>
      <c r="G97" s="10">
        <v>10</v>
      </c>
      <c r="H97" s="11">
        <v>46054</v>
      </c>
      <c r="I97" s="12" t="s">
        <v>940</v>
      </c>
      <c r="J97" s="13" t="s">
        <v>30</v>
      </c>
      <c r="K97" s="14" t="str">
        <f>HYPERLINK("http://mpro.prangroup.com:4000/CreativeWorks/Edit/23933","Open")</f>
        <v>Open</v>
      </c>
    </row>
    <row r="98" spans="1:11" ht="13.2">
      <c r="A98" s="4" t="s">
        <v>227</v>
      </c>
      <c r="B98" s="5" t="s">
        <v>60</v>
      </c>
      <c r="C98" s="6" t="s">
        <v>78</v>
      </c>
      <c r="D98" s="7" t="s">
        <v>913</v>
      </c>
      <c r="E98" s="8" t="s">
        <v>242</v>
      </c>
      <c r="F98" s="9" t="s">
        <v>17</v>
      </c>
      <c r="G98" s="10">
        <v>1</v>
      </c>
      <c r="H98" s="11">
        <v>46054</v>
      </c>
      <c r="I98" s="12" t="s">
        <v>941</v>
      </c>
      <c r="J98" s="13" t="s">
        <v>30</v>
      </c>
      <c r="K98" s="14" t="str">
        <f>HYPERLINK("http://mpro.prangroup.com:4000/CreativeWorks/Edit/23874","Open")</f>
        <v>Open</v>
      </c>
    </row>
    <row r="99" spans="1:11" ht="13.2">
      <c r="A99" s="4" t="s">
        <v>482</v>
      </c>
      <c r="B99" s="5" t="s">
        <v>41</v>
      </c>
      <c r="C99" s="6" t="s">
        <v>186</v>
      </c>
      <c r="D99" s="7" t="s">
        <v>942</v>
      </c>
      <c r="E99" s="8" t="s">
        <v>242</v>
      </c>
      <c r="F99" s="9" t="s">
        <v>17</v>
      </c>
      <c r="G99" s="10">
        <v>1</v>
      </c>
      <c r="H99" s="11">
        <v>46054</v>
      </c>
      <c r="I99" s="12" t="s">
        <v>943</v>
      </c>
      <c r="J99" s="13" t="s">
        <v>30</v>
      </c>
      <c r="K99" s="14" t="str">
        <f>HYPERLINK("http://mpro.prangroup.com:4000/CreativeWorks/Edit/23911","Open")</f>
        <v>Open</v>
      </c>
    </row>
    <row r="100" spans="1:11" ht="13.2">
      <c r="A100" s="4" t="s">
        <v>944</v>
      </c>
      <c r="B100" s="5" t="s">
        <v>178</v>
      </c>
      <c r="C100" s="6" t="s">
        <v>179</v>
      </c>
      <c r="D100" s="7" t="s">
        <v>945</v>
      </c>
      <c r="E100" s="8" t="s">
        <v>141</v>
      </c>
      <c r="F100" s="9" t="s">
        <v>17</v>
      </c>
      <c r="G100" s="10">
        <v>1</v>
      </c>
      <c r="H100" s="11">
        <v>46055</v>
      </c>
      <c r="I100" s="12" t="s">
        <v>946</v>
      </c>
      <c r="J100" s="13" t="s">
        <v>30</v>
      </c>
      <c r="K100" s="14" t="str">
        <f>HYPERLINK("http://mpro.prangroup.com:4000/CreativeWorks/Edit/24084","Open")</f>
        <v>Open</v>
      </c>
    </row>
    <row r="101" spans="1:11" ht="13.2">
      <c r="A101" s="4" t="s">
        <v>253</v>
      </c>
      <c r="B101" s="5" t="s">
        <v>197</v>
      </c>
      <c r="C101" s="6" t="s">
        <v>198</v>
      </c>
      <c r="D101" s="7" t="s">
        <v>947</v>
      </c>
      <c r="E101" s="8" t="s">
        <v>57</v>
      </c>
      <c r="F101" s="9" t="s">
        <v>17</v>
      </c>
      <c r="G101" s="10">
        <v>1</v>
      </c>
      <c r="H101" s="11">
        <v>46055</v>
      </c>
      <c r="I101" s="12" t="s">
        <v>948</v>
      </c>
      <c r="J101" s="13" t="s">
        <v>30</v>
      </c>
      <c r="K101" s="14" t="str">
        <f>HYPERLINK("http://mpro.prangroup.com:4000/CreativeWorks/Edit/24097","Open")</f>
        <v>Open</v>
      </c>
    </row>
    <row r="102" spans="1:11" ht="13.2">
      <c r="A102" s="4" t="s">
        <v>244</v>
      </c>
      <c r="B102" s="5" t="s">
        <v>41</v>
      </c>
      <c r="C102" s="6" t="s">
        <v>245</v>
      </c>
      <c r="D102" s="7" t="s">
        <v>246</v>
      </c>
      <c r="E102" s="8" t="s">
        <v>242</v>
      </c>
      <c r="F102" s="9" t="s">
        <v>17</v>
      </c>
      <c r="G102" s="10">
        <v>1</v>
      </c>
      <c r="H102" s="11">
        <v>46055</v>
      </c>
      <c r="I102" s="12" t="s">
        <v>949</v>
      </c>
      <c r="J102" s="13" t="s">
        <v>30</v>
      </c>
      <c r="K102" s="14" t="str">
        <f>HYPERLINK("http://mpro.prangroup.com:4000/CreativeWorks/Edit/24073","Open")</f>
        <v>Open</v>
      </c>
    </row>
    <row r="103" spans="1:11" ht="13.2">
      <c r="A103" s="4" t="s">
        <v>162</v>
      </c>
      <c r="B103" s="5" t="s">
        <v>101</v>
      </c>
      <c r="C103" s="6" t="s">
        <v>828</v>
      </c>
      <c r="D103" s="7" t="s">
        <v>950</v>
      </c>
      <c r="E103" s="8" t="s">
        <v>141</v>
      </c>
      <c r="F103" s="9" t="s">
        <v>17</v>
      </c>
      <c r="G103" s="10">
        <v>1</v>
      </c>
      <c r="H103" s="11">
        <v>46055</v>
      </c>
      <c r="I103" s="12" t="s">
        <v>951</v>
      </c>
      <c r="J103" s="13" t="s">
        <v>30</v>
      </c>
      <c r="K103" s="14" t="str">
        <f>HYPERLINK("http://mpro.prangroup.com:4000/CreativeWorks/Edit/24040","Open")</f>
        <v>Open</v>
      </c>
    </row>
    <row r="104" spans="1:11" ht="13.2">
      <c r="A104" s="4" t="s">
        <v>952</v>
      </c>
      <c r="B104" s="5" t="s">
        <v>197</v>
      </c>
      <c r="C104" s="6" t="s">
        <v>953</v>
      </c>
      <c r="D104" s="7" t="s">
        <v>954</v>
      </c>
      <c r="E104" s="8" t="s">
        <v>57</v>
      </c>
      <c r="F104" s="9" t="s">
        <v>17</v>
      </c>
      <c r="G104" s="10">
        <v>2</v>
      </c>
      <c r="H104" s="11">
        <v>46056</v>
      </c>
      <c r="I104" s="12" t="s">
        <v>955</v>
      </c>
      <c r="J104" s="13" t="s">
        <v>30</v>
      </c>
      <c r="K104" s="14" t="str">
        <f>HYPERLINK("http://mpro.prangroup.com:4000/CreativeWorks/Edit/24202","Open")</f>
        <v>Open</v>
      </c>
    </row>
    <row r="105" spans="1:11" ht="13.2">
      <c r="A105" s="4" t="s">
        <v>956</v>
      </c>
      <c r="B105" s="5" t="s">
        <v>32</v>
      </c>
      <c r="C105" s="6" t="s">
        <v>957</v>
      </c>
      <c r="D105" s="7" t="s">
        <v>958</v>
      </c>
      <c r="E105" s="8" t="s">
        <v>16</v>
      </c>
      <c r="F105" s="9" t="s">
        <v>17</v>
      </c>
      <c r="G105" s="10">
        <v>2</v>
      </c>
      <c r="H105" s="11">
        <v>46056</v>
      </c>
      <c r="I105" s="12" t="s">
        <v>959</v>
      </c>
      <c r="J105" s="13" t="s">
        <v>30</v>
      </c>
      <c r="K105" s="14" t="str">
        <f>HYPERLINK("http://mpro.prangroup.com:4000/CreativeWorks/Edit/24187","Open")</f>
        <v>Open</v>
      </c>
    </row>
    <row r="106" spans="1:11" ht="13.2">
      <c r="A106" s="4" t="s">
        <v>318</v>
      </c>
      <c r="B106" s="5" t="s">
        <v>32</v>
      </c>
      <c r="C106" s="6" t="s">
        <v>348</v>
      </c>
      <c r="D106" s="7" t="s">
        <v>960</v>
      </c>
      <c r="E106" s="8" t="s">
        <v>57</v>
      </c>
      <c r="F106" s="9" t="s">
        <v>17</v>
      </c>
      <c r="G106" s="10">
        <v>2</v>
      </c>
      <c r="H106" s="11">
        <v>46056</v>
      </c>
      <c r="I106" s="12" t="s">
        <v>961</v>
      </c>
      <c r="J106" s="13" t="s">
        <v>30</v>
      </c>
      <c r="K106" s="14" t="str">
        <f>HYPERLINK("http://mpro.prangroup.com:4000/CreativeWorks/Edit/24165","Open")</f>
        <v>Open</v>
      </c>
    </row>
    <row r="107" spans="1:11" ht="13.2">
      <c r="A107" s="4" t="s">
        <v>962</v>
      </c>
      <c r="B107" s="5" t="s">
        <v>178</v>
      </c>
      <c r="C107" s="6" t="s">
        <v>416</v>
      </c>
      <c r="D107" s="7" t="s">
        <v>963</v>
      </c>
      <c r="E107" s="8" t="s">
        <v>141</v>
      </c>
      <c r="F107" s="9" t="s">
        <v>17</v>
      </c>
      <c r="G107" s="10">
        <v>1</v>
      </c>
      <c r="H107" s="11">
        <v>46058</v>
      </c>
      <c r="I107" s="12" t="s">
        <v>964</v>
      </c>
      <c r="J107" s="13" t="s">
        <v>30</v>
      </c>
      <c r="K107" s="14" t="str">
        <f>HYPERLINK("http://mpro.prangroup.com:4000/CreativeWorks/Edit/24263","Open")</f>
        <v>Open</v>
      </c>
    </row>
    <row r="108" spans="1:11" ht="13.2">
      <c r="A108" s="4" t="s">
        <v>36</v>
      </c>
      <c r="B108" s="5" t="s">
        <v>32</v>
      </c>
      <c r="C108" s="6" t="s">
        <v>86</v>
      </c>
      <c r="D108" s="7" t="s">
        <v>965</v>
      </c>
      <c r="E108" s="8" t="s">
        <v>88</v>
      </c>
      <c r="F108" s="9" t="s">
        <v>17</v>
      </c>
      <c r="G108" s="10">
        <v>1</v>
      </c>
      <c r="H108" s="11">
        <v>46060</v>
      </c>
      <c r="I108" s="12" t="s">
        <v>966</v>
      </c>
      <c r="J108" s="13" t="s">
        <v>30</v>
      </c>
      <c r="K108" s="14" t="str">
        <f>HYPERLINK("http://mpro.prangroup.com:4000/CreativeWorks/Edit/24342","Open")</f>
        <v>Open</v>
      </c>
    </row>
    <row r="109" spans="1:11" ht="13.2">
      <c r="A109" s="4" t="s">
        <v>227</v>
      </c>
      <c r="B109" s="5" t="s">
        <v>60</v>
      </c>
      <c r="C109" s="6" t="s">
        <v>78</v>
      </c>
      <c r="D109" s="7" t="s">
        <v>967</v>
      </c>
      <c r="E109" s="8" t="s">
        <v>141</v>
      </c>
      <c r="F109" s="9" t="s">
        <v>17</v>
      </c>
      <c r="G109" s="10">
        <v>1</v>
      </c>
      <c r="H109" s="11">
        <v>46060</v>
      </c>
      <c r="I109" s="12" t="s">
        <v>968</v>
      </c>
      <c r="J109" s="13" t="s">
        <v>30</v>
      </c>
      <c r="K109" s="14" t="str">
        <f>HYPERLINK("http://mpro.prangroup.com:4000/CreativeWorks/Edit/24357","Open")</f>
        <v>Open</v>
      </c>
    </row>
    <row r="110" spans="1:11" ht="13.2">
      <c r="A110" s="4" t="s">
        <v>962</v>
      </c>
      <c r="B110" s="5" t="s">
        <v>178</v>
      </c>
      <c r="C110" s="6" t="s">
        <v>416</v>
      </c>
      <c r="D110" s="7" t="s">
        <v>969</v>
      </c>
      <c r="E110" s="8" t="s">
        <v>242</v>
      </c>
      <c r="F110" s="9" t="s">
        <v>17</v>
      </c>
      <c r="G110" s="10">
        <v>1</v>
      </c>
      <c r="H110" s="11">
        <v>46062</v>
      </c>
      <c r="I110" s="12" t="s">
        <v>970</v>
      </c>
      <c r="J110" s="13" t="s">
        <v>30</v>
      </c>
      <c r="K110" s="14" t="str">
        <f>HYPERLINK("http://mpro.prangroup.com:4000/CreativeWorks/Edit/24487","Open")</f>
        <v>Open</v>
      </c>
    </row>
    <row r="111" spans="1:11" ht="13.2">
      <c r="A111" s="4" t="s">
        <v>216</v>
      </c>
      <c r="B111" s="5" t="s">
        <v>217</v>
      </c>
      <c r="C111" s="6" t="s">
        <v>971</v>
      </c>
      <c r="D111" s="7" t="s">
        <v>972</v>
      </c>
      <c r="E111" s="8" t="s">
        <v>346</v>
      </c>
      <c r="F111" s="9" t="s">
        <v>17</v>
      </c>
      <c r="G111" s="10">
        <v>1</v>
      </c>
      <c r="H111" s="11">
        <v>46063</v>
      </c>
      <c r="I111" s="12" t="s">
        <v>973</v>
      </c>
      <c r="J111" s="13" t="s">
        <v>48</v>
      </c>
      <c r="K111" s="14" t="str">
        <f>HYPERLINK("http://mpro.prangroup.com:4000/CreativeWorks/Edit/24610","Open")</f>
        <v>Open</v>
      </c>
    </row>
    <row r="112" spans="1:11" ht="13.2">
      <c r="A112" s="4" t="s">
        <v>974</v>
      </c>
      <c r="B112" s="5" t="s">
        <v>975</v>
      </c>
      <c r="C112" s="6" t="s">
        <v>517</v>
      </c>
      <c r="D112" s="7" t="s">
        <v>976</v>
      </c>
      <c r="E112" s="8" t="s">
        <v>141</v>
      </c>
      <c r="F112" s="9" t="s">
        <v>17</v>
      </c>
      <c r="G112" s="10">
        <v>2</v>
      </c>
      <c r="H112" s="11">
        <v>46067</v>
      </c>
      <c r="I112" s="12" t="s">
        <v>977</v>
      </c>
      <c r="J112" s="13" t="s">
        <v>30</v>
      </c>
      <c r="K112" s="14" t="str">
        <f>HYPERLINK("http://mpro.prangroup.com:4000/CreativeWorks/Edit/24809","Open")</f>
        <v>Open</v>
      </c>
    </row>
    <row r="113" spans="1:11" ht="13.2">
      <c r="A113" s="4" t="s">
        <v>978</v>
      </c>
      <c r="B113" s="5" t="s">
        <v>41</v>
      </c>
      <c r="C113" s="6" t="s">
        <v>275</v>
      </c>
      <c r="D113" s="7" t="s">
        <v>979</v>
      </c>
      <c r="E113" s="8" t="s">
        <v>346</v>
      </c>
      <c r="F113" s="9" t="s">
        <v>17</v>
      </c>
      <c r="G113" s="10">
        <v>1</v>
      </c>
      <c r="H113" s="11">
        <v>46068</v>
      </c>
      <c r="I113" s="12" t="s">
        <v>980</v>
      </c>
      <c r="J113" s="13" t="s">
        <v>30</v>
      </c>
      <c r="K113" s="14" t="str">
        <f>HYPERLINK("http://mpro.prangroup.com:4000/CreativeWorks/Edit/24901","Open")</f>
        <v>Open</v>
      </c>
    </row>
    <row r="114" spans="1:11" ht="13.2">
      <c r="A114" s="4" t="s">
        <v>191</v>
      </c>
      <c r="B114" s="5" t="s">
        <v>32</v>
      </c>
      <c r="C114" s="6" t="s">
        <v>86</v>
      </c>
      <c r="D114" s="7" t="s">
        <v>981</v>
      </c>
      <c r="E114" s="8" t="s">
        <v>57</v>
      </c>
      <c r="F114" s="9" t="s">
        <v>17</v>
      </c>
      <c r="G114" s="10">
        <v>1</v>
      </c>
      <c r="H114" s="11">
        <v>46069</v>
      </c>
      <c r="I114" s="12" t="s">
        <v>982</v>
      </c>
      <c r="J114" s="13" t="s">
        <v>30</v>
      </c>
      <c r="K114" s="14" t="str">
        <f>HYPERLINK("http://mpro.prangroup.com:4000/CreativeWorks/Edit/24994","Open")</f>
        <v>Open</v>
      </c>
    </row>
    <row r="115" spans="1:11" ht="13.2">
      <c r="A115" s="4" t="s">
        <v>983</v>
      </c>
      <c r="B115" s="5" t="s">
        <v>984</v>
      </c>
      <c r="C115" s="6" t="s">
        <v>803</v>
      </c>
      <c r="D115" s="7" t="s">
        <v>985</v>
      </c>
      <c r="E115" s="8" t="s">
        <v>57</v>
      </c>
      <c r="F115" s="9" t="s">
        <v>17</v>
      </c>
      <c r="G115" s="10">
        <v>1</v>
      </c>
      <c r="H115" s="11">
        <v>46069</v>
      </c>
      <c r="I115" s="12" t="s">
        <v>986</v>
      </c>
      <c r="J115" s="13" t="s">
        <v>30</v>
      </c>
      <c r="K115" s="14" t="str">
        <f>HYPERLINK("http://mpro.prangroup.com:4000/CreativeWorks/Edit/25007","Open")</f>
        <v>Open</v>
      </c>
    </row>
    <row r="116" spans="1:11" ht="13.2">
      <c r="A116" s="4" t="s">
        <v>987</v>
      </c>
      <c r="B116" s="5" t="s">
        <v>60</v>
      </c>
      <c r="C116" s="6" t="s">
        <v>186</v>
      </c>
      <c r="D116" s="7" t="s">
        <v>988</v>
      </c>
      <c r="E116" s="8" t="s">
        <v>16</v>
      </c>
      <c r="F116" s="9" t="s">
        <v>17</v>
      </c>
      <c r="G116" s="10">
        <v>1</v>
      </c>
      <c r="H116" s="11">
        <v>46070</v>
      </c>
      <c r="I116" s="12" t="s">
        <v>989</v>
      </c>
      <c r="J116" s="13" t="s">
        <v>30</v>
      </c>
      <c r="K116" s="14" t="str">
        <f>HYPERLINK("http://mpro.prangroup.com:4000/CreativeWorks/Edit/25117","Open")</f>
        <v>Open</v>
      </c>
    </row>
    <row r="117" spans="1:11" ht="13.2">
      <c r="A117" s="4" t="s">
        <v>117</v>
      </c>
      <c r="B117" s="5" t="s">
        <v>32</v>
      </c>
      <c r="C117" s="6" t="s">
        <v>186</v>
      </c>
      <c r="D117" s="7" t="s">
        <v>990</v>
      </c>
      <c r="E117" s="8" t="s">
        <v>242</v>
      </c>
      <c r="F117" s="9" t="s">
        <v>17</v>
      </c>
      <c r="G117" s="10">
        <v>2</v>
      </c>
      <c r="H117" s="11">
        <v>46071</v>
      </c>
      <c r="I117" s="12" t="s">
        <v>991</v>
      </c>
      <c r="J117" s="13" t="s">
        <v>30</v>
      </c>
      <c r="K117" s="14" t="str">
        <f>HYPERLINK("http://mpro.prangroup.com:4000/CreativeWorks/Edit/25212","Open")</f>
        <v>Open</v>
      </c>
    </row>
    <row r="118" spans="1:11" ht="13.2">
      <c r="A118" s="4" t="s">
        <v>408</v>
      </c>
      <c r="B118" s="5" t="s">
        <v>54</v>
      </c>
      <c r="C118" s="6" t="s">
        <v>166</v>
      </c>
      <c r="D118" s="7" t="s">
        <v>992</v>
      </c>
      <c r="E118" s="8" t="s">
        <v>242</v>
      </c>
      <c r="F118" s="9" t="s">
        <v>17</v>
      </c>
      <c r="G118" s="10">
        <v>1</v>
      </c>
      <c r="H118" s="11">
        <v>46072</v>
      </c>
      <c r="I118" s="12" t="s">
        <v>993</v>
      </c>
      <c r="J118" s="13" t="s">
        <v>30</v>
      </c>
      <c r="K118" s="14" t="str">
        <f>HYPERLINK("http://mpro.prangroup.com:4000/CreativeWorks/Edit/25316","Open")</f>
        <v>Open</v>
      </c>
    </row>
    <row r="119" spans="1:11" ht="13.2">
      <c r="A119" s="4" t="s">
        <v>477</v>
      </c>
      <c r="B119" s="5" t="s">
        <v>478</v>
      </c>
      <c r="C119" s="6" t="s">
        <v>479</v>
      </c>
      <c r="D119" s="7" t="s">
        <v>994</v>
      </c>
      <c r="E119" s="8" t="s">
        <v>16</v>
      </c>
      <c r="F119" s="9" t="s">
        <v>17</v>
      </c>
      <c r="G119" s="10">
        <v>1</v>
      </c>
      <c r="H119" s="11">
        <v>46072</v>
      </c>
      <c r="I119" s="12" t="s">
        <v>995</v>
      </c>
      <c r="J119" s="13" t="s">
        <v>30</v>
      </c>
      <c r="K119" s="14" t="str">
        <f>HYPERLINK("http://mpro.prangroup.com:4000/CreativeWorks/Edit/25357","Open")</f>
        <v>Open</v>
      </c>
    </row>
    <row r="120" spans="1:11" ht="13.2">
      <c r="A120" s="4" t="s">
        <v>477</v>
      </c>
      <c r="B120" s="5" t="s">
        <v>478</v>
      </c>
      <c r="C120" s="6" t="s">
        <v>479</v>
      </c>
      <c r="D120" s="7" t="s">
        <v>996</v>
      </c>
      <c r="E120" s="8" t="s">
        <v>16</v>
      </c>
      <c r="F120" s="9" t="s">
        <v>17</v>
      </c>
      <c r="G120" s="10">
        <v>1</v>
      </c>
      <c r="H120" s="11">
        <v>46075</v>
      </c>
      <c r="I120" s="12" t="s">
        <v>997</v>
      </c>
      <c r="J120" s="13" t="s">
        <v>30</v>
      </c>
      <c r="K120" s="14" t="str">
        <f>HYPERLINK("http://mpro.prangroup.com:4000/CreativeWorks/Edit/25381","Open")</f>
        <v>Open</v>
      </c>
    </row>
    <row r="121" spans="1:11" ht="13.2">
      <c r="A121" s="4" t="s">
        <v>983</v>
      </c>
      <c r="B121" s="5" t="s">
        <v>984</v>
      </c>
      <c r="C121" s="6" t="s">
        <v>803</v>
      </c>
      <c r="D121" s="7" t="s">
        <v>998</v>
      </c>
      <c r="E121" s="8" t="s">
        <v>16</v>
      </c>
      <c r="F121" s="9" t="s">
        <v>17</v>
      </c>
      <c r="G121" s="10">
        <v>7</v>
      </c>
      <c r="H121" s="11">
        <v>46076</v>
      </c>
      <c r="I121" s="12" t="s">
        <v>999</v>
      </c>
      <c r="J121" s="13" t="s">
        <v>30</v>
      </c>
      <c r="K121" s="14" t="str">
        <f>HYPERLINK("http://mpro.prangroup.com:4000/CreativeWorks/Edit/25497","Open")</f>
        <v>Open</v>
      </c>
    </row>
    <row r="122" spans="1:11" ht="13.2">
      <c r="A122" s="4" t="s">
        <v>227</v>
      </c>
      <c r="B122" s="5" t="s">
        <v>60</v>
      </c>
      <c r="C122" s="6" t="s">
        <v>228</v>
      </c>
      <c r="D122" s="7" t="s">
        <v>1000</v>
      </c>
      <c r="E122" s="8" t="s">
        <v>88</v>
      </c>
      <c r="F122" s="9" t="s">
        <v>17</v>
      </c>
      <c r="G122" s="10">
        <v>2</v>
      </c>
      <c r="H122" s="11">
        <v>46077</v>
      </c>
      <c r="I122" s="12" t="s">
        <v>1001</v>
      </c>
      <c r="J122" s="13" t="s">
        <v>30</v>
      </c>
      <c r="K122" s="14" t="str">
        <f>HYPERLINK("http://mpro.prangroup.com:4000/CreativeWorks/Edit/25575","Open")</f>
        <v>Open</v>
      </c>
    </row>
    <row r="123" spans="1:11" ht="13.2">
      <c r="A123" s="4" t="s">
        <v>1002</v>
      </c>
      <c r="B123" s="5" t="s">
        <v>1003</v>
      </c>
      <c r="C123" s="6" t="s">
        <v>1004</v>
      </c>
      <c r="D123" s="7" t="s">
        <v>1005</v>
      </c>
      <c r="E123" s="8" t="s">
        <v>57</v>
      </c>
      <c r="F123" s="9" t="s">
        <v>17</v>
      </c>
      <c r="G123" s="10">
        <v>2</v>
      </c>
      <c r="H123" s="11">
        <v>46079</v>
      </c>
      <c r="I123" s="12" t="s">
        <v>1006</v>
      </c>
      <c r="J123" s="13" t="s">
        <v>30</v>
      </c>
      <c r="K123" s="14" t="str">
        <f>HYPERLINK("http://mpro.prangroup.com:4000/CreativeWorks/Edit/25852","Open")</f>
        <v>Open</v>
      </c>
    </row>
    <row r="124" spans="1:11" ht="13.2">
      <c r="A124" s="4" t="s">
        <v>1007</v>
      </c>
      <c r="B124" s="5" t="s">
        <v>32</v>
      </c>
      <c r="C124" s="6" t="s">
        <v>368</v>
      </c>
      <c r="D124" s="7" t="s">
        <v>1008</v>
      </c>
      <c r="E124" s="8" t="s">
        <v>57</v>
      </c>
      <c r="F124" s="9" t="s">
        <v>17</v>
      </c>
      <c r="G124" s="10">
        <v>1</v>
      </c>
      <c r="H124" s="11">
        <v>46081</v>
      </c>
      <c r="I124" s="12" t="s">
        <v>1009</v>
      </c>
      <c r="J124" s="13" t="s">
        <v>30</v>
      </c>
      <c r="K124" s="14" t="str">
        <f>HYPERLINK("http://mpro.prangroup.com:4000/CreativeWorks/Edit/26267","Open")</f>
        <v>Open</v>
      </c>
    </row>
    <row r="125" spans="1:11" ht="13.2">
      <c r="A125" s="4" t="s">
        <v>1010</v>
      </c>
      <c r="B125" s="5" t="s">
        <v>32</v>
      </c>
      <c r="C125" s="6" t="s">
        <v>689</v>
      </c>
      <c r="D125" s="7" t="s">
        <v>1011</v>
      </c>
      <c r="E125" s="8" t="s">
        <v>57</v>
      </c>
      <c r="F125" s="9" t="s">
        <v>17</v>
      </c>
      <c r="G125" s="10">
        <v>1</v>
      </c>
      <c r="H125" s="11">
        <v>46081</v>
      </c>
      <c r="I125" s="12" t="s">
        <v>1012</v>
      </c>
      <c r="J125" s="13" t="s">
        <v>30</v>
      </c>
      <c r="K125" s="14" t="str">
        <f>HYPERLINK("http://mpro.prangroup.com:4000/CreativeWorks/Edit/26268","Open")</f>
        <v>Open</v>
      </c>
    </row>
    <row r="126" spans="1:11" ht="13.2">
      <c r="A126" s="4" t="s">
        <v>240</v>
      </c>
      <c r="B126" s="5" t="s">
        <v>60</v>
      </c>
      <c r="C126" s="6" t="s">
        <v>461</v>
      </c>
      <c r="D126" s="7" t="s">
        <v>1013</v>
      </c>
      <c r="E126" s="8" t="s">
        <v>88</v>
      </c>
      <c r="F126" s="9" t="s">
        <v>17</v>
      </c>
      <c r="G126" s="10">
        <v>1</v>
      </c>
      <c r="H126" s="11">
        <v>46083</v>
      </c>
      <c r="I126" s="12" t="s">
        <v>1014</v>
      </c>
      <c r="J126" s="13" t="s">
        <v>30</v>
      </c>
      <c r="K126" s="14" t="str">
        <f>HYPERLINK("http://mpro.prangroup.com:4000/CreativeWorks/Edit/26461","Open")</f>
        <v>Open</v>
      </c>
    </row>
    <row r="127" spans="1:11" ht="13.2">
      <c r="A127" s="4" t="s">
        <v>421</v>
      </c>
      <c r="B127" s="5" t="s">
        <v>101</v>
      </c>
      <c r="C127" s="6" t="s">
        <v>422</v>
      </c>
      <c r="D127" s="7" t="s">
        <v>1015</v>
      </c>
      <c r="E127" s="8" t="s">
        <v>16</v>
      </c>
      <c r="F127" s="9" t="s">
        <v>17</v>
      </c>
      <c r="G127" s="10">
        <v>8</v>
      </c>
      <c r="H127" s="11">
        <v>46083</v>
      </c>
      <c r="I127" s="12" t="s">
        <v>1016</v>
      </c>
      <c r="J127" s="13" t="s">
        <v>30</v>
      </c>
      <c r="K127" s="14" t="str">
        <f>HYPERLINK("http://mpro.prangroup.com:4000/CreativeWorks/Edit/26447","Open")</f>
        <v>Open</v>
      </c>
    </row>
    <row r="128" spans="1:11" ht="13.2">
      <c r="A128" s="4" t="s">
        <v>31</v>
      </c>
      <c r="B128" s="5" t="s">
        <v>32</v>
      </c>
      <c r="C128" s="6" t="s">
        <v>689</v>
      </c>
      <c r="D128" s="7" t="s">
        <v>1017</v>
      </c>
      <c r="E128" s="8" t="s">
        <v>242</v>
      </c>
      <c r="F128" s="9" t="s">
        <v>17</v>
      </c>
      <c r="G128" s="10">
        <v>1</v>
      </c>
      <c r="H128" s="11">
        <v>46084</v>
      </c>
      <c r="I128" s="12" t="s">
        <v>1018</v>
      </c>
      <c r="J128" s="13" t="s">
        <v>30</v>
      </c>
      <c r="K128" s="14" t="str">
        <f>HYPERLINK("http://mpro.prangroup.com:4000/CreativeWorks/Edit/26539","Open")</f>
        <v>Open</v>
      </c>
    </row>
    <row r="129" spans="1:11" ht="13.2">
      <c r="A129" s="4" t="s">
        <v>1019</v>
      </c>
      <c r="B129" s="5" t="s">
        <v>144</v>
      </c>
      <c r="C129" s="6" t="s">
        <v>145</v>
      </c>
      <c r="D129" s="7" t="s">
        <v>1020</v>
      </c>
      <c r="E129" s="8" t="s">
        <v>242</v>
      </c>
      <c r="F129" s="9" t="s">
        <v>17</v>
      </c>
      <c r="G129" s="10">
        <v>1</v>
      </c>
      <c r="H129" s="11">
        <v>46084</v>
      </c>
      <c r="I129" s="12" t="s">
        <v>1021</v>
      </c>
      <c r="J129" s="13" t="s">
        <v>30</v>
      </c>
      <c r="K129" s="14" t="str">
        <f>HYPERLINK("http://mpro.prangroup.com:4000/CreativeWorks/Edit/26551","Open")</f>
        <v>Open</v>
      </c>
    </row>
    <row r="130" spans="1:11" ht="13.2">
      <c r="A130" s="4" t="s">
        <v>398</v>
      </c>
      <c r="B130" s="5" t="s">
        <v>41</v>
      </c>
      <c r="C130" s="6" t="s">
        <v>275</v>
      </c>
      <c r="D130" s="7" t="s">
        <v>399</v>
      </c>
      <c r="E130" s="8" t="s">
        <v>57</v>
      </c>
      <c r="F130" s="9" t="s">
        <v>17</v>
      </c>
      <c r="G130" s="10">
        <v>1</v>
      </c>
      <c r="H130" s="11">
        <v>46084</v>
      </c>
      <c r="I130" s="12" t="s">
        <v>1022</v>
      </c>
      <c r="J130" s="13" t="s">
        <v>30</v>
      </c>
      <c r="K130" s="14" t="str">
        <f>HYPERLINK("http://mpro.prangroup.com:4000/CreativeWorks/Edit/26531","Open")</f>
        <v>Open</v>
      </c>
    </row>
    <row r="131" spans="1:11" ht="13.2">
      <c r="A131" s="4" t="s">
        <v>363</v>
      </c>
      <c r="B131" s="5" t="s">
        <v>170</v>
      </c>
      <c r="C131" s="6" t="s">
        <v>186</v>
      </c>
      <c r="D131" s="7" t="s">
        <v>1023</v>
      </c>
      <c r="E131" s="8" t="s">
        <v>16</v>
      </c>
      <c r="F131" s="9" t="s">
        <v>17</v>
      </c>
      <c r="G131" s="10">
        <v>6</v>
      </c>
      <c r="H131" s="11">
        <v>46084</v>
      </c>
      <c r="I131" s="12" t="s">
        <v>1024</v>
      </c>
      <c r="J131" s="13" t="s">
        <v>30</v>
      </c>
      <c r="K131" s="14" t="str">
        <f>HYPERLINK("http://mpro.prangroup.com:4000/CreativeWorks/Edit/26562","Open")</f>
        <v>Open</v>
      </c>
    </row>
    <row r="132" spans="1:11" ht="13.2">
      <c r="A132" s="4" t="s">
        <v>1025</v>
      </c>
      <c r="B132" s="5" t="s">
        <v>60</v>
      </c>
      <c r="C132" s="6" t="s">
        <v>186</v>
      </c>
      <c r="D132" s="7" t="s">
        <v>1026</v>
      </c>
      <c r="E132" s="8" t="s">
        <v>242</v>
      </c>
      <c r="F132" s="9" t="s">
        <v>17</v>
      </c>
      <c r="G132" s="10">
        <v>2</v>
      </c>
      <c r="H132" s="11">
        <v>46084</v>
      </c>
      <c r="I132" s="12" t="s">
        <v>1027</v>
      </c>
      <c r="J132" s="13" t="s">
        <v>30</v>
      </c>
      <c r="K132" s="14" t="str">
        <f>HYPERLINK("http://mpro.prangroup.com:4000/CreativeWorks/Edit/26571","Open")</f>
        <v>Open</v>
      </c>
    </row>
    <row r="133" spans="1:11" ht="13.2">
      <c r="A133" s="4" t="s">
        <v>240</v>
      </c>
      <c r="B133" s="5" t="s">
        <v>60</v>
      </c>
      <c r="C133" s="6" t="s">
        <v>461</v>
      </c>
      <c r="D133" s="7" t="s">
        <v>1028</v>
      </c>
      <c r="E133" s="8" t="s">
        <v>242</v>
      </c>
      <c r="F133" s="9" t="s">
        <v>17</v>
      </c>
      <c r="G133" s="10">
        <v>3</v>
      </c>
      <c r="H133" s="11">
        <v>46085</v>
      </c>
      <c r="I133" s="12" t="s">
        <v>1029</v>
      </c>
      <c r="J133" s="13" t="s">
        <v>30</v>
      </c>
      <c r="K133" s="14" t="str">
        <f>HYPERLINK("http://mpro.prangroup.com:4000/CreativeWorks/Edit/26686","Open")</f>
        <v>Open</v>
      </c>
    </row>
    <row r="134" spans="1:11" ht="13.2">
      <c r="A134" s="4" t="s">
        <v>40</v>
      </c>
      <c r="B134" s="5" t="s">
        <v>41</v>
      </c>
      <c r="C134" s="6" t="s">
        <v>42</v>
      </c>
      <c r="D134" s="7" t="s">
        <v>1030</v>
      </c>
      <c r="E134" s="8" t="s">
        <v>23</v>
      </c>
      <c r="F134" s="9" t="s">
        <v>17</v>
      </c>
      <c r="G134" s="10">
        <v>1</v>
      </c>
      <c r="H134" s="11">
        <v>46085</v>
      </c>
      <c r="I134" s="12" t="s">
        <v>1031</v>
      </c>
      <c r="J134" s="13" t="s">
        <v>30</v>
      </c>
      <c r="K134" s="14" t="str">
        <f>HYPERLINK("http://mpro.prangroup.com:4000/CreativeWorks/Edit/26689","Open")</f>
        <v>Open</v>
      </c>
    </row>
    <row r="135" spans="1:11" ht="13.2">
      <c r="A135" s="4" t="s">
        <v>227</v>
      </c>
      <c r="B135" s="5" t="s">
        <v>60</v>
      </c>
      <c r="C135" s="6" t="s">
        <v>78</v>
      </c>
      <c r="D135" s="7" t="s">
        <v>1032</v>
      </c>
      <c r="E135" s="8" t="s">
        <v>242</v>
      </c>
      <c r="F135" s="9" t="s">
        <v>17</v>
      </c>
      <c r="G135" s="10">
        <v>5</v>
      </c>
      <c r="H135" s="11">
        <v>46085</v>
      </c>
      <c r="I135" s="12" t="s">
        <v>1033</v>
      </c>
      <c r="J135" s="13" t="s">
        <v>30</v>
      </c>
      <c r="K135" s="14" t="str">
        <f>HYPERLINK("http://mpro.prangroup.com:4000/CreativeWorks/Edit/26681","Open")</f>
        <v>Open</v>
      </c>
    </row>
    <row r="136" spans="1:11" ht="13.2">
      <c r="A136" s="4" t="s">
        <v>408</v>
      </c>
      <c r="B136" s="5" t="s">
        <v>729</v>
      </c>
      <c r="C136" s="6" t="s">
        <v>730</v>
      </c>
      <c r="D136" s="7" t="s">
        <v>1034</v>
      </c>
      <c r="E136" s="8" t="s">
        <v>57</v>
      </c>
      <c r="F136" s="9" t="s">
        <v>17</v>
      </c>
      <c r="G136" s="10">
        <v>2</v>
      </c>
      <c r="H136" s="11">
        <v>46085</v>
      </c>
      <c r="I136" s="12" t="s">
        <v>1035</v>
      </c>
      <c r="J136" s="13" t="s">
        <v>30</v>
      </c>
      <c r="K136" s="14" t="str">
        <f>HYPERLINK("http://mpro.prangroup.com:4000/CreativeWorks/Edit/26679","Open")</f>
        <v>Open</v>
      </c>
    </row>
    <row r="137" spans="1:11" ht="13.2">
      <c r="A137" s="4" t="s">
        <v>1025</v>
      </c>
      <c r="B137" s="5" t="s">
        <v>60</v>
      </c>
      <c r="C137" s="6" t="s">
        <v>186</v>
      </c>
      <c r="D137" s="7" t="s">
        <v>1026</v>
      </c>
      <c r="E137" s="8" t="s">
        <v>242</v>
      </c>
      <c r="F137" s="9" t="s">
        <v>17</v>
      </c>
      <c r="G137" s="10">
        <v>2</v>
      </c>
      <c r="H137" s="11">
        <v>46085</v>
      </c>
      <c r="I137" s="12" t="s">
        <v>1036</v>
      </c>
      <c r="J137" s="13" t="s">
        <v>30</v>
      </c>
      <c r="K137" s="14" t="str">
        <f>HYPERLINK("http://mpro.prangroup.com:4000/CreativeWorks/Edit/26688","Open")</f>
        <v>Open</v>
      </c>
    </row>
    <row r="138" spans="1:11" ht="13.2">
      <c r="A138" s="4" t="s">
        <v>1037</v>
      </c>
      <c r="B138" s="5" t="s">
        <v>729</v>
      </c>
      <c r="C138" s="6" t="s">
        <v>1038</v>
      </c>
      <c r="D138" s="7" t="s">
        <v>1039</v>
      </c>
      <c r="E138" s="8" t="s">
        <v>57</v>
      </c>
      <c r="F138" s="9" t="s">
        <v>17</v>
      </c>
      <c r="G138" s="10">
        <v>1</v>
      </c>
      <c r="H138" s="11">
        <v>46086</v>
      </c>
      <c r="I138" s="12" t="s">
        <v>1040</v>
      </c>
      <c r="J138" s="13" t="s">
        <v>30</v>
      </c>
      <c r="K138" s="14" t="str">
        <f>HYPERLINK("http://mpro.prangroup.com:4000/CreativeWorks/Edit/26766","Open")</f>
        <v>Open</v>
      </c>
    </row>
    <row r="139" spans="1:11" ht="13.2">
      <c r="A139" s="4" t="s">
        <v>1041</v>
      </c>
      <c r="B139" s="5" t="s">
        <v>41</v>
      </c>
      <c r="C139" s="6" t="s">
        <v>186</v>
      </c>
      <c r="D139" s="7" t="s">
        <v>1042</v>
      </c>
      <c r="E139" s="8" t="s">
        <v>242</v>
      </c>
      <c r="F139" s="9" t="s">
        <v>17</v>
      </c>
      <c r="G139" s="10">
        <v>2</v>
      </c>
      <c r="H139" s="11">
        <v>46086</v>
      </c>
      <c r="I139" s="12" t="s">
        <v>1043</v>
      </c>
      <c r="J139" s="13" t="s">
        <v>30</v>
      </c>
      <c r="K139" s="14" t="str">
        <f>HYPERLINK("http://mpro.prangroup.com:4000/CreativeWorks/Edit/26772","Open")</f>
        <v>Open</v>
      </c>
    </row>
    <row r="140" spans="1:11" ht="13.2">
      <c r="A140" s="4" t="s">
        <v>1044</v>
      </c>
      <c r="B140" s="5" t="s">
        <v>170</v>
      </c>
      <c r="C140" s="6" t="s">
        <v>275</v>
      </c>
      <c r="D140" s="7" t="s">
        <v>1045</v>
      </c>
      <c r="E140" s="8" t="s">
        <v>16</v>
      </c>
      <c r="F140" s="9" t="s">
        <v>17</v>
      </c>
      <c r="G140" s="10">
        <v>3</v>
      </c>
      <c r="H140" s="11">
        <v>46088</v>
      </c>
      <c r="I140" s="12" t="s">
        <v>1046</v>
      </c>
      <c r="J140" s="13" t="s">
        <v>30</v>
      </c>
      <c r="K140" s="14" t="str">
        <f>HYPERLINK("http://mpro.prangroup.com:4000/CreativeWorks/Edit/26835","Open")</f>
        <v>Open</v>
      </c>
    </row>
    <row r="141" spans="1:11" ht="13.2">
      <c r="A141" s="4" t="s">
        <v>77</v>
      </c>
      <c r="B141" s="5" t="s">
        <v>60</v>
      </c>
      <c r="C141" s="6" t="s">
        <v>78</v>
      </c>
      <c r="D141" s="7" t="s">
        <v>1047</v>
      </c>
      <c r="E141" s="8" t="s">
        <v>242</v>
      </c>
      <c r="F141" s="9" t="s">
        <v>17</v>
      </c>
      <c r="G141" s="10">
        <v>8</v>
      </c>
      <c r="H141" s="11">
        <v>46089</v>
      </c>
      <c r="I141" s="12" t="s">
        <v>1048</v>
      </c>
      <c r="J141" s="13" t="s">
        <v>30</v>
      </c>
      <c r="K141" s="14" t="str">
        <f>HYPERLINK("http://mpro.prangroup.com:4000/CreativeWorks/Edit/26918","Open")</f>
        <v>Open</v>
      </c>
    </row>
    <row r="142" spans="1:11" ht="13.2">
      <c r="A142" s="4" t="s">
        <v>1049</v>
      </c>
      <c r="B142" s="5" t="s">
        <v>68</v>
      </c>
      <c r="C142" s="6" t="s">
        <v>1050</v>
      </c>
      <c r="D142" s="7" t="s">
        <v>1051</v>
      </c>
      <c r="E142" s="8" t="s">
        <v>57</v>
      </c>
      <c r="F142" s="9" t="s">
        <v>17</v>
      </c>
      <c r="G142" s="10">
        <v>1</v>
      </c>
      <c r="H142" s="11">
        <v>46090</v>
      </c>
      <c r="I142" s="12" t="s">
        <v>1052</v>
      </c>
      <c r="J142" s="13" t="s">
        <v>30</v>
      </c>
      <c r="K142" s="14" t="str">
        <f>HYPERLINK("http://mpro.prangroup.com:4000/CreativeWorks/Edit/26993","Open")</f>
        <v>Open</v>
      </c>
    </row>
    <row r="143" spans="1:11" ht="13.2">
      <c r="A143" s="4" t="s">
        <v>1053</v>
      </c>
      <c r="B143" s="5" t="s">
        <v>1054</v>
      </c>
      <c r="C143" s="6" t="s">
        <v>78</v>
      </c>
      <c r="D143" s="7" t="s">
        <v>1055</v>
      </c>
      <c r="E143" s="8" t="s">
        <v>57</v>
      </c>
      <c r="F143" s="9" t="s">
        <v>17</v>
      </c>
      <c r="G143" s="10">
        <v>8</v>
      </c>
      <c r="H143" s="11">
        <v>46090</v>
      </c>
      <c r="I143" s="12" t="s">
        <v>1056</v>
      </c>
      <c r="J143" s="13" t="s">
        <v>30</v>
      </c>
      <c r="K143" s="14" t="str">
        <f>HYPERLINK("http://mpro.prangroup.com:4000/CreativeWorks/Edit/27042","Open")</f>
        <v>Open</v>
      </c>
    </row>
    <row r="144" spans="1:11" ht="13.2">
      <c r="A144" s="4" t="s">
        <v>1057</v>
      </c>
      <c r="B144" s="5" t="s">
        <v>109</v>
      </c>
      <c r="C144" s="6" t="s">
        <v>938</v>
      </c>
      <c r="D144" s="7" t="s">
        <v>1058</v>
      </c>
      <c r="E144" s="8" t="s">
        <v>242</v>
      </c>
      <c r="F144" s="9" t="s">
        <v>17</v>
      </c>
      <c r="G144" s="10">
        <v>1</v>
      </c>
      <c r="H144" s="11">
        <v>46091</v>
      </c>
      <c r="I144" s="12" t="s">
        <v>1059</v>
      </c>
      <c r="J144" s="13" t="s">
        <v>30</v>
      </c>
      <c r="K144" s="14" t="str">
        <f>HYPERLINK("http://mpro.prangroup.com:4000/CreativeWorks/Edit/27175","Open")</f>
        <v>Open</v>
      </c>
    </row>
    <row r="145" spans="1:11" ht="13.2">
      <c r="A145" s="4" t="s">
        <v>235</v>
      </c>
      <c r="B145" s="5" t="s">
        <v>101</v>
      </c>
      <c r="C145" s="6" t="s">
        <v>232</v>
      </c>
      <c r="D145" s="7" t="s">
        <v>1060</v>
      </c>
      <c r="E145" s="8" t="s">
        <v>88</v>
      </c>
      <c r="F145" s="9" t="s">
        <v>17</v>
      </c>
      <c r="G145" s="10">
        <v>2</v>
      </c>
      <c r="H145" s="11">
        <v>46091</v>
      </c>
      <c r="I145" s="12" t="s">
        <v>1061</v>
      </c>
      <c r="J145" s="13" t="s">
        <v>30</v>
      </c>
      <c r="K145" s="14" t="str">
        <f>HYPERLINK("http://mpro.prangroup.com:4000/CreativeWorks/Edit/27134","Open")</f>
        <v>Open</v>
      </c>
    </row>
    <row r="146" spans="1:11" ht="13.2">
      <c r="A146" s="4" t="s">
        <v>467</v>
      </c>
      <c r="B146" s="5" t="s">
        <v>282</v>
      </c>
      <c r="C146" s="6" t="s">
        <v>186</v>
      </c>
      <c r="D146" s="7" t="s">
        <v>1062</v>
      </c>
      <c r="E146" s="8" t="s">
        <v>88</v>
      </c>
      <c r="F146" s="9" t="s">
        <v>17</v>
      </c>
      <c r="G146" s="10">
        <v>2</v>
      </c>
      <c r="H146" s="11">
        <v>46091</v>
      </c>
      <c r="I146" s="12" t="s">
        <v>1063</v>
      </c>
      <c r="J146" s="13" t="s">
        <v>30</v>
      </c>
      <c r="K146" s="14" t="str">
        <f>HYPERLINK("http://mpro.prangroup.com:4000/CreativeWorks/Edit/27139","Open")</f>
        <v>Open</v>
      </c>
    </row>
    <row r="147" spans="1:11" ht="13.2">
      <c r="A147" s="4" t="s">
        <v>240</v>
      </c>
      <c r="B147" s="5" t="s">
        <v>60</v>
      </c>
      <c r="C147" s="6" t="s">
        <v>461</v>
      </c>
      <c r="D147" s="7" t="s">
        <v>1064</v>
      </c>
      <c r="E147" s="8" t="s">
        <v>242</v>
      </c>
      <c r="F147" s="9" t="s">
        <v>17</v>
      </c>
      <c r="G147" s="10">
        <v>1</v>
      </c>
      <c r="H147" s="11">
        <v>46092</v>
      </c>
      <c r="I147" s="12" t="s">
        <v>1065</v>
      </c>
      <c r="J147" s="13" t="s">
        <v>30</v>
      </c>
      <c r="K147" s="14" t="str">
        <f>HYPERLINK("http://mpro.prangroup.com:4000/CreativeWorks/Edit/27228","Open")</f>
        <v>Open</v>
      </c>
    </row>
    <row r="148" spans="1:11" ht="13.2">
      <c r="A148" s="4" t="s">
        <v>318</v>
      </c>
      <c r="B148" s="5" t="s">
        <v>32</v>
      </c>
      <c r="C148" s="6" t="s">
        <v>348</v>
      </c>
      <c r="D148" s="7" t="s">
        <v>1066</v>
      </c>
      <c r="E148" s="8" t="s">
        <v>16</v>
      </c>
      <c r="F148" s="9" t="s">
        <v>17</v>
      </c>
      <c r="G148" s="10">
        <v>1</v>
      </c>
      <c r="H148" s="11">
        <v>46092</v>
      </c>
      <c r="I148" s="12" t="s">
        <v>1067</v>
      </c>
      <c r="J148" s="13" t="s">
        <v>30</v>
      </c>
      <c r="K148" s="14" t="str">
        <f>HYPERLINK("http://mpro.prangroup.com:4000/CreativeWorks/Edit/27222","Open")</f>
        <v>Open</v>
      </c>
    </row>
    <row r="149" spans="1:11" ht="13.2">
      <c r="A149" s="4" t="s">
        <v>235</v>
      </c>
      <c r="B149" s="5" t="s">
        <v>101</v>
      </c>
      <c r="C149" s="6" t="s">
        <v>232</v>
      </c>
      <c r="D149" s="7" t="s">
        <v>1068</v>
      </c>
      <c r="E149" s="8" t="s">
        <v>88</v>
      </c>
      <c r="F149" s="9" t="s">
        <v>17</v>
      </c>
      <c r="G149" s="10">
        <v>3</v>
      </c>
      <c r="H149" s="11">
        <v>46092</v>
      </c>
      <c r="I149" s="12" t="s">
        <v>1069</v>
      </c>
      <c r="J149" s="13" t="s">
        <v>30</v>
      </c>
      <c r="K149" s="14" t="str">
        <f>HYPERLINK("http://mpro.prangroup.com:4000/CreativeWorks/Edit/27215","Open")</f>
        <v>Open</v>
      </c>
    </row>
    <row r="150" spans="1:11" ht="13.2">
      <c r="A150" s="4" t="s">
        <v>974</v>
      </c>
      <c r="B150" s="5" t="s">
        <v>975</v>
      </c>
      <c r="C150" s="6" t="s">
        <v>422</v>
      </c>
      <c r="D150" s="7" t="s">
        <v>1070</v>
      </c>
      <c r="E150" s="8" t="s">
        <v>57</v>
      </c>
      <c r="F150" s="9" t="s">
        <v>17</v>
      </c>
      <c r="G150" s="10">
        <v>2</v>
      </c>
      <c r="H150" s="11">
        <v>46093</v>
      </c>
      <c r="I150" s="12" t="s">
        <v>1071</v>
      </c>
      <c r="J150" s="13" t="s">
        <v>30</v>
      </c>
      <c r="K150" s="14" t="str">
        <f>HYPERLINK("http://mpro.prangroup.com:4000/CreativeWorks/Edit/27334","Open")</f>
        <v>Open</v>
      </c>
    </row>
    <row r="151" spans="1:11" ht="13.2">
      <c r="A151" s="4" t="s">
        <v>1053</v>
      </c>
      <c r="B151" s="5" t="s">
        <v>1054</v>
      </c>
      <c r="C151" s="6" t="s">
        <v>78</v>
      </c>
      <c r="D151" s="7" t="s">
        <v>1055</v>
      </c>
      <c r="E151" s="8" t="s">
        <v>16</v>
      </c>
      <c r="F151" s="9" t="s">
        <v>17</v>
      </c>
      <c r="G151" s="10">
        <v>4</v>
      </c>
      <c r="H151" s="11">
        <v>46095</v>
      </c>
      <c r="I151" s="12" t="s">
        <v>1072</v>
      </c>
      <c r="J151" s="13" t="s">
        <v>30</v>
      </c>
      <c r="K151" s="14" t="str">
        <f t="shared" ref="K151:K152" si="3">HYPERLINK("http://mpro.prangroup.com:4000/CreativeWorks/Edit/27507","Open")</f>
        <v>Open</v>
      </c>
    </row>
    <row r="152" spans="1:11" ht="13.2">
      <c r="A152" s="4" t="s">
        <v>1053</v>
      </c>
      <c r="B152" s="5" t="s">
        <v>1054</v>
      </c>
      <c r="C152" s="6" t="s">
        <v>78</v>
      </c>
      <c r="D152" s="7" t="s">
        <v>1055</v>
      </c>
      <c r="E152" s="8" t="s">
        <v>242</v>
      </c>
      <c r="F152" s="9" t="s">
        <v>17</v>
      </c>
      <c r="G152" s="10">
        <v>4</v>
      </c>
      <c r="H152" s="11">
        <v>46095</v>
      </c>
      <c r="I152" s="12" t="s">
        <v>1072</v>
      </c>
      <c r="J152" s="13" t="s">
        <v>30</v>
      </c>
      <c r="K152" s="14" t="str">
        <f t="shared" si="3"/>
        <v>Open</v>
      </c>
    </row>
    <row r="153" spans="1:11" ht="13.2">
      <c r="A153" s="4" t="s">
        <v>216</v>
      </c>
      <c r="B153" s="5" t="s">
        <v>217</v>
      </c>
      <c r="C153" s="6" t="s">
        <v>186</v>
      </c>
      <c r="D153" s="7" t="s">
        <v>1073</v>
      </c>
      <c r="E153" s="8" t="s">
        <v>16</v>
      </c>
      <c r="F153" s="9" t="s">
        <v>17</v>
      </c>
      <c r="G153" s="10">
        <v>3</v>
      </c>
      <c r="H153" s="11">
        <v>46095</v>
      </c>
      <c r="I153" s="12" t="s">
        <v>1074</v>
      </c>
      <c r="J153" s="13" t="s">
        <v>30</v>
      </c>
      <c r="K153" s="14" t="str">
        <f>HYPERLINK("http://mpro.prangroup.com:4000/CreativeWorks/Edit/27535","Open")</f>
        <v>Open</v>
      </c>
    </row>
    <row r="154" spans="1:11" ht="13.2">
      <c r="A154" s="4" t="s">
        <v>449</v>
      </c>
      <c r="B154" s="5" t="s">
        <v>144</v>
      </c>
      <c r="C154" s="6" t="s">
        <v>1075</v>
      </c>
      <c r="D154" s="7" t="s">
        <v>1076</v>
      </c>
      <c r="E154" s="8" t="s">
        <v>1077</v>
      </c>
      <c r="F154" s="9" t="s">
        <v>17</v>
      </c>
      <c r="G154" s="10">
        <v>1</v>
      </c>
      <c r="H154" s="11">
        <v>46096</v>
      </c>
      <c r="I154" s="12" t="s">
        <v>1078</v>
      </c>
      <c r="J154" s="13" t="s">
        <v>30</v>
      </c>
      <c r="K154" s="14" t="str">
        <f>HYPERLINK("http://mpro.prangroup.com:4000/CreativeWorks/Edit/27664","Open")</f>
        <v>Open</v>
      </c>
    </row>
    <row r="155" spans="1:11" ht="13.2">
      <c r="A155" s="4" t="s">
        <v>216</v>
      </c>
      <c r="B155" s="5" t="s">
        <v>217</v>
      </c>
      <c r="C155" s="6" t="s">
        <v>166</v>
      </c>
      <c r="D155" s="7" t="s">
        <v>1079</v>
      </c>
      <c r="E155" s="8" t="s">
        <v>16</v>
      </c>
      <c r="F155" s="9" t="s">
        <v>17</v>
      </c>
      <c r="G155" s="10">
        <v>1</v>
      </c>
      <c r="H155" s="11">
        <v>46096</v>
      </c>
      <c r="I155" s="12" t="s">
        <v>1080</v>
      </c>
      <c r="J155" s="13" t="s">
        <v>30</v>
      </c>
      <c r="K155" s="14" t="str">
        <f>HYPERLINK("http://mpro.prangroup.com:4000/CreativeWorks/Edit/27636","Open")</f>
        <v>Open</v>
      </c>
    </row>
    <row r="156" spans="1:11" ht="13.2">
      <c r="A156" s="4" t="s">
        <v>248</v>
      </c>
      <c r="B156" s="5" t="s">
        <v>123</v>
      </c>
      <c r="C156" s="6" t="s">
        <v>124</v>
      </c>
      <c r="D156" s="7" t="s">
        <v>1081</v>
      </c>
      <c r="E156" s="8" t="s">
        <v>346</v>
      </c>
      <c r="F156" s="9" t="s">
        <v>17</v>
      </c>
      <c r="G156" s="10">
        <v>1</v>
      </c>
      <c r="H156" s="11">
        <v>46097</v>
      </c>
      <c r="I156" s="12" t="s">
        <v>1082</v>
      </c>
      <c r="J156" s="13" t="s">
        <v>30</v>
      </c>
      <c r="K156" s="14" t="str">
        <f>HYPERLINK("http://mpro.prangroup.com:4000/CreativeWorks/Edit/27763","Open")</f>
        <v>Open</v>
      </c>
    </row>
    <row r="157" spans="1:11" ht="13.2">
      <c r="A157" s="4" t="s">
        <v>1083</v>
      </c>
      <c r="B157" s="5" t="s">
        <v>144</v>
      </c>
      <c r="C157" s="6" t="s">
        <v>1075</v>
      </c>
      <c r="D157" s="7" t="s">
        <v>1084</v>
      </c>
      <c r="E157" s="8" t="s">
        <v>1077</v>
      </c>
      <c r="F157" s="9" t="s">
        <v>17</v>
      </c>
      <c r="G157" s="10">
        <v>4</v>
      </c>
      <c r="H157" s="11">
        <v>46097</v>
      </c>
      <c r="I157" s="12" t="s">
        <v>1085</v>
      </c>
      <c r="J157" s="13" t="s">
        <v>30</v>
      </c>
      <c r="K157" s="14" t="str">
        <f>HYPERLINK("http://mpro.prangroup.com:4000/CreativeWorks/Edit/27753","Open")</f>
        <v>Open</v>
      </c>
    </row>
    <row r="158" spans="1:11" ht="13.2">
      <c r="A158" s="4" t="s">
        <v>202</v>
      </c>
      <c r="B158" s="5" t="s">
        <v>202</v>
      </c>
      <c r="C158" s="6" t="s">
        <v>501</v>
      </c>
      <c r="D158" s="7" t="s">
        <v>1086</v>
      </c>
      <c r="E158" s="8" t="s">
        <v>242</v>
      </c>
      <c r="F158" s="9" t="s">
        <v>17</v>
      </c>
      <c r="G158" s="10">
        <v>1</v>
      </c>
      <c r="H158" s="11">
        <v>46097</v>
      </c>
      <c r="I158" s="12" t="s">
        <v>1087</v>
      </c>
      <c r="J158" s="13" t="s">
        <v>30</v>
      </c>
      <c r="K158" s="14" t="str">
        <f>HYPERLINK("http://mpro.prangroup.com:4000/CreativeWorks/Edit/27764","Open")</f>
        <v>Open</v>
      </c>
    </row>
    <row r="159" spans="1:11" ht="13.2">
      <c r="A159" s="4" t="s">
        <v>1088</v>
      </c>
      <c r="B159" s="5" t="s">
        <v>202</v>
      </c>
      <c r="C159" s="6" t="s">
        <v>501</v>
      </c>
      <c r="D159" s="7" t="s">
        <v>1089</v>
      </c>
      <c r="E159" s="8" t="s">
        <v>242</v>
      </c>
      <c r="F159" s="9" t="s">
        <v>17</v>
      </c>
      <c r="G159" s="10">
        <v>3</v>
      </c>
      <c r="H159" s="11">
        <v>46097</v>
      </c>
      <c r="I159" s="12" t="s">
        <v>1090</v>
      </c>
      <c r="J159" s="13" t="s">
        <v>30</v>
      </c>
      <c r="K159" s="14" t="str">
        <f>HYPERLINK("http://mpro.prangroup.com:4000/CreativeWorks/Edit/27778","Open")</f>
        <v>Open</v>
      </c>
    </row>
    <row r="160" spans="1:11" ht="13.2">
      <c r="A160" s="4" t="s">
        <v>227</v>
      </c>
      <c r="B160" s="5" t="s">
        <v>60</v>
      </c>
      <c r="C160" s="6" t="s">
        <v>78</v>
      </c>
      <c r="D160" s="7" t="s">
        <v>1091</v>
      </c>
      <c r="E160" s="8" t="s">
        <v>16</v>
      </c>
      <c r="F160" s="9" t="s">
        <v>17</v>
      </c>
      <c r="G160" s="10">
        <v>4</v>
      </c>
      <c r="H160" s="11">
        <v>46099</v>
      </c>
      <c r="I160" s="12" t="s">
        <v>1092</v>
      </c>
      <c r="J160" s="13" t="s">
        <v>30</v>
      </c>
      <c r="K160" s="14" t="str">
        <f t="shared" ref="K160:K161" si="4">HYPERLINK("http://mpro.prangroup.com:4000/CreativeWorks/Edit/27859","Open")</f>
        <v>Open</v>
      </c>
    </row>
    <row r="161" spans="1:11" ht="13.2">
      <c r="A161" s="4" t="s">
        <v>227</v>
      </c>
      <c r="B161" s="5" t="s">
        <v>60</v>
      </c>
      <c r="C161" s="6" t="s">
        <v>78</v>
      </c>
      <c r="D161" s="7" t="s">
        <v>1091</v>
      </c>
      <c r="E161" s="8" t="s">
        <v>242</v>
      </c>
      <c r="F161" s="9" t="s">
        <v>17</v>
      </c>
      <c r="G161" s="10">
        <v>12</v>
      </c>
      <c r="H161" s="11">
        <v>46099</v>
      </c>
      <c r="I161" s="12" t="s">
        <v>1092</v>
      </c>
      <c r="J161" s="13" t="s">
        <v>30</v>
      </c>
      <c r="K161" s="14" t="str">
        <f t="shared" si="4"/>
        <v>Open</v>
      </c>
    </row>
    <row r="162" spans="1:11" ht="13.2">
      <c r="A162" s="4" t="s">
        <v>1049</v>
      </c>
      <c r="B162" s="5" t="s">
        <v>68</v>
      </c>
      <c r="C162" s="6" t="s">
        <v>1093</v>
      </c>
      <c r="D162" s="7" t="s">
        <v>1094</v>
      </c>
      <c r="E162" s="8" t="s">
        <v>141</v>
      </c>
      <c r="F162" s="9" t="s">
        <v>17</v>
      </c>
      <c r="G162" s="10">
        <v>2</v>
      </c>
      <c r="H162" s="11">
        <v>46110</v>
      </c>
      <c r="I162" s="12" t="s">
        <v>1095</v>
      </c>
      <c r="J162" s="13" t="s">
        <v>30</v>
      </c>
      <c r="K162" s="14" t="str">
        <f>HYPERLINK("http://mpro.prangroup.com:4000/CreativeWorks/Edit/28322","Open")</f>
        <v>Open</v>
      </c>
    </row>
    <row r="163" spans="1:11" ht="13.2">
      <c r="A163" s="4" t="s">
        <v>235</v>
      </c>
      <c r="B163" s="5" t="s">
        <v>101</v>
      </c>
      <c r="C163" s="6" t="s">
        <v>232</v>
      </c>
      <c r="D163" s="7" t="s">
        <v>1096</v>
      </c>
      <c r="E163" s="8" t="s">
        <v>88</v>
      </c>
      <c r="F163" s="9" t="s">
        <v>17</v>
      </c>
      <c r="G163" s="10">
        <v>3</v>
      </c>
      <c r="H163" s="11">
        <v>46110</v>
      </c>
      <c r="I163" s="12" t="s">
        <v>1097</v>
      </c>
      <c r="J163" s="13" t="s">
        <v>30</v>
      </c>
      <c r="K163" s="14" t="str">
        <f>HYPERLINK("http://mpro.prangroup.com:4000/CreativeWorks/Edit/28352","Open")</f>
        <v>Open</v>
      </c>
    </row>
    <row r="164" spans="1:11" ht="13.2">
      <c r="A164" s="4" t="s">
        <v>105</v>
      </c>
      <c r="B164" s="5" t="s">
        <v>60</v>
      </c>
      <c r="C164" s="6" t="s">
        <v>78</v>
      </c>
      <c r="D164" s="7" t="s">
        <v>1098</v>
      </c>
      <c r="E164" s="8" t="s">
        <v>16</v>
      </c>
      <c r="F164" s="9" t="s">
        <v>17</v>
      </c>
      <c r="G164" s="10">
        <v>1</v>
      </c>
      <c r="H164" s="11">
        <v>46111</v>
      </c>
      <c r="I164" s="12" t="s">
        <v>1099</v>
      </c>
      <c r="J164" s="13" t="s">
        <v>30</v>
      </c>
      <c r="K164" s="14" t="str">
        <f>HYPERLINK("http://mpro.prangroup.com:4000/CreativeWorks/Edit/28495","Open")</f>
        <v>Open</v>
      </c>
    </row>
    <row r="165" spans="1:11" ht="13.2">
      <c r="A165" s="4" t="s">
        <v>1100</v>
      </c>
      <c r="B165" s="5" t="s">
        <v>213</v>
      </c>
      <c r="C165" s="6" t="s">
        <v>186</v>
      </c>
      <c r="D165" s="7" t="s">
        <v>1101</v>
      </c>
      <c r="E165" s="8" t="s">
        <v>505</v>
      </c>
      <c r="F165" s="9" t="s">
        <v>17</v>
      </c>
      <c r="G165" s="10">
        <v>3</v>
      </c>
      <c r="H165" s="11">
        <v>46112</v>
      </c>
      <c r="I165" s="12" t="s">
        <v>1102</v>
      </c>
      <c r="J165" s="13" t="s">
        <v>30</v>
      </c>
      <c r="K165" s="14" t="str">
        <f>HYPERLINK("http://mpro.prangroup.com:4000/CreativeWorks/Edit/28795","Open")</f>
        <v>Open</v>
      </c>
    </row>
    <row r="166" spans="1:11" ht="13.2">
      <c r="A166" s="4" t="s">
        <v>100</v>
      </c>
      <c r="B166" s="5" t="s">
        <v>101</v>
      </c>
      <c r="C166" s="6" t="s">
        <v>102</v>
      </c>
      <c r="D166" s="7" t="s">
        <v>1103</v>
      </c>
      <c r="E166" s="8" t="s">
        <v>16</v>
      </c>
      <c r="F166" s="9" t="s">
        <v>17</v>
      </c>
      <c r="G166" s="10">
        <v>1</v>
      </c>
      <c r="H166" s="11">
        <v>46113</v>
      </c>
      <c r="I166" s="12" t="s">
        <v>1104</v>
      </c>
      <c r="J166" s="13" t="s">
        <v>30</v>
      </c>
      <c r="K166" s="14" t="str">
        <f>HYPERLINK("http://mpro.prangroup.com:4000/CreativeWorks/Edit/28937","Open")</f>
        <v>Open</v>
      </c>
    </row>
    <row r="167" spans="1:11" ht="13.2">
      <c r="A167" s="4" t="s">
        <v>105</v>
      </c>
      <c r="B167" s="5" t="s">
        <v>60</v>
      </c>
      <c r="C167" s="6" t="s">
        <v>78</v>
      </c>
      <c r="D167" s="7" t="s">
        <v>1105</v>
      </c>
      <c r="E167" s="8" t="s">
        <v>16</v>
      </c>
      <c r="F167" s="9" t="s">
        <v>17</v>
      </c>
      <c r="G167" s="10">
        <v>4</v>
      </c>
      <c r="H167" s="11">
        <v>46114</v>
      </c>
      <c r="I167" s="12" t="s">
        <v>1106</v>
      </c>
      <c r="J167" s="13" t="s">
        <v>30</v>
      </c>
      <c r="K167" s="14" t="str">
        <f>HYPERLINK("http://mpro.prangroup.com:4000/CreativeWorks/Edit/29076","Open")</f>
        <v>Open</v>
      </c>
    </row>
    <row r="168" spans="1:11" ht="13.2">
      <c r="A168" s="4" t="s">
        <v>235</v>
      </c>
      <c r="B168" s="5" t="s">
        <v>101</v>
      </c>
      <c r="C168" s="6" t="s">
        <v>232</v>
      </c>
      <c r="D168" s="7" t="s">
        <v>1107</v>
      </c>
      <c r="E168" s="8" t="s">
        <v>16</v>
      </c>
      <c r="F168" s="9" t="s">
        <v>17</v>
      </c>
      <c r="G168" s="10">
        <v>15</v>
      </c>
      <c r="H168" s="11">
        <v>46120</v>
      </c>
      <c r="I168" s="12" t="s">
        <v>1108</v>
      </c>
      <c r="J168" s="13" t="s">
        <v>30</v>
      </c>
      <c r="K168" s="14" t="str">
        <f>HYPERLINK("http://mpro.prangroup.com:4000/CreativeWorks/Edit/29520","Open")</f>
        <v>Open</v>
      </c>
    </row>
    <row r="169" spans="1:11" ht="13.2">
      <c r="A169" s="4" t="s">
        <v>40</v>
      </c>
      <c r="B169" s="5" t="s">
        <v>41</v>
      </c>
      <c r="C169" s="6" t="s">
        <v>186</v>
      </c>
      <c r="D169" s="7" t="s">
        <v>1109</v>
      </c>
      <c r="E169" s="8" t="s">
        <v>88</v>
      </c>
      <c r="F169" s="9" t="s">
        <v>17</v>
      </c>
      <c r="G169" s="10">
        <v>2</v>
      </c>
      <c r="H169" s="11">
        <v>46123</v>
      </c>
      <c r="I169" s="12" t="s">
        <v>1110</v>
      </c>
      <c r="J169" s="13" t="s">
        <v>30</v>
      </c>
      <c r="K169" s="14" t="str">
        <f>HYPERLINK("http://mpro.prangroup.com:4000/CreativeWorks/Edit/29771","Open")</f>
        <v>Open</v>
      </c>
    </row>
    <row r="170" spans="1:11" ht="13.2">
      <c r="A170" s="4" t="s">
        <v>421</v>
      </c>
      <c r="B170" s="5" t="s">
        <v>101</v>
      </c>
      <c r="C170" s="6" t="s">
        <v>422</v>
      </c>
      <c r="D170" s="7" t="s">
        <v>1111</v>
      </c>
      <c r="E170" s="8" t="s">
        <v>16</v>
      </c>
      <c r="F170" s="9" t="s">
        <v>17</v>
      </c>
      <c r="G170" s="10">
        <v>1</v>
      </c>
      <c r="H170" s="11">
        <v>46124</v>
      </c>
      <c r="I170" s="12" t="s">
        <v>1112</v>
      </c>
      <c r="J170" s="13" t="s">
        <v>30</v>
      </c>
      <c r="K170" s="14" t="str">
        <f>HYPERLINK("http://mpro.prangroup.com:4000/CreativeWorks/Edit/29880","Open")</f>
        <v>Open</v>
      </c>
    </row>
    <row r="171" spans="1:11" ht="13.2">
      <c r="A171" s="4" t="s">
        <v>318</v>
      </c>
      <c r="B171" s="5" t="s">
        <v>32</v>
      </c>
      <c r="C171" s="6" t="s">
        <v>348</v>
      </c>
      <c r="D171" s="7" t="s">
        <v>1066</v>
      </c>
      <c r="E171" s="8" t="s">
        <v>16</v>
      </c>
      <c r="F171" s="9" t="s">
        <v>17</v>
      </c>
      <c r="G171" s="10">
        <v>1</v>
      </c>
      <c r="H171" s="11">
        <v>46124</v>
      </c>
      <c r="I171" s="12" t="s">
        <v>1113</v>
      </c>
      <c r="J171" s="13" t="s">
        <v>30</v>
      </c>
      <c r="K171" s="14" t="str">
        <f>HYPERLINK("http://mpro.prangroup.com:4000/CreativeWorks/Edit/29915","Open")</f>
        <v>Open</v>
      </c>
    </row>
    <row r="172" spans="1:11" ht="13.2">
      <c r="A172" s="4" t="s">
        <v>1114</v>
      </c>
      <c r="B172" s="5" t="s">
        <v>153</v>
      </c>
      <c r="C172" s="6" t="s">
        <v>1115</v>
      </c>
      <c r="D172" s="7" t="s">
        <v>1116</v>
      </c>
      <c r="E172" s="8" t="s">
        <v>88</v>
      </c>
      <c r="F172" s="9" t="s">
        <v>17</v>
      </c>
      <c r="G172" s="10">
        <v>1</v>
      </c>
      <c r="H172" s="11">
        <v>46127</v>
      </c>
      <c r="I172" s="12" t="s">
        <v>1117</v>
      </c>
      <c r="J172" s="13" t="s">
        <v>30</v>
      </c>
      <c r="K172" s="14" t="str">
        <f>HYPERLINK("http://mpro.prangroup.com:4000/CreativeWorks/Edit/30148","Open")</f>
        <v>Open</v>
      </c>
    </row>
    <row r="173" spans="1:11" ht="13.2">
      <c r="A173" s="4" t="s">
        <v>45</v>
      </c>
      <c r="B173" s="5" t="s">
        <v>13</v>
      </c>
      <c r="C173" s="6" t="s">
        <v>14</v>
      </c>
      <c r="D173" s="7" t="s">
        <v>1118</v>
      </c>
      <c r="E173" s="8" t="s">
        <v>16</v>
      </c>
      <c r="F173" s="9" t="s">
        <v>17</v>
      </c>
      <c r="G173" s="10">
        <v>1</v>
      </c>
      <c r="H173" s="11">
        <v>46128</v>
      </c>
      <c r="I173" s="12" t="s">
        <v>1119</v>
      </c>
      <c r="J173" s="13" t="s">
        <v>30</v>
      </c>
      <c r="K173" s="14" t="str">
        <f>HYPERLINK("http://mpro.prangroup.com:4000/CreativeWorks/Edit/30277","Open")</f>
        <v>Open</v>
      </c>
    </row>
    <row r="174" spans="1:11" ht="13.2">
      <c r="A174" s="4" t="s">
        <v>421</v>
      </c>
      <c r="B174" s="5" t="s">
        <v>101</v>
      </c>
      <c r="C174" s="6" t="s">
        <v>422</v>
      </c>
      <c r="D174" s="7" t="s">
        <v>1015</v>
      </c>
      <c r="E174" s="8" t="s">
        <v>16</v>
      </c>
      <c r="F174" s="9" t="s">
        <v>17</v>
      </c>
      <c r="G174" s="10">
        <v>1</v>
      </c>
      <c r="H174" s="11">
        <v>46128</v>
      </c>
      <c r="I174" s="12" t="s">
        <v>1120</v>
      </c>
      <c r="J174" s="13" t="s">
        <v>30</v>
      </c>
      <c r="K174" s="14" t="str">
        <f>HYPERLINK("http://mpro.prangroup.com:4000/CreativeWorks/Edit/30257","Open")</f>
        <v>Open</v>
      </c>
    </row>
    <row r="175" spans="1:11" ht="13.2">
      <c r="A175" s="4" t="s">
        <v>45</v>
      </c>
      <c r="B175" s="5" t="s">
        <v>13</v>
      </c>
      <c r="C175" s="6" t="s">
        <v>14</v>
      </c>
      <c r="D175" s="7" t="s">
        <v>1121</v>
      </c>
      <c r="E175" s="8" t="s">
        <v>16</v>
      </c>
      <c r="F175" s="9" t="s">
        <v>17</v>
      </c>
      <c r="G175" s="10">
        <v>1</v>
      </c>
      <c r="H175" s="11">
        <v>46131</v>
      </c>
      <c r="I175" s="12" t="s">
        <v>1122</v>
      </c>
      <c r="J175" s="13" t="s">
        <v>30</v>
      </c>
      <c r="K175" s="14" t="str">
        <f>HYPERLINK("http://mpro.prangroup.com:4000/CreativeWorks/Edit/30430","Open")</f>
        <v>Open</v>
      </c>
    </row>
    <row r="176" spans="1:11" ht="13.2">
      <c r="A176" s="4" t="s">
        <v>1123</v>
      </c>
      <c r="B176" s="5" t="s">
        <v>478</v>
      </c>
      <c r="C176" s="6" t="s">
        <v>1124</v>
      </c>
      <c r="D176" s="7" t="s">
        <v>1125</v>
      </c>
      <c r="E176" s="8" t="s">
        <v>16</v>
      </c>
      <c r="F176" s="9" t="s">
        <v>17</v>
      </c>
      <c r="G176" s="10">
        <v>1</v>
      </c>
      <c r="H176" s="11">
        <v>46131</v>
      </c>
      <c r="I176" s="12" t="s">
        <v>1126</v>
      </c>
      <c r="J176" s="13" t="s">
        <v>30</v>
      </c>
      <c r="K176" s="14" t="str">
        <f>HYPERLINK("http://mpro.prangroup.com:4000/CreativeWorks/Edit/30478","Open")</f>
        <v>Open</v>
      </c>
    </row>
    <row r="177" spans="1:11" ht="13.2">
      <c r="A177" s="4" t="s">
        <v>421</v>
      </c>
      <c r="B177" s="5" t="s">
        <v>101</v>
      </c>
      <c r="C177" s="6" t="s">
        <v>422</v>
      </c>
      <c r="D177" s="7" t="s">
        <v>1127</v>
      </c>
      <c r="E177" s="8" t="s">
        <v>16</v>
      </c>
      <c r="F177" s="9" t="s">
        <v>17</v>
      </c>
      <c r="G177" s="10">
        <v>1</v>
      </c>
      <c r="H177" s="11">
        <v>46134</v>
      </c>
      <c r="I177" s="12" t="s">
        <v>1128</v>
      </c>
      <c r="J177" s="13" t="s">
        <v>30</v>
      </c>
      <c r="K177" s="14" t="str">
        <f>HYPERLINK("http://mpro.prangroup.com:4000/CreativeWorks/Edit/30829","Open")</f>
        <v>Open</v>
      </c>
    </row>
    <row r="178" spans="1:11" ht="13.2">
      <c r="A178" s="4" t="s">
        <v>421</v>
      </c>
      <c r="B178" s="5" t="s">
        <v>101</v>
      </c>
      <c r="C178" s="6" t="s">
        <v>232</v>
      </c>
      <c r="D178" s="7" t="s">
        <v>1129</v>
      </c>
      <c r="E178" s="8" t="s">
        <v>16</v>
      </c>
      <c r="F178" s="9" t="s">
        <v>17</v>
      </c>
      <c r="G178" s="10">
        <v>8</v>
      </c>
      <c r="H178" s="11">
        <v>46138</v>
      </c>
      <c r="I178" s="12" t="s">
        <v>1130</v>
      </c>
      <c r="J178" s="13" t="s">
        <v>30</v>
      </c>
      <c r="K178" s="14" t="str">
        <f>HYPERLINK("http://mpro.prangroup.com:4000/CreativeWorks/Edit/31317","Open")</f>
        <v>Open</v>
      </c>
    </row>
    <row r="179" spans="1:11" ht="13.2">
      <c r="A179" s="4" t="s">
        <v>1131</v>
      </c>
      <c r="B179" s="5" t="s">
        <v>41</v>
      </c>
      <c r="C179" s="6" t="s">
        <v>245</v>
      </c>
      <c r="D179" s="7" t="s">
        <v>1132</v>
      </c>
      <c r="E179" s="8" t="s">
        <v>16</v>
      </c>
      <c r="F179" s="9" t="s">
        <v>17</v>
      </c>
      <c r="G179" s="10">
        <v>1</v>
      </c>
      <c r="H179" s="11">
        <v>46139</v>
      </c>
      <c r="I179" s="12" t="s">
        <v>1133</v>
      </c>
      <c r="J179" s="13" t="s">
        <v>30</v>
      </c>
      <c r="K179" s="14" t="str">
        <f>HYPERLINK("http://mpro.prangroup.com:4000/CreativeWorks/Edit/31412","Open")</f>
        <v>Open</v>
      </c>
    </row>
    <row r="180" spans="1:11" ht="13.2">
      <c r="A180" s="4" t="s">
        <v>1131</v>
      </c>
      <c r="B180" s="5" t="s">
        <v>41</v>
      </c>
      <c r="C180" s="6" t="s">
        <v>245</v>
      </c>
      <c r="D180" s="7" t="s">
        <v>1134</v>
      </c>
      <c r="E180" s="8" t="s">
        <v>16</v>
      </c>
      <c r="F180" s="9" t="s">
        <v>17</v>
      </c>
      <c r="G180" s="10">
        <v>1</v>
      </c>
      <c r="H180" s="11">
        <v>46139</v>
      </c>
      <c r="I180" s="12" t="s">
        <v>1135</v>
      </c>
      <c r="J180" s="13" t="s">
        <v>30</v>
      </c>
      <c r="K180" s="14" t="str">
        <f>HYPERLINK("http://mpro.prangroup.com:4000/CreativeWorks/Edit/31413","Open")</f>
        <v>Open</v>
      </c>
    </row>
    <row r="181" spans="1:11" ht="13.2">
      <c r="A181" s="4" t="s">
        <v>353</v>
      </c>
      <c r="B181" s="5" t="s">
        <v>60</v>
      </c>
      <c r="C181" s="6" t="s">
        <v>186</v>
      </c>
      <c r="D181" s="7" t="s">
        <v>1136</v>
      </c>
      <c r="E181" s="8" t="s">
        <v>242</v>
      </c>
      <c r="F181" s="9" t="s">
        <v>17</v>
      </c>
      <c r="G181" s="10">
        <v>4</v>
      </c>
      <c r="H181" s="11">
        <v>46139</v>
      </c>
      <c r="I181" s="12" t="s">
        <v>1137</v>
      </c>
      <c r="J181" s="13" t="s">
        <v>30</v>
      </c>
      <c r="K181" s="14" t="str">
        <f>HYPERLINK("http://mpro.prangroup.com:4000/CreativeWorks/Edit/31435","Open")</f>
        <v>Open</v>
      </c>
    </row>
    <row r="182" spans="1:11" ht="13.2">
      <c r="A182" s="4" t="s">
        <v>1138</v>
      </c>
      <c r="B182" s="5" t="s">
        <v>41</v>
      </c>
      <c r="C182" s="6" t="s">
        <v>1139</v>
      </c>
      <c r="D182" s="7" t="s">
        <v>1140</v>
      </c>
      <c r="E182" s="8" t="s">
        <v>242</v>
      </c>
      <c r="F182" s="9" t="s">
        <v>17</v>
      </c>
      <c r="G182" s="10">
        <v>6</v>
      </c>
      <c r="H182" s="11">
        <v>46140</v>
      </c>
      <c r="I182" s="12" t="s">
        <v>1141</v>
      </c>
      <c r="J182" s="13" t="s">
        <v>19</v>
      </c>
      <c r="K182" s="14" t="str">
        <f>HYPERLINK("http://mpro.prangroup.com:4000/CreativeWorks/Edit/31632","Open")</f>
        <v>Open</v>
      </c>
    </row>
    <row r="183" spans="1:11" ht="13.2">
      <c r="A183" s="4" t="s">
        <v>937</v>
      </c>
      <c r="B183" s="5" t="s">
        <v>109</v>
      </c>
      <c r="C183" s="6" t="s">
        <v>539</v>
      </c>
      <c r="D183" s="7" t="s">
        <v>1142</v>
      </c>
      <c r="E183" s="8" t="s">
        <v>88</v>
      </c>
      <c r="F183" s="9" t="s">
        <v>17</v>
      </c>
      <c r="G183" s="10">
        <v>1</v>
      </c>
      <c r="H183" s="11">
        <v>46141</v>
      </c>
      <c r="I183" s="12" t="s">
        <v>1143</v>
      </c>
      <c r="J183" s="13" t="s">
        <v>30</v>
      </c>
      <c r="K183" s="14" t="str">
        <f>HYPERLINK("http://mpro.prangroup.com:4000/CreativeWorks/Edit/31793","Open")</f>
        <v>Open</v>
      </c>
    </row>
    <row r="184" spans="1:11" ht="13.2">
      <c r="A184" s="4" t="s">
        <v>1138</v>
      </c>
      <c r="B184" s="5" t="s">
        <v>41</v>
      </c>
      <c r="C184" s="6" t="s">
        <v>1139</v>
      </c>
      <c r="D184" s="7" t="s">
        <v>1144</v>
      </c>
      <c r="E184" s="8" t="s">
        <v>16</v>
      </c>
      <c r="F184" s="9" t="s">
        <v>17</v>
      </c>
      <c r="G184" s="10">
        <v>1</v>
      </c>
      <c r="H184" s="11">
        <v>46141</v>
      </c>
      <c r="I184" s="12" t="s">
        <v>1145</v>
      </c>
      <c r="J184" s="13" t="s">
        <v>19</v>
      </c>
      <c r="K184" s="14" t="str">
        <f>HYPERLINK("http://mpro.prangroup.com:4000/CreativeWorks/Edit/31792","Open")</f>
        <v>Open</v>
      </c>
    </row>
    <row r="185" spans="1:11" ht="13.2">
      <c r="A185" s="4" t="s">
        <v>216</v>
      </c>
      <c r="B185" s="5" t="s">
        <v>217</v>
      </c>
      <c r="C185" s="6" t="s">
        <v>186</v>
      </c>
      <c r="D185" s="7" t="s">
        <v>1146</v>
      </c>
      <c r="E185" s="8" t="s">
        <v>16</v>
      </c>
      <c r="F185" s="9" t="s">
        <v>17</v>
      </c>
      <c r="G185" s="10">
        <v>2</v>
      </c>
      <c r="H185" s="11">
        <v>46144</v>
      </c>
      <c r="I185" s="12" t="s">
        <v>1147</v>
      </c>
      <c r="J185" s="13" t="s">
        <v>30</v>
      </c>
      <c r="K185" s="14" t="str">
        <f>HYPERLINK("http://mpro.prangroup.com:4000/CreativeWorks/Edit/32185","Open")</f>
        <v>Open</v>
      </c>
    </row>
    <row r="186" spans="1:11" ht="13.2">
      <c r="A186" s="4" t="s">
        <v>395</v>
      </c>
      <c r="B186" s="5" t="s">
        <v>185</v>
      </c>
      <c r="C186" s="6" t="s">
        <v>166</v>
      </c>
      <c r="D186" s="7" t="s">
        <v>510</v>
      </c>
      <c r="E186" s="8" t="s">
        <v>16</v>
      </c>
      <c r="F186" s="9" t="s">
        <v>17</v>
      </c>
      <c r="G186" s="10">
        <v>1</v>
      </c>
      <c r="H186" s="11">
        <v>46145</v>
      </c>
      <c r="I186" s="12" t="s">
        <v>511</v>
      </c>
      <c r="J186" s="13" t="s">
        <v>30</v>
      </c>
      <c r="K186" s="14" t="str">
        <f>HYPERLINK("http://mpro.prangroup.com:4000/CreativeWorks/Edit/32299","Open")</f>
        <v>Open</v>
      </c>
    </row>
    <row r="187" spans="1:11" ht="13.2">
      <c r="A187" s="4" t="s">
        <v>117</v>
      </c>
      <c r="B187" s="5" t="s">
        <v>32</v>
      </c>
      <c r="C187" s="6" t="s">
        <v>232</v>
      </c>
      <c r="D187" s="7" t="s">
        <v>1148</v>
      </c>
      <c r="E187" s="8" t="s">
        <v>242</v>
      </c>
      <c r="F187" s="9" t="s">
        <v>17</v>
      </c>
      <c r="G187" s="10">
        <v>5</v>
      </c>
      <c r="H187" s="11">
        <v>46145</v>
      </c>
      <c r="I187" s="12" t="s">
        <v>1149</v>
      </c>
      <c r="J187" s="13" t="s">
        <v>30</v>
      </c>
      <c r="K187" s="14" t="str">
        <f>HYPERLINK("http://mpro.prangroup.com:4000/CreativeWorks/Edit/32276","Open")</f>
        <v>Open</v>
      </c>
    </row>
    <row r="188" spans="1:11" ht="13.2">
      <c r="A188" s="4" t="s">
        <v>952</v>
      </c>
      <c r="B188" s="5" t="s">
        <v>197</v>
      </c>
      <c r="C188" s="6" t="s">
        <v>953</v>
      </c>
      <c r="D188" s="7" t="s">
        <v>1150</v>
      </c>
      <c r="E188" s="8" t="s">
        <v>57</v>
      </c>
      <c r="F188" s="9" t="s">
        <v>17</v>
      </c>
      <c r="G188" s="10">
        <v>1</v>
      </c>
      <c r="H188" s="11">
        <v>46146</v>
      </c>
      <c r="I188" s="12" t="s">
        <v>1151</v>
      </c>
      <c r="J188" s="13" t="s">
        <v>30</v>
      </c>
      <c r="K188" s="14" t="str">
        <f>HYPERLINK("http://mpro.prangroup.com:4000/CreativeWorks/Edit/32382","Open")</f>
        <v>Open</v>
      </c>
    </row>
    <row r="189" spans="1:11" ht="13.2">
      <c r="A189" s="4" t="s">
        <v>1152</v>
      </c>
      <c r="B189" s="5" t="s">
        <v>478</v>
      </c>
      <c r="C189" s="6" t="s">
        <v>1153</v>
      </c>
      <c r="D189" s="7" t="s">
        <v>1154</v>
      </c>
      <c r="E189" s="8" t="s">
        <v>16</v>
      </c>
      <c r="F189" s="9" t="s">
        <v>17</v>
      </c>
      <c r="G189" s="10">
        <v>4</v>
      </c>
      <c r="H189" s="11">
        <v>46148</v>
      </c>
      <c r="I189" s="12" t="s">
        <v>1155</v>
      </c>
      <c r="J189" s="13" t="s">
        <v>30</v>
      </c>
      <c r="K189" s="14" t="str">
        <f>HYPERLINK("http://mpro.prangroup.com:4000/CreativeWorks/Edit/32601","Open")</f>
        <v>Open</v>
      </c>
    </row>
    <row r="190" spans="1:11" ht="13.2">
      <c r="A190" s="4" t="s">
        <v>395</v>
      </c>
      <c r="B190" s="5" t="s">
        <v>185</v>
      </c>
      <c r="C190" s="6" t="s">
        <v>166</v>
      </c>
      <c r="D190" s="7" t="s">
        <v>1156</v>
      </c>
      <c r="E190" s="8" t="s">
        <v>242</v>
      </c>
      <c r="F190" s="9" t="s">
        <v>17</v>
      </c>
      <c r="G190" s="10">
        <v>2</v>
      </c>
      <c r="H190" s="11">
        <v>46148</v>
      </c>
      <c r="I190" s="12" t="s">
        <v>1157</v>
      </c>
      <c r="J190" s="13" t="s">
        <v>30</v>
      </c>
      <c r="K190" s="14" t="str">
        <f>HYPERLINK("http://mpro.prangroup.com:4000/CreativeWorks/Edit/32620","Open")</f>
        <v>Open</v>
      </c>
    </row>
    <row r="191" spans="1:11" ht="13.2">
      <c r="A191" s="4" t="s">
        <v>1158</v>
      </c>
      <c r="B191" s="5" t="s">
        <v>1159</v>
      </c>
      <c r="C191" s="6" t="s">
        <v>1160</v>
      </c>
      <c r="D191" s="7" t="s">
        <v>1161</v>
      </c>
      <c r="E191" s="8" t="s">
        <v>57</v>
      </c>
      <c r="F191" s="9" t="s">
        <v>17</v>
      </c>
      <c r="G191" s="10">
        <v>3</v>
      </c>
      <c r="H191" s="11">
        <v>46149</v>
      </c>
      <c r="I191" s="12" t="s">
        <v>1162</v>
      </c>
      <c r="J191" s="13" t="s">
        <v>30</v>
      </c>
      <c r="K191" s="14" t="str">
        <f>HYPERLINK("http://mpro.prangroup.com:4000/CreativeWorks/Edit/32677","Open")</f>
        <v>Open</v>
      </c>
    </row>
    <row r="192" spans="1:11" ht="13.2">
      <c r="A192" s="4" t="s">
        <v>1131</v>
      </c>
      <c r="B192" s="5" t="s">
        <v>41</v>
      </c>
      <c r="C192" s="6" t="s">
        <v>245</v>
      </c>
      <c r="D192" s="7" t="s">
        <v>1163</v>
      </c>
      <c r="E192" s="8" t="s">
        <v>16</v>
      </c>
      <c r="F192" s="9" t="s">
        <v>17</v>
      </c>
      <c r="G192" s="10">
        <v>1</v>
      </c>
      <c r="H192" s="11">
        <v>46151</v>
      </c>
      <c r="I192" s="12" t="s">
        <v>1164</v>
      </c>
      <c r="J192" s="13" t="s">
        <v>30</v>
      </c>
      <c r="K192" s="14" t="str">
        <f>HYPERLINK("http://mpro.prangroup.com:4000/CreativeWorks/Edit/32892","Open")</f>
        <v>Open</v>
      </c>
    </row>
    <row r="193" spans="1:11" ht="13.2">
      <c r="A193" s="4" t="s">
        <v>1131</v>
      </c>
      <c r="B193" s="5" t="s">
        <v>41</v>
      </c>
      <c r="C193" s="6" t="s">
        <v>245</v>
      </c>
      <c r="D193" s="7" t="s">
        <v>1165</v>
      </c>
      <c r="E193" s="8" t="s">
        <v>242</v>
      </c>
      <c r="F193" s="9" t="s">
        <v>17</v>
      </c>
      <c r="G193" s="10">
        <v>1</v>
      </c>
      <c r="H193" s="11">
        <v>46151</v>
      </c>
      <c r="I193" s="12" t="s">
        <v>1166</v>
      </c>
      <c r="J193" s="13" t="s">
        <v>30</v>
      </c>
      <c r="K193" s="14" t="str">
        <f>HYPERLINK("http://mpro.prangroup.com:4000/CreativeWorks/Edit/32895","Open")</f>
        <v>Open</v>
      </c>
    </row>
    <row r="194" spans="1:11" ht="13.2">
      <c r="A194" s="4" t="s">
        <v>292</v>
      </c>
      <c r="B194" s="5" t="s">
        <v>26</v>
      </c>
      <c r="C194" s="6" t="s">
        <v>579</v>
      </c>
      <c r="D194" s="7" t="s">
        <v>1167</v>
      </c>
      <c r="E194" s="8" t="s">
        <v>16</v>
      </c>
      <c r="F194" s="9" t="s">
        <v>17</v>
      </c>
      <c r="G194" s="10">
        <v>1</v>
      </c>
      <c r="H194" s="11">
        <v>46153</v>
      </c>
      <c r="I194" s="12" t="s">
        <v>1168</v>
      </c>
      <c r="J194" s="13" t="s">
        <v>30</v>
      </c>
      <c r="K194" s="14" t="str">
        <f>HYPERLINK("http://mpro.prangroup.com:4000/CreativeWorks/Edit/33106","Open")</f>
        <v>Open</v>
      </c>
    </row>
    <row r="195" spans="1:11" ht="13.2">
      <c r="A195" s="4" t="s">
        <v>1169</v>
      </c>
      <c r="B195" s="5" t="s">
        <v>153</v>
      </c>
      <c r="C195" s="6" t="s">
        <v>154</v>
      </c>
      <c r="D195" s="7" t="s">
        <v>1170</v>
      </c>
      <c r="E195" s="8" t="s">
        <v>57</v>
      </c>
      <c r="F195" s="9" t="s">
        <v>17</v>
      </c>
      <c r="G195" s="10">
        <v>1</v>
      </c>
      <c r="H195" s="11">
        <v>46153</v>
      </c>
      <c r="I195" s="12" t="s">
        <v>1171</v>
      </c>
      <c r="J195" s="13" t="s">
        <v>30</v>
      </c>
      <c r="K195" s="14" t="str">
        <f>HYPERLINK("http://mpro.prangroup.com:4000/CreativeWorks/Edit/33103","Open")</f>
        <v>Open</v>
      </c>
    </row>
    <row r="196" spans="1:11" ht="13.2">
      <c r="A196" s="4" t="s">
        <v>454</v>
      </c>
      <c r="B196" s="5" t="s">
        <v>32</v>
      </c>
      <c r="C196" s="6" t="s">
        <v>368</v>
      </c>
      <c r="D196" s="7" t="s">
        <v>1172</v>
      </c>
      <c r="E196" s="8" t="s">
        <v>88</v>
      </c>
      <c r="F196" s="9" t="s">
        <v>17</v>
      </c>
      <c r="G196" s="10">
        <v>1</v>
      </c>
      <c r="H196" s="11">
        <v>46156</v>
      </c>
      <c r="I196" s="12" t="s">
        <v>1173</v>
      </c>
      <c r="J196" s="13" t="s">
        <v>30</v>
      </c>
      <c r="K196" s="14" t="str">
        <f>HYPERLINK("http://mpro.prangroup.com:4000/CreativeWorks/Edit/33540","Open")</f>
        <v>Open</v>
      </c>
    </row>
    <row r="197" spans="1:11" ht="13.2">
      <c r="A197" s="4" t="s">
        <v>1152</v>
      </c>
      <c r="B197" s="5" t="s">
        <v>478</v>
      </c>
      <c r="C197" s="6" t="s">
        <v>1153</v>
      </c>
      <c r="D197" s="7" t="s">
        <v>1174</v>
      </c>
      <c r="E197" s="8" t="s">
        <v>16</v>
      </c>
      <c r="F197" s="9" t="s">
        <v>17</v>
      </c>
      <c r="G197" s="10">
        <v>4</v>
      </c>
      <c r="H197" s="11">
        <v>46156</v>
      </c>
      <c r="I197" s="12" t="s">
        <v>1175</v>
      </c>
      <c r="J197" s="13" t="s">
        <v>30</v>
      </c>
      <c r="K197" s="14" t="str">
        <f>HYPERLINK("http://mpro.prangroup.com:4000/CreativeWorks/Edit/33559","Open")</f>
        <v>Open</v>
      </c>
    </row>
    <row r="198" spans="1:11" ht="13.2">
      <c r="A198" s="4" t="s">
        <v>1152</v>
      </c>
      <c r="B198" s="5" t="s">
        <v>478</v>
      </c>
      <c r="C198" s="6" t="s">
        <v>1153</v>
      </c>
      <c r="D198" s="7" t="s">
        <v>1174</v>
      </c>
      <c r="E198" s="8" t="s">
        <v>16</v>
      </c>
      <c r="F198" s="9" t="s">
        <v>17</v>
      </c>
      <c r="G198" s="10">
        <v>1</v>
      </c>
      <c r="H198" s="11">
        <v>46156</v>
      </c>
      <c r="I198" s="12" t="s">
        <v>1176</v>
      </c>
      <c r="J198" s="13" t="s">
        <v>30</v>
      </c>
      <c r="K198" s="14" t="str">
        <f>HYPERLINK("http://mpro.prangroup.com:4000/CreativeWorks/Edit/33562","Open")</f>
        <v>Open</v>
      </c>
    </row>
    <row r="199" spans="1:11" ht="13.2">
      <c r="A199" s="4" t="s">
        <v>421</v>
      </c>
      <c r="B199" s="5" t="s">
        <v>101</v>
      </c>
      <c r="C199" s="6" t="s">
        <v>422</v>
      </c>
      <c r="D199" s="7" t="s">
        <v>1177</v>
      </c>
      <c r="E199" s="8" t="s">
        <v>16</v>
      </c>
      <c r="F199" s="9" t="s">
        <v>17</v>
      </c>
      <c r="G199" s="10">
        <v>1</v>
      </c>
      <c r="H199" s="11">
        <v>46156</v>
      </c>
      <c r="I199" s="12" t="s">
        <v>1178</v>
      </c>
      <c r="J199" s="13" t="s">
        <v>30</v>
      </c>
      <c r="K199" s="14" t="str">
        <f>HYPERLINK("http://mpro.prangroup.com:4000/CreativeWorks/Edit/33536","Open")</f>
        <v>Open</v>
      </c>
    </row>
    <row r="200" spans="1:11" ht="13.2">
      <c r="A200" s="4" t="s">
        <v>1179</v>
      </c>
      <c r="B200" s="5" t="s">
        <v>41</v>
      </c>
      <c r="C200" s="6" t="s">
        <v>603</v>
      </c>
      <c r="D200" s="7" t="s">
        <v>1180</v>
      </c>
      <c r="E200" s="8" t="s">
        <v>16</v>
      </c>
      <c r="F200" s="9" t="s">
        <v>17</v>
      </c>
      <c r="G200" s="10">
        <v>1</v>
      </c>
      <c r="H200" s="11">
        <v>46156</v>
      </c>
      <c r="I200" s="12" t="s">
        <v>1181</v>
      </c>
      <c r="J200" s="13" t="s">
        <v>30</v>
      </c>
      <c r="K200" s="14" t="str">
        <f>HYPERLINK("http://mpro.prangroup.com:4000/CreativeWorks/Edit/33548","Open")</f>
        <v>Open</v>
      </c>
    </row>
    <row r="201" spans="1:11" ht="13.2">
      <c r="A201" s="4" t="s">
        <v>235</v>
      </c>
      <c r="B201" s="5" t="s">
        <v>101</v>
      </c>
      <c r="C201" s="6" t="s">
        <v>828</v>
      </c>
      <c r="D201" s="7" t="s">
        <v>1182</v>
      </c>
      <c r="E201" s="8" t="s">
        <v>242</v>
      </c>
      <c r="F201" s="9" t="s">
        <v>17</v>
      </c>
      <c r="G201" s="10">
        <v>1</v>
      </c>
      <c r="H201" s="11">
        <v>46156</v>
      </c>
      <c r="I201" s="12" t="s">
        <v>1183</v>
      </c>
      <c r="J201" s="13" t="s">
        <v>30</v>
      </c>
      <c r="K201" s="14" t="str">
        <f>HYPERLINK("http://mpro.prangroup.com:4000/CreativeWorks/Edit/33538","Open")</f>
        <v>Open</v>
      </c>
    </row>
    <row r="202" spans="1:11" ht="13.2">
      <c r="A202" s="4" t="s">
        <v>105</v>
      </c>
      <c r="B202" s="5" t="s">
        <v>60</v>
      </c>
      <c r="C202" s="6" t="s">
        <v>78</v>
      </c>
      <c r="D202" s="7" t="s">
        <v>1184</v>
      </c>
      <c r="E202" s="8" t="s">
        <v>16</v>
      </c>
      <c r="F202" s="9" t="s">
        <v>17</v>
      </c>
      <c r="G202" s="10">
        <v>1</v>
      </c>
      <c r="H202" s="11">
        <v>46156</v>
      </c>
      <c r="I202" s="12" t="s">
        <v>1185</v>
      </c>
      <c r="J202" s="13" t="s">
        <v>30</v>
      </c>
      <c r="K202" s="14" t="str">
        <f>HYPERLINK("http://mpro.prangroup.com:4000/CreativeWorks/Edit/33533","Open")</f>
        <v>Open</v>
      </c>
    </row>
    <row r="203" spans="1:11" ht="13.2">
      <c r="A203" s="4" t="s">
        <v>90</v>
      </c>
      <c r="B203" s="5" t="s">
        <v>32</v>
      </c>
      <c r="C203" s="6" t="s">
        <v>186</v>
      </c>
      <c r="D203" s="7" t="s">
        <v>1186</v>
      </c>
      <c r="E203" s="8" t="s">
        <v>242</v>
      </c>
      <c r="F203" s="9" t="s">
        <v>17</v>
      </c>
      <c r="G203" s="10">
        <v>1</v>
      </c>
      <c r="H203" s="11">
        <v>46156</v>
      </c>
      <c r="I203" s="12" t="s">
        <v>1187</v>
      </c>
      <c r="J203" s="13" t="s">
        <v>30</v>
      </c>
      <c r="K203" s="14" t="str">
        <f>HYPERLINK("http://mpro.prangroup.com:4000/CreativeWorks/Edit/33554","Open")</f>
        <v>Open</v>
      </c>
    </row>
    <row r="204" spans="1:11" ht="13.2">
      <c r="A204" s="4" t="s">
        <v>1188</v>
      </c>
      <c r="B204" s="5" t="s">
        <v>109</v>
      </c>
      <c r="C204" s="6" t="s">
        <v>232</v>
      </c>
      <c r="D204" s="7" t="s">
        <v>1189</v>
      </c>
      <c r="E204" s="8" t="s">
        <v>88</v>
      </c>
      <c r="F204" s="9" t="s">
        <v>17</v>
      </c>
      <c r="G204" s="10">
        <v>1</v>
      </c>
      <c r="H204" s="11">
        <v>46158</v>
      </c>
      <c r="I204" s="12" t="s">
        <v>1190</v>
      </c>
      <c r="J204" s="13" t="s">
        <v>30</v>
      </c>
      <c r="K204" s="14" t="str">
        <f>HYPERLINK("http://mpro.prangroup.com:4000/CreativeWorks/Edit/33633","Open")</f>
        <v>Open</v>
      </c>
    </row>
    <row r="205" spans="1:11" ht="13.2">
      <c r="A205" s="4" t="s">
        <v>216</v>
      </c>
      <c r="B205" s="5" t="s">
        <v>217</v>
      </c>
      <c r="C205" s="6" t="s">
        <v>186</v>
      </c>
      <c r="D205" s="7" t="s">
        <v>1191</v>
      </c>
      <c r="E205" s="8" t="s">
        <v>16</v>
      </c>
      <c r="F205" s="9" t="s">
        <v>17</v>
      </c>
      <c r="G205" s="10">
        <v>2</v>
      </c>
      <c r="H205" s="11">
        <v>46159</v>
      </c>
      <c r="I205" s="12" t="s">
        <v>1192</v>
      </c>
      <c r="J205" s="13" t="s">
        <v>30</v>
      </c>
      <c r="K205" s="14" t="str">
        <f>HYPERLINK("http://mpro.prangroup.com:4000/CreativeWorks/Edit/33737","Open")</f>
        <v>Open</v>
      </c>
    </row>
    <row r="206" spans="1:11" ht="13.2">
      <c r="A206" s="4" t="s">
        <v>545</v>
      </c>
      <c r="B206" s="5" t="s">
        <v>545</v>
      </c>
      <c r="C206" s="6" t="s">
        <v>546</v>
      </c>
      <c r="D206" s="7" t="s">
        <v>1193</v>
      </c>
      <c r="E206" s="8" t="s">
        <v>88</v>
      </c>
      <c r="F206" s="9" t="s">
        <v>17</v>
      </c>
      <c r="G206" s="10">
        <v>1</v>
      </c>
      <c r="H206" s="11">
        <v>46160</v>
      </c>
      <c r="I206" s="12" t="s">
        <v>1194</v>
      </c>
      <c r="J206" s="13" t="s">
        <v>30</v>
      </c>
      <c r="K206" s="14" t="str">
        <f>HYPERLINK("http://mpro.prangroup.com:4000/CreativeWorks/Edit/33890","Open")</f>
        <v>Open</v>
      </c>
    </row>
    <row r="207" spans="1:11" ht="13.2">
      <c r="A207" s="4" t="s">
        <v>415</v>
      </c>
      <c r="B207" s="5" t="s">
        <v>178</v>
      </c>
      <c r="C207" s="6" t="s">
        <v>416</v>
      </c>
      <c r="D207" s="7" t="s">
        <v>1195</v>
      </c>
      <c r="E207" s="8" t="s">
        <v>16</v>
      </c>
      <c r="F207" s="9" t="s">
        <v>17</v>
      </c>
      <c r="G207" s="10">
        <v>1</v>
      </c>
      <c r="H207" s="11">
        <v>46160</v>
      </c>
      <c r="I207" s="12" t="s">
        <v>1196</v>
      </c>
      <c r="J207" s="13" t="s">
        <v>30</v>
      </c>
      <c r="K207" s="14" t="str">
        <f>HYPERLINK("http://mpro.prangroup.com:4000/CreativeWorks/Edit/33880","Open")</f>
        <v>Open</v>
      </c>
    </row>
    <row r="208" spans="1:11" ht="13.2">
      <c r="A208" s="4" t="s">
        <v>353</v>
      </c>
      <c r="B208" s="5" t="s">
        <v>60</v>
      </c>
      <c r="C208" s="6" t="s">
        <v>228</v>
      </c>
      <c r="D208" s="7" t="s">
        <v>1197</v>
      </c>
      <c r="E208" s="8" t="s">
        <v>88</v>
      </c>
      <c r="F208" s="9" t="s">
        <v>17</v>
      </c>
      <c r="G208" s="10">
        <v>2</v>
      </c>
      <c r="H208" s="11">
        <v>46162</v>
      </c>
      <c r="I208" s="12" t="s">
        <v>1198</v>
      </c>
      <c r="J208" s="13" t="s">
        <v>30</v>
      </c>
      <c r="K208" s="14" t="str">
        <f>HYPERLINK("http://mpro.prangroup.com:4000/CreativeWorks/Edit/34155","Open")</f>
        <v>Open</v>
      </c>
    </row>
    <row r="209" spans="1:11" ht="13.2">
      <c r="A209" s="4" t="s">
        <v>94</v>
      </c>
      <c r="B209" s="5" t="s">
        <v>41</v>
      </c>
      <c r="C209" s="6" t="s">
        <v>232</v>
      </c>
      <c r="D209" s="7" t="s">
        <v>1199</v>
      </c>
      <c r="E209" s="8" t="s">
        <v>88</v>
      </c>
      <c r="F209" s="9" t="s">
        <v>17</v>
      </c>
      <c r="G209" s="10">
        <v>3</v>
      </c>
      <c r="H209" s="11">
        <v>46162</v>
      </c>
      <c r="I209" s="12" t="s">
        <v>1200</v>
      </c>
      <c r="J209" s="13" t="s">
        <v>30</v>
      </c>
      <c r="K209" s="14" t="str">
        <f>HYPERLINK("http://mpro.prangroup.com:4000/CreativeWorks/Edit/34263","Open")</f>
        <v>Open</v>
      </c>
    </row>
    <row r="210" spans="1:11" ht="13.2">
      <c r="A210" s="4" t="s">
        <v>202</v>
      </c>
      <c r="B210" s="5" t="s">
        <v>202</v>
      </c>
      <c r="C210" s="6" t="s">
        <v>203</v>
      </c>
      <c r="D210" s="7" t="s">
        <v>1201</v>
      </c>
      <c r="E210" s="8" t="s">
        <v>242</v>
      </c>
      <c r="F210" s="9" t="s">
        <v>17</v>
      </c>
      <c r="G210" s="10">
        <v>1</v>
      </c>
      <c r="H210" s="11">
        <v>46164</v>
      </c>
      <c r="I210" s="12" t="s">
        <v>1202</v>
      </c>
      <c r="J210" s="13" t="s">
        <v>30</v>
      </c>
      <c r="K210" s="14" t="str">
        <f>HYPERLINK("http://mpro.prangroup.com:4000/CreativeWorks/Edit/34508","Open")</f>
        <v>Open</v>
      </c>
    </row>
    <row r="211" spans="1:11" ht="13.2">
      <c r="A211" s="4" t="s">
        <v>558</v>
      </c>
      <c r="B211" s="5" t="s">
        <v>282</v>
      </c>
      <c r="C211" s="6" t="s">
        <v>486</v>
      </c>
      <c r="D211" s="7" t="s">
        <v>1203</v>
      </c>
      <c r="E211" s="8" t="s">
        <v>88</v>
      </c>
      <c r="F211" s="9" t="s">
        <v>17</v>
      </c>
      <c r="G211" s="10">
        <v>5</v>
      </c>
      <c r="H211" s="11">
        <v>46164</v>
      </c>
      <c r="I211" s="12" t="s">
        <v>1204</v>
      </c>
      <c r="J211" s="13" t="s">
        <v>30</v>
      </c>
      <c r="K211" s="14" t="str">
        <f>HYPERLINK("http://mpro.prangroup.com:4000/CreativeWorks/Edit/34482","Open")</f>
        <v>Open</v>
      </c>
    </row>
    <row r="212" spans="1:11" ht="13.2">
      <c r="A212" s="4" t="s">
        <v>549</v>
      </c>
      <c r="B212" s="5" t="s">
        <v>178</v>
      </c>
      <c r="C212" s="6" t="s">
        <v>275</v>
      </c>
      <c r="D212" s="7" t="s">
        <v>572</v>
      </c>
      <c r="E212" s="8" t="s">
        <v>16</v>
      </c>
      <c r="F212" s="9" t="s">
        <v>17</v>
      </c>
      <c r="G212" s="10">
        <v>3</v>
      </c>
      <c r="H212" s="11">
        <v>46165</v>
      </c>
      <c r="I212" s="12" t="s">
        <v>573</v>
      </c>
      <c r="J212" s="13" t="s">
        <v>30</v>
      </c>
      <c r="K212" s="14" t="str">
        <f>HYPERLINK("http://mpro.prangroup.com:4000/CreativeWorks/Edit/34671","Open")</f>
        <v>Open</v>
      </c>
    </row>
    <row r="213" spans="1:11" ht="13.2">
      <c r="A213" s="4" t="s">
        <v>1205</v>
      </c>
      <c r="B213" s="5" t="s">
        <v>153</v>
      </c>
      <c r="C213" s="6" t="s">
        <v>527</v>
      </c>
      <c r="D213" s="7" t="s">
        <v>1206</v>
      </c>
      <c r="E213" s="8" t="s">
        <v>16</v>
      </c>
      <c r="F213" s="9" t="s">
        <v>17</v>
      </c>
      <c r="G213" s="10">
        <v>1</v>
      </c>
      <c r="H213" s="11">
        <v>46166</v>
      </c>
      <c r="I213" s="12" t="s">
        <v>1207</v>
      </c>
      <c r="J213" s="13" t="s">
        <v>30</v>
      </c>
      <c r="K213" s="14" t="str">
        <f>HYPERLINK("http://mpro.prangroup.com:4000/CreativeWorks/Edit/34989","Open")</f>
        <v>Open</v>
      </c>
    </row>
    <row r="214" spans="1:11" ht="13.2">
      <c r="A214" s="4" t="s">
        <v>1208</v>
      </c>
      <c r="B214" s="5" t="s">
        <v>478</v>
      </c>
      <c r="C214" s="6" t="s">
        <v>1153</v>
      </c>
      <c r="D214" s="7" t="s">
        <v>1209</v>
      </c>
      <c r="E214" s="8" t="s">
        <v>16</v>
      </c>
      <c r="F214" s="9" t="s">
        <v>17</v>
      </c>
      <c r="G214" s="10">
        <v>1</v>
      </c>
      <c r="H214" s="11">
        <v>46166</v>
      </c>
      <c r="I214" s="12" t="s">
        <v>1210</v>
      </c>
      <c r="J214" s="13" t="s">
        <v>30</v>
      </c>
      <c r="K214" s="14" t="str">
        <f>HYPERLINK("http://mpro.prangroup.com:4000/CreativeWorks/Edit/34911","Open")</f>
        <v>Open</v>
      </c>
    </row>
    <row r="215" spans="1:11" ht="13.2">
      <c r="A215" s="4" t="s">
        <v>1211</v>
      </c>
      <c r="B215" s="5" t="s">
        <v>144</v>
      </c>
      <c r="C215" s="6" t="s">
        <v>1075</v>
      </c>
      <c r="D215" s="7" t="s">
        <v>1212</v>
      </c>
      <c r="E215" s="8" t="s">
        <v>141</v>
      </c>
      <c r="F215" s="9" t="s">
        <v>17</v>
      </c>
      <c r="G215" s="10">
        <v>1</v>
      </c>
      <c r="H215" s="11">
        <v>46166</v>
      </c>
      <c r="I215" s="12" t="s">
        <v>1213</v>
      </c>
      <c r="J215" s="13" t="s">
        <v>30</v>
      </c>
      <c r="K215" s="14" t="str">
        <f>HYPERLINK("http://mpro.prangroup.com:4000/CreativeWorks/Edit/35006","Open")</f>
        <v>Open</v>
      </c>
    </row>
    <row r="216" spans="1:11" ht="13.2">
      <c r="A216" s="4" t="s">
        <v>1169</v>
      </c>
      <c r="B216" s="5" t="s">
        <v>153</v>
      </c>
      <c r="C216" s="6" t="s">
        <v>154</v>
      </c>
      <c r="D216" s="7" t="s">
        <v>1214</v>
      </c>
      <c r="E216" s="8" t="s">
        <v>242</v>
      </c>
      <c r="F216" s="9" t="s">
        <v>17</v>
      </c>
      <c r="G216" s="10">
        <v>1</v>
      </c>
      <c r="H216" s="11">
        <v>46167</v>
      </c>
      <c r="I216" s="12" t="s">
        <v>1215</v>
      </c>
      <c r="J216" s="13" t="s">
        <v>30</v>
      </c>
      <c r="K216" s="14" t="str">
        <f>HYPERLINK("http://mpro.prangroup.com:4000/CreativeWorks/Edit/35102","Open")</f>
        <v>Open</v>
      </c>
    </row>
    <row r="217" spans="1:11" ht="13.2">
      <c r="A217" s="4" t="s">
        <v>292</v>
      </c>
      <c r="B217" s="5" t="s">
        <v>26</v>
      </c>
      <c r="C217" s="6" t="s">
        <v>579</v>
      </c>
      <c r="D217" s="7" t="s">
        <v>1216</v>
      </c>
      <c r="E217" s="8" t="s">
        <v>88</v>
      </c>
      <c r="F217" s="9" t="s">
        <v>17</v>
      </c>
      <c r="G217" s="10">
        <v>1</v>
      </c>
      <c r="H217" s="11">
        <v>46174</v>
      </c>
      <c r="I217" s="12" t="s">
        <v>1217</v>
      </c>
      <c r="J217" s="13" t="s">
        <v>30</v>
      </c>
      <c r="K217" s="14" t="str">
        <f>HYPERLINK("http://mpro.prangroup.com:4000/CreativeWorks/Edit/35275","Open")</f>
        <v>Open</v>
      </c>
    </row>
    <row r="218" spans="1:11" ht="13.8">
      <c r="A218" s="4" t="s">
        <v>1218</v>
      </c>
      <c r="B218" s="5" t="s">
        <v>13</v>
      </c>
      <c r="C218" s="29" t="s">
        <v>1219</v>
      </c>
      <c r="D218" s="30" t="s">
        <v>1220</v>
      </c>
      <c r="E218" s="8" t="s">
        <v>141</v>
      </c>
      <c r="F218" s="9" t="s">
        <v>17</v>
      </c>
      <c r="G218" s="10">
        <v>3</v>
      </c>
      <c r="H218" s="11">
        <v>46176</v>
      </c>
      <c r="I218" s="31" t="s">
        <v>1221</v>
      </c>
      <c r="J218" s="13" t="s">
        <v>30</v>
      </c>
      <c r="K218" s="14" t="str">
        <f>HYPERLINK("http://mpro.prangroup.com:4000/CreativeWorks/Edit/35453","Open")</f>
        <v>Open</v>
      </c>
    </row>
    <row r="219" spans="1:11" ht="13.2">
      <c r="A219" s="4" t="s">
        <v>1222</v>
      </c>
      <c r="B219" s="5" t="s">
        <v>26</v>
      </c>
      <c r="C219" s="6" t="s">
        <v>1223</v>
      </c>
      <c r="D219" s="17" t="s">
        <v>1224</v>
      </c>
      <c r="E219" s="8" t="s">
        <v>16</v>
      </c>
      <c r="F219" s="9" t="s">
        <v>17</v>
      </c>
      <c r="G219" s="10">
        <v>1</v>
      </c>
      <c r="H219" s="11">
        <v>46176</v>
      </c>
      <c r="I219" s="17" t="s">
        <v>1225</v>
      </c>
      <c r="J219" s="13" t="s">
        <v>30</v>
      </c>
      <c r="K219" s="14" t="str">
        <f>HYPERLINK("http://mpro.prangroup.com:4000/CreativeWorks/Edit/35461","Open")</f>
        <v>Open</v>
      </c>
    </row>
    <row r="220" spans="1:11" ht="13.2">
      <c r="A220" s="4" t="s">
        <v>1226</v>
      </c>
      <c r="B220" s="5" t="s">
        <v>60</v>
      </c>
      <c r="C220" s="6" t="s">
        <v>275</v>
      </c>
      <c r="D220" s="17" t="s">
        <v>1227</v>
      </c>
      <c r="E220" s="8" t="s">
        <v>16</v>
      </c>
      <c r="F220" s="9" t="s">
        <v>17</v>
      </c>
      <c r="G220" s="10">
        <v>2</v>
      </c>
      <c r="H220" s="11">
        <v>46176</v>
      </c>
      <c r="I220" s="17" t="s">
        <v>1228</v>
      </c>
      <c r="J220" s="13" t="s">
        <v>30</v>
      </c>
      <c r="K220" s="14" t="str">
        <f>HYPERLINK("http://mpro.prangroup.com:4000/CreativeWorks/Edit/35476","Open")</f>
        <v>Open</v>
      </c>
    </row>
    <row r="221" spans="1:11" ht="13.2">
      <c r="A221" s="4" t="s">
        <v>1229</v>
      </c>
      <c r="B221" s="5" t="s">
        <v>1230</v>
      </c>
      <c r="C221" s="6" t="s">
        <v>198</v>
      </c>
      <c r="D221" s="17" t="s">
        <v>1231</v>
      </c>
      <c r="E221" s="8" t="s">
        <v>88</v>
      </c>
      <c r="F221" s="9" t="s">
        <v>17</v>
      </c>
      <c r="G221" s="10">
        <v>1</v>
      </c>
      <c r="H221" s="11">
        <v>46177</v>
      </c>
      <c r="I221" s="17" t="s">
        <v>1232</v>
      </c>
      <c r="J221" s="13" t="s">
        <v>30</v>
      </c>
      <c r="K221" s="14" t="str">
        <f>HYPERLINK("http://mpro.prangroup.com:4000/CreativeWorks/Edit/35540","Open")</f>
        <v>Open</v>
      </c>
    </row>
    <row r="222" spans="1:11" ht="13.2">
      <c r="A222" s="4" t="s">
        <v>1233</v>
      </c>
      <c r="B222" s="5" t="s">
        <v>32</v>
      </c>
      <c r="C222" s="6" t="s">
        <v>232</v>
      </c>
      <c r="D222" s="17" t="s">
        <v>1234</v>
      </c>
      <c r="E222" s="8" t="s">
        <v>88</v>
      </c>
      <c r="F222" s="9" t="s">
        <v>17</v>
      </c>
      <c r="G222" s="10">
        <v>3</v>
      </c>
      <c r="H222" s="11">
        <v>46177</v>
      </c>
      <c r="I222" s="17" t="s">
        <v>1235</v>
      </c>
      <c r="J222" s="13" t="s">
        <v>30</v>
      </c>
      <c r="K222" s="14" t="str">
        <f>HYPERLINK("http://mpro.prangroup.com:4000/CreativeWorks/Edit/35560","Open")</f>
        <v>Open</v>
      </c>
    </row>
    <row r="223" spans="1:11" ht="13.2">
      <c r="A223" s="4" t="s">
        <v>1236</v>
      </c>
      <c r="B223" s="5" t="s">
        <v>478</v>
      </c>
      <c r="C223" s="6" t="s">
        <v>1124</v>
      </c>
      <c r="D223" s="17" t="s">
        <v>1237</v>
      </c>
      <c r="E223" s="8" t="s">
        <v>141</v>
      </c>
      <c r="F223" s="9" t="s">
        <v>17</v>
      </c>
      <c r="G223" s="10">
        <v>1</v>
      </c>
      <c r="H223" s="11">
        <v>46180</v>
      </c>
      <c r="I223" s="17" t="s">
        <v>1238</v>
      </c>
      <c r="J223" s="13" t="s">
        <v>30</v>
      </c>
      <c r="K223" s="14" t="str">
        <f>HYPERLINK("http://mpro.prangroup.com:4000/CreativeWorks/Edit/35808","Open")</f>
        <v>Open</v>
      </c>
    </row>
    <row r="224" spans="1:11" ht="13.2">
      <c r="A224" s="4" t="s">
        <v>1239</v>
      </c>
      <c r="B224" s="5" t="s">
        <v>41</v>
      </c>
      <c r="C224" s="6" t="s">
        <v>275</v>
      </c>
      <c r="D224" s="17" t="s">
        <v>1240</v>
      </c>
      <c r="E224" s="8" t="s">
        <v>242</v>
      </c>
      <c r="F224" s="9" t="s">
        <v>17</v>
      </c>
      <c r="G224" s="10">
        <v>1</v>
      </c>
      <c r="H224" s="11">
        <v>46180</v>
      </c>
      <c r="I224" s="17" t="s">
        <v>1241</v>
      </c>
      <c r="J224" s="13" t="s">
        <v>30</v>
      </c>
      <c r="K224" s="14" t="str">
        <f>HYPERLINK("http://mpro.prangroup.com:4000/CreativeWorks/Edit/35832","Open")</f>
        <v>Open</v>
      </c>
    </row>
    <row r="225" spans="1:26" ht="13.8">
      <c r="A225" s="4" t="s">
        <v>1242</v>
      </c>
      <c r="B225" s="5" t="s">
        <v>1243</v>
      </c>
      <c r="C225" s="32" t="s">
        <v>1244</v>
      </c>
      <c r="D225" s="17" t="s">
        <v>1245</v>
      </c>
      <c r="E225" s="8" t="s">
        <v>141</v>
      </c>
      <c r="F225" s="9" t="s">
        <v>17</v>
      </c>
      <c r="G225" s="10">
        <v>1</v>
      </c>
      <c r="H225" s="11">
        <v>46180</v>
      </c>
      <c r="I225" s="17" t="s">
        <v>1246</v>
      </c>
      <c r="J225" s="13" t="s">
        <v>30</v>
      </c>
      <c r="K225" s="14" t="str">
        <f>HYPERLINK("http://mpro.prangroup.com:4000/CreativeWorks/Edit/35843","Open")</f>
        <v>Open</v>
      </c>
    </row>
    <row r="226" spans="1:26" ht="13.2">
      <c r="A226" s="33" t="s">
        <v>1239</v>
      </c>
      <c r="B226" s="33" t="s">
        <v>41</v>
      </c>
      <c r="C226" s="33" t="s">
        <v>275</v>
      </c>
      <c r="D226" s="34" t="s">
        <v>1240</v>
      </c>
      <c r="E226" s="33" t="s">
        <v>242</v>
      </c>
      <c r="F226" s="33" t="s">
        <v>457</v>
      </c>
      <c r="G226" s="35">
        <v>1</v>
      </c>
      <c r="H226" s="36">
        <v>46181</v>
      </c>
      <c r="I226" s="34" t="s">
        <v>1247</v>
      </c>
      <c r="J226" s="33" t="s">
        <v>19</v>
      </c>
      <c r="K226" s="37" t="str">
        <f>HYPERLINK("http://mpro.prangroup.com:4000/CreativeWorks/Edit/35960","Open")</f>
        <v>Open</v>
      </c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3.2">
      <c r="A227" s="33" t="s">
        <v>1229</v>
      </c>
      <c r="B227" s="33" t="s">
        <v>1230</v>
      </c>
      <c r="C227" s="33" t="s">
        <v>198</v>
      </c>
      <c r="D227" s="34" t="s">
        <v>1231</v>
      </c>
      <c r="E227" s="33" t="s">
        <v>88</v>
      </c>
      <c r="F227" s="33" t="s">
        <v>457</v>
      </c>
      <c r="G227" s="35">
        <v>1</v>
      </c>
      <c r="H227" s="36">
        <v>46181</v>
      </c>
      <c r="I227" s="34" t="s">
        <v>1248</v>
      </c>
      <c r="J227" s="33" t="s">
        <v>19</v>
      </c>
      <c r="K227" s="37" t="str">
        <f>HYPERLINK("http://mpro.prangroup.com:4000/CreativeWorks/Edit/35962","Open")</f>
        <v>Open</v>
      </c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3.2">
      <c r="A228" s="33" t="s">
        <v>558</v>
      </c>
      <c r="B228" s="33" t="s">
        <v>282</v>
      </c>
      <c r="C228" s="33" t="s">
        <v>486</v>
      </c>
      <c r="D228" s="33" t="s">
        <v>1203</v>
      </c>
      <c r="E228" s="33" t="s">
        <v>88</v>
      </c>
      <c r="F228" s="33" t="s">
        <v>457</v>
      </c>
      <c r="G228" s="35">
        <v>5</v>
      </c>
      <c r="H228" s="36">
        <v>46150</v>
      </c>
      <c r="I228" s="34" t="s">
        <v>1249</v>
      </c>
      <c r="J228" s="33" t="s">
        <v>19</v>
      </c>
      <c r="K228" s="37" t="str">
        <f>HYPERLINK("http://mpro.prangroup.com:4000/CreativeWorks/Edit/35964","Open")</f>
        <v>Open</v>
      </c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3.2">
      <c r="A229" s="33" t="s">
        <v>235</v>
      </c>
      <c r="B229" s="33" t="s">
        <v>101</v>
      </c>
      <c r="C229" s="33" t="s">
        <v>232</v>
      </c>
      <c r="D229" s="33" t="s">
        <v>1096</v>
      </c>
      <c r="E229" s="33" t="s">
        <v>88</v>
      </c>
      <c r="F229" s="33" t="s">
        <v>457</v>
      </c>
      <c r="G229" s="35">
        <v>2</v>
      </c>
      <c r="H229" s="36">
        <v>46181</v>
      </c>
      <c r="I229" s="34" t="s">
        <v>1250</v>
      </c>
      <c r="J229" s="33" t="s">
        <v>19</v>
      </c>
      <c r="K229" s="37" t="str">
        <f>HYPERLINK("http://mpro.prangroup.com:4000/CreativeWorks/Edit/35967","Open")</f>
        <v>Open</v>
      </c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3.8">
      <c r="A230" s="3" t="s">
        <v>1251</v>
      </c>
      <c r="B230" s="5" t="s">
        <v>32</v>
      </c>
      <c r="C230" s="6" t="s">
        <v>166</v>
      </c>
      <c r="D230" s="39" t="s">
        <v>1252</v>
      </c>
      <c r="E230" s="8" t="s">
        <v>16</v>
      </c>
      <c r="F230" s="9" t="s">
        <v>17</v>
      </c>
      <c r="G230" s="10">
        <v>2</v>
      </c>
      <c r="H230" s="11">
        <v>46160</v>
      </c>
      <c r="I230" s="32" t="s">
        <v>1253</v>
      </c>
      <c r="J230" s="13" t="s">
        <v>19</v>
      </c>
      <c r="K230" s="14" t="str">
        <f>HYPERLINK("http://mpro.prangroup.com:4000/CreativeWorks/Edit/33863","Open")</f>
        <v>Open</v>
      </c>
    </row>
    <row r="231" spans="1:26" ht="13.8">
      <c r="A231" s="4" t="s">
        <v>1254</v>
      </c>
      <c r="B231" s="5" t="s">
        <v>41</v>
      </c>
      <c r="C231" s="6" t="s">
        <v>245</v>
      </c>
      <c r="D231" s="32" t="s">
        <v>1165</v>
      </c>
      <c r="E231" s="8" t="s">
        <v>242</v>
      </c>
      <c r="F231" s="9" t="s">
        <v>17</v>
      </c>
      <c r="G231" s="10">
        <v>1</v>
      </c>
      <c r="H231" s="11">
        <v>46183</v>
      </c>
      <c r="I231" s="17" t="s">
        <v>1255</v>
      </c>
      <c r="J231" s="13" t="s">
        <v>19</v>
      </c>
      <c r="K231" s="14" t="str">
        <f>HYPERLINK("http://mpro.prangroup.com:4000/CreativeWorks/Edit/36226","Open")</f>
        <v>Open</v>
      </c>
    </row>
    <row r="232" spans="1:26" ht="13.2">
      <c r="A232" s="4" t="s">
        <v>1256</v>
      </c>
      <c r="B232" s="5" t="s">
        <v>41</v>
      </c>
      <c r="C232" s="6" t="s">
        <v>438</v>
      </c>
      <c r="D232" s="17" t="s">
        <v>1257</v>
      </c>
      <c r="E232" s="8" t="s">
        <v>16</v>
      </c>
      <c r="F232" s="9" t="s">
        <v>17</v>
      </c>
      <c r="G232" s="10">
        <v>6</v>
      </c>
      <c r="H232" s="11">
        <v>46183</v>
      </c>
      <c r="I232" s="17" t="s">
        <v>1258</v>
      </c>
      <c r="J232" s="13" t="s">
        <v>30</v>
      </c>
      <c r="K232" s="14" t="str">
        <f>HYPERLINK("http://mpro.prangroup.com:4000/CreativeWorks/Edit/36247","Open")</f>
        <v>Open</v>
      </c>
    </row>
    <row r="233" spans="1:26" ht="13.2">
      <c r="A233" s="17" t="s">
        <v>477</v>
      </c>
      <c r="B233" s="5" t="s">
        <v>478</v>
      </c>
      <c r="C233" s="6" t="s">
        <v>1259</v>
      </c>
      <c r="D233" s="17" t="s">
        <v>1260</v>
      </c>
      <c r="E233" s="8" t="s">
        <v>16</v>
      </c>
      <c r="F233" s="9" t="s">
        <v>17</v>
      </c>
      <c r="G233" s="10">
        <v>6</v>
      </c>
      <c r="H233" s="11">
        <v>46190</v>
      </c>
      <c r="I233" s="17" t="s">
        <v>1261</v>
      </c>
      <c r="J233" s="13" t="s">
        <v>30</v>
      </c>
      <c r="K233" s="14" t="str">
        <f>HYPERLINK("http://mpro.prangroup.com:4000/CreativeWorks/Edit/36905","Open")</f>
        <v>Open</v>
      </c>
    </row>
    <row r="234" spans="1:26" ht="13.2">
      <c r="A234" s="17" t="s">
        <v>85</v>
      </c>
      <c r="B234" s="5" t="s">
        <v>32</v>
      </c>
      <c r="C234" s="6" t="s">
        <v>689</v>
      </c>
      <c r="D234" s="17" t="s">
        <v>1262</v>
      </c>
      <c r="E234" s="8" t="s">
        <v>16</v>
      </c>
      <c r="F234" s="9" t="s">
        <v>17</v>
      </c>
      <c r="G234" s="10">
        <v>1</v>
      </c>
      <c r="H234" s="11">
        <v>46184</v>
      </c>
      <c r="I234" s="17" t="s">
        <v>1263</v>
      </c>
      <c r="J234" s="13" t="s">
        <v>30</v>
      </c>
      <c r="K234" s="14" t="str">
        <f>HYPERLINK("http://mpro.prangroup.com:4000/CreativeWorks/Edit/36326","Open")</f>
        <v>Open</v>
      </c>
    </row>
    <row r="235" spans="1:26" ht="13.2">
      <c r="A235" s="4" t="s">
        <v>1264</v>
      </c>
      <c r="B235" s="5" t="s">
        <v>153</v>
      </c>
      <c r="C235" s="6" t="s">
        <v>154</v>
      </c>
      <c r="D235" s="17" t="s">
        <v>1265</v>
      </c>
      <c r="E235" s="8" t="s">
        <v>141</v>
      </c>
      <c r="F235" s="9" t="s">
        <v>17</v>
      </c>
      <c r="G235" s="10">
        <v>1</v>
      </c>
      <c r="H235" s="11">
        <v>46184</v>
      </c>
      <c r="I235" s="17" t="s">
        <v>1266</v>
      </c>
      <c r="J235" s="13" t="s">
        <v>30</v>
      </c>
      <c r="K235" s="14" t="str">
        <f>HYPERLINK("http://mpro.prangroup.com:4000/CreativeWorks/Edit/36352","Open")</f>
        <v>Open</v>
      </c>
    </row>
    <row r="236" spans="1:26" ht="13.2">
      <c r="A236" s="4" t="s">
        <v>1267</v>
      </c>
      <c r="B236" s="5" t="s">
        <v>60</v>
      </c>
      <c r="C236" s="6" t="s">
        <v>228</v>
      </c>
      <c r="D236" s="17" t="s">
        <v>1268</v>
      </c>
      <c r="E236" s="8" t="s">
        <v>88</v>
      </c>
      <c r="F236" s="9" t="s">
        <v>17</v>
      </c>
      <c r="G236" s="10">
        <v>2</v>
      </c>
      <c r="H236" s="11">
        <v>46186</v>
      </c>
      <c r="I236" s="17" t="s">
        <v>1269</v>
      </c>
      <c r="J236" s="13" t="s">
        <v>30</v>
      </c>
      <c r="K236" s="14" t="str">
        <f>HYPERLINK("http://mpro.prangroup.com:4000/CreativeWorks/Edit/36392","Open")</f>
        <v>Open</v>
      </c>
    </row>
    <row r="237" spans="1:26" ht="13.2">
      <c r="A237" s="4" t="s">
        <v>1270</v>
      </c>
      <c r="B237" s="40" t="s">
        <v>1271</v>
      </c>
      <c r="C237" s="6" t="s">
        <v>1272</v>
      </c>
      <c r="D237" s="17" t="s">
        <v>1273</v>
      </c>
      <c r="E237" s="8" t="s">
        <v>141</v>
      </c>
      <c r="F237" s="9" t="s">
        <v>17</v>
      </c>
      <c r="G237" s="10">
        <v>2</v>
      </c>
      <c r="H237" s="11">
        <v>46188</v>
      </c>
      <c r="I237" s="17" t="s">
        <v>1274</v>
      </c>
      <c r="J237" s="13" t="s">
        <v>30</v>
      </c>
      <c r="K237" s="14" t="str">
        <f>HYPERLINK("http://mpro.prangroup.com:4000/CreativeWorks/Edit/36623","Open")</f>
        <v>Open</v>
      </c>
    </row>
    <row r="238" spans="1:26" ht="13.2">
      <c r="A238" s="4" t="s">
        <v>1275</v>
      </c>
      <c r="B238" s="5" t="s">
        <v>32</v>
      </c>
      <c r="C238" s="6" t="s">
        <v>91</v>
      </c>
      <c r="D238" s="17" t="s">
        <v>1276</v>
      </c>
      <c r="E238" s="8" t="s">
        <v>88</v>
      </c>
      <c r="F238" s="9" t="s">
        <v>17</v>
      </c>
      <c r="G238" s="10">
        <v>1</v>
      </c>
      <c r="H238" s="11">
        <v>46192</v>
      </c>
      <c r="I238" s="17" t="s">
        <v>1277</v>
      </c>
      <c r="J238" s="13" t="s">
        <v>30</v>
      </c>
      <c r="K238" s="14" t="str">
        <f>HYPERLINK("http://mpro.prangroup.com:4000/CreativeWorks/Edit/37209","Open")</f>
        <v>Open</v>
      </c>
    </row>
    <row r="239" spans="1:26" ht="13.8">
      <c r="A239" s="4" t="s">
        <v>1278</v>
      </c>
      <c r="B239" s="5" t="s">
        <v>32</v>
      </c>
      <c r="C239" s="6" t="s">
        <v>1279</v>
      </c>
      <c r="D239" s="17" t="s">
        <v>1280</v>
      </c>
      <c r="E239" s="8" t="s">
        <v>141</v>
      </c>
      <c r="F239" s="9" t="s">
        <v>17</v>
      </c>
      <c r="G239" s="10">
        <v>1</v>
      </c>
      <c r="H239" s="11">
        <v>46192</v>
      </c>
      <c r="I239" s="32" t="s">
        <v>1281</v>
      </c>
      <c r="J239" s="13" t="s">
        <v>30</v>
      </c>
      <c r="K239" s="14" t="str">
        <f>HYPERLINK("http://mpro.prangroup.com:4000/CreativeWorks/Edit/37210","Open")</f>
        <v>Open</v>
      </c>
    </row>
    <row r="240" spans="1:26" ht="13.2">
      <c r="A240" s="4" t="s">
        <v>1282</v>
      </c>
      <c r="B240" s="5" t="s">
        <v>26</v>
      </c>
      <c r="C240" s="6" t="s">
        <v>474</v>
      </c>
      <c r="D240" s="17" t="s">
        <v>1283</v>
      </c>
      <c r="E240" s="8" t="s">
        <v>242</v>
      </c>
      <c r="F240" s="9" t="s">
        <v>17</v>
      </c>
      <c r="G240" s="10">
        <v>4</v>
      </c>
      <c r="H240" s="11">
        <v>46193</v>
      </c>
      <c r="I240" s="17" t="s">
        <v>1284</v>
      </c>
      <c r="J240" s="13" t="s">
        <v>30</v>
      </c>
      <c r="K240" s="14" t="str">
        <f>HYPERLINK("http://mpro.prangroup.com:4000/CreativeWorks/Edit/37317","Open")</f>
        <v>Open</v>
      </c>
    </row>
    <row r="241" spans="1:14" ht="13.2">
      <c r="A241" s="4" t="s">
        <v>1285</v>
      </c>
      <c r="B241" s="5" t="s">
        <v>26</v>
      </c>
      <c r="C241" s="6" t="s">
        <v>474</v>
      </c>
      <c r="D241" s="17" t="s">
        <v>1286</v>
      </c>
      <c r="E241" s="8" t="s">
        <v>16</v>
      </c>
      <c r="F241" s="9" t="s">
        <v>17</v>
      </c>
      <c r="G241" s="10">
        <v>1</v>
      </c>
      <c r="H241" s="11">
        <v>46194</v>
      </c>
      <c r="I241" s="17" t="s">
        <v>1287</v>
      </c>
      <c r="J241" s="13" t="s">
        <v>30</v>
      </c>
      <c r="K241" s="14" t="str">
        <f>HYPERLINK("http://mpro.prangroup.com:4000/CreativeWorks/Edit/37493","Open")</f>
        <v>Open</v>
      </c>
    </row>
    <row r="242" spans="1:14" ht="13.2">
      <c r="A242" s="4" t="s">
        <v>1288</v>
      </c>
      <c r="B242" s="5" t="s">
        <v>217</v>
      </c>
      <c r="C242" s="6" t="s">
        <v>186</v>
      </c>
      <c r="D242" s="17" t="s">
        <v>1289</v>
      </c>
      <c r="E242" s="8" t="s">
        <v>16</v>
      </c>
      <c r="F242" s="9" t="s">
        <v>17</v>
      </c>
      <c r="G242" s="10">
        <v>6</v>
      </c>
      <c r="H242" s="11">
        <v>46196</v>
      </c>
      <c r="I242" s="17" t="s">
        <v>1290</v>
      </c>
      <c r="J242" s="13" t="s">
        <v>19</v>
      </c>
      <c r="K242" s="14" t="str">
        <f>HYPERLINK("http://mpro.prangroup.com:4000/CreativeWorks/Edit/37651","Open")</f>
        <v>Open</v>
      </c>
    </row>
    <row r="243" spans="1:14" ht="13.2">
      <c r="A243" s="4" t="s">
        <v>1291</v>
      </c>
      <c r="B243" s="5" t="s">
        <v>26</v>
      </c>
      <c r="C243" s="6" t="s">
        <v>1292</v>
      </c>
      <c r="D243" s="17" t="s">
        <v>1293</v>
      </c>
      <c r="E243" s="8" t="s">
        <v>16</v>
      </c>
      <c r="F243" s="9" t="s">
        <v>17</v>
      </c>
      <c r="G243" s="10">
        <v>5</v>
      </c>
      <c r="H243" s="11">
        <v>46198</v>
      </c>
      <c r="I243" s="17" t="s">
        <v>1294</v>
      </c>
      <c r="J243" s="13" t="s">
        <v>30</v>
      </c>
      <c r="K243" s="14" t="str">
        <f>HYPERLINK("http://mpro.prangroup.com:4000/CreativeWorks/Edit/37912","Open")</f>
        <v>Open</v>
      </c>
    </row>
    <row r="244" spans="1:14" ht="13.2">
      <c r="A244" s="4" t="s">
        <v>1295</v>
      </c>
      <c r="B244" s="5" t="s">
        <v>26</v>
      </c>
      <c r="C244" s="6" t="s">
        <v>1292</v>
      </c>
      <c r="D244" s="17" t="s">
        <v>1296</v>
      </c>
      <c r="E244" s="8" t="s">
        <v>16</v>
      </c>
      <c r="F244" s="9" t="s">
        <v>17</v>
      </c>
      <c r="G244" s="10">
        <v>4</v>
      </c>
      <c r="H244" s="11">
        <v>46201</v>
      </c>
      <c r="I244" s="17" t="s">
        <v>1297</v>
      </c>
      <c r="J244" s="13" t="s">
        <v>30</v>
      </c>
      <c r="K244" s="14" t="str">
        <f>HYPERLINK("http://mpro.prangroup.com:4000/CreativeWorks/Edit/38134","Open")</f>
        <v>Open</v>
      </c>
    </row>
    <row r="245" spans="1:14" ht="13.2">
      <c r="A245" s="4" t="s">
        <v>1298</v>
      </c>
      <c r="B245" s="5" t="s">
        <v>60</v>
      </c>
      <c r="C245" s="6" t="s">
        <v>78</v>
      </c>
      <c r="D245" s="17" t="s">
        <v>699</v>
      </c>
      <c r="E245" s="8" t="s">
        <v>16</v>
      </c>
      <c r="F245" s="9" t="s">
        <v>17</v>
      </c>
      <c r="G245" s="10">
        <v>4</v>
      </c>
      <c r="H245" s="11">
        <v>46198</v>
      </c>
      <c r="I245" s="17" t="s">
        <v>1299</v>
      </c>
      <c r="J245" s="13" t="s">
        <v>30</v>
      </c>
      <c r="K245" s="14" t="str">
        <f>HYPERLINK("http://mpro.prangroup.com:4000/CreativeWorks/Edit/37948","Open")</f>
        <v>Open</v>
      </c>
    </row>
    <row r="246" spans="1:14" ht="13.2">
      <c r="A246" s="4" t="s">
        <v>1267</v>
      </c>
      <c r="B246" s="5" t="s">
        <v>60</v>
      </c>
      <c r="C246" s="6" t="s">
        <v>228</v>
      </c>
      <c r="D246" s="17" t="s">
        <v>1268</v>
      </c>
      <c r="E246" s="8" t="s">
        <v>88</v>
      </c>
      <c r="F246" s="9" t="s">
        <v>17</v>
      </c>
      <c r="G246" s="10">
        <v>2</v>
      </c>
      <c r="H246" s="11">
        <v>46200</v>
      </c>
      <c r="I246" s="17" t="s">
        <v>1300</v>
      </c>
      <c r="J246" s="13" t="s">
        <v>19</v>
      </c>
      <c r="K246" s="14" t="str">
        <f>HYPERLINK("http://mpro.prangroup.com:4000/CreativeWorks/Edit/37983","Open")</f>
        <v>Open</v>
      </c>
    </row>
    <row r="247" spans="1:14" ht="13.2">
      <c r="A247" s="41" t="s">
        <v>1301</v>
      </c>
      <c r="B247" s="5" t="s">
        <v>282</v>
      </c>
      <c r="C247" s="6" t="s">
        <v>486</v>
      </c>
      <c r="D247" s="17" t="s">
        <v>1302</v>
      </c>
      <c r="E247" s="8" t="s">
        <v>88</v>
      </c>
      <c r="F247" s="9" t="s">
        <v>17</v>
      </c>
      <c r="G247" s="10">
        <v>3</v>
      </c>
      <c r="H247" s="11">
        <v>46201</v>
      </c>
      <c r="I247" s="17" t="s">
        <v>1303</v>
      </c>
      <c r="J247" s="13" t="s">
        <v>30</v>
      </c>
      <c r="K247" s="14" t="str">
        <f>HYPERLINK("http://mpro.prangroup.com:4000/CreativeWorks/Edit/38186","Open")</f>
        <v>Open</v>
      </c>
    </row>
    <row r="248" spans="1:14" ht="13.8">
      <c r="A248" s="4" t="s">
        <v>1304</v>
      </c>
      <c r="B248" s="5" t="s">
        <v>123</v>
      </c>
      <c r="C248" s="32" t="s">
        <v>1305</v>
      </c>
      <c r="D248" s="17" t="s">
        <v>1306</v>
      </c>
      <c r="E248" s="8" t="s">
        <v>346</v>
      </c>
      <c r="F248" s="9" t="s">
        <v>17</v>
      </c>
      <c r="G248" s="10">
        <v>4</v>
      </c>
      <c r="H248" s="11">
        <v>46202</v>
      </c>
      <c r="I248" s="17" t="s">
        <v>1307</v>
      </c>
      <c r="J248" s="13" t="s">
        <v>30</v>
      </c>
      <c r="K248" s="14" t="str">
        <f>HYPERLINK("http://mpro.prangroup.com:4000/CreativeWorks/Edit/38405","Open")</f>
        <v>Open</v>
      </c>
    </row>
    <row r="249" spans="1:14" ht="13.2">
      <c r="A249" s="4" t="s">
        <v>1308</v>
      </c>
      <c r="B249" s="5" t="s">
        <v>217</v>
      </c>
      <c r="C249" s="6" t="s">
        <v>275</v>
      </c>
      <c r="D249" s="17" t="s">
        <v>1309</v>
      </c>
      <c r="E249" s="8" t="s">
        <v>16</v>
      </c>
      <c r="F249" s="9" t="s">
        <v>17</v>
      </c>
      <c r="G249" s="10">
        <v>3</v>
      </c>
      <c r="H249" s="11">
        <v>46203</v>
      </c>
      <c r="I249" s="17" t="s">
        <v>1310</v>
      </c>
      <c r="J249" s="13" t="s">
        <v>19</v>
      </c>
      <c r="K249" s="14" t="str">
        <f>HYPERLINK("http://mpro.prangroup.com:4000/CreativeWorks/Edit/38596","Open")</f>
        <v>Open</v>
      </c>
    </row>
    <row r="250" spans="1:14" ht="13.8">
      <c r="A250" s="4" t="s">
        <v>1311</v>
      </c>
      <c r="B250" s="5" t="s">
        <v>109</v>
      </c>
      <c r="C250" s="32" t="s">
        <v>1312</v>
      </c>
      <c r="D250" s="17" t="s">
        <v>1313</v>
      </c>
      <c r="E250" s="8" t="s">
        <v>16</v>
      </c>
      <c r="F250" s="9" t="s">
        <v>17</v>
      </c>
      <c r="G250" s="10">
        <v>2</v>
      </c>
      <c r="H250" s="11">
        <v>46203</v>
      </c>
      <c r="I250" s="17" t="s">
        <v>1314</v>
      </c>
      <c r="J250" s="13" t="s">
        <v>30</v>
      </c>
      <c r="K250" s="14" t="str">
        <f>HYPERLINK("http://mpro.prangroup.com:4000/CreativeWorks/Edit/38665","Open")</f>
        <v>Open</v>
      </c>
    </row>
    <row r="251" spans="1:14" ht="13.2">
      <c r="A251" s="4" t="s">
        <v>1315</v>
      </c>
      <c r="B251" s="5" t="s">
        <v>217</v>
      </c>
      <c r="C251" s="6" t="s">
        <v>275</v>
      </c>
      <c r="D251" s="17" t="s">
        <v>1316</v>
      </c>
      <c r="E251" s="8" t="s">
        <v>16</v>
      </c>
      <c r="F251" s="9" t="s">
        <v>17</v>
      </c>
      <c r="G251" s="10">
        <v>9</v>
      </c>
      <c r="H251" s="11">
        <v>46205</v>
      </c>
      <c r="I251" s="17" t="s">
        <v>1317</v>
      </c>
      <c r="J251" s="13" t="s">
        <v>19</v>
      </c>
      <c r="K251" s="14" t="str">
        <f>HYPERLINK("http://mpro.prangroup.com:4000/CreativeWorks/Edit/39054","Open")</f>
        <v>Open</v>
      </c>
    </row>
    <row r="252" spans="1:14" ht="13.2">
      <c r="A252" s="4" t="s">
        <v>1318</v>
      </c>
      <c r="B252" s="5" t="s">
        <v>202</v>
      </c>
      <c r="C252" s="6" t="s">
        <v>1319</v>
      </c>
      <c r="D252" s="17" t="s">
        <v>1320</v>
      </c>
      <c r="E252" s="8" t="s">
        <v>16</v>
      </c>
      <c r="F252" s="9" t="s">
        <v>17</v>
      </c>
      <c r="G252" s="10">
        <v>4</v>
      </c>
      <c r="H252" s="11">
        <v>46207</v>
      </c>
      <c r="I252" s="17" t="s">
        <v>1321</v>
      </c>
      <c r="J252" s="13" t="s">
        <v>30</v>
      </c>
      <c r="K252" s="14" t="str">
        <f>HYPERLINK("http://mpro.prangroup.com:4000/CreativeWorks/Edit/39305","Open")</f>
        <v>Open</v>
      </c>
      <c r="N252" s="3" t="s">
        <v>675</v>
      </c>
    </row>
    <row r="253" spans="1:14" ht="13.2">
      <c r="A253" s="4" t="s">
        <v>1322</v>
      </c>
      <c r="B253" s="5" t="s">
        <v>217</v>
      </c>
      <c r="C253" s="6" t="s">
        <v>186</v>
      </c>
      <c r="D253" s="17" t="s">
        <v>1323</v>
      </c>
      <c r="E253" s="8" t="s">
        <v>16</v>
      </c>
      <c r="F253" s="9" t="s">
        <v>17</v>
      </c>
      <c r="G253" s="10">
        <v>1</v>
      </c>
      <c r="H253" s="11">
        <v>46207</v>
      </c>
      <c r="I253" s="17" t="s">
        <v>1324</v>
      </c>
      <c r="J253" s="13" t="s">
        <v>19</v>
      </c>
      <c r="K253" s="14" t="str">
        <f>HYPERLINK("http://mpro.prangroup.com:4000/CreativeWorks/Edit/39317","Open")</f>
        <v>Open</v>
      </c>
    </row>
    <row r="254" spans="1:14" ht="13.2">
      <c r="A254" s="4" t="s">
        <v>1325</v>
      </c>
      <c r="B254" s="5" t="s">
        <v>32</v>
      </c>
      <c r="C254" s="6" t="s">
        <v>275</v>
      </c>
      <c r="D254" s="17" t="s">
        <v>1326</v>
      </c>
      <c r="E254" s="8" t="s">
        <v>16</v>
      </c>
      <c r="F254" s="9" t="s">
        <v>17</v>
      </c>
      <c r="G254" s="10">
        <v>6</v>
      </c>
      <c r="H254" s="11">
        <v>46208</v>
      </c>
      <c r="I254" s="17" t="s">
        <v>1327</v>
      </c>
      <c r="J254" s="13" t="s">
        <v>19</v>
      </c>
      <c r="K254" s="14" t="str">
        <f>HYPERLINK("http://mpro.prangroup.com:4000/CreativeWorks/Edit/39465","Open")</f>
        <v>Open</v>
      </c>
    </row>
    <row r="255" spans="1:14" ht="13.2">
      <c r="A255" s="4" t="s">
        <v>1328</v>
      </c>
      <c r="B255" s="5" t="s">
        <v>729</v>
      </c>
      <c r="C255" s="6" t="s">
        <v>730</v>
      </c>
      <c r="D255" s="17" t="s">
        <v>1329</v>
      </c>
      <c r="E255" s="8" t="s">
        <v>57</v>
      </c>
      <c r="F255" s="9" t="s">
        <v>17</v>
      </c>
      <c r="G255" s="10">
        <v>1</v>
      </c>
      <c r="H255" s="11">
        <v>46209</v>
      </c>
      <c r="I255" s="17" t="s">
        <v>1330</v>
      </c>
      <c r="J255" s="13" t="s">
        <v>30</v>
      </c>
      <c r="K255" s="14" t="str">
        <f>HYPERLINK("http://mpro.prangroup.com:4000/CreativeWorks/Edit/39545","Open")</f>
        <v>Open</v>
      </c>
    </row>
    <row r="256" spans="1:14" ht="13.8">
      <c r="A256" s="4" t="s">
        <v>1331</v>
      </c>
      <c r="B256" s="5" t="s">
        <v>68</v>
      </c>
      <c r="C256" s="32" t="s">
        <v>1332</v>
      </c>
      <c r="D256" s="17" t="s">
        <v>1333</v>
      </c>
      <c r="E256" s="8" t="s">
        <v>57</v>
      </c>
      <c r="F256" s="9" t="s">
        <v>17</v>
      </c>
      <c r="G256" s="10">
        <v>1</v>
      </c>
      <c r="H256" s="11">
        <v>46209</v>
      </c>
      <c r="I256" s="17" t="s">
        <v>1334</v>
      </c>
      <c r="J256" s="13" t="s">
        <v>30</v>
      </c>
      <c r="K256" s="14" t="str">
        <f>HYPERLINK("http://mpro.prangroup.com:4000/CreativeWorks/Edit/39628","Open")</f>
        <v>Open</v>
      </c>
    </row>
    <row r="257" spans="1:11" ht="13.2">
      <c r="A257" s="4" t="s">
        <v>1335</v>
      </c>
      <c r="B257" s="5" t="s">
        <v>41</v>
      </c>
      <c r="C257" s="6" t="s">
        <v>42</v>
      </c>
      <c r="D257" s="17" t="s">
        <v>1336</v>
      </c>
      <c r="E257" s="8" t="s">
        <v>57</v>
      </c>
      <c r="F257" s="9" t="s">
        <v>17</v>
      </c>
      <c r="G257" s="10">
        <v>1</v>
      </c>
      <c r="H257" s="11">
        <v>46209</v>
      </c>
      <c r="I257" s="3" t="s">
        <v>1337</v>
      </c>
      <c r="J257" s="13" t="s">
        <v>19</v>
      </c>
      <c r="K257" s="14" t="str">
        <f>HYPERLINK("http://mpro.prangroup.com:4000/CreativeWorks/Edit/39644","Open")</f>
        <v>Open</v>
      </c>
    </row>
    <row r="258" spans="1:11" ht="13.8">
      <c r="A258" s="4" t="s">
        <v>1338</v>
      </c>
      <c r="B258" s="5" t="s">
        <v>599</v>
      </c>
      <c r="C258" s="32" t="s">
        <v>1339</v>
      </c>
      <c r="D258" s="17" t="s">
        <v>1340</v>
      </c>
      <c r="E258" s="8" t="s">
        <v>57</v>
      </c>
      <c r="F258" s="9" t="s">
        <v>17</v>
      </c>
      <c r="G258" s="10">
        <v>1</v>
      </c>
      <c r="H258" s="11">
        <v>46210</v>
      </c>
      <c r="I258" s="17" t="s">
        <v>1341</v>
      </c>
      <c r="J258" s="13" t="s">
        <v>48</v>
      </c>
      <c r="K258" s="14" t="str">
        <f>HYPERLINK("http://mpro.prangroup.com:4000/CreativeWorks/Edit/39728","Open")</f>
        <v>Open</v>
      </c>
    </row>
    <row r="259" spans="1:11" ht="13.2">
      <c r="A259" s="4" t="s">
        <v>1342</v>
      </c>
      <c r="B259" s="42" t="s">
        <v>158</v>
      </c>
      <c r="C259" s="6" t="s">
        <v>592</v>
      </c>
      <c r="D259" s="17" t="s">
        <v>1343</v>
      </c>
      <c r="E259" s="8" t="s">
        <v>589</v>
      </c>
      <c r="F259" s="9" t="s">
        <v>17</v>
      </c>
      <c r="G259" s="10">
        <v>3</v>
      </c>
      <c r="H259" s="11">
        <v>46210</v>
      </c>
      <c r="I259" s="17" t="s">
        <v>1344</v>
      </c>
      <c r="J259" s="13" t="s">
        <v>30</v>
      </c>
      <c r="K259" s="14" t="str">
        <f>HYPERLINK("http://mpro.prangroup.com:4000/CreativeWorks/Edit/39725","Open")</f>
        <v>Open</v>
      </c>
    </row>
    <row r="260" spans="1:11" ht="13.8">
      <c r="A260" s="4" t="s">
        <v>1345</v>
      </c>
      <c r="B260" s="5" t="s">
        <v>221</v>
      </c>
      <c r="C260" s="32" t="s">
        <v>1339</v>
      </c>
      <c r="D260" s="17" t="s">
        <v>1346</v>
      </c>
      <c r="E260" s="8" t="s">
        <v>57</v>
      </c>
      <c r="F260" s="9" t="s">
        <v>17</v>
      </c>
      <c r="G260" s="10">
        <v>2</v>
      </c>
      <c r="H260" s="11">
        <v>46210</v>
      </c>
      <c r="I260" s="17" t="s">
        <v>1347</v>
      </c>
      <c r="J260" s="13" t="s">
        <v>48</v>
      </c>
      <c r="K260" s="14" t="str">
        <f>HYPERLINK("http://mpro.prangroup.com:4000/CreativeWorks/Edit/39745","Open")</f>
        <v>Open</v>
      </c>
    </row>
    <row r="261" spans="1:11" ht="13.2">
      <c r="A261" s="4" t="s">
        <v>1348</v>
      </c>
      <c r="B261" s="5" t="s">
        <v>60</v>
      </c>
      <c r="C261" s="6" t="s">
        <v>186</v>
      </c>
      <c r="D261" s="17" t="s">
        <v>1349</v>
      </c>
      <c r="E261" s="8" t="s">
        <v>16</v>
      </c>
      <c r="F261" s="9" t="s">
        <v>17</v>
      </c>
      <c r="G261" s="10">
        <v>1</v>
      </c>
      <c r="H261" s="11">
        <v>46211</v>
      </c>
      <c r="I261" s="17" t="s">
        <v>1350</v>
      </c>
      <c r="J261" s="13" t="s">
        <v>19</v>
      </c>
      <c r="K261" s="14" t="str">
        <f>HYPERLINK("http://mpro.prangroup.com:4000/CreativeWorks/Edit/39977","Open")</f>
        <v>Open</v>
      </c>
    </row>
    <row r="262" spans="1:11" ht="13.2">
      <c r="A262" s="41" t="s">
        <v>1351</v>
      </c>
      <c r="B262" s="5" t="s">
        <v>178</v>
      </c>
      <c r="C262" s="6" t="s">
        <v>186</v>
      </c>
      <c r="D262" s="17" t="s">
        <v>728</v>
      </c>
      <c r="E262" s="8" t="s">
        <v>16</v>
      </c>
      <c r="F262" s="9" t="s">
        <v>17</v>
      </c>
      <c r="G262" s="10">
        <v>6</v>
      </c>
      <c r="H262" s="11">
        <v>46212</v>
      </c>
      <c r="I262" s="17" t="s">
        <v>1352</v>
      </c>
      <c r="J262" s="13" t="s">
        <v>19</v>
      </c>
      <c r="K262" s="14" t="str">
        <f>HYPERLINK("http://mpro.prangroup.com:4000/CreativeWorks/Edit/40015","Open")</f>
        <v>Open</v>
      </c>
    </row>
    <row r="263" spans="1:11" ht="13.8">
      <c r="A263" s="43"/>
      <c r="B263" s="16"/>
      <c r="C263" s="23"/>
      <c r="D263" s="24"/>
      <c r="E263" s="25"/>
      <c r="F263" s="26"/>
      <c r="G263" s="27"/>
      <c r="H263" s="20"/>
      <c r="I263" s="21"/>
      <c r="J263" s="28"/>
      <c r="K263" s="19"/>
    </row>
    <row r="264" spans="1:11" ht="13.2">
      <c r="A264" s="22"/>
      <c r="B264" s="16"/>
      <c r="C264" s="23"/>
      <c r="D264" s="24"/>
      <c r="E264" s="25"/>
      <c r="F264" s="26"/>
      <c r="G264" s="27"/>
      <c r="H264" s="20"/>
      <c r="I264" s="21"/>
      <c r="J264" s="28"/>
      <c r="K264" s="19"/>
    </row>
    <row r="265" spans="1:11" ht="13.2">
      <c r="A265" s="22"/>
      <c r="B265" s="16"/>
      <c r="C265" s="23"/>
      <c r="D265" s="24"/>
      <c r="E265" s="25"/>
      <c r="F265" s="26"/>
      <c r="G265" s="27"/>
      <c r="H265" s="20"/>
      <c r="I265" s="21"/>
      <c r="J265" s="28"/>
      <c r="K265" s="19"/>
    </row>
    <row r="266" spans="1:11" ht="13.2">
      <c r="A266" s="22"/>
      <c r="B266" s="16"/>
      <c r="C266" s="23"/>
      <c r="D266" s="24"/>
      <c r="E266" s="25"/>
      <c r="F266" s="26"/>
      <c r="G266" s="27"/>
      <c r="H266" s="20"/>
      <c r="I266" s="21"/>
      <c r="J266" s="28"/>
      <c r="K266" s="19"/>
    </row>
    <row r="267" spans="1:11" ht="13.2">
      <c r="A267" s="22"/>
      <c r="B267" s="16"/>
      <c r="C267" s="23"/>
      <c r="D267" s="24"/>
      <c r="E267" s="25"/>
      <c r="F267" s="26"/>
      <c r="G267" s="27"/>
      <c r="H267" s="20"/>
      <c r="I267" s="21"/>
      <c r="J267" s="28"/>
      <c r="K267" s="19"/>
    </row>
    <row r="268" spans="1:11" ht="13.2">
      <c r="A268" s="22"/>
      <c r="B268" s="16"/>
      <c r="C268" s="23"/>
      <c r="D268" s="24"/>
      <c r="E268" s="25"/>
      <c r="F268" s="26"/>
      <c r="G268" s="27"/>
      <c r="H268" s="20"/>
      <c r="I268" s="21"/>
      <c r="J268" s="28"/>
      <c r="K268" s="19"/>
    </row>
    <row r="269" spans="1:11" ht="13.2">
      <c r="A269" s="22"/>
      <c r="B269" s="16"/>
      <c r="C269" s="23"/>
      <c r="D269" s="24"/>
      <c r="E269" s="25"/>
      <c r="F269" s="26"/>
      <c r="G269" s="27"/>
      <c r="H269" s="20"/>
      <c r="I269" s="21"/>
      <c r="J269" s="28"/>
      <c r="K269" s="19"/>
    </row>
    <row r="270" spans="1:11" ht="13.2">
      <c r="A270" s="22"/>
      <c r="B270" s="16"/>
      <c r="C270" s="23"/>
      <c r="D270" s="24"/>
      <c r="E270" s="25"/>
      <c r="F270" s="26"/>
      <c r="G270" s="27"/>
      <c r="H270" s="20"/>
      <c r="I270" s="21"/>
      <c r="J270" s="28"/>
      <c r="K270" s="19"/>
    </row>
    <row r="271" spans="1:11" ht="13.2">
      <c r="A271" s="22"/>
      <c r="B271" s="16"/>
      <c r="C271" s="23"/>
      <c r="D271" s="24"/>
      <c r="E271" s="25"/>
      <c r="F271" s="26"/>
      <c r="G271" s="27"/>
      <c r="H271" s="20"/>
      <c r="I271" s="21"/>
      <c r="J271" s="28"/>
      <c r="K271" s="19"/>
    </row>
    <row r="272" spans="1:11" ht="13.2">
      <c r="A272" s="22"/>
      <c r="B272" s="16"/>
      <c r="C272" s="23"/>
      <c r="D272" s="24"/>
      <c r="E272" s="25"/>
      <c r="F272" s="26"/>
      <c r="G272" s="27"/>
      <c r="H272" s="20"/>
      <c r="I272" s="21"/>
      <c r="J272" s="28"/>
      <c r="K272" s="19"/>
    </row>
    <row r="273" spans="1:11" ht="13.2">
      <c r="A273" s="22"/>
      <c r="B273" s="16"/>
      <c r="C273" s="23"/>
      <c r="D273" s="24"/>
      <c r="E273" s="25"/>
      <c r="F273" s="26"/>
      <c r="G273" s="27"/>
      <c r="H273" s="20"/>
      <c r="I273" s="21"/>
      <c r="J273" s="28"/>
      <c r="K273" s="19"/>
    </row>
    <row r="274" spans="1:11" ht="13.2">
      <c r="A274" s="22"/>
      <c r="B274" s="16"/>
      <c r="C274" s="23"/>
      <c r="D274" s="24"/>
      <c r="E274" s="25"/>
      <c r="F274" s="26"/>
      <c r="G274" s="27"/>
      <c r="H274" s="20"/>
      <c r="I274" s="21"/>
      <c r="J274" s="28"/>
      <c r="K274" s="19"/>
    </row>
    <row r="275" spans="1:11" ht="13.2">
      <c r="A275" s="22"/>
      <c r="B275" s="16"/>
      <c r="C275" s="23"/>
      <c r="D275" s="24"/>
      <c r="E275" s="25"/>
      <c r="F275" s="26"/>
      <c r="G275" s="27"/>
      <c r="H275" s="20"/>
      <c r="I275" s="21"/>
      <c r="J275" s="28"/>
      <c r="K275" s="19"/>
    </row>
    <row r="276" spans="1:11" ht="13.2">
      <c r="A276" s="22"/>
      <c r="B276" s="16"/>
      <c r="C276" s="23"/>
      <c r="D276" s="24"/>
      <c r="E276" s="25"/>
      <c r="F276" s="26"/>
      <c r="G276" s="27"/>
      <c r="H276" s="20"/>
      <c r="I276" s="21"/>
      <c r="J276" s="28"/>
      <c r="K276" s="19"/>
    </row>
    <row r="277" spans="1:11" ht="13.2">
      <c r="A277" s="22"/>
      <c r="B277" s="16"/>
      <c r="C277" s="23"/>
      <c r="D277" s="24"/>
      <c r="E277" s="25"/>
      <c r="F277" s="26"/>
      <c r="G277" s="27"/>
      <c r="H277" s="20"/>
      <c r="I277" s="21"/>
      <c r="J277" s="28"/>
      <c r="K277" s="19"/>
    </row>
    <row r="278" spans="1:11" ht="13.2">
      <c r="A278" s="22"/>
      <c r="B278" s="16"/>
      <c r="C278" s="23"/>
      <c r="D278" s="24"/>
      <c r="E278" s="25"/>
      <c r="F278" s="26"/>
      <c r="G278" s="27"/>
      <c r="H278" s="20"/>
      <c r="I278" s="21"/>
      <c r="J278" s="28"/>
      <c r="K278" s="19"/>
    </row>
    <row r="279" spans="1:11" ht="13.2">
      <c r="A279" s="22"/>
      <c r="B279" s="16"/>
      <c r="C279" s="23"/>
      <c r="D279" s="24"/>
      <c r="E279" s="25"/>
      <c r="F279" s="26"/>
      <c r="G279" s="27"/>
      <c r="H279" s="20"/>
      <c r="I279" s="21"/>
      <c r="J279" s="28"/>
      <c r="K279" s="19"/>
    </row>
    <row r="280" spans="1:11" ht="13.2">
      <c r="A280" s="22"/>
      <c r="B280" s="16"/>
      <c r="C280" s="23"/>
      <c r="D280" s="24"/>
      <c r="E280" s="25"/>
      <c r="F280" s="26"/>
      <c r="G280" s="27"/>
      <c r="H280" s="20"/>
      <c r="I280" s="21"/>
      <c r="J280" s="28"/>
      <c r="K280" s="19"/>
    </row>
    <row r="281" spans="1:11" ht="13.2">
      <c r="A281" s="22"/>
      <c r="B281" s="16"/>
      <c r="C281" s="23"/>
      <c r="D281" s="24"/>
      <c r="E281" s="25"/>
      <c r="F281" s="26"/>
      <c r="G281" s="27"/>
      <c r="H281" s="20"/>
      <c r="I281" s="21"/>
      <c r="J281" s="28"/>
      <c r="K281" s="19"/>
    </row>
    <row r="282" spans="1:11" ht="13.2">
      <c r="A282" s="22"/>
      <c r="B282" s="16"/>
      <c r="C282" s="23"/>
      <c r="D282" s="24"/>
      <c r="E282" s="25"/>
      <c r="F282" s="26"/>
      <c r="G282" s="27"/>
      <c r="H282" s="20"/>
      <c r="I282" s="21"/>
      <c r="J282" s="28"/>
      <c r="K282" s="19"/>
    </row>
    <row r="283" spans="1:11" ht="13.2">
      <c r="A283" s="22"/>
      <c r="B283" s="16"/>
      <c r="C283" s="23"/>
      <c r="D283" s="24"/>
      <c r="E283" s="25"/>
      <c r="F283" s="26"/>
      <c r="G283" s="27"/>
      <c r="H283" s="20"/>
      <c r="I283" s="21"/>
      <c r="J283" s="28"/>
      <c r="K283" s="19"/>
    </row>
    <row r="284" spans="1:11" ht="13.2">
      <c r="A284" s="22"/>
      <c r="B284" s="16"/>
      <c r="C284" s="23"/>
      <c r="D284" s="24"/>
      <c r="E284" s="25"/>
      <c r="F284" s="26"/>
      <c r="G284" s="27"/>
      <c r="H284" s="20"/>
      <c r="I284" s="21"/>
      <c r="J284" s="28"/>
      <c r="K284" s="19"/>
    </row>
    <row r="285" spans="1:11" ht="13.2">
      <c r="A285" s="22"/>
      <c r="B285" s="16"/>
      <c r="C285" s="23"/>
      <c r="D285" s="24"/>
      <c r="E285" s="25"/>
      <c r="F285" s="26"/>
      <c r="G285" s="27"/>
      <c r="H285" s="20"/>
      <c r="I285" s="21"/>
      <c r="J285" s="28"/>
      <c r="K285" s="19"/>
    </row>
    <row r="286" spans="1:11" ht="13.2">
      <c r="A286" s="22"/>
      <c r="B286" s="16"/>
      <c r="C286" s="23"/>
      <c r="D286" s="24"/>
      <c r="E286" s="25"/>
      <c r="F286" s="26"/>
      <c r="G286" s="27"/>
      <c r="H286" s="20"/>
      <c r="I286" s="21"/>
      <c r="J286" s="28"/>
      <c r="K286" s="19"/>
    </row>
    <row r="287" spans="1:11" ht="13.2">
      <c r="A287" s="22"/>
      <c r="B287" s="16"/>
      <c r="C287" s="23"/>
      <c r="D287" s="24"/>
      <c r="E287" s="25"/>
      <c r="F287" s="26"/>
      <c r="G287" s="27"/>
      <c r="H287" s="20"/>
      <c r="I287" s="21"/>
      <c r="J287" s="28"/>
      <c r="K287" s="19"/>
    </row>
    <row r="288" spans="1:11" ht="13.2">
      <c r="A288" s="22"/>
      <c r="B288" s="16"/>
      <c r="C288" s="23"/>
      <c r="D288" s="24"/>
      <c r="E288" s="25"/>
      <c r="F288" s="26"/>
      <c r="G288" s="27"/>
      <c r="H288" s="20"/>
      <c r="I288" s="21"/>
      <c r="J288" s="28"/>
      <c r="K288" s="19"/>
    </row>
    <row r="289" spans="1:11" ht="13.2">
      <c r="A289" s="22"/>
      <c r="B289" s="16"/>
      <c r="C289" s="23"/>
      <c r="D289" s="24"/>
      <c r="E289" s="25"/>
      <c r="F289" s="26"/>
      <c r="G289" s="27"/>
      <c r="H289" s="20"/>
      <c r="I289" s="21"/>
      <c r="J289" s="28"/>
      <c r="K289" s="19"/>
    </row>
    <row r="290" spans="1:11" ht="13.2">
      <c r="A290" s="22"/>
      <c r="B290" s="16"/>
      <c r="C290" s="23"/>
      <c r="D290" s="24"/>
      <c r="E290" s="25"/>
      <c r="F290" s="26"/>
      <c r="G290" s="27"/>
      <c r="H290" s="20"/>
      <c r="I290" s="21"/>
      <c r="J290" s="28"/>
      <c r="K290" s="19"/>
    </row>
    <row r="291" spans="1:11" ht="13.2">
      <c r="A291" s="22"/>
      <c r="B291" s="16"/>
      <c r="C291" s="23"/>
      <c r="D291" s="24"/>
      <c r="E291" s="25"/>
      <c r="F291" s="26"/>
      <c r="G291" s="27"/>
      <c r="H291" s="20"/>
      <c r="I291" s="21"/>
      <c r="J291" s="28"/>
      <c r="K291" s="19"/>
    </row>
    <row r="292" spans="1:11" ht="13.2">
      <c r="A292" s="22"/>
      <c r="B292" s="16"/>
      <c r="C292" s="23"/>
      <c r="D292" s="24"/>
      <c r="E292" s="25"/>
      <c r="F292" s="26"/>
      <c r="G292" s="27"/>
      <c r="H292" s="20"/>
      <c r="I292" s="21"/>
      <c r="J292" s="28"/>
      <c r="K292" s="19"/>
    </row>
    <row r="293" spans="1:11" ht="13.2">
      <c r="A293" s="22"/>
      <c r="B293" s="16"/>
      <c r="C293" s="23"/>
      <c r="D293" s="24"/>
      <c r="E293" s="25"/>
      <c r="F293" s="26"/>
      <c r="G293" s="27"/>
      <c r="H293" s="20"/>
      <c r="I293" s="21"/>
      <c r="J293" s="28"/>
      <c r="K293" s="19"/>
    </row>
    <row r="294" spans="1:11" ht="13.2">
      <c r="A294" s="22"/>
      <c r="B294" s="16"/>
      <c r="C294" s="23"/>
      <c r="D294" s="24"/>
      <c r="E294" s="25"/>
      <c r="F294" s="26"/>
      <c r="G294" s="27"/>
      <c r="H294" s="20"/>
      <c r="I294" s="21"/>
      <c r="J294" s="28"/>
      <c r="K294" s="19"/>
    </row>
    <row r="295" spans="1:11" ht="13.2">
      <c r="A295" s="22"/>
      <c r="B295" s="16"/>
      <c r="C295" s="23"/>
      <c r="D295" s="24"/>
      <c r="E295" s="25"/>
      <c r="F295" s="26"/>
      <c r="G295" s="27"/>
      <c r="H295" s="20"/>
      <c r="I295" s="21"/>
      <c r="J295" s="28"/>
      <c r="K295" s="19"/>
    </row>
    <row r="296" spans="1:11" ht="13.2">
      <c r="A296" s="22"/>
      <c r="B296" s="16"/>
      <c r="C296" s="23"/>
      <c r="D296" s="24"/>
      <c r="E296" s="25"/>
      <c r="F296" s="26"/>
      <c r="G296" s="27"/>
      <c r="H296" s="20"/>
      <c r="I296" s="21"/>
      <c r="J296" s="28"/>
      <c r="K296" s="19"/>
    </row>
    <row r="297" spans="1:11" ht="13.2">
      <c r="A297" s="22"/>
      <c r="B297" s="16"/>
      <c r="C297" s="23"/>
      <c r="D297" s="24"/>
      <c r="E297" s="25"/>
      <c r="F297" s="26"/>
      <c r="G297" s="27"/>
      <c r="H297" s="20"/>
      <c r="I297" s="21"/>
      <c r="J297" s="28"/>
      <c r="K297" s="19"/>
    </row>
    <row r="298" spans="1:11" ht="13.2">
      <c r="A298" s="22"/>
      <c r="B298" s="16"/>
      <c r="C298" s="23"/>
      <c r="D298" s="24"/>
      <c r="E298" s="25"/>
      <c r="F298" s="26"/>
      <c r="G298" s="27"/>
      <c r="H298" s="20"/>
      <c r="I298" s="21"/>
      <c r="J298" s="28"/>
      <c r="K298" s="19"/>
    </row>
    <row r="299" spans="1:11" ht="13.2">
      <c r="A299" s="22"/>
      <c r="B299" s="16"/>
      <c r="C299" s="23"/>
      <c r="D299" s="24"/>
      <c r="E299" s="25"/>
      <c r="F299" s="26"/>
      <c r="G299" s="27"/>
      <c r="H299" s="20"/>
      <c r="I299" s="21"/>
      <c r="J299" s="28"/>
      <c r="K299" s="19"/>
    </row>
    <row r="300" spans="1:11" ht="13.2">
      <c r="A300" s="22"/>
      <c r="B300" s="16"/>
      <c r="C300" s="23"/>
      <c r="D300" s="24"/>
      <c r="E300" s="25"/>
      <c r="F300" s="26"/>
      <c r="G300" s="27"/>
      <c r="H300" s="20"/>
      <c r="I300" s="21"/>
      <c r="J300" s="28"/>
      <c r="K300" s="19"/>
    </row>
    <row r="301" spans="1:11" ht="13.2">
      <c r="A301" s="22"/>
      <c r="B301" s="16"/>
      <c r="C301" s="23"/>
      <c r="D301" s="24"/>
      <c r="E301" s="25"/>
      <c r="F301" s="26"/>
      <c r="G301" s="27"/>
      <c r="H301" s="20"/>
      <c r="I301" s="21"/>
      <c r="J301" s="28"/>
      <c r="K301" s="19"/>
    </row>
    <row r="302" spans="1:11" ht="13.2">
      <c r="A302" s="22"/>
      <c r="B302" s="16"/>
      <c r="C302" s="23"/>
      <c r="D302" s="24"/>
      <c r="E302" s="25"/>
      <c r="F302" s="26"/>
      <c r="G302" s="27"/>
      <c r="H302" s="20"/>
      <c r="I302" s="21"/>
      <c r="J302" s="28"/>
      <c r="K302" s="19"/>
    </row>
    <row r="303" spans="1:11" ht="13.2">
      <c r="A303" s="22"/>
      <c r="B303" s="16"/>
      <c r="C303" s="23"/>
      <c r="D303" s="24"/>
      <c r="E303" s="25"/>
      <c r="F303" s="26"/>
      <c r="G303" s="27"/>
      <c r="H303" s="20"/>
      <c r="I303" s="21"/>
      <c r="J303" s="28"/>
      <c r="K303" s="19"/>
    </row>
    <row r="304" spans="1:11" ht="13.2">
      <c r="A304" s="22"/>
      <c r="B304" s="16"/>
      <c r="C304" s="23"/>
      <c r="D304" s="24"/>
      <c r="E304" s="25"/>
      <c r="F304" s="26"/>
      <c r="G304" s="27"/>
      <c r="H304" s="20"/>
      <c r="I304" s="21"/>
      <c r="J304" s="28"/>
      <c r="K304" s="19"/>
    </row>
    <row r="305" spans="1:11" ht="13.2">
      <c r="A305" s="22"/>
      <c r="B305" s="16"/>
      <c r="C305" s="23"/>
      <c r="D305" s="24"/>
      <c r="E305" s="25"/>
      <c r="F305" s="26"/>
      <c r="G305" s="27"/>
      <c r="H305" s="20"/>
      <c r="I305" s="21"/>
      <c r="J305" s="28"/>
      <c r="K305" s="19"/>
    </row>
    <row r="306" spans="1:11" ht="13.2">
      <c r="A306" s="22"/>
      <c r="B306" s="16"/>
      <c r="C306" s="23"/>
      <c r="D306" s="24"/>
      <c r="E306" s="25"/>
      <c r="F306" s="26"/>
      <c r="G306" s="27"/>
      <c r="H306" s="20"/>
      <c r="I306" s="21"/>
      <c r="J306" s="28"/>
      <c r="K306" s="19"/>
    </row>
    <row r="307" spans="1:11" ht="13.2">
      <c r="A307" s="22"/>
      <c r="B307" s="16"/>
      <c r="C307" s="23"/>
      <c r="D307" s="24"/>
      <c r="E307" s="25"/>
      <c r="F307" s="26"/>
      <c r="G307" s="27"/>
      <c r="H307" s="20"/>
      <c r="I307" s="21"/>
      <c r="J307" s="28"/>
      <c r="K307" s="19"/>
    </row>
    <row r="308" spans="1:11" ht="13.2">
      <c r="A308" s="22"/>
      <c r="B308" s="16"/>
      <c r="C308" s="23"/>
      <c r="D308" s="24"/>
      <c r="E308" s="25"/>
      <c r="F308" s="26"/>
      <c r="G308" s="27"/>
      <c r="H308" s="20"/>
      <c r="I308" s="21"/>
      <c r="J308" s="28"/>
      <c r="K308" s="19"/>
    </row>
    <row r="309" spans="1:11" ht="13.2">
      <c r="A309" s="22"/>
      <c r="B309" s="16"/>
      <c r="C309" s="23"/>
      <c r="D309" s="24"/>
      <c r="E309" s="25"/>
      <c r="F309" s="26"/>
      <c r="G309" s="27"/>
      <c r="H309" s="20"/>
      <c r="I309" s="21"/>
      <c r="J309" s="28"/>
      <c r="K309" s="19"/>
    </row>
    <row r="310" spans="1:11" ht="13.2">
      <c r="A310" s="22"/>
      <c r="B310" s="16"/>
      <c r="C310" s="23"/>
      <c r="D310" s="24"/>
      <c r="E310" s="25"/>
      <c r="F310" s="26"/>
      <c r="G310" s="27"/>
      <c r="H310" s="20"/>
      <c r="I310" s="21"/>
      <c r="J310" s="28"/>
      <c r="K310" s="19"/>
    </row>
    <row r="311" spans="1:11" ht="13.2">
      <c r="A311" s="22"/>
      <c r="B311" s="16"/>
      <c r="C311" s="23"/>
      <c r="D311" s="24"/>
      <c r="E311" s="25"/>
      <c r="F311" s="26"/>
      <c r="G311" s="27"/>
      <c r="H311" s="20"/>
      <c r="I311" s="21"/>
      <c r="J311" s="28"/>
      <c r="K311" s="19"/>
    </row>
    <row r="312" spans="1:11" ht="13.2">
      <c r="A312" s="22"/>
      <c r="B312" s="16"/>
      <c r="C312" s="23"/>
      <c r="D312" s="24"/>
      <c r="E312" s="25"/>
      <c r="F312" s="26"/>
      <c r="G312" s="27"/>
      <c r="H312" s="20"/>
      <c r="I312" s="21"/>
      <c r="J312" s="28"/>
      <c r="K312" s="19"/>
    </row>
    <row r="313" spans="1:11" ht="13.2">
      <c r="A313" s="22"/>
      <c r="B313" s="16"/>
      <c r="C313" s="23"/>
      <c r="D313" s="24"/>
      <c r="E313" s="25"/>
      <c r="F313" s="26"/>
      <c r="G313" s="27"/>
      <c r="H313" s="20"/>
      <c r="I313" s="21"/>
      <c r="J313" s="28"/>
      <c r="K313" s="19"/>
    </row>
    <row r="314" spans="1:11" ht="13.2">
      <c r="A314" s="22"/>
      <c r="B314" s="16"/>
      <c r="C314" s="23"/>
      <c r="D314" s="24"/>
      <c r="E314" s="25"/>
      <c r="F314" s="26"/>
      <c r="G314" s="27"/>
      <c r="H314" s="20"/>
      <c r="I314" s="21"/>
      <c r="J314" s="28"/>
      <c r="K314" s="19"/>
    </row>
    <row r="315" spans="1:11" ht="13.2">
      <c r="A315" s="22"/>
      <c r="B315" s="16"/>
      <c r="C315" s="23"/>
      <c r="D315" s="24"/>
      <c r="E315" s="25"/>
      <c r="F315" s="26"/>
      <c r="G315" s="27"/>
      <c r="H315" s="20"/>
      <c r="I315" s="21"/>
      <c r="J315" s="28"/>
      <c r="K315" s="19"/>
    </row>
    <row r="316" spans="1:11" ht="13.2">
      <c r="A316" s="22"/>
      <c r="B316" s="16"/>
      <c r="C316" s="23"/>
      <c r="D316" s="24"/>
      <c r="E316" s="25"/>
      <c r="F316" s="26"/>
      <c r="G316" s="27"/>
      <c r="H316" s="20"/>
      <c r="I316" s="21"/>
      <c r="J316" s="28"/>
      <c r="K316" s="19"/>
    </row>
    <row r="317" spans="1:11" ht="13.2">
      <c r="A317" s="22"/>
      <c r="B317" s="16"/>
      <c r="C317" s="23"/>
      <c r="D317" s="24"/>
      <c r="E317" s="25"/>
      <c r="F317" s="26"/>
      <c r="G317" s="27"/>
      <c r="H317" s="20"/>
      <c r="I317" s="21"/>
      <c r="J317" s="28"/>
      <c r="K317" s="19"/>
    </row>
    <row r="318" spans="1:11" ht="13.2">
      <c r="A318" s="22"/>
      <c r="B318" s="16"/>
      <c r="C318" s="23"/>
      <c r="D318" s="24"/>
      <c r="E318" s="25"/>
      <c r="F318" s="26"/>
      <c r="G318" s="27"/>
      <c r="H318" s="20"/>
      <c r="I318" s="21"/>
      <c r="J318" s="28"/>
      <c r="K318" s="19"/>
    </row>
    <row r="319" spans="1:11" ht="13.2">
      <c r="A319" s="22"/>
      <c r="B319" s="16"/>
      <c r="C319" s="23"/>
      <c r="D319" s="24"/>
      <c r="E319" s="25"/>
      <c r="F319" s="26"/>
      <c r="G319" s="27"/>
      <c r="H319" s="20"/>
      <c r="I319" s="21"/>
      <c r="J319" s="28"/>
      <c r="K319" s="19"/>
    </row>
    <row r="320" spans="1:11" ht="13.2">
      <c r="A320" s="22"/>
      <c r="B320" s="16"/>
      <c r="C320" s="23"/>
      <c r="D320" s="24"/>
      <c r="E320" s="25"/>
      <c r="F320" s="26"/>
      <c r="G320" s="27"/>
      <c r="H320" s="20"/>
      <c r="I320" s="21"/>
      <c r="J320" s="28"/>
      <c r="K320" s="19"/>
    </row>
    <row r="321" spans="1:11" ht="13.2">
      <c r="A321" s="22"/>
      <c r="B321" s="16"/>
      <c r="C321" s="23"/>
      <c r="D321" s="24"/>
      <c r="E321" s="25"/>
      <c r="F321" s="26"/>
      <c r="G321" s="27"/>
      <c r="H321" s="20"/>
      <c r="I321" s="21"/>
      <c r="J321" s="28"/>
      <c r="K321" s="19"/>
    </row>
    <row r="322" spans="1:11" ht="13.2">
      <c r="A322" s="22"/>
      <c r="B322" s="16"/>
      <c r="C322" s="23"/>
      <c r="D322" s="24"/>
      <c r="E322" s="25"/>
      <c r="F322" s="26"/>
      <c r="G322" s="27"/>
      <c r="H322" s="20"/>
      <c r="I322" s="21"/>
      <c r="J322" s="28"/>
      <c r="K322" s="19"/>
    </row>
    <row r="323" spans="1:11" ht="13.2">
      <c r="A323" s="22"/>
      <c r="B323" s="16"/>
      <c r="C323" s="23"/>
      <c r="D323" s="24"/>
      <c r="E323" s="25"/>
      <c r="F323" s="26"/>
      <c r="G323" s="27"/>
      <c r="H323" s="20"/>
      <c r="I323" s="21"/>
      <c r="J323" s="28"/>
      <c r="K323" s="19"/>
    </row>
    <row r="324" spans="1:11" ht="13.2">
      <c r="A324" s="22"/>
      <c r="B324" s="16"/>
      <c r="C324" s="23"/>
      <c r="D324" s="24"/>
      <c r="E324" s="25"/>
      <c r="F324" s="26"/>
      <c r="G324" s="27"/>
      <c r="H324" s="20"/>
      <c r="I324" s="21"/>
      <c r="J324" s="28"/>
      <c r="K324" s="19"/>
    </row>
    <row r="325" spans="1:11" ht="13.2">
      <c r="A325" s="22"/>
      <c r="B325" s="16"/>
      <c r="C325" s="23"/>
      <c r="D325" s="24"/>
      <c r="E325" s="25"/>
      <c r="F325" s="26"/>
      <c r="G325" s="27"/>
      <c r="H325" s="20"/>
      <c r="I325" s="21"/>
      <c r="J325" s="28"/>
      <c r="K325" s="19"/>
    </row>
    <row r="326" spans="1:11" ht="13.2">
      <c r="A326" s="22"/>
      <c r="B326" s="16"/>
      <c r="C326" s="23"/>
      <c r="D326" s="24"/>
      <c r="E326" s="25"/>
      <c r="F326" s="26"/>
      <c r="G326" s="27"/>
      <c r="H326" s="20"/>
      <c r="I326" s="21"/>
      <c r="J326" s="28"/>
      <c r="K326" s="19"/>
    </row>
    <row r="327" spans="1:11" ht="13.2">
      <c r="A327" s="22"/>
      <c r="B327" s="16"/>
      <c r="C327" s="23"/>
      <c r="D327" s="24"/>
      <c r="E327" s="25"/>
      <c r="F327" s="26"/>
      <c r="G327" s="27"/>
      <c r="H327" s="20"/>
      <c r="I327" s="21"/>
      <c r="J327" s="28"/>
      <c r="K327" s="19"/>
    </row>
    <row r="328" spans="1:11" ht="13.2">
      <c r="A328" s="22"/>
      <c r="B328" s="16"/>
      <c r="C328" s="23"/>
      <c r="D328" s="24"/>
      <c r="E328" s="25"/>
      <c r="F328" s="26"/>
      <c r="G328" s="27"/>
      <c r="H328" s="20"/>
      <c r="I328" s="21"/>
      <c r="J328" s="28"/>
      <c r="K328" s="19"/>
    </row>
    <row r="329" spans="1:11" ht="13.2">
      <c r="A329" s="22"/>
      <c r="B329" s="16"/>
      <c r="C329" s="23"/>
      <c r="D329" s="24"/>
      <c r="E329" s="25"/>
      <c r="F329" s="26"/>
      <c r="G329" s="27"/>
      <c r="H329" s="20"/>
      <c r="I329" s="21"/>
      <c r="J329" s="28"/>
      <c r="K329" s="19"/>
    </row>
    <row r="330" spans="1:11" ht="13.2">
      <c r="A330" s="22"/>
      <c r="B330" s="16"/>
      <c r="C330" s="23"/>
      <c r="D330" s="24"/>
      <c r="E330" s="25"/>
      <c r="F330" s="26"/>
      <c r="G330" s="27"/>
      <c r="H330" s="20"/>
      <c r="I330" s="21"/>
      <c r="J330" s="28"/>
      <c r="K330" s="19"/>
    </row>
    <row r="331" spans="1:11" ht="13.2">
      <c r="A331" s="22"/>
      <c r="B331" s="16"/>
      <c r="C331" s="23"/>
      <c r="D331" s="24"/>
      <c r="E331" s="25"/>
      <c r="F331" s="26"/>
      <c r="G331" s="27"/>
      <c r="H331" s="20"/>
      <c r="I331" s="21"/>
      <c r="J331" s="28"/>
      <c r="K331" s="19"/>
    </row>
    <row r="332" spans="1:11" ht="13.2">
      <c r="A332" s="22"/>
      <c r="B332" s="16"/>
      <c r="C332" s="23"/>
      <c r="D332" s="24"/>
      <c r="E332" s="25"/>
      <c r="F332" s="26"/>
      <c r="G332" s="27"/>
      <c r="H332" s="20"/>
      <c r="I332" s="21"/>
      <c r="J332" s="28"/>
      <c r="K332" s="19"/>
    </row>
    <row r="333" spans="1:11" ht="13.2">
      <c r="A333" s="22"/>
      <c r="B333" s="16"/>
      <c r="C333" s="23"/>
      <c r="D333" s="24"/>
      <c r="E333" s="25"/>
      <c r="F333" s="26"/>
      <c r="G333" s="27"/>
      <c r="H333" s="20"/>
      <c r="I333" s="21"/>
      <c r="J333" s="28"/>
      <c r="K333" s="19"/>
    </row>
    <row r="334" spans="1:11" ht="13.2">
      <c r="A334" s="22"/>
      <c r="B334" s="16"/>
      <c r="C334" s="23"/>
      <c r="D334" s="24"/>
      <c r="E334" s="25"/>
      <c r="F334" s="26"/>
      <c r="G334" s="27"/>
      <c r="H334" s="20"/>
      <c r="I334" s="21"/>
      <c r="J334" s="28"/>
      <c r="K334" s="19"/>
    </row>
    <row r="335" spans="1:11" ht="13.2">
      <c r="A335" s="22"/>
      <c r="B335" s="16"/>
      <c r="C335" s="23"/>
      <c r="D335" s="24"/>
      <c r="E335" s="25"/>
      <c r="F335" s="26"/>
      <c r="G335" s="27"/>
      <c r="H335" s="20"/>
      <c r="I335" s="21"/>
      <c r="J335" s="28"/>
      <c r="K335" s="19"/>
    </row>
    <row r="336" spans="1:11" ht="13.2">
      <c r="A336" s="22"/>
      <c r="B336" s="16"/>
      <c r="C336" s="23"/>
      <c r="D336" s="24"/>
      <c r="E336" s="25"/>
      <c r="F336" s="26"/>
      <c r="G336" s="27"/>
      <c r="H336" s="20"/>
      <c r="I336" s="21"/>
      <c r="J336" s="28"/>
      <c r="K336" s="19"/>
    </row>
    <row r="337" spans="1:11" ht="13.2">
      <c r="A337" s="22"/>
      <c r="B337" s="16"/>
      <c r="C337" s="23"/>
      <c r="D337" s="24"/>
      <c r="E337" s="25"/>
      <c r="F337" s="26"/>
      <c r="G337" s="27"/>
      <c r="H337" s="20"/>
      <c r="I337" s="21"/>
      <c r="J337" s="28"/>
      <c r="K337" s="19"/>
    </row>
    <row r="338" spans="1:11" ht="13.2">
      <c r="A338" s="22"/>
      <c r="B338" s="16"/>
      <c r="C338" s="23"/>
      <c r="D338" s="24"/>
      <c r="E338" s="25"/>
      <c r="F338" s="26"/>
      <c r="G338" s="27"/>
      <c r="H338" s="20"/>
      <c r="I338" s="21"/>
      <c r="J338" s="28"/>
      <c r="K338" s="19"/>
    </row>
    <row r="339" spans="1:11" ht="13.2">
      <c r="A339" s="22"/>
      <c r="B339" s="16"/>
      <c r="C339" s="23"/>
      <c r="D339" s="24"/>
      <c r="E339" s="25"/>
      <c r="F339" s="26"/>
      <c r="G339" s="27"/>
      <c r="H339" s="20"/>
      <c r="I339" s="21"/>
      <c r="J339" s="28"/>
      <c r="K339" s="19"/>
    </row>
    <row r="340" spans="1:11" ht="13.2">
      <c r="A340" s="22"/>
      <c r="B340" s="16"/>
      <c r="C340" s="23"/>
      <c r="D340" s="24"/>
      <c r="E340" s="25"/>
      <c r="F340" s="26"/>
      <c r="G340" s="27"/>
      <c r="H340" s="20"/>
      <c r="I340" s="21"/>
      <c r="J340" s="28"/>
      <c r="K340" s="19"/>
    </row>
    <row r="341" spans="1:11" ht="13.2">
      <c r="A341" s="22"/>
      <c r="B341" s="16"/>
      <c r="C341" s="23"/>
      <c r="D341" s="24"/>
      <c r="E341" s="25"/>
      <c r="F341" s="26"/>
      <c r="G341" s="27"/>
      <c r="H341" s="20"/>
      <c r="I341" s="21"/>
      <c r="J341" s="28"/>
      <c r="K341" s="19"/>
    </row>
    <row r="342" spans="1:11" ht="13.2">
      <c r="A342" s="22"/>
      <c r="B342" s="16"/>
      <c r="C342" s="23"/>
      <c r="D342" s="24"/>
      <c r="E342" s="25"/>
      <c r="F342" s="26"/>
      <c r="G342" s="27"/>
      <c r="H342" s="20"/>
      <c r="I342" s="21"/>
      <c r="J342" s="28"/>
      <c r="K342" s="19"/>
    </row>
    <row r="343" spans="1:11" ht="13.2">
      <c r="A343" s="22"/>
      <c r="B343" s="16"/>
      <c r="C343" s="23"/>
      <c r="D343" s="24"/>
      <c r="E343" s="25"/>
      <c r="F343" s="26"/>
      <c r="G343" s="27"/>
      <c r="H343" s="20"/>
      <c r="I343" s="21"/>
      <c r="J343" s="28"/>
      <c r="K343" s="19"/>
    </row>
    <row r="344" spans="1:11" ht="13.2">
      <c r="A344" s="22"/>
      <c r="B344" s="16"/>
      <c r="C344" s="23"/>
      <c r="D344" s="24"/>
      <c r="E344" s="25"/>
      <c r="F344" s="26"/>
      <c r="G344" s="27"/>
      <c r="H344" s="20"/>
      <c r="I344" s="21"/>
      <c r="J344" s="28"/>
      <c r="K344" s="19"/>
    </row>
    <row r="345" spans="1:11" ht="13.2">
      <c r="A345" s="22"/>
      <c r="B345" s="16"/>
      <c r="C345" s="23"/>
      <c r="D345" s="24"/>
      <c r="E345" s="25"/>
      <c r="F345" s="26"/>
      <c r="G345" s="27"/>
      <c r="H345" s="20"/>
      <c r="I345" s="21"/>
      <c r="J345" s="28"/>
      <c r="K345" s="19"/>
    </row>
    <row r="346" spans="1:11" ht="13.2">
      <c r="A346" s="22"/>
      <c r="B346" s="16"/>
      <c r="C346" s="23"/>
      <c r="D346" s="24"/>
      <c r="E346" s="25"/>
      <c r="F346" s="26"/>
      <c r="G346" s="27"/>
      <c r="H346" s="20"/>
      <c r="I346" s="21"/>
      <c r="J346" s="28"/>
      <c r="K346" s="19"/>
    </row>
    <row r="347" spans="1:11" ht="13.2">
      <c r="A347" s="22"/>
      <c r="B347" s="16"/>
      <c r="C347" s="23"/>
      <c r="D347" s="24"/>
      <c r="E347" s="25"/>
      <c r="F347" s="26"/>
      <c r="G347" s="27"/>
      <c r="H347" s="20"/>
      <c r="I347" s="21"/>
      <c r="J347" s="28"/>
      <c r="K347" s="19"/>
    </row>
    <row r="348" spans="1:11" ht="13.2">
      <c r="A348" s="22"/>
      <c r="B348" s="16"/>
      <c r="C348" s="23"/>
      <c r="D348" s="24"/>
      <c r="E348" s="25"/>
      <c r="F348" s="26"/>
      <c r="G348" s="27"/>
      <c r="H348" s="20"/>
      <c r="I348" s="21"/>
      <c r="J348" s="28"/>
      <c r="K348" s="19"/>
    </row>
    <row r="349" spans="1:11" ht="13.2">
      <c r="A349" s="22"/>
      <c r="B349" s="16"/>
      <c r="C349" s="23"/>
      <c r="D349" s="24"/>
      <c r="E349" s="25"/>
      <c r="F349" s="26"/>
      <c r="G349" s="27"/>
      <c r="H349" s="20"/>
      <c r="I349" s="21"/>
      <c r="J349" s="28"/>
      <c r="K349" s="19"/>
    </row>
    <row r="350" spans="1:11" ht="13.2">
      <c r="A350" s="22"/>
      <c r="B350" s="16"/>
      <c r="C350" s="23"/>
      <c r="D350" s="24"/>
      <c r="E350" s="25"/>
      <c r="F350" s="26"/>
      <c r="G350" s="27"/>
      <c r="H350" s="20"/>
      <c r="I350" s="21"/>
      <c r="J350" s="28"/>
      <c r="K350" s="19"/>
    </row>
    <row r="351" spans="1:11" ht="13.2">
      <c r="A351" s="22"/>
      <c r="B351" s="16"/>
      <c r="C351" s="23"/>
      <c r="D351" s="24"/>
      <c r="E351" s="25"/>
      <c r="F351" s="26"/>
      <c r="G351" s="27"/>
      <c r="H351" s="20"/>
      <c r="I351" s="21"/>
      <c r="J351" s="28"/>
      <c r="K351" s="19"/>
    </row>
    <row r="352" spans="1:11" ht="13.2">
      <c r="A352" s="22"/>
      <c r="B352" s="16"/>
      <c r="C352" s="23"/>
      <c r="D352" s="24"/>
      <c r="E352" s="25"/>
      <c r="F352" s="26"/>
      <c r="G352" s="27"/>
      <c r="H352" s="20"/>
      <c r="I352" s="21"/>
      <c r="J352" s="28"/>
      <c r="K352" s="19"/>
    </row>
    <row r="353" spans="1:11" ht="13.2">
      <c r="A353" s="22"/>
      <c r="B353" s="16"/>
      <c r="C353" s="23"/>
      <c r="D353" s="24"/>
      <c r="E353" s="25"/>
      <c r="F353" s="26"/>
      <c r="G353" s="27"/>
      <c r="H353" s="20"/>
      <c r="I353" s="21"/>
      <c r="J353" s="28"/>
      <c r="K353" s="19"/>
    </row>
    <row r="354" spans="1:11" ht="13.2">
      <c r="A354" s="22"/>
      <c r="B354" s="16"/>
      <c r="C354" s="23"/>
      <c r="D354" s="24"/>
      <c r="E354" s="25"/>
      <c r="F354" s="26"/>
      <c r="G354" s="27"/>
      <c r="H354" s="20"/>
      <c r="I354" s="21"/>
      <c r="J354" s="28"/>
      <c r="K354" s="19"/>
    </row>
    <row r="355" spans="1:11" ht="13.2">
      <c r="A355" s="22"/>
      <c r="B355" s="16"/>
      <c r="C355" s="23"/>
      <c r="D355" s="24"/>
      <c r="E355" s="25"/>
      <c r="F355" s="26"/>
      <c r="G355" s="27"/>
      <c r="H355" s="20"/>
      <c r="I355" s="21"/>
      <c r="J355" s="28"/>
      <c r="K355" s="19"/>
    </row>
    <row r="356" spans="1:11" ht="13.2">
      <c r="A356" s="22"/>
      <c r="B356" s="16"/>
      <c r="C356" s="23"/>
      <c r="D356" s="24"/>
      <c r="E356" s="25"/>
      <c r="F356" s="26"/>
      <c r="G356" s="27"/>
      <c r="H356" s="20"/>
      <c r="I356" s="21"/>
      <c r="J356" s="28"/>
      <c r="K356" s="19"/>
    </row>
    <row r="357" spans="1:11" ht="13.2">
      <c r="A357" s="22"/>
      <c r="B357" s="16"/>
      <c r="C357" s="23"/>
      <c r="D357" s="24"/>
      <c r="E357" s="25"/>
      <c r="F357" s="26"/>
      <c r="G357" s="27"/>
      <c r="H357" s="20"/>
      <c r="I357" s="21"/>
      <c r="J357" s="28"/>
      <c r="K357" s="19"/>
    </row>
    <row r="358" spans="1:11" ht="13.2">
      <c r="A358" s="22"/>
      <c r="B358" s="16"/>
      <c r="C358" s="23"/>
      <c r="D358" s="24"/>
      <c r="E358" s="25"/>
      <c r="F358" s="26"/>
      <c r="G358" s="27"/>
      <c r="H358" s="20"/>
      <c r="I358" s="21"/>
      <c r="J358" s="28"/>
      <c r="K358" s="19"/>
    </row>
    <row r="359" spans="1:11" ht="13.2">
      <c r="A359" s="22"/>
      <c r="B359" s="16"/>
      <c r="C359" s="23"/>
      <c r="D359" s="24"/>
      <c r="E359" s="25"/>
      <c r="F359" s="26"/>
      <c r="G359" s="27"/>
      <c r="H359" s="20"/>
      <c r="I359" s="21"/>
      <c r="J359" s="28"/>
      <c r="K359" s="19"/>
    </row>
    <row r="360" spans="1:11" ht="13.2">
      <c r="A360" s="22"/>
      <c r="B360" s="16"/>
      <c r="C360" s="23"/>
      <c r="D360" s="24"/>
      <c r="E360" s="25"/>
      <c r="F360" s="26"/>
      <c r="G360" s="27"/>
      <c r="H360" s="20"/>
      <c r="I360" s="21"/>
      <c r="J360" s="28"/>
      <c r="K360" s="19"/>
    </row>
    <row r="361" spans="1:11" ht="13.2">
      <c r="A361" s="22"/>
      <c r="B361" s="16"/>
      <c r="C361" s="23"/>
      <c r="D361" s="24"/>
      <c r="E361" s="25"/>
      <c r="F361" s="26"/>
      <c r="G361" s="27"/>
      <c r="H361" s="20"/>
      <c r="I361" s="21"/>
      <c r="J361" s="28"/>
      <c r="K361" s="19"/>
    </row>
    <row r="362" spans="1:11" ht="13.2">
      <c r="A362" s="22"/>
      <c r="B362" s="16"/>
      <c r="C362" s="23"/>
      <c r="D362" s="24"/>
      <c r="E362" s="25"/>
      <c r="F362" s="26"/>
      <c r="G362" s="27"/>
      <c r="H362" s="20"/>
      <c r="I362" s="21"/>
      <c r="J362" s="28"/>
      <c r="K362" s="19"/>
    </row>
    <row r="363" spans="1:11" ht="13.2">
      <c r="A363" s="22"/>
      <c r="B363" s="16"/>
      <c r="C363" s="23"/>
      <c r="D363" s="24"/>
      <c r="E363" s="25"/>
      <c r="F363" s="26"/>
      <c r="G363" s="27"/>
      <c r="H363" s="20"/>
      <c r="I363" s="21"/>
      <c r="J363" s="28"/>
      <c r="K363" s="19"/>
    </row>
    <row r="364" spans="1:11" ht="13.2">
      <c r="A364" s="22"/>
      <c r="B364" s="16"/>
      <c r="C364" s="23"/>
      <c r="D364" s="24"/>
      <c r="E364" s="25"/>
      <c r="F364" s="26"/>
      <c r="G364" s="27"/>
      <c r="H364" s="20"/>
      <c r="I364" s="21"/>
      <c r="J364" s="28"/>
      <c r="K364" s="19"/>
    </row>
    <row r="365" spans="1:11" ht="13.2">
      <c r="A365" s="22"/>
      <c r="B365" s="16"/>
      <c r="C365" s="23"/>
      <c r="D365" s="24"/>
      <c r="E365" s="25"/>
      <c r="F365" s="26"/>
      <c r="G365" s="27"/>
      <c r="H365" s="20"/>
      <c r="I365" s="21"/>
      <c r="J365" s="28"/>
      <c r="K365" s="19"/>
    </row>
    <row r="366" spans="1:11" ht="13.2">
      <c r="A366" s="22"/>
      <c r="B366" s="16"/>
      <c r="C366" s="23"/>
      <c r="D366" s="24"/>
      <c r="E366" s="25"/>
      <c r="F366" s="26"/>
      <c r="G366" s="27"/>
      <c r="H366" s="20"/>
      <c r="I366" s="21"/>
      <c r="J366" s="28"/>
      <c r="K366" s="19"/>
    </row>
    <row r="367" spans="1:11" ht="13.2">
      <c r="A367" s="22"/>
      <c r="B367" s="16"/>
      <c r="C367" s="23"/>
      <c r="D367" s="24"/>
      <c r="E367" s="25"/>
      <c r="F367" s="26"/>
      <c r="G367" s="27"/>
      <c r="H367" s="20"/>
      <c r="I367" s="21"/>
      <c r="J367" s="28"/>
      <c r="K367" s="19"/>
    </row>
    <row r="368" spans="1:11" ht="13.2">
      <c r="A368" s="22"/>
      <c r="B368" s="16"/>
      <c r="C368" s="23"/>
      <c r="D368" s="24"/>
      <c r="E368" s="25"/>
      <c r="F368" s="26"/>
      <c r="G368" s="27"/>
      <c r="H368" s="20"/>
      <c r="I368" s="21"/>
      <c r="J368" s="28"/>
      <c r="K368" s="19"/>
    </row>
    <row r="369" spans="1:11" ht="13.2">
      <c r="A369" s="22"/>
      <c r="B369" s="16"/>
      <c r="C369" s="23"/>
      <c r="D369" s="24"/>
      <c r="E369" s="25"/>
      <c r="F369" s="26"/>
      <c r="G369" s="27"/>
      <c r="H369" s="20"/>
      <c r="I369" s="21"/>
      <c r="J369" s="28"/>
      <c r="K369" s="19"/>
    </row>
    <row r="370" spans="1:11" ht="13.2">
      <c r="A370" s="22"/>
      <c r="B370" s="16"/>
      <c r="C370" s="23"/>
      <c r="D370" s="24"/>
      <c r="E370" s="25"/>
      <c r="F370" s="26"/>
      <c r="G370" s="27"/>
      <c r="H370" s="20"/>
      <c r="I370" s="21"/>
      <c r="J370" s="28"/>
      <c r="K370" s="19"/>
    </row>
    <row r="371" spans="1:11" ht="13.2">
      <c r="A371" s="22"/>
      <c r="B371" s="16"/>
      <c r="C371" s="23"/>
      <c r="D371" s="24"/>
      <c r="E371" s="25"/>
      <c r="F371" s="26"/>
      <c r="G371" s="27"/>
      <c r="H371" s="20"/>
      <c r="I371" s="21"/>
      <c r="J371" s="28"/>
      <c r="K371" s="19"/>
    </row>
    <row r="372" spans="1:11" ht="13.2">
      <c r="A372" s="22"/>
      <c r="B372" s="16"/>
      <c r="C372" s="23"/>
      <c r="D372" s="24"/>
      <c r="E372" s="25"/>
      <c r="F372" s="26"/>
      <c r="G372" s="27"/>
      <c r="H372" s="20"/>
      <c r="I372" s="21"/>
      <c r="J372" s="28"/>
      <c r="K372" s="19"/>
    </row>
    <row r="373" spans="1:11" ht="13.2">
      <c r="A373" s="22"/>
      <c r="B373" s="16"/>
      <c r="C373" s="23"/>
      <c r="D373" s="24"/>
      <c r="E373" s="25"/>
      <c r="F373" s="26"/>
      <c r="G373" s="27"/>
      <c r="H373" s="20"/>
      <c r="I373" s="21"/>
      <c r="J373" s="28"/>
      <c r="K373" s="19"/>
    </row>
    <row r="374" spans="1:11" ht="13.2">
      <c r="A374" s="22"/>
      <c r="B374" s="16"/>
      <c r="C374" s="23"/>
      <c r="D374" s="24"/>
      <c r="E374" s="25"/>
      <c r="F374" s="26"/>
      <c r="G374" s="27"/>
      <c r="H374" s="20"/>
      <c r="I374" s="21"/>
      <c r="J374" s="28"/>
      <c r="K374" s="19"/>
    </row>
    <row r="375" spans="1:11" ht="13.2">
      <c r="A375" s="22"/>
      <c r="B375" s="16"/>
      <c r="C375" s="23"/>
      <c r="D375" s="24"/>
      <c r="E375" s="25"/>
      <c r="F375" s="26"/>
      <c r="G375" s="27"/>
      <c r="H375" s="20"/>
      <c r="I375" s="21"/>
      <c r="J375" s="28"/>
      <c r="K375" s="19"/>
    </row>
    <row r="376" spans="1:11" ht="13.2">
      <c r="A376" s="22"/>
      <c r="B376" s="16"/>
      <c r="C376" s="23"/>
      <c r="D376" s="24"/>
      <c r="E376" s="25"/>
      <c r="F376" s="26"/>
      <c r="G376" s="27"/>
      <c r="H376" s="20"/>
      <c r="I376" s="21"/>
      <c r="J376" s="28"/>
      <c r="K376" s="19"/>
    </row>
    <row r="377" spans="1:11" ht="13.2">
      <c r="A377" s="22"/>
      <c r="B377" s="16"/>
      <c r="C377" s="23"/>
      <c r="D377" s="24"/>
      <c r="E377" s="25"/>
      <c r="F377" s="26"/>
      <c r="G377" s="27"/>
      <c r="H377" s="20"/>
      <c r="I377" s="21"/>
      <c r="J377" s="28"/>
      <c r="K377" s="19"/>
    </row>
    <row r="378" spans="1:11" ht="13.2">
      <c r="A378" s="22"/>
      <c r="B378" s="16"/>
      <c r="C378" s="23"/>
      <c r="D378" s="24"/>
      <c r="E378" s="25"/>
      <c r="F378" s="26"/>
      <c r="G378" s="27"/>
      <c r="H378" s="20"/>
      <c r="I378" s="21"/>
      <c r="J378" s="28"/>
      <c r="K378" s="19"/>
    </row>
    <row r="379" spans="1:11" ht="13.2">
      <c r="A379" s="22"/>
      <c r="B379" s="16"/>
      <c r="C379" s="23"/>
      <c r="D379" s="24"/>
      <c r="E379" s="25"/>
      <c r="F379" s="26"/>
      <c r="G379" s="27"/>
      <c r="H379" s="20"/>
      <c r="I379" s="21"/>
      <c r="J379" s="28"/>
      <c r="K379" s="19"/>
    </row>
    <row r="380" spans="1:11" ht="13.2">
      <c r="A380" s="22"/>
      <c r="B380" s="16"/>
      <c r="C380" s="23"/>
      <c r="D380" s="24"/>
      <c r="E380" s="25"/>
      <c r="F380" s="26"/>
      <c r="G380" s="27"/>
      <c r="H380" s="20"/>
      <c r="I380" s="21"/>
      <c r="J380" s="28"/>
      <c r="K380" s="19"/>
    </row>
    <row r="381" spans="1:11" ht="13.2">
      <c r="A381" s="22"/>
      <c r="B381" s="16"/>
      <c r="C381" s="23"/>
      <c r="D381" s="24"/>
      <c r="E381" s="25"/>
      <c r="F381" s="26"/>
      <c r="G381" s="27"/>
      <c r="H381" s="20"/>
      <c r="I381" s="21"/>
      <c r="J381" s="28"/>
      <c r="K381" s="19"/>
    </row>
    <row r="382" spans="1:11" ht="13.2">
      <c r="A382" s="22"/>
      <c r="B382" s="16"/>
      <c r="C382" s="23"/>
      <c r="D382" s="24"/>
      <c r="E382" s="25"/>
      <c r="F382" s="26"/>
      <c r="G382" s="27"/>
      <c r="H382" s="20"/>
      <c r="I382" s="21"/>
      <c r="J382" s="28"/>
      <c r="K382" s="19"/>
    </row>
    <row r="383" spans="1:11" ht="13.2">
      <c r="A383" s="22"/>
      <c r="B383" s="16"/>
      <c r="C383" s="23"/>
      <c r="D383" s="24"/>
      <c r="E383" s="25"/>
      <c r="F383" s="26"/>
      <c r="G383" s="27"/>
      <c r="H383" s="20"/>
      <c r="I383" s="21"/>
      <c r="J383" s="28"/>
      <c r="K383" s="19"/>
    </row>
    <row r="384" spans="1:11" ht="13.2">
      <c r="A384" s="22"/>
      <c r="B384" s="16"/>
      <c r="C384" s="23"/>
      <c r="D384" s="24"/>
      <c r="E384" s="25"/>
      <c r="F384" s="26"/>
      <c r="G384" s="27"/>
      <c r="H384" s="20"/>
      <c r="I384" s="21"/>
      <c r="J384" s="28"/>
      <c r="K384" s="19"/>
    </row>
    <row r="385" spans="1:11" ht="13.2">
      <c r="A385" s="22"/>
      <c r="B385" s="16"/>
      <c r="C385" s="23"/>
      <c r="D385" s="24"/>
      <c r="E385" s="25"/>
      <c r="F385" s="26"/>
      <c r="G385" s="27"/>
      <c r="H385" s="20"/>
      <c r="I385" s="21"/>
      <c r="J385" s="28"/>
      <c r="K385" s="19"/>
    </row>
    <row r="386" spans="1:11" ht="13.2">
      <c r="A386" s="22"/>
      <c r="B386" s="16"/>
      <c r="C386" s="23"/>
      <c r="D386" s="24"/>
      <c r="E386" s="25"/>
      <c r="F386" s="26"/>
      <c r="G386" s="27"/>
      <c r="H386" s="20"/>
      <c r="I386" s="21"/>
      <c r="J386" s="28"/>
      <c r="K386" s="19"/>
    </row>
    <row r="387" spans="1:11" ht="13.2">
      <c r="A387" s="22"/>
      <c r="B387" s="16"/>
      <c r="C387" s="23"/>
      <c r="D387" s="24"/>
      <c r="E387" s="25"/>
      <c r="F387" s="26"/>
      <c r="G387" s="27"/>
      <c r="H387" s="20"/>
      <c r="I387" s="21"/>
      <c r="J387" s="28"/>
      <c r="K387" s="19"/>
    </row>
    <row r="388" spans="1:11" ht="13.2">
      <c r="A388" s="22"/>
      <c r="B388" s="16"/>
      <c r="C388" s="23"/>
      <c r="D388" s="24"/>
      <c r="E388" s="25"/>
      <c r="F388" s="26"/>
      <c r="G388" s="27"/>
      <c r="H388" s="20"/>
      <c r="I388" s="21"/>
      <c r="J388" s="28"/>
      <c r="K388" s="19"/>
    </row>
    <row r="389" spans="1:11" ht="13.2">
      <c r="A389" s="22"/>
      <c r="B389" s="16"/>
      <c r="C389" s="23"/>
      <c r="D389" s="24"/>
      <c r="E389" s="25"/>
      <c r="F389" s="26"/>
      <c r="G389" s="27"/>
      <c r="H389" s="20"/>
      <c r="I389" s="21"/>
      <c r="J389" s="28"/>
      <c r="K389" s="19"/>
    </row>
    <row r="390" spans="1:11" ht="13.2">
      <c r="A390" s="22"/>
      <c r="B390" s="16"/>
      <c r="C390" s="23"/>
      <c r="D390" s="24"/>
      <c r="E390" s="25"/>
      <c r="F390" s="26"/>
      <c r="G390" s="27"/>
      <c r="H390" s="20"/>
      <c r="I390" s="21"/>
      <c r="J390" s="28"/>
      <c r="K390" s="19"/>
    </row>
    <row r="391" spans="1:11" ht="13.2">
      <c r="A391" s="22"/>
      <c r="B391" s="16"/>
      <c r="C391" s="23"/>
      <c r="D391" s="24"/>
      <c r="E391" s="25"/>
      <c r="F391" s="26"/>
      <c r="G391" s="27"/>
      <c r="H391" s="20"/>
      <c r="I391" s="21"/>
      <c r="J391" s="28"/>
      <c r="K391" s="19"/>
    </row>
    <row r="392" spans="1:11" ht="13.2">
      <c r="A392" s="22"/>
      <c r="B392" s="16"/>
      <c r="C392" s="23"/>
      <c r="D392" s="24"/>
      <c r="E392" s="25"/>
      <c r="F392" s="26"/>
      <c r="G392" s="27"/>
      <c r="H392" s="20"/>
      <c r="I392" s="21"/>
      <c r="J392" s="28"/>
      <c r="K392" s="19"/>
    </row>
    <row r="393" spans="1:11" ht="13.2">
      <c r="A393" s="22"/>
      <c r="B393" s="16"/>
      <c r="C393" s="23"/>
      <c r="D393" s="24"/>
      <c r="E393" s="25"/>
      <c r="F393" s="26"/>
      <c r="G393" s="27"/>
      <c r="H393" s="20"/>
      <c r="I393" s="21"/>
      <c r="J393" s="28"/>
      <c r="K393" s="19"/>
    </row>
    <row r="394" spans="1:11" ht="13.2">
      <c r="A394" s="22"/>
      <c r="B394" s="16"/>
      <c r="C394" s="23"/>
      <c r="D394" s="24"/>
      <c r="E394" s="25"/>
      <c r="F394" s="26"/>
      <c r="G394" s="27"/>
      <c r="H394" s="20"/>
      <c r="I394" s="21"/>
      <c r="J394" s="28"/>
      <c r="K394" s="19"/>
    </row>
    <row r="395" spans="1:11" ht="13.2">
      <c r="A395" s="22"/>
      <c r="B395" s="16"/>
      <c r="C395" s="23"/>
      <c r="D395" s="24"/>
      <c r="E395" s="25"/>
      <c r="F395" s="26"/>
      <c r="G395" s="27"/>
      <c r="H395" s="20"/>
      <c r="I395" s="21"/>
      <c r="J395" s="28"/>
      <c r="K395" s="19"/>
    </row>
    <row r="396" spans="1:11" ht="13.2">
      <c r="A396" s="22"/>
      <c r="B396" s="16"/>
      <c r="C396" s="23"/>
      <c r="D396" s="24"/>
      <c r="E396" s="25"/>
      <c r="F396" s="26"/>
      <c r="G396" s="27"/>
      <c r="H396" s="20"/>
      <c r="I396" s="21"/>
      <c r="J396" s="28"/>
      <c r="K396" s="19"/>
    </row>
    <row r="397" spans="1:11" ht="13.2">
      <c r="A397" s="22"/>
      <c r="B397" s="16"/>
      <c r="C397" s="23"/>
      <c r="D397" s="24"/>
      <c r="E397" s="25"/>
      <c r="F397" s="26"/>
      <c r="G397" s="27"/>
      <c r="H397" s="20"/>
      <c r="I397" s="21"/>
      <c r="J397" s="28"/>
      <c r="K397" s="19"/>
    </row>
    <row r="398" spans="1:11" ht="13.2">
      <c r="A398" s="22"/>
      <c r="B398" s="16"/>
      <c r="C398" s="23"/>
      <c r="D398" s="24"/>
      <c r="E398" s="25"/>
      <c r="F398" s="26"/>
      <c r="G398" s="27"/>
      <c r="H398" s="20"/>
      <c r="I398" s="21"/>
      <c r="J398" s="28"/>
      <c r="K398" s="19"/>
    </row>
    <row r="399" spans="1:11" ht="13.2">
      <c r="A399" s="22"/>
      <c r="B399" s="16"/>
      <c r="C399" s="23"/>
      <c r="D399" s="24"/>
      <c r="E399" s="25"/>
      <c r="F399" s="26"/>
      <c r="G399" s="27"/>
      <c r="H399" s="20"/>
      <c r="I399" s="21"/>
      <c r="J399" s="28"/>
      <c r="K399" s="19"/>
    </row>
    <row r="400" spans="1:11" ht="13.2">
      <c r="A400" s="22"/>
      <c r="B400" s="16"/>
      <c r="C400" s="23"/>
      <c r="D400" s="24"/>
      <c r="E400" s="25"/>
      <c r="F400" s="26"/>
      <c r="G400" s="27"/>
      <c r="H400" s="20"/>
      <c r="I400" s="21"/>
      <c r="J400" s="28"/>
      <c r="K400" s="19"/>
    </row>
    <row r="401" spans="1:11" ht="13.2">
      <c r="A401" s="22"/>
      <c r="B401" s="16"/>
      <c r="C401" s="23"/>
      <c r="D401" s="24"/>
      <c r="E401" s="25"/>
      <c r="F401" s="26"/>
      <c r="G401" s="27"/>
      <c r="H401" s="20"/>
      <c r="I401" s="21"/>
      <c r="J401" s="28"/>
      <c r="K401" s="19"/>
    </row>
    <row r="402" spans="1:11" ht="13.2">
      <c r="A402" s="22"/>
      <c r="B402" s="16"/>
      <c r="C402" s="23"/>
      <c r="D402" s="24"/>
      <c r="E402" s="25"/>
      <c r="F402" s="26"/>
      <c r="G402" s="27"/>
      <c r="H402" s="20"/>
      <c r="I402" s="21"/>
      <c r="J402" s="28"/>
      <c r="K402" s="19"/>
    </row>
    <row r="403" spans="1:11" ht="13.2">
      <c r="A403" s="22"/>
      <c r="B403" s="16"/>
      <c r="C403" s="23"/>
      <c r="D403" s="24"/>
      <c r="E403" s="25"/>
      <c r="F403" s="26"/>
      <c r="G403" s="27"/>
      <c r="H403" s="20"/>
      <c r="I403" s="21"/>
      <c r="J403" s="28"/>
      <c r="K403" s="19"/>
    </row>
    <row r="404" spans="1:11" ht="13.2">
      <c r="A404" s="22"/>
      <c r="B404" s="16"/>
      <c r="C404" s="23"/>
      <c r="D404" s="24"/>
      <c r="E404" s="25"/>
      <c r="F404" s="26"/>
      <c r="G404" s="27"/>
      <c r="H404" s="20"/>
      <c r="I404" s="21"/>
      <c r="J404" s="28"/>
      <c r="K404" s="19"/>
    </row>
    <row r="405" spans="1:11" ht="13.2">
      <c r="A405" s="22"/>
      <c r="B405" s="16"/>
      <c r="C405" s="23"/>
      <c r="D405" s="24"/>
      <c r="E405" s="25"/>
      <c r="F405" s="26"/>
      <c r="G405" s="27"/>
      <c r="H405" s="20"/>
      <c r="I405" s="21"/>
      <c r="J405" s="28"/>
      <c r="K405" s="19"/>
    </row>
    <row r="406" spans="1:11" ht="13.2">
      <c r="A406" s="22"/>
      <c r="B406" s="16"/>
      <c r="C406" s="23"/>
      <c r="D406" s="24"/>
      <c r="E406" s="25"/>
      <c r="F406" s="26"/>
      <c r="G406" s="27"/>
      <c r="H406" s="20"/>
      <c r="I406" s="21"/>
      <c r="J406" s="28"/>
      <c r="K406" s="19"/>
    </row>
    <row r="407" spans="1:11" ht="13.2">
      <c r="A407" s="22"/>
      <c r="B407" s="16"/>
      <c r="C407" s="23"/>
      <c r="D407" s="24"/>
      <c r="E407" s="25"/>
      <c r="F407" s="26"/>
      <c r="G407" s="27"/>
      <c r="H407" s="20"/>
      <c r="I407" s="21"/>
      <c r="J407" s="28"/>
      <c r="K407" s="19"/>
    </row>
    <row r="408" spans="1:11" ht="13.2">
      <c r="A408" s="22"/>
      <c r="B408" s="16"/>
      <c r="C408" s="23"/>
      <c r="D408" s="24"/>
      <c r="E408" s="25"/>
      <c r="F408" s="26"/>
      <c r="G408" s="27"/>
      <c r="H408" s="20"/>
      <c r="I408" s="21"/>
      <c r="J408" s="28"/>
      <c r="K408" s="19"/>
    </row>
    <row r="409" spans="1:11" ht="13.2">
      <c r="A409" s="22"/>
      <c r="B409" s="16"/>
      <c r="C409" s="23"/>
      <c r="D409" s="24"/>
      <c r="E409" s="25"/>
      <c r="F409" s="26"/>
      <c r="G409" s="27"/>
      <c r="H409" s="20"/>
      <c r="I409" s="21"/>
      <c r="J409" s="28"/>
      <c r="K409" s="19"/>
    </row>
    <row r="410" spans="1:11" ht="13.2">
      <c r="A410" s="22"/>
      <c r="B410" s="16"/>
      <c r="C410" s="23"/>
      <c r="D410" s="24"/>
      <c r="E410" s="25"/>
      <c r="F410" s="26"/>
      <c r="G410" s="27"/>
      <c r="H410" s="20"/>
      <c r="I410" s="21"/>
      <c r="J410" s="28"/>
      <c r="K410" s="19"/>
    </row>
    <row r="411" spans="1:11" ht="13.2">
      <c r="A411" s="22"/>
      <c r="B411" s="16"/>
      <c r="C411" s="23"/>
      <c r="D411" s="24"/>
      <c r="E411" s="25"/>
      <c r="F411" s="26"/>
      <c r="G411" s="27"/>
      <c r="H411" s="20"/>
      <c r="I411" s="21"/>
      <c r="J411" s="28"/>
      <c r="K411" s="19"/>
    </row>
    <row r="412" spans="1:11" ht="13.2">
      <c r="A412" s="22"/>
      <c r="B412" s="16"/>
      <c r="C412" s="23"/>
      <c r="D412" s="24"/>
      <c r="E412" s="25"/>
      <c r="F412" s="26"/>
      <c r="G412" s="27"/>
      <c r="H412" s="20"/>
      <c r="I412" s="21"/>
      <c r="J412" s="28"/>
      <c r="K412" s="19"/>
    </row>
    <row r="413" spans="1:11" ht="13.2">
      <c r="A413" s="22"/>
      <c r="B413" s="16"/>
      <c r="C413" s="23"/>
      <c r="D413" s="24"/>
      <c r="E413" s="25"/>
      <c r="F413" s="26"/>
      <c r="G413" s="27"/>
      <c r="H413" s="20"/>
      <c r="I413" s="21"/>
      <c r="J413" s="28"/>
      <c r="K413" s="19"/>
    </row>
    <row r="414" spans="1:11" ht="13.2">
      <c r="A414" s="22"/>
      <c r="B414" s="16"/>
      <c r="C414" s="23"/>
      <c r="D414" s="24"/>
      <c r="E414" s="25"/>
      <c r="F414" s="26"/>
      <c r="G414" s="27"/>
      <c r="H414" s="20"/>
      <c r="I414" s="21"/>
      <c r="J414" s="28"/>
      <c r="K414" s="19"/>
    </row>
    <row r="415" spans="1:11" ht="13.2">
      <c r="A415" s="22"/>
      <c r="B415" s="16"/>
      <c r="C415" s="23"/>
      <c r="D415" s="24"/>
      <c r="E415" s="25"/>
      <c r="F415" s="26"/>
      <c r="G415" s="27"/>
      <c r="H415" s="20"/>
      <c r="I415" s="21"/>
      <c r="J415" s="28"/>
      <c r="K415" s="19"/>
    </row>
    <row r="416" spans="1:11" ht="13.2">
      <c r="A416" s="22"/>
      <c r="B416" s="16"/>
      <c r="C416" s="23"/>
      <c r="D416" s="24"/>
      <c r="E416" s="25"/>
      <c r="F416" s="26"/>
      <c r="G416" s="27"/>
      <c r="H416" s="20"/>
      <c r="I416" s="21"/>
      <c r="J416" s="28"/>
      <c r="K416" s="19"/>
    </row>
    <row r="417" spans="1:11" ht="13.2">
      <c r="A417" s="22"/>
      <c r="B417" s="16"/>
      <c r="C417" s="23"/>
      <c r="D417" s="24"/>
      <c r="E417" s="25"/>
      <c r="F417" s="26"/>
      <c r="G417" s="27"/>
      <c r="H417" s="20"/>
      <c r="I417" s="21"/>
      <c r="J417" s="28"/>
      <c r="K417" s="19"/>
    </row>
    <row r="418" spans="1:11" ht="13.2">
      <c r="A418" s="22"/>
      <c r="B418" s="16"/>
      <c r="C418" s="23"/>
      <c r="D418" s="24"/>
      <c r="E418" s="25"/>
      <c r="F418" s="26"/>
      <c r="G418" s="27"/>
      <c r="H418" s="20"/>
      <c r="I418" s="21"/>
      <c r="J418" s="28"/>
      <c r="K418" s="19"/>
    </row>
    <row r="419" spans="1:11" ht="13.2">
      <c r="A419" s="22"/>
      <c r="B419" s="16"/>
      <c r="C419" s="23"/>
      <c r="D419" s="24"/>
      <c r="E419" s="25"/>
      <c r="F419" s="26"/>
      <c r="G419" s="27"/>
      <c r="H419" s="20"/>
      <c r="I419" s="21"/>
      <c r="J419" s="28"/>
      <c r="K419" s="19"/>
    </row>
    <row r="420" spans="1:11" ht="13.2">
      <c r="A420" s="22"/>
      <c r="B420" s="16"/>
      <c r="C420" s="23"/>
      <c r="D420" s="24"/>
      <c r="E420" s="25"/>
      <c r="F420" s="26"/>
      <c r="G420" s="27"/>
      <c r="H420" s="20"/>
      <c r="I420" s="21"/>
      <c r="J420" s="28"/>
      <c r="K420" s="19"/>
    </row>
    <row r="421" spans="1:11" ht="13.2">
      <c r="A421" s="22"/>
      <c r="B421" s="16"/>
      <c r="C421" s="23"/>
      <c r="D421" s="24"/>
      <c r="E421" s="25"/>
      <c r="F421" s="26"/>
      <c r="G421" s="27"/>
      <c r="H421" s="20"/>
      <c r="I421" s="21"/>
      <c r="J421" s="28"/>
      <c r="K421" s="19"/>
    </row>
    <row r="422" spans="1:11" ht="13.2">
      <c r="A422" s="22"/>
      <c r="B422" s="16"/>
      <c r="C422" s="23"/>
      <c r="D422" s="24"/>
      <c r="E422" s="25"/>
      <c r="F422" s="26"/>
      <c r="G422" s="27"/>
      <c r="H422" s="20"/>
      <c r="I422" s="21"/>
      <c r="J422" s="28"/>
      <c r="K422" s="19"/>
    </row>
    <row r="423" spans="1:11" ht="13.2">
      <c r="A423" s="22"/>
      <c r="B423" s="16"/>
      <c r="C423" s="23"/>
      <c r="D423" s="24"/>
      <c r="E423" s="25"/>
      <c r="F423" s="26"/>
      <c r="G423" s="27"/>
      <c r="H423" s="20"/>
      <c r="I423" s="21"/>
      <c r="J423" s="28"/>
      <c r="K423" s="19"/>
    </row>
    <row r="424" spans="1:11" ht="13.2">
      <c r="A424" s="22"/>
      <c r="B424" s="16"/>
      <c r="C424" s="23"/>
      <c r="D424" s="24"/>
      <c r="E424" s="25"/>
      <c r="F424" s="26"/>
      <c r="G424" s="27"/>
      <c r="H424" s="20"/>
      <c r="I424" s="21"/>
      <c r="J424" s="28"/>
      <c r="K424" s="19"/>
    </row>
    <row r="425" spans="1:11" ht="13.2">
      <c r="A425" s="22"/>
      <c r="B425" s="16"/>
      <c r="C425" s="23"/>
      <c r="D425" s="24"/>
      <c r="E425" s="25"/>
      <c r="F425" s="26"/>
      <c r="G425" s="27"/>
      <c r="H425" s="20"/>
      <c r="I425" s="21"/>
      <c r="J425" s="28"/>
      <c r="K425" s="19"/>
    </row>
    <row r="426" spans="1:11" ht="13.2">
      <c r="A426" s="22"/>
      <c r="B426" s="16"/>
      <c r="C426" s="23"/>
      <c r="D426" s="24"/>
      <c r="E426" s="25"/>
      <c r="F426" s="26"/>
      <c r="G426" s="27"/>
      <c r="H426" s="20"/>
      <c r="I426" s="21"/>
      <c r="J426" s="28"/>
      <c r="K426" s="19"/>
    </row>
    <row r="427" spans="1:11" ht="13.2">
      <c r="A427" s="22"/>
      <c r="B427" s="16"/>
      <c r="C427" s="23"/>
      <c r="D427" s="24"/>
      <c r="E427" s="25"/>
      <c r="F427" s="26"/>
      <c r="G427" s="27"/>
      <c r="H427" s="20"/>
      <c r="I427" s="21"/>
      <c r="J427" s="28"/>
      <c r="K427" s="19"/>
    </row>
    <row r="428" spans="1:11" ht="13.2">
      <c r="A428" s="22"/>
      <c r="B428" s="16"/>
      <c r="C428" s="23"/>
      <c r="D428" s="24"/>
      <c r="E428" s="25"/>
      <c r="F428" s="26"/>
      <c r="G428" s="27"/>
      <c r="H428" s="20"/>
      <c r="I428" s="21"/>
      <c r="J428" s="28"/>
      <c r="K428" s="19"/>
    </row>
    <row r="429" spans="1:11" ht="13.2">
      <c r="A429" s="22"/>
      <c r="B429" s="16"/>
      <c r="C429" s="23"/>
      <c r="D429" s="24"/>
      <c r="E429" s="25"/>
      <c r="F429" s="26"/>
      <c r="G429" s="27"/>
      <c r="H429" s="20"/>
      <c r="I429" s="21"/>
      <c r="J429" s="28"/>
      <c r="K429" s="19"/>
    </row>
    <row r="430" spans="1:11" ht="13.2">
      <c r="A430" s="22"/>
      <c r="B430" s="16"/>
      <c r="C430" s="23"/>
      <c r="D430" s="24"/>
      <c r="E430" s="25"/>
      <c r="F430" s="26"/>
      <c r="G430" s="27"/>
      <c r="H430" s="20"/>
      <c r="I430" s="21"/>
      <c r="J430" s="28"/>
      <c r="K430" s="19"/>
    </row>
    <row r="431" spans="1:11" ht="13.2">
      <c r="A431" s="22"/>
      <c r="B431" s="16"/>
      <c r="C431" s="23"/>
      <c r="D431" s="24"/>
      <c r="E431" s="25"/>
      <c r="F431" s="26"/>
      <c r="G431" s="27"/>
      <c r="H431" s="20"/>
      <c r="I431" s="21"/>
      <c r="J431" s="28"/>
      <c r="K431" s="19"/>
    </row>
    <row r="432" spans="1:11" ht="13.2">
      <c r="A432" s="22"/>
      <c r="B432" s="16"/>
      <c r="C432" s="23"/>
      <c r="D432" s="24"/>
      <c r="E432" s="25"/>
      <c r="F432" s="26"/>
      <c r="G432" s="27"/>
      <c r="H432" s="20"/>
      <c r="I432" s="21"/>
      <c r="J432" s="28"/>
      <c r="K432" s="19"/>
    </row>
    <row r="433" spans="1:11" ht="13.2">
      <c r="A433" s="22"/>
      <c r="B433" s="16"/>
      <c r="C433" s="23"/>
      <c r="D433" s="24"/>
      <c r="E433" s="25"/>
      <c r="F433" s="26"/>
      <c r="G433" s="27"/>
      <c r="H433" s="20"/>
      <c r="I433" s="21"/>
      <c r="J433" s="28"/>
      <c r="K433" s="19"/>
    </row>
    <row r="434" spans="1:11" ht="13.2">
      <c r="A434" s="22"/>
      <c r="B434" s="16"/>
      <c r="C434" s="23"/>
      <c r="D434" s="24"/>
      <c r="E434" s="25"/>
      <c r="F434" s="26"/>
      <c r="G434" s="27"/>
      <c r="H434" s="20"/>
      <c r="I434" s="21"/>
      <c r="J434" s="28"/>
      <c r="K434" s="19"/>
    </row>
    <row r="435" spans="1:11" ht="13.2">
      <c r="A435" s="22"/>
      <c r="B435" s="16"/>
      <c r="C435" s="23"/>
      <c r="D435" s="24"/>
      <c r="E435" s="25"/>
      <c r="F435" s="26"/>
      <c r="G435" s="27"/>
      <c r="H435" s="20"/>
      <c r="I435" s="21"/>
      <c r="J435" s="28"/>
      <c r="K435" s="19"/>
    </row>
    <row r="436" spans="1:11" ht="13.2">
      <c r="A436" s="22"/>
      <c r="B436" s="16"/>
      <c r="C436" s="23"/>
      <c r="D436" s="24"/>
      <c r="E436" s="25"/>
      <c r="F436" s="26"/>
      <c r="G436" s="27"/>
      <c r="H436" s="20"/>
      <c r="I436" s="21"/>
      <c r="J436" s="28"/>
      <c r="K436" s="19"/>
    </row>
    <row r="437" spans="1:11" ht="13.2">
      <c r="A437" s="22"/>
      <c r="B437" s="16"/>
      <c r="C437" s="23"/>
      <c r="D437" s="24"/>
      <c r="E437" s="25"/>
      <c r="F437" s="26"/>
      <c r="G437" s="27"/>
      <c r="H437" s="20"/>
      <c r="I437" s="21"/>
      <c r="J437" s="28"/>
      <c r="K437" s="19"/>
    </row>
    <row r="438" spans="1:11" ht="13.2">
      <c r="A438" s="22"/>
      <c r="B438" s="16"/>
      <c r="C438" s="23"/>
      <c r="D438" s="24"/>
      <c r="E438" s="25"/>
      <c r="F438" s="26"/>
      <c r="G438" s="27"/>
      <c r="H438" s="20"/>
      <c r="I438" s="21"/>
      <c r="J438" s="28"/>
      <c r="K438" s="19"/>
    </row>
    <row r="439" spans="1:11" ht="13.2">
      <c r="A439" s="22"/>
      <c r="B439" s="16"/>
      <c r="C439" s="23"/>
      <c r="D439" s="24"/>
      <c r="E439" s="25"/>
      <c r="F439" s="26"/>
      <c r="G439" s="27"/>
      <c r="H439" s="20"/>
      <c r="I439" s="21"/>
      <c r="J439" s="28"/>
      <c r="K439" s="19"/>
    </row>
    <row r="440" spans="1:11" ht="13.2">
      <c r="A440" s="22"/>
      <c r="B440" s="16"/>
      <c r="C440" s="23"/>
      <c r="D440" s="24"/>
      <c r="E440" s="25"/>
      <c r="F440" s="26"/>
      <c r="G440" s="27"/>
      <c r="H440" s="20"/>
      <c r="I440" s="21"/>
      <c r="J440" s="28"/>
      <c r="K440" s="19"/>
    </row>
    <row r="441" spans="1:11" ht="13.2">
      <c r="A441" s="22"/>
      <c r="B441" s="16"/>
      <c r="C441" s="23"/>
      <c r="D441" s="24"/>
      <c r="E441" s="25"/>
      <c r="F441" s="26"/>
      <c r="G441" s="27"/>
      <c r="H441" s="20"/>
      <c r="I441" s="21"/>
      <c r="J441" s="28"/>
      <c r="K441" s="19"/>
    </row>
    <row r="442" spans="1:11" ht="13.2">
      <c r="A442" s="22"/>
      <c r="B442" s="16"/>
      <c r="C442" s="23"/>
      <c r="D442" s="24"/>
      <c r="E442" s="25"/>
      <c r="F442" s="26"/>
      <c r="G442" s="27"/>
      <c r="H442" s="20"/>
      <c r="I442" s="21"/>
      <c r="J442" s="28"/>
      <c r="K442" s="19"/>
    </row>
    <row r="443" spans="1:11" ht="13.2">
      <c r="A443" s="22"/>
      <c r="B443" s="16"/>
      <c r="C443" s="23"/>
      <c r="D443" s="24"/>
      <c r="E443" s="25"/>
      <c r="F443" s="26"/>
      <c r="G443" s="27"/>
      <c r="H443" s="20"/>
      <c r="I443" s="21"/>
      <c r="J443" s="28"/>
      <c r="K443" s="19"/>
    </row>
    <row r="444" spans="1:11" ht="13.2">
      <c r="A444" s="22"/>
      <c r="B444" s="16"/>
      <c r="C444" s="23"/>
      <c r="D444" s="24"/>
      <c r="E444" s="25"/>
      <c r="F444" s="26"/>
      <c r="G444" s="27"/>
      <c r="H444" s="20"/>
      <c r="I444" s="21"/>
      <c r="J444" s="28"/>
      <c r="K444" s="19"/>
    </row>
    <row r="445" spans="1:11" ht="13.2">
      <c r="A445" s="22"/>
      <c r="B445" s="16"/>
      <c r="C445" s="23"/>
      <c r="D445" s="24"/>
      <c r="E445" s="25"/>
      <c r="F445" s="26"/>
      <c r="G445" s="27"/>
      <c r="H445" s="20"/>
      <c r="I445" s="21"/>
      <c r="J445" s="28"/>
      <c r="K445" s="19"/>
    </row>
    <row r="446" spans="1:11" ht="13.2">
      <c r="A446" s="22"/>
      <c r="B446" s="16"/>
      <c r="C446" s="23"/>
      <c r="D446" s="24"/>
      <c r="E446" s="25"/>
      <c r="F446" s="26"/>
      <c r="G446" s="27"/>
      <c r="H446" s="20"/>
      <c r="I446" s="21"/>
      <c r="J446" s="28"/>
      <c r="K446" s="19"/>
    </row>
    <row r="447" spans="1:11" ht="13.2">
      <c r="A447" s="22"/>
      <c r="B447" s="16"/>
      <c r="C447" s="23"/>
      <c r="D447" s="24"/>
      <c r="E447" s="25"/>
      <c r="F447" s="26"/>
      <c r="G447" s="27"/>
      <c r="H447" s="20"/>
      <c r="I447" s="21"/>
      <c r="J447" s="28"/>
      <c r="K447" s="19"/>
    </row>
    <row r="448" spans="1:11" ht="13.2">
      <c r="A448" s="22"/>
      <c r="B448" s="16"/>
      <c r="C448" s="23"/>
      <c r="D448" s="24"/>
      <c r="E448" s="25"/>
      <c r="F448" s="26"/>
      <c r="G448" s="27"/>
      <c r="H448" s="20"/>
      <c r="I448" s="21"/>
      <c r="J448" s="28"/>
      <c r="K448" s="19"/>
    </row>
    <row r="449" spans="1:11" ht="13.2">
      <c r="A449" s="22"/>
      <c r="B449" s="16"/>
      <c r="C449" s="23"/>
      <c r="D449" s="24"/>
      <c r="E449" s="25"/>
      <c r="F449" s="26"/>
      <c r="G449" s="27"/>
      <c r="H449" s="20"/>
      <c r="I449" s="21"/>
      <c r="J449" s="28"/>
      <c r="K449" s="19"/>
    </row>
    <row r="450" spans="1:11" ht="13.2">
      <c r="A450" s="22"/>
      <c r="B450" s="16"/>
      <c r="C450" s="23"/>
      <c r="D450" s="24"/>
      <c r="E450" s="25"/>
      <c r="F450" s="26"/>
      <c r="G450" s="27"/>
      <c r="H450" s="20"/>
      <c r="I450" s="21"/>
      <c r="J450" s="28"/>
      <c r="K450" s="19"/>
    </row>
    <row r="451" spans="1:11" ht="13.2">
      <c r="A451" s="22"/>
      <c r="B451" s="16"/>
      <c r="C451" s="23"/>
      <c r="D451" s="24"/>
      <c r="E451" s="25"/>
      <c r="F451" s="26"/>
      <c r="G451" s="27"/>
      <c r="H451" s="20"/>
      <c r="I451" s="21"/>
      <c r="J451" s="28"/>
      <c r="K451" s="19"/>
    </row>
    <row r="452" spans="1:11" ht="13.2">
      <c r="A452" s="22"/>
      <c r="B452" s="16"/>
      <c r="C452" s="23"/>
      <c r="D452" s="24"/>
      <c r="E452" s="25"/>
      <c r="F452" s="26"/>
      <c r="G452" s="27"/>
      <c r="H452" s="20"/>
      <c r="I452" s="21"/>
      <c r="J452" s="28"/>
      <c r="K452" s="19"/>
    </row>
    <row r="453" spans="1:11" ht="13.2">
      <c r="A453" s="22"/>
      <c r="B453" s="16"/>
      <c r="C453" s="23"/>
      <c r="D453" s="24"/>
      <c r="E453" s="25"/>
      <c r="F453" s="26"/>
      <c r="G453" s="27"/>
      <c r="H453" s="20"/>
      <c r="I453" s="21"/>
      <c r="J453" s="28"/>
      <c r="K453" s="19"/>
    </row>
    <row r="454" spans="1:11" ht="13.2">
      <c r="A454" s="22"/>
      <c r="B454" s="16"/>
      <c r="C454" s="23"/>
      <c r="D454" s="24"/>
      <c r="E454" s="25"/>
      <c r="F454" s="26"/>
      <c r="G454" s="27"/>
      <c r="H454" s="20"/>
      <c r="I454" s="21"/>
      <c r="J454" s="28"/>
      <c r="K454" s="19"/>
    </row>
    <row r="455" spans="1:11" ht="13.2">
      <c r="A455" s="22"/>
      <c r="B455" s="16"/>
      <c r="C455" s="23"/>
      <c r="D455" s="24"/>
      <c r="E455" s="25"/>
      <c r="F455" s="26"/>
      <c r="G455" s="27"/>
      <c r="H455" s="20"/>
      <c r="I455" s="21"/>
      <c r="J455" s="28"/>
      <c r="K455" s="19"/>
    </row>
    <row r="456" spans="1:11" ht="13.2">
      <c r="A456" s="22"/>
      <c r="B456" s="16"/>
      <c r="C456" s="23"/>
      <c r="D456" s="24"/>
      <c r="E456" s="25"/>
      <c r="F456" s="26"/>
      <c r="G456" s="27"/>
      <c r="H456" s="20"/>
      <c r="I456" s="21"/>
      <c r="J456" s="28"/>
      <c r="K456" s="19"/>
    </row>
    <row r="457" spans="1:11" ht="13.2">
      <c r="A457" s="22"/>
      <c r="B457" s="16"/>
      <c r="C457" s="23"/>
      <c r="D457" s="24"/>
      <c r="E457" s="25"/>
      <c r="F457" s="26"/>
      <c r="G457" s="27"/>
      <c r="H457" s="20"/>
      <c r="I457" s="21"/>
      <c r="J457" s="28"/>
      <c r="K457" s="19"/>
    </row>
    <row r="458" spans="1:11" ht="13.2">
      <c r="A458" s="22"/>
      <c r="B458" s="16"/>
      <c r="C458" s="23"/>
      <c r="D458" s="24"/>
      <c r="E458" s="25"/>
      <c r="F458" s="26"/>
      <c r="G458" s="27"/>
      <c r="H458" s="20"/>
      <c r="I458" s="21"/>
      <c r="J458" s="28"/>
      <c r="K458" s="19"/>
    </row>
    <row r="459" spans="1:11" ht="13.2">
      <c r="A459" s="22"/>
      <c r="B459" s="16"/>
      <c r="C459" s="23"/>
      <c r="D459" s="24"/>
      <c r="E459" s="25"/>
      <c r="F459" s="26"/>
      <c r="G459" s="27"/>
      <c r="H459" s="20"/>
      <c r="I459" s="21"/>
      <c r="J459" s="28"/>
      <c r="K459" s="19"/>
    </row>
    <row r="460" spans="1:11" ht="13.2">
      <c r="A460" s="22"/>
      <c r="B460" s="16"/>
      <c r="C460" s="23"/>
      <c r="D460" s="24"/>
      <c r="E460" s="25"/>
      <c r="F460" s="26"/>
      <c r="G460" s="27"/>
      <c r="H460" s="20"/>
      <c r="I460" s="21"/>
      <c r="J460" s="28"/>
      <c r="K460" s="19"/>
    </row>
    <row r="461" spans="1:11" ht="13.2">
      <c r="A461" s="22"/>
      <c r="B461" s="16"/>
      <c r="C461" s="23"/>
      <c r="D461" s="24"/>
      <c r="E461" s="25"/>
      <c r="F461" s="26"/>
      <c r="G461" s="27"/>
      <c r="H461" s="20"/>
      <c r="I461" s="21"/>
      <c r="J461" s="28"/>
      <c r="K461" s="19"/>
    </row>
    <row r="462" spans="1:11" ht="13.2">
      <c r="A462" s="22"/>
      <c r="B462" s="16"/>
      <c r="C462" s="23"/>
      <c r="D462" s="24"/>
      <c r="E462" s="25"/>
      <c r="F462" s="26"/>
      <c r="G462" s="27"/>
      <c r="H462" s="20"/>
      <c r="I462" s="21"/>
      <c r="J462" s="28"/>
      <c r="K462" s="19"/>
    </row>
    <row r="463" spans="1:11" ht="13.2">
      <c r="A463" s="22"/>
      <c r="B463" s="16"/>
      <c r="C463" s="23"/>
      <c r="D463" s="24"/>
      <c r="E463" s="25"/>
      <c r="F463" s="26"/>
      <c r="G463" s="27"/>
      <c r="H463" s="20"/>
      <c r="I463" s="21"/>
      <c r="J463" s="28"/>
      <c r="K463" s="19"/>
    </row>
    <row r="464" spans="1:11" ht="13.2">
      <c r="A464" s="22"/>
      <c r="B464" s="16"/>
      <c r="C464" s="23"/>
      <c r="D464" s="24"/>
      <c r="E464" s="25"/>
      <c r="F464" s="26"/>
      <c r="G464" s="27"/>
      <c r="H464" s="20"/>
      <c r="I464" s="21"/>
      <c r="J464" s="28"/>
      <c r="K464" s="19"/>
    </row>
    <row r="465" spans="1:11" ht="13.2">
      <c r="A465" s="22"/>
      <c r="B465" s="16"/>
      <c r="C465" s="23"/>
      <c r="D465" s="24"/>
      <c r="E465" s="25"/>
      <c r="F465" s="26"/>
      <c r="G465" s="27"/>
      <c r="H465" s="20"/>
      <c r="I465" s="21"/>
      <c r="J465" s="28"/>
      <c r="K465" s="19"/>
    </row>
    <row r="466" spans="1:11" ht="13.2">
      <c r="A466" s="22"/>
      <c r="B466" s="16"/>
      <c r="C466" s="23"/>
      <c r="D466" s="24"/>
      <c r="E466" s="25"/>
      <c r="F466" s="26"/>
      <c r="G466" s="27"/>
      <c r="H466" s="20"/>
      <c r="I466" s="21"/>
      <c r="J466" s="28"/>
      <c r="K466" s="19"/>
    </row>
    <row r="467" spans="1:11" ht="13.2">
      <c r="A467" s="22"/>
      <c r="B467" s="16"/>
      <c r="C467" s="23"/>
      <c r="D467" s="24"/>
      <c r="E467" s="25"/>
      <c r="F467" s="26"/>
      <c r="G467" s="27"/>
      <c r="H467" s="20"/>
      <c r="I467" s="21"/>
      <c r="J467" s="28"/>
      <c r="K467" s="19"/>
    </row>
    <row r="468" spans="1:11" ht="13.2">
      <c r="A468" s="22"/>
      <c r="B468" s="16"/>
      <c r="C468" s="23"/>
      <c r="D468" s="24"/>
      <c r="E468" s="25"/>
      <c r="F468" s="26"/>
      <c r="G468" s="27"/>
      <c r="H468" s="20"/>
      <c r="I468" s="21"/>
      <c r="J468" s="28"/>
      <c r="K468" s="19"/>
    </row>
    <row r="469" spans="1:11" ht="13.2">
      <c r="A469" s="22"/>
      <c r="B469" s="16"/>
      <c r="C469" s="23"/>
      <c r="D469" s="24"/>
      <c r="E469" s="25"/>
      <c r="F469" s="26"/>
      <c r="G469" s="27"/>
      <c r="H469" s="20"/>
      <c r="I469" s="21"/>
      <c r="J469" s="28"/>
      <c r="K469" s="19"/>
    </row>
    <row r="470" spans="1:11" ht="13.2">
      <c r="A470" s="22"/>
      <c r="B470" s="16"/>
      <c r="C470" s="23"/>
      <c r="D470" s="24"/>
      <c r="E470" s="25"/>
      <c r="F470" s="26"/>
      <c r="G470" s="27"/>
      <c r="H470" s="20"/>
      <c r="I470" s="21"/>
      <c r="J470" s="28"/>
      <c r="K470" s="19"/>
    </row>
    <row r="471" spans="1:11" ht="13.2">
      <c r="A471" s="22"/>
      <c r="B471" s="16"/>
      <c r="C471" s="23"/>
      <c r="D471" s="24"/>
      <c r="E471" s="25"/>
      <c r="F471" s="26"/>
      <c r="G471" s="27"/>
      <c r="H471" s="20"/>
      <c r="I471" s="21"/>
      <c r="J471" s="28"/>
      <c r="K471" s="19"/>
    </row>
    <row r="472" spans="1:11" ht="13.2">
      <c r="A472" s="22"/>
      <c r="B472" s="16"/>
      <c r="C472" s="23"/>
      <c r="D472" s="24"/>
      <c r="E472" s="25"/>
      <c r="F472" s="26"/>
      <c r="G472" s="27"/>
      <c r="H472" s="20"/>
      <c r="I472" s="21"/>
      <c r="J472" s="28"/>
      <c r="K472" s="19"/>
    </row>
    <row r="473" spans="1:11" ht="13.2">
      <c r="A473" s="22"/>
      <c r="B473" s="16"/>
      <c r="C473" s="23"/>
      <c r="D473" s="24"/>
      <c r="E473" s="25"/>
      <c r="F473" s="26"/>
      <c r="G473" s="27"/>
      <c r="H473" s="20"/>
      <c r="I473" s="21"/>
      <c r="J473" s="28"/>
      <c r="K473" s="19"/>
    </row>
    <row r="474" spans="1:11" ht="13.2">
      <c r="A474" s="22"/>
      <c r="B474" s="16"/>
      <c r="C474" s="23"/>
      <c r="D474" s="24"/>
      <c r="E474" s="25"/>
      <c r="F474" s="26"/>
      <c r="G474" s="27"/>
      <c r="H474" s="20"/>
      <c r="I474" s="21"/>
      <c r="J474" s="28"/>
      <c r="K474" s="19"/>
    </row>
    <row r="475" spans="1:11" ht="13.2">
      <c r="A475" s="22"/>
      <c r="B475" s="16"/>
      <c r="C475" s="23"/>
      <c r="D475" s="24"/>
      <c r="E475" s="25"/>
      <c r="F475" s="26"/>
      <c r="G475" s="27"/>
      <c r="H475" s="20"/>
      <c r="I475" s="21"/>
      <c r="J475" s="28"/>
      <c r="K475" s="19"/>
    </row>
    <row r="476" spans="1:11" ht="13.2">
      <c r="A476" s="22"/>
      <c r="B476" s="16"/>
      <c r="C476" s="23"/>
      <c r="D476" s="24"/>
      <c r="E476" s="25"/>
      <c r="F476" s="26"/>
      <c r="G476" s="27"/>
      <c r="H476" s="20"/>
      <c r="I476" s="21"/>
      <c r="J476" s="28"/>
      <c r="K476" s="19"/>
    </row>
    <row r="477" spans="1:11" ht="13.2">
      <c r="A477" s="22"/>
      <c r="B477" s="16"/>
      <c r="C477" s="23"/>
      <c r="D477" s="24"/>
      <c r="E477" s="25"/>
      <c r="F477" s="26"/>
      <c r="G477" s="27"/>
      <c r="H477" s="20"/>
      <c r="I477" s="21"/>
      <c r="J477" s="28"/>
      <c r="K477" s="19"/>
    </row>
    <row r="478" spans="1:11" ht="13.2">
      <c r="A478" s="22"/>
      <c r="B478" s="16"/>
      <c r="C478" s="23"/>
      <c r="D478" s="24"/>
      <c r="E478" s="25"/>
      <c r="F478" s="26"/>
      <c r="G478" s="27"/>
      <c r="H478" s="20"/>
      <c r="I478" s="21"/>
      <c r="J478" s="28"/>
      <c r="K478" s="19"/>
    </row>
    <row r="479" spans="1:11" ht="13.2">
      <c r="A479" s="22"/>
      <c r="B479" s="16"/>
      <c r="C479" s="23"/>
      <c r="D479" s="24"/>
      <c r="E479" s="25"/>
      <c r="F479" s="26"/>
      <c r="G479" s="27"/>
      <c r="H479" s="20"/>
      <c r="I479" s="21"/>
      <c r="J479" s="28"/>
      <c r="K479" s="19"/>
    </row>
    <row r="480" spans="1:11" ht="13.2">
      <c r="A480" s="22"/>
      <c r="B480" s="16"/>
      <c r="C480" s="23"/>
      <c r="D480" s="24"/>
      <c r="E480" s="25"/>
      <c r="F480" s="26"/>
      <c r="G480" s="27"/>
      <c r="H480" s="20"/>
      <c r="I480" s="21"/>
      <c r="J480" s="28"/>
      <c r="K480" s="19"/>
    </row>
    <row r="481" spans="1:11" ht="13.2">
      <c r="A481" s="22"/>
      <c r="B481" s="16"/>
      <c r="C481" s="23"/>
      <c r="D481" s="24"/>
      <c r="E481" s="25"/>
      <c r="F481" s="26"/>
      <c r="G481" s="27"/>
      <c r="H481" s="20"/>
      <c r="I481" s="21"/>
      <c r="J481" s="28"/>
      <c r="K481" s="19"/>
    </row>
    <row r="482" spans="1:11" ht="13.2">
      <c r="A482" s="22"/>
      <c r="B482" s="16"/>
      <c r="C482" s="23"/>
      <c r="D482" s="24"/>
      <c r="E482" s="25"/>
      <c r="F482" s="26"/>
      <c r="G482" s="27"/>
      <c r="H482" s="20"/>
      <c r="I482" s="21"/>
      <c r="J482" s="28"/>
      <c r="K482" s="19"/>
    </row>
    <row r="483" spans="1:11" ht="13.2">
      <c r="A483" s="22"/>
      <c r="B483" s="16"/>
      <c r="C483" s="23"/>
      <c r="D483" s="24"/>
      <c r="E483" s="25"/>
      <c r="F483" s="26"/>
      <c r="G483" s="27"/>
      <c r="H483" s="20"/>
      <c r="I483" s="21"/>
      <c r="J483" s="28"/>
      <c r="K483" s="19"/>
    </row>
    <row r="484" spans="1:11" ht="13.2">
      <c r="A484" s="22"/>
      <c r="B484" s="16"/>
      <c r="C484" s="23"/>
      <c r="D484" s="24"/>
      <c r="E484" s="25"/>
      <c r="F484" s="26"/>
      <c r="G484" s="27"/>
      <c r="H484" s="20"/>
      <c r="I484" s="21"/>
      <c r="J484" s="28"/>
      <c r="K484" s="19"/>
    </row>
    <row r="485" spans="1:11" ht="13.2">
      <c r="A485" s="22"/>
      <c r="B485" s="16"/>
      <c r="C485" s="23"/>
      <c r="D485" s="24"/>
      <c r="E485" s="25"/>
      <c r="F485" s="26"/>
      <c r="G485" s="27"/>
      <c r="H485" s="20"/>
      <c r="I485" s="21"/>
      <c r="J485" s="28"/>
      <c r="K485" s="19"/>
    </row>
    <row r="486" spans="1:11" ht="13.2">
      <c r="A486" s="22"/>
      <c r="B486" s="16"/>
      <c r="C486" s="23"/>
      <c r="D486" s="24"/>
      <c r="E486" s="25"/>
      <c r="F486" s="26"/>
      <c r="G486" s="27"/>
      <c r="H486" s="20"/>
      <c r="I486" s="21"/>
      <c r="J486" s="28"/>
      <c r="K486" s="19"/>
    </row>
    <row r="487" spans="1:11" ht="13.2">
      <c r="A487" s="22"/>
      <c r="B487" s="16"/>
      <c r="C487" s="23"/>
      <c r="D487" s="24"/>
      <c r="E487" s="25"/>
      <c r="F487" s="26"/>
      <c r="G487" s="27"/>
      <c r="H487" s="20"/>
      <c r="I487" s="21"/>
      <c r="J487" s="28"/>
      <c r="K487" s="19"/>
    </row>
    <row r="488" spans="1:11" ht="13.2">
      <c r="A488" s="22"/>
      <c r="B488" s="16"/>
      <c r="C488" s="23"/>
      <c r="D488" s="24"/>
      <c r="E488" s="25"/>
      <c r="F488" s="26"/>
      <c r="G488" s="27"/>
      <c r="H488" s="20"/>
      <c r="I488" s="21"/>
      <c r="J488" s="28"/>
      <c r="K488" s="19"/>
    </row>
    <row r="489" spans="1:11" ht="13.2">
      <c r="A489" s="22"/>
      <c r="B489" s="16"/>
      <c r="C489" s="23"/>
      <c r="D489" s="24"/>
      <c r="E489" s="25"/>
      <c r="F489" s="26"/>
      <c r="G489" s="27"/>
      <c r="H489" s="20"/>
      <c r="I489" s="21"/>
      <c r="J489" s="28"/>
      <c r="K489" s="19"/>
    </row>
    <row r="490" spans="1:11" ht="13.2">
      <c r="A490" s="22"/>
      <c r="B490" s="16"/>
      <c r="C490" s="23"/>
      <c r="D490" s="24"/>
      <c r="E490" s="25"/>
      <c r="F490" s="26"/>
      <c r="G490" s="27"/>
      <c r="H490" s="20"/>
      <c r="I490" s="21"/>
      <c r="J490" s="28"/>
      <c r="K490" s="19"/>
    </row>
    <row r="491" spans="1:11" ht="13.2">
      <c r="A491" s="22"/>
      <c r="B491" s="16"/>
      <c r="C491" s="23"/>
      <c r="D491" s="24"/>
      <c r="E491" s="25"/>
      <c r="F491" s="26"/>
      <c r="G491" s="27"/>
      <c r="H491" s="20"/>
      <c r="I491" s="21"/>
      <c r="J491" s="28"/>
      <c r="K491" s="19"/>
    </row>
    <row r="492" spans="1:11" ht="13.2">
      <c r="A492" s="22"/>
      <c r="B492" s="16"/>
      <c r="C492" s="23"/>
      <c r="D492" s="24"/>
      <c r="E492" s="25"/>
      <c r="F492" s="26"/>
      <c r="G492" s="27"/>
      <c r="H492" s="20"/>
      <c r="I492" s="21"/>
      <c r="J492" s="28"/>
      <c r="K492" s="19"/>
    </row>
    <row r="493" spans="1:11" ht="13.2">
      <c r="A493" s="22"/>
      <c r="B493" s="16"/>
      <c r="C493" s="23"/>
      <c r="D493" s="24"/>
      <c r="E493" s="25"/>
      <c r="F493" s="26"/>
      <c r="G493" s="27"/>
      <c r="H493" s="20"/>
      <c r="I493" s="21"/>
      <c r="J493" s="28"/>
      <c r="K493" s="19"/>
    </row>
    <row r="494" spans="1:11" ht="13.2">
      <c r="A494" s="22"/>
      <c r="B494" s="16"/>
      <c r="C494" s="23"/>
      <c r="D494" s="24"/>
      <c r="E494" s="25"/>
      <c r="F494" s="26"/>
      <c r="G494" s="27"/>
      <c r="H494" s="20"/>
      <c r="I494" s="21"/>
      <c r="J494" s="28"/>
      <c r="K494" s="19"/>
    </row>
    <row r="495" spans="1:11" ht="13.2">
      <c r="A495" s="22"/>
      <c r="B495" s="16"/>
      <c r="C495" s="23"/>
      <c r="D495" s="24"/>
      <c r="E495" s="25"/>
      <c r="F495" s="26"/>
      <c r="G495" s="27"/>
      <c r="H495" s="20"/>
      <c r="I495" s="21"/>
      <c r="J495" s="28"/>
      <c r="K495" s="19"/>
    </row>
    <row r="496" spans="1:11" ht="13.2">
      <c r="A496" s="22"/>
      <c r="B496" s="16"/>
      <c r="C496" s="23"/>
      <c r="D496" s="24"/>
      <c r="E496" s="25"/>
      <c r="F496" s="26"/>
      <c r="G496" s="27"/>
      <c r="H496" s="20"/>
      <c r="I496" s="21"/>
      <c r="J496" s="28"/>
      <c r="K496" s="19"/>
    </row>
    <row r="497" spans="1:11" ht="13.2">
      <c r="A497" s="22"/>
      <c r="B497" s="16"/>
      <c r="C497" s="23"/>
      <c r="D497" s="24"/>
      <c r="E497" s="25"/>
      <c r="F497" s="26"/>
      <c r="G497" s="27"/>
      <c r="H497" s="20"/>
      <c r="I497" s="21"/>
      <c r="J497" s="28"/>
      <c r="K497" s="19"/>
    </row>
    <row r="498" spans="1:11" ht="13.2">
      <c r="A498" s="22"/>
      <c r="B498" s="16"/>
      <c r="C498" s="23"/>
      <c r="D498" s="24"/>
      <c r="E498" s="25"/>
      <c r="F498" s="26"/>
      <c r="G498" s="27"/>
      <c r="H498" s="20"/>
      <c r="I498" s="21"/>
      <c r="J498" s="28"/>
      <c r="K498" s="19"/>
    </row>
    <row r="499" spans="1:11" ht="13.2">
      <c r="A499" s="22"/>
      <c r="B499" s="16"/>
      <c r="C499" s="23"/>
      <c r="D499" s="24"/>
      <c r="E499" s="25"/>
      <c r="F499" s="26"/>
      <c r="G499" s="27"/>
      <c r="H499" s="20"/>
      <c r="I499" s="21"/>
      <c r="J499" s="28"/>
      <c r="K499" s="19"/>
    </row>
    <row r="500" spans="1:11" ht="13.2">
      <c r="A500" s="22"/>
      <c r="B500" s="16"/>
      <c r="C500" s="23"/>
      <c r="D500" s="24"/>
      <c r="E500" s="25"/>
      <c r="F500" s="26"/>
      <c r="G500" s="27"/>
      <c r="H500" s="20"/>
      <c r="I500" s="21"/>
      <c r="J500" s="28"/>
      <c r="K500" s="19"/>
    </row>
    <row r="501" spans="1:11" ht="13.2">
      <c r="A501" s="22"/>
      <c r="B501" s="16"/>
      <c r="C501" s="23"/>
      <c r="D501" s="24"/>
      <c r="E501" s="25"/>
      <c r="F501" s="26"/>
      <c r="G501" s="27"/>
      <c r="H501" s="20"/>
      <c r="I501" s="21"/>
      <c r="J501" s="28"/>
      <c r="K501" s="19"/>
    </row>
    <row r="502" spans="1:11" ht="13.2">
      <c r="A502" s="22"/>
      <c r="B502" s="16"/>
      <c r="C502" s="23"/>
      <c r="D502" s="24"/>
      <c r="E502" s="25"/>
      <c r="F502" s="26"/>
      <c r="G502" s="27"/>
      <c r="H502" s="20"/>
      <c r="I502" s="21"/>
      <c r="J502" s="28"/>
      <c r="K502" s="19"/>
    </row>
    <row r="503" spans="1:11" ht="13.2">
      <c r="A503" s="22"/>
      <c r="B503" s="16"/>
      <c r="C503" s="23"/>
      <c r="D503" s="24"/>
      <c r="E503" s="25"/>
      <c r="F503" s="26"/>
      <c r="G503" s="27"/>
      <c r="H503" s="20"/>
      <c r="I503" s="21"/>
      <c r="J503" s="28"/>
      <c r="K503" s="19"/>
    </row>
    <row r="504" spans="1:11" ht="13.2">
      <c r="A504" s="22"/>
      <c r="B504" s="16"/>
      <c r="C504" s="23"/>
      <c r="D504" s="24"/>
      <c r="E504" s="25"/>
      <c r="F504" s="26"/>
      <c r="G504" s="27"/>
      <c r="H504" s="20"/>
      <c r="I504" s="21"/>
      <c r="J504" s="28"/>
      <c r="K504" s="19"/>
    </row>
    <row r="505" spans="1:11" ht="13.2">
      <c r="A505" s="22"/>
      <c r="B505" s="16"/>
      <c r="C505" s="23"/>
      <c r="D505" s="24"/>
      <c r="E505" s="25"/>
      <c r="F505" s="26"/>
      <c r="G505" s="27"/>
      <c r="H505" s="20"/>
      <c r="I505" s="21"/>
      <c r="J505" s="28"/>
      <c r="K505" s="19"/>
    </row>
    <row r="506" spans="1:11" ht="13.2">
      <c r="A506" s="22"/>
      <c r="B506" s="16"/>
      <c r="C506" s="23"/>
      <c r="D506" s="24"/>
      <c r="E506" s="25"/>
      <c r="F506" s="26"/>
      <c r="G506" s="27"/>
      <c r="H506" s="20"/>
      <c r="I506" s="21"/>
      <c r="J506" s="28"/>
      <c r="K506" s="19"/>
    </row>
    <row r="507" spans="1:11" ht="13.2">
      <c r="A507" s="22"/>
      <c r="B507" s="16"/>
      <c r="C507" s="23"/>
      <c r="D507" s="24"/>
      <c r="E507" s="25"/>
      <c r="F507" s="26"/>
      <c r="G507" s="27"/>
      <c r="H507" s="20"/>
      <c r="I507" s="21"/>
      <c r="J507" s="28"/>
      <c r="K507" s="19"/>
    </row>
    <row r="508" spans="1:11" ht="13.2">
      <c r="A508" s="22"/>
      <c r="B508" s="16"/>
      <c r="C508" s="23"/>
      <c r="D508" s="24"/>
      <c r="E508" s="25"/>
      <c r="F508" s="26"/>
      <c r="G508" s="27"/>
      <c r="H508" s="20"/>
      <c r="I508" s="21"/>
      <c r="J508" s="28"/>
      <c r="K508" s="19"/>
    </row>
    <row r="509" spans="1:11" ht="13.2">
      <c r="A509" s="22"/>
      <c r="B509" s="16"/>
      <c r="C509" s="23"/>
      <c r="D509" s="24"/>
      <c r="E509" s="25"/>
      <c r="F509" s="26"/>
      <c r="G509" s="27"/>
      <c r="H509" s="20"/>
      <c r="I509" s="21"/>
      <c r="J509" s="28"/>
      <c r="K509" s="19"/>
    </row>
    <row r="510" spans="1:11" ht="13.2">
      <c r="A510" s="22"/>
      <c r="B510" s="16"/>
      <c r="C510" s="23"/>
      <c r="D510" s="24"/>
      <c r="E510" s="25"/>
      <c r="F510" s="26"/>
      <c r="G510" s="27"/>
      <c r="H510" s="20"/>
      <c r="I510" s="21"/>
      <c r="J510" s="28"/>
      <c r="K510" s="19"/>
    </row>
    <row r="511" spans="1:11" ht="13.2">
      <c r="A511" s="22"/>
      <c r="B511" s="16"/>
      <c r="C511" s="23"/>
      <c r="D511" s="24"/>
      <c r="E511" s="25"/>
      <c r="F511" s="26"/>
      <c r="G511" s="27"/>
      <c r="H511" s="20"/>
      <c r="I511" s="21"/>
      <c r="J511" s="28"/>
      <c r="K511" s="19"/>
    </row>
    <row r="512" spans="1:11" ht="13.2">
      <c r="A512" s="22"/>
      <c r="B512" s="16"/>
      <c r="C512" s="23"/>
      <c r="D512" s="24"/>
      <c r="E512" s="25"/>
      <c r="F512" s="26"/>
      <c r="G512" s="27"/>
      <c r="H512" s="20"/>
      <c r="I512" s="21"/>
      <c r="J512" s="28"/>
      <c r="K512" s="19"/>
    </row>
    <row r="513" spans="1:11" ht="13.2">
      <c r="A513" s="22"/>
      <c r="B513" s="16"/>
      <c r="C513" s="23"/>
      <c r="D513" s="24"/>
      <c r="E513" s="25"/>
      <c r="F513" s="26"/>
      <c r="G513" s="27"/>
      <c r="H513" s="20"/>
      <c r="I513" s="21"/>
      <c r="J513" s="28"/>
      <c r="K513" s="19"/>
    </row>
    <row r="514" spans="1:11" ht="13.2">
      <c r="A514" s="22"/>
      <c r="B514" s="16"/>
      <c r="C514" s="23"/>
      <c r="D514" s="24"/>
      <c r="E514" s="25"/>
      <c r="F514" s="26"/>
      <c r="G514" s="27"/>
      <c r="H514" s="20"/>
      <c r="I514" s="21"/>
      <c r="J514" s="28"/>
      <c r="K514" s="19"/>
    </row>
    <row r="515" spans="1:11" ht="13.2">
      <c r="A515" s="22"/>
      <c r="B515" s="16"/>
      <c r="C515" s="23"/>
      <c r="D515" s="24"/>
      <c r="E515" s="25"/>
      <c r="F515" s="26"/>
      <c r="G515" s="27"/>
      <c r="H515" s="20"/>
      <c r="I515" s="21"/>
      <c r="J515" s="28"/>
      <c r="K515" s="19"/>
    </row>
    <row r="516" spans="1:11" ht="13.2">
      <c r="A516" s="22"/>
      <c r="B516" s="16"/>
      <c r="C516" s="23"/>
      <c r="D516" s="24"/>
      <c r="E516" s="25"/>
      <c r="F516" s="26"/>
      <c r="G516" s="27"/>
      <c r="H516" s="20"/>
      <c r="I516" s="21"/>
      <c r="J516" s="28"/>
      <c r="K516" s="19"/>
    </row>
    <row r="517" spans="1:11" ht="13.2">
      <c r="A517" s="22"/>
      <c r="B517" s="16"/>
      <c r="C517" s="23"/>
      <c r="D517" s="24"/>
      <c r="E517" s="25"/>
      <c r="F517" s="26"/>
      <c r="G517" s="27"/>
      <c r="H517" s="20"/>
      <c r="I517" s="21"/>
      <c r="J517" s="28"/>
      <c r="K517" s="19"/>
    </row>
    <row r="518" spans="1:11" ht="13.2">
      <c r="A518" s="22"/>
      <c r="B518" s="16"/>
      <c r="C518" s="23"/>
      <c r="D518" s="24"/>
      <c r="E518" s="25"/>
      <c r="F518" s="26"/>
      <c r="G518" s="27"/>
      <c r="H518" s="20"/>
      <c r="I518" s="21"/>
      <c r="J518" s="28"/>
      <c r="K518" s="19"/>
    </row>
    <row r="519" spans="1:11" ht="13.2">
      <c r="A519" s="22"/>
      <c r="B519" s="16"/>
      <c r="C519" s="23"/>
      <c r="D519" s="24"/>
      <c r="E519" s="25"/>
      <c r="F519" s="26"/>
      <c r="G519" s="27"/>
      <c r="H519" s="20"/>
      <c r="I519" s="21"/>
      <c r="J519" s="28"/>
      <c r="K519" s="19"/>
    </row>
    <row r="520" spans="1:11" ht="13.2">
      <c r="A520" s="22"/>
      <c r="B520" s="16"/>
      <c r="C520" s="23"/>
      <c r="D520" s="24"/>
      <c r="E520" s="25"/>
      <c r="F520" s="26"/>
      <c r="G520" s="27"/>
      <c r="H520" s="20"/>
      <c r="I520" s="21"/>
      <c r="J520" s="28"/>
      <c r="K520" s="19"/>
    </row>
    <row r="521" spans="1:11" ht="13.2">
      <c r="A521" s="22"/>
      <c r="B521" s="16"/>
      <c r="C521" s="23"/>
      <c r="D521" s="24"/>
      <c r="E521" s="25"/>
      <c r="F521" s="26"/>
      <c r="G521" s="27"/>
      <c r="H521" s="20"/>
      <c r="I521" s="21"/>
      <c r="J521" s="28"/>
      <c r="K521" s="19"/>
    </row>
    <row r="522" spans="1:11" ht="13.2">
      <c r="A522" s="22"/>
      <c r="B522" s="16"/>
      <c r="C522" s="23"/>
      <c r="D522" s="24"/>
      <c r="E522" s="25"/>
      <c r="F522" s="26"/>
      <c r="G522" s="27"/>
      <c r="H522" s="20"/>
      <c r="I522" s="21"/>
      <c r="J522" s="28"/>
      <c r="K522" s="19"/>
    </row>
    <row r="523" spans="1:11" ht="13.2">
      <c r="A523" s="22"/>
      <c r="B523" s="16"/>
      <c r="C523" s="23"/>
      <c r="D523" s="24"/>
      <c r="E523" s="25"/>
      <c r="F523" s="26"/>
      <c r="G523" s="27"/>
      <c r="H523" s="20"/>
      <c r="I523" s="21"/>
      <c r="J523" s="28"/>
      <c r="K523" s="19"/>
    </row>
    <row r="524" spans="1:11" ht="13.2">
      <c r="A524" s="22"/>
      <c r="B524" s="16"/>
      <c r="C524" s="23"/>
      <c r="D524" s="24"/>
      <c r="E524" s="25"/>
      <c r="F524" s="26"/>
      <c r="G524" s="27"/>
      <c r="H524" s="20"/>
      <c r="I524" s="21"/>
      <c r="J524" s="28"/>
      <c r="K524" s="19"/>
    </row>
    <row r="525" spans="1:11" ht="13.2">
      <c r="A525" s="22"/>
      <c r="B525" s="16"/>
      <c r="C525" s="23"/>
      <c r="D525" s="24"/>
      <c r="E525" s="25"/>
      <c r="F525" s="26"/>
      <c r="G525" s="27"/>
      <c r="H525" s="20"/>
      <c r="I525" s="21"/>
      <c r="J525" s="28"/>
      <c r="K525" s="19"/>
    </row>
    <row r="526" spans="1:11" ht="13.2">
      <c r="A526" s="22"/>
      <c r="B526" s="16"/>
      <c r="C526" s="23"/>
      <c r="D526" s="24"/>
      <c r="E526" s="25"/>
      <c r="F526" s="26"/>
      <c r="G526" s="27"/>
      <c r="H526" s="20"/>
      <c r="I526" s="21"/>
      <c r="J526" s="28"/>
      <c r="K526" s="19"/>
    </row>
    <row r="527" spans="1:11" ht="13.2">
      <c r="A527" s="22"/>
      <c r="B527" s="16"/>
      <c r="C527" s="23"/>
      <c r="D527" s="24"/>
      <c r="E527" s="25"/>
      <c r="F527" s="26"/>
      <c r="G527" s="27"/>
      <c r="H527" s="20"/>
      <c r="I527" s="21"/>
      <c r="J527" s="28"/>
      <c r="K527" s="19"/>
    </row>
    <row r="528" spans="1:11" ht="13.2">
      <c r="A528" s="22"/>
      <c r="B528" s="16"/>
      <c r="C528" s="23"/>
      <c r="D528" s="24"/>
      <c r="E528" s="25"/>
      <c r="F528" s="26"/>
      <c r="G528" s="27"/>
      <c r="H528" s="20"/>
      <c r="I528" s="21"/>
      <c r="J528" s="28"/>
      <c r="K528" s="19"/>
    </row>
    <row r="529" spans="1:11" ht="13.2">
      <c r="A529" s="22"/>
      <c r="B529" s="16"/>
      <c r="C529" s="23"/>
      <c r="D529" s="24"/>
      <c r="E529" s="25"/>
      <c r="F529" s="26"/>
      <c r="G529" s="27"/>
      <c r="H529" s="20"/>
      <c r="I529" s="21"/>
      <c r="J529" s="28"/>
      <c r="K529" s="19"/>
    </row>
    <row r="530" spans="1:11" ht="13.2">
      <c r="A530" s="22"/>
      <c r="B530" s="16"/>
      <c r="C530" s="23"/>
      <c r="D530" s="24"/>
      <c r="E530" s="25"/>
      <c r="F530" s="26"/>
      <c r="G530" s="27"/>
      <c r="H530" s="20"/>
      <c r="I530" s="21"/>
      <c r="J530" s="28"/>
      <c r="K530" s="19"/>
    </row>
    <row r="531" spans="1:11" ht="13.2">
      <c r="A531" s="22"/>
      <c r="B531" s="16"/>
      <c r="C531" s="23"/>
      <c r="D531" s="24"/>
      <c r="E531" s="25"/>
      <c r="F531" s="26"/>
      <c r="G531" s="27"/>
      <c r="H531" s="20"/>
      <c r="I531" s="21"/>
      <c r="J531" s="28"/>
      <c r="K531" s="19"/>
    </row>
    <row r="532" spans="1:11" ht="13.2">
      <c r="A532" s="22"/>
      <c r="B532" s="16"/>
      <c r="C532" s="23"/>
      <c r="D532" s="24"/>
      <c r="E532" s="25"/>
      <c r="F532" s="26"/>
      <c r="G532" s="27"/>
      <c r="H532" s="20"/>
      <c r="I532" s="21"/>
      <c r="J532" s="28"/>
      <c r="K532" s="19"/>
    </row>
    <row r="533" spans="1:11" ht="13.2">
      <c r="A533" s="22"/>
      <c r="B533" s="16"/>
      <c r="C533" s="23"/>
      <c r="D533" s="24"/>
      <c r="E533" s="25"/>
      <c r="F533" s="26"/>
      <c r="G533" s="27"/>
      <c r="H533" s="20"/>
      <c r="I533" s="21"/>
      <c r="J533" s="28"/>
      <c r="K533" s="19"/>
    </row>
    <row r="534" spans="1:11" ht="13.2">
      <c r="A534" s="22"/>
      <c r="B534" s="16"/>
      <c r="C534" s="23"/>
      <c r="D534" s="24"/>
      <c r="E534" s="25"/>
      <c r="F534" s="26"/>
      <c r="G534" s="27"/>
      <c r="H534" s="20"/>
      <c r="I534" s="21"/>
      <c r="J534" s="28"/>
      <c r="K534" s="19"/>
    </row>
    <row r="535" spans="1:11" ht="13.2">
      <c r="A535" s="22"/>
      <c r="B535" s="16"/>
      <c r="C535" s="23"/>
      <c r="D535" s="24"/>
      <c r="E535" s="25"/>
      <c r="F535" s="26"/>
      <c r="G535" s="27"/>
      <c r="H535" s="20"/>
      <c r="I535" s="21"/>
      <c r="J535" s="28"/>
      <c r="K535" s="19"/>
    </row>
    <row r="536" spans="1:11" ht="13.2">
      <c r="A536" s="22"/>
      <c r="B536" s="16"/>
      <c r="C536" s="23"/>
      <c r="D536" s="24"/>
      <c r="E536" s="25"/>
      <c r="F536" s="26"/>
      <c r="G536" s="27"/>
      <c r="H536" s="20"/>
      <c r="I536" s="21"/>
      <c r="J536" s="28"/>
      <c r="K536" s="19"/>
    </row>
    <row r="537" spans="1:11" ht="13.2">
      <c r="A537" s="22"/>
      <c r="B537" s="16"/>
      <c r="C537" s="23"/>
      <c r="D537" s="24"/>
      <c r="E537" s="25"/>
      <c r="F537" s="26"/>
      <c r="G537" s="27"/>
      <c r="H537" s="20"/>
      <c r="I537" s="21"/>
      <c r="J537" s="28"/>
      <c r="K537" s="19"/>
    </row>
    <row r="538" spans="1:11" ht="13.2">
      <c r="A538" s="22"/>
      <c r="B538" s="16"/>
      <c r="C538" s="23"/>
      <c r="D538" s="24"/>
      <c r="E538" s="25"/>
      <c r="F538" s="26"/>
      <c r="G538" s="27"/>
      <c r="H538" s="20"/>
      <c r="I538" s="21"/>
      <c r="J538" s="28"/>
      <c r="K538" s="19"/>
    </row>
    <row r="539" spans="1:11" ht="13.2">
      <c r="A539" s="22"/>
      <c r="B539" s="16"/>
      <c r="C539" s="23"/>
      <c r="D539" s="24"/>
      <c r="E539" s="25"/>
      <c r="F539" s="26"/>
      <c r="G539" s="27"/>
      <c r="H539" s="20"/>
      <c r="I539" s="21"/>
      <c r="J539" s="28"/>
      <c r="K539" s="19"/>
    </row>
    <row r="540" spans="1:11" ht="13.2">
      <c r="A540" s="22"/>
      <c r="B540" s="16"/>
      <c r="C540" s="23"/>
      <c r="D540" s="24"/>
      <c r="E540" s="25"/>
      <c r="F540" s="26"/>
      <c r="G540" s="27"/>
      <c r="H540" s="20"/>
      <c r="I540" s="21"/>
      <c r="J540" s="28"/>
      <c r="K540" s="19"/>
    </row>
    <row r="541" spans="1:11" ht="13.2">
      <c r="A541" s="22"/>
      <c r="B541" s="16"/>
      <c r="C541" s="23"/>
      <c r="D541" s="24"/>
      <c r="E541" s="25"/>
      <c r="F541" s="26"/>
      <c r="G541" s="27"/>
      <c r="H541" s="20"/>
      <c r="I541" s="21"/>
      <c r="J541" s="28"/>
      <c r="K541" s="19"/>
    </row>
    <row r="542" spans="1:11" ht="13.2">
      <c r="A542" s="22"/>
      <c r="B542" s="16"/>
      <c r="C542" s="23"/>
      <c r="D542" s="24"/>
      <c r="E542" s="25"/>
      <c r="F542" s="26"/>
      <c r="G542" s="27"/>
      <c r="H542" s="20"/>
      <c r="I542" s="21"/>
      <c r="J542" s="28"/>
      <c r="K542" s="19"/>
    </row>
    <row r="543" spans="1:11" ht="13.2">
      <c r="A543" s="22"/>
      <c r="B543" s="16"/>
      <c r="C543" s="23"/>
      <c r="D543" s="24"/>
      <c r="E543" s="25"/>
      <c r="F543" s="26"/>
      <c r="G543" s="27"/>
      <c r="H543" s="20"/>
      <c r="I543" s="21"/>
      <c r="J543" s="28"/>
      <c r="K543" s="19"/>
    </row>
    <row r="544" spans="1:11" ht="13.2">
      <c r="A544" s="22"/>
      <c r="B544" s="16"/>
      <c r="C544" s="23"/>
      <c r="D544" s="24"/>
      <c r="E544" s="25"/>
      <c r="F544" s="26"/>
      <c r="G544" s="27"/>
      <c r="H544" s="20"/>
      <c r="I544" s="21"/>
      <c r="J544" s="28"/>
      <c r="K544" s="19"/>
    </row>
    <row r="545" spans="1:11" ht="13.2">
      <c r="A545" s="22"/>
      <c r="B545" s="16"/>
      <c r="C545" s="23"/>
      <c r="D545" s="24"/>
      <c r="E545" s="25"/>
      <c r="F545" s="26"/>
      <c r="G545" s="27"/>
      <c r="H545" s="20"/>
      <c r="I545" s="21"/>
      <c r="J545" s="28"/>
      <c r="K545" s="19"/>
    </row>
    <row r="546" spans="1:11" ht="13.2">
      <c r="A546" s="22"/>
      <c r="B546" s="16"/>
      <c r="C546" s="23"/>
      <c r="D546" s="24"/>
      <c r="E546" s="25"/>
      <c r="F546" s="26"/>
      <c r="G546" s="27"/>
      <c r="H546" s="20"/>
      <c r="I546" s="21"/>
      <c r="J546" s="28"/>
      <c r="K546" s="19"/>
    </row>
    <row r="547" spans="1:11" ht="13.2">
      <c r="A547" s="22"/>
      <c r="B547" s="16"/>
      <c r="C547" s="23"/>
      <c r="D547" s="24"/>
      <c r="E547" s="25"/>
      <c r="F547" s="26"/>
      <c r="G547" s="27"/>
      <c r="H547" s="20"/>
      <c r="I547" s="21"/>
      <c r="J547" s="28"/>
      <c r="K547" s="19"/>
    </row>
    <row r="548" spans="1:11" ht="13.2">
      <c r="A548" s="22"/>
      <c r="B548" s="16"/>
      <c r="C548" s="23"/>
      <c r="D548" s="24"/>
      <c r="E548" s="25"/>
      <c r="F548" s="26"/>
      <c r="G548" s="27"/>
      <c r="H548" s="20"/>
      <c r="I548" s="21"/>
      <c r="J548" s="28"/>
      <c r="K548" s="19"/>
    </row>
    <row r="549" spans="1:11" ht="13.2">
      <c r="A549" s="22"/>
      <c r="B549" s="16"/>
      <c r="C549" s="23"/>
      <c r="D549" s="24"/>
      <c r="E549" s="25"/>
      <c r="F549" s="26"/>
      <c r="G549" s="27"/>
      <c r="H549" s="20"/>
      <c r="I549" s="21"/>
      <c r="J549" s="28"/>
      <c r="K549" s="19"/>
    </row>
    <row r="550" spans="1:11" ht="13.2">
      <c r="A550" s="22"/>
      <c r="B550" s="16"/>
      <c r="C550" s="23"/>
      <c r="D550" s="24"/>
      <c r="E550" s="25"/>
      <c r="F550" s="26"/>
      <c r="G550" s="27"/>
      <c r="H550" s="20"/>
      <c r="I550" s="21"/>
      <c r="J550" s="28"/>
      <c r="K550" s="19"/>
    </row>
    <row r="551" spans="1:11" ht="13.2">
      <c r="A551" s="22"/>
      <c r="B551" s="16"/>
      <c r="C551" s="23"/>
      <c r="D551" s="24"/>
      <c r="E551" s="25"/>
      <c r="F551" s="26"/>
      <c r="G551" s="27"/>
      <c r="H551" s="20"/>
      <c r="I551" s="21"/>
      <c r="J551" s="28"/>
      <c r="K551" s="19"/>
    </row>
    <row r="552" spans="1:11" ht="13.2">
      <c r="A552" s="22"/>
      <c r="B552" s="16"/>
      <c r="C552" s="23"/>
      <c r="D552" s="24"/>
      <c r="E552" s="25"/>
      <c r="F552" s="26"/>
      <c r="G552" s="27"/>
      <c r="H552" s="20"/>
      <c r="I552" s="21"/>
      <c r="J552" s="28"/>
      <c r="K552" s="19"/>
    </row>
    <row r="553" spans="1:11" ht="13.2">
      <c r="A553" s="22"/>
      <c r="B553" s="16"/>
      <c r="C553" s="23"/>
      <c r="D553" s="24"/>
      <c r="E553" s="25"/>
      <c r="F553" s="26"/>
      <c r="G553" s="27"/>
      <c r="H553" s="20"/>
      <c r="I553" s="21"/>
      <c r="J553" s="28"/>
      <c r="K553" s="19"/>
    </row>
    <row r="554" spans="1:11" ht="13.2">
      <c r="A554" s="22"/>
      <c r="B554" s="16"/>
      <c r="C554" s="23"/>
      <c r="D554" s="24"/>
      <c r="E554" s="25"/>
      <c r="F554" s="26"/>
      <c r="G554" s="27"/>
      <c r="H554" s="20"/>
      <c r="I554" s="21"/>
      <c r="J554" s="28"/>
      <c r="K554" s="19"/>
    </row>
    <row r="555" spans="1:11" ht="13.2">
      <c r="A555" s="22"/>
      <c r="B555" s="16"/>
      <c r="C555" s="23"/>
      <c r="D555" s="24"/>
      <c r="E555" s="25"/>
      <c r="F555" s="26"/>
      <c r="G555" s="27"/>
      <c r="H555" s="20"/>
      <c r="I555" s="21"/>
      <c r="J555" s="28"/>
      <c r="K555" s="19"/>
    </row>
    <row r="556" spans="1:11" ht="13.2">
      <c r="A556" s="22"/>
      <c r="B556" s="16"/>
      <c r="C556" s="23"/>
      <c r="D556" s="24"/>
      <c r="E556" s="25"/>
      <c r="F556" s="26"/>
      <c r="G556" s="27"/>
      <c r="H556" s="20"/>
      <c r="I556" s="21"/>
      <c r="J556" s="28"/>
      <c r="K556" s="19"/>
    </row>
    <row r="557" spans="1:11" ht="13.2">
      <c r="A557" s="22"/>
      <c r="B557" s="16"/>
      <c r="C557" s="23"/>
      <c r="D557" s="24"/>
      <c r="E557" s="25"/>
      <c r="F557" s="26"/>
      <c r="G557" s="27"/>
      <c r="H557" s="20"/>
      <c r="I557" s="21"/>
      <c r="J557" s="28"/>
      <c r="K557" s="19"/>
    </row>
    <row r="558" spans="1:11" ht="13.2">
      <c r="A558" s="22"/>
      <c r="B558" s="16"/>
      <c r="C558" s="23"/>
      <c r="D558" s="24"/>
      <c r="E558" s="25"/>
      <c r="F558" s="26"/>
      <c r="G558" s="27"/>
      <c r="H558" s="20"/>
      <c r="I558" s="21"/>
      <c r="J558" s="28"/>
      <c r="K558" s="19"/>
    </row>
    <row r="559" spans="1:11" ht="13.2">
      <c r="A559" s="22"/>
      <c r="B559" s="16"/>
      <c r="C559" s="23"/>
      <c r="D559" s="24"/>
      <c r="E559" s="25"/>
      <c r="F559" s="26"/>
      <c r="G559" s="27"/>
      <c r="H559" s="20"/>
      <c r="I559" s="21"/>
      <c r="J559" s="28"/>
      <c r="K559" s="19"/>
    </row>
    <row r="560" spans="1:11" ht="13.2">
      <c r="A560" s="22"/>
      <c r="B560" s="16"/>
      <c r="C560" s="23"/>
      <c r="D560" s="24"/>
      <c r="E560" s="25"/>
      <c r="F560" s="26"/>
      <c r="G560" s="27"/>
      <c r="H560" s="20"/>
      <c r="I560" s="21"/>
      <c r="J560" s="28"/>
      <c r="K560" s="19"/>
    </row>
    <row r="561" spans="1:11" ht="13.2">
      <c r="A561" s="22"/>
      <c r="B561" s="16"/>
      <c r="C561" s="23"/>
      <c r="D561" s="24"/>
      <c r="E561" s="25"/>
      <c r="F561" s="26"/>
      <c r="G561" s="27"/>
      <c r="H561" s="20"/>
      <c r="I561" s="21"/>
      <c r="J561" s="28"/>
      <c r="K561" s="19"/>
    </row>
    <row r="562" spans="1:11" ht="13.2">
      <c r="A562" s="22"/>
      <c r="B562" s="16"/>
      <c r="C562" s="23"/>
      <c r="D562" s="24"/>
      <c r="E562" s="25"/>
      <c r="F562" s="26"/>
      <c r="G562" s="27"/>
      <c r="H562" s="20"/>
      <c r="I562" s="21"/>
      <c r="J562" s="28"/>
      <c r="K562" s="19"/>
    </row>
    <row r="563" spans="1:11" ht="13.2">
      <c r="A563" s="22"/>
      <c r="B563" s="16"/>
      <c r="C563" s="23"/>
      <c r="D563" s="24"/>
      <c r="E563" s="25"/>
      <c r="F563" s="26"/>
      <c r="G563" s="27"/>
      <c r="H563" s="20"/>
      <c r="I563" s="21"/>
      <c r="J563" s="28"/>
      <c r="K563" s="19"/>
    </row>
    <row r="564" spans="1:11" ht="13.2">
      <c r="A564" s="22"/>
      <c r="B564" s="16"/>
      <c r="C564" s="23"/>
      <c r="D564" s="24"/>
      <c r="E564" s="25"/>
      <c r="F564" s="26"/>
      <c r="G564" s="27"/>
      <c r="H564" s="20"/>
      <c r="I564" s="21"/>
      <c r="J564" s="28"/>
      <c r="K564" s="19"/>
    </row>
    <row r="565" spans="1:11" ht="13.2">
      <c r="A565" s="22"/>
      <c r="B565" s="16"/>
      <c r="C565" s="23"/>
      <c r="D565" s="24"/>
      <c r="E565" s="25"/>
      <c r="F565" s="26"/>
      <c r="G565" s="27"/>
      <c r="H565" s="20"/>
      <c r="I565" s="21"/>
      <c r="J565" s="28"/>
      <c r="K565" s="19"/>
    </row>
    <row r="566" spans="1:11" ht="13.2">
      <c r="A566" s="22"/>
      <c r="B566" s="16"/>
      <c r="C566" s="23"/>
      <c r="D566" s="24"/>
      <c r="E566" s="25"/>
      <c r="F566" s="26"/>
      <c r="G566" s="27"/>
      <c r="H566" s="20"/>
      <c r="I566" s="21"/>
      <c r="J566" s="28"/>
      <c r="K566" s="19"/>
    </row>
    <row r="567" spans="1:11" ht="13.2">
      <c r="A567" s="22"/>
      <c r="B567" s="16"/>
      <c r="C567" s="23"/>
      <c r="D567" s="24"/>
      <c r="E567" s="25"/>
      <c r="F567" s="26"/>
      <c r="G567" s="27"/>
      <c r="H567" s="20"/>
      <c r="I567" s="21"/>
      <c r="J567" s="28"/>
      <c r="K567" s="19"/>
    </row>
    <row r="568" spans="1:11" ht="13.2">
      <c r="A568" s="22"/>
      <c r="B568" s="16"/>
      <c r="C568" s="23"/>
      <c r="D568" s="24"/>
      <c r="E568" s="25"/>
      <c r="F568" s="26"/>
      <c r="G568" s="27"/>
      <c r="H568" s="20"/>
      <c r="I568" s="21"/>
      <c r="J568" s="28"/>
      <c r="K568" s="19"/>
    </row>
    <row r="569" spans="1:11" ht="13.2">
      <c r="A569" s="22"/>
      <c r="B569" s="16"/>
      <c r="C569" s="23"/>
      <c r="D569" s="24"/>
      <c r="E569" s="25"/>
      <c r="F569" s="26"/>
      <c r="G569" s="27"/>
      <c r="H569" s="20"/>
      <c r="I569" s="21"/>
      <c r="J569" s="28"/>
      <c r="K569" s="19"/>
    </row>
    <row r="570" spans="1:11" ht="13.2">
      <c r="A570" s="22"/>
      <c r="B570" s="16"/>
      <c r="C570" s="23"/>
      <c r="D570" s="24"/>
      <c r="E570" s="25"/>
      <c r="F570" s="26"/>
      <c r="G570" s="27"/>
      <c r="H570" s="20"/>
      <c r="I570" s="21"/>
      <c r="J570" s="28"/>
      <c r="K570" s="19"/>
    </row>
    <row r="571" spans="1:11" ht="13.2">
      <c r="A571" s="22"/>
      <c r="B571" s="16"/>
      <c r="C571" s="23"/>
      <c r="D571" s="24"/>
      <c r="E571" s="25"/>
      <c r="F571" s="26"/>
      <c r="G571" s="27"/>
      <c r="H571" s="20"/>
      <c r="I571" s="21"/>
      <c r="J571" s="28"/>
      <c r="K571" s="19"/>
    </row>
    <row r="572" spans="1:11" ht="13.2">
      <c r="A572" s="22"/>
      <c r="B572" s="16"/>
      <c r="C572" s="23"/>
      <c r="D572" s="24"/>
      <c r="E572" s="25"/>
      <c r="F572" s="26"/>
      <c r="G572" s="27"/>
      <c r="H572" s="20"/>
      <c r="I572" s="21"/>
      <c r="J572" s="28"/>
      <c r="K572" s="19"/>
    </row>
    <row r="573" spans="1:11" ht="13.2">
      <c r="A573" s="22"/>
      <c r="B573" s="16"/>
      <c r="C573" s="23"/>
      <c r="D573" s="24"/>
      <c r="E573" s="25"/>
      <c r="F573" s="26"/>
      <c r="G573" s="27"/>
      <c r="H573" s="20"/>
      <c r="I573" s="21"/>
      <c r="J573" s="28"/>
      <c r="K573" s="19"/>
    </row>
    <row r="574" spans="1:11" ht="13.2">
      <c r="A574" s="22"/>
      <c r="B574" s="16"/>
      <c r="C574" s="23"/>
      <c r="D574" s="24"/>
      <c r="E574" s="25"/>
      <c r="F574" s="26"/>
      <c r="G574" s="27"/>
      <c r="H574" s="20"/>
      <c r="I574" s="21"/>
      <c r="J574" s="28"/>
      <c r="K574" s="19"/>
    </row>
    <row r="575" spans="1:11" ht="13.2">
      <c r="A575" s="22"/>
      <c r="B575" s="16"/>
      <c r="C575" s="23"/>
      <c r="D575" s="24"/>
      <c r="E575" s="25"/>
      <c r="F575" s="26"/>
      <c r="G575" s="27"/>
      <c r="H575" s="20"/>
      <c r="I575" s="21"/>
      <c r="J575" s="28"/>
      <c r="K575" s="19"/>
    </row>
    <row r="576" spans="1:11" ht="13.2">
      <c r="A576" s="22"/>
      <c r="B576" s="16"/>
      <c r="C576" s="23"/>
      <c r="D576" s="24"/>
      <c r="E576" s="25"/>
      <c r="F576" s="26"/>
      <c r="G576" s="27"/>
      <c r="H576" s="20"/>
      <c r="I576" s="21"/>
      <c r="J576" s="28"/>
      <c r="K576" s="19"/>
    </row>
    <row r="577" spans="1:11" ht="13.2">
      <c r="A577" s="22"/>
      <c r="B577" s="16"/>
      <c r="C577" s="23"/>
      <c r="D577" s="24"/>
      <c r="E577" s="25"/>
      <c r="F577" s="26"/>
      <c r="G577" s="27"/>
      <c r="H577" s="20"/>
      <c r="I577" s="21"/>
      <c r="J577" s="28"/>
      <c r="K577" s="19"/>
    </row>
    <row r="578" spans="1:11" ht="13.2">
      <c r="A578" s="22"/>
      <c r="B578" s="16"/>
      <c r="C578" s="23"/>
      <c r="D578" s="24"/>
      <c r="E578" s="25"/>
      <c r="F578" s="26"/>
      <c r="G578" s="27"/>
      <c r="H578" s="20"/>
      <c r="I578" s="21"/>
      <c r="J578" s="28"/>
      <c r="K578" s="19"/>
    </row>
    <row r="579" spans="1:11" ht="13.2">
      <c r="A579" s="22"/>
      <c r="B579" s="16"/>
      <c r="C579" s="23"/>
      <c r="D579" s="24"/>
      <c r="E579" s="25"/>
      <c r="F579" s="26"/>
      <c r="G579" s="27"/>
      <c r="H579" s="20"/>
      <c r="I579" s="21"/>
      <c r="J579" s="28"/>
      <c r="K579" s="19"/>
    </row>
    <row r="580" spans="1:11" ht="13.2">
      <c r="A580" s="22"/>
      <c r="B580" s="16"/>
      <c r="C580" s="23"/>
      <c r="D580" s="24"/>
      <c r="E580" s="25"/>
      <c r="F580" s="26"/>
      <c r="G580" s="27"/>
      <c r="H580" s="20"/>
      <c r="I580" s="21"/>
      <c r="J580" s="28"/>
      <c r="K580" s="19"/>
    </row>
    <row r="581" spans="1:11" ht="13.2">
      <c r="A581" s="22"/>
      <c r="B581" s="16"/>
      <c r="C581" s="23"/>
      <c r="D581" s="24"/>
      <c r="E581" s="25"/>
      <c r="F581" s="26"/>
      <c r="G581" s="27"/>
      <c r="H581" s="20"/>
      <c r="I581" s="21"/>
      <c r="J581" s="28"/>
      <c r="K581" s="19"/>
    </row>
    <row r="582" spans="1:11" ht="13.2">
      <c r="A582" s="22"/>
      <c r="B582" s="16"/>
      <c r="C582" s="23"/>
      <c r="D582" s="24"/>
      <c r="E582" s="25"/>
      <c r="F582" s="26"/>
      <c r="G582" s="27"/>
      <c r="H582" s="20"/>
      <c r="I582" s="21"/>
      <c r="J582" s="28"/>
      <c r="K582" s="19"/>
    </row>
    <row r="583" spans="1:11" ht="13.2">
      <c r="A583" s="22"/>
      <c r="B583" s="16"/>
      <c r="C583" s="23"/>
      <c r="D583" s="24"/>
      <c r="E583" s="25"/>
      <c r="F583" s="26"/>
      <c r="G583" s="27"/>
      <c r="H583" s="20"/>
      <c r="I583" s="21"/>
      <c r="J583" s="28"/>
      <c r="K583" s="19"/>
    </row>
    <row r="584" spans="1:11" ht="13.2">
      <c r="A584" s="22"/>
      <c r="B584" s="16"/>
      <c r="C584" s="23"/>
      <c r="D584" s="24"/>
      <c r="E584" s="25"/>
      <c r="F584" s="26"/>
      <c r="G584" s="27"/>
      <c r="H584" s="20"/>
      <c r="I584" s="21"/>
      <c r="J584" s="28"/>
      <c r="K584" s="19"/>
    </row>
    <row r="585" spans="1:11" ht="13.2">
      <c r="A585" s="22"/>
      <c r="B585" s="16"/>
      <c r="C585" s="23"/>
      <c r="D585" s="24"/>
      <c r="E585" s="25"/>
      <c r="F585" s="26"/>
      <c r="G585" s="27"/>
      <c r="H585" s="20"/>
      <c r="I585" s="21"/>
      <c r="J585" s="28"/>
      <c r="K585" s="19"/>
    </row>
    <row r="586" spans="1:11" ht="13.2">
      <c r="A586" s="22"/>
      <c r="B586" s="16"/>
      <c r="C586" s="23"/>
      <c r="D586" s="24"/>
      <c r="E586" s="25"/>
      <c r="F586" s="26"/>
      <c r="G586" s="27"/>
      <c r="H586" s="20"/>
      <c r="I586" s="21"/>
      <c r="J586" s="28"/>
      <c r="K586" s="19"/>
    </row>
    <row r="587" spans="1:11" ht="13.2">
      <c r="A587" s="22"/>
      <c r="B587" s="16"/>
      <c r="C587" s="23"/>
      <c r="D587" s="24"/>
      <c r="E587" s="25"/>
      <c r="F587" s="26"/>
      <c r="G587" s="27"/>
      <c r="H587" s="20"/>
      <c r="I587" s="21"/>
      <c r="J587" s="28"/>
      <c r="K587" s="19"/>
    </row>
    <row r="588" spans="1:11" ht="13.2">
      <c r="A588" s="22"/>
      <c r="B588" s="16"/>
      <c r="C588" s="23"/>
      <c r="D588" s="24"/>
      <c r="E588" s="25"/>
      <c r="F588" s="26"/>
      <c r="G588" s="27"/>
      <c r="H588" s="20"/>
      <c r="I588" s="21"/>
      <c r="J588" s="28"/>
      <c r="K588" s="19"/>
    </row>
    <row r="589" spans="1:11" ht="13.2">
      <c r="A589" s="22"/>
      <c r="B589" s="16"/>
      <c r="C589" s="23"/>
      <c r="D589" s="24"/>
      <c r="E589" s="25"/>
      <c r="F589" s="26"/>
      <c r="G589" s="27"/>
      <c r="H589" s="20"/>
      <c r="I589" s="21"/>
      <c r="J589" s="28"/>
      <c r="K589" s="19"/>
    </row>
    <row r="590" spans="1:11" ht="13.2">
      <c r="A590" s="22"/>
      <c r="B590" s="16"/>
      <c r="C590" s="23"/>
      <c r="D590" s="24"/>
      <c r="E590" s="25"/>
      <c r="F590" s="26"/>
      <c r="G590" s="27"/>
      <c r="H590" s="20"/>
      <c r="I590" s="21"/>
      <c r="J590" s="28"/>
      <c r="K590" s="19"/>
    </row>
    <row r="591" spans="1:11" ht="13.2">
      <c r="A591" s="22"/>
      <c r="B591" s="16"/>
      <c r="C591" s="23"/>
      <c r="D591" s="24"/>
      <c r="E591" s="25"/>
      <c r="F591" s="26"/>
      <c r="G591" s="27"/>
      <c r="H591" s="20"/>
      <c r="I591" s="21"/>
      <c r="J591" s="28"/>
      <c r="K591" s="19"/>
    </row>
    <row r="592" spans="1:11" ht="13.2">
      <c r="A592" s="22"/>
      <c r="B592" s="16"/>
      <c r="C592" s="23"/>
      <c r="D592" s="24"/>
      <c r="E592" s="25"/>
      <c r="F592" s="26"/>
      <c r="G592" s="27"/>
      <c r="H592" s="20"/>
      <c r="I592" s="21"/>
      <c r="J592" s="28"/>
      <c r="K592" s="19"/>
    </row>
    <row r="593" spans="1:11" ht="13.2">
      <c r="A593" s="22"/>
      <c r="B593" s="16"/>
      <c r="C593" s="23"/>
      <c r="D593" s="24"/>
      <c r="E593" s="25"/>
      <c r="F593" s="26"/>
      <c r="G593" s="27"/>
      <c r="H593" s="20"/>
      <c r="I593" s="21"/>
      <c r="J593" s="28"/>
      <c r="K593" s="19"/>
    </row>
    <row r="594" spans="1:11" ht="13.2">
      <c r="A594" s="22"/>
      <c r="B594" s="16"/>
      <c r="C594" s="23"/>
      <c r="D594" s="24"/>
      <c r="E594" s="25"/>
      <c r="F594" s="26"/>
      <c r="G594" s="27"/>
      <c r="H594" s="20"/>
      <c r="I594" s="21"/>
      <c r="J594" s="28"/>
      <c r="K594" s="19"/>
    </row>
    <row r="595" spans="1:11" ht="13.2">
      <c r="A595" s="22"/>
      <c r="B595" s="16"/>
      <c r="C595" s="23"/>
      <c r="D595" s="24"/>
      <c r="E595" s="25"/>
      <c r="F595" s="26"/>
      <c r="G595" s="27"/>
      <c r="H595" s="20"/>
      <c r="I595" s="21"/>
      <c r="J595" s="28"/>
      <c r="K595" s="19"/>
    </row>
    <row r="596" spans="1:11" ht="13.2">
      <c r="A596" s="22"/>
      <c r="B596" s="16"/>
      <c r="C596" s="23"/>
      <c r="D596" s="24"/>
      <c r="E596" s="25"/>
      <c r="F596" s="26"/>
      <c r="G596" s="27"/>
      <c r="H596" s="20"/>
      <c r="I596" s="21"/>
      <c r="J596" s="28"/>
      <c r="K596" s="19"/>
    </row>
    <row r="597" spans="1:11" ht="13.2">
      <c r="A597" s="22"/>
      <c r="B597" s="16"/>
      <c r="C597" s="23"/>
      <c r="D597" s="24"/>
      <c r="E597" s="25"/>
      <c r="F597" s="26"/>
      <c r="G597" s="27"/>
      <c r="H597" s="20"/>
      <c r="I597" s="21"/>
      <c r="J597" s="28"/>
      <c r="K597" s="19"/>
    </row>
    <row r="598" spans="1:11" ht="13.2">
      <c r="A598" s="22"/>
      <c r="B598" s="16"/>
      <c r="C598" s="23"/>
      <c r="D598" s="24"/>
      <c r="E598" s="25"/>
      <c r="F598" s="26"/>
      <c r="G598" s="27"/>
      <c r="H598" s="20"/>
      <c r="I598" s="21"/>
      <c r="J598" s="28"/>
      <c r="K598" s="19"/>
    </row>
    <row r="599" spans="1:11" ht="13.2">
      <c r="A599" s="22"/>
      <c r="B599" s="16"/>
      <c r="C599" s="23"/>
      <c r="D599" s="24"/>
      <c r="E599" s="25"/>
      <c r="F599" s="26"/>
      <c r="G599" s="27"/>
      <c r="H599" s="20"/>
      <c r="I599" s="21"/>
      <c r="J599" s="28"/>
      <c r="K599" s="19"/>
    </row>
    <row r="600" spans="1:11" ht="13.2">
      <c r="A600" s="22"/>
      <c r="B600" s="16"/>
      <c r="C600" s="23"/>
      <c r="D600" s="24"/>
      <c r="E600" s="25"/>
      <c r="F600" s="26"/>
      <c r="G600" s="27"/>
      <c r="H600" s="20"/>
      <c r="I600" s="21"/>
      <c r="J600" s="28"/>
      <c r="K600" s="19"/>
    </row>
    <row r="601" spans="1:11" ht="13.2">
      <c r="A601" s="22"/>
      <c r="B601" s="16"/>
      <c r="C601" s="23"/>
      <c r="D601" s="24"/>
      <c r="E601" s="25"/>
      <c r="F601" s="26"/>
      <c r="G601" s="27"/>
      <c r="H601" s="20"/>
      <c r="I601" s="21"/>
      <c r="J601" s="28"/>
      <c r="K601" s="19"/>
    </row>
    <row r="602" spans="1:11" ht="13.2">
      <c r="A602" s="22"/>
      <c r="B602" s="16"/>
      <c r="C602" s="23"/>
      <c r="D602" s="24"/>
      <c r="E602" s="25"/>
      <c r="F602" s="26"/>
      <c r="G602" s="27"/>
      <c r="H602" s="20"/>
      <c r="I602" s="21"/>
      <c r="J602" s="28"/>
      <c r="K602" s="19"/>
    </row>
    <row r="603" spans="1:11" ht="13.2">
      <c r="A603" s="22"/>
      <c r="B603" s="16"/>
      <c r="C603" s="23"/>
      <c r="D603" s="24"/>
      <c r="E603" s="25"/>
      <c r="F603" s="26"/>
      <c r="G603" s="27"/>
      <c r="H603" s="20"/>
      <c r="I603" s="21"/>
      <c r="J603" s="28"/>
      <c r="K603" s="19"/>
    </row>
    <row r="604" spans="1:11" ht="13.2">
      <c r="A604" s="22"/>
      <c r="B604" s="16"/>
      <c r="C604" s="23"/>
      <c r="D604" s="24"/>
      <c r="E604" s="25"/>
      <c r="F604" s="26"/>
      <c r="G604" s="27"/>
      <c r="H604" s="20"/>
      <c r="I604" s="21"/>
      <c r="J604" s="28"/>
      <c r="K604" s="19"/>
    </row>
    <row r="605" spans="1:11" ht="13.2">
      <c r="A605" s="22"/>
      <c r="B605" s="16"/>
      <c r="C605" s="23"/>
      <c r="D605" s="24"/>
      <c r="E605" s="25"/>
      <c r="F605" s="26"/>
      <c r="G605" s="27"/>
      <c r="H605" s="20"/>
      <c r="I605" s="21"/>
      <c r="J605" s="28"/>
      <c r="K605" s="19"/>
    </row>
    <row r="606" spans="1:11" ht="13.2">
      <c r="A606" s="22"/>
      <c r="B606" s="16"/>
      <c r="C606" s="23"/>
      <c r="D606" s="24"/>
      <c r="E606" s="25"/>
      <c r="F606" s="26"/>
      <c r="G606" s="27"/>
      <c r="H606" s="20"/>
      <c r="I606" s="21"/>
      <c r="J606" s="28"/>
      <c r="K606" s="19"/>
    </row>
    <row r="607" spans="1:11" ht="13.2">
      <c r="A607" s="22"/>
      <c r="B607" s="16"/>
      <c r="C607" s="23"/>
      <c r="D607" s="24"/>
      <c r="E607" s="25"/>
      <c r="F607" s="26"/>
      <c r="G607" s="27"/>
      <c r="H607" s="20"/>
      <c r="I607" s="21"/>
      <c r="J607" s="28"/>
      <c r="K607" s="19"/>
    </row>
    <row r="608" spans="1:11" ht="13.2">
      <c r="A608" s="22"/>
      <c r="B608" s="16"/>
      <c r="C608" s="23"/>
      <c r="D608" s="24"/>
      <c r="E608" s="25"/>
      <c r="F608" s="26"/>
      <c r="G608" s="27"/>
      <c r="H608" s="20"/>
      <c r="I608" s="21"/>
      <c r="J608" s="28"/>
      <c r="K608" s="19"/>
    </row>
    <row r="609" spans="1:11" ht="13.2">
      <c r="A609" s="22"/>
      <c r="B609" s="16"/>
      <c r="C609" s="23"/>
      <c r="D609" s="24"/>
      <c r="E609" s="25"/>
      <c r="F609" s="26"/>
      <c r="G609" s="27"/>
      <c r="H609" s="20"/>
      <c r="I609" s="21"/>
      <c r="J609" s="28"/>
      <c r="K609" s="19"/>
    </row>
    <row r="610" spans="1:11" ht="13.2">
      <c r="A610" s="22"/>
      <c r="B610" s="16"/>
      <c r="C610" s="23"/>
      <c r="D610" s="24"/>
      <c r="E610" s="25"/>
      <c r="F610" s="26"/>
      <c r="G610" s="27"/>
      <c r="H610" s="20"/>
      <c r="I610" s="21"/>
      <c r="J610" s="28"/>
      <c r="K610" s="19"/>
    </row>
    <row r="611" spans="1:11" ht="13.2">
      <c r="A611" s="22"/>
      <c r="B611" s="16"/>
      <c r="C611" s="23"/>
      <c r="D611" s="24"/>
      <c r="E611" s="25"/>
      <c r="F611" s="26"/>
      <c r="G611" s="27"/>
      <c r="H611" s="20"/>
      <c r="I611" s="21"/>
      <c r="J611" s="28"/>
      <c r="K611" s="19"/>
    </row>
    <row r="612" spans="1:11" ht="13.2">
      <c r="A612" s="22"/>
      <c r="B612" s="16"/>
      <c r="C612" s="23"/>
      <c r="D612" s="24"/>
      <c r="E612" s="25"/>
      <c r="F612" s="26"/>
      <c r="G612" s="27"/>
      <c r="H612" s="20"/>
      <c r="I612" s="21"/>
      <c r="J612" s="28"/>
      <c r="K612" s="19"/>
    </row>
    <row r="613" spans="1:11" ht="13.2">
      <c r="A613" s="22"/>
      <c r="B613" s="16"/>
      <c r="C613" s="23"/>
      <c r="D613" s="24"/>
      <c r="E613" s="25"/>
      <c r="F613" s="26"/>
      <c r="G613" s="27"/>
      <c r="H613" s="20"/>
      <c r="I613" s="21"/>
      <c r="J613" s="28"/>
      <c r="K613" s="19"/>
    </row>
    <row r="614" spans="1:11" ht="13.2">
      <c r="A614" s="22"/>
      <c r="B614" s="16"/>
      <c r="C614" s="23"/>
      <c r="D614" s="24"/>
      <c r="E614" s="25"/>
      <c r="F614" s="26"/>
      <c r="G614" s="27"/>
      <c r="H614" s="20"/>
      <c r="I614" s="21"/>
      <c r="J614" s="28"/>
      <c r="K614" s="19"/>
    </row>
    <row r="615" spans="1:11" ht="13.2">
      <c r="A615" s="22"/>
      <c r="B615" s="16"/>
      <c r="C615" s="23"/>
      <c r="D615" s="24"/>
      <c r="E615" s="25"/>
      <c r="F615" s="26"/>
      <c r="G615" s="27"/>
      <c r="H615" s="20"/>
      <c r="I615" s="21"/>
      <c r="J615" s="28"/>
      <c r="K615" s="19"/>
    </row>
    <row r="616" spans="1:11" ht="13.2">
      <c r="A616" s="22"/>
      <c r="B616" s="16"/>
      <c r="C616" s="23"/>
      <c r="D616" s="24"/>
      <c r="E616" s="25"/>
      <c r="F616" s="26"/>
      <c r="G616" s="27"/>
      <c r="H616" s="20"/>
      <c r="I616" s="21"/>
      <c r="J616" s="28"/>
      <c r="K616" s="19"/>
    </row>
    <row r="617" spans="1:11" ht="13.2">
      <c r="A617" s="22"/>
      <c r="B617" s="16"/>
      <c r="C617" s="23"/>
      <c r="D617" s="24"/>
      <c r="E617" s="25"/>
      <c r="F617" s="26"/>
      <c r="G617" s="27"/>
      <c r="H617" s="20"/>
      <c r="I617" s="21"/>
      <c r="J617" s="28"/>
      <c r="K617" s="19"/>
    </row>
    <row r="618" spans="1:11" ht="13.2">
      <c r="A618" s="22"/>
      <c r="B618" s="16"/>
      <c r="C618" s="23"/>
      <c r="D618" s="24"/>
      <c r="E618" s="25"/>
      <c r="F618" s="26"/>
      <c r="G618" s="27"/>
      <c r="H618" s="20"/>
      <c r="I618" s="21"/>
      <c r="J618" s="28"/>
      <c r="K618" s="19"/>
    </row>
    <row r="619" spans="1:11" ht="13.2">
      <c r="A619" s="22"/>
      <c r="B619" s="16"/>
      <c r="C619" s="23"/>
      <c r="D619" s="24"/>
      <c r="E619" s="25"/>
      <c r="F619" s="26"/>
      <c r="G619" s="27"/>
      <c r="H619" s="20"/>
      <c r="I619" s="21"/>
      <c r="J619" s="28"/>
      <c r="K619" s="19"/>
    </row>
    <row r="620" spans="1:11" ht="13.2">
      <c r="A620" s="22"/>
      <c r="B620" s="16"/>
      <c r="C620" s="23"/>
      <c r="D620" s="24"/>
      <c r="E620" s="25"/>
      <c r="F620" s="26"/>
      <c r="G620" s="27"/>
      <c r="H620" s="20"/>
      <c r="I620" s="21"/>
      <c r="J620" s="28"/>
      <c r="K620" s="19"/>
    </row>
    <row r="621" spans="1:11" ht="13.2">
      <c r="A621" s="22"/>
      <c r="B621" s="16"/>
      <c r="C621" s="23"/>
      <c r="D621" s="24"/>
      <c r="E621" s="25"/>
      <c r="F621" s="26"/>
      <c r="G621" s="27"/>
      <c r="H621" s="20"/>
      <c r="I621" s="21"/>
      <c r="J621" s="28"/>
      <c r="K621" s="19"/>
    </row>
    <row r="622" spans="1:11" ht="13.2">
      <c r="A622" s="22"/>
      <c r="B622" s="16"/>
      <c r="C622" s="23"/>
      <c r="D622" s="24"/>
      <c r="E622" s="25"/>
      <c r="F622" s="26"/>
      <c r="G622" s="27"/>
      <c r="H622" s="20"/>
      <c r="I622" s="21"/>
      <c r="J622" s="28"/>
      <c r="K622" s="19"/>
    </row>
    <row r="623" spans="1:11" ht="13.2">
      <c r="A623" s="22"/>
      <c r="B623" s="16"/>
      <c r="C623" s="23"/>
      <c r="D623" s="24"/>
      <c r="E623" s="25"/>
      <c r="F623" s="26"/>
      <c r="G623" s="27"/>
      <c r="H623" s="20"/>
      <c r="I623" s="21"/>
      <c r="J623" s="28"/>
      <c r="K623" s="19"/>
    </row>
    <row r="624" spans="1:11" ht="13.2">
      <c r="A624" s="22"/>
      <c r="B624" s="16"/>
      <c r="C624" s="23"/>
      <c r="D624" s="24"/>
      <c r="E624" s="25"/>
      <c r="F624" s="26"/>
      <c r="G624" s="27"/>
      <c r="H624" s="20"/>
      <c r="I624" s="21"/>
      <c r="J624" s="28"/>
      <c r="K624" s="19"/>
    </row>
    <row r="625" spans="1:11" ht="13.2">
      <c r="A625" s="22"/>
      <c r="B625" s="16"/>
      <c r="C625" s="23"/>
      <c r="D625" s="24"/>
      <c r="E625" s="25"/>
      <c r="F625" s="26"/>
      <c r="G625" s="27"/>
      <c r="H625" s="20"/>
      <c r="I625" s="21"/>
      <c r="J625" s="28"/>
      <c r="K625" s="19"/>
    </row>
    <row r="626" spans="1:11" ht="13.2">
      <c r="A626" s="22"/>
      <c r="B626" s="16"/>
      <c r="C626" s="23"/>
      <c r="D626" s="24"/>
      <c r="E626" s="25"/>
      <c r="F626" s="26"/>
      <c r="G626" s="27"/>
      <c r="H626" s="20"/>
      <c r="I626" s="21"/>
      <c r="J626" s="28"/>
      <c r="K626" s="19"/>
    </row>
    <row r="627" spans="1:11" ht="13.2">
      <c r="A627" s="22"/>
      <c r="B627" s="16"/>
      <c r="C627" s="23"/>
      <c r="D627" s="24"/>
      <c r="E627" s="25"/>
      <c r="F627" s="26"/>
      <c r="G627" s="27"/>
      <c r="H627" s="20"/>
      <c r="I627" s="21"/>
      <c r="J627" s="28"/>
      <c r="K627" s="19"/>
    </row>
    <row r="628" spans="1:11" ht="13.2">
      <c r="A628" s="22"/>
      <c r="B628" s="16"/>
      <c r="C628" s="23"/>
      <c r="D628" s="24"/>
      <c r="E628" s="25"/>
      <c r="F628" s="26"/>
      <c r="G628" s="27"/>
      <c r="H628" s="20"/>
      <c r="I628" s="21"/>
      <c r="J628" s="28"/>
      <c r="K628" s="19"/>
    </row>
    <row r="629" spans="1:11" ht="13.2">
      <c r="A629" s="22"/>
      <c r="B629" s="16"/>
      <c r="C629" s="23"/>
      <c r="D629" s="24"/>
      <c r="E629" s="25"/>
      <c r="F629" s="26"/>
      <c r="G629" s="27"/>
      <c r="H629" s="20"/>
      <c r="I629" s="21"/>
      <c r="J629" s="28"/>
      <c r="K629" s="19"/>
    </row>
    <row r="630" spans="1:11" ht="13.2">
      <c r="A630" s="22"/>
      <c r="B630" s="16"/>
      <c r="C630" s="23"/>
      <c r="D630" s="24"/>
      <c r="E630" s="25"/>
      <c r="F630" s="26"/>
      <c r="G630" s="27"/>
      <c r="H630" s="20"/>
      <c r="I630" s="21"/>
      <c r="J630" s="28"/>
      <c r="K630" s="19"/>
    </row>
    <row r="631" spans="1:11" ht="13.2">
      <c r="A631" s="22"/>
      <c r="B631" s="16"/>
      <c r="C631" s="23"/>
      <c r="D631" s="24"/>
      <c r="E631" s="25"/>
      <c r="F631" s="26"/>
      <c r="G631" s="27"/>
      <c r="H631" s="20"/>
      <c r="I631" s="21"/>
      <c r="J631" s="28"/>
      <c r="K631" s="19"/>
    </row>
    <row r="632" spans="1:11" ht="13.2">
      <c r="A632" s="22"/>
      <c r="B632" s="16"/>
      <c r="C632" s="23"/>
      <c r="D632" s="24"/>
      <c r="E632" s="25"/>
      <c r="F632" s="26"/>
      <c r="G632" s="27"/>
      <c r="H632" s="20"/>
      <c r="I632" s="21"/>
      <c r="J632" s="28"/>
      <c r="K632" s="19"/>
    </row>
    <row r="633" spans="1:11" ht="13.2">
      <c r="A633" s="22"/>
      <c r="B633" s="16"/>
      <c r="C633" s="23"/>
      <c r="D633" s="24"/>
      <c r="E633" s="25"/>
      <c r="F633" s="26"/>
      <c r="G633" s="27"/>
      <c r="H633" s="20"/>
      <c r="I633" s="21"/>
      <c r="J633" s="28"/>
      <c r="K633" s="19"/>
    </row>
    <row r="634" spans="1:11" ht="13.2">
      <c r="A634" s="22"/>
      <c r="B634" s="16"/>
      <c r="C634" s="23"/>
      <c r="D634" s="24"/>
      <c r="E634" s="25"/>
      <c r="F634" s="26"/>
      <c r="G634" s="27"/>
      <c r="H634" s="20"/>
      <c r="I634" s="21"/>
      <c r="J634" s="28"/>
      <c r="K634" s="19"/>
    </row>
    <row r="635" spans="1:11" ht="13.2">
      <c r="A635" s="22"/>
      <c r="B635" s="16"/>
      <c r="C635" s="23"/>
      <c r="D635" s="24"/>
      <c r="E635" s="25"/>
      <c r="F635" s="26"/>
      <c r="G635" s="27"/>
      <c r="H635" s="20"/>
      <c r="I635" s="21"/>
      <c r="J635" s="28"/>
      <c r="K635" s="19"/>
    </row>
    <row r="636" spans="1:11" ht="13.2">
      <c r="A636" s="22"/>
      <c r="B636" s="16"/>
      <c r="C636" s="23"/>
      <c r="D636" s="24"/>
      <c r="E636" s="25"/>
      <c r="F636" s="26"/>
      <c r="G636" s="27"/>
      <c r="H636" s="20"/>
      <c r="I636" s="21"/>
      <c r="J636" s="28"/>
      <c r="K636" s="19"/>
    </row>
    <row r="637" spans="1:11" ht="13.2">
      <c r="A637" s="22"/>
      <c r="B637" s="16"/>
      <c r="C637" s="23"/>
      <c r="D637" s="24"/>
      <c r="E637" s="25"/>
      <c r="F637" s="26"/>
      <c r="G637" s="27"/>
      <c r="H637" s="20"/>
      <c r="I637" s="21"/>
      <c r="J637" s="28"/>
      <c r="K637" s="19"/>
    </row>
    <row r="638" spans="1:11" ht="13.2">
      <c r="A638" s="22"/>
      <c r="B638" s="16"/>
      <c r="C638" s="23"/>
      <c r="D638" s="24"/>
      <c r="E638" s="25"/>
      <c r="F638" s="26"/>
      <c r="G638" s="27"/>
      <c r="H638" s="20"/>
      <c r="I638" s="21"/>
      <c r="J638" s="28"/>
      <c r="K638" s="19"/>
    </row>
    <row r="639" spans="1:11" ht="13.2">
      <c r="A639" s="22"/>
      <c r="B639" s="16"/>
      <c r="C639" s="23"/>
      <c r="D639" s="24"/>
      <c r="E639" s="25"/>
      <c r="F639" s="26"/>
      <c r="G639" s="27"/>
      <c r="H639" s="20"/>
      <c r="I639" s="21"/>
      <c r="J639" s="28"/>
      <c r="K639" s="19"/>
    </row>
    <row r="640" spans="1:11" ht="13.2">
      <c r="A640" s="22"/>
      <c r="B640" s="16"/>
      <c r="C640" s="23"/>
      <c r="D640" s="24"/>
      <c r="E640" s="25"/>
      <c r="F640" s="26"/>
      <c r="G640" s="27"/>
      <c r="H640" s="20"/>
      <c r="I640" s="21"/>
      <c r="J640" s="28"/>
      <c r="K640" s="19"/>
    </row>
    <row r="641" spans="1:11" ht="13.2">
      <c r="A641" s="22"/>
      <c r="B641" s="16"/>
      <c r="C641" s="23"/>
      <c r="D641" s="24"/>
      <c r="E641" s="25"/>
      <c r="F641" s="26"/>
      <c r="G641" s="27"/>
      <c r="H641" s="20"/>
      <c r="I641" s="21"/>
      <c r="J641" s="28"/>
      <c r="K641" s="19"/>
    </row>
    <row r="642" spans="1:11" ht="13.2">
      <c r="A642" s="22"/>
      <c r="B642" s="16"/>
      <c r="C642" s="23"/>
      <c r="D642" s="24"/>
      <c r="E642" s="25"/>
      <c r="F642" s="26"/>
      <c r="G642" s="27"/>
      <c r="H642" s="20"/>
      <c r="I642" s="21"/>
      <c r="J642" s="28"/>
      <c r="K642" s="19"/>
    </row>
    <row r="643" spans="1:11" ht="13.2">
      <c r="A643" s="22"/>
      <c r="B643" s="16"/>
      <c r="C643" s="23"/>
      <c r="D643" s="24"/>
      <c r="E643" s="25"/>
      <c r="F643" s="26"/>
      <c r="G643" s="27"/>
      <c r="H643" s="20"/>
      <c r="I643" s="21"/>
      <c r="J643" s="28"/>
      <c r="K643" s="19"/>
    </row>
    <row r="644" spans="1:11" ht="13.2">
      <c r="A644" s="22"/>
      <c r="B644" s="16"/>
      <c r="C644" s="23"/>
      <c r="D644" s="24"/>
      <c r="E644" s="25"/>
      <c r="F644" s="26"/>
      <c r="G644" s="27"/>
      <c r="H644" s="20"/>
      <c r="I644" s="21"/>
      <c r="J644" s="28"/>
      <c r="K644" s="19"/>
    </row>
    <row r="645" spans="1:11" ht="13.2">
      <c r="A645" s="22"/>
      <c r="B645" s="16"/>
      <c r="C645" s="23"/>
      <c r="D645" s="24"/>
      <c r="E645" s="25"/>
      <c r="F645" s="26"/>
      <c r="G645" s="27"/>
      <c r="H645" s="20"/>
      <c r="I645" s="21"/>
      <c r="J645" s="28"/>
      <c r="K645" s="19"/>
    </row>
    <row r="646" spans="1:11" ht="13.2">
      <c r="A646" s="22"/>
      <c r="B646" s="16"/>
      <c r="C646" s="23"/>
      <c r="D646" s="24"/>
      <c r="E646" s="25"/>
      <c r="F646" s="26"/>
      <c r="G646" s="27"/>
      <c r="H646" s="20"/>
      <c r="I646" s="21"/>
      <c r="J646" s="28"/>
      <c r="K646" s="19"/>
    </row>
    <row r="647" spans="1:11" ht="13.2">
      <c r="A647" s="22"/>
      <c r="B647" s="16"/>
      <c r="C647" s="23"/>
      <c r="D647" s="24"/>
      <c r="E647" s="25"/>
      <c r="F647" s="26"/>
      <c r="G647" s="27"/>
      <c r="H647" s="20"/>
      <c r="I647" s="21"/>
      <c r="J647" s="28"/>
      <c r="K647" s="19"/>
    </row>
    <row r="648" spans="1:11" ht="13.2">
      <c r="A648" s="22"/>
      <c r="B648" s="16"/>
      <c r="C648" s="23"/>
      <c r="D648" s="24"/>
      <c r="E648" s="25"/>
      <c r="F648" s="26"/>
      <c r="G648" s="27"/>
      <c r="H648" s="20"/>
      <c r="I648" s="21"/>
      <c r="J648" s="28"/>
      <c r="K648" s="19"/>
    </row>
    <row r="649" spans="1:11" ht="13.2">
      <c r="A649" s="22"/>
      <c r="B649" s="16"/>
      <c r="C649" s="23"/>
      <c r="D649" s="24"/>
      <c r="E649" s="25"/>
      <c r="F649" s="26"/>
      <c r="G649" s="27"/>
      <c r="H649" s="20"/>
      <c r="I649" s="21"/>
      <c r="J649" s="28"/>
      <c r="K649" s="19"/>
    </row>
    <row r="650" spans="1:11" ht="13.2">
      <c r="A650" s="22"/>
      <c r="B650" s="16"/>
      <c r="C650" s="23"/>
      <c r="D650" s="24"/>
      <c r="E650" s="25"/>
      <c r="F650" s="26"/>
      <c r="G650" s="27"/>
      <c r="H650" s="20"/>
      <c r="I650" s="21"/>
      <c r="J650" s="28"/>
      <c r="K650" s="19"/>
    </row>
    <row r="651" spans="1:11" ht="13.2">
      <c r="A651" s="22"/>
      <c r="B651" s="16"/>
      <c r="C651" s="23"/>
      <c r="D651" s="24"/>
      <c r="E651" s="25"/>
      <c r="F651" s="26"/>
      <c r="G651" s="27"/>
      <c r="H651" s="20"/>
      <c r="I651" s="21"/>
      <c r="J651" s="28"/>
      <c r="K651" s="19"/>
    </row>
    <row r="652" spans="1:11" ht="13.2">
      <c r="A652" s="22"/>
      <c r="B652" s="16"/>
      <c r="C652" s="23"/>
      <c r="D652" s="24"/>
      <c r="E652" s="25"/>
      <c r="F652" s="26"/>
      <c r="G652" s="27"/>
      <c r="H652" s="20"/>
      <c r="I652" s="21"/>
      <c r="J652" s="28"/>
      <c r="K652" s="19"/>
    </row>
    <row r="653" spans="1:11" ht="13.2">
      <c r="A653" s="22"/>
      <c r="B653" s="16"/>
      <c r="C653" s="23"/>
      <c r="D653" s="24"/>
      <c r="E653" s="25"/>
      <c r="F653" s="26"/>
      <c r="G653" s="27"/>
      <c r="H653" s="20"/>
      <c r="I653" s="21"/>
      <c r="J653" s="28"/>
      <c r="K653" s="19"/>
    </row>
    <row r="654" spans="1:11" ht="13.2">
      <c r="A654" s="22"/>
      <c r="B654" s="16"/>
      <c r="C654" s="23"/>
      <c r="D654" s="24"/>
      <c r="E654" s="25"/>
      <c r="F654" s="26"/>
      <c r="G654" s="27"/>
      <c r="H654" s="20"/>
      <c r="I654" s="21"/>
      <c r="J654" s="28"/>
      <c r="K654" s="19"/>
    </row>
    <row r="655" spans="1:11" ht="13.2">
      <c r="A655" s="22"/>
      <c r="B655" s="16"/>
      <c r="C655" s="23"/>
      <c r="D655" s="24"/>
      <c r="E655" s="25"/>
      <c r="F655" s="26"/>
      <c r="G655" s="27"/>
      <c r="H655" s="20"/>
      <c r="I655" s="21"/>
      <c r="J655" s="28"/>
      <c r="K655" s="19"/>
    </row>
    <row r="656" spans="1:11" ht="13.2">
      <c r="A656" s="22"/>
      <c r="B656" s="16"/>
      <c r="C656" s="23"/>
      <c r="D656" s="24"/>
      <c r="E656" s="25"/>
      <c r="F656" s="26"/>
      <c r="G656" s="27"/>
      <c r="H656" s="20"/>
      <c r="I656" s="21"/>
      <c r="J656" s="28"/>
      <c r="K656" s="19"/>
    </row>
    <row r="657" spans="1:11" ht="13.2">
      <c r="A657" s="22"/>
      <c r="B657" s="16"/>
      <c r="C657" s="23"/>
      <c r="D657" s="24"/>
      <c r="E657" s="25"/>
      <c r="F657" s="26"/>
      <c r="G657" s="27"/>
      <c r="H657" s="20"/>
      <c r="I657" s="21"/>
      <c r="J657" s="28"/>
      <c r="K657" s="19"/>
    </row>
    <row r="658" spans="1:11" ht="13.2">
      <c r="A658" s="22"/>
      <c r="B658" s="16"/>
      <c r="C658" s="23"/>
      <c r="D658" s="24"/>
      <c r="E658" s="25"/>
      <c r="F658" s="26"/>
      <c r="G658" s="27"/>
      <c r="H658" s="20"/>
      <c r="I658" s="21"/>
      <c r="J658" s="28"/>
      <c r="K658" s="19"/>
    </row>
    <row r="659" spans="1:11" ht="13.2">
      <c r="A659" s="22"/>
      <c r="B659" s="16"/>
      <c r="C659" s="23"/>
      <c r="D659" s="24"/>
      <c r="E659" s="25"/>
      <c r="F659" s="26"/>
      <c r="G659" s="27"/>
      <c r="H659" s="20"/>
      <c r="I659" s="21"/>
      <c r="J659" s="28"/>
      <c r="K659" s="19"/>
    </row>
    <row r="660" spans="1:11" ht="13.2">
      <c r="A660" s="22"/>
      <c r="B660" s="16"/>
      <c r="C660" s="23"/>
      <c r="D660" s="24"/>
      <c r="E660" s="25"/>
      <c r="F660" s="26"/>
      <c r="G660" s="27"/>
      <c r="H660" s="20"/>
      <c r="I660" s="21"/>
      <c r="J660" s="28"/>
      <c r="K660" s="19"/>
    </row>
    <row r="661" spans="1:11" ht="13.2">
      <c r="A661" s="22"/>
      <c r="B661" s="16"/>
      <c r="C661" s="23"/>
      <c r="D661" s="24"/>
      <c r="E661" s="25"/>
      <c r="F661" s="26"/>
      <c r="G661" s="27"/>
      <c r="H661" s="20"/>
      <c r="I661" s="21"/>
      <c r="J661" s="28"/>
      <c r="K661" s="19"/>
    </row>
    <row r="662" spans="1:11" ht="13.2">
      <c r="A662" s="22"/>
      <c r="B662" s="16"/>
      <c r="C662" s="23"/>
      <c r="D662" s="24"/>
      <c r="E662" s="25"/>
      <c r="F662" s="26"/>
      <c r="G662" s="27"/>
      <c r="H662" s="20"/>
      <c r="I662" s="21"/>
      <c r="J662" s="28"/>
      <c r="K662" s="19"/>
    </row>
    <row r="663" spans="1:11" ht="13.2">
      <c r="A663" s="22"/>
      <c r="B663" s="16"/>
      <c r="C663" s="23"/>
      <c r="D663" s="24"/>
      <c r="E663" s="25"/>
      <c r="F663" s="26"/>
      <c r="G663" s="27"/>
      <c r="H663" s="20"/>
      <c r="I663" s="21"/>
      <c r="J663" s="28"/>
      <c r="K663" s="19"/>
    </row>
    <row r="664" spans="1:11" ht="13.2">
      <c r="A664" s="22"/>
      <c r="B664" s="16"/>
      <c r="C664" s="23"/>
      <c r="D664" s="24"/>
      <c r="E664" s="25"/>
      <c r="F664" s="26"/>
      <c r="G664" s="27"/>
      <c r="H664" s="20"/>
      <c r="I664" s="21"/>
      <c r="J664" s="28"/>
      <c r="K664" s="19"/>
    </row>
    <row r="665" spans="1:11" ht="13.2">
      <c r="A665" s="22"/>
      <c r="B665" s="16"/>
      <c r="C665" s="23"/>
      <c r="D665" s="24"/>
      <c r="E665" s="25"/>
      <c r="F665" s="26"/>
      <c r="G665" s="27"/>
      <c r="H665" s="20"/>
      <c r="I665" s="21"/>
      <c r="J665" s="28"/>
      <c r="K665" s="19"/>
    </row>
    <row r="666" spans="1:11" ht="13.2">
      <c r="A666" s="22"/>
      <c r="B666" s="16"/>
      <c r="C666" s="23"/>
      <c r="D666" s="24"/>
      <c r="E666" s="25"/>
      <c r="F666" s="26"/>
      <c r="G666" s="27"/>
      <c r="H666" s="20"/>
      <c r="I666" s="21"/>
      <c r="J666" s="28"/>
      <c r="K666" s="19"/>
    </row>
    <row r="667" spans="1:11" ht="13.2">
      <c r="A667" s="22"/>
      <c r="B667" s="16"/>
      <c r="C667" s="23"/>
      <c r="D667" s="24"/>
      <c r="E667" s="25"/>
      <c r="F667" s="26"/>
      <c r="G667" s="27"/>
      <c r="H667" s="20"/>
      <c r="I667" s="21"/>
      <c r="J667" s="28"/>
      <c r="K667" s="19"/>
    </row>
    <row r="668" spans="1:11" ht="13.2">
      <c r="A668" s="22"/>
      <c r="B668" s="16"/>
      <c r="C668" s="23"/>
      <c r="D668" s="24"/>
      <c r="E668" s="25"/>
      <c r="F668" s="26"/>
      <c r="G668" s="27"/>
      <c r="H668" s="20"/>
      <c r="I668" s="21"/>
      <c r="J668" s="28"/>
      <c r="K668" s="19"/>
    </row>
    <row r="669" spans="1:11" ht="13.2">
      <c r="A669" s="22"/>
      <c r="B669" s="16"/>
      <c r="C669" s="23"/>
      <c r="D669" s="24"/>
      <c r="E669" s="25"/>
      <c r="F669" s="26"/>
      <c r="G669" s="27"/>
      <c r="H669" s="20"/>
      <c r="I669" s="21"/>
      <c r="J669" s="28"/>
      <c r="K669" s="19"/>
    </row>
    <row r="670" spans="1:11" ht="13.2">
      <c r="A670" s="22"/>
      <c r="B670" s="16"/>
      <c r="C670" s="23"/>
      <c r="D670" s="24"/>
      <c r="E670" s="25"/>
      <c r="F670" s="26"/>
      <c r="G670" s="27"/>
      <c r="H670" s="20"/>
      <c r="I670" s="21"/>
      <c r="J670" s="28"/>
      <c r="K670" s="19"/>
    </row>
    <row r="671" spans="1:11" ht="13.2">
      <c r="A671" s="22"/>
      <c r="B671" s="16"/>
      <c r="C671" s="23"/>
      <c r="D671" s="24"/>
      <c r="E671" s="25"/>
      <c r="F671" s="26"/>
      <c r="G671" s="27"/>
      <c r="H671" s="20"/>
      <c r="I671" s="21"/>
      <c r="J671" s="28"/>
      <c r="K671" s="19"/>
    </row>
    <row r="672" spans="1:11" ht="13.2">
      <c r="A672" s="22"/>
      <c r="B672" s="16"/>
      <c r="C672" s="23"/>
      <c r="D672" s="24"/>
      <c r="E672" s="25"/>
      <c r="F672" s="26"/>
      <c r="G672" s="27"/>
      <c r="H672" s="20"/>
      <c r="I672" s="21"/>
      <c r="J672" s="28"/>
      <c r="K672" s="19"/>
    </row>
    <row r="673" spans="1:11" ht="13.2">
      <c r="A673" s="22"/>
      <c r="B673" s="16"/>
      <c r="C673" s="23"/>
      <c r="D673" s="24"/>
      <c r="E673" s="25"/>
      <c r="F673" s="26"/>
      <c r="G673" s="27"/>
      <c r="H673" s="20"/>
      <c r="I673" s="21"/>
      <c r="J673" s="28"/>
      <c r="K673" s="19"/>
    </row>
    <row r="674" spans="1:11" ht="13.2">
      <c r="A674" s="22"/>
      <c r="B674" s="16"/>
      <c r="C674" s="23"/>
      <c r="D674" s="24"/>
      <c r="E674" s="25"/>
      <c r="F674" s="26"/>
      <c r="G674" s="27"/>
      <c r="H674" s="20"/>
      <c r="I674" s="21"/>
      <c r="J674" s="28"/>
      <c r="K674" s="19"/>
    </row>
    <row r="675" spans="1:11" ht="13.2">
      <c r="A675" s="22"/>
      <c r="B675" s="16"/>
      <c r="C675" s="23"/>
      <c r="D675" s="24"/>
      <c r="E675" s="25"/>
      <c r="F675" s="26"/>
      <c r="G675" s="27"/>
      <c r="H675" s="20"/>
      <c r="I675" s="21"/>
      <c r="J675" s="28"/>
      <c r="K675" s="19"/>
    </row>
    <row r="676" spans="1:11" ht="13.2">
      <c r="A676" s="22"/>
      <c r="B676" s="16"/>
      <c r="C676" s="23"/>
      <c r="D676" s="24"/>
      <c r="E676" s="25"/>
      <c r="F676" s="26"/>
      <c r="G676" s="27"/>
      <c r="H676" s="20"/>
      <c r="I676" s="21"/>
      <c r="J676" s="28"/>
      <c r="K676" s="19"/>
    </row>
    <row r="677" spans="1:11" ht="13.2">
      <c r="A677" s="22"/>
      <c r="B677" s="16"/>
      <c r="C677" s="23"/>
      <c r="D677" s="24"/>
      <c r="E677" s="25"/>
      <c r="F677" s="26"/>
      <c r="G677" s="27"/>
      <c r="H677" s="20"/>
      <c r="I677" s="21"/>
      <c r="J677" s="28"/>
      <c r="K677" s="19"/>
    </row>
    <row r="678" spans="1:11" ht="13.2">
      <c r="A678" s="22"/>
      <c r="B678" s="16"/>
      <c r="C678" s="23"/>
      <c r="D678" s="24"/>
      <c r="E678" s="25"/>
      <c r="F678" s="26"/>
      <c r="G678" s="27"/>
      <c r="H678" s="20"/>
      <c r="I678" s="21"/>
      <c r="J678" s="28"/>
      <c r="K678" s="19"/>
    </row>
    <row r="679" spans="1:11" ht="13.2">
      <c r="A679" s="22"/>
      <c r="B679" s="16"/>
      <c r="C679" s="23"/>
      <c r="D679" s="24"/>
      <c r="E679" s="25"/>
      <c r="F679" s="26"/>
      <c r="G679" s="27"/>
      <c r="H679" s="20"/>
      <c r="I679" s="21"/>
      <c r="J679" s="28"/>
      <c r="K679" s="19"/>
    </row>
    <row r="680" spans="1:11" ht="13.2">
      <c r="A680" s="22"/>
      <c r="B680" s="16"/>
      <c r="C680" s="23"/>
      <c r="D680" s="24"/>
      <c r="E680" s="25"/>
      <c r="F680" s="26"/>
      <c r="G680" s="27"/>
      <c r="H680" s="20"/>
      <c r="I680" s="21"/>
      <c r="J680" s="28"/>
      <c r="K680" s="19"/>
    </row>
    <row r="681" spans="1:11" ht="13.2">
      <c r="A681" s="22"/>
      <c r="B681" s="16"/>
      <c r="C681" s="23"/>
      <c r="D681" s="24"/>
      <c r="E681" s="25"/>
      <c r="F681" s="26"/>
      <c r="G681" s="27"/>
      <c r="H681" s="20"/>
      <c r="I681" s="21"/>
      <c r="J681" s="28"/>
      <c r="K681" s="19"/>
    </row>
    <row r="682" spans="1:11" ht="13.2">
      <c r="A682" s="22"/>
      <c r="B682" s="16"/>
      <c r="C682" s="23"/>
      <c r="D682" s="24"/>
      <c r="E682" s="25"/>
      <c r="F682" s="26"/>
      <c r="G682" s="27"/>
      <c r="H682" s="20"/>
      <c r="I682" s="21"/>
      <c r="J682" s="28"/>
      <c r="K682" s="19"/>
    </row>
    <row r="683" spans="1:11" ht="13.2">
      <c r="A683" s="22"/>
      <c r="B683" s="16"/>
      <c r="C683" s="23"/>
      <c r="D683" s="24"/>
      <c r="E683" s="25"/>
      <c r="F683" s="26"/>
      <c r="G683" s="27"/>
      <c r="H683" s="20"/>
      <c r="I683" s="21"/>
      <c r="J683" s="28"/>
      <c r="K683" s="19"/>
    </row>
    <row r="684" spans="1:11" ht="13.2">
      <c r="A684" s="22"/>
      <c r="B684" s="16"/>
      <c r="C684" s="23"/>
      <c r="D684" s="24"/>
      <c r="E684" s="25"/>
      <c r="F684" s="26"/>
      <c r="G684" s="27"/>
      <c r="H684" s="20"/>
      <c r="I684" s="21"/>
      <c r="J684" s="28"/>
      <c r="K684" s="19"/>
    </row>
    <row r="685" spans="1:11" ht="13.2">
      <c r="A685" s="22"/>
      <c r="B685" s="16"/>
      <c r="C685" s="23"/>
      <c r="D685" s="24"/>
      <c r="E685" s="25"/>
      <c r="F685" s="26"/>
      <c r="G685" s="27"/>
      <c r="H685" s="20"/>
      <c r="I685" s="21"/>
      <c r="J685" s="28"/>
      <c r="K685" s="19"/>
    </row>
    <row r="686" spans="1:11" ht="13.2">
      <c r="A686" s="22"/>
      <c r="B686" s="16"/>
      <c r="C686" s="23"/>
      <c r="D686" s="24"/>
      <c r="E686" s="25"/>
      <c r="F686" s="26"/>
      <c r="G686" s="27"/>
      <c r="H686" s="20"/>
      <c r="I686" s="21"/>
      <c r="J686" s="28"/>
      <c r="K686" s="19"/>
    </row>
    <row r="687" spans="1:11" ht="13.2">
      <c r="A687" s="22"/>
      <c r="B687" s="16"/>
      <c r="C687" s="23"/>
      <c r="D687" s="24"/>
      <c r="E687" s="25"/>
      <c r="F687" s="26"/>
      <c r="G687" s="27"/>
      <c r="H687" s="20"/>
      <c r="I687" s="21"/>
      <c r="J687" s="28"/>
      <c r="K687" s="19"/>
    </row>
    <row r="688" spans="1:11" ht="13.2">
      <c r="A688" s="22"/>
      <c r="B688" s="16"/>
      <c r="C688" s="23"/>
      <c r="D688" s="24"/>
      <c r="E688" s="25"/>
      <c r="F688" s="26"/>
      <c r="G688" s="27"/>
      <c r="H688" s="20"/>
      <c r="I688" s="21"/>
      <c r="J688" s="28"/>
      <c r="K688" s="19"/>
    </row>
    <row r="689" spans="1:11" ht="13.2">
      <c r="A689" s="22"/>
      <c r="B689" s="16"/>
      <c r="C689" s="23"/>
      <c r="D689" s="24"/>
      <c r="E689" s="25"/>
      <c r="F689" s="26"/>
      <c r="G689" s="27"/>
      <c r="H689" s="20"/>
      <c r="I689" s="21"/>
      <c r="J689" s="28"/>
      <c r="K689" s="19"/>
    </row>
    <row r="690" spans="1:11" ht="13.2">
      <c r="A690" s="22"/>
      <c r="B690" s="16"/>
      <c r="C690" s="23"/>
      <c r="D690" s="24"/>
      <c r="E690" s="25"/>
      <c r="F690" s="26"/>
      <c r="G690" s="27"/>
      <c r="H690" s="20"/>
      <c r="I690" s="21"/>
      <c r="J690" s="28"/>
      <c r="K690" s="19"/>
    </row>
    <row r="691" spans="1:11" ht="13.2">
      <c r="A691" s="22"/>
      <c r="B691" s="16"/>
      <c r="C691" s="23"/>
      <c r="D691" s="24"/>
      <c r="E691" s="25"/>
      <c r="F691" s="26"/>
      <c r="G691" s="27"/>
      <c r="H691" s="20"/>
      <c r="I691" s="21"/>
      <c r="J691" s="28"/>
      <c r="K691" s="19"/>
    </row>
    <row r="692" spans="1:11" ht="13.2">
      <c r="A692" s="22"/>
      <c r="B692" s="16"/>
      <c r="C692" s="23"/>
      <c r="D692" s="24"/>
      <c r="E692" s="25"/>
      <c r="F692" s="26"/>
      <c r="G692" s="27"/>
      <c r="H692" s="20"/>
      <c r="I692" s="21"/>
      <c r="J692" s="28"/>
      <c r="K692" s="19"/>
    </row>
    <row r="693" spans="1:11" ht="13.2">
      <c r="A693" s="22"/>
      <c r="B693" s="16"/>
      <c r="C693" s="23"/>
      <c r="D693" s="24"/>
      <c r="E693" s="25"/>
      <c r="F693" s="26"/>
      <c r="G693" s="27"/>
      <c r="H693" s="20"/>
      <c r="I693" s="21"/>
      <c r="J693" s="28"/>
      <c r="K693" s="19"/>
    </row>
    <row r="694" spans="1:11" ht="13.2">
      <c r="A694" s="22"/>
      <c r="B694" s="16"/>
      <c r="C694" s="23"/>
      <c r="D694" s="24"/>
      <c r="E694" s="25"/>
      <c r="F694" s="26"/>
      <c r="G694" s="27"/>
      <c r="H694" s="20"/>
      <c r="I694" s="21"/>
      <c r="J694" s="28"/>
      <c r="K694" s="19"/>
    </row>
    <row r="695" spans="1:11" ht="13.2">
      <c r="A695" s="22"/>
      <c r="B695" s="16"/>
      <c r="C695" s="23"/>
      <c r="D695" s="24"/>
      <c r="E695" s="25"/>
      <c r="F695" s="26"/>
      <c r="G695" s="27"/>
      <c r="H695" s="20"/>
      <c r="I695" s="21"/>
      <c r="J695" s="28"/>
      <c r="K695" s="19"/>
    </row>
    <row r="696" spans="1:11" ht="13.2">
      <c r="A696" s="22"/>
      <c r="B696" s="16"/>
      <c r="C696" s="23"/>
      <c r="D696" s="24"/>
      <c r="E696" s="25"/>
      <c r="F696" s="26"/>
      <c r="G696" s="27"/>
      <c r="H696" s="20"/>
      <c r="I696" s="21"/>
      <c r="J696" s="28"/>
      <c r="K696" s="19"/>
    </row>
    <row r="697" spans="1:11" ht="13.2">
      <c r="A697" s="22"/>
      <c r="B697" s="16"/>
      <c r="C697" s="23"/>
      <c r="D697" s="24"/>
      <c r="E697" s="25"/>
      <c r="F697" s="26"/>
      <c r="G697" s="27"/>
      <c r="H697" s="20"/>
      <c r="I697" s="21"/>
      <c r="J697" s="28"/>
      <c r="K697" s="19"/>
    </row>
    <row r="698" spans="1:11" ht="13.2">
      <c r="A698" s="22"/>
      <c r="B698" s="16"/>
      <c r="C698" s="23"/>
      <c r="D698" s="24"/>
      <c r="E698" s="25"/>
      <c r="F698" s="26"/>
      <c r="G698" s="27"/>
      <c r="H698" s="20"/>
      <c r="I698" s="21"/>
      <c r="J698" s="28"/>
      <c r="K698" s="19"/>
    </row>
    <row r="699" spans="1:11" ht="13.2">
      <c r="A699" s="22"/>
      <c r="B699" s="16"/>
      <c r="C699" s="23"/>
      <c r="D699" s="24"/>
      <c r="E699" s="25"/>
      <c r="F699" s="26"/>
      <c r="G699" s="27"/>
      <c r="H699" s="20"/>
      <c r="I699" s="21"/>
      <c r="J699" s="28"/>
      <c r="K699" s="19"/>
    </row>
    <row r="700" spans="1:11" ht="13.2">
      <c r="A700" s="22"/>
      <c r="B700" s="16"/>
      <c r="C700" s="23"/>
      <c r="D700" s="24"/>
      <c r="E700" s="25"/>
      <c r="F700" s="26"/>
      <c r="G700" s="27"/>
      <c r="H700" s="20"/>
      <c r="I700" s="21"/>
      <c r="J700" s="28"/>
      <c r="K700" s="19"/>
    </row>
    <row r="701" spans="1:11" ht="13.2">
      <c r="A701" s="22"/>
      <c r="B701" s="16"/>
      <c r="C701" s="23"/>
      <c r="D701" s="24"/>
      <c r="E701" s="25"/>
      <c r="F701" s="26"/>
      <c r="G701" s="27"/>
      <c r="H701" s="20"/>
      <c r="I701" s="21"/>
      <c r="J701" s="28"/>
      <c r="K701" s="19"/>
    </row>
    <row r="702" spans="1:11" ht="13.2">
      <c r="A702" s="22"/>
      <c r="B702" s="16"/>
      <c r="C702" s="23"/>
      <c r="D702" s="24"/>
      <c r="E702" s="25"/>
      <c r="F702" s="26"/>
      <c r="G702" s="27"/>
      <c r="H702" s="20"/>
      <c r="I702" s="21"/>
      <c r="J702" s="28"/>
      <c r="K702" s="19"/>
    </row>
    <row r="703" spans="1:11" ht="13.2">
      <c r="A703" s="22"/>
      <c r="B703" s="16"/>
      <c r="C703" s="23"/>
      <c r="D703" s="24"/>
      <c r="E703" s="25"/>
      <c r="F703" s="26"/>
      <c r="G703" s="27"/>
      <c r="H703" s="20"/>
      <c r="I703" s="21"/>
      <c r="J703" s="28"/>
      <c r="K703" s="19"/>
    </row>
    <row r="704" spans="1:11" ht="13.2">
      <c r="A704" s="22"/>
      <c r="B704" s="16"/>
      <c r="C704" s="23"/>
      <c r="D704" s="24"/>
      <c r="E704" s="25"/>
      <c r="F704" s="26"/>
      <c r="G704" s="27"/>
      <c r="H704" s="20"/>
      <c r="I704" s="21"/>
      <c r="J704" s="28"/>
      <c r="K704" s="19"/>
    </row>
    <row r="705" spans="1:11" ht="13.2">
      <c r="A705" s="22"/>
      <c r="B705" s="16"/>
      <c r="C705" s="23"/>
      <c r="D705" s="24"/>
      <c r="E705" s="25"/>
      <c r="F705" s="26"/>
      <c r="G705" s="27"/>
      <c r="H705" s="20"/>
      <c r="I705" s="21"/>
      <c r="J705" s="28"/>
      <c r="K705" s="19"/>
    </row>
    <row r="706" spans="1:11" ht="13.2">
      <c r="A706" s="22"/>
      <c r="B706" s="16"/>
      <c r="C706" s="23"/>
      <c r="D706" s="24"/>
      <c r="E706" s="25"/>
      <c r="F706" s="26"/>
      <c r="G706" s="27"/>
      <c r="H706" s="20"/>
      <c r="I706" s="21"/>
      <c r="J706" s="28"/>
      <c r="K706" s="19"/>
    </row>
    <row r="707" spans="1:11" ht="13.2">
      <c r="A707" s="22"/>
      <c r="B707" s="16"/>
      <c r="C707" s="23"/>
      <c r="D707" s="24"/>
      <c r="E707" s="25"/>
      <c r="F707" s="26"/>
      <c r="G707" s="27"/>
      <c r="H707" s="20"/>
      <c r="I707" s="21"/>
      <c r="J707" s="28"/>
      <c r="K707" s="19"/>
    </row>
    <row r="708" spans="1:11" ht="13.2">
      <c r="A708" s="22"/>
      <c r="B708" s="16"/>
      <c r="C708" s="23"/>
      <c r="D708" s="24"/>
      <c r="E708" s="25"/>
      <c r="F708" s="26"/>
      <c r="G708" s="27"/>
      <c r="H708" s="20"/>
      <c r="I708" s="21"/>
      <c r="J708" s="28"/>
      <c r="K708" s="19"/>
    </row>
    <row r="709" spans="1:11" ht="13.2">
      <c r="A709" s="22"/>
      <c r="B709" s="16"/>
      <c r="C709" s="23"/>
      <c r="D709" s="24"/>
      <c r="E709" s="25"/>
      <c r="F709" s="26"/>
      <c r="G709" s="27"/>
      <c r="H709" s="20"/>
      <c r="I709" s="21"/>
      <c r="J709" s="28"/>
      <c r="K709" s="19"/>
    </row>
    <row r="710" spans="1:11" ht="13.2">
      <c r="A710" s="22"/>
      <c r="B710" s="16"/>
      <c r="C710" s="23"/>
      <c r="D710" s="24"/>
      <c r="E710" s="25"/>
      <c r="F710" s="26"/>
      <c r="G710" s="27"/>
      <c r="H710" s="20"/>
      <c r="I710" s="21"/>
      <c r="J710" s="28"/>
      <c r="K710" s="19"/>
    </row>
    <row r="711" spans="1:11" ht="13.2">
      <c r="A711" s="22"/>
      <c r="B711" s="16"/>
      <c r="C711" s="23"/>
      <c r="D711" s="24"/>
      <c r="E711" s="25"/>
      <c r="F711" s="26"/>
      <c r="G711" s="27"/>
      <c r="H711" s="20"/>
      <c r="I711" s="21"/>
      <c r="J711" s="28"/>
      <c r="K711" s="19"/>
    </row>
    <row r="712" spans="1:11" ht="13.2">
      <c r="A712" s="22"/>
      <c r="B712" s="16"/>
      <c r="C712" s="23"/>
      <c r="D712" s="24"/>
      <c r="E712" s="25"/>
      <c r="F712" s="26"/>
      <c r="G712" s="27"/>
      <c r="H712" s="20"/>
      <c r="I712" s="21"/>
      <c r="J712" s="28"/>
      <c r="K712" s="19"/>
    </row>
    <row r="713" spans="1:11" ht="13.2">
      <c r="A713" s="22"/>
      <c r="B713" s="16"/>
      <c r="C713" s="23"/>
      <c r="D713" s="24"/>
      <c r="E713" s="25"/>
      <c r="F713" s="26"/>
      <c r="G713" s="27"/>
      <c r="H713" s="20"/>
      <c r="I713" s="21"/>
      <c r="J713" s="28"/>
      <c r="K713" s="19"/>
    </row>
    <row r="714" spans="1:11" ht="13.2">
      <c r="A714" s="22"/>
      <c r="B714" s="16"/>
      <c r="C714" s="23"/>
      <c r="D714" s="24"/>
      <c r="E714" s="25"/>
      <c r="F714" s="26"/>
      <c r="G714" s="27"/>
      <c r="H714" s="20"/>
      <c r="I714" s="21"/>
      <c r="J714" s="28"/>
      <c r="K714" s="19"/>
    </row>
    <row r="715" spans="1:11" ht="13.2">
      <c r="A715" s="22"/>
      <c r="B715" s="16"/>
      <c r="C715" s="23"/>
      <c r="D715" s="24"/>
      <c r="E715" s="25"/>
      <c r="F715" s="26"/>
      <c r="G715" s="27"/>
      <c r="H715" s="20"/>
      <c r="I715" s="21"/>
      <c r="J715" s="28"/>
      <c r="K715" s="19"/>
    </row>
    <row r="716" spans="1:11" ht="13.2">
      <c r="A716" s="22"/>
      <c r="B716" s="16"/>
      <c r="C716" s="23"/>
      <c r="D716" s="24"/>
      <c r="E716" s="25"/>
      <c r="F716" s="26"/>
      <c r="G716" s="27"/>
      <c r="H716" s="20"/>
      <c r="I716" s="21"/>
      <c r="J716" s="28"/>
      <c r="K716" s="19"/>
    </row>
    <row r="717" spans="1:11" ht="13.2">
      <c r="A717" s="22"/>
      <c r="B717" s="16"/>
      <c r="C717" s="23"/>
      <c r="D717" s="24"/>
      <c r="E717" s="25"/>
      <c r="F717" s="26"/>
      <c r="G717" s="27"/>
      <c r="H717" s="20"/>
      <c r="I717" s="21"/>
      <c r="J717" s="28"/>
      <c r="K717" s="19"/>
    </row>
    <row r="718" spans="1:11" ht="13.2">
      <c r="A718" s="22"/>
      <c r="B718" s="16"/>
      <c r="C718" s="23"/>
      <c r="D718" s="24"/>
      <c r="E718" s="25"/>
      <c r="F718" s="26"/>
      <c r="G718" s="27"/>
      <c r="H718" s="20"/>
      <c r="I718" s="21"/>
      <c r="J718" s="28"/>
      <c r="K718" s="19"/>
    </row>
    <row r="719" spans="1:11" ht="13.2">
      <c r="A719" s="22"/>
      <c r="B719" s="16"/>
      <c r="C719" s="23"/>
      <c r="D719" s="24"/>
      <c r="E719" s="25"/>
      <c r="F719" s="26"/>
      <c r="G719" s="27"/>
      <c r="H719" s="20"/>
      <c r="I719" s="21"/>
      <c r="J719" s="28"/>
      <c r="K719" s="19"/>
    </row>
    <row r="720" spans="1:11" ht="13.2">
      <c r="A720" s="22"/>
      <c r="B720" s="16"/>
      <c r="C720" s="23"/>
      <c r="D720" s="24"/>
      <c r="E720" s="25"/>
      <c r="F720" s="26"/>
      <c r="G720" s="27"/>
      <c r="H720" s="20"/>
      <c r="I720" s="21"/>
      <c r="J720" s="28"/>
      <c r="K720" s="19"/>
    </row>
    <row r="721" spans="1:11" ht="13.2">
      <c r="A721" s="22"/>
      <c r="B721" s="16"/>
      <c r="C721" s="23"/>
      <c r="D721" s="24"/>
      <c r="E721" s="25"/>
      <c r="F721" s="26"/>
      <c r="G721" s="27"/>
      <c r="H721" s="20"/>
      <c r="I721" s="21"/>
      <c r="J721" s="28"/>
      <c r="K721" s="19"/>
    </row>
    <row r="722" spans="1:11" ht="13.2">
      <c r="A722" s="22"/>
      <c r="B722" s="16"/>
      <c r="C722" s="23"/>
      <c r="D722" s="24"/>
      <c r="E722" s="25"/>
      <c r="F722" s="26"/>
      <c r="G722" s="27"/>
      <c r="H722" s="20"/>
      <c r="I722" s="21"/>
      <c r="J722" s="28"/>
      <c r="K722" s="19"/>
    </row>
    <row r="723" spans="1:11" ht="13.2">
      <c r="A723" s="22"/>
      <c r="B723" s="16"/>
      <c r="C723" s="23"/>
      <c r="D723" s="24"/>
      <c r="E723" s="25"/>
      <c r="F723" s="26"/>
      <c r="G723" s="27"/>
      <c r="H723" s="20"/>
      <c r="I723" s="21"/>
      <c r="J723" s="28"/>
      <c r="K723" s="19"/>
    </row>
    <row r="724" spans="1:11" ht="13.2">
      <c r="A724" s="22"/>
      <c r="B724" s="16"/>
      <c r="C724" s="23"/>
      <c r="D724" s="24"/>
      <c r="E724" s="25"/>
      <c r="F724" s="26"/>
      <c r="G724" s="27"/>
      <c r="H724" s="20"/>
      <c r="I724" s="21"/>
      <c r="J724" s="28"/>
      <c r="K724" s="19"/>
    </row>
    <row r="725" spans="1:11" ht="13.2">
      <c r="A725" s="22"/>
      <c r="B725" s="16"/>
      <c r="C725" s="23"/>
      <c r="D725" s="24"/>
      <c r="E725" s="25"/>
      <c r="F725" s="26"/>
      <c r="G725" s="27"/>
      <c r="H725" s="20"/>
      <c r="I725" s="21"/>
      <c r="J725" s="28"/>
      <c r="K725" s="19"/>
    </row>
    <row r="726" spans="1:11" ht="13.2">
      <c r="A726" s="22"/>
      <c r="B726" s="16"/>
      <c r="C726" s="23"/>
      <c r="D726" s="24"/>
      <c r="E726" s="25"/>
      <c r="F726" s="26"/>
      <c r="G726" s="27"/>
      <c r="H726" s="20"/>
      <c r="I726" s="21"/>
      <c r="J726" s="28"/>
      <c r="K726" s="19"/>
    </row>
    <row r="727" spans="1:11" ht="13.2">
      <c r="A727" s="22"/>
      <c r="B727" s="16"/>
      <c r="C727" s="23"/>
      <c r="D727" s="24"/>
      <c r="E727" s="25"/>
      <c r="F727" s="26"/>
      <c r="G727" s="27"/>
      <c r="H727" s="20"/>
      <c r="I727" s="21"/>
      <c r="J727" s="28"/>
      <c r="K727" s="19"/>
    </row>
    <row r="728" spans="1:11" ht="13.2">
      <c r="A728" s="22"/>
      <c r="B728" s="16"/>
      <c r="C728" s="23"/>
      <c r="D728" s="24"/>
      <c r="E728" s="25"/>
      <c r="F728" s="26"/>
      <c r="G728" s="27"/>
      <c r="H728" s="20"/>
      <c r="I728" s="21"/>
      <c r="J728" s="28"/>
      <c r="K728" s="19"/>
    </row>
    <row r="729" spans="1:11" ht="13.2">
      <c r="A729" s="22"/>
      <c r="B729" s="16"/>
      <c r="C729" s="23"/>
      <c r="D729" s="24"/>
      <c r="E729" s="25"/>
      <c r="F729" s="26"/>
      <c r="G729" s="27"/>
      <c r="H729" s="20"/>
      <c r="I729" s="21"/>
      <c r="J729" s="28"/>
      <c r="K729" s="19"/>
    </row>
    <row r="730" spans="1:11" ht="13.2">
      <c r="A730" s="22"/>
      <c r="B730" s="16"/>
      <c r="C730" s="23"/>
      <c r="D730" s="24"/>
      <c r="E730" s="25"/>
      <c r="F730" s="26"/>
      <c r="G730" s="27"/>
      <c r="H730" s="20"/>
      <c r="I730" s="21"/>
      <c r="J730" s="28"/>
      <c r="K730" s="19"/>
    </row>
    <row r="731" spans="1:11" ht="13.2">
      <c r="A731" s="22"/>
      <c r="B731" s="16"/>
      <c r="C731" s="23"/>
      <c r="D731" s="24"/>
      <c r="E731" s="25"/>
      <c r="F731" s="26"/>
      <c r="G731" s="27"/>
      <c r="H731" s="20"/>
      <c r="I731" s="21"/>
      <c r="J731" s="28"/>
      <c r="K731" s="19"/>
    </row>
    <row r="732" spans="1:11" ht="13.2">
      <c r="A732" s="22"/>
      <c r="B732" s="16"/>
      <c r="C732" s="23"/>
      <c r="D732" s="24"/>
      <c r="E732" s="25"/>
      <c r="F732" s="26"/>
      <c r="G732" s="27"/>
      <c r="H732" s="20"/>
      <c r="I732" s="21"/>
      <c r="J732" s="28"/>
      <c r="K732" s="19"/>
    </row>
    <row r="733" spans="1:11" ht="13.2">
      <c r="A733" s="22"/>
      <c r="B733" s="16"/>
      <c r="C733" s="23"/>
      <c r="D733" s="24"/>
      <c r="E733" s="25"/>
      <c r="F733" s="26"/>
      <c r="G733" s="27"/>
      <c r="H733" s="20"/>
      <c r="I733" s="21"/>
      <c r="J733" s="28"/>
      <c r="K733" s="19"/>
    </row>
    <row r="734" spans="1:11" ht="13.2">
      <c r="A734" s="22"/>
      <c r="B734" s="16"/>
      <c r="C734" s="23"/>
      <c r="D734" s="24"/>
      <c r="E734" s="25"/>
      <c r="F734" s="26"/>
      <c r="G734" s="27"/>
      <c r="H734" s="20"/>
      <c r="I734" s="21"/>
      <c r="J734" s="28"/>
      <c r="K734" s="19"/>
    </row>
    <row r="735" spans="1:11" ht="13.2">
      <c r="A735" s="22"/>
      <c r="B735" s="16"/>
      <c r="C735" s="23"/>
      <c r="D735" s="24"/>
      <c r="E735" s="25"/>
      <c r="F735" s="26"/>
      <c r="G735" s="27"/>
      <c r="H735" s="20"/>
      <c r="I735" s="21"/>
      <c r="J735" s="28"/>
      <c r="K735" s="19"/>
    </row>
    <row r="736" spans="1:11" ht="13.2">
      <c r="A736" s="22"/>
      <c r="B736" s="16"/>
      <c r="C736" s="23"/>
      <c r="D736" s="24"/>
      <c r="E736" s="25"/>
      <c r="F736" s="26"/>
      <c r="G736" s="27"/>
      <c r="H736" s="20"/>
      <c r="I736" s="21"/>
      <c r="J736" s="28"/>
      <c r="K736" s="19"/>
    </row>
    <row r="737" spans="1:11" ht="13.2">
      <c r="A737" s="22"/>
      <c r="B737" s="16"/>
      <c r="C737" s="23"/>
      <c r="D737" s="24"/>
      <c r="E737" s="25"/>
      <c r="F737" s="26"/>
      <c r="G737" s="27"/>
      <c r="H737" s="20"/>
      <c r="I737" s="21"/>
      <c r="J737" s="28"/>
      <c r="K737" s="19"/>
    </row>
    <row r="738" spans="1:11" ht="13.2">
      <c r="A738" s="22"/>
      <c r="B738" s="16"/>
      <c r="C738" s="23"/>
      <c r="D738" s="24"/>
      <c r="E738" s="25"/>
      <c r="F738" s="26"/>
      <c r="G738" s="27"/>
      <c r="H738" s="20"/>
      <c r="I738" s="21"/>
      <c r="J738" s="28"/>
      <c r="K738" s="19"/>
    </row>
    <row r="739" spans="1:11" ht="13.2">
      <c r="A739" s="22"/>
      <c r="B739" s="16"/>
      <c r="C739" s="23"/>
      <c r="D739" s="24"/>
      <c r="E739" s="25"/>
      <c r="F739" s="26"/>
      <c r="G739" s="27"/>
      <c r="H739" s="20"/>
      <c r="I739" s="21"/>
      <c r="J739" s="28"/>
      <c r="K739" s="19"/>
    </row>
    <row r="740" spans="1:11" ht="13.2">
      <c r="A740" s="22"/>
      <c r="B740" s="16"/>
      <c r="C740" s="23"/>
      <c r="D740" s="24"/>
      <c r="E740" s="25"/>
      <c r="F740" s="26"/>
      <c r="G740" s="27"/>
      <c r="H740" s="20"/>
      <c r="I740" s="21"/>
      <c r="J740" s="28"/>
      <c r="K740" s="19"/>
    </row>
    <row r="741" spans="1:11" ht="13.2">
      <c r="A741" s="22"/>
      <c r="B741" s="16"/>
      <c r="C741" s="23"/>
      <c r="D741" s="24"/>
      <c r="E741" s="25"/>
      <c r="F741" s="26"/>
      <c r="G741" s="27"/>
      <c r="H741" s="20"/>
      <c r="I741" s="21"/>
      <c r="J741" s="28"/>
      <c r="K741" s="19"/>
    </row>
    <row r="742" spans="1:11" ht="13.2">
      <c r="A742" s="22"/>
      <c r="B742" s="16"/>
      <c r="C742" s="23"/>
      <c r="D742" s="24"/>
      <c r="E742" s="25"/>
      <c r="F742" s="26"/>
      <c r="G742" s="27"/>
      <c r="H742" s="20"/>
      <c r="I742" s="21"/>
      <c r="J742" s="28"/>
      <c r="K742" s="19"/>
    </row>
    <row r="743" spans="1:11" ht="13.2">
      <c r="A743" s="22"/>
      <c r="B743" s="16"/>
      <c r="C743" s="23"/>
      <c r="D743" s="24"/>
      <c r="E743" s="25"/>
      <c r="F743" s="26"/>
      <c r="G743" s="27"/>
      <c r="H743" s="20"/>
      <c r="I743" s="21"/>
      <c r="J743" s="28"/>
      <c r="K743" s="19"/>
    </row>
    <row r="744" spans="1:11" ht="13.2">
      <c r="A744" s="22"/>
      <c r="B744" s="16"/>
      <c r="C744" s="23"/>
      <c r="D744" s="24"/>
      <c r="E744" s="25"/>
      <c r="F744" s="26"/>
      <c r="G744" s="27"/>
      <c r="H744" s="20"/>
      <c r="I744" s="21"/>
      <c r="J744" s="28"/>
      <c r="K744" s="19"/>
    </row>
    <row r="745" spans="1:11" ht="13.2">
      <c r="A745" s="22"/>
      <c r="B745" s="16"/>
      <c r="C745" s="23"/>
      <c r="D745" s="24"/>
      <c r="E745" s="25"/>
      <c r="F745" s="26"/>
      <c r="G745" s="27"/>
      <c r="H745" s="20"/>
      <c r="I745" s="21"/>
      <c r="J745" s="28"/>
      <c r="K745" s="19"/>
    </row>
    <row r="746" spans="1:11" ht="13.2">
      <c r="A746" s="22"/>
      <c r="B746" s="16"/>
      <c r="C746" s="23"/>
      <c r="D746" s="24"/>
      <c r="E746" s="25"/>
      <c r="F746" s="26"/>
      <c r="G746" s="27"/>
      <c r="H746" s="20"/>
      <c r="I746" s="21"/>
      <c r="J746" s="28"/>
      <c r="K746" s="19"/>
    </row>
    <row r="747" spans="1:11" ht="13.2">
      <c r="A747" s="22"/>
      <c r="B747" s="16"/>
      <c r="C747" s="23"/>
      <c r="D747" s="24"/>
      <c r="E747" s="25"/>
      <c r="F747" s="26"/>
      <c r="G747" s="27"/>
      <c r="H747" s="20"/>
      <c r="I747" s="21"/>
      <c r="J747" s="28"/>
      <c r="K747" s="19"/>
    </row>
    <row r="748" spans="1:11" ht="13.2">
      <c r="A748" s="22"/>
      <c r="B748" s="16"/>
      <c r="C748" s="23"/>
      <c r="D748" s="24"/>
      <c r="E748" s="25"/>
      <c r="F748" s="26"/>
      <c r="G748" s="27"/>
      <c r="H748" s="20"/>
      <c r="I748" s="21"/>
      <c r="J748" s="28"/>
      <c r="K748" s="19"/>
    </row>
    <row r="749" spans="1:11" ht="13.2">
      <c r="A749" s="22"/>
      <c r="B749" s="16"/>
      <c r="C749" s="23"/>
      <c r="D749" s="24"/>
      <c r="E749" s="25"/>
      <c r="F749" s="26"/>
      <c r="G749" s="27"/>
      <c r="H749" s="20"/>
      <c r="I749" s="21"/>
      <c r="J749" s="28"/>
      <c r="K749" s="19"/>
    </row>
    <row r="750" spans="1:11" ht="13.2">
      <c r="A750" s="22"/>
      <c r="B750" s="16"/>
      <c r="C750" s="23"/>
      <c r="D750" s="24"/>
      <c r="E750" s="25"/>
      <c r="F750" s="26"/>
      <c r="G750" s="27"/>
      <c r="H750" s="20"/>
      <c r="I750" s="21"/>
      <c r="J750" s="28"/>
      <c r="K750" s="19"/>
    </row>
    <row r="751" spans="1:11" ht="13.2">
      <c r="A751" s="22"/>
      <c r="B751" s="16"/>
      <c r="C751" s="23"/>
      <c r="D751" s="24"/>
      <c r="E751" s="25"/>
      <c r="F751" s="26"/>
      <c r="G751" s="27"/>
      <c r="H751" s="20"/>
      <c r="I751" s="21"/>
      <c r="J751" s="28"/>
      <c r="K751" s="19"/>
    </row>
    <row r="752" spans="1:11" ht="13.2">
      <c r="A752" s="22"/>
      <c r="B752" s="16"/>
      <c r="C752" s="23"/>
      <c r="D752" s="24"/>
      <c r="E752" s="25"/>
      <c r="F752" s="26"/>
      <c r="G752" s="27"/>
      <c r="H752" s="20"/>
      <c r="I752" s="21"/>
      <c r="J752" s="28"/>
      <c r="K752" s="19"/>
    </row>
    <row r="753" spans="1:11" ht="13.2">
      <c r="A753" s="22"/>
      <c r="B753" s="16"/>
      <c r="C753" s="23"/>
      <c r="D753" s="24"/>
      <c r="E753" s="25"/>
      <c r="F753" s="26"/>
      <c r="G753" s="27"/>
      <c r="H753" s="20"/>
      <c r="I753" s="21"/>
      <c r="J753" s="28"/>
      <c r="K753" s="19"/>
    </row>
    <row r="754" spans="1:11" ht="13.2">
      <c r="A754" s="22"/>
      <c r="B754" s="16"/>
      <c r="C754" s="23"/>
      <c r="D754" s="24"/>
      <c r="E754" s="25"/>
      <c r="F754" s="26"/>
      <c r="G754" s="27"/>
      <c r="H754" s="20"/>
      <c r="I754" s="21"/>
      <c r="J754" s="28"/>
      <c r="K754" s="19"/>
    </row>
    <row r="755" spans="1:11" ht="13.2">
      <c r="A755" s="22"/>
      <c r="B755" s="16"/>
      <c r="C755" s="23"/>
      <c r="D755" s="24"/>
      <c r="E755" s="25"/>
      <c r="F755" s="26"/>
      <c r="G755" s="27"/>
      <c r="H755" s="20"/>
      <c r="I755" s="21"/>
      <c r="J755" s="28"/>
      <c r="K755" s="19"/>
    </row>
    <row r="756" spans="1:11" ht="13.2">
      <c r="A756" s="22"/>
      <c r="B756" s="16"/>
      <c r="C756" s="23"/>
      <c r="D756" s="24"/>
      <c r="E756" s="25"/>
      <c r="F756" s="26"/>
      <c r="G756" s="27"/>
      <c r="H756" s="20"/>
      <c r="I756" s="21"/>
      <c r="J756" s="28"/>
      <c r="K756" s="19"/>
    </row>
    <row r="757" spans="1:11" ht="13.2">
      <c r="A757" s="22"/>
      <c r="B757" s="16"/>
      <c r="C757" s="23"/>
      <c r="D757" s="24"/>
      <c r="E757" s="25"/>
      <c r="F757" s="26"/>
      <c r="G757" s="27"/>
      <c r="H757" s="20"/>
      <c r="I757" s="21"/>
      <c r="J757" s="28"/>
      <c r="K757" s="19"/>
    </row>
    <row r="758" spans="1:11" ht="13.2">
      <c r="A758" s="22"/>
      <c r="B758" s="16"/>
      <c r="C758" s="23"/>
      <c r="D758" s="24"/>
      <c r="E758" s="25"/>
      <c r="F758" s="26"/>
      <c r="G758" s="27"/>
      <c r="H758" s="20"/>
      <c r="I758" s="21"/>
      <c r="J758" s="28"/>
      <c r="K758" s="19"/>
    </row>
    <row r="759" spans="1:11" ht="13.2">
      <c r="A759" s="22"/>
      <c r="B759" s="16"/>
      <c r="C759" s="23"/>
      <c r="D759" s="24"/>
      <c r="E759" s="25"/>
      <c r="F759" s="26"/>
      <c r="G759" s="27"/>
      <c r="H759" s="20"/>
      <c r="I759" s="21"/>
      <c r="J759" s="28"/>
      <c r="K759" s="19"/>
    </row>
    <row r="760" spans="1:11" ht="13.2">
      <c r="A760" s="22"/>
      <c r="B760" s="16"/>
      <c r="C760" s="23"/>
      <c r="D760" s="24"/>
      <c r="E760" s="25"/>
      <c r="F760" s="26"/>
      <c r="G760" s="27"/>
      <c r="H760" s="20"/>
      <c r="I760" s="21"/>
      <c r="J760" s="28"/>
      <c r="K760" s="19"/>
    </row>
    <row r="761" spans="1:11" ht="13.2">
      <c r="A761" s="22"/>
      <c r="B761" s="16"/>
      <c r="C761" s="23"/>
      <c r="D761" s="24"/>
      <c r="E761" s="25"/>
      <c r="F761" s="26"/>
      <c r="G761" s="27"/>
      <c r="H761" s="20"/>
      <c r="I761" s="21"/>
      <c r="J761" s="28"/>
      <c r="K761" s="19"/>
    </row>
    <row r="762" spans="1:11" ht="13.2">
      <c r="A762" s="22"/>
      <c r="B762" s="16"/>
      <c r="C762" s="23"/>
      <c r="D762" s="24"/>
      <c r="E762" s="25"/>
      <c r="F762" s="26"/>
      <c r="G762" s="27"/>
      <c r="H762" s="20"/>
      <c r="I762" s="21"/>
      <c r="J762" s="28"/>
      <c r="K762" s="19"/>
    </row>
    <row r="763" spans="1:11" ht="13.2">
      <c r="A763" s="22"/>
      <c r="B763" s="16"/>
      <c r="C763" s="23"/>
      <c r="D763" s="24"/>
      <c r="E763" s="25"/>
      <c r="F763" s="26"/>
      <c r="G763" s="27"/>
      <c r="H763" s="20"/>
      <c r="I763" s="21"/>
      <c r="J763" s="28"/>
      <c r="K763" s="19"/>
    </row>
    <row r="764" spans="1:11" ht="13.2">
      <c r="A764" s="22"/>
      <c r="B764" s="16"/>
      <c r="C764" s="23"/>
      <c r="D764" s="24"/>
      <c r="E764" s="25"/>
      <c r="F764" s="26"/>
      <c r="G764" s="27"/>
      <c r="H764" s="20"/>
      <c r="I764" s="21"/>
      <c r="J764" s="28"/>
      <c r="K764" s="19"/>
    </row>
    <row r="765" spans="1:11" ht="13.2">
      <c r="A765" s="22"/>
      <c r="B765" s="16"/>
      <c r="C765" s="23"/>
      <c r="D765" s="24"/>
      <c r="E765" s="25"/>
      <c r="F765" s="26"/>
      <c r="G765" s="27"/>
      <c r="H765" s="20"/>
      <c r="I765" s="21"/>
      <c r="J765" s="28"/>
      <c r="K765" s="19"/>
    </row>
    <row r="766" spans="1:11" ht="13.2">
      <c r="A766" s="22"/>
      <c r="B766" s="16"/>
      <c r="C766" s="23"/>
      <c r="D766" s="24"/>
      <c r="E766" s="25"/>
      <c r="F766" s="26"/>
      <c r="G766" s="27"/>
      <c r="H766" s="20"/>
      <c r="I766" s="21"/>
      <c r="J766" s="28"/>
      <c r="K766" s="19"/>
    </row>
    <row r="767" spans="1:11" ht="13.2">
      <c r="A767" s="22"/>
      <c r="B767" s="16"/>
      <c r="C767" s="23"/>
      <c r="D767" s="24"/>
      <c r="E767" s="25"/>
      <c r="F767" s="26"/>
      <c r="G767" s="27"/>
      <c r="H767" s="20"/>
      <c r="I767" s="21"/>
      <c r="J767" s="28"/>
      <c r="K767" s="19"/>
    </row>
    <row r="768" spans="1:11" ht="13.2">
      <c r="A768" s="22"/>
      <c r="B768" s="16"/>
      <c r="C768" s="23"/>
      <c r="D768" s="24"/>
      <c r="E768" s="25"/>
      <c r="F768" s="26"/>
      <c r="G768" s="27"/>
      <c r="H768" s="20"/>
      <c r="I768" s="21"/>
      <c r="J768" s="28"/>
      <c r="K768" s="19"/>
    </row>
    <row r="769" spans="1:11" ht="13.2">
      <c r="A769" s="22"/>
      <c r="B769" s="16"/>
      <c r="C769" s="23"/>
      <c r="D769" s="24"/>
      <c r="E769" s="25"/>
      <c r="F769" s="26"/>
      <c r="G769" s="27"/>
      <c r="H769" s="20"/>
      <c r="I769" s="21"/>
      <c r="J769" s="28"/>
      <c r="K769" s="19"/>
    </row>
    <row r="770" spans="1:11" ht="13.2">
      <c r="A770" s="22"/>
      <c r="B770" s="16"/>
      <c r="C770" s="23"/>
      <c r="D770" s="24"/>
      <c r="E770" s="25"/>
      <c r="F770" s="26"/>
      <c r="G770" s="27"/>
      <c r="H770" s="20"/>
      <c r="I770" s="21"/>
      <c r="J770" s="28"/>
      <c r="K770" s="19"/>
    </row>
    <row r="771" spans="1:11" ht="13.2">
      <c r="A771" s="22"/>
      <c r="B771" s="16"/>
      <c r="C771" s="23"/>
      <c r="D771" s="24"/>
      <c r="E771" s="25"/>
      <c r="F771" s="26"/>
      <c r="G771" s="27"/>
      <c r="H771" s="20"/>
      <c r="I771" s="21"/>
      <c r="J771" s="28"/>
      <c r="K771" s="19"/>
    </row>
    <row r="772" spans="1:11" ht="13.2">
      <c r="A772" s="22"/>
      <c r="B772" s="16"/>
      <c r="C772" s="23"/>
      <c r="D772" s="24"/>
      <c r="E772" s="25"/>
      <c r="F772" s="26"/>
      <c r="G772" s="27"/>
      <c r="H772" s="20"/>
      <c r="I772" s="21"/>
      <c r="J772" s="28"/>
      <c r="K772" s="19"/>
    </row>
    <row r="773" spans="1:11" ht="13.2">
      <c r="A773" s="22"/>
      <c r="B773" s="16"/>
      <c r="C773" s="23"/>
      <c r="D773" s="24"/>
      <c r="E773" s="25"/>
      <c r="F773" s="26"/>
      <c r="G773" s="27"/>
      <c r="H773" s="20"/>
      <c r="I773" s="21"/>
      <c r="J773" s="28"/>
      <c r="K773" s="19"/>
    </row>
    <row r="774" spans="1:11" ht="13.2">
      <c r="A774" s="22"/>
      <c r="B774" s="16"/>
      <c r="C774" s="23"/>
      <c r="D774" s="24"/>
      <c r="E774" s="25"/>
      <c r="F774" s="26"/>
      <c r="G774" s="27"/>
      <c r="H774" s="20"/>
      <c r="I774" s="21"/>
      <c r="J774" s="28"/>
      <c r="K774" s="19"/>
    </row>
    <row r="775" spans="1:11" ht="13.2">
      <c r="A775" s="22"/>
      <c r="B775" s="16"/>
      <c r="C775" s="23"/>
      <c r="D775" s="24"/>
      <c r="E775" s="25"/>
      <c r="F775" s="26"/>
      <c r="G775" s="27"/>
      <c r="H775" s="20"/>
      <c r="I775" s="21"/>
      <c r="J775" s="28"/>
      <c r="K775" s="19"/>
    </row>
    <row r="776" spans="1:11" ht="13.2">
      <c r="A776" s="22"/>
      <c r="B776" s="16"/>
      <c r="C776" s="23"/>
      <c r="D776" s="24"/>
      <c r="E776" s="25"/>
      <c r="F776" s="26"/>
      <c r="G776" s="27"/>
      <c r="H776" s="20"/>
      <c r="I776" s="21"/>
      <c r="J776" s="28"/>
      <c r="K776" s="19"/>
    </row>
    <row r="777" spans="1:11" ht="13.2">
      <c r="A777" s="22"/>
      <c r="B777" s="16"/>
      <c r="C777" s="23"/>
      <c r="D777" s="24"/>
      <c r="E777" s="25"/>
      <c r="F777" s="26"/>
      <c r="G777" s="27"/>
      <c r="H777" s="20"/>
      <c r="I777" s="21"/>
      <c r="J777" s="28"/>
      <c r="K777" s="19"/>
    </row>
    <row r="778" spans="1:11" ht="13.2">
      <c r="A778" s="22"/>
      <c r="B778" s="16"/>
      <c r="C778" s="23"/>
      <c r="D778" s="24"/>
      <c r="E778" s="25"/>
      <c r="F778" s="26"/>
      <c r="G778" s="27"/>
      <c r="H778" s="20"/>
      <c r="I778" s="21"/>
      <c r="J778" s="28"/>
      <c r="K778" s="19"/>
    </row>
    <row r="779" spans="1:11" ht="13.2">
      <c r="A779" s="22"/>
      <c r="B779" s="16"/>
      <c r="C779" s="23"/>
      <c r="D779" s="24"/>
      <c r="E779" s="25"/>
      <c r="F779" s="26"/>
      <c r="G779" s="27"/>
      <c r="H779" s="20"/>
      <c r="I779" s="21"/>
      <c r="J779" s="28"/>
      <c r="K779" s="19"/>
    </row>
    <row r="780" spans="1:11" ht="13.2">
      <c r="A780" s="22"/>
      <c r="B780" s="16"/>
      <c r="C780" s="23"/>
      <c r="D780" s="24"/>
      <c r="E780" s="25"/>
      <c r="F780" s="26"/>
      <c r="G780" s="27"/>
      <c r="H780" s="20"/>
      <c r="I780" s="21"/>
      <c r="J780" s="28"/>
      <c r="K780" s="19"/>
    </row>
    <row r="781" spans="1:11" ht="13.2">
      <c r="A781" s="22"/>
      <c r="B781" s="16"/>
      <c r="C781" s="23"/>
      <c r="D781" s="24"/>
      <c r="E781" s="25"/>
      <c r="F781" s="26"/>
      <c r="G781" s="27"/>
      <c r="H781" s="20"/>
      <c r="I781" s="21"/>
      <c r="J781" s="28"/>
      <c r="K781" s="19"/>
    </row>
    <row r="782" spans="1:11" ht="13.2">
      <c r="A782" s="22"/>
      <c r="B782" s="16"/>
      <c r="C782" s="23"/>
      <c r="D782" s="24"/>
      <c r="E782" s="25"/>
      <c r="F782" s="26"/>
      <c r="G782" s="27"/>
      <c r="H782" s="20"/>
      <c r="I782" s="21"/>
      <c r="J782" s="28"/>
      <c r="K782" s="19"/>
    </row>
    <row r="783" spans="1:11" ht="13.2">
      <c r="A783" s="22"/>
      <c r="B783" s="16"/>
      <c r="C783" s="23"/>
      <c r="D783" s="24"/>
      <c r="E783" s="25"/>
      <c r="F783" s="26"/>
      <c r="G783" s="27"/>
      <c r="H783" s="20"/>
      <c r="I783" s="21"/>
      <c r="J783" s="28"/>
      <c r="K783" s="19"/>
    </row>
    <row r="784" spans="1:11" ht="13.2">
      <c r="A784" s="22"/>
      <c r="B784" s="16"/>
      <c r="C784" s="23"/>
      <c r="D784" s="24"/>
      <c r="E784" s="25"/>
      <c r="F784" s="26"/>
      <c r="G784" s="27"/>
      <c r="H784" s="20"/>
      <c r="I784" s="21"/>
      <c r="J784" s="28"/>
      <c r="K784" s="19"/>
    </row>
    <row r="785" spans="1:11" ht="13.2">
      <c r="A785" s="22"/>
      <c r="B785" s="16"/>
      <c r="C785" s="23"/>
      <c r="D785" s="24"/>
      <c r="E785" s="25"/>
      <c r="F785" s="26"/>
      <c r="G785" s="27"/>
      <c r="H785" s="20"/>
      <c r="I785" s="21"/>
      <c r="J785" s="28"/>
      <c r="K785" s="19"/>
    </row>
    <row r="786" spans="1:11" ht="13.2">
      <c r="A786" s="22"/>
      <c r="B786" s="16"/>
      <c r="C786" s="23"/>
      <c r="D786" s="24"/>
      <c r="E786" s="25"/>
      <c r="F786" s="26"/>
      <c r="G786" s="27"/>
      <c r="H786" s="20"/>
      <c r="I786" s="21"/>
      <c r="J786" s="28"/>
      <c r="K786" s="19"/>
    </row>
    <row r="787" spans="1:11" ht="13.2">
      <c r="A787" s="22"/>
      <c r="B787" s="16"/>
      <c r="C787" s="23"/>
      <c r="D787" s="24"/>
      <c r="E787" s="25"/>
      <c r="F787" s="26"/>
      <c r="G787" s="27"/>
      <c r="H787" s="20"/>
      <c r="I787" s="21"/>
      <c r="J787" s="28"/>
      <c r="K787" s="19"/>
    </row>
    <row r="788" spans="1:11" ht="13.2">
      <c r="A788" s="22"/>
      <c r="B788" s="16"/>
      <c r="C788" s="23"/>
      <c r="D788" s="24"/>
      <c r="E788" s="25"/>
      <c r="F788" s="26"/>
      <c r="G788" s="27"/>
      <c r="H788" s="20"/>
      <c r="I788" s="21"/>
      <c r="J788" s="28"/>
      <c r="K788" s="19"/>
    </row>
    <row r="789" spans="1:11" ht="13.2">
      <c r="A789" s="22"/>
      <c r="B789" s="16"/>
      <c r="C789" s="23"/>
      <c r="D789" s="24"/>
      <c r="E789" s="25"/>
      <c r="F789" s="26"/>
      <c r="G789" s="27"/>
      <c r="H789" s="20"/>
      <c r="I789" s="21"/>
      <c r="J789" s="28"/>
      <c r="K789" s="19"/>
    </row>
    <row r="790" spans="1:11" ht="13.2">
      <c r="A790" s="22"/>
      <c r="B790" s="16"/>
      <c r="C790" s="23"/>
      <c r="D790" s="24"/>
      <c r="E790" s="25"/>
      <c r="F790" s="26"/>
      <c r="G790" s="27"/>
      <c r="H790" s="20"/>
      <c r="I790" s="21"/>
      <c r="J790" s="28"/>
      <c r="K790" s="19"/>
    </row>
    <row r="791" spans="1:11" ht="13.2">
      <c r="A791" s="22"/>
      <c r="B791" s="16"/>
      <c r="C791" s="23"/>
      <c r="D791" s="24"/>
      <c r="E791" s="25"/>
      <c r="F791" s="26"/>
      <c r="G791" s="27"/>
      <c r="H791" s="20"/>
      <c r="I791" s="21"/>
      <c r="J791" s="28"/>
      <c r="K791" s="19"/>
    </row>
    <row r="792" spans="1:11" ht="13.2">
      <c r="A792" s="22"/>
      <c r="B792" s="16"/>
      <c r="C792" s="23"/>
      <c r="D792" s="24"/>
      <c r="E792" s="25"/>
      <c r="F792" s="26"/>
      <c r="G792" s="27"/>
      <c r="H792" s="20"/>
      <c r="I792" s="21"/>
      <c r="J792" s="28"/>
      <c r="K792" s="19"/>
    </row>
    <row r="793" spans="1:11" ht="13.2">
      <c r="A793" s="22"/>
      <c r="B793" s="16"/>
      <c r="C793" s="23"/>
      <c r="D793" s="24"/>
      <c r="E793" s="25"/>
      <c r="F793" s="26"/>
      <c r="G793" s="27"/>
      <c r="H793" s="20"/>
      <c r="I793" s="21"/>
      <c r="J793" s="28"/>
      <c r="K793" s="19"/>
    </row>
    <row r="794" spans="1:11" ht="13.2">
      <c r="A794" s="22"/>
      <c r="B794" s="16"/>
      <c r="C794" s="23"/>
      <c r="D794" s="24"/>
      <c r="E794" s="25"/>
      <c r="F794" s="26"/>
      <c r="G794" s="27"/>
      <c r="H794" s="20"/>
      <c r="I794" s="21"/>
      <c r="J794" s="28"/>
      <c r="K794" s="19"/>
    </row>
    <row r="795" spans="1:11" ht="13.2">
      <c r="A795" s="22"/>
      <c r="B795" s="16"/>
      <c r="C795" s="23"/>
      <c r="D795" s="24"/>
      <c r="E795" s="25"/>
      <c r="F795" s="26"/>
      <c r="G795" s="27"/>
      <c r="H795" s="20"/>
      <c r="I795" s="21"/>
      <c r="J795" s="28"/>
      <c r="K795" s="19"/>
    </row>
    <row r="796" spans="1:11" ht="13.2">
      <c r="A796" s="22"/>
      <c r="B796" s="16"/>
      <c r="C796" s="23"/>
      <c r="D796" s="24"/>
      <c r="E796" s="25"/>
      <c r="F796" s="26"/>
      <c r="G796" s="27"/>
      <c r="H796" s="20"/>
      <c r="I796" s="21"/>
      <c r="J796" s="28"/>
      <c r="K796" s="19"/>
    </row>
    <row r="797" spans="1:11" ht="13.2">
      <c r="A797" s="22"/>
      <c r="B797" s="16"/>
      <c r="C797" s="23"/>
      <c r="D797" s="24"/>
      <c r="E797" s="25"/>
      <c r="F797" s="26"/>
      <c r="G797" s="27"/>
      <c r="H797" s="20"/>
      <c r="I797" s="21"/>
      <c r="J797" s="28"/>
      <c r="K797" s="19"/>
    </row>
    <row r="798" spans="1:11" ht="13.2">
      <c r="A798" s="22"/>
      <c r="B798" s="16"/>
      <c r="C798" s="23"/>
      <c r="D798" s="24"/>
      <c r="E798" s="25"/>
      <c r="F798" s="26"/>
      <c r="G798" s="27"/>
      <c r="H798" s="20"/>
      <c r="I798" s="21"/>
      <c r="J798" s="28"/>
      <c r="K798" s="19"/>
    </row>
    <row r="799" spans="1:11" ht="13.2">
      <c r="A799" s="22"/>
      <c r="B799" s="16"/>
      <c r="C799" s="23"/>
      <c r="D799" s="24"/>
      <c r="E799" s="25"/>
      <c r="F799" s="26"/>
      <c r="G799" s="27"/>
      <c r="H799" s="20"/>
      <c r="I799" s="21"/>
      <c r="J799" s="28"/>
      <c r="K799" s="19"/>
    </row>
    <row r="800" spans="1:11" ht="13.2">
      <c r="A800" s="22"/>
      <c r="B800" s="16"/>
      <c r="C800" s="23"/>
      <c r="D800" s="24"/>
      <c r="E800" s="25"/>
      <c r="F800" s="26"/>
      <c r="G800" s="27"/>
      <c r="H800" s="20"/>
      <c r="I800" s="21"/>
      <c r="J800" s="28"/>
      <c r="K800" s="19"/>
    </row>
    <row r="801" spans="1:11" ht="13.2">
      <c r="A801" s="22"/>
      <c r="B801" s="16"/>
      <c r="C801" s="23"/>
      <c r="D801" s="24"/>
      <c r="E801" s="25"/>
      <c r="F801" s="26"/>
      <c r="G801" s="27"/>
      <c r="H801" s="20"/>
      <c r="I801" s="21"/>
      <c r="J801" s="28"/>
      <c r="K801" s="19"/>
    </row>
    <row r="802" spans="1:11" ht="13.2">
      <c r="A802" s="22"/>
      <c r="B802" s="16"/>
      <c r="C802" s="23"/>
      <c r="D802" s="24"/>
      <c r="E802" s="25"/>
      <c r="F802" s="26"/>
      <c r="G802" s="27"/>
      <c r="H802" s="20"/>
      <c r="I802" s="21"/>
      <c r="J802" s="28"/>
      <c r="K802" s="19"/>
    </row>
    <row r="803" spans="1:11" ht="13.2">
      <c r="A803" s="22"/>
      <c r="B803" s="16"/>
      <c r="C803" s="23"/>
      <c r="D803" s="24"/>
      <c r="E803" s="25"/>
      <c r="F803" s="26"/>
      <c r="G803" s="27"/>
      <c r="H803" s="20"/>
      <c r="I803" s="21"/>
      <c r="J803" s="28"/>
      <c r="K803" s="19"/>
    </row>
    <row r="804" spans="1:11" ht="13.2">
      <c r="A804" s="22"/>
      <c r="B804" s="16"/>
      <c r="C804" s="23"/>
      <c r="D804" s="24"/>
      <c r="E804" s="25"/>
      <c r="F804" s="26"/>
      <c r="G804" s="27"/>
      <c r="H804" s="20"/>
      <c r="I804" s="21"/>
      <c r="J804" s="28"/>
      <c r="K804" s="19"/>
    </row>
    <row r="805" spans="1:11" ht="13.2">
      <c r="A805" s="22"/>
      <c r="B805" s="16"/>
      <c r="C805" s="23"/>
      <c r="D805" s="24"/>
      <c r="E805" s="25"/>
      <c r="F805" s="26"/>
      <c r="G805" s="27"/>
      <c r="H805" s="20"/>
      <c r="I805" s="21"/>
      <c r="J805" s="28"/>
      <c r="K805" s="19"/>
    </row>
    <row r="806" spans="1:11" ht="13.2">
      <c r="A806" s="22"/>
      <c r="B806" s="16"/>
      <c r="C806" s="23"/>
      <c r="D806" s="24"/>
      <c r="E806" s="25"/>
      <c r="F806" s="26"/>
      <c r="G806" s="27"/>
      <c r="H806" s="20"/>
      <c r="I806" s="21"/>
      <c r="J806" s="28"/>
      <c r="K806" s="19"/>
    </row>
    <row r="807" spans="1:11" ht="13.2">
      <c r="A807" s="22"/>
      <c r="B807" s="16"/>
      <c r="C807" s="23"/>
      <c r="D807" s="24"/>
      <c r="E807" s="25"/>
      <c r="F807" s="26"/>
      <c r="G807" s="27"/>
      <c r="H807" s="20"/>
      <c r="I807" s="21"/>
      <c r="J807" s="28"/>
      <c r="K807" s="19"/>
    </row>
    <row r="808" spans="1:11" ht="13.2">
      <c r="A808" s="22"/>
      <c r="B808" s="16"/>
      <c r="C808" s="23"/>
      <c r="D808" s="24"/>
      <c r="E808" s="25"/>
      <c r="F808" s="26"/>
      <c r="G808" s="27"/>
      <c r="H808" s="20"/>
      <c r="I808" s="21"/>
      <c r="J808" s="28"/>
      <c r="K808" s="19"/>
    </row>
    <row r="809" spans="1:11" ht="13.2">
      <c r="A809" s="22"/>
      <c r="B809" s="16"/>
      <c r="C809" s="23"/>
      <c r="D809" s="24"/>
      <c r="E809" s="25"/>
      <c r="F809" s="26"/>
      <c r="G809" s="27"/>
      <c r="H809" s="20"/>
      <c r="I809" s="21"/>
      <c r="J809" s="28"/>
      <c r="K809" s="19"/>
    </row>
    <row r="810" spans="1:11" ht="13.2">
      <c r="A810" s="22"/>
      <c r="B810" s="16"/>
      <c r="C810" s="23"/>
      <c r="D810" s="24"/>
      <c r="E810" s="25"/>
      <c r="F810" s="26"/>
      <c r="G810" s="27"/>
      <c r="H810" s="20"/>
      <c r="I810" s="21"/>
      <c r="J810" s="28"/>
      <c r="K810" s="19"/>
    </row>
    <row r="811" spans="1:11" ht="13.2">
      <c r="A811" s="22"/>
      <c r="B811" s="16"/>
      <c r="C811" s="23"/>
      <c r="D811" s="24"/>
      <c r="E811" s="25"/>
      <c r="F811" s="26"/>
      <c r="G811" s="27"/>
      <c r="H811" s="20"/>
      <c r="I811" s="21"/>
      <c r="J811" s="28"/>
      <c r="K811" s="19"/>
    </row>
    <row r="812" spans="1:11" ht="13.2">
      <c r="A812" s="22"/>
      <c r="B812" s="16"/>
      <c r="C812" s="23"/>
      <c r="D812" s="24"/>
      <c r="E812" s="25"/>
      <c r="F812" s="26"/>
      <c r="G812" s="27"/>
      <c r="H812" s="20"/>
      <c r="I812" s="21"/>
      <c r="J812" s="28"/>
      <c r="K812" s="19"/>
    </row>
    <row r="813" spans="1:11" ht="13.2">
      <c r="A813" s="22"/>
      <c r="B813" s="16"/>
      <c r="C813" s="23"/>
      <c r="D813" s="24"/>
      <c r="E813" s="25"/>
      <c r="F813" s="26"/>
      <c r="G813" s="27"/>
      <c r="H813" s="20"/>
      <c r="I813" s="21"/>
      <c r="J813" s="28"/>
      <c r="K813" s="19"/>
    </row>
    <row r="814" spans="1:11" ht="13.2">
      <c r="A814" s="22"/>
      <c r="B814" s="16"/>
      <c r="C814" s="23"/>
      <c r="D814" s="24"/>
      <c r="E814" s="25"/>
      <c r="F814" s="26"/>
      <c r="G814" s="27"/>
      <c r="H814" s="20"/>
      <c r="I814" s="21"/>
      <c r="J814" s="28"/>
      <c r="K814" s="19"/>
    </row>
    <row r="815" spans="1:11" ht="13.2">
      <c r="A815" s="22"/>
      <c r="B815" s="16"/>
      <c r="C815" s="23"/>
      <c r="D815" s="24"/>
      <c r="E815" s="25"/>
      <c r="F815" s="26"/>
      <c r="G815" s="27"/>
      <c r="H815" s="20"/>
      <c r="I815" s="21"/>
      <c r="J815" s="28"/>
      <c r="K815" s="19"/>
    </row>
    <row r="816" spans="1:11" ht="13.2">
      <c r="A816" s="22"/>
      <c r="B816" s="16"/>
      <c r="C816" s="23"/>
      <c r="D816" s="24"/>
      <c r="E816" s="25"/>
      <c r="F816" s="26"/>
      <c r="G816" s="27"/>
      <c r="H816" s="20"/>
      <c r="I816" s="21"/>
      <c r="J816" s="28"/>
      <c r="K816" s="19"/>
    </row>
    <row r="817" spans="1:11" ht="13.2">
      <c r="A817" s="22"/>
      <c r="B817" s="16"/>
      <c r="C817" s="23"/>
      <c r="D817" s="24"/>
      <c r="E817" s="25"/>
      <c r="F817" s="26"/>
      <c r="G817" s="27"/>
      <c r="H817" s="20"/>
      <c r="I817" s="21"/>
      <c r="J817" s="28"/>
      <c r="K817" s="19"/>
    </row>
    <row r="818" spans="1:11" ht="13.2">
      <c r="A818" s="22"/>
      <c r="B818" s="16"/>
      <c r="C818" s="23"/>
      <c r="D818" s="24"/>
      <c r="E818" s="25"/>
      <c r="F818" s="26"/>
      <c r="G818" s="27"/>
      <c r="H818" s="20"/>
      <c r="I818" s="21"/>
      <c r="J818" s="28"/>
      <c r="K818" s="19"/>
    </row>
    <row r="819" spans="1:11" ht="13.2">
      <c r="A819" s="22"/>
      <c r="B819" s="16"/>
      <c r="C819" s="23"/>
      <c r="D819" s="24"/>
      <c r="E819" s="25"/>
      <c r="F819" s="26"/>
      <c r="G819" s="27"/>
      <c r="H819" s="20"/>
      <c r="I819" s="21"/>
      <c r="J819" s="28"/>
      <c r="K819" s="19"/>
    </row>
    <row r="820" spans="1:11" ht="13.2">
      <c r="A820" s="22"/>
      <c r="B820" s="16"/>
      <c r="C820" s="23"/>
      <c r="D820" s="24"/>
      <c r="E820" s="25"/>
      <c r="F820" s="26"/>
      <c r="G820" s="27"/>
      <c r="H820" s="20"/>
      <c r="I820" s="21"/>
      <c r="J820" s="28"/>
      <c r="K820" s="19"/>
    </row>
    <row r="821" spans="1:11" ht="13.2">
      <c r="A821" s="22"/>
      <c r="B821" s="16"/>
      <c r="C821" s="23"/>
      <c r="D821" s="24"/>
      <c r="E821" s="25"/>
      <c r="F821" s="26"/>
      <c r="G821" s="27"/>
      <c r="H821" s="20"/>
      <c r="I821" s="21"/>
      <c r="J821" s="28"/>
      <c r="K821" s="19"/>
    </row>
    <row r="822" spans="1:11" ht="13.2">
      <c r="A822" s="22"/>
      <c r="B822" s="16"/>
      <c r="C822" s="23"/>
      <c r="D822" s="24"/>
      <c r="E822" s="25"/>
      <c r="F822" s="26"/>
      <c r="G822" s="27"/>
      <c r="H822" s="20"/>
      <c r="I822" s="21"/>
      <c r="J822" s="28"/>
      <c r="K822" s="19"/>
    </row>
    <row r="823" spans="1:11" ht="13.2">
      <c r="A823" s="22"/>
      <c r="B823" s="16"/>
      <c r="C823" s="23"/>
      <c r="D823" s="24"/>
      <c r="E823" s="25"/>
      <c r="F823" s="26"/>
      <c r="G823" s="27"/>
      <c r="H823" s="20"/>
      <c r="I823" s="21"/>
      <c r="J823" s="28"/>
      <c r="K823" s="19"/>
    </row>
    <row r="824" spans="1:11" ht="13.2">
      <c r="A824" s="22"/>
      <c r="B824" s="16"/>
      <c r="C824" s="23"/>
      <c r="D824" s="24"/>
      <c r="E824" s="25"/>
      <c r="F824" s="26"/>
      <c r="G824" s="27"/>
      <c r="H824" s="20"/>
      <c r="I824" s="21"/>
      <c r="J824" s="28"/>
      <c r="K824" s="19"/>
    </row>
    <row r="825" spans="1:11" ht="13.2">
      <c r="A825" s="22"/>
      <c r="B825" s="16"/>
      <c r="C825" s="23"/>
      <c r="D825" s="24"/>
      <c r="E825" s="25"/>
      <c r="F825" s="26"/>
      <c r="G825" s="27"/>
      <c r="H825" s="20"/>
      <c r="I825" s="21"/>
      <c r="J825" s="28"/>
      <c r="K825" s="19"/>
    </row>
    <row r="826" spans="1:11" ht="13.2">
      <c r="A826" s="22"/>
      <c r="B826" s="16"/>
      <c r="C826" s="23"/>
      <c r="D826" s="24"/>
      <c r="E826" s="25"/>
      <c r="F826" s="26"/>
      <c r="G826" s="27"/>
      <c r="H826" s="20"/>
      <c r="I826" s="21"/>
      <c r="J826" s="28"/>
      <c r="K826" s="19"/>
    </row>
    <row r="827" spans="1:11" ht="13.2">
      <c r="A827" s="22"/>
      <c r="B827" s="16"/>
      <c r="C827" s="23"/>
      <c r="D827" s="24"/>
      <c r="E827" s="25"/>
      <c r="F827" s="26"/>
      <c r="G827" s="27"/>
      <c r="H827" s="20"/>
      <c r="I827" s="21"/>
      <c r="J827" s="28"/>
      <c r="K827" s="19"/>
    </row>
    <row r="828" spans="1:11" ht="13.2">
      <c r="A828" s="22"/>
      <c r="B828" s="16"/>
      <c r="C828" s="23"/>
      <c r="D828" s="24"/>
      <c r="E828" s="25"/>
      <c r="F828" s="26"/>
      <c r="G828" s="27"/>
      <c r="H828" s="20"/>
      <c r="I828" s="21"/>
      <c r="J828" s="28"/>
      <c r="K828" s="19"/>
    </row>
    <row r="829" spans="1:11" ht="13.2">
      <c r="A829" s="22"/>
      <c r="B829" s="16"/>
      <c r="C829" s="23"/>
      <c r="D829" s="24"/>
      <c r="E829" s="25"/>
      <c r="F829" s="26"/>
      <c r="G829" s="27"/>
      <c r="H829" s="20"/>
      <c r="I829" s="21"/>
      <c r="J829" s="28"/>
      <c r="K829" s="19"/>
    </row>
    <row r="830" spans="1:11" ht="13.2">
      <c r="A830" s="22"/>
      <c r="B830" s="16"/>
      <c r="C830" s="23"/>
      <c r="D830" s="24"/>
      <c r="E830" s="25"/>
      <c r="F830" s="26"/>
      <c r="G830" s="27"/>
      <c r="H830" s="20"/>
      <c r="I830" s="21"/>
      <c r="J830" s="28"/>
      <c r="K830" s="19"/>
    </row>
    <row r="831" spans="1:11" ht="13.2">
      <c r="A831" s="22"/>
      <c r="B831" s="16"/>
      <c r="C831" s="23"/>
      <c r="D831" s="24"/>
      <c r="E831" s="25"/>
      <c r="F831" s="26"/>
      <c r="G831" s="27"/>
      <c r="H831" s="20"/>
      <c r="I831" s="21"/>
      <c r="J831" s="28"/>
      <c r="K831" s="19"/>
    </row>
    <row r="832" spans="1:11" ht="13.2">
      <c r="A832" s="22"/>
      <c r="B832" s="16"/>
      <c r="C832" s="23"/>
      <c r="D832" s="24"/>
      <c r="E832" s="25"/>
      <c r="F832" s="26"/>
      <c r="G832" s="27"/>
      <c r="H832" s="20"/>
      <c r="I832" s="21"/>
      <c r="J832" s="28"/>
      <c r="K832" s="19"/>
    </row>
    <row r="833" spans="1:11" ht="13.2">
      <c r="A833" s="22"/>
      <c r="B833" s="16"/>
      <c r="C833" s="23"/>
      <c r="D833" s="24"/>
      <c r="E833" s="25"/>
      <c r="F833" s="26"/>
      <c r="G833" s="27"/>
      <c r="H833" s="20"/>
      <c r="I833" s="21"/>
      <c r="J833" s="28"/>
      <c r="K833" s="19"/>
    </row>
    <row r="834" spans="1:11" ht="13.2">
      <c r="A834" s="22"/>
      <c r="B834" s="16"/>
      <c r="C834" s="23"/>
      <c r="D834" s="24"/>
      <c r="E834" s="25"/>
      <c r="F834" s="26"/>
      <c r="G834" s="27"/>
      <c r="H834" s="20"/>
      <c r="I834" s="21"/>
      <c r="J834" s="28"/>
      <c r="K834" s="19"/>
    </row>
    <row r="835" spans="1:11" ht="13.2">
      <c r="A835" s="22"/>
      <c r="B835" s="16"/>
      <c r="C835" s="23"/>
      <c r="D835" s="24"/>
      <c r="E835" s="25"/>
      <c r="F835" s="26"/>
      <c r="G835" s="27"/>
      <c r="H835" s="20"/>
      <c r="I835" s="21"/>
      <c r="J835" s="28"/>
      <c r="K835" s="19"/>
    </row>
    <row r="836" spans="1:11" ht="13.2">
      <c r="A836" s="22"/>
      <c r="B836" s="16"/>
      <c r="C836" s="23"/>
      <c r="D836" s="24"/>
      <c r="E836" s="25"/>
      <c r="F836" s="26"/>
      <c r="G836" s="27"/>
      <c r="H836" s="20"/>
      <c r="I836" s="21"/>
      <c r="J836" s="28"/>
      <c r="K836" s="19"/>
    </row>
    <row r="837" spans="1:11" ht="13.2">
      <c r="A837" s="22"/>
      <c r="B837" s="16"/>
      <c r="C837" s="23"/>
      <c r="D837" s="24"/>
      <c r="E837" s="25"/>
      <c r="F837" s="26"/>
      <c r="G837" s="27"/>
      <c r="H837" s="20"/>
      <c r="I837" s="21"/>
      <c r="J837" s="28"/>
      <c r="K837" s="19"/>
    </row>
    <row r="838" spans="1:11" ht="13.2">
      <c r="A838" s="22"/>
      <c r="B838" s="16"/>
      <c r="C838" s="23"/>
      <c r="D838" s="24"/>
      <c r="E838" s="25"/>
      <c r="F838" s="26"/>
      <c r="G838" s="27"/>
      <c r="H838" s="20"/>
      <c r="I838" s="21"/>
      <c r="J838" s="28"/>
      <c r="K838" s="19"/>
    </row>
    <row r="839" spans="1:11" ht="13.2">
      <c r="A839" s="22"/>
      <c r="B839" s="16"/>
      <c r="C839" s="23"/>
      <c r="D839" s="24"/>
      <c r="E839" s="25"/>
      <c r="F839" s="26"/>
      <c r="G839" s="27"/>
      <c r="H839" s="20"/>
      <c r="I839" s="21"/>
      <c r="J839" s="28"/>
      <c r="K839" s="19"/>
    </row>
    <row r="840" spans="1:11" ht="13.2">
      <c r="A840" s="22"/>
      <c r="B840" s="16"/>
      <c r="C840" s="23"/>
      <c r="D840" s="24"/>
      <c r="E840" s="25"/>
      <c r="F840" s="26"/>
      <c r="G840" s="27"/>
      <c r="H840" s="20"/>
      <c r="I840" s="21"/>
      <c r="J840" s="28"/>
      <c r="K840" s="19"/>
    </row>
    <row r="841" spans="1:11" ht="13.2">
      <c r="A841" s="22"/>
      <c r="B841" s="16"/>
      <c r="C841" s="23"/>
      <c r="D841" s="24"/>
      <c r="E841" s="25"/>
      <c r="F841" s="26"/>
      <c r="G841" s="27"/>
      <c r="H841" s="20"/>
      <c r="I841" s="21"/>
      <c r="J841" s="28"/>
      <c r="K841" s="19"/>
    </row>
    <row r="842" spans="1:11" ht="13.2">
      <c r="A842" s="22"/>
      <c r="B842" s="16"/>
      <c r="C842" s="23"/>
      <c r="D842" s="24"/>
      <c r="E842" s="25"/>
      <c r="F842" s="26"/>
      <c r="G842" s="27"/>
      <c r="H842" s="20"/>
      <c r="I842" s="21"/>
      <c r="J842" s="28"/>
      <c r="K842" s="19"/>
    </row>
    <row r="843" spans="1:11" ht="13.2">
      <c r="A843" s="22"/>
      <c r="B843" s="16"/>
      <c r="C843" s="23"/>
      <c r="D843" s="24"/>
      <c r="E843" s="25"/>
      <c r="F843" s="26"/>
      <c r="G843" s="27"/>
      <c r="H843" s="20"/>
      <c r="I843" s="21"/>
      <c r="J843" s="28"/>
      <c r="K843" s="19"/>
    </row>
    <row r="844" spans="1:11" ht="13.2">
      <c r="A844" s="22"/>
      <c r="B844" s="16"/>
      <c r="C844" s="23"/>
      <c r="D844" s="24"/>
      <c r="E844" s="25"/>
      <c r="F844" s="26"/>
      <c r="G844" s="27"/>
      <c r="H844" s="20"/>
      <c r="I844" s="21"/>
      <c r="J844" s="28"/>
      <c r="K844" s="19"/>
    </row>
    <row r="845" spans="1:11" ht="13.2">
      <c r="A845" s="22"/>
      <c r="B845" s="16"/>
      <c r="C845" s="23"/>
      <c r="D845" s="24"/>
      <c r="E845" s="25"/>
      <c r="F845" s="26"/>
      <c r="G845" s="27"/>
      <c r="H845" s="20"/>
      <c r="I845" s="21"/>
      <c r="J845" s="28"/>
      <c r="K845" s="19"/>
    </row>
    <row r="846" spans="1:11" ht="13.2">
      <c r="A846" s="22"/>
      <c r="B846" s="16"/>
      <c r="C846" s="23"/>
      <c r="D846" s="24"/>
      <c r="E846" s="25"/>
      <c r="F846" s="26"/>
      <c r="G846" s="27"/>
      <c r="H846" s="20"/>
      <c r="I846" s="21"/>
      <c r="J846" s="28"/>
      <c r="K846" s="19"/>
    </row>
    <row r="847" spans="1:11" ht="13.2">
      <c r="A847" s="22"/>
      <c r="B847" s="16"/>
      <c r="C847" s="23"/>
      <c r="D847" s="24"/>
      <c r="E847" s="25"/>
      <c r="F847" s="26"/>
      <c r="G847" s="27"/>
      <c r="H847" s="20"/>
      <c r="I847" s="21"/>
      <c r="J847" s="28"/>
      <c r="K847" s="19"/>
    </row>
    <row r="848" spans="1:11" ht="13.2">
      <c r="A848" s="22"/>
      <c r="B848" s="16"/>
      <c r="C848" s="23"/>
      <c r="D848" s="24"/>
      <c r="E848" s="25"/>
      <c r="F848" s="26"/>
      <c r="G848" s="27"/>
      <c r="H848" s="20"/>
      <c r="I848" s="21"/>
      <c r="J848" s="28"/>
      <c r="K848" s="19"/>
    </row>
    <row r="849" spans="1:11" ht="13.2">
      <c r="A849" s="22"/>
      <c r="B849" s="16"/>
      <c r="C849" s="23"/>
      <c r="D849" s="24"/>
      <c r="E849" s="25"/>
      <c r="F849" s="26"/>
      <c r="G849" s="27"/>
      <c r="H849" s="20"/>
      <c r="I849" s="21"/>
      <c r="J849" s="28"/>
      <c r="K849" s="19"/>
    </row>
    <row r="850" spans="1:11" ht="13.2">
      <c r="A850" s="22"/>
      <c r="B850" s="16"/>
      <c r="C850" s="23"/>
      <c r="D850" s="24"/>
      <c r="E850" s="25"/>
      <c r="F850" s="26"/>
      <c r="G850" s="27"/>
      <c r="H850" s="20"/>
      <c r="I850" s="21"/>
      <c r="J850" s="28"/>
      <c r="K850" s="19"/>
    </row>
    <row r="851" spans="1:11" ht="13.2">
      <c r="A851" s="22"/>
      <c r="B851" s="16"/>
      <c r="C851" s="23"/>
      <c r="D851" s="24"/>
      <c r="E851" s="25"/>
      <c r="F851" s="26"/>
      <c r="G851" s="27"/>
      <c r="H851" s="20"/>
      <c r="I851" s="21"/>
      <c r="J851" s="28"/>
      <c r="K851" s="19"/>
    </row>
    <row r="852" spans="1:11" ht="13.2">
      <c r="A852" s="22"/>
      <c r="B852" s="16"/>
      <c r="C852" s="23"/>
      <c r="D852" s="24"/>
      <c r="E852" s="25"/>
      <c r="F852" s="26"/>
      <c r="G852" s="27"/>
      <c r="H852" s="20"/>
      <c r="I852" s="21"/>
      <c r="J852" s="28"/>
      <c r="K852" s="19"/>
    </row>
    <row r="853" spans="1:11" ht="13.2">
      <c r="A853" s="22"/>
      <c r="B853" s="16"/>
      <c r="C853" s="23"/>
      <c r="D853" s="24"/>
      <c r="E853" s="25"/>
      <c r="F853" s="26"/>
      <c r="G853" s="27"/>
      <c r="H853" s="20"/>
      <c r="I853" s="21"/>
      <c r="J853" s="28"/>
      <c r="K853" s="19"/>
    </row>
    <row r="854" spans="1:11" ht="13.2">
      <c r="A854" s="22"/>
      <c r="B854" s="16"/>
      <c r="C854" s="23"/>
      <c r="D854" s="24"/>
      <c r="E854" s="25"/>
      <c r="F854" s="26"/>
      <c r="G854" s="27"/>
      <c r="H854" s="20"/>
      <c r="I854" s="21"/>
      <c r="J854" s="28"/>
      <c r="K854" s="19"/>
    </row>
    <row r="855" spans="1:11" ht="13.2">
      <c r="A855" s="22"/>
      <c r="B855" s="16"/>
      <c r="C855" s="23"/>
      <c r="D855" s="24"/>
      <c r="E855" s="25"/>
      <c r="F855" s="26"/>
      <c r="G855" s="27"/>
      <c r="H855" s="20"/>
      <c r="I855" s="21"/>
      <c r="J855" s="28"/>
      <c r="K855" s="19"/>
    </row>
    <row r="856" spans="1:11" ht="13.2">
      <c r="A856" s="22"/>
      <c r="B856" s="16"/>
      <c r="C856" s="23"/>
      <c r="D856" s="24"/>
      <c r="E856" s="25"/>
      <c r="F856" s="26"/>
      <c r="G856" s="27"/>
      <c r="H856" s="20"/>
      <c r="I856" s="21"/>
      <c r="J856" s="28"/>
      <c r="K856" s="19"/>
    </row>
    <row r="857" spans="1:11" ht="13.2">
      <c r="A857" s="22"/>
      <c r="B857" s="16"/>
      <c r="C857" s="23"/>
      <c r="D857" s="24"/>
      <c r="E857" s="25"/>
      <c r="F857" s="26"/>
      <c r="G857" s="27"/>
      <c r="H857" s="20"/>
      <c r="I857" s="21"/>
      <c r="J857" s="28"/>
      <c r="K857" s="19"/>
    </row>
    <row r="858" spans="1:11" ht="13.2">
      <c r="A858" s="22"/>
      <c r="B858" s="16"/>
      <c r="C858" s="23"/>
      <c r="D858" s="24"/>
      <c r="E858" s="25"/>
      <c r="F858" s="26"/>
      <c r="G858" s="27"/>
      <c r="H858" s="20"/>
      <c r="I858" s="21"/>
      <c r="J858" s="28"/>
      <c r="K858" s="19"/>
    </row>
    <row r="859" spans="1:11" ht="13.2">
      <c r="A859" s="22"/>
      <c r="B859" s="16"/>
      <c r="C859" s="23"/>
      <c r="D859" s="24"/>
      <c r="E859" s="25"/>
      <c r="F859" s="26"/>
      <c r="G859" s="27"/>
      <c r="H859" s="20"/>
      <c r="I859" s="21"/>
      <c r="J859" s="28"/>
      <c r="K859" s="19"/>
    </row>
    <row r="860" spans="1:11" ht="13.2">
      <c r="A860" s="22"/>
      <c r="B860" s="16"/>
      <c r="C860" s="23"/>
      <c r="D860" s="24"/>
      <c r="E860" s="25"/>
      <c r="F860" s="26"/>
      <c r="G860" s="27"/>
      <c r="H860" s="20"/>
      <c r="I860" s="21"/>
      <c r="J860" s="28"/>
      <c r="K860" s="19"/>
    </row>
    <row r="861" spans="1:11" ht="13.2">
      <c r="A861" s="22"/>
      <c r="B861" s="16"/>
      <c r="C861" s="23"/>
      <c r="D861" s="24"/>
      <c r="E861" s="25"/>
      <c r="F861" s="26"/>
      <c r="G861" s="27"/>
      <c r="H861" s="20"/>
      <c r="I861" s="21"/>
      <c r="J861" s="28"/>
      <c r="K861" s="19"/>
    </row>
    <row r="862" spans="1:11" ht="13.2">
      <c r="A862" s="22"/>
      <c r="B862" s="16"/>
      <c r="C862" s="23"/>
      <c r="D862" s="24"/>
      <c r="E862" s="25"/>
      <c r="F862" s="26"/>
      <c r="G862" s="27"/>
      <c r="H862" s="20"/>
      <c r="I862" s="21"/>
      <c r="J862" s="28"/>
      <c r="K862" s="19"/>
    </row>
    <row r="863" spans="1:11" ht="13.2">
      <c r="A863" s="22"/>
      <c r="B863" s="16"/>
      <c r="C863" s="23"/>
      <c r="D863" s="24"/>
      <c r="E863" s="25"/>
      <c r="F863" s="26"/>
      <c r="G863" s="27"/>
      <c r="H863" s="20"/>
      <c r="I863" s="21"/>
      <c r="J863" s="28"/>
      <c r="K863" s="19"/>
    </row>
    <row r="864" spans="1:11" ht="13.2">
      <c r="A864" s="22"/>
      <c r="B864" s="16"/>
      <c r="C864" s="23"/>
      <c r="D864" s="24"/>
      <c r="E864" s="25"/>
      <c r="F864" s="26"/>
      <c r="G864" s="27"/>
      <c r="H864" s="20"/>
      <c r="I864" s="21"/>
      <c r="J864" s="28"/>
      <c r="K864" s="19"/>
    </row>
    <row r="865" spans="1:11" ht="13.2">
      <c r="A865" s="22"/>
      <c r="B865" s="16"/>
      <c r="C865" s="23"/>
      <c r="D865" s="24"/>
      <c r="E865" s="25"/>
      <c r="F865" s="26"/>
      <c r="G865" s="27"/>
      <c r="H865" s="20"/>
      <c r="I865" s="21"/>
      <c r="J865" s="28"/>
      <c r="K865" s="19"/>
    </row>
    <row r="866" spans="1:11" ht="13.2">
      <c r="A866" s="22"/>
      <c r="B866" s="16"/>
      <c r="C866" s="23"/>
      <c r="D866" s="24"/>
      <c r="E866" s="25"/>
      <c r="F866" s="26"/>
      <c r="G866" s="27"/>
      <c r="H866" s="20"/>
      <c r="I866" s="21"/>
      <c r="J866" s="28"/>
      <c r="K866" s="19"/>
    </row>
    <row r="867" spans="1:11" ht="13.2">
      <c r="A867" s="22"/>
      <c r="B867" s="16"/>
      <c r="C867" s="23"/>
      <c r="D867" s="24"/>
      <c r="E867" s="25"/>
      <c r="F867" s="26"/>
      <c r="G867" s="27"/>
      <c r="H867" s="20"/>
      <c r="I867" s="21"/>
      <c r="J867" s="28"/>
      <c r="K867" s="19"/>
    </row>
    <row r="868" spans="1:11" ht="13.2">
      <c r="A868" s="22"/>
      <c r="B868" s="16"/>
      <c r="C868" s="23"/>
      <c r="D868" s="24"/>
      <c r="E868" s="25"/>
      <c r="F868" s="26"/>
      <c r="G868" s="27"/>
      <c r="H868" s="20"/>
      <c r="I868" s="21"/>
      <c r="J868" s="28"/>
      <c r="K868" s="19"/>
    </row>
    <row r="869" spans="1:11" ht="13.2">
      <c r="A869" s="22"/>
      <c r="B869" s="16"/>
      <c r="C869" s="23"/>
      <c r="D869" s="24"/>
      <c r="E869" s="25"/>
      <c r="F869" s="26"/>
      <c r="G869" s="27"/>
      <c r="H869" s="20"/>
      <c r="I869" s="21"/>
      <c r="J869" s="28"/>
      <c r="K869" s="19"/>
    </row>
    <row r="870" spans="1:11" ht="13.2">
      <c r="A870" s="22"/>
      <c r="B870" s="16"/>
      <c r="C870" s="23"/>
      <c r="D870" s="24"/>
      <c r="E870" s="25"/>
      <c r="F870" s="26"/>
      <c r="G870" s="27"/>
      <c r="H870" s="20"/>
      <c r="I870" s="21"/>
      <c r="J870" s="28"/>
      <c r="K870" s="19"/>
    </row>
    <row r="871" spans="1:11" ht="13.2">
      <c r="A871" s="22"/>
      <c r="B871" s="16"/>
      <c r="C871" s="23"/>
      <c r="D871" s="24"/>
      <c r="E871" s="25"/>
      <c r="F871" s="26"/>
      <c r="G871" s="27"/>
      <c r="H871" s="20"/>
      <c r="I871" s="21"/>
      <c r="J871" s="28"/>
      <c r="K871" s="19"/>
    </row>
    <row r="872" spans="1:11" ht="13.2">
      <c r="A872" s="22"/>
      <c r="B872" s="16"/>
      <c r="C872" s="23"/>
      <c r="D872" s="24"/>
      <c r="E872" s="25"/>
      <c r="F872" s="26"/>
      <c r="G872" s="27"/>
      <c r="H872" s="20"/>
      <c r="I872" s="21"/>
      <c r="J872" s="28"/>
      <c r="K872" s="19"/>
    </row>
    <row r="873" spans="1:11" ht="13.2">
      <c r="A873" s="22"/>
      <c r="B873" s="16"/>
      <c r="C873" s="23"/>
      <c r="D873" s="24"/>
      <c r="E873" s="25"/>
      <c r="F873" s="26"/>
      <c r="G873" s="27"/>
      <c r="H873" s="20"/>
      <c r="I873" s="21"/>
      <c r="J873" s="28"/>
      <c r="K873" s="19"/>
    </row>
    <row r="874" spans="1:11" ht="13.2">
      <c r="A874" s="22"/>
      <c r="B874" s="16"/>
      <c r="C874" s="23"/>
      <c r="D874" s="24"/>
      <c r="E874" s="25"/>
      <c r="F874" s="26"/>
      <c r="G874" s="27"/>
      <c r="H874" s="20"/>
      <c r="I874" s="21"/>
      <c r="J874" s="28"/>
      <c r="K874" s="19"/>
    </row>
    <row r="875" spans="1:11" ht="13.2">
      <c r="A875" s="22"/>
      <c r="B875" s="16"/>
      <c r="C875" s="23"/>
      <c r="D875" s="24"/>
      <c r="E875" s="25"/>
      <c r="F875" s="26"/>
      <c r="G875" s="27"/>
      <c r="H875" s="20"/>
      <c r="I875" s="21"/>
      <c r="J875" s="28"/>
      <c r="K875" s="19"/>
    </row>
    <row r="876" spans="1:11" ht="13.2">
      <c r="A876" s="22"/>
      <c r="B876" s="16"/>
      <c r="C876" s="23"/>
      <c r="D876" s="24"/>
      <c r="E876" s="25"/>
      <c r="F876" s="26"/>
      <c r="G876" s="27"/>
      <c r="H876" s="20"/>
      <c r="I876" s="21"/>
      <c r="J876" s="28"/>
      <c r="K876" s="19"/>
    </row>
    <row r="877" spans="1:11" ht="13.2">
      <c r="A877" s="22"/>
      <c r="B877" s="16"/>
      <c r="C877" s="23"/>
      <c r="D877" s="24"/>
      <c r="E877" s="25"/>
      <c r="F877" s="26"/>
      <c r="G877" s="27"/>
      <c r="H877" s="20"/>
      <c r="I877" s="21"/>
      <c r="J877" s="28"/>
      <c r="K877" s="19"/>
    </row>
    <row r="878" spans="1:11" ht="13.2">
      <c r="A878" s="22"/>
      <c r="B878" s="16"/>
      <c r="C878" s="23"/>
      <c r="D878" s="24"/>
      <c r="E878" s="25"/>
      <c r="F878" s="26"/>
      <c r="G878" s="27"/>
      <c r="H878" s="20"/>
      <c r="I878" s="21"/>
      <c r="J878" s="28"/>
      <c r="K878" s="19"/>
    </row>
    <row r="879" spans="1:11" ht="13.2">
      <c r="A879" s="22"/>
      <c r="B879" s="16"/>
      <c r="C879" s="23"/>
      <c r="D879" s="24"/>
      <c r="E879" s="25"/>
      <c r="F879" s="26"/>
      <c r="G879" s="27"/>
      <c r="H879" s="20"/>
      <c r="I879" s="21"/>
      <c r="J879" s="28"/>
      <c r="K879" s="19"/>
    </row>
    <row r="880" spans="1:11" ht="13.2">
      <c r="A880" s="22"/>
      <c r="B880" s="16"/>
      <c r="C880" s="23"/>
      <c r="D880" s="24"/>
      <c r="E880" s="25"/>
      <c r="F880" s="26"/>
      <c r="G880" s="27"/>
      <c r="H880" s="20"/>
      <c r="I880" s="21"/>
      <c r="J880" s="28"/>
      <c r="K880" s="19"/>
    </row>
    <row r="881" spans="1:11" ht="13.2">
      <c r="A881" s="22"/>
      <c r="B881" s="16"/>
      <c r="C881" s="23"/>
      <c r="D881" s="24"/>
      <c r="E881" s="25"/>
      <c r="F881" s="26"/>
      <c r="G881" s="27"/>
      <c r="H881" s="20"/>
      <c r="I881" s="21"/>
      <c r="J881" s="28"/>
      <c r="K881" s="19"/>
    </row>
    <row r="882" spans="1:11" ht="13.2">
      <c r="A882" s="22"/>
      <c r="B882" s="16"/>
      <c r="C882" s="23"/>
      <c r="D882" s="24"/>
      <c r="E882" s="25"/>
      <c r="F882" s="26"/>
      <c r="G882" s="27"/>
      <c r="H882" s="20"/>
      <c r="I882" s="21"/>
      <c r="J882" s="28"/>
      <c r="K882" s="19"/>
    </row>
    <row r="883" spans="1:11" ht="13.2">
      <c r="A883" s="22"/>
      <c r="B883" s="16"/>
      <c r="C883" s="23"/>
      <c r="D883" s="24"/>
      <c r="E883" s="25"/>
      <c r="F883" s="26"/>
      <c r="G883" s="27"/>
      <c r="H883" s="20"/>
      <c r="I883" s="21"/>
      <c r="J883" s="28"/>
      <c r="K883" s="19"/>
    </row>
    <row r="884" spans="1:11" ht="13.2">
      <c r="A884" s="22"/>
      <c r="B884" s="16"/>
      <c r="C884" s="23"/>
      <c r="D884" s="24"/>
      <c r="E884" s="25"/>
      <c r="F884" s="26"/>
      <c r="G884" s="27"/>
      <c r="H884" s="20"/>
      <c r="I884" s="21"/>
      <c r="J884" s="28"/>
      <c r="K884" s="19"/>
    </row>
    <row r="885" spans="1:11" ht="13.2">
      <c r="A885" s="22"/>
      <c r="B885" s="16"/>
      <c r="C885" s="23"/>
      <c r="D885" s="24"/>
      <c r="E885" s="25"/>
      <c r="F885" s="26"/>
      <c r="G885" s="27"/>
      <c r="H885" s="20"/>
      <c r="I885" s="21"/>
      <c r="J885" s="28"/>
      <c r="K885" s="19"/>
    </row>
    <row r="886" spans="1:11" ht="13.2">
      <c r="A886" s="22"/>
      <c r="B886" s="16"/>
      <c r="C886" s="23"/>
      <c r="D886" s="24"/>
      <c r="E886" s="25"/>
      <c r="F886" s="26"/>
      <c r="G886" s="27"/>
      <c r="H886" s="20"/>
      <c r="I886" s="21"/>
      <c r="J886" s="28"/>
      <c r="K886" s="19"/>
    </row>
    <row r="887" spans="1:11" ht="13.2">
      <c r="A887" s="22"/>
      <c r="B887" s="16"/>
      <c r="C887" s="23"/>
      <c r="D887" s="24"/>
      <c r="E887" s="25"/>
      <c r="F887" s="26"/>
      <c r="G887" s="27"/>
      <c r="H887" s="20"/>
      <c r="I887" s="21"/>
      <c r="J887" s="28"/>
      <c r="K887" s="19"/>
    </row>
    <row r="888" spans="1:11" ht="13.2">
      <c r="A888" s="22"/>
      <c r="B888" s="16"/>
      <c r="C888" s="23"/>
      <c r="D888" s="24"/>
      <c r="E888" s="25"/>
      <c r="F888" s="26"/>
      <c r="G888" s="27"/>
      <c r="H888" s="20"/>
      <c r="I888" s="21"/>
      <c r="J888" s="28"/>
      <c r="K888" s="19"/>
    </row>
    <row r="889" spans="1:11" ht="13.2">
      <c r="A889" s="22"/>
      <c r="B889" s="16"/>
      <c r="C889" s="23"/>
      <c r="D889" s="24"/>
      <c r="E889" s="25"/>
      <c r="F889" s="26"/>
      <c r="G889" s="27"/>
      <c r="H889" s="20"/>
      <c r="I889" s="21"/>
      <c r="J889" s="28"/>
      <c r="K889" s="19"/>
    </row>
    <row r="890" spans="1:11" ht="13.2">
      <c r="A890" s="22"/>
      <c r="B890" s="16"/>
      <c r="C890" s="23"/>
      <c r="D890" s="24"/>
      <c r="E890" s="25"/>
      <c r="F890" s="26"/>
      <c r="G890" s="27"/>
      <c r="H890" s="20"/>
      <c r="I890" s="21"/>
      <c r="J890" s="28"/>
      <c r="K890" s="19"/>
    </row>
    <row r="891" spans="1:11" ht="13.2">
      <c r="A891" s="22"/>
      <c r="B891" s="16"/>
      <c r="C891" s="23"/>
      <c r="D891" s="24"/>
      <c r="E891" s="25"/>
      <c r="F891" s="26"/>
      <c r="G891" s="27"/>
      <c r="H891" s="20"/>
      <c r="I891" s="21"/>
      <c r="J891" s="28"/>
      <c r="K891" s="19"/>
    </row>
    <row r="892" spans="1:11" ht="13.2">
      <c r="A892" s="22"/>
      <c r="B892" s="16"/>
      <c r="C892" s="23"/>
      <c r="D892" s="24"/>
      <c r="E892" s="25"/>
      <c r="F892" s="26"/>
      <c r="G892" s="27"/>
      <c r="H892" s="20"/>
      <c r="I892" s="21"/>
      <c r="J892" s="28"/>
      <c r="K892" s="19"/>
    </row>
    <row r="893" spans="1:11" ht="13.2">
      <c r="A893" s="22"/>
      <c r="B893" s="16"/>
      <c r="C893" s="23"/>
      <c r="D893" s="24"/>
      <c r="E893" s="25"/>
      <c r="F893" s="26"/>
      <c r="G893" s="27"/>
      <c r="H893" s="20"/>
      <c r="I893" s="21"/>
      <c r="J893" s="28"/>
      <c r="K893" s="19"/>
    </row>
    <row r="894" spans="1:11" ht="13.2">
      <c r="A894" s="22"/>
      <c r="B894" s="16"/>
      <c r="C894" s="23"/>
      <c r="D894" s="24"/>
      <c r="E894" s="25"/>
      <c r="F894" s="26"/>
      <c r="G894" s="27"/>
      <c r="H894" s="20"/>
      <c r="I894" s="21"/>
      <c r="J894" s="28"/>
      <c r="K894" s="19"/>
    </row>
    <row r="895" spans="1:11" ht="13.2">
      <c r="A895" s="22"/>
      <c r="B895" s="16"/>
      <c r="C895" s="23"/>
      <c r="D895" s="24"/>
      <c r="E895" s="25"/>
      <c r="F895" s="26"/>
      <c r="G895" s="27"/>
      <c r="H895" s="20"/>
      <c r="I895" s="21"/>
      <c r="J895" s="28"/>
      <c r="K895" s="19"/>
    </row>
    <row r="896" spans="1:11" ht="13.2">
      <c r="A896" s="22"/>
      <c r="B896" s="16"/>
      <c r="C896" s="23"/>
      <c r="D896" s="24"/>
      <c r="E896" s="25"/>
      <c r="F896" s="26"/>
      <c r="G896" s="27"/>
      <c r="H896" s="20"/>
      <c r="I896" s="21"/>
      <c r="J896" s="28"/>
      <c r="K896" s="19"/>
    </row>
    <row r="897" spans="1:11" ht="13.2">
      <c r="A897" s="22"/>
      <c r="B897" s="16"/>
      <c r="C897" s="23"/>
      <c r="D897" s="24"/>
      <c r="E897" s="25"/>
      <c r="F897" s="26"/>
      <c r="G897" s="27"/>
      <c r="H897" s="20"/>
      <c r="I897" s="21"/>
      <c r="J897" s="28"/>
      <c r="K897" s="19"/>
    </row>
    <row r="898" spans="1:11" ht="13.2">
      <c r="A898" s="22"/>
      <c r="B898" s="16"/>
      <c r="C898" s="23"/>
      <c r="D898" s="24"/>
      <c r="E898" s="25"/>
      <c r="F898" s="26"/>
      <c r="G898" s="27"/>
      <c r="H898" s="20"/>
      <c r="I898" s="21"/>
      <c r="J898" s="28"/>
      <c r="K898" s="19"/>
    </row>
    <row r="899" spans="1:11" ht="13.2">
      <c r="A899" s="22"/>
      <c r="B899" s="16"/>
      <c r="C899" s="23"/>
      <c r="D899" s="24"/>
      <c r="E899" s="25"/>
      <c r="F899" s="26"/>
      <c r="G899" s="27"/>
      <c r="H899" s="20"/>
      <c r="I899" s="21"/>
      <c r="J899" s="28"/>
      <c r="K899" s="19"/>
    </row>
    <row r="900" spans="1:11" ht="13.2">
      <c r="A900" s="22"/>
      <c r="B900" s="16"/>
      <c r="C900" s="23"/>
      <c r="D900" s="24"/>
      <c r="E900" s="25"/>
      <c r="F900" s="26"/>
      <c r="G900" s="27"/>
      <c r="H900" s="20"/>
      <c r="I900" s="21"/>
      <c r="J900" s="28"/>
      <c r="K900" s="19"/>
    </row>
    <row r="901" spans="1:11" ht="13.2">
      <c r="A901" s="22"/>
      <c r="B901" s="16"/>
      <c r="C901" s="23"/>
      <c r="D901" s="24"/>
      <c r="E901" s="25"/>
      <c r="F901" s="26"/>
      <c r="G901" s="27"/>
      <c r="H901" s="20"/>
      <c r="I901" s="21"/>
      <c r="J901" s="28"/>
      <c r="K901" s="19"/>
    </row>
    <row r="902" spans="1:11" ht="13.2">
      <c r="A902" s="22"/>
      <c r="B902" s="16"/>
      <c r="C902" s="23"/>
      <c r="D902" s="24"/>
      <c r="E902" s="25"/>
      <c r="F902" s="26"/>
      <c r="G902" s="27"/>
      <c r="H902" s="20"/>
      <c r="I902" s="21"/>
      <c r="J902" s="28"/>
      <c r="K902" s="19"/>
    </row>
    <row r="903" spans="1:11" ht="13.2">
      <c r="A903" s="22"/>
      <c r="B903" s="16"/>
      <c r="C903" s="23"/>
      <c r="D903" s="24"/>
      <c r="E903" s="25"/>
      <c r="F903" s="26"/>
      <c r="G903" s="27"/>
      <c r="H903" s="20"/>
      <c r="I903" s="21"/>
      <c r="J903" s="28"/>
      <c r="K903" s="19"/>
    </row>
    <row r="904" spans="1:11" ht="13.2">
      <c r="A904" s="22"/>
      <c r="B904" s="16"/>
      <c r="C904" s="23"/>
      <c r="D904" s="24"/>
      <c r="E904" s="25"/>
      <c r="F904" s="26"/>
      <c r="G904" s="27"/>
      <c r="H904" s="20"/>
      <c r="I904" s="21"/>
      <c r="J904" s="28"/>
      <c r="K904" s="19"/>
    </row>
    <row r="905" spans="1:11" ht="13.2">
      <c r="A905" s="22"/>
      <c r="B905" s="16"/>
      <c r="C905" s="23"/>
      <c r="D905" s="24"/>
      <c r="E905" s="25"/>
      <c r="F905" s="26"/>
      <c r="G905" s="27"/>
      <c r="H905" s="20"/>
      <c r="I905" s="21"/>
      <c r="J905" s="28"/>
      <c r="K905" s="19"/>
    </row>
    <row r="906" spans="1:11" ht="13.2">
      <c r="A906" s="22"/>
      <c r="B906" s="16"/>
      <c r="C906" s="23"/>
      <c r="D906" s="24"/>
      <c r="E906" s="25"/>
      <c r="F906" s="26"/>
      <c r="G906" s="27"/>
      <c r="H906" s="20"/>
      <c r="I906" s="21"/>
      <c r="J906" s="28"/>
      <c r="K906" s="19"/>
    </row>
    <row r="907" spans="1:11" ht="13.2">
      <c r="A907" s="22"/>
      <c r="B907" s="16"/>
      <c r="C907" s="23"/>
      <c r="D907" s="24"/>
      <c r="E907" s="25"/>
      <c r="F907" s="26"/>
      <c r="G907" s="27"/>
      <c r="H907" s="20"/>
      <c r="I907" s="21"/>
      <c r="J907" s="28"/>
      <c r="K907" s="19"/>
    </row>
    <row r="908" spans="1:11" ht="13.2">
      <c r="A908" s="22"/>
      <c r="B908" s="16"/>
      <c r="C908" s="23"/>
      <c r="D908" s="24"/>
      <c r="E908" s="25"/>
      <c r="F908" s="26"/>
      <c r="G908" s="27"/>
      <c r="H908" s="20"/>
      <c r="I908" s="21"/>
      <c r="J908" s="28"/>
      <c r="K908" s="19"/>
    </row>
    <row r="909" spans="1:11" ht="13.2">
      <c r="A909" s="22"/>
      <c r="B909" s="16"/>
      <c r="C909" s="23"/>
      <c r="D909" s="24"/>
      <c r="E909" s="25"/>
      <c r="F909" s="26"/>
      <c r="G909" s="27"/>
      <c r="H909" s="20"/>
      <c r="I909" s="21"/>
      <c r="J909" s="28"/>
      <c r="K909" s="19"/>
    </row>
    <row r="910" spans="1:11" ht="13.2">
      <c r="A910" s="22"/>
      <c r="B910" s="16"/>
      <c r="C910" s="23"/>
      <c r="D910" s="24"/>
      <c r="E910" s="25"/>
      <c r="F910" s="26"/>
      <c r="G910" s="27"/>
      <c r="H910" s="20"/>
      <c r="I910" s="21"/>
      <c r="J910" s="28"/>
      <c r="K910" s="19"/>
    </row>
    <row r="911" spans="1:11" ht="13.2">
      <c r="A911" s="22"/>
      <c r="B911" s="16"/>
      <c r="C911" s="23"/>
      <c r="D911" s="24"/>
      <c r="E911" s="25"/>
      <c r="F911" s="26"/>
      <c r="G911" s="27"/>
      <c r="H911" s="20"/>
      <c r="I911" s="21"/>
      <c r="J911" s="28"/>
      <c r="K911" s="19"/>
    </row>
    <row r="912" spans="1:11" ht="13.2">
      <c r="A912" s="22"/>
      <c r="B912" s="16"/>
      <c r="C912" s="23"/>
      <c r="D912" s="24"/>
      <c r="E912" s="25"/>
      <c r="F912" s="26"/>
      <c r="G912" s="27"/>
      <c r="H912" s="20"/>
      <c r="I912" s="21"/>
      <c r="J912" s="28"/>
      <c r="K912" s="19"/>
    </row>
    <row r="913" spans="1:11" ht="13.2">
      <c r="A913" s="22"/>
      <c r="B913" s="16"/>
      <c r="C913" s="23"/>
      <c r="D913" s="24"/>
      <c r="E913" s="25"/>
      <c r="F913" s="26"/>
      <c r="G913" s="27"/>
      <c r="H913" s="20"/>
      <c r="I913" s="21"/>
      <c r="J913" s="28"/>
      <c r="K913" s="19"/>
    </row>
    <row r="914" spans="1:11" ht="13.2">
      <c r="A914" s="22"/>
      <c r="B914" s="16"/>
      <c r="C914" s="23"/>
      <c r="D914" s="24"/>
      <c r="E914" s="25"/>
      <c r="F914" s="26"/>
      <c r="G914" s="27"/>
      <c r="H914" s="20"/>
      <c r="I914" s="21"/>
      <c r="J914" s="28"/>
      <c r="K914" s="19"/>
    </row>
    <row r="915" spans="1:11" ht="13.2">
      <c r="A915" s="22"/>
      <c r="B915" s="16"/>
      <c r="C915" s="23"/>
      <c r="D915" s="24"/>
      <c r="E915" s="25"/>
      <c r="F915" s="26"/>
      <c r="G915" s="27"/>
      <c r="H915" s="20"/>
      <c r="I915" s="21"/>
      <c r="J915" s="28"/>
      <c r="K915" s="19"/>
    </row>
    <row r="916" spans="1:11" ht="13.2">
      <c r="A916" s="22"/>
      <c r="B916" s="16"/>
      <c r="C916" s="23"/>
      <c r="D916" s="24"/>
      <c r="E916" s="25"/>
      <c r="F916" s="26"/>
      <c r="G916" s="27"/>
      <c r="H916" s="20"/>
      <c r="I916" s="21"/>
      <c r="J916" s="28"/>
      <c r="K916" s="19"/>
    </row>
    <row r="917" spans="1:11" ht="13.2">
      <c r="A917" s="22"/>
      <c r="B917" s="16"/>
      <c r="C917" s="23"/>
      <c r="D917" s="24"/>
      <c r="E917" s="25"/>
      <c r="F917" s="26"/>
      <c r="G917" s="27"/>
      <c r="H917" s="20"/>
      <c r="I917" s="21"/>
      <c r="J917" s="28"/>
      <c r="K917" s="19"/>
    </row>
    <row r="918" spans="1:11" ht="13.2">
      <c r="A918" s="22"/>
      <c r="B918" s="16"/>
      <c r="C918" s="23"/>
      <c r="D918" s="24"/>
      <c r="E918" s="25"/>
      <c r="F918" s="26"/>
      <c r="G918" s="27"/>
      <c r="H918" s="20"/>
      <c r="I918" s="21"/>
      <c r="J918" s="28"/>
      <c r="K918" s="19"/>
    </row>
    <row r="919" spans="1:11" ht="13.2">
      <c r="A919" s="22"/>
      <c r="B919" s="16"/>
      <c r="C919" s="23"/>
      <c r="D919" s="24"/>
      <c r="E919" s="25"/>
      <c r="F919" s="26"/>
      <c r="G919" s="27"/>
      <c r="H919" s="20"/>
      <c r="I919" s="21"/>
      <c r="J919" s="28"/>
      <c r="K919" s="19"/>
    </row>
    <row r="920" spans="1:11" ht="13.2">
      <c r="A920" s="22"/>
      <c r="B920" s="16"/>
      <c r="C920" s="23"/>
      <c r="D920" s="24"/>
      <c r="E920" s="25"/>
      <c r="F920" s="26"/>
      <c r="G920" s="27"/>
      <c r="H920" s="20"/>
      <c r="I920" s="21"/>
      <c r="J920" s="28"/>
      <c r="K920" s="19"/>
    </row>
    <row r="921" spans="1:11" ht="13.2">
      <c r="A921" s="22"/>
      <c r="B921" s="16"/>
      <c r="C921" s="23"/>
      <c r="D921" s="24"/>
      <c r="E921" s="25"/>
      <c r="F921" s="26"/>
      <c r="G921" s="27"/>
      <c r="H921" s="20"/>
      <c r="I921" s="21"/>
      <c r="J921" s="28"/>
      <c r="K921" s="19"/>
    </row>
    <row r="922" spans="1:11" ht="13.2">
      <c r="A922" s="22"/>
      <c r="B922" s="16"/>
      <c r="C922" s="23"/>
      <c r="D922" s="24"/>
      <c r="E922" s="25"/>
      <c r="F922" s="26"/>
      <c r="G922" s="27"/>
      <c r="H922" s="20"/>
      <c r="I922" s="21"/>
      <c r="J922" s="28"/>
      <c r="K922" s="19"/>
    </row>
    <row r="923" spans="1:11" ht="13.2">
      <c r="A923" s="22"/>
      <c r="B923" s="16"/>
      <c r="C923" s="23"/>
      <c r="D923" s="24"/>
      <c r="E923" s="25"/>
      <c r="F923" s="26"/>
      <c r="G923" s="27"/>
      <c r="H923" s="20"/>
      <c r="I923" s="21"/>
      <c r="J923" s="28"/>
      <c r="K923" s="19"/>
    </row>
    <row r="924" spans="1:11" ht="13.2">
      <c r="A924" s="22"/>
      <c r="B924" s="16"/>
      <c r="C924" s="23"/>
      <c r="D924" s="24"/>
      <c r="E924" s="25"/>
      <c r="F924" s="26"/>
      <c r="G924" s="27"/>
      <c r="H924" s="20"/>
      <c r="I924" s="21"/>
      <c r="J924" s="28"/>
      <c r="K924" s="19"/>
    </row>
    <row r="925" spans="1:11" ht="13.2">
      <c r="A925" s="22"/>
      <c r="B925" s="16"/>
      <c r="C925" s="23"/>
      <c r="D925" s="24"/>
      <c r="E925" s="25"/>
      <c r="F925" s="26"/>
      <c r="G925" s="27"/>
      <c r="H925" s="20"/>
      <c r="I925" s="21"/>
      <c r="J925" s="28"/>
      <c r="K925" s="19"/>
    </row>
    <row r="926" spans="1:11" ht="13.2">
      <c r="A926" s="22"/>
      <c r="B926" s="16"/>
      <c r="C926" s="23"/>
      <c r="D926" s="24"/>
      <c r="E926" s="25"/>
      <c r="F926" s="26"/>
      <c r="G926" s="27"/>
      <c r="H926" s="20"/>
      <c r="I926" s="21"/>
      <c r="J926" s="28"/>
      <c r="K926" s="19"/>
    </row>
    <row r="927" spans="1:11" ht="13.2">
      <c r="A927" s="22"/>
      <c r="B927" s="16"/>
      <c r="C927" s="23"/>
      <c r="D927" s="24"/>
      <c r="E927" s="25"/>
      <c r="F927" s="26"/>
      <c r="G927" s="27"/>
      <c r="H927" s="20"/>
      <c r="I927" s="21"/>
      <c r="J927" s="28"/>
      <c r="K927" s="19"/>
    </row>
    <row r="928" spans="1:11" ht="13.2">
      <c r="A928" s="22"/>
      <c r="B928" s="16"/>
      <c r="C928" s="23"/>
      <c r="D928" s="24"/>
      <c r="E928" s="25"/>
      <c r="F928" s="26"/>
      <c r="G928" s="27"/>
      <c r="H928" s="20"/>
      <c r="I928" s="21"/>
      <c r="J928" s="28"/>
      <c r="K928" s="19"/>
    </row>
    <row r="929" spans="1:11" ht="13.2">
      <c r="A929" s="22"/>
      <c r="B929" s="16"/>
      <c r="C929" s="23"/>
      <c r="D929" s="24"/>
      <c r="E929" s="25"/>
      <c r="F929" s="26"/>
      <c r="G929" s="27"/>
      <c r="H929" s="20"/>
      <c r="I929" s="21"/>
      <c r="J929" s="28"/>
      <c r="K929" s="19"/>
    </row>
    <row r="930" spans="1:11" ht="13.2">
      <c r="A930" s="22"/>
      <c r="B930" s="16"/>
      <c r="C930" s="23"/>
      <c r="D930" s="24"/>
      <c r="E930" s="25"/>
      <c r="F930" s="26"/>
      <c r="G930" s="27"/>
      <c r="H930" s="20"/>
      <c r="I930" s="21"/>
      <c r="J930" s="28"/>
      <c r="K930" s="19"/>
    </row>
    <row r="931" spans="1:11" ht="13.2">
      <c r="A931" s="22"/>
      <c r="B931" s="16"/>
      <c r="C931" s="23"/>
      <c r="D931" s="24"/>
      <c r="E931" s="25"/>
      <c r="F931" s="26"/>
      <c r="G931" s="27"/>
      <c r="H931" s="20"/>
      <c r="I931" s="21"/>
      <c r="J931" s="28"/>
      <c r="K931" s="19"/>
    </row>
    <row r="932" spans="1:11" ht="13.2">
      <c r="A932" s="22"/>
      <c r="B932" s="16"/>
      <c r="C932" s="23"/>
      <c r="D932" s="24"/>
      <c r="E932" s="25"/>
      <c r="F932" s="26"/>
      <c r="G932" s="27"/>
      <c r="H932" s="20"/>
      <c r="I932" s="21"/>
      <c r="J932" s="28"/>
      <c r="K932" s="19"/>
    </row>
    <row r="933" spans="1:11" ht="13.2">
      <c r="A933" s="22"/>
      <c r="B933" s="16"/>
      <c r="C933" s="23"/>
      <c r="D933" s="24"/>
      <c r="E933" s="25"/>
      <c r="F933" s="26"/>
      <c r="G933" s="27"/>
      <c r="H933" s="20"/>
      <c r="I933" s="21"/>
      <c r="J933" s="28"/>
      <c r="K933" s="19"/>
    </row>
    <row r="934" spans="1:11" ht="13.2">
      <c r="A934" s="22"/>
      <c r="B934" s="16"/>
      <c r="C934" s="23"/>
      <c r="D934" s="24"/>
      <c r="E934" s="25"/>
      <c r="F934" s="26"/>
      <c r="G934" s="27"/>
      <c r="H934" s="20"/>
      <c r="I934" s="21"/>
      <c r="J934" s="28"/>
      <c r="K934" s="19"/>
    </row>
    <row r="935" spans="1:11" ht="13.2">
      <c r="A935" s="22"/>
      <c r="B935" s="16"/>
      <c r="C935" s="23"/>
      <c r="D935" s="24"/>
      <c r="E935" s="25"/>
      <c r="F935" s="26"/>
      <c r="G935" s="27"/>
      <c r="H935" s="20"/>
      <c r="I935" s="21"/>
      <c r="J935" s="28"/>
      <c r="K935" s="19"/>
    </row>
    <row r="936" spans="1:11" ht="13.2">
      <c r="A936" s="22"/>
      <c r="B936" s="16"/>
      <c r="C936" s="23"/>
      <c r="D936" s="24"/>
      <c r="E936" s="25"/>
      <c r="F936" s="26"/>
      <c r="G936" s="27"/>
      <c r="H936" s="20"/>
      <c r="I936" s="21"/>
      <c r="J936" s="28"/>
      <c r="K936" s="19"/>
    </row>
    <row r="937" spans="1:11" ht="13.2">
      <c r="A937" s="22"/>
      <c r="B937" s="16"/>
      <c r="C937" s="23"/>
      <c r="D937" s="24"/>
      <c r="E937" s="25"/>
      <c r="F937" s="26"/>
      <c r="G937" s="27"/>
      <c r="H937" s="20"/>
      <c r="I937" s="21"/>
      <c r="J937" s="28"/>
      <c r="K937" s="19"/>
    </row>
    <row r="938" spans="1:11" ht="13.2">
      <c r="A938" s="22"/>
      <c r="B938" s="16"/>
      <c r="C938" s="23"/>
      <c r="D938" s="24"/>
      <c r="E938" s="25"/>
      <c r="F938" s="26"/>
      <c r="G938" s="27"/>
      <c r="H938" s="20"/>
      <c r="I938" s="21"/>
      <c r="J938" s="28"/>
      <c r="K938" s="19"/>
    </row>
    <row r="939" spans="1:11" ht="13.2">
      <c r="A939" s="22"/>
      <c r="B939" s="16"/>
      <c r="C939" s="23"/>
      <c r="D939" s="24"/>
      <c r="E939" s="25"/>
      <c r="F939" s="26"/>
      <c r="G939" s="27"/>
      <c r="H939" s="20"/>
      <c r="I939" s="21"/>
      <c r="J939" s="28"/>
      <c r="K939" s="19"/>
    </row>
    <row r="940" spans="1:11" ht="13.2">
      <c r="A940" s="22"/>
      <c r="B940" s="16"/>
      <c r="C940" s="23"/>
      <c r="D940" s="24"/>
      <c r="E940" s="25"/>
      <c r="F940" s="26"/>
      <c r="G940" s="27"/>
      <c r="H940" s="20"/>
      <c r="I940" s="21"/>
      <c r="J940" s="28"/>
      <c r="K940" s="19"/>
    </row>
    <row r="941" spans="1:11" ht="13.2">
      <c r="A941" s="22"/>
      <c r="B941" s="16"/>
      <c r="C941" s="23"/>
      <c r="D941" s="24"/>
      <c r="E941" s="25"/>
      <c r="F941" s="26"/>
      <c r="G941" s="27"/>
      <c r="H941" s="20"/>
      <c r="I941" s="21"/>
      <c r="J941" s="28"/>
      <c r="K941" s="19"/>
    </row>
    <row r="942" spans="1:11" ht="13.2">
      <c r="A942" s="22"/>
      <c r="B942" s="16"/>
      <c r="C942" s="23"/>
      <c r="D942" s="24"/>
      <c r="E942" s="25"/>
      <c r="F942" s="26"/>
      <c r="G942" s="27"/>
      <c r="H942" s="20"/>
      <c r="I942" s="21"/>
      <c r="J942" s="28"/>
      <c r="K942" s="19"/>
    </row>
    <row r="943" spans="1:11" ht="13.2">
      <c r="A943" s="22"/>
      <c r="B943" s="16"/>
      <c r="C943" s="23"/>
      <c r="D943" s="24"/>
      <c r="E943" s="25"/>
      <c r="F943" s="26"/>
      <c r="G943" s="27"/>
      <c r="H943" s="20"/>
      <c r="I943" s="21"/>
      <c r="J943" s="28"/>
      <c r="K943" s="19"/>
    </row>
    <row r="944" spans="1:11" ht="13.2">
      <c r="A944" s="22"/>
      <c r="B944" s="16"/>
      <c r="C944" s="23"/>
      <c r="D944" s="24"/>
      <c r="E944" s="25"/>
      <c r="F944" s="26"/>
      <c r="G944" s="27"/>
      <c r="H944" s="20"/>
      <c r="I944" s="21"/>
      <c r="J944" s="28"/>
      <c r="K944" s="19"/>
    </row>
    <row r="945" spans="1:11" ht="13.2">
      <c r="A945" s="22"/>
      <c r="B945" s="16"/>
      <c r="C945" s="23"/>
      <c r="D945" s="24"/>
      <c r="E945" s="25"/>
      <c r="F945" s="26"/>
      <c r="G945" s="27"/>
      <c r="H945" s="20"/>
      <c r="I945" s="21"/>
      <c r="J945" s="28"/>
      <c r="K945" s="19"/>
    </row>
    <row r="946" spans="1:11" ht="13.2">
      <c r="A946" s="22"/>
      <c r="B946" s="16"/>
      <c r="C946" s="23"/>
      <c r="D946" s="24"/>
      <c r="E946" s="25"/>
      <c r="F946" s="26"/>
      <c r="G946" s="27"/>
      <c r="H946" s="20"/>
      <c r="I946" s="21"/>
      <c r="J946" s="28"/>
      <c r="K946" s="19"/>
    </row>
    <row r="947" spans="1:11" ht="13.2">
      <c r="A947" s="22"/>
      <c r="B947" s="16"/>
      <c r="C947" s="23"/>
      <c r="D947" s="24"/>
      <c r="E947" s="25"/>
      <c r="F947" s="26"/>
      <c r="G947" s="27"/>
      <c r="H947" s="20"/>
      <c r="I947" s="21"/>
      <c r="J947" s="28"/>
      <c r="K947" s="19"/>
    </row>
    <row r="948" spans="1:11" ht="13.2">
      <c r="A948" s="22"/>
      <c r="B948" s="16"/>
      <c r="C948" s="23"/>
      <c r="D948" s="24"/>
      <c r="E948" s="25"/>
      <c r="F948" s="26"/>
      <c r="G948" s="27"/>
      <c r="H948" s="20"/>
      <c r="I948" s="21"/>
      <c r="J948" s="28"/>
      <c r="K948" s="19"/>
    </row>
    <row r="949" spans="1:11" ht="13.2">
      <c r="A949" s="22"/>
      <c r="B949" s="16"/>
      <c r="C949" s="23"/>
      <c r="D949" s="24"/>
      <c r="E949" s="25"/>
      <c r="F949" s="26"/>
      <c r="G949" s="27"/>
      <c r="H949" s="20"/>
      <c r="I949" s="21"/>
      <c r="J949" s="28"/>
      <c r="K949" s="19"/>
    </row>
    <row r="950" spans="1:11" ht="13.2">
      <c r="A950" s="22"/>
      <c r="B950" s="16"/>
      <c r="C950" s="23"/>
      <c r="D950" s="24"/>
      <c r="E950" s="25"/>
      <c r="F950" s="26"/>
      <c r="G950" s="27"/>
      <c r="H950" s="20"/>
      <c r="I950" s="21"/>
      <c r="J950" s="28"/>
      <c r="K950" s="19"/>
    </row>
    <row r="951" spans="1:11" ht="13.2">
      <c r="A951" s="22"/>
      <c r="B951" s="16"/>
      <c r="C951" s="23"/>
      <c r="D951" s="24"/>
      <c r="E951" s="25"/>
      <c r="F951" s="26"/>
      <c r="G951" s="27"/>
      <c r="H951" s="20"/>
      <c r="I951" s="21"/>
      <c r="J951" s="28"/>
      <c r="K951" s="19"/>
    </row>
    <row r="952" spans="1:11" ht="13.2">
      <c r="A952" s="22"/>
      <c r="B952" s="16"/>
      <c r="C952" s="23"/>
      <c r="D952" s="24"/>
      <c r="E952" s="25"/>
      <c r="F952" s="26"/>
      <c r="G952" s="27"/>
      <c r="H952" s="20"/>
      <c r="I952" s="21"/>
      <c r="J952" s="28"/>
      <c r="K952" s="19"/>
    </row>
    <row r="953" spans="1:11" ht="13.2">
      <c r="A953" s="22"/>
      <c r="B953" s="16"/>
      <c r="C953" s="23"/>
      <c r="D953" s="24"/>
      <c r="E953" s="25"/>
      <c r="F953" s="26"/>
      <c r="G953" s="27"/>
      <c r="H953" s="20"/>
      <c r="I953" s="21"/>
      <c r="J953" s="28"/>
      <c r="K953" s="19"/>
    </row>
    <row r="954" spans="1:11" ht="13.2">
      <c r="A954" s="22"/>
      <c r="B954" s="16"/>
      <c r="C954" s="23"/>
      <c r="D954" s="24"/>
      <c r="E954" s="25"/>
      <c r="F954" s="26"/>
      <c r="G954" s="27"/>
      <c r="H954" s="20"/>
      <c r="I954" s="21"/>
      <c r="J954" s="28"/>
      <c r="K954" s="19"/>
    </row>
    <row r="955" spans="1:11" ht="13.2">
      <c r="A955" s="22"/>
      <c r="B955" s="16"/>
      <c r="C955" s="23"/>
      <c r="D955" s="24"/>
      <c r="E955" s="25"/>
      <c r="F955" s="26"/>
      <c r="G955" s="27"/>
      <c r="H955" s="20"/>
      <c r="I955" s="21"/>
      <c r="J955" s="28"/>
      <c r="K955" s="19"/>
    </row>
    <row r="956" spans="1:11" ht="13.2">
      <c r="A956" s="22"/>
      <c r="B956" s="16"/>
      <c r="C956" s="23"/>
      <c r="D956" s="24"/>
      <c r="E956" s="25"/>
      <c r="F956" s="26"/>
      <c r="G956" s="27"/>
      <c r="H956" s="20"/>
      <c r="I956" s="21"/>
      <c r="J956" s="28"/>
      <c r="K956" s="19"/>
    </row>
    <row r="957" spans="1:11" ht="13.2">
      <c r="A957" s="22"/>
      <c r="B957" s="16"/>
      <c r="C957" s="23"/>
      <c r="D957" s="24"/>
      <c r="E957" s="25"/>
      <c r="F957" s="26"/>
      <c r="G957" s="27"/>
      <c r="H957" s="20"/>
      <c r="I957" s="21"/>
      <c r="J957" s="28"/>
      <c r="K957" s="19"/>
    </row>
    <row r="958" spans="1:11" ht="13.2">
      <c r="A958" s="22"/>
      <c r="B958" s="16"/>
      <c r="C958" s="23"/>
      <c r="D958" s="24"/>
      <c r="E958" s="25"/>
      <c r="F958" s="26"/>
      <c r="G958" s="27"/>
      <c r="H958" s="20"/>
      <c r="I958" s="21"/>
      <c r="J958" s="28"/>
      <c r="K958" s="19"/>
    </row>
    <row r="959" spans="1:11" ht="13.2">
      <c r="A959" s="22"/>
      <c r="B959" s="16"/>
      <c r="C959" s="23"/>
      <c r="D959" s="24"/>
      <c r="E959" s="25"/>
      <c r="F959" s="26"/>
      <c r="G959" s="27"/>
      <c r="H959" s="20"/>
      <c r="I959" s="21"/>
      <c r="J959" s="28"/>
      <c r="K959" s="19"/>
    </row>
    <row r="960" spans="1:11" ht="13.2">
      <c r="A960" s="22"/>
      <c r="B960" s="16"/>
      <c r="C960" s="23"/>
      <c r="D960" s="24"/>
      <c r="E960" s="25"/>
      <c r="F960" s="26"/>
      <c r="G960" s="27"/>
      <c r="H960" s="20"/>
      <c r="I960" s="21"/>
      <c r="J960" s="28"/>
      <c r="K960" s="19"/>
    </row>
    <row r="961" spans="1:11" ht="13.2">
      <c r="A961" s="22"/>
      <c r="B961" s="16"/>
      <c r="C961" s="23"/>
      <c r="D961" s="24"/>
      <c r="E961" s="25"/>
      <c r="F961" s="26"/>
      <c r="G961" s="27"/>
      <c r="H961" s="20"/>
      <c r="I961" s="21"/>
      <c r="J961" s="28"/>
      <c r="K961" s="19"/>
    </row>
    <row r="962" spans="1:11" ht="13.2">
      <c r="A962" s="22"/>
      <c r="B962" s="16"/>
      <c r="C962" s="23"/>
      <c r="D962" s="24"/>
      <c r="E962" s="25"/>
      <c r="F962" s="26"/>
      <c r="G962" s="27"/>
      <c r="H962" s="20"/>
      <c r="I962" s="21"/>
      <c r="J962" s="28"/>
      <c r="K962" s="19"/>
    </row>
    <row r="963" spans="1:11" ht="13.2">
      <c r="A963" s="22"/>
      <c r="B963" s="16"/>
      <c r="C963" s="23"/>
      <c r="D963" s="24"/>
      <c r="E963" s="25"/>
      <c r="F963" s="26"/>
      <c r="G963" s="27"/>
      <c r="H963" s="20"/>
      <c r="I963" s="21"/>
      <c r="J963" s="28"/>
      <c r="K963" s="19"/>
    </row>
    <row r="964" spans="1:11" ht="13.2">
      <c r="A964" s="22"/>
      <c r="B964" s="16"/>
      <c r="C964" s="23"/>
      <c r="D964" s="24"/>
      <c r="E964" s="25"/>
      <c r="F964" s="26"/>
      <c r="G964" s="27"/>
      <c r="H964" s="20"/>
      <c r="I964" s="21"/>
      <c r="J964" s="28"/>
      <c r="K964" s="19"/>
    </row>
    <row r="965" spans="1:11" ht="13.2">
      <c r="A965" s="22"/>
      <c r="B965" s="16"/>
      <c r="C965" s="23"/>
      <c r="D965" s="24"/>
      <c r="E965" s="25"/>
      <c r="F965" s="26"/>
      <c r="G965" s="27"/>
      <c r="H965" s="20"/>
      <c r="I965" s="21"/>
      <c r="J965" s="28"/>
      <c r="K965" s="19"/>
    </row>
    <row r="966" spans="1:11" ht="13.2">
      <c r="A966" s="22"/>
      <c r="B966" s="16"/>
      <c r="C966" s="23"/>
      <c r="D966" s="24"/>
      <c r="E966" s="25"/>
      <c r="F966" s="26"/>
      <c r="G966" s="27"/>
      <c r="H966" s="20"/>
      <c r="I966" s="21"/>
      <c r="J966" s="28"/>
      <c r="K966" s="19"/>
    </row>
    <row r="967" spans="1:11" ht="13.2">
      <c r="A967" s="22"/>
      <c r="B967" s="16"/>
      <c r="C967" s="23"/>
      <c r="D967" s="24"/>
      <c r="E967" s="25"/>
      <c r="F967" s="26"/>
      <c r="G967" s="27"/>
      <c r="H967" s="20"/>
      <c r="I967" s="21"/>
      <c r="J967" s="28"/>
      <c r="K967" s="19"/>
    </row>
    <row r="968" spans="1:11" ht="13.2">
      <c r="A968" s="22"/>
      <c r="B968" s="16"/>
      <c r="C968" s="23"/>
      <c r="D968" s="24"/>
      <c r="E968" s="25"/>
      <c r="F968" s="26"/>
      <c r="G968" s="27"/>
      <c r="H968" s="20"/>
      <c r="I968" s="21"/>
      <c r="J968" s="28"/>
      <c r="K968" s="19"/>
    </row>
    <row r="969" spans="1:11" ht="13.2">
      <c r="A969" s="22"/>
      <c r="B969" s="16"/>
      <c r="C969" s="23"/>
      <c r="D969" s="24"/>
      <c r="E969" s="25"/>
      <c r="F969" s="26"/>
      <c r="G969" s="27"/>
      <c r="H969" s="20"/>
      <c r="I969" s="21"/>
      <c r="J969" s="28"/>
      <c r="K969" s="19"/>
    </row>
    <row r="970" spans="1:11" ht="13.2">
      <c r="A970" s="22"/>
      <c r="B970" s="16"/>
      <c r="C970" s="23"/>
      <c r="D970" s="24"/>
      <c r="E970" s="25"/>
      <c r="F970" s="26"/>
      <c r="G970" s="27"/>
      <c r="H970" s="20"/>
      <c r="I970" s="21"/>
      <c r="J970" s="28"/>
      <c r="K970" s="19"/>
    </row>
    <row r="971" spans="1:11" ht="13.2">
      <c r="A971" s="22"/>
      <c r="B971" s="16"/>
      <c r="C971" s="23"/>
      <c r="D971" s="24"/>
      <c r="E971" s="25"/>
      <c r="F971" s="26"/>
      <c r="G971" s="27"/>
      <c r="H971" s="20"/>
      <c r="I971" s="21"/>
      <c r="J971" s="28"/>
      <c r="K971" s="19"/>
    </row>
    <row r="972" spans="1:11" ht="13.2">
      <c r="A972" s="22"/>
      <c r="B972" s="16"/>
      <c r="C972" s="23"/>
      <c r="D972" s="24"/>
      <c r="E972" s="25"/>
      <c r="F972" s="26"/>
      <c r="G972" s="27"/>
      <c r="H972" s="20"/>
      <c r="I972" s="21"/>
      <c r="J972" s="28"/>
      <c r="K972" s="19"/>
    </row>
    <row r="973" spans="1:11" ht="13.2">
      <c r="A973" s="22"/>
      <c r="B973" s="16"/>
      <c r="C973" s="23"/>
      <c r="D973" s="24"/>
      <c r="E973" s="25"/>
      <c r="F973" s="26"/>
      <c r="G973" s="27"/>
      <c r="H973" s="20"/>
      <c r="I973" s="21"/>
      <c r="J973" s="28"/>
      <c r="K973" s="19"/>
    </row>
    <row r="974" spans="1:11" ht="13.2">
      <c r="A974" s="22"/>
      <c r="B974" s="16"/>
      <c r="C974" s="23"/>
      <c r="D974" s="24"/>
      <c r="E974" s="25"/>
      <c r="F974" s="26"/>
      <c r="G974" s="27"/>
      <c r="H974" s="20"/>
      <c r="I974" s="21"/>
      <c r="J974" s="28"/>
      <c r="K974" s="19"/>
    </row>
    <row r="975" spans="1:11" ht="13.2">
      <c r="A975" s="22"/>
      <c r="B975" s="16"/>
      <c r="C975" s="23"/>
      <c r="D975" s="24"/>
      <c r="E975" s="25"/>
      <c r="F975" s="26"/>
      <c r="G975" s="27"/>
      <c r="H975" s="20"/>
      <c r="I975" s="21"/>
      <c r="J975" s="28"/>
      <c r="K975" s="19"/>
    </row>
    <row r="976" spans="1:11" ht="13.2">
      <c r="A976" s="22"/>
      <c r="B976" s="16"/>
      <c r="C976" s="23"/>
      <c r="D976" s="24"/>
      <c r="E976" s="25"/>
      <c r="F976" s="26"/>
      <c r="G976" s="27"/>
      <c r="H976" s="20"/>
      <c r="I976" s="21"/>
      <c r="J976" s="28"/>
      <c r="K976" s="19"/>
    </row>
    <row r="977" spans="1:11" ht="13.2">
      <c r="A977" s="22"/>
      <c r="B977" s="16"/>
      <c r="C977" s="23"/>
      <c r="D977" s="24"/>
      <c r="E977" s="25"/>
      <c r="F977" s="26"/>
      <c r="G977" s="27"/>
      <c r="H977" s="20"/>
      <c r="I977" s="21"/>
      <c r="J977" s="28"/>
      <c r="K977" s="19"/>
    </row>
    <row r="978" spans="1:11" ht="13.2">
      <c r="A978" s="22"/>
      <c r="B978" s="16"/>
      <c r="C978" s="23"/>
      <c r="D978" s="24"/>
      <c r="E978" s="25"/>
      <c r="F978" s="26"/>
      <c r="G978" s="27"/>
      <c r="H978" s="20"/>
      <c r="I978" s="21"/>
      <c r="J978" s="28"/>
      <c r="K978" s="19"/>
    </row>
    <row r="979" spans="1:11" ht="13.2">
      <c r="A979" s="22"/>
      <c r="B979" s="16"/>
      <c r="C979" s="23"/>
      <c r="D979" s="24"/>
      <c r="E979" s="25"/>
      <c r="F979" s="26"/>
      <c r="G979" s="27"/>
      <c r="H979" s="20"/>
      <c r="I979" s="21"/>
      <c r="J979" s="28"/>
      <c r="K979" s="19"/>
    </row>
    <row r="980" spans="1:11" ht="13.2">
      <c r="A980" s="22"/>
      <c r="B980" s="16"/>
      <c r="C980" s="23"/>
      <c r="D980" s="24"/>
      <c r="E980" s="25"/>
      <c r="F980" s="26"/>
      <c r="G980" s="27"/>
      <c r="H980" s="20"/>
      <c r="I980" s="21"/>
      <c r="J980" s="28"/>
      <c r="K980" s="19"/>
    </row>
    <row r="981" spans="1:11" ht="13.2">
      <c r="A981" s="22"/>
      <c r="B981" s="16"/>
      <c r="C981" s="23"/>
      <c r="D981" s="24"/>
      <c r="E981" s="25"/>
      <c r="F981" s="26"/>
      <c r="G981" s="27"/>
      <c r="H981" s="20"/>
      <c r="I981" s="21"/>
      <c r="J981" s="28"/>
      <c r="K981" s="19"/>
    </row>
    <row r="982" spans="1:11" ht="13.2">
      <c r="A982" s="22"/>
      <c r="B982" s="16"/>
      <c r="C982" s="23"/>
      <c r="D982" s="24"/>
      <c r="E982" s="25"/>
      <c r="F982" s="26"/>
      <c r="G982" s="27"/>
      <c r="H982" s="20"/>
      <c r="I982" s="21"/>
      <c r="J982" s="28"/>
      <c r="K982" s="19"/>
    </row>
    <row r="983" spans="1:11" ht="13.2">
      <c r="A983" s="22"/>
      <c r="B983" s="16"/>
      <c r="C983" s="23"/>
      <c r="D983" s="24"/>
      <c r="E983" s="25"/>
      <c r="F983" s="26"/>
      <c r="G983" s="27"/>
      <c r="H983" s="20"/>
      <c r="I983" s="21"/>
      <c r="J983" s="28"/>
      <c r="K983" s="19"/>
    </row>
    <row r="984" spans="1:11" ht="13.2">
      <c r="A984" s="22"/>
      <c r="B984" s="16"/>
      <c r="C984" s="23"/>
      <c r="D984" s="24"/>
      <c r="E984" s="25"/>
      <c r="F984" s="26"/>
      <c r="G984" s="27"/>
      <c r="H984" s="20"/>
      <c r="I984" s="21"/>
      <c r="J984" s="28"/>
      <c r="K984" s="19"/>
    </row>
    <row r="985" spans="1:11" ht="13.2">
      <c r="A985" s="22"/>
      <c r="B985" s="16"/>
      <c r="C985" s="23"/>
      <c r="D985" s="24"/>
      <c r="E985" s="25"/>
      <c r="F985" s="26"/>
      <c r="G985" s="27"/>
      <c r="H985" s="20"/>
      <c r="I985" s="21"/>
      <c r="J985" s="28"/>
      <c r="K985" s="19"/>
    </row>
    <row r="986" spans="1:11" ht="13.2">
      <c r="A986" s="22"/>
      <c r="B986" s="16"/>
      <c r="C986" s="23"/>
      <c r="D986" s="24"/>
      <c r="E986" s="25"/>
      <c r="F986" s="26"/>
      <c r="G986" s="27"/>
      <c r="H986" s="20"/>
      <c r="I986" s="21"/>
      <c r="J986" s="28"/>
      <c r="K986" s="19"/>
    </row>
    <row r="987" spans="1:11" ht="13.2">
      <c r="A987" s="22"/>
      <c r="B987" s="16"/>
      <c r="C987" s="23"/>
      <c r="D987" s="24"/>
      <c r="E987" s="25"/>
      <c r="F987" s="26"/>
      <c r="G987" s="27"/>
      <c r="H987" s="20"/>
      <c r="I987" s="21"/>
      <c r="J987" s="28"/>
      <c r="K987" s="19"/>
    </row>
    <row r="988" spans="1:11" ht="13.2">
      <c r="A988" s="22"/>
      <c r="B988" s="16"/>
      <c r="C988" s="23"/>
      <c r="D988" s="24"/>
      <c r="E988" s="25"/>
      <c r="F988" s="26"/>
      <c r="G988" s="27"/>
      <c r="H988" s="20"/>
      <c r="I988" s="21"/>
      <c r="J988" s="28"/>
      <c r="K988" s="19"/>
    </row>
    <row r="989" spans="1:11" ht="13.2">
      <c r="A989" s="22"/>
      <c r="B989" s="16"/>
      <c r="C989" s="23"/>
      <c r="D989" s="24"/>
      <c r="E989" s="25"/>
      <c r="F989" s="26"/>
      <c r="G989" s="27"/>
      <c r="H989" s="20"/>
      <c r="I989" s="21"/>
      <c r="J989" s="28"/>
      <c r="K989" s="19"/>
    </row>
    <row r="990" spans="1:11" ht="13.2">
      <c r="A990" s="22"/>
      <c r="B990" s="16"/>
      <c r="C990" s="23"/>
      <c r="D990" s="24"/>
      <c r="E990" s="25"/>
      <c r="F990" s="26"/>
      <c r="G990" s="27"/>
      <c r="H990" s="20"/>
      <c r="I990" s="21"/>
      <c r="J990" s="28"/>
      <c r="K990" s="19"/>
    </row>
    <row r="991" spans="1:11" ht="13.2">
      <c r="A991" s="22"/>
      <c r="B991" s="16"/>
      <c r="C991" s="23"/>
      <c r="D991" s="24"/>
      <c r="E991" s="25"/>
      <c r="F991" s="26"/>
      <c r="G991" s="27"/>
      <c r="H991" s="20"/>
      <c r="I991" s="21"/>
      <c r="J991" s="28"/>
      <c r="K991" s="19"/>
    </row>
    <row r="992" spans="1:11" ht="13.2">
      <c r="A992" s="22"/>
      <c r="B992" s="16"/>
      <c r="C992" s="23"/>
      <c r="D992" s="24"/>
      <c r="E992" s="25"/>
      <c r="F992" s="26"/>
      <c r="G992" s="27"/>
      <c r="H992" s="20"/>
      <c r="I992" s="21"/>
      <c r="J992" s="28"/>
      <c r="K992" s="19"/>
    </row>
    <row r="993" spans="1:11" ht="13.2">
      <c r="A993" s="22"/>
      <c r="B993" s="16"/>
      <c r="C993" s="23"/>
      <c r="D993" s="24"/>
      <c r="E993" s="25"/>
      <c r="F993" s="26"/>
      <c r="G993" s="27"/>
      <c r="H993" s="20"/>
      <c r="I993" s="21"/>
      <c r="J993" s="28"/>
      <c r="K993" s="19"/>
    </row>
    <row r="994" spans="1:11" ht="13.2">
      <c r="A994" s="22"/>
      <c r="B994" s="16"/>
      <c r="C994" s="23"/>
      <c r="D994" s="24"/>
      <c r="E994" s="25"/>
      <c r="F994" s="26"/>
      <c r="G994" s="27"/>
      <c r="H994" s="20"/>
      <c r="I994" s="21"/>
      <c r="J994" s="28"/>
      <c r="K994" s="19"/>
    </row>
    <row r="995" spans="1:11" ht="13.2">
      <c r="A995" s="22"/>
      <c r="B995" s="16"/>
      <c r="C995" s="23"/>
      <c r="D995" s="24"/>
      <c r="E995" s="25"/>
      <c r="F995" s="26"/>
      <c r="G995" s="27"/>
      <c r="H995" s="20"/>
      <c r="I995" s="21"/>
      <c r="J995" s="28"/>
      <c r="K995" s="19"/>
    </row>
    <row r="996" spans="1:11" ht="13.2">
      <c r="A996" s="22"/>
      <c r="B996" s="16"/>
      <c r="C996" s="23"/>
      <c r="D996" s="24"/>
      <c r="E996" s="25"/>
      <c r="F996" s="26"/>
      <c r="G996" s="27"/>
      <c r="H996" s="20"/>
      <c r="I996" s="21"/>
      <c r="J996" s="28"/>
      <c r="K996" s="19"/>
    </row>
    <row r="997" spans="1:11" ht="13.2">
      <c r="A997" s="22"/>
      <c r="B997" s="16"/>
      <c r="C997" s="23"/>
      <c r="D997" s="24"/>
      <c r="E997" s="25"/>
      <c r="F997" s="26"/>
      <c r="G997" s="27"/>
      <c r="H997" s="20"/>
      <c r="I997" s="21"/>
      <c r="J997" s="28"/>
      <c r="K997" s="19"/>
    </row>
    <row r="998" spans="1:11" ht="13.2">
      <c r="A998" s="22"/>
      <c r="B998" s="16"/>
      <c r="C998" s="23"/>
      <c r="D998" s="24"/>
      <c r="E998" s="25"/>
      <c r="F998" s="26"/>
      <c r="G998" s="27"/>
      <c r="H998" s="20"/>
      <c r="I998" s="21"/>
      <c r="J998" s="28"/>
      <c r="K998" s="19"/>
    </row>
    <row r="999" spans="1:11" ht="13.2">
      <c r="A999" s="22"/>
      <c r="B999" s="16"/>
      <c r="C999" s="23"/>
      <c r="D999" s="24"/>
      <c r="E999" s="25"/>
      <c r="F999" s="26"/>
      <c r="G999" s="27"/>
      <c r="H999" s="20"/>
      <c r="I999" s="21"/>
      <c r="J999" s="28"/>
      <c r="K999" s="19"/>
    </row>
    <row r="1000" spans="1:11" ht="13.2">
      <c r="A1000" s="22"/>
      <c r="B1000" s="16"/>
      <c r="C1000" s="23"/>
      <c r="D1000" s="24"/>
      <c r="E1000" s="25"/>
      <c r="F1000" s="26"/>
      <c r="G1000" s="27"/>
      <c r="H1000" s="20"/>
      <c r="I1000" s="21"/>
      <c r="J1000" s="28"/>
      <c r="K1000" s="19"/>
    </row>
    <row r="1001" spans="1:11" ht="13.2">
      <c r="A1001" s="22"/>
      <c r="B1001" s="16"/>
      <c r="C1001" s="23"/>
      <c r="D1001" s="24"/>
      <c r="E1001" s="25"/>
      <c r="F1001" s="26"/>
      <c r="G1001" s="27"/>
      <c r="H1001" s="20"/>
      <c r="I1001" s="21"/>
      <c r="J1001" s="28"/>
      <c r="K1001" s="19"/>
    </row>
    <row r="1002" spans="1:11" ht="13.2">
      <c r="A1002" s="22"/>
      <c r="B1002" s="16"/>
      <c r="C1002" s="23"/>
      <c r="D1002" s="24"/>
      <c r="E1002" s="25"/>
      <c r="F1002" s="26"/>
      <c r="G1002" s="27"/>
      <c r="H1002" s="20"/>
      <c r="I1002" s="21"/>
      <c r="J1002" s="28"/>
      <c r="K1002" s="19"/>
    </row>
    <row r="1003" spans="1:11" ht="13.2">
      <c r="A1003" s="22"/>
      <c r="B1003" s="16"/>
      <c r="C1003" s="23"/>
      <c r="D1003" s="24"/>
      <c r="E1003" s="25"/>
      <c r="F1003" s="26"/>
      <c r="G1003" s="27"/>
      <c r="H1003" s="20"/>
      <c r="I1003" s="21"/>
      <c r="J1003" s="28"/>
      <c r="K1003" s="19"/>
    </row>
    <row r="1004" spans="1:11" ht="13.2">
      <c r="A1004" s="22"/>
      <c r="B1004" s="16"/>
      <c r="C1004" s="23"/>
      <c r="D1004" s="24"/>
      <c r="E1004" s="25"/>
      <c r="F1004" s="26"/>
      <c r="G1004" s="27"/>
      <c r="H1004" s="20"/>
      <c r="I1004" s="21"/>
      <c r="J1004" s="28"/>
      <c r="K1004" s="19"/>
    </row>
    <row r="1005" spans="1:11" ht="13.2">
      <c r="A1005" s="22"/>
      <c r="B1005" s="16"/>
      <c r="C1005" s="23"/>
      <c r="D1005" s="24"/>
      <c r="E1005" s="25"/>
      <c r="F1005" s="26"/>
      <c r="G1005" s="27"/>
      <c r="H1005" s="20"/>
      <c r="I1005" s="21"/>
      <c r="J1005" s="28"/>
      <c r="K1005" s="19"/>
    </row>
    <row r="1006" spans="1:11" ht="13.2">
      <c r="A1006" s="22"/>
      <c r="B1006" s="16"/>
      <c r="C1006" s="23"/>
      <c r="D1006" s="24"/>
      <c r="E1006" s="25"/>
      <c r="F1006" s="26"/>
      <c r="G1006" s="27"/>
      <c r="H1006" s="20"/>
      <c r="I1006" s="21"/>
      <c r="J1006" s="28"/>
      <c r="K1006" s="19"/>
    </row>
    <row r="1007" spans="1:11" ht="13.2">
      <c r="A1007" s="22"/>
      <c r="B1007" s="16"/>
      <c r="C1007" s="23"/>
      <c r="D1007" s="24"/>
      <c r="E1007" s="25"/>
      <c r="F1007" s="26"/>
      <c r="G1007" s="27"/>
      <c r="H1007" s="20"/>
      <c r="I1007" s="21"/>
      <c r="J1007" s="28"/>
      <c r="K1007" s="19"/>
    </row>
    <row r="1008" spans="1:11" ht="13.2">
      <c r="A1008" s="22"/>
      <c r="B1008" s="16"/>
      <c r="C1008" s="23"/>
      <c r="D1008" s="24"/>
      <c r="E1008" s="25"/>
      <c r="F1008" s="26"/>
      <c r="G1008" s="27"/>
      <c r="H1008" s="20"/>
      <c r="I1008" s="21"/>
      <c r="J1008" s="28"/>
      <c r="K1008" s="19"/>
    </row>
    <row r="1009" spans="1:11" ht="13.2">
      <c r="A1009" s="22"/>
      <c r="B1009" s="16"/>
      <c r="C1009" s="23"/>
      <c r="D1009" s="24"/>
      <c r="E1009" s="25"/>
      <c r="F1009" s="26"/>
      <c r="G1009" s="27"/>
      <c r="H1009" s="20"/>
      <c r="I1009" s="21"/>
      <c r="J1009" s="28"/>
      <c r="K1009" s="19"/>
    </row>
    <row r="1010" spans="1:11" ht="13.2">
      <c r="A1010" s="22"/>
      <c r="B1010" s="16"/>
      <c r="C1010" s="23"/>
      <c r="D1010" s="24"/>
      <c r="E1010" s="25"/>
      <c r="F1010" s="26"/>
      <c r="G1010" s="27"/>
      <c r="H1010" s="20"/>
      <c r="I1010" s="21"/>
      <c r="J1010" s="28"/>
      <c r="K1010" s="19"/>
    </row>
    <row r="1011" spans="1:11" ht="13.2">
      <c r="A1011" s="22"/>
      <c r="B1011" s="16"/>
      <c r="C1011" s="23"/>
      <c r="D1011" s="24"/>
      <c r="E1011" s="25"/>
      <c r="F1011" s="26"/>
      <c r="G1011" s="27"/>
      <c r="H1011" s="20"/>
      <c r="I1011" s="21"/>
      <c r="J1011" s="28"/>
      <c r="K1011" s="19"/>
    </row>
    <row r="1012" spans="1:11" ht="13.2">
      <c r="A1012" s="22"/>
      <c r="B1012" s="16"/>
      <c r="C1012" s="23"/>
      <c r="D1012" s="24"/>
      <c r="E1012" s="25"/>
      <c r="F1012" s="26"/>
      <c r="G1012" s="27"/>
      <c r="H1012" s="20"/>
      <c r="I1012" s="21"/>
      <c r="J1012" s="28"/>
      <c r="K1012" s="19"/>
    </row>
    <row r="1013" spans="1:11" ht="13.2">
      <c r="A1013" s="22"/>
      <c r="B1013" s="16"/>
      <c r="C1013" s="23"/>
      <c r="D1013" s="24"/>
      <c r="E1013" s="25"/>
      <c r="F1013" s="26"/>
      <c r="G1013" s="27"/>
      <c r="H1013" s="20"/>
      <c r="I1013" s="21"/>
      <c r="J1013" s="28"/>
      <c r="K1013" s="19"/>
    </row>
    <row r="1014" spans="1:11" ht="13.2">
      <c r="A1014" s="22"/>
      <c r="B1014" s="16"/>
      <c r="C1014" s="23"/>
      <c r="D1014" s="24"/>
      <c r="E1014" s="25"/>
      <c r="F1014" s="26"/>
      <c r="G1014" s="27"/>
      <c r="H1014" s="20"/>
      <c r="I1014" s="21"/>
      <c r="J1014" s="28"/>
      <c r="K1014" s="19"/>
    </row>
    <row r="1015" spans="1:11" ht="13.2">
      <c r="A1015" s="22"/>
      <c r="B1015" s="16"/>
      <c r="C1015" s="23"/>
      <c r="D1015" s="24"/>
      <c r="E1015" s="25"/>
      <c r="F1015" s="26"/>
      <c r="G1015" s="27"/>
      <c r="H1015" s="20"/>
      <c r="I1015" s="21"/>
      <c r="J1015" s="28"/>
      <c r="K1015" s="19"/>
    </row>
    <row r="1016" spans="1:11" ht="13.2">
      <c r="A1016" s="22"/>
      <c r="B1016" s="16"/>
      <c r="C1016" s="23"/>
      <c r="D1016" s="24"/>
      <c r="E1016" s="25"/>
      <c r="F1016" s="26"/>
      <c r="G1016" s="27"/>
      <c r="H1016" s="20"/>
      <c r="I1016" s="21"/>
      <c r="J1016" s="28"/>
      <c r="K1016" s="19"/>
    </row>
    <row r="1017" spans="1:11" ht="13.2">
      <c r="A1017" s="22"/>
      <c r="B1017" s="16"/>
      <c r="C1017" s="23"/>
      <c r="D1017" s="24"/>
      <c r="E1017" s="25"/>
      <c r="F1017" s="26"/>
      <c r="G1017" s="27"/>
      <c r="H1017" s="20"/>
      <c r="I1017" s="21"/>
      <c r="J1017" s="28"/>
      <c r="K1017" s="19"/>
    </row>
    <row r="1018" spans="1:11" ht="13.2">
      <c r="A1018" s="22"/>
      <c r="B1018" s="16"/>
      <c r="C1018" s="23"/>
      <c r="D1018" s="24"/>
      <c r="E1018" s="25"/>
      <c r="F1018" s="26"/>
      <c r="G1018" s="27"/>
      <c r="H1018" s="20"/>
      <c r="I1018" s="21"/>
      <c r="J1018" s="28"/>
      <c r="K1018" s="19"/>
    </row>
    <row r="1019" spans="1:11" ht="13.2">
      <c r="A1019" s="22"/>
      <c r="B1019" s="16"/>
      <c r="C1019" s="23"/>
      <c r="D1019" s="24"/>
      <c r="E1019" s="25"/>
      <c r="F1019" s="26"/>
      <c r="G1019" s="27"/>
      <c r="H1019" s="20"/>
      <c r="I1019" s="21"/>
      <c r="J1019" s="28"/>
      <c r="K1019" s="19"/>
    </row>
    <row r="1020" spans="1:11" ht="13.2">
      <c r="A1020" s="22"/>
      <c r="B1020" s="16"/>
      <c r="C1020" s="23"/>
      <c r="D1020" s="24"/>
      <c r="E1020" s="25"/>
      <c r="F1020" s="26"/>
      <c r="G1020" s="27"/>
      <c r="H1020" s="20"/>
      <c r="I1020" s="21"/>
      <c r="J1020" s="28"/>
      <c r="K1020" s="19"/>
    </row>
    <row r="1021" spans="1:11" ht="13.2">
      <c r="A1021" s="22"/>
      <c r="B1021" s="16"/>
      <c r="C1021" s="23"/>
      <c r="D1021" s="24"/>
      <c r="E1021" s="25"/>
      <c r="F1021" s="26"/>
      <c r="G1021" s="27"/>
      <c r="H1021" s="20"/>
      <c r="I1021" s="21"/>
      <c r="J1021" s="28"/>
      <c r="K1021" s="19"/>
    </row>
    <row r="1022" spans="1:11" ht="13.2">
      <c r="A1022" s="22"/>
      <c r="B1022" s="16"/>
      <c r="C1022" s="23"/>
      <c r="D1022" s="24"/>
      <c r="E1022" s="25"/>
      <c r="F1022" s="26"/>
      <c r="G1022" s="27"/>
      <c r="H1022" s="20"/>
      <c r="I1022" s="21"/>
      <c r="J1022" s="28"/>
      <c r="K1022" s="19"/>
    </row>
    <row r="1023" spans="1:11" ht="13.2">
      <c r="A1023" s="22"/>
      <c r="B1023" s="16"/>
      <c r="C1023" s="23"/>
      <c r="D1023" s="24"/>
      <c r="E1023" s="25"/>
      <c r="F1023" s="26"/>
      <c r="G1023" s="27"/>
      <c r="H1023" s="20"/>
      <c r="I1023" s="21"/>
      <c r="J1023" s="28"/>
      <c r="K1023" s="19"/>
    </row>
    <row r="1024" spans="1:11" ht="13.2">
      <c r="A1024" s="22"/>
      <c r="B1024" s="16"/>
      <c r="C1024" s="23"/>
      <c r="D1024" s="24"/>
      <c r="E1024" s="25"/>
      <c r="F1024" s="26"/>
      <c r="G1024" s="27"/>
      <c r="H1024" s="20"/>
      <c r="I1024" s="21"/>
      <c r="J1024" s="28"/>
      <c r="K1024" s="19"/>
    </row>
    <row r="1025" spans="1:11" ht="13.2">
      <c r="A1025" s="22"/>
      <c r="B1025" s="16"/>
      <c r="C1025" s="23"/>
      <c r="D1025" s="24"/>
      <c r="E1025" s="25"/>
      <c r="F1025" s="26"/>
      <c r="G1025" s="27"/>
      <c r="H1025" s="20"/>
      <c r="I1025" s="21"/>
      <c r="J1025" s="28"/>
      <c r="K1025" s="19"/>
    </row>
    <row r="1026" spans="1:11" ht="13.2">
      <c r="A1026" s="22"/>
      <c r="B1026" s="16"/>
      <c r="C1026" s="23"/>
      <c r="D1026" s="24"/>
      <c r="E1026" s="25"/>
      <c r="F1026" s="26"/>
      <c r="G1026" s="27"/>
      <c r="H1026" s="20"/>
      <c r="I1026" s="21"/>
      <c r="J1026" s="28"/>
      <c r="K1026" s="19"/>
    </row>
    <row r="1027" spans="1:11" ht="13.2">
      <c r="A1027" s="22"/>
      <c r="B1027" s="16"/>
      <c r="C1027" s="23"/>
      <c r="D1027" s="24"/>
      <c r="E1027" s="25"/>
      <c r="F1027" s="26"/>
      <c r="G1027" s="27"/>
      <c r="H1027" s="20"/>
      <c r="I1027" s="21"/>
      <c r="J1027" s="28"/>
      <c r="K1027" s="19"/>
    </row>
    <row r="1028" spans="1:11" ht="13.2">
      <c r="A1028" s="22"/>
      <c r="B1028" s="16"/>
      <c r="C1028" s="23"/>
      <c r="D1028" s="24"/>
      <c r="E1028" s="25"/>
      <c r="F1028" s="26"/>
      <c r="G1028" s="27"/>
      <c r="H1028" s="20"/>
      <c r="I1028" s="21"/>
      <c r="J1028" s="28"/>
      <c r="K1028" s="19"/>
    </row>
    <row r="1029" spans="1:11" ht="13.2">
      <c r="A1029" s="22"/>
      <c r="B1029" s="16"/>
      <c r="C1029" s="23"/>
      <c r="D1029" s="24"/>
      <c r="E1029" s="25"/>
      <c r="F1029" s="26"/>
      <c r="G1029" s="27"/>
      <c r="H1029" s="20"/>
      <c r="I1029" s="21"/>
      <c r="J1029" s="28"/>
      <c r="K1029" s="19"/>
    </row>
    <row r="1030" spans="1:11" ht="13.2">
      <c r="A1030" s="22"/>
      <c r="B1030" s="16"/>
      <c r="C1030" s="23"/>
      <c r="D1030" s="24"/>
      <c r="E1030" s="25"/>
      <c r="F1030" s="26"/>
      <c r="G1030" s="27"/>
      <c r="H1030" s="20"/>
      <c r="I1030" s="21"/>
      <c r="J1030" s="28"/>
      <c r="K1030" s="19"/>
    </row>
    <row r="1031" spans="1:11" ht="13.2">
      <c r="A1031" s="22"/>
      <c r="B1031" s="16"/>
      <c r="C1031" s="23"/>
      <c r="D1031" s="24"/>
      <c r="E1031" s="25"/>
      <c r="F1031" s="26"/>
      <c r="G1031" s="27"/>
      <c r="H1031" s="20"/>
      <c r="I1031" s="21"/>
      <c r="J1031" s="28"/>
      <c r="K1031" s="19"/>
    </row>
    <row r="1032" spans="1:11" ht="13.2">
      <c r="A1032" s="22"/>
      <c r="B1032" s="16"/>
      <c r="C1032" s="23"/>
      <c r="D1032" s="24"/>
      <c r="E1032" s="25"/>
      <c r="F1032" s="26"/>
      <c r="G1032" s="27"/>
      <c r="H1032" s="20"/>
      <c r="I1032" s="21"/>
      <c r="J1032" s="28"/>
      <c r="K1032" s="19"/>
    </row>
    <row r="1033" spans="1:11" ht="13.2">
      <c r="A1033" s="22"/>
      <c r="B1033" s="16"/>
      <c r="C1033" s="23"/>
      <c r="D1033" s="24"/>
      <c r="E1033" s="25"/>
      <c r="F1033" s="26"/>
      <c r="G1033" s="27"/>
      <c r="H1033" s="20"/>
      <c r="I1033" s="21"/>
      <c r="J1033" s="28"/>
      <c r="K1033" s="19"/>
    </row>
    <row r="1034" spans="1:11" ht="13.2">
      <c r="A1034" s="22"/>
      <c r="B1034" s="16"/>
      <c r="C1034" s="23"/>
      <c r="D1034" s="24"/>
      <c r="E1034" s="25"/>
      <c r="F1034" s="26"/>
      <c r="G1034" s="27"/>
      <c r="H1034" s="20"/>
      <c r="I1034" s="21"/>
      <c r="J1034" s="28"/>
      <c r="K1034" s="19"/>
    </row>
    <row r="1035" spans="1:11" ht="13.2">
      <c r="A1035" s="22"/>
      <c r="B1035" s="16"/>
      <c r="C1035" s="23"/>
      <c r="D1035" s="24"/>
      <c r="E1035" s="25"/>
      <c r="F1035" s="26"/>
      <c r="G1035" s="27"/>
      <c r="H1035" s="20"/>
      <c r="I1035" s="21"/>
      <c r="J1035" s="28"/>
      <c r="K1035" s="19"/>
    </row>
    <row r="1036" spans="1:11" ht="13.2">
      <c r="A1036" s="22"/>
      <c r="B1036" s="16"/>
      <c r="C1036" s="23"/>
      <c r="D1036" s="24"/>
      <c r="E1036" s="25"/>
      <c r="F1036" s="26"/>
      <c r="G1036" s="27"/>
      <c r="H1036" s="20"/>
      <c r="I1036" s="21"/>
      <c r="J1036" s="28"/>
      <c r="K1036" s="19"/>
    </row>
    <row r="1037" spans="1:11" ht="13.2">
      <c r="A1037" s="22"/>
      <c r="B1037" s="16"/>
      <c r="C1037" s="23"/>
      <c r="D1037" s="24"/>
      <c r="E1037" s="25"/>
      <c r="F1037" s="26"/>
      <c r="G1037" s="27"/>
      <c r="H1037" s="20"/>
      <c r="I1037" s="21"/>
      <c r="J1037" s="28"/>
      <c r="K1037" s="19"/>
    </row>
    <row r="1038" spans="1:11" ht="13.2">
      <c r="A1038" s="22"/>
      <c r="B1038" s="16"/>
      <c r="C1038" s="23"/>
      <c r="D1038" s="24"/>
      <c r="E1038" s="25"/>
      <c r="F1038" s="26"/>
      <c r="G1038" s="27"/>
      <c r="H1038" s="20"/>
      <c r="I1038" s="21"/>
      <c r="J1038" s="28"/>
      <c r="K1038" s="19"/>
    </row>
    <row r="1039" spans="1:11" ht="13.2">
      <c r="A1039" s="22"/>
      <c r="B1039" s="16"/>
      <c r="C1039" s="23"/>
      <c r="D1039" s="24"/>
      <c r="E1039" s="25"/>
      <c r="F1039" s="26"/>
      <c r="G1039" s="27"/>
      <c r="H1039" s="20"/>
      <c r="I1039" s="21"/>
      <c r="J1039" s="28"/>
      <c r="K1039" s="19"/>
    </row>
    <row r="1040" spans="1:11" ht="13.2">
      <c r="A1040" s="22"/>
      <c r="B1040" s="16"/>
      <c r="C1040" s="23"/>
      <c r="D1040" s="24"/>
      <c r="E1040" s="25"/>
      <c r="F1040" s="26"/>
      <c r="G1040" s="27"/>
      <c r="H1040" s="20"/>
      <c r="I1040" s="21"/>
      <c r="J1040" s="28"/>
      <c r="K1040" s="19"/>
    </row>
    <row r="1041" spans="1:11" ht="13.2">
      <c r="A1041" s="22"/>
      <c r="B1041" s="16"/>
      <c r="C1041" s="23"/>
      <c r="D1041" s="24"/>
      <c r="E1041" s="25"/>
      <c r="F1041" s="26"/>
      <c r="G1041" s="27"/>
      <c r="H1041" s="20"/>
      <c r="I1041" s="21"/>
      <c r="J1041" s="28"/>
      <c r="K1041" s="19"/>
    </row>
    <row r="1042" spans="1:11" ht="13.2">
      <c r="A1042" s="22"/>
      <c r="B1042" s="16"/>
      <c r="C1042" s="23"/>
      <c r="D1042" s="24"/>
      <c r="E1042" s="25"/>
      <c r="F1042" s="26"/>
      <c r="G1042" s="27"/>
      <c r="H1042" s="20"/>
      <c r="I1042" s="21"/>
      <c r="J1042" s="28"/>
      <c r="K1042" s="19"/>
    </row>
    <row r="1043" spans="1:11" ht="13.2">
      <c r="A1043" s="22"/>
      <c r="B1043" s="16"/>
      <c r="C1043" s="23"/>
      <c r="D1043" s="24"/>
      <c r="E1043" s="25"/>
      <c r="F1043" s="26"/>
      <c r="G1043" s="27"/>
      <c r="H1043" s="20"/>
      <c r="I1043" s="21"/>
      <c r="J1043" s="28"/>
      <c r="K1043" s="19"/>
    </row>
    <row r="1044" spans="1:11" ht="13.2">
      <c r="A1044" s="22"/>
      <c r="B1044" s="16"/>
      <c r="C1044" s="23"/>
      <c r="D1044" s="24"/>
      <c r="E1044" s="25"/>
      <c r="F1044" s="26"/>
      <c r="G1044" s="27"/>
      <c r="H1044" s="20"/>
      <c r="I1044" s="21"/>
      <c r="J1044" s="28"/>
      <c r="K1044" s="19"/>
    </row>
    <row r="1045" spans="1:11" ht="13.2">
      <c r="A1045" s="22"/>
      <c r="B1045" s="16"/>
      <c r="C1045" s="23"/>
      <c r="D1045" s="24"/>
      <c r="E1045" s="25"/>
      <c r="F1045" s="26"/>
      <c r="G1045" s="27"/>
      <c r="H1045" s="20"/>
      <c r="I1045" s="21"/>
      <c r="J1045" s="28"/>
      <c r="K1045" s="19"/>
    </row>
    <row r="1046" spans="1:11" ht="13.2">
      <c r="A1046" s="22"/>
      <c r="B1046" s="16"/>
      <c r="C1046" s="23"/>
      <c r="D1046" s="24"/>
      <c r="E1046" s="25"/>
      <c r="F1046" s="26"/>
      <c r="G1046" s="27"/>
      <c r="H1046" s="20"/>
      <c r="I1046" s="21"/>
      <c r="J1046" s="28"/>
      <c r="K1046" s="19"/>
    </row>
    <row r="1047" spans="1:11" ht="13.2">
      <c r="A1047" s="22"/>
      <c r="B1047" s="16"/>
      <c r="C1047" s="23"/>
      <c r="D1047" s="24"/>
      <c r="E1047" s="25"/>
      <c r="F1047" s="26"/>
      <c r="G1047" s="27"/>
      <c r="H1047" s="20"/>
      <c r="I1047" s="21"/>
      <c r="J1047" s="28"/>
      <c r="K1047" s="19"/>
    </row>
    <row r="1048" spans="1:11" ht="13.2">
      <c r="A1048" s="22"/>
      <c r="B1048" s="16"/>
      <c r="C1048" s="23"/>
      <c r="D1048" s="24"/>
      <c r="E1048" s="25"/>
      <c r="F1048" s="26"/>
      <c r="G1048" s="27"/>
      <c r="H1048" s="20"/>
      <c r="I1048" s="21"/>
      <c r="J1048" s="28"/>
      <c r="K1048" s="19"/>
    </row>
    <row r="1049" spans="1:11" ht="13.2">
      <c r="A1049" s="22"/>
      <c r="B1049" s="16"/>
      <c r="C1049" s="23"/>
      <c r="D1049" s="24"/>
      <c r="E1049" s="25"/>
      <c r="F1049" s="26"/>
      <c r="G1049" s="27"/>
      <c r="H1049" s="20"/>
      <c r="I1049" s="21"/>
      <c r="J1049" s="28"/>
      <c r="K1049" s="19"/>
    </row>
    <row r="1050" spans="1:11" ht="13.2">
      <c r="A1050" s="22"/>
      <c r="B1050" s="16"/>
      <c r="C1050" s="23"/>
      <c r="D1050" s="24"/>
      <c r="E1050" s="25"/>
      <c r="F1050" s="26"/>
      <c r="G1050" s="27"/>
      <c r="H1050" s="20"/>
      <c r="I1050" s="21"/>
      <c r="J1050" s="28"/>
      <c r="K1050" s="19"/>
    </row>
    <row r="1051" spans="1:11" ht="13.2">
      <c r="A1051" s="22"/>
      <c r="B1051" s="16"/>
      <c r="C1051" s="23"/>
      <c r="D1051" s="24"/>
      <c r="E1051" s="25"/>
      <c r="F1051" s="26"/>
      <c r="G1051" s="27"/>
      <c r="H1051" s="20"/>
      <c r="I1051" s="21"/>
      <c r="J1051" s="28"/>
      <c r="K1051" s="19"/>
    </row>
    <row r="1052" spans="1:11" ht="13.2">
      <c r="A1052" s="22"/>
      <c r="B1052" s="16"/>
      <c r="C1052" s="23"/>
      <c r="D1052" s="24"/>
      <c r="E1052" s="25"/>
      <c r="F1052" s="26"/>
      <c r="G1052" s="27"/>
      <c r="H1052" s="20"/>
      <c r="I1052" s="21"/>
      <c r="J1052" s="28"/>
      <c r="K1052" s="19"/>
    </row>
    <row r="1053" spans="1:11" ht="13.2">
      <c r="A1053" s="22"/>
      <c r="B1053" s="16"/>
      <c r="C1053" s="23"/>
      <c r="D1053" s="24"/>
      <c r="E1053" s="25"/>
      <c r="F1053" s="26"/>
      <c r="G1053" s="27"/>
      <c r="H1053" s="20"/>
      <c r="I1053" s="21"/>
      <c r="J1053" s="28"/>
      <c r="K1053" s="19"/>
    </row>
    <row r="1054" spans="1:11" ht="13.2">
      <c r="A1054" s="22"/>
      <c r="B1054" s="16"/>
      <c r="C1054" s="23"/>
      <c r="D1054" s="24"/>
      <c r="E1054" s="25"/>
      <c r="F1054" s="26"/>
      <c r="G1054" s="27"/>
      <c r="H1054" s="20"/>
      <c r="I1054" s="21"/>
      <c r="J1054" s="28"/>
      <c r="K1054" s="19"/>
    </row>
    <row r="1055" spans="1:11" ht="13.2">
      <c r="A1055" s="22"/>
      <c r="B1055" s="16"/>
      <c r="C1055" s="23"/>
      <c r="D1055" s="24"/>
      <c r="E1055" s="25"/>
      <c r="F1055" s="26"/>
      <c r="G1055" s="27"/>
      <c r="H1055" s="20"/>
      <c r="I1055" s="21"/>
      <c r="J1055" s="28"/>
      <c r="K1055" s="19"/>
    </row>
    <row r="1056" spans="1:11" ht="13.2">
      <c r="A1056" s="22"/>
      <c r="B1056" s="16"/>
      <c r="C1056" s="23"/>
      <c r="D1056" s="24"/>
      <c r="E1056" s="25"/>
      <c r="F1056" s="26"/>
      <c r="G1056" s="27"/>
      <c r="H1056" s="20"/>
      <c r="I1056" s="21"/>
      <c r="J1056" s="28"/>
      <c r="K1056" s="19"/>
    </row>
    <row r="1057" spans="1:11" ht="13.2">
      <c r="A1057" s="22"/>
      <c r="B1057" s="16"/>
      <c r="C1057" s="23"/>
      <c r="D1057" s="24"/>
      <c r="E1057" s="25"/>
      <c r="F1057" s="26"/>
      <c r="G1057" s="27"/>
      <c r="H1057" s="20"/>
      <c r="I1057" s="21"/>
      <c r="J1057" s="28"/>
      <c r="K1057" s="19"/>
    </row>
    <row r="1058" spans="1:11" ht="13.2">
      <c r="A1058" s="22"/>
      <c r="B1058" s="16"/>
      <c r="C1058" s="23"/>
      <c r="D1058" s="24"/>
      <c r="E1058" s="25"/>
      <c r="F1058" s="26"/>
      <c r="G1058" s="27"/>
      <c r="H1058" s="20"/>
      <c r="I1058" s="21"/>
      <c r="J1058" s="28"/>
      <c r="K1058" s="19"/>
    </row>
    <row r="1059" spans="1:11" ht="13.2">
      <c r="A1059" s="22"/>
      <c r="B1059" s="16"/>
      <c r="C1059" s="23"/>
      <c r="D1059" s="24"/>
      <c r="E1059" s="25"/>
      <c r="F1059" s="26"/>
      <c r="G1059" s="27"/>
      <c r="H1059" s="20"/>
      <c r="I1059" s="21"/>
      <c r="J1059" s="28"/>
      <c r="K1059" s="19"/>
    </row>
    <row r="1060" spans="1:11" ht="13.2">
      <c r="A1060" s="22"/>
      <c r="B1060" s="16"/>
      <c r="C1060" s="23"/>
      <c r="D1060" s="24"/>
      <c r="E1060" s="25"/>
      <c r="F1060" s="26"/>
      <c r="G1060" s="27"/>
      <c r="H1060" s="20"/>
      <c r="I1060" s="21"/>
      <c r="J1060" s="28"/>
      <c r="K1060" s="19"/>
    </row>
    <row r="1061" spans="1:11" ht="13.2">
      <c r="A1061" s="22"/>
      <c r="B1061" s="16"/>
      <c r="C1061" s="23"/>
      <c r="D1061" s="24"/>
      <c r="E1061" s="25"/>
      <c r="F1061" s="26"/>
      <c r="G1061" s="27"/>
      <c r="H1061" s="20"/>
      <c r="I1061" s="21"/>
      <c r="J1061" s="28"/>
      <c r="K1061" s="19"/>
    </row>
    <row r="1062" spans="1:11" ht="13.2">
      <c r="A1062" s="22"/>
      <c r="B1062" s="16"/>
      <c r="C1062" s="23"/>
      <c r="D1062" s="24"/>
      <c r="E1062" s="25"/>
      <c r="F1062" s="26"/>
      <c r="G1062" s="27"/>
      <c r="H1062" s="20"/>
      <c r="I1062" s="21"/>
      <c r="J1062" s="28"/>
      <c r="K1062" s="19"/>
    </row>
    <row r="1063" spans="1:11" ht="13.2">
      <c r="A1063" s="22"/>
      <c r="B1063" s="16"/>
      <c r="C1063" s="23"/>
      <c r="D1063" s="24"/>
      <c r="E1063" s="25"/>
      <c r="F1063" s="26"/>
      <c r="G1063" s="27"/>
      <c r="H1063" s="20"/>
      <c r="I1063" s="21"/>
      <c r="J1063" s="28"/>
      <c r="K1063" s="19"/>
    </row>
    <row r="1064" spans="1:11" ht="13.2">
      <c r="A1064" s="22"/>
      <c r="B1064" s="16"/>
      <c r="C1064" s="23"/>
      <c r="D1064" s="24"/>
      <c r="E1064" s="25"/>
      <c r="F1064" s="26"/>
      <c r="G1064" s="27"/>
      <c r="H1064" s="20"/>
      <c r="I1064" s="21"/>
      <c r="J1064" s="28"/>
      <c r="K1064" s="19"/>
    </row>
    <row r="1065" spans="1:11" ht="13.2">
      <c r="A1065" s="22"/>
      <c r="B1065" s="16"/>
      <c r="C1065" s="23"/>
      <c r="D1065" s="24"/>
      <c r="E1065" s="25"/>
      <c r="F1065" s="26"/>
      <c r="G1065" s="27"/>
      <c r="H1065" s="20"/>
      <c r="I1065" s="21"/>
      <c r="J1065" s="28"/>
      <c r="K1065" s="19"/>
    </row>
    <row r="1066" spans="1:11" ht="13.2">
      <c r="A1066" s="22"/>
      <c r="B1066" s="16"/>
      <c r="C1066" s="23"/>
      <c r="D1066" s="24"/>
      <c r="E1066" s="25"/>
      <c r="F1066" s="26"/>
      <c r="G1066" s="27"/>
      <c r="H1066" s="20"/>
      <c r="I1066" s="21"/>
      <c r="J1066" s="28"/>
      <c r="K1066" s="19"/>
    </row>
    <row r="1067" spans="1:11" ht="13.2">
      <c r="A1067" s="22"/>
      <c r="B1067" s="16"/>
      <c r="C1067" s="23"/>
      <c r="D1067" s="24"/>
      <c r="E1067" s="25"/>
      <c r="F1067" s="26"/>
      <c r="G1067" s="27"/>
      <c r="H1067" s="20"/>
      <c r="I1067" s="21"/>
      <c r="J1067" s="28"/>
      <c r="K1067" s="19"/>
    </row>
    <row r="1068" spans="1:11" ht="13.2">
      <c r="A1068" s="22"/>
      <c r="B1068" s="16"/>
      <c r="C1068" s="23"/>
      <c r="D1068" s="24"/>
      <c r="E1068" s="25"/>
      <c r="F1068" s="26"/>
      <c r="G1068" s="27"/>
      <c r="H1068" s="20"/>
      <c r="I1068" s="21"/>
      <c r="J1068" s="28"/>
      <c r="K1068" s="19"/>
    </row>
    <row r="1069" spans="1:11" ht="13.2">
      <c r="A1069" s="22"/>
      <c r="B1069" s="16"/>
      <c r="C1069" s="23"/>
      <c r="D1069" s="24"/>
      <c r="E1069" s="25"/>
      <c r="F1069" s="26"/>
      <c r="G1069" s="27"/>
      <c r="H1069" s="20"/>
      <c r="I1069" s="21"/>
      <c r="J1069" s="28"/>
      <c r="K1069" s="19"/>
    </row>
    <row r="1070" spans="1:11" ht="13.2">
      <c r="A1070" s="22"/>
      <c r="B1070" s="16"/>
      <c r="C1070" s="23"/>
      <c r="D1070" s="24"/>
      <c r="E1070" s="25"/>
      <c r="F1070" s="26"/>
      <c r="G1070" s="27"/>
      <c r="H1070" s="20"/>
      <c r="I1070" s="21"/>
      <c r="J1070" s="28"/>
      <c r="K1070" s="19"/>
    </row>
    <row r="1071" spans="1:11" ht="13.2">
      <c r="A1071" s="22"/>
      <c r="B1071" s="16"/>
      <c r="C1071" s="23"/>
      <c r="D1071" s="24"/>
      <c r="E1071" s="25"/>
      <c r="F1071" s="26"/>
      <c r="G1071" s="27"/>
      <c r="H1071" s="20"/>
      <c r="I1071" s="21"/>
      <c r="J1071" s="28"/>
      <c r="K1071" s="19"/>
    </row>
    <row r="1072" spans="1:11" ht="13.2">
      <c r="A1072" s="22"/>
      <c r="B1072" s="16"/>
      <c r="C1072" s="23"/>
      <c r="D1072" s="24"/>
      <c r="E1072" s="25"/>
      <c r="F1072" s="26"/>
      <c r="G1072" s="27"/>
      <c r="H1072" s="20"/>
      <c r="I1072" s="21"/>
      <c r="J1072" s="28"/>
      <c r="K1072" s="19"/>
    </row>
    <row r="1073" spans="1:11" ht="13.2">
      <c r="A1073" s="22"/>
      <c r="B1073" s="16"/>
      <c r="C1073" s="23"/>
      <c r="D1073" s="24"/>
      <c r="E1073" s="25"/>
      <c r="F1073" s="26"/>
      <c r="G1073" s="27"/>
      <c r="H1073" s="20"/>
      <c r="I1073" s="21"/>
      <c r="J1073" s="28"/>
      <c r="K1073" s="19"/>
    </row>
    <row r="1074" spans="1:11" ht="13.2">
      <c r="A1074" s="22"/>
      <c r="B1074" s="16"/>
      <c r="C1074" s="23"/>
      <c r="D1074" s="24"/>
      <c r="E1074" s="25"/>
      <c r="F1074" s="26"/>
      <c r="G1074" s="27"/>
      <c r="H1074" s="20"/>
      <c r="I1074" s="21"/>
      <c r="J1074" s="28"/>
      <c r="K1074" s="19"/>
    </row>
    <row r="1075" spans="1:11" ht="13.2">
      <c r="A1075" s="22"/>
      <c r="B1075" s="16"/>
      <c r="C1075" s="23"/>
      <c r="D1075" s="24"/>
      <c r="E1075" s="25"/>
      <c r="F1075" s="26"/>
      <c r="G1075" s="27"/>
      <c r="H1075" s="20"/>
      <c r="I1075" s="21"/>
      <c r="J1075" s="28"/>
      <c r="K1075" s="19"/>
    </row>
    <row r="1076" spans="1:11" ht="13.2">
      <c r="A1076" s="22"/>
      <c r="B1076" s="16"/>
      <c r="C1076" s="23"/>
      <c r="D1076" s="24"/>
      <c r="E1076" s="25"/>
      <c r="F1076" s="26"/>
      <c r="G1076" s="27"/>
      <c r="H1076" s="20"/>
      <c r="I1076" s="21"/>
      <c r="J1076" s="28"/>
      <c r="K1076" s="19"/>
    </row>
    <row r="1077" spans="1:11" ht="13.2">
      <c r="A1077" s="22"/>
      <c r="B1077" s="16"/>
      <c r="C1077" s="23"/>
      <c r="D1077" s="24"/>
      <c r="E1077" s="25"/>
      <c r="F1077" s="26"/>
      <c r="G1077" s="27"/>
      <c r="H1077" s="20"/>
      <c r="I1077" s="21"/>
      <c r="J1077" s="28"/>
      <c r="K1077" s="19"/>
    </row>
    <row r="1078" spans="1:11" ht="13.2">
      <c r="A1078" s="22"/>
      <c r="B1078" s="16"/>
      <c r="C1078" s="23"/>
      <c r="D1078" s="24"/>
      <c r="E1078" s="25"/>
      <c r="F1078" s="26"/>
      <c r="G1078" s="27"/>
      <c r="H1078" s="20"/>
      <c r="I1078" s="21"/>
      <c r="J1078" s="28"/>
      <c r="K1078" s="19"/>
    </row>
    <row r="1079" spans="1:11" ht="13.2">
      <c r="A1079" s="22"/>
      <c r="B1079" s="16"/>
      <c r="C1079" s="23"/>
      <c r="D1079" s="24"/>
      <c r="E1079" s="25"/>
      <c r="F1079" s="26"/>
      <c r="G1079" s="27"/>
      <c r="H1079" s="20"/>
      <c r="I1079" s="21"/>
      <c r="J1079" s="28"/>
      <c r="K1079" s="19"/>
    </row>
    <row r="1080" spans="1:11" ht="13.2">
      <c r="A1080" s="22"/>
      <c r="B1080" s="16"/>
      <c r="C1080" s="23"/>
      <c r="D1080" s="24"/>
      <c r="E1080" s="25"/>
      <c r="F1080" s="26"/>
      <c r="G1080" s="27"/>
      <c r="H1080" s="20"/>
      <c r="I1080" s="21"/>
      <c r="J1080" s="28"/>
      <c r="K1080" s="19"/>
    </row>
    <row r="1081" spans="1:11" ht="13.2">
      <c r="A1081" s="22"/>
      <c r="B1081" s="16"/>
      <c r="C1081" s="23"/>
      <c r="D1081" s="24"/>
      <c r="E1081" s="25"/>
      <c r="F1081" s="26"/>
      <c r="G1081" s="27"/>
      <c r="H1081" s="20"/>
      <c r="I1081" s="21"/>
      <c r="J1081" s="28"/>
      <c r="K1081" s="19"/>
    </row>
    <row r="1082" spans="1:11" ht="13.2">
      <c r="A1082" s="22"/>
      <c r="B1082" s="16"/>
      <c r="C1082" s="23"/>
      <c r="D1082" s="24"/>
      <c r="E1082" s="25"/>
      <c r="F1082" s="26"/>
      <c r="G1082" s="27"/>
      <c r="H1082" s="20"/>
      <c r="I1082" s="21"/>
      <c r="J1082" s="28"/>
      <c r="K1082" s="19"/>
    </row>
    <row r="1083" spans="1:11" ht="13.2">
      <c r="A1083" s="22"/>
      <c r="B1083" s="16"/>
      <c r="C1083" s="23"/>
      <c r="D1083" s="24"/>
      <c r="E1083" s="25"/>
      <c r="F1083" s="26"/>
      <c r="G1083" s="27"/>
      <c r="H1083" s="20"/>
      <c r="I1083" s="21"/>
      <c r="J1083" s="28"/>
      <c r="K1083" s="19"/>
    </row>
    <row r="1084" spans="1:11" ht="13.2">
      <c r="A1084" s="22"/>
      <c r="B1084" s="16"/>
      <c r="C1084" s="23"/>
      <c r="D1084" s="24"/>
      <c r="E1084" s="25"/>
      <c r="F1084" s="26"/>
      <c r="G1084" s="27"/>
      <c r="H1084" s="20"/>
      <c r="I1084" s="21"/>
      <c r="J1084" s="28"/>
      <c r="K1084" s="19"/>
    </row>
    <row r="1085" spans="1:11" ht="13.2">
      <c r="A1085" s="22"/>
      <c r="B1085" s="16"/>
      <c r="C1085" s="23"/>
      <c r="D1085" s="24"/>
      <c r="E1085" s="25"/>
      <c r="F1085" s="26"/>
      <c r="G1085" s="27"/>
      <c r="H1085" s="20"/>
      <c r="I1085" s="21"/>
      <c r="J1085" s="28"/>
      <c r="K1085" s="19"/>
    </row>
    <row r="1086" spans="1:11" ht="13.2">
      <c r="A1086" s="22"/>
      <c r="B1086" s="16"/>
      <c r="C1086" s="23"/>
      <c r="D1086" s="24"/>
      <c r="E1086" s="25"/>
      <c r="F1086" s="26"/>
      <c r="G1086" s="27"/>
      <c r="H1086" s="20"/>
      <c r="I1086" s="21"/>
      <c r="J1086" s="28"/>
      <c r="K1086" s="19"/>
    </row>
    <row r="1087" spans="1:11" ht="13.2">
      <c r="A1087" s="22"/>
      <c r="B1087" s="16"/>
      <c r="C1087" s="23"/>
      <c r="D1087" s="24"/>
      <c r="E1087" s="25"/>
      <c r="F1087" s="26"/>
      <c r="G1087" s="27"/>
      <c r="H1087" s="20"/>
      <c r="I1087" s="21"/>
      <c r="J1087" s="28"/>
      <c r="K1087" s="19"/>
    </row>
    <row r="1088" spans="1:11" ht="13.2">
      <c r="A1088" s="22"/>
      <c r="B1088" s="16"/>
      <c r="C1088" s="23"/>
      <c r="D1088" s="24"/>
      <c r="E1088" s="25"/>
      <c r="F1088" s="26"/>
      <c r="G1088" s="27"/>
      <c r="H1088" s="20"/>
      <c r="I1088" s="21"/>
      <c r="J1088" s="28"/>
      <c r="K1088" s="19"/>
    </row>
    <row r="1089" spans="1:11" ht="13.2">
      <c r="A1089" s="22"/>
      <c r="B1089" s="16"/>
      <c r="C1089" s="23"/>
      <c r="D1089" s="24"/>
      <c r="E1089" s="25"/>
      <c r="F1089" s="26"/>
      <c r="G1089" s="27"/>
      <c r="H1089" s="20"/>
      <c r="I1089" s="21"/>
      <c r="J1089" s="28"/>
      <c r="K1089" s="19"/>
    </row>
    <row r="1090" spans="1:11" ht="13.2">
      <c r="A1090" s="22"/>
      <c r="B1090" s="16"/>
      <c r="C1090" s="23"/>
      <c r="D1090" s="24"/>
      <c r="E1090" s="25"/>
      <c r="F1090" s="26"/>
      <c r="G1090" s="27"/>
      <c r="H1090" s="20"/>
      <c r="I1090" s="21"/>
      <c r="J1090" s="28"/>
      <c r="K1090" s="19"/>
    </row>
    <row r="1091" spans="1:11" ht="13.2">
      <c r="A1091" s="22"/>
      <c r="B1091" s="16"/>
      <c r="C1091" s="23"/>
      <c r="D1091" s="24"/>
      <c r="E1091" s="25"/>
      <c r="F1091" s="26"/>
      <c r="G1091" s="27"/>
      <c r="H1091" s="20"/>
      <c r="I1091" s="21"/>
      <c r="J1091" s="28"/>
      <c r="K1091" s="19"/>
    </row>
    <row r="1092" spans="1:11" ht="13.2">
      <c r="A1092" s="22"/>
      <c r="B1092" s="16"/>
      <c r="C1092" s="23"/>
      <c r="D1092" s="24"/>
      <c r="E1092" s="25"/>
      <c r="F1092" s="26"/>
      <c r="G1092" s="27"/>
      <c r="H1092" s="20"/>
      <c r="I1092" s="21"/>
      <c r="J1092" s="28"/>
      <c r="K1092" s="19"/>
    </row>
    <row r="1093" spans="1:11" ht="13.2">
      <c r="A1093" s="22"/>
      <c r="B1093" s="16"/>
      <c r="C1093" s="23"/>
      <c r="D1093" s="24"/>
      <c r="E1093" s="25"/>
      <c r="F1093" s="26"/>
      <c r="G1093" s="27"/>
      <c r="H1093" s="20"/>
      <c r="I1093" s="21"/>
      <c r="J1093" s="28"/>
      <c r="K1093" s="19"/>
    </row>
    <row r="1094" spans="1:11" ht="13.2">
      <c r="A1094" s="22"/>
      <c r="B1094" s="16"/>
      <c r="C1094" s="23"/>
      <c r="D1094" s="24"/>
      <c r="E1094" s="25"/>
      <c r="F1094" s="26"/>
      <c r="G1094" s="27"/>
      <c r="H1094" s="20"/>
      <c r="I1094" s="21"/>
      <c r="J1094" s="28"/>
      <c r="K1094" s="19"/>
    </row>
    <row r="1095" spans="1:11" ht="13.2">
      <c r="A1095" s="22"/>
      <c r="B1095" s="16"/>
      <c r="C1095" s="23"/>
      <c r="D1095" s="24"/>
      <c r="E1095" s="25"/>
      <c r="F1095" s="26"/>
      <c r="G1095" s="27"/>
      <c r="H1095" s="20"/>
      <c r="I1095" s="21"/>
      <c r="J1095" s="28"/>
      <c r="K1095" s="19"/>
    </row>
    <row r="1096" spans="1:11" ht="13.2">
      <c r="A1096" s="22"/>
      <c r="B1096" s="16"/>
      <c r="C1096" s="23"/>
      <c r="D1096" s="24"/>
      <c r="E1096" s="25"/>
      <c r="F1096" s="26"/>
      <c r="G1096" s="27"/>
      <c r="H1096" s="20"/>
      <c r="I1096" s="21"/>
      <c r="J1096" s="28"/>
      <c r="K1096" s="19"/>
    </row>
    <row r="1097" spans="1:11" ht="13.2">
      <c r="A1097" s="22"/>
      <c r="B1097" s="16"/>
      <c r="C1097" s="23"/>
      <c r="D1097" s="24"/>
      <c r="E1097" s="25"/>
      <c r="F1097" s="26"/>
      <c r="G1097" s="27"/>
      <c r="H1097" s="20"/>
      <c r="I1097" s="21"/>
      <c r="J1097" s="28"/>
      <c r="K1097" s="19"/>
    </row>
    <row r="1098" spans="1:11" ht="13.2">
      <c r="A1098" s="22"/>
      <c r="B1098" s="16"/>
      <c r="C1098" s="23"/>
      <c r="D1098" s="24"/>
      <c r="E1098" s="25"/>
      <c r="F1098" s="26"/>
      <c r="G1098" s="27"/>
      <c r="H1098" s="20"/>
      <c r="I1098" s="21"/>
      <c r="J1098" s="28"/>
      <c r="K1098" s="19"/>
    </row>
    <row r="1099" spans="1:11" ht="13.2">
      <c r="A1099" s="22"/>
      <c r="B1099" s="16"/>
      <c r="C1099" s="23"/>
      <c r="D1099" s="24"/>
      <c r="E1099" s="25"/>
      <c r="F1099" s="26"/>
      <c r="G1099" s="27"/>
      <c r="H1099" s="20"/>
      <c r="I1099" s="21"/>
      <c r="J1099" s="28"/>
      <c r="K1099" s="19"/>
    </row>
    <row r="1100" spans="1:11" ht="13.2">
      <c r="A1100" s="22"/>
      <c r="B1100" s="16"/>
      <c r="C1100" s="23"/>
      <c r="D1100" s="24"/>
      <c r="E1100" s="25"/>
      <c r="F1100" s="26"/>
      <c r="G1100" s="27"/>
      <c r="H1100" s="20"/>
      <c r="I1100" s="21"/>
      <c r="J1100" s="28"/>
      <c r="K1100" s="19"/>
    </row>
    <row r="1101" spans="1:11" ht="13.2">
      <c r="A1101" s="22"/>
      <c r="B1101" s="16"/>
      <c r="C1101" s="23"/>
      <c r="D1101" s="24"/>
      <c r="E1101" s="25"/>
      <c r="F1101" s="26"/>
      <c r="G1101" s="27"/>
      <c r="H1101" s="20"/>
      <c r="I1101" s="21"/>
      <c r="J1101" s="28"/>
      <c r="K1101" s="19"/>
    </row>
    <row r="1102" spans="1:11" ht="13.2">
      <c r="A1102" s="22"/>
      <c r="B1102" s="16"/>
      <c r="C1102" s="23"/>
      <c r="D1102" s="24"/>
      <c r="E1102" s="25"/>
      <c r="F1102" s="26"/>
      <c r="G1102" s="27"/>
      <c r="H1102" s="20"/>
      <c r="I1102" s="21"/>
      <c r="J1102" s="28"/>
      <c r="K1102" s="19"/>
    </row>
    <row r="1103" spans="1:11" ht="13.2">
      <c r="A1103" s="22"/>
      <c r="B1103" s="16"/>
      <c r="C1103" s="23"/>
      <c r="D1103" s="24"/>
      <c r="E1103" s="25"/>
      <c r="F1103" s="26"/>
      <c r="G1103" s="27"/>
      <c r="H1103" s="20"/>
      <c r="I1103" s="21"/>
      <c r="J1103" s="28"/>
      <c r="K1103" s="19"/>
    </row>
    <row r="1104" spans="1:11" ht="13.2">
      <c r="A1104" s="22"/>
      <c r="B1104" s="16"/>
      <c r="C1104" s="23"/>
      <c r="D1104" s="24"/>
      <c r="E1104" s="25"/>
      <c r="F1104" s="26"/>
      <c r="G1104" s="27"/>
      <c r="H1104" s="20"/>
      <c r="I1104" s="21"/>
      <c r="J1104" s="28"/>
      <c r="K1104" s="19"/>
    </row>
    <row r="1105" spans="1:11" ht="13.2">
      <c r="A1105" s="22"/>
      <c r="B1105" s="16"/>
      <c r="C1105" s="23"/>
      <c r="D1105" s="24"/>
      <c r="E1105" s="25"/>
      <c r="F1105" s="26"/>
      <c r="G1105" s="27"/>
      <c r="H1105" s="20"/>
      <c r="I1105" s="21"/>
      <c r="J1105" s="28"/>
      <c r="K1105" s="19"/>
    </row>
    <row r="1106" spans="1:11" ht="13.2">
      <c r="A1106" s="22"/>
      <c r="B1106" s="16"/>
      <c r="C1106" s="23"/>
      <c r="D1106" s="24"/>
      <c r="E1106" s="25"/>
      <c r="F1106" s="26"/>
      <c r="G1106" s="27"/>
      <c r="H1106" s="20"/>
      <c r="I1106" s="21"/>
      <c r="J1106" s="28"/>
      <c r="K1106" s="19"/>
    </row>
    <row r="1107" spans="1:11" ht="13.2">
      <c r="A1107" s="22"/>
      <c r="B1107" s="16"/>
      <c r="C1107" s="23"/>
      <c r="D1107" s="24"/>
      <c r="E1107" s="25"/>
      <c r="F1107" s="26"/>
      <c r="G1107" s="27"/>
      <c r="H1107" s="20"/>
      <c r="I1107" s="21"/>
      <c r="J1107" s="28"/>
      <c r="K1107" s="19"/>
    </row>
    <row r="1108" spans="1:11" ht="13.2">
      <c r="A1108" s="22"/>
      <c r="B1108" s="16"/>
      <c r="C1108" s="23"/>
      <c r="D1108" s="24"/>
      <c r="E1108" s="25"/>
      <c r="F1108" s="26"/>
      <c r="G1108" s="27"/>
      <c r="H1108" s="20"/>
      <c r="I1108" s="21"/>
      <c r="J1108" s="28"/>
      <c r="K1108" s="19"/>
    </row>
    <row r="1109" spans="1:11" ht="13.2">
      <c r="A1109" s="22"/>
      <c r="B1109" s="16"/>
      <c r="C1109" s="23"/>
      <c r="D1109" s="24"/>
      <c r="E1109" s="25"/>
      <c r="F1109" s="26"/>
      <c r="G1109" s="27"/>
      <c r="H1109" s="20"/>
      <c r="I1109" s="21"/>
      <c r="J1109" s="28"/>
      <c r="K1109" s="19"/>
    </row>
    <row r="1110" spans="1:11" ht="13.2">
      <c r="A1110" s="22"/>
      <c r="B1110" s="16"/>
      <c r="C1110" s="23"/>
      <c r="D1110" s="24"/>
      <c r="E1110" s="25"/>
      <c r="F1110" s="26"/>
      <c r="G1110" s="27"/>
      <c r="H1110" s="20"/>
      <c r="I1110" s="21"/>
      <c r="J1110" s="28"/>
      <c r="K1110" s="19"/>
    </row>
    <row r="1111" spans="1:11" ht="13.2">
      <c r="A1111" s="22"/>
      <c r="B1111" s="16"/>
      <c r="C1111" s="23"/>
      <c r="D1111" s="24"/>
      <c r="E1111" s="25"/>
      <c r="F1111" s="26"/>
      <c r="G1111" s="27"/>
      <c r="H1111" s="20"/>
      <c r="I1111" s="21"/>
      <c r="J1111" s="28"/>
      <c r="K1111" s="19"/>
    </row>
    <row r="1112" spans="1:11" ht="13.2">
      <c r="A1112" s="22"/>
      <c r="B1112" s="16"/>
      <c r="C1112" s="23"/>
      <c r="D1112" s="24"/>
      <c r="E1112" s="25"/>
      <c r="F1112" s="26"/>
      <c r="G1112" s="27"/>
      <c r="H1112" s="20"/>
      <c r="I1112" s="21"/>
      <c r="J1112" s="28"/>
      <c r="K1112" s="19"/>
    </row>
    <row r="1113" spans="1:11" ht="13.2">
      <c r="A1113" s="22"/>
      <c r="B1113" s="16"/>
      <c r="C1113" s="23"/>
      <c r="D1113" s="24"/>
      <c r="E1113" s="25"/>
      <c r="F1113" s="26"/>
      <c r="G1113" s="27"/>
      <c r="H1113" s="20"/>
      <c r="I1113" s="21"/>
      <c r="J1113" s="28"/>
      <c r="K1113" s="19"/>
    </row>
    <row r="1114" spans="1:11" ht="13.2">
      <c r="A1114" s="22"/>
      <c r="B1114" s="16"/>
      <c r="C1114" s="23"/>
      <c r="D1114" s="24"/>
      <c r="E1114" s="25"/>
      <c r="F1114" s="26"/>
      <c r="G1114" s="27"/>
      <c r="H1114" s="20"/>
      <c r="I1114" s="21"/>
      <c r="J1114" s="28"/>
      <c r="K1114" s="19"/>
    </row>
    <row r="1115" spans="1:11" ht="13.2">
      <c r="A1115" s="22"/>
      <c r="B1115" s="16"/>
      <c r="C1115" s="23"/>
      <c r="D1115" s="24"/>
      <c r="E1115" s="25"/>
      <c r="F1115" s="26"/>
      <c r="G1115" s="27"/>
      <c r="H1115" s="20"/>
      <c r="I1115" s="21"/>
      <c r="J1115" s="28"/>
      <c r="K1115" s="19"/>
    </row>
    <row r="1116" spans="1:11" ht="13.2">
      <c r="A1116" s="22"/>
      <c r="B1116" s="16"/>
      <c r="C1116" s="23"/>
      <c r="D1116" s="24"/>
      <c r="E1116" s="25"/>
      <c r="F1116" s="26"/>
      <c r="G1116" s="27"/>
      <c r="H1116" s="20"/>
      <c r="I1116" s="21"/>
      <c r="J1116" s="28"/>
      <c r="K1116" s="19"/>
    </row>
    <row r="1117" spans="1:11" ht="13.2">
      <c r="A1117" s="22"/>
      <c r="B1117" s="16"/>
      <c r="C1117" s="23"/>
      <c r="D1117" s="24"/>
      <c r="E1117" s="25"/>
      <c r="F1117" s="26"/>
      <c r="G1117" s="27"/>
      <c r="H1117" s="20"/>
      <c r="I1117" s="21"/>
      <c r="J1117" s="28"/>
      <c r="K1117" s="19"/>
    </row>
    <row r="1118" spans="1:11" ht="13.2">
      <c r="A1118" s="22"/>
      <c r="B1118" s="16"/>
      <c r="C1118" s="23"/>
      <c r="D1118" s="24"/>
      <c r="E1118" s="25"/>
      <c r="F1118" s="26"/>
      <c r="G1118" s="27"/>
      <c r="H1118" s="20"/>
      <c r="I1118" s="21"/>
      <c r="J1118" s="28"/>
      <c r="K1118" s="19"/>
    </row>
    <row r="1119" spans="1:11" ht="13.2">
      <c r="A1119" s="22"/>
      <c r="B1119" s="16"/>
      <c r="C1119" s="23"/>
      <c r="D1119" s="24"/>
      <c r="E1119" s="25"/>
      <c r="F1119" s="26"/>
      <c r="G1119" s="27"/>
      <c r="H1119" s="20"/>
      <c r="I1119" s="21"/>
      <c r="J1119" s="28"/>
      <c r="K1119" s="19"/>
    </row>
    <row r="1120" spans="1:11" ht="13.2">
      <c r="A1120" s="22"/>
      <c r="B1120" s="16"/>
      <c r="C1120" s="23"/>
      <c r="D1120" s="24"/>
      <c r="E1120" s="25"/>
      <c r="F1120" s="26"/>
      <c r="G1120" s="27"/>
      <c r="H1120" s="20"/>
      <c r="I1120" s="21"/>
      <c r="J1120" s="28"/>
      <c r="K1120" s="19"/>
    </row>
    <row r="1121" spans="1:11" ht="13.2">
      <c r="A1121" s="22"/>
      <c r="B1121" s="16"/>
      <c r="C1121" s="23"/>
      <c r="D1121" s="24"/>
      <c r="E1121" s="25"/>
      <c r="F1121" s="26"/>
      <c r="G1121" s="27"/>
      <c r="H1121" s="20"/>
      <c r="I1121" s="21"/>
      <c r="J1121" s="28"/>
      <c r="K1121" s="19"/>
    </row>
    <row r="1122" spans="1:11" ht="13.2">
      <c r="A1122" s="22"/>
      <c r="B1122" s="16"/>
      <c r="C1122" s="23"/>
      <c r="D1122" s="24"/>
      <c r="E1122" s="25"/>
      <c r="F1122" s="26"/>
      <c r="G1122" s="27"/>
      <c r="H1122" s="20"/>
      <c r="I1122" s="21"/>
      <c r="J1122" s="28"/>
      <c r="K1122" s="19"/>
    </row>
    <row r="1123" spans="1:11" ht="13.2">
      <c r="A1123" s="22"/>
      <c r="B1123" s="16"/>
      <c r="C1123" s="23"/>
      <c r="D1123" s="24"/>
      <c r="E1123" s="25"/>
      <c r="F1123" s="26"/>
      <c r="G1123" s="27"/>
      <c r="H1123" s="20"/>
      <c r="I1123" s="21"/>
      <c r="J1123" s="28"/>
      <c r="K1123" s="19"/>
    </row>
    <row r="1124" spans="1:11" ht="13.2">
      <c r="A1124" s="22"/>
      <c r="B1124" s="16"/>
      <c r="C1124" s="23"/>
      <c r="D1124" s="24"/>
      <c r="E1124" s="25"/>
      <c r="F1124" s="26"/>
      <c r="G1124" s="27"/>
      <c r="H1124" s="20"/>
      <c r="I1124" s="21"/>
      <c r="J1124" s="28"/>
      <c r="K1124" s="19"/>
    </row>
    <row r="1125" spans="1:11" ht="13.2">
      <c r="A1125" s="22"/>
      <c r="B1125" s="16"/>
      <c r="C1125" s="23"/>
      <c r="D1125" s="24"/>
      <c r="E1125" s="25"/>
      <c r="F1125" s="26"/>
      <c r="G1125" s="27"/>
      <c r="H1125" s="20"/>
      <c r="I1125" s="21"/>
      <c r="J1125" s="28"/>
      <c r="K1125" s="19"/>
    </row>
    <row r="1126" spans="1:11" ht="13.2">
      <c r="A1126" s="22"/>
      <c r="B1126" s="16"/>
      <c r="C1126" s="23"/>
      <c r="D1126" s="24"/>
      <c r="E1126" s="25"/>
      <c r="F1126" s="26"/>
      <c r="G1126" s="27"/>
      <c r="H1126" s="20"/>
      <c r="I1126" s="21"/>
      <c r="J1126" s="28"/>
      <c r="K1126" s="19"/>
    </row>
    <row r="1127" spans="1:11" ht="13.2">
      <c r="A1127" s="22"/>
      <c r="B1127" s="16"/>
      <c r="C1127" s="23"/>
      <c r="D1127" s="24"/>
      <c r="E1127" s="25"/>
      <c r="F1127" s="26"/>
      <c r="G1127" s="27"/>
      <c r="H1127" s="20"/>
      <c r="I1127" s="21"/>
      <c r="J1127" s="28"/>
      <c r="K1127" s="19"/>
    </row>
    <row r="1128" spans="1:11" ht="13.2">
      <c r="A1128" s="22"/>
      <c r="B1128" s="16"/>
      <c r="C1128" s="23"/>
      <c r="D1128" s="24"/>
      <c r="E1128" s="25"/>
      <c r="F1128" s="26"/>
      <c r="G1128" s="27"/>
      <c r="H1128" s="20"/>
      <c r="I1128" s="21"/>
      <c r="J1128" s="28"/>
      <c r="K1128" s="19"/>
    </row>
    <row r="1129" spans="1:11" ht="13.2">
      <c r="A1129" s="22"/>
      <c r="B1129" s="16"/>
      <c r="C1129" s="23"/>
      <c r="D1129" s="24"/>
      <c r="E1129" s="25"/>
      <c r="F1129" s="26"/>
      <c r="G1129" s="27"/>
      <c r="H1129" s="20"/>
      <c r="I1129" s="21"/>
      <c r="J1129" s="28"/>
      <c r="K1129" s="19"/>
    </row>
    <row r="1130" spans="1:11" ht="13.2">
      <c r="A1130" s="22"/>
      <c r="B1130" s="16"/>
      <c r="C1130" s="23"/>
      <c r="D1130" s="24"/>
      <c r="E1130" s="25"/>
      <c r="F1130" s="26"/>
      <c r="G1130" s="27"/>
      <c r="H1130" s="20"/>
      <c r="I1130" s="21"/>
      <c r="J1130" s="28"/>
      <c r="K1130" s="19"/>
    </row>
    <row r="1131" spans="1:11" ht="13.2">
      <c r="A1131" s="22"/>
      <c r="B1131" s="16"/>
      <c r="C1131" s="23"/>
      <c r="D1131" s="24"/>
      <c r="E1131" s="25"/>
      <c r="F1131" s="26"/>
      <c r="G1131" s="27"/>
      <c r="H1131" s="20"/>
      <c r="I1131" s="21"/>
      <c r="J1131" s="28"/>
      <c r="K1131" s="19"/>
    </row>
    <row r="1132" spans="1:11" ht="13.2">
      <c r="A1132" s="22"/>
      <c r="B1132" s="16"/>
      <c r="C1132" s="23"/>
      <c r="D1132" s="24"/>
      <c r="E1132" s="25"/>
      <c r="F1132" s="26"/>
      <c r="G1132" s="27"/>
      <c r="H1132" s="20"/>
      <c r="I1132" s="21"/>
      <c r="J1132" s="28"/>
      <c r="K1132" s="19"/>
    </row>
    <row r="1133" spans="1:11" ht="13.2">
      <c r="A1133" s="22"/>
      <c r="B1133" s="16"/>
      <c r="C1133" s="23"/>
      <c r="D1133" s="24"/>
      <c r="E1133" s="25"/>
      <c r="F1133" s="26"/>
      <c r="G1133" s="27"/>
      <c r="H1133" s="20"/>
      <c r="I1133" s="21"/>
      <c r="J1133" s="28"/>
      <c r="K1133" s="19"/>
    </row>
    <row r="1134" spans="1:11" ht="13.2">
      <c r="A1134" s="22"/>
      <c r="B1134" s="16"/>
      <c r="C1134" s="23"/>
      <c r="D1134" s="24"/>
      <c r="E1134" s="25"/>
      <c r="F1134" s="26"/>
      <c r="G1134" s="27"/>
      <c r="H1134" s="20"/>
      <c r="I1134" s="21"/>
      <c r="J1134" s="28"/>
      <c r="K1134" s="19"/>
    </row>
    <row r="1135" spans="1:11" ht="13.2">
      <c r="A1135" s="22"/>
      <c r="B1135" s="16"/>
      <c r="C1135" s="23"/>
      <c r="D1135" s="24"/>
      <c r="E1135" s="25"/>
      <c r="F1135" s="26"/>
      <c r="G1135" s="27"/>
      <c r="H1135" s="20"/>
      <c r="I1135" s="21"/>
      <c r="J1135" s="28"/>
      <c r="K1135" s="19"/>
    </row>
    <row r="1136" spans="1:11" ht="13.2">
      <c r="A1136" s="22"/>
      <c r="B1136" s="16"/>
      <c r="C1136" s="23"/>
      <c r="D1136" s="24"/>
      <c r="E1136" s="25"/>
      <c r="F1136" s="26"/>
      <c r="G1136" s="27"/>
      <c r="H1136" s="20"/>
      <c r="I1136" s="21"/>
      <c r="J1136" s="28"/>
      <c r="K1136" s="19"/>
    </row>
    <row r="1137" spans="1:11" ht="13.2">
      <c r="A1137" s="22"/>
      <c r="B1137" s="16"/>
      <c r="C1137" s="23"/>
      <c r="D1137" s="24"/>
      <c r="E1137" s="25"/>
      <c r="F1137" s="26"/>
      <c r="G1137" s="27"/>
      <c r="H1137" s="20"/>
      <c r="I1137" s="21"/>
      <c r="J1137" s="28"/>
      <c r="K1137" s="19"/>
    </row>
    <row r="1138" spans="1:11" ht="13.2">
      <c r="A1138" s="22"/>
      <c r="B1138" s="16"/>
      <c r="C1138" s="23"/>
      <c r="D1138" s="24"/>
      <c r="E1138" s="25"/>
      <c r="F1138" s="26"/>
      <c r="G1138" s="27"/>
      <c r="H1138" s="20"/>
      <c r="I1138" s="21"/>
      <c r="J1138" s="28"/>
      <c r="K1138" s="19"/>
    </row>
    <row r="1139" spans="1:11" ht="13.2">
      <c r="A1139" s="22"/>
      <c r="B1139" s="16"/>
      <c r="C1139" s="23"/>
      <c r="D1139" s="24"/>
      <c r="E1139" s="25"/>
      <c r="F1139" s="26"/>
      <c r="G1139" s="27"/>
      <c r="H1139" s="20"/>
      <c r="I1139" s="21"/>
      <c r="J1139" s="28"/>
      <c r="K1139" s="19"/>
    </row>
    <row r="1140" spans="1:11" ht="13.2">
      <c r="A1140" s="22"/>
      <c r="B1140" s="16"/>
      <c r="C1140" s="23"/>
      <c r="D1140" s="24"/>
      <c r="E1140" s="25"/>
      <c r="F1140" s="26"/>
      <c r="G1140" s="27"/>
      <c r="H1140" s="20"/>
      <c r="I1140" s="21"/>
      <c r="J1140" s="28"/>
      <c r="K1140" s="19"/>
    </row>
    <row r="1141" spans="1:11" ht="13.2">
      <c r="A1141" s="22"/>
      <c r="B1141" s="16"/>
      <c r="C1141" s="23"/>
      <c r="D1141" s="24"/>
      <c r="E1141" s="25"/>
      <c r="F1141" s="26"/>
      <c r="G1141" s="27"/>
      <c r="H1141" s="20"/>
      <c r="I1141" s="21"/>
      <c r="J1141" s="28"/>
      <c r="K1141" s="19"/>
    </row>
    <row r="1142" spans="1:11" ht="13.2">
      <c r="A1142" s="22"/>
      <c r="B1142" s="16"/>
      <c r="C1142" s="23"/>
      <c r="D1142" s="24"/>
      <c r="E1142" s="25"/>
      <c r="F1142" s="26"/>
      <c r="G1142" s="27"/>
      <c r="H1142" s="20"/>
      <c r="I1142" s="21"/>
      <c r="J1142" s="28"/>
      <c r="K1142" s="19"/>
    </row>
    <row r="1143" spans="1:11" ht="13.2">
      <c r="A1143" s="22"/>
      <c r="B1143" s="16"/>
      <c r="C1143" s="23"/>
      <c r="D1143" s="24"/>
      <c r="E1143" s="25"/>
      <c r="F1143" s="26"/>
      <c r="G1143" s="27"/>
      <c r="H1143" s="20"/>
      <c r="I1143" s="21"/>
      <c r="J1143" s="28"/>
      <c r="K1143" s="19"/>
    </row>
    <row r="1144" spans="1:11" ht="13.2">
      <c r="A1144" s="22"/>
      <c r="B1144" s="16"/>
      <c r="C1144" s="23"/>
      <c r="D1144" s="24"/>
      <c r="E1144" s="25"/>
      <c r="F1144" s="26"/>
      <c r="G1144" s="27"/>
      <c r="H1144" s="20"/>
      <c r="I1144" s="21"/>
      <c r="J1144" s="28"/>
      <c r="K1144" s="19"/>
    </row>
    <row r="1145" spans="1:11" ht="13.2">
      <c r="A1145" s="22"/>
      <c r="B1145" s="16"/>
      <c r="C1145" s="23"/>
      <c r="D1145" s="24"/>
      <c r="E1145" s="25"/>
      <c r="F1145" s="26"/>
      <c r="G1145" s="27"/>
      <c r="H1145" s="20"/>
      <c r="I1145" s="21"/>
      <c r="J1145" s="28"/>
      <c r="K1145" s="19"/>
    </row>
    <row r="1146" spans="1:11" ht="13.2">
      <c r="A1146" s="22"/>
      <c r="B1146" s="16"/>
      <c r="C1146" s="23"/>
      <c r="D1146" s="24"/>
      <c r="E1146" s="25"/>
      <c r="F1146" s="26"/>
      <c r="G1146" s="27"/>
      <c r="H1146" s="20"/>
      <c r="I1146" s="21"/>
      <c r="J1146" s="28"/>
      <c r="K1146" s="19"/>
    </row>
    <row r="1147" spans="1:11" ht="13.2">
      <c r="A1147" s="22"/>
      <c r="B1147" s="16"/>
      <c r="C1147" s="23"/>
      <c r="D1147" s="24"/>
      <c r="E1147" s="25"/>
      <c r="F1147" s="26"/>
      <c r="G1147" s="27"/>
      <c r="H1147" s="20"/>
      <c r="I1147" s="21"/>
      <c r="J1147" s="28"/>
      <c r="K1147" s="19"/>
    </row>
    <row r="1148" spans="1:11" ht="13.2">
      <c r="A1148" s="22"/>
      <c r="B1148" s="16"/>
      <c r="C1148" s="23"/>
      <c r="D1148" s="24"/>
      <c r="E1148" s="25"/>
      <c r="F1148" s="26"/>
      <c r="G1148" s="27"/>
      <c r="H1148" s="20"/>
      <c r="I1148" s="21"/>
      <c r="J1148" s="28"/>
      <c r="K1148" s="19"/>
    </row>
    <row r="1149" spans="1:11" ht="13.2">
      <c r="A1149" s="22"/>
      <c r="B1149" s="16"/>
      <c r="C1149" s="23"/>
      <c r="D1149" s="24"/>
      <c r="E1149" s="25"/>
      <c r="F1149" s="26"/>
      <c r="G1149" s="27"/>
      <c r="H1149" s="20"/>
      <c r="I1149" s="21"/>
      <c r="J1149" s="28"/>
      <c r="K1149" s="19"/>
    </row>
    <row r="1150" spans="1:11" ht="13.2">
      <c r="A1150" s="22"/>
      <c r="B1150" s="16"/>
      <c r="C1150" s="23"/>
      <c r="D1150" s="24"/>
      <c r="E1150" s="25"/>
      <c r="F1150" s="26"/>
      <c r="G1150" s="27"/>
      <c r="H1150" s="20"/>
      <c r="I1150" s="21"/>
      <c r="J1150" s="28"/>
      <c r="K1150" s="19"/>
    </row>
    <row r="1151" spans="1:11" ht="13.2">
      <c r="A1151" s="22"/>
      <c r="B1151" s="16"/>
      <c r="C1151" s="23"/>
      <c r="D1151" s="24"/>
      <c r="E1151" s="25"/>
      <c r="F1151" s="26"/>
      <c r="G1151" s="27"/>
      <c r="H1151" s="20"/>
      <c r="I1151" s="21"/>
      <c r="J1151" s="28"/>
      <c r="K1151" s="19"/>
    </row>
    <row r="1152" spans="1:11" ht="13.2">
      <c r="A1152" s="22"/>
      <c r="B1152" s="16"/>
      <c r="C1152" s="23"/>
      <c r="D1152" s="24"/>
      <c r="E1152" s="25"/>
      <c r="F1152" s="26"/>
      <c r="G1152" s="27"/>
      <c r="H1152" s="20"/>
      <c r="I1152" s="21"/>
      <c r="J1152" s="28"/>
      <c r="K1152" s="19"/>
    </row>
    <row r="1153" spans="1:11" ht="13.2">
      <c r="A1153" s="22"/>
      <c r="B1153" s="16"/>
      <c r="C1153" s="23"/>
      <c r="D1153" s="24"/>
      <c r="E1153" s="25"/>
      <c r="F1153" s="26"/>
      <c r="G1153" s="27"/>
      <c r="H1153" s="20"/>
      <c r="I1153" s="21"/>
      <c r="J1153" s="28"/>
      <c r="K1153" s="19"/>
    </row>
    <row r="1154" spans="1:11" ht="13.2">
      <c r="A1154" s="22"/>
      <c r="B1154" s="16"/>
      <c r="C1154" s="23"/>
      <c r="D1154" s="24"/>
      <c r="E1154" s="25"/>
      <c r="F1154" s="26"/>
      <c r="G1154" s="27"/>
      <c r="H1154" s="20"/>
      <c r="I1154" s="21"/>
      <c r="J1154" s="28"/>
      <c r="K1154" s="19"/>
    </row>
    <row r="1155" spans="1:11" ht="13.2">
      <c r="A1155" s="22"/>
      <c r="B1155" s="16"/>
      <c r="C1155" s="23"/>
      <c r="D1155" s="24"/>
      <c r="E1155" s="25"/>
      <c r="F1155" s="26"/>
      <c r="G1155" s="27"/>
      <c r="H1155" s="20"/>
      <c r="I1155" s="21"/>
      <c r="J1155" s="28"/>
      <c r="K1155" s="19"/>
    </row>
    <row r="1156" spans="1:11" ht="13.2">
      <c r="A1156" s="22"/>
      <c r="B1156" s="16"/>
      <c r="C1156" s="23"/>
      <c r="D1156" s="24"/>
      <c r="E1156" s="25"/>
      <c r="F1156" s="26"/>
      <c r="G1156" s="27"/>
      <c r="H1156" s="20"/>
      <c r="I1156" s="21"/>
      <c r="J1156" s="28"/>
      <c r="K1156" s="19"/>
    </row>
    <row r="1157" spans="1:11" ht="13.2">
      <c r="A1157" s="22"/>
      <c r="B1157" s="16"/>
      <c r="C1157" s="23"/>
      <c r="D1157" s="24"/>
      <c r="E1157" s="25"/>
      <c r="F1157" s="26"/>
      <c r="G1157" s="27"/>
      <c r="H1157" s="20"/>
      <c r="I1157" s="21"/>
      <c r="J1157" s="28"/>
      <c r="K1157" s="19"/>
    </row>
    <row r="1158" spans="1:11" ht="13.2">
      <c r="A1158" s="22"/>
      <c r="B1158" s="16"/>
      <c r="C1158" s="23"/>
      <c r="D1158" s="24"/>
      <c r="E1158" s="25"/>
      <c r="F1158" s="26"/>
      <c r="G1158" s="27"/>
      <c r="H1158" s="20"/>
      <c r="I1158" s="21"/>
      <c r="J1158" s="28"/>
      <c r="K1158" s="19"/>
    </row>
    <row r="1159" spans="1:11" ht="13.2">
      <c r="A1159" s="22"/>
      <c r="B1159" s="16"/>
      <c r="C1159" s="23"/>
      <c r="D1159" s="24"/>
      <c r="E1159" s="25"/>
      <c r="F1159" s="26"/>
      <c r="G1159" s="27"/>
      <c r="H1159" s="20"/>
      <c r="I1159" s="21"/>
      <c r="J1159" s="28"/>
      <c r="K1159" s="19"/>
    </row>
    <row r="1160" spans="1:11" ht="13.2">
      <c r="A1160" s="22"/>
      <c r="B1160" s="16"/>
      <c r="C1160" s="23"/>
      <c r="D1160" s="24"/>
      <c r="E1160" s="25"/>
      <c r="F1160" s="26"/>
      <c r="G1160" s="27"/>
      <c r="H1160" s="20"/>
      <c r="I1160" s="21"/>
      <c r="J1160" s="28"/>
      <c r="K1160" s="19"/>
    </row>
    <row r="1161" spans="1:11" ht="13.2">
      <c r="A1161" s="22"/>
      <c r="B1161" s="16"/>
      <c r="C1161" s="23"/>
      <c r="D1161" s="24"/>
      <c r="E1161" s="25"/>
      <c r="F1161" s="26"/>
      <c r="G1161" s="27"/>
      <c r="H1161" s="20"/>
      <c r="I1161" s="21"/>
      <c r="J1161" s="28"/>
      <c r="K1161" s="19"/>
    </row>
    <row r="1162" spans="1:11" ht="13.2">
      <c r="A1162" s="22"/>
      <c r="B1162" s="16"/>
      <c r="C1162" s="23"/>
      <c r="D1162" s="24"/>
      <c r="E1162" s="25"/>
      <c r="F1162" s="26"/>
      <c r="G1162" s="27"/>
      <c r="H1162" s="20"/>
      <c r="I1162" s="21"/>
      <c r="J1162" s="28"/>
      <c r="K1162" s="19"/>
    </row>
    <row r="1163" spans="1:11" ht="13.2">
      <c r="A1163" s="22"/>
      <c r="B1163" s="16"/>
      <c r="C1163" s="23"/>
      <c r="D1163" s="24"/>
      <c r="E1163" s="25"/>
      <c r="F1163" s="26"/>
      <c r="G1163" s="27"/>
      <c r="H1163" s="20"/>
      <c r="I1163" s="21"/>
      <c r="J1163" s="28"/>
      <c r="K1163" s="19"/>
    </row>
    <row r="1164" spans="1:11" ht="13.2">
      <c r="A1164" s="22"/>
      <c r="B1164" s="16"/>
      <c r="C1164" s="23"/>
      <c r="D1164" s="24"/>
      <c r="E1164" s="25"/>
      <c r="F1164" s="26"/>
      <c r="G1164" s="27"/>
      <c r="H1164" s="20"/>
      <c r="I1164" s="21"/>
      <c r="J1164" s="28"/>
      <c r="K1164" s="19"/>
    </row>
    <row r="1165" spans="1:11" ht="13.2">
      <c r="A1165" s="22"/>
      <c r="B1165" s="16"/>
      <c r="C1165" s="23"/>
      <c r="D1165" s="24"/>
      <c r="E1165" s="25"/>
      <c r="F1165" s="26"/>
      <c r="G1165" s="27"/>
      <c r="H1165" s="20"/>
      <c r="I1165" s="21"/>
      <c r="J1165" s="28"/>
      <c r="K1165" s="19"/>
    </row>
    <row r="1166" spans="1:11" ht="13.2">
      <c r="A1166" s="22"/>
      <c r="B1166" s="16"/>
      <c r="C1166" s="23"/>
      <c r="D1166" s="24"/>
      <c r="E1166" s="25"/>
      <c r="F1166" s="26"/>
      <c r="G1166" s="27"/>
      <c r="H1166" s="20"/>
      <c r="I1166" s="21"/>
      <c r="J1166" s="28"/>
      <c r="K1166" s="19"/>
    </row>
    <row r="1167" spans="1:11" ht="13.2">
      <c r="A1167" s="22"/>
      <c r="B1167" s="16"/>
      <c r="C1167" s="23"/>
      <c r="D1167" s="24"/>
      <c r="E1167" s="25"/>
      <c r="F1167" s="26"/>
      <c r="G1167" s="27"/>
      <c r="H1167" s="20"/>
      <c r="I1167" s="21"/>
      <c r="J1167" s="28"/>
      <c r="K1167" s="19"/>
    </row>
    <row r="1168" spans="1:11" ht="13.2">
      <c r="A1168" s="22"/>
      <c r="B1168" s="16"/>
      <c r="C1168" s="23"/>
      <c r="D1168" s="24"/>
      <c r="E1168" s="25"/>
      <c r="F1168" s="26"/>
      <c r="G1168" s="27"/>
      <c r="H1168" s="20"/>
      <c r="I1168" s="21"/>
      <c r="J1168" s="28"/>
      <c r="K1168" s="19"/>
    </row>
    <row r="1169" spans="1:11" ht="13.2">
      <c r="A1169" s="22"/>
      <c r="B1169" s="16"/>
      <c r="C1169" s="23"/>
      <c r="D1169" s="24"/>
      <c r="E1169" s="25"/>
      <c r="F1169" s="26"/>
      <c r="G1169" s="27"/>
      <c r="H1169" s="20"/>
      <c r="I1169" s="21"/>
      <c r="J1169" s="28"/>
      <c r="K1169" s="19"/>
    </row>
    <row r="1170" spans="1:11" ht="13.2">
      <c r="A1170" s="22"/>
      <c r="B1170" s="16"/>
      <c r="C1170" s="23"/>
      <c r="D1170" s="24"/>
      <c r="E1170" s="25"/>
      <c r="F1170" s="26"/>
      <c r="G1170" s="27"/>
      <c r="H1170" s="20"/>
      <c r="I1170" s="21"/>
      <c r="J1170" s="28"/>
      <c r="K1170" s="19"/>
    </row>
    <row r="1171" spans="1:11" ht="13.2">
      <c r="A1171" s="22"/>
      <c r="B1171" s="16"/>
      <c r="C1171" s="23"/>
      <c r="D1171" s="24"/>
      <c r="E1171" s="25"/>
      <c r="F1171" s="26"/>
      <c r="G1171" s="27"/>
      <c r="H1171" s="20"/>
      <c r="I1171" s="21"/>
      <c r="J1171" s="28"/>
      <c r="K1171" s="19"/>
    </row>
    <row r="1172" spans="1:11" ht="13.2">
      <c r="A1172" s="22"/>
      <c r="B1172" s="16"/>
      <c r="C1172" s="23"/>
      <c r="D1172" s="24"/>
      <c r="E1172" s="25"/>
      <c r="F1172" s="26"/>
      <c r="G1172" s="27"/>
      <c r="H1172" s="20"/>
      <c r="I1172" s="21"/>
      <c r="J1172" s="28"/>
      <c r="K1172" s="19"/>
    </row>
    <row r="1173" spans="1:11" ht="13.2">
      <c r="A1173" s="22"/>
      <c r="B1173" s="16"/>
      <c r="C1173" s="23"/>
      <c r="D1173" s="24"/>
      <c r="E1173" s="25"/>
      <c r="F1173" s="26"/>
      <c r="G1173" s="27"/>
      <c r="H1173" s="20"/>
      <c r="I1173" s="21"/>
      <c r="J1173" s="28"/>
      <c r="K1173" s="19"/>
    </row>
    <row r="1174" spans="1:11" ht="13.2">
      <c r="A1174" s="22"/>
      <c r="B1174" s="16"/>
      <c r="C1174" s="23"/>
      <c r="D1174" s="24"/>
      <c r="E1174" s="25"/>
      <c r="F1174" s="26"/>
      <c r="G1174" s="27"/>
      <c r="H1174" s="20"/>
      <c r="I1174" s="21"/>
      <c r="J1174" s="28"/>
      <c r="K1174" s="19"/>
    </row>
    <row r="1175" spans="1:11" ht="13.2">
      <c r="A1175" s="22"/>
      <c r="B1175" s="16"/>
      <c r="C1175" s="23"/>
      <c r="D1175" s="24"/>
      <c r="E1175" s="25"/>
      <c r="F1175" s="26"/>
      <c r="G1175" s="27"/>
      <c r="H1175" s="20"/>
      <c r="I1175" s="21"/>
      <c r="J1175" s="28"/>
      <c r="K1175" s="19"/>
    </row>
    <row r="1176" spans="1:11" ht="13.2">
      <c r="A1176" s="22"/>
      <c r="B1176" s="16"/>
      <c r="C1176" s="23"/>
      <c r="D1176" s="24"/>
      <c r="E1176" s="25"/>
      <c r="F1176" s="26"/>
      <c r="G1176" s="27"/>
      <c r="H1176" s="20"/>
      <c r="I1176" s="21"/>
      <c r="J1176" s="28"/>
      <c r="K1176" s="19"/>
    </row>
    <row r="1177" spans="1:11" ht="13.2">
      <c r="A1177" s="22"/>
      <c r="B1177" s="16"/>
      <c r="C1177" s="23"/>
      <c r="D1177" s="24"/>
      <c r="E1177" s="25"/>
      <c r="F1177" s="26"/>
      <c r="G1177" s="27"/>
      <c r="H1177" s="20"/>
      <c r="I1177" s="21"/>
      <c r="J1177" s="28"/>
      <c r="K1177" s="19"/>
    </row>
    <row r="1178" spans="1:11" ht="13.2">
      <c r="A1178" s="22"/>
      <c r="B1178" s="16"/>
      <c r="C1178" s="23"/>
      <c r="D1178" s="24"/>
      <c r="E1178" s="25"/>
      <c r="F1178" s="26"/>
      <c r="G1178" s="27"/>
      <c r="H1178" s="20"/>
      <c r="I1178" s="21"/>
      <c r="J1178" s="28"/>
      <c r="K1178" s="19"/>
    </row>
    <row r="1179" spans="1:11" ht="13.2">
      <c r="A1179" s="22"/>
      <c r="B1179" s="16"/>
      <c r="C1179" s="23"/>
      <c r="D1179" s="24"/>
      <c r="E1179" s="25"/>
      <c r="F1179" s="26"/>
      <c r="G1179" s="27"/>
      <c r="H1179" s="20"/>
      <c r="I1179" s="21"/>
      <c r="J1179" s="28"/>
      <c r="K1179" s="19"/>
    </row>
    <row r="1180" spans="1:11" ht="13.2">
      <c r="A1180" s="22"/>
      <c r="B1180" s="16"/>
      <c r="C1180" s="23"/>
      <c r="D1180" s="24"/>
      <c r="E1180" s="25"/>
      <c r="F1180" s="26"/>
      <c r="G1180" s="27"/>
      <c r="H1180" s="20"/>
      <c r="I1180" s="21"/>
      <c r="J1180" s="28"/>
      <c r="K1180" s="19"/>
    </row>
    <row r="1181" spans="1:11" ht="13.2">
      <c r="A1181" s="22"/>
      <c r="B1181" s="16"/>
      <c r="C1181" s="23"/>
      <c r="D1181" s="24"/>
      <c r="E1181" s="25"/>
      <c r="F1181" s="26"/>
      <c r="G1181" s="27"/>
      <c r="H1181" s="20"/>
      <c r="I1181" s="21"/>
      <c r="J1181" s="28"/>
      <c r="K1181" s="19"/>
    </row>
    <row r="1182" spans="1:11" ht="13.2">
      <c r="A1182" s="22"/>
      <c r="B1182" s="16"/>
      <c r="C1182" s="23"/>
      <c r="D1182" s="24"/>
      <c r="E1182" s="25"/>
      <c r="F1182" s="26"/>
      <c r="G1182" s="27"/>
      <c r="H1182" s="20"/>
      <c r="I1182" s="21"/>
      <c r="J1182" s="28"/>
      <c r="K1182" s="19"/>
    </row>
    <row r="1183" spans="1:11" ht="13.2">
      <c r="A1183" s="22"/>
      <c r="B1183" s="16"/>
      <c r="C1183" s="23"/>
      <c r="D1183" s="24"/>
      <c r="E1183" s="25"/>
      <c r="F1183" s="26"/>
      <c r="G1183" s="27"/>
      <c r="H1183" s="20"/>
      <c r="I1183" s="21"/>
      <c r="J1183" s="28"/>
      <c r="K1183" s="19"/>
    </row>
    <row r="1184" spans="1:11" ht="13.2">
      <c r="A1184" s="22"/>
      <c r="B1184" s="16"/>
      <c r="C1184" s="23"/>
      <c r="D1184" s="24"/>
      <c r="E1184" s="25"/>
      <c r="F1184" s="26"/>
      <c r="G1184" s="27"/>
      <c r="H1184" s="20"/>
      <c r="I1184" s="21"/>
      <c r="J1184" s="28"/>
      <c r="K1184" s="19"/>
    </row>
    <row r="1185" spans="1:11" ht="13.2">
      <c r="A1185" s="22"/>
      <c r="B1185" s="16"/>
      <c r="C1185" s="23"/>
      <c r="D1185" s="24"/>
      <c r="E1185" s="25"/>
      <c r="F1185" s="26"/>
      <c r="G1185" s="27"/>
      <c r="H1185" s="20"/>
      <c r="I1185" s="21"/>
      <c r="J1185" s="28"/>
      <c r="K1185" s="19"/>
    </row>
    <row r="1186" spans="1:11" ht="13.2">
      <c r="A1186" s="22"/>
      <c r="B1186" s="16"/>
      <c r="C1186" s="23"/>
      <c r="D1186" s="24"/>
      <c r="E1186" s="25"/>
      <c r="F1186" s="26"/>
      <c r="G1186" s="27"/>
      <c r="H1186" s="20"/>
      <c r="I1186" s="21"/>
      <c r="J1186" s="28"/>
      <c r="K1186" s="19"/>
    </row>
    <row r="1187" spans="1:11" ht="13.2">
      <c r="A1187" s="22"/>
      <c r="B1187" s="16"/>
      <c r="C1187" s="23"/>
      <c r="D1187" s="24"/>
      <c r="E1187" s="25"/>
      <c r="F1187" s="26"/>
      <c r="G1187" s="27"/>
      <c r="H1187" s="20"/>
      <c r="I1187" s="21"/>
      <c r="J1187" s="28"/>
      <c r="K1187" s="19"/>
    </row>
    <row r="1188" spans="1:11" ht="13.2">
      <c r="A1188" s="22"/>
      <c r="B1188" s="16"/>
      <c r="C1188" s="23"/>
      <c r="D1188" s="24"/>
      <c r="E1188" s="25"/>
      <c r="F1188" s="26"/>
      <c r="G1188" s="27"/>
      <c r="H1188" s="20"/>
      <c r="I1188" s="21"/>
      <c r="J1188" s="28"/>
      <c r="K1188" s="19"/>
    </row>
    <row r="1189" spans="1:11" ht="13.2">
      <c r="A1189" s="22"/>
      <c r="B1189" s="16"/>
      <c r="C1189" s="23"/>
      <c r="D1189" s="24"/>
      <c r="E1189" s="25"/>
      <c r="F1189" s="26"/>
      <c r="G1189" s="27"/>
      <c r="H1189" s="20"/>
      <c r="I1189" s="21"/>
      <c r="J1189" s="28"/>
      <c r="K1189" s="19"/>
    </row>
    <row r="1190" spans="1:11" ht="13.2">
      <c r="A1190" s="22"/>
      <c r="B1190" s="16"/>
      <c r="C1190" s="23"/>
      <c r="D1190" s="24"/>
      <c r="E1190" s="25"/>
      <c r="F1190" s="26"/>
      <c r="G1190" s="27"/>
      <c r="H1190" s="20"/>
      <c r="I1190" s="21"/>
      <c r="J1190" s="28"/>
      <c r="K1190" s="19"/>
    </row>
    <row r="1191" spans="1:11" ht="13.2">
      <c r="A1191" s="22"/>
      <c r="B1191" s="16"/>
      <c r="C1191" s="23"/>
      <c r="D1191" s="24"/>
      <c r="E1191" s="25"/>
      <c r="F1191" s="26"/>
      <c r="G1191" s="27"/>
      <c r="H1191" s="20"/>
      <c r="I1191" s="21"/>
      <c r="J1191" s="28"/>
      <c r="K1191" s="19"/>
    </row>
    <row r="1192" spans="1:11" ht="13.2">
      <c r="A1192" s="22"/>
      <c r="B1192" s="16"/>
      <c r="C1192" s="23"/>
      <c r="D1192" s="24"/>
      <c r="E1192" s="25"/>
      <c r="F1192" s="26"/>
      <c r="G1192" s="27"/>
      <c r="H1192" s="20"/>
      <c r="I1192" s="21"/>
      <c r="J1192" s="28"/>
      <c r="K1192" s="19"/>
    </row>
    <row r="1193" spans="1:11" ht="13.2">
      <c r="A1193" s="22"/>
      <c r="B1193" s="16"/>
      <c r="C1193" s="23"/>
      <c r="D1193" s="24"/>
      <c r="E1193" s="25"/>
      <c r="F1193" s="26"/>
      <c r="G1193" s="27"/>
      <c r="H1193" s="20"/>
      <c r="I1193" s="21"/>
      <c r="J1193" s="28"/>
      <c r="K1193" s="19"/>
    </row>
    <row r="1194" spans="1:11" ht="13.2">
      <c r="A1194" s="22"/>
      <c r="B1194" s="16"/>
      <c r="C1194" s="23"/>
      <c r="D1194" s="24"/>
      <c r="E1194" s="25"/>
      <c r="F1194" s="26"/>
      <c r="G1194" s="27"/>
      <c r="H1194" s="20"/>
      <c r="I1194" s="21"/>
      <c r="J1194" s="28"/>
      <c r="K1194" s="19"/>
    </row>
    <row r="1195" spans="1:11" ht="13.2">
      <c r="A1195" s="22"/>
      <c r="B1195" s="16"/>
      <c r="C1195" s="23"/>
      <c r="D1195" s="24"/>
      <c r="E1195" s="25"/>
      <c r="F1195" s="26"/>
      <c r="G1195" s="27"/>
      <c r="H1195" s="20"/>
      <c r="I1195" s="21"/>
      <c r="J1195" s="28"/>
      <c r="K1195" s="19"/>
    </row>
    <row r="1196" spans="1:11" ht="13.2">
      <c r="A1196" s="22"/>
      <c r="B1196" s="16"/>
      <c r="C1196" s="23"/>
      <c r="D1196" s="24"/>
      <c r="E1196" s="25"/>
      <c r="F1196" s="26"/>
      <c r="G1196" s="27"/>
      <c r="H1196" s="20"/>
      <c r="I1196" s="21"/>
      <c r="J1196" s="28"/>
      <c r="K1196" s="19"/>
    </row>
    <row r="1197" spans="1:11" ht="13.2">
      <c r="A1197" s="22"/>
      <c r="B1197" s="16"/>
      <c r="C1197" s="23"/>
      <c r="D1197" s="24"/>
      <c r="E1197" s="25"/>
      <c r="F1197" s="26"/>
      <c r="G1197" s="27"/>
      <c r="H1197" s="20"/>
      <c r="I1197" s="21"/>
      <c r="J1197" s="28"/>
      <c r="K1197" s="19"/>
    </row>
    <row r="1198" spans="1:11" ht="13.2">
      <c r="A1198" s="22"/>
      <c r="B1198" s="16"/>
      <c r="C1198" s="23"/>
      <c r="D1198" s="24"/>
      <c r="E1198" s="25"/>
      <c r="F1198" s="26"/>
      <c r="G1198" s="27"/>
      <c r="H1198" s="20"/>
      <c r="I1198" s="21"/>
      <c r="J1198" s="28"/>
      <c r="K1198" s="19"/>
    </row>
    <row r="1199" spans="1:11" ht="13.2">
      <c r="A1199" s="22"/>
      <c r="B1199" s="16"/>
      <c r="C1199" s="23"/>
      <c r="D1199" s="24"/>
      <c r="E1199" s="25"/>
      <c r="F1199" s="26"/>
      <c r="G1199" s="27"/>
      <c r="H1199" s="20"/>
      <c r="I1199" s="21"/>
      <c r="J1199" s="28"/>
      <c r="K1199" s="19"/>
    </row>
    <row r="1200" spans="1:11" ht="13.2">
      <c r="A1200" s="22"/>
      <c r="B1200" s="16"/>
      <c r="C1200" s="23"/>
      <c r="D1200" s="24"/>
      <c r="E1200" s="25"/>
      <c r="F1200" s="26"/>
      <c r="G1200" s="27"/>
      <c r="H1200" s="20"/>
      <c r="I1200" s="21"/>
      <c r="J1200" s="28"/>
      <c r="K1200" s="19"/>
    </row>
    <row r="1201" spans="1:11" ht="13.2">
      <c r="A1201" s="22"/>
      <c r="B1201" s="16"/>
      <c r="C1201" s="23"/>
      <c r="D1201" s="24"/>
      <c r="E1201" s="25"/>
      <c r="F1201" s="26"/>
      <c r="G1201" s="27"/>
      <c r="H1201" s="20"/>
      <c r="I1201" s="21"/>
      <c r="J1201" s="28"/>
      <c r="K1201" s="19"/>
    </row>
    <row r="1202" spans="1:11" ht="13.2">
      <c r="A1202" s="22"/>
      <c r="B1202" s="16"/>
      <c r="C1202" s="23"/>
      <c r="D1202" s="24"/>
      <c r="E1202" s="25"/>
      <c r="F1202" s="26"/>
      <c r="G1202" s="27"/>
      <c r="H1202" s="20"/>
      <c r="I1202" s="21"/>
      <c r="J1202" s="28"/>
      <c r="K1202" s="19"/>
    </row>
    <row r="1203" spans="1:11" ht="13.2">
      <c r="A1203" s="22"/>
      <c r="B1203" s="16"/>
      <c r="C1203" s="23"/>
      <c r="D1203" s="24"/>
      <c r="E1203" s="25"/>
      <c r="F1203" s="26"/>
      <c r="G1203" s="27"/>
      <c r="H1203" s="20"/>
      <c r="I1203" s="21"/>
      <c r="J1203" s="28"/>
      <c r="K1203" s="19"/>
    </row>
    <row r="1204" spans="1:11" ht="13.2">
      <c r="A1204" s="22"/>
      <c r="B1204" s="16"/>
      <c r="C1204" s="23"/>
      <c r="D1204" s="24"/>
      <c r="E1204" s="25"/>
      <c r="F1204" s="26"/>
      <c r="G1204" s="27"/>
      <c r="H1204" s="20"/>
      <c r="I1204" s="21"/>
      <c r="J1204" s="28"/>
      <c r="K1204" s="19"/>
    </row>
    <row r="1205" spans="1:11" ht="13.2">
      <c r="A1205" s="22"/>
      <c r="B1205" s="16"/>
      <c r="C1205" s="23"/>
      <c r="D1205" s="24"/>
      <c r="E1205" s="25"/>
      <c r="F1205" s="26"/>
      <c r="G1205" s="27"/>
      <c r="H1205" s="20"/>
      <c r="I1205" s="21"/>
      <c r="J1205" s="28"/>
      <c r="K1205" s="19"/>
    </row>
    <row r="1206" spans="1:11" ht="13.2">
      <c r="A1206" s="22"/>
      <c r="B1206" s="16"/>
      <c r="C1206" s="23"/>
      <c r="D1206" s="24"/>
      <c r="E1206" s="25"/>
      <c r="F1206" s="26"/>
      <c r="G1206" s="27"/>
      <c r="H1206" s="20"/>
      <c r="I1206" s="21"/>
      <c r="J1206" s="28"/>
      <c r="K1206" s="19"/>
    </row>
    <row r="1207" spans="1:11" ht="13.2">
      <c r="A1207" s="22"/>
      <c r="B1207" s="16"/>
      <c r="C1207" s="23"/>
      <c r="D1207" s="24"/>
      <c r="E1207" s="25"/>
      <c r="F1207" s="26"/>
      <c r="G1207" s="27"/>
      <c r="H1207" s="20"/>
      <c r="I1207" s="21"/>
      <c r="J1207" s="28"/>
      <c r="K1207" s="19"/>
    </row>
    <row r="1208" spans="1:11" ht="13.2">
      <c r="A1208" s="22"/>
      <c r="B1208" s="16"/>
      <c r="C1208" s="23"/>
      <c r="D1208" s="24"/>
      <c r="E1208" s="25"/>
      <c r="F1208" s="26"/>
      <c r="G1208" s="27"/>
      <c r="H1208" s="20"/>
      <c r="I1208" s="21"/>
      <c r="J1208" s="28"/>
      <c r="K1208" s="19"/>
    </row>
    <row r="1209" spans="1:11" ht="13.2">
      <c r="A1209" s="22"/>
      <c r="B1209" s="16"/>
      <c r="C1209" s="23"/>
      <c r="D1209" s="24"/>
      <c r="E1209" s="25"/>
      <c r="F1209" s="26"/>
      <c r="G1209" s="27"/>
      <c r="H1209" s="20"/>
      <c r="I1209" s="21"/>
      <c r="J1209" s="28"/>
      <c r="K1209" s="19"/>
    </row>
    <row r="1210" spans="1:11" ht="13.2">
      <c r="A1210" s="22"/>
      <c r="B1210" s="16"/>
      <c r="C1210" s="23"/>
      <c r="D1210" s="24"/>
      <c r="E1210" s="25"/>
      <c r="F1210" s="26"/>
      <c r="G1210" s="27"/>
      <c r="H1210" s="20"/>
      <c r="I1210" s="21"/>
      <c r="J1210" s="28"/>
      <c r="K1210" s="19"/>
    </row>
    <row r="1211" spans="1:11" ht="13.2">
      <c r="A1211" s="22"/>
      <c r="B1211" s="16"/>
      <c r="C1211" s="23"/>
      <c r="D1211" s="24"/>
      <c r="E1211" s="25"/>
      <c r="F1211" s="26"/>
      <c r="G1211" s="27"/>
      <c r="H1211" s="20"/>
      <c r="I1211" s="21"/>
      <c r="J1211" s="28"/>
      <c r="K1211" s="19"/>
    </row>
    <row r="1212" spans="1:11" ht="13.2">
      <c r="A1212" s="22"/>
      <c r="B1212" s="16"/>
      <c r="C1212" s="23"/>
      <c r="D1212" s="24"/>
      <c r="E1212" s="25"/>
      <c r="F1212" s="26"/>
      <c r="G1212" s="27"/>
      <c r="H1212" s="20"/>
      <c r="I1212" s="21"/>
      <c r="J1212" s="28"/>
      <c r="K1212" s="19"/>
    </row>
    <row r="1213" spans="1:11" ht="13.2">
      <c r="A1213" s="22"/>
      <c r="B1213" s="16"/>
      <c r="C1213" s="23"/>
      <c r="D1213" s="24"/>
      <c r="E1213" s="25"/>
      <c r="F1213" s="26"/>
      <c r="G1213" s="27"/>
      <c r="H1213" s="20"/>
      <c r="I1213" s="21"/>
      <c r="J1213" s="28"/>
      <c r="K1213" s="19"/>
    </row>
    <row r="1214" spans="1:11" ht="13.2">
      <c r="A1214" s="22"/>
      <c r="B1214" s="16"/>
      <c r="C1214" s="23"/>
      <c r="D1214" s="24"/>
      <c r="E1214" s="25"/>
      <c r="F1214" s="26"/>
      <c r="G1214" s="27"/>
      <c r="H1214" s="20"/>
      <c r="I1214" s="21"/>
      <c r="J1214" s="28"/>
      <c r="K1214" s="19"/>
    </row>
    <row r="1215" spans="1:11" ht="13.2">
      <c r="A1215" s="22"/>
      <c r="B1215" s="16"/>
      <c r="C1215" s="23"/>
      <c r="D1215" s="24"/>
      <c r="E1215" s="25"/>
      <c r="F1215" s="26"/>
      <c r="G1215" s="27"/>
      <c r="H1215" s="20"/>
      <c r="I1215" s="21"/>
      <c r="J1215" s="28"/>
      <c r="K1215" s="19"/>
    </row>
    <row r="1216" spans="1:11" ht="13.2">
      <c r="A1216" s="22"/>
      <c r="B1216" s="16"/>
      <c r="C1216" s="23"/>
      <c r="D1216" s="24"/>
      <c r="E1216" s="25"/>
      <c r="F1216" s="26"/>
      <c r="G1216" s="27"/>
      <c r="H1216" s="20"/>
      <c r="I1216" s="21"/>
      <c r="J1216" s="28"/>
      <c r="K1216" s="19"/>
    </row>
    <row r="1217" spans="1:11" ht="13.2">
      <c r="A1217" s="22"/>
      <c r="B1217" s="16"/>
      <c r="C1217" s="23"/>
      <c r="D1217" s="24"/>
      <c r="E1217" s="25"/>
      <c r="F1217" s="26"/>
      <c r="G1217" s="27"/>
      <c r="H1217" s="20"/>
      <c r="I1217" s="21"/>
      <c r="J1217" s="28"/>
      <c r="K1217" s="19"/>
    </row>
    <row r="1218" spans="1:11" ht="13.2">
      <c r="A1218" s="22"/>
      <c r="B1218" s="16"/>
      <c r="C1218" s="23"/>
      <c r="D1218" s="24"/>
      <c r="E1218" s="25"/>
      <c r="F1218" s="26"/>
      <c r="G1218" s="27"/>
      <c r="H1218" s="20"/>
      <c r="I1218" s="21"/>
      <c r="J1218" s="28"/>
      <c r="K1218" s="19"/>
    </row>
    <row r="1219" spans="1:11" ht="13.2">
      <c r="A1219" s="22"/>
      <c r="B1219" s="16"/>
      <c r="C1219" s="23"/>
      <c r="D1219" s="24"/>
      <c r="E1219" s="25"/>
      <c r="F1219" s="26"/>
      <c r="G1219" s="27"/>
      <c r="H1219" s="20"/>
      <c r="I1219" s="21"/>
      <c r="J1219" s="28"/>
      <c r="K1219" s="19"/>
    </row>
    <row r="1220" spans="1:11" ht="13.2">
      <c r="A1220" s="22"/>
      <c r="B1220" s="16"/>
      <c r="C1220" s="23"/>
      <c r="D1220" s="24"/>
      <c r="E1220" s="25"/>
      <c r="F1220" s="26"/>
      <c r="G1220" s="27"/>
      <c r="H1220" s="20"/>
      <c r="I1220" s="21"/>
      <c r="J1220" s="28"/>
      <c r="K1220" s="19"/>
    </row>
    <row r="1221" spans="1:11" ht="13.2">
      <c r="A1221" s="22"/>
      <c r="B1221" s="16"/>
      <c r="C1221" s="23"/>
      <c r="D1221" s="24"/>
      <c r="E1221" s="25"/>
      <c r="F1221" s="26"/>
      <c r="G1221" s="27"/>
      <c r="H1221" s="20"/>
      <c r="I1221" s="21"/>
      <c r="J1221" s="28"/>
      <c r="K1221" s="19"/>
    </row>
    <row r="1222" spans="1:11" ht="13.2">
      <c r="A1222" s="22"/>
      <c r="B1222" s="16"/>
      <c r="C1222" s="23"/>
      <c r="D1222" s="24"/>
      <c r="E1222" s="25"/>
      <c r="F1222" s="26"/>
      <c r="G1222" s="27"/>
      <c r="H1222" s="20"/>
      <c r="I1222" s="21"/>
      <c r="J1222" s="28"/>
      <c r="K1222" s="19"/>
    </row>
    <row r="1223" spans="1:11" ht="13.2">
      <c r="A1223" s="22"/>
      <c r="B1223" s="16"/>
      <c r="C1223" s="23"/>
      <c r="D1223" s="24"/>
      <c r="E1223" s="25"/>
      <c r="F1223" s="26"/>
      <c r="G1223" s="27"/>
      <c r="H1223" s="20"/>
      <c r="I1223" s="21"/>
      <c r="J1223" s="28"/>
      <c r="K1223" s="19"/>
    </row>
    <row r="1224" spans="1:11" ht="13.2">
      <c r="A1224" s="22"/>
      <c r="B1224" s="16"/>
      <c r="C1224" s="23"/>
      <c r="D1224" s="24"/>
      <c r="E1224" s="25"/>
      <c r="F1224" s="26"/>
      <c r="G1224" s="27"/>
      <c r="H1224" s="20"/>
      <c r="I1224" s="21"/>
      <c r="J1224" s="28"/>
      <c r="K1224" s="19"/>
    </row>
    <row r="1225" spans="1:11" ht="13.2">
      <c r="A1225" s="22"/>
      <c r="B1225" s="16"/>
      <c r="C1225" s="23"/>
      <c r="D1225" s="24"/>
      <c r="E1225" s="25"/>
      <c r="F1225" s="26"/>
      <c r="G1225" s="27"/>
      <c r="H1225" s="20"/>
      <c r="I1225" s="21"/>
      <c r="J1225" s="28"/>
      <c r="K1225" s="19"/>
    </row>
    <row r="1226" spans="1:11" ht="13.2">
      <c r="A1226" s="22"/>
      <c r="B1226" s="16"/>
      <c r="C1226" s="23"/>
      <c r="D1226" s="24"/>
      <c r="E1226" s="25"/>
      <c r="F1226" s="26"/>
      <c r="G1226" s="27"/>
      <c r="H1226" s="20"/>
      <c r="I1226" s="21"/>
      <c r="J1226" s="28"/>
      <c r="K1226" s="19"/>
    </row>
    <row r="1227" spans="1:11" ht="13.2">
      <c r="A1227" s="22"/>
      <c r="B1227" s="16"/>
      <c r="C1227" s="23"/>
      <c r="D1227" s="24"/>
      <c r="E1227" s="25"/>
      <c r="F1227" s="26"/>
      <c r="G1227" s="27"/>
      <c r="H1227" s="20"/>
      <c r="I1227" s="21"/>
      <c r="J1227" s="28"/>
      <c r="K1227" s="19"/>
    </row>
    <row r="1228" spans="1:11" ht="13.2">
      <c r="A1228" s="22"/>
      <c r="B1228" s="16"/>
      <c r="C1228" s="23"/>
      <c r="D1228" s="24"/>
      <c r="E1228" s="25"/>
      <c r="F1228" s="26"/>
      <c r="G1228" s="27"/>
      <c r="H1228" s="20"/>
      <c r="I1228" s="21"/>
      <c r="J1228" s="28"/>
      <c r="K1228" s="19"/>
    </row>
    <row r="1229" spans="1:11" ht="13.2">
      <c r="A1229" s="22"/>
      <c r="B1229" s="16"/>
      <c r="C1229" s="23"/>
      <c r="D1229" s="24"/>
      <c r="E1229" s="25"/>
      <c r="F1229" s="26"/>
      <c r="G1229" s="27"/>
      <c r="H1229" s="20"/>
      <c r="I1229" s="21"/>
      <c r="J1229" s="28"/>
      <c r="K1229" s="19"/>
    </row>
    <row r="1230" spans="1:11" ht="13.2">
      <c r="A1230" s="22"/>
      <c r="B1230" s="16"/>
      <c r="C1230" s="23"/>
      <c r="D1230" s="24"/>
      <c r="E1230" s="25"/>
      <c r="F1230" s="26"/>
      <c r="G1230" s="27"/>
      <c r="H1230" s="20"/>
      <c r="I1230" s="21"/>
      <c r="J1230" s="28"/>
      <c r="K1230" s="19"/>
    </row>
    <row r="1231" spans="1:11" ht="13.2">
      <c r="A1231" s="22"/>
      <c r="B1231" s="16"/>
      <c r="C1231" s="23"/>
      <c r="D1231" s="24"/>
      <c r="E1231" s="25"/>
      <c r="F1231" s="26"/>
      <c r="G1231" s="27"/>
      <c r="H1231" s="20"/>
      <c r="I1231" s="21"/>
      <c r="J1231" s="28"/>
      <c r="K1231" s="19"/>
    </row>
    <row r="1232" spans="1:11" ht="13.2">
      <c r="A1232" s="22"/>
      <c r="B1232" s="16"/>
      <c r="C1232" s="23"/>
      <c r="D1232" s="24"/>
      <c r="E1232" s="25"/>
      <c r="F1232" s="26"/>
      <c r="G1232" s="27"/>
      <c r="H1232" s="20"/>
      <c r="I1232" s="21"/>
      <c r="J1232" s="28"/>
      <c r="K1232" s="19"/>
    </row>
    <row r="1233" spans="1:11" ht="13.2">
      <c r="A1233" s="22"/>
      <c r="B1233" s="16"/>
      <c r="C1233" s="23"/>
      <c r="D1233" s="24"/>
      <c r="E1233" s="25"/>
      <c r="F1233" s="26"/>
      <c r="G1233" s="27"/>
      <c r="H1233" s="20"/>
      <c r="I1233" s="21"/>
      <c r="J1233" s="28"/>
      <c r="K1233" s="19"/>
    </row>
    <row r="1234" spans="1:11" ht="13.2">
      <c r="A1234" s="22"/>
      <c r="B1234" s="16"/>
      <c r="C1234" s="23"/>
      <c r="D1234" s="24"/>
      <c r="E1234" s="25"/>
      <c r="F1234" s="26"/>
      <c r="G1234" s="27"/>
      <c r="H1234" s="20"/>
      <c r="I1234" s="21"/>
      <c r="J1234" s="28"/>
      <c r="K1234" s="19"/>
    </row>
    <row r="1235" spans="1:11" ht="13.2">
      <c r="A1235" s="22"/>
      <c r="B1235" s="16"/>
      <c r="C1235" s="23"/>
      <c r="D1235" s="24"/>
      <c r="E1235" s="25"/>
      <c r="F1235" s="26"/>
      <c r="G1235" s="27"/>
      <c r="H1235" s="20"/>
      <c r="I1235" s="21"/>
      <c r="J1235" s="28"/>
      <c r="K1235" s="19"/>
    </row>
    <row r="1236" spans="1:11" ht="13.2">
      <c r="A1236" s="22"/>
      <c r="B1236" s="16"/>
      <c r="C1236" s="23"/>
      <c r="D1236" s="24"/>
      <c r="E1236" s="25"/>
      <c r="F1236" s="26"/>
      <c r="G1236" s="27"/>
      <c r="H1236" s="20"/>
      <c r="I1236" s="21"/>
      <c r="J1236" s="28"/>
      <c r="K1236" s="19"/>
    </row>
    <row r="1237" spans="1:11" ht="13.2">
      <c r="A1237" s="22"/>
      <c r="B1237" s="16"/>
      <c r="C1237" s="23"/>
      <c r="D1237" s="24"/>
      <c r="E1237" s="25"/>
      <c r="F1237" s="26"/>
      <c r="G1237" s="27"/>
      <c r="H1237" s="20"/>
      <c r="I1237" s="21"/>
      <c r="J1237" s="28"/>
      <c r="K1237" s="19"/>
    </row>
    <row r="1238" spans="1:11" ht="13.2">
      <c r="A1238" s="22"/>
      <c r="B1238" s="16"/>
      <c r="C1238" s="23"/>
      <c r="D1238" s="24"/>
      <c r="E1238" s="25"/>
      <c r="F1238" s="26"/>
      <c r="G1238" s="27"/>
      <c r="H1238" s="20"/>
      <c r="I1238" s="21"/>
      <c r="J1238" s="28"/>
      <c r="K1238" s="19"/>
    </row>
    <row r="1239" spans="1:11" ht="13.2">
      <c r="A1239" s="22"/>
      <c r="B1239" s="16"/>
      <c r="C1239" s="23"/>
      <c r="D1239" s="24"/>
      <c r="E1239" s="25"/>
      <c r="F1239" s="26"/>
      <c r="G1239" s="27"/>
      <c r="H1239" s="20"/>
      <c r="I1239" s="21"/>
      <c r="J1239" s="28"/>
      <c r="K1239" s="19"/>
    </row>
    <row r="1240" spans="1:11" ht="13.2">
      <c r="A1240" s="22"/>
      <c r="B1240" s="16"/>
      <c r="C1240" s="23"/>
      <c r="D1240" s="24"/>
      <c r="E1240" s="25"/>
      <c r="F1240" s="26"/>
      <c r="G1240" s="27"/>
      <c r="H1240" s="20"/>
      <c r="I1240" s="21"/>
      <c r="J1240" s="28"/>
      <c r="K1240" s="19"/>
    </row>
    <row r="1241" spans="1:11" ht="13.2">
      <c r="A1241" s="22"/>
      <c r="B1241" s="16"/>
      <c r="C1241" s="23"/>
      <c r="D1241" s="24"/>
      <c r="E1241" s="25"/>
      <c r="F1241" s="26"/>
      <c r="G1241" s="27"/>
      <c r="H1241" s="20"/>
      <c r="I1241" s="21"/>
      <c r="J1241" s="28"/>
      <c r="K1241" s="19"/>
    </row>
    <row r="1242" spans="1:11" ht="13.2">
      <c r="A1242" s="22"/>
      <c r="B1242" s="16"/>
      <c r="C1242" s="23"/>
      <c r="D1242" s="24"/>
      <c r="E1242" s="25"/>
      <c r="F1242" s="26"/>
      <c r="G1242" s="27"/>
      <c r="H1242" s="20"/>
      <c r="I1242" s="21"/>
      <c r="J1242" s="28"/>
      <c r="K1242" s="19"/>
    </row>
    <row r="1243" spans="1:11" ht="13.2">
      <c r="A1243" s="22"/>
      <c r="B1243" s="16"/>
      <c r="C1243" s="23"/>
      <c r="D1243" s="24"/>
      <c r="E1243" s="25"/>
      <c r="F1243" s="26"/>
      <c r="G1243" s="27"/>
      <c r="H1243" s="20"/>
      <c r="I1243" s="21"/>
      <c r="J1243" s="28"/>
      <c r="K1243" s="19"/>
    </row>
    <row r="1244" spans="1:11" ht="13.2">
      <c r="A1244" s="22"/>
      <c r="B1244" s="16"/>
      <c r="C1244" s="23"/>
      <c r="D1244" s="24"/>
      <c r="E1244" s="25"/>
      <c r="F1244" s="26"/>
      <c r="G1244" s="27"/>
      <c r="H1244" s="20"/>
      <c r="I1244" s="21"/>
      <c r="J1244" s="28"/>
      <c r="K1244" s="19"/>
    </row>
    <row r="1245" spans="1:11" ht="13.2">
      <c r="A1245" s="22"/>
      <c r="B1245" s="16"/>
      <c r="C1245" s="23"/>
      <c r="D1245" s="24"/>
      <c r="E1245" s="25"/>
      <c r="F1245" s="26"/>
      <c r="G1245" s="27"/>
      <c r="H1245" s="20"/>
      <c r="I1245" s="21"/>
      <c r="J1245" s="28"/>
      <c r="K1245" s="19"/>
    </row>
    <row r="1246" spans="1:11" ht="13.2">
      <c r="A1246" s="22"/>
      <c r="B1246" s="16"/>
      <c r="C1246" s="23"/>
      <c r="D1246" s="24"/>
      <c r="E1246" s="25"/>
      <c r="F1246" s="26"/>
      <c r="G1246" s="27"/>
      <c r="H1246" s="20"/>
      <c r="I1246" s="21"/>
      <c r="J1246" s="28"/>
      <c r="K1246" s="19"/>
    </row>
    <row r="1247" spans="1:11" ht="13.2">
      <c r="A1247" s="22"/>
      <c r="B1247" s="16"/>
      <c r="C1247" s="23"/>
      <c r="D1247" s="24"/>
      <c r="E1247" s="25"/>
      <c r="F1247" s="26"/>
      <c r="G1247" s="27"/>
      <c r="H1247" s="20"/>
      <c r="I1247" s="21"/>
      <c r="J1247" s="28"/>
      <c r="K1247" s="19"/>
    </row>
    <row r="1248" spans="1:11" ht="13.2">
      <c r="A1248" s="22"/>
      <c r="B1248" s="16"/>
      <c r="C1248" s="23"/>
      <c r="D1248" s="24"/>
      <c r="E1248" s="25"/>
      <c r="F1248" s="26"/>
      <c r="G1248" s="27"/>
      <c r="H1248" s="20"/>
      <c r="I1248" s="21"/>
      <c r="J1248" s="28"/>
      <c r="K1248" s="19"/>
    </row>
    <row r="1249" spans="1:11" ht="13.2">
      <c r="A1249" s="22"/>
      <c r="B1249" s="16"/>
      <c r="C1249" s="23"/>
      <c r="D1249" s="24"/>
      <c r="E1249" s="25"/>
      <c r="F1249" s="26"/>
      <c r="G1249" s="27"/>
      <c r="H1249" s="20"/>
      <c r="I1249" s="21"/>
      <c r="J1249" s="28"/>
      <c r="K1249" s="19"/>
    </row>
    <row r="1250" spans="1:11" ht="13.2">
      <c r="A1250" s="22"/>
      <c r="B1250" s="16"/>
      <c r="C1250" s="23"/>
      <c r="D1250" s="24"/>
      <c r="E1250" s="25"/>
      <c r="F1250" s="26"/>
      <c r="G1250" s="27"/>
      <c r="H1250" s="20"/>
      <c r="I1250" s="21"/>
      <c r="J1250" s="28"/>
      <c r="K1250" s="19"/>
    </row>
    <row r="1251" spans="1:11" ht="13.2">
      <c r="A1251" s="22"/>
      <c r="B1251" s="16"/>
      <c r="C1251" s="23"/>
      <c r="D1251" s="24"/>
      <c r="E1251" s="25"/>
      <c r="F1251" s="26"/>
      <c r="G1251" s="27"/>
      <c r="H1251" s="20"/>
      <c r="I1251" s="21"/>
      <c r="J1251" s="28"/>
      <c r="K1251" s="19"/>
    </row>
    <row r="1252" spans="1:11" ht="13.2">
      <c r="A1252" s="22"/>
      <c r="B1252" s="16"/>
      <c r="C1252" s="23"/>
      <c r="D1252" s="24"/>
      <c r="E1252" s="25"/>
      <c r="F1252" s="26"/>
      <c r="G1252" s="27"/>
      <c r="H1252" s="20"/>
      <c r="I1252" s="21"/>
      <c r="J1252" s="28"/>
      <c r="K1252" s="19"/>
    </row>
    <row r="1253" spans="1:11" ht="13.2">
      <c r="A1253" s="22"/>
      <c r="B1253" s="16"/>
      <c r="C1253" s="23"/>
      <c r="D1253" s="24"/>
      <c r="E1253" s="25"/>
      <c r="F1253" s="26"/>
      <c r="G1253" s="27"/>
      <c r="H1253" s="20"/>
      <c r="I1253" s="21"/>
      <c r="J1253" s="28"/>
      <c r="K1253" s="19"/>
    </row>
    <row r="1254" spans="1:11" ht="13.2">
      <c r="A1254" s="22"/>
      <c r="B1254" s="16"/>
      <c r="C1254" s="23"/>
      <c r="D1254" s="24"/>
      <c r="E1254" s="25"/>
      <c r="F1254" s="26"/>
      <c r="G1254" s="27"/>
      <c r="H1254" s="20"/>
      <c r="I1254" s="21"/>
      <c r="J1254" s="28"/>
      <c r="K1254" s="19"/>
    </row>
    <row r="1255" spans="1:11" ht="13.2">
      <c r="A1255" s="22"/>
      <c r="B1255" s="16"/>
      <c r="C1255" s="23"/>
      <c r="D1255" s="24"/>
      <c r="E1255" s="25"/>
      <c r="F1255" s="26"/>
      <c r="G1255" s="27"/>
      <c r="H1255" s="20"/>
      <c r="I1255" s="21"/>
      <c r="J1255" s="28"/>
      <c r="K1255" s="19"/>
    </row>
    <row r="1256" spans="1:11" ht="13.2">
      <c r="A1256" s="22"/>
      <c r="B1256" s="16"/>
      <c r="C1256" s="23"/>
      <c r="D1256" s="24"/>
      <c r="E1256" s="25"/>
      <c r="F1256" s="26"/>
      <c r="G1256" s="27"/>
      <c r="H1256" s="20"/>
      <c r="I1256" s="21"/>
      <c r="J1256" s="28"/>
      <c r="K1256" s="19"/>
    </row>
    <row r="1257" spans="1:11" ht="13.2">
      <c r="A1257" s="22"/>
      <c r="B1257" s="16"/>
      <c r="C1257" s="23"/>
      <c r="D1257" s="24"/>
      <c r="E1257" s="25"/>
      <c r="F1257" s="26"/>
      <c r="G1257" s="27"/>
      <c r="H1257" s="20"/>
      <c r="I1257" s="21"/>
      <c r="J1257" s="28"/>
      <c r="K1257" s="19"/>
    </row>
    <row r="1258" spans="1:11" ht="13.2">
      <c r="A1258" s="22"/>
      <c r="B1258" s="16"/>
      <c r="C1258" s="23"/>
      <c r="D1258" s="24"/>
      <c r="E1258" s="25"/>
      <c r="F1258" s="26"/>
      <c r="G1258" s="27"/>
      <c r="H1258" s="20"/>
      <c r="I1258" s="21"/>
      <c r="J1258" s="28"/>
      <c r="K1258" s="19"/>
    </row>
    <row r="1259" spans="1:11" ht="13.2">
      <c r="A1259" s="22"/>
      <c r="B1259" s="16"/>
      <c r="C1259" s="23"/>
      <c r="D1259" s="24"/>
      <c r="E1259" s="25"/>
      <c r="F1259" s="26"/>
      <c r="G1259" s="27"/>
      <c r="H1259" s="20"/>
      <c r="I1259" s="21"/>
      <c r="J1259" s="28"/>
      <c r="K1259" s="19"/>
    </row>
    <row r="1260" spans="1:11" ht="13.2">
      <c r="A1260" s="22"/>
      <c r="B1260" s="16"/>
      <c r="C1260" s="23"/>
      <c r="D1260" s="24"/>
      <c r="E1260" s="25"/>
      <c r="F1260" s="26"/>
      <c r="G1260" s="27"/>
      <c r="H1260" s="20"/>
      <c r="I1260" s="21"/>
      <c r="J1260" s="28"/>
      <c r="K1260" s="19"/>
    </row>
    <row r="1261" spans="1:11" ht="13.2">
      <c r="A1261" s="22"/>
      <c r="B1261" s="16"/>
      <c r="C1261" s="23"/>
      <c r="D1261" s="24"/>
      <c r="E1261" s="25"/>
      <c r="F1261" s="26"/>
      <c r="G1261" s="27"/>
      <c r="H1261" s="20"/>
      <c r="I1261" s="21"/>
      <c r="J1261" s="28"/>
      <c r="K1261" s="19"/>
    </row>
    <row r="1262" spans="1:11" ht="13.2">
      <c r="A1262" s="22"/>
      <c r="B1262" s="16"/>
      <c r="C1262" s="23"/>
      <c r="D1262" s="24"/>
      <c r="E1262" s="25"/>
      <c r="F1262" s="26"/>
      <c r="G1262" s="27"/>
      <c r="H1262" s="20"/>
      <c r="I1262" s="21"/>
      <c r="J1262" s="28"/>
      <c r="K1262" s="19"/>
    </row>
    <row r="1263" spans="1:11" ht="13.2">
      <c r="A1263" s="22"/>
      <c r="B1263" s="16"/>
      <c r="C1263" s="23"/>
      <c r="D1263" s="24"/>
      <c r="E1263" s="25"/>
      <c r="F1263" s="26"/>
      <c r="G1263" s="27"/>
      <c r="H1263" s="20"/>
      <c r="I1263" s="21"/>
      <c r="J1263" s="28"/>
      <c r="K1263" s="19"/>
    </row>
    <row r="1264" spans="1:11" ht="13.2">
      <c r="A1264" s="22"/>
      <c r="B1264" s="16"/>
      <c r="C1264" s="23"/>
      <c r="D1264" s="24"/>
      <c r="E1264" s="25"/>
      <c r="F1264" s="26"/>
      <c r="G1264" s="27"/>
      <c r="H1264" s="20"/>
      <c r="I1264" s="21"/>
      <c r="J1264" s="28"/>
      <c r="K1264" s="19"/>
    </row>
    <row r="1265" spans="1:11" ht="13.2">
      <c r="A1265" s="22"/>
      <c r="B1265" s="16"/>
      <c r="C1265" s="23"/>
      <c r="D1265" s="24"/>
      <c r="E1265" s="25"/>
      <c r="F1265" s="26"/>
      <c r="G1265" s="27"/>
      <c r="H1265" s="20"/>
      <c r="I1265" s="21"/>
      <c r="J1265" s="28"/>
      <c r="K1265" s="19"/>
    </row>
    <row r="1266" spans="1:11" ht="13.2">
      <c r="A1266" s="22"/>
      <c r="B1266" s="16"/>
      <c r="C1266" s="23"/>
      <c r="D1266" s="24"/>
      <c r="E1266" s="25"/>
      <c r="F1266" s="26"/>
      <c r="G1266" s="27"/>
      <c r="H1266" s="20"/>
      <c r="I1266" s="21"/>
      <c r="J1266" s="28"/>
      <c r="K1266" s="19"/>
    </row>
    <row r="1267" spans="1:11" ht="13.2">
      <c r="A1267" s="22"/>
      <c r="B1267" s="16"/>
      <c r="C1267" s="23"/>
      <c r="D1267" s="24"/>
      <c r="E1267" s="25"/>
      <c r="F1267" s="26"/>
      <c r="G1267" s="27"/>
      <c r="H1267" s="20"/>
      <c r="I1267" s="21"/>
      <c r="J1267" s="28"/>
      <c r="K1267" s="19"/>
    </row>
    <row r="1268" spans="1:11" ht="13.2">
      <c r="A1268" s="22"/>
      <c r="B1268" s="16"/>
      <c r="C1268" s="23"/>
      <c r="D1268" s="24"/>
      <c r="E1268" s="25"/>
      <c r="F1268" s="26"/>
      <c r="G1268" s="27"/>
      <c r="H1268" s="20"/>
      <c r="I1268" s="21"/>
      <c r="J1268" s="28"/>
      <c r="K1268" s="19"/>
    </row>
    <row r="1269" spans="1:11" ht="13.2">
      <c r="A1269" s="22"/>
      <c r="B1269" s="16"/>
      <c r="C1269" s="23"/>
      <c r="D1269" s="24"/>
      <c r="E1269" s="25"/>
      <c r="F1269" s="26"/>
      <c r="G1269" s="27"/>
      <c r="H1269" s="20"/>
      <c r="I1269" s="21"/>
      <c r="J1269" s="28"/>
      <c r="K1269" s="19"/>
    </row>
    <row r="1270" spans="1:11" ht="13.2">
      <c r="A1270" s="22"/>
      <c r="B1270" s="16"/>
      <c r="C1270" s="23"/>
      <c r="D1270" s="24"/>
      <c r="E1270" s="25"/>
      <c r="F1270" s="26"/>
      <c r="G1270" s="27"/>
      <c r="H1270" s="20"/>
      <c r="I1270" s="21"/>
      <c r="J1270" s="28"/>
      <c r="K1270" s="19"/>
    </row>
    <row r="1271" spans="1:11" ht="13.2">
      <c r="A1271" s="22"/>
      <c r="B1271" s="16"/>
      <c r="C1271" s="23"/>
      <c r="D1271" s="24"/>
      <c r="E1271" s="25"/>
      <c r="F1271" s="26"/>
      <c r="G1271" s="27"/>
      <c r="H1271" s="20"/>
      <c r="I1271" s="21"/>
      <c r="J1271" s="28"/>
      <c r="K1271" s="19"/>
    </row>
    <row r="1272" spans="1:11" ht="13.2">
      <c r="A1272" s="22"/>
      <c r="B1272" s="16"/>
      <c r="C1272" s="23"/>
      <c r="D1272" s="24"/>
      <c r="E1272" s="25"/>
      <c r="F1272" s="26"/>
      <c r="G1272" s="27"/>
      <c r="H1272" s="20"/>
      <c r="I1272" s="21"/>
      <c r="J1272" s="28"/>
      <c r="K1272" s="19"/>
    </row>
    <row r="1273" spans="1:11" ht="13.2">
      <c r="A1273" s="22"/>
      <c r="B1273" s="16"/>
      <c r="C1273" s="23"/>
      <c r="D1273" s="24"/>
      <c r="E1273" s="25"/>
      <c r="F1273" s="26"/>
      <c r="G1273" s="27"/>
      <c r="H1273" s="20"/>
      <c r="I1273" s="21"/>
      <c r="J1273" s="28"/>
      <c r="K1273" s="19"/>
    </row>
    <row r="1274" spans="1:11" ht="13.2">
      <c r="A1274" s="22"/>
      <c r="B1274" s="16"/>
      <c r="C1274" s="23"/>
      <c r="D1274" s="24"/>
      <c r="E1274" s="25"/>
      <c r="F1274" s="26"/>
      <c r="G1274" s="27"/>
      <c r="H1274" s="20"/>
      <c r="I1274" s="21"/>
      <c r="J1274" s="28"/>
      <c r="K1274" s="19"/>
    </row>
    <row r="1275" spans="1:11" ht="13.2">
      <c r="A1275" s="22"/>
      <c r="B1275" s="16"/>
      <c r="C1275" s="23"/>
      <c r="D1275" s="24"/>
      <c r="E1275" s="25"/>
      <c r="F1275" s="26"/>
      <c r="G1275" s="27"/>
      <c r="H1275" s="20"/>
      <c r="I1275" s="21"/>
      <c r="J1275" s="28"/>
      <c r="K1275" s="19"/>
    </row>
    <row r="1276" spans="1:11" ht="13.2">
      <c r="A1276" s="22"/>
      <c r="B1276" s="16"/>
      <c r="C1276" s="23"/>
      <c r="D1276" s="24"/>
      <c r="E1276" s="25"/>
      <c r="F1276" s="26"/>
      <c r="G1276" s="27"/>
      <c r="H1276" s="20"/>
      <c r="I1276" s="21"/>
      <c r="J1276" s="28"/>
      <c r="K1276" s="19"/>
    </row>
    <row r="1277" spans="1:11" ht="13.2">
      <c r="A1277" s="22"/>
      <c r="B1277" s="16"/>
      <c r="C1277" s="23"/>
      <c r="D1277" s="24"/>
      <c r="E1277" s="25"/>
      <c r="F1277" s="26"/>
      <c r="G1277" s="27"/>
      <c r="H1277" s="20"/>
      <c r="I1277" s="21"/>
      <c r="J1277" s="28"/>
      <c r="K1277" s="19"/>
    </row>
    <row r="1278" spans="1:11" ht="13.2">
      <c r="A1278" s="22"/>
      <c r="B1278" s="16"/>
      <c r="C1278" s="23"/>
      <c r="D1278" s="24"/>
      <c r="E1278" s="25"/>
      <c r="F1278" s="26"/>
      <c r="G1278" s="27"/>
      <c r="H1278" s="20"/>
      <c r="I1278" s="21"/>
      <c r="J1278" s="28"/>
      <c r="K1278" s="19"/>
    </row>
    <row r="1279" spans="1:11" ht="13.2">
      <c r="A1279" s="22"/>
      <c r="B1279" s="16"/>
      <c r="C1279" s="23"/>
      <c r="D1279" s="24"/>
      <c r="E1279" s="25"/>
      <c r="F1279" s="26"/>
      <c r="G1279" s="27"/>
      <c r="H1279" s="20"/>
      <c r="I1279" s="21"/>
      <c r="J1279" s="28"/>
      <c r="K1279" s="19"/>
    </row>
    <row r="1280" spans="1:11" ht="13.2">
      <c r="A1280" s="22"/>
      <c r="B1280" s="16"/>
      <c r="C1280" s="23"/>
      <c r="D1280" s="24"/>
      <c r="E1280" s="25"/>
      <c r="F1280" s="26"/>
      <c r="G1280" s="27"/>
      <c r="H1280" s="20"/>
      <c r="I1280" s="21"/>
      <c r="J1280" s="28"/>
      <c r="K1280" s="19"/>
    </row>
    <row r="1281" spans="1:11" ht="13.2">
      <c r="A1281" s="22"/>
      <c r="B1281" s="16"/>
      <c r="C1281" s="23"/>
      <c r="D1281" s="24"/>
      <c r="E1281" s="25"/>
      <c r="F1281" s="26"/>
      <c r="G1281" s="27"/>
      <c r="H1281" s="20"/>
      <c r="I1281" s="21"/>
      <c r="J1281" s="28"/>
      <c r="K1281" s="19"/>
    </row>
    <row r="1282" spans="1:11" ht="13.2">
      <c r="A1282" s="22"/>
      <c r="B1282" s="16"/>
      <c r="C1282" s="23"/>
      <c r="D1282" s="24"/>
      <c r="E1282" s="25"/>
      <c r="F1282" s="26"/>
      <c r="G1282" s="27"/>
      <c r="H1282" s="20"/>
      <c r="I1282" s="21"/>
      <c r="J1282" s="28"/>
      <c r="K1282" s="19"/>
    </row>
    <row r="1283" spans="1:11" ht="13.2">
      <c r="A1283" s="22"/>
      <c r="B1283" s="16"/>
      <c r="C1283" s="23"/>
      <c r="D1283" s="24"/>
      <c r="E1283" s="25"/>
      <c r="F1283" s="26"/>
      <c r="G1283" s="27"/>
      <c r="H1283" s="20"/>
      <c r="I1283" s="21"/>
      <c r="J1283" s="28"/>
      <c r="K1283" s="19"/>
    </row>
    <row r="1284" spans="1:11" ht="13.2">
      <c r="A1284" s="22"/>
      <c r="B1284" s="16"/>
      <c r="C1284" s="23"/>
      <c r="D1284" s="24"/>
      <c r="E1284" s="25"/>
      <c r="F1284" s="26"/>
      <c r="G1284" s="27"/>
      <c r="H1284" s="20"/>
      <c r="I1284" s="21"/>
      <c r="J1284" s="28"/>
      <c r="K1284" s="19"/>
    </row>
    <row r="1285" spans="1:11" ht="13.2">
      <c r="A1285" s="22"/>
      <c r="B1285" s="16"/>
      <c r="C1285" s="23"/>
      <c r="D1285" s="24"/>
      <c r="E1285" s="25"/>
      <c r="F1285" s="26"/>
      <c r="G1285" s="27"/>
      <c r="H1285" s="20"/>
      <c r="I1285" s="21"/>
      <c r="J1285" s="28"/>
      <c r="K1285" s="19"/>
    </row>
    <row r="1286" spans="1:11" ht="13.2">
      <c r="A1286" s="22"/>
      <c r="B1286" s="16"/>
      <c r="C1286" s="23"/>
      <c r="D1286" s="24"/>
      <c r="E1286" s="25"/>
      <c r="F1286" s="26"/>
      <c r="G1286" s="27"/>
      <c r="H1286" s="20"/>
      <c r="I1286" s="21"/>
      <c r="J1286" s="28"/>
      <c r="K1286" s="19"/>
    </row>
    <row r="1287" spans="1:11" ht="13.2">
      <c r="A1287" s="22"/>
      <c r="B1287" s="16"/>
      <c r="C1287" s="23"/>
      <c r="D1287" s="24"/>
      <c r="E1287" s="25"/>
      <c r="F1287" s="26"/>
      <c r="G1287" s="27"/>
      <c r="H1287" s="20"/>
      <c r="I1287" s="21"/>
      <c r="J1287" s="28"/>
      <c r="K1287" s="19"/>
    </row>
    <row r="1288" spans="1:11" ht="13.2">
      <c r="A1288" s="22"/>
      <c r="B1288" s="16"/>
      <c r="C1288" s="23"/>
      <c r="D1288" s="24"/>
      <c r="E1288" s="25"/>
      <c r="F1288" s="26"/>
      <c r="G1288" s="27"/>
      <c r="H1288" s="20"/>
      <c r="I1288" s="21"/>
      <c r="J1288" s="28"/>
      <c r="K1288" s="19"/>
    </row>
    <row r="1289" spans="1:11" ht="13.2">
      <c r="A1289" s="22"/>
      <c r="B1289" s="16"/>
      <c r="C1289" s="23"/>
      <c r="D1289" s="24"/>
      <c r="E1289" s="25"/>
      <c r="F1289" s="26"/>
      <c r="G1289" s="27"/>
      <c r="H1289" s="20"/>
      <c r="I1289" s="21"/>
      <c r="J1289" s="28"/>
      <c r="K1289" s="19"/>
    </row>
    <row r="1290" spans="1:11" ht="13.2">
      <c r="A1290" s="22"/>
      <c r="B1290" s="16"/>
      <c r="C1290" s="23"/>
      <c r="D1290" s="24"/>
      <c r="E1290" s="25"/>
      <c r="F1290" s="26"/>
      <c r="G1290" s="27"/>
      <c r="H1290" s="20"/>
      <c r="I1290" s="21"/>
      <c r="J1290" s="28"/>
      <c r="K1290" s="19"/>
    </row>
    <row r="1291" spans="1:11" ht="13.2">
      <c r="A1291" s="22"/>
      <c r="B1291" s="16"/>
      <c r="C1291" s="23"/>
      <c r="D1291" s="24"/>
      <c r="E1291" s="25"/>
      <c r="F1291" s="26"/>
      <c r="G1291" s="27"/>
      <c r="H1291" s="20"/>
      <c r="I1291" s="21"/>
      <c r="J1291" s="28"/>
      <c r="K1291" s="19"/>
    </row>
    <row r="1292" spans="1:11" ht="13.2">
      <c r="A1292" s="22"/>
      <c r="B1292" s="16"/>
      <c r="C1292" s="23"/>
      <c r="D1292" s="24"/>
      <c r="E1292" s="25"/>
      <c r="F1292" s="26"/>
      <c r="G1292" s="27"/>
      <c r="H1292" s="20"/>
      <c r="I1292" s="21"/>
      <c r="J1292" s="28"/>
      <c r="K1292" s="19"/>
    </row>
    <row r="1293" spans="1:11" ht="13.2">
      <c r="A1293" s="22"/>
      <c r="B1293" s="16"/>
      <c r="C1293" s="23"/>
      <c r="D1293" s="24"/>
      <c r="E1293" s="25"/>
      <c r="F1293" s="26"/>
      <c r="G1293" s="27"/>
      <c r="H1293" s="20"/>
      <c r="I1293" s="21"/>
      <c r="J1293" s="28"/>
      <c r="K1293" s="19"/>
    </row>
    <row r="1294" spans="1:11" ht="13.2">
      <c r="A1294" s="22"/>
      <c r="B1294" s="16"/>
      <c r="C1294" s="23"/>
      <c r="D1294" s="24"/>
      <c r="E1294" s="25"/>
      <c r="F1294" s="26"/>
      <c r="G1294" s="27"/>
      <c r="H1294" s="20"/>
      <c r="I1294" s="21"/>
      <c r="J1294" s="28"/>
      <c r="K1294" s="19"/>
    </row>
    <row r="1295" spans="1:11" ht="13.2">
      <c r="A1295" s="22"/>
      <c r="B1295" s="16"/>
      <c r="C1295" s="23"/>
      <c r="D1295" s="24"/>
      <c r="E1295" s="25"/>
      <c r="F1295" s="26"/>
      <c r="G1295" s="27"/>
      <c r="H1295" s="20"/>
      <c r="I1295" s="21"/>
      <c r="J1295" s="28"/>
      <c r="K1295" s="19"/>
    </row>
    <row r="1296" spans="1:11" ht="13.2">
      <c r="A1296" s="22"/>
      <c r="B1296" s="16"/>
      <c r="C1296" s="23"/>
      <c r="D1296" s="24"/>
      <c r="E1296" s="25"/>
      <c r="F1296" s="26"/>
      <c r="G1296" s="27"/>
      <c r="H1296" s="20"/>
      <c r="I1296" s="21"/>
      <c r="J1296" s="28"/>
      <c r="K1296" s="19"/>
    </row>
    <row r="1297" spans="1:11" ht="13.2">
      <c r="A1297" s="22"/>
      <c r="B1297" s="16"/>
      <c r="C1297" s="23"/>
      <c r="D1297" s="24"/>
      <c r="E1297" s="25"/>
      <c r="F1297" s="26"/>
      <c r="G1297" s="27"/>
      <c r="H1297" s="20"/>
      <c r="I1297" s="21"/>
      <c r="J1297" s="28"/>
      <c r="K1297" s="19"/>
    </row>
    <row r="1298" spans="1:11" ht="13.2">
      <c r="A1298" s="22"/>
      <c r="B1298" s="16"/>
      <c r="C1298" s="23"/>
      <c r="D1298" s="24"/>
      <c r="E1298" s="25"/>
      <c r="F1298" s="26"/>
      <c r="G1298" s="27"/>
      <c r="H1298" s="20"/>
      <c r="I1298" s="21"/>
      <c r="J1298" s="28"/>
      <c r="K1298" s="19"/>
    </row>
    <row r="1299" spans="1:11" ht="13.2">
      <c r="A1299" s="22"/>
      <c r="B1299" s="16"/>
      <c r="C1299" s="23"/>
      <c r="D1299" s="24"/>
      <c r="E1299" s="25"/>
      <c r="F1299" s="26"/>
      <c r="G1299" s="27"/>
      <c r="H1299" s="20"/>
      <c r="I1299" s="21"/>
      <c r="J1299" s="28"/>
      <c r="K1299" s="19"/>
    </row>
    <row r="1300" spans="1:11" ht="13.2">
      <c r="A1300" s="22"/>
      <c r="B1300" s="16"/>
      <c r="C1300" s="23"/>
      <c r="D1300" s="24"/>
      <c r="E1300" s="25"/>
      <c r="F1300" s="26"/>
      <c r="G1300" s="27"/>
      <c r="H1300" s="20"/>
      <c r="I1300" s="21"/>
      <c r="J1300" s="28"/>
      <c r="K1300" s="19"/>
    </row>
    <row r="1301" spans="1:11" ht="13.2">
      <c r="A1301" s="22"/>
      <c r="B1301" s="16"/>
      <c r="C1301" s="23"/>
      <c r="D1301" s="24"/>
      <c r="E1301" s="25"/>
      <c r="F1301" s="26"/>
      <c r="G1301" s="27"/>
      <c r="H1301" s="20"/>
      <c r="I1301" s="21"/>
      <c r="J1301" s="28"/>
      <c r="K1301" s="19"/>
    </row>
    <row r="1302" spans="1:11" ht="13.2">
      <c r="A1302" s="22"/>
      <c r="B1302" s="16"/>
      <c r="C1302" s="23"/>
      <c r="D1302" s="24"/>
      <c r="E1302" s="25"/>
      <c r="F1302" s="26"/>
      <c r="G1302" s="27"/>
      <c r="H1302" s="20"/>
      <c r="I1302" s="21"/>
      <c r="J1302" s="28"/>
      <c r="K1302" s="19"/>
    </row>
    <row r="1303" spans="1:11" ht="13.2">
      <c r="A1303" s="22"/>
      <c r="B1303" s="16"/>
      <c r="C1303" s="23"/>
      <c r="D1303" s="24"/>
      <c r="E1303" s="25"/>
      <c r="F1303" s="26"/>
      <c r="G1303" s="27"/>
      <c r="H1303" s="20"/>
      <c r="I1303" s="21"/>
      <c r="J1303" s="28"/>
      <c r="K1303" s="19"/>
    </row>
    <row r="1304" spans="1:11" ht="13.2">
      <c r="A1304" s="22"/>
      <c r="B1304" s="16"/>
      <c r="C1304" s="23"/>
      <c r="D1304" s="24"/>
      <c r="E1304" s="25"/>
      <c r="F1304" s="26"/>
      <c r="G1304" s="27"/>
      <c r="H1304" s="20"/>
      <c r="I1304" s="21"/>
      <c r="J1304" s="28"/>
      <c r="K1304" s="19"/>
    </row>
    <row r="1305" spans="1:11" ht="13.2">
      <c r="A1305" s="22"/>
      <c r="B1305" s="16"/>
      <c r="C1305" s="23"/>
      <c r="D1305" s="24"/>
      <c r="E1305" s="25"/>
      <c r="F1305" s="26"/>
      <c r="G1305" s="27"/>
      <c r="H1305" s="20"/>
      <c r="I1305" s="21"/>
      <c r="J1305" s="28"/>
      <c r="K1305" s="19"/>
    </row>
    <row r="1306" spans="1:11" ht="13.2">
      <c r="A1306" s="22"/>
      <c r="B1306" s="16"/>
      <c r="C1306" s="23"/>
      <c r="D1306" s="24"/>
      <c r="E1306" s="25"/>
      <c r="F1306" s="26"/>
      <c r="G1306" s="27"/>
      <c r="H1306" s="20"/>
      <c r="I1306" s="21"/>
      <c r="J1306" s="28"/>
      <c r="K1306" s="19"/>
    </row>
    <row r="1307" spans="1:11" ht="13.2">
      <c r="A1307" s="22"/>
      <c r="B1307" s="16"/>
      <c r="C1307" s="23"/>
      <c r="D1307" s="24"/>
      <c r="E1307" s="25"/>
      <c r="F1307" s="26"/>
      <c r="G1307" s="27"/>
      <c r="H1307" s="20"/>
      <c r="I1307" s="21"/>
      <c r="J1307" s="28"/>
      <c r="K1307" s="19"/>
    </row>
    <row r="1308" spans="1:11" ht="13.2">
      <c r="A1308" s="22"/>
      <c r="B1308" s="16"/>
      <c r="C1308" s="23"/>
      <c r="D1308" s="24"/>
      <c r="E1308" s="25"/>
      <c r="F1308" s="26"/>
      <c r="G1308" s="27"/>
      <c r="H1308" s="20"/>
      <c r="I1308" s="21"/>
      <c r="J1308" s="28"/>
      <c r="K1308" s="19"/>
    </row>
    <row r="1309" spans="1:11" ht="13.2">
      <c r="A1309" s="22"/>
      <c r="B1309" s="16"/>
      <c r="C1309" s="23"/>
      <c r="D1309" s="24"/>
      <c r="E1309" s="25"/>
      <c r="F1309" s="26"/>
      <c r="G1309" s="27"/>
      <c r="H1309" s="20"/>
      <c r="I1309" s="21"/>
      <c r="J1309" s="28"/>
      <c r="K1309" s="19"/>
    </row>
    <row r="1310" spans="1:11" ht="13.2">
      <c r="A1310" s="22"/>
      <c r="B1310" s="16"/>
      <c r="C1310" s="23"/>
      <c r="D1310" s="24"/>
      <c r="E1310" s="25"/>
      <c r="F1310" s="26"/>
      <c r="G1310" s="27"/>
      <c r="H1310" s="20"/>
      <c r="I1310" s="21"/>
      <c r="J1310" s="28"/>
      <c r="K1310" s="19"/>
    </row>
    <row r="1311" spans="1:11" ht="13.2">
      <c r="A1311" s="22"/>
      <c r="B1311" s="16"/>
      <c r="C1311" s="23"/>
      <c r="D1311" s="24"/>
      <c r="E1311" s="25"/>
      <c r="F1311" s="26"/>
      <c r="G1311" s="27"/>
      <c r="H1311" s="20"/>
      <c r="I1311" s="21"/>
      <c r="J1311" s="28"/>
      <c r="K1311" s="19"/>
    </row>
    <row r="1312" spans="1:11" ht="13.2">
      <c r="A1312" s="22"/>
      <c r="B1312" s="16"/>
      <c r="C1312" s="23"/>
      <c r="D1312" s="24"/>
      <c r="E1312" s="25"/>
      <c r="F1312" s="26"/>
      <c r="G1312" s="27"/>
      <c r="H1312" s="20"/>
      <c r="I1312" s="21"/>
      <c r="J1312" s="28"/>
      <c r="K1312" s="19"/>
    </row>
    <row r="1313" spans="1:11" ht="13.2">
      <c r="A1313" s="22"/>
      <c r="B1313" s="16"/>
      <c r="C1313" s="23"/>
      <c r="D1313" s="24"/>
      <c r="E1313" s="25"/>
      <c r="F1313" s="26"/>
      <c r="G1313" s="27"/>
      <c r="H1313" s="20"/>
      <c r="I1313" s="21"/>
      <c r="J1313" s="28"/>
      <c r="K1313" s="19"/>
    </row>
    <row r="1314" spans="1:11" ht="13.2">
      <c r="A1314" s="22"/>
      <c r="B1314" s="16"/>
      <c r="C1314" s="23"/>
      <c r="D1314" s="24"/>
      <c r="E1314" s="25"/>
      <c r="F1314" s="26"/>
      <c r="G1314" s="27"/>
      <c r="H1314" s="20"/>
      <c r="I1314" s="21"/>
      <c r="J1314" s="28"/>
      <c r="K1314" s="19"/>
    </row>
    <row r="1315" spans="1:11" ht="13.2">
      <c r="A1315" s="22"/>
      <c r="B1315" s="16"/>
      <c r="C1315" s="23"/>
      <c r="D1315" s="24"/>
      <c r="E1315" s="25"/>
      <c r="F1315" s="26"/>
      <c r="G1315" s="27"/>
      <c r="H1315" s="20"/>
      <c r="I1315" s="21"/>
      <c r="J1315" s="28"/>
      <c r="K1315" s="19"/>
    </row>
    <row r="1316" spans="1:11" ht="13.2">
      <c r="A1316" s="22"/>
      <c r="B1316" s="16"/>
      <c r="C1316" s="23"/>
      <c r="D1316" s="24"/>
      <c r="E1316" s="25"/>
      <c r="F1316" s="26"/>
      <c r="G1316" s="27"/>
      <c r="H1316" s="20"/>
      <c r="I1316" s="21"/>
      <c r="J1316" s="28"/>
      <c r="K1316" s="19"/>
    </row>
    <row r="1317" spans="1:11" ht="13.2">
      <c r="A1317" s="22"/>
      <c r="B1317" s="16"/>
      <c r="C1317" s="23"/>
      <c r="D1317" s="24"/>
      <c r="E1317" s="25"/>
      <c r="F1317" s="26"/>
      <c r="G1317" s="27"/>
      <c r="H1317" s="20"/>
      <c r="I1317" s="21"/>
      <c r="J1317" s="28"/>
      <c r="K1317" s="19"/>
    </row>
    <row r="1318" spans="1:11" ht="13.2">
      <c r="A1318" s="22"/>
      <c r="B1318" s="16"/>
      <c r="C1318" s="23"/>
      <c r="D1318" s="24"/>
      <c r="E1318" s="25"/>
      <c r="F1318" s="26"/>
      <c r="G1318" s="27"/>
      <c r="H1318" s="20"/>
      <c r="I1318" s="21"/>
      <c r="J1318" s="28"/>
      <c r="K1318" s="19"/>
    </row>
    <row r="1319" spans="1:11" ht="13.2">
      <c r="A1319" s="22"/>
      <c r="B1319" s="16"/>
      <c r="C1319" s="23"/>
      <c r="D1319" s="24"/>
      <c r="E1319" s="25"/>
      <c r="F1319" s="26"/>
      <c r="G1319" s="27"/>
      <c r="H1319" s="20"/>
      <c r="I1319" s="21"/>
      <c r="J1319" s="28"/>
      <c r="K1319" s="19"/>
    </row>
    <row r="1320" spans="1:11" ht="13.2">
      <c r="A1320" s="22"/>
      <c r="B1320" s="16"/>
      <c r="C1320" s="23"/>
      <c r="D1320" s="24"/>
      <c r="E1320" s="25"/>
      <c r="F1320" s="26"/>
      <c r="G1320" s="27"/>
      <c r="H1320" s="20"/>
      <c r="I1320" s="21"/>
      <c r="J1320" s="28"/>
      <c r="K1320" s="19"/>
    </row>
    <row r="1321" spans="1:11" ht="13.2">
      <c r="A1321" s="22"/>
      <c r="B1321" s="16"/>
      <c r="C1321" s="23"/>
      <c r="D1321" s="24"/>
      <c r="E1321" s="25"/>
      <c r="F1321" s="26"/>
      <c r="G1321" s="27"/>
      <c r="H1321" s="20"/>
      <c r="I1321" s="21"/>
      <c r="J1321" s="28"/>
      <c r="K1321" s="19"/>
    </row>
    <row r="1322" spans="1:11" ht="13.2">
      <c r="A1322" s="22"/>
      <c r="B1322" s="16"/>
      <c r="C1322" s="23"/>
      <c r="D1322" s="24"/>
      <c r="E1322" s="25"/>
      <c r="F1322" s="26"/>
      <c r="G1322" s="27"/>
      <c r="H1322" s="20"/>
      <c r="I1322" s="21"/>
      <c r="J1322" s="28"/>
      <c r="K1322" s="19"/>
    </row>
    <row r="1323" spans="1:11" ht="13.2">
      <c r="A1323" s="22"/>
      <c r="B1323" s="16"/>
      <c r="C1323" s="23"/>
      <c r="D1323" s="24"/>
      <c r="E1323" s="25"/>
      <c r="F1323" s="26"/>
      <c r="G1323" s="27"/>
      <c r="H1323" s="20"/>
      <c r="I1323" s="21"/>
      <c r="J1323" s="28"/>
      <c r="K1323" s="19"/>
    </row>
    <row r="1324" spans="1:11" ht="13.2">
      <c r="A1324" s="22"/>
      <c r="B1324" s="16"/>
      <c r="C1324" s="23"/>
      <c r="D1324" s="24"/>
      <c r="E1324" s="25"/>
      <c r="F1324" s="26"/>
      <c r="G1324" s="27"/>
      <c r="H1324" s="20"/>
      <c r="I1324" s="21"/>
      <c r="J1324" s="28"/>
      <c r="K1324" s="19"/>
    </row>
    <row r="1325" spans="1:11" ht="13.2">
      <c r="A1325" s="22"/>
      <c r="B1325" s="16"/>
      <c r="C1325" s="23"/>
      <c r="D1325" s="24"/>
      <c r="E1325" s="25"/>
      <c r="F1325" s="26"/>
      <c r="G1325" s="27"/>
      <c r="H1325" s="20"/>
      <c r="I1325" s="21"/>
      <c r="J1325" s="28"/>
      <c r="K1325" s="19"/>
    </row>
    <row r="1326" spans="1:11" ht="13.2">
      <c r="A1326" s="22"/>
      <c r="B1326" s="16"/>
      <c r="C1326" s="23"/>
      <c r="D1326" s="24"/>
      <c r="E1326" s="25"/>
      <c r="F1326" s="26"/>
      <c r="G1326" s="27"/>
      <c r="H1326" s="20"/>
      <c r="I1326" s="21"/>
      <c r="J1326" s="28"/>
      <c r="K1326" s="19"/>
    </row>
    <row r="1327" spans="1:11" ht="13.2">
      <c r="A1327" s="22"/>
      <c r="B1327" s="16"/>
      <c r="C1327" s="23"/>
      <c r="D1327" s="24"/>
      <c r="E1327" s="25"/>
      <c r="F1327" s="26"/>
      <c r="G1327" s="27"/>
      <c r="H1327" s="20"/>
      <c r="I1327" s="21"/>
      <c r="J1327" s="28"/>
      <c r="K1327" s="19"/>
    </row>
    <row r="1328" spans="1:11" ht="13.2">
      <c r="A1328" s="22"/>
      <c r="B1328" s="16"/>
      <c r="C1328" s="23"/>
      <c r="D1328" s="24"/>
      <c r="E1328" s="25"/>
      <c r="F1328" s="26"/>
      <c r="G1328" s="27"/>
      <c r="H1328" s="20"/>
      <c r="I1328" s="21"/>
      <c r="J1328" s="28"/>
      <c r="K1328" s="19"/>
    </row>
    <row r="1329" spans="1:11" ht="13.2">
      <c r="A1329" s="22"/>
      <c r="B1329" s="16"/>
      <c r="C1329" s="23"/>
      <c r="D1329" s="24"/>
      <c r="E1329" s="25"/>
      <c r="F1329" s="26"/>
      <c r="G1329" s="27"/>
      <c r="H1329" s="20"/>
      <c r="I1329" s="21"/>
      <c r="J1329" s="28"/>
      <c r="K1329" s="19"/>
    </row>
    <row r="1330" spans="1:11" ht="13.2">
      <c r="A1330" s="22"/>
      <c r="B1330" s="16"/>
      <c r="C1330" s="23"/>
      <c r="D1330" s="24"/>
      <c r="E1330" s="25"/>
      <c r="F1330" s="26"/>
      <c r="G1330" s="27"/>
      <c r="H1330" s="20"/>
      <c r="I1330" s="21"/>
      <c r="J1330" s="28"/>
      <c r="K1330" s="19"/>
    </row>
    <row r="1331" spans="1:11" ht="13.2">
      <c r="A1331" s="22"/>
      <c r="B1331" s="16"/>
      <c r="C1331" s="23"/>
      <c r="D1331" s="24"/>
      <c r="E1331" s="25"/>
      <c r="F1331" s="26"/>
      <c r="G1331" s="27"/>
      <c r="H1331" s="20"/>
      <c r="I1331" s="21"/>
      <c r="J1331" s="28"/>
      <c r="K1331" s="19"/>
    </row>
    <row r="1332" spans="1:11" ht="13.2">
      <c r="A1332" s="22"/>
      <c r="B1332" s="16"/>
      <c r="C1332" s="23"/>
      <c r="D1332" s="24"/>
      <c r="E1332" s="25"/>
      <c r="F1332" s="26"/>
      <c r="G1332" s="27"/>
      <c r="H1332" s="20"/>
      <c r="I1332" s="21"/>
      <c r="J1332" s="28"/>
      <c r="K1332" s="19"/>
    </row>
    <row r="1333" spans="1:11" ht="13.2">
      <c r="A1333" s="22"/>
      <c r="B1333" s="16"/>
      <c r="C1333" s="23"/>
      <c r="D1333" s="24"/>
      <c r="E1333" s="25"/>
      <c r="F1333" s="26"/>
      <c r="G1333" s="27"/>
      <c r="H1333" s="20"/>
      <c r="I1333" s="21"/>
      <c r="J1333" s="28"/>
      <c r="K1333" s="19"/>
    </row>
    <row r="1334" spans="1:11" ht="13.2">
      <c r="A1334" s="22"/>
      <c r="B1334" s="16"/>
      <c r="C1334" s="23"/>
      <c r="D1334" s="24"/>
      <c r="E1334" s="25"/>
      <c r="F1334" s="26"/>
      <c r="G1334" s="27"/>
      <c r="H1334" s="20"/>
      <c r="I1334" s="21"/>
      <c r="J1334" s="28"/>
      <c r="K1334" s="19"/>
    </row>
    <row r="1335" spans="1:11" ht="13.2">
      <c r="A1335" s="22"/>
      <c r="B1335" s="16"/>
      <c r="C1335" s="23"/>
      <c r="D1335" s="24"/>
      <c r="E1335" s="25"/>
      <c r="F1335" s="26"/>
      <c r="G1335" s="27"/>
      <c r="H1335" s="20"/>
      <c r="I1335" s="21"/>
      <c r="J1335" s="28"/>
      <c r="K1335" s="19"/>
    </row>
    <row r="1336" spans="1:11" ht="13.2">
      <c r="A1336" s="22"/>
      <c r="B1336" s="16"/>
      <c r="C1336" s="23"/>
      <c r="D1336" s="24"/>
      <c r="E1336" s="25"/>
      <c r="F1336" s="26"/>
      <c r="G1336" s="27"/>
      <c r="H1336" s="20"/>
      <c r="I1336" s="21"/>
      <c r="J1336" s="28"/>
      <c r="K1336" s="19"/>
    </row>
    <row r="1337" spans="1:11" ht="13.2">
      <c r="A1337" s="22"/>
      <c r="B1337" s="16"/>
      <c r="C1337" s="23"/>
      <c r="D1337" s="24"/>
      <c r="E1337" s="25"/>
      <c r="F1337" s="26"/>
      <c r="G1337" s="27"/>
      <c r="H1337" s="20"/>
      <c r="I1337" s="21"/>
      <c r="J1337" s="28"/>
      <c r="K1337" s="19"/>
    </row>
    <row r="1338" spans="1:11" ht="13.2">
      <c r="A1338" s="22"/>
      <c r="B1338" s="16"/>
      <c r="C1338" s="23"/>
      <c r="D1338" s="24"/>
      <c r="E1338" s="25"/>
      <c r="F1338" s="26"/>
      <c r="G1338" s="27"/>
      <c r="H1338" s="20"/>
      <c r="I1338" s="21"/>
      <c r="J1338" s="28"/>
      <c r="K1338" s="19"/>
    </row>
    <row r="1339" spans="1:11" ht="13.2">
      <c r="A1339" s="22"/>
      <c r="B1339" s="16"/>
      <c r="C1339" s="23"/>
      <c r="D1339" s="24"/>
      <c r="E1339" s="25"/>
      <c r="F1339" s="26"/>
      <c r="G1339" s="27"/>
      <c r="H1339" s="20"/>
      <c r="I1339" s="21"/>
      <c r="J1339" s="28"/>
      <c r="K1339" s="19"/>
    </row>
    <row r="1340" spans="1:11" ht="13.2">
      <c r="A1340" s="22"/>
      <c r="B1340" s="16"/>
      <c r="C1340" s="23"/>
      <c r="D1340" s="24"/>
      <c r="E1340" s="25"/>
      <c r="F1340" s="26"/>
      <c r="G1340" s="27"/>
      <c r="H1340" s="20"/>
      <c r="I1340" s="21"/>
      <c r="J1340" s="28"/>
      <c r="K1340" s="19"/>
    </row>
    <row r="1341" spans="1:11" ht="13.2">
      <c r="A1341" s="22"/>
      <c r="B1341" s="16"/>
      <c r="C1341" s="23"/>
      <c r="D1341" s="24"/>
      <c r="E1341" s="25"/>
      <c r="F1341" s="26"/>
      <c r="G1341" s="27"/>
      <c r="H1341" s="20"/>
      <c r="I1341" s="21"/>
      <c r="J1341" s="28"/>
      <c r="K1341" s="19"/>
    </row>
    <row r="1342" spans="1:11" ht="13.2">
      <c r="A1342" s="22"/>
      <c r="B1342" s="16"/>
      <c r="C1342" s="23"/>
      <c r="D1342" s="24"/>
      <c r="E1342" s="25"/>
      <c r="F1342" s="26"/>
      <c r="G1342" s="27"/>
      <c r="H1342" s="20"/>
      <c r="I1342" s="21"/>
      <c r="J1342" s="28"/>
      <c r="K1342" s="19"/>
    </row>
    <row r="1343" spans="1:11" ht="13.2">
      <c r="A1343" s="22"/>
      <c r="B1343" s="16"/>
      <c r="C1343" s="23"/>
      <c r="D1343" s="24"/>
      <c r="E1343" s="25"/>
      <c r="F1343" s="26"/>
      <c r="G1343" s="27"/>
      <c r="H1343" s="20"/>
      <c r="I1343" s="21"/>
      <c r="J1343" s="28"/>
      <c r="K1343" s="19"/>
    </row>
    <row r="1344" spans="1:11" ht="13.2">
      <c r="A1344" s="22"/>
      <c r="B1344" s="16"/>
      <c r="C1344" s="23"/>
      <c r="D1344" s="24"/>
      <c r="E1344" s="25"/>
      <c r="F1344" s="26"/>
      <c r="G1344" s="27"/>
      <c r="H1344" s="20"/>
      <c r="I1344" s="21"/>
      <c r="J1344" s="28"/>
      <c r="K1344" s="19"/>
    </row>
    <row r="1345" spans="1:11" ht="13.2">
      <c r="A1345" s="22"/>
      <c r="B1345" s="16"/>
      <c r="C1345" s="23"/>
      <c r="D1345" s="24"/>
      <c r="E1345" s="25"/>
      <c r="F1345" s="26"/>
      <c r="G1345" s="27"/>
      <c r="H1345" s="20"/>
      <c r="I1345" s="21"/>
      <c r="J1345" s="28"/>
      <c r="K1345" s="19"/>
    </row>
    <row r="1346" spans="1:11" ht="13.2">
      <c r="A1346" s="22"/>
      <c r="B1346" s="16"/>
      <c r="C1346" s="23"/>
      <c r="D1346" s="24"/>
      <c r="E1346" s="25"/>
      <c r="F1346" s="26"/>
      <c r="G1346" s="27"/>
      <c r="H1346" s="20"/>
      <c r="I1346" s="21"/>
      <c r="J1346" s="28"/>
      <c r="K1346" s="19"/>
    </row>
    <row r="1347" spans="1:11" ht="13.2">
      <c r="A1347" s="22"/>
      <c r="B1347" s="16"/>
      <c r="C1347" s="23"/>
      <c r="D1347" s="24"/>
      <c r="E1347" s="25"/>
      <c r="F1347" s="26"/>
      <c r="G1347" s="27"/>
      <c r="H1347" s="20"/>
      <c r="I1347" s="21"/>
      <c r="J1347" s="28"/>
      <c r="K1347" s="19"/>
    </row>
    <row r="1348" spans="1:11" ht="13.2">
      <c r="A1348" s="22"/>
      <c r="B1348" s="16"/>
      <c r="C1348" s="23"/>
      <c r="D1348" s="24"/>
      <c r="E1348" s="25"/>
      <c r="F1348" s="26"/>
      <c r="G1348" s="27"/>
      <c r="H1348" s="20"/>
      <c r="I1348" s="21"/>
      <c r="J1348" s="28"/>
      <c r="K1348" s="19"/>
    </row>
    <row r="1349" spans="1:11" ht="13.2">
      <c r="A1349" s="22"/>
      <c r="B1349" s="16"/>
      <c r="C1349" s="23"/>
      <c r="D1349" s="24"/>
      <c r="E1349" s="25"/>
      <c r="F1349" s="26"/>
      <c r="G1349" s="27"/>
      <c r="H1349" s="20"/>
      <c r="I1349" s="21"/>
      <c r="J1349" s="28"/>
      <c r="K1349" s="19"/>
    </row>
    <row r="1350" spans="1:11" ht="13.2">
      <c r="A1350" s="22"/>
      <c r="B1350" s="16"/>
      <c r="C1350" s="23"/>
      <c r="D1350" s="24"/>
      <c r="E1350" s="25"/>
      <c r="F1350" s="26"/>
      <c r="G1350" s="27"/>
      <c r="H1350" s="20"/>
      <c r="I1350" s="21"/>
      <c r="J1350" s="28"/>
      <c r="K1350" s="19"/>
    </row>
    <row r="1351" spans="1:11" ht="13.2">
      <c r="A1351" s="22"/>
      <c r="B1351" s="16"/>
      <c r="C1351" s="23"/>
      <c r="D1351" s="24"/>
      <c r="E1351" s="25"/>
      <c r="F1351" s="26"/>
      <c r="G1351" s="27"/>
      <c r="H1351" s="20"/>
      <c r="I1351" s="21"/>
      <c r="J1351" s="28"/>
      <c r="K1351" s="19"/>
    </row>
    <row r="1352" spans="1:11" ht="13.2">
      <c r="A1352" s="22"/>
      <c r="B1352" s="16"/>
      <c r="C1352" s="23"/>
      <c r="D1352" s="24"/>
      <c r="E1352" s="25"/>
      <c r="F1352" s="26"/>
      <c r="G1352" s="27"/>
      <c r="H1352" s="20"/>
      <c r="I1352" s="21"/>
      <c r="J1352" s="28"/>
      <c r="K1352" s="19"/>
    </row>
    <row r="1353" spans="1:11" ht="13.2">
      <c r="A1353" s="22"/>
      <c r="B1353" s="16"/>
      <c r="C1353" s="23"/>
      <c r="D1353" s="24"/>
      <c r="E1353" s="25"/>
      <c r="F1353" s="26"/>
      <c r="G1353" s="27"/>
      <c r="H1353" s="20"/>
      <c r="I1353" s="21"/>
      <c r="J1353" s="28"/>
      <c r="K1353" s="19"/>
    </row>
    <row r="1354" spans="1:11" ht="13.2">
      <c r="A1354" s="22"/>
      <c r="B1354" s="16"/>
      <c r="C1354" s="23"/>
      <c r="D1354" s="24"/>
      <c r="E1354" s="25"/>
      <c r="F1354" s="26"/>
      <c r="G1354" s="27"/>
      <c r="H1354" s="20"/>
      <c r="I1354" s="21"/>
      <c r="J1354" s="28"/>
      <c r="K1354" s="19"/>
    </row>
    <row r="1355" spans="1:11" ht="13.2">
      <c r="A1355" s="22"/>
      <c r="B1355" s="16"/>
      <c r="C1355" s="23"/>
      <c r="D1355" s="24"/>
      <c r="E1355" s="25"/>
      <c r="F1355" s="26"/>
      <c r="G1355" s="27"/>
      <c r="H1355" s="20"/>
      <c r="I1355" s="21"/>
      <c r="J1355" s="28"/>
      <c r="K1355" s="19"/>
    </row>
    <row r="1356" spans="1:11" ht="13.2">
      <c r="A1356" s="22"/>
      <c r="B1356" s="16"/>
      <c r="C1356" s="23"/>
      <c r="D1356" s="24"/>
      <c r="E1356" s="25"/>
      <c r="F1356" s="26"/>
      <c r="G1356" s="27"/>
      <c r="H1356" s="20"/>
      <c r="I1356" s="21"/>
      <c r="J1356" s="28"/>
      <c r="K1356" s="19"/>
    </row>
    <row r="1357" spans="1:11" ht="13.2">
      <c r="A1357" s="22"/>
      <c r="B1357" s="16"/>
      <c r="C1357" s="23"/>
      <c r="D1357" s="24"/>
      <c r="E1357" s="25"/>
      <c r="F1357" s="26"/>
      <c r="G1357" s="27"/>
      <c r="H1357" s="20"/>
      <c r="I1357" s="21"/>
      <c r="J1357" s="28"/>
      <c r="K1357" s="19"/>
    </row>
    <row r="1358" spans="1:11" ht="13.2">
      <c r="A1358" s="22"/>
      <c r="B1358" s="16"/>
      <c r="C1358" s="23"/>
      <c r="D1358" s="24"/>
      <c r="E1358" s="25"/>
      <c r="F1358" s="26"/>
      <c r="G1358" s="27"/>
      <c r="H1358" s="20"/>
      <c r="I1358" s="21"/>
      <c r="J1358" s="28"/>
      <c r="K1358" s="19"/>
    </row>
    <row r="1359" spans="1:11" ht="13.2">
      <c r="A1359" s="22"/>
      <c r="B1359" s="16"/>
      <c r="C1359" s="23"/>
      <c r="D1359" s="24"/>
      <c r="E1359" s="25"/>
      <c r="F1359" s="26"/>
      <c r="G1359" s="27"/>
      <c r="H1359" s="20"/>
      <c r="I1359" s="21"/>
      <c r="J1359" s="28"/>
      <c r="K1359" s="19"/>
    </row>
    <row r="1360" spans="1:11" ht="13.2">
      <c r="A1360" s="22"/>
      <c r="B1360" s="16"/>
      <c r="C1360" s="23"/>
      <c r="D1360" s="24"/>
      <c r="E1360" s="25"/>
      <c r="F1360" s="26"/>
      <c r="G1360" s="27"/>
      <c r="H1360" s="20"/>
      <c r="I1360" s="21"/>
      <c r="J1360" s="28"/>
      <c r="K1360" s="19"/>
    </row>
    <row r="1361" spans="1:11" ht="13.2">
      <c r="A1361" s="22"/>
      <c r="B1361" s="16"/>
      <c r="C1361" s="23"/>
      <c r="D1361" s="24"/>
      <c r="E1361" s="25"/>
      <c r="F1361" s="26"/>
      <c r="G1361" s="27"/>
      <c r="H1361" s="20"/>
      <c r="I1361" s="21"/>
      <c r="J1361" s="28"/>
      <c r="K1361" s="19"/>
    </row>
    <row r="1362" spans="1:11" ht="13.2">
      <c r="A1362" s="22"/>
      <c r="B1362" s="16"/>
      <c r="C1362" s="23"/>
      <c r="D1362" s="24"/>
      <c r="E1362" s="25"/>
      <c r="F1362" s="26"/>
      <c r="G1362" s="27"/>
      <c r="H1362" s="20"/>
      <c r="I1362" s="21"/>
      <c r="J1362" s="28"/>
      <c r="K1362" s="19"/>
    </row>
    <row r="1363" spans="1:11" ht="13.2">
      <c r="A1363" s="22"/>
      <c r="B1363" s="16"/>
      <c r="C1363" s="23"/>
      <c r="D1363" s="24"/>
      <c r="E1363" s="25"/>
      <c r="F1363" s="26"/>
      <c r="G1363" s="27"/>
      <c r="H1363" s="20"/>
      <c r="I1363" s="21"/>
      <c r="J1363" s="28"/>
      <c r="K1363" s="19"/>
    </row>
    <row r="1364" spans="1:11" ht="13.2">
      <c r="A1364" s="22"/>
      <c r="B1364" s="16"/>
      <c r="C1364" s="23"/>
      <c r="D1364" s="24"/>
      <c r="E1364" s="25"/>
      <c r="F1364" s="26"/>
      <c r="G1364" s="27"/>
      <c r="H1364" s="20"/>
      <c r="I1364" s="21"/>
      <c r="J1364" s="28"/>
      <c r="K1364" s="19"/>
    </row>
    <row r="1365" spans="1:11" ht="13.2">
      <c r="A1365" s="22"/>
      <c r="B1365" s="16"/>
      <c r="C1365" s="23"/>
      <c r="D1365" s="24"/>
      <c r="E1365" s="25"/>
      <c r="F1365" s="26"/>
      <c r="G1365" s="27"/>
      <c r="H1365" s="20"/>
      <c r="I1365" s="21"/>
      <c r="J1365" s="28"/>
      <c r="K1365" s="19"/>
    </row>
    <row r="1366" spans="1:11" ht="13.2">
      <c r="A1366" s="22"/>
      <c r="B1366" s="16"/>
      <c r="C1366" s="23"/>
      <c r="D1366" s="24"/>
      <c r="E1366" s="25"/>
      <c r="F1366" s="26"/>
      <c r="G1366" s="27"/>
      <c r="H1366" s="20"/>
      <c r="I1366" s="21"/>
      <c r="J1366" s="28"/>
      <c r="K1366" s="19"/>
    </row>
    <row r="1367" spans="1:11" ht="13.2">
      <c r="A1367" s="22"/>
      <c r="B1367" s="16"/>
      <c r="C1367" s="23"/>
      <c r="D1367" s="24"/>
      <c r="E1367" s="25"/>
      <c r="F1367" s="26"/>
      <c r="G1367" s="27"/>
      <c r="H1367" s="20"/>
      <c r="I1367" s="21"/>
      <c r="J1367" s="28"/>
      <c r="K1367" s="19"/>
    </row>
    <row r="1368" spans="1:11" ht="13.2">
      <c r="A1368" s="22"/>
      <c r="B1368" s="16"/>
      <c r="C1368" s="23"/>
      <c r="D1368" s="24"/>
      <c r="E1368" s="25"/>
      <c r="F1368" s="26"/>
      <c r="G1368" s="27"/>
      <c r="H1368" s="20"/>
      <c r="I1368" s="21"/>
      <c r="J1368" s="28"/>
      <c r="K1368" s="19"/>
    </row>
    <row r="1369" spans="1:11" ht="13.2">
      <c r="A1369" s="22"/>
      <c r="B1369" s="16"/>
      <c r="C1369" s="23"/>
      <c r="D1369" s="24"/>
      <c r="E1369" s="25"/>
      <c r="F1369" s="26"/>
      <c r="G1369" s="27"/>
      <c r="H1369" s="20"/>
      <c r="I1369" s="21"/>
      <c r="J1369" s="28"/>
      <c r="K1369" s="19"/>
    </row>
    <row r="1370" spans="1:11" ht="13.2">
      <c r="A1370" s="22"/>
      <c r="B1370" s="16"/>
      <c r="C1370" s="23"/>
      <c r="D1370" s="24"/>
      <c r="E1370" s="25"/>
      <c r="F1370" s="26"/>
      <c r="G1370" s="27"/>
      <c r="H1370" s="20"/>
      <c r="I1370" s="21"/>
      <c r="J1370" s="28"/>
      <c r="K1370" s="19"/>
    </row>
    <row r="1371" spans="1:11" ht="13.2">
      <c r="A1371" s="22"/>
      <c r="B1371" s="16"/>
      <c r="C1371" s="23"/>
      <c r="D1371" s="24"/>
      <c r="E1371" s="25"/>
      <c r="F1371" s="26"/>
      <c r="G1371" s="27"/>
      <c r="H1371" s="20"/>
      <c r="I1371" s="21"/>
      <c r="J1371" s="28"/>
      <c r="K1371" s="19"/>
    </row>
    <row r="1372" spans="1:11" ht="13.2">
      <c r="A1372" s="22"/>
      <c r="B1372" s="16"/>
      <c r="C1372" s="23"/>
      <c r="D1372" s="24"/>
      <c r="E1372" s="25"/>
      <c r="F1372" s="26"/>
      <c r="G1372" s="27"/>
      <c r="H1372" s="20"/>
      <c r="I1372" s="21"/>
      <c r="J1372" s="28"/>
      <c r="K1372" s="19"/>
    </row>
    <row r="1373" spans="1:11" ht="13.2">
      <c r="A1373" s="22"/>
      <c r="B1373" s="16"/>
      <c r="C1373" s="23"/>
      <c r="D1373" s="24"/>
      <c r="E1373" s="25"/>
      <c r="F1373" s="26"/>
      <c r="G1373" s="27"/>
      <c r="H1373" s="20"/>
      <c r="I1373" s="21"/>
      <c r="J1373" s="28"/>
      <c r="K1373" s="19"/>
    </row>
    <row r="1374" spans="1:11" ht="13.2">
      <c r="A1374" s="22"/>
      <c r="B1374" s="16"/>
      <c r="C1374" s="23"/>
      <c r="D1374" s="24"/>
      <c r="E1374" s="25"/>
      <c r="F1374" s="26"/>
      <c r="G1374" s="27"/>
      <c r="H1374" s="20"/>
      <c r="I1374" s="21"/>
      <c r="J1374" s="28"/>
      <c r="K1374" s="19"/>
    </row>
    <row r="1375" spans="1:11" ht="13.2">
      <c r="A1375" s="22"/>
      <c r="B1375" s="16"/>
      <c r="C1375" s="23"/>
      <c r="D1375" s="24"/>
      <c r="E1375" s="25"/>
      <c r="F1375" s="26"/>
      <c r="G1375" s="27"/>
      <c r="H1375" s="20"/>
      <c r="I1375" s="21"/>
      <c r="J1375" s="28"/>
      <c r="K1375" s="19"/>
    </row>
    <row r="1376" spans="1:11" ht="13.2">
      <c r="A1376" s="22"/>
      <c r="B1376" s="16"/>
      <c r="C1376" s="23"/>
      <c r="D1376" s="24"/>
      <c r="E1376" s="25"/>
      <c r="F1376" s="26"/>
      <c r="G1376" s="27"/>
      <c r="H1376" s="20"/>
      <c r="I1376" s="21"/>
      <c r="J1376" s="28"/>
      <c r="K1376" s="19"/>
    </row>
    <row r="1377" spans="1:11" ht="13.2">
      <c r="A1377" s="22"/>
      <c r="B1377" s="16"/>
      <c r="C1377" s="23"/>
      <c r="D1377" s="24"/>
      <c r="E1377" s="25"/>
      <c r="F1377" s="26"/>
      <c r="G1377" s="27"/>
      <c r="H1377" s="20"/>
      <c r="I1377" s="21"/>
      <c r="J1377" s="28"/>
      <c r="K1377" s="19"/>
    </row>
    <row r="1378" spans="1:11" ht="13.2">
      <c r="A1378" s="22"/>
      <c r="B1378" s="16"/>
      <c r="C1378" s="23"/>
      <c r="D1378" s="24"/>
      <c r="E1378" s="25"/>
      <c r="F1378" s="26"/>
      <c r="G1378" s="27"/>
      <c r="H1378" s="20"/>
      <c r="I1378" s="21"/>
      <c r="J1378" s="28"/>
      <c r="K1378" s="19"/>
    </row>
    <row r="1379" spans="1:11" ht="13.2">
      <c r="A1379" s="22"/>
      <c r="B1379" s="16"/>
      <c r="C1379" s="23"/>
      <c r="D1379" s="24"/>
      <c r="E1379" s="25"/>
      <c r="F1379" s="26"/>
      <c r="G1379" s="27"/>
      <c r="H1379" s="20"/>
      <c r="I1379" s="21"/>
      <c r="J1379" s="28"/>
      <c r="K1379" s="19"/>
    </row>
    <row r="1380" spans="1:11" ht="13.2">
      <c r="A1380" s="22"/>
      <c r="B1380" s="16"/>
      <c r="C1380" s="23"/>
      <c r="D1380" s="24"/>
      <c r="E1380" s="25"/>
      <c r="F1380" s="26"/>
      <c r="G1380" s="27"/>
      <c r="H1380" s="20"/>
      <c r="I1380" s="21"/>
      <c r="J1380" s="28"/>
      <c r="K1380" s="19"/>
    </row>
    <row r="1381" spans="1:11" ht="13.2">
      <c r="A1381" s="22"/>
      <c r="B1381" s="16"/>
      <c r="C1381" s="23"/>
      <c r="D1381" s="24"/>
      <c r="E1381" s="25"/>
      <c r="F1381" s="26"/>
      <c r="G1381" s="27"/>
      <c r="H1381" s="20"/>
      <c r="I1381" s="21"/>
      <c r="J1381" s="28"/>
      <c r="K1381" s="19"/>
    </row>
    <row r="1382" spans="1:11" ht="13.2">
      <c r="A1382" s="22"/>
      <c r="B1382" s="16"/>
      <c r="C1382" s="23"/>
      <c r="D1382" s="24"/>
      <c r="E1382" s="25"/>
      <c r="F1382" s="26"/>
      <c r="G1382" s="27"/>
      <c r="H1382" s="20"/>
      <c r="I1382" s="21"/>
      <c r="J1382" s="28"/>
      <c r="K1382" s="19"/>
    </row>
    <row r="1383" spans="1:11" ht="13.2">
      <c r="A1383" s="22"/>
      <c r="B1383" s="16"/>
      <c r="C1383" s="23"/>
      <c r="D1383" s="24"/>
      <c r="E1383" s="25"/>
      <c r="F1383" s="26"/>
      <c r="G1383" s="27"/>
      <c r="H1383" s="20"/>
      <c r="I1383" s="21"/>
      <c r="J1383" s="28"/>
      <c r="K1383" s="19"/>
    </row>
    <row r="1384" spans="1:11" ht="13.2">
      <c r="A1384" s="22"/>
      <c r="B1384" s="16"/>
      <c r="C1384" s="23"/>
      <c r="D1384" s="24"/>
      <c r="E1384" s="25"/>
      <c r="F1384" s="26"/>
      <c r="G1384" s="27"/>
      <c r="H1384" s="20"/>
      <c r="I1384" s="21"/>
      <c r="J1384" s="28"/>
      <c r="K1384" s="19"/>
    </row>
    <row r="1385" spans="1:11" ht="13.2">
      <c r="A1385" s="22"/>
      <c r="B1385" s="16"/>
      <c r="C1385" s="23"/>
      <c r="D1385" s="24"/>
      <c r="E1385" s="25"/>
      <c r="F1385" s="26"/>
      <c r="G1385" s="27"/>
      <c r="H1385" s="20"/>
      <c r="I1385" s="21"/>
      <c r="J1385" s="28"/>
      <c r="K1385" s="19"/>
    </row>
    <row r="1386" spans="1:11" ht="13.2">
      <c r="A1386" s="22"/>
      <c r="B1386" s="16"/>
      <c r="C1386" s="23"/>
      <c r="D1386" s="24"/>
      <c r="E1386" s="25"/>
      <c r="F1386" s="26"/>
      <c r="G1386" s="27"/>
      <c r="H1386" s="20"/>
      <c r="I1386" s="21"/>
      <c r="J1386" s="28"/>
      <c r="K1386" s="19"/>
    </row>
    <row r="1387" spans="1:11" ht="13.2">
      <c r="A1387" s="22"/>
      <c r="B1387" s="16"/>
      <c r="C1387" s="23"/>
      <c r="D1387" s="24"/>
      <c r="E1387" s="25"/>
      <c r="F1387" s="26"/>
      <c r="G1387" s="27"/>
      <c r="H1387" s="20"/>
      <c r="I1387" s="21"/>
      <c r="J1387" s="28"/>
      <c r="K1387" s="19"/>
    </row>
    <row r="1388" spans="1:11" ht="13.2">
      <c r="A1388" s="22"/>
      <c r="B1388" s="16"/>
      <c r="C1388" s="23"/>
      <c r="D1388" s="24"/>
      <c r="E1388" s="25"/>
      <c r="F1388" s="26"/>
      <c r="G1388" s="27"/>
      <c r="H1388" s="20"/>
      <c r="I1388" s="21"/>
      <c r="J1388" s="28"/>
      <c r="K1388" s="19"/>
    </row>
    <row r="1389" spans="1:11" ht="13.2">
      <c r="A1389" s="22"/>
      <c r="B1389" s="16"/>
      <c r="C1389" s="23"/>
      <c r="D1389" s="24"/>
      <c r="E1389" s="25"/>
      <c r="F1389" s="26"/>
      <c r="G1389" s="27"/>
      <c r="H1389" s="20"/>
      <c r="I1389" s="21"/>
      <c r="J1389" s="28"/>
      <c r="K1389" s="19"/>
    </row>
    <row r="1390" spans="1:11" ht="13.2">
      <c r="A1390" s="22"/>
      <c r="B1390" s="16"/>
      <c r="C1390" s="23"/>
      <c r="D1390" s="24"/>
      <c r="E1390" s="25"/>
      <c r="F1390" s="26"/>
      <c r="G1390" s="27"/>
      <c r="H1390" s="20"/>
      <c r="I1390" s="21"/>
      <c r="J1390" s="28"/>
      <c r="K1390" s="19"/>
    </row>
    <row r="1391" spans="1:11" ht="13.2">
      <c r="A1391" s="22"/>
      <c r="B1391" s="16"/>
      <c r="C1391" s="23"/>
      <c r="D1391" s="24"/>
      <c r="E1391" s="25"/>
      <c r="F1391" s="26"/>
      <c r="G1391" s="27"/>
      <c r="H1391" s="20"/>
      <c r="I1391" s="21"/>
      <c r="J1391" s="28"/>
      <c r="K1391" s="19"/>
    </row>
    <row r="1392" spans="1:11" ht="13.2">
      <c r="A1392" s="22"/>
      <c r="B1392" s="16"/>
      <c r="C1392" s="23"/>
      <c r="D1392" s="24"/>
      <c r="E1392" s="25"/>
      <c r="F1392" s="26"/>
      <c r="G1392" s="27"/>
      <c r="H1392" s="20"/>
      <c r="I1392" s="21"/>
      <c r="J1392" s="28"/>
      <c r="K1392" s="19"/>
    </row>
    <row r="1393" spans="1:11" ht="13.2">
      <c r="A1393" s="22"/>
      <c r="B1393" s="16"/>
      <c r="C1393" s="23"/>
      <c r="D1393" s="24"/>
      <c r="E1393" s="25"/>
      <c r="F1393" s="26"/>
      <c r="G1393" s="27"/>
      <c r="H1393" s="20"/>
      <c r="I1393" s="21"/>
      <c r="J1393" s="28"/>
      <c r="K1393" s="19"/>
    </row>
    <row r="1394" spans="1:11" ht="13.2">
      <c r="A1394" s="22"/>
      <c r="B1394" s="16"/>
      <c r="C1394" s="23"/>
      <c r="D1394" s="24"/>
      <c r="E1394" s="25"/>
      <c r="F1394" s="26"/>
      <c r="G1394" s="27"/>
      <c r="H1394" s="20"/>
      <c r="I1394" s="21"/>
      <c r="J1394" s="28"/>
      <c r="K1394" s="19"/>
    </row>
    <row r="1395" spans="1:11" ht="13.2">
      <c r="A1395" s="22"/>
      <c r="B1395" s="16"/>
      <c r="C1395" s="23"/>
      <c r="D1395" s="24"/>
      <c r="E1395" s="25"/>
      <c r="F1395" s="26"/>
      <c r="G1395" s="27"/>
      <c r="H1395" s="20"/>
      <c r="I1395" s="21"/>
      <c r="J1395" s="28"/>
      <c r="K1395" s="19"/>
    </row>
    <row r="1396" spans="1:11" ht="13.2">
      <c r="A1396" s="22"/>
      <c r="B1396" s="16"/>
      <c r="C1396" s="23"/>
      <c r="D1396" s="24"/>
      <c r="E1396" s="25"/>
      <c r="F1396" s="26"/>
      <c r="G1396" s="27"/>
      <c r="H1396" s="20"/>
      <c r="I1396" s="21"/>
      <c r="J1396" s="28"/>
      <c r="K1396" s="19"/>
    </row>
    <row r="1397" spans="1:11" ht="13.2">
      <c r="A1397" s="22"/>
      <c r="B1397" s="16"/>
      <c r="C1397" s="23"/>
      <c r="D1397" s="24"/>
      <c r="E1397" s="25"/>
      <c r="F1397" s="26"/>
      <c r="G1397" s="27"/>
      <c r="H1397" s="20"/>
      <c r="I1397" s="21"/>
      <c r="J1397" s="28"/>
      <c r="K1397" s="19"/>
    </row>
    <row r="1398" spans="1:11" ht="13.2">
      <c r="A1398" s="22"/>
      <c r="B1398" s="16"/>
      <c r="C1398" s="23"/>
      <c r="D1398" s="24"/>
      <c r="E1398" s="25"/>
      <c r="F1398" s="26"/>
      <c r="G1398" s="27"/>
      <c r="H1398" s="20"/>
      <c r="I1398" s="21"/>
      <c r="J1398" s="28"/>
      <c r="K1398" s="19"/>
    </row>
    <row r="1399" spans="1:11" ht="13.2">
      <c r="A1399" s="22"/>
      <c r="B1399" s="16"/>
      <c r="C1399" s="23"/>
      <c r="D1399" s="24"/>
      <c r="E1399" s="25"/>
      <c r="F1399" s="26"/>
      <c r="G1399" s="27"/>
      <c r="H1399" s="20"/>
      <c r="I1399" s="21"/>
      <c r="J1399" s="28"/>
      <c r="K1399" s="19"/>
    </row>
    <row r="1400" spans="1:11" ht="13.2">
      <c r="A1400" s="22"/>
      <c r="B1400" s="16"/>
      <c r="C1400" s="23"/>
      <c r="D1400" s="24"/>
      <c r="E1400" s="25"/>
      <c r="F1400" s="26"/>
      <c r="G1400" s="27"/>
      <c r="H1400" s="20"/>
      <c r="I1400" s="21"/>
      <c r="J1400" s="28"/>
      <c r="K1400" s="19"/>
    </row>
    <row r="1401" spans="1:11" ht="13.2">
      <c r="A1401" s="22"/>
      <c r="B1401" s="16"/>
      <c r="C1401" s="23"/>
      <c r="D1401" s="24"/>
      <c r="E1401" s="25"/>
      <c r="F1401" s="26"/>
      <c r="G1401" s="27"/>
      <c r="H1401" s="20"/>
      <c r="I1401" s="21"/>
      <c r="J1401" s="28"/>
      <c r="K1401" s="19"/>
    </row>
    <row r="1402" spans="1:11" ht="13.2">
      <c r="A1402" s="22"/>
      <c r="B1402" s="16"/>
      <c r="C1402" s="23"/>
      <c r="D1402" s="24"/>
      <c r="E1402" s="25"/>
      <c r="F1402" s="26"/>
      <c r="G1402" s="27"/>
      <c r="H1402" s="20"/>
      <c r="I1402" s="21"/>
      <c r="J1402" s="28"/>
      <c r="K1402" s="19"/>
    </row>
    <row r="1403" spans="1:11" ht="13.2">
      <c r="A1403" s="22"/>
      <c r="B1403" s="16"/>
      <c r="C1403" s="23"/>
      <c r="D1403" s="24"/>
      <c r="E1403" s="25"/>
      <c r="F1403" s="26"/>
      <c r="G1403" s="27"/>
      <c r="H1403" s="20"/>
      <c r="I1403" s="21"/>
      <c r="J1403" s="28"/>
      <c r="K1403" s="19"/>
    </row>
    <row r="1404" spans="1:11" ht="13.2">
      <c r="A1404" s="22"/>
      <c r="B1404" s="16"/>
      <c r="C1404" s="23"/>
      <c r="D1404" s="24"/>
      <c r="E1404" s="25"/>
      <c r="F1404" s="26"/>
      <c r="G1404" s="27"/>
      <c r="H1404" s="20"/>
      <c r="I1404" s="21"/>
      <c r="J1404" s="28"/>
      <c r="K1404" s="19"/>
    </row>
    <row r="1405" spans="1:11" ht="13.2">
      <c r="A1405" s="22"/>
      <c r="B1405" s="16"/>
      <c r="C1405" s="23"/>
      <c r="D1405" s="24"/>
      <c r="E1405" s="25"/>
      <c r="F1405" s="26"/>
      <c r="G1405" s="27"/>
      <c r="H1405" s="20"/>
      <c r="I1405" s="21"/>
      <c r="J1405" s="28"/>
      <c r="K1405" s="19"/>
    </row>
    <row r="1406" spans="1:11" ht="13.2">
      <c r="A1406" s="22"/>
      <c r="B1406" s="16"/>
      <c r="C1406" s="23"/>
      <c r="D1406" s="24"/>
      <c r="E1406" s="25"/>
      <c r="F1406" s="26"/>
      <c r="G1406" s="27"/>
      <c r="H1406" s="20"/>
      <c r="I1406" s="21"/>
      <c r="J1406" s="28"/>
      <c r="K1406" s="19"/>
    </row>
    <row r="1407" spans="1:11" ht="13.2">
      <c r="A1407" s="22"/>
      <c r="B1407" s="16"/>
      <c r="C1407" s="23"/>
      <c r="D1407" s="24"/>
      <c r="E1407" s="25"/>
      <c r="F1407" s="26"/>
      <c r="G1407" s="27"/>
      <c r="H1407" s="20"/>
      <c r="I1407" s="21"/>
      <c r="J1407" s="28"/>
      <c r="K1407" s="19"/>
    </row>
    <row r="1408" spans="1:11" ht="13.2">
      <c r="A1408" s="22"/>
      <c r="B1408" s="16"/>
      <c r="C1408" s="23"/>
      <c r="D1408" s="24"/>
      <c r="E1408" s="25"/>
      <c r="F1408" s="26"/>
      <c r="G1408" s="27"/>
      <c r="H1408" s="20"/>
      <c r="I1408" s="21"/>
      <c r="J1408" s="28"/>
      <c r="K1408" s="19"/>
    </row>
    <row r="1409" spans="1:11" ht="13.2">
      <c r="A1409" s="22"/>
      <c r="B1409" s="16"/>
      <c r="C1409" s="23"/>
      <c r="D1409" s="24"/>
      <c r="E1409" s="25"/>
      <c r="F1409" s="26"/>
      <c r="G1409" s="27"/>
      <c r="H1409" s="20"/>
      <c r="I1409" s="21"/>
      <c r="J1409" s="28"/>
      <c r="K1409" s="19"/>
    </row>
    <row r="1410" spans="1:11" ht="13.2">
      <c r="A1410" s="22"/>
      <c r="B1410" s="16"/>
      <c r="C1410" s="23"/>
      <c r="D1410" s="24"/>
      <c r="E1410" s="25"/>
      <c r="F1410" s="26"/>
      <c r="G1410" s="27"/>
      <c r="H1410" s="20"/>
      <c r="I1410" s="21"/>
      <c r="J1410" s="28"/>
      <c r="K1410" s="19"/>
    </row>
    <row r="1411" spans="1:11" ht="13.2">
      <c r="A1411" s="22"/>
      <c r="B1411" s="16"/>
      <c r="C1411" s="23"/>
      <c r="D1411" s="24"/>
      <c r="E1411" s="25"/>
      <c r="F1411" s="26"/>
      <c r="G1411" s="27"/>
      <c r="H1411" s="20"/>
      <c r="I1411" s="21"/>
      <c r="J1411" s="28"/>
      <c r="K1411" s="19"/>
    </row>
    <row r="1412" spans="1:11" ht="13.2">
      <c r="A1412" s="22"/>
      <c r="B1412" s="16"/>
      <c r="C1412" s="23"/>
      <c r="D1412" s="24"/>
      <c r="E1412" s="25"/>
      <c r="F1412" s="26"/>
      <c r="G1412" s="27"/>
      <c r="H1412" s="20"/>
      <c r="I1412" s="21"/>
      <c r="J1412" s="28"/>
      <c r="K1412" s="19"/>
    </row>
    <row r="1413" spans="1:11" ht="13.2">
      <c r="A1413" s="22"/>
      <c r="B1413" s="16"/>
      <c r="C1413" s="23"/>
      <c r="D1413" s="24"/>
      <c r="E1413" s="25"/>
      <c r="F1413" s="26"/>
      <c r="G1413" s="27"/>
      <c r="H1413" s="20"/>
      <c r="I1413" s="21"/>
      <c r="J1413" s="28"/>
      <c r="K1413" s="19"/>
    </row>
    <row r="1414" spans="1:11" ht="13.2">
      <c r="A1414" s="22"/>
      <c r="B1414" s="16"/>
      <c r="C1414" s="23"/>
      <c r="D1414" s="24"/>
      <c r="E1414" s="25"/>
      <c r="F1414" s="26"/>
      <c r="G1414" s="27"/>
      <c r="H1414" s="20"/>
      <c r="I1414" s="21"/>
      <c r="J1414" s="28"/>
      <c r="K1414" s="19"/>
    </row>
    <row r="1415" spans="1:11" ht="13.2">
      <c r="A1415" s="22"/>
      <c r="B1415" s="16"/>
      <c r="C1415" s="23"/>
      <c r="D1415" s="24"/>
      <c r="E1415" s="25"/>
      <c r="F1415" s="26"/>
      <c r="G1415" s="27"/>
      <c r="H1415" s="20"/>
      <c r="I1415" s="21"/>
      <c r="J1415" s="28"/>
      <c r="K1415" s="19"/>
    </row>
    <row r="1416" spans="1:11" ht="13.2">
      <c r="A1416" s="22"/>
      <c r="B1416" s="16"/>
      <c r="C1416" s="23"/>
      <c r="D1416" s="24"/>
      <c r="E1416" s="25"/>
      <c r="F1416" s="26"/>
      <c r="G1416" s="27"/>
      <c r="H1416" s="20"/>
      <c r="I1416" s="21"/>
      <c r="J1416" s="28"/>
      <c r="K1416" s="19"/>
    </row>
    <row r="1417" spans="1:11" ht="13.2">
      <c r="A1417" s="22"/>
      <c r="B1417" s="16"/>
      <c r="C1417" s="23"/>
      <c r="D1417" s="24"/>
      <c r="E1417" s="25"/>
      <c r="F1417" s="26"/>
      <c r="G1417" s="27"/>
      <c r="H1417" s="20"/>
      <c r="I1417" s="21"/>
      <c r="J1417" s="28"/>
      <c r="K1417" s="19"/>
    </row>
    <row r="1418" spans="1:11" ht="13.2">
      <c r="A1418" s="22"/>
      <c r="B1418" s="16"/>
      <c r="C1418" s="23"/>
      <c r="D1418" s="24"/>
      <c r="E1418" s="25"/>
      <c r="F1418" s="26"/>
      <c r="G1418" s="27"/>
      <c r="H1418" s="20"/>
      <c r="I1418" s="21"/>
      <c r="J1418" s="28"/>
      <c r="K1418" s="19"/>
    </row>
    <row r="1419" spans="1:11" ht="13.2">
      <c r="A1419" s="22"/>
      <c r="B1419" s="16"/>
      <c r="C1419" s="23"/>
      <c r="D1419" s="24"/>
      <c r="E1419" s="25"/>
      <c r="F1419" s="26"/>
      <c r="G1419" s="27"/>
      <c r="H1419" s="20"/>
      <c r="I1419" s="21"/>
      <c r="J1419" s="28"/>
      <c r="K1419" s="19"/>
    </row>
    <row r="1420" spans="1:11" ht="13.2">
      <c r="A1420" s="22"/>
      <c r="B1420" s="16"/>
      <c r="C1420" s="23"/>
      <c r="D1420" s="24"/>
      <c r="E1420" s="25"/>
      <c r="F1420" s="26"/>
      <c r="G1420" s="27"/>
      <c r="H1420" s="20"/>
      <c r="I1420" s="21"/>
      <c r="J1420" s="28"/>
      <c r="K1420" s="19"/>
    </row>
    <row r="1421" spans="1:11" ht="13.2">
      <c r="A1421" s="22"/>
      <c r="B1421" s="16"/>
      <c r="C1421" s="23"/>
      <c r="D1421" s="24"/>
      <c r="E1421" s="25"/>
      <c r="F1421" s="26"/>
      <c r="G1421" s="27"/>
      <c r="H1421" s="20"/>
      <c r="I1421" s="21"/>
      <c r="J1421" s="28"/>
      <c r="K1421" s="19"/>
    </row>
    <row r="1422" spans="1:11" ht="13.2">
      <c r="A1422" s="22"/>
      <c r="B1422" s="16"/>
      <c r="C1422" s="23"/>
      <c r="D1422" s="24"/>
      <c r="E1422" s="25"/>
      <c r="F1422" s="26"/>
      <c r="G1422" s="27"/>
      <c r="H1422" s="20"/>
      <c r="I1422" s="21"/>
      <c r="J1422" s="28"/>
      <c r="K1422" s="19"/>
    </row>
    <row r="1423" spans="1:11" ht="13.2">
      <c r="A1423" s="22"/>
      <c r="B1423" s="16"/>
      <c r="C1423" s="23"/>
      <c r="D1423" s="24"/>
      <c r="E1423" s="25"/>
      <c r="F1423" s="26"/>
      <c r="G1423" s="27"/>
      <c r="H1423" s="20"/>
      <c r="I1423" s="21"/>
      <c r="J1423" s="28"/>
      <c r="K1423" s="19"/>
    </row>
    <row r="1424" spans="1:11" ht="13.2">
      <c r="A1424" s="22"/>
      <c r="B1424" s="16"/>
      <c r="C1424" s="23"/>
      <c r="D1424" s="24"/>
      <c r="E1424" s="25"/>
      <c r="F1424" s="26"/>
      <c r="G1424" s="27"/>
      <c r="H1424" s="20"/>
      <c r="I1424" s="21"/>
      <c r="J1424" s="28"/>
      <c r="K1424" s="19"/>
    </row>
    <row r="1425" spans="1:11" ht="13.2">
      <c r="A1425" s="22"/>
      <c r="B1425" s="16"/>
      <c r="C1425" s="23"/>
      <c r="D1425" s="24"/>
      <c r="E1425" s="25"/>
      <c r="F1425" s="26"/>
      <c r="G1425" s="27"/>
      <c r="H1425" s="20"/>
      <c r="I1425" s="21"/>
      <c r="J1425" s="28"/>
      <c r="K1425" s="19"/>
    </row>
    <row r="1426" spans="1:11" ht="13.2">
      <c r="A1426" s="22"/>
      <c r="B1426" s="16"/>
      <c r="C1426" s="23"/>
      <c r="D1426" s="24"/>
      <c r="E1426" s="25"/>
      <c r="F1426" s="26"/>
      <c r="G1426" s="27"/>
      <c r="H1426" s="20"/>
      <c r="I1426" s="21"/>
      <c r="J1426" s="28"/>
      <c r="K1426" s="19"/>
    </row>
    <row r="1427" spans="1:11" ht="13.2">
      <c r="A1427" s="22"/>
      <c r="B1427" s="16"/>
      <c r="C1427" s="23"/>
      <c r="D1427" s="24"/>
      <c r="E1427" s="25"/>
      <c r="F1427" s="26"/>
      <c r="G1427" s="27"/>
      <c r="H1427" s="20"/>
      <c r="I1427" s="21"/>
      <c r="J1427" s="28"/>
      <c r="K1427" s="19"/>
    </row>
    <row r="1428" spans="1:11" ht="13.2">
      <c r="A1428" s="22"/>
      <c r="B1428" s="16"/>
      <c r="C1428" s="23"/>
      <c r="D1428" s="24"/>
      <c r="E1428" s="25"/>
      <c r="F1428" s="26"/>
      <c r="G1428" s="27"/>
      <c r="H1428" s="20"/>
      <c r="I1428" s="21"/>
      <c r="J1428" s="28"/>
      <c r="K1428" s="19"/>
    </row>
    <row r="1429" spans="1:11" ht="13.2">
      <c r="A1429" s="22"/>
      <c r="B1429" s="16"/>
      <c r="C1429" s="23"/>
      <c r="D1429" s="24"/>
      <c r="E1429" s="25"/>
      <c r="F1429" s="26"/>
      <c r="G1429" s="27"/>
      <c r="H1429" s="20"/>
      <c r="I1429" s="21"/>
      <c r="J1429" s="28"/>
      <c r="K1429" s="19"/>
    </row>
    <row r="1430" spans="1:11" ht="13.2">
      <c r="A1430" s="22"/>
      <c r="B1430" s="16"/>
      <c r="C1430" s="23"/>
      <c r="D1430" s="24"/>
      <c r="E1430" s="25"/>
      <c r="F1430" s="26"/>
      <c r="G1430" s="27"/>
      <c r="H1430" s="20"/>
      <c r="I1430" s="21"/>
      <c r="J1430" s="28"/>
      <c r="K1430" s="19"/>
    </row>
    <row r="1431" spans="1:11" ht="13.2">
      <c r="A1431" s="22"/>
      <c r="B1431" s="16"/>
      <c r="C1431" s="23"/>
      <c r="D1431" s="24"/>
      <c r="E1431" s="25"/>
      <c r="F1431" s="26"/>
      <c r="G1431" s="27"/>
      <c r="H1431" s="20"/>
      <c r="I1431" s="21"/>
      <c r="J1431" s="28"/>
      <c r="K1431" s="19"/>
    </row>
    <row r="1432" spans="1:11" ht="13.2">
      <c r="A1432" s="22"/>
      <c r="B1432" s="16"/>
      <c r="C1432" s="23"/>
      <c r="D1432" s="24"/>
      <c r="E1432" s="25"/>
      <c r="F1432" s="26"/>
      <c r="G1432" s="27"/>
      <c r="H1432" s="20"/>
      <c r="I1432" s="21"/>
      <c r="J1432" s="28"/>
      <c r="K1432" s="19"/>
    </row>
    <row r="1433" spans="1:11" ht="13.2">
      <c r="A1433" s="22"/>
      <c r="B1433" s="16"/>
      <c r="C1433" s="23"/>
      <c r="D1433" s="24"/>
      <c r="E1433" s="25"/>
      <c r="F1433" s="26"/>
      <c r="G1433" s="27"/>
      <c r="H1433" s="20"/>
      <c r="I1433" s="21"/>
      <c r="J1433" s="28"/>
      <c r="K1433" s="19"/>
    </row>
    <row r="1434" spans="1:11" ht="13.2">
      <c r="A1434" s="22"/>
      <c r="B1434" s="16"/>
      <c r="C1434" s="23"/>
      <c r="D1434" s="24"/>
      <c r="E1434" s="25"/>
      <c r="F1434" s="26"/>
      <c r="G1434" s="27"/>
      <c r="H1434" s="20"/>
      <c r="I1434" s="21"/>
      <c r="J1434" s="28"/>
      <c r="K1434" s="19"/>
    </row>
    <row r="1435" spans="1:11" ht="13.2">
      <c r="A1435" s="22"/>
      <c r="B1435" s="16"/>
      <c r="C1435" s="23"/>
      <c r="D1435" s="24"/>
      <c r="E1435" s="25"/>
      <c r="F1435" s="26"/>
      <c r="G1435" s="27"/>
      <c r="H1435" s="20"/>
      <c r="I1435" s="21"/>
      <c r="J1435" s="28"/>
      <c r="K1435" s="19"/>
    </row>
    <row r="1436" spans="1:11" ht="13.2">
      <c r="A1436" s="22"/>
      <c r="B1436" s="16"/>
      <c r="C1436" s="23"/>
      <c r="D1436" s="24"/>
      <c r="E1436" s="25"/>
      <c r="F1436" s="26"/>
      <c r="G1436" s="27"/>
      <c r="H1436" s="20"/>
      <c r="I1436" s="21"/>
      <c r="J1436" s="28"/>
      <c r="K1436" s="19"/>
    </row>
    <row r="1437" spans="1:11" ht="13.2">
      <c r="A1437" s="22"/>
      <c r="B1437" s="16"/>
      <c r="C1437" s="23"/>
      <c r="D1437" s="24"/>
      <c r="E1437" s="25"/>
      <c r="F1437" s="26"/>
      <c r="G1437" s="27"/>
      <c r="H1437" s="20"/>
      <c r="I1437" s="21"/>
      <c r="J1437" s="28"/>
      <c r="K1437" s="19"/>
    </row>
    <row r="1438" spans="1:11" ht="13.2">
      <c r="A1438" s="22"/>
      <c r="B1438" s="16"/>
      <c r="C1438" s="23"/>
      <c r="D1438" s="24"/>
      <c r="E1438" s="25"/>
      <c r="F1438" s="26"/>
      <c r="G1438" s="27"/>
      <c r="H1438" s="20"/>
      <c r="I1438" s="21"/>
      <c r="J1438" s="28"/>
      <c r="K1438" s="19"/>
    </row>
    <row r="1439" spans="1:11" ht="13.2">
      <c r="A1439" s="22"/>
      <c r="B1439" s="16"/>
      <c r="C1439" s="23"/>
      <c r="D1439" s="24"/>
      <c r="E1439" s="25"/>
      <c r="F1439" s="26"/>
      <c r="G1439" s="27"/>
      <c r="H1439" s="20"/>
      <c r="I1439" s="21"/>
      <c r="J1439" s="28"/>
      <c r="K1439" s="19"/>
    </row>
    <row r="1440" spans="1:11" ht="13.2">
      <c r="A1440" s="22"/>
      <c r="B1440" s="16"/>
      <c r="C1440" s="23"/>
      <c r="D1440" s="24"/>
      <c r="E1440" s="25"/>
      <c r="F1440" s="26"/>
      <c r="G1440" s="27"/>
      <c r="H1440" s="20"/>
      <c r="I1440" s="21"/>
      <c r="J1440" s="28"/>
      <c r="K1440" s="19"/>
    </row>
    <row r="1441" spans="1:11" ht="13.2">
      <c r="A1441" s="22"/>
      <c r="B1441" s="16"/>
      <c r="C1441" s="23"/>
      <c r="D1441" s="24"/>
      <c r="E1441" s="25"/>
      <c r="F1441" s="26"/>
      <c r="G1441" s="27"/>
      <c r="H1441" s="20"/>
      <c r="I1441" s="21"/>
      <c r="J1441" s="28"/>
      <c r="K1441" s="19"/>
    </row>
    <row r="1442" spans="1:11" ht="13.2">
      <c r="A1442" s="22"/>
      <c r="B1442" s="16"/>
      <c r="C1442" s="23"/>
      <c r="D1442" s="24"/>
      <c r="E1442" s="25"/>
      <c r="F1442" s="26"/>
      <c r="G1442" s="27"/>
      <c r="H1442" s="20"/>
      <c r="I1442" s="21"/>
      <c r="J1442" s="28"/>
      <c r="K1442" s="19"/>
    </row>
    <row r="1443" spans="1:11" ht="13.2">
      <c r="A1443" s="22"/>
      <c r="B1443" s="16"/>
      <c r="C1443" s="23"/>
      <c r="D1443" s="24"/>
      <c r="E1443" s="25"/>
      <c r="F1443" s="26"/>
      <c r="G1443" s="27"/>
      <c r="H1443" s="20"/>
      <c r="I1443" s="21"/>
      <c r="J1443" s="28"/>
      <c r="K1443" s="19"/>
    </row>
    <row r="1444" spans="1:11" ht="13.2">
      <c r="A1444" s="22"/>
      <c r="B1444" s="16"/>
      <c r="C1444" s="23"/>
      <c r="D1444" s="24"/>
      <c r="E1444" s="25"/>
      <c r="F1444" s="26"/>
      <c r="G1444" s="27"/>
      <c r="H1444" s="20"/>
      <c r="I1444" s="21"/>
      <c r="J1444" s="28"/>
      <c r="K1444" s="19"/>
    </row>
    <row r="1445" spans="1:11" ht="13.2">
      <c r="A1445" s="22"/>
      <c r="B1445" s="16"/>
      <c r="C1445" s="23"/>
      <c r="D1445" s="24"/>
      <c r="E1445" s="25"/>
      <c r="F1445" s="26"/>
      <c r="G1445" s="27"/>
      <c r="H1445" s="20"/>
      <c r="I1445" s="21"/>
      <c r="J1445" s="28"/>
      <c r="K1445" s="19"/>
    </row>
    <row r="1446" spans="1:11" ht="13.2">
      <c r="A1446" s="22"/>
      <c r="B1446" s="16"/>
      <c r="C1446" s="23"/>
      <c r="D1446" s="24"/>
      <c r="E1446" s="25"/>
      <c r="F1446" s="26"/>
      <c r="G1446" s="27"/>
      <c r="H1446" s="20"/>
      <c r="I1446" s="21"/>
      <c r="J1446" s="28"/>
      <c r="K1446" s="19"/>
    </row>
    <row r="1447" spans="1:11" ht="13.2">
      <c r="A1447" s="22"/>
      <c r="B1447" s="16"/>
      <c r="C1447" s="23"/>
      <c r="D1447" s="24"/>
      <c r="E1447" s="25"/>
      <c r="F1447" s="26"/>
      <c r="G1447" s="27"/>
      <c r="H1447" s="20"/>
      <c r="I1447" s="21"/>
      <c r="J1447" s="28"/>
      <c r="K1447" s="19"/>
    </row>
    <row r="1448" spans="1:11" ht="13.2">
      <c r="A1448" s="22"/>
      <c r="B1448" s="16"/>
      <c r="C1448" s="23"/>
      <c r="D1448" s="24"/>
      <c r="E1448" s="25"/>
      <c r="F1448" s="26"/>
      <c r="G1448" s="27"/>
      <c r="H1448" s="20"/>
      <c r="I1448" s="21"/>
      <c r="J1448" s="28"/>
      <c r="K1448" s="19"/>
    </row>
    <row r="1449" spans="1:11" ht="13.2">
      <c r="A1449" s="22"/>
      <c r="B1449" s="16"/>
      <c r="C1449" s="23"/>
      <c r="D1449" s="24"/>
      <c r="E1449" s="25"/>
      <c r="F1449" s="26"/>
      <c r="G1449" s="27"/>
      <c r="H1449" s="20"/>
      <c r="I1449" s="21"/>
      <c r="J1449" s="28"/>
      <c r="K1449" s="19"/>
    </row>
    <row r="1450" spans="1:11" ht="13.2">
      <c r="A1450" s="22"/>
      <c r="B1450" s="16"/>
      <c r="C1450" s="23"/>
      <c r="D1450" s="24"/>
      <c r="E1450" s="25"/>
      <c r="F1450" s="26"/>
      <c r="G1450" s="27"/>
      <c r="H1450" s="20"/>
      <c r="I1450" s="21"/>
      <c r="J1450" s="28"/>
      <c r="K1450" s="19"/>
    </row>
    <row r="1451" spans="1:11" ht="13.2">
      <c r="A1451" s="22"/>
      <c r="B1451" s="16"/>
      <c r="C1451" s="23"/>
      <c r="D1451" s="24"/>
      <c r="E1451" s="25"/>
      <c r="F1451" s="26"/>
      <c r="G1451" s="27"/>
      <c r="H1451" s="20"/>
      <c r="I1451" s="21"/>
      <c r="J1451" s="28"/>
      <c r="K1451" s="19"/>
    </row>
    <row r="1452" spans="1:11" ht="13.2">
      <c r="A1452" s="22"/>
      <c r="B1452" s="16"/>
      <c r="C1452" s="23"/>
      <c r="D1452" s="24"/>
      <c r="E1452" s="25"/>
      <c r="F1452" s="26"/>
      <c r="G1452" s="27"/>
      <c r="H1452" s="20"/>
      <c r="I1452" s="21"/>
      <c r="J1452" s="28"/>
      <c r="K1452" s="19"/>
    </row>
    <row r="1453" spans="1:11" ht="13.2">
      <c r="A1453" s="22"/>
      <c r="B1453" s="16"/>
      <c r="C1453" s="23"/>
      <c r="D1453" s="24"/>
      <c r="E1453" s="25"/>
      <c r="F1453" s="26"/>
      <c r="G1453" s="27"/>
      <c r="H1453" s="20"/>
      <c r="I1453" s="21"/>
      <c r="J1453" s="28"/>
      <c r="K1453" s="19"/>
    </row>
    <row r="1454" spans="1:11" ht="13.2">
      <c r="A1454" s="22"/>
      <c r="B1454" s="16"/>
      <c r="C1454" s="23"/>
      <c r="D1454" s="24"/>
      <c r="E1454" s="25"/>
      <c r="F1454" s="26"/>
      <c r="G1454" s="27"/>
      <c r="H1454" s="20"/>
      <c r="I1454" s="21"/>
      <c r="J1454" s="28"/>
      <c r="K1454" s="19"/>
    </row>
    <row r="1455" spans="1:11" ht="13.2">
      <c r="A1455" s="22"/>
      <c r="B1455" s="16"/>
      <c r="C1455" s="23"/>
      <c r="D1455" s="24"/>
      <c r="E1455" s="25"/>
      <c r="F1455" s="26"/>
      <c r="G1455" s="27"/>
      <c r="H1455" s="20"/>
      <c r="I1455" s="21"/>
      <c r="J1455" s="28"/>
      <c r="K1455" s="19"/>
    </row>
    <row r="1456" spans="1:11" ht="13.2">
      <c r="A1456" s="22"/>
      <c r="B1456" s="16"/>
      <c r="C1456" s="23"/>
      <c r="D1456" s="24"/>
      <c r="E1456" s="25"/>
      <c r="F1456" s="26"/>
      <c r="G1456" s="27"/>
      <c r="H1456" s="20"/>
      <c r="I1456" s="21"/>
      <c r="J1456" s="28"/>
      <c r="K1456" s="19"/>
    </row>
    <row r="1457" spans="1:11" ht="13.2">
      <c r="A1457" s="22"/>
      <c r="B1457" s="16"/>
      <c r="C1457" s="23"/>
      <c r="D1457" s="24"/>
      <c r="E1457" s="25"/>
      <c r="F1457" s="26"/>
      <c r="G1457" s="27"/>
      <c r="H1457" s="20"/>
      <c r="I1457" s="21"/>
      <c r="J1457" s="28"/>
      <c r="K1457" s="19"/>
    </row>
    <row r="1458" spans="1:11" ht="13.2">
      <c r="A1458" s="22"/>
      <c r="B1458" s="16"/>
      <c r="C1458" s="23"/>
      <c r="D1458" s="24"/>
      <c r="E1458" s="25"/>
      <c r="F1458" s="26"/>
      <c r="G1458" s="27"/>
      <c r="H1458" s="20"/>
      <c r="I1458" s="21"/>
      <c r="J1458" s="28"/>
      <c r="K1458" s="19"/>
    </row>
    <row r="1459" spans="1:11" ht="13.2">
      <c r="A1459" s="22"/>
      <c r="B1459" s="16"/>
      <c r="C1459" s="23"/>
      <c r="D1459" s="24"/>
      <c r="E1459" s="25"/>
      <c r="F1459" s="26"/>
      <c r="G1459" s="27"/>
      <c r="H1459" s="20"/>
      <c r="I1459" s="21"/>
      <c r="J1459" s="28"/>
      <c r="K1459" s="19"/>
    </row>
    <row r="1460" spans="1:11" ht="13.2">
      <c r="A1460" s="22"/>
      <c r="B1460" s="16"/>
      <c r="C1460" s="23"/>
      <c r="D1460" s="24"/>
      <c r="E1460" s="25"/>
      <c r="F1460" s="26"/>
      <c r="G1460" s="27"/>
      <c r="H1460" s="20"/>
      <c r="I1460" s="21"/>
      <c r="J1460" s="28"/>
      <c r="K1460" s="19"/>
    </row>
    <row r="1461" spans="1:11" ht="13.2">
      <c r="A1461" s="22"/>
      <c r="B1461" s="16"/>
      <c r="C1461" s="23"/>
      <c r="D1461" s="24"/>
      <c r="E1461" s="25"/>
      <c r="F1461" s="26"/>
      <c r="G1461" s="27"/>
      <c r="H1461" s="20"/>
      <c r="I1461" s="21"/>
      <c r="J1461" s="28"/>
      <c r="K1461" s="19"/>
    </row>
    <row r="1462" spans="1:11" ht="13.2">
      <c r="A1462" s="22"/>
      <c r="B1462" s="16"/>
      <c r="C1462" s="23"/>
      <c r="D1462" s="24"/>
      <c r="E1462" s="25"/>
      <c r="F1462" s="26"/>
      <c r="G1462" s="27"/>
      <c r="H1462" s="20"/>
      <c r="I1462" s="21"/>
      <c r="J1462" s="28"/>
      <c r="K1462" s="19"/>
    </row>
    <row r="1463" spans="1:11" ht="13.2">
      <c r="A1463" s="22"/>
      <c r="B1463" s="16"/>
      <c r="C1463" s="23"/>
      <c r="D1463" s="24"/>
      <c r="E1463" s="25"/>
      <c r="F1463" s="26"/>
      <c r="G1463" s="27"/>
      <c r="H1463" s="20"/>
      <c r="I1463" s="21"/>
      <c r="J1463" s="28"/>
      <c r="K1463" s="19"/>
    </row>
    <row r="1464" spans="1:11" ht="13.2">
      <c r="A1464" s="22"/>
      <c r="B1464" s="16"/>
      <c r="C1464" s="23"/>
      <c r="D1464" s="24"/>
      <c r="E1464" s="25"/>
      <c r="F1464" s="26"/>
      <c r="G1464" s="27"/>
      <c r="H1464" s="20"/>
      <c r="I1464" s="21"/>
      <c r="J1464" s="28"/>
      <c r="K1464" s="19"/>
    </row>
    <row r="1465" spans="1:11" ht="13.2">
      <c r="A1465" s="22"/>
      <c r="B1465" s="16"/>
      <c r="C1465" s="23"/>
      <c r="D1465" s="24"/>
      <c r="E1465" s="25"/>
      <c r="F1465" s="26"/>
      <c r="G1465" s="27"/>
      <c r="H1465" s="20"/>
      <c r="I1465" s="21"/>
      <c r="J1465" s="28"/>
      <c r="K1465" s="19"/>
    </row>
    <row r="1466" spans="1:11" ht="13.2">
      <c r="A1466" s="22"/>
      <c r="B1466" s="16"/>
      <c r="C1466" s="23"/>
      <c r="D1466" s="24"/>
      <c r="E1466" s="25"/>
      <c r="F1466" s="26"/>
      <c r="G1466" s="27"/>
      <c r="H1466" s="20"/>
      <c r="I1466" s="21"/>
      <c r="J1466" s="28"/>
      <c r="K1466" s="19"/>
    </row>
    <row r="1467" spans="1:11" ht="13.2">
      <c r="A1467" s="22"/>
      <c r="B1467" s="16"/>
      <c r="C1467" s="23"/>
      <c r="D1467" s="24"/>
      <c r="E1467" s="25"/>
      <c r="F1467" s="26"/>
      <c r="G1467" s="27"/>
      <c r="H1467" s="20"/>
      <c r="I1467" s="21"/>
      <c r="J1467" s="28"/>
      <c r="K1467" s="19"/>
    </row>
    <row r="1468" spans="1:11" ht="13.2">
      <c r="A1468" s="22"/>
      <c r="B1468" s="16"/>
      <c r="C1468" s="23"/>
      <c r="D1468" s="24"/>
      <c r="E1468" s="25"/>
      <c r="F1468" s="26"/>
      <c r="G1468" s="27"/>
      <c r="H1468" s="20"/>
      <c r="I1468" s="21"/>
      <c r="J1468" s="28"/>
      <c r="K1468" s="19"/>
    </row>
    <row r="1469" spans="1:11" ht="13.2">
      <c r="A1469" s="22"/>
      <c r="B1469" s="16"/>
      <c r="C1469" s="23"/>
      <c r="D1469" s="24"/>
      <c r="E1469" s="25"/>
      <c r="F1469" s="26"/>
      <c r="G1469" s="27"/>
      <c r="H1469" s="20"/>
      <c r="I1469" s="21"/>
      <c r="J1469" s="28"/>
      <c r="K1469" s="19"/>
    </row>
    <row r="1470" spans="1:11" ht="13.2">
      <c r="A1470" s="22"/>
      <c r="B1470" s="16"/>
      <c r="C1470" s="23"/>
      <c r="D1470" s="24"/>
      <c r="E1470" s="25"/>
      <c r="F1470" s="26"/>
      <c r="G1470" s="27"/>
      <c r="H1470" s="20"/>
      <c r="I1470" s="21"/>
      <c r="J1470" s="28"/>
      <c r="K1470" s="19"/>
    </row>
    <row r="1471" spans="1:11" ht="13.2">
      <c r="A1471" s="22"/>
      <c r="B1471" s="16"/>
      <c r="C1471" s="23"/>
      <c r="D1471" s="24"/>
      <c r="E1471" s="25"/>
      <c r="F1471" s="26"/>
      <c r="G1471" s="27"/>
      <c r="H1471" s="20"/>
      <c r="I1471" s="21"/>
      <c r="J1471" s="28"/>
      <c r="K1471" s="19"/>
    </row>
    <row r="1472" spans="1:11" ht="13.2">
      <c r="A1472" s="22"/>
      <c r="B1472" s="16"/>
      <c r="C1472" s="23"/>
      <c r="D1472" s="24"/>
      <c r="E1472" s="25"/>
      <c r="F1472" s="26"/>
      <c r="G1472" s="27"/>
      <c r="H1472" s="20"/>
      <c r="I1472" s="21"/>
      <c r="J1472" s="28"/>
      <c r="K1472" s="19"/>
    </row>
    <row r="1473" spans="1:11" ht="13.2">
      <c r="A1473" s="22"/>
      <c r="B1473" s="16"/>
      <c r="C1473" s="23"/>
      <c r="D1473" s="24"/>
      <c r="E1473" s="25"/>
      <c r="F1473" s="26"/>
      <c r="G1473" s="27"/>
      <c r="H1473" s="20"/>
      <c r="I1473" s="21"/>
      <c r="J1473" s="28"/>
      <c r="K1473" s="19"/>
    </row>
    <row r="1474" spans="1:11" ht="13.2">
      <c r="A1474" s="22"/>
      <c r="B1474" s="16"/>
      <c r="C1474" s="23"/>
      <c r="D1474" s="24"/>
      <c r="E1474" s="25"/>
      <c r="F1474" s="26"/>
      <c r="G1474" s="27"/>
      <c r="H1474" s="20"/>
      <c r="I1474" s="21"/>
      <c r="J1474" s="28"/>
      <c r="K1474" s="19"/>
    </row>
    <row r="1475" spans="1:11" ht="13.2">
      <c r="A1475" s="22"/>
      <c r="B1475" s="16"/>
      <c r="C1475" s="23"/>
      <c r="D1475" s="24"/>
      <c r="E1475" s="25"/>
      <c r="F1475" s="26"/>
      <c r="G1475" s="27"/>
      <c r="H1475" s="20"/>
      <c r="I1475" s="21"/>
      <c r="J1475" s="28"/>
      <c r="K1475" s="19"/>
    </row>
    <row r="1476" spans="1:11" ht="13.2">
      <c r="A1476" s="22"/>
      <c r="B1476" s="16"/>
      <c r="C1476" s="23"/>
      <c r="D1476" s="24"/>
      <c r="E1476" s="25"/>
      <c r="F1476" s="26"/>
      <c r="G1476" s="27"/>
      <c r="H1476" s="20"/>
      <c r="I1476" s="21"/>
      <c r="J1476" s="28"/>
      <c r="K1476" s="19"/>
    </row>
    <row r="1477" spans="1:11" ht="13.2">
      <c r="A1477" s="22"/>
      <c r="B1477" s="16"/>
      <c r="C1477" s="23"/>
      <c r="D1477" s="24"/>
      <c r="E1477" s="25"/>
      <c r="F1477" s="26"/>
      <c r="G1477" s="27"/>
      <c r="H1477" s="20"/>
      <c r="I1477" s="21"/>
      <c r="J1477" s="28"/>
      <c r="K1477" s="19"/>
    </row>
    <row r="1478" spans="1:11" ht="13.2">
      <c r="A1478" s="22"/>
      <c r="B1478" s="16"/>
      <c r="C1478" s="23"/>
      <c r="D1478" s="24"/>
      <c r="E1478" s="25"/>
      <c r="F1478" s="26"/>
      <c r="G1478" s="27"/>
      <c r="H1478" s="20"/>
      <c r="I1478" s="21"/>
      <c r="J1478" s="28"/>
      <c r="K1478" s="19"/>
    </row>
    <row r="1479" spans="1:11" ht="13.2">
      <c r="A1479" s="22"/>
      <c r="B1479" s="16"/>
      <c r="C1479" s="23"/>
      <c r="D1479" s="24"/>
      <c r="E1479" s="25"/>
      <c r="F1479" s="26"/>
      <c r="G1479" s="27"/>
      <c r="H1479" s="20"/>
      <c r="I1479" s="21"/>
      <c r="J1479" s="28"/>
      <c r="K1479" s="19"/>
    </row>
    <row r="1480" spans="1:11" ht="13.2">
      <c r="A1480" s="22"/>
      <c r="B1480" s="16"/>
      <c r="C1480" s="23"/>
      <c r="D1480" s="24"/>
      <c r="E1480" s="25"/>
      <c r="F1480" s="26"/>
      <c r="G1480" s="27"/>
      <c r="H1480" s="20"/>
      <c r="I1480" s="21"/>
      <c r="J1480" s="28"/>
      <c r="K1480" s="19"/>
    </row>
    <row r="1481" spans="1:11" ht="13.2">
      <c r="A1481" s="22"/>
      <c r="B1481" s="16"/>
      <c r="C1481" s="23"/>
      <c r="D1481" s="24"/>
      <c r="E1481" s="25"/>
      <c r="F1481" s="26"/>
      <c r="G1481" s="27"/>
      <c r="H1481" s="20"/>
      <c r="I1481" s="21"/>
      <c r="J1481" s="28"/>
      <c r="K1481" s="19"/>
    </row>
    <row r="1482" spans="1:11" ht="13.2">
      <c r="A1482" s="22"/>
      <c r="B1482" s="16"/>
      <c r="C1482" s="23"/>
      <c r="D1482" s="24"/>
      <c r="E1482" s="25"/>
      <c r="F1482" s="26"/>
      <c r="G1482" s="27"/>
      <c r="H1482" s="20"/>
      <c r="I1482" s="21"/>
      <c r="J1482" s="28"/>
      <c r="K1482" s="19"/>
    </row>
    <row r="1483" spans="1:11" ht="13.2">
      <c r="A1483" s="22"/>
      <c r="B1483" s="16"/>
      <c r="C1483" s="23"/>
      <c r="D1483" s="24"/>
      <c r="E1483" s="25"/>
      <c r="F1483" s="26"/>
      <c r="G1483" s="27"/>
      <c r="H1483" s="20"/>
      <c r="I1483" s="21"/>
      <c r="J1483" s="28"/>
      <c r="K1483" s="19"/>
    </row>
    <row r="1484" spans="1:11" ht="13.2">
      <c r="A1484" s="22"/>
      <c r="B1484" s="16"/>
      <c r="C1484" s="23"/>
      <c r="D1484" s="24"/>
      <c r="E1484" s="25"/>
      <c r="F1484" s="26"/>
      <c r="G1484" s="27"/>
      <c r="H1484" s="20"/>
      <c r="I1484" s="21"/>
      <c r="J1484" s="28"/>
      <c r="K1484" s="19"/>
    </row>
    <row r="1485" spans="1:11" ht="13.2">
      <c r="A1485" s="22"/>
      <c r="B1485" s="16"/>
      <c r="C1485" s="23"/>
      <c r="D1485" s="24"/>
      <c r="E1485" s="25"/>
      <c r="F1485" s="26"/>
      <c r="G1485" s="27"/>
      <c r="H1485" s="20"/>
      <c r="I1485" s="21"/>
      <c r="J1485" s="28"/>
      <c r="K1485" s="19"/>
    </row>
    <row r="1486" spans="1:11" ht="13.2">
      <c r="A1486" s="22"/>
      <c r="B1486" s="16"/>
      <c r="C1486" s="23"/>
      <c r="D1486" s="24"/>
      <c r="E1486" s="25"/>
      <c r="F1486" s="26"/>
      <c r="G1486" s="27"/>
      <c r="H1486" s="20"/>
      <c r="I1486" s="21"/>
      <c r="J1486" s="28"/>
      <c r="K1486" s="19"/>
    </row>
    <row r="1487" spans="1:11" ht="13.2">
      <c r="A1487" s="22"/>
      <c r="B1487" s="16"/>
      <c r="C1487" s="23"/>
      <c r="D1487" s="24"/>
      <c r="E1487" s="25"/>
      <c r="F1487" s="26"/>
      <c r="G1487" s="27"/>
      <c r="H1487" s="20"/>
      <c r="I1487" s="21"/>
      <c r="J1487" s="28"/>
      <c r="K1487" s="19"/>
    </row>
    <row r="1488" spans="1:11" ht="13.2">
      <c r="A1488" s="22"/>
      <c r="B1488" s="16"/>
      <c r="C1488" s="23"/>
      <c r="D1488" s="24"/>
      <c r="E1488" s="25"/>
      <c r="F1488" s="26"/>
      <c r="G1488" s="27"/>
      <c r="H1488" s="20"/>
      <c r="I1488" s="21"/>
      <c r="J1488" s="28"/>
      <c r="K1488" s="19"/>
    </row>
    <row r="1489" spans="1:11" ht="13.2">
      <c r="A1489" s="22"/>
      <c r="B1489" s="16"/>
      <c r="C1489" s="23"/>
      <c r="D1489" s="24"/>
      <c r="E1489" s="25"/>
      <c r="F1489" s="26"/>
      <c r="G1489" s="27"/>
      <c r="H1489" s="20"/>
      <c r="I1489" s="21"/>
      <c r="J1489" s="28"/>
      <c r="K1489" s="19"/>
    </row>
    <row r="1490" spans="1:11" ht="13.2">
      <c r="A1490" s="22"/>
      <c r="B1490" s="16"/>
      <c r="C1490" s="23"/>
      <c r="D1490" s="24"/>
      <c r="E1490" s="25"/>
      <c r="F1490" s="26"/>
      <c r="G1490" s="27"/>
      <c r="H1490" s="20"/>
      <c r="I1490" s="21"/>
      <c r="J1490" s="28"/>
      <c r="K1490" s="19"/>
    </row>
    <row r="1491" spans="1:11" ht="13.2">
      <c r="A1491" s="22"/>
      <c r="B1491" s="16"/>
      <c r="C1491" s="23"/>
      <c r="D1491" s="24"/>
      <c r="E1491" s="25"/>
      <c r="F1491" s="26"/>
      <c r="G1491" s="27"/>
      <c r="H1491" s="20"/>
      <c r="I1491" s="21"/>
      <c r="J1491" s="28"/>
      <c r="K1491" s="19"/>
    </row>
    <row r="1492" spans="1:11" ht="13.2">
      <c r="A1492" s="22"/>
      <c r="B1492" s="16"/>
      <c r="C1492" s="23"/>
      <c r="D1492" s="24"/>
      <c r="E1492" s="25"/>
      <c r="F1492" s="26"/>
      <c r="G1492" s="27"/>
      <c r="H1492" s="20"/>
      <c r="I1492" s="21"/>
      <c r="J1492" s="28"/>
      <c r="K1492" s="19"/>
    </row>
    <row r="1493" spans="1:11" ht="13.2">
      <c r="A1493" s="22"/>
      <c r="B1493" s="16"/>
      <c r="C1493" s="23"/>
      <c r="D1493" s="24"/>
      <c r="E1493" s="25"/>
      <c r="F1493" s="26"/>
      <c r="G1493" s="27"/>
      <c r="H1493" s="20"/>
      <c r="I1493" s="21"/>
      <c r="J1493" s="28"/>
      <c r="K1493" s="19"/>
    </row>
    <row r="1494" spans="1:11" ht="13.2">
      <c r="A1494" s="22"/>
      <c r="B1494" s="16"/>
      <c r="C1494" s="23"/>
      <c r="D1494" s="24"/>
      <c r="E1494" s="25"/>
      <c r="F1494" s="26"/>
      <c r="G1494" s="27"/>
      <c r="H1494" s="20"/>
      <c r="I1494" s="21"/>
      <c r="J1494" s="28"/>
      <c r="K1494" s="19"/>
    </row>
    <row r="1495" spans="1:11" ht="13.2">
      <c r="A1495" s="22"/>
      <c r="B1495" s="16"/>
      <c r="C1495" s="23"/>
      <c r="D1495" s="24"/>
      <c r="E1495" s="25"/>
      <c r="F1495" s="26"/>
      <c r="G1495" s="27"/>
      <c r="H1495" s="20"/>
      <c r="I1495" s="21"/>
      <c r="J1495" s="28"/>
      <c r="K1495" s="19"/>
    </row>
    <row r="1496" spans="1:11" ht="13.2">
      <c r="A1496" s="22"/>
      <c r="B1496" s="16"/>
      <c r="C1496" s="23"/>
      <c r="D1496" s="24"/>
      <c r="E1496" s="25"/>
      <c r="F1496" s="26"/>
      <c r="G1496" s="27"/>
      <c r="H1496" s="20"/>
      <c r="I1496" s="21"/>
      <c r="J1496" s="28"/>
      <c r="K1496" s="19"/>
    </row>
    <row r="1497" spans="1:11" ht="13.2">
      <c r="A1497" s="22"/>
      <c r="B1497" s="16"/>
      <c r="C1497" s="23"/>
      <c r="D1497" s="24"/>
      <c r="E1497" s="25"/>
      <c r="F1497" s="26"/>
      <c r="G1497" s="27"/>
      <c r="H1497" s="20"/>
      <c r="I1497" s="21"/>
      <c r="J1497" s="28"/>
      <c r="K1497" s="19"/>
    </row>
    <row r="1498" spans="1:11" ht="13.2">
      <c r="A1498" s="22"/>
      <c r="B1498" s="16"/>
      <c r="C1498" s="23"/>
      <c r="D1498" s="24"/>
      <c r="E1498" s="25"/>
      <c r="F1498" s="26"/>
      <c r="G1498" s="27"/>
      <c r="H1498" s="20"/>
      <c r="I1498" s="21"/>
      <c r="J1498" s="28"/>
      <c r="K1498" s="19"/>
    </row>
    <row r="1499" spans="1:11" ht="13.2">
      <c r="A1499" s="22"/>
      <c r="B1499" s="16"/>
      <c r="C1499" s="23"/>
      <c r="D1499" s="24"/>
      <c r="E1499" s="25"/>
      <c r="F1499" s="26"/>
      <c r="G1499" s="27"/>
      <c r="H1499" s="20"/>
      <c r="I1499" s="21"/>
      <c r="J1499" s="28"/>
      <c r="K1499" s="19"/>
    </row>
    <row r="1500" spans="1:11" ht="13.2">
      <c r="A1500" s="22"/>
      <c r="B1500" s="16"/>
      <c r="C1500" s="23"/>
      <c r="D1500" s="24"/>
      <c r="E1500" s="25"/>
      <c r="F1500" s="26"/>
      <c r="G1500" s="27"/>
      <c r="H1500" s="20"/>
      <c r="I1500" s="21"/>
      <c r="J1500" s="28"/>
      <c r="K1500" s="19"/>
    </row>
  </sheetData>
  <autoFilter ref="A2:K263"/>
  <mergeCells count="1">
    <mergeCell ref="A1:K1"/>
  </mergeCells>
  <conditionalFormatting sqref="C3:C1500">
    <cfRule type="cellIs" dxfId="388" priority="1" stopIfTrue="1" operator="equal">
      <formula>"Farjana Apu"</formula>
    </cfRule>
  </conditionalFormatting>
  <conditionalFormatting sqref="C3:C1500">
    <cfRule type="cellIs" dxfId="387" priority="2" stopIfTrue="1" operator="equal">
      <formula>"Fiza Apu"</formula>
    </cfRule>
  </conditionalFormatting>
  <conditionalFormatting sqref="C3:C1500">
    <cfRule type="cellIs" dxfId="386" priority="3" stopIfTrue="1" operator="equal">
      <formula>"Nazmul Sir"</formula>
    </cfRule>
  </conditionalFormatting>
  <conditionalFormatting sqref="C3:C1500">
    <cfRule type="cellIs" dxfId="385" priority="4" stopIfTrue="1" operator="equal">
      <formula>"Rabby Vai"</formula>
    </cfRule>
  </conditionalFormatting>
  <conditionalFormatting sqref="C3:C1500">
    <cfRule type="cellIs" dxfId="384" priority="5" stopIfTrue="1" operator="equal">
      <formula>"Reba Apu"</formula>
    </cfRule>
  </conditionalFormatting>
  <conditionalFormatting sqref="C3:C1500">
    <cfRule type="cellIs" dxfId="383" priority="6" stopIfTrue="1" operator="equal">
      <formula>"Saema Apu"</formula>
    </cfRule>
  </conditionalFormatting>
  <conditionalFormatting sqref="C3:C1500">
    <cfRule type="cellIs" dxfId="382" priority="7" stopIfTrue="1" operator="equal">
      <formula>"Sharika Apu"</formula>
    </cfRule>
  </conditionalFormatting>
  <conditionalFormatting sqref="C3:C1500">
    <cfRule type="cellIs" dxfId="381" priority="8" stopIfTrue="1" operator="equal">
      <formula>"Sharmin Apu"</formula>
    </cfRule>
  </conditionalFormatting>
  <conditionalFormatting sqref="C3:C1500">
    <cfRule type="cellIs" dxfId="380" priority="9" stopIfTrue="1" operator="equal">
      <formula>"Mubassira Apu"</formula>
    </cfRule>
  </conditionalFormatting>
  <conditionalFormatting sqref="C3:C1500">
    <cfRule type="cellIs" dxfId="379" priority="10" stopIfTrue="1" operator="equal">
      <formula>"Mona Apu"</formula>
    </cfRule>
  </conditionalFormatting>
  <conditionalFormatting sqref="C3:C1500">
    <cfRule type="cellIs" dxfId="378" priority="11" stopIfTrue="1" operator="equal">
      <formula>"Rakib Vai"</formula>
    </cfRule>
  </conditionalFormatting>
  <conditionalFormatting sqref="C3:C1500">
    <cfRule type="cellIs" dxfId="377" priority="12" stopIfTrue="1" operator="equal">
      <formula>"Saifullah Vai"</formula>
    </cfRule>
  </conditionalFormatting>
  <conditionalFormatting sqref="C3:C1500">
    <cfRule type="cellIs" dxfId="376" priority="13" stopIfTrue="1" operator="equal">
      <formula>"Shamsul Sir"</formula>
    </cfRule>
  </conditionalFormatting>
  <conditionalFormatting sqref="C3:C1500">
    <cfRule type="cellIs" dxfId="375" priority="14" stopIfTrue="1" operator="equal">
      <formula>"Zahirul Vai"</formula>
    </cfRule>
  </conditionalFormatting>
  <conditionalFormatting sqref="E3:E1500">
    <cfRule type="cellIs" dxfId="374" priority="15" stopIfTrue="1" operator="equal">
      <formula>"ATC Box Output"</formula>
    </cfRule>
  </conditionalFormatting>
  <conditionalFormatting sqref="E3:E1500">
    <cfRule type="cellIs" dxfId="373" priority="16" stopIfTrue="1" operator="equal">
      <formula>"Black Cylinder Output"</formula>
    </cfRule>
  </conditionalFormatting>
  <conditionalFormatting sqref="E3:E1500">
    <cfRule type="cellIs" dxfId="372" priority="17" stopIfTrue="1" operator="equal">
      <formula>"Flyer/Brochure/Banner Output"</formula>
    </cfRule>
  </conditionalFormatting>
  <conditionalFormatting sqref="E3:E1500">
    <cfRule type="cellIs" dxfId="371" priority="18" stopIfTrue="1" operator="equal">
      <formula>"Full Cylinder Output"</formula>
    </cfRule>
  </conditionalFormatting>
  <conditionalFormatting sqref="E3:E1500">
    <cfRule type="cellIs" dxfId="370" priority="19" stopIfTrue="1" operator="equal">
      <formula>"Gravure Output #1"</formula>
    </cfRule>
  </conditionalFormatting>
  <conditionalFormatting sqref="E3:E1500">
    <cfRule type="cellIs" dxfId="369" priority="20" stopIfTrue="1" operator="equal">
      <formula>"Gravure Output #2"</formula>
    </cfRule>
  </conditionalFormatting>
  <conditionalFormatting sqref="E3:E1500">
    <cfRule type="cellIs" dxfId="368" priority="21" stopIfTrue="1" operator="equal">
      <formula>"JAR Label Sticker Output"</formula>
    </cfRule>
  </conditionalFormatting>
  <conditionalFormatting sqref="E3:E1500">
    <cfRule type="cellIs" dxfId="367" priority="22" stopIfTrue="1" operator="equal">
      <formula>"Leaflet/Poster Output"</formula>
    </cfRule>
  </conditionalFormatting>
  <conditionalFormatting sqref="E3:E1500">
    <cfRule type="cellIs" dxfId="366" priority="23" stopIfTrue="1" operator="equal">
      <formula>"Output Setup (Gravure/Offset)"</formula>
    </cfRule>
  </conditionalFormatting>
  <conditionalFormatting sqref="E3:E1500">
    <cfRule type="cellIs" dxfId="365" priority="24" stopIfTrue="1" operator="equal">
      <formula>"Carton Design"</formula>
    </cfRule>
  </conditionalFormatting>
  <conditionalFormatting sqref="E3:E1500">
    <cfRule type="cellIs" dxfId="364" priority="25" stopIfTrue="1" operator="equal">
      <formula>"Document Text Correction"</formula>
    </cfRule>
  </conditionalFormatting>
  <conditionalFormatting sqref="E3:E1500">
    <cfRule type="cellIs" dxfId="363" priority="26" stopIfTrue="1" operator="equal">
      <formula>"FOP Sticker Making"</formula>
    </cfRule>
  </conditionalFormatting>
  <conditionalFormatting sqref="E3:E1500">
    <cfRule type="cellIs" dxfId="362" priority="27" stopIfTrue="1" operator="equal">
      <formula>"Layout/Dieline Making"</formula>
    </cfRule>
  </conditionalFormatting>
  <conditionalFormatting sqref="E3:E1500">
    <cfRule type="cellIs" dxfId="361" priority="28" stopIfTrue="1" operator="equal">
      <formula>"Packaging Text Design #1"</formula>
    </cfRule>
  </conditionalFormatting>
  <conditionalFormatting sqref="E3:E1500">
    <cfRule type="cellIs" dxfId="360" priority="29" stopIfTrue="1" operator="equal">
      <formula>"Packaging Text Design #2"</formula>
    </cfRule>
  </conditionalFormatting>
  <conditionalFormatting sqref="E3:E1500">
    <cfRule type="cellIs" dxfId="359" priority="30" stopIfTrue="1" operator="equal">
      <formula>"Text Sticker Design #1"</formula>
    </cfRule>
  </conditionalFormatting>
  <conditionalFormatting sqref="E3:E1500">
    <cfRule type="cellIs" dxfId="358" priority="31" stopIfTrue="1" operator="equal">
      <formula>"Text Sticker Design #2"</formula>
    </cfRule>
  </conditionalFormatting>
  <conditionalFormatting sqref="E3:E1500">
    <cfRule type="cellIs" dxfId="357" priority="32" stopIfTrue="1" operator="equal">
      <formula>"ATC BOX"</formula>
    </cfRule>
  </conditionalFormatting>
  <conditionalFormatting sqref="E3:E1500">
    <cfRule type="cellIs" dxfId="356" priority="33" stopIfTrue="1" operator="equal">
      <formula>"Background Remove/Image Resize"</formula>
    </cfRule>
  </conditionalFormatting>
  <conditionalFormatting sqref="E3:E1500">
    <cfRule type="cellIs" dxfId="355" priority="34" stopIfTrue="1" operator="equal">
      <formula>"Branding"</formula>
    </cfRule>
  </conditionalFormatting>
  <conditionalFormatting sqref="E3:E1500">
    <cfRule type="cellIs" dxfId="354" priority="35" stopIfTrue="1" operator="equal">
      <formula>"Clipping Path"</formula>
    </cfRule>
  </conditionalFormatting>
  <conditionalFormatting sqref="E3:E1500">
    <cfRule type="cellIs" dxfId="353" priority="36" stopIfTrue="1" operator="equal">
      <formula>"Digital Static For Social Media"</formula>
    </cfRule>
  </conditionalFormatting>
  <conditionalFormatting sqref="E3:E1500">
    <cfRule type="cellIs" dxfId="352" priority="37" stopIfTrue="1" operator="equal">
      <formula>"Logo Design"</formula>
    </cfRule>
  </conditionalFormatting>
  <conditionalFormatting sqref="E3:E1500">
    <cfRule type="cellIs" dxfId="351" priority="38" stopIfTrue="1" operator="equal">
      <formula>"Outdoor/Event/Showroom Branding"</formula>
    </cfRule>
  </conditionalFormatting>
  <conditionalFormatting sqref="E3:E1500">
    <cfRule type="cellIs" dxfId="350" priority="39" stopIfTrue="1" operator="equal">
      <formula>"Packaging"</formula>
    </cfRule>
  </conditionalFormatting>
  <conditionalFormatting sqref="E3:E1500">
    <cfRule type="cellIs" dxfId="349" priority="40" stopIfTrue="1" operator="equal">
      <formula>"Visiting/ ID Card design"</formula>
    </cfRule>
  </conditionalFormatting>
  <conditionalFormatting sqref="E3:E1500">
    <cfRule type="cellIs" dxfId="348" priority="41" stopIfTrue="1" operator="equal">
      <formula>"Voice Over"</formula>
    </cfRule>
  </conditionalFormatting>
  <conditionalFormatting sqref="J3:J1500">
    <cfRule type="cellIs" dxfId="347" priority="42" stopIfTrue="1" operator="equal">
      <formula>"HoM Approved"</formula>
    </cfRule>
  </conditionalFormatting>
  <conditionalFormatting sqref="J3:J1500">
    <cfRule type="cellIs" dxfId="346" priority="43" stopIfTrue="1" operator="equal">
      <formula>"Brief Submitted"</formula>
    </cfRule>
  </conditionalFormatting>
  <conditionalFormatting sqref="J3:J1500">
    <cfRule type="cellIs" dxfId="345" priority="44" stopIfTrue="1" operator="equal">
      <formula>"In Review"</formula>
    </cfRule>
  </conditionalFormatting>
  <conditionalFormatting sqref="J3:J1500">
    <cfRule type="cellIs" dxfId="344" priority="45" stopIfTrue="1" operator="equal">
      <formula>"BM Approved"</formula>
    </cfRule>
  </conditionalFormatting>
  <conditionalFormatting sqref="J3:J1500">
    <cfRule type="cellIs" dxfId="343" priority="46" stopIfTrue="1" operator="equal">
      <formula>"Running"</formula>
    </cfRule>
  </conditionalFormatting>
  <conditionalFormatting sqref="C3:C1500">
    <cfRule type="expression" dxfId="342" priority="47" stopIfTrue="1">
      <formula>"=AND(=COUNTA($A3:$J3)&gt;0,$C3="")"</formula>
    </cfRule>
  </conditionalFormatting>
  <conditionalFormatting sqref="E3:I1500">
    <cfRule type="expression" dxfId="341" priority="48" stopIfTrue="1">
      <formula>"=AND(=COUNTA($A3:$J3)&gt;0,E3="")"</formula>
    </cfRule>
  </conditionalFormatting>
  <conditionalFormatting sqref="A3:K1500">
    <cfRule type="expression" dxfId="340" priority="49" stopIfTrue="1">
      <formula>COUNTA($A3:$K3)=0</formula>
    </cfRule>
  </conditionalFormatting>
  <dataValidations count="2">
    <dataValidation type="decimal" operator="greaterThan" allowBlank="1" showDropDown="1" showErrorMessage="1" sqref="G3:G1500">
      <formula1>0</formula1>
    </dataValidation>
    <dataValidation type="custom" allowBlank="1" showDropDown="1" showErrorMessage="1" sqref="H3:H1500">
      <formula1>OR(NOT(ISERROR(DATEVALUE(H3))), AND(ISNUMBER(H3), LEFT(CELL("format", H3))="D"))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Helper!$A$2:$A1500</xm:f>
          </x14:formula1>
          <xm:sqref>B3:B1500</xm:sqref>
        </x14:dataValidation>
        <x14:dataValidation type="list" allowBlank="1">
          <x14:formula1>
            <xm:f>Helper!$B$2:$B1500</xm:f>
          </x14:formula1>
          <xm:sqref>C3:C1500</xm:sqref>
        </x14:dataValidation>
        <x14:dataValidation type="list" allowBlank="1">
          <x14:formula1>
            <xm:f>Helper!$C$2:$C1500</xm:f>
          </x14:formula1>
          <xm:sqref>E3:E1500</xm:sqref>
        </x14:dataValidation>
        <x14:dataValidation type="list" allowBlank="1">
          <x14:formula1>
            <xm:f>Helper!$D$2:$D1500</xm:f>
          </x14:formula1>
          <xm:sqref>F3:F1500</xm:sqref>
        </x14:dataValidation>
        <x14:dataValidation type="list" allowBlank="1">
          <x14:formula1>
            <xm:f>Helper!$E$2:$E1500</xm:f>
          </x14:formula1>
          <xm:sqref>J3:J1500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  <outlinePr summaryBelow="0" summaryRight="0"/>
  </sheetPr>
  <dimension ref="A1:M1493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28.88671875" customWidth="1"/>
    <col min="2" max="2" width="13.21875" customWidth="1"/>
    <col min="3" max="3" width="21.33203125" customWidth="1"/>
    <col min="4" max="4" width="17.6640625" customWidth="1"/>
    <col min="5" max="5" width="28.88671875" customWidth="1"/>
    <col min="6" max="6" width="13.21875" customWidth="1"/>
    <col min="7" max="7" width="9.44140625" customWidth="1"/>
    <col min="8" max="8" width="16.33203125" customWidth="1"/>
    <col min="9" max="9" width="18.88671875" customWidth="1"/>
    <col min="10" max="10" width="17" customWidth="1"/>
    <col min="11" max="11" width="12.6640625" customWidth="1"/>
  </cols>
  <sheetData>
    <row r="1" spans="1:11" ht="27" customHeight="1">
      <c r="A1" s="104" t="str">
        <f>HYPERLINK("https://docs.google.com/spreadsheets/d/1K9G-wDk_WFUTXFBEzHiTsPAPTkgmvY6ydUUckPlDbUM/edit?gid=2135007239#gid=2135007239","➜ Go to Dashboard")</f>
        <v>➜ Go to Dashboard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5.5" customHeight="1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" t="s">
        <v>10</v>
      </c>
    </row>
    <row r="3" spans="1:11" ht="13.2">
      <c r="A3" s="4" t="s">
        <v>216</v>
      </c>
      <c r="B3" s="5" t="s">
        <v>217</v>
      </c>
      <c r="C3" s="6" t="s">
        <v>186</v>
      </c>
      <c r="D3" s="7" t="s">
        <v>218</v>
      </c>
      <c r="E3" s="8" t="s">
        <v>63</v>
      </c>
      <c r="F3" s="9" t="s">
        <v>17</v>
      </c>
      <c r="G3" s="10">
        <v>4</v>
      </c>
      <c r="H3" s="11">
        <v>46005</v>
      </c>
      <c r="I3" s="12" t="s">
        <v>1353</v>
      </c>
      <c r="J3" s="13" t="s">
        <v>30</v>
      </c>
      <c r="K3" s="14" t="str">
        <f t="shared" ref="K3:K4" si="0">HYPERLINK("http://mpro.prangroup.com:4000/CreativeWorks/Edit/19210","Open")</f>
        <v>Open</v>
      </c>
    </row>
    <row r="4" spans="1:11" ht="13.2">
      <c r="A4" s="4" t="s">
        <v>216</v>
      </c>
      <c r="B4" s="5" t="s">
        <v>217</v>
      </c>
      <c r="C4" s="6" t="s">
        <v>186</v>
      </c>
      <c r="D4" s="7" t="s">
        <v>218</v>
      </c>
      <c r="E4" s="8" t="s">
        <v>63</v>
      </c>
      <c r="F4" s="9" t="s">
        <v>17</v>
      </c>
      <c r="G4" s="10">
        <v>4</v>
      </c>
      <c r="H4" s="11">
        <v>46005</v>
      </c>
      <c r="I4" s="12" t="s">
        <v>1353</v>
      </c>
      <c r="J4" s="13" t="s">
        <v>30</v>
      </c>
      <c r="K4" s="14" t="str">
        <f t="shared" si="0"/>
        <v>Open</v>
      </c>
    </row>
    <row r="5" spans="1:11" ht="13.2">
      <c r="A5" s="4" t="s">
        <v>54</v>
      </c>
      <c r="B5" s="5" t="s">
        <v>54</v>
      </c>
      <c r="C5" s="6" t="s">
        <v>186</v>
      </c>
      <c r="D5" s="7" t="s">
        <v>1354</v>
      </c>
      <c r="E5" s="8" t="s">
        <v>1355</v>
      </c>
      <c r="F5" s="9" t="s">
        <v>17</v>
      </c>
      <c r="G5" s="10">
        <v>6</v>
      </c>
      <c r="H5" s="11">
        <v>46005</v>
      </c>
      <c r="I5" s="12" t="s">
        <v>1356</v>
      </c>
      <c r="J5" s="13" t="s">
        <v>30</v>
      </c>
      <c r="K5" s="14" t="str">
        <f>HYPERLINK("http://mpro.prangroup.com:4000/CreativeWorks/Edit/19213","Open")</f>
        <v>Open</v>
      </c>
    </row>
    <row r="6" spans="1:11" ht="13.2">
      <c r="A6" s="4" t="s">
        <v>49</v>
      </c>
      <c r="B6" s="5" t="s">
        <v>41</v>
      </c>
      <c r="C6" s="6" t="s">
        <v>438</v>
      </c>
      <c r="D6" s="7" t="s">
        <v>1357</v>
      </c>
      <c r="E6" s="8" t="s">
        <v>63</v>
      </c>
      <c r="F6" s="9" t="s">
        <v>17</v>
      </c>
      <c r="G6" s="10">
        <v>3</v>
      </c>
      <c r="H6" s="11">
        <v>46009</v>
      </c>
      <c r="I6" s="12" t="s">
        <v>1358</v>
      </c>
      <c r="J6" s="13" t="s">
        <v>30</v>
      </c>
      <c r="K6" s="14" t="str">
        <f t="shared" ref="K6:K7" si="1">HYPERLINK("http://mpro.prangroup.com:4000/CreativeWorks/Edit/19491","Open")</f>
        <v>Open</v>
      </c>
    </row>
    <row r="7" spans="1:11" ht="13.2">
      <c r="A7" s="4" t="s">
        <v>49</v>
      </c>
      <c r="B7" s="5" t="s">
        <v>41</v>
      </c>
      <c r="C7" s="6" t="s">
        <v>438</v>
      </c>
      <c r="D7" s="7" t="s">
        <v>1357</v>
      </c>
      <c r="E7" s="8" t="s">
        <v>63</v>
      </c>
      <c r="F7" s="9" t="s">
        <v>17</v>
      </c>
      <c r="G7" s="10">
        <v>3</v>
      </c>
      <c r="H7" s="11">
        <v>46009</v>
      </c>
      <c r="I7" s="12" t="s">
        <v>1358</v>
      </c>
      <c r="J7" s="13" t="s">
        <v>30</v>
      </c>
      <c r="K7" s="14" t="str">
        <f t="shared" si="1"/>
        <v>Open</v>
      </c>
    </row>
    <row r="8" spans="1:11" ht="13.2">
      <c r="A8" s="4" t="s">
        <v>482</v>
      </c>
      <c r="B8" s="5" t="s">
        <v>41</v>
      </c>
      <c r="C8" s="6" t="s">
        <v>74</v>
      </c>
      <c r="D8" s="7" t="s">
        <v>1359</v>
      </c>
      <c r="E8" s="8" t="s">
        <v>63</v>
      </c>
      <c r="F8" s="9" t="s">
        <v>17</v>
      </c>
      <c r="G8" s="10">
        <v>1</v>
      </c>
      <c r="H8" s="11">
        <v>46009</v>
      </c>
      <c r="I8" s="12" t="s">
        <v>1360</v>
      </c>
      <c r="J8" s="13" t="s">
        <v>48</v>
      </c>
      <c r="K8" s="14" t="str">
        <f>HYPERLINK("http://mpro.prangroup.com:4000/CreativeWorks/Edit/19514","Open")</f>
        <v>Open</v>
      </c>
    </row>
    <row r="9" spans="1:11" ht="13.2">
      <c r="A9" s="4" t="s">
        <v>421</v>
      </c>
      <c r="B9" s="5" t="s">
        <v>101</v>
      </c>
      <c r="C9" s="6" t="s">
        <v>422</v>
      </c>
      <c r="D9" s="7" t="s">
        <v>1361</v>
      </c>
      <c r="E9" s="8" t="s">
        <v>63</v>
      </c>
      <c r="F9" s="9" t="s">
        <v>17</v>
      </c>
      <c r="G9" s="10">
        <v>9</v>
      </c>
      <c r="H9" s="11">
        <v>46009</v>
      </c>
      <c r="I9" s="12" t="s">
        <v>1362</v>
      </c>
      <c r="J9" s="13" t="s">
        <v>30</v>
      </c>
      <c r="K9" s="14" t="str">
        <f>HYPERLINK("http://mpro.prangroup.com:4000/CreativeWorks/Edit/19515","Open")</f>
        <v>Open</v>
      </c>
    </row>
    <row r="10" spans="1:11" ht="13.2">
      <c r="A10" s="4" t="s">
        <v>231</v>
      </c>
      <c r="B10" s="5" t="s">
        <v>32</v>
      </c>
      <c r="C10" s="6" t="s">
        <v>86</v>
      </c>
      <c r="D10" s="7" t="s">
        <v>1363</v>
      </c>
      <c r="E10" s="8" t="s">
        <v>63</v>
      </c>
      <c r="F10" s="9" t="s">
        <v>17</v>
      </c>
      <c r="G10" s="10">
        <v>1</v>
      </c>
      <c r="H10" s="11">
        <v>46009</v>
      </c>
      <c r="I10" s="12" t="s">
        <v>1364</v>
      </c>
      <c r="J10" s="13" t="s">
        <v>19</v>
      </c>
      <c r="K10" s="14" t="str">
        <f>HYPERLINK("http://mpro.prangroup.com:4000/CreativeWorks/Edit/19507","Open")</f>
        <v>Open</v>
      </c>
    </row>
    <row r="11" spans="1:11" ht="13.2">
      <c r="A11" s="4" t="s">
        <v>235</v>
      </c>
      <c r="B11" s="5" t="s">
        <v>101</v>
      </c>
      <c r="C11" s="6" t="s">
        <v>232</v>
      </c>
      <c r="D11" s="7" t="s">
        <v>236</v>
      </c>
      <c r="E11" s="8" t="s">
        <v>302</v>
      </c>
      <c r="F11" s="9" t="s">
        <v>17</v>
      </c>
      <c r="G11" s="10">
        <v>9</v>
      </c>
      <c r="H11" s="11">
        <v>46009</v>
      </c>
      <c r="I11" s="12" t="s">
        <v>1365</v>
      </c>
      <c r="J11" s="13" t="s">
        <v>30</v>
      </c>
      <c r="K11" s="14" t="str">
        <f>HYPERLINK("http://mpro.prangroup.com:4000/CreativeWorks/Edit/19508","Open")</f>
        <v>Open</v>
      </c>
    </row>
    <row r="12" spans="1:11" ht="13.2">
      <c r="A12" s="4" t="s">
        <v>1366</v>
      </c>
      <c r="B12" s="5" t="s">
        <v>729</v>
      </c>
      <c r="C12" s="6" t="s">
        <v>232</v>
      </c>
      <c r="D12" s="7" t="s">
        <v>1367</v>
      </c>
      <c r="E12" s="8" t="s">
        <v>302</v>
      </c>
      <c r="F12" s="9" t="s">
        <v>17</v>
      </c>
      <c r="G12" s="10">
        <v>4</v>
      </c>
      <c r="H12" s="11">
        <v>46009</v>
      </c>
      <c r="I12" s="12" t="s">
        <v>1368</v>
      </c>
      <c r="J12" s="13" t="s">
        <v>30</v>
      </c>
      <c r="K12" s="14" t="str">
        <f>HYPERLINK("http://mpro.prangroup.com:4000/CreativeWorks/Edit/19519","Open")</f>
        <v>Open</v>
      </c>
    </row>
    <row r="13" spans="1:11" ht="13.2">
      <c r="A13" s="4" t="s">
        <v>117</v>
      </c>
      <c r="B13" s="5" t="s">
        <v>32</v>
      </c>
      <c r="C13" s="6" t="s">
        <v>186</v>
      </c>
      <c r="D13" s="7" t="s">
        <v>238</v>
      </c>
      <c r="E13" s="8" t="s">
        <v>63</v>
      </c>
      <c r="F13" s="9" t="s">
        <v>17</v>
      </c>
      <c r="G13" s="10">
        <v>1</v>
      </c>
      <c r="H13" s="11">
        <v>46009</v>
      </c>
      <c r="I13" s="12" t="s">
        <v>1369</v>
      </c>
      <c r="J13" s="13" t="s">
        <v>30</v>
      </c>
      <c r="K13" s="14" t="str">
        <f>HYPERLINK("http://mpro.prangroup.com:4000/CreativeWorks/Edit/19502","Open")</f>
        <v>Open</v>
      </c>
    </row>
    <row r="14" spans="1:11" ht="13.2">
      <c r="A14" s="4" t="s">
        <v>1025</v>
      </c>
      <c r="B14" s="5" t="s">
        <v>60</v>
      </c>
      <c r="C14" s="6" t="s">
        <v>186</v>
      </c>
      <c r="D14" s="7" t="s">
        <v>1370</v>
      </c>
      <c r="E14" s="8" t="s">
        <v>63</v>
      </c>
      <c r="F14" s="9" t="s">
        <v>17</v>
      </c>
      <c r="G14" s="10">
        <v>6</v>
      </c>
      <c r="H14" s="11">
        <v>46009</v>
      </c>
      <c r="I14" s="12" t="s">
        <v>1371</v>
      </c>
      <c r="J14" s="13" t="s">
        <v>30</v>
      </c>
      <c r="K14" s="14" t="str">
        <f>HYPERLINK("http://mpro.prangroup.com:4000/CreativeWorks/Edit/19511","Open")</f>
        <v>Open</v>
      </c>
    </row>
    <row r="15" spans="1:11" ht="13.2">
      <c r="A15" s="4" t="s">
        <v>216</v>
      </c>
      <c r="B15" s="5" t="s">
        <v>217</v>
      </c>
      <c r="C15" s="6" t="s">
        <v>166</v>
      </c>
      <c r="D15" s="7" t="s">
        <v>1372</v>
      </c>
      <c r="E15" s="8" t="s">
        <v>1373</v>
      </c>
      <c r="F15" s="9" t="s">
        <v>17</v>
      </c>
      <c r="G15" s="10">
        <v>13</v>
      </c>
      <c r="H15" s="11">
        <v>46011</v>
      </c>
      <c r="I15" s="12" t="s">
        <v>1374</v>
      </c>
      <c r="J15" s="13" t="s">
        <v>30</v>
      </c>
      <c r="K15" s="14" t="str">
        <f>HYPERLINK("http://mpro.prangroup.com:4000/CreativeWorks/Edit/19555","Open")</f>
        <v>Open</v>
      </c>
    </row>
    <row r="16" spans="1:11" ht="13.2">
      <c r="A16" s="4" t="s">
        <v>482</v>
      </c>
      <c r="B16" s="5" t="s">
        <v>41</v>
      </c>
      <c r="C16" s="6" t="s">
        <v>74</v>
      </c>
      <c r="D16" s="7" t="s">
        <v>1359</v>
      </c>
      <c r="E16" s="8" t="s">
        <v>63</v>
      </c>
      <c r="F16" s="9" t="s">
        <v>17</v>
      </c>
      <c r="G16" s="10">
        <v>3</v>
      </c>
      <c r="H16" s="11">
        <v>46013</v>
      </c>
      <c r="I16" s="12" t="s">
        <v>1375</v>
      </c>
      <c r="J16" s="13" t="s">
        <v>30</v>
      </c>
      <c r="K16" s="14" t="str">
        <f>HYPERLINK("http://mpro.prangroup.com:4000/CreativeWorks/Edit/19733","Open")</f>
        <v>Open</v>
      </c>
    </row>
    <row r="17" spans="1:11" ht="13.2">
      <c r="A17" s="4" t="s">
        <v>248</v>
      </c>
      <c r="B17" s="5" t="s">
        <v>123</v>
      </c>
      <c r="C17" s="6" t="s">
        <v>124</v>
      </c>
      <c r="D17" s="7" t="s">
        <v>249</v>
      </c>
      <c r="E17" s="8" t="s">
        <v>63</v>
      </c>
      <c r="F17" s="9" t="s">
        <v>17</v>
      </c>
      <c r="G17" s="10">
        <v>1</v>
      </c>
      <c r="H17" s="11">
        <v>46013</v>
      </c>
      <c r="I17" s="12" t="s">
        <v>1376</v>
      </c>
      <c r="J17" s="13" t="s">
        <v>30</v>
      </c>
      <c r="K17" s="14" t="str">
        <f>HYPERLINK("http://mpro.prangroup.com:4000/CreativeWorks/Edit/19741","Open")</f>
        <v>Open</v>
      </c>
    </row>
    <row r="18" spans="1:11" ht="13.2">
      <c r="A18" s="4" t="s">
        <v>40</v>
      </c>
      <c r="B18" s="5" t="s">
        <v>41</v>
      </c>
      <c r="C18" s="6" t="s">
        <v>186</v>
      </c>
      <c r="D18" s="7" t="s">
        <v>1377</v>
      </c>
      <c r="E18" s="8" t="s">
        <v>302</v>
      </c>
      <c r="F18" s="9" t="s">
        <v>17</v>
      </c>
      <c r="G18" s="10">
        <v>3</v>
      </c>
      <c r="H18" s="11">
        <v>46013</v>
      </c>
      <c r="I18" s="12" t="s">
        <v>1378</v>
      </c>
      <c r="J18" s="13" t="s">
        <v>30</v>
      </c>
      <c r="K18" s="14" t="str">
        <f>HYPERLINK("http://mpro.prangroup.com:4000/CreativeWorks/Edit/19735","Open")</f>
        <v>Open</v>
      </c>
    </row>
    <row r="19" spans="1:11" ht="13.2">
      <c r="A19" s="4" t="s">
        <v>1379</v>
      </c>
      <c r="B19" s="5" t="s">
        <v>60</v>
      </c>
      <c r="C19" s="6" t="s">
        <v>228</v>
      </c>
      <c r="D19" s="7" t="s">
        <v>1268</v>
      </c>
      <c r="E19" s="8" t="s">
        <v>63</v>
      </c>
      <c r="F19" s="9" t="s">
        <v>17</v>
      </c>
      <c r="G19" s="10">
        <v>2</v>
      </c>
      <c r="H19" s="11">
        <v>46014</v>
      </c>
      <c r="I19" s="12" t="s">
        <v>1380</v>
      </c>
      <c r="J19" s="13" t="s">
        <v>30</v>
      </c>
      <c r="K19" s="14" t="str">
        <f>HYPERLINK("http://mpro.prangroup.com:4000/CreativeWorks/Edit/19948","Open")</f>
        <v>Open</v>
      </c>
    </row>
    <row r="20" spans="1:11" ht="13.2">
      <c r="A20" s="4" t="s">
        <v>231</v>
      </c>
      <c r="B20" s="5" t="s">
        <v>32</v>
      </c>
      <c r="C20" s="6" t="s">
        <v>232</v>
      </c>
      <c r="D20" s="7" t="s">
        <v>233</v>
      </c>
      <c r="E20" s="8" t="s">
        <v>63</v>
      </c>
      <c r="F20" s="9" t="s">
        <v>17</v>
      </c>
      <c r="G20" s="10">
        <v>1</v>
      </c>
      <c r="H20" s="11">
        <v>46014</v>
      </c>
      <c r="I20" s="12" t="s">
        <v>1381</v>
      </c>
      <c r="J20" s="13" t="s">
        <v>30</v>
      </c>
      <c r="K20" s="14" t="str">
        <f>HYPERLINK("http://mpro.prangroup.com:4000/CreativeWorks/Edit/19895","Open")</f>
        <v>Open</v>
      </c>
    </row>
    <row r="21" spans="1:11" ht="13.2">
      <c r="A21" s="4" t="s">
        <v>90</v>
      </c>
      <c r="B21" s="5" t="s">
        <v>32</v>
      </c>
      <c r="C21" s="6" t="s">
        <v>232</v>
      </c>
      <c r="D21" s="7" t="s">
        <v>1382</v>
      </c>
      <c r="E21" s="8" t="s">
        <v>63</v>
      </c>
      <c r="F21" s="9" t="s">
        <v>17</v>
      </c>
      <c r="G21" s="10">
        <v>1</v>
      </c>
      <c r="H21" s="11">
        <v>46014</v>
      </c>
      <c r="I21" s="12" t="s">
        <v>1383</v>
      </c>
      <c r="J21" s="13" t="s">
        <v>30</v>
      </c>
      <c r="K21" s="14" t="str">
        <f>HYPERLINK("http://mpro.prangroup.com:4000/CreativeWorks/Edit/19911","Open")</f>
        <v>Open</v>
      </c>
    </row>
    <row r="22" spans="1:11" ht="13.2">
      <c r="A22" s="4" t="s">
        <v>227</v>
      </c>
      <c r="B22" s="5" t="s">
        <v>60</v>
      </c>
      <c r="C22" s="6" t="s">
        <v>78</v>
      </c>
      <c r="D22" s="7" t="s">
        <v>1384</v>
      </c>
      <c r="E22" s="8" t="s">
        <v>63</v>
      </c>
      <c r="F22" s="9" t="s">
        <v>17</v>
      </c>
      <c r="G22" s="10">
        <v>3</v>
      </c>
      <c r="H22" s="11">
        <v>46014</v>
      </c>
      <c r="I22" s="12" t="s">
        <v>1385</v>
      </c>
      <c r="J22" s="13" t="s">
        <v>30</v>
      </c>
      <c r="K22" s="14" t="str">
        <f>HYPERLINK("http://mpro.prangroup.com:4000/CreativeWorks/Edit/19899","Open")</f>
        <v>Open</v>
      </c>
    </row>
    <row r="23" spans="1:11" ht="13.2">
      <c r="A23" s="4" t="s">
        <v>1386</v>
      </c>
      <c r="B23" s="5" t="s">
        <v>41</v>
      </c>
      <c r="C23" s="6" t="s">
        <v>186</v>
      </c>
      <c r="D23" s="7" t="s">
        <v>1387</v>
      </c>
      <c r="E23" s="8" t="s">
        <v>505</v>
      </c>
      <c r="F23" s="9" t="s">
        <v>17</v>
      </c>
      <c r="G23" s="10">
        <v>1</v>
      </c>
      <c r="H23" s="11">
        <v>46015</v>
      </c>
      <c r="I23" s="12" t="s">
        <v>1388</v>
      </c>
      <c r="J23" s="13" t="s">
        <v>30</v>
      </c>
      <c r="K23" s="14" t="str">
        <f t="shared" ref="K23:K24" si="2">HYPERLINK("http://mpro.prangroup.com:4000/CreativeWorks/Edit/20061","Open")</f>
        <v>Open</v>
      </c>
    </row>
    <row r="24" spans="1:11" ht="13.2">
      <c r="A24" s="4" t="s">
        <v>1386</v>
      </c>
      <c r="B24" s="5" t="s">
        <v>41</v>
      </c>
      <c r="C24" s="6" t="s">
        <v>186</v>
      </c>
      <c r="D24" s="7" t="s">
        <v>1387</v>
      </c>
      <c r="E24" s="8" t="s">
        <v>63</v>
      </c>
      <c r="F24" s="9" t="s">
        <v>17</v>
      </c>
      <c r="G24" s="10">
        <v>1</v>
      </c>
      <c r="H24" s="11">
        <v>46015</v>
      </c>
      <c r="I24" s="12" t="s">
        <v>1388</v>
      </c>
      <c r="J24" s="13" t="s">
        <v>30</v>
      </c>
      <c r="K24" s="14" t="str">
        <f t="shared" si="2"/>
        <v>Open</v>
      </c>
    </row>
    <row r="25" spans="1:11" ht="13.2">
      <c r="A25" s="4" t="s">
        <v>1389</v>
      </c>
      <c r="B25" s="5" t="s">
        <v>916</v>
      </c>
      <c r="C25" s="6" t="s">
        <v>746</v>
      </c>
      <c r="D25" s="7" t="s">
        <v>1390</v>
      </c>
      <c r="E25" s="8" t="s">
        <v>63</v>
      </c>
      <c r="F25" s="9" t="s">
        <v>17</v>
      </c>
      <c r="G25" s="10">
        <v>1</v>
      </c>
      <c r="H25" s="11">
        <v>46018</v>
      </c>
      <c r="I25" s="12" t="s">
        <v>1391</v>
      </c>
      <c r="J25" s="13" t="s">
        <v>30</v>
      </c>
      <c r="K25" s="14" t="str">
        <f>HYPERLINK("http://mpro.prangroup.com:4000/CreativeWorks/Edit/20121","Open")</f>
        <v>Open</v>
      </c>
    </row>
    <row r="26" spans="1:11" ht="13.2">
      <c r="A26" s="4" t="s">
        <v>331</v>
      </c>
      <c r="B26" s="5" t="s">
        <v>60</v>
      </c>
      <c r="C26" s="6" t="s">
        <v>228</v>
      </c>
      <c r="D26" s="7" t="s">
        <v>332</v>
      </c>
      <c r="E26" s="8" t="s">
        <v>302</v>
      </c>
      <c r="F26" s="9" t="s">
        <v>17</v>
      </c>
      <c r="G26" s="10">
        <v>3</v>
      </c>
      <c r="H26" s="11">
        <v>46018</v>
      </c>
      <c r="I26" s="12" t="s">
        <v>1392</v>
      </c>
      <c r="J26" s="13" t="s">
        <v>30</v>
      </c>
      <c r="K26" s="14" t="str">
        <f>HYPERLINK("http://mpro.prangroup.com:4000/CreativeWorks/Edit/20150","Open")</f>
        <v>Open</v>
      </c>
    </row>
    <row r="27" spans="1:11" ht="13.2">
      <c r="A27" s="4" t="s">
        <v>1393</v>
      </c>
      <c r="B27" s="5" t="s">
        <v>41</v>
      </c>
      <c r="C27" s="6" t="s">
        <v>746</v>
      </c>
      <c r="D27" s="7" t="s">
        <v>1394</v>
      </c>
      <c r="E27" s="8" t="s">
        <v>63</v>
      </c>
      <c r="F27" s="9" t="s">
        <v>17</v>
      </c>
      <c r="G27" s="10">
        <v>1</v>
      </c>
      <c r="H27" s="11">
        <v>46019</v>
      </c>
      <c r="I27" s="12" t="s">
        <v>1395</v>
      </c>
      <c r="J27" s="13" t="s">
        <v>30</v>
      </c>
      <c r="K27" s="14" t="str">
        <f>HYPERLINK("http://mpro.prangroup.com:4000/CreativeWorks/Edit/20260","Open")</f>
        <v>Open</v>
      </c>
    </row>
    <row r="28" spans="1:11" ht="13.2">
      <c r="A28" s="4" t="s">
        <v>1396</v>
      </c>
      <c r="B28" s="5" t="s">
        <v>916</v>
      </c>
      <c r="C28" s="6" t="s">
        <v>746</v>
      </c>
      <c r="D28" s="7" t="s">
        <v>1397</v>
      </c>
      <c r="E28" s="8" t="s">
        <v>63</v>
      </c>
      <c r="F28" s="9" t="s">
        <v>17</v>
      </c>
      <c r="G28" s="10">
        <v>1</v>
      </c>
      <c r="H28" s="11">
        <v>46019</v>
      </c>
      <c r="I28" s="12" t="s">
        <v>1398</v>
      </c>
      <c r="J28" s="13" t="s">
        <v>30</v>
      </c>
      <c r="K28" s="14" t="str">
        <f>HYPERLINK("http://mpro.prangroup.com:4000/CreativeWorks/Edit/20269","Open")</f>
        <v>Open</v>
      </c>
    </row>
    <row r="29" spans="1:11" ht="13.2">
      <c r="A29" s="4" t="s">
        <v>1399</v>
      </c>
      <c r="B29" s="5" t="s">
        <v>916</v>
      </c>
      <c r="C29" s="6" t="s">
        <v>746</v>
      </c>
      <c r="D29" s="7" t="s">
        <v>1400</v>
      </c>
      <c r="E29" s="8" t="s">
        <v>63</v>
      </c>
      <c r="F29" s="9" t="s">
        <v>17</v>
      </c>
      <c r="G29" s="10">
        <v>2</v>
      </c>
      <c r="H29" s="11">
        <v>46020</v>
      </c>
      <c r="I29" s="12" t="s">
        <v>1401</v>
      </c>
      <c r="J29" s="13" t="s">
        <v>30</v>
      </c>
      <c r="K29" s="14" t="str">
        <f>HYPERLINK("http://mpro.prangroup.com:4000/CreativeWorks/Edit/20412","Open")</f>
        <v>Open</v>
      </c>
    </row>
    <row r="30" spans="1:11" ht="13.2">
      <c r="A30" s="4" t="s">
        <v>1399</v>
      </c>
      <c r="B30" s="5" t="s">
        <v>916</v>
      </c>
      <c r="C30" s="6" t="s">
        <v>746</v>
      </c>
      <c r="D30" s="7" t="s">
        <v>1402</v>
      </c>
      <c r="E30" s="8" t="s">
        <v>63</v>
      </c>
      <c r="F30" s="9" t="s">
        <v>17</v>
      </c>
      <c r="G30" s="10">
        <v>2</v>
      </c>
      <c r="H30" s="11">
        <v>46020</v>
      </c>
      <c r="I30" s="12" t="s">
        <v>1403</v>
      </c>
      <c r="J30" s="13" t="s">
        <v>30</v>
      </c>
      <c r="K30" s="14" t="str">
        <f>HYPERLINK("http://mpro.prangroup.com:4000/CreativeWorks/Edit/20407","Open")</f>
        <v>Open</v>
      </c>
    </row>
    <row r="31" spans="1:11" ht="13.2">
      <c r="A31" s="4" t="s">
        <v>1399</v>
      </c>
      <c r="B31" s="5" t="s">
        <v>916</v>
      </c>
      <c r="C31" s="6" t="s">
        <v>746</v>
      </c>
      <c r="D31" s="7" t="s">
        <v>1404</v>
      </c>
      <c r="E31" s="8" t="s">
        <v>63</v>
      </c>
      <c r="F31" s="9" t="s">
        <v>17</v>
      </c>
      <c r="G31" s="10">
        <v>2</v>
      </c>
      <c r="H31" s="11">
        <v>46020</v>
      </c>
      <c r="I31" s="12" t="s">
        <v>1405</v>
      </c>
      <c r="J31" s="13" t="s">
        <v>30</v>
      </c>
      <c r="K31" s="14" t="str">
        <f>HYPERLINK("http://mpro.prangroup.com:4000/CreativeWorks/Edit/20409","Open")</f>
        <v>Open</v>
      </c>
    </row>
    <row r="32" spans="1:11" ht="13.2">
      <c r="A32" s="4" t="s">
        <v>1399</v>
      </c>
      <c r="B32" s="5" t="s">
        <v>916</v>
      </c>
      <c r="C32" s="6" t="s">
        <v>746</v>
      </c>
      <c r="D32" s="7" t="s">
        <v>1406</v>
      </c>
      <c r="E32" s="8" t="s">
        <v>63</v>
      </c>
      <c r="F32" s="9" t="s">
        <v>17</v>
      </c>
      <c r="G32" s="10">
        <v>2</v>
      </c>
      <c r="H32" s="11">
        <v>46020</v>
      </c>
      <c r="I32" s="12" t="s">
        <v>1407</v>
      </c>
      <c r="J32" s="13" t="s">
        <v>30</v>
      </c>
      <c r="K32" s="14" t="str">
        <f>HYPERLINK("http://mpro.prangroup.com:4000/CreativeWorks/Edit/20410","Open")</f>
        <v>Open</v>
      </c>
    </row>
    <row r="33" spans="1:11" ht="13.2">
      <c r="A33" s="4" t="s">
        <v>1399</v>
      </c>
      <c r="B33" s="5" t="s">
        <v>916</v>
      </c>
      <c r="C33" s="6" t="s">
        <v>746</v>
      </c>
      <c r="D33" s="7" t="s">
        <v>1408</v>
      </c>
      <c r="E33" s="8" t="s">
        <v>63</v>
      </c>
      <c r="F33" s="9" t="s">
        <v>17</v>
      </c>
      <c r="G33" s="10">
        <v>2</v>
      </c>
      <c r="H33" s="11">
        <v>46020</v>
      </c>
      <c r="I33" s="12" t="s">
        <v>1409</v>
      </c>
      <c r="J33" s="13" t="s">
        <v>30</v>
      </c>
      <c r="K33" s="14" t="str">
        <f>HYPERLINK("http://mpro.prangroup.com:4000/CreativeWorks/Edit/20413","Open")</f>
        <v>Open</v>
      </c>
    </row>
    <row r="34" spans="1:11" ht="13.2">
      <c r="A34" s="4" t="s">
        <v>40</v>
      </c>
      <c r="B34" s="5" t="s">
        <v>41</v>
      </c>
      <c r="C34" s="6" t="s">
        <v>746</v>
      </c>
      <c r="D34" s="7" t="s">
        <v>1410</v>
      </c>
      <c r="E34" s="8" t="s">
        <v>63</v>
      </c>
      <c r="F34" s="9" t="s">
        <v>17</v>
      </c>
      <c r="G34" s="10">
        <v>1</v>
      </c>
      <c r="H34" s="11">
        <v>46020</v>
      </c>
      <c r="I34" s="12" t="s">
        <v>1411</v>
      </c>
      <c r="J34" s="13" t="s">
        <v>30</v>
      </c>
      <c r="K34" s="14" t="str">
        <f>HYPERLINK("http://mpro.prangroup.com:4000/CreativeWorks/Edit/20348","Open")</f>
        <v>Open</v>
      </c>
    </row>
    <row r="35" spans="1:11" ht="13.2">
      <c r="A35" s="4" t="s">
        <v>1399</v>
      </c>
      <c r="B35" s="5" t="s">
        <v>916</v>
      </c>
      <c r="C35" s="6" t="s">
        <v>746</v>
      </c>
      <c r="D35" s="7" t="s">
        <v>1412</v>
      </c>
      <c r="E35" s="8" t="s">
        <v>63</v>
      </c>
      <c r="F35" s="9" t="s">
        <v>17</v>
      </c>
      <c r="G35" s="10">
        <v>2</v>
      </c>
      <c r="H35" s="11">
        <v>46020</v>
      </c>
      <c r="I35" s="12" t="s">
        <v>1413</v>
      </c>
      <c r="J35" s="13" t="s">
        <v>30</v>
      </c>
      <c r="K35" s="14" t="str">
        <f>HYPERLINK("http://mpro.prangroup.com:4000/CreativeWorks/Edit/20415","Open")</f>
        <v>Open</v>
      </c>
    </row>
    <row r="36" spans="1:11" ht="13.2">
      <c r="A36" s="4" t="s">
        <v>1414</v>
      </c>
      <c r="B36" s="5" t="s">
        <v>916</v>
      </c>
      <c r="C36" s="6" t="s">
        <v>746</v>
      </c>
      <c r="D36" s="7" t="s">
        <v>1415</v>
      </c>
      <c r="E36" s="8" t="s">
        <v>63</v>
      </c>
      <c r="F36" s="9" t="s">
        <v>17</v>
      </c>
      <c r="G36" s="10">
        <v>1</v>
      </c>
      <c r="H36" s="11">
        <v>46020</v>
      </c>
      <c r="I36" s="12" t="s">
        <v>1416</v>
      </c>
      <c r="J36" s="13" t="s">
        <v>30</v>
      </c>
      <c r="K36" s="14" t="str">
        <f>HYPERLINK("http://mpro.prangroup.com:4000/CreativeWorks/Edit/20416","Open")</f>
        <v>Open</v>
      </c>
    </row>
    <row r="37" spans="1:11" ht="13.2">
      <c r="A37" s="4" t="s">
        <v>1399</v>
      </c>
      <c r="B37" s="5" t="s">
        <v>916</v>
      </c>
      <c r="C37" s="6" t="s">
        <v>746</v>
      </c>
      <c r="D37" s="7" t="s">
        <v>1417</v>
      </c>
      <c r="E37" s="8" t="s">
        <v>63</v>
      </c>
      <c r="F37" s="9" t="s">
        <v>17</v>
      </c>
      <c r="G37" s="10">
        <v>2</v>
      </c>
      <c r="H37" s="11">
        <v>46020</v>
      </c>
      <c r="I37" s="12" t="s">
        <v>1418</v>
      </c>
      <c r="J37" s="13" t="s">
        <v>30</v>
      </c>
      <c r="K37" s="14" t="str">
        <f>HYPERLINK("http://mpro.prangroup.com:4000/CreativeWorks/Edit/20411","Open")</f>
        <v>Open</v>
      </c>
    </row>
    <row r="38" spans="1:11" ht="13.2">
      <c r="A38" s="4" t="s">
        <v>1399</v>
      </c>
      <c r="B38" s="5" t="s">
        <v>916</v>
      </c>
      <c r="C38" s="6" t="s">
        <v>746</v>
      </c>
      <c r="D38" s="7" t="s">
        <v>1419</v>
      </c>
      <c r="E38" s="8" t="s">
        <v>63</v>
      </c>
      <c r="F38" s="9" t="s">
        <v>17</v>
      </c>
      <c r="G38" s="10">
        <v>2</v>
      </c>
      <c r="H38" s="11">
        <v>46020</v>
      </c>
      <c r="I38" s="12" t="s">
        <v>1420</v>
      </c>
      <c r="J38" s="13" t="s">
        <v>30</v>
      </c>
      <c r="K38" s="14" t="str">
        <f>HYPERLINK("http://mpro.prangroup.com:4000/CreativeWorks/Edit/20414","Open")</f>
        <v>Open</v>
      </c>
    </row>
    <row r="39" spans="1:11" ht="13.2">
      <c r="A39" s="4" t="s">
        <v>1396</v>
      </c>
      <c r="B39" s="5" t="s">
        <v>916</v>
      </c>
      <c r="C39" s="6" t="s">
        <v>1421</v>
      </c>
      <c r="D39" s="7" t="s">
        <v>1422</v>
      </c>
      <c r="E39" s="8" t="s">
        <v>63</v>
      </c>
      <c r="F39" s="9" t="s">
        <v>17</v>
      </c>
      <c r="G39" s="10">
        <v>1</v>
      </c>
      <c r="H39" s="11">
        <v>46020</v>
      </c>
      <c r="I39" s="12" t="s">
        <v>1423</v>
      </c>
      <c r="J39" s="13" t="s">
        <v>30</v>
      </c>
      <c r="K39" s="14" t="str">
        <f>HYPERLINK("http://mpro.prangroup.com:4000/CreativeWorks/Edit/20394","Open")</f>
        <v>Open</v>
      </c>
    </row>
    <row r="40" spans="1:11" ht="13.2">
      <c r="A40" s="4" t="s">
        <v>1396</v>
      </c>
      <c r="B40" s="5" t="s">
        <v>916</v>
      </c>
      <c r="C40" s="6" t="s">
        <v>1421</v>
      </c>
      <c r="D40" s="7" t="s">
        <v>1424</v>
      </c>
      <c r="E40" s="8" t="s">
        <v>63</v>
      </c>
      <c r="F40" s="9" t="s">
        <v>17</v>
      </c>
      <c r="G40" s="10">
        <v>1</v>
      </c>
      <c r="H40" s="11">
        <v>46020</v>
      </c>
      <c r="I40" s="12" t="s">
        <v>1425</v>
      </c>
      <c r="J40" s="13" t="s">
        <v>30</v>
      </c>
      <c r="K40" s="14" t="str">
        <f>HYPERLINK("http://mpro.prangroup.com:4000/CreativeWorks/Edit/20370","Open")</f>
        <v>Open</v>
      </c>
    </row>
    <row r="41" spans="1:11" ht="13.2">
      <c r="A41" s="4" t="s">
        <v>1426</v>
      </c>
      <c r="B41" s="5" t="s">
        <v>139</v>
      </c>
      <c r="C41" s="6" t="s">
        <v>1421</v>
      </c>
      <c r="D41" s="7" t="s">
        <v>1427</v>
      </c>
      <c r="E41" s="8" t="s">
        <v>63</v>
      </c>
      <c r="F41" s="9" t="s">
        <v>17</v>
      </c>
      <c r="G41" s="10">
        <v>4</v>
      </c>
      <c r="H41" s="11">
        <v>46021</v>
      </c>
      <c r="I41" s="12" t="s">
        <v>1428</v>
      </c>
      <c r="J41" s="13" t="s">
        <v>30</v>
      </c>
      <c r="K41" s="14" t="str">
        <f>HYPERLINK("http://mpro.prangroup.com:4000/CreativeWorks/Edit/20509","Open")</f>
        <v>Open</v>
      </c>
    </row>
    <row r="42" spans="1:11" ht="13.2">
      <c r="A42" s="4" t="s">
        <v>40</v>
      </c>
      <c r="B42" s="5" t="s">
        <v>41</v>
      </c>
      <c r="C42" s="6" t="s">
        <v>275</v>
      </c>
      <c r="D42" s="7" t="s">
        <v>1429</v>
      </c>
      <c r="E42" s="8" t="s">
        <v>1077</v>
      </c>
      <c r="F42" s="9" t="s">
        <v>17</v>
      </c>
      <c r="G42" s="10">
        <v>1</v>
      </c>
      <c r="H42" s="11">
        <v>46021</v>
      </c>
      <c r="I42" s="12" t="s">
        <v>1430</v>
      </c>
      <c r="J42" s="13" t="s">
        <v>30</v>
      </c>
      <c r="K42" s="14" t="str">
        <f>HYPERLINK("http://mpro.prangroup.com:4000/CreativeWorks/Edit/20588","Open")</f>
        <v>Open</v>
      </c>
    </row>
    <row r="43" spans="1:11" ht="13.2">
      <c r="A43" s="4" t="s">
        <v>1396</v>
      </c>
      <c r="B43" s="5" t="s">
        <v>916</v>
      </c>
      <c r="C43" s="6" t="s">
        <v>1421</v>
      </c>
      <c r="D43" s="7" t="s">
        <v>1431</v>
      </c>
      <c r="E43" s="8" t="s">
        <v>63</v>
      </c>
      <c r="F43" s="9" t="s">
        <v>17</v>
      </c>
      <c r="G43" s="10">
        <v>1</v>
      </c>
      <c r="H43" s="11">
        <v>46028</v>
      </c>
      <c r="I43" s="12" t="s">
        <v>1432</v>
      </c>
      <c r="J43" s="13" t="s">
        <v>30</v>
      </c>
      <c r="K43" s="14" t="str">
        <f>HYPERLINK("http://mpro.prangroup.com:4000/CreativeWorks/Edit/21221","Open")</f>
        <v>Open</v>
      </c>
    </row>
    <row r="44" spans="1:11" ht="13.2">
      <c r="A44" s="4" t="s">
        <v>1396</v>
      </c>
      <c r="B44" s="5" t="s">
        <v>916</v>
      </c>
      <c r="C44" s="6" t="s">
        <v>746</v>
      </c>
      <c r="D44" s="7" t="s">
        <v>1433</v>
      </c>
      <c r="E44" s="8" t="s">
        <v>63</v>
      </c>
      <c r="F44" s="9" t="s">
        <v>17</v>
      </c>
      <c r="G44" s="10">
        <v>1</v>
      </c>
      <c r="H44" s="11">
        <v>46032</v>
      </c>
      <c r="I44" s="12" t="s">
        <v>1434</v>
      </c>
      <c r="J44" s="13" t="s">
        <v>30</v>
      </c>
      <c r="K44" s="14" t="str">
        <f>HYPERLINK("http://mpro.prangroup.com:4000/CreativeWorks/Edit/21495","Open")</f>
        <v>Open</v>
      </c>
    </row>
    <row r="45" spans="1:11" ht="13.2">
      <c r="A45" s="4" t="s">
        <v>1399</v>
      </c>
      <c r="B45" s="5" t="s">
        <v>916</v>
      </c>
      <c r="C45" s="6" t="s">
        <v>746</v>
      </c>
      <c r="D45" s="7" t="s">
        <v>1435</v>
      </c>
      <c r="E45" s="8" t="s">
        <v>63</v>
      </c>
      <c r="F45" s="9" t="s">
        <v>17</v>
      </c>
      <c r="G45" s="10">
        <v>1</v>
      </c>
      <c r="H45" s="11">
        <v>46032</v>
      </c>
      <c r="I45" s="12" t="s">
        <v>1436</v>
      </c>
      <c r="J45" s="13" t="s">
        <v>30</v>
      </c>
      <c r="K45" s="14" t="str">
        <f>HYPERLINK("http://mpro.prangroup.com:4000/CreativeWorks/Edit/21496","Open")</f>
        <v>Open</v>
      </c>
    </row>
    <row r="46" spans="1:11" ht="13.2">
      <c r="A46" s="4" t="s">
        <v>1399</v>
      </c>
      <c r="B46" s="5" t="s">
        <v>916</v>
      </c>
      <c r="C46" s="6" t="s">
        <v>746</v>
      </c>
      <c r="D46" s="7" t="s">
        <v>1437</v>
      </c>
      <c r="E46" s="8" t="s">
        <v>63</v>
      </c>
      <c r="F46" s="9" t="s">
        <v>17</v>
      </c>
      <c r="G46" s="10">
        <v>1</v>
      </c>
      <c r="H46" s="11">
        <v>46032</v>
      </c>
      <c r="I46" s="12" t="s">
        <v>1438</v>
      </c>
      <c r="J46" s="13" t="s">
        <v>30</v>
      </c>
      <c r="K46" s="14" t="str">
        <f>HYPERLINK("http://mpro.prangroup.com:4000/CreativeWorks/Edit/21498","Open")</f>
        <v>Open</v>
      </c>
    </row>
    <row r="47" spans="1:11" ht="13.2">
      <c r="A47" s="4" t="s">
        <v>1399</v>
      </c>
      <c r="B47" s="5" t="s">
        <v>916</v>
      </c>
      <c r="C47" s="6" t="s">
        <v>746</v>
      </c>
      <c r="D47" s="7" t="s">
        <v>1439</v>
      </c>
      <c r="E47" s="8" t="s">
        <v>63</v>
      </c>
      <c r="F47" s="9" t="s">
        <v>17</v>
      </c>
      <c r="G47" s="10">
        <v>1</v>
      </c>
      <c r="H47" s="11">
        <v>46032</v>
      </c>
      <c r="I47" s="12" t="s">
        <v>1440</v>
      </c>
      <c r="J47" s="13" t="s">
        <v>30</v>
      </c>
      <c r="K47" s="14" t="str">
        <f>HYPERLINK("http://mpro.prangroup.com:4000/CreativeWorks/Edit/21497","Open")</f>
        <v>Open</v>
      </c>
    </row>
    <row r="48" spans="1:11" ht="13.2">
      <c r="A48" s="4" t="s">
        <v>1399</v>
      </c>
      <c r="B48" s="5" t="s">
        <v>916</v>
      </c>
      <c r="C48" s="6" t="s">
        <v>746</v>
      </c>
      <c r="D48" s="7" t="s">
        <v>1441</v>
      </c>
      <c r="E48" s="8" t="s">
        <v>63</v>
      </c>
      <c r="F48" s="9" t="s">
        <v>17</v>
      </c>
      <c r="G48" s="10">
        <v>1</v>
      </c>
      <c r="H48" s="11">
        <v>46032</v>
      </c>
      <c r="I48" s="12" t="s">
        <v>1442</v>
      </c>
      <c r="J48" s="13" t="s">
        <v>30</v>
      </c>
      <c r="K48" s="14" t="str">
        <f>HYPERLINK("http://mpro.prangroup.com:4000/CreativeWorks/Edit/21550","Open")</f>
        <v>Open</v>
      </c>
    </row>
    <row r="49" spans="1:11" ht="13.2">
      <c r="A49" s="4" t="s">
        <v>1396</v>
      </c>
      <c r="B49" s="5" t="s">
        <v>916</v>
      </c>
      <c r="C49" s="6" t="s">
        <v>746</v>
      </c>
      <c r="D49" s="7" t="s">
        <v>1443</v>
      </c>
      <c r="E49" s="8" t="s">
        <v>63</v>
      </c>
      <c r="F49" s="9" t="s">
        <v>17</v>
      </c>
      <c r="G49" s="10">
        <v>1</v>
      </c>
      <c r="H49" s="11">
        <v>46034</v>
      </c>
      <c r="I49" s="12" t="s">
        <v>1444</v>
      </c>
      <c r="J49" s="13" t="s">
        <v>30</v>
      </c>
      <c r="K49" s="14" t="str">
        <f>HYPERLINK("http://mpro.prangroup.com:4000/CreativeWorks/Edit/21654","Open")</f>
        <v>Open</v>
      </c>
    </row>
    <row r="50" spans="1:11" ht="13.2">
      <c r="A50" s="4" t="s">
        <v>1396</v>
      </c>
      <c r="B50" s="5" t="s">
        <v>916</v>
      </c>
      <c r="C50" s="6" t="s">
        <v>746</v>
      </c>
      <c r="D50" s="7" t="s">
        <v>1445</v>
      </c>
      <c r="E50" s="8" t="s">
        <v>63</v>
      </c>
      <c r="F50" s="9" t="s">
        <v>17</v>
      </c>
      <c r="G50" s="10">
        <v>1</v>
      </c>
      <c r="H50" s="11">
        <v>46034</v>
      </c>
      <c r="I50" s="12" t="s">
        <v>1446</v>
      </c>
      <c r="J50" s="13" t="s">
        <v>30</v>
      </c>
      <c r="K50" s="14" t="str">
        <f>HYPERLINK("http://mpro.prangroup.com:4000/CreativeWorks/Edit/21655","Open")</f>
        <v>Open</v>
      </c>
    </row>
    <row r="51" spans="1:11" ht="13.2">
      <c r="A51" s="4" t="s">
        <v>1396</v>
      </c>
      <c r="B51" s="5" t="s">
        <v>916</v>
      </c>
      <c r="C51" s="6" t="s">
        <v>746</v>
      </c>
      <c r="D51" s="7" t="s">
        <v>1447</v>
      </c>
      <c r="E51" s="8" t="s">
        <v>63</v>
      </c>
      <c r="F51" s="9" t="s">
        <v>17</v>
      </c>
      <c r="G51" s="10">
        <v>1</v>
      </c>
      <c r="H51" s="11">
        <v>46034</v>
      </c>
      <c r="I51" s="12" t="s">
        <v>1448</v>
      </c>
      <c r="J51" s="13" t="s">
        <v>30</v>
      </c>
      <c r="K51" s="14" t="str">
        <f>HYPERLINK("http://mpro.prangroup.com:4000/CreativeWorks/Edit/21656","Open")</f>
        <v>Open</v>
      </c>
    </row>
    <row r="52" spans="1:11" ht="13.2">
      <c r="A52" s="4" t="s">
        <v>1399</v>
      </c>
      <c r="B52" s="5" t="s">
        <v>916</v>
      </c>
      <c r="C52" s="6" t="s">
        <v>746</v>
      </c>
      <c r="D52" s="7" t="s">
        <v>1449</v>
      </c>
      <c r="E52" s="8" t="s">
        <v>63</v>
      </c>
      <c r="F52" s="9" t="s">
        <v>17</v>
      </c>
      <c r="G52" s="10">
        <v>1</v>
      </c>
      <c r="H52" s="11">
        <v>46035</v>
      </c>
      <c r="I52" s="12" t="s">
        <v>1450</v>
      </c>
      <c r="J52" s="13" t="s">
        <v>30</v>
      </c>
      <c r="K52" s="14" t="str">
        <f>HYPERLINK("http://mpro.prangroup.com:4000/CreativeWorks/Edit/21742","Open")</f>
        <v>Open</v>
      </c>
    </row>
    <row r="53" spans="1:11" ht="13.2">
      <c r="A53" s="4" t="s">
        <v>1399</v>
      </c>
      <c r="B53" s="5" t="s">
        <v>916</v>
      </c>
      <c r="C53" s="6" t="s">
        <v>746</v>
      </c>
      <c r="D53" s="7" t="s">
        <v>1451</v>
      </c>
      <c r="E53" s="8" t="s">
        <v>748</v>
      </c>
      <c r="F53" s="9" t="s">
        <v>17</v>
      </c>
      <c r="G53" s="10">
        <v>1</v>
      </c>
      <c r="H53" s="11">
        <v>46036</v>
      </c>
      <c r="I53" s="12" t="s">
        <v>1452</v>
      </c>
      <c r="J53" s="13" t="s">
        <v>30</v>
      </c>
      <c r="K53" s="14" t="str">
        <f>HYPERLINK("http://mpro.prangroup.com:4000/CreativeWorks/Edit/21848","Open")</f>
        <v>Open</v>
      </c>
    </row>
    <row r="54" spans="1:11" ht="13.2">
      <c r="A54" s="4" t="s">
        <v>1396</v>
      </c>
      <c r="B54" s="5" t="s">
        <v>916</v>
      </c>
      <c r="C54" s="6" t="s">
        <v>746</v>
      </c>
      <c r="D54" s="7" t="s">
        <v>1453</v>
      </c>
      <c r="E54" s="8" t="s">
        <v>748</v>
      </c>
      <c r="F54" s="9" t="s">
        <v>17</v>
      </c>
      <c r="G54" s="10">
        <v>1</v>
      </c>
      <c r="H54" s="11">
        <v>46036</v>
      </c>
      <c r="I54" s="12" t="s">
        <v>1454</v>
      </c>
      <c r="J54" s="13" t="s">
        <v>30</v>
      </c>
      <c r="K54" s="14" t="str">
        <f>HYPERLINK("http://mpro.prangroup.com:4000/CreativeWorks/Edit/21846","Open")</f>
        <v>Open</v>
      </c>
    </row>
    <row r="55" spans="1:11" ht="13.2">
      <c r="A55" s="4" t="s">
        <v>1399</v>
      </c>
      <c r="B55" s="5" t="s">
        <v>916</v>
      </c>
      <c r="C55" s="6" t="s">
        <v>746</v>
      </c>
      <c r="D55" s="7" t="s">
        <v>1451</v>
      </c>
      <c r="E55" s="8" t="s">
        <v>63</v>
      </c>
      <c r="F55" s="9" t="s">
        <v>17</v>
      </c>
      <c r="G55" s="10">
        <v>1</v>
      </c>
      <c r="H55" s="11">
        <v>46036</v>
      </c>
      <c r="I55" s="12" t="s">
        <v>1452</v>
      </c>
      <c r="J55" s="13" t="s">
        <v>30</v>
      </c>
      <c r="K55" s="14" t="str">
        <f>HYPERLINK("http://mpro.prangroup.com:4000/CreativeWorks/Edit/21848","Open")</f>
        <v>Open</v>
      </c>
    </row>
    <row r="56" spans="1:11" ht="13.2">
      <c r="A56" s="4" t="s">
        <v>1396</v>
      </c>
      <c r="B56" s="5" t="s">
        <v>916</v>
      </c>
      <c r="C56" s="6" t="s">
        <v>746</v>
      </c>
      <c r="D56" s="7" t="s">
        <v>1453</v>
      </c>
      <c r="E56" s="8" t="s">
        <v>63</v>
      </c>
      <c r="F56" s="9" t="s">
        <v>17</v>
      </c>
      <c r="G56" s="10">
        <v>1</v>
      </c>
      <c r="H56" s="11">
        <v>46036</v>
      </c>
      <c r="I56" s="12" t="s">
        <v>1454</v>
      </c>
      <c r="J56" s="13" t="s">
        <v>30</v>
      </c>
      <c r="K56" s="14" t="str">
        <f>HYPERLINK("http://mpro.prangroup.com:4000/CreativeWorks/Edit/21846","Open")</f>
        <v>Open</v>
      </c>
    </row>
    <row r="57" spans="1:11" ht="13.2">
      <c r="A57" s="4" t="s">
        <v>1396</v>
      </c>
      <c r="B57" s="5" t="s">
        <v>916</v>
      </c>
      <c r="C57" s="6" t="s">
        <v>746</v>
      </c>
      <c r="D57" s="7" t="s">
        <v>1455</v>
      </c>
      <c r="E57" s="8" t="s">
        <v>63</v>
      </c>
      <c r="F57" s="9" t="s">
        <v>17</v>
      </c>
      <c r="G57" s="10">
        <v>1</v>
      </c>
      <c r="H57" s="11">
        <v>46036</v>
      </c>
      <c r="I57" s="12" t="s">
        <v>1456</v>
      </c>
      <c r="J57" s="13" t="s">
        <v>30</v>
      </c>
      <c r="K57" s="14" t="str">
        <f>HYPERLINK("http://mpro.prangroup.com:4000/CreativeWorks/Edit/21847","Open")</f>
        <v>Open</v>
      </c>
    </row>
    <row r="58" spans="1:11" ht="13.2">
      <c r="A58" s="4" t="s">
        <v>281</v>
      </c>
      <c r="B58" s="5" t="s">
        <v>282</v>
      </c>
      <c r="C58" s="6" t="s">
        <v>1421</v>
      </c>
      <c r="D58" s="7" t="s">
        <v>1457</v>
      </c>
      <c r="E58" s="8" t="s">
        <v>63</v>
      </c>
      <c r="F58" s="9" t="s">
        <v>17</v>
      </c>
      <c r="G58" s="10">
        <v>1</v>
      </c>
      <c r="H58" s="11">
        <v>46036</v>
      </c>
      <c r="I58" s="12" t="s">
        <v>1458</v>
      </c>
      <c r="J58" s="13" t="s">
        <v>30</v>
      </c>
      <c r="K58" s="14" t="str">
        <f t="shared" ref="K58:K59" si="3">HYPERLINK("http://mpro.prangroup.com:4000/CreativeWorks/Edit/21849","Open")</f>
        <v>Open</v>
      </c>
    </row>
    <row r="59" spans="1:11" ht="13.2">
      <c r="A59" s="4" t="s">
        <v>281</v>
      </c>
      <c r="B59" s="5" t="s">
        <v>282</v>
      </c>
      <c r="C59" s="6" t="s">
        <v>1421</v>
      </c>
      <c r="D59" s="7" t="s">
        <v>1457</v>
      </c>
      <c r="E59" s="8" t="s">
        <v>63</v>
      </c>
      <c r="F59" s="9" t="s">
        <v>17</v>
      </c>
      <c r="G59" s="10">
        <v>2</v>
      </c>
      <c r="H59" s="11">
        <v>46036</v>
      </c>
      <c r="I59" s="12" t="s">
        <v>1458</v>
      </c>
      <c r="J59" s="13" t="s">
        <v>30</v>
      </c>
      <c r="K59" s="14" t="str">
        <f t="shared" si="3"/>
        <v>Open</v>
      </c>
    </row>
    <row r="60" spans="1:11" ht="13.2">
      <c r="A60" s="4" t="s">
        <v>281</v>
      </c>
      <c r="B60" s="5" t="s">
        <v>282</v>
      </c>
      <c r="C60" s="6" t="s">
        <v>1421</v>
      </c>
      <c r="D60" s="7" t="s">
        <v>1459</v>
      </c>
      <c r="E60" s="8" t="s">
        <v>63</v>
      </c>
      <c r="F60" s="9" t="s">
        <v>17</v>
      </c>
      <c r="G60" s="10">
        <v>2</v>
      </c>
      <c r="H60" s="11">
        <v>46036</v>
      </c>
      <c r="I60" s="12" t="s">
        <v>1460</v>
      </c>
      <c r="J60" s="13" t="s">
        <v>30</v>
      </c>
      <c r="K60" s="14" t="str">
        <f>HYPERLINK("http://mpro.prangroup.com:4000/CreativeWorks/Edit/21850","Open")</f>
        <v>Open</v>
      </c>
    </row>
    <row r="61" spans="1:11" ht="13.2">
      <c r="A61" s="4" t="s">
        <v>281</v>
      </c>
      <c r="B61" s="5" t="s">
        <v>282</v>
      </c>
      <c r="C61" s="6" t="s">
        <v>1421</v>
      </c>
      <c r="D61" s="7" t="s">
        <v>1461</v>
      </c>
      <c r="E61" s="8" t="s">
        <v>63</v>
      </c>
      <c r="F61" s="9" t="s">
        <v>17</v>
      </c>
      <c r="G61" s="10">
        <v>2</v>
      </c>
      <c r="H61" s="11">
        <v>46036</v>
      </c>
      <c r="I61" s="12" t="s">
        <v>1462</v>
      </c>
      <c r="J61" s="13" t="s">
        <v>30</v>
      </c>
      <c r="K61" s="14" t="str">
        <f>HYPERLINK("http://mpro.prangroup.com:4000/CreativeWorks/Edit/21851","Open")</f>
        <v>Open</v>
      </c>
    </row>
    <row r="62" spans="1:11" ht="13.2">
      <c r="A62" s="4" t="s">
        <v>745</v>
      </c>
      <c r="B62" s="5" t="s">
        <v>41</v>
      </c>
      <c r="C62" s="6" t="s">
        <v>746</v>
      </c>
      <c r="D62" s="7" t="s">
        <v>1463</v>
      </c>
      <c r="E62" s="8" t="s">
        <v>63</v>
      </c>
      <c r="F62" s="9" t="s">
        <v>17</v>
      </c>
      <c r="G62" s="10">
        <v>1</v>
      </c>
      <c r="H62" s="11">
        <v>46037</v>
      </c>
      <c r="I62" s="12" t="s">
        <v>1464</v>
      </c>
      <c r="J62" s="13" t="s">
        <v>30</v>
      </c>
      <c r="K62" s="14" t="str">
        <f>HYPERLINK("http://mpro.prangroup.com:4000/CreativeWorks/Edit/21991","Open")</f>
        <v>Open</v>
      </c>
    </row>
    <row r="63" spans="1:11" ht="13.2">
      <c r="A63" s="4" t="s">
        <v>1465</v>
      </c>
      <c r="B63" s="5" t="s">
        <v>916</v>
      </c>
      <c r="C63" s="6" t="s">
        <v>746</v>
      </c>
      <c r="D63" s="7" t="s">
        <v>1466</v>
      </c>
      <c r="E63" s="8" t="s">
        <v>63</v>
      </c>
      <c r="F63" s="9" t="s">
        <v>17</v>
      </c>
      <c r="G63" s="10">
        <v>1</v>
      </c>
      <c r="H63" s="11">
        <v>46037</v>
      </c>
      <c r="I63" s="12" t="s">
        <v>1467</v>
      </c>
      <c r="J63" s="13" t="s">
        <v>30</v>
      </c>
      <c r="K63" s="14" t="str">
        <f>HYPERLINK("http://mpro.prangroup.com:4000/CreativeWorks/Edit/21992","Open")</f>
        <v>Open</v>
      </c>
    </row>
    <row r="64" spans="1:11" ht="13.2">
      <c r="A64" s="4" t="s">
        <v>235</v>
      </c>
      <c r="B64" s="5" t="s">
        <v>101</v>
      </c>
      <c r="C64" s="6" t="s">
        <v>232</v>
      </c>
      <c r="D64" s="7" t="s">
        <v>303</v>
      </c>
      <c r="E64" s="8" t="s">
        <v>302</v>
      </c>
      <c r="F64" s="9" t="s">
        <v>17</v>
      </c>
      <c r="G64" s="10">
        <v>9</v>
      </c>
      <c r="H64" s="11">
        <v>46037</v>
      </c>
      <c r="I64" s="12" t="s">
        <v>1468</v>
      </c>
      <c r="J64" s="13" t="s">
        <v>30</v>
      </c>
      <c r="K64" s="14" t="str">
        <f>HYPERLINK("http://mpro.prangroup.com:4000/CreativeWorks/Edit/21986","Open")</f>
        <v>Open</v>
      </c>
    </row>
    <row r="65" spans="1:11" ht="13.2">
      <c r="A65" s="4" t="s">
        <v>1138</v>
      </c>
      <c r="B65" s="5" t="s">
        <v>41</v>
      </c>
      <c r="C65" s="6" t="s">
        <v>746</v>
      </c>
      <c r="D65" s="7" t="s">
        <v>1469</v>
      </c>
      <c r="E65" s="8" t="s">
        <v>63</v>
      </c>
      <c r="F65" s="9" t="s">
        <v>17</v>
      </c>
      <c r="G65" s="10">
        <v>1</v>
      </c>
      <c r="H65" s="11">
        <v>46039</v>
      </c>
      <c r="I65" s="12" t="s">
        <v>1470</v>
      </c>
      <c r="J65" s="13" t="s">
        <v>30</v>
      </c>
      <c r="K65" s="14" t="str">
        <f>HYPERLINK("http://mpro.prangroup.com:4000/CreativeWorks/Edit/22030","Open")</f>
        <v>Open</v>
      </c>
    </row>
    <row r="66" spans="1:11" ht="13.2">
      <c r="A66" s="4" t="s">
        <v>745</v>
      </c>
      <c r="B66" s="5" t="s">
        <v>41</v>
      </c>
      <c r="C66" s="6" t="s">
        <v>746</v>
      </c>
      <c r="D66" s="7" t="s">
        <v>1471</v>
      </c>
      <c r="E66" s="8" t="s">
        <v>63</v>
      </c>
      <c r="F66" s="9" t="s">
        <v>17</v>
      </c>
      <c r="G66" s="10">
        <v>1</v>
      </c>
      <c r="H66" s="11">
        <v>46039</v>
      </c>
      <c r="I66" s="12" t="s">
        <v>1472</v>
      </c>
      <c r="J66" s="13" t="s">
        <v>30</v>
      </c>
      <c r="K66" s="14" t="str">
        <f>HYPERLINK("http://mpro.prangroup.com:4000/CreativeWorks/Edit/22028","Open")</f>
        <v>Open</v>
      </c>
    </row>
    <row r="67" spans="1:11" ht="13.2">
      <c r="A67" s="4" t="s">
        <v>1138</v>
      </c>
      <c r="B67" s="5" t="s">
        <v>41</v>
      </c>
      <c r="C67" s="6" t="s">
        <v>746</v>
      </c>
      <c r="D67" s="7" t="s">
        <v>1469</v>
      </c>
      <c r="E67" s="8" t="s">
        <v>63</v>
      </c>
      <c r="F67" s="9" t="s">
        <v>17</v>
      </c>
      <c r="G67" s="10">
        <v>1</v>
      </c>
      <c r="H67" s="11">
        <v>46039</v>
      </c>
      <c r="I67" s="12" t="s">
        <v>1470</v>
      </c>
      <c r="J67" s="13" t="s">
        <v>30</v>
      </c>
      <c r="K67" s="14" t="str">
        <f>HYPERLINK("http://mpro.prangroup.com:4000/CreativeWorks/Edit/22030","Open")</f>
        <v>Open</v>
      </c>
    </row>
    <row r="68" spans="1:11" ht="13.2">
      <c r="A68" s="4" t="s">
        <v>1399</v>
      </c>
      <c r="B68" s="5" t="s">
        <v>916</v>
      </c>
      <c r="C68" s="6" t="s">
        <v>746</v>
      </c>
      <c r="D68" s="7" t="s">
        <v>1473</v>
      </c>
      <c r="E68" s="8" t="s">
        <v>63</v>
      </c>
      <c r="F68" s="9" t="s">
        <v>17</v>
      </c>
      <c r="G68" s="10">
        <v>1</v>
      </c>
      <c r="H68" s="11">
        <v>46039</v>
      </c>
      <c r="I68" s="12" t="s">
        <v>1474</v>
      </c>
      <c r="J68" s="13" t="s">
        <v>30</v>
      </c>
      <c r="K68" s="14" t="str">
        <f>HYPERLINK("http://mpro.prangroup.com:4000/CreativeWorks/Edit/22031","Open")</f>
        <v>Open</v>
      </c>
    </row>
    <row r="69" spans="1:11" ht="13.2">
      <c r="A69" s="4" t="s">
        <v>1399</v>
      </c>
      <c r="B69" s="5" t="s">
        <v>916</v>
      </c>
      <c r="C69" s="6" t="s">
        <v>746</v>
      </c>
      <c r="D69" s="7" t="s">
        <v>1475</v>
      </c>
      <c r="E69" s="8" t="s">
        <v>63</v>
      </c>
      <c r="F69" s="9" t="s">
        <v>17</v>
      </c>
      <c r="G69" s="10">
        <v>2</v>
      </c>
      <c r="H69" s="11">
        <v>46039</v>
      </c>
      <c r="I69" s="12" t="s">
        <v>1476</v>
      </c>
      <c r="J69" s="13" t="s">
        <v>30</v>
      </c>
      <c r="K69" s="14" t="str">
        <f>HYPERLINK("http://mpro.prangroup.com:4000/CreativeWorks/Edit/22097","Open")</f>
        <v>Open</v>
      </c>
    </row>
    <row r="70" spans="1:11" ht="13.2">
      <c r="A70" s="4" t="s">
        <v>482</v>
      </c>
      <c r="B70" s="5" t="s">
        <v>41</v>
      </c>
      <c r="C70" s="6" t="s">
        <v>1421</v>
      </c>
      <c r="D70" s="7" t="s">
        <v>1477</v>
      </c>
      <c r="E70" s="8" t="s">
        <v>63</v>
      </c>
      <c r="F70" s="9" t="s">
        <v>17</v>
      </c>
      <c r="G70" s="10">
        <v>1</v>
      </c>
      <c r="H70" s="11">
        <v>46039</v>
      </c>
      <c r="I70" s="12" t="s">
        <v>1478</v>
      </c>
      <c r="J70" s="13" t="s">
        <v>30</v>
      </c>
      <c r="K70" s="14" t="str">
        <f>HYPERLINK("http://mpro.prangroup.com:4000/CreativeWorks/Edit/22048","Open")</f>
        <v>Open</v>
      </c>
    </row>
    <row r="71" spans="1:11" ht="13.2">
      <c r="A71" s="4" t="s">
        <v>40</v>
      </c>
      <c r="B71" s="5" t="s">
        <v>41</v>
      </c>
      <c r="C71" s="6" t="s">
        <v>1421</v>
      </c>
      <c r="D71" s="7" t="s">
        <v>1479</v>
      </c>
      <c r="E71" s="8" t="s">
        <v>63</v>
      </c>
      <c r="F71" s="9" t="s">
        <v>17</v>
      </c>
      <c r="G71" s="10">
        <v>1</v>
      </c>
      <c r="H71" s="11">
        <v>46039</v>
      </c>
      <c r="I71" s="12" t="s">
        <v>1480</v>
      </c>
      <c r="J71" s="13" t="s">
        <v>30</v>
      </c>
      <c r="K71" s="14" t="str">
        <f>HYPERLINK("http://mpro.prangroup.com:4000/CreativeWorks/Edit/22050","Open")</f>
        <v>Open</v>
      </c>
    </row>
    <row r="72" spans="1:11" ht="13.2">
      <c r="A72" s="4" t="s">
        <v>482</v>
      </c>
      <c r="B72" s="5" t="s">
        <v>41</v>
      </c>
      <c r="C72" s="6" t="s">
        <v>1421</v>
      </c>
      <c r="D72" s="7" t="s">
        <v>1481</v>
      </c>
      <c r="E72" s="8" t="s">
        <v>63</v>
      </c>
      <c r="F72" s="9" t="s">
        <v>17</v>
      </c>
      <c r="G72" s="10">
        <v>1</v>
      </c>
      <c r="H72" s="11">
        <v>46039</v>
      </c>
      <c r="I72" s="12" t="s">
        <v>1482</v>
      </c>
      <c r="J72" s="13" t="s">
        <v>30</v>
      </c>
      <c r="K72" s="14" t="str">
        <f>HYPERLINK("http://mpro.prangroup.com:4000/CreativeWorks/Edit/22043","Open")</f>
        <v>Open</v>
      </c>
    </row>
    <row r="73" spans="1:11" ht="13.2">
      <c r="A73" s="4" t="s">
        <v>1483</v>
      </c>
      <c r="B73" s="5" t="s">
        <v>41</v>
      </c>
      <c r="C73" s="6" t="s">
        <v>1421</v>
      </c>
      <c r="D73" s="7" t="s">
        <v>1484</v>
      </c>
      <c r="E73" s="8" t="s">
        <v>63</v>
      </c>
      <c r="F73" s="9" t="s">
        <v>17</v>
      </c>
      <c r="G73" s="10">
        <v>1</v>
      </c>
      <c r="H73" s="11">
        <v>46039</v>
      </c>
      <c r="I73" s="12" t="s">
        <v>1485</v>
      </c>
      <c r="J73" s="13" t="s">
        <v>30</v>
      </c>
      <c r="K73" s="14" t="str">
        <f>HYPERLINK("http://mpro.prangroup.com:4000/CreativeWorks/Edit/22049","Open")</f>
        <v>Open</v>
      </c>
    </row>
    <row r="74" spans="1:11" ht="13.2">
      <c r="A74" s="4" t="s">
        <v>40</v>
      </c>
      <c r="B74" s="5" t="s">
        <v>41</v>
      </c>
      <c r="C74" s="6" t="s">
        <v>1421</v>
      </c>
      <c r="D74" s="7" t="s">
        <v>1486</v>
      </c>
      <c r="E74" s="8" t="s">
        <v>63</v>
      </c>
      <c r="F74" s="9" t="s">
        <v>17</v>
      </c>
      <c r="G74" s="10">
        <v>1</v>
      </c>
      <c r="H74" s="11">
        <v>46039</v>
      </c>
      <c r="I74" s="12" t="s">
        <v>1487</v>
      </c>
      <c r="J74" s="13" t="s">
        <v>30</v>
      </c>
      <c r="K74" s="14" t="str">
        <f>HYPERLINK("http://mpro.prangroup.com:4000/CreativeWorks/Edit/22040","Open")</f>
        <v>Open</v>
      </c>
    </row>
    <row r="75" spans="1:11" ht="13.2">
      <c r="A75" s="4" t="s">
        <v>482</v>
      </c>
      <c r="B75" s="5" t="s">
        <v>41</v>
      </c>
      <c r="C75" s="6" t="s">
        <v>1421</v>
      </c>
      <c r="D75" s="7" t="s">
        <v>1488</v>
      </c>
      <c r="E75" s="8" t="s">
        <v>63</v>
      </c>
      <c r="F75" s="9" t="s">
        <v>17</v>
      </c>
      <c r="G75" s="10">
        <v>1</v>
      </c>
      <c r="H75" s="11">
        <v>46039</v>
      </c>
      <c r="I75" s="12" t="s">
        <v>1489</v>
      </c>
      <c r="J75" s="13" t="s">
        <v>30</v>
      </c>
      <c r="K75" s="14" t="str">
        <f>HYPERLINK("http://mpro.prangroup.com:4000/CreativeWorks/Edit/22046","Open")</f>
        <v>Open</v>
      </c>
    </row>
    <row r="76" spans="1:11" ht="13.2">
      <c r="A76" s="4" t="s">
        <v>40</v>
      </c>
      <c r="B76" s="5" t="s">
        <v>41</v>
      </c>
      <c r="C76" s="6" t="s">
        <v>1421</v>
      </c>
      <c r="D76" s="7" t="s">
        <v>1490</v>
      </c>
      <c r="E76" s="8" t="s">
        <v>63</v>
      </c>
      <c r="F76" s="9" t="s">
        <v>17</v>
      </c>
      <c r="G76" s="10">
        <v>1</v>
      </c>
      <c r="H76" s="11">
        <v>46039</v>
      </c>
      <c r="I76" s="12" t="s">
        <v>1491</v>
      </c>
      <c r="J76" s="13" t="s">
        <v>30</v>
      </c>
      <c r="K76" s="14" t="str">
        <f>HYPERLINK("http://mpro.prangroup.com:4000/CreativeWorks/Edit/22051","Open")</f>
        <v>Open</v>
      </c>
    </row>
    <row r="77" spans="1:11" ht="13.2">
      <c r="A77" s="4" t="s">
        <v>1396</v>
      </c>
      <c r="B77" s="5" t="s">
        <v>916</v>
      </c>
      <c r="C77" s="6" t="s">
        <v>746</v>
      </c>
      <c r="D77" s="7" t="s">
        <v>1492</v>
      </c>
      <c r="E77" s="8" t="s">
        <v>63</v>
      </c>
      <c r="F77" s="9" t="s">
        <v>17</v>
      </c>
      <c r="G77" s="10">
        <v>1</v>
      </c>
      <c r="H77" s="11">
        <v>46040</v>
      </c>
      <c r="I77" s="12" t="s">
        <v>1493</v>
      </c>
      <c r="J77" s="13" t="s">
        <v>30</v>
      </c>
      <c r="K77" s="14" t="str">
        <f>HYPERLINK("http://mpro.prangroup.com:4000/CreativeWorks/Edit/22213","Open")</f>
        <v>Open</v>
      </c>
    </row>
    <row r="78" spans="1:11" ht="13.2">
      <c r="A78" s="4" t="s">
        <v>1494</v>
      </c>
      <c r="B78" s="5" t="s">
        <v>916</v>
      </c>
      <c r="C78" s="6" t="s">
        <v>746</v>
      </c>
      <c r="D78" s="7" t="s">
        <v>1495</v>
      </c>
      <c r="E78" s="8" t="s">
        <v>63</v>
      </c>
      <c r="F78" s="9" t="s">
        <v>17</v>
      </c>
      <c r="G78" s="10">
        <v>1</v>
      </c>
      <c r="H78" s="11">
        <v>46040</v>
      </c>
      <c r="I78" s="12" t="s">
        <v>1496</v>
      </c>
      <c r="J78" s="13" t="s">
        <v>30</v>
      </c>
      <c r="K78" s="14" t="str">
        <f>HYPERLINK("http://mpro.prangroup.com:4000/CreativeWorks/Edit/22207","Open")</f>
        <v>Open</v>
      </c>
    </row>
    <row r="79" spans="1:11" ht="13.2">
      <c r="A79" s="4" t="s">
        <v>1396</v>
      </c>
      <c r="B79" s="5" t="s">
        <v>916</v>
      </c>
      <c r="C79" s="6" t="s">
        <v>746</v>
      </c>
      <c r="D79" s="7" t="s">
        <v>1497</v>
      </c>
      <c r="E79" s="8" t="s">
        <v>63</v>
      </c>
      <c r="F79" s="9" t="s">
        <v>17</v>
      </c>
      <c r="G79" s="10">
        <v>1</v>
      </c>
      <c r="H79" s="11">
        <v>46040</v>
      </c>
      <c r="I79" s="12" t="s">
        <v>1498</v>
      </c>
      <c r="J79" s="13" t="s">
        <v>30</v>
      </c>
      <c r="K79" s="14" t="str">
        <f>HYPERLINK("http://mpro.prangroup.com:4000/CreativeWorks/Edit/22211","Open")</f>
        <v>Open</v>
      </c>
    </row>
    <row r="80" spans="1:11" ht="13.2">
      <c r="A80" s="4" t="s">
        <v>1396</v>
      </c>
      <c r="B80" s="5" t="s">
        <v>916</v>
      </c>
      <c r="C80" s="6" t="s">
        <v>746</v>
      </c>
      <c r="D80" s="7" t="s">
        <v>1499</v>
      </c>
      <c r="E80" s="8" t="s">
        <v>63</v>
      </c>
      <c r="F80" s="9" t="s">
        <v>17</v>
      </c>
      <c r="G80" s="10">
        <v>1</v>
      </c>
      <c r="H80" s="11">
        <v>46040</v>
      </c>
      <c r="I80" s="12" t="s">
        <v>1500</v>
      </c>
      <c r="J80" s="13" t="s">
        <v>30</v>
      </c>
      <c r="K80" s="14" t="str">
        <f>HYPERLINK("http://mpro.prangroup.com:4000/CreativeWorks/Edit/22212","Open")</f>
        <v>Open</v>
      </c>
    </row>
    <row r="81" spans="1:11" ht="13.2">
      <c r="A81" s="4" t="s">
        <v>1396</v>
      </c>
      <c r="B81" s="5" t="s">
        <v>916</v>
      </c>
      <c r="C81" s="6" t="s">
        <v>746</v>
      </c>
      <c r="D81" s="7" t="s">
        <v>1501</v>
      </c>
      <c r="E81" s="8" t="s">
        <v>63</v>
      </c>
      <c r="F81" s="9" t="s">
        <v>17</v>
      </c>
      <c r="G81" s="10">
        <v>1</v>
      </c>
      <c r="H81" s="11">
        <v>46040</v>
      </c>
      <c r="I81" s="12" t="s">
        <v>1502</v>
      </c>
      <c r="J81" s="13" t="s">
        <v>30</v>
      </c>
      <c r="K81" s="14" t="str">
        <f>HYPERLINK("http://mpro.prangroup.com:4000/CreativeWorks/Edit/22209","Open")</f>
        <v>Open</v>
      </c>
    </row>
    <row r="82" spans="1:11" ht="13.2">
      <c r="A82" s="4" t="s">
        <v>891</v>
      </c>
      <c r="B82" s="5" t="s">
        <v>144</v>
      </c>
      <c r="C82" s="6" t="s">
        <v>166</v>
      </c>
      <c r="D82" s="7" t="s">
        <v>1503</v>
      </c>
      <c r="E82" s="8" t="s">
        <v>1504</v>
      </c>
      <c r="F82" s="9" t="s">
        <v>17</v>
      </c>
      <c r="G82" s="10">
        <v>1</v>
      </c>
      <c r="H82" s="11">
        <v>46040</v>
      </c>
      <c r="I82" s="12" t="s">
        <v>1505</v>
      </c>
      <c r="J82" s="13" t="s">
        <v>30</v>
      </c>
      <c r="K82" s="14" t="str">
        <f t="shared" ref="K82:K83" si="4">HYPERLINK("http://mpro.prangroup.com:4000/CreativeWorks/Edit/22157","Open")</f>
        <v>Open</v>
      </c>
    </row>
    <row r="83" spans="1:11" ht="13.2">
      <c r="A83" s="4" t="s">
        <v>891</v>
      </c>
      <c r="B83" s="5" t="s">
        <v>144</v>
      </c>
      <c r="C83" s="6" t="s">
        <v>166</v>
      </c>
      <c r="D83" s="7" t="s">
        <v>1503</v>
      </c>
      <c r="E83" s="8" t="s">
        <v>63</v>
      </c>
      <c r="F83" s="9" t="s">
        <v>17</v>
      </c>
      <c r="G83" s="10">
        <v>1</v>
      </c>
      <c r="H83" s="11">
        <v>46040</v>
      </c>
      <c r="I83" s="12" t="s">
        <v>1505</v>
      </c>
      <c r="J83" s="13" t="s">
        <v>30</v>
      </c>
      <c r="K83" s="14" t="str">
        <f t="shared" si="4"/>
        <v>Open</v>
      </c>
    </row>
    <row r="84" spans="1:11" ht="13.2">
      <c r="A84" s="4" t="s">
        <v>77</v>
      </c>
      <c r="B84" s="5" t="s">
        <v>60</v>
      </c>
      <c r="C84" s="6" t="s">
        <v>78</v>
      </c>
      <c r="D84" s="7" t="s">
        <v>1047</v>
      </c>
      <c r="E84" s="8" t="s">
        <v>63</v>
      </c>
      <c r="F84" s="9" t="s">
        <v>17</v>
      </c>
      <c r="G84" s="10">
        <v>8</v>
      </c>
      <c r="H84" s="11">
        <v>46040</v>
      </c>
      <c r="I84" s="12" t="s">
        <v>1506</v>
      </c>
      <c r="J84" s="13" t="s">
        <v>30</v>
      </c>
      <c r="K84" s="14" t="str">
        <f>HYPERLINK("http://mpro.prangroup.com:4000/CreativeWorks/Edit/22131","Open")</f>
        <v>Open</v>
      </c>
    </row>
    <row r="85" spans="1:11" ht="13.2">
      <c r="A85" s="4" t="s">
        <v>891</v>
      </c>
      <c r="B85" s="5" t="s">
        <v>144</v>
      </c>
      <c r="C85" s="6" t="s">
        <v>166</v>
      </c>
      <c r="D85" s="7" t="s">
        <v>1503</v>
      </c>
      <c r="E85" s="8" t="s">
        <v>1504</v>
      </c>
      <c r="F85" s="9" t="s">
        <v>17</v>
      </c>
      <c r="G85" s="10">
        <v>1</v>
      </c>
      <c r="H85" s="11">
        <v>46041</v>
      </c>
      <c r="I85" s="12" t="s">
        <v>1507</v>
      </c>
      <c r="J85" s="13" t="s">
        <v>30</v>
      </c>
      <c r="K85" s="14" t="str">
        <f t="shared" ref="K85:K86" si="5">HYPERLINK("http://mpro.prangroup.com:4000/CreativeWorks/Edit/22318","Open")</f>
        <v>Open</v>
      </c>
    </row>
    <row r="86" spans="1:11" ht="13.2">
      <c r="A86" s="4" t="s">
        <v>891</v>
      </c>
      <c r="B86" s="5" t="s">
        <v>144</v>
      </c>
      <c r="C86" s="6" t="s">
        <v>166</v>
      </c>
      <c r="D86" s="7" t="s">
        <v>1503</v>
      </c>
      <c r="E86" s="8" t="s">
        <v>63</v>
      </c>
      <c r="F86" s="9" t="s">
        <v>17</v>
      </c>
      <c r="G86" s="10">
        <v>1</v>
      </c>
      <c r="H86" s="11">
        <v>46041</v>
      </c>
      <c r="I86" s="12" t="s">
        <v>1507</v>
      </c>
      <c r="J86" s="13" t="s">
        <v>30</v>
      </c>
      <c r="K86" s="14" t="str">
        <f t="shared" si="5"/>
        <v>Open</v>
      </c>
    </row>
    <row r="87" spans="1:11" ht="13.2">
      <c r="A87" s="4" t="s">
        <v>296</v>
      </c>
      <c r="B87" s="5" t="s">
        <v>123</v>
      </c>
      <c r="C87" s="6" t="s">
        <v>746</v>
      </c>
      <c r="D87" s="7" t="s">
        <v>1508</v>
      </c>
      <c r="E87" s="8" t="s">
        <v>63</v>
      </c>
      <c r="F87" s="9" t="s">
        <v>17</v>
      </c>
      <c r="G87" s="10">
        <v>1</v>
      </c>
      <c r="H87" s="11">
        <v>46042</v>
      </c>
      <c r="I87" s="12" t="s">
        <v>1509</v>
      </c>
      <c r="J87" s="13" t="s">
        <v>30</v>
      </c>
      <c r="K87" s="14" t="str">
        <f>HYPERLINK("http://mpro.prangroup.com:4000/CreativeWorks/Edit/22474","Open")</f>
        <v>Open</v>
      </c>
    </row>
    <row r="88" spans="1:11" ht="13.2">
      <c r="A88" s="4" t="s">
        <v>1494</v>
      </c>
      <c r="B88" s="5" t="s">
        <v>916</v>
      </c>
      <c r="C88" s="6" t="s">
        <v>1421</v>
      </c>
      <c r="D88" s="7" t="s">
        <v>1510</v>
      </c>
      <c r="E88" s="8" t="s">
        <v>63</v>
      </c>
      <c r="F88" s="9" t="s">
        <v>17</v>
      </c>
      <c r="G88" s="10">
        <v>1</v>
      </c>
      <c r="H88" s="11">
        <v>46042</v>
      </c>
      <c r="I88" s="12" t="s">
        <v>1511</v>
      </c>
      <c r="J88" s="13" t="s">
        <v>30</v>
      </c>
      <c r="K88" s="14" t="str">
        <f>HYPERLINK("http://mpro.prangroup.com:4000/CreativeWorks/Edit/22379","Open")</f>
        <v>Open</v>
      </c>
    </row>
    <row r="89" spans="1:11" ht="13.2">
      <c r="A89" s="4" t="s">
        <v>1494</v>
      </c>
      <c r="B89" s="5" t="s">
        <v>916</v>
      </c>
      <c r="C89" s="6" t="s">
        <v>1421</v>
      </c>
      <c r="D89" s="7" t="s">
        <v>1512</v>
      </c>
      <c r="E89" s="8" t="s">
        <v>63</v>
      </c>
      <c r="F89" s="9" t="s">
        <v>17</v>
      </c>
      <c r="G89" s="10">
        <v>1</v>
      </c>
      <c r="H89" s="11">
        <v>46042</v>
      </c>
      <c r="I89" s="12" t="s">
        <v>1513</v>
      </c>
      <c r="J89" s="13" t="s">
        <v>30</v>
      </c>
      <c r="K89" s="14" t="str">
        <f>HYPERLINK("http://mpro.prangroup.com:4000/CreativeWorks/Edit/22436","Open")</f>
        <v>Open</v>
      </c>
    </row>
    <row r="90" spans="1:11" ht="13.2">
      <c r="A90" s="4" t="s">
        <v>1514</v>
      </c>
      <c r="B90" s="5" t="s">
        <v>60</v>
      </c>
      <c r="C90" s="6" t="s">
        <v>186</v>
      </c>
      <c r="D90" s="7" t="s">
        <v>1515</v>
      </c>
      <c r="E90" s="8" t="s">
        <v>302</v>
      </c>
      <c r="F90" s="9" t="s">
        <v>17</v>
      </c>
      <c r="G90" s="10">
        <v>1</v>
      </c>
      <c r="H90" s="11">
        <v>46042</v>
      </c>
      <c r="I90" s="12" t="s">
        <v>1516</v>
      </c>
      <c r="J90" s="13" t="s">
        <v>30</v>
      </c>
      <c r="K90" s="14" t="str">
        <f>HYPERLINK("http://mpro.prangroup.com:4000/CreativeWorks/Edit/22434","Open")</f>
        <v>Open</v>
      </c>
    </row>
    <row r="91" spans="1:11" ht="13.2">
      <c r="A91" s="4" t="s">
        <v>1517</v>
      </c>
      <c r="B91" s="5" t="s">
        <v>123</v>
      </c>
      <c r="C91" s="6" t="s">
        <v>746</v>
      </c>
      <c r="D91" s="7" t="s">
        <v>1518</v>
      </c>
      <c r="E91" s="8" t="s">
        <v>63</v>
      </c>
      <c r="F91" s="9" t="s">
        <v>17</v>
      </c>
      <c r="G91" s="10">
        <v>1</v>
      </c>
      <c r="H91" s="11">
        <v>46043</v>
      </c>
      <c r="I91" s="12" t="s">
        <v>1519</v>
      </c>
      <c r="J91" s="13" t="s">
        <v>30</v>
      </c>
      <c r="K91" s="14" t="str">
        <f>HYPERLINK("http://mpro.prangroup.com:4000/CreativeWorks/Edit/22513","Open")</f>
        <v>Open</v>
      </c>
    </row>
    <row r="92" spans="1:11" ht="13.2">
      <c r="A92" s="4" t="s">
        <v>1396</v>
      </c>
      <c r="B92" s="5" t="s">
        <v>916</v>
      </c>
      <c r="C92" s="6" t="s">
        <v>746</v>
      </c>
      <c r="D92" s="7" t="s">
        <v>1520</v>
      </c>
      <c r="E92" s="8" t="s">
        <v>63</v>
      </c>
      <c r="F92" s="9" t="s">
        <v>17</v>
      </c>
      <c r="G92" s="10">
        <v>1</v>
      </c>
      <c r="H92" s="11">
        <v>46046</v>
      </c>
      <c r="I92" s="12" t="s">
        <v>1521</v>
      </c>
      <c r="J92" s="13" t="s">
        <v>30</v>
      </c>
      <c r="K92" s="14" t="str">
        <f>HYPERLINK("http://mpro.prangroup.com:4000/CreativeWorks/Edit/22778","Open")</f>
        <v>Open</v>
      </c>
    </row>
    <row r="93" spans="1:11" ht="13.2">
      <c r="A93" s="4" t="s">
        <v>1396</v>
      </c>
      <c r="B93" s="5" t="s">
        <v>916</v>
      </c>
      <c r="C93" s="6" t="s">
        <v>746</v>
      </c>
      <c r="D93" s="7" t="s">
        <v>1522</v>
      </c>
      <c r="E93" s="8" t="s">
        <v>63</v>
      </c>
      <c r="F93" s="9" t="s">
        <v>17</v>
      </c>
      <c r="G93" s="10">
        <v>1</v>
      </c>
      <c r="H93" s="11">
        <v>46046</v>
      </c>
      <c r="I93" s="12" t="s">
        <v>1523</v>
      </c>
      <c r="J93" s="13" t="s">
        <v>30</v>
      </c>
      <c r="K93" s="14" t="str">
        <f>HYPERLINK("http://mpro.prangroup.com:4000/CreativeWorks/Edit/22777","Open")</f>
        <v>Open</v>
      </c>
    </row>
    <row r="94" spans="1:11" ht="13.2">
      <c r="A94" s="4" t="s">
        <v>1396</v>
      </c>
      <c r="B94" s="5" t="s">
        <v>916</v>
      </c>
      <c r="C94" s="6" t="s">
        <v>746</v>
      </c>
      <c r="D94" s="7" t="s">
        <v>1524</v>
      </c>
      <c r="E94" s="8" t="s">
        <v>63</v>
      </c>
      <c r="F94" s="9" t="s">
        <v>17</v>
      </c>
      <c r="G94" s="10">
        <v>2</v>
      </c>
      <c r="H94" s="11">
        <v>46050</v>
      </c>
      <c r="I94" s="12" t="s">
        <v>1525</v>
      </c>
      <c r="J94" s="13" t="s">
        <v>30</v>
      </c>
      <c r="K94" s="14" t="str">
        <f>HYPERLINK("http://mpro.prangroup.com:4000/CreativeWorks/Edit/23219","Open")</f>
        <v>Open</v>
      </c>
    </row>
    <row r="95" spans="1:11" ht="13.2">
      <c r="A95" s="4" t="s">
        <v>1396</v>
      </c>
      <c r="B95" s="5" t="s">
        <v>916</v>
      </c>
      <c r="C95" s="6" t="s">
        <v>746</v>
      </c>
      <c r="D95" s="7" t="s">
        <v>1526</v>
      </c>
      <c r="E95" s="8" t="s">
        <v>63</v>
      </c>
      <c r="F95" s="9" t="s">
        <v>17</v>
      </c>
      <c r="G95" s="10">
        <v>1</v>
      </c>
      <c r="H95" s="11">
        <v>46050</v>
      </c>
      <c r="I95" s="12" t="s">
        <v>1527</v>
      </c>
      <c r="J95" s="13" t="s">
        <v>30</v>
      </c>
      <c r="K95" s="14" t="str">
        <f>HYPERLINK("http://mpro.prangroup.com:4000/CreativeWorks/Edit/23220","Open")</f>
        <v>Open</v>
      </c>
    </row>
    <row r="96" spans="1:11" ht="13.2">
      <c r="A96" s="4" t="s">
        <v>745</v>
      </c>
      <c r="B96" s="5" t="s">
        <v>41</v>
      </c>
      <c r="C96" s="6" t="s">
        <v>746</v>
      </c>
      <c r="D96" s="7" t="s">
        <v>1528</v>
      </c>
      <c r="E96" s="8" t="s">
        <v>63</v>
      </c>
      <c r="F96" s="9" t="s">
        <v>17</v>
      </c>
      <c r="G96" s="10">
        <v>1</v>
      </c>
      <c r="H96" s="11">
        <v>46050</v>
      </c>
      <c r="I96" s="12" t="s">
        <v>1529</v>
      </c>
      <c r="J96" s="13" t="s">
        <v>30</v>
      </c>
      <c r="K96" s="14" t="str">
        <f>HYPERLINK("http://mpro.prangroup.com:4000/CreativeWorks/Edit/23224","Open")</f>
        <v>Open</v>
      </c>
    </row>
    <row r="97" spans="1:11" ht="13.2">
      <c r="A97" s="4" t="s">
        <v>1399</v>
      </c>
      <c r="B97" s="5" t="s">
        <v>916</v>
      </c>
      <c r="C97" s="6" t="s">
        <v>746</v>
      </c>
      <c r="D97" s="7" t="s">
        <v>1530</v>
      </c>
      <c r="E97" s="8" t="s">
        <v>63</v>
      </c>
      <c r="F97" s="9" t="s">
        <v>17</v>
      </c>
      <c r="G97" s="10">
        <v>1</v>
      </c>
      <c r="H97" s="11">
        <v>46050</v>
      </c>
      <c r="I97" s="12" t="s">
        <v>1531</v>
      </c>
      <c r="J97" s="13" t="s">
        <v>30</v>
      </c>
      <c r="K97" s="14" t="str">
        <f>HYPERLINK("http://mpro.prangroup.com:4000/CreativeWorks/Edit/23218","Open")</f>
        <v>Open</v>
      </c>
    </row>
    <row r="98" spans="1:11" ht="13.2">
      <c r="A98" s="4" t="s">
        <v>745</v>
      </c>
      <c r="B98" s="5" t="s">
        <v>41</v>
      </c>
      <c r="C98" s="6" t="s">
        <v>746</v>
      </c>
      <c r="D98" s="7" t="s">
        <v>1532</v>
      </c>
      <c r="E98" s="8" t="s">
        <v>63</v>
      </c>
      <c r="F98" s="9" t="s">
        <v>17</v>
      </c>
      <c r="G98" s="10">
        <v>1</v>
      </c>
      <c r="H98" s="11">
        <v>46050</v>
      </c>
      <c r="I98" s="12" t="s">
        <v>1533</v>
      </c>
      <c r="J98" s="13" t="s">
        <v>30</v>
      </c>
      <c r="K98" s="14" t="str">
        <f>HYPERLINK("http://mpro.prangroup.com:4000/CreativeWorks/Edit/23222","Open")</f>
        <v>Open</v>
      </c>
    </row>
    <row r="99" spans="1:11" ht="13.2">
      <c r="A99" s="4" t="s">
        <v>745</v>
      </c>
      <c r="B99" s="5" t="s">
        <v>41</v>
      </c>
      <c r="C99" s="6" t="s">
        <v>746</v>
      </c>
      <c r="D99" s="7" t="s">
        <v>1534</v>
      </c>
      <c r="E99" s="8" t="s">
        <v>63</v>
      </c>
      <c r="F99" s="9" t="s">
        <v>17</v>
      </c>
      <c r="G99" s="10">
        <v>1</v>
      </c>
      <c r="H99" s="11">
        <v>46050</v>
      </c>
      <c r="I99" s="12" t="s">
        <v>1535</v>
      </c>
      <c r="J99" s="13" t="s">
        <v>30</v>
      </c>
      <c r="K99" s="14" t="str">
        <f>HYPERLINK("http://mpro.prangroup.com:4000/CreativeWorks/Edit/23223","Open")</f>
        <v>Open</v>
      </c>
    </row>
    <row r="100" spans="1:11" ht="13.2">
      <c r="A100" s="4" t="s">
        <v>1536</v>
      </c>
      <c r="B100" s="5" t="s">
        <v>185</v>
      </c>
      <c r="C100" s="6" t="s">
        <v>186</v>
      </c>
      <c r="D100" s="7" t="s">
        <v>1537</v>
      </c>
      <c r="E100" s="8" t="s">
        <v>302</v>
      </c>
      <c r="F100" s="9" t="s">
        <v>17</v>
      </c>
      <c r="G100" s="10">
        <v>6</v>
      </c>
      <c r="H100" s="11">
        <v>46050</v>
      </c>
      <c r="I100" s="12" t="s">
        <v>1538</v>
      </c>
      <c r="J100" s="13" t="s">
        <v>30</v>
      </c>
      <c r="K100" s="14" t="str">
        <f>HYPERLINK("http://mpro.prangroup.com:4000/CreativeWorks/Edit/23199","Open")</f>
        <v>Open</v>
      </c>
    </row>
    <row r="101" spans="1:11" ht="13.2">
      <c r="A101" s="4" t="s">
        <v>1539</v>
      </c>
      <c r="B101" s="5" t="s">
        <v>60</v>
      </c>
      <c r="C101" s="6" t="s">
        <v>61</v>
      </c>
      <c r="D101" s="7" t="s">
        <v>1540</v>
      </c>
      <c r="E101" s="8" t="s">
        <v>242</v>
      </c>
      <c r="F101" s="9" t="s">
        <v>17</v>
      </c>
      <c r="G101" s="10">
        <v>2</v>
      </c>
      <c r="H101" s="11">
        <v>46054</v>
      </c>
      <c r="I101" s="12" t="s">
        <v>1541</v>
      </c>
      <c r="J101" s="13" t="s">
        <v>30</v>
      </c>
      <c r="K101" s="14" t="str">
        <f>HYPERLINK("http://mpro.prangroup.com:4000/CreativeWorks/Edit/23878","Open")</f>
        <v>Open</v>
      </c>
    </row>
    <row r="102" spans="1:11" ht="13.2">
      <c r="A102" s="4" t="s">
        <v>240</v>
      </c>
      <c r="B102" s="5" t="s">
        <v>60</v>
      </c>
      <c r="C102" s="6" t="s">
        <v>461</v>
      </c>
      <c r="D102" s="7" t="s">
        <v>1542</v>
      </c>
      <c r="E102" s="8" t="s">
        <v>242</v>
      </c>
      <c r="F102" s="9" t="s">
        <v>17</v>
      </c>
      <c r="G102" s="10">
        <v>1</v>
      </c>
      <c r="H102" s="11">
        <v>46054</v>
      </c>
      <c r="I102" s="12" t="s">
        <v>1543</v>
      </c>
      <c r="J102" s="13" t="s">
        <v>30</v>
      </c>
      <c r="K102" s="14" t="str">
        <f>HYPERLINK("http://mpro.prangroup.com:4000/CreativeWorks/Edit/23907","Open")</f>
        <v>Open</v>
      </c>
    </row>
    <row r="103" spans="1:11" ht="13.2">
      <c r="A103" s="4" t="s">
        <v>1399</v>
      </c>
      <c r="B103" s="5" t="s">
        <v>916</v>
      </c>
      <c r="C103" s="6" t="s">
        <v>746</v>
      </c>
      <c r="D103" s="7" t="s">
        <v>1544</v>
      </c>
      <c r="E103" s="8" t="s">
        <v>63</v>
      </c>
      <c r="F103" s="9" t="s">
        <v>17</v>
      </c>
      <c r="G103" s="10">
        <v>1</v>
      </c>
      <c r="H103" s="11">
        <v>46054</v>
      </c>
      <c r="I103" s="12" t="s">
        <v>1545</v>
      </c>
      <c r="J103" s="13" t="s">
        <v>30</v>
      </c>
      <c r="K103" s="14" t="str">
        <f>HYPERLINK("http://mpro.prangroup.com:4000/CreativeWorks/Edit/23881","Open")</f>
        <v>Open</v>
      </c>
    </row>
    <row r="104" spans="1:11" ht="13.2">
      <c r="A104" s="4" t="s">
        <v>1399</v>
      </c>
      <c r="B104" s="5" t="s">
        <v>916</v>
      </c>
      <c r="C104" s="6" t="s">
        <v>746</v>
      </c>
      <c r="D104" s="7" t="s">
        <v>1546</v>
      </c>
      <c r="E104" s="8" t="s">
        <v>63</v>
      </c>
      <c r="F104" s="9" t="s">
        <v>17</v>
      </c>
      <c r="G104" s="10">
        <v>1</v>
      </c>
      <c r="H104" s="11">
        <v>46054</v>
      </c>
      <c r="I104" s="12" t="s">
        <v>1547</v>
      </c>
      <c r="J104" s="13" t="s">
        <v>30</v>
      </c>
      <c r="K104" s="14" t="str">
        <f>HYPERLINK("http://mpro.prangroup.com:4000/CreativeWorks/Edit/23882","Open")</f>
        <v>Open</v>
      </c>
    </row>
    <row r="105" spans="1:11" ht="13.2">
      <c r="A105" s="4" t="s">
        <v>745</v>
      </c>
      <c r="B105" s="5" t="s">
        <v>41</v>
      </c>
      <c r="C105" s="6" t="s">
        <v>746</v>
      </c>
      <c r="D105" s="7" t="s">
        <v>1548</v>
      </c>
      <c r="E105" s="8" t="s">
        <v>63</v>
      </c>
      <c r="F105" s="9" t="s">
        <v>17</v>
      </c>
      <c r="G105" s="10">
        <v>1</v>
      </c>
      <c r="H105" s="11">
        <v>46054</v>
      </c>
      <c r="I105" s="12" t="s">
        <v>1549</v>
      </c>
      <c r="J105" s="13" t="s">
        <v>30</v>
      </c>
      <c r="K105" s="14" t="str">
        <f>HYPERLINK("http://mpro.prangroup.com:4000/CreativeWorks/Edit/23884","Open")</f>
        <v>Open</v>
      </c>
    </row>
    <row r="106" spans="1:11" ht="13.2">
      <c r="A106" s="4" t="s">
        <v>1138</v>
      </c>
      <c r="B106" s="5" t="s">
        <v>41</v>
      </c>
      <c r="C106" s="6" t="s">
        <v>245</v>
      </c>
      <c r="D106" s="7" t="s">
        <v>1550</v>
      </c>
      <c r="E106" s="8" t="s">
        <v>242</v>
      </c>
      <c r="F106" s="9" t="s">
        <v>17</v>
      </c>
      <c r="G106" s="10">
        <v>1</v>
      </c>
      <c r="H106" s="11">
        <v>46054</v>
      </c>
      <c r="I106" s="12" t="s">
        <v>1551</v>
      </c>
      <c r="J106" s="13" t="s">
        <v>30</v>
      </c>
      <c r="K106" s="14" t="str">
        <f>HYPERLINK("http://mpro.prangroup.com:4000/CreativeWorks/Edit/23921","Open")</f>
        <v>Open</v>
      </c>
    </row>
    <row r="107" spans="1:11" ht="13.2">
      <c r="A107" s="4" t="s">
        <v>1138</v>
      </c>
      <c r="B107" s="5" t="s">
        <v>41</v>
      </c>
      <c r="C107" s="6" t="s">
        <v>1421</v>
      </c>
      <c r="D107" s="7" t="s">
        <v>1552</v>
      </c>
      <c r="E107" s="8" t="s">
        <v>748</v>
      </c>
      <c r="F107" s="9" t="s">
        <v>17</v>
      </c>
      <c r="G107" s="10">
        <v>2</v>
      </c>
      <c r="H107" s="11">
        <v>46054</v>
      </c>
      <c r="I107" s="12" t="s">
        <v>1553</v>
      </c>
      <c r="J107" s="13" t="s">
        <v>30</v>
      </c>
      <c r="K107" s="14" t="str">
        <f>HYPERLINK("http://mpro.prangroup.com:4000/CreativeWorks/Edit/23925","Open")</f>
        <v>Open</v>
      </c>
    </row>
    <row r="108" spans="1:11" ht="13.2">
      <c r="A108" s="4" t="s">
        <v>1554</v>
      </c>
      <c r="B108" s="5" t="s">
        <v>282</v>
      </c>
      <c r="C108" s="6" t="s">
        <v>1421</v>
      </c>
      <c r="D108" s="7" t="s">
        <v>1555</v>
      </c>
      <c r="E108" s="8" t="s">
        <v>63</v>
      </c>
      <c r="F108" s="9" t="s">
        <v>17</v>
      </c>
      <c r="G108" s="10">
        <v>1</v>
      </c>
      <c r="H108" s="11">
        <v>46054</v>
      </c>
      <c r="I108" s="12" t="s">
        <v>1556</v>
      </c>
      <c r="J108" s="13" t="s">
        <v>30</v>
      </c>
      <c r="K108" s="14" t="str">
        <f>HYPERLINK("http://mpro.prangroup.com:4000/CreativeWorks/Edit/23886","Open")</f>
        <v>Open</v>
      </c>
    </row>
    <row r="109" spans="1:11" ht="13.2">
      <c r="A109" s="4" t="s">
        <v>1557</v>
      </c>
      <c r="B109" s="5" t="s">
        <v>60</v>
      </c>
      <c r="C109" s="6" t="s">
        <v>275</v>
      </c>
      <c r="D109" s="7" t="s">
        <v>1558</v>
      </c>
      <c r="E109" s="8" t="s">
        <v>63</v>
      </c>
      <c r="F109" s="9" t="s">
        <v>17</v>
      </c>
      <c r="G109" s="10">
        <v>2</v>
      </c>
      <c r="H109" s="11">
        <v>46054</v>
      </c>
      <c r="I109" s="12" t="s">
        <v>1559</v>
      </c>
      <c r="J109" s="13" t="s">
        <v>30</v>
      </c>
      <c r="K109" s="14" t="str">
        <f>HYPERLINK("http://mpro.prangroup.com:4000/CreativeWorks/Edit/23873","Open")</f>
        <v>Open</v>
      </c>
    </row>
    <row r="110" spans="1:11" ht="13.2">
      <c r="A110" s="4" t="s">
        <v>403</v>
      </c>
      <c r="B110" s="5" t="s">
        <v>60</v>
      </c>
      <c r="C110" s="6" t="s">
        <v>78</v>
      </c>
      <c r="D110" s="7" t="s">
        <v>1560</v>
      </c>
      <c r="E110" s="8" t="s">
        <v>242</v>
      </c>
      <c r="F110" s="9" t="s">
        <v>17</v>
      </c>
      <c r="G110" s="10">
        <v>4</v>
      </c>
      <c r="H110" s="11">
        <v>46054</v>
      </c>
      <c r="I110" s="12" t="s">
        <v>1561</v>
      </c>
      <c r="J110" s="13" t="s">
        <v>30</v>
      </c>
      <c r="K110" s="14" t="str">
        <f>HYPERLINK("http://mpro.prangroup.com:4000/CreativeWorks/Edit/23879","Open")</f>
        <v>Open</v>
      </c>
    </row>
    <row r="111" spans="1:11" ht="13.2">
      <c r="A111" s="4" t="s">
        <v>1562</v>
      </c>
      <c r="B111" s="5" t="s">
        <v>916</v>
      </c>
      <c r="C111" s="6" t="s">
        <v>746</v>
      </c>
      <c r="D111" s="7" t="s">
        <v>1563</v>
      </c>
      <c r="E111" s="8" t="s">
        <v>63</v>
      </c>
      <c r="F111" s="9" t="s">
        <v>17</v>
      </c>
      <c r="G111" s="10">
        <v>1</v>
      </c>
      <c r="H111" s="11">
        <v>46055</v>
      </c>
      <c r="I111" s="12" t="s">
        <v>1564</v>
      </c>
      <c r="J111" s="13" t="s">
        <v>30</v>
      </c>
      <c r="K111" s="14" t="str">
        <f>HYPERLINK("http://mpro.prangroup.com:4000/CreativeWorks/Edit/23999","Open")</f>
        <v>Open</v>
      </c>
    </row>
    <row r="112" spans="1:11" ht="13.2">
      <c r="A112" s="4" t="s">
        <v>1399</v>
      </c>
      <c r="B112" s="5" t="s">
        <v>916</v>
      </c>
      <c r="C112" s="6" t="s">
        <v>746</v>
      </c>
      <c r="D112" s="7" t="s">
        <v>1565</v>
      </c>
      <c r="E112" s="8" t="s">
        <v>63</v>
      </c>
      <c r="F112" s="9" t="s">
        <v>17</v>
      </c>
      <c r="G112" s="10">
        <v>1</v>
      </c>
      <c r="H112" s="11">
        <v>46058</v>
      </c>
      <c r="I112" s="12" t="s">
        <v>1566</v>
      </c>
      <c r="J112" s="13" t="s">
        <v>30</v>
      </c>
      <c r="K112" s="14" t="str">
        <f>HYPERLINK("http://mpro.prangroup.com:4000/CreativeWorks/Edit/24215","Open")</f>
        <v>Open</v>
      </c>
    </row>
    <row r="113" spans="1:11" ht="13.2">
      <c r="A113" s="4" t="s">
        <v>342</v>
      </c>
      <c r="B113" s="5" t="s">
        <v>32</v>
      </c>
      <c r="C113" s="6" t="s">
        <v>186</v>
      </c>
      <c r="D113" s="7" t="s">
        <v>343</v>
      </c>
      <c r="E113" s="8" t="s">
        <v>302</v>
      </c>
      <c r="F113" s="9" t="s">
        <v>17</v>
      </c>
      <c r="G113" s="10">
        <v>8</v>
      </c>
      <c r="H113" s="11">
        <v>46060</v>
      </c>
      <c r="I113" s="12" t="s">
        <v>1567</v>
      </c>
      <c r="J113" s="13" t="s">
        <v>30</v>
      </c>
      <c r="K113" s="14" t="str">
        <f>HYPERLINK("http://mpro.prangroup.com:4000/CreativeWorks/Edit/24379","Open")</f>
        <v>Open</v>
      </c>
    </row>
    <row r="114" spans="1:11" ht="13.2">
      <c r="A114" s="4" t="s">
        <v>385</v>
      </c>
      <c r="B114" s="5" t="s">
        <v>60</v>
      </c>
      <c r="C114" s="6" t="s">
        <v>275</v>
      </c>
      <c r="D114" s="7" t="s">
        <v>386</v>
      </c>
      <c r="E114" s="8" t="s">
        <v>63</v>
      </c>
      <c r="F114" s="9" t="s">
        <v>17</v>
      </c>
      <c r="G114" s="10">
        <v>4</v>
      </c>
      <c r="H114" s="11">
        <v>46067</v>
      </c>
      <c r="I114" s="12" t="s">
        <v>1568</v>
      </c>
      <c r="J114" s="13" t="s">
        <v>30</v>
      </c>
      <c r="K114" s="14" t="str">
        <f>HYPERLINK("http://mpro.prangroup.com:4000/CreativeWorks/Edit/24803","Open")</f>
        <v>Open</v>
      </c>
    </row>
    <row r="115" spans="1:11" ht="13.2">
      <c r="A115" s="4" t="s">
        <v>395</v>
      </c>
      <c r="B115" s="5" t="s">
        <v>185</v>
      </c>
      <c r="C115" s="6" t="s">
        <v>166</v>
      </c>
      <c r="D115" s="7" t="s">
        <v>1569</v>
      </c>
      <c r="E115" s="8" t="s">
        <v>505</v>
      </c>
      <c r="F115" s="9" t="s">
        <v>17</v>
      </c>
      <c r="G115" s="10">
        <v>1</v>
      </c>
      <c r="H115" s="11">
        <v>46067</v>
      </c>
      <c r="I115" s="12" t="s">
        <v>1570</v>
      </c>
      <c r="J115" s="13" t="s">
        <v>30</v>
      </c>
      <c r="K115" s="14" t="str">
        <f>HYPERLINK("http://mpro.prangroup.com:4000/CreativeWorks/Edit/24805","Open")</f>
        <v>Open</v>
      </c>
    </row>
    <row r="116" spans="1:11" ht="13.2">
      <c r="A116" s="4" t="s">
        <v>891</v>
      </c>
      <c r="B116" s="5" t="s">
        <v>144</v>
      </c>
      <c r="C116" s="6" t="s">
        <v>166</v>
      </c>
      <c r="D116" s="7" t="s">
        <v>1503</v>
      </c>
      <c r="E116" s="8" t="s">
        <v>505</v>
      </c>
      <c r="F116" s="9" t="s">
        <v>17</v>
      </c>
      <c r="G116" s="10">
        <v>1</v>
      </c>
      <c r="H116" s="11">
        <v>46067</v>
      </c>
      <c r="I116" s="12" t="s">
        <v>1571</v>
      </c>
      <c r="J116" s="13" t="s">
        <v>30</v>
      </c>
      <c r="K116" s="14" t="str">
        <f t="shared" ref="K116:K117" si="6">HYPERLINK("http://mpro.prangroup.com:4000/CreativeWorks/Edit/24804","Open")</f>
        <v>Open</v>
      </c>
    </row>
    <row r="117" spans="1:11" ht="13.2">
      <c r="A117" s="4" t="s">
        <v>891</v>
      </c>
      <c r="B117" s="5" t="s">
        <v>144</v>
      </c>
      <c r="C117" s="6" t="s">
        <v>166</v>
      </c>
      <c r="D117" s="7" t="s">
        <v>1503</v>
      </c>
      <c r="E117" s="8" t="s">
        <v>63</v>
      </c>
      <c r="F117" s="9" t="s">
        <v>17</v>
      </c>
      <c r="G117" s="10">
        <v>1</v>
      </c>
      <c r="H117" s="11">
        <v>46067</v>
      </c>
      <c r="I117" s="12" t="s">
        <v>1571</v>
      </c>
      <c r="J117" s="13" t="s">
        <v>30</v>
      </c>
      <c r="K117" s="14" t="str">
        <f t="shared" si="6"/>
        <v>Open</v>
      </c>
    </row>
    <row r="118" spans="1:11" ht="13.2">
      <c r="A118" s="4" t="s">
        <v>395</v>
      </c>
      <c r="B118" s="5" t="s">
        <v>185</v>
      </c>
      <c r="C118" s="6" t="s">
        <v>166</v>
      </c>
      <c r="D118" s="7" t="s">
        <v>1569</v>
      </c>
      <c r="E118" s="8" t="s">
        <v>302</v>
      </c>
      <c r="F118" s="9" t="s">
        <v>17</v>
      </c>
      <c r="G118" s="10">
        <v>1</v>
      </c>
      <c r="H118" s="11">
        <v>46067</v>
      </c>
      <c r="I118" s="12" t="s">
        <v>1570</v>
      </c>
      <c r="J118" s="13" t="s">
        <v>30</v>
      </c>
      <c r="K118" s="14" t="str">
        <f>HYPERLINK("http://mpro.prangroup.com:4000/CreativeWorks/Edit/24805","Open")</f>
        <v>Open</v>
      </c>
    </row>
    <row r="119" spans="1:11" ht="13.2">
      <c r="A119" s="4" t="s">
        <v>403</v>
      </c>
      <c r="B119" s="5" t="s">
        <v>60</v>
      </c>
      <c r="C119" s="6" t="s">
        <v>186</v>
      </c>
      <c r="D119" s="7" t="s">
        <v>404</v>
      </c>
      <c r="E119" s="8" t="s">
        <v>63</v>
      </c>
      <c r="F119" s="9" t="s">
        <v>17</v>
      </c>
      <c r="G119" s="10">
        <v>1</v>
      </c>
      <c r="H119" s="11">
        <v>46067</v>
      </c>
      <c r="I119" s="12" t="s">
        <v>1572</v>
      </c>
      <c r="J119" s="13" t="s">
        <v>30</v>
      </c>
      <c r="K119" s="14" t="str">
        <f>HYPERLINK("http://mpro.prangroup.com:4000/CreativeWorks/Edit/24806","Open")</f>
        <v>Open</v>
      </c>
    </row>
    <row r="120" spans="1:11" ht="13.2">
      <c r="A120" s="4" t="s">
        <v>1573</v>
      </c>
      <c r="B120" s="5" t="s">
        <v>60</v>
      </c>
      <c r="C120" s="6" t="s">
        <v>232</v>
      </c>
      <c r="D120" s="7" t="s">
        <v>1574</v>
      </c>
      <c r="E120" s="8" t="s">
        <v>1077</v>
      </c>
      <c r="F120" s="9" t="s">
        <v>17</v>
      </c>
      <c r="G120" s="10">
        <v>2</v>
      </c>
      <c r="H120" s="11">
        <v>46070</v>
      </c>
      <c r="I120" s="12" t="s">
        <v>1575</v>
      </c>
      <c r="J120" s="13" t="s">
        <v>30</v>
      </c>
      <c r="K120" s="14" t="str">
        <f t="shared" ref="K120:K121" si="7">HYPERLINK("http://mpro.prangroup.com:4000/CreativeWorks/Edit/25072","Open")</f>
        <v>Open</v>
      </c>
    </row>
    <row r="121" spans="1:11" ht="13.2">
      <c r="A121" s="4" t="s">
        <v>1573</v>
      </c>
      <c r="B121" s="5" t="s">
        <v>60</v>
      </c>
      <c r="C121" s="6" t="s">
        <v>232</v>
      </c>
      <c r="D121" s="7" t="s">
        <v>1574</v>
      </c>
      <c r="E121" s="8" t="s">
        <v>302</v>
      </c>
      <c r="F121" s="9" t="s">
        <v>17</v>
      </c>
      <c r="G121" s="10">
        <v>4</v>
      </c>
      <c r="H121" s="11">
        <v>46070</v>
      </c>
      <c r="I121" s="12" t="s">
        <v>1575</v>
      </c>
      <c r="J121" s="13" t="s">
        <v>30</v>
      </c>
      <c r="K121" s="14" t="str">
        <f t="shared" si="7"/>
        <v>Open</v>
      </c>
    </row>
    <row r="122" spans="1:11" ht="13.2">
      <c r="A122" s="4" t="s">
        <v>408</v>
      </c>
      <c r="B122" s="5" t="s">
        <v>54</v>
      </c>
      <c r="C122" s="6" t="s">
        <v>166</v>
      </c>
      <c r="D122" s="7" t="s">
        <v>992</v>
      </c>
      <c r="E122" s="8" t="s">
        <v>302</v>
      </c>
      <c r="F122" s="9" t="s">
        <v>17</v>
      </c>
      <c r="G122" s="10">
        <v>10</v>
      </c>
      <c r="H122" s="11">
        <v>46072</v>
      </c>
      <c r="I122" s="12" t="s">
        <v>1576</v>
      </c>
      <c r="J122" s="13" t="s">
        <v>30</v>
      </c>
      <c r="K122" s="14" t="str">
        <f>HYPERLINK("http://mpro.prangroup.com:4000/CreativeWorks/Edit/25305","Open")</f>
        <v>Open</v>
      </c>
    </row>
    <row r="123" spans="1:11" ht="13.2">
      <c r="A123" s="4" t="s">
        <v>1399</v>
      </c>
      <c r="B123" s="5" t="s">
        <v>916</v>
      </c>
      <c r="C123" s="6" t="s">
        <v>746</v>
      </c>
      <c r="D123" s="7" t="s">
        <v>1577</v>
      </c>
      <c r="E123" s="8" t="s">
        <v>748</v>
      </c>
      <c r="F123" s="9" t="s">
        <v>17</v>
      </c>
      <c r="G123" s="10">
        <v>1</v>
      </c>
      <c r="H123" s="11">
        <v>46076</v>
      </c>
      <c r="I123" s="12" t="s">
        <v>1578</v>
      </c>
      <c r="J123" s="13" t="s">
        <v>30</v>
      </c>
      <c r="K123" s="14" t="str">
        <f>HYPERLINK("http://mpro.prangroup.com:4000/CreativeWorks/Edit/25475","Open")</f>
        <v>Open</v>
      </c>
    </row>
    <row r="124" spans="1:11" ht="13.2">
      <c r="A124" s="4" t="s">
        <v>745</v>
      </c>
      <c r="B124" s="5" t="s">
        <v>41</v>
      </c>
      <c r="C124" s="6" t="s">
        <v>746</v>
      </c>
      <c r="D124" s="7" t="s">
        <v>1579</v>
      </c>
      <c r="E124" s="8" t="s">
        <v>748</v>
      </c>
      <c r="F124" s="9" t="s">
        <v>17</v>
      </c>
      <c r="G124" s="10">
        <v>1</v>
      </c>
      <c r="H124" s="11">
        <v>46076</v>
      </c>
      <c r="I124" s="12" t="s">
        <v>1580</v>
      </c>
      <c r="J124" s="13" t="s">
        <v>30</v>
      </c>
      <c r="K124" s="14" t="str">
        <f>HYPERLINK("http://mpro.prangroup.com:4000/CreativeWorks/Edit/25503","Open")</f>
        <v>Open</v>
      </c>
    </row>
    <row r="125" spans="1:11" ht="13.2">
      <c r="A125" s="4" t="s">
        <v>1399</v>
      </c>
      <c r="B125" s="5" t="s">
        <v>916</v>
      </c>
      <c r="C125" s="6" t="s">
        <v>746</v>
      </c>
      <c r="D125" s="7" t="s">
        <v>1581</v>
      </c>
      <c r="E125" s="8" t="s">
        <v>748</v>
      </c>
      <c r="F125" s="9" t="s">
        <v>17</v>
      </c>
      <c r="G125" s="10">
        <v>2</v>
      </c>
      <c r="H125" s="11">
        <v>46076</v>
      </c>
      <c r="I125" s="12" t="s">
        <v>1582</v>
      </c>
      <c r="J125" s="13" t="s">
        <v>30</v>
      </c>
      <c r="K125" s="14" t="str">
        <f t="shared" ref="K125:K126" si="8">HYPERLINK("http://mpro.prangroup.com:4000/CreativeWorks/Edit/25502","Open")</f>
        <v>Open</v>
      </c>
    </row>
    <row r="126" spans="1:11" ht="13.2">
      <c r="A126" s="4" t="s">
        <v>1399</v>
      </c>
      <c r="B126" s="5" t="s">
        <v>916</v>
      </c>
      <c r="C126" s="6" t="s">
        <v>746</v>
      </c>
      <c r="D126" s="7" t="s">
        <v>1581</v>
      </c>
      <c r="E126" s="8" t="s">
        <v>63</v>
      </c>
      <c r="F126" s="9" t="s">
        <v>17</v>
      </c>
      <c r="G126" s="10">
        <v>2</v>
      </c>
      <c r="H126" s="11">
        <v>46076</v>
      </c>
      <c r="I126" s="12" t="s">
        <v>1582</v>
      </c>
      <c r="J126" s="13" t="s">
        <v>30</v>
      </c>
      <c r="K126" s="14" t="str">
        <f t="shared" si="8"/>
        <v>Open</v>
      </c>
    </row>
    <row r="127" spans="1:11" ht="13.2">
      <c r="A127" s="4" t="s">
        <v>1399</v>
      </c>
      <c r="B127" s="5" t="s">
        <v>916</v>
      </c>
      <c r="C127" s="6" t="s">
        <v>746</v>
      </c>
      <c r="D127" s="7" t="s">
        <v>1577</v>
      </c>
      <c r="E127" s="8" t="s">
        <v>63</v>
      </c>
      <c r="F127" s="9" t="s">
        <v>17</v>
      </c>
      <c r="G127" s="10">
        <v>1</v>
      </c>
      <c r="H127" s="11">
        <v>46076</v>
      </c>
      <c r="I127" s="12" t="s">
        <v>1578</v>
      </c>
      <c r="J127" s="13" t="s">
        <v>30</v>
      </c>
      <c r="K127" s="14" t="str">
        <f>HYPERLINK("http://mpro.prangroup.com:4000/CreativeWorks/Edit/25475","Open")</f>
        <v>Open</v>
      </c>
    </row>
    <row r="128" spans="1:11" ht="13.2">
      <c r="A128" s="4" t="s">
        <v>1396</v>
      </c>
      <c r="B128" s="5" t="s">
        <v>916</v>
      </c>
      <c r="C128" s="6" t="s">
        <v>746</v>
      </c>
      <c r="D128" s="7" t="s">
        <v>1583</v>
      </c>
      <c r="E128" s="8" t="s">
        <v>63</v>
      </c>
      <c r="F128" s="9" t="s">
        <v>17</v>
      </c>
      <c r="G128" s="10">
        <v>1</v>
      </c>
      <c r="H128" s="11">
        <v>46076</v>
      </c>
      <c r="I128" s="12" t="s">
        <v>1584</v>
      </c>
      <c r="J128" s="13" t="s">
        <v>30</v>
      </c>
      <c r="K128" s="14" t="str">
        <f>HYPERLINK("http://mpro.prangroup.com:4000/CreativeWorks/Edit/25504","Open")</f>
        <v>Open</v>
      </c>
    </row>
    <row r="129" spans="1:11" ht="13.2">
      <c r="A129" s="4" t="s">
        <v>278</v>
      </c>
      <c r="B129" s="5" t="s">
        <v>101</v>
      </c>
      <c r="C129" s="6" t="s">
        <v>186</v>
      </c>
      <c r="D129" s="7" t="s">
        <v>1585</v>
      </c>
      <c r="E129" s="8" t="s">
        <v>63</v>
      </c>
      <c r="F129" s="9" t="s">
        <v>17</v>
      </c>
      <c r="G129" s="10">
        <v>2</v>
      </c>
      <c r="H129" s="11">
        <v>46076</v>
      </c>
      <c r="I129" s="12" t="s">
        <v>1586</v>
      </c>
      <c r="J129" s="13" t="s">
        <v>30</v>
      </c>
      <c r="K129" s="14" t="str">
        <f>HYPERLINK("http://mpro.prangroup.com:4000/CreativeWorks/Edit/25524","Open")</f>
        <v>Open</v>
      </c>
    </row>
    <row r="130" spans="1:11" ht="13.2">
      <c r="A130" s="4" t="s">
        <v>1587</v>
      </c>
      <c r="B130" s="5" t="s">
        <v>916</v>
      </c>
      <c r="C130" s="6" t="s">
        <v>746</v>
      </c>
      <c r="D130" s="7" t="s">
        <v>1588</v>
      </c>
      <c r="E130" s="8" t="s">
        <v>748</v>
      </c>
      <c r="F130" s="9" t="s">
        <v>17</v>
      </c>
      <c r="G130" s="10">
        <v>3</v>
      </c>
      <c r="H130" s="11">
        <v>46077</v>
      </c>
      <c r="I130" s="12" t="s">
        <v>1589</v>
      </c>
      <c r="J130" s="13" t="s">
        <v>30</v>
      </c>
      <c r="K130" s="14" t="str">
        <f>HYPERLINK("http://mpro.prangroup.com:4000/CreativeWorks/Edit/25558","Open")</f>
        <v>Open</v>
      </c>
    </row>
    <row r="131" spans="1:11" ht="13.2">
      <c r="A131" s="4" t="s">
        <v>1399</v>
      </c>
      <c r="B131" s="5" t="s">
        <v>916</v>
      </c>
      <c r="C131" s="6" t="s">
        <v>746</v>
      </c>
      <c r="D131" s="7" t="s">
        <v>1590</v>
      </c>
      <c r="E131" s="8" t="s">
        <v>748</v>
      </c>
      <c r="F131" s="9" t="s">
        <v>17</v>
      </c>
      <c r="G131" s="10">
        <v>2</v>
      </c>
      <c r="H131" s="11">
        <v>46077</v>
      </c>
      <c r="I131" s="12" t="s">
        <v>1591</v>
      </c>
      <c r="J131" s="13" t="s">
        <v>30</v>
      </c>
      <c r="K131" s="14" t="str">
        <f>HYPERLINK("http://mpro.prangroup.com:4000/CreativeWorks/Edit/25611","Open")</f>
        <v>Open</v>
      </c>
    </row>
    <row r="132" spans="1:11" ht="13.2">
      <c r="A132" s="4" t="s">
        <v>1396</v>
      </c>
      <c r="B132" s="5" t="s">
        <v>916</v>
      </c>
      <c r="C132" s="6" t="s">
        <v>746</v>
      </c>
      <c r="D132" s="7" t="s">
        <v>1592</v>
      </c>
      <c r="E132" s="8" t="s">
        <v>748</v>
      </c>
      <c r="F132" s="9" t="s">
        <v>17</v>
      </c>
      <c r="G132" s="10">
        <v>1</v>
      </c>
      <c r="H132" s="11">
        <v>46077</v>
      </c>
      <c r="I132" s="12" t="s">
        <v>1593</v>
      </c>
      <c r="J132" s="13" t="s">
        <v>30</v>
      </c>
      <c r="K132" s="14" t="str">
        <f>HYPERLINK("http://mpro.prangroup.com:4000/CreativeWorks/Edit/25551","Open")</f>
        <v>Open</v>
      </c>
    </row>
    <row r="133" spans="1:11" ht="13.2">
      <c r="A133" s="4" t="s">
        <v>1465</v>
      </c>
      <c r="B133" s="5" t="s">
        <v>916</v>
      </c>
      <c r="C133" s="6" t="s">
        <v>746</v>
      </c>
      <c r="D133" s="7" t="s">
        <v>1594</v>
      </c>
      <c r="E133" s="8" t="s">
        <v>748</v>
      </c>
      <c r="F133" s="9" t="s">
        <v>17</v>
      </c>
      <c r="G133" s="10">
        <v>3</v>
      </c>
      <c r="H133" s="11">
        <v>46077</v>
      </c>
      <c r="I133" s="12" t="s">
        <v>1595</v>
      </c>
      <c r="J133" s="13" t="s">
        <v>30</v>
      </c>
      <c r="K133" s="14" t="str">
        <f>HYPERLINK("http://mpro.prangroup.com:4000/CreativeWorks/Edit/25552","Open")</f>
        <v>Open</v>
      </c>
    </row>
    <row r="134" spans="1:11" ht="13.2">
      <c r="A134" s="4" t="s">
        <v>1465</v>
      </c>
      <c r="B134" s="5" t="s">
        <v>916</v>
      </c>
      <c r="C134" s="6" t="s">
        <v>746</v>
      </c>
      <c r="D134" s="7" t="s">
        <v>1596</v>
      </c>
      <c r="E134" s="8" t="s">
        <v>748</v>
      </c>
      <c r="F134" s="9" t="s">
        <v>17</v>
      </c>
      <c r="G134" s="10">
        <v>1</v>
      </c>
      <c r="H134" s="11">
        <v>46077</v>
      </c>
      <c r="I134" s="12" t="s">
        <v>1597</v>
      </c>
      <c r="J134" s="13" t="s">
        <v>30</v>
      </c>
      <c r="K134" s="14" t="str">
        <f>HYPERLINK("http://mpro.prangroup.com:4000/CreativeWorks/Edit/25553","Open")</f>
        <v>Open</v>
      </c>
    </row>
    <row r="135" spans="1:11" ht="13.2">
      <c r="A135" s="4" t="s">
        <v>1587</v>
      </c>
      <c r="B135" s="5" t="s">
        <v>916</v>
      </c>
      <c r="C135" s="6" t="s">
        <v>746</v>
      </c>
      <c r="D135" s="7" t="s">
        <v>1598</v>
      </c>
      <c r="E135" s="8" t="s">
        <v>748</v>
      </c>
      <c r="F135" s="9" t="s">
        <v>17</v>
      </c>
      <c r="G135" s="10">
        <v>4</v>
      </c>
      <c r="H135" s="11">
        <v>46077</v>
      </c>
      <c r="I135" s="12" t="s">
        <v>1599</v>
      </c>
      <c r="J135" s="13" t="s">
        <v>30</v>
      </c>
      <c r="K135" s="14" t="str">
        <f>HYPERLINK("http://mpro.prangroup.com:4000/CreativeWorks/Edit/25554","Open")</f>
        <v>Open</v>
      </c>
    </row>
    <row r="136" spans="1:11" ht="13.2">
      <c r="A136" s="4" t="s">
        <v>1587</v>
      </c>
      <c r="B136" s="5" t="s">
        <v>916</v>
      </c>
      <c r="C136" s="6" t="s">
        <v>746</v>
      </c>
      <c r="D136" s="7" t="s">
        <v>1600</v>
      </c>
      <c r="E136" s="8" t="s">
        <v>748</v>
      </c>
      <c r="F136" s="9" t="s">
        <v>17</v>
      </c>
      <c r="G136" s="10">
        <v>1</v>
      </c>
      <c r="H136" s="11">
        <v>46077</v>
      </c>
      <c r="I136" s="12" t="s">
        <v>1601</v>
      </c>
      <c r="J136" s="13" t="s">
        <v>30</v>
      </c>
      <c r="K136" s="14" t="str">
        <f>HYPERLINK("http://mpro.prangroup.com:4000/CreativeWorks/Edit/25555","Open")</f>
        <v>Open</v>
      </c>
    </row>
    <row r="137" spans="1:11" ht="13.2">
      <c r="A137" s="4" t="s">
        <v>1465</v>
      </c>
      <c r="B137" s="5" t="s">
        <v>916</v>
      </c>
      <c r="C137" s="6" t="s">
        <v>746</v>
      </c>
      <c r="D137" s="7" t="s">
        <v>1602</v>
      </c>
      <c r="E137" s="8" t="s">
        <v>63</v>
      </c>
      <c r="F137" s="9" t="s">
        <v>17</v>
      </c>
      <c r="G137" s="10">
        <v>3</v>
      </c>
      <c r="H137" s="11">
        <v>46077</v>
      </c>
      <c r="I137" s="12" t="s">
        <v>1603</v>
      </c>
      <c r="J137" s="13" t="s">
        <v>30</v>
      </c>
      <c r="K137" s="14" t="str">
        <f>HYPERLINK("http://mpro.prangroup.com:4000/CreativeWorks/Edit/25556","Open")</f>
        <v>Open</v>
      </c>
    </row>
    <row r="138" spans="1:11" ht="13.2">
      <c r="A138" s="4" t="s">
        <v>1396</v>
      </c>
      <c r="B138" s="5" t="s">
        <v>916</v>
      </c>
      <c r="C138" s="6" t="s">
        <v>746</v>
      </c>
      <c r="D138" s="7" t="s">
        <v>1604</v>
      </c>
      <c r="E138" s="8" t="s">
        <v>63</v>
      </c>
      <c r="F138" s="9" t="s">
        <v>17</v>
      </c>
      <c r="G138" s="10">
        <v>1</v>
      </c>
      <c r="H138" s="11">
        <v>46077</v>
      </c>
      <c r="I138" s="12" t="s">
        <v>1605</v>
      </c>
      <c r="J138" s="13" t="s">
        <v>30</v>
      </c>
      <c r="K138" s="14" t="str">
        <f>HYPERLINK("http://mpro.prangroup.com:4000/CreativeWorks/Edit/25549","Open")</f>
        <v>Open</v>
      </c>
    </row>
    <row r="139" spans="1:11" ht="13.2">
      <c r="A139" s="4" t="s">
        <v>1465</v>
      </c>
      <c r="B139" s="5" t="s">
        <v>916</v>
      </c>
      <c r="C139" s="6" t="s">
        <v>746</v>
      </c>
      <c r="D139" s="7" t="s">
        <v>1606</v>
      </c>
      <c r="E139" s="8" t="s">
        <v>63</v>
      </c>
      <c r="F139" s="9" t="s">
        <v>17</v>
      </c>
      <c r="G139" s="10">
        <v>3</v>
      </c>
      <c r="H139" s="11">
        <v>46077</v>
      </c>
      <c r="I139" s="12" t="s">
        <v>1607</v>
      </c>
      <c r="J139" s="13" t="s">
        <v>30</v>
      </c>
      <c r="K139" s="14" t="str">
        <f>HYPERLINK("http://mpro.prangroup.com:4000/CreativeWorks/Edit/25557","Open")</f>
        <v>Open</v>
      </c>
    </row>
    <row r="140" spans="1:11" ht="13.2">
      <c r="A140" s="4" t="s">
        <v>1608</v>
      </c>
      <c r="B140" s="5" t="s">
        <v>144</v>
      </c>
      <c r="C140" s="6" t="s">
        <v>228</v>
      </c>
      <c r="D140" s="7" t="s">
        <v>1609</v>
      </c>
      <c r="E140" s="8" t="s">
        <v>302</v>
      </c>
      <c r="F140" s="9" t="s">
        <v>17</v>
      </c>
      <c r="G140" s="10">
        <v>4</v>
      </c>
      <c r="H140" s="11">
        <v>46077</v>
      </c>
      <c r="I140" s="12" t="s">
        <v>1610</v>
      </c>
      <c r="J140" s="13" t="s">
        <v>30</v>
      </c>
      <c r="K140" s="14" t="str">
        <f>HYPERLINK("http://mpro.prangroup.com:4000/CreativeWorks/Edit/25559","Open")</f>
        <v>Open</v>
      </c>
    </row>
    <row r="141" spans="1:11" ht="13.2">
      <c r="A141" s="4" t="s">
        <v>1396</v>
      </c>
      <c r="B141" s="5" t="s">
        <v>916</v>
      </c>
      <c r="C141" s="6" t="s">
        <v>1421</v>
      </c>
      <c r="D141" s="7" t="s">
        <v>1611</v>
      </c>
      <c r="E141" s="8" t="s">
        <v>748</v>
      </c>
      <c r="F141" s="9" t="s">
        <v>17</v>
      </c>
      <c r="G141" s="10">
        <v>1</v>
      </c>
      <c r="H141" s="11">
        <v>46077</v>
      </c>
      <c r="I141" s="12" t="s">
        <v>1612</v>
      </c>
      <c r="J141" s="13" t="s">
        <v>30</v>
      </c>
      <c r="K141" s="14" t="str">
        <f t="shared" ref="K141:K142" si="9">HYPERLINK("http://mpro.prangroup.com:4000/CreativeWorks/Edit/25548","Open")</f>
        <v>Open</v>
      </c>
    </row>
    <row r="142" spans="1:11" ht="13.2">
      <c r="A142" s="4" t="s">
        <v>1396</v>
      </c>
      <c r="B142" s="5" t="s">
        <v>916</v>
      </c>
      <c r="C142" s="6" t="s">
        <v>1421</v>
      </c>
      <c r="D142" s="7" t="s">
        <v>1611</v>
      </c>
      <c r="E142" s="8" t="s">
        <v>63</v>
      </c>
      <c r="F142" s="9" t="s">
        <v>17</v>
      </c>
      <c r="G142" s="10">
        <v>1</v>
      </c>
      <c r="H142" s="11">
        <v>46077</v>
      </c>
      <c r="I142" s="12" t="s">
        <v>1612</v>
      </c>
      <c r="J142" s="13" t="s">
        <v>30</v>
      </c>
      <c r="K142" s="14" t="str">
        <f t="shared" si="9"/>
        <v>Open</v>
      </c>
    </row>
    <row r="143" spans="1:11" ht="13.2">
      <c r="A143" s="4" t="s">
        <v>897</v>
      </c>
      <c r="B143" s="5" t="s">
        <v>32</v>
      </c>
      <c r="C143" s="6" t="s">
        <v>232</v>
      </c>
      <c r="D143" s="7" t="s">
        <v>1613</v>
      </c>
      <c r="E143" s="8" t="s">
        <v>302</v>
      </c>
      <c r="F143" s="9" t="s">
        <v>17</v>
      </c>
      <c r="G143" s="10">
        <v>1</v>
      </c>
      <c r="H143" s="11">
        <v>46078</v>
      </c>
      <c r="I143" s="12" t="s">
        <v>1614</v>
      </c>
      <c r="J143" s="13" t="s">
        <v>30</v>
      </c>
      <c r="K143" s="14" t="str">
        <f>HYPERLINK("http://mpro.prangroup.com:4000/CreativeWorks/Edit/25709","Open")</f>
        <v>Open</v>
      </c>
    </row>
    <row r="144" spans="1:11" ht="13.2">
      <c r="A144" s="4" t="s">
        <v>1399</v>
      </c>
      <c r="B144" s="5" t="s">
        <v>916</v>
      </c>
      <c r="C144" s="6" t="s">
        <v>1421</v>
      </c>
      <c r="D144" s="7" t="s">
        <v>1615</v>
      </c>
      <c r="E144" s="8" t="s">
        <v>748</v>
      </c>
      <c r="F144" s="9" t="s">
        <v>17</v>
      </c>
      <c r="G144" s="10">
        <v>2</v>
      </c>
      <c r="H144" s="11">
        <v>46079</v>
      </c>
      <c r="I144" s="12" t="s">
        <v>1616</v>
      </c>
      <c r="J144" s="13" t="s">
        <v>30</v>
      </c>
      <c r="K144" s="14" t="str">
        <f>HYPERLINK("http://mpro.prangroup.com:4000/CreativeWorks/Edit/25772","Open")</f>
        <v>Open</v>
      </c>
    </row>
    <row r="145" spans="1:11" ht="13.2">
      <c r="A145" s="4" t="s">
        <v>1587</v>
      </c>
      <c r="B145" s="5" t="s">
        <v>916</v>
      </c>
      <c r="C145" s="6" t="s">
        <v>746</v>
      </c>
      <c r="D145" s="7" t="s">
        <v>1617</v>
      </c>
      <c r="E145" s="8" t="s">
        <v>748</v>
      </c>
      <c r="F145" s="9" t="s">
        <v>17</v>
      </c>
      <c r="G145" s="10">
        <v>1</v>
      </c>
      <c r="H145" s="11">
        <v>46083</v>
      </c>
      <c r="I145" s="12" t="s">
        <v>1618</v>
      </c>
      <c r="J145" s="13" t="s">
        <v>30</v>
      </c>
      <c r="K145" s="14" t="str">
        <f>HYPERLINK("http://mpro.prangroup.com:4000/CreativeWorks/Edit/26440","Open")</f>
        <v>Open</v>
      </c>
    </row>
    <row r="146" spans="1:11" ht="13.2">
      <c r="A146" s="4" t="s">
        <v>1396</v>
      </c>
      <c r="B146" s="5" t="s">
        <v>916</v>
      </c>
      <c r="C146" s="6" t="s">
        <v>746</v>
      </c>
      <c r="D146" s="7" t="s">
        <v>1619</v>
      </c>
      <c r="E146" s="8" t="s">
        <v>63</v>
      </c>
      <c r="F146" s="9" t="s">
        <v>17</v>
      </c>
      <c r="G146" s="10">
        <v>1</v>
      </c>
      <c r="H146" s="11">
        <v>46083</v>
      </c>
      <c r="I146" s="12" t="s">
        <v>1620</v>
      </c>
      <c r="J146" s="13" t="s">
        <v>30</v>
      </c>
      <c r="K146" s="14" t="str">
        <f>HYPERLINK("http://mpro.prangroup.com:4000/CreativeWorks/Edit/26441","Open")</f>
        <v>Open</v>
      </c>
    </row>
    <row r="147" spans="1:11" ht="13.2">
      <c r="A147" s="4" t="s">
        <v>1399</v>
      </c>
      <c r="B147" s="5" t="s">
        <v>916</v>
      </c>
      <c r="C147" s="6" t="s">
        <v>746</v>
      </c>
      <c r="D147" s="7" t="s">
        <v>1621</v>
      </c>
      <c r="E147" s="8" t="s">
        <v>748</v>
      </c>
      <c r="F147" s="9" t="s">
        <v>17</v>
      </c>
      <c r="G147" s="10">
        <v>2</v>
      </c>
      <c r="H147" s="11">
        <v>46088</v>
      </c>
      <c r="I147" s="12" t="s">
        <v>1622</v>
      </c>
      <c r="J147" s="13" t="s">
        <v>30</v>
      </c>
      <c r="K147" s="14" t="str">
        <f>HYPERLINK("http://mpro.prangroup.com:4000/CreativeWorks/Edit/26817","Open")</f>
        <v>Open</v>
      </c>
    </row>
    <row r="148" spans="1:11" ht="13.2">
      <c r="A148" s="4" t="s">
        <v>138</v>
      </c>
      <c r="B148" s="5" t="s">
        <v>139</v>
      </c>
      <c r="C148" s="6" t="s">
        <v>166</v>
      </c>
      <c r="D148" s="7" t="s">
        <v>413</v>
      </c>
      <c r="E148" s="8" t="s">
        <v>63</v>
      </c>
      <c r="F148" s="9" t="s">
        <v>17</v>
      </c>
      <c r="G148" s="10">
        <v>1</v>
      </c>
      <c r="H148" s="11">
        <v>46089</v>
      </c>
      <c r="I148" s="12" t="s">
        <v>1623</v>
      </c>
      <c r="J148" s="13" t="s">
        <v>30</v>
      </c>
      <c r="K148" s="14" t="str">
        <f>HYPERLINK("http://mpro.prangroup.com:4000/CreativeWorks/Edit/26892","Open")</f>
        <v>Open</v>
      </c>
    </row>
    <row r="149" spans="1:11" ht="13.2">
      <c r="A149" s="4" t="s">
        <v>408</v>
      </c>
      <c r="B149" s="5" t="s">
        <v>54</v>
      </c>
      <c r="C149" s="6" t="s">
        <v>166</v>
      </c>
      <c r="D149" s="7" t="s">
        <v>1624</v>
      </c>
      <c r="E149" s="8" t="s">
        <v>302</v>
      </c>
      <c r="F149" s="9" t="s">
        <v>17</v>
      </c>
      <c r="G149" s="10">
        <v>2</v>
      </c>
      <c r="H149" s="11">
        <v>46089</v>
      </c>
      <c r="I149" s="12" t="s">
        <v>1625</v>
      </c>
      <c r="J149" s="13" t="s">
        <v>30</v>
      </c>
      <c r="K149" s="14" t="str">
        <f>HYPERLINK("http://mpro.prangroup.com:4000/CreativeWorks/Edit/26893","Open")</f>
        <v>Open</v>
      </c>
    </row>
    <row r="150" spans="1:11" ht="13.2">
      <c r="A150" s="4" t="s">
        <v>470</v>
      </c>
      <c r="B150" s="5" t="s">
        <v>209</v>
      </c>
      <c r="C150" s="6" t="s">
        <v>186</v>
      </c>
      <c r="D150" s="7" t="s">
        <v>1626</v>
      </c>
      <c r="E150" s="8" t="s">
        <v>63</v>
      </c>
      <c r="F150" s="9" t="s">
        <v>17</v>
      </c>
      <c r="G150" s="10">
        <v>11</v>
      </c>
      <c r="H150" s="11">
        <v>46089</v>
      </c>
      <c r="I150" s="12" t="s">
        <v>1627</v>
      </c>
      <c r="J150" s="13" t="s">
        <v>30</v>
      </c>
      <c r="K150" s="14" t="str">
        <f>HYPERLINK("http://mpro.prangroup.com:4000/CreativeWorks/Edit/26891","Open")</f>
        <v>Open</v>
      </c>
    </row>
    <row r="151" spans="1:11" ht="13.2">
      <c r="A151" s="4" t="s">
        <v>647</v>
      </c>
      <c r="B151" s="5" t="s">
        <v>282</v>
      </c>
      <c r="C151" s="6" t="s">
        <v>186</v>
      </c>
      <c r="D151" s="7" t="s">
        <v>1628</v>
      </c>
      <c r="E151" s="8" t="s">
        <v>302</v>
      </c>
      <c r="F151" s="9" t="s">
        <v>17</v>
      </c>
      <c r="G151" s="10">
        <v>1</v>
      </c>
      <c r="H151" s="11">
        <v>46089</v>
      </c>
      <c r="I151" s="12" t="s">
        <v>1629</v>
      </c>
      <c r="J151" s="13" t="s">
        <v>30</v>
      </c>
      <c r="K151" s="14" t="str">
        <f>HYPERLINK("http://mpro.prangroup.com:4000/CreativeWorks/Edit/26890","Open")</f>
        <v>Open</v>
      </c>
    </row>
    <row r="152" spans="1:11" ht="13.2">
      <c r="A152" s="4" t="s">
        <v>1587</v>
      </c>
      <c r="B152" s="5" t="s">
        <v>916</v>
      </c>
      <c r="C152" s="6" t="s">
        <v>746</v>
      </c>
      <c r="D152" s="7" t="s">
        <v>1630</v>
      </c>
      <c r="E152" s="8" t="s">
        <v>748</v>
      </c>
      <c r="F152" s="9" t="s">
        <v>17</v>
      </c>
      <c r="G152" s="10">
        <v>1</v>
      </c>
      <c r="H152" s="11">
        <v>46090</v>
      </c>
      <c r="I152" s="12" t="s">
        <v>1631</v>
      </c>
      <c r="J152" s="13" t="s">
        <v>30</v>
      </c>
      <c r="K152" s="14" t="str">
        <f>HYPERLINK("http://mpro.prangroup.com:4000/CreativeWorks/Edit/27008","Open")</f>
        <v>Open</v>
      </c>
    </row>
    <row r="153" spans="1:11" ht="13.2">
      <c r="A153" s="4" t="s">
        <v>1587</v>
      </c>
      <c r="B153" s="5" t="s">
        <v>916</v>
      </c>
      <c r="C153" s="6" t="s">
        <v>746</v>
      </c>
      <c r="D153" s="7" t="s">
        <v>1632</v>
      </c>
      <c r="E153" s="8" t="s">
        <v>748</v>
      </c>
      <c r="F153" s="9" t="s">
        <v>17</v>
      </c>
      <c r="G153" s="10">
        <v>1</v>
      </c>
      <c r="H153" s="11">
        <v>46090</v>
      </c>
      <c r="I153" s="12" t="s">
        <v>1633</v>
      </c>
      <c r="J153" s="13" t="s">
        <v>30</v>
      </c>
      <c r="K153" s="14" t="str">
        <f>HYPERLINK("http://mpro.prangroup.com:4000/CreativeWorks/Edit/27006","Open")</f>
        <v>Open</v>
      </c>
    </row>
    <row r="154" spans="1:11" ht="13.2">
      <c r="A154" s="4" t="s">
        <v>1587</v>
      </c>
      <c r="B154" s="5" t="s">
        <v>916</v>
      </c>
      <c r="C154" s="6" t="s">
        <v>746</v>
      </c>
      <c r="D154" s="7" t="s">
        <v>1634</v>
      </c>
      <c r="E154" s="8" t="s">
        <v>748</v>
      </c>
      <c r="F154" s="9" t="s">
        <v>17</v>
      </c>
      <c r="G154" s="10">
        <v>1</v>
      </c>
      <c r="H154" s="11">
        <v>46090</v>
      </c>
      <c r="I154" s="12" t="s">
        <v>1635</v>
      </c>
      <c r="J154" s="13" t="s">
        <v>30</v>
      </c>
      <c r="K154" s="14" t="str">
        <f>HYPERLINK("http://mpro.prangroup.com:4000/CreativeWorks/Edit/27007","Open")</f>
        <v>Open</v>
      </c>
    </row>
    <row r="155" spans="1:11" ht="13.2">
      <c r="A155" s="4" t="s">
        <v>408</v>
      </c>
      <c r="B155" s="5" t="s">
        <v>54</v>
      </c>
      <c r="C155" s="6" t="s">
        <v>166</v>
      </c>
      <c r="D155" s="7" t="s">
        <v>1636</v>
      </c>
      <c r="E155" s="8" t="s">
        <v>63</v>
      </c>
      <c r="F155" s="9" t="s">
        <v>17</v>
      </c>
      <c r="G155" s="10">
        <v>1</v>
      </c>
      <c r="H155" s="11">
        <v>46090</v>
      </c>
      <c r="I155" s="12" t="s">
        <v>1637</v>
      </c>
      <c r="J155" s="13" t="s">
        <v>30</v>
      </c>
      <c r="K155" s="14" t="str">
        <f t="shared" ref="K155:K156" si="10">HYPERLINK("http://mpro.prangroup.com:4000/CreativeWorks/Edit/26986","Open")</f>
        <v>Open</v>
      </c>
    </row>
    <row r="156" spans="1:11" ht="13.2">
      <c r="A156" s="4" t="s">
        <v>408</v>
      </c>
      <c r="B156" s="5" t="s">
        <v>54</v>
      </c>
      <c r="C156" s="6" t="s">
        <v>166</v>
      </c>
      <c r="D156" s="7" t="s">
        <v>1636</v>
      </c>
      <c r="E156" s="8" t="s">
        <v>302</v>
      </c>
      <c r="F156" s="9" t="s">
        <v>17</v>
      </c>
      <c r="G156" s="10">
        <v>1</v>
      </c>
      <c r="H156" s="11">
        <v>46090</v>
      </c>
      <c r="I156" s="12" t="s">
        <v>1637</v>
      </c>
      <c r="J156" s="13" t="s">
        <v>30</v>
      </c>
      <c r="K156" s="14" t="str">
        <f t="shared" si="10"/>
        <v>Open</v>
      </c>
    </row>
    <row r="157" spans="1:11" ht="13.2">
      <c r="A157" s="4" t="s">
        <v>235</v>
      </c>
      <c r="B157" s="5" t="s">
        <v>101</v>
      </c>
      <c r="C157" s="6" t="s">
        <v>232</v>
      </c>
      <c r="D157" s="7" t="s">
        <v>1068</v>
      </c>
      <c r="E157" s="8" t="s">
        <v>302</v>
      </c>
      <c r="F157" s="9" t="s">
        <v>17</v>
      </c>
      <c r="G157" s="10">
        <v>3</v>
      </c>
      <c r="H157" s="11">
        <v>46091</v>
      </c>
      <c r="I157" s="12" t="s">
        <v>1638</v>
      </c>
      <c r="J157" s="13" t="s">
        <v>30</v>
      </c>
      <c r="K157" s="14" t="str">
        <f>HYPERLINK("http://mpro.prangroup.com:4000/CreativeWorks/Edit/27148","Open")</f>
        <v>Open</v>
      </c>
    </row>
    <row r="158" spans="1:11" ht="13.2">
      <c r="A158" s="4" t="s">
        <v>235</v>
      </c>
      <c r="B158" s="5" t="s">
        <v>101</v>
      </c>
      <c r="C158" s="6" t="s">
        <v>232</v>
      </c>
      <c r="D158" s="7" t="s">
        <v>1060</v>
      </c>
      <c r="E158" s="8" t="s">
        <v>302</v>
      </c>
      <c r="F158" s="9" t="s">
        <v>17</v>
      </c>
      <c r="G158" s="10">
        <v>2</v>
      </c>
      <c r="H158" s="11">
        <v>46091</v>
      </c>
      <c r="I158" s="12" t="s">
        <v>1639</v>
      </c>
      <c r="J158" s="13" t="s">
        <v>30</v>
      </c>
      <c r="K158" s="14" t="str">
        <f>HYPERLINK("http://mpro.prangroup.com:4000/CreativeWorks/Edit/27147","Open")</f>
        <v>Open</v>
      </c>
    </row>
    <row r="159" spans="1:11" ht="13.2">
      <c r="A159" s="4" t="s">
        <v>1640</v>
      </c>
      <c r="B159" s="5" t="s">
        <v>1243</v>
      </c>
      <c r="C159" s="6" t="s">
        <v>1421</v>
      </c>
      <c r="D159" s="7" t="s">
        <v>1641</v>
      </c>
      <c r="E159" s="8" t="s">
        <v>748</v>
      </c>
      <c r="F159" s="9" t="s">
        <v>17</v>
      </c>
      <c r="G159" s="10">
        <v>1</v>
      </c>
      <c r="H159" s="11">
        <v>46095</v>
      </c>
      <c r="I159" s="12" t="s">
        <v>1642</v>
      </c>
      <c r="J159" s="13" t="s">
        <v>30</v>
      </c>
      <c r="K159" s="14" t="str">
        <f>HYPERLINK("http://mpro.prangroup.com:4000/CreativeWorks/Edit/27527","Open")</f>
        <v>Open</v>
      </c>
    </row>
    <row r="160" spans="1:11" ht="13.2">
      <c r="A160" s="4" t="s">
        <v>1640</v>
      </c>
      <c r="B160" s="5" t="s">
        <v>1243</v>
      </c>
      <c r="C160" s="6" t="s">
        <v>1421</v>
      </c>
      <c r="D160" s="7" t="s">
        <v>1643</v>
      </c>
      <c r="E160" s="8" t="s">
        <v>748</v>
      </c>
      <c r="F160" s="9" t="s">
        <v>17</v>
      </c>
      <c r="G160" s="10">
        <v>1</v>
      </c>
      <c r="H160" s="11">
        <v>46095</v>
      </c>
      <c r="I160" s="12" t="s">
        <v>1644</v>
      </c>
      <c r="J160" s="13" t="s">
        <v>30</v>
      </c>
      <c r="K160" s="14" t="str">
        <f>HYPERLINK("http://mpro.prangroup.com:4000/CreativeWorks/Edit/27529","Open")</f>
        <v>Open</v>
      </c>
    </row>
    <row r="161" spans="1:11" ht="13.2">
      <c r="A161" s="4" t="s">
        <v>1640</v>
      </c>
      <c r="B161" s="5" t="s">
        <v>1243</v>
      </c>
      <c r="C161" s="6" t="s">
        <v>1421</v>
      </c>
      <c r="D161" s="7" t="s">
        <v>1645</v>
      </c>
      <c r="E161" s="8" t="s">
        <v>748</v>
      </c>
      <c r="F161" s="9" t="s">
        <v>17</v>
      </c>
      <c r="G161" s="10">
        <v>1</v>
      </c>
      <c r="H161" s="11">
        <v>46095</v>
      </c>
      <c r="I161" s="12" t="s">
        <v>1646</v>
      </c>
      <c r="J161" s="13" t="s">
        <v>30</v>
      </c>
      <c r="K161" s="14" t="str">
        <f>HYPERLINK("http://mpro.prangroup.com:4000/CreativeWorks/Edit/27526","Open")</f>
        <v>Open</v>
      </c>
    </row>
    <row r="162" spans="1:11" ht="13.2">
      <c r="A162" s="4" t="s">
        <v>1640</v>
      </c>
      <c r="B162" s="5" t="s">
        <v>1243</v>
      </c>
      <c r="C162" s="6" t="s">
        <v>1421</v>
      </c>
      <c r="D162" s="7" t="s">
        <v>1647</v>
      </c>
      <c r="E162" s="8" t="s">
        <v>748</v>
      </c>
      <c r="F162" s="9" t="s">
        <v>17</v>
      </c>
      <c r="G162" s="10">
        <v>1</v>
      </c>
      <c r="H162" s="11">
        <v>46095</v>
      </c>
      <c r="I162" s="12" t="s">
        <v>1648</v>
      </c>
      <c r="J162" s="13" t="s">
        <v>30</v>
      </c>
      <c r="K162" s="14" t="str">
        <f>HYPERLINK("http://mpro.prangroup.com:4000/CreativeWorks/Edit/27528","Open")</f>
        <v>Open</v>
      </c>
    </row>
    <row r="163" spans="1:11" ht="13.2">
      <c r="A163" s="4" t="s">
        <v>563</v>
      </c>
      <c r="B163" s="5" t="s">
        <v>60</v>
      </c>
      <c r="C163" s="6" t="s">
        <v>275</v>
      </c>
      <c r="D163" s="7" t="s">
        <v>1649</v>
      </c>
      <c r="E163" s="8" t="s">
        <v>63</v>
      </c>
      <c r="F163" s="9" t="s">
        <v>17</v>
      </c>
      <c r="G163" s="10">
        <v>1</v>
      </c>
      <c r="H163" s="11">
        <v>46095</v>
      </c>
      <c r="I163" s="12" t="s">
        <v>1650</v>
      </c>
      <c r="J163" s="13" t="s">
        <v>30</v>
      </c>
      <c r="K163" s="14" t="str">
        <f>HYPERLINK("http://mpro.prangroup.com:4000/CreativeWorks/Edit/27532","Open")</f>
        <v>Open</v>
      </c>
    </row>
    <row r="164" spans="1:11" ht="13.2">
      <c r="A164" s="4" t="s">
        <v>432</v>
      </c>
      <c r="B164" s="5" t="s">
        <v>178</v>
      </c>
      <c r="C164" s="6" t="s">
        <v>228</v>
      </c>
      <c r="D164" s="7" t="s">
        <v>433</v>
      </c>
      <c r="E164" s="8" t="s">
        <v>302</v>
      </c>
      <c r="F164" s="9" t="s">
        <v>17</v>
      </c>
      <c r="G164" s="10">
        <v>10</v>
      </c>
      <c r="H164" s="11">
        <v>46098</v>
      </c>
      <c r="I164" s="12" t="s">
        <v>1651</v>
      </c>
      <c r="J164" s="13" t="s">
        <v>30</v>
      </c>
      <c r="K164" s="14" t="str">
        <f>HYPERLINK("http://mpro.prangroup.com:4000/CreativeWorks/Edit/27838","Open")</f>
        <v>Open</v>
      </c>
    </row>
    <row r="165" spans="1:11" ht="13.2">
      <c r="A165" s="4" t="s">
        <v>235</v>
      </c>
      <c r="B165" s="5" t="s">
        <v>101</v>
      </c>
      <c r="C165" s="6" t="s">
        <v>232</v>
      </c>
      <c r="D165" s="7" t="s">
        <v>1096</v>
      </c>
      <c r="E165" s="8" t="s">
        <v>302</v>
      </c>
      <c r="F165" s="9" t="s">
        <v>17</v>
      </c>
      <c r="G165" s="10">
        <v>3</v>
      </c>
      <c r="H165" s="11">
        <v>46110</v>
      </c>
      <c r="I165" s="12" t="s">
        <v>1652</v>
      </c>
      <c r="J165" s="13" t="s">
        <v>30</v>
      </c>
      <c r="K165" s="14" t="str">
        <f>HYPERLINK("http://mpro.prangroup.com:4000/CreativeWorks/Edit/28291","Open")</f>
        <v>Open</v>
      </c>
    </row>
    <row r="166" spans="1:11" ht="13.2">
      <c r="A166" s="4" t="s">
        <v>745</v>
      </c>
      <c r="B166" s="5" t="s">
        <v>41</v>
      </c>
      <c r="C166" s="6" t="s">
        <v>1421</v>
      </c>
      <c r="D166" s="7" t="s">
        <v>1653</v>
      </c>
      <c r="E166" s="8" t="s">
        <v>748</v>
      </c>
      <c r="F166" s="9" t="s">
        <v>17</v>
      </c>
      <c r="G166" s="10">
        <v>1</v>
      </c>
      <c r="H166" s="11">
        <v>46113</v>
      </c>
      <c r="I166" s="12" t="s">
        <v>1654</v>
      </c>
      <c r="J166" s="13" t="s">
        <v>30</v>
      </c>
      <c r="K166" s="14" t="str">
        <f t="shared" ref="K166:K167" si="11">HYPERLINK("http://mpro.prangroup.com:4000/CreativeWorks/Edit/28908","Open")</f>
        <v>Open</v>
      </c>
    </row>
    <row r="167" spans="1:11" ht="13.2">
      <c r="A167" s="4" t="s">
        <v>745</v>
      </c>
      <c r="B167" s="5" t="s">
        <v>41</v>
      </c>
      <c r="C167" s="6" t="s">
        <v>1421</v>
      </c>
      <c r="D167" s="7" t="s">
        <v>1653</v>
      </c>
      <c r="E167" s="8" t="s">
        <v>63</v>
      </c>
      <c r="F167" s="9" t="s">
        <v>17</v>
      </c>
      <c r="G167" s="10">
        <v>1</v>
      </c>
      <c r="H167" s="11">
        <v>46113</v>
      </c>
      <c r="I167" s="12" t="s">
        <v>1654</v>
      </c>
      <c r="J167" s="13" t="s">
        <v>30</v>
      </c>
      <c r="K167" s="14" t="str">
        <f t="shared" si="11"/>
        <v>Open</v>
      </c>
    </row>
    <row r="168" spans="1:11" ht="13.2">
      <c r="A168" s="4" t="s">
        <v>1655</v>
      </c>
      <c r="B168" s="5" t="s">
        <v>873</v>
      </c>
      <c r="C168" s="6" t="s">
        <v>1656</v>
      </c>
      <c r="D168" s="7" t="s">
        <v>1657</v>
      </c>
      <c r="E168" s="8" t="s">
        <v>1373</v>
      </c>
      <c r="F168" s="9" t="s">
        <v>17</v>
      </c>
      <c r="G168" s="10">
        <v>1</v>
      </c>
      <c r="H168" s="11">
        <v>46119</v>
      </c>
      <c r="I168" s="12" t="s">
        <v>1658</v>
      </c>
      <c r="J168" s="13" t="s">
        <v>19</v>
      </c>
      <c r="K168" s="14" t="str">
        <f>HYPERLINK("http://mpro.prangroup.com:4000/CreativeWorks/Edit/29381","Open")</f>
        <v>Open</v>
      </c>
    </row>
    <row r="169" spans="1:11" ht="13.2">
      <c r="A169" s="4" t="s">
        <v>1049</v>
      </c>
      <c r="B169" s="5" t="s">
        <v>68</v>
      </c>
      <c r="C169" s="6" t="s">
        <v>1659</v>
      </c>
      <c r="D169" s="7" t="s">
        <v>1660</v>
      </c>
      <c r="E169" s="8" t="s">
        <v>302</v>
      </c>
      <c r="F169" s="9" t="s">
        <v>17</v>
      </c>
      <c r="G169" s="10">
        <v>2</v>
      </c>
      <c r="H169" s="11">
        <v>46119</v>
      </c>
      <c r="I169" s="12" t="s">
        <v>1661</v>
      </c>
      <c r="J169" s="13" t="s">
        <v>48</v>
      </c>
      <c r="K169" s="14" t="str">
        <f>HYPERLINK("http://mpro.prangroup.com:4000/CreativeWorks/Edit/29379","Open")</f>
        <v>Open</v>
      </c>
    </row>
    <row r="170" spans="1:11" ht="13.2">
      <c r="A170" s="4" t="s">
        <v>1399</v>
      </c>
      <c r="B170" s="5" t="s">
        <v>916</v>
      </c>
      <c r="C170" s="6" t="s">
        <v>746</v>
      </c>
      <c r="D170" s="7" t="s">
        <v>1662</v>
      </c>
      <c r="E170" s="8" t="s">
        <v>63</v>
      </c>
      <c r="F170" s="9" t="s">
        <v>17</v>
      </c>
      <c r="G170" s="10">
        <v>6</v>
      </c>
      <c r="H170" s="11">
        <v>46119</v>
      </c>
      <c r="I170" s="12" t="s">
        <v>1663</v>
      </c>
      <c r="J170" s="13" t="s">
        <v>30</v>
      </c>
      <c r="K170" s="14" t="str">
        <f>HYPERLINK("http://mpro.prangroup.com:4000/CreativeWorks/Edit/29391","Open")</f>
        <v>Open</v>
      </c>
    </row>
    <row r="171" spans="1:11" ht="13.2">
      <c r="A171" s="4" t="s">
        <v>1399</v>
      </c>
      <c r="B171" s="5" t="s">
        <v>916</v>
      </c>
      <c r="C171" s="6" t="s">
        <v>746</v>
      </c>
      <c r="D171" s="7" t="s">
        <v>1664</v>
      </c>
      <c r="E171" s="8" t="s">
        <v>63</v>
      </c>
      <c r="F171" s="9" t="s">
        <v>17</v>
      </c>
      <c r="G171" s="10">
        <v>6</v>
      </c>
      <c r="H171" s="11">
        <v>46119</v>
      </c>
      <c r="I171" s="12" t="s">
        <v>1665</v>
      </c>
      <c r="J171" s="13" t="s">
        <v>30</v>
      </c>
      <c r="K171" s="14" t="str">
        <f>HYPERLINK("http://mpro.prangroup.com:4000/CreativeWorks/Edit/29392","Open")</f>
        <v>Open</v>
      </c>
    </row>
    <row r="172" spans="1:11" ht="13.2">
      <c r="A172" s="4" t="s">
        <v>1666</v>
      </c>
      <c r="B172" s="5" t="s">
        <v>109</v>
      </c>
      <c r="C172" s="6" t="s">
        <v>539</v>
      </c>
      <c r="D172" s="7" t="s">
        <v>1667</v>
      </c>
      <c r="E172" s="8" t="s">
        <v>302</v>
      </c>
      <c r="F172" s="9" t="s">
        <v>17</v>
      </c>
      <c r="G172" s="10">
        <v>1</v>
      </c>
      <c r="H172" s="11">
        <v>46119</v>
      </c>
      <c r="I172" s="12" t="s">
        <v>1668</v>
      </c>
      <c r="J172" s="13" t="s">
        <v>30</v>
      </c>
      <c r="K172" s="14" t="str">
        <f>HYPERLINK("http://mpro.prangroup.com:4000/CreativeWorks/Edit/29375","Open")</f>
        <v>Open</v>
      </c>
    </row>
    <row r="173" spans="1:11" ht="13.2">
      <c r="A173" s="4" t="s">
        <v>286</v>
      </c>
      <c r="B173" s="5" t="s">
        <v>32</v>
      </c>
      <c r="C173" s="6" t="s">
        <v>287</v>
      </c>
      <c r="D173" s="7" t="s">
        <v>1669</v>
      </c>
      <c r="E173" s="8" t="s">
        <v>302</v>
      </c>
      <c r="F173" s="9" t="s">
        <v>17</v>
      </c>
      <c r="G173" s="10">
        <v>2</v>
      </c>
      <c r="H173" s="11">
        <v>46119</v>
      </c>
      <c r="I173" s="12" t="s">
        <v>1670</v>
      </c>
      <c r="J173" s="13" t="s">
        <v>30</v>
      </c>
      <c r="K173" s="14" t="str">
        <f>HYPERLINK("http://mpro.prangroup.com:4000/CreativeWorks/Edit/29376","Open")</f>
        <v>Open</v>
      </c>
    </row>
    <row r="174" spans="1:11" ht="13.2">
      <c r="A174" s="4" t="s">
        <v>1396</v>
      </c>
      <c r="B174" s="5" t="s">
        <v>916</v>
      </c>
      <c r="C174" s="6" t="s">
        <v>1421</v>
      </c>
      <c r="D174" s="7" t="s">
        <v>1671</v>
      </c>
      <c r="E174" s="8" t="s">
        <v>748</v>
      </c>
      <c r="F174" s="9" t="s">
        <v>17</v>
      </c>
      <c r="G174" s="10">
        <v>12</v>
      </c>
      <c r="H174" s="11">
        <v>46119</v>
      </c>
      <c r="I174" s="12" t="s">
        <v>1672</v>
      </c>
      <c r="J174" s="13" t="s">
        <v>30</v>
      </c>
      <c r="K174" s="14" t="str">
        <f>HYPERLINK("http://mpro.prangroup.com:4000/CreativeWorks/Edit/29394","Open")</f>
        <v>Open</v>
      </c>
    </row>
    <row r="175" spans="1:11" ht="13.2">
      <c r="A175" s="4" t="s">
        <v>449</v>
      </c>
      <c r="B175" s="5" t="s">
        <v>144</v>
      </c>
      <c r="C175" s="6" t="s">
        <v>275</v>
      </c>
      <c r="D175" s="7" t="s">
        <v>450</v>
      </c>
      <c r="E175" s="8" t="s">
        <v>302</v>
      </c>
      <c r="F175" s="9" t="s">
        <v>17</v>
      </c>
      <c r="G175" s="10">
        <v>4</v>
      </c>
      <c r="H175" s="11">
        <v>46119</v>
      </c>
      <c r="I175" s="12" t="s">
        <v>1673</v>
      </c>
      <c r="J175" s="13" t="s">
        <v>30</v>
      </c>
      <c r="K175" s="14" t="str">
        <f>HYPERLINK("http://mpro.prangroup.com:4000/CreativeWorks/Edit/29385","Open")</f>
        <v>Open</v>
      </c>
    </row>
    <row r="176" spans="1:11" ht="13.2">
      <c r="A176" s="4" t="s">
        <v>449</v>
      </c>
      <c r="B176" s="5" t="s">
        <v>144</v>
      </c>
      <c r="C176" s="6" t="s">
        <v>275</v>
      </c>
      <c r="D176" s="7" t="s">
        <v>1674</v>
      </c>
      <c r="E176" s="8" t="s">
        <v>302</v>
      </c>
      <c r="F176" s="9" t="s">
        <v>17</v>
      </c>
      <c r="G176" s="10">
        <v>4</v>
      </c>
      <c r="H176" s="11">
        <v>46119</v>
      </c>
      <c r="I176" s="12" t="s">
        <v>1675</v>
      </c>
      <c r="J176" s="13" t="s">
        <v>30</v>
      </c>
      <c r="K176" s="14" t="str">
        <f>HYPERLINK("http://mpro.prangroup.com:4000/CreativeWorks/Edit/29388","Open")</f>
        <v>Open</v>
      </c>
    </row>
    <row r="177" spans="1:11" ht="13.2">
      <c r="A177" s="4" t="s">
        <v>395</v>
      </c>
      <c r="B177" s="5" t="s">
        <v>185</v>
      </c>
      <c r="C177" s="6" t="s">
        <v>166</v>
      </c>
      <c r="D177" s="7" t="s">
        <v>1676</v>
      </c>
      <c r="E177" s="8" t="s">
        <v>505</v>
      </c>
      <c r="F177" s="9" t="s">
        <v>17</v>
      </c>
      <c r="G177" s="10">
        <v>8</v>
      </c>
      <c r="H177" s="11">
        <v>46119</v>
      </c>
      <c r="I177" s="12" t="s">
        <v>1677</v>
      </c>
      <c r="J177" s="13" t="s">
        <v>30</v>
      </c>
      <c r="K177" s="14" t="str">
        <f>HYPERLINK("http://mpro.prangroup.com:4000/CreativeWorks/Edit/29389","Open")</f>
        <v>Open</v>
      </c>
    </row>
    <row r="178" spans="1:11" ht="13.2">
      <c r="A178" s="4" t="s">
        <v>395</v>
      </c>
      <c r="B178" s="5" t="s">
        <v>185</v>
      </c>
      <c r="C178" s="6" t="s">
        <v>166</v>
      </c>
      <c r="D178" s="7" t="s">
        <v>452</v>
      </c>
      <c r="E178" s="8" t="s">
        <v>1077</v>
      </c>
      <c r="F178" s="9" t="s">
        <v>17</v>
      </c>
      <c r="G178" s="10">
        <v>5</v>
      </c>
      <c r="H178" s="11">
        <v>46119</v>
      </c>
      <c r="I178" s="12" t="s">
        <v>1678</v>
      </c>
      <c r="J178" s="13" t="s">
        <v>30</v>
      </c>
      <c r="K178" s="14" t="str">
        <f>HYPERLINK("http://mpro.prangroup.com:4000/CreativeWorks/Edit/29373","Open")</f>
        <v>Open</v>
      </c>
    </row>
    <row r="179" spans="1:11" ht="13.2">
      <c r="A179" s="4" t="s">
        <v>443</v>
      </c>
      <c r="B179" s="5" t="s">
        <v>32</v>
      </c>
      <c r="C179" s="6" t="s">
        <v>166</v>
      </c>
      <c r="D179" s="7" t="s">
        <v>444</v>
      </c>
      <c r="E179" s="8" t="s">
        <v>1077</v>
      </c>
      <c r="F179" s="9" t="s">
        <v>17</v>
      </c>
      <c r="G179" s="10">
        <v>1</v>
      </c>
      <c r="H179" s="11">
        <v>46119</v>
      </c>
      <c r="I179" s="12" t="s">
        <v>1679</v>
      </c>
      <c r="J179" s="13" t="s">
        <v>30</v>
      </c>
      <c r="K179" s="14" t="str">
        <f t="shared" ref="K179:K180" si="12">HYPERLINK("http://mpro.prangroup.com:4000/CreativeWorks/Edit/29374","Open")</f>
        <v>Open</v>
      </c>
    </row>
    <row r="180" spans="1:11" ht="13.2">
      <c r="A180" s="4" t="s">
        <v>443</v>
      </c>
      <c r="B180" s="5" t="s">
        <v>32</v>
      </c>
      <c r="C180" s="6" t="s">
        <v>166</v>
      </c>
      <c r="D180" s="7" t="s">
        <v>444</v>
      </c>
      <c r="E180" s="8" t="s">
        <v>302</v>
      </c>
      <c r="F180" s="9" t="s">
        <v>17</v>
      </c>
      <c r="G180" s="10">
        <v>2</v>
      </c>
      <c r="H180" s="11">
        <v>46119</v>
      </c>
      <c r="I180" s="12" t="s">
        <v>1679</v>
      </c>
      <c r="J180" s="13" t="s">
        <v>30</v>
      </c>
      <c r="K180" s="14" t="str">
        <f t="shared" si="12"/>
        <v>Open</v>
      </c>
    </row>
    <row r="181" spans="1:11" ht="13.2">
      <c r="A181" s="4" t="s">
        <v>395</v>
      </c>
      <c r="B181" s="5" t="s">
        <v>185</v>
      </c>
      <c r="C181" s="6" t="s">
        <v>166</v>
      </c>
      <c r="D181" s="7" t="s">
        <v>1676</v>
      </c>
      <c r="E181" s="8" t="s">
        <v>302</v>
      </c>
      <c r="F181" s="9" t="s">
        <v>17</v>
      </c>
      <c r="G181" s="10">
        <v>8</v>
      </c>
      <c r="H181" s="11">
        <v>46119</v>
      </c>
      <c r="I181" s="12" t="s">
        <v>1677</v>
      </c>
      <c r="J181" s="13" t="s">
        <v>30</v>
      </c>
      <c r="K181" s="14" t="str">
        <f>HYPERLINK("http://mpro.prangroup.com:4000/CreativeWorks/Edit/29389","Open")</f>
        <v>Open</v>
      </c>
    </row>
    <row r="182" spans="1:11" ht="13.2">
      <c r="A182" s="4" t="s">
        <v>395</v>
      </c>
      <c r="B182" s="5" t="s">
        <v>185</v>
      </c>
      <c r="C182" s="6" t="s">
        <v>166</v>
      </c>
      <c r="D182" s="7" t="s">
        <v>452</v>
      </c>
      <c r="E182" s="8" t="s">
        <v>302</v>
      </c>
      <c r="F182" s="9" t="s">
        <v>17</v>
      </c>
      <c r="G182" s="10">
        <v>5</v>
      </c>
      <c r="H182" s="11">
        <v>46119</v>
      </c>
      <c r="I182" s="12" t="s">
        <v>1678</v>
      </c>
      <c r="J182" s="13" t="s">
        <v>30</v>
      </c>
      <c r="K182" s="14" t="str">
        <f>HYPERLINK("http://mpro.prangroup.com:4000/CreativeWorks/Edit/29373","Open")</f>
        <v>Open</v>
      </c>
    </row>
    <row r="183" spans="1:11" ht="13.2">
      <c r="A183" s="4" t="s">
        <v>235</v>
      </c>
      <c r="B183" s="5" t="s">
        <v>101</v>
      </c>
      <c r="C183" s="6" t="s">
        <v>232</v>
      </c>
      <c r="D183" s="7" t="s">
        <v>1680</v>
      </c>
      <c r="E183" s="8" t="s">
        <v>302</v>
      </c>
      <c r="F183" s="9" t="s">
        <v>17</v>
      </c>
      <c r="G183" s="10">
        <v>3</v>
      </c>
      <c r="H183" s="11">
        <v>46119</v>
      </c>
      <c r="I183" s="12" t="s">
        <v>1681</v>
      </c>
      <c r="J183" s="13" t="s">
        <v>30</v>
      </c>
      <c r="K183" s="14" t="str">
        <f>HYPERLINK("http://mpro.prangroup.com:4000/CreativeWorks/Edit/29386","Open")</f>
        <v>Open</v>
      </c>
    </row>
    <row r="184" spans="1:11" ht="13.2">
      <c r="A184" s="4" t="s">
        <v>482</v>
      </c>
      <c r="B184" s="5" t="s">
        <v>41</v>
      </c>
      <c r="C184" s="6" t="s">
        <v>232</v>
      </c>
      <c r="D184" s="7" t="s">
        <v>1682</v>
      </c>
      <c r="E184" s="8" t="s">
        <v>302</v>
      </c>
      <c r="F184" s="9" t="s">
        <v>17</v>
      </c>
      <c r="G184" s="10">
        <v>3</v>
      </c>
      <c r="H184" s="11">
        <v>46119</v>
      </c>
      <c r="I184" s="12" t="s">
        <v>1683</v>
      </c>
      <c r="J184" s="13" t="s">
        <v>30</v>
      </c>
      <c r="K184" s="14" t="str">
        <f>HYPERLINK("http://mpro.prangroup.com:4000/CreativeWorks/Edit/29387","Open")</f>
        <v>Open</v>
      </c>
    </row>
    <row r="185" spans="1:11" ht="13.2">
      <c r="A185" s="4" t="s">
        <v>1684</v>
      </c>
      <c r="B185" s="5" t="s">
        <v>41</v>
      </c>
      <c r="C185" s="6" t="s">
        <v>1685</v>
      </c>
      <c r="D185" s="7" t="s">
        <v>1686</v>
      </c>
      <c r="E185" s="8" t="s">
        <v>1687</v>
      </c>
      <c r="F185" s="9" t="s">
        <v>17</v>
      </c>
      <c r="G185" s="10">
        <v>1</v>
      </c>
      <c r="H185" s="11">
        <v>46119</v>
      </c>
      <c r="I185" s="12" t="s">
        <v>1688</v>
      </c>
      <c r="J185" s="13" t="s">
        <v>30</v>
      </c>
      <c r="K185" s="14" t="str">
        <f>HYPERLINK("http://mpro.prangroup.com:4000/CreativeWorks/Edit/29382","Open")</f>
        <v>Open</v>
      </c>
    </row>
    <row r="186" spans="1:11" ht="13.2">
      <c r="A186" s="4" t="s">
        <v>558</v>
      </c>
      <c r="B186" s="5" t="s">
        <v>282</v>
      </c>
      <c r="C186" s="6" t="s">
        <v>1685</v>
      </c>
      <c r="D186" s="7" t="s">
        <v>1689</v>
      </c>
      <c r="E186" s="8" t="s">
        <v>302</v>
      </c>
      <c r="F186" s="9" t="s">
        <v>17</v>
      </c>
      <c r="G186" s="10">
        <v>1</v>
      </c>
      <c r="H186" s="11">
        <v>46119</v>
      </c>
      <c r="I186" s="12" t="s">
        <v>1690</v>
      </c>
      <c r="J186" s="13" t="s">
        <v>30</v>
      </c>
      <c r="K186" s="14" t="str">
        <f>HYPERLINK("http://mpro.prangroup.com:4000/CreativeWorks/Edit/29383","Open")</f>
        <v>Open</v>
      </c>
    </row>
    <row r="187" spans="1:11" ht="13.2">
      <c r="A187" s="4" t="s">
        <v>1691</v>
      </c>
      <c r="B187" s="5" t="s">
        <v>178</v>
      </c>
      <c r="C187" s="6" t="s">
        <v>186</v>
      </c>
      <c r="D187" s="7" t="s">
        <v>1692</v>
      </c>
      <c r="E187" s="8" t="s">
        <v>302</v>
      </c>
      <c r="F187" s="9" t="s">
        <v>17</v>
      </c>
      <c r="G187" s="10">
        <v>1</v>
      </c>
      <c r="H187" s="11">
        <v>46119</v>
      </c>
      <c r="I187" s="12" t="s">
        <v>1693</v>
      </c>
      <c r="J187" s="13" t="s">
        <v>30</v>
      </c>
      <c r="K187" s="14" t="str">
        <f>HYPERLINK("http://mpro.prangroup.com:4000/CreativeWorks/Edit/29377","Open")</f>
        <v>Open</v>
      </c>
    </row>
    <row r="188" spans="1:11" ht="13.2">
      <c r="A188" s="4" t="s">
        <v>1379</v>
      </c>
      <c r="B188" s="5" t="s">
        <v>60</v>
      </c>
      <c r="C188" s="6" t="s">
        <v>186</v>
      </c>
      <c r="D188" s="7" t="s">
        <v>1694</v>
      </c>
      <c r="E188" s="8" t="s">
        <v>302</v>
      </c>
      <c r="F188" s="9" t="s">
        <v>17</v>
      </c>
      <c r="G188" s="10">
        <v>2</v>
      </c>
      <c r="H188" s="11">
        <v>46119</v>
      </c>
      <c r="I188" s="12" t="s">
        <v>1695</v>
      </c>
      <c r="J188" s="13" t="s">
        <v>30</v>
      </c>
      <c r="K188" s="14" t="str">
        <f>HYPERLINK("http://mpro.prangroup.com:4000/CreativeWorks/Edit/29384","Open")</f>
        <v>Open</v>
      </c>
    </row>
    <row r="189" spans="1:11" ht="13.2">
      <c r="A189" s="4" t="s">
        <v>1188</v>
      </c>
      <c r="B189" s="5" t="s">
        <v>109</v>
      </c>
      <c r="C189" s="6" t="s">
        <v>232</v>
      </c>
      <c r="D189" s="7" t="s">
        <v>1189</v>
      </c>
      <c r="E189" s="8" t="s">
        <v>302</v>
      </c>
      <c r="F189" s="9" t="s">
        <v>17</v>
      </c>
      <c r="G189" s="10">
        <v>1</v>
      </c>
      <c r="H189" s="11">
        <v>46120</v>
      </c>
      <c r="I189" s="12" t="s">
        <v>1696</v>
      </c>
      <c r="J189" s="13" t="s">
        <v>30</v>
      </c>
      <c r="K189" s="14" t="str">
        <f>HYPERLINK("http://mpro.prangroup.com:4000/CreativeWorks/Edit/29487","Open")</f>
        <v>Open</v>
      </c>
    </row>
    <row r="190" spans="1:11" ht="13.2">
      <c r="A190" s="4" t="s">
        <v>1655</v>
      </c>
      <c r="B190" s="5" t="s">
        <v>873</v>
      </c>
      <c r="C190" s="6" t="s">
        <v>1656</v>
      </c>
      <c r="D190" s="7" t="s">
        <v>1697</v>
      </c>
      <c r="E190" s="8" t="s">
        <v>302</v>
      </c>
      <c r="F190" s="9" t="s">
        <v>17</v>
      </c>
      <c r="G190" s="10">
        <v>1</v>
      </c>
      <c r="H190" s="11">
        <v>46127</v>
      </c>
      <c r="I190" s="12" t="s">
        <v>1698</v>
      </c>
      <c r="J190" s="13" t="s">
        <v>19</v>
      </c>
      <c r="K190" s="14" t="str">
        <f>HYPERLINK("http://mpro.prangroup.com:4000/CreativeWorks/Edit/30160","Open")</f>
        <v>Open</v>
      </c>
    </row>
    <row r="191" spans="1:11" ht="13.2">
      <c r="A191" s="4" t="s">
        <v>538</v>
      </c>
      <c r="B191" s="5" t="s">
        <v>109</v>
      </c>
      <c r="C191" s="6" t="s">
        <v>539</v>
      </c>
      <c r="D191" s="7" t="s">
        <v>540</v>
      </c>
      <c r="E191" s="8" t="s">
        <v>302</v>
      </c>
      <c r="F191" s="9" t="s">
        <v>17</v>
      </c>
      <c r="G191" s="10">
        <v>1</v>
      </c>
      <c r="H191" s="11">
        <v>46127</v>
      </c>
      <c r="I191" s="12" t="s">
        <v>1699</v>
      </c>
      <c r="J191" s="13" t="s">
        <v>30</v>
      </c>
      <c r="K191" s="14" t="str">
        <f>HYPERLINK("http://mpro.prangroup.com:4000/CreativeWorks/Edit/30158","Open")</f>
        <v>Open</v>
      </c>
    </row>
    <row r="192" spans="1:11" ht="13.2">
      <c r="A192" s="4" t="s">
        <v>1700</v>
      </c>
      <c r="B192" s="5" t="s">
        <v>282</v>
      </c>
      <c r="C192" s="6" t="s">
        <v>228</v>
      </c>
      <c r="D192" s="7" t="s">
        <v>1701</v>
      </c>
      <c r="E192" s="8" t="s">
        <v>302</v>
      </c>
      <c r="F192" s="9" t="s">
        <v>17</v>
      </c>
      <c r="G192" s="10">
        <v>1</v>
      </c>
      <c r="H192" s="11">
        <v>46127</v>
      </c>
      <c r="I192" s="12" t="s">
        <v>1702</v>
      </c>
      <c r="J192" s="13" t="s">
        <v>30</v>
      </c>
      <c r="K192" s="14" t="str">
        <f>HYPERLINK("http://mpro.prangroup.com:4000/CreativeWorks/Edit/30166","Open")</f>
        <v>Open</v>
      </c>
    </row>
    <row r="193" spans="1:11" ht="13.2">
      <c r="A193" s="4" t="s">
        <v>1703</v>
      </c>
      <c r="B193" s="5" t="s">
        <v>41</v>
      </c>
      <c r="C193" s="6" t="s">
        <v>82</v>
      </c>
      <c r="D193" s="7" t="s">
        <v>1704</v>
      </c>
      <c r="E193" s="8" t="s">
        <v>302</v>
      </c>
      <c r="F193" s="9" t="s">
        <v>17</v>
      </c>
      <c r="G193" s="10">
        <v>4</v>
      </c>
      <c r="H193" s="11">
        <v>46127</v>
      </c>
      <c r="I193" s="12" t="s">
        <v>1705</v>
      </c>
      <c r="J193" s="13" t="s">
        <v>30</v>
      </c>
      <c r="K193" s="14" t="str">
        <f>HYPERLINK("http://mpro.prangroup.com:4000/CreativeWorks/Edit/30165","Open")</f>
        <v>Open</v>
      </c>
    </row>
    <row r="194" spans="1:11" ht="13.2">
      <c r="A194" s="4" t="s">
        <v>392</v>
      </c>
      <c r="B194" s="5" t="s">
        <v>41</v>
      </c>
      <c r="C194" s="6" t="s">
        <v>275</v>
      </c>
      <c r="D194" s="7" t="s">
        <v>1706</v>
      </c>
      <c r="E194" s="8" t="s">
        <v>63</v>
      </c>
      <c r="F194" s="9" t="s">
        <v>17</v>
      </c>
      <c r="G194" s="10">
        <v>1</v>
      </c>
      <c r="H194" s="11">
        <v>46127</v>
      </c>
      <c r="I194" s="12" t="s">
        <v>1707</v>
      </c>
      <c r="J194" s="13" t="s">
        <v>30</v>
      </c>
      <c r="K194" s="14" t="str">
        <f>HYPERLINK("http://mpro.prangroup.com:4000/CreativeWorks/Edit/30168","Open")</f>
        <v>Open</v>
      </c>
    </row>
    <row r="195" spans="1:11" ht="13.2">
      <c r="A195" s="4" t="s">
        <v>1708</v>
      </c>
      <c r="B195" s="5" t="s">
        <v>32</v>
      </c>
      <c r="C195" s="6" t="s">
        <v>275</v>
      </c>
      <c r="D195" s="7" t="s">
        <v>1709</v>
      </c>
      <c r="E195" s="8" t="s">
        <v>302</v>
      </c>
      <c r="F195" s="9" t="s">
        <v>17</v>
      </c>
      <c r="G195" s="10">
        <v>6</v>
      </c>
      <c r="H195" s="11">
        <v>46127</v>
      </c>
      <c r="I195" s="12" t="s">
        <v>1710</v>
      </c>
      <c r="J195" s="13" t="s">
        <v>30</v>
      </c>
      <c r="K195" s="14" t="str">
        <f>HYPERLINK("http://mpro.prangroup.com:4000/CreativeWorks/Edit/30159","Open")</f>
        <v>Open</v>
      </c>
    </row>
    <row r="196" spans="1:11" ht="13.2">
      <c r="A196" s="4" t="s">
        <v>1100</v>
      </c>
      <c r="B196" s="5" t="s">
        <v>139</v>
      </c>
      <c r="C196" s="6" t="s">
        <v>1711</v>
      </c>
      <c r="D196" s="7" t="s">
        <v>1712</v>
      </c>
      <c r="E196" s="8" t="s">
        <v>302</v>
      </c>
      <c r="F196" s="9" t="s">
        <v>17</v>
      </c>
      <c r="G196" s="10">
        <v>5</v>
      </c>
      <c r="H196" s="11">
        <v>46127</v>
      </c>
      <c r="I196" s="12" t="s">
        <v>1713</v>
      </c>
      <c r="J196" s="13" t="s">
        <v>30</v>
      </c>
      <c r="K196" s="14" t="str">
        <f>HYPERLINK("http://mpro.prangroup.com:4000/CreativeWorks/Edit/30167","Open")</f>
        <v>Open</v>
      </c>
    </row>
    <row r="197" spans="1:11" ht="13.2">
      <c r="A197" s="4" t="s">
        <v>395</v>
      </c>
      <c r="B197" s="5" t="s">
        <v>185</v>
      </c>
      <c r="C197" s="6" t="s">
        <v>166</v>
      </c>
      <c r="D197" s="7" t="s">
        <v>1714</v>
      </c>
      <c r="E197" s="8" t="s">
        <v>63</v>
      </c>
      <c r="F197" s="9" t="s">
        <v>17</v>
      </c>
      <c r="G197" s="10">
        <v>5</v>
      </c>
      <c r="H197" s="11">
        <v>46127</v>
      </c>
      <c r="I197" s="12" t="s">
        <v>1715</v>
      </c>
      <c r="J197" s="13" t="s">
        <v>30</v>
      </c>
      <c r="K197" s="14" t="str">
        <f>HYPERLINK("http://mpro.prangroup.com:4000/CreativeWorks/Edit/30169","Open")</f>
        <v>Open</v>
      </c>
    </row>
    <row r="198" spans="1:11" ht="13.2">
      <c r="A198" s="4" t="s">
        <v>395</v>
      </c>
      <c r="B198" s="5" t="s">
        <v>185</v>
      </c>
      <c r="C198" s="6" t="s">
        <v>166</v>
      </c>
      <c r="D198" s="7" t="s">
        <v>1716</v>
      </c>
      <c r="E198" s="8" t="s">
        <v>63</v>
      </c>
      <c r="F198" s="9" t="s">
        <v>17</v>
      </c>
      <c r="G198" s="10">
        <v>1</v>
      </c>
      <c r="H198" s="11">
        <v>46127</v>
      </c>
      <c r="I198" s="12" t="s">
        <v>1717</v>
      </c>
      <c r="J198" s="13" t="s">
        <v>30</v>
      </c>
      <c r="K198" s="14" t="str">
        <f>HYPERLINK("http://mpro.prangroup.com:4000/CreativeWorks/Edit/30163","Open")</f>
        <v>Open</v>
      </c>
    </row>
    <row r="199" spans="1:11" ht="13.2">
      <c r="A199" s="4" t="s">
        <v>244</v>
      </c>
      <c r="B199" s="5" t="s">
        <v>41</v>
      </c>
      <c r="C199" s="6" t="s">
        <v>1139</v>
      </c>
      <c r="D199" s="7" t="s">
        <v>1718</v>
      </c>
      <c r="E199" s="8" t="s">
        <v>302</v>
      </c>
      <c r="F199" s="9" t="s">
        <v>17</v>
      </c>
      <c r="G199" s="10">
        <v>1</v>
      </c>
      <c r="H199" s="11">
        <v>46127</v>
      </c>
      <c r="I199" s="12" t="s">
        <v>1719</v>
      </c>
      <c r="J199" s="13" t="s">
        <v>19</v>
      </c>
      <c r="K199" s="14" t="str">
        <f>HYPERLINK("http://mpro.prangroup.com:4000/CreativeWorks/Edit/30164","Open")</f>
        <v>Open</v>
      </c>
    </row>
    <row r="200" spans="1:11" ht="13.2">
      <c r="A200" s="4" t="s">
        <v>90</v>
      </c>
      <c r="B200" s="5" t="s">
        <v>32</v>
      </c>
      <c r="C200" s="6" t="s">
        <v>232</v>
      </c>
      <c r="D200" s="7" t="s">
        <v>1720</v>
      </c>
      <c r="E200" s="8" t="s">
        <v>302</v>
      </c>
      <c r="F200" s="9" t="s">
        <v>17</v>
      </c>
      <c r="G200" s="10">
        <v>1</v>
      </c>
      <c r="H200" s="11">
        <v>46127</v>
      </c>
      <c r="I200" s="12" t="s">
        <v>1721</v>
      </c>
      <c r="J200" s="13" t="s">
        <v>30</v>
      </c>
      <c r="K200" s="14" t="str">
        <f>HYPERLINK("http://mpro.prangroup.com:4000/CreativeWorks/Edit/30155","Open")</f>
        <v>Open</v>
      </c>
    </row>
    <row r="201" spans="1:11" ht="13.2">
      <c r="A201" s="4" t="s">
        <v>421</v>
      </c>
      <c r="B201" s="5" t="s">
        <v>101</v>
      </c>
      <c r="C201" s="6" t="s">
        <v>232</v>
      </c>
      <c r="D201" s="7" t="s">
        <v>1129</v>
      </c>
      <c r="E201" s="8" t="s">
        <v>302</v>
      </c>
      <c r="F201" s="9" t="s">
        <v>17</v>
      </c>
      <c r="G201" s="10">
        <v>9</v>
      </c>
      <c r="H201" s="11">
        <v>46127</v>
      </c>
      <c r="I201" s="12" t="s">
        <v>1722</v>
      </c>
      <c r="J201" s="13" t="s">
        <v>30</v>
      </c>
      <c r="K201" s="14" t="str">
        <f>HYPERLINK("http://mpro.prangroup.com:4000/CreativeWorks/Edit/30161","Open")</f>
        <v>Open</v>
      </c>
    </row>
    <row r="202" spans="1:11" ht="13.2">
      <c r="A202" s="4" t="s">
        <v>353</v>
      </c>
      <c r="B202" s="5" t="s">
        <v>60</v>
      </c>
      <c r="C202" s="6" t="s">
        <v>186</v>
      </c>
      <c r="D202" s="7" t="s">
        <v>1136</v>
      </c>
      <c r="E202" s="8" t="s">
        <v>505</v>
      </c>
      <c r="F202" s="9" t="s">
        <v>17</v>
      </c>
      <c r="G202" s="10">
        <v>1</v>
      </c>
      <c r="H202" s="11">
        <v>46128</v>
      </c>
      <c r="I202" s="12" t="s">
        <v>1723</v>
      </c>
      <c r="J202" s="13" t="s">
        <v>30</v>
      </c>
      <c r="K202" s="14" t="str">
        <f t="shared" ref="K202:K203" si="13">HYPERLINK("http://mpro.prangroup.com:4000/CreativeWorks/Edit/30280","Open")</f>
        <v>Open</v>
      </c>
    </row>
    <row r="203" spans="1:11" ht="13.2">
      <c r="A203" s="4" t="s">
        <v>353</v>
      </c>
      <c r="B203" s="5" t="s">
        <v>60</v>
      </c>
      <c r="C203" s="6" t="s">
        <v>186</v>
      </c>
      <c r="D203" s="7" t="s">
        <v>1136</v>
      </c>
      <c r="E203" s="8" t="s">
        <v>63</v>
      </c>
      <c r="F203" s="9" t="s">
        <v>17</v>
      </c>
      <c r="G203" s="10">
        <v>1</v>
      </c>
      <c r="H203" s="11">
        <v>46128</v>
      </c>
      <c r="I203" s="12" t="s">
        <v>1723</v>
      </c>
      <c r="J203" s="13" t="s">
        <v>30</v>
      </c>
      <c r="K203" s="14" t="str">
        <f t="shared" si="13"/>
        <v>Open</v>
      </c>
    </row>
    <row r="204" spans="1:11" ht="13.2">
      <c r="A204" s="4" t="s">
        <v>470</v>
      </c>
      <c r="B204" s="5" t="s">
        <v>209</v>
      </c>
      <c r="C204" s="6" t="s">
        <v>186</v>
      </c>
      <c r="D204" s="7" t="s">
        <v>471</v>
      </c>
      <c r="E204" s="8" t="s">
        <v>302</v>
      </c>
      <c r="F204" s="9" t="s">
        <v>17</v>
      </c>
      <c r="G204" s="10">
        <v>2</v>
      </c>
      <c r="H204" s="11">
        <v>46128</v>
      </c>
      <c r="I204" s="12" t="s">
        <v>1724</v>
      </c>
      <c r="J204" s="13" t="s">
        <v>30</v>
      </c>
      <c r="K204" s="14" t="str">
        <f>HYPERLINK("http://mpro.prangroup.com:4000/CreativeWorks/Edit/30234","Open")</f>
        <v>Open</v>
      </c>
    </row>
    <row r="205" spans="1:11" ht="13.2">
      <c r="A205" s="4" t="s">
        <v>1396</v>
      </c>
      <c r="B205" s="5" t="s">
        <v>916</v>
      </c>
      <c r="C205" s="6" t="s">
        <v>1725</v>
      </c>
      <c r="D205" s="7" t="s">
        <v>1726</v>
      </c>
      <c r="E205" s="8" t="s">
        <v>748</v>
      </c>
      <c r="F205" s="9" t="s">
        <v>17</v>
      </c>
      <c r="G205" s="10">
        <v>12</v>
      </c>
      <c r="H205" s="11">
        <v>46130</v>
      </c>
      <c r="I205" s="12" t="s">
        <v>1727</v>
      </c>
      <c r="J205" s="13" t="s">
        <v>30</v>
      </c>
      <c r="K205" s="14" t="str">
        <f>HYPERLINK("http://mpro.prangroup.com:4000/CreativeWorks/Edit/30309","Open")</f>
        <v>Open</v>
      </c>
    </row>
    <row r="206" spans="1:11" ht="13.2">
      <c r="A206" s="4" t="s">
        <v>40</v>
      </c>
      <c r="B206" s="5" t="s">
        <v>41</v>
      </c>
      <c r="C206" s="6" t="s">
        <v>186</v>
      </c>
      <c r="D206" s="7" t="s">
        <v>1377</v>
      </c>
      <c r="E206" s="8" t="s">
        <v>505</v>
      </c>
      <c r="F206" s="9" t="s">
        <v>17</v>
      </c>
      <c r="G206" s="10">
        <v>3</v>
      </c>
      <c r="H206" s="11">
        <v>46134</v>
      </c>
      <c r="I206" s="12" t="s">
        <v>1728</v>
      </c>
      <c r="J206" s="13" t="s">
        <v>30</v>
      </c>
      <c r="K206" s="14" t="str">
        <f>HYPERLINK("http://mpro.prangroup.com:4000/CreativeWorks/Edit/30809","Open")</f>
        <v>Open</v>
      </c>
    </row>
    <row r="207" spans="1:11" ht="13.2">
      <c r="A207" s="4" t="s">
        <v>1587</v>
      </c>
      <c r="B207" s="5" t="s">
        <v>916</v>
      </c>
      <c r="C207" s="6" t="s">
        <v>746</v>
      </c>
      <c r="D207" s="7" t="s">
        <v>1729</v>
      </c>
      <c r="E207" s="8" t="s">
        <v>63</v>
      </c>
      <c r="F207" s="9" t="s">
        <v>17</v>
      </c>
      <c r="G207" s="10">
        <v>4</v>
      </c>
      <c r="H207" s="11">
        <v>46148</v>
      </c>
      <c r="I207" s="12" t="s">
        <v>1730</v>
      </c>
      <c r="J207" s="13" t="s">
        <v>30</v>
      </c>
      <c r="K207" s="14" t="str">
        <f>HYPERLINK("http://mpro.prangroup.com:4000/CreativeWorks/Edit/32582","Open")</f>
        <v>Open</v>
      </c>
    </row>
    <row r="208" spans="1:11" ht="13.2">
      <c r="A208" s="4" t="s">
        <v>395</v>
      </c>
      <c r="B208" s="5" t="s">
        <v>185</v>
      </c>
      <c r="C208" s="6" t="s">
        <v>166</v>
      </c>
      <c r="D208" s="7" t="s">
        <v>1156</v>
      </c>
      <c r="E208" s="8" t="s">
        <v>302</v>
      </c>
      <c r="F208" s="9" t="s">
        <v>17</v>
      </c>
      <c r="G208" s="10">
        <v>2</v>
      </c>
      <c r="H208" s="11">
        <v>46148</v>
      </c>
      <c r="I208" s="12" t="s">
        <v>1731</v>
      </c>
      <c r="J208" s="13" t="s">
        <v>30</v>
      </c>
      <c r="K208" s="14" t="str">
        <f>HYPERLINK("http://mpro.prangroup.com:4000/CreativeWorks/Edit/32581","Open")</f>
        <v>Open</v>
      </c>
    </row>
    <row r="209" spans="1:11" ht="13.2">
      <c r="A209" s="4" t="s">
        <v>1396</v>
      </c>
      <c r="B209" s="5" t="s">
        <v>916</v>
      </c>
      <c r="C209" s="6" t="s">
        <v>1732</v>
      </c>
      <c r="D209" s="7" t="s">
        <v>1733</v>
      </c>
      <c r="E209" s="8" t="s">
        <v>302</v>
      </c>
      <c r="F209" s="9" t="s">
        <v>17</v>
      </c>
      <c r="G209" s="10">
        <v>1</v>
      </c>
      <c r="H209" s="11">
        <v>46154</v>
      </c>
      <c r="I209" s="12" t="s">
        <v>1734</v>
      </c>
      <c r="J209" s="13" t="s">
        <v>30</v>
      </c>
      <c r="K209" s="14" t="str">
        <f>HYPERLINK("http://mpro.prangroup.com:4000/CreativeWorks/Edit/33273","Open")</f>
        <v>Open</v>
      </c>
    </row>
    <row r="210" spans="1:11" ht="13.2">
      <c r="A210" s="4" t="s">
        <v>1131</v>
      </c>
      <c r="B210" s="5" t="s">
        <v>41</v>
      </c>
      <c r="C210" s="6" t="s">
        <v>245</v>
      </c>
      <c r="D210" s="7" t="s">
        <v>1132</v>
      </c>
      <c r="E210" s="8" t="s">
        <v>63</v>
      </c>
      <c r="F210" s="9" t="s">
        <v>17</v>
      </c>
      <c r="G210" s="10">
        <v>1</v>
      </c>
      <c r="H210" s="11">
        <v>46154</v>
      </c>
      <c r="I210" s="12" t="s">
        <v>1735</v>
      </c>
      <c r="J210" s="13" t="s">
        <v>30</v>
      </c>
      <c r="K210" s="14" t="str">
        <f>HYPERLINK("http://mpro.prangroup.com:4000/CreativeWorks/Edit/33270","Open")</f>
        <v>Open</v>
      </c>
    </row>
    <row r="211" spans="1:11" ht="13.2">
      <c r="A211" s="4" t="s">
        <v>745</v>
      </c>
      <c r="B211" s="5" t="s">
        <v>41</v>
      </c>
      <c r="C211" s="6" t="s">
        <v>1421</v>
      </c>
      <c r="D211" s="7" t="s">
        <v>1736</v>
      </c>
      <c r="E211" s="8" t="s">
        <v>748</v>
      </c>
      <c r="F211" s="9" t="s">
        <v>17</v>
      </c>
      <c r="G211" s="10">
        <v>34</v>
      </c>
      <c r="H211" s="11">
        <v>46154</v>
      </c>
      <c r="I211" s="12" t="s">
        <v>1737</v>
      </c>
      <c r="J211" s="13" t="s">
        <v>30</v>
      </c>
      <c r="K211" s="14" t="str">
        <f>HYPERLINK("http://mpro.prangroup.com:4000/CreativeWorks/Edit/33261","Open")</f>
        <v>Open</v>
      </c>
    </row>
    <row r="212" spans="1:11" ht="13.2">
      <c r="A212" s="4" t="s">
        <v>1738</v>
      </c>
      <c r="B212" s="5" t="s">
        <v>1243</v>
      </c>
      <c r="C212" s="6" t="s">
        <v>1421</v>
      </c>
      <c r="D212" s="7" t="s">
        <v>1739</v>
      </c>
      <c r="E212" s="8" t="s">
        <v>63</v>
      </c>
      <c r="F212" s="9" t="s">
        <v>17</v>
      </c>
      <c r="G212" s="10">
        <v>8</v>
      </c>
      <c r="H212" s="11">
        <v>46154</v>
      </c>
      <c r="I212" s="12" t="s">
        <v>1740</v>
      </c>
      <c r="J212" s="13" t="s">
        <v>30</v>
      </c>
      <c r="K212" s="14" t="str">
        <f>HYPERLINK("http://mpro.prangroup.com:4000/CreativeWorks/Edit/33278","Open")</f>
        <v>Open</v>
      </c>
    </row>
    <row r="213" spans="1:11" ht="13.2">
      <c r="A213" s="4" t="s">
        <v>395</v>
      </c>
      <c r="B213" s="5" t="s">
        <v>185</v>
      </c>
      <c r="C213" s="6" t="s">
        <v>166</v>
      </c>
      <c r="D213" s="7" t="s">
        <v>1741</v>
      </c>
      <c r="E213" s="8" t="s">
        <v>302</v>
      </c>
      <c r="F213" s="9" t="s">
        <v>17</v>
      </c>
      <c r="G213" s="10">
        <v>2</v>
      </c>
      <c r="H213" s="11">
        <v>46154</v>
      </c>
      <c r="I213" s="12" t="s">
        <v>1742</v>
      </c>
      <c r="J213" s="13" t="s">
        <v>30</v>
      </c>
      <c r="K213" s="14" t="str">
        <f>HYPERLINK("http://mpro.prangroup.com:4000/CreativeWorks/Edit/33274","Open")</f>
        <v>Open</v>
      </c>
    </row>
    <row r="214" spans="1:11" ht="13.2">
      <c r="A214" s="4" t="s">
        <v>1138</v>
      </c>
      <c r="B214" s="5" t="s">
        <v>41</v>
      </c>
      <c r="C214" s="6" t="s">
        <v>1139</v>
      </c>
      <c r="D214" s="7" t="s">
        <v>1140</v>
      </c>
      <c r="E214" s="8" t="s">
        <v>302</v>
      </c>
      <c r="F214" s="9" t="s">
        <v>17</v>
      </c>
      <c r="G214" s="10">
        <v>6</v>
      </c>
      <c r="H214" s="11">
        <v>46154</v>
      </c>
      <c r="I214" s="12" t="s">
        <v>1743</v>
      </c>
      <c r="J214" s="13" t="s">
        <v>19</v>
      </c>
      <c r="K214" s="14" t="str">
        <f>HYPERLINK("http://mpro.prangroup.com:4000/CreativeWorks/Edit/33277","Open")</f>
        <v>Open</v>
      </c>
    </row>
    <row r="215" spans="1:11" ht="13.2">
      <c r="A215" s="4" t="s">
        <v>94</v>
      </c>
      <c r="B215" s="5" t="s">
        <v>41</v>
      </c>
      <c r="C215" s="6" t="s">
        <v>232</v>
      </c>
      <c r="D215" s="7" t="s">
        <v>1199</v>
      </c>
      <c r="E215" s="8" t="s">
        <v>1687</v>
      </c>
      <c r="F215" s="9" t="s">
        <v>17</v>
      </c>
      <c r="G215" s="10">
        <v>5</v>
      </c>
      <c r="H215" s="11">
        <v>46154</v>
      </c>
      <c r="I215" s="12" t="s">
        <v>1744</v>
      </c>
      <c r="J215" s="13" t="s">
        <v>30</v>
      </c>
      <c r="K215" s="14" t="str">
        <f t="shared" ref="K215:K216" si="14">HYPERLINK("http://mpro.prangroup.com:4000/CreativeWorks/Edit/33279","Open")</f>
        <v>Open</v>
      </c>
    </row>
    <row r="216" spans="1:11" ht="13.2">
      <c r="A216" s="4" t="s">
        <v>94</v>
      </c>
      <c r="B216" s="5" t="s">
        <v>41</v>
      </c>
      <c r="C216" s="6" t="s">
        <v>232</v>
      </c>
      <c r="D216" s="7" t="s">
        <v>1199</v>
      </c>
      <c r="E216" s="8" t="s">
        <v>302</v>
      </c>
      <c r="F216" s="9" t="s">
        <v>17</v>
      </c>
      <c r="G216" s="10">
        <v>3</v>
      </c>
      <c r="H216" s="11">
        <v>46154</v>
      </c>
      <c r="I216" s="12" t="s">
        <v>1744</v>
      </c>
      <c r="J216" s="13" t="s">
        <v>30</v>
      </c>
      <c r="K216" s="14" t="str">
        <f t="shared" si="14"/>
        <v>Open</v>
      </c>
    </row>
    <row r="217" spans="1:11" ht="13.2">
      <c r="A217" s="4" t="s">
        <v>1745</v>
      </c>
      <c r="B217" s="5" t="s">
        <v>144</v>
      </c>
      <c r="C217" s="6" t="s">
        <v>186</v>
      </c>
      <c r="D217" s="7" t="s">
        <v>1746</v>
      </c>
      <c r="E217" s="8" t="s">
        <v>505</v>
      </c>
      <c r="F217" s="9" t="s">
        <v>17</v>
      </c>
      <c r="G217" s="10">
        <v>1</v>
      </c>
      <c r="H217" s="11">
        <v>46154</v>
      </c>
      <c r="I217" s="12" t="s">
        <v>1747</v>
      </c>
      <c r="J217" s="13" t="s">
        <v>30</v>
      </c>
      <c r="K217" s="14" t="str">
        <f>HYPERLINK("http://mpro.prangroup.com:4000/CreativeWorks/Edit/33272","Open")</f>
        <v>Open</v>
      </c>
    </row>
    <row r="218" spans="1:11" ht="13.2">
      <c r="A218" s="4" t="s">
        <v>216</v>
      </c>
      <c r="B218" s="5" t="s">
        <v>217</v>
      </c>
      <c r="C218" s="6" t="s">
        <v>186</v>
      </c>
      <c r="D218" s="7" t="s">
        <v>561</v>
      </c>
      <c r="E218" s="8" t="s">
        <v>1077</v>
      </c>
      <c r="F218" s="9" t="s">
        <v>17</v>
      </c>
      <c r="G218" s="10">
        <v>1</v>
      </c>
      <c r="H218" s="11">
        <v>46154</v>
      </c>
      <c r="I218" s="12" t="s">
        <v>1748</v>
      </c>
      <c r="J218" s="13" t="s">
        <v>30</v>
      </c>
      <c r="K218" s="14" t="str">
        <f t="shared" ref="K218:K219" si="15">HYPERLINK("http://mpro.prangroup.com:4000/CreativeWorks/Edit/33271","Open")</f>
        <v>Open</v>
      </c>
    </row>
    <row r="219" spans="1:11" ht="13.2">
      <c r="A219" s="4" t="s">
        <v>216</v>
      </c>
      <c r="B219" s="5" t="s">
        <v>217</v>
      </c>
      <c r="C219" s="6" t="s">
        <v>186</v>
      </c>
      <c r="D219" s="7" t="s">
        <v>561</v>
      </c>
      <c r="E219" s="8" t="s">
        <v>302</v>
      </c>
      <c r="F219" s="9" t="s">
        <v>17</v>
      </c>
      <c r="G219" s="10">
        <v>1</v>
      </c>
      <c r="H219" s="11">
        <v>46154</v>
      </c>
      <c r="I219" s="12" t="s">
        <v>1748</v>
      </c>
      <c r="J219" s="13" t="s">
        <v>30</v>
      </c>
      <c r="K219" s="14" t="str">
        <f t="shared" si="15"/>
        <v>Open</v>
      </c>
    </row>
    <row r="220" spans="1:11" ht="13.2">
      <c r="A220" s="4" t="s">
        <v>1745</v>
      </c>
      <c r="B220" s="5" t="s">
        <v>144</v>
      </c>
      <c r="C220" s="6" t="s">
        <v>186</v>
      </c>
      <c r="D220" s="7" t="s">
        <v>1746</v>
      </c>
      <c r="E220" s="8" t="s">
        <v>302</v>
      </c>
      <c r="F220" s="9" t="s">
        <v>17</v>
      </c>
      <c r="G220" s="10">
        <v>1</v>
      </c>
      <c r="H220" s="11">
        <v>46154</v>
      </c>
      <c r="I220" s="12" t="s">
        <v>1747</v>
      </c>
      <c r="J220" s="13" t="s">
        <v>30</v>
      </c>
      <c r="K220" s="14" t="str">
        <f>HYPERLINK("http://mpro.prangroup.com:4000/CreativeWorks/Edit/33272","Open")</f>
        <v>Open</v>
      </c>
    </row>
    <row r="221" spans="1:11" ht="13.2">
      <c r="A221" s="4" t="s">
        <v>745</v>
      </c>
      <c r="B221" s="5" t="s">
        <v>41</v>
      </c>
      <c r="C221" s="6" t="s">
        <v>746</v>
      </c>
      <c r="D221" s="7" t="s">
        <v>1749</v>
      </c>
      <c r="E221" s="8" t="s">
        <v>63</v>
      </c>
      <c r="F221" s="9" t="s">
        <v>17</v>
      </c>
      <c r="G221" s="10">
        <v>1</v>
      </c>
      <c r="H221" s="11">
        <v>46155</v>
      </c>
      <c r="I221" s="12" t="s">
        <v>1750</v>
      </c>
      <c r="J221" s="13" t="s">
        <v>30</v>
      </c>
      <c r="K221" s="14" t="str">
        <f>HYPERLINK("http://mpro.prangroup.com:4000/CreativeWorks/Edit/33404","Open")</f>
        <v>Open</v>
      </c>
    </row>
    <row r="222" spans="1:11" ht="13.2">
      <c r="A222" s="4" t="s">
        <v>745</v>
      </c>
      <c r="B222" s="5" t="s">
        <v>41</v>
      </c>
      <c r="C222" s="6" t="s">
        <v>746</v>
      </c>
      <c r="D222" s="7" t="s">
        <v>1751</v>
      </c>
      <c r="E222" s="8" t="s">
        <v>63</v>
      </c>
      <c r="F222" s="9" t="s">
        <v>17</v>
      </c>
      <c r="G222" s="10">
        <v>1</v>
      </c>
      <c r="H222" s="11">
        <v>46155</v>
      </c>
      <c r="I222" s="12" t="s">
        <v>1752</v>
      </c>
      <c r="J222" s="13" t="s">
        <v>30</v>
      </c>
      <c r="K222" s="14" t="str">
        <f>HYPERLINK("http://mpro.prangroup.com:4000/CreativeWorks/Edit/33388","Open")</f>
        <v>Open</v>
      </c>
    </row>
    <row r="223" spans="1:11" ht="13.2">
      <c r="A223" s="4" t="s">
        <v>745</v>
      </c>
      <c r="B223" s="5" t="s">
        <v>41</v>
      </c>
      <c r="C223" s="6" t="s">
        <v>1421</v>
      </c>
      <c r="D223" s="7" t="s">
        <v>1753</v>
      </c>
      <c r="E223" s="8" t="s">
        <v>748</v>
      </c>
      <c r="F223" s="9" t="s">
        <v>17</v>
      </c>
      <c r="G223" s="10">
        <v>30</v>
      </c>
      <c r="H223" s="11">
        <v>46155</v>
      </c>
      <c r="I223" s="12" t="s">
        <v>1754</v>
      </c>
      <c r="J223" s="13" t="s">
        <v>30</v>
      </c>
      <c r="K223" s="14" t="str">
        <f>HYPERLINK("http://mpro.prangroup.com:4000/CreativeWorks/Edit/33407","Open")</f>
        <v>Open</v>
      </c>
    </row>
    <row r="224" spans="1:11" ht="13.2">
      <c r="A224" s="4" t="s">
        <v>745</v>
      </c>
      <c r="B224" s="5" t="s">
        <v>41</v>
      </c>
      <c r="C224" s="6" t="s">
        <v>1421</v>
      </c>
      <c r="D224" s="7" t="s">
        <v>1753</v>
      </c>
      <c r="E224" s="8" t="s">
        <v>748</v>
      </c>
      <c r="F224" s="9" t="s">
        <v>17</v>
      </c>
      <c r="G224" s="10">
        <v>30</v>
      </c>
      <c r="H224" s="11">
        <v>46155</v>
      </c>
      <c r="I224" s="12" t="s">
        <v>1755</v>
      </c>
      <c r="J224" s="13" t="s">
        <v>30</v>
      </c>
      <c r="K224" s="14" t="str">
        <f>HYPERLINK("http://mpro.prangroup.com:4000/CreativeWorks/Edit/33408","Open")</f>
        <v>Open</v>
      </c>
    </row>
    <row r="225" spans="1:11" ht="13.2">
      <c r="A225" s="4" t="s">
        <v>1756</v>
      </c>
      <c r="B225" s="5" t="s">
        <v>1243</v>
      </c>
      <c r="C225" s="6" t="s">
        <v>1421</v>
      </c>
      <c r="D225" s="7" t="s">
        <v>1757</v>
      </c>
      <c r="E225" s="8" t="s">
        <v>63</v>
      </c>
      <c r="F225" s="9" t="s">
        <v>17</v>
      </c>
      <c r="G225" s="10">
        <v>2</v>
      </c>
      <c r="H225" s="11">
        <v>46155</v>
      </c>
      <c r="I225" s="12" t="s">
        <v>1758</v>
      </c>
      <c r="J225" s="13" t="s">
        <v>30</v>
      </c>
      <c r="K225" s="14" t="str">
        <f>HYPERLINK("http://mpro.prangroup.com:4000/CreativeWorks/Edit/33387","Open")</f>
        <v>Open</v>
      </c>
    </row>
    <row r="226" spans="1:11" ht="13.2">
      <c r="A226" s="4" t="s">
        <v>138</v>
      </c>
      <c r="B226" s="5" t="s">
        <v>139</v>
      </c>
      <c r="C226" s="6" t="s">
        <v>166</v>
      </c>
      <c r="D226" s="7" t="s">
        <v>1759</v>
      </c>
      <c r="E226" s="8" t="s">
        <v>63</v>
      </c>
      <c r="F226" s="9" t="s">
        <v>17</v>
      </c>
      <c r="G226" s="10">
        <v>2</v>
      </c>
      <c r="H226" s="11">
        <v>46155</v>
      </c>
      <c r="I226" s="12" t="s">
        <v>1760</v>
      </c>
      <c r="J226" s="13" t="s">
        <v>30</v>
      </c>
      <c r="K226" s="14" t="str">
        <f>HYPERLINK("http://mpro.prangroup.com:4000/CreativeWorks/Edit/33410","Open")</f>
        <v>Open</v>
      </c>
    </row>
    <row r="227" spans="1:11" ht="13.2">
      <c r="A227" s="4" t="s">
        <v>138</v>
      </c>
      <c r="B227" s="5" t="s">
        <v>139</v>
      </c>
      <c r="C227" s="6" t="s">
        <v>166</v>
      </c>
      <c r="D227" s="7" t="s">
        <v>530</v>
      </c>
      <c r="E227" s="8" t="s">
        <v>302</v>
      </c>
      <c r="F227" s="9" t="s">
        <v>17</v>
      </c>
      <c r="G227" s="10">
        <v>2</v>
      </c>
      <c r="H227" s="11">
        <v>46155</v>
      </c>
      <c r="I227" s="12" t="s">
        <v>1761</v>
      </c>
      <c r="J227" s="13" t="s">
        <v>30</v>
      </c>
      <c r="K227" s="14" t="str">
        <f>HYPERLINK("http://mpro.prangroup.com:4000/CreativeWorks/Edit/33409","Open")</f>
        <v>Open</v>
      </c>
    </row>
    <row r="228" spans="1:11" ht="13.2">
      <c r="A228" s="4" t="s">
        <v>117</v>
      </c>
      <c r="B228" s="5" t="s">
        <v>32</v>
      </c>
      <c r="C228" s="6" t="s">
        <v>232</v>
      </c>
      <c r="D228" s="7" t="s">
        <v>1148</v>
      </c>
      <c r="E228" s="8" t="s">
        <v>302</v>
      </c>
      <c r="F228" s="9" t="s">
        <v>17</v>
      </c>
      <c r="G228" s="10">
        <v>5</v>
      </c>
      <c r="H228" s="11">
        <v>46155</v>
      </c>
      <c r="I228" s="12" t="s">
        <v>1762</v>
      </c>
      <c r="J228" s="13" t="s">
        <v>30</v>
      </c>
      <c r="K228" s="14" t="str">
        <f>HYPERLINK("http://mpro.prangroup.com:4000/CreativeWorks/Edit/33384","Open")</f>
        <v>Open</v>
      </c>
    </row>
    <row r="229" spans="1:11" ht="13.2">
      <c r="A229" s="4" t="s">
        <v>117</v>
      </c>
      <c r="B229" s="5" t="s">
        <v>32</v>
      </c>
      <c r="C229" s="6" t="s">
        <v>232</v>
      </c>
      <c r="D229" s="7" t="s">
        <v>1763</v>
      </c>
      <c r="E229" s="8" t="s">
        <v>302</v>
      </c>
      <c r="F229" s="9" t="s">
        <v>17</v>
      </c>
      <c r="G229" s="10">
        <v>5</v>
      </c>
      <c r="H229" s="11">
        <v>46155</v>
      </c>
      <c r="I229" s="12" t="s">
        <v>1764</v>
      </c>
      <c r="J229" s="13" t="s">
        <v>30</v>
      </c>
      <c r="K229" s="14" t="str">
        <f>HYPERLINK("http://mpro.prangroup.com:4000/CreativeWorks/Edit/33385","Open")</f>
        <v>Open</v>
      </c>
    </row>
    <row r="230" spans="1:11" ht="13.2">
      <c r="A230" s="4" t="s">
        <v>216</v>
      </c>
      <c r="B230" s="5" t="s">
        <v>217</v>
      </c>
      <c r="C230" s="6" t="s">
        <v>186</v>
      </c>
      <c r="D230" s="7" t="s">
        <v>1289</v>
      </c>
      <c r="E230" s="8" t="s">
        <v>302</v>
      </c>
      <c r="F230" s="9" t="s">
        <v>17</v>
      </c>
      <c r="G230" s="10">
        <v>6</v>
      </c>
      <c r="H230" s="11">
        <v>46155</v>
      </c>
      <c r="I230" s="12" t="s">
        <v>1765</v>
      </c>
      <c r="J230" s="13" t="s">
        <v>30</v>
      </c>
      <c r="K230" s="14" t="str">
        <f>HYPERLINK("http://mpro.prangroup.com:4000/CreativeWorks/Edit/33406","Open")</f>
        <v>Open</v>
      </c>
    </row>
    <row r="231" spans="1:11" ht="13.2">
      <c r="A231" s="4" t="s">
        <v>1399</v>
      </c>
      <c r="B231" s="5" t="s">
        <v>916</v>
      </c>
      <c r="C231" s="6" t="s">
        <v>746</v>
      </c>
      <c r="D231" s="7" t="s">
        <v>1766</v>
      </c>
      <c r="E231" s="8" t="s">
        <v>748</v>
      </c>
      <c r="F231" s="9" t="s">
        <v>17</v>
      </c>
      <c r="G231" s="10">
        <v>8</v>
      </c>
      <c r="H231" s="11">
        <v>46156</v>
      </c>
      <c r="I231" s="12" t="s">
        <v>1767</v>
      </c>
      <c r="J231" s="13" t="s">
        <v>30</v>
      </c>
      <c r="K231" s="14" t="str">
        <f>HYPERLINK("http://mpro.prangroup.com:4000/CreativeWorks/Edit/33529","Open")</f>
        <v>Open</v>
      </c>
    </row>
    <row r="232" spans="1:11" ht="13.2">
      <c r="A232" s="4" t="s">
        <v>1396</v>
      </c>
      <c r="B232" s="5" t="s">
        <v>916</v>
      </c>
      <c r="C232" s="6" t="s">
        <v>746</v>
      </c>
      <c r="D232" s="7" t="s">
        <v>1768</v>
      </c>
      <c r="E232" s="8" t="s">
        <v>748</v>
      </c>
      <c r="F232" s="9" t="s">
        <v>17</v>
      </c>
      <c r="G232" s="10">
        <v>3</v>
      </c>
      <c r="H232" s="11">
        <v>46156</v>
      </c>
      <c r="I232" s="12" t="s">
        <v>1769</v>
      </c>
      <c r="J232" s="13" t="s">
        <v>30</v>
      </c>
      <c r="K232" s="14" t="str">
        <f>HYPERLINK("http://mpro.prangroup.com:4000/CreativeWorks/Edit/33539","Open")</f>
        <v>Open</v>
      </c>
    </row>
    <row r="233" spans="1:11" ht="13.2">
      <c r="A233" s="4" t="s">
        <v>1399</v>
      </c>
      <c r="B233" s="5" t="s">
        <v>916</v>
      </c>
      <c r="C233" s="6" t="s">
        <v>746</v>
      </c>
      <c r="D233" s="7" t="s">
        <v>1770</v>
      </c>
      <c r="E233" s="8" t="s">
        <v>63</v>
      </c>
      <c r="F233" s="9" t="s">
        <v>17</v>
      </c>
      <c r="G233" s="10">
        <v>2</v>
      </c>
      <c r="H233" s="11">
        <v>46156</v>
      </c>
      <c r="I233" s="12" t="s">
        <v>1771</v>
      </c>
      <c r="J233" s="13" t="s">
        <v>30</v>
      </c>
      <c r="K233" s="14" t="str">
        <f>HYPERLINK("http://mpro.prangroup.com:4000/CreativeWorks/Edit/33509","Open")</f>
        <v>Open</v>
      </c>
    </row>
    <row r="234" spans="1:11" ht="13.2">
      <c r="A234" s="4" t="s">
        <v>1708</v>
      </c>
      <c r="B234" s="5" t="s">
        <v>32</v>
      </c>
      <c r="C234" s="6" t="s">
        <v>746</v>
      </c>
      <c r="D234" s="7" t="s">
        <v>1772</v>
      </c>
      <c r="E234" s="8" t="s">
        <v>63</v>
      </c>
      <c r="F234" s="9" t="s">
        <v>17</v>
      </c>
      <c r="G234" s="10">
        <v>2</v>
      </c>
      <c r="H234" s="11">
        <v>46156</v>
      </c>
      <c r="I234" s="12" t="s">
        <v>1773</v>
      </c>
      <c r="J234" s="13" t="s">
        <v>30</v>
      </c>
      <c r="K234" s="14" t="str">
        <f>HYPERLINK("http://mpro.prangroup.com:4000/CreativeWorks/Edit/33567","Open")</f>
        <v>Open</v>
      </c>
    </row>
    <row r="235" spans="1:11" ht="13.2">
      <c r="A235" s="4" t="s">
        <v>745</v>
      </c>
      <c r="B235" s="5" t="s">
        <v>41</v>
      </c>
      <c r="C235" s="6" t="s">
        <v>746</v>
      </c>
      <c r="D235" s="7" t="s">
        <v>1774</v>
      </c>
      <c r="E235" s="8" t="s">
        <v>63</v>
      </c>
      <c r="F235" s="9" t="s">
        <v>17</v>
      </c>
      <c r="G235" s="10">
        <v>1</v>
      </c>
      <c r="H235" s="11">
        <v>46156</v>
      </c>
      <c r="I235" s="12" t="s">
        <v>1775</v>
      </c>
      <c r="J235" s="13" t="s">
        <v>30</v>
      </c>
      <c r="K235" s="14" t="str">
        <f>HYPERLINK("http://mpro.prangroup.com:4000/CreativeWorks/Edit/33513","Open")</f>
        <v>Open</v>
      </c>
    </row>
    <row r="236" spans="1:11" ht="13.2">
      <c r="A236" s="4" t="s">
        <v>1587</v>
      </c>
      <c r="B236" s="5" t="s">
        <v>916</v>
      </c>
      <c r="C236" s="6" t="s">
        <v>746</v>
      </c>
      <c r="D236" s="7" t="s">
        <v>1776</v>
      </c>
      <c r="E236" s="8" t="s">
        <v>63</v>
      </c>
      <c r="F236" s="9" t="s">
        <v>17</v>
      </c>
      <c r="G236" s="10">
        <v>2</v>
      </c>
      <c r="H236" s="11">
        <v>46156</v>
      </c>
      <c r="I236" s="12" t="s">
        <v>1777</v>
      </c>
      <c r="J236" s="13" t="s">
        <v>30</v>
      </c>
      <c r="K236" s="14" t="str">
        <f>HYPERLINK("http://mpro.prangroup.com:4000/CreativeWorks/Edit/33514","Open")</f>
        <v>Open</v>
      </c>
    </row>
    <row r="237" spans="1:11" ht="13.2">
      <c r="A237" s="4" t="s">
        <v>1396</v>
      </c>
      <c r="B237" s="5" t="s">
        <v>916</v>
      </c>
      <c r="C237" s="6" t="s">
        <v>746</v>
      </c>
      <c r="D237" s="7" t="s">
        <v>1768</v>
      </c>
      <c r="E237" s="8" t="s">
        <v>63</v>
      </c>
      <c r="F237" s="9" t="s">
        <v>17</v>
      </c>
      <c r="G237" s="10">
        <v>1</v>
      </c>
      <c r="H237" s="11">
        <v>46156</v>
      </c>
      <c r="I237" s="12" t="s">
        <v>1769</v>
      </c>
      <c r="J237" s="13" t="s">
        <v>30</v>
      </c>
      <c r="K237" s="14" t="str">
        <f>HYPERLINK("http://mpro.prangroup.com:4000/CreativeWorks/Edit/33539","Open")</f>
        <v>Open</v>
      </c>
    </row>
    <row r="238" spans="1:11" ht="13.2">
      <c r="A238" s="4" t="s">
        <v>1587</v>
      </c>
      <c r="B238" s="5" t="s">
        <v>916</v>
      </c>
      <c r="C238" s="6" t="s">
        <v>746</v>
      </c>
      <c r="D238" s="7" t="s">
        <v>1778</v>
      </c>
      <c r="E238" s="8" t="s">
        <v>63</v>
      </c>
      <c r="F238" s="9" t="s">
        <v>17</v>
      </c>
      <c r="G238" s="10">
        <v>5</v>
      </c>
      <c r="H238" s="11">
        <v>46156</v>
      </c>
      <c r="I238" s="12" t="s">
        <v>1779</v>
      </c>
      <c r="J238" s="13" t="s">
        <v>30</v>
      </c>
      <c r="K238" s="14" t="str">
        <f>HYPERLINK("http://mpro.prangroup.com:4000/CreativeWorks/Edit/33555","Open")</f>
        <v>Open</v>
      </c>
    </row>
    <row r="239" spans="1:11" ht="13.2">
      <c r="A239" s="4" t="s">
        <v>745</v>
      </c>
      <c r="B239" s="5" t="s">
        <v>41</v>
      </c>
      <c r="C239" s="6" t="s">
        <v>746</v>
      </c>
      <c r="D239" s="7" t="s">
        <v>1780</v>
      </c>
      <c r="E239" s="8" t="s">
        <v>63</v>
      </c>
      <c r="F239" s="9" t="s">
        <v>17</v>
      </c>
      <c r="G239" s="10">
        <v>7</v>
      </c>
      <c r="H239" s="11">
        <v>46156</v>
      </c>
      <c r="I239" s="12" t="s">
        <v>1781</v>
      </c>
      <c r="J239" s="13" t="s">
        <v>30</v>
      </c>
      <c r="K239" s="14" t="str">
        <f>HYPERLINK("http://mpro.prangroup.com:4000/CreativeWorks/Edit/33557","Open")</f>
        <v>Open</v>
      </c>
    </row>
    <row r="240" spans="1:11" ht="13.2">
      <c r="A240" s="4" t="s">
        <v>745</v>
      </c>
      <c r="B240" s="5" t="s">
        <v>41</v>
      </c>
      <c r="C240" s="6" t="s">
        <v>746</v>
      </c>
      <c r="D240" s="7" t="s">
        <v>1782</v>
      </c>
      <c r="E240" s="8" t="s">
        <v>63</v>
      </c>
      <c r="F240" s="9" t="s">
        <v>17</v>
      </c>
      <c r="G240" s="10">
        <v>1</v>
      </c>
      <c r="H240" s="11">
        <v>46156</v>
      </c>
      <c r="I240" s="12" t="s">
        <v>1783</v>
      </c>
      <c r="J240" s="13" t="s">
        <v>30</v>
      </c>
      <c r="K240" s="14" t="str">
        <f>HYPERLINK("http://mpro.prangroup.com:4000/CreativeWorks/Edit/33507","Open")</f>
        <v>Open</v>
      </c>
    </row>
    <row r="241" spans="1:11" ht="13.2">
      <c r="A241" s="4" t="s">
        <v>1399</v>
      </c>
      <c r="B241" s="5" t="s">
        <v>916</v>
      </c>
      <c r="C241" s="6" t="s">
        <v>746</v>
      </c>
      <c r="D241" s="7" t="s">
        <v>1766</v>
      </c>
      <c r="E241" s="8" t="s">
        <v>63</v>
      </c>
      <c r="F241" s="9" t="s">
        <v>17</v>
      </c>
      <c r="G241" s="10">
        <v>2</v>
      </c>
      <c r="H241" s="11">
        <v>46156</v>
      </c>
      <c r="I241" s="12" t="s">
        <v>1767</v>
      </c>
      <c r="J241" s="13" t="s">
        <v>30</v>
      </c>
      <c r="K241" s="14" t="str">
        <f>HYPERLINK("http://mpro.prangroup.com:4000/CreativeWorks/Edit/33529","Open")</f>
        <v>Open</v>
      </c>
    </row>
    <row r="242" spans="1:11" ht="13.2">
      <c r="A242" s="4" t="s">
        <v>1784</v>
      </c>
      <c r="B242" s="5" t="s">
        <v>32</v>
      </c>
      <c r="C242" s="6" t="s">
        <v>114</v>
      </c>
      <c r="D242" s="7" t="s">
        <v>1785</v>
      </c>
      <c r="E242" s="8" t="s">
        <v>302</v>
      </c>
      <c r="F242" s="9" t="s">
        <v>17</v>
      </c>
      <c r="G242" s="10">
        <v>4</v>
      </c>
      <c r="H242" s="11">
        <v>46156</v>
      </c>
      <c r="I242" s="12" t="s">
        <v>1786</v>
      </c>
      <c r="J242" s="13" t="s">
        <v>30</v>
      </c>
      <c r="K242" s="14" t="str">
        <f>HYPERLINK("http://mpro.prangroup.com:4000/CreativeWorks/Edit/33553","Open")</f>
        <v>Open</v>
      </c>
    </row>
    <row r="243" spans="1:11" ht="13.2">
      <c r="A243" s="4" t="s">
        <v>1131</v>
      </c>
      <c r="B243" s="5" t="s">
        <v>41</v>
      </c>
      <c r="C243" s="6" t="s">
        <v>245</v>
      </c>
      <c r="D243" s="7" t="s">
        <v>1163</v>
      </c>
      <c r="E243" s="8" t="s">
        <v>63</v>
      </c>
      <c r="F243" s="9" t="s">
        <v>17</v>
      </c>
      <c r="G243" s="10">
        <v>1</v>
      </c>
      <c r="H243" s="11">
        <v>46156</v>
      </c>
      <c r="I243" s="12" t="s">
        <v>1787</v>
      </c>
      <c r="J243" s="13" t="s">
        <v>30</v>
      </c>
      <c r="K243" s="14" t="str">
        <f>HYPERLINK("http://mpro.prangroup.com:4000/CreativeWorks/Edit/33505","Open")</f>
        <v>Open</v>
      </c>
    </row>
    <row r="244" spans="1:11" ht="13.2">
      <c r="A244" s="4" t="s">
        <v>1399</v>
      </c>
      <c r="B244" s="5" t="s">
        <v>916</v>
      </c>
      <c r="C244" s="6" t="s">
        <v>1421</v>
      </c>
      <c r="D244" s="7" t="s">
        <v>1788</v>
      </c>
      <c r="E244" s="8" t="s">
        <v>63</v>
      </c>
      <c r="F244" s="9" t="s">
        <v>17</v>
      </c>
      <c r="G244" s="10">
        <v>3</v>
      </c>
      <c r="H244" s="11">
        <v>46156</v>
      </c>
      <c r="I244" s="12" t="s">
        <v>1789</v>
      </c>
      <c r="J244" s="13" t="s">
        <v>30</v>
      </c>
      <c r="K244" s="14" t="str">
        <f>HYPERLINK("http://mpro.prangroup.com:4000/CreativeWorks/Edit/33527","Open")</f>
        <v>Open</v>
      </c>
    </row>
    <row r="245" spans="1:11" ht="13.2">
      <c r="A245" s="4" t="s">
        <v>745</v>
      </c>
      <c r="B245" s="5" t="s">
        <v>41</v>
      </c>
      <c r="C245" s="6" t="s">
        <v>1421</v>
      </c>
      <c r="D245" s="7" t="s">
        <v>1790</v>
      </c>
      <c r="E245" s="8" t="s">
        <v>63</v>
      </c>
      <c r="F245" s="9" t="s">
        <v>17</v>
      </c>
      <c r="G245" s="10">
        <v>3</v>
      </c>
      <c r="H245" s="11">
        <v>46156</v>
      </c>
      <c r="I245" s="12" t="s">
        <v>1791</v>
      </c>
      <c r="J245" s="13" t="s">
        <v>30</v>
      </c>
      <c r="K245" s="14" t="str">
        <f>HYPERLINK("http://mpro.prangroup.com:4000/CreativeWorks/Edit/33558","Open")</f>
        <v>Open</v>
      </c>
    </row>
    <row r="246" spans="1:11" ht="13.2">
      <c r="A246" s="4" t="s">
        <v>1399</v>
      </c>
      <c r="B246" s="5" t="s">
        <v>916</v>
      </c>
      <c r="C246" s="6" t="s">
        <v>1421</v>
      </c>
      <c r="D246" s="7" t="s">
        <v>1792</v>
      </c>
      <c r="E246" s="8" t="s">
        <v>63</v>
      </c>
      <c r="F246" s="9" t="s">
        <v>17</v>
      </c>
      <c r="G246" s="10">
        <v>1</v>
      </c>
      <c r="H246" s="11">
        <v>46156</v>
      </c>
      <c r="I246" s="12" t="s">
        <v>1793</v>
      </c>
      <c r="J246" s="13" t="s">
        <v>30</v>
      </c>
      <c r="K246" s="14" t="str">
        <f>HYPERLINK("http://mpro.prangroup.com:4000/CreativeWorks/Edit/33525","Open")</f>
        <v>Open</v>
      </c>
    </row>
    <row r="247" spans="1:11" ht="13.2">
      <c r="A247" s="4" t="s">
        <v>1396</v>
      </c>
      <c r="B247" s="5" t="s">
        <v>916</v>
      </c>
      <c r="C247" s="6" t="s">
        <v>1421</v>
      </c>
      <c r="D247" s="7" t="s">
        <v>1794</v>
      </c>
      <c r="E247" s="8" t="s">
        <v>63</v>
      </c>
      <c r="F247" s="9" t="s">
        <v>17</v>
      </c>
      <c r="G247" s="10">
        <v>4</v>
      </c>
      <c r="H247" s="11">
        <v>46156</v>
      </c>
      <c r="I247" s="12" t="s">
        <v>1795</v>
      </c>
      <c r="J247" s="13" t="s">
        <v>30</v>
      </c>
      <c r="K247" s="14" t="str">
        <f>HYPERLINK("http://mpro.prangroup.com:4000/CreativeWorks/Edit/33550","Open")</f>
        <v>Open</v>
      </c>
    </row>
    <row r="248" spans="1:11" ht="13.2">
      <c r="A248" s="4" t="s">
        <v>1399</v>
      </c>
      <c r="B248" s="5" t="s">
        <v>916</v>
      </c>
      <c r="C248" s="6" t="s">
        <v>1421</v>
      </c>
      <c r="D248" s="7" t="s">
        <v>1796</v>
      </c>
      <c r="E248" s="8" t="s">
        <v>63</v>
      </c>
      <c r="F248" s="9" t="s">
        <v>17</v>
      </c>
      <c r="G248" s="10">
        <v>1</v>
      </c>
      <c r="H248" s="11">
        <v>46156</v>
      </c>
      <c r="I248" s="12" t="s">
        <v>1797</v>
      </c>
      <c r="J248" s="13" t="s">
        <v>30</v>
      </c>
      <c r="K248" s="14" t="str">
        <f>HYPERLINK("http://mpro.prangroup.com:4000/CreativeWorks/Edit/33571","Open")</f>
        <v>Open</v>
      </c>
    </row>
    <row r="249" spans="1:11" ht="13.2">
      <c r="A249" s="4" t="s">
        <v>563</v>
      </c>
      <c r="B249" s="5" t="s">
        <v>60</v>
      </c>
      <c r="C249" s="6" t="s">
        <v>275</v>
      </c>
      <c r="D249" s="7" t="s">
        <v>1798</v>
      </c>
      <c r="E249" s="8" t="s">
        <v>1077</v>
      </c>
      <c r="F249" s="9" t="s">
        <v>17</v>
      </c>
      <c r="G249" s="10">
        <v>2</v>
      </c>
      <c r="H249" s="11">
        <v>46156</v>
      </c>
      <c r="I249" s="12" t="s">
        <v>1799</v>
      </c>
      <c r="J249" s="13" t="s">
        <v>30</v>
      </c>
      <c r="K249" s="14" t="str">
        <f>HYPERLINK("http://mpro.prangroup.com:4000/CreativeWorks/Edit/33516","Open")</f>
        <v>Open</v>
      </c>
    </row>
    <row r="250" spans="1:11" ht="13.2">
      <c r="A250" s="4" t="s">
        <v>549</v>
      </c>
      <c r="B250" s="5" t="s">
        <v>178</v>
      </c>
      <c r="C250" s="6" t="s">
        <v>275</v>
      </c>
      <c r="D250" s="7" t="s">
        <v>572</v>
      </c>
      <c r="E250" s="8" t="s">
        <v>63</v>
      </c>
      <c r="F250" s="9" t="s">
        <v>17</v>
      </c>
      <c r="G250" s="10">
        <v>5</v>
      </c>
      <c r="H250" s="11">
        <v>46156</v>
      </c>
      <c r="I250" s="12" t="s">
        <v>1800</v>
      </c>
      <c r="J250" s="13" t="s">
        <v>30</v>
      </c>
      <c r="K250" s="14" t="str">
        <f>HYPERLINK("http://mpro.prangroup.com:4000/CreativeWorks/Edit/33566","Open")</f>
        <v>Open</v>
      </c>
    </row>
    <row r="251" spans="1:11" ht="13.2">
      <c r="A251" s="4" t="s">
        <v>1801</v>
      </c>
      <c r="B251" s="5" t="s">
        <v>60</v>
      </c>
      <c r="C251" s="6" t="s">
        <v>275</v>
      </c>
      <c r="D251" s="7" t="s">
        <v>1802</v>
      </c>
      <c r="E251" s="8" t="s">
        <v>63</v>
      </c>
      <c r="F251" s="9" t="s">
        <v>17</v>
      </c>
      <c r="G251" s="10">
        <v>2</v>
      </c>
      <c r="H251" s="11">
        <v>46156</v>
      </c>
      <c r="I251" s="12" t="s">
        <v>1803</v>
      </c>
      <c r="J251" s="13" t="s">
        <v>30</v>
      </c>
      <c r="K251" s="14" t="str">
        <f>HYPERLINK("http://mpro.prangroup.com:4000/CreativeWorks/Edit/33564","Open")</f>
        <v>Open</v>
      </c>
    </row>
    <row r="252" spans="1:11" ht="13.2">
      <c r="A252" s="4" t="s">
        <v>449</v>
      </c>
      <c r="B252" s="5" t="s">
        <v>144</v>
      </c>
      <c r="C252" s="6" t="s">
        <v>275</v>
      </c>
      <c r="D252" s="7" t="s">
        <v>508</v>
      </c>
      <c r="E252" s="8" t="s">
        <v>302</v>
      </c>
      <c r="F252" s="9" t="s">
        <v>17</v>
      </c>
      <c r="G252" s="10">
        <v>3</v>
      </c>
      <c r="H252" s="11">
        <v>46156</v>
      </c>
      <c r="I252" s="12" t="s">
        <v>1804</v>
      </c>
      <c r="J252" s="13" t="s">
        <v>30</v>
      </c>
      <c r="K252" s="14" t="str">
        <f>HYPERLINK("http://mpro.prangroup.com:4000/CreativeWorks/Edit/33530","Open")</f>
        <v>Open</v>
      </c>
    </row>
    <row r="253" spans="1:11" ht="13.2">
      <c r="A253" s="4" t="s">
        <v>40</v>
      </c>
      <c r="B253" s="5" t="s">
        <v>41</v>
      </c>
      <c r="C253" s="6" t="s">
        <v>166</v>
      </c>
      <c r="D253" s="7" t="s">
        <v>1805</v>
      </c>
      <c r="E253" s="8" t="s">
        <v>1077</v>
      </c>
      <c r="F253" s="9" t="s">
        <v>17</v>
      </c>
      <c r="G253" s="10">
        <v>12</v>
      </c>
      <c r="H253" s="11">
        <v>46156</v>
      </c>
      <c r="I253" s="12" t="s">
        <v>1806</v>
      </c>
      <c r="J253" s="13" t="s">
        <v>30</v>
      </c>
      <c r="K253" s="14" t="str">
        <f>HYPERLINK("http://mpro.prangroup.com:4000/CreativeWorks/Edit/33526","Open")</f>
        <v>Open</v>
      </c>
    </row>
    <row r="254" spans="1:11" ht="13.2">
      <c r="A254" s="4" t="s">
        <v>138</v>
      </c>
      <c r="B254" s="5" t="s">
        <v>139</v>
      </c>
      <c r="C254" s="6" t="s">
        <v>166</v>
      </c>
      <c r="D254" s="7" t="s">
        <v>1807</v>
      </c>
      <c r="E254" s="8" t="s">
        <v>63</v>
      </c>
      <c r="F254" s="9" t="s">
        <v>17</v>
      </c>
      <c r="G254" s="10">
        <v>2</v>
      </c>
      <c r="H254" s="11">
        <v>46156</v>
      </c>
      <c r="I254" s="12" t="s">
        <v>1808</v>
      </c>
      <c r="J254" s="13" t="s">
        <v>30</v>
      </c>
      <c r="K254" s="14" t="str">
        <f>HYPERLINK("http://mpro.prangroup.com:4000/CreativeWorks/Edit/33532","Open")</f>
        <v>Open</v>
      </c>
    </row>
    <row r="255" spans="1:11" ht="13.2">
      <c r="A255" s="4" t="s">
        <v>395</v>
      </c>
      <c r="B255" s="5" t="s">
        <v>185</v>
      </c>
      <c r="C255" s="6" t="s">
        <v>166</v>
      </c>
      <c r="D255" s="7" t="s">
        <v>1809</v>
      </c>
      <c r="E255" s="8" t="s">
        <v>302</v>
      </c>
      <c r="F255" s="9" t="s">
        <v>17</v>
      </c>
      <c r="G255" s="10">
        <v>1</v>
      </c>
      <c r="H255" s="11">
        <v>46156</v>
      </c>
      <c r="I255" s="12" t="s">
        <v>1810</v>
      </c>
      <c r="J255" s="13" t="s">
        <v>30</v>
      </c>
      <c r="K255" s="14" t="str">
        <f>HYPERLINK("http://mpro.prangroup.com:4000/CreativeWorks/Edit/33506","Open")</f>
        <v>Open</v>
      </c>
    </row>
    <row r="256" spans="1:11" ht="13.2">
      <c r="A256" s="4" t="s">
        <v>395</v>
      </c>
      <c r="B256" s="5" t="s">
        <v>185</v>
      </c>
      <c r="C256" s="6" t="s">
        <v>166</v>
      </c>
      <c r="D256" s="7" t="s">
        <v>1811</v>
      </c>
      <c r="E256" s="8" t="s">
        <v>302</v>
      </c>
      <c r="F256" s="9" t="s">
        <v>17</v>
      </c>
      <c r="G256" s="10">
        <v>4</v>
      </c>
      <c r="H256" s="11">
        <v>46156</v>
      </c>
      <c r="I256" s="12" t="s">
        <v>1812</v>
      </c>
      <c r="J256" s="13" t="s">
        <v>30</v>
      </c>
      <c r="K256" s="14" t="str">
        <f>HYPERLINK("http://mpro.prangroup.com:4000/CreativeWorks/Edit/33543","Open")</f>
        <v>Open</v>
      </c>
    </row>
    <row r="257" spans="1:11" ht="13.2">
      <c r="A257" s="4" t="s">
        <v>395</v>
      </c>
      <c r="B257" s="5" t="s">
        <v>185</v>
      </c>
      <c r="C257" s="6" t="s">
        <v>166</v>
      </c>
      <c r="D257" s="7" t="s">
        <v>1813</v>
      </c>
      <c r="E257" s="8" t="s">
        <v>302</v>
      </c>
      <c r="F257" s="9" t="s">
        <v>17</v>
      </c>
      <c r="G257" s="10">
        <v>2</v>
      </c>
      <c r="H257" s="11">
        <v>46156</v>
      </c>
      <c r="I257" s="12" t="s">
        <v>1814</v>
      </c>
      <c r="J257" s="13" t="s">
        <v>30</v>
      </c>
      <c r="K257" s="14" t="str">
        <f>HYPERLINK("http://mpro.prangroup.com:4000/CreativeWorks/Edit/33534","Open")</f>
        <v>Open</v>
      </c>
    </row>
    <row r="258" spans="1:11" ht="13.2">
      <c r="A258" s="4" t="s">
        <v>395</v>
      </c>
      <c r="B258" s="5" t="s">
        <v>185</v>
      </c>
      <c r="C258" s="6" t="s">
        <v>166</v>
      </c>
      <c r="D258" s="7" t="s">
        <v>1815</v>
      </c>
      <c r="E258" s="8" t="s">
        <v>1373</v>
      </c>
      <c r="F258" s="9" t="s">
        <v>17</v>
      </c>
      <c r="G258" s="10">
        <v>2</v>
      </c>
      <c r="H258" s="11">
        <v>46156</v>
      </c>
      <c r="I258" s="12" t="s">
        <v>1816</v>
      </c>
      <c r="J258" s="13" t="s">
        <v>30</v>
      </c>
      <c r="K258" s="14" t="str">
        <f>HYPERLINK("http://mpro.prangroup.com:4000/CreativeWorks/Edit/33500","Open")</f>
        <v>Open</v>
      </c>
    </row>
    <row r="259" spans="1:11" ht="13.2">
      <c r="A259" s="4" t="s">
        <v>328</v>
      </c>
      <c r="B259" s="5" t="s">
        <v>32</v>
      </c>
      <c r="C259" s="6" t="s">
        <v>232</v>
      </c>
      <c r="D259" s="7" t="s">
        <v>1234</v>
      </c>
      <c r="E259" s="8" t="s">
        <v>302</v>
      </c>
      <c r="F259" s="9" t="s">
        <v>17</v>
      </c>
      <c r="G259" s="10">
        <v>3</v>
      </c>
      <c r="H259" s="11">
        <v>46156</v>
      </c>
      <c r="I259" s="12" t="s">
        <v>1817</v>
      </c>
      <c r="J259" s="13" t="s">
        <v>30</v>
      </c>
      <c r="K259" s="14" t="str">
        <f>HYPERLINK("http://mpro.prangroup.com:4000/CreativeWorks/Edit/33528","Open")</f>
        <v>Open</v>
      </c>
    </row>
    <row r="260" spans="1:11" ht="13.2">
      <c r="A260" s="4" t="s">
        <v>549</v>
      </c>
      <c r="B260" s="5" t="s">
        <v>178</v>
      </c>
      <c r="C260" s="6" t="s">
        <v>186</v>
      </c>
      <c r="D260" s="7" t="s">
        <v>550</v>
      </c>
      <c r="E260" s="8" t="s">
        <v>302</v>
      </c>
      <c r="F260" s="9" t="s">
        <v>17</v>
      </c>
      <c r="G260" s="10">
        <v>6</v>
      </c>
      <c r="H260" s="11">
        <v>46156</v>
      </c>
      <c r="I260" s="12" t="s">
        <v>1818</v>
      </c>
      <c r="J260" s="13" t="s">
        <v>30</v>
      </c>
      <c r="K260" s="14" t="str">
        <f>HYPERLINK("http://mpro.prangroup.com:4000/CreativeWorks/Edit/33512","Open")</f>
        <v>Open</v>
      </c>
    </row>
    <row r="261" spans="1:11" ht="13.2">
      <c r="A261" s="4" t="s">
        <v>1819</v>
      </c>
      <c r="B261" s="5" t="s">
        <v>916</v>
      </c>
      <c r="C261" s="6" t="s">
        <v>746</v>
      </c>
      <c r="D261" s="41" t="s">
        <v>1820</v>
      </c>
      <c r="E261" s="8" t="s">
        <v>63</v>
      </c>
      <c r="F261" s="9" t="s">
        <v>17</v>
      </c>
      <c r="G261" s="10">
        <v>1</v>
      </c>
      <c r="H261" s="11">
        <v>46177</v>
      </c>
      <c r="I261" s="41" t="s">
        <v>1821</v>
      </c>
      <c r="J261" s="13" t="s">
        <v>30</v>
      </c>
      <c r="K261" s="14" t="str">
        <f>HYPERLINK("http://mpro.prangroup.com:4000/CreativeWorks/Edit/35528","Open")</f>
        <v>Open</v>
      </c>
    </row>
    <row r="262" spans="1:11" ht="13.2">
      <c r="A262" s="4" t="s">
        <v>1822</v>
      </c>
      <c r="B262" s="5" t="s">
        <v>101</v>
      </c>
      <c r="C262" s="6" t="s">
        <v>232</v>
      </c>
      <c r="D262" s="17" t="s">
        <v>596</v>
      </c>
      <c r="E262" s="8" t="s">
        <v>302</v>
      </c>
      <c r="F262" s="9" t="s">
        <v>17</v>
      </c>
      <c r="G262" s="10">
        <v>8</v>
      </c>
      <c r="H262" s="11">
        <v>46176</v>
      </c>
      <c r="I262" s="41" t="s">
        <v>1823</v>
      </c>
      <c r="J262" s="13" t="s">
        <v>30</v>
      </c>
      <c r="K262" s="14" t="str">
        <f>HYPERLINK("http://mpro.prangroup.com:4000/CreativeWorks/Edit/35446","Open")</f>
        <v>Open</v>
      </c>
    </row>
    <row r="263" spans="1:11" ht="13.2">
      <c r="A263" s="4" t="s">
        <v>1824</v>
      </c>
      <c r="B263" s="5" t="s">
        <v>32</v>
      </c>
      <c r="C263" s="6" t="s">
        <v>287</v>
      </c>
      <c r="D263" s="41" t="s">
        <v>1825</v>
      </c>
      <c r="E263" s="8" t="s">
        <v>302</v>
      </c>
      <c r="F263" s="9" t="s">
        <v>17</v>
      </c>
      <c r="G263" s="10">
        <v>5</v>
      </c>
      <c r="H263" s="11">
        <v>46177</v>
      </c>
      <c r="I263" s="41" t="s">
        <v>1826</v>
      </c>
      <c r="J263" s="13" t="s">
        <v>19</v>
      </c>
      <c r="K263" s="14" t="str">
        <f>HYPERLINK("http://mpro.prangroup.com:4000/CreativeWorks/Edit/35524","Open")</f>
        <v>Open</v>
      </c>
    </row>
    <row r="264" spans="1:11" ht="13.2">
      <c r="A264" s="17" t="s">
        <v>745</v>
      </c>
      <c r="B264" s="5" t="s">
        <v>916</v>
      </c>
      <c r="C264" s="6" t="s">
        <v>746</v>
      </c>
      <c r="D264" s="17" t="s">
        <v>1827</v>
      </c>
      <c r="E264" s="8" t="s">
        <v>748</v>
      </c>
      <c r="F264" s="9" t="s">
        <v>17</v>
      </c>
      <c r="G264" s="10">
        <v>23</v>
      </c>
      <c r="H264" s="11">
        <v>46176</v>
      </c>
      <c r="I264" s="41" t="s">
        <v>1828</v>
      </c>
      <c r="J264" s="13" t="s">
        <v>48</v>
      </c>
      <c r="K264" s="14" t="str">
        <f>HYPERLINK("http://mpro.prangroup.com:4000/CreativeWorks/Edit/35449","Open")</f>
        <v>Open</v>
      </c>
    </row>
    <row r="265" spans="1:11" ht="13.2">
      <c r="A265" s="4" t="s">
        <v>1829</v>
      </c>
      <c r="B265" s="5" t="s">
        <v>282</v>
      </c>
      <c r="C265" s="6" t="s">
        <v>232</v>
      </c>
      <c r="D265" s="41" t="s">
        <v>617</v>
      </c>
      <c r="E265" s="8" t="s">
        <v>302</v>
      </c>
      <c r="F265" s="9" t="s">
        <v>17</v>
      </c>
      <c r="G265" s="10">
        <v>2</v>
      </c>
      <c r="H265" s="11">
        <v>46179</v>
      </c>
      <c r="I265" s="41" t="s">
        <v>1830</v>
      </c>
      <c r="J265" s="13" t="s">
        <v>30</v>
      </c>
      <c r="K265" s="14" t="str">
        <f>HYPERLINK("http://mpro.prangroup.com:4000/CreativeWorks/Edit/35735","Open")</f>
        <v>Open</v>
      </c>
    </row>
    <row r="266" spans="1:11" ht="13.2">
      <c r="A266" s="4" t="s">
        <v>1831</v>
      </c>
      <c r="B266" s="5" t="s">
        <v>1832</v>
      </c>
      <c r="C266" s="6" t="s">
        <v>1421</v>
      </c>
      <c r="D266" s="41" t="s">
        <v>1833</v>
      </c>
      <c r="E266" s="8" t="s">
        <v>302</v>
      </c>
      <c r="F266" s="9" t="s">
        <v>17</v>
      </c>
      <c r="G266" s="10">
        <v>2</v>
      </c>
      <c r="H266" s="11">
        <v>46177</v>
      </c>
      <c r="I266" s="41" t="s">
        <v>1834</v>
      </c>
      <c r="J266" s="13" t="s">
        <v>30</v>
      </c>
      <c r="K266" s="14" t="str">
        <f>HYPERLINK("http://mpro.prangroup.com:4000/CreativeWorks/Edit/35526","Open")</f>
        <v>Open</v>
      </c>
    </row>
    <row r="267" spans="1:11" ht="13.2">
      <c r="A267" s="4" t="s">
        <v>1835</v>
      </c>
      <c r="B267" s="5" t="s">
        <v>185</v>
      </c>
      <c r="C267" s="6" t="s">
        <v>166</v>
      </c>
      <c r="D267" s="41" t="s">
        <v>642</v>
      </c>
      <c r="E267" s="8" t="s">
        <v>302</v>
      </c>
      <c r="F267" s="9" t="s">
        <v>17</v>
      </c>
      <c r="G267" s="10">
        <v>1</v>
      </c>
      <c r="H267" s="11">
        <v>46177</v>
      </c>
      <c r="I267" s="41" t="s">
        <v>1836</v>
      </c>
      <c r="J267" s="13" t="s">
        <v>30</v>
      </c>
      <c r="K267" s="14" t="str">
        <f>HYPERLINK("http://mpro.prangroup.com:4000/CreativeWorks/Edit/35525","Open")</f>
        <v>Open</v>
      </c>
    </row>
    <row r="268" spans="1:11" ht="13.2">
      <c r="A268" s="4" t="s">
        <v>1837</v>
      </c>
      <c r="B268" s="5" t="s">
        <v>144</v>
      </c>
      <c r="C268" s="6" t="s">
        <v>232</v>
      </c>
      <c r="D268" s="41" t="s">
        <v>1838</v>
      </c>
      <c r="E268" s="8" t="s">
        <v>302</v>
      </c>
      <c r="F268" s="9" t="s">
        <v>17</v>
      </c>
      <c r="G268" s="10">
        <v>3</v>
      </c>
      <c r="H268" s="11">
        <v>46177</v>
      </c>
      <c r="I268" s="17" t="s">
        <v>1839</v>
      </c>
      <c r="J268" s="13" t="s">
        <v>30</v>
      </c>
      <c r="K268" s="14" t="str">
        <f>HYPERLINK("http://mpro.prangroup.com:4000/CreativeWorks/Edit/35523","Open")</f>
        <v>Open</v>
      </c>
    </row>
    <row r="269" spans="1:11" ht="13.2">
      <c r="A269" s="4" t="s">
        <v>1840</v>
      </c>
      <c r="B269" s="5" t="s">
        <v>41</v>
      </c>
      <c r="C269" s="6" t="s">
        <v>1421</v>
      </c>
      <c r="D269" s="41" t="s">
        <v>1841</v>
      </c>
      <c r="E269" s="8" t="s">
        <v>63</v>
      </c>
      <c r="F269" s="9" t="s">
        <v>17</v>
      </c>
      <c r="G269" s="10">
        <v>1</v>
      </c>
      <c r="H269" s="11">
        <v>46179</v>
      </c>
      <c r="I269" s="41" t="s">
        <v>1842</v>
      </c>
      <c r="J269" s="13" t="s">
        <v>30</v>
      </c>
      <c r="K269" s="14" t="str">
        <f>HYPERLINK("http://mpro.prangroup.com:4000/CreativeWorks/Edit/35741","Open")</f>
        <v>Open</v>
      </c>
    </row>
    <row r="270" spans="1:11" ht="13.2">
      <c r="A270" s="4" t="s">
        <v>1843</v>
      </c>
      <c r="B270" s="5" t="s">
        <v>916</v>
      </c>
      <c r="C270" s="6" t="s">
        <v>1421</v>
      </c>
      <c r="D270" s="41" t="s">
        <v>1844</v>
      </c>
      <c r="E270" s="8" t="s">
        <v>63</v>
      </c>
      <c r="F270" s="9" t="s">
        <v>17</v>
      </c>
      <c r="G270" s="10">
        <v>2</v>
      </c>
      <c r="H270" s="11">
        <v>46179</v>
      </c>
      <c r="I270" s="41" t="s">
        <v>1845</v>
      </c>
      <c r="J270" s="13" t="s">
        <v>30</v>
      </c>
      <c r="K270" s="14" t="str">
        <f>HYPERLINK("http://mpro.prangroup.com:4000/CreativeWorks/Edit/35742","Open")</f>
        <v>Open</v>
      </c>
    </row>
    <row r="271" spans="1:11" ht="13.2">
      <c r="A271" s="4" t="s">
        <v>1846</v>
      </c>
      <c r="B271" s="5" t="s">
        <v>916</v>
      </c>
      <c r="C271" s="6" t="s">
        <v>1421</v>
      </c>
      <c r="D271" s="41" t="s">
        <v>1847</v>
      </c>
      <c r="E271" s="8" t="s">
        <v>63</v>
      </c>
      <c r="F271" s="9" t="s">
        <v>17</v>
      </c>
      <c r="G271" s="10">
        <v>1</v>
      </c>
      <c r="H271" s="11">
        <v>46179</v>
      </c>
      <c r="I271" s="41" t="s">
        <v>1848</v>
      </c>
      <c r="J271" s="13" t="s">
        <v>30</v>
      </c>
      <c r="K271" s="14" t="str">
        <f>HYPERLINK("http://mpro.prangroup.com:4000/CreativeWorks/Edit/35743","Open")</f>
        <v>Open</v>
      </c>
    </row>
    <row r="272" spans="1:11" ht="13.2">
      <c r="A272" s="4" t="s">
        <v>1849</v>
      </c>
      <c r="B272" s="5" t="s">
        <v>41</v>
      </c>
      <c r="C272" s="6" t="s">
        <v>1421</v>
      </c>
      <c r="D272" s="41" t="s">
        <v>1850</v>
      </c>
      <c r="E272" s="8" t="s">
        <v>302</v>
      </c>
      <c r="F272" s="9" t="s">
        <v>17</v>
      </c>
      <c r="G272" s="10">
        <v>2</v>
      </c>
      <c r="H272" s="11">
        <v>46180</v>
      </c>
      <c r="I272" s="41" t="s">
        <v>1851</v>
      </c>
      <c r="J272" s="13" t="s">
        <v>30</v>
      </c>
      <c r="K272" s="14" t="str">
        <f>HYPERLINK("http://mpro.prangroup.com:4000/CreativeWorks/Edit/35810","Open")</f>
        <v>Open</v>
      </c>
    </row>
    <row r="273" spans="1:13" ht="13.2">
      <c r="A273" s="4" t="s">
        <v>1852</v>
      </c>
      <c r="B273" s="5" t="s">
        <v>185</v>
      </c>
      <c r="C273" s="6" t="s">
        <v>166</v>
      </c>
      <c r="D273" s="41" t="s">
        <v>1853</v>
      </c>
      <c r="E273" s="8" t="s">
        <v>302</v>
      </c>
      <c r="F273" s="9" t="s">
        <v>17</v>
      </c>
      <c r="G273" s="10">
        <v>1</v>
      </c>
      <c r="H273" s="11">
        <v>46180</v>
      </c>
      <c r="I273" s="41" t="s">
        <v>1854</v>
      </c>
      <c r="J273" s="13" t="s">
        <v>30</v>
      </c>
      <c r="K273" s="14" t="str">
        <f>HYPERLINK("http://mpro.prangroup.com:4000/CreativeWorks/Edit/35811","Open")</f>
        <v>Open</v>
      </c>
    </row>
    <row r="274" spans="1:13" ht="13.2">
      <c r="A274" s="4" t="s">
        <v>1855</v>
      </c>
      <c r="B274" s="5" t="s">
        <v>916</v>
      </c>
      <c r="C274" s="6" t="s">
        <v>1421</v>
      </c>
      <c r="D274" s="17" t="s">
        <v>1856</v>
      </c>
      <c r="E274" s="8" t="s">
        <v>748</v>
      </c>
      <c r="F274" s="9" t="s">
        <v>17</v>
      </c>
      <c r="G274" s="10">
        <v>30</v>
      </c>
      <c r="H274" s="11">
        <v>46179</v>
      </c>
      <c r="I274" s="17" t="s">
        <v>1857</v>
      </c>
      <c r="J274" s="13" t="s">
        <v>30</v>
      </c>
      <c r="K274" s="14" t="str">
        <f>HYPERLINK("http://mpro.prangroup.com:4000/CreativeWorks/Edit/35721","Open")</f>
        <v>Open</v>
      </c>
    </row>
    <row r="275" spans="1:13" ht="13.2">
      <c r="A275" s="4" t="s">
        <v>1855</v>
      </c>
      <c r="B275" s="5" t="s">
        <v>916</v>
      </c>
      <c r="C275" s="6" t="s">
        <v>1421</v>
      </c>
      <c r="D275" s="41" t="s">
        <v>1858</v>
      </c>
      <c r="E275" s="8" t="s">
        <v>748</v>
      </c>
      <c r="F275" s="9" t="s">
        <v>17</v>
      </c>
      <c r="G275" s="10">
        <v>30</v>
      </c>
      <c r="H275" s="11">
        <v>46179</v>
      </c>
      <c r="I275" s="17" t="s">
        <v>1859</v>
      </c>
      <c r="J275" s="13" t="s">
        <v>30</v>
      </c>
      <c r="K275" s="14" t="str">
        <f>HYPERLINK("http://mpro.prangroup.com:4000/CreativeWorks/Edit/35726","Open")</f>
        <v>Open</v>
      </c>
    </row>
    <row r="276" spans="1:13" ht="13.2">
      <c r="A276" s="4" t="s">
        <v>1855</v>
      </c>
      <c r="B276" s="5" t="s">
        <v>916</v>
      </c>
      <c r="C276" s="6" t="s">
        <v>1421</v>
      </c>
      <c r="D276" s="41" t="s">
        <v>1860</v>
      </c>
      <c r="E276" s="8" t="s">
        <v>748</v>
      </c>
      <c r="F276" s="9" t="s">
        <v>17</v>
      </c>
      <c r="G276" s="10">
        <v>30</v>
      </c>
      <c r="H276" s="11">
        <v>46179</v>
      </c>
      <c r="I276" s="17" t="s">
        <v>1861</v>
      </c>
      <c r="J276" s="13" t="s">
        <v>30</v>
      </c>
      <c r="K276" s="14" t="str">
        <f>HYPERLINK("http://mpro.prangroup.com:4000/CreativeWorks/Edit/35729","Open")</f>
        <v>Open</v>
      </c>
      <c r="M276" s="17"/>
    </row>
    <row r="277" spans="1:13" ht="13.2">
      <c r="A277" s="4" t="s">
        <v>1862</v>
      </c>
      <c r="B277" s="5" t="s">
        <v>916</v>
      </c>
      <c r="C277" s="6" t="s">
        <v>746</v>
      </c>
      <c r="D277" s="41" t="s">
        <v>1863</v>
      </c>
      <c r="E277" s="8" t="s">
        <v>63</v>
      </c>
      <c r="F277" s="9" t="s">
        <v>17</v>
      </c>
      <c r="G277" s="10">
        <v>1</v>
      </c>
      <c r="H277" s="11">
        <v>46180</v>
      </c>
      <c r="I277" s="17" t="s">
        <v>1864</v>
      </c>
      <c r="J277" s="13" t="s">
        <v>30</v>
      </c>
      <c r="K277" s="14" t="str">
        <f>HYPERLINK("http://mpro.prangroup.com:4000/CreativeWorks/Edit/35814","Open")</f>
        <v>Open</v>
      </c>
    </row>
    <row r="278" spans="1:13" ht="13.2">
      <c r="A278" s="4" t="s">
        <v>1865</v>
      </c>
      <c r="B278" s="5" t="s">
        <v>916</v>
      </c>
      <c r="C278" s="6" t="s">
        <v>746</v>
      </c>
      <c r="D278" s="41" t="s">
        <v>1866</v>
      </c>
      <c r="E278" s="8" t="s">
        <v>302</v>
      </c>
      <c r="F278" s="9" t="s">
        <v>17</v>
      </c>
      <c r="G278" s="10">
        <v>1</v>
      </c>
      <c r="H278" s="11">
        <v>46180</v>
      </c>
      <c r="I278" s="17" t="s">
        <v>1867</v>
      </c>
      <c r="J278" s="13" t="s">
        <v>30</v>
      </c>
      <c r="K278" s="14" t="str">
        <f>HYPERLINK("http://mpro.prangroup.com:4000/CreativeWorks/Edit/35818","Open")</f>
        <v>Open</v>
      </c>
    </row>
    <row r="279" spans="1:13" ht="13.2">
      <c r="A279" s="4" t="s">
        <v>1868</v>
      </c>
      <c r="B279" s="5" t="s">
        <v>916</v>
      </c>
      <c r="C279" s="6" t="s">
        <v>746</v>
      </c>
      <c r="D279" s="41" t="s">
        <v>1869</v>
      </c>
      <c r="E279" s="8" t="s">
        <v>63</v>
      </c>
      <c r="F279" s="9" t="s">
        <v>17</v>
      </c>
      <c r="G279" s="10">
        <v>1</v>
      </c>
      <c r="H279" s="11">
        <v>46181</v>
      </c>
      <c r="I279" s="17" t="s">
        <v>1870</v>
      </c>
      <c r="J279" s="13" t="s">
        <v>30</v>
      </c>
      <c r="K279" s="14" t="str">
        <f>HYPERLINK("http://mpro.prangroup.com:4000/CreativeWorks/Edit/35990","Open")</f>
        <v>Open</v>
      </c>
    </row>
    <row r="280" spans="1:13" ht="13.2">
      <c r="A280" s="4" t="s">
        <v>1871</v>
      </c>
      <c r="B280" s="5" t="s">
        <v>916</v>
      </c>
      <c r="C280" s="6" t="s">
        <v>746</v>
      </c>
      <c r="D280" s="41" t="s">
        <v>1872</v>
      </c>
      <c r="E280" s="8" t="s">
        <v>63</v>
      </c>
      <c r="F280" s="9" t="s">
        <v>17</v>
      </c>
      <c r="G280" s="10">
        <v>1</v>
      </c>
      <c r="H280" s="11">
        <v>46181</v>
      </c>
      <c r="I280" s="17" t="s">
        <v>1873</v>
      </c>
      <c r="J280" s="13" t="s">
        <v>30</v>
      </c>
      <c r="K280" s="14" t="str">
        <f>HYPERLINK("http://mpro.prangroup.com:4000/CreativeWorks/Edit/35993","Open")</f>
        <v>Open</v>
      </c>
    </row>
    <row r="281" spans="1:13" ht="13.2">
      <c r="A281" s="4" t="s">
        <v>1874</v>
      </c>
      <c r="B281" s="5" t="s">
        <v>916</v>
      </c>
      <c r="C281" s="6" t="s">
        <v>746</v>
      </c>
      <c r="D281" s="41" t="s">
        <v>1875</v>
      </c>
      <c r="E281" s="8" t="s">
        <v>63</v>
      </c>
      <c r="F281" s="9" t="s">
        <v>17</v>
      </c>
      <c r="G281" s="10">
        <v>3</v>
      </c>
      <c r="H281" s="11">
        <v>46180</v>
      </c>
      <c r="I281" s="17" t="s">
        <v>1876</v>
      </c>
      <c r="J281" s="13" t="s">
        <v>30</v>
      </c>
      <c r="K281" s="14" t="str">
        <f>HYPERLINK("http://mpro.prangroup.com:4000/CreativeWorks/Edit/35812","Open")</f>
        <v>Open</v>
      </c>
    </row>
    <row r="282" spans="1:13" ht="13.2">
      <c r="A282" s="4" t="s">
        <v>1877</v>
      </c>
      <c r="B282" s="5" t="s">
        <v>916</v>
      </c>
      <c r="C282" s="6" t="s">
        <v>746</v>
      </c>
      <c r="D282" s="41" t="s">
        <v>1878</v>
      </c>
      <c r="E282" s="8" t="s">
        <v>63</v>
      </c>
      <c r="F282" s="9" t="s">
        <v>17</v>
      </c>
      <c r="G282" s="10">
        <v>1</v>
      </c>
      <c r="H282" s="11">
        <v>46180</v>
      </c>
      <c r="I282" s="17" t="s">
        <v>1879</v>
      </c>
      <c r="J282" s="13" t="s">
        <v>30</v>
      </c>
      <c r="K282" s="14" t="str">
        <f>HYPERLINK("http://mpro.prangroup.com:4000/CreativeWorks/Edit/35819","Open")</f>
        <v>Open</v>
      </c>
    </row>
    <row r="283" spans="1:13" ht="13.2">
      <c r="A283" s="4" t="s">
        <v>1880</v>
      </c>
      <c r="B283" s="5" t="s">
        <v>916</v>
      </c>
      <c r="C283" s="6" t="s">
        <v>1421</v>
      </c>
      <c r="D283" s="41" t="s">
        <v>1881</v>
      </c>
      <c r="E283" s="8" t="s">
        <v>63</v>
      </c>
      <c r="F283" s="9" t="s">
        <v>17</v>
      </c>
      <c r="G283" s="10">
        <v>2</v>
      </c>
      <c r="H283" s="11">
        <v>46180</v>
      </c>
      <c r="I283" s="17" t="s">
        <v>1882</v>
      </c>
      <c r="J283" s="13" t="s">
        <v>30</v>
      </c>
      <c r="K283" s="14" t="str">
        <f>HYPERLINK("http://mpro.prangroup.com:4000/CreativeWorks/Edit/35813","Open")</f>
        <v>Open</v>
      </c>
    </row>
    <row r="284" spans="1:13" ht="13.2">
      <c r="A284" s="4" t="s">
        <v>1311</v>
      </c>
      <c r="B284" s="5" t="s">
        <v>109</v>
      </c>
      <c r="C284" s="6" t="s">
        <v>938</v>
      </c>
      <c r="D284" s="41" t="s">
        <v>1313</v>
      </c>
      <c r="E284" s="8" t="s">
        <v>302</v>
      </c>
      <c r="F284" s="9" t="s">
        <v>17</v>
      </c>
      <c r="G284" s="10">
        <v>2</v>
      </c>
      <c r="H284" s="11">
        <v>46180</v>
      </c>
      <c r="I284" s="17" t="s">
        <v>1883</v>
      </c>
      <c r="J284" s="13" t="s">
        <v>30</v>
      </c>
      <c r="K284" s="14" t="str">
        <f>HYPERLINK("http://mpro.prangroup.com:4000/CreativeWorks/Edit/35816","Open")</f>
        <v>Open</v>
      </c>
    </row>
    <row r="285" spans="1:13" ht="13.2">
      <c r="A285" s="4" t="s">
        <v>1884</v>
      </c>
      <c r="B285" s="5" t="s">
        <v>916</v>
      </c>
      <c r="C285" s="6" t="s">
        <v>746</v>
      </c>
      <c r="D285" s="41" t="s">
        <v>1885</v>
      </c>
      <c r="E285" s="8" t="s">
        <v>63</v>
      </c>
      <c r="F285" s="9" t="s">
        <v>17</v>
      </c>
      <c r="G285" s="10">
        <v>1</v>
      </c>
      <c r="H285" s="11">
        <v>46180</v>
      </c>
      <c r="I285" s="17" t="s">
        <v>1886</v>
      </c>
      <c r="J285" s="13" t="s">
        <v>19</v>
      </c>
      <c r="K285" s="14" t="str">
        <f>HYPERLINK("http://mpro.prangroup.com:4000/CreativeWorks/Edit/35820","Open")</f>
        <v>Open</v>
      </c>
    </row>
    <row r="286" spans="1:13" ht="13.2">
      <c r="A286" s="4" t="s">
        <v>1887</v>
      </c>
      <c r="B286" s="5" t="s">
        <v>916</v>
      </c>
      <c r="C286" s="6" t="s">
        <v>746</v>
      </c>
      <c r="D286" s="41" t="s">
        <v>1888</v>
      </c>
      <c r="E286" s="8" t="s">
        <v>63</v>
      </c>
      <c r="F286" s="9" t="s">
        <v>17</v>
      </c>
      <c r="G286" s="10">
        <v>1</v>
      </c>
      <c r="H286" s="11">
        <v>46180</v>
      </c>
      <c r="I286" s="17" t="s">
        <v>1889</v>
      </c>
      <c r="J286" s="13" t="s">
        <v>30</v>
      </c>
      <c r="K286" s="14" t="str">
        <f>HYPERLINK("http://mpro.prangroup.com:4000/CreativeWorks/Edit/35821","Open")</f>
        <v>Open</v>
      </c>
    </row>
    <row r="287" spans="1:13" ht="13.2">
      <c r="A287" s="4" t="s">
        <v>1890</v>
      </c>
      <c r="B287" s="5" t="s">
        <v>916</v>
      </c>
      <c r="C287" s="6" t="s">
        <v>746</v>
      </c>
      <c r="D287" s="41" t="s">
        <v>1891</v>
      </c>
      <c r="E287" s="8" t="s">
        <v>63</v>
      </c>
      <c r="F287" s="9" t="s">
        <v>17</v>
      </c>
      <c r="G287" s="10">
        <v>1</v>
      </c>
      <c r="H287" s="11">
        <v>46180</v>
      </c>
      <c r="I287" s="17" t="s">
        <v>1892</v>
      </c>
      <c r="J287" s="13" t="s">
        <v>30</v>
      </c>
      <c r="K287" s="14" t="str">
        <f>HYPERLINK("http://mpro.prangroup.com:4000/CreativeWorks/Edit/35822","Open")</f>
        <v>Open</v>
      </c>
    </row>
    <row r="288" spans="1:13" ht="13.2">
      <c r="A288" s="4" t="s">
        <v>1893</v>
      </c>
      <c r="B288" s="5" t="s">
        <v>916</v>
      </c>
      <c r="C288" s="6" t="s">
        <v>746</v>
      </c>
      <c r="D288" s="41" t="s">
        <v>1894</v>
      </c>
      <c r="E288" s="8" t="s">
        <v>63</v>
      </c>
      <c r="F288" s="9" t="s">
        <v>17</v>
      </c>
      <c r="G288" s="10">
        <v>1</v>
      </c>
      <c r="H288" s="11">
        <v>46180</v>
      </c>
      <c r="I288" s="17" t="s">
        <v>1895</v>
      </c>
      <c r="J288" s="13" t="s">
        <v>30</v>
      </c>
      <c r="K288" s="14" t="str">
        <f>HYPERLINK("http://mpro.prangroup.com:4000/CreativeWorks/Edit/35823","Open")</f>
        <v>Open</v>
      </c>
    </row>
    <row r="289" spans="1:12" ht="13.2">
      <c r="A289" s="4" t="s">
        <v>1896</v>
      </c>
      <c r="B289" s="5" t="s">
        <v>185</v>
      </c>
      <c r="C289" s="6" t="s">
        <v>166</v>
      </c>
      <c r="D289" s="17" t="s">
        <v>1897</v>
      </c>
      <c r="E289" s="8" t="s">
        <v>302</v>
      </c>
      <c r="F289" s="9" t="s">
        <v>17</v>
      </c>
      <c r="G289" s="10">
        <v>4</v>
      </c>
      <c r="H289" s="11">
        <v>46183</v>
      </c>
      <c r="I289" s="17" t="s">
        <v>1898</v>
      </c>
      <c r="J289" s="13" t="s">
        <v>30</v>
      </c>
      <c r="K289" s="14" t="str">
        <f>HYPERLINK("http://mpro.prangroup.com:4000/CreativeWorks/Edit/36219","Open")</f>
        <v>Open</v>
      </c>
    </row>
    <row r="290" spans="1:12" ht="13.2">
      <c r="A290" s="4" t="s">
        <v>1899</v>
      </c>
      <c r="B290" s="5" t="s">
        <v>916</v>
      </c>
      <c r="C290" s="6" t="s">
        <v>1421</v>
      </c>
      <c r="D290" s="17" t="s">
        <v>1900</v>
      </c>
      <c r="E290" s="8" t="s">
        <v>748</v>
      </c>
      <c r="F290" s="9" t="s">
        <v>17</v>
      </c>
      <c r="G290" s="10">
        <v>10</v>
      </c>
      <c r="H290" s="11">
        <v>46180</v>
      </c>
      <c r="I290" s="17" t="s">
        <v>1901</v>
      </c>
      <c r="J290" s="13" t="s">
        <v>30</v>
      </c>
      <c r="K290" s="14" t="str">
        <f>HYPERLINK("http://mpro.prangroup.com:4000/CreativeWorks/Edit/35830","Open")</f>
        <v>Open</v>
      </c>
    </row>
    <row r="291" spans="1:12" ht="13.2">
      <c r="A291" s="3" t="s">
        <v>1902</v>
      </c>
      <c r="B291" s="5" t="s">
        <v>916</v>
      </c>
      <c r="C291" s="6" t="s">
        <v>746</v>
      </c>
      <c r="D291" s="41" t="s">
        <v>1903</v>
      </c>
      <c r="E291" s="8" t="s">
        <v>63</v>
      </c>
      <c r="F291" s="9" t="s">
        <v>17</v>
      </c>
      <c r="G291" s="10">
        <v>1</v>
      </c>
      <c r="H291" s="11">
        <v>46181</v>
      </c>
      <c r="I291" s="17" t="s">
        <v>1904</v>
      </c>
      <c r="J291" s="13" t="s">
        <v>30</v>
      </c>
      <c r="K291" s="14" t="str">
        <f>HYPERLINK("http://mpro.prangroup.com:4000/CreativeWorks/Edit/35965","Open")</f>
        <v>Open</v>
      </c>
    </row>
    <row r="292" spans="1:12" ht="13.2">
      <c r="A292" s="4" t="s">
        <v>1905</v>
      </c>
      <c r="B292" s="5" t="s">
        <v>32</v>
      </c>
      <c r="C292" s="6" t="s">
        <v>1711</v>
      </c>
      <c r="D292" s="17" t="s">
        <v>1906</v>
      </c>
      <c r="E292" s="8" t="s">
        <v>302</v>
      </c>
      <c r="F292" s="9" t="s">
        <v>17</v>
      </c>
      <c r="G292" s="10">
        <v>1</v>
      </c>
      <c r="H292" s="11">
        <v>46181</v>
      </c>
      <c r="I292" s="17" t="s">
        <v>1907</v>
      </c>
      <c r="J292" s="13" t="s">
        <v>30</v>
      </c>
      <c r="K292" s="14" t="str">
        <f>HYPERLINK("http://mpro.prangroup.com:4000/CreativeWorks/Edit/35963","Open")</f>
        <v>Open</v>
      </c>
    </row>
    <row r="293" spans="1:12" ht="13.2">
      <c r="A293" s="4" t="s">
        <v>1908</v>
      </c>
      <c r="B293" s="5" t="s">
        <v>916</v>
      </c>
      <c r="C293" s="6" t="s">
        <v>746</v>
      </c>
      <c r="D293" s="17" t="s">
        <v>1909</v>
      </c>
      <c r="E293" s="8" t="s">
        <v>63</v>
      </c>
      <c r="F293" s="9" t="s">
        <v>17</v>
      </c>
      <c r="G293" s="10">
        <v>1</v>
      </c>
      <c r="H293" s="11">
        <v>46181</v>
      </c>
      <c r="I293" s="17" t="s">
        <v>1910</v>
      </c>
      <c r="J293" s="13" t="s">
        <v>48</v>
      </c>
      <c r="K293" s="14" t="str">
        <f>HYPERLINK("http://mpro.prangroup.com:4000/CreativeWorks/Edit/35966","Open")</f>
        <v>Open</v>
      </c>
    </row>
    <row r="294" spans="1:12" ht="13.2">
      <c r="A294" s="4" t="s">
        <v>1911</v>
      </c>
      <c r="B294" s="5" t="s">
        <v>916</v>
      </c>
      <c r="C294" s="6" t="s">
        <v>1421</v>
      </c>
      <c r="D294" s="17" t="s">
        <v>1912</v>
      </c>
      <c r="E294" s="8" t="s">
        <v>63</v>
      </c>
      <c r="F294" s="9" t="s">
        <v>17</v>
      </c>
      <c r="G294" s="10">
        <v>1</v>
      </c>
      <c r="H294" s="11">
        <v>46181</v>
      </c>
      <c r="I294" s="17" t="s">
        <v>1913</v>
      </c>
      <c r="J294" s="13" t="s">
        <v>30</v>
      </c>
      <c r="K294" s="14" t="str">
        <f>HYPERLINK("http://mpro.prangroup.com:4000/CreativeWorks/Edit/35968","Open")</f>
        <v>Open</v>
      </c>
    </row>
    <row r="295" spans="1:12" ht="13.2">
      <c r="A295" s="4" t="s">
        <v>1914</v>
      </c>
      <c r="B295" s="5" t="s">
        <v>916</v>
      </c>
      <c r="C295" s="6" t="s">
        <v>1421</v>
      </c>
      <c r="D295" s="17" t="s">
        <v>1915</v>
      </c>
      <c r="E295" s="8" t="s">
        <v>63</v>
      </c>
      <c r="F295" s="9" t="s">
        <v>17</v>
      </c>
      <c r="G295" s="10">
        <v>1</v>
      </c>
      <c r="H295" s="11">
        <v>46181</v>
      </c>
      <c r="I295" s="17" t="s">
        <v>1916</v>
      </c>
      <c r="J295" s="13" t="s">
        <v>30</v>
      </c>
      <c r="K295" s="14" t="str">
        <f>HYPERLINK("http://mpro.prangroup.com:4000/CreativeWorks/Edit/35971","Open")</f>
        <v>Open</v>
      </c>
    </row>
    <row r="296" spans="1:12" ht="13.2">
      <c r="A296" s="4" t="s">
        <v>1917</v>
      </c>
      <c r="B296" s="5" t="s">
        <v>916</v>
      </c>
      <c r="C296" s="6" t="s">
        <v>1421</v>
      </c>
      <c r="D296" s="17" t="s">
        <v>1918</v>
      </c>
      <c r="E296" s="8" t="s">
        <v>63</v>
      </c>
      <c r="F296" s="9" t="s">
        <v>17</v>
      </c>
      <c r="G296" s="10">
        <v>1</v>
      </c>
      <c r="H296" s="11">
        <v>46181</v>
      </c>
      <c r="I296" s="17" t="s">
        <v>1919</v>
      </c>
      <c r="J296" s="13" t="s">
        <v>30</v>
      </c>
      <c r="K296" s="14" t="str">
        <f>HYPERLINK("http://mpro.prangroup.com:4000/CreativeWorks/Edit/35972","Open")</f>
        <v>Open</v>
      </c>
      <c r="L296" s="3" t="s">
        <v>675</v>
      </c>
    </row>
    <row r="297" spans="1:12" ht="13.2">
      <c r="A297" s="4" t="s">
        <v>1920</v>
      </c>
      <c r="B297" s="5" t="s">
        <v>916</v>
      </c>
      <c r="C297" s="6" t="s">
        <v>1421</v>
      </c>
      <c r="D297" s="41" t="s">
        <v>1921</v>
      </c>
      <c r="E297" s="8" t="s">
        <v>63</v>
      </c>
      <c r="F297" s="9" t="s">
        <v>17</v>
      </c>
      <c r="G297" s="10">
        <v>1</v>
      </c>
      <c r="H297" s="11">
        <v>46181</v>
      </c>
      <c r="I297" s="17" t="s">
        <v>1922</v>
      </c>
      <c r="J297" s="13" t="s">
        <v>30</v>
      </c>
      <c r="K297" s="14" t="str">
        <f>HYPERLINK("http://mpro.prangroup.com:4000/CreativeWorks/Edit/35973","Open")</f>
        <v>Open</v>
      </c>
    </row>
    <row r="298" spans="1:12" ht="13.2">
      <c r="A298" s="4" t="s">
        <v>1923</v>
      </c>
      <c r="B298" s="5" t="s">
        <v>916</v>
      </c>
      <c r="C298" s="6" t="s">
        <v>1421</v>
      </c>
      <c r="D298" s="17" t="s">
        <v>1856</v>
      </c>
      <c r="E298" s="8" t="s">
        <v>748</v>
      </c>
      <c r="F298" s="9" t="s">
        <v>17</v>
      </c>
      <c r="G298" s="10">
        <v>30</v>
      </c>
      <c r="H298" s="11">
        <v>46181</v>
      </c>
      <c r="I298" s="17" t="s">
        <v>1924</v>
      </c>
      <c r="J298" s="13" t="s">
        <v>30</v>
      </c>
      <c r="K298" s="14" t="str">
        <f>HYPERLINK("http://mpro.prangroup.com:4000/CreativeWorks/Edit/35975","Open")</f>
        <v>Open</v>
      </c>
    </row>
    <row r="299" spans="1:12" ht="13.2">
      <c r="A299" s="4" t="s">
        <v>1925</v>
      </c>
      <c r="B299" s="5" t="s">
        <v>916</v>
      </c>
      <c r="C299" s="6" t="s">
        <v>746</v>
      </c>
      <c r="D299" s="17" t="s">
        <v>1926</v>
      </c>
      <c r="E299" s="8" t="s">
        <v>63</v>
      </c>
      <c r="F299" s="9" t="s">
        <v>17</v>
      </c>
      <c r="G299" s="10">
        <v>1</v>
      </c>
      <c r="H299" s="11">
        <v>46181</v>
      </c>
      <c r="I299" s="17" t="s">
        <v>1927</v>
      </c>
      <c r="J299" s="13" t="s">
        <v>30</v>
      </c>
      <c r="K299" s="14" t="str">
        <f>HYPERLINK("http://mpro.prangroup.com:4000/CreativeWorks/Edit/35979","Open")</f>
        <v>Open</v>
      </c>
    </row>
    <row r="300" spans="1:12" ht="13.2">
      <c r="A300" s="4" t="s">
        <v>1928</v>
      </c>
      <c r="B300" s="5" t="s">
        <v>916</v>
      </c>
      <c r="C300" s="6" t="s">
        <v>1421</v>
      </c>
      <c r="D300" s="17" t="s">
        <v>1929</v>
      </c>
      <c r="E300" s="8" t="s">
        <v>748</v>
      </c>
      <c r="F300" s="9" t="s">
        <v>17</v>
      </c>
      <c r="G300" s="10">
        <v>21</v>
      </c>
      <c r="H300" s="11">
        <v>46181</v>
      </c>
      <c r="I300" s="17" t="s">
        <v>1930</v>
      </c>
      <c r="J300" s="13" t="s">
        <v>30</v>
      </c>
      <c r="K300" s="44" t="str">
        <f>HYPERLINK("http://mpro.prangroup.com:4000/CreativeWorks/Edit/35980","Open")</f>
        <v>Open</v>
      </c>
    </row>
    <row r="301" spans="1:12" ht="13.2">
      <c r="A301" s="4" t="s">
        <v>1931</v>
      </c>
      <c r="B301" s="5" t="s">
        <v>916</v>
      </c>
      <c r="C301" s="6" t="s">
        <v>1421</v>
      </c>
      <c r="D301" s="17" t="s">
        <v>1932</v>
      </c>
      <c r="E301" s="8" t="s">
        <v>63</v>
      </c>
      <c r="F301" s="9" t="s">
        <v>17</v>
      </c>
      <c r="G301" s="10">
        <v>1</v>
      </c>
      <c r="H301" s="11">
        <v>46181</v>
      </c>
      <c r="I301" s="17" t="s">
        <v>1933</v>
      </c>
      <c r="J301" s="13" t="s">
        <v>30</v>
      </c>
      <c r="K301" s="14" t="str">
        <f>HYPERLINK("http://mpro.prangroup.com:4000/CreativeWorks/Edit/35983","Open")</f>
        <v>Open</v>
      </c>
    </row>
    <row r="302" spans="1:12" ht="13.2">
      <c r="A302" s="4" t="s">
        <v>1934</v>
      </c>
      <c r="B302" s="5" t="s">
        <v>916</v>
      </c>
      <c r="C302" s="6" t="s">
        <v>1421</v>
      </c>
      <c r="D302" s="17" t="s">
        <v>1935</v>
      </c>
      <c r="E302" s="8" t="s">
        <v>63</v>
      </c>
      <c r="F302" s="9" t="s">
        <v>17</v>
      </c>
      <c r="G302" s="10">
        <v>1</v>
      </c>
      <c r="H302" s="11">
        <v>46181</v>
      </c>
      <c r="I302" s="17" t="s">
        <v>1936</v>
      </c>
      <c r="J302" s="13" t="s">
        <v>30</v>
      </c>
      <c r="K302" s="14" t="str">
        <f>HYPERLINK("http://mpro.prangroup.com:4000/CreativeWorks/Edit/35984","Open")</f>
        <v>Open</v>
      </c>
    </row>
    <row r="303" spans="1:12" ht="13.2">
      <c r="A303" s="4" t="s">
        <v>1937</v>
      </c>
      <c r="B303" s="5" t="s">
        <v>60</v>
      </c>
      <c r="C303" s="6" t="s">
        <v>228</v>
      </c>
      <c r="D303" s="17" t="s">
        <v>1268</v>
      </c>
      <c r="E303" s="8" t="s">
        <v>302</v>
      </c>
      <c r="F303" s="9" t="s">
        <v>457</v>
      </c>
      <c r="G303" s="10">
        <v>2</v>
      </c>
      <c r="H303" s="11">
        <v>46182</v>
      </c>
      <c r="I303" s="17" t="s">
        <v>1938</v>
      </c>
      <c r="J303" s="13" t="s">
        <v>30</v>
      </c>
      <c r="K303" s="14" t="str">
        <f>HYPERLINK("http://mpro.prangroup.com:4000/CreativeWorks/Edit/36093","Open")</f>
        <v>Open</v>
      </c>
    </row>
    <row r="304" spans="1:12" ht="13.2">
      <c r="A304" s="4" t="s">
        <v>1939</v>
      </c>
      <c r="B304" s="5" t="s">
        <v>185</v>
      </c>
      <c r="C304" s="6" t="s">
        <v>166</v>
      </c>
      <c r="D304" s="17" t="s">
        <v>1811</v>
      </c>
      <c r="E304" s="8" t="s">
        <v>302</v>
      </c>
      <c r="F304" s="9" t="s">
        <v>457</v>
      </c>
      <c r="G304" s="10">
        <v>4</v>
      </c>
      <c r="H304" s="11">
        <v>46182</v>
      </c>
      <c r="I304" s="17" t="s">
        <v>1940</v>
      </c>
      <c r="J304" s="13" t="s">
        <v>30</v>
      </c>
      <c r="K304" s="14" t="str">
        <f>HYPERLINK("http://mpro.prangroup.com:4000/CreativeWorks/Edit/36095","Open")</f>
        <v>Open</v>
      </c>
    </row>
    <row r="305" spans="1:11" ht="13.2">
      <c r="A305" s="4" t="s">
        <v>1941</v>
      </c>
      <c r="B305" s="5" t="s">
        <v>41</v>
      </c>
      <c r="C305" s="6" t="s">
        <v>61</v>
      </c>
      <c r="D305" s="41" t="s">
        <v>632</v>
      </c>
      <c r="E305" s="8" t="s">
        <v>63</v>
      </c>
      <c r="F305" s="9" t="s">
        <v>17</v>
      </c>
      <c r="G305" s="10">
        <v>2</v>
      </c>
      <c r="H305" s="11">
        <v>46183</v>
      </c>
      <c r="I305" s="17" t="s">
        <v>1942</v>
      </c>
      <c r="J305" s="13" t="s">
        <v>30</v>
      </c>
      <c r="K305" s="14" t="str">
        <f>HYPERLINK("http://mpro.prangroup.com:4000/CreativeWorks/Edit/36221","Open")</f>
        <v>Open</v>
      </c>
    </row>
    <row r="306" spans="1:11" ht="13.2">
      <c r="A306" s="4" t="s">
        <v>1896</v>
      </c>
      <c r="B306" s="5" t="s">
        <v>185</v>
      </c>
      <c r="C306" s="6" t="s">
        <v>166</v>
      </c>
      <c r="D306" s="17" t="s">
        <v>1897</v>
      </c>
      <c r="E306" s="8" t="s">
        <v>505</v>
      </c>
      <c r="F306" s="9" t="s">
        <v>17</v>
      </c>
      <c r="G306" s="10">
        <v>4</v>
      </c>
      <c r="H306" s="11">
        <v>46183</v>
      </c>
      <c r="I306" s="17" t="s">
        <v>1898</v>
      </c>
      <c r="J306" s="13" t="s">
        <v>30</v>
      </c>
      <c r="K306" s="14" t="str">
        <f>HYPERLINK("http://mpro.prangroup.com:4000/CreativeWorks/Edit/36219","Open")</f>
        <v>Open</v>
      </c>
    </row>
    <row r="307" spans="1:11" ht="13.2">
      <c r="A307" s="17" t="s">
        <v>1943</v>
      </c>
      <c r="B307" s="5" t="s">
        <v>60</v>
      </c>
      <c r="C307" s="6" t="s">
        <v>228</v>
      </c>
      <c r="D307" s="41" t="s">
        <v>1944</v>
      </c>
      <c r="E307" s="8" t="s">
        <v>302</v>
      </c>
      <c r="F307" s="9" t="s">
        <v>17</v>
      </c>
      <c r="G307" s="10">
        <v>3</v>
      </c>
      <c r="H307" s="11">
        <v>46202</v>
      </c>
      <c r="I307" s="17" t="s">
        <v>1945</v>
      </c>
      <c r="J307" s="13" t="s">
        <v>19</v>
      </c>
      <c r="K307" s="14" t="str">
        <f>HYPERLINK("http://mpro.prangroup.com:4000/CreativeWorks/Edit/38284","Open")</f>
        <v>Open</v>
      </c>
    </row>
    <row r="308" spans="1:11" ht="13.2">
      <c r="A308" s="4" t="s">
        <v>1946</v>
      </c>
      <c r="B308" s="5" t="s">
        <v>60</v>
      </c>
      <c r="C308" s="6" t="s">
        <v>228</v>
      </c>
      <c r="D308" s="17" t="s">
        <v>1947</v>
      </c>
      <c r="E308" s="8" t="s">
        <v>302</v>
      </c>
      <c r="F308" s="9" t="s">
        <v>17</v>
      </c>
      <c r="G308" s="10">
        <v>2</v>
      </c>
      <c r="H308" s="20"/>
      <c r="I308" s="21"/>
      <c r="J308" s="13" t="s">
        <v>1948</v>
      </c>
      <c r="K308" s="19"/>
    </row>
    <row r="309" spans="1:11" ht="13.2">
      <c r="A309" s="4" t="s">
        <v>1949</v>
      </c>
      <c r="B309" s="5" t="s">
        <v>60</v>
      </c>
      <c r="C309" s="6" t="s">
        <v>228</v>
      </c>
      <c r="D309" s="41" t="s">
        <v>1950</v>
      </c>
      <c r="E309" s="8" t="s">
        <v>302</v>
      </c>
      <c r="F309" s="9" t="s">
        <v>17</v>
      </c>
      <c r="G309" s="10">
        <v>2</v>
      </c>
      <c r="H309" s="11">
        <v>46205</v>
      </c>
      <c r="I309" s="17" t="s">
        <v>1951</v>
      </c>
      <c r="J309" s="13" t="s">
        <v>19</v>
      </c>
      <c r="K309" s="14" t="str">
        <f>HYPERLINK("http://mpro.prangroup.com:4000/CreativeWorks/Edit/38991","Open")</f>
        <v>Open</v>
      </c>
    </row>
    <row r="310" spans="1:11" ht="13.2">
      <c r="A310" s="4" t="s">
        <v>1952</v>
      </c>
      <c r="B310" s="5" t="s">
        <v>60</v>
      </c>
      <c r="C310" s="6" t="s">
        <v>232</v>
      </c>
      <c r="D310" s="41" t="s">
        <v>1953</v>
      </c>
      <c r="E310" s="8" t="s">
        <v>302</v>
      </c>
      <c r="F310" s="9" t="s">
        <v>17</v>
      </c>
      <c r="G310" s="10">
        <v>4</v>
      </c>
      <c r="H310" s="11">
        <v>46188</v>
      </c>
      <c r="I310" s="17" t="s">
        <v>1954</v>
      </c>
      <c r="J310" s="13" t="s">
        <v>30</v>
      </c>
      <c r="K310" s="14" t="str">
        <f>HYPERLINK("http://mpro.prangroup.com:4000/CreativeWorks/Edit/36629","Open")</f>
        <v>Open</v>
      </c>
    </row>
    <row r="311" spans="1:11" ht="13.2">
      <c r="A311" s="4" t="s">
        <v>1955</v>
      </c>
      <c r="B311" s="5" t="s">
        <v>41</v>
      </c>
      <c r="C311" s="6" t="s">
        <v>1421</v>
      </c>
      <c r="D311" s="41" t="s">
        <v>1956</v>
      </c>
      <c r="E311" s="8" t="s">
        <v>63</v>
      </c>
      <c r="F311" s="9" t="s">
        <v>17</v>
      </c>
      <c r="G311" s="10">
        <v>1</v>
      </c>
      <c r="H311" s="11">
        <v>46188</v>
      </c>
      <c r="I311" s="17" t="s">
        <v>1957</v>
      </c>
      <c r="J311" s="13" t="s">
        <v>30</v>
      </c>
      <c r="K311" s="14" t="str">
        <f>HYPERLINK("http://mpro.prangroup.com:4000/CreativeWorks/Edit/36622","Open")</f>
        <v>Open</v>
      </c>
    </row>
    <row r="312" spans="1:11" ht="13.2">
      <c r="A312" s="4" t="s">
        <v>1958</v>
      </c>
      <c r="B312" s="5" t="s">
        <v>41</v>
      </c>
      <c r="C312" s="6" t="s">
        <v>746</v>
      </c>
      <c r="D312" s="41" t="s">
        <v>1959</v>
      </c>
      <c r="E312" s="8" t="s">
        <v>63</v>
      </c>
      <c r="F312" s="9" t="s">
        <v>17</v>
      </c>
      <c r="G312" s="10">
        <v>3</v>
      </c>
      <c r="H312" s="11">
        <v>46188</v>
      </c>
      <c r="I312" s="17" t="s">
        <v>1960</v>
      </c>
      <c r="J312" s="13" t="s">
        <v>30</v>
      </c>
      <c r="K312" s="14" t="str">
        <f>HYPERLINK("http://mpro.prangroup.com:4000/CreativeWorks/Edit/36621","Open")</f>
        <v>Open</v>
      </c>
    </row>
    <row r="313" spans="1:11" ht="13.2">
      <c r="A313" s="4" t="s">
        <v>1961</v>
      </c>
      <c r="B313" s="5" t="s">
        <v>41</v>
      </c>
      <c r="C313" s="6" t="s">
        <v>746</v>
      </c>
      <c r="D313" s="41" t="s">
        <v>1962</v>
      </c>
      <c r="E313" s="8" t="s">
        <v>63</v>
      </c>
      <c r="F313" s="9" t="s">
        <v>17</v>
      </c>
      <c r="G313" s="10">
        <v>1</v>
      </c>
      <c r="H313" s="11">
        <v>46188</v>
      </c>
      <c r="I313" s="17" t="s">
        <v>1963</v>
      </c>
      <c r="J313" s="13" t="s">
        <v>30</v>
      </c>
      <c r="K313" s="14" t="str">
        <f>HYPERLINK("http://mpro.prangroup.com:4000/CreativeWorks/Edit/36620","Open")</f>
        <v>Open</v>
      </c>
    </row>
    <row r="314" spans="1:11" ht="13.2">
      <c r="A314" s="4" t="s">
        <v>1964</v>
      </c>
      <c r="B314" s="5" t="s">
        <v>41</v>
      </c>
      <c r="C314" s="6" t="s">
        <v>1421</v>
      </c>
      <c r="D314" s="41" t="s">
        <v>1965</v>
      </c>
      <c r="E314" s="8" t="s">
        <v>63</v>
      </c>
      <c r="F314" s="9" t="s">
        <v>17</v>
      </c>
      <c r="G314" s="10">
        <v>1</v>
      </c>
      <c r="H314" s="11">
        <v>46188</v>
      </c>
      <c r="I314" s="17" t="s">
        <v>1966</v>
      </c>
      <c r="J314" s="13" t="s">
        <v>30</v>
      </c>
      <c r="K314" s="14" t="str">
        <f>HYPERLINK("http://mpro.prangroup.com:4000/CreativeWorks/Edit/36618","Open")</f>
        <v>Open</v>
      </c>
    </row>
    <row r="315" spans="1:11" ht="13.2">
      <c r="A315" s="4" t="s">
        <v>1967</v>
      </c>
      <c r="B315" s="5" t="s">
        <v>41</v>
      </c>
      <c r="C315" s="6" t="s">
        <v>746</v>
      </c>
      <c r="D315" s="41" t="s">
        <v>1968</v>
      </c>
      <c r="E315" s="8" t="s">
        <v>63</v>
      </c>
      <c r="F315" s="9" t="s">
        <v>17</v>
      </c>
      <c r="G315" s="10">
        <v>1</v>
      </c>
      <c r="H315" s="11">
        <v>46188</v>
      </c>
      <c r="I315" s="17" t="s">
        <v>1969</v>
      </c>
      <c r="J315" s="13" t="s">
        <v>30</v>
      </c>
      <c r="K315" s="14" t="str">
        <f>HYPERLINK("http://mpro.prangroup.com:4000/CreativeWorks/Edit/36617","Open")</f>
        <v>Open</v>
      </c>
    </row>
    <row r="316" spans="1:11" ht="13.2">
      <c r="A316" s="4" t="s">
        <v>1970</v>
      </c>
      <c r="B316" s="5" t="s">
        <v>144</v>
      </c>
      <c r="C316" s="6" t="s">
        <v>1711</v>
      </c>
      <c r="D316" s="17" t="s">
        <v>1971</v>
      </c>
      <c r="E316" s="8" t="s">
        <v>302</v>
      </c>
      <c r="F316" s="9" t="s">
        <v>17</v>
      </c>
      <c r="G316" s="10">
        <v>1</v>
      </c>
      <c r="H316" s="11">
        <v>46188</v>
      </c>
      <c r="I316" s="17" t="s">
        <v>1972</v>
      </c>
      <c r="J316" s="13" t="s">
        <v>30</v>
      </c>
      <c r="K316" s="14" t="str">
        <f>HYPERLINK("http://mpro.prangroup.com:4000/CreativeWorks/Edit/36625","Open")</f>
        <v>Open</v>
      </c>
    </row>
    <row r="317" spans="1:11" ht="13.2">
      <c r="A317" s="4" t="s">
        <v>1973</v>
      </c>
      <c r="B317" s="5" t="s">
        <v>144</v>
      </c>
      <c r="C317" s="6" t="s">
        <v>1711</v>
      </c>
      <c r="D317" s="17" t="s">
        <v>1974</v>
      </c>
      <c r="E317" s="8" t="s">
        <v>302</v>
      </c>
      <c r="F317" s="9" t="s">
        <v>17</v>
      </c>
      <c r="G317" s="10">
        <v>1</v>
      </c>
      <c r="H317" s="11">
        <v>46188</v>
      </c>
      <c r="I317" s="17" t="s">
        <v>1975</v>
      </c>
      <c r="J317" s="13" t="s">
        <v>30</v>
      </c>
      <c r="K317" s="14" t="str">
        <f>HYPERLINK("http://mpro.prangroup.com:4000/CreativeWorks/Edit/36626","Open")</f>
        <v>Open</v>
      </c>
    </row>
    <row r="318" spans="1:11" ht="13.2">
      <c r="A318" s="4" t="s">
        <v>1976</v>
      </c>
      <c r="B318" s="5" t="s">
        <v>144</v>
      </c>
      <c r="C318" s="6" t="s">
        <v>1711</v>
      </c>
      <c r="D318" s="17" t="s">
        <v>1977</v>
      </c>
      <c r="E318" s="8" t="s">
        <v>63</v>
      </c>
      <c r="F318" s="9" t="s">
        <v>17</v>
      </c>
      <c r="G318" s="10">
        <v>1</v>
      </c>
      <c r="H318" s="11">
        <v>46188</v>
      </c>
      <c r="I318" s="17" t="s">
        <v>1978</v>
      </c>
      <c r="J318" s="13" t="s">
        <v>30</v>
      </c>
      <c r="K318" s="14" t="str">
        <f>HYPERLINK("http://mpro.prangroup.com:4000/CreativeWorks/Edit/36627","Open")</f>
        <v>Open</v>
      </c>
    </row>
    <row r="319" spans="1:11" ht="13.2">
      <c r="A319" s="4" t="s">
        <v>1979</v>
      </c>
      <c r="B319" s="5" t="s">
        <v>144</v>
      </c>
      <c r="C319" s="6" t="s">
        <v>1711</v>
      </c>
      <c r="D319" s="17" t="s">
        <v>1980</v>
      </c>
      <c r="E319" s="8" t="s">
        <v>302</v>
      </c>
      <c r="F319" s="9" t="s">
        <v>17</v>
      </c>
      <c r="G319" s="10">
        <v>1</v>
      </c>
      <c r="H319" s="11">
        <v>46188</v>
      </c>
      <c r="I319" s="17" t="s">
        <v>1981</v>
      </c>
      <c r="J319" s="13" t="s">
        <v>30</v>
      </c>
      <c r="K319" s="14" t="str">
        <f>HYPERLINK("http://mpro.prangroup.com:4000/CreativeWorks/Edit/36628","Open")</f>
        <v>Open</v>
      </c>
    </row>
    <row r="320" spans="1:11" ht="13.2">
      <c r="A320" s="4" t="s">
        <v>1982</v>
      </c>
      <c r="B320" s="5" t="s">
        <v>41</v>
      </c>
      <c r="C320" s="6" t="s">
        <v>42</v>
      </c>
      <c r="D320" s="17" t="s">
        <v>1983</v>
      </c>
      <c r="E320" s="8" t="s">
        <v>302</v>
      </c>
      <c r="F320" s="9" t="s">
        <v>17</v>
      </c>
      <c r="G320" s="10">
        <v>4</v>
      </c>
      <c r="H320" s="11">
        <v>46188</v>
      </c>
      <c r="I320" s="17" t="s">
        <v>1984</v>
      </c>
      <c r="J320" s="13" t="s">
        <v>30</v>
      </c>
      <c r="K320" s="14" t="str">
        <f>HYPERLINK("http://mpro.prangroup.com:4000/CreativeWorks/Edit/36630","Open")</f>
        <v>Open</v>
      </c>
    </row>
    <row r="321" spans="1:11" ht="13.2">
      <c r="A321" s="4" t="s">
        <v>1985</v>
      </c>
      <c r="B321" s="5" t="s">
        <v>185</v>
      </c>
      <c r="C321" s="6" t="s">
        <v>166</v>
      </c>
      <c r="D321" s="17" t="s">
        <v>1986</v>
      </c>
      <c r="E321" s="8" t="s">
        <v>302</v>
      </c>
      <c r="F321" s="9" t="s">
        <v>17</v>
      </c>
      <c r="G321" s="10">
        <v>4</v>
      </c>
      <c r="H321" s="11">
        <v>46188</v>
      </c>
      <c r="I321" s="17" t="s">
        <v>1987</v>
      </c>
      <c r="J321" s="13" t="s">
        <v>30</v>
      </c>
      <c r="K321" s="14" t="str">
        <f>HYPERLINK("http://mpro.prangroup.com:4000/CreativeWorks/Edit/36676","Open")</f>
        <v>Open</v>
      </c>
    </row>
    <row r="322" spans="1:11" ht="13.2">
      <c r="A322" s="4" t="s">
        <v>1988</v>
      </c>
      <c r="B322" s="5" t="s">
        <v>185</v>
      </c>
      <c r="C322" s="6" t="s">
        <v>166</v>
      </c>
      <c r="D322" s="17" t="s">
        <v>1989</v>
      </c>
      <c r="E322" s="8" t="s">
        <v>302</v>
      </c>
      <c r="F322" s="9" t="s">
        <v>17</v>
      </c>
      <c r="G322" s="10">
        <v>1</v>
      </c>
      <c r="H322" s="11">
        <v>46188</v>
      </c>
      <c r="I322" s="17" t="s">
        <v>1990</v>
      </c>
      <c r="J322" s="13" t="s">
        <v>30</v>
      </c>
      <c r="K322" s="14" t="str">
        <f>HYPERLINK("http://mpro.prangroup.com:4000/CreativeWorks/Edit/36674","Open")</f>
        <v>Open</v>
      </c>
    </row>
    <row r="323" spans="1:11" ht="13.2">
      <c r="A323" s="4" t="s">
        <v>1991</v>
      </c>
      <c r="B323" s="5" t="s">
        <v>123</v>
      </c>
      <c r="C323" s="6" t="s">
        <v>232</v>
      </c>
      <c r="D323" s="41" t="s">
        <v>1992</v>
      </c>
      <c r="E323" s="8" t="s">
        <v>302</v>
      </c>
      <c r="F323" s="9" t="s">
        <v>17</v>
      </c>
      <c r="G323" s="10">
        <v>3</v>
      </c>
      <c r="H323" s="11">
        <v>46189</v>
      </c>
      <c r="I323" s="17" t="s">
        <v>1993</v>
      </c>
      <c r="J323" s="13" t="s">
        <v>30</v>
      </c>
      <c r="K323" s="14" t="str">
        <f>HYPERLINK("http://mpro.prangroup.com:4000/CreativeWorks/Edit/36739","Open")</f>
        <v>Open</v>
      </c>
    </row>
    <row r="324" spans="1:11" ht="13.2">
      <c r="A324" s="4" t="s">
        <v>1994</v>
      </c>
      <c r="B324" s="5" t="s">
        <v>123</v>
      </c>
      <c r="C324" s="6" t="s">
        <v>1995</v>
      </c>
      <c r="D324" s="17" t="s">
        <v>1996</v>
      </c>
      <c r="E324" s="8" t="s">
        <v>302</v>
      </c>
      <c r="F324" s="9" t="s">
        <v>17</v>
      </c>
      <c r="G324" s="10">
        <v>2</v>
      </c>
      <c r="H324" s="11">
        <v>46188</v>
      </c>
      <c r="I324" s="17" t="s">
        <v>1997</v>
      </c>
      <c r="J324" s="13" t="s">
        <v>30</v>
      </c>
      <c r="K324" s="14" t="str">
        <f>HYPERLINK("http://mpro.prangroup.com:4000/CreativeWorks/Edit/36679","Open")</f>
        <v>Open</v>
      </c>
    </row>
    <row r="325" spans="1:11" ht="13.2">
      <c r="A325" s="4" t="s">
        <v>1998</v>
      </c>
      <c r="B325" s="5" t="s">
        <v>123</v>
      </c>
      <c r="C325" s="6" t="s">
        <v>730</v>
      </c>
      <c r="D325" s="17" t="s">
        <v>1999</v>
      </c>
      <c r="E325" s="8" t="s">
        <v>302</v>
      </c>
      <c r="F325" s="9" t="s">
        <v>17</v>
      </c>
      <c r="G325" s="10">
        <v>1</v>
      </c>
      <c r="H325" s="11">
        <v>46189</v>
      </c>
      <c r="I325" s="17" t="s">
        <v>2000</v>
      </c>
      <c r="J325" s="13" t="s">
        <v>30</v>
      </c>
      <c r="K325" s="14" t="str">
        <f>HYPERLINK("http://mpro.prangroup.com:4000/CreativeWorks/Edit/36772","Open")</f>
        <v>Open</v>
      </c>
    </row>
    <row r="326" spans="1:11" ht="13.2">
      <c r="A326" s="4" t="s">
        <v>2001</v>
      </c>
      <c r="B326" s="5" t="s">
        <v>101</v>
      </c>
      <c r="C326" s="6" t="s">
        <v>232</v>
      </c>
      <c r="D326" s="41" t="s">
        <v>2002</v>
      </c>
      <c r="E326" s="8" t="s">
        <v>1077</v>
      </c>
      <c r="F326" s="9" t="s">
        <v>17</v>
      </c>
      <c r="G326" s="10">
        <v>2</v>
      </c>
      <c r="H326" s="11">
        <v>46194</v>
      </c>
      <c r="I326" s="17" t="s">
        <v>2003</v>
      </c>
      <c r="J326" s="13" t="s">
        <v>19</v>
      </c>
      <c r="K326" s="14" t="str">
        <f>HYPERLINK("http://mpro.prangroup.com:4000/CreativeWorks/Edit/37278","Open")</f>
        <v>Open</v>
      </c>
    </row>
    <row r="327" spans="1:11" ht="13.2">
      <c r="A327" s="4" t="s">
        <v>2004</v>
      </c>
      <c r="B327" s="5" t="s">
        <v>41</v>
      </c>
      <c r="C327" s="6" t="s">
        <v>1711</v>
      </c>
      <c r="D327" s="17" t="s">
        <v>2005</v>
      </c>
      <c r="E327" s="8" t="s">
        <v>748</v>
      </c>
      <c r="F327" s="9" t="s">
        <v>17</v>
      </c>
      <c r="G327" s="10">
        <v>3</v>
      </c>
      <c r="H327" s="11">
        <v>46194</v>
      </c>
      <c r="I327" s="17" t="s">
        <v>2006</v>
      </c>
      <c r="J327" s="13" t="s">
        <v>19</v>
      </c>
      <c r="K327" s="14" t="str">
        <f>HYPERLINK("http://mpro.prangroup.com:4000/CreativeWorks/Edit/37275","Open")</f>
        <v>Open</v>
      </c>
    </row>
    <row r="328" spans="1:11" ht="13.2">
      <c r="A328" s="4" t="s">
        <v>2007</v>
      </c>
      <c r="B328" s="5" t="s">
        <v>41</v>
      </c>
      <c r="C328" s="6" t="s">
        <v>232</v>
      </c>
      <c r="D328" s="41" t="s">
        <v>2008</v>
      </c>
      <c r="E328" s="8" t="s">
        <v>302</v>
      </c>
      <c r="F328" s="9" t="s">
        <v>17</v>
      </c>
      <c r="G328" s="10">
        <v>1</v>
      </c>
      <c r="H328" s="11">
        <v>46194</v>
      </c>
      <c r="I328" s="17" t="s">
        <v>2009</v>
      </c>
      <c r="J328" s="13" t="s">
        <v>19</v>
      </c>
      <c r="K328" s="14" t="str">
        <f>HYPERLINK("http://mpro.prangroup.com:4000/CreativeWorks/Edit/37276","Open")</f>
        <v>Open</v>
      </c>
    </row>
    <row r="329" spans="1:11" ht="13.2">
      <c r="A329" s="4" t="s">
        <v>2010</v>
      </c>
      <c r="B329" s="5" t="s">
        <v>41</v>
      </c>
      <c r="C329" s="6" t="s">
        <v>1421</v>
      </c>
      <c r="D329" s="41" t="s">
        <v>2011</v>
      </c>
      <c r="E329" s="8" t="s">
        <v>748</v>
      </c>
      <c r="F329" s="9" t="s">
        <v>17</v>
      </c>
      <c r="G329" s="10">
        <v>25</v>
      </c>
      <c r="H329" s="11">
        <v>46193</v>
      </c>
      <c r="I329" s="17" t="s">
        <v>2012</v>
      </c>
      <c r="J329" s="13" t="s">
        <v>30</v>
      </c>
      <c r="K329" s="14" t="str">
        <f>HYPERLINK("http://mpro.prangroup.com:4000/CreativeWorks/Edit/37277","Open")</f>
        <v>Open</v>
      </c>
    </row>
    <row r="330" spans="1:11" ht="13.2">
      <c r="A330" s="4" t="s">
        <v>2001</v>
      </c>
      <c r="B330" s="5" t="s">
        <v>101</v>
      </c>
      <c r="C330" s="6" t="s">
        <v>232</v>
      </c>
      <c r="D330" s="41" t="s">
        <v>2002</v>
      </c>
      <c r="E330" s="8" t="s">
        <v>1077</v>
      </c>
      <c r="F330" s="9" t="s">
        <v>17</v>
      </c>
      <c r="G330" s="10">
        <v>2</v>
      </c>
      <c r="H330" s="11">
        <v>46194</v>
      </c>
      <c r="I330" s="17" t="s">
        <v>2003</v>
      </c>
      <c r="J330" s="13" t="s">
        <v>19</v>
      </c>
      <c r="K330" s="14" t="str">
        <f>HYPERLINK("http://mpro.prangroup.com:4000/CreativeWorks/Edit/37278","Open")</f>
        <v>Open</v>
      </c>
    </row>
    <row r="331" spans="1:11" ht="13.2">
      <c r="A331" s="4" t="s">
        <v>2013</v>
      </c>
      <c r="B331" s="5" t="s">
        <v>916</v>
      </c>
      <c r="C331" s="6" t="s">
        <v>746</v>
      </c>
      <c r="D331" s="17" t="s">
        <v>2014</v>
      </c>
      <c r="E331" s="8" t="s">
        <v>63</v>
      </c>
      <c r="F331" s="9" t="s">
        <v>17</v>
      </c>
      <c r="G331" s="10">
        <v>6</v>
      </c>
      <c r="H331" s="11">
        <v>46194</v>
      </c>
      <c r="I331" s="17" t="s">
        <v>2015</v>
      </c>
      <c r="J331" s="13" t="s">
        <v>19</v>
      </c>
      <c r="K331" s="14" t="str">
        <f>HYPERLINK("http://mpro.prangroup.com:4000/CreativeWorks/Edit/37300","Open")</f>
        <v>Open</v>
      </c>
    </row>
    <row r="332" spans="1:11" ht="13.2">
      <c r="A332" s="4" t="s">
        <v>2016</v>
      </c>
      <c r="B332" s="5" t="s">
        <v>185</v>
      </c>
      <c r="C332" s="6" t="s">
        <v>186</v>
      </c>
      <c r="D332" s="17" t="s">
        <v>696</v>
      </c>
      <c r="E332" s="8" t="s">
        <v>302</v>
      </c>
      <c r="F332" s="9" t="s">
        <v>17</v>
      </c>
      <c r="G332" s="10">
        <v>2</v>
      </c>
      <c r="H332" s="11">
        <v>46202</v>
      </c>
      <c r="I332" s="17" t="s">
        <v>2017</v>
      </c>
      <c r="J332" s="13" t="s">
        <v>19</v>
      </c>
      <c r="K332" s="14" t="str">
        <f>HYPERLINK("http://mpro.prangroup.com:4000/CreativeWorks/Edit/38402","Open")</f>
        <v>Open</v>
      </c>
    </row>
    <row r="333" spans="1:11" ht="13.2">
      <c r="A333" s="4" t="s">
        <v>2018</v>
      </c>
      <c r="B333" s="5" t="s">
        <v>185</v>
      </c>
      <c r="C333" s="6" t="s">
        <v>166</v>
      </c>
      <c r="D333" s="24"/>
      <c r="E333" s="8" t="s">
        <v>302</v>
      </c>
      <c r="F333" s="9" t="s">
        <v>17</v>
      </c>
      <c r="G333" s="10">
        <v>2</v>
      </c>
      <c r="H333" s="20"/>
      <c r="I333" s="21"/>
      <c r="J333" s="13" t="s">
        <v>1948</v>
      </c>
      <c r="K333" s="19"/>
    </row>
    <row r="334" spans="1:11" ht="13.2">
      <c r="A334" s="4" t="s">
        <v>2019</v>
      </c>
      <c r="B334" s="5" t="s">
        <v>185</v>
      </c>
      <c r="C334" s="6" t="s">
        <v>166</v>
      </c>
      <c r="D334" s="17" t="s">
        <v>2020</v>
      </c>
      <c r="E334" s="8" t="s">
        <v>302</v>
      </c>
      <c r="F334" s="9" t="s">
        <v>17</v>
      </c>
      <c r="G334" s="10">
        <v>3</v>
      </c>
      <c r="H334" s="11">
        <v>46196</v>
      </c>
      <c r="I334" s="17" t="s">
        <v>2021</v>
      </c>
      <c r="J334" s="13" t="s">
        <v>19</v>
      </c>
      <c r="K334" s="14" t="str">
        <f>HYPERLINK("http://mpro.prangroup.com:4000/CreativeWorks/Edit/37630","Open")</f>
        <v>Open</v>
      </c>
    </row>
    <row r="335" spans="1:11" ht="13.2">
      <c r="A335" s="4" t="s">
        <v>2022</v>
      </c>
      <c r="B335" s="5" t="s">
        <v>213</v>
      </c>
      <c r="C335" s="6" t="s">
        <v>232</v>
      </c>
      <c r="D335" s="17" t="s">
        <v>2023</v>
      </c>
      <c r="E335" s="8" t="s">
        <v>302</v>
      </c>
      <c r="F335" s="9" t="s">
        <v>17</v>
      </c>
      <c r="G335" s="10">
        <v>1</v>
      </c>
      <c r="H335" s="11">
        <v>46196</v>
      </c>
      <c r="I335" s="17" t="s">
        <v>2024</v>
      </c>
      <c r="J335" s="13" t="s">
        <v>19</v>
      </c>
      <c r="K335" s="14" t="str">
        <f>HYPERLINK("http://mpro.prangroup.com:4000/CreativeWorks/Edit/37631","Open")</f>
        <v>Open</v>
      </c>
    </row>
    <row r="336" spans="1:11" ht="13.2">
      <c r="A336" s="4" t="s">
        <v>709</v>
      </c>
      <c r="B336" s="5" t="s">
        <v>213</v>
      </c>
      <c r="C336" s="6" t="s">
        <v>232</v>
      </c>
      <c r="D336" s="41" t="s">
        <v>710</v>
      </c>
      <c r="E336" s="8" t="s">
        <v>302</v>
      </c>
      <c r="F336" s="9" t="s">
        <v>17</v>
      </c>
      <c r="G336" s="10">
        <v>4</v>
      </c>
      <c r="H336" s="11">
        <v>46205</v>
      </c>
      <c r="I336" s="17" t="s">
        <v>2025</v>
      </c>
      <c r="J336" s="13" t="s">
        <v>19</v>
      </c>
      <c r="K336" s="14" t="str">
        <f>HYPERLINK("http://mpro.prangroup.com:4000/CreativeWorks/Edit/39017","Open")</f>
        <v>Open</v>
      </c>
    </row>
    <row r="337" spans="1:11" ht="13.2">
      <c r="A337" s="4" t="s">
        <v>2026</v>
      </c>
      <c r="B337" s="5" t="s">
        <v>123</v>
      </c>
      <c r="C337" s="6" t="s">
        <v>2027</v>
      </c>
      <c r="D337" s="41" t="s">
        <v>2028</v>
      </c>
      <c r="E337" s="8" t="s">
        <v>1077</v>
      </c>
      <c r="F337" s="9" t="s">
        <v>17</v>
      </c>
      <c r="G337" s="10">
        <v>1</v>
      </c>
      <c r="H337" s="20"/>
      <c r="I337" s="21"/>
      <c r="J337" s="13" t="s">
        <v>1948</v>
      </c>
      <c r="K337" s="19"/>
    </row>
    <row r="338" spans="1:11" ht="13.2">
      <c r="A338" s="4" t="s">
        <v>2029</v>
      </c>
      <c r="B338" s="5" t="s">
        <v>123</v>
      </c>
      <c r="C338" s="6" t="s">
        <v>2030</v>
      </c>
      <c r="D338" s="17" t="s">
        <v>1306</v>
      </c>
      <c r="E338" s="8" t="s">
        <v>302</v>
      </c>
      <c r="F338" s="9" t="s">
        <v>17</v>
      </c>
      <c r="G338" s="10">
        <v>4</v>
      </c>
      <c r="H338" s="11">
        <v>46202</v>
      </c>
      <c r="I338" s="17" t="s">
        <v>2031</v>
      </c>
      <c r="J338" s="13" t="s">
        <v>19</v>
      </c>
      <c r="K338" s="14" t="str">
        <f>HYPERLINK("http://mpro.prangroup.com:4000/CreativeWorks/Edit/38400","Open")</f>
        <v>Open</v>
      </c>
    </row>
    <row r="339" spans="1:11" ht="13.2">
      <c r="A339" s="4" t="s">
        <v>2032</v>
      </c>
      <c r="B339" s="5" t="s">
        <v>282</v>
      </c>
      <c r="C339" s="6" t="s">
        <v>232</v>
      </c>
      <c r="D339" s="41" t="s">
        <v>2033</v>
      </c>
      <c r="E339" s="8" t="s">
        <v>302</v>
      </c>
      <c r="F339" s="9" t="s">
        <v>17</v>
      </c>
      <c r="G339" s="10">
        <v>4</v>
      </c>
      <c r="H339" s="20"/>
      <c r="I339" s="21"/>
      <c r="J339" s="13" t="s">
        <v>1948</v>
      </c>
      <c r="K339" s="19"/>
    </row>
    <row r="340" spans="1:11" ht="13.2">
      <c r="A340" s="4" t="s">
        <v>2034</v>
      </c>
      <c r="B340" s="5" t="s">
        <v>101</v>
      </c>
      <c r="C340" s="6" t="s">
        <v>228</v>
      </c>
      <c r="D340" s="41" t="s">
        <v>705</v>
      </c>
      <c r="E340" s="8" t="s">
        <v>63</v>
      </c>
      <c r="F340" s="9" t="s">
        <v>17</v>
      </c>
      <c r="G340" s="10">
        <v>6</v>
      </c>
      <c r="H340" s="11">
        <v>46198</v>
      </c>
      <c r="I340" s="17" t="s">
        <v>2035</v>
      </c>
      <c r="J340" s="13" t="s">
        <v>19</v>
      </c>
      <c r="K340" s="14" t="str">
        <f>HYPERLINK("http://mpro.prangroup.com:4000/CreativeWorks/Edit/37915","Open")</f>
        <v>Open</v>
      </c>
    </row>
    <row r="341" spans="1:11" ht="13.2">
      <c r="A341" s="4" t="s">
        <v>2036</v>
      </c>
      <c r="B341" s="5" t="s">
        <v>1243</v>
      </c>
      <c r="C341" s="6" t="s">
        <v>2037</v>
      </c>
      <c r="D341" s="17" t="s">
        <v>1296</v>
      </c>
      <c r="E341" s="8" t="s">
        <v>63</v>
      </c>
      <c r="F341" s="9" t="s">
        <v>17</v>
      </c>
      <c r="G341" s="10">
        <v>4</v>
      </c>
      <c r="H341" s="11">
        <v>46198</v>
      </c>
      <c r="I341" s="17" t="s">
        <v>2038</v>
      </c>
      <c r="J341" s="13" t="s">
        <v>19</v>
      </c>
      <c r="K341" s="14" t="str">
        <f>HYPERLINK("http://mpro.prangroup.com:4000/CreativeWorks/Edit/37910","Open")</f>
        <v>Open</v>
      </c>
    </row>
    <row r="342" spans="1:11" ht="13.2">
      <c r="A342" s="4" t="s">
        <v>2039</v>
      </c>
      <c r="B342" s="5" t="s">
        <v>41</v>
      </c>
      <c r="C342" s="6" t="s">
        <v>232</v>
      </c>
      <c r="D342" s="24"/>
      <c r="E342" s="8" t="s">
        <v>302</v>
      </c>
      <c r="F342" s="9" t="s">
        <v>17</v>
      </c>
      <c r="G342" s="10">
        <v>1</v>
      </c>
      <c r="H342" s="20"/>
      <c r="I342" s="21"/>
      <c r="J342" s="13" t="s">
        <v>1948</v>
      </c>
      <c r="K342" s="19"/>
    </row>
    <row r="343" spans="1:11" ht="13.2">
      <c r="A343" s="4" t="s">
        <v>2040</v>
      </c>
      <c r="B343" s="5" t="s">
        <v>41</v>
      </c>
      <c r="C343" s="6" t="s">
        <v>1421</v>
      </c>
      <c r="D343" s="41" t="s">
        <v>2041</v>
      </c>
      <c r="E343" s="8" t="s">
        <v>63</v>
      </c>
      <c r="F343" s="9" t="s">
        <v>17</v>
      </c>
      <c r="G343" s="10">
        <v>2</v>
      </c>
      <c r="H343" s="11">
        <v>46202</v>
      </c>
      <c r="I343" s="17" t="s">
        <v>2042</v>
      </c>
      <c r="J343" s="13" t="s">
        <v>19</v>
      </c>
      <c r="K343" s="14" t="str">
        <f>HYPERLINK("http://mpro.prangroup.com:4000/CreativeWorks/Edit/38288","Open")</f>
        <v>Open</v>
      </c>
    </row>
    <row r="344" spans="1:11" ht="13.2">
      <c r="A344" s="4" t="s">
        <v>2043</v>
      </c>
      <c r="B344" s="5" t="s">
        <v>41</v>
      </c>
      <c r="C344" s="6" t="s">
        <v>746</v>
      </c>
      <c r="D344" s="41" t="s">
        <v>2044</v>
      </c>
      <c r="E344" s="8" t="s">
        <v>63</v>
      </c>
      <c r="F344" s="9" t="s">
        <v>17</v>
      </c>
      <c r="G344" s="10">
        <v>2</v>
      </c>
      <c r="H344" s="11">
        <v>46202</v>
      </c>
      <c r="I344" s="17" t="s">
        <v>2045</v>
      </c>
      <c r="J344" s="13" t="s">
        <v>19</v>
      </c>
      <c r="K344" s="14" t="str">
        <f>HYPERLINK("http://mpro.prangroup.com:4000/CreativeWorks/Edit/38290","Open")</f>
        <v>Open</v>
      </c>
    </row>
    <row r="345" spans="1:11" ht="13.2">
      <c r="A345" s="4" t="s">
        <v>2046</v>
      </c>
      <c r="B345" s="5" t="s">
        <v>32</v>
      </c>
      <c r="C345" s="6" t="s">
        <v>348</v>
      </c>
      <c r="D345" s="41" t="s">
        <v>2047</v>
      </c>
      <c r="E345" s="8" t="s">
        <v>302</v>
      </c>
      <c r="F345" s="9" t="s">
        <v>17</v>
      </c>
      <c r="G345" s="10">
        <v>2</v>
      </c>
      <c r="H345" s="11">
        <v>46205</v>
      </c>
      <c r="I345" s="17" t="s">
        <v>2048</v>
      </c>
      <c r="J345" s="13" t="s">
        <v>19</v>
      </c>
      <c r="K345" s="14" t="str">
        <f>HYPERLINK("http://mpro.prangroup.com:4000/CreativeWorks/Edit/39000","Open")</f>
        <v>Open</v>
      </c>
    </row>
    <row r="346" spans="1:11" ht="13.2">
      <c r="A346" s="4" t="s">
        <v>2049</v>
      </c>
      <c r="B346" s="5" t="s">
        <v>54</v>
      </c>
      <c r="C346" s="6" t="s">
        <v>166</v>
      </c>
      <c r="D346" s="17" t="s">
        <v>693</v>
      </c>
      <c r="E346" s="8" t="s">
        <v>302</v>
      </c>
      <c r="F346" s="9" t="s">
        <v>17</v>
      </c>
      <c r="G346" s="10">
        <v>1</v>
      </c>
      <c r="H346" s="11">
        <v>46202</v>
      </c>
      <c r="I346" s="17" t="s">
        <v>2050</v>
      </c>
      <c r="J346" s="13" t="s">
        <v>19</v>
      </c>
      <c r="K346" s="14" t="str">
        <f>HYPERLINK("http://mpro.prangroup.com:4000/CreativeWorks/Edit/38285","Open")</f>
        <v>Open</v>
      </c>
    </row>
    <row r="347" spans="1:11" ht="13.2">
      <c r="A347" s="4" t="s">
        <v>2051</v>
      </c>
      <c r="B347" s="5" t="s">
        <v>916</v>
      </c>
      <c r="C347" s="6" t="s">
        <v>746</v>
      </c>
      <c r="D347" s="17" t="s">
        <v>2052</v>
      </c>
      <c r="E347" s="8" t="s">
        <v>63</v>
      </c>
      <c r="F347" s="9" t="s">
        <v>17</v>
      </c>
      <c r="G347" s="10">
        <v>1</v>
      </c>
      <c r="H347" s="11">
        <v>46202</v>
      </c>
      <c r="I347" s="17" t="s">
        <v>2053</v>
      </c>
      <c r="J347" s="13" t="s">
        <v>19</v>
      </c>
      <c r="K347" s="14" t="str">
        <f>HYPERLINK("http://mpro.prangroup.com:4000/CreativeWorks/Edit/38287","Open")</f>
        <v>Open</v>
      </c>
    </row>
    <row r="348" spans="1:11" ht="13.2">
      <c r="A348" s="4" t="s">
        <v>2054</v>
      </c>
      <c r="B348" s="5" t="s">
        <v>916</v>
      </c>
      <c r="C348" s="6" t="s">
        <v>746</v>
      </c>
      <c r="D348" s="17" t="s">
        <v>2055</v>
      </c>
      <c r="E348" s="8" t="s">
        <v>63</v>
      </c>
      <c r="F348" s="9" t="s">
        <v>17</v>
      </c>
      <c r="G348" s="10">
        <v>2</v>
      </c>
      <c r="H348" s="11">
        <v>46202</v>
      </c>
      <c r="I348" s="17" t="s">
        <v>2056</v>
      </c>
      <c r="J348" s="13" t="s">
        <v>19</v>
      </c>
      <c r="K348" s="14" t="str">
        <f>HYPERLINK("http://mpro.prangroup.com:4000/CreativeWorks/Edit/38398","Open")</f>
        <v>Open</v>
      </c>
    </row>
    <row r="349" spans="1:11" ht="13.2">
      <c r="A349" s="4" t="s">
        <v>2057</v>
      </c>
      <c r="B349" s="5" t="s">
        <v>916</v>
      </c>
      <c r="C349" s="6" t="s">
        <v>746</v>
      </c>
      <c r="D349" s="17" t="s">
        <v>2058</v>
      </c>
      <c r="E349" s="8" t="s">
        <v>63</v>
      </c>
      <c r="F349" s="9" t="s">
        <v>17</v>
      </c>
      <c r="G349" s="10">
        <v>5</v>
      </c>
      <c r="H349" s="11">
        <v>46202</v>
      </c>
      <c r="I349" s="17" t="s">
        <v>2059</v>
      </c>
      <c r="J349" s="13" t="s">
        <v>19</v>
      </c>
      <c r="K349" s="14" t="str">
        <f>HYPERLINK("http://mpro.prangroup.com:4000/CreativeWorks/Edit/38397","Open")</f>
        <v>Open</v>
      </c>
    </row>
    <row r="350" spans="1:11" ht="13.2">
      <c r="A350" s="17" t="s">
        <v>2060</v>
      </c>
      <c r="B350" s="5" t="s">
        <v>60</v>
      </c>
      <c r="C350" s="6" t="s">
        <v>461</v>
      </c>
      <c r="D350" s="41" t="s">
        <v>2061</v>
      </c>
      <c r="E350" s="8" t="s">
        <v>1077</v>
      </c>
      <c r="F350" s="9" t="s">
        <v>17</v>
      </c>
      <c r="G350" s="10">
        <v>1</v>
      </c>
      <c r="H350" s="11">
        <v>46209</v>
      </c>
      <c r="I350" s="17" t="s">
        <v>2062</v>
      </c>
      <c r="J350" s="13" t="s">
        <v>19</v>
      </c>
      <c r="K350" s="14" t="str">
        <f>HYPERLINK("http://mpro.prangroup.com:4000/CreativeWorks/Edit/39602","Open")</f>
        <v>Open</v>
      </c>
    </row>
    <row r="351" spans="1:11" ht="13.2">
      <c r="A351" s="3" t="s">
        <v>2063</v>
      </c>
      <c r="B351" s="5" t="s">
        <v>916</v>
      </c>
      <c r="C351" s="6" t="s">
        <v>746</v>
      </c>
      <c r="D351" s="17" t="s">
        <v>2064</v>
      </c>
      <c r="E351" s="8" t="s">
        <v>63</v>
      </c>
      <c r="F351" s="9" t="s">
        <v>17</v>
      </c>
      <c r="G351" s="10">
        <v>1</v>
      </c>
      <c r="H351" s="11">
        <v>46202</v>
      </c>
      <c r="I351" s="17" t="s">
        <v>2065</v>
      </c>
      <c r="J351" s="13" t="s">
        <v>19</v>
      </c>
      <c r="K351" s="14" t="str">
        <f>HYPERLINK("http://mpro.prangroup.com:4000/CreativeWorks/Edit/38396","Open")</f>
        <v>Open</v>
      </c>
    </row>
    <row r="352" spans="1:11" ht="13.2">
      <c r="A352" s="4" t="s">
        <v>2066</v>
      </c>
      <c r="B352" s="5" t="s">
        <v>41</v>
      </c>
      <c r="C352" s="6" t="s">
        <v>746</v>
      </c>
      <c r="D352" s="41" t="s">
        <v>2067</v>
      </c>
      <c r="E352" s="8" t="s">
        <v>63</v>
      </c>
      <c r="F352" s="9" t="s">
        <v>17</v>
      </c>
      <c r="G352" s="10">
        <v>1</v>
      </c>
      <c r="H352" s="11">
        <v>46202</v>
      </c>
      <c r="I352" s="17" t="s">
        <v>2068</v>
      </c>
      <c r="J352" s="13" t="s">
        <v>19</v>
      </c>
      <c r="K352" s="14" t="str">
        <f>HYPERLINK("http://mpro.prangroup.com:4000/CreativeWorks/Edit/38395","Open")</f>
        <v>Open</v>
      </c>
    </row>
    <row r="353" spans="1:12" ht="13.2">
      <c r="A353" s="4" t="s">
        <v>2069</v>
      </c>
      <c r="B353" s="5" t="s">
        <v>41</v>
      </c>
      <c r="C353" s="6" t="s">
        <v>1711</v>
      </c>
      <c r="D353" s="41" t="s">
        <v>2070</v>
      </c>
      <c r="E353" s="8" t="s">
        <v>748</v>
      </c>
      <c r="F353" s="9" t="s">
        <v>17</v>
      </c>
      <c r="G353" s="10">
        <v>1</v>
      </c>
      <c r="H353" s="20"/>
      <c r="I353" s="21"/>
      <c r="J353" s="13" t="s">
        <v>1948</v>
      </c>
      <c r="K353" s="19"/>
      <c r="L353" s="3" t="s">
        <v>2071</v>
      </c>
    </row>
    <row r="354" spans="1:12" ht="13.2">
      <c r="A354" s="4" t="s">
        <v>2072</v>
      </c>
      <c r="B354" s="5" t="s">
        <v>32</v>
      </c>
      <c r="C354" s="6" t="s">
        <v>1711</v>
      </c>
      <c r="D354" s="17" t="s">
        <v>1733</v>
      </c>
      <c r="E354" s="8" t="s">
        <v>302</v>
      </c>
      <c r="F354" s="9" t="s">
        <v>17</v>
      </c>
      <c r="G354" s="10">
        <v>1</v>
      </c>
      <c r="H354" s="11">
        <v>46202</v>
      </c>
      <c r="I354" s="17" t="s">
        <v>2073</v>
      </c>
      <c r="J354" s="13" t="s">
        <v>19</v>
      </c>
      <c r="K354" s="14" t="str">
        <f>HYPERLINK("http://mpro.prangroup.com:4000/CreativeWorks/Edit/38394","Open")</f>
        <v>Open</v>
      </c>
    </row>
    <row r="355" spans="1:12" ht="13.2">
      <c r="A355" s="4" t="s">
        <v>2074</v>
      </c>
      <c r="B355" s="5" t="s">
        <v>60</v>
      </c>
      <c r="C355" s="6" t="s">
        <v>232</v>
      </c>
      <c r="D355" s="41" t="s">
        <v>2075</v>
      </c>
      <c r="E355" s="8" t="s">
        <v>302</v>
      </c>
      <c r="F355" s="9" t="s">
        <v>17</v>
      </c>
      <c r="G355" s="10">
        <v>1</v>
      </c>
      <c r="H355" s="11">
        <v>46209</v>
      </c>
      <c r="I355" s="17" t="s">
        <v>2076</v>
      </c>
      <c r="J355" s="13" t="s">
        <v>19</v>
      </c>
      <c r="K355" s="14" t="str">
        <f>HYPERLINK("http://mpro.prangroup.com:4000/CreativeWorks/Edit/39603","Open")</f>
        <v>Open</v>
      </c>
    </row>
    <row r="356" spans="1:12" ht="13.2">
      <c r="A356" s="4" t="s">
        <v>2077</v>
      </c>
      <c r="B356" s="5" t="s">
        <v>32</v>
      </c>
      <c r="C356" s="6" t="s">
        <v>232</v>
      </c>
      <c r="D356" s="24"/>
      <c r="E356" s="8" t="s">
        <v>302</v>
      </c>
      <c r="F356" s="9" t="s">
        <v>17</v>
      </c>
      <c r="G356" s="10">
        <v>3</v>
      </c>
      <c r="H356" s="20"/>
      <c r="I356" s="21"/>
      <c r="J356" s="13" t="s">
        <v>1948</v>
      </c>
      <c r="K356" s="19"/>
    </row>
    <row r="357" spans="1:12" ht="13.2">
      <c r="A357" s="4" t="s">
        <v>2078</v>
      </c>
      <c r="B357" s="5" t="s">
        <v>32</v>
      </c>
      <c r="C357" s="6" t="s">
        <v>1711</v>
      </c>
      <c r="D357" s="41" t="s">
        <v>2079</v>
      </c>
      <c r="E357" s="8" t="s">
        <v>302</v>
      </c>
      <c r="F357" s="9" t="s">
        <v>17</v>
      </c>
      <c r="G357" s="10">
        <v>1</v>
      </c>
      <c r="H357" s="11">
        <v>46209</v>
      </c>
      <c r="I357" s="17" t="s">
        <v>2080</v>
      </c>
      <c r="J357" s="13" t="s">
        <v>19</v>
      </c>
      <c r="K357" s="14" t="str">
        <f>HYPERLINK("http://mpro.prangroup.com:4000/CreativeWorks/Edit/39604","Open")</f>
        <v>Open</v>
      </c>
    </row>
    <row r="358" spans="1:12" ht="13.2">
      <c r="A358" s="4" t="s">
        <v>2081</v>
      </c>
      <c r="B358" s="5" t="s">
        <v>60</v>
      </c>
      <c r="C358" s="6" t="s">
        <v>1685</v>
      </c>
      <c r="D358" s="41" t="s">
        <v>2082</v>
      </c>
      <c r="E358" s="8" t="s">
        <v>302</v>
      </c>
      <c r="F358" s="9" t="s">
        <v>17</v>
      </c>
      <c r="G358" s="10">
        <v>2</v>
      </c>
      <c r="H358" s="11">
        <v>46209</v>
      </c>
      <c r="I358" s="17" t="s">
        <v>2083</v>
      </c>
      <c r="J358" s="13" t="s">
        <v>19</v>
      </c>
      <c r="K358" s="14" t="str">
        <f>HYPERLINK("http://mpro.prangroup.com:4000/CreativeWorks/Edit/39605","Open")</f>
        <v>Open</v>
      </c>
    </row>
    <row r="359" spans="1:12" ht="13.2">
      <c r="A359" s="4" t="s">
        <v>1855</v>
      </c>
      <c r="B359" s="5" t="s">
        <v>916</v>
      </c>
      <c r="C359" s="6" t="s">
        <v>1421</v>
      </c>
      <c r="D359" s="41" t="s">
        <v>2084</v>
      </c>
      <c r="E359" s="8" t="s">
        <v>748</v>
      </c>
      <c r="F359" s="9" t="s">
        <v>17</v>
      </c>
      <c r="G359" s="10">
        <v>25</v>
      </c>
      <c r="H359" s="11">
        <v>46205</v>
      </c>
      <c r="I359" s="17" t="s">
        <v>2085</v>
      </c>
      <c r="J359" s="13" t="s">
        <v>19</v>
      </c>
      <c r="K359" s="14" t="str">
        <f>HYPERLINK("http://mpro.prangroup.com:4000/CreativeWorks/Edit/39028","Open")</f>
        <v>Open</v>
      </c>
    </row>
    <row r="360" spans="1:12" ht="13.2">
      <c r="A360" s="4" t="s">
        <v>1855</v>
      </c>
      <c r="B360" s="16"/>
      <c r="C360" s="23"/>
      <c r="D360" s="17" t="s">
        <v>2086</v>
      </c>
      <c r="E360" s="8" t="s">
        <v>748</v>
      </c>
      <c r="F360" s="9" t="s">
        <v>17</v>
      </c>
      <c r="G360" s="10">
        <v>9</v>
      </c>
      <c r="H360" s="20"/>
      <c r="I360" s="21"/>
      <c r="J360" s="13" t="s">
        <v>1948</v>
      </c>
      <c r="K360" s="19"/>
    </row>
    <row r="361" spans="1:12" ht="13.2">
      <c r="A361" s="4" t="s">
        <v>2087</v>
      </c>
      <c r="B361" s="5" t="s">
        <v>916</v>
      </c>
      <c r="C361" s="6" t="s">
        <v>746</v>
      </c>
      <c r="D361" s="17" t="s">
        <v>2088</v>
      </c>
      <c r="E361" s="8" t="s">
        <v>63</v>
      </c>
      <c r="F361" s="9" t="s">
        <v>17</v>
      </c>
      <c r="G361" s="10">
        <v>1</v>
      </c>
      <c r="H361" s="20"/>
      <c r="I361" s="21"/>
      <c r="J361" s="13" t="s">
        <v>1948</v>
      </c>
      <c r="K361" s="19"/>
    </row>
    <row r="362" spans="1:12" ht="13.2">
      <c r="A362" s="4" t="s">
        <v>2089</v>
      </c>
      <c r="B362" s="5" t="s">
        <v>916</v>
      </c>
      <c r="C362" s="6" t="s">
        <v>746</v>
      </c>
      <c r="D362" s="41" t="s">
        <v>2090</v>
      </c>
      <c r="E362" s="8" t="s">
        <v>63</v>
      </c>
      <c r="F362" s="9" t="s">
        <v>17</v>
      </c>
      <c r="G362" s="10">
        <v>1</v>
      </c>
      <c r="H362" s="11">
        <v>46209</v>
      </c>
      <c r="I362" s="17" t="s">
        <v>2091</v>
      </c>
      <c r="J362" s="13" t="s">
        <v>19</v>
      </c>
      <c r="K362" s="14" t="str">
        <f>HYPERLINK("http://mpro.prangroup.com:4000/CreativeWorks/Edit/39607","Open")</f>
        <v>Open</v>
      </c>
    </row>
    <row r="363" spans="1:12" ht="13.2">
      <c r="A363" s="4" t="s">
        <v>2092</v>
      </c>
      <c r="B363" s="5" t="s">
        <v>41</v>
      </c>
      <c r="C363" s="6" t="s">
        <v>1421</v>
      </c>
      <c r="D363" s="41" t="s">
        <v>2093</v>
      </c>
      <c r="E363" s="8" t="s">
        <v>63</v>
      </c>
      <c r="F363" s="9" t="s">
        <v>17</v>
      </c>
      <c r="G363" s="10">
        <v>1</v>
      </c>
      <c r="H363" s="11">
        <v>46209</v>
      </c>
      <c r="I363" s="17" t="s">
        <v>2094</v>
      </c>
      <c r="J363" s="13" t="s">
        <v>19</v>
      </c>
      <c r="K363" s="14" t="str">
        <f>HYPERLINK("http://mpro.prangroup.com:4000/CreativeWorks/Edit/39612","Open")</f>
        <v>Open</v>
      </c>
    </row>
    <row r="364" spans="1:12" ht="13.2">
      <c r="A364" s="4" t="s">
        <v>2095</v>
      </c>
      <c r="B364" s="5" t="s">
        <v>41</v>
      </c>
      <c r="C364" s="6" t="s">
        <v>186</v>
      </c>
      <c r="D364" s="24"/>
      <c r="E364" s="8" t="s">
        <v>302</v>
      </c>
      <c r="F364" s="9" t="s">
        <v>17</v>
      </c>
      <c r="G364" s="10">
        <v>5</v>
      </c>
      <c r="H364" s="20"/>
      <c r="I364" s="21"/>
      <c r="J364" s="13" t="s">
        <v>1948</v>
      </c>
      <c r="K364" s="19"/>
    </row>
    <row r="365" spans="1:12" ht="13.2">
      <c r="A365" s="4" t="s">
        <v>2096</v>
      </c>
      <c r="B365" s="16"/>
      <c r="C365" s="6" t="s">
        <v>1685</v>
      </c>
      <c r="D365" s="41" t="s">
        <v>2097</v>
      </c>
      <c r="E365" s="8" t="s">
        <v>302</v>
      </c>
      <c r="F365" s="9" t="s">
        <v>17</v>
      </c>
      <c r="G365" s="10">
        <v>1</v>
      </c>
      <c r="H365" s="11">
        <v>46209</v>
      </c>
      <c r="I365" s="17" t="s">
        <v>2098</v>
      </c>
      <c r="J365" s="13" t="s">
        <v>19</v>
      </c>
      <c r="K365" s="14" t="str">
        <f>HYPERLINK("http://mpro.prangroup.com:4000/CreativeWorks/Edit/39613","Open")</f>
        <v>Open</v>
      </c>
    </row>
    <row r="366" spans="1:12" ht="13.2">
      <c r="A366" s="4" t="s">
        <v>1855</v>
      </c>
      <c r="B366" s="5" t="s">
        <v>916</v>
      </c>
      <c r="C366" s="6" t="s">
        <v>1421</v>
      </c>
      <c r="D366" s="41" t="s">
        <v>2084</v>
      </c>
      <c r="E366" s="8" t="s">
        <v>748</v>
      </c>
      <c r="F366" s="9" t="s">
        <v>17</v>
      </c>
      <c r="G366" s="45">
        <v>30</v>
      </c>
      <c r="H366" s="11">
        <v>46209</v>
      </c>
      <c r="I366" s="17" t="s">
        <v>2099</v>
      </c>
      <c r="J366" s="13" t="s">
        <v>19</v>
      </c>
      <c r="K366" s="14" t="str">
        <f>HYPERLINK("http://mpro.prangroup.com:4000/CreativeWorks/Edit/39615","Open")</f>
        <v>Open</v>
      </c>
    </row>
    <row r="367" spans="1:12" ht="13.2">
      <c r="A367" s="4" t="s">
        <v>1840</v>
      </c>
      <c r="B367" s="5" t="s">
        <v>41</v>
      </c>
      <c r="C367" s="6" t="s">
        <v>1421</v>
      </c>
      <c r="D367" s="41" t="s">
        <v>2100</v>
      </c>
      <c r="E367" s="8" t="s">
        <v>63</v>
      </c>
      <c r="F367" s="9" t="s">
        <v>17</v>
      </c>
      <c r="G367" s="45">
        <v>1</v>
      </c>
      <c r="H367" s="11">
        <v>46209</v>
      </c>
      <c r="I367" s="17" t="s">
        <v>2101</v>
      </c>
      <c r="J367" s="13" t="s">
        <v>19</v>
      </c>
      <c r="K367" s="14" t="str">
        <f>HYPERLINK("http://mpro.prangroup.com:4000/CreativeWorks/Edit/39618","Open")</f>
        <v>Open</v>
      </c>
    </row>
    <row r="368" spans="1:12" ht="13.2">
      <c r="A368" s="4" t="s">
        <v>2102</v>
      </c>
      <c r="B368" s="5" t="s">
        <v>916</v>
      </c>
      <c r="C368" s="6" t="s">
        <v>746</v>
      </c>
      <c r="D368" s="17" t="s">
        <v>2103</v>
      </c>
      <c r="E368" s="8" t="s">
        <v>63</v>
      </c>
      <c r="F368" s="9" t="s">
        <v>17</v>
      </c>
      <c r="G368" s="46">
        <v>2</v>
      </c>
      <c r="H368" s="20"/>
      <c r="I368" s="21"/>
      <c r="J368" s="13" t="s">
        <v>1948</v>
      </c>
      <c r="K368" s="19"/>
    </row>
    <row r="369" spans="1:11" ht="13.2">
      <c r="A369" s="4" t="s">
        <v>2104</v>
      </c>
      <c r="B369" s="5" t="s">
        <v>32</v>
      </c>
      <c r="C369" s="6" t="s">
        <v>37</v>
      </c>
      <c r="D369" s="17" t="s">
        <v>2105</v>
      </c>
      <c r="E369" s="8" t="s">
        <v>302</v>
      </c>
      <c r="F369" s="9" t="s">
        <v>17</v>
      </c>
      <c r="G369" s="45">
        <v>1</v>
      </c>
      <c r="H369" s="20"/>
      <c r="I369" s="21"/>
      <c r="J369" s="13" t="s">
        <v>1948</v>
      </c>
      <c r="K369" s="19"/>
    </row>
    <row r="370" spans="1:11" ht="13.2">
      <c r="A370" s="4" t="s">
        <v>2106</v>
      </c>
      <c r="B370" s="5" t="s">
        <v>32</v>
      </c>
      <c r="C370" s="6" t="s">
        <v>232</v>
      </c>
      <c r="D370" s="17" t="s">
        <v>2107</v>
      </c>
      <c r="E370" s="8" t="s">
        <v>302</v>
      </c>
      <c r="F370" s="9" t="s">
        <v>17</v>
      </c>
      <c r="G370" s="45">
        <v>1</v>
      </c>
      <c r="H370" s="20"/>
      <c r="I370" s="21"/>
      <c r="J370" s="13" t="s">
        <v>1948</v>
      </c>
      <c r="K370" s="19"/>
    </row>
    <row r="371" spans="1:11" ht="13.8">
      <c r="A371" s="4" t="s">
        <v>2108</v>
      </c>
      <c r="B371" s="5" t="s">
        <v>185</v>
      </c>
      <c r="C371" s="6" t="s">
        <v>166</v>
      </c>
      <c r="D371" s="47" t="s">
        <v>2109</v>
      </c>
      <c r="E371" s="8" t="s">
        <v>302</v>
      </c>
      <c r="F371" s="9" t="s">
        <v>17</v>
      </c>
      <c r="G371" s="46">
        <v>1</v>
      </c>
      <c r="H371" s="20"/>
      <c r="I371" s="21"/>
      <c r="J371" s="13" t="s">
        <v>1948</v>
      </c>
      <c r="K371" s="19"/>
    </row>
    <row r="372" spans="1:11" ht="13.2">
      <c r="A372" s="4" t="s">
        <v>2110</v>
      </c>
      <c r="B372" s="5" t="s">
        <v>1832</v>
      </c>
      <c r="C372" s="6" t="s">
        <v>455</v>
      </c>
      <c r="D372" s="17" t="s">
        <v>2111</v>
      </c>
      <c r="E372" s="8" t="s">
        <v>302</v>
      </c>
      <c r="F372" s="9" t="s">
        <v>17</v>
      </c>
      <c r="G372" s="45">
        <v>3</v>
      </c>
      <c r="H372" s="20"/>
      <c r="I372" s="21"/>
      <c r="J372" s="13" t="s">
        <v>1948</v>
      </c>
      <c r="K372" s="19"/>
    </row>
    <row r="373" spans="1:11" ht="13.2">
      <c r="A373" s="4" t="s">
        <v>2112</v>
      </c>
      <c r="B373" s="5" t="s">
        <v>60</v>
      </c>
      <c r="C373" s="6" t="s">
        <v>746</v>
      </c>
      <c r="D373" s="17" t="s">
        <v>2113</v>
      </c>
      <c r="E373" s="8" t="s">
        <v>63</v>
      </c>
      <c r="F373" s="9" t="s">
        <v>17</v>
      </c>
      <c r="G373" s="45">
        <v>1</v>
      </c>
      <c r="H373" s="20"/>
      <c r="I373" s="21"/>
      <c r="J373" s="13" t="s">
        <v>1948</v>
      </c>
      <c r="K373" s="19"/>
    </row>
    <row r="374" spans="1:11" ht="13.2">
      <c r="A374" s="4" t="s">
        <v>2114</v>
      </c>
      <c r="B374" s="5" t="s">
        <v>32</v>
      </c>
      <c r="C374" s="6" t="s">
        <v>746</v>
      </c>
      <c r="D374" s="41" t="s">
        <v>2115</v>
      </c>
      <c r="E374" s="8" t="s">
        <v>63</v>
      </c>
      <c r="F374" s="9" t="s">
        <v>17</v>
      </c>
      <c r="G374" s="45">
        <v>1</v>
      </c>
      <c r="H374" s="20"/>
      <c r="I374" s="21"/>
      <c r="J374" s="13" t="s">
        <v>1948</v>
      </c>
      <c r="K374" s="19"/>
    </row>
    <row r="375" spans="1:11" ht="13.2">
      <c r="A375" s="4" t="s">
        <v>2116</v>
      </c>
      <c r="B375" s="5" t="s">
        <v>60</v>
      </c>
      <c r="C375" s="6" t="s">
        <v>746</v>
      </c>
      <c r="D375" s="17" t="s">
        <v>2117</v>
      </c>
      <c r="E375" s="8" t="s">
        <v>63</v>
      </c>
      <c r="F375" s="9" t="s">
        <v>17</v>
      </c>
      <c r="G375" s="45">
        <v>6</v>
      </c>
      <c r="H375" s="11">
        <v>46209</v>
      </c>
      <c r="I375" s="17" t="s">
        <v>2118</v>
      </c>
      <c r="J375" s="13" t="s">
        <v>19</v>
      </c>
      <c r="K375" s="14" t="str">
        <f>HYPERLINK("http://mpro.prangroup.com:4000/CreativeWorks/Edit/39656","Open")</f>
        <v>Open</v>
      </c>
    </row>
    <row r="376" spans="1:11" ht="13.2">
      <c r="A376" s="4" t="s">
        <v>2119</v>
      </c>
      <c r="B376" s="5" t="s">
        <v>41</v>
      </c>
      <c r="C376" s="6" t="s">
        <v>746</v>
      </c>
      <c r="D376" s="7" t="s">
        <v>2120</v>
      </c>
      <c r="E376" s="8" t="s">
        <v>63</v>
      </c>
      <c r="F376" s="9" t="s">
        <v>17</v>
      </c>
      <c r="G376" s="45">
        <v>1</v>
      </c>
      <c r="H376" s="20"/>
      <c r="I376" s="21"/>
      <c r="J376" s="13" t="s">
        <v>1948</v>
      </c>
      <c r="K376" s="19"/>
    </row>
    <row r="377" spans="1:11" ht="13.2">
      <c r="A377" s="4" t="s">
        <v>2121</v>
      </c>
      <c r="B377" s="5" t="s">
        <v>41</v>
      </c>
      <c r="C377" s="6" t="s">
        <v>245</v>
      </c>
      <c r="D377" s="17" t="s">
        <v>2122</v>
      </c>
      <c r="E377" s="8" t="s">
        <v>63</v>
      </c>
      <c r="F377" s="9" t="s">
        <v>17</v>
      </c>
      <c r="G377" s="45">
        <v>6</v>
      </c>
      <c r="H377" s="20"/>
      <c r="I377" s="21"/>
      <c r="J377" s="13" t="s">
        <v>1948</v>
      </c>
      <c r="K377" s="19"/>
    </row>
    <row r="378" spans="1:11" ht="13.2">
      <c r="A378" s="41" t="s">
        <v>2123</v>
      </c>
      <c r="B378" s="5" t="s">
        <v>41</v>
      </c>
      <c r="C378" s="6" t="s">
        <v>1421</v>
      </c>
      <c r="D378" s="41" t="s">
        <v>2124</v>
      </c>
      <c r="E378" s="8" t="s">
        <v>748</v>
      </c>
      <c r="F378" s="9" t="s">
        <v>17</v>
      </c>
      <c r="G378" s="45">
        <v>2</v>
      </c>
      <c r="H378" s="11">
        <v>46209</v>
      </c>
      <c r="I378" s="17" t="s">
        <v>2125</v>
      </c>
      <c r="J378" s="13" t="s">
        <v>19</v>
      </c>
      <c r="K378" s="14" t="str">
        <f>HYPERLINK("http://mpro.prangroup.com:4000/CreativeWorks/Edit/39132","Open")</f>
        <v>Open</v>
      </c>
    </row>
    <row r="379" spans="1:11" ht="13.2">
      <c r="A379" s="4" t="s">
        <v>2126</v>
      </c>
      <c r="B379" s="5" t="s">
        <v>178</v>
      </c>
      <c r="C379" s="6" t="s">
        <v>1711</v>
      </c>
      <c r="D379" s="17" t="s">
        <v>2127</v>
      </c>
      <c r="E379" s="8" t="s">
        <v>302</v>
      </c>
      <c r="F379" s="9" t="s">
        <v>17</v>
      </c>
      <c r="G379" s="10">
        <v>1</v>
      </c>
      <c r="H379" s="11">
        <v>46211</v>
      </c>
      <c r="I379" s="17" t="s">
        <v>2128</v>
      </c>
      <c r="J379" s="13" t="s">
        <v>19</v>
      </c>
      <c r="K379" s="14" t="str">
        <f t="shared" ref="K379:K380" si="16">HYPERLINK("http://mpro.prangroup.com:4000/CreativeWorks/Edit/39812","Open")</f>
        <v>Open</v>
      </c>
    </row>
    <row r="380" spans="1:11" ht="13.2">
      <c r="A380" s="4" t="s">
        <v>2126</v>
      </c>
      <c r="B380" s="5" t="s">
        <v>178</v>
      </c>
      <c r="C380" s="6" t="s">
        <v>1711</v>
      </c>
      <c r="D380" s="17" t="s">
        <v>2127</v>
      </c>
      <c r="E380" s="8" t="s">
        <v>748</v>
      </c>
      <c r="F380" s="9" t="s">
        <v>17</v>
      </c>
      <c r="G380" s="10">
        <v>6</v>
      </c>
      <c r="H380" s="11">
        <v>46211</v>
      </c>
      <c r="I380" s="17" t="s">
        <v>2128</v>
      </c>
      <c r="J380" s="13" t="s">
        <v>19</v>
      </c>
      <c r="K380" s="14" t="str">
        <f t="shared" si="16"/>
        <v>Open</v>
      </c>
    </row>
    <row r="381" spans="1:11" ht="13.2">
      <c r="A381" s="4" t="s">
        <v>2129</v>
      </c>
      <c r="B381" s="5" t="s">
        <v>178</v>
      </c>
      <c r="C381" s="6" t="s">
        <v>1711</v>
      </c>
      <c r="D381" s="41" t="s">
        <v>2130</v>
      </c>
      <c r="E381" s="8" t="s">
        <v>302</v>
      </c>
      <c r="F381" s="9" t="s">
        <v>17</v>
      </c>
      <c r="G381" s="10">
        <v>1</v>
      </c>
      <c r="H381" s="11">
        <v>46211</v>
      </c>
      <c r="I381" s="17" t="s">
        <v>2131</v>
      </c>
      <c r="J381" s="13" t="s">
        <v>19</v>
      </c>
      <c r="K381" s="19"/>
    </row>
    <row r="382" spans="1:11" ht="13.2">
      <c r="A382" s="4" t="s">
        <v>2129</v>
      </c>
      <c r="B382" s="5" t="s">
        <v>178</v>
      </c>
      <c r="C382" s="6" t="s">
        <v>1711</v>
      </c>
      <c r="D382" s="17" t="s">
        <v>2130</v>
      </c>
      <c r="E382" s="8" t="s">
        <v>748</v>
      </c>
      <c r="F382" s="9" t="s">
        <v>17</v>
      </c>
      <c r="G382" s="10">
        <v>6</v>
      </c>
      <c r="H382" s="11">
        <v>46211</v>
      </c>
      <c r="I382" s="17" t="s">
        <v>2131</v>
      </c>
      <c r="J382" s="13" t="s">
        <v>19</v>
      </c>
      <c r="K382" s="14" t="str">
        <f>HYPERLINK("http://mpro.prangroup.com:4000/CreativeWorks/Edit/39814","Open")</f>
        <v>Open</v>
      </c>
    </row>
    <row r="383" spans="1:11" ht="13.2">
      <c r="A383" s="4" t="s">
        <v>2132</v>
      </c>
      <c r="B383" s="5" t="s">
        <v>178</v>
      </c>
      <c r="C383" s="6" t="s">
        <v>1711</v>
      </c>
      <c r="D383" s="17" t="s">
        <v>2133</v>
      </c>
      <c r="E383" s="8" t="s">
        <v>302</v>
      </c>
      <c r="F383" s="9" t="s">
        <v>17</v>
      </c>
      <c r="G383" s="10">
        <v>1</v>
      </c>
      <c r="H383" s="11">
        <v>46211</v>
      </c>
      <c r="I383" s="17" t="s">
        <v>2134</v>
      </c>
      <c r="J383" s="13" t="s">
        <v>19</v>
      </c>
      <c r="K383" s="14" t="str">
        <f t="shared" ref="K383:K384" si="17">HYPERLINK("http://mpro.prangroup.com:4000/CreativeWorks/Edit/39818","Open")</f>
        <v>Open</v>
      </c>
    </row>
    <row r="384" spans="1:11" ht="13.2">
      <c r="A384" s="4" t="s">
        <v>2132</v>
      </c>
      <c r="B384" s="5" t="s">
        <v>178</v>
      </c>
      <c r="C384" s="6" t="s">
        <v>1711</v>
      </c>
      <c r="D384" s="17" t="s">
        <v>2133</v>
      </c>
      <c r="E384" s="8" t="s">
        <v>748</v>
      </c>
      <c r="F384" s="9" t="s">
        <v>17</v>
      </c>
      <c r="G384" s="10">
        <v>6</v>
      </c>
      <c r="H384" s="11">
        <v>46211</v>
      </c>
      <c r="I384" s="17" t="s">
        <v>2134</v>
      </c>
      <c r="J384" s="13" t="s">
        <v>19</v>
      </c>
      <c r="K384" s="14" t="str">
        <f t="shared" si="17"/>
        <v>Open</v>
      </c>
    </row>
    <row r="385" spans="1:11" ht="13.2">
      <c r="A385" s="4" t="s">
        <v>2135</v>
      </c>
      <c r="B385" s="5" t="s">
        <v>178</v>
      </c>
      <c r="C385" s="6" t="s">
        <v>1711</v>
      </c>
      <c r="D385" s="17" t="s">
        <v>2136</v>
      </c>
      <c r="E385" s="8" t="s">
        <v>302</v>
      </c>
      <c r="F385" s="9" t="s">
        <v>17</v>
      </c>
      <c r="G385" s="10">
        <v>1</v>
      </c>
      <c r="H385" s="11">
        <v>46211</v>
      </c>
      <c r="I385" s="17" t="s">
        <v>2137</v>
      </c>
      <c r="J385" s="13" t="s">
        <v>19</v>
      </c>
      <c r="K385" s="14" t="str">
        <f>HYPERLINK("http://mpro.prangroup.com:4000/CreativeWorks/Edit/39820","Open")</f>
        <v>Open</v>
      </c>
    </row>
    <row r="386" spans="1:11" ht="13.2">
      <c r="A386" s="4" t="s">
        <v>2135</v>
      </c>
      <c r="B386" s="5" t="s">
        <v>178</v>
      </c>
      <c r="C386" s="6" t="s">
        <v>1711</v>
      </c>
      <c r="D386" s="41" t="s">
        <v>2136</v>
      </c>
      <c r="E386" s="8" t="s">
        <v>748</v>
      </c>
      <c r="F386" s="9" t="s">
        <v>17</v>
      </c>
      <c r="G386" s="10">
        <v>6</v>
      </c>
      <c r="H386" s="11">
        <v>46211</v>
      </c>
      <c r="I386" s="17" t="s">
        <v>2137</v>
      </c>
      <c r="J386" s="13" t="s">
        <v>19</v>
      </c>
      <c r="K386" s="19"/>
    </row>
    <row r="387" spans="1:11" ht="13.2">
      <c r="A387" s="4" t="s">
        <v>2138</v>
      </c>
      <c r="B387" s="5" t="s">
        <v>916</v>
      </c>
      <c r="C387" s="6" t="s">
        <v>746</v>
      </c>
      <c r="D387" s="41" t="s">
        <v>2139</v>
      </c>
      <c r="E387" s="8" t="s">
        <v>63</v>
      </c>
      <c r="F387" s="9" t="s">
        <v>17</v>
      </c>
      <c r="G387" s="10">
        <v>2</v>
      </c>
      <c r="H387" s="11">
        <v>46211</v>
      </c>
      <c r="I387" s="17" t="s">
        <v>2140</v>
      </c>
      <c r="J387" s="13" t="s">
        <v>19</v>
      </c>
      <c r="K387" s="14" t="str">
        <f>HYPERLINK("http://mpro.prangroup.com:4000/CreativeWorks/Edit/39824","Open")</f>
        <v>Open</v>
      </c>
    </row>
    <row r="388" spans="1:11" ht="13.2">
      <c r="A388" s="17" t="s">
        <v>2141</v>
      </c>
      <c r="B388" s="5" t="s">
        <v>916</v>
      </c>
      <c r="C388" s="6" t="s">
        <v>746</v>
      </c>
      <c r="D388" s="41" t="s">
        <v>2142</v>
      </c>
      <c r="E388" s="8" t="s">
        <v>63</v>
      </c>
      <c r="F388" s="9" t="s">
        <v>17</v>
      </c>
      <c r="G388" s="10">
        <v>2</v>
      </c>
      <c r="H388" s="11">
        <v>46211</v>
      </c>
      <c r="I388" s="17" t="s">
        <v>2143</v>
      </c>
      <c r="J388" s="13" t="s">
        <v>19</v>
      </c>
      <c r="K388" s="14" t="str">
        <f>HYPERLINK("http://mpro.prangroup.com:4000/CreativeWorks/Edit/39825","Open")</f>
        <v>Open</v>
      </c>
    </row>
    <row r="389" spans="1:11" ht="13.2">
      <c r="A389" s="4" t="s">
        <v>2144</v>
      </c>
      <c r="B389" s="5" t="s">
        <v>41</v>
      </c>
      <c r="C389" s="6" t="s">
        <v>1421</v>
      </c>
      <c r="D389" s="41" t="s">
        <v>2145</v>
      </c>
      <c r="E389" s="8" t="s">
        <v>63</v>
      </c>
      <c r="F389" s="9" t="s">
        <v>17</v>
      </c>
      <c r="G389" s="10">
        <v>1</v>
      </c>
      <c r="H389" s="11">
        <v>46211</v>
      </c>
      <c r="I389" s="17" t="s">
        <v>2146</v>
      </c>
      <c r="J389" s="13" t="s">
        <v>19</v>
      </c>
      <c r="K389" s="14" t="str">
        <f>HYPERLINK("http://mpro.prangroup.com:4000/CreativeWorks/Edit/39884","Open")</f>
        <v>Open</v>
      </c>
    </row>
    <row r="390" spans="1:11" ht="13.2">
      <c r="A390" s="4" t="s">
        <v>105</v>
      </c>
      <c r="B390" s="5" t="s">
        <v>60</v>
      </c>
      <c r="C390" s="6" t="s">
        <v>78</v>
      </c>
      <c r="D390" s="7" t="s">
        <v>2147</v>
      </c>
      <c r="E390" s="8" t="s">
        <v>63</v>
      </c>
      <c r="F390" s="9" t="s">
        <v>17</v>
      </c>
      <c r="G390" s="10">
        <v>5</v>
      </c>
      <c r="H390" s="20"/>
      <c r="I390" s="21"/>
      <c r="J390" s="13" t="s">
        <v>1948</v>
      </c>
      <c r="K390" s="19"/>
    </row>
    <row r="391" spans="1:11" ht="13.2">
      <c r="A391" s="4" t="s">
        <v>1928</v>
      </c>
      <c r="B391" s="5" t="s">
        <v>41</v>
      </c>
      <c r="C391" s="6" t="s">
        <v>1421</v>
      </c>
      <c r="D391" s="41" t="s">
        <v>2148</v>
      </c>
      <c r="E391" s="8" t="s">
        <v>748</v>
      </c>
      <c r="F391" s="9" t="s">
        <v>17</v>
      </c>
      <c r="G391" s="10">
        <v>2</v>
      </c>
      <c r="H391" s="11">
        <v>46211</v>
      </c>
      <c r="I391" s="17" t="s">
        <v>2149</v>
      </c>
      <c r="J391" s="13" t="s">
        <v>19</v>
      </c>
      <c r="K391" s="14" t="str">
        <f>HYPERLINK("http://mpro.prangroup.com:4000/CreativeWorks/Edit/39880","Open")</f>
        <v>Open</v>
      </c>
    </row>
    <row r="392" spans="1:11" ht="13.2">
      <c r="A392" s="4" t="s">
        <v>2150</v>
      </c>
      <c r="B392" s="5" t="s">
        <v>41</v>
      </c>
      <c r="C392" s="6" t="s">
        <v>1421</v>
      </c>
      <c r="D392" s="41" t="s">
        <v>2151</v>
      </c>
      <c r="E392" s="8" t="s">
        <v>63</v>
      </c>
      <c r="F392" s="9" t="s">
        <v>17</v>
      </c>
      <c r="G392" s="10">
        <v>1</v>
      </c>
      <c r="H392" s="11">
        <v>46211</v>
      </c>
      <c r="I392" s="17" t="s">
        <v>2152</v>
      </c>
      <c r="J392" s="13" t="s">
        <v>19</v>
      </c>
      <c r="K392" s="14" t="str">
        <f>HYPERLINK("http://mpro.prangroup.com:4000/CreativeWorks/Edit/39882","Open")</f>
        <v>Open</v>
      </c>
    </row>
    <row r="393" spans="1:11" ht="13.2">
      <c r="A393" s="4" t="s">
        <v>2153</v>
      </c>
      <c r="B393" s="5" t="s">
        <v>41</v>
      </c>
      <c r="C393" s="6" t="s">
        <v>1421</v>
      </c>
      <c r="D393" s="41" t="s">
        <v>2154</v>
      </c>
      <c r="E393" s="8" t="s">
        <v>63</v>
      </c>
      <c r="F393" s="9" t="s">
        <v>17</v>
      </c>
      <c r="G393" s="10">
        <v>1</v>
      </c>
      <c r="H393" s="11">
        <v>46211</v>
      </c>
      <c r="I393" s="17" t="s">
        <v>2155</v>
      </c>
      <c r="J393" s="13" t="s">
        <v>19</v>
      </c>
      <c r="K393" s="14" t="str">
        <f>HYPERLINK("http://mpro.prangroup.com:4000/CreativeWorks/Edit/39883","Open")</f>
        <v>Open</v>
      </c>
    </row>
    <row r="394" spans="1:11" ht="13.2">
      <c r="A394" s="4" t="s">
        <v>2156</v>
      </c>
      <c r="B394" s="5" t="s">
        <v>41</v>
      </c>
      <c r="C394" s="6" t="s">
        <v>1711</v>
      </c>
      <c r="D394" s="7">
        <v>39148</v>
      </c>
      <c r="E394" s="8" t="s">
        <v>748</v>
      </c>
      <c r="F394" s="9" t="s">
        <v>17</v>
      </c>
      <c r="G394" s="27"/>
      <c r="H394" s="20"/>
      <c r="I394" s="21"/>
      <c r="J394" s="13" t="s">
        <v>1948</v>
      </c>
      <c r="K394" s="19"/>
    </row>
    <row r="395" spans="1:11" ht="13.2">
      <c r="A395" s="4" t="s">
        <v>2157</v>
      </c>
      <c r="B395" s="5" t="s">
        <v>916</v>
      </c>
      <c r="C395" s="6" t="s">
        <v>1421</v>
      </c>
      <c r="D395" s="7">
        <v>39180</v>
      </c>
      <c r="E395" s="8" t="s">
        <v>63</v>
      </c>
      <c r="F395" s="9" t="s">
        <v>17</v>
      </c>
      <c r="G395" s="10">
        <v>2</v>
      </c>
      <c r="H395" s="20"/>
      <c r="I395" s="21"/>
      <c r="J395" s="13" t="s">
        <v>1948</v>
      </c>
      <c r="K395" s="19"/>
    </row>
    <row r="396" spans="1:11" ht="13.2">
      <c r="A396" s="4" t="s">
        <v>2158</v>
      </c>
      <c r="B396" s="5" t="s">
        <v>101</v>
      </c>
      <c r="C396" s="6" t="s">
        <v>102</v>
      </c>
      <c r="D396" s="7" t="s">
        <v>2159</v>
      </c>
      <c r="E396" s="8" t="s">
        <v>302</v>
      </c>
      <c r="F396" s="9" t="s">
        <v>17</v>
      </c>
      <c r="G396" s="10">
        <v>2</v>
      </c>
      <c r="H396" s="20"/>
      <c r="I396" s="21"/>
      <c r="J396" s="13" t="s">
        <v>590</v>
      </c>
      <c r="K396" s="19"/>
    </row>
    <row r="397" spans="1:11" ht="13.2">
      <c r="A397" s="22"/>
      <c r="B397" s="16"/>
      <c r="C397" s="23"/>
      <c r="D397" s="24"/>
      <c r="E397" s="25"/>
      <c r="F397" s="26"/>
      <c r="G397" s="27"/>
      <c r="H397" s="20"/>
      <c r="I397" s="21"/>
      <c r="J397" s="28"/>
      <c r="K397" s="19"/>
    </row>
    <row r="398" spans="1:11" ht="13.2">
      <c r="A398" s="22"/>
      <c r="B398" s="16"/>
      <c r="C398" s="23"/>
      <c r="D398" s="24"/>
      <c r="E398" s="25"/>
      <c r="F398" s="26"/>
      <c r="G398" s="27"/>
      <c r="H398" s="20"/>
      <c r="I398" s="21"/>
      <c r="J398" s="28"/>
      <c r="K398" s="19"/>
    </row>
    <row r="399" spans="1:11" ht="13.2">
      <c r="A399" s="22"/>
      <c r="B399" s="16"/>
      <c r="C399" s="23"/>
      <c r="D399" s="24"/>
      <c r="E399" s="25"/>
      <c r="F399" s="26"/>
      <c r="G399" s="27"/>
      <c r="H399" s="20"/>
      <c r="I399" s="21"/>
      <c r="J399" s="28"/>
      <c r="K399" s="19"/>
    </row>
    <row r="400" spans="1:11" ht="13.2">
      <c r="A400" s="22"/>
      <c r="B400" s="16"/>
      <c r="C400" s="23"/>
      <c r="D400" s="24"/>
      <c r="E400" s="25"/>
      <c r="F400" s="26"/>
      <c r="G400" s="27"/>
      <c r="H400" s="20"/>
      <c r="I400" s="21"/>
      <c r="J400" s="28"/>
      <c r="K400" s="19"/>
    </row>
    <row r="401" spans="1:11" ht="13.2">
      <c r="A401" s="22"/>
      <c r="B401" s="16"/>
      <c r="C401" s="23"/>
      <c r="D401" s="24"/>
      <c r="E401" s="25"/>
      <c r="F401" s="26"/>
      <c r="G401" s="27"/>
      <c r="H401" s="20"/>
      <c r="I401" s="21"/>
      <c r="J401" s="28"/>
      <c r="K401" s="19"/>
    </row>
    <row r="402" spans="1:11" ht="13.2">
      <c r="A402" s="22"/>
      <c r="B402" s="16"/>
      <c r="C402" s="23"/>
      <c r="D402" s="24"/>
      <c r="E402" s="25"/>
      <c r="F402" s="26"/>
      <c r="G402" s="27"/>
      <c r="H402" s="20"/>
      <c r="I402" s="21"/>
      <c r="J402" s="28"/>
      <c r="K402" s="19"/>
    </row>
    <row r="403" spans="1:11" ht="13.2">
      <c r="A403" s="22"/>
      <c r="B403" s="16"/>
      <c r="C403" s="23"/>
      <c r="D403" s="24"/>
      <c r="E403" s="25"/>
      <c r="F403" s="26"/>
      <c r="G403" s="27"/>
      <c r="H403" s="20"/>
      <c r="I403" s="21"/>
      <c r="J403" s="28"/>
      <c r="K403" s="19"/>
    </row>
    <row r="404" spans="1:11" ht="13.2">
      <c r="A404" s="22"/>
      <c r="B404" s="16"/>
      <c r="C404" s="23"/>
      <c r="D404" s="24"/>
      <c r="E404" s="25"/>
      <c r="F404" s="26"/>
      <c r="G404" s="27"/>
      <c r="H404" s="20"/>
      <c r="I404" s="21"/>
      <c r="J404" s="28"/>
      <c r="K404" s="19"/>
    </row>
    <row r="405" spans="1:11" ht="13.2">
      <c r="A405" s="22"/>
      <c r="B405" s="16"/>
      <c r="C405" s="23"/>
      <c r="D405" s="24"/>
      <c r="E405" s="25"/>
      <c r="F405" s="26"/>
      <c r="G405" s="27"/>
      <c r="H405" s="20"/>
      <c r="I405" s="21"/>
      <c r="J405" s="28"/>
      <c r="K405" s="19"/>
    </row>
    <row r="406" spans="1:11" ht="13.2">
      <c r="A406" s="22"/>
      <c r="B406" s="16"/>
      <c r="C406" s="23"/>
      <c r="D406" s="24"/>
      <c r="E406" s="25"/>
      <c r="F406" s="26"/>
      <c r="G406" s="27"/>
      <c r="H406" s="20"/>
      <c r="I406" s="21"/>
      <c r="J406" s="28"/>
      <c r="K406" s="19"/>
    </row>
    <row r="407" spans="1:11" ht="13.2">
      <c r="A407" s="22"/>
      <c r="B407" s="16"/>
      <c r="C407" s="23"/>
      <c r="D407" s="24"/>
      <c r="E407" s="25"/>
      <c r="F407" s="26"/>
      <c r="G407" s="27"/>
      <c r="H407" s="20"/>
      <c r="I407" s="21"/>
      <c r="J407" s="28"/>
      <c r="K407" s="19"/>
    </row>
    <row r="408" spans="1:11" ht="13.2">
      <c r="A408" s="22"/>
      <c r="B408" s="16"/>
      <c r="C408" s="23"/>
      <c r="D408" s="24"/>
      <c r="E408" s="25"/>
      <c r="F408" s="26"/>
      <c r="G408" s="27"/>
      <c r="H408" s="20"/>
      <c r="I408" s="21"/>
      <c r="J408" s="28"/>
      <c r="K408" s="19"/>
    </row>
    <row r="409" spans="1:11" ht="13.2">
      <c r="A409" s="22"/>
      <c r="B409" s="16"/>
      <c r="C409" s="23"/>
      <c r="D409" s="24"/>
      <c r="E409" s="25"/>
      <c r="F409" s="26"/>
      <c r="G409" s="27"/>
      <c r="H409" s="20"/>
      <c r="I409" s="21"/>
      <c r="J409" s="28"/>
      <c r="K409" s="19"/>
    </row>
    <row r="410" spans="1:11" ht="13.2">
      <c r="A410" s="22"/>
      <c r="B410" s="16"/>
      <c r="C410" s="23"/>
      <c r="D410" s="24"/>
      <c r="E410" s="25"/>
      <c r="F410" s="26"/>
      <c r="G410" s="27"/>
      <c r="H410" s="20"/>
      <c r="I410" s="21"/>
      <c r="J410" s="28"/>
      <c r="K410" s="19"/>
    </row>
    <row r="411" spans="1:11" ht="13.2">
      <c r="A411" s="22"/>
      <c r="B411" s="16"/>
      <c r="C411" s="23"/>
      <c r="D411" s="24"/>
      <c r="E411" s="25"/>
      <c r="F411" s="26"/>
      <c r="G411" s="27"/>
      <c r="H411" s="20"/>
      <c r="I411" s="21"/>
      <c r="J411" s="28"/>
      <c r="K411" s="19"/>
    </row>
    <row r="412" spans="1:11" ht="13.2">
      <c r="A412" s="22"/>
      <c r="B412" s="16"/>
      <c r="C412" s="23"/>
      <c r="D412" s="24"/>
      <c r="E412" s="25"/>
      <c r="F412" s="26"/>
      <c r="G412" s="27"/>
      <c r="H412" s="20"/>
      <c r="I412" s="21"/>
      <c r="J412" s="28"/>
      <c r="K412" s="19"/>
    </row>
    <row r="413" spans="1:11" ht="13.2">
      <c r="A413" s="22"/>
      <c r="B413" s="16"/>
      <c r="C413" s="23"/>
      <c r="D413" s="24"/>
      <c r="E413" s="25"/>
      <c r="F413" s="26"/>
      <c r="G413" s="27"/>
      <c r="H413" s="20"/>
      <c r="I413" s="21"/>
      <c r="J413" s="28"/>
      <c r="K413" s="19"/>
    </row>
    <row r="414" spans="1:11" ht="13.2">
      <c r="A414" s="22"/>
      <c r="B414" s="16"/>
      <c r="C414" s="23"/>
      <c r="D414" s="24"/>
      <c r="E414" s="25"/>
      <c r="F414" s="26"/>
      <c r="G414" s="27"/>
      <c r="H414" s="20"/>
      <c r="I414" s="21"/>
      <c r="J414" s="28"/>
      <c r="K414" s="19"/>
    </row>
    <row r="415" spans="1:11" ht="13.2">
      <c r="A415" s="22"/>
      <c r="B415" s="16"/>
      <c r="C415" s="23"/>
      <c r="D415" s="24"/>
      <c r="E415" s="25"/>
      <c r="F415" s="26"/>
      <c r="G415" s="27"/>
      <c r="H415" s="20"/>
      <c r="I415" s="21"/>
      <c r="J415" s="28"/>
      <c r="K415" s="19"/>
    </row>
    <row r="416" spans="1:11" ht="13.2">
      <c r="A416" s="22"/>
      <c r="B416" s="16"/>
      <c r="C416" s="23"/>
      <c r="D416" s="24"/>
      <c r="E416" s="25"/>
      <c r="F416" s="26"/>
      <c r="G416" s="27"/>
      <c r="H416" s="20"/>
      <c r="I416" s="21"/>
      <c r="J416" s="28"/>
      <c r="K416" s="19"/>
    </row>
    <row r="417" spans="1:11" ht="13.2">
      <c r="A417" s="22"/>
      <c r="B417" s="16"/>
      <c r="C417" s="23"/>
      <c r="D417" s="24"/>
      <c r="E417" s="25"/>
      <c r="F417" s="26"/>
      <c r="G417" s="27"/>
      <c r="H417" s="20"/>
      <c r="I417" s="21"/>
      <c r="J417" s="28"/>
      <c r="K417" s="19"/>
    </row>
    <row r="418" spans="1:11" ht="13.2">
      <c r="A418" s="22"/>
      <c r="B418" s="16"/>
      <c r="C418" s="23"/>
      <c r="D418" s="24"/>
      <c r="E418" s="25"/>
      <c r="F418" s="26"/>
      <c r="G418" s="27"/>
      <c r="H418" s="20"/>
      <c r="I418" s="21"/>
      <c r="J418" s="28"/>
      <c r="K418" s="19"/>
    </row>
    <row r="419" spans="1:11" ht="13.2">
      <c r="A419" s="22"/>
      <c r="B419" s="16"/>
      <c r="C419" s="23"/>
      <c r="D419" s="24"/>
      <c r="E419" s="25"/>
      <c r="F419" s="26"/>
      <c r="G419" s="27"/>
      <c r="H419" s="20"/>
      <c r="I419" s="21"/>
      <c r="J419" s="28"/>
      <c r="K419" s="19"/>
    </row>
    <row r="420" spans="1:11" ht="13.2">
      <c r="A420" s="22"/>
      <c r="B420" s="16"/>
      <c r="C420" s="23"/>
      <c r="D420" s="24"/>
      <c r="E420" s="25"/>
      <c r="F420" s="26"/>
      <c r="G420" s="27"/>
      <c r="H420" s="20"/>
      <c r="I420" s="21"/>
      <c r="J420" s="28"/>
      <c r="K420" s="19"/>
    </row>
    <row r="421" spans="1:11" ht="13.2">
      <c r="A421" s="22"/>
      <c r="B421" s="16"/>
      <c r="C421" s="23"/>
      <c r="D421" s="24"/>
      <c r="E421" s="25"/>
      <c r="F421" s="26"/>
      <c r="G421" s="27"/>
      <c r="H421" s="20"/>
      <c r="I421" s="21"/>
      <c r="J421" s="28"/>
      <c r="K421" s="19"/>
    </row>
    <row r="422" spans="1:11" ht="13.2">
      <c r="A422" s="22"/>
      <c r="B422" s="16"/>
      <c r="C422" s="23"/>
      <c r="D422" s="24"/>
      <c r="E422" s="25"/>
      <c r="F422" s="26"/>
      <c r="G422" s="27"/>
      <c r="H422" s="20"/>
      <c r="I422" s="21"/>
      <c r="J422" s="28"/>
      <c r="K422" s="19"/>
    </row>
    <row r="423" spans="1:11" ht="13.2">
      <c r="A423" s="22"/>
      <c r="B423" s="16"/>
      <c r="C423" s="23"/>
      <c r="D423" s="24"/>
      <c r="E423" s="25"/>
      <c r="F423" s="26"/>
      <c r="G423" s="27"/>
      <c r="H423" s="20"/>
      <c r="I423" s="21"/>
      <c r="J423" s="28"/>
      <c r="K423" s="19"/>
    </row>
    <row r="424" spans="1:11" ht="13.2">
      <c r="A424" s="22"/>
      <c r="B424" s="16"/>
      <c r="C424" s="23"/>
      <c r="D424" s="24"/>
      <c r="E424" s="25"/>
      <c r="F424" s="26"/>
      <c r="G424" s="27"/>
      <c r="H424" s="20"/>
      <c r="I424" s="21"/>
      <c r="J424" s="28"/>
      <c r="K424" s="19"/>
    </row>
    <row r="425" spans="1:11" ht="13.2">
      <c r="A425" s="22"/>
      <c r="B425" s="16"/>
      <c r="C425" s="23"/>
      <c r="D425" s="24"/>
      <c r="E425" s="25"/>
      <c r="F425" s="26"/>
      <c r="G425" s="27"/>
      <c r="H425" s="20"/>
      <c r="I425" s="21"/>
      <c r="J425" s="28"/>
      <c r="K425" s="19"/>
    </row>
    <row r="426" spans="1:11" ht="13.2">
      <c r="A426" s="22"/>
      <c r="B426" s="16"/>
      <c r="C426" s="23"/>
      <c r="D426" s="24"/>
      <c r="E426" s="25"/>
      <c r="F426" s="26"/>
      <c r="G426" s="27"/>
      <c r="H426" s="20"/>
      <c r="I426" s="21"/>
      <c r="J426" s="28"/>
      <c r="K426" s="19"/>
    </row>
    <row r="427" spans="1:11" ht="13.2">
      <c r="A427" s="22"/>
      <c r="B427" s="16"/>
      <c r="C427" s="23"/>
      <c r="D427" s="24"/>
      <c r="E427" s="25"/>
      <c r="F427" s="26"/>
      <c r="G427" s="27"/>
      <c r="H427" s="20"/>
      <c r="I427" s="21"/>
      <c r="J427" s="28"/>
      <c r="K427" s="19"/>
    </row>
    <row r="428" spans="1:11" ht="13.2">
      <c r="A428" s="22"/>
      <c r="B428" s="16"/>
      <c r="C428" s="23"/>
      <c r="D428" s="24"/>
      <c r="E428" s="25"/>
      <c r="F428" s="26"/>
      <c r="G428" s="27"/>
      <c r="H428" s="20"/>
      <c r="I428" s="21"/>
      <c r="J428" s="28"/>
      <c r="K428" s="19"/>
    </row>
    <row r="429" spans="1:11" ht="13.2">
      <c r="A429" s="22"/>
      <c r="B429" s="16"/>
      <c r="C429" s="23"/>
      <c r="D429" s="24"/>
      <c r="E429" s="25"/>
      <c r="F429" s="26"/>
      <c r="G429" s="27"/>
      <c r="H429" s="20"/>
      <c r="I429" s="21"/>
      <c r="J429" s="28"/>
      <c r="K429" s="19"/>
    </row>
    <row r="430" spans="1:11" ht="13.2">
      <c r="A430" s="22"/>
      <c r="B430" s="16"/>
      <c r="C430" s="23"/>
      <c r="D430" s="24"/>
      <c r="E430" s="25"/>
      <c r="F430" s="26"/>
      <c r="G430" s="27"/>
      <c r="H430" s="20"/>
      <c r="I430" s="21"/>
      <c r="J430" s="28"/>
      <c r="K430" s="19"/>
    </row>
    <row r="431" spans="1:11" ht="13.2">
      <c r="A431" s="22"/>
      <c r="B431" s="16"/>
      <c r="C431" s="23"/>
      <c r="D431" s="24"/>
      <c r="E431" s="25"/>
      <c r="F431" s="26"/>
      <c r="G431" s="27"/>
      <c r="H431" s="20"/>
      <c r="I431" s="21"/>
      <c r="J431" s="28"/>
      <c r="K431" s="19"/>
    </row>
    <row r="432" spans="1:11" ht="13.2">
      <c r="A432" s="22"/>
      <c r="B432" s="16"/>
      <c r="C432" s="23"/>
      <c r="D432" s="24"/>
      <c r="E432" s="25"/>
      <c r="F432" s="26"/>
      <c r="G432" s="27"/>
      <c r="H432" s="20"/>
      <c r="I432" s="21"/>
      <c r="J432" s="28"/>
      <c r="K432" s="19"/>
    </row>
    <row r="433" spans="1:11" ht="13.2">
      <c r="A433" s="22"/>
      <c r="B433" s="16"/>
      <c r="C433" s="23"/>
      <c r="D433" s="24"/>
      <c r="E433" s="25"/>
      <c r="F433" s="26"/>
      <c r="G433" s="27"/>
      <c r="H433" s="20"/>
      <c r="I433" s="21"/>
      <c r="J433" s="28"/>
      <c r="K433" s="19"/>
    </row>
    <row r="434" spans="1:11" ht="13.2">
      <c r="A434" s="22"/>
      <c r="B434" s="16"/>
      <c r="C434" s="23"/>
      <c r="D434" s="24"/>
      <c r="E434" s="25"/>
      <c r="F434" s="26"/>
      <c r="G434" s="27"/>
      <c r="H434" s="20"/>
      <c r="I434" s="21"/>
      <c r="J434" s="28"/>
      <c r="K434" s="19"/>
    </row>
    <row r="435" spans="1:11" ht="13.2">
      <c r="A435" s="22"/>
      <c r="B435" s="16"/>
      <c r="C435" s="23"/>
      <c r="D435" s="24"/>
      <c r="E435" s="25"/>
      <c r="F435" s="26"/>
      <c r="G435" s="27"/>
      <c r="H435" s="20"/>
      <c r="I435" s="21"/>
      <c r="J435" s="28"/>
      <c r="K435" s="19"/>
    </row>
    <row r="436" spans="1:11" ht="13.2">
      <c r="A436" s="22"/>
      <c r="B436" s="16"/>
      <c r="C436" s="23"/>
      <c r="D436" s="24"/>
      <c r="E436" s="25"/>
      <c r="F436" s="26"/>
      <c r="G436" s="27"/>
      <c r="H436" s="20"/>
      <c r="I436" s="21"/>
      <c r="J436" s="28"/>
      <c r="K436" s="19"/>
    </row>
    <row r="437" spans="1:11" ht="13.2">
      <c r="A437" s="22"/>
      <c r="B437" s="16"/>
      <c r="C437" s="23"/>
      <c r="D437" s="24"/>
      <c r="E437" s="25"/>
      <c r="F437" s="26"/>
      <c r="G437" s="27"/>
      <c r="H437" s="20"/>
      <c r="I437" s="21"/>
      <c r="J437" s="28"/>
      <c r="K437" s="19"/>
    </row>
    <row r="438" spans="1:11" ht="13.2">
      <c r="A438" s="22"/>
      <c r="B438" s="16"/>
      <c r="C438" s="23"/>
      <c r="D438" s="24"/>
      <c r="E438" s="25"/>
      <c r="F438" s="26"/>
      <c r="G438" s="27"/>
      <c r="H438" s="20"/>
      <c r="I438" s="21"/>
      <c r="J438" s="28"/>
      <c r="K438" s="19"/>
    </row>
    <row r="439" spans="1:11" ht="13.2">
      <c r="A439" s="22"/>
      <c r="B439" s="16"/>
      <c r="C439" s="23"/>
      <c r="D439" s="24"/>
      <c r="E439" s="25"/>
      <c r="F439" s="26"/>
      <c r="G439" s="27"/>
      <c r="H439" s="20"/>
      <c r="I439" s="21"/>
      <c r="J439" s="28"/>
      <c r="K439" s="19"/>
    </row>
    <row r="440" spans="1:11" ht="13.2">
      <c r="A440" s="22"/>
      <c r="B440" s="16"/>
      <c r="C440" s="23"/>
      <c r="D440" s="24"/>
      <c r="E440" s="25"/>
      <c r="F440" s="26"/>
      <c r="G440" s="27"/>
      <c r="H440" s="20"/>
      <c r="I440" s="21"/>
      <c r="J440" s="28"/>
      <c r="K440" s="19"/>
    </row>
    <row r="441" spans="1:11" ht="13.2">
      <c r="A441" s="22"/>
      <c r="B441" s="16"/>
      <c r="C441" s="23"/>
      <c r="D441" s="24"/>
      <c r="E441" s="25"/>
      <c r="F441" s="26"/>
      <c r="G441" s="27"/>
      <c r="H441" s="20"/>
      <c r="I441" s="21"/>
      <c r="J441" s="28"/>
      <c r="K441" s="19"/>
    </row>
    <row r="442" spans="1:11" ht="13.2">
      <c r="A442" s="22"/>
      <c r="B442" s="16"/>
      <c r="C442" s="23"/>
      <c r="D442" s="24"/>
      <c r="E442" s="25"/>
      <c r="F442" s="26"/>
      <c r="G442" s="27"/>
      <c r="H442" s="20"/>
      <c r="I442" s="21"/>
      <c r="J442" s="28"/>
      <c r="K442" s="19"/>
    </row>
    <row r="443" spans="1:11" ht="13.2">
      <c r="A443" s="22"/>
      <c r="B443" s="16"/>
      <c r="C443" s="23"/>
      <c r="D443" s="24"/>
      <c r="E443" s="25"/>
      <c r="F443" s="26"/>
      <c r="G443" s="27"/>
      <c r="H443" s="20"/>
      <c r="I443" s="21"/>
      <c r="J443" s="28"/>
      <c r="K443" s="19"/>
    </row>
    <row r="444" spans="1:11" ht="13.2">
      <c r="A444" s="22"/>
      <c r="B444" s="16"/>
      <c r="C444" s="23"/>
      <c r="D444" s="24"/>
      <c r="E444" s="25"/>
      <c r="F444" s="26"/>
      <c r="G444" s="27"/>
      <c r="H444" s="20"/>
      <c r="I444" s="21"/>
      <c r="J444" s="28"/>
      <c r="K444" s="19"/>
    </row>
    <row r="445" spans="1:11" ht="13.2">
      <c r="A445" s="22"/>
      <c r="B445" s="16"/>
      <c r="C445" s="23"/>
      <c r="D445" s="24"/>
      <c r="E445" s="25"/>
      <c r="F445" s="26"/>
      <c r="G445" s="27"/>
      <c r="H445" s="20"/>
      <c r="I445" s="21"/>
      <c r="J445" s="28"/>
      <c r="K445" s="19"/>
    </row>
    <row r="446" spans="1:11" ht="13.2">
      <c r="A446" s="22"/>
      <c r="B446" s="16"/>
      <c r="C446" s="23"/>
      <c r="D446" s="24"/>
      <c r="E446" s="25"/>
      <c r="F446" s="26"/>
      <c r="G446" s="27"/>
      <c r="H446" s="20"/>
      <c r="I446" s="21"/>
      <c r="J446" s="28"/>
      <c r="K446" s="19"/>
    </row>
    <row r="447" spans="1:11" ht="13.2">
      <c r="A447" s="22"/>
      <c r="B447" s="16"/>
      <c r="C447" s="23"/>
      <c r="D447" s="24"/>
      <c r="E447" s="25"/>
      <c r="F447" s="26"/>
      <c r="G447" s="27"/>
      <c r="H447" s="20"/>
      <c r="I447" s="21"/>
      <c r="J447" s="28"/>
      <c r="K447" s="19"/>
    </row>
    <row r="448" spans="1:11" ht="13.2">
      <c r="A448" s="22"/>
      <c r="B448" s="16"/>
      <c r="C448" s="23"/>
      <c r="D448" s="24"/>
      <c r="E448" s="25"/>
      <c r="F448" s="26"/>
      <c r="G448" s="27"/>
      <c r="H448" s="20"/>
      <c r="I448" s="21"/>
      <c r="J448" s="28"/>
      <c r="K448" s="19"/>
    </row>
    <row r="449" spans="1:11" ht="13.2">
      <c r="A449" s="22"/>
      <c r="B449" s="16"/>
      <c r="C449" s="23"/>
      <c r="D449" s="24"/>
      <c r="E449" s="25"/>
      <c r="F449" s="26"/>
      <c r="G449" s="27"/>
      <c r="H449" s="20"/>
      <c r="I449" s="21"/>
      <c r="J449" s="28"/>
      <c r="K449" s="19"/>
    </row>
    <row r="450" spans="1:11" ht="13.2">
      <c r="A450" s="22"/>
      <c r="B450" s="16"/>
      <c r="C450" s="23"/>
      <c r="D450" s="24"/>
      <c r="E450" s="25"/>
      <c r="F450" s="26"/>
      <c r="G450" s="27"/>
      <c r="H450" s="20"/>
      <c r="I450" s="21"/>
      <c r="J450" s="28"/>
      <c r="K450" s="19"/>
    </row>
    <row r="451" spans="1:11" ht="13.2">
      <c r="A451" s="22"/>
      <c r="B451" s="16"/>
      <c r="C451" s="23"/>
      <c r="D451" s="24"/>
      <c r="E451" s="25"/>
      <c r="F451" s="26"/>
      <c r="G451" s="27"/>
      <c r="H451" s="20"/>
      <c r="I451" s="21"/>
      <c r="J451" s="28"/>
      <c r="K451" s="19"/>
    </row>
    <row r="452" spans="1:11" ht="13.2">
      <c r="A452" s="22"/>
      <c r="B452" s="16"/>
      <c r="C452" s="23"/>
      <c r="D452" s="24"/>
      <c r="E452" s="25"/>
      <c r="F452" s="26"/>
      <c r="G452" s="27"/>
      <c r="H452" s="20"/>
      <c r="I452" s="21"/>
      <c r="J452" s="28"/>
      <c r="K452" s="19"/>
    </row>
    <row r="453" spans="1:11" ht="13.2">
      <c r="A453" s="22"/>
      <c r="B453" s="16"/>
      <c r="C453" s="23"/>
      <c r="D453" s="24"/>
      <c r="E453" s="25"/>
      <c r="F453" s="26"/>
      <c r="G453" s="27"/>
      <c r="H453" s="20"/>
      <c r="I453" s="21"/>
      <c r="J453" s="28"/>
      <c r="K453" s="19"/>
    </row>
    <row r="454" spans="1:11" ht="13.2">
      <c r="A454" s="22"/>
      <c r="B454" s="16"/>
      <c r="C454" s="23"/>
      <c r="D454" s="24"/>
      <c r="E454" s="25"/>
      <c r="F454" s="26"/>
      <c r="G454" s="27"/>
      <c r="H454" s="20"/>
      <c r="I454" s="21"/>
      <c r="J454" s="28"/>
      <c r="K454" s="19"/>
    </row>
    <row r="455" spans="1:11" ht="13.2">
      <c r="A455" s="22"/>
      <c r="B455" s="16"/>
      <c r="C455" s="23"/>
      <c r="D455" s="24"/>
      <c r="E455" s="25"/>
      <c r="F455" s="26"/>
      <c r="G455" s="27"/>
      <c r="H455" s="20"/>
      <c r="I455" s="21"/>
      <c r="J455" s="28"/>
      <c r="K455" s="19"/>
    </row>
    <row r="456" spans="1:11" ht="13.2">
      <c r="A456" s="22"/>
      <c r="B456" s="16"/>
      <c r="C456" s="23"/>
      <c r="D456" s="24"/>
      <c r="E456" s="25"/>
      <c r="F456" s="26"/>
      <c r="G456" s="27"/>
      <c r="H456" s="20"/>
      <c r="I456" s="21"/>
      <c r="J456" s="28"/>
      <c r="K456" s="19"/>
    </row>
    <row r="457" spans="1:11" ht="13.2">
      <c r="A457" s="22"/>
      <c r="B457" s="16"/>
      <c r="C457" s="23"/>
      <c r="D457" s="24"/>
      <c r="E457" s="25"/>
      <c r="F457" s="26"/>
      <c r="G457" s="27"/>
      <c r="H457" s="20"/>
      <c r="I457" s="21"/>
      <c r="J457" s="28"/>
      <c r="K457" s="19"/>
    </row>
    <row r="458" spans="1:11" ht="13.2">
      <c r="A458" s="22"/>
      <c r="B458" s="16"/>
      <c r="C458" s="23"/>
      <c r="D458" s="24"/>
      <c r="E458" s="25"/>
      <c r="F458" s="26"/>
      <c r="G458" s="27"/>
      <c r="H458" s="20"/>
      <c r="I458" s="21"/>
      <c r="J458" s="28"/>
      <c r="K458" s="19"/>
    </row>
    <row r="459" spans="1:11" ht="13.2">
      <c r="A459" s="22"/>
      <c r="B459" s="16"/>
      <c r="C459" s="23"/>
      <c r="D459" s="24"/>
      <c r="E459" s="25"/>
      <c r="F459" s="26"/>
      <c r="G459" s="27"/>
      <c r="H459" s="20"/>
      <c r="I459" s="21"/>
      <c r="J459" s="28"/>
      <c r="K459" s="19"/>
    </row>
    <row r="460" spans="1:11" ht="13.2">
      <c r="A460" s="22"/>
      <c r="B460" s="16"/>
      <c r="C460" s="23"/>
      <c r="D460" s="24"/>
      <c r="E460" s="25"/>
      <c r="F460" s="26"/>
      <c r="G460" s="27"/>
      <c r="H460" s="20"/>
      <c r="I460" s="21"/>
      <c r="J460" s="28"/>
      <c r="K460" s="19"/>
    </row>
    <row r="461" spans="1:11" ht="13.2">
      <c r="A461" s="22"/>
      <c r="B461" s="16"/>
      <c r="C461" s="23"/>
      <c r="D461" s="24"/>
      <c r="E461" s="25"/>
      <c r="F461" s="26"/>
      <c r="G461" s="27"/>
      <c r="H461" s="20"/>
      <c r="I461" s="21"/>
      <c r="J461" s="28"/>
      <c r="K461" s="19"/>
    </row>
    <row r="462" spans="1:11" ht="13.2">
      <c r="A462" s="22"/>
      <c r="B462" s="16"/>
      <c r="C462" s="23"/>
      <c r="D462" s="24"/>
      <c r="E462" s="25"/>
      <c r="F462" s="26"/>
      <c r="G462" s="27"/>
      <c r="H462" s="20"/>
      <c r="I462" s="21"/>
      <c r="J462" s="28"/>
      <c r="K462" s="19"/>
    </row>
    <row r="463" spans="1:11" ht="13.2">
      <c r="A463" s="22"/>
      <c r="B463" s="16"/>
      <c r="C463" s="23"/>
      <c r="D463" s="24"/>
      <c r="E463" s="25"/>
      <c r="F463" s="26"/>
      <c r="G463" s="27"/>
      <c r="H463" s="20"/>
      <c r="I463" s="21"/>
      <c r="J463" s="28"/>
      <c r="K463" s="19"/>
    </row>
    <row r="464" spans="1:11" ht="13.2">
      <c r="A464" s="22"/>
      <c r="B464" s="16"/>
      <c r="C464" s="23"/>
      <c r="D464" s="24"/>
      <c r="E464" s="25"/>
      <c r="F464" s="26"/>
      <c r="G464" s="27"/>
      <c r="H464" s="20"/>
      <c r="I464" s="21"/>
      <c r="J464" s="28"/>
      <c r="K464" s="19"/>
    </row>
    <row r="465" spans="1:11" ht="13.2">
      <c r="A465" s="22"/>
      <c r="B465" s="16"/>
      <c r="C465" s="23"/>
      <c r="D465" s="24"/>
      <c r="E465" s="25"/>
      <c r="F465" s="26"/>
      <c r="G465" s="27"/>
      <c r="H465" s="20"/>
      <c r="I465" s="21"/>
      <c r="J465" s="28"/>
      <c r="K465" s="19"/>
    </row>
    <row r="466" spans="1:11" ht="13.2">
      <c r="A466" s="22"/>
      <c r="B466" s="16"/>
      <c r="C466" s="23"/>
      <c r="D466" s="24"/>
      <c r="E466" s="25"/>
      <c r="F466" s="26"/>
      <c r="G466" s="27"/>
      <c r="H466" s="20"/>
      <c r="I466" s="21"/>
      <c r="J466" s="28"/>
      <c r="K466" s="19"/>
    </row>
    <row r="467" spans="1:11" ht="13.2">
      <c r="A467" s="22"/>
      <c r="B467" s="16"/>
      <c r="C467" s="23"/>
      <c r="D467" s="24"/>
      <c r="E467" s="25"/>
      <c r="F467" s="26"/>
      <c r="G467" s="27"/>
      <c r="H467" s="20"/>
      <c r="I467" s="21"/>
      <c r="J467" s="28"/>
      <c r="K467" s="19"/>
    </row>
    <row r="468" spans="1:11" ht="13.2">
      <c r="A468" s="22"/>
      <c r="B468" s="16"/>
      <c r="C468" s="23"/>
      <c r="D468" s="24"/>
      <c r="E468" s="25"/>
      <c r="F468" s="26"/>
      <c r="G468" s="27"/>
      <c r="H468" s="20"/>
      <c r="I468" s="21"/>
      <c r="J468" s="28"/>
      <c r="K468" s="19"/>
    </row>
    <row r="469" spans="1:11" ht="13.2">
      <c r="A469" s="22"/>
      <c r="B469" s="16"/>
      <c r="C469" s="23"/>
      <c r="D469" s="24"/>
      <c r="E469" s="25"/>
      <c r="F469" s="26"/>
      <c r="G469" s="27"/>
      <c r="H469" s="20"/>
      <c r="I469" s="21"/>
      <c r="J469" s="28"/>
      <c r="K469" s="19"/>
    </row>
    <row r="470" spans="1:11" ht="13.2">
      <c r="A470" s="22"/>
      <c r="B470" s="16"/>
      <c r="C470" s="23"/>
      <c r="D470" s="24"/>
      <c r="E470" s="25"/>
      <c r="F470" s="26"/>
      <c r="G470" s="27"/>
      <c r="H470" s="20"/>
      <c r="I470" s="21"/>
      <c r="J470" s="28"/>
      <c r="K470" s="19"/>
    </row>
    <row r="471" spans="1:11" ht="13.2">
      <c r="A471" s="22"/>
      <c r="B471" s="16"/>
      <c r="C471" s="23"/>
      <c r="D471" s="24"/>
      <c r="E471" s="25"/>
      <c r="F471" s="26"/>
      <c r="G471" s="27"/>
      <c r="H471" s="20"/>
      <c r="I471" s="21"/>
      <c r="J471" s="28"/>
      <c r="K471" s="19"/>
    </row>
    <row r="472" spans="1:11" ht="13.2">
      <c r="A472" s="22"/>
      <c r="B472" s="16"/>
      <c r="C472" s="23"/>
      <c r="D472" s="24"/>
      <c r="E472" s="25"/>
      <c r="F472" s="26"/>
      <c r="G472" s="27"/>
      <c r="H472" s="20"/>
      <c r="I472" s="21"/>
      <c r="J472" s="28"/>
      <c r="K472" s="19"/>
    </row>
    <row r="473" spans="1:11" ht="13.2">
      <c r="A473" s="22"/>
      <c r="B473" s="16"/>
      <c r="C473" s="23"/>
      <c r="D473" s="24"/>
      <c r="E473" s="25"/>
      <c r="F473" s="26"/>
      <c r="G473" s="27"/>
      <c r="H473" s="20"/>
      <c r="I473" s="21"/>
      <c r="J473" s="28"/>
      <c r="K473" s="19"/>
    </row>
    <row r="474" spans="1:11" ht="13.2">
      <c r="A474" s="22"/>
      <c r="B474" s="16"/>
      <c r="C474" s="23"/>
      <c r="D474" s="24"/>
      <c r="E474" s="25"/>
      <c r="F474" s="26"/>
      <c r="G474" s="27"/>
      <c r="H474" s="20"/>
      <c r="I474" s="21"/>
      <c r="J474" s="28"/>
      <c r="K474" s="19"/>
    </row>
    <row r="475" spans="1:11" ht="13.2">
      <c r="A475" s="22"/>
      <c r="B475" s="16"/>
      <c r="C475" s="23"/>
      <c r="D475" s="24"/>
      <c r="E475" s="25"/>
      <c r="F475" s="26"/>
      <c r="G475" s="27"/>
      <c r="H475" s="20"/>
      <c r="I475" s="21"/>
      <c r="J475" s="28"/>
      <c r="K475" s="19"/>
    </row>
    <row r="476" spans="1:11" ht="13.2">
      <c r="A476" s="22"/>
      <c r="B476" s="16"/>
      <c r="C476" s="23"/>
      <c r="D476" s="24"/>
      <c r="E476" s="25"/>
      <c r="F476" s="26"/>
      <c r="G476" s="27"/>
      <c r="H476" s="20"/>
      <c r="I476" s="21"/>
      <c r="J476" s="28"/>
      <c r="K476" s="19"/>
    </row>
    <row r="477" spans="1:11" ht="13.2">
      <c r="A477" s="22"/>
      <c r="B477" s="16"/>
      <c r="C477" s="23"/>
      <c r="D477" s="24"/>
      <c r="E477" s="25"/>
      <c r="F477" s="26"/>
      <c r="G477" s="27"/>
      <c r="H477" s="20"/>
      <c r="I477" s="21"/>
      <c r="J477" s="28"/>
      <c r="K477" s="19"/>
    </row>
    <row r="478" spans="1:11" ht="13.2">
      <c r="A478" s="22"/>
      <c r="B478" s="16"/>
      <c r="C478" s="23"/>
      <c r="D478" s="24"/>
      <c r="E478" s="25"/>
      <c r="F478" s="26"/>
      <c r="G478" s="27"/>
      <c r="H478" s="20"/>
      <c r="I478" s="21"/>
      <c r="J478" s="28"/>
      <c r="K478" s="19"/>
    </row>
    <row r="479" spans="1:11" ht="13.2">
      <c r="A479" s="22"/>
      <c r="B479" s="16"/>
      <c r="C479" s="23"/>
      <c r="D479" s="24"/>
      <c r="E479" s="25"/>
      <c r="F479" s="26"/>
      <c r="G479" s="27"/>
      <c r="H479" s="20"/>
      <c r="I479" s="21"/>
      <c r="J479" s="28"/>
      <c r="K479" s="19"/>
    </row>
    <row r="480" spans="1:11" ht="13.2">
      <c r="A480" s="22"/>
      <c r="B480" s="16"/>
      <c r="C480" s="23"/>
      <c r="D480" s="24"/>
      <c r="E480" s="25"/>
      <c r="F480" s="26"/>
      <c r="G480" s="27"/>
      <c r="H480" s="20"/>
      <c r="I480" s="21"/>
      <c r="J480" s="28"/>
      <c r="K480" s="19"/>
    </row>
    <row r="481" spans="1:11" ht="13.2">
      <c r="A481" s="22"/>
      <c r="B481" s="16"/>
      <c r="C481" s="23"/>
      <c r="D481" s="24"/>
      <c r="E481" s="25"/>
      <c r="F481" s="26"/>
      <c r="G481" s="27"/>
      <c r="H481" s="20"/>
      <c r="I481" s="21"/>
      <c r="J481" s="28"/>
      <c r="K481" s="19"/>
    </row>
    <row r="482" spans="1:11" ht="13.2">
      <c r="A482" s="22"/>
      <c r="B482" s="16"/>
      <c r="C482" s="23"/>
      <c r="D482" s="24"/>
      <c r="E482" s="25"/>
      <c r="F482" s="26"/>
      <c r="G482" s="27"/>
      <c r="H482" s="20"/>
      <c r="I482" s="21"/>
      <c r="J482" s="28"/>
      <c r="K482" s="19"/>
    </row>
    <row r="483" spans="1:11" ht="13.2">
      <c r="A483" s="22"/>
      <c r="B483" s="16"/>
      <c r="C483" s="23"/>
      <c r="D483" s="24"/>
      <c r="E483" s="25"/>
      <c r="F483" s="26"/>
      <c r="G483" s="27"/>
      <c r="H483" s="20"/>
      <c r="I483" s="21"/>
      <c r="J483" s="28"/>
      <c r="K483" s="19"/>
    </row>
    <row r="484" spans="1:11" ht="13.2">
      <c r="A484" s="22"/>
      <c r="B484" s="16"/>
      <c r="C484" s="23"/>
      <c r="D484" s="24"/>
      <c r="E484" s="25"/>
      <c r="F484" s="26"/>
      <c r="G484" s="27"/>
      <c r="H484" s="20"/>
      <c r="I484" s="21"/>
      <c r="J484" s="28"/>
      <c r="K484" s="19"/>
    </row>
    <row r="485" spans="1:11" ht="13.2">
      <c r="A485" s="22"/>
      <c r="B485" s="16"/>
      <c r="C485" s="23"/>
      <c r="D485" s="24"/>
      <c r="E485" s="25"/>
      <c r="F485" s="26"/>
      <c r="G485" s="27"/>
      <c r="H485" s="20"/>
      <c r="I485" s="21"/>
      <c r="J485" s="28"/>
      <c r="K485" s="19"/>
    </row>
    <row r="486" spans="1:11" ht="13.2">
      <c r="A486" s="22"/>
      <c r="B486" s="16"/>
      <c r="C486" s="23"/>
      <c r="D486" s="24"/>
      <c r="E486" s="25"/>
      <c r="F486" s="26"/>
      <c r="G486" s="27"/>
      <c r="H486" s="20"/>
      <c r="I486" s="21"/>
      <c r="J486" s="28"/>
      <c r="K486" s="19"/>
    </row>
    <row r="487" spans="1:11" ht="13.2">
      <c r="A487" s="22"/>
      <c r="B487" s="16"/>
      <c r="C487" s="23"/>
      <c r="D487" s="24"/>
      <c r="E487" s="25"/>
      <c r="F487" s="26"/>
      <c r="G487" s="27"/>
      <c r="H487" s="20"/>
      <c r="I487" s="21"/>
      <c r="J487" s="28"/>
      <c r="K487" s="19"/>
    </row>
    <row r="488" spans="1:11" ht="13.2">
      <c r="A488" s="22"/>
      <c r="B488" s="16"/>
      <c r="C488" s="23"/>
      <c r="D488" s="24"/>
      <c r="E488" s="25"/>
      <c r="F488" s="26"/>
      <c r="G488" s="27"/>
      <c r="H488" s="20"/>
      <c r="I488" s="21"/>
      <c r="J488" s="28"/>
      <c r="K488" s="19"/>
    </row>
    <row r="489" spans="1:11" ht="13.2">
      <c r="A489" s="22"/>
      <c r="B489" s="16"/>
      <c r="C489" s="23"/>
      <c r="D489" s="24"/>
      <c r="E489" s="25"/>
      <c r="F489" s="26"/>
      <c r="G489" s="27"/>
      <c r="H489" s="20"/>
      <c r="I489" s="21"/>
      <c r="J489" s="28"/>
      <c r="K489" s="19"/>
    </row>
    <row r="490" spans="1:11" ht="13.2">
      <c r="A490" s="22"/>
      <c r="B490" s="16"/>
      <c r="C490" s="23"/>
      <c r="D490" s="24"/>
      <c r="E490" s="25"/>
      <c r="F490" s="26"/>
      <c r="G490" s="27"/>
      <c r="H490" s="20"/>
      <c r="I490" s="21"/>
      <c r="J490" s="28"/>
      <c r="K490" s="19"/>
    </row>
    <row r="491" spans="1:11" ht="13.2">
      <c r="A491" s="22"/>
      <c r="B491" s="16"/>
      <c r="C491" s="23"/>
      <c r="D491" s="24"/>
      <c r="E491" s="25"/>
      <c r="F491" s="26"/>
      <c r="G491" s="27"/>
      <c r="H491" s="20"/>
      <c r="I491" s="21"/>
      <c r="J491" s="28"/>
      <c r="K491" s="19"/>
    </row>
    <row r="492" spans="1:11" ht="13.2">
      <c r="A492" s="22"/>
      <c r="B492" s="16"/>
      <c r="C492" s="23"/>
      <c r="D492" s="24"/>
      <c r="E492" s="25"/>
      <c r="F492" s="26"/>
      <c r="G492" s="27"/>
      <c r="H492" s="20"/>
      <c r="I492" s="21"/>
      <c r="J492" s="28"/>
      <c r="K492" s="19"/>
    </row>
    <row r="493" spans="1:11" ht="13.2">
      <c r="A493" s="22"/>
      <c r="B493" s="16"/>
      <c r="C493" s="23"/>
      <c r="D493" s="24"/>
      <c r="E493" s="25"/>
      <c r="F493" s="26"/>
      <c r="G493" s="27"/>
      <c r="H493" s="20"/>
      <c r="I493" s="21"/>
      <c r="J493" s="28"/>
      <c r="K493" s="19"/>
    </row>
    <row r="494" spans="1:11" ht="13.2">
      <c r="A494" s="22"/>
      <c r="B494" s="16"/>
      <c r="C494" s="23"/>
      <c r="D494" s="24"/>
      <c r="E494" s="25"/>
      <c r="F494" s="26"/>
      <c r="G494" s="27"/>
      <c r="H494" s="20"/>
      <c r="I494" s="21"/>
      <c r="J494" s="28"/>
      <c r="K494" s="19"/>
    </row>
    <row r="495" spans="1:11" ht="13.2">
      <c r="A495" s="22"/>
      <c r="B495" s="16"/>
      <c r="C495" s="23"/>
      <c r="D495" s="24"/>
      <c r="E495" s="25"/>
      <c r="F495" s="26"/>
      <c r="G495" s="27"/>
      <c r="H495" s="20"/>
      <c r="I495" s="21"/>
      <c r="J495" s="28"/>
      <c r="K495" s="19"/>
    </row>
    <row r="496" spans="1:11" ht="13.2">
      <c r="A496" s="22"/>
      <c r="B496" s="16"/>
      <c r="C496" s="23"/>
      <c r="D496" s="24"/>
      <c r="E496" s="25"/>
      <c r="F496" s="26"/>
      <c r="G496" s="27"/>
      <c r="H496" s="20"/>
      <c r="I496" s="21"/>
      <c r="J496" s="28"/>
      <c r="K496" s="19"/>
    </row>
    <row r="497" spans="1:11" ht="13.2">
      <c r="A497" s="22"/>
      <c r="B497" s="16"/>
      <c r="C497" s="23"/>
      <c r="D497" s="24"/>
      <c r="E497" s="25"/>
      <c r="F497" s="26"/>
      <c r="G497" s="27"/>
      <c r="H497" s="20"/>
      <c r="I497" s="21"/>
      <c r="J497" s="28"/>
      <c r="K497" s="19"/>
    </row>
    <row r="498" spans="1:11" ht="13.2">
      <c r="A498" s="22"/>
      <c r="B498" s="16"/>
      <c r="C498" s="23"/>
      <c r="D498" s="24"/>
      <c r="E498" s="25"/>
      <c r="F498" s="26"/>
      <c r="G498" s="27"/>
      <c r="H498" s="20"/>
      <c r="I498" s="21"/>
      <c r="J498" s="28"/>
      <c r="K498" s="19"/>
    </row>
    <row r="499" spans="1:11" ht="13.2">
      <c r="A499" s="22"/>
      <c r="B499" s="16"/>
      <c r="C499" s="23"/>
      <c r="D499" s="24"/>
      <c r="E499" s="25"/>
      <c r="F499" s="26"/>
      <c r="G499" s="27"/>
      <c r="H499" s="20"/>
      <c r="I499" s="21"/>
      <c r="J499" s="28"/>
      <c r="K499" s="19"/>
    </row>
    <row r="500" spans="1:11" ht="13.2">
      <c r="A500" s="22"/>
      <c r="B500" s="16"/>
      <c r="C500" s="23"/>
      <c r="D500" s="24"/>
      <c r="E500" s="25"/>
      <c r="F500" s="26"/>
      <c r="G500" s="27"/>
      <c r="H500" s="20"/>
      <c r="I500" s="21"/>
      <c r="J500" s="28"/>
      <c r="K500" s="19"/>
    </row>
    <row r="501" spans="1:11" ht="13.2">
      <c r="A501" s="22"/>
      <c r="B501" s="16"/>
      <c r="C501" s="23"/>
      <c r="D501" s="24"/>
      <c r="E501" s="25"/>
      <c r="F501" s="26"/>
      <c r="G501" s="27"/>
      <c r="H501" s="20"/>
      <c r="I501" s="21"/>
      <c r="J501" s="28"/>
      <c r="K501" s="19"/>
    </row>
    <row r="502" spans="1:11" ht="13.2">
      <c r="A502" s="22"/>
      <c r="B502" s="16"/>
      <c r="C502" s="23"/>
      <c r="D502" s="24"/>
      <c r="E502" s="25"/>
      <c r="F502" s="26"/>
      <c r="G502" s="27"/>
      <c r="H502" s="20"/>
      <c r="I502" s="21"/>
      <c r="J502" s="28"/>
      <c r="K502" s="19"/>
    </row>
    <row r="503" spans="1:11" ht="13.2">
      <c r="A503" s="22"/>
      <c r="B503" s="16"/>
      <c r="C503" s="23"/>
      <c r="D503" s="24"/>
      <c r="E503" s="25"/>
      <c r="F503" s="26"/>
      <c r="G503" s="27"/>
      <c r="H503" s="20"/>
      <c r="I503" s="21"/>
      <c r="J503" s="28"/>
      <c r="K503" s="19"/>
    </row>
    <row r="504" spans="1:11" ht="13.2">
      <c r="A504" s="22"/>
      <c r="B504" s="16"/>
      <c r="C504" s="23"/>
      <c r="D504" s="24"/>
      <c r="E504" s="25"/>
      <c r="F504" s="26"/>
      <c r="G504" s="27"/>
      <c r="H504" s="20"/>
      <c r="I504" s="21"/>
      <c r="J504" s="28"/>
      <c r="K504" s="19"/>
    </row>
    <row r="505" spans="1:11" ht="13.2">
      <c r="A505" s="22"/>
      <c r="B505" s="16"/>
      <c r="C505" s="23"/>
      <c r="D505" s="24"/>
      <c r="E505" s="25"/>
      <c r="F505" s="26"/>
      <c r="G505" s="27"/>
      <c r="H505" s="20"/>
      <c r="I505" s="21"/>
      <c r="J505" s="28"/>
      <c r="K505" s="19"/>
    </row>
    <row r="506" spans="1:11" ht="13.2">
      <c r="A506" s="22"/>
      <c r="B506" s="16"/>
      <c r="C506" s="23"/>
      <c r="D506" s="24"/>
      <c r="E506" s="25"/>
      <c r="F506" s="26"/>
      <c r="G506" s="27"/>
      <c r="H506" s="20"/>
      <c r="I506" s="21"/>
      <c r="J506" s="28"/>
      <c r="K506" s="19"/>
    </row>
    <row r="507" spans="1:11" ht="13.2">
      <c r="A507" s="22"/>
      <c r="B507" s="16"/>
      <c r="C507" s="23"/>
      <c r="D507" s="24"/>
      <c r="E507" s="25"/>
      <c r="F507" s="26"/>
      <c r="G507" s="27"/>
      <c r="H507" s="20"/>
      <c r="I507" s="21"/>
      <c r="J507" s="28"/>
      <c r="K507" s="19"/>
    </row>
    <row r="508" spans="1:11" ht="13.2">
      <c r="A508" s="22"/>
      <c r="B508" s="16"/>
      <c r="C508" s="23"/>
      <c r="D508" s="24"/>
      <c r="E508" s="25"/>
      <c r="F508" s="26"/>
      <c r="G508" s="27"/>
      <c r="H508" s="20"/>
      <c r="I508" s="21"/>
      <c r="J508" s="28"/>
      <c r="K508" s="19"/>
    </row>
    <row r="509" spans="1:11" ht="13.2">
      <c r="A509" s="22"/>
      <c r="B509" s="16"/>
      <c r="C509" s="23"/>
      <c r="D509" s="24"/>
      <c r="E509" s="25"/>
      <c r="F509" s="26"/>
      <c r="G509" s="27"/>
      <c r="H509" s="20"/>
      <c r="I509" s="21"/>
      <c r="J509" s="28"/>
      <c r="K509" s="19"/>
    </row>
    <row r="510" spans="1:11" ht="13.2">
      <c r="A510" s="22"/>
      <c r="B510" s="16"/>
      <c r="C510" s="23"/>
      <c r="D510" s="24"/>
      <c r="E510" s="25"/>
      <c r="F510" s="26"/>
      <c r="G510" s="27"/>
      <c r="H510" s="20"/>
      <c r="I510" s="21"/>
      <c r="J510" s="28"/>
      <c r="K510" s="19"/>
    </row>
    <row r="511" spans="1:11" ht="13.2">
      <c r="A511" s="22"/>
      <c r="B511" s="16"/>
      <c r="C511" s="23"/>
      <c r="D511" s="24"/>
      <c r="E511" s="25"/>
      <c r="F511" s="26"/>
      <c r="G511" s="27"/>
      <c r="H511" s="20"/>
      <c r="I511" s="21"/>
      <c r="J511" s="28"/>
      <c r="K511" s="19"/>
    </row>
    <row r="512" spans="1:11" ht="13.2">
      <c r="A512" s="22"/>
      <c r="B512" s="16"/>
      <c r="C512" s="23"/>
      <c r="D512" s="24"/>
      <c r="E512" s="25"/>
      <c r="F512" s="26"/>
      <c r="G512" s="27"/>
      <c r="H512" s="20"/>
      <c r="I512" s="21"/>
      <c r="J512" s="28"/>
      <c r="K512" s="19"/>
    </row>
    <row r="513" spans="1:11" ht="13.2">
      <c r="A513" s="22"/>
      <c r="B513" s="16"/>
      <c r="C513" s="23"/>
      <c r="D513" s="24"/>
      <c r="E513" s="25"/>
      <c r="F513" s="26"/>
      <c r="G513" s="27"/>
      <c r="H513" s="20"/>
      <c r="I513" s="21"/>
      <c r="J513" s="28"/>
      <c r="K513" s="19"/>
    </row>
    <row r="514" spans="1:11" ht="13.2">
      <c r="A514" s="22"/>
      <c r="B514" s="16"/>
      <c r="C514" s="23"/>
      <c r="D514" s="24"/>
      <c r="E514" s="25"/>
      <c r="F514" s="26"/>
      <c r="G514" s="27"/>
      <c r="H514" s="20"/>
      <c r="I514" s="21"/>
      <c r="J514" s="28"/>
      <c r="K514" s="19"/>
    </row>
    <row r="515" spans="1:11" ht="13.2">
      <c r="A515" s="22"/>
      <c r="B515" s="16"/>
      <c r="C515" s="23"/>
      <c r="D515" s="24"/>
      <c r="E515" s="25"/>
      <c r="F515" s="26"/>
      <c r="G515" s="27"/>
      <c r="H515" s="20"/>
      <c r="I515" s="21"/>
      <c r="J515" s="28"/>
      <c r="K515" s="19"/>
    </row>
    <row r="516" spans="1:11" ht="13.2">
      <c r="A516" s="22"/>
      <c r="B516" s="16"/>
      <c r="C516" s="23"/>
      <c r="D516" s="24"/>
      <c r="E516" s="25"/>
      <c r="F516" s="26"/>
      <c r="G516" s="27"/>
      <c r="H516" s="20"/>
      <c r="I516" s="21"/>
      <c r="J516" s="28"/>
      <c r="K516" s="19"/>
    </row>
    <row r="517" spans="1:11" ht="13.2">
      <c r="A517" s="22"/>
      <c r="B517" s="16"/>
      <c r="C517" s="23"/>
      <c r="D517" s="24"/>
      <c r="E517" s="25"/>
      <c r="F517" s="26"/>
      <c r="G517" s="27"/>
      <c r="H517" s="20"/>
      <c r="I517" s="21"/>
      <c r="J517" s="28"/>
      <c r="K517" s="19"/>
    </row>
    <row r="518" spans="1:11" ht="13.2">
      <c r="A518" s="22"/>
      <c r="B518" s="16"/>
      <c r="C518" s="23"/>
      <c r="D518" s="24"/>
      <c r="E518" s="25"/>
      <c r="F518" s="26"/>
      <c r="G518" s="27"/>
      <c r="H518" s="20"/>
      <c r="I518" s="21"/>
      <c r="J518" s="28"/>
      <c r="K518" s="19"/>
    </row>
    <row r="519" spans="1:11" ht="13.2">
      <c r="A519" s="22"/>
      <c r="B519" s="16"/>
      <c r="C519" s="23"/>
      <c r="D519" s="24"/>
      <c r="E519" s="25"/>
      <c r="F519" s="26"/>
      <c r="G519" s="27"/>
      <c r="H519" s="20"/>
      <c r="I519" s="21"/>
      <c r="J519" s="28"/>
      <c r="K519" s="19"/>
    </row>
    <row r="520" spans="1:11" ht="13.2">
      <c r="A520" s="22"/>
      <c r="B520" s="16"/>
      <c r="C520" s="23"/>
      <c r="D520" s="24"/>
      <c r="E520" s="25"/>
      <c r="F520" s="26"/>
      <c r="G520" s="27"/>
      <c r="H520" s="20"/>
      <c r="I520" s="21"/>
      <c r="J520" s="28"/>
      <c r="K520" s="19"/>
    </row>
    <row r="521" spans="1:11" ht="13.2">
      <c r="A521" s="22"/>
      <c r="B521" s="16"/>
      <c r="C521" s="23"/>
      <c r="D521" s="24"/>
      <c r="E521" s="25"/>
      <c r="F521" s="26"/>
      <c r="G521" s="27"/>
      <c r="H521" s="20"/>
      <c r="I521" s="21"/>
      <c r="J521" s="28"/>
      <c r="K521" s="19"/>
    </row>
    <row r="522" spans="1:11" ht="13.2">
      <c r="A522" s="22"/>
      <c r="B522" s="16"/>
      <c r="C522" s="23"/>
      <c r="D522" s="24"/>
      <c r="E522" s="25"/>
      <c r="F522" s="26"/>
      <c r="G522" s="27"/>
      <c r="H522" s="20"/>
      <c r="I522" s="21"/>
      <c r="J522" s="28"/>
      <c r="K522" s="19"/>
    </row>
    <row r="523" spans="1:11" ht="13.2">
      <c r="A523" s="22"/>
      <c r="B523" s="16"/>
      <c r="C523" s="23"/>
      <c r="D523" s="24"/>
      <c r="E523" s="25"/>
      <c r="F523" s="26"/>
      <c r="G523" s="27"/>
      <c r="H523" s="20"/>
      <c r="I523" s="21"/>
      <c r="J523" s="28"/>
      <c r="K523" s="19"/>
    </row>
    <row r="524" spans="1:11" ht="13.2">
      <c r="A524" s="22"/>
      <c r="B524" s="16"/>
      <c r="C524" s="23"/>
      <c r="D524" s="24"/>
      <c r="E524" s="25"/>
      <c r="F524" s="26"/>
      <c r="G524" s="27"/>
      <c r="H524" s="20"/>
      <c r="I524" s="21"/>
      <c r="J524" s="28"/>
      <c r="K524" s="19"/>
    </row>
    <row r="525" spans="1:11" ht="13.2">
      <c r="A525" s="22"/>
      <c r="B525" s="16"/>
      <c r="C525" s="23"/>
      <c r="D525" s="24"/>
      <c r="E525" s="25"/>
      <c r="F525" s="26"/>
      <c r="G525" s="27"/>
      <c r="H525" s="20"/>
      <c r="I525" s="21"/>
      <c r="J525" s="28"/>
      <c r="K525" s="19"/>
    </row>
    <row r="526" spans="1:11" ht="13.2">
      <c r="A526" s="22"/>
      <c r="B526" s="16"/>
      <c r="C526" s="23"/>
      <c r="D526" s="24"/>
      <c r="E526" s="25"/>
      <c r="F526" s="26"/>
      <c r="G526" s="27"/>
      <c r="H526" s="20"/>
      <c r="I526" s="21"/>
      <c r="J526" s="28"/>
      <c r="K526" s="19"/>
    </row>
    <row r="527" spans="1:11" ht="13.2">
      <c r="A527" s="22"/>
      <c r="B527" s="16"/>
      <c r="C527" s="23"/>
      <c r="D527" s="24"/>
      <c r="E527" s="25"/>
      <c r="F527" s="26"/>
      <c r="G527" s="27"/>
      <c r="H527" s="20"/>
      <c r="I527" s="21"/>
      <c r="J527" s="28"/>
      <c r="K527" s="19"/>
    </row>
    <row r="528" spans="1:11" ht="13.2">
      <c r="A528" s="22"/>
      <c r="B528" s="16"/>
      <c r="C528" s="23"/>
      <c r="D528" s="24"/>
      <c r="E528" s="25"/>
      <c r="F528" s="26"/>
      <c r="G528" s="27"/>
      <c r="H528" s="20"/>
      <c r="I528" s="21"/>
      <c r="J528" s="28"/>
      <c r="K528" s="19"/>
    </row>
    <row r="529" spans="1:11" ht="13.2">
      <c r="A529" s="22"/>
      <c r="B529" s="16"/>
      <c r="C529" s="23"/>
      <c r="D529" s="24"/>
      <c r="E529" s="25"/>
      <c r="F529" s="26"/>
      <c r="G529" s="27"/>
      <c r="H529" s="20"/>
      <c r="I529" s="21"/>
      <c r="J529" s="28"/>
      <c r="K529" s="19"/>
    </row>
    <row r="530" spans="1:11" ht="13.2">
      <c r="A530" s="22"/>
      <c r="B530" s="16"/>
      <c r="C530" s="23"/>
      <c r="D530" s="24"/>
      <c r="E530" s="25"/>
      <c r="F530" s="26"/>
      <c r="G530" s="27"/>
      <c r="H530" s="20"/>
      <c r="I530" s="21"/>
      <c r="J530" s="28"/>
      <c r="K530" s="19"/>
    </row>
    <row r="531" spans="1:11" ht="13.2">
      <c r="A531" s="22"/>
      <c r="B531" s="16"/>
      <c r="C531" s="23"/>
      <c r="D531" s="24"/>
      <c r="E531" s="25"/>
      <c r="F531" s="26"/>
      <c r="G531" s="27"/>
      <c r="H531" s="20"/>
      <c r="I531" s="21"/>
      <c r="J531" s="28"/>
      <c r="K531" s="19"/>
    </row>
    <row r="532" spans="1:11" ht="13.2">
      <c r="A532" s="22"/>
      <c r="B532" s="16"/>
      <c r="C532" s="23"/>
      <c r="D532" s="24"/>
      <c r="E532" s="25"/>
      <c r="F532" s="26"/>
      <c r="G532" s="27"/>
      <c r="H532" s="20"/>
      <c r="I532" s="21"/>
      <c r="J532" s="28"/>
      <c r="K532" s="19"/>
    </row>
    <row r="533" spans="1:11" ht="13.2">
      <c r="A533" s="22"/>
      <c r="B533" s="16"/>
      <c r="C533" s="23"/>
      <c r="D533" s="24"/>
      <c r="E533" s="25"/>
      <c r="F533" s="26"/>
      <c r="G533" s="27"/>
      <c r="H533" s="20"/>
      <c r="I533" s="21"/>
      <c r="J533" s="28"/>
      <c r="K533" s="19"/>
    </row>
    <row r="534" spans="1:11" ht="13.2">
      <c r="A534" s="22"/>
      <c r="B534" s="16"/>
      <c r="C534" s="23"/>
      <c r="D534" s="24"/>
      <c r="E534" s="25"/>
      <c r="F534" s="26"/>
      <c r="G534" s="27"/>
      <c r="H534" s="20"/>
      <c r="I534" s="21"/>
      <c r="J534" s="28"/>
      <c r="K534" s="19"/>
    </row>
    <row r="535" spans="1:11" ht="13.2">
      <c r="A535" s="22"/>
      <c r="B535" s="16"/>
      <c r="C535" s="23"/>
      <c r="D535" s="24"/>
      <c r="E535" s="25"/>
      <c r="F535" s="26"/>
      <c r="G535" s="27"/>
      <c r="H535" s="20"/>
      <c r="I535" s="21"/>
      <c r="J535" s="28"/>
      <c r="K535" s="19"/>
    </row>
    <row r="536" spans="1:11" ht="13.2">
      <c r="A536" s="22"/>
      <c r="B536" s="16"/>
      <c r="C536" s="23"/>
      <c r="D536" s="24"/>
      <c r="E536" s="25"/>
      <c r="F536" s="26"/>
      <c r="G536" s="27"/>
      <c r="H536" s="20"/>
      <c r="I536" s="21"/>
      <c r="J536" s="28"/>
      <c r="K536" s="19"/>
    </row>
    <row r="537" spans="1:11" ht="13.2">
      <c r="A537" s="22"/>
      <c r="B537" s="16"/>
      <c r="C537" s="23"/>
      <c r="D537" s="24"/>
      <c r="E537" s="25"/>
      <c r="F537" s="26"/>
      <c r="G537" s="27"/>
      <c r="H537" s="20"/>
      <c r="I537" s="21"/>
      <c r="J537" s="28"/>
      <c r="K537" s="19"/>
    </row>
    <row r="538" spans="1:11" ht="13.2">
      <c r="A538" s="22"/>
      <c r="B538" s="16"/>
      <c r="C538" s="23"/>
      <c r="D538" s="24"/>
      <c r="E538" s="25"/>
      <c r="F538" s="26"/>
      <c r="G538" s="27"/>
      <c r="H538" s="20"/>
      <c r="I538" s="21"/>
      <c r="J538" s="28"/>
      <c r="K538" s="19"/>
    </row>
    <row r="539" spans="1:11" ht="13.2">
      <c r="A539" s="22"/>
      <c r="B539" s="16"/>
      <c r="C539" s="23"/>
      <c r="D539" s="24"/>
      <c r="E539" s="25"/>
      <c r="F539" s="26"/>
      <c r="G539" s="27"/>
      <c r="H539" s="20"/>
      <c r="I539" s="21"/>
      <c r="J539" s="28"/>
      <c r="K539" s="19"/>
    </row>
    <row r="540" spans="1:11" ht="13.2">
      <c r="A540" s="22"/>
      <c r="B540" s="16"/>
      <c r="C540" s="23"/>
      <c r="D540" s="24"/>
      <c r="E540" s="25"/>
      <c r="F540" s="26"/>
      <c r="G540" s="27"/>
      <c r="H540" s="20"/>
      <c r="I540" s="21"/>
      <c r="J540" s="28"/>
      <c r="K540" s="19"/>
    </row>
    <row r="541" spans="1:11" ht="13.2">
      <c r="A541" s="22"/>
      <c r="B541" s="16"/>
      <c r="C541" s="23"/>
      <c r="D541" s="24"/>
      <c r="E541" s="25"/>
      <c r="F541" s="26"/>
      <c r="G541" s="27"/>
      <c r="H541" s="20"/>
      <c r="I541" s="21"/>
      <c r="J541" s="28"/>
      <c r="K541" s="19"/>
    </row>
    <row r="542" spans="1:11" ht="13.2">
      <c r="A542" s="22"/>
      <c r="B542" s="16"/>
      <c r="C542" s="23"/>
      <c r="D542" s="24"/>
      <c r="E542" s="25"/>
      <c r="F542" s="26"/>
      <c r="G542" s="27"/>
      <c r="H542" s="20"/>
      <c r="I542" s="21"/>
      <c r="J542" s="28"/>
      <c r="K542" s="19"/>
    </row>
    <row r="543" spans="1:11" ht="13.2">
      <c r="A543" s="22"/>
      <c r="B543" s="16"/>
      <c r="C543" s="23"/>
      <c r="D543" s="24"/>
      <c r="E543" s="25"/>
      <c r="F543" s="26"/>
      <c r="G543" s="27"/>
      <c r="H543" s="20"/>
      <c r="I543" s="21"/>
      <c r="J543" s="28"/>
      <c r="K543" s="19"/>
    </row>
    <row r="544" spans="1:11" ht="13.2">
      <c r="A544" s="22"/>
      <c r="B544" s="16"/>
      <c r="C544" s="23"/>
      <c r="D544" s="24"/>
      <c r="E544" s="25"/>
      <c r="F544" s="26"/>
      <c r="G544" s="27"/>
      <c r="H544" s="20"/>
      <c r="I544" s="21"/>
      <c r="J544" s="28"/>
      <c r="K544" s="19"/>
    </row>
    <row r="545" spans="1:11" ht="13.2">
      <c r="A545" s="22"/>
      <c r="B545" s="16"/>
      <c r="C545" s="23"/>
      <c r="D545" s="24"/>
      <c r="E545" s="25"/>
      <c r="F545" s="26"/>
      <c r="G545" s="27"/>
      <c r="H545" s="20"/>
      <c r="I545" s="21"/>
      <c r="J545" s="28"/>
      <c r="K545" s="19"/>
    </row>
    <row r="546" spans="1:11" ht="13.2">
      <c r="A546" s="22"/>
      <c r="B546" s="16"/>
      <c r="C546" s="23"/>
      <c r="D546" s="24"/>
      <c r="E546" s="25"/>
      <c r="F546" s="26"/>
      <c r="G546" s="27"/>
      <c r="H546" s="20"/>
      <c r="I546" s="21"/>
      <c r="J546" s="28"/>
      <c r="K546" s="19"/>
    </row>
    <row r="547" spans="1:11" ht="13.2">
      <c r="A547" s="22"/>
      <c r="B547" s="16"/>
      <c r="C547" s="23"/>
      <c r="D547" s="24"/>
      <c r="E547" s="25"/>
      <c r="F547" s="26"/>
      <c r="G547" s="27"/>
      <c r="H547" s="20"/>
      <c r="I547" s="21"/>
      <c r="J547" s="28"/>
      <c r="K547" s="19"/>
    </row>
    <row r="548" spans="1:11" ht="13.2">
      <c r="A548" s="22"/>
      <c r="B548" s="16"/>
      <c r="C548" s="23"/>
      <c r="D548" s="24"/>
      <c r="E548" s="25"/>
      <c r="F548" s="26"/>
      <c r="G548" s="27"/>
      <c r="H548" s="20"/>
      <c r="I548" s="21"/>
      <c r="J548" s="28"/>
      <c r="K548" s="19"/>
    </row>
    <row r="549" spans="1:11" ht="13.2">
      <c r="A549" s="22"/>
      <c r="B549" s="16"/>
      <c r="C549" s="23"/>
      <c r="D549" s="24"/>
      <c r="E549" s="25"/>
      <c r="F549" s="26"/>
      <c r="G549" s="27"/>
      <c r="H549" s="20"/>
      <c r="I549" s="21"/>
      <c r="J549" s="28"/>
      <c r="K549" s="19"/>
    </row>
    <row r="550" spans="1:11" ht="13.2">
      <c r="A550" s="22"/>
      <c r="B550" s="16"/>
      <c r="C550" s="23"/>
      <c r="D550" s="24"/>
      <c r="E550" s="25"/>
      <c r="F550" s="26"/>
      <c r="G550" s="27"/>
      <c r="H550" s="20"/>
      <c r="I550" s="21"/>
      <c r="J550" s="28"/>
      <c r="K550" s="19"/>
    </row>
    <row r="551" spans="1:11" ht="13.2">
      <c r="A551" s="22"/>
      <c r="B551" s="16"/>
      <c r="C551" s="23"/>
      <c r="D551" s="24"/>
      <c r="E551" s="25"/>
      <c r="F551" s="26"/>
      <c r="G551" s="27"/>
      <c r="H551" s="20"/>
      <c r="I551" s="21"/>
      <c r="J551" s="28"/>
      <c r="K551" s="19"/>
    </row>
    <row r="552" spans="1:11" ht="13.2">
      <c r="A552" s="22"/>
      <c r="B552" s="16"/>
      <c r="C552" s="23"/>
      <c r="D552" s="24"/>
      <c r="E552" s="25"/>
      <c r="F552" s="26"/>
      <c r="G552" s="27"/>
      <c r="H552" s="20"/>
      <c r="I552" s="21"/>
      <c r="J552" s="28"/>
      <c r="K552" s="19"/>
    </row>
    <row r="553" spans="1:11" ht="13.2">
      <c r="A553" s="22"/>
      <c r="B553" s="16"/>
      <c r="C553" s="23"/>
      <c r="D553" s="24"/>
      <c r="E553" s="25"/>
      <c r="F553" s="26"/>
      <c r="G553" s="27"/>
      <c r="H553" s="20"/>
      <c r="I553" s="21"/>
      <c r="J553" s="28"/>
      <c r="K553" s="19"/>
    </row>
    <row r="554" spans="1:11" ht="13.2">
      <c r="A554" s="22"/>
      <c r="B554" s="16"/>
      <c r="C554" s="23"/>
      <c r="D554" s="24"/>
      <c r="E554" s="25"/>
      <c r="F554" s="26"/>
      <c r="G554" s="27"/>
      <c r="H554" s="20"/>
      <c r="I554" s="21"/>
      <c r="J554" s="28"/>
      <c r="K554" s="19"/>
    </row>
    <row r="555" spans="1:11" ht="13.2">
      <c r="A555" s="22"/>
      <c r="B555" s="16"/>
      <c r="C555" s="23"/>
      <c r="D555" s="24"/>
      <c r="E555" s="25"/>
      <c r="F555" s="26"/>
      <c r="G555" s="27"/>
      <c r="H555" s="20"/>
      <c r="I555" s="21"/>
      <c r="J555" s="28"/>
      <c r="K555" s="19"/>
    </row>
    <row r="556" spans="1:11" ht="13.2">
      <c r="A556" s="22"/>
      <c r="B556" s="16"/>
      <c r="C556" s="23"/>
      <c r="D556" s="24"/>
      <c r="E556" s="25"/>
      <c r="F556" s="26"/>
      <c r="G556" s="27"/>
      <c r="H556" s="20"/>
      <c r="I556" s="21"/>
      <c r="J556" s="28"/>
      <c r="K556" s="19"/>
    </row>
    <row r="557" spans="1:11" ht="13.2">
      <c r="A557" s="22"/>
      <c r="B557" s="16"/>
      <c r="C557" s="23"/>
      <c r="D557" s="24"/>
      <c r="E557" s="25"/>
      <c r="F557" s="26"/>
      <c r="G557" s="27"/>
      <c r="H557" s="20"/>
      <c r="I557" s="21"/>
      <c r="J557" s="28"/>
      <c r="K557" s="19"/>
    </row>
    <row r="558" spans="1:11" ht="13.2">
      <c r="A558" s="22"/>
      <c r="B558" s="16"/>
      <c r="C558" s="23"/>
      <c r="D558" s="24"/>
      <c r="E558" s="25"/>
      <c r="F558" s="26"/>
      <c r="G558" s="27"/>
      <c r="H558" s="20"/>
      <c r="I558" s="21"/>
      <c r="J558" s="28"/>
      <c r="K558" s="19"/>
    </row>
    <row r="559" spans="1:11" ht="13.2">
      <c r="A559" s="22"/>
      <c r="B559" s="16"/>
      <c r="C559" s="23"/>
      <c r="D559" s="24"/>
      <c r="E559" s="25"/>
      <c r="F559" s="26"/>
      <c r="G559" s="27"/>
      <c r="H559" s="20"/>
      <c r="I559" s="21"/>
      <c r="J559" s="28"/>
      <c r="K559" s="19"/>
    </row>
    <row r="560" spans="1:11" ht="13.2">
      <c r="A560" s="22"/>
      <c r="B560" s="16"/>
      <c r="C560" s="23"/>
      <c r="D560" s="24"/>
      <c r="E560" s="25"/>
      <c r="F560" s="26"/>
      <c r="G560" s="27"/>
      <c r="H560" s="20"/>
      <c r="I560" s="21"/>
      <c r="J560" s="28"/>
      <c r="K560" s="19"/>
    </row>
    <row r="561" spans="1:11" ht="13.2">
      <c r="A561" s="22"/>
      <c r="B561" s="16"/>
      <c r="C561" s="23"/>
      <c r="D561" s="24"/>
      <c r="E561" s="25"/>
      <c r="F561" s="26"/>
      <c r="G561" s="27"/>
      <c r="H561" s="20"/>
      <c r="I561" s="21"/>
      <c r="J561" s="28"/>
      <c r="K561" s="19"/>
    </row>
    <row r="562" spans="1:11" ht="13.2">
      <c r="A562" s="22"/>
      <c r="B562" s="16"/>
      <c r="C562" s="23"/>
      <c r="D562" s="24"/>
      <c r="E562" s="25"/>
      <c r="F562" s="26"/>
      <c r="G562" s="27"/>
      <c r="H562" s="20"/>
      <c r="I562" s="21"/>
      <c r="J562" s="28"/>
      <c r="K562" s="19"/>
    </row>
    <row r="563" spans="1:11" ht="13.2">
      <c r="A563" s="22"/>
      <c r="B563" s="16"/>
      <c r="C563" s="23"/>
      <c r="D563" s="24"/>
      <c r="E563" s="25"/>
      <c r="F563" s="26"/>
      <c r="G563" s="27"/>
      <c r="H563" s="20"/>
      <c r="I563" s="21"/>
      <c r="J563" s="28"/>
      <c r="K563" s="19"/>
    </row>
    <row r="564" spans="1:11" ht="13.2">
      <c r="A564" s="22"/>
      <c r="B564" s="16"/>
      <c r="C564" s="23"/>
      <c r="D564" s="24"/>
      <c r="E564" s="25"/>
      <c r="F564" s="26"/>
      <c r="G564" s="27"/>
      <c r="H564" s="20"/>
      <c r="I564" s="21"/>
      <c r="J564" s="28"/>
      <c r="K564" s="19"/>
    </row>
    <row r="565" spans="1:11" ht="13.2">
      <c r="A565" s="22"/>
      <c r="B565" s="16"/>
      <c r="C565" s="23"/>
      <c r="D565" s="24"/>
      <c r="E565" s="25"/>
      <c r="F565" s="26"/>
      <c r="G565" s="27"/>
      <c r="H565" s="20"/>
      <c r="I565" s="21"/>
      <c r="J565" s="28"/>
      <c r="K565" s="19"/>
    </row>
    <row r="566" spans="1:11" ht="13.2">
      <c r="A566" s="22"/>
      <c r="B566" s="16"/>
      <c r="C566" s="23"/>
      <c r="D566" s="24"/>
      <c r="E566" s="25"/>
      <c r="F566" s="26"/>
      <c r="G566" s="27"/>
      <c r="H566" s="20"/>
      <c r="I566" s="21"/>
      <c r="J566" s="28"/>
      <c r="K566" s="19"/>
    </row>
    <row r="567" spans="1:11" ht="13.2">
      <c r="A567" s="22"/>
      <c r="B567" s="16"/>
      <c r="C567" s="23"/>
      <c r="D567" s="24"/>
      <c r="E567" s="25"/>
      <c r="F567" s="26"/>
      <c r="G567" s="27"/>
      <c r="H567" s="20"/>
      <c r="I567" s="21"/>
      <c r="J567" s="28"/>
      <c r="K567" s="19"/>
    </row>
    <row r="568" spans="1:11" ht="13.2">
      <c r="A568" s="22"/>
      <c r="B568" s="16"/>
      <c r="C568" s="23"/>
      <c r="D568" s="24"/>
      <c r="E568" s="25"/>
      <c r="F568" s="26"/>
      <c r="G568" s="27"/>
      <c r="H568" s="20"/>
      <c r="I568" s="21"/>
      <c r="J568" s="28"/>
      <c r="K568" s="19"/>
    </row>
    <row r="569" spans="1:11" ht="13.2">
      <c r="A569" s="22"/>
      <c r="B569" s="16"/>
      <c r="C569" s="23"/>
      <c r="D569" s="24"/>
      <c r="E569" s="25"/>
      <c r="F569" s="26"/>
      <c r="G569" s="27"/>
      <c r="H569" s="20"/>
      <c r="I569" s="21"/>
      <c r="J569" s="28"/>
      <c r="K569" s="19"/>
    </row>
    <row r="570" spans="1:11" ht="13.2">
      <c r="A570" s="22"/>
      <c r="B570" s="16"/>
      <c r="C570" s="23"/>
      <c r="D570" s="24"/>
      <c r="E570" s="25"/>
      <c r="F570" s="26"/>
      <c r="G570" s="27"/>
      <c r="H570" s="20"/>
      <c r="I570" s="21"/>
      <c r="J570" s="28"/>
      <c r="K570" s="19"/>
    </row>
    <row r="571" spans="1:11" ht="13.2">
      <c r="A571" s="22"/>
      <c r="B571" s="16"/>
      <c r="C571" s="23"/>
      <c r="D571" s="24"/>
      <c r="E571" s="25"/>
      <c r="F571" s="26"/>
      <c r="G571" s="27"/>
      <c r="H571" s="20"/>
      <c r="I571" s="21"/>
      <c r="J571" s="28"/>
      <c r="K571" s="19"/>
    </row>
    <row r="572" spans="1:11" ht="13.2">
      <c r="A572" s="22"/>
      <c r="B572" s="16"/>
      <c r="C572" s="23"/>
      <c r="D572" s="24"/>
      <c r="E572" s="25"/>
      <c r="F572" s="26"/>
      <c r="G572" s="27"/>
      <c r="H572" s="20"/>
      <c r="I572" s="21"/>
      <c r="J572" s="28"/>
      <c r="K572" s="19"/>
    </row>
    <row r="573" spans="1:11" ht="13.2">
      <c r="A573" s="22"/>
      <c r="B573" s="16"/>
      <c r="C573" s="23"/>
      <c r="D573" s="24"/>
      <c r="E573" s="25"/>
      <c r="F573" s="26"/>
      <c r="G573" s="27"/>
      <c r="H573" s="20"/>
      <c r="I573" s="21"/>
      <c r="J573" s="28"/>
      <c r="K573" s="19"/>
    </row>
    <row r="574" spans="1:11" ht="13.2">
      <c r="A574" s="22"/>
      <c r="B574" s="16"/>
      <c r="C574" s="23"/>
      <c r="D574" s="24"/>
      <c r="E574" s="25"/>
      <c r="F574" s="26"/>
      <c r="G574" s="27"/>
      <c r="H574" s="20"/>
      <c r="I574" s="21"/>
      <c r="J574" s="28"/>
      <c r="K574" s="19"/>
    </row>
    <row r="575" spans="1:11" ht="13.2">
      <c r="A575" s="22"/>
      <c r="B575" s="16"/>
      <c r="C575" s="23"/>
      <c r="D575" s="24"/>
      <c r="E575" s="25"/>
      <c r="F575" s="26"/>
      <c r="G575" s="27"/>
      <c r="H575" s="20"/>
      <c r="I575" s="21"/>
      <c r="J575" s="28"/>
      <c r="K575" s="19"/>
    </row>
    <row r="576" spans="1:11" ht="13.2">
      <c r="A576" s="22"/>
      <c r="B576" s="16"/>
      <c r="C576" s="23"/>
      <c r="D576" s="24"/>
      <c r="E576" s="25"/>
      <c r="F576" s="26"/>
      <c r="G576" s="27"/>
      <c r="H576" s="20"/>
      <c r="I576" s="21"/>
      <c r="J576" s="28"/>
      <c r="K576" s="19"/>
    </row>
    <row r="577" spans="1:11" ht="13.2">
      <c r="A577" s="22"/>
      <c r="B577" s="16"/>
      <c r="C577" s="23"/>
      <c r="D577" s="24"/>
      <c r="E577" s="25"/>
      <c r="F577" s="26"/>
      <c r="G577" s="27"/>
      <c r="H577" s="20"/>
      <c r="I577" s="21"/>
      <c r="J577" s="28"/>
      <c r="K577" s="19"/>
    </row>
    <row r="578" spans="1:11" ht="13.2">
      <c r="A578" s="22"/>
      <c r="B578" s="16"/>
      <c r="C578" s="23"/>
      <c r="D578" s="24"/>
      <c r="E578" s="25"/>
      <c r="F578" s="26"/>
      <c r="G578" s="27"/>
      <c r="H578" s="20"/>
      <c r="I578" s="21"/>
      <c r="J578" s="28"/>
      <c r="K578" s="19"/>
    </row>
    <row r="579" spans="1:11" ht="13.2">
      <c r="A579" s="22"/>
      <c r="B579" s="16"/>
      <c r="C579" s="23"/>
      <c r="D579" s="24"/>
      <c r="E579" s="25"/>
      <c r="F579" s="26"/>
      <c r="G579" s="27"/>
      <c r="H579" s="20"/>
      <c r="I579" s="21"/>
      <c r="J579" s="28"/>
      <c r="K579" s="19"/>
    </row>
    <row r="580" spans="1:11" ht="13.2">
      <c r="A580" s="22"/>
      <c r="B580" s="16"/>
      <c r="C580" s="23"/>
      <c r="D580" s="24"/>
      <c r="E580" s="25"/>
      <c r="F580" s="26"/>
      <c r="G580" s="27"/>
      <c r="H580" s="20"/>
      <c r="I580" s="21"/>
      <c r="J580" s="28"/>
      <c r="K580" s="19"/>
    </row>
    <row r="581" spans="1:11" ht="13.2">
      <c r="A581" s="22"/>
      <c r="B581" s="16"/>
      <c r="C581" s="23"/>
      <c r="D581" s="24"/>
      <c r="E581" s="25"/>
      <c r="F581" s="26"/>
      <c r="G581" s="27"/>
      <c r="H581" s="20"/>
      <c r="I581" s="21"/>
      <c r="J581" s="28"/>
      <c r="K581" s="19"/>
    </row>
    <row r="582" spans="1:11" ht="13.2">
      <c r="A582" s="22"/>
      <c r="B582" s="16"/>
      <c r="C582" s="23"/>
      <c r="D582" s="24"/>
      <c r="E582" s="25"/>
      <c r="F582" s="26"/>
      <c r="G582" s="27"/>
      <c r="H582" s="20"/>
      <c r="I582" s="21"/>
      <c r="J582" s="28"/>
      <c r="K582" s="19"/>
    </row>
    <row r="583" spans="1:11" ht="13.2">
      <c r="A583" s="22"/>
      <c r="B583" s="16"/>
      <c r="C583" s="23"/>
      <c r="D583" s="24"/>
      <c r="E583" s="25"/>
      <c r="F583" s="26"/>
      <c r="G583" s="27"/>
      <c r="H583" s="20"/>
      <c r="I583" s="21"/>
      <c r="J583" s="28"/>
      <c r="K583" s="19"/>
    </row>
    <row r="584" spans="1:11" ht="13.2">
      <c r="A584" s="22"/>
      <c r="B584" s="16"/>
      <c r="C584" s="23"/>
      <c r="D584" s="24"/>
      <c r="E584" s="25"/>
      <c r="F584" s="26"/>
      <c r="G584" s="27"/>
      <c r="H584" s="20"/>
      <c r="I584" s="21"/>
      <c r="J584" s="28"/>
      <c r="K584" s="19"/>
    </row>
    <row r="585" spans="1:11" ht="13.2">
      <c r="A585" s="22"/>
      <c r="B585" s="16"/>
      <c r="C585" s="23"/>
      <c r="D585" s="24"/>
      <c r="E585" s="25"/>
      <c r="F585" s="26"/>
      <c r="G585" s="27"/>
      <c r="H585" s="20"/>
      <c r="I585" s="21"/>
      <c r="J585" s="28"/>
      <c r="K585" s="19"/>
    </row>
    <row r="586" spans="1:11" ht="13.2">
      <c r="A586" s="22"/>
      <c r="B586" s="16"/>
      <c r="C586" s="23"/>
      <c r="D586" s="24"/>
      <c r="E586" s="25"/>
      <c r="F586" s="26"/>
      <c r="G586" s="27"/>
      <c r="H586" s="20"/>
      <c r="I586" s="21"/>
      <c r="J586" s="28"/>
      <c r="K586" s="19"/>
    </row>
    <row r="587" spans="1:11" ht="13.2">
      <c r="A587" s="22"/>
      <c r="B587" s="16"/>
      <c r="C587" s="23"/>
      <c r="D587" s="24"/>
      <c r="E587" s="25"/>
      <c r="F587" s="26"/>
      <c r="G587" s="27"/>
      <c r="H587" s="20"/>
      <c r="I587" s="21"/>
      <c r="J587" s="28"/>
      <c r="K587" s="19"/>
    </row>
    <row r="588" spans="1:11" ht="13.2">
      <c r="A588" s="22"/>
      <c r="B588" s="16"/>
      <c r="C588" s="23"/>
      <c r="D588" s="24"/>
      <c r="E588" s="25"/>
      <c r="F588" s="26"/>
      <c r="G588" s="27"/>
      <c r="H588" s="20"/>
      <c r="I588" s="21"/>
      <c r="J588" s="28"/>
      <c r="K588" s="19"/>
    </row>
    <row r="589" spans="1:11" ht="13.2">
      <c r="A589" s="22"/>
      <c r="B589" s="16"/>
      <c r="C589" s="23"/>
      <c r="D589" s="24"/>
      <c r="E589" s="25"/>
      <c r="F589" s="26"/>
      <c r="G589" s="27"/>
      <c r="H589" s="20"/>
      <c r="I589" s="21"/>
      <c r="J589" s="28"/>
      <c r="K589" s="19"/>
    </row>
    <row r="590" spans="1:11" ht="13.2">
      <c r="A590" s="22"/>
      <c r="B590" s="16"/>
      <c r="C590" s="23"/>
      <c r="D590" s="24"/>
      <c r="E590" s="25"/>
      <c r="F590" s="26"/>
      <c r="G590" s="27"/>
      <c r="H590" s="20"/>
      <c r="I590" s="21"/>
      <c r="J590" s="28"/>
      <c r="K590" s="19"/>
    </row>
    <row r="591" spans="1:11" ht="13.2">
      <c r="A591" s="22"/>
      <c r="B591" s="16"/>
      <c r="C591" s="23"/>
      <c r="D591" s="24"/>
      <c r="E591" s="25"/>
      <c r="F591" s="26"/>
      <c r="G591" s="27"/>
      <c r="H591" s="20"/>
      <c r="I591" s="21"/>
      <c r="J591" s="28"/>
      <c r="K591" s="19"/>
    </row>
    <row r="592" spans="1:11" ht="13.2">
      <c r="A592" s="22"/>
      <c r="B592" s="16"/>
      <c r="C592" s="23"/>
      <c r="D592" s="24"/>
      <c r="E592" s="25"/>
      <c r="F592" s="26"/>
      <c r="G592" s="27"/>
      <c r="H592" s="20"/>
      <c r="I592" s="21"/>
      <c r="J592" s="28"/>
      <c r="K592" s="19"/>
    </row>
    <row r="593" spans="1:11" ht="13.2">
      <c r="A593" s="22"/>
      <c r="B593" s="16"/>
      <c r="C593" s="23"/>
      <c r="D593" s="24"/>
      <c r="E593" s="25"/>
      <c r="F593" s="26"/>
      <c r="G593" s="27"/>
      <c r="H593" s="20"/>
      <c r="I593" s="21"/>
      <c r="J593" s="28"/>
      <c r="K593" s="19"/>
    </row>
    <row r="594" spans="1:11" ht="13.2">
      <c r="A594" s="22"/>
      <c r="B594" s="16"/>
      <c r="C594" s="23"/>
      <c r="D594" s="24"/>
      <c r="E594" s="25"/>
      <c r="F594" s="26"/>
      <c r="G594" s="27"/>
      <c r="H594" s="20"/>
      <c r="I594" s="21"/>
      <c r="J594" s="28"/>
      <c r="K594" s="19"/>
    </row>
    <row r="595" spans="1:11" ht="13.2">
      <c r="A595" s="22"/>
      <c r="B595" s="16"/>
      <c r="C595" s="23"/>
      <c r="D595" s="24"/>
      <c r="E595" s="25"/>
      <c r="F595" s="26"/>
      <c r="G595" s="27"/>
      <c r="H595" s="20"/>
      <c r="I595" s="21"/>
      <c r="J595" s="28"/>
      <c r="K595" s="19"/>
    </row>
    <row r="596" spans="1:11" ht="13.2">
      <c r="A596" s="22"/>
      <c r="B596" s="16"/>
      <c r="C596" s="23"/>
      <c r="D596" s="24"/>
      <c r="E596" s="25"/>
      <c r="F596" s="26"/>
      <c r="G596" s="27"/>
      <c r="H596" s="20"/>
      <c r="I596" s="21"/>
      <c r="J596" s="28"/>
      <c r="K596" s="19"/>
    </row>
    <row r="597" spans="1:11" ht="13.2">
      <c r="A597" s="22"/>
      <c r="B597" s="16"/>
      <c r="C597" s="23"/>
      <c r="D597" s="24"/>
      <c r="E597" s="25"/>
      <c r="F597" s="26"/>
      <c r="G597" s="27"/>
      <c r="H597" s="20"/>
      <c r="I597" s="21"/>
      <c r="J597" s="28"/>
      <c r="K597" s="19"/>
    </row>
    <row r="598" spans="1:11" ht="13.2">
      <c r="A598" s="22"/>
      <c r="B598" s="16"/>
      <c r="C598" s="23"/>
      <c r="D598" s="24"/>
      <c r="E598" s="25"/>
      <c r="F598" s="26"/>
      <c r="G598" s="27"/>
      <c r="H598" s="20"/>
      <c r="I598" s="21"/>
      <c r="J598" s="28"/>
      <c r="K598" s="19"/>
    </row>
    <row r="599" spans="1:11" ht="13.2">
      <c r="A599" s="22"/>
      <c r="B599" s="16"/>
      <c r="C599" s="23"/>
      <c r="D599" s="24"/>
      <c r="E599" s="25"/>
      <c r="F599" s="26"/>
      <c r="G599" s="27"/>
      <c r="H599" s="20"/>
      <c r="I599" s="21"/>
      <c r="J599" s="28"/>
      <c r="K599" s="19"/>
    </row>
    <row r="600" spans="1:11" ht="13.2">
      <c r="A600" s="22"/>
      <c r="B600" s="16"/>
      <c r="C600" s="23"/>
      <c r="D600" s="24"/>
      <c r="E600" s="25"/>
      <c r="F600" s="26"/>
      <c r="G600" s="27"/>
      <c r="H600" s="20"/>
      <c r="I600" s="21"/>
      <c r="J600" s="28"/>
      <c r="K600" s="19"/>
    </row>
    <row r="601" spans="1:11" ht="13.2">
      <c r="A601" s="22"/>
      <c r="B601" s="16"/>
      <c r="C601" s="23"/>
      <c r="D601" s="24"/>
      <c r="E601" s="25"/>
      <c r="F601" s="26"/>
      <c r="G601" s="27"/>
      <c r="H601" s="20"/>
      <c r="I601" s="21"/>
      <c r="J601" s="28"/>
      <c r="K601" s="19"/>
    </row>
    <row r="602" spans="1:11" ht="13.2">
      <c r="A602" s="22"/>
      <c r="B602" s="16"/>
      <c r="C602" s="23"/>
      <c r="D602" s="24"/>
      <c r="E602" s="25"/>
      <c r="F602" s="26"/>
      <c r="G602" s="27"/>
      <c r="H602" s="20"/>
      <c r="I602" s="21"/>
      <c r="J602" s="28"/>
      <c r="K602" s="19"/>
    </row>
    <row r="603" spans="1:11" ht="13.2">
      <c r="A603" s="22"/>
      <c r="B603" s="16"/>
      <c r="C603" s="23"/>
      <c r="D603" s="24"/>
      <c r="E603" s="25"/>
      <c r="F603" s="26"/>
      <c r="G603" s="27"/>
      <c r="H603" s="20"/>
      <c r="I603" s="21"/>
      <c r="J603" s="28"/>
      <c r="K603" s="19"/>
    </row>
    <row r="604" spans="1:11" ht="13.2">
      <c r="A604" s="22"/>
      <c r="B604" s="16"/>
      <c r="C604" s="23"/>
      <c r="D604" s="24"/>
      <c r="E604" s="25"/>
      <c r="F604" s="26"/>
      <c r="G604" s="27"/>
      <c r="H604" s="20"/>
      <c r="I604" s="21"/>
      <c r="J604" s="28"/>
      <c r="K604" s="19"/>
    </row>
    <row r="605" spans="1:11" ht="13.2">
      <c r="A605" s="22"/>
      <c r="B605" s="16"/>
      <c r="C605" s="23"/>
      <c r="D605" s="24"/>
      <c r="E605" s="25"/>
      <c r="F605" s="26"/>
      <c r="G605" s="27"/>
      <c r="H605" s="20"/>
      <c r="I605" s="21"/>
      <c r="J605" s="28"/>
      <c r="K605" s="19"/>
    </row>
    <row r="606" spans="1:11" ht="13.2">
      <c r="A606" s="22"/>
      <c r="B606" s="16"/>
      <c r="C606" s="23"/>
      <c r="D606" s="24"/>
      <c r="E606" s="25"/>
      <c r="F606" s="26"/>
      <c r="G606" s="27"/>
      <c r="H606" s="20"/>
      <c r="I606" s="21"/>
      <c r="J606" s="28"/>
      <c r="K606" s="19"/>
    </row>
    <row r="607" spans="1:11" ht="13.2">
      <c r="A607" s="22"/>
      <c r="B607" s="16"/>
      <c r="C607" s="23"/>
      <c r="D607" s="24"/>
      <c r="E607" s="25"/>
      <c r="F607" s="26"/>
      <c r="G607" s="27"/>
      <c r="H607" s="20"/>
      <c r="I607" s="21"/>
      <c r="J607" s="28"/>
      <c r="K607" s="19"/>
    </row>
    <row r="608" spans="1:11" ht="13.2">
      <c r="A608" s="22"/>
      <c r="B608" s="16"/>
      <c r="C608" s="23"/>
      <c r="D608" s="24"/>
      <c r="E608" s="25"/>
      <c r="F608" s="26"/>
      <c r="G608" s="27"/>
      <c r="H608" s="20"/>
      <c r="I608" s="21"/>
      <c r="J608" s="28"/>
      <c r="K608" s="19"/>
    </row>
    <row r="609" spans="1:11" ht="13.2">
      <c r="A609" s="22"/>
      <c r="B609" s="16"/>
      <c r="C609" s="23"/>
      <c r="D609" s="24"/>
      <c r="E609" s="25"/>
      <c r="F609" s="26"/>
      <c r="G609" s="27"/>
      <c r="H609" s="20"/>
      <c r="I609" s="21"/>
      <c r="J609" s="28"/>
      <c r="K609" s="19"/>
    </row>
    <row r="610" spans="1:11" ht="13.2">
      <c r="A610" s="22"/>
      <c r="B610" s="16"/>
      <c r="C610" s="23"/>
      <c r="D610" s="24"/>
      <c r="E610" s="25"/>
      <c r="F610" s="26"/>
      <c r="G610" s="27"/>
      <c r="H610" s="20"/>
      <c r="I610" s="21"/>
      <c r="J610" s="28"/>
      <c r="K610" s="19"/>
    </row>
    <row r="611" spans="1:11" ht="13.2">
      <c r="A611" s="22"/>
      <c r="B611" s="16"/>
      <c r="C611" s="23"/>
      <c r="D611" s="24"/>
      <c r="E611" s="25"/>
      <c r="F611" s="26"/>
      <c r="G611" s="27"/>
      <c r="H611" s="20"/>
      <c r="I611" s="21"/>
      <c r="J611" s="28"/>
      <c r="K611" s="19"/>
    </row>
    <row r="612" spans="1:11" ht="13.2">
      <c r="A612" s="22"/>
      <c r="B612" s="16"/>
      <c r="C612" s="23"/>
      <c r="D612" s="24"/>
      <c r="E612" s="25"/>
      <c r="F612" s="26"/>
      <c r="G612" s="27"/>
      <c r="H612" s="20"/>
      <c r="I612" s="21"/>
      <c r="J612" s="28"/>
      <c r="K612" s="19"/>
    </row>
    <row r="613" spans="1:11" ht="13.2">
      <c r="A613" s="22"/>
      <c r="B613" s="16"/>
      <c r="C613" s="23"/>
      <c r="D613" s="24"/>
      <c r="E613" s="25"/>
      <c r="F613" s="26"/>
      <c r="G613" s="27"/>
      <c r="H613" s="20"/>
      <c r="I613" s="21"/>
      <c r="J613" s="28"/>
      <c r="K613" s="19"/>
    </row>
    <row r="614" spans="1:11" ht="13.2">
      <c r="A614" s="22"/>
      <c r="B614" s="16"/>
      <c r="C614" s="23"/>
      <c r="D614" s="24"/>
      <c r="E614" s="25"/>
      <c r="F614" s="26"/>
      <c r="G614" s="27"/>
      <c r="H614" s="20"/>
      <c r="I614" s="21"/>
      <c r="J614" s="28"/>
      <c r="K614" s="19"/>
    </row>
    <row r="615" spans="1:11" ht="13.2">
      <c r="A615" s="22"/>
      <c r="B615" s="16"/>
      <c r="C615" s="23"/>
      <c r="D615" s="24"/>
      <c r="E615" s="25"/>
      <c r="F615" s="26"/>
      <c r="G615" s="27"/>
      <c r="H615" s="20"/>
      <c r="I615" s="21"/>
      <c r="J615" s="28"/>
      <c r="K615" s="19"/>
    </row>
    <row r="616" spans="1:11" ht="13.2">
      <c r="A616" s="22"/>
      <c r="B616" s="16"/>
      <c r="C616" s="23"/>
      <c r="D616" s="24"/>
      <c r="E616" s="25"/>
      <c r="F616" s="26"/>
      <c r="G616" s="27"/>
      <c r="H616" s="20"/>
      <c r="I616" s="21"/>
      <c r="J616" s="28"/>
      <c r="K616" s="19"/>
    </row>
    <row r="617" spans="1:11" ht="13.2">
      <c r="A617" s="22"/>
      <c r="B617" s="16"/>
      <c r="C617" s="23"/>
      <c r="D617" s="24"/>
      <c r="E617" s="25"/>
      <c r="F617" s="26"/>
      <c r="G617" s="27"/>
      <c r="H617" s="20"/>
      <c r="I617" s="21"/>
      <c r="J617" s="28"/>
      <c r="K617" s="19"/>
    </row>
    <row r="618" spans="1:11" ht="13.2">
      <c r="A618" s="22"/>
      <c r="B618" s="16"/>
      <c r="C618" s="23"/>
      <c r="D618" s="24"/>
      <c r="E618" s="25"/>
      <c r="F618" s="26"/>
      <c r="G618" s="27"/>
      <c r="H618" s="20"/>
      <c r="I618" s="21"/>
      <c r="J618" s="28"/>
      <c r="K618" s="19"/>
    </row>
    <row r="619" spans="1:11" ht="13.2">
      <c r="A619" s="22"/>
      <c r="B619" s="16"/>
      <c r="C619" s="23"/>
      <c r="D619" s="24"/>
      <c r="E619" s="25"/>
      <c r="F619" s="26"/>
      <c r="G619" s="27"/>
      <c r="H619" s="20"/>
      <c r="I619" s="21"/>
      <c r="J619" s="28"/>
      <c r="K619" s="19"/>
    </row>
    <row r="620" spans="1:11" ht="13.2">
      <c r="A620" s="22"/>
      <c r="B620" s="16"/>
      <c r="C620" s="23"/>
      <c r="D620" s="24"/>
      <c r="E620" s="25"/>
      <c r="F620" s="26"/>
      <c r="G620" s="27"/>
      <c r="H620" s="20"/>
      <c r="I620" s="21"/>
      <c r="J620" s="28"/>
      <c r="K620" s="19"/>
    </row>
    <row r="621" spans="1:11" ht="13.2">
      <c r="A621" s="22"/>
      <c r="B621" s="16"/>
      <c r="C621" s="23"/>
      <c r="D621" s="24"/>
      <c r="E621" s="25"/>
      <c r="F621" s="26"/>
      <c r="G621" s="27"/>
      <c r="H621" s="20"/>
      <c r="I621" s="21"/>
      <c r="J621" s="28"/>
      <c r="K621" s="19"/>
    </row>
    <row r="622" spans="1:11" ht="13.2">
      <c r="A622" s="22"/>
      <c r="B622" s="16"/>
      <c r="C622" s="23"/>
      <c r="D622" s="24"/>
      <c r="E622" s="25"/>
      <c r="F622" s="26"/>
      <c r="G622" s="27"/>
      <c r="H622" s="20"/>
      <c r="I622" s="21"/>
      <c r="J622" s="28"/>
      <c r="K622" s="19"/>
    </row>
    <row r="623" spans="1:11" ht="13.2">
      <c r="A623" s="22"/>
      <c r="B623" s="16"/>
      <c r="C623" s="23"/>
      <c r="D623" s="24"/>
      <c r="E623" s="25"/>
      <c r="F623" s="26"/>
      <c r="G623" s="27"/>
      <c r="H623" s="20"/>
      <c r="I623" s="21"/>
      <c r="J623" s="28"/>
      <c r="K623" s="19"/>
    </row>
    <row r="624" spans="1:11" ht="13.2">
      <c r="A624" s="22"/>
      <c r="B624" s="16"/>
      <c r="C624" s="23"/>
      <c r="D624" s="24"/>
      <c r="E624" s="25"/>
      <c r="F624" s="26"/>
      <c r="G624" s="27"/>
      <c r="H624" s="20"/>
      <c r="I624" s="21"/>
      <c r="J624" s="28"/>
      <c r="K624" s="19"/>
    </row>
    <row r="625" spans="1:11" ht="13.2">
      <c r="A625" s="22"/>
      <c r="B625" s="16"/>
      <c r="C625" s="23"/>
      <c r="D625" s="24"/>
      <c r="E625" s="25"/>
      <c r="F625" s="26"/>
      <c r="G625" s="27"/>
      <c r="H625" s="20"/>
      <c r="I625" s="21"/>
      <c r="J625" s="28"/>
      <c r="K625" s="19"/>
    </row>
    <row r="626" spans="1:11" ht="13.2">
      <c r="A626" s="22"/>
      <c r="B626" s="16"/>
      <c r="C626" s="23"/>
      <c r="D626" s="24"/>
      <c r="E626" s="25"/>
      <c r="F626" s="26"/>
      <c r="G626" s="27"/>
      <c r="H626" s="20"/>
      <c r="I626" s="21"/>
      <c r="J626" s="28"/>
      <c r="K626" s="19"/>
    </row>
    <row r="627" spans="1:11" ht="13.2">
      <c r="A627" s="22"/>
      <c r="B627" s="16"/>
      <c r="C627" s="23"/>
      <c r="D627" s="24"/>
      <c r="E627" s="25"/>
      <c r="F627" s="26"/>
      <c r="G627" s="27"/>
      <c r="H627" s="20"/>
      <c r="I627" s="21"/>
      <c r="J627" s="28"/>
      <c r="K627" s="19"/>
    </row>
    <row r="628" spans="1:11" ht="13.2">
      <c r="A628" s="22"/>
      <c r="B628" s="16"/>
      <c r="C628" s="23"/>
      <c r="D628" s="24"/>
      <c r="E628" s="25"/>
      <c r="F628" s="26"/>
      <c r="G628" s="27"/>
      <c r="H628" s="20"/>
      <c r="I628" s="21"/>
      <c r="J628" s="28"/>
      <c r="K628" s="19"/>
    </row>
    <row r="629" spans="1:11" ht="13.2">
      <c r="A629" s="22"/>
      <c r="B629" s="16"/>
      <c r="C629" s="23"/>
      <c r="D629" s="24"/>
      <c r="E629" s="25"/>
      <c r="F629" s="26"/>
      <c r="G629" s="27"/>
      <c r="H629" s="20"/>
      <c r="I629" s="21"/>
      <c r="J629" s="28"/>
      <c r="K629" s="19"/>
    </row>
    <row r="630" spans="1:11" ht="13.2">
      <c r="A630" s="22"/>
      <c r="B630" s="16"/>
      <c r="C630" s="23"/>
      <c r="D630" s="24"/>
      <c r="E630" s="25"/>
      <c r="F630" s="26"/>
      <c r="G630" s="27"/>
      <c r="H630" s="20"/>
      <c r="I630" s="21"/>
      <c r="J630" s="28"/>
      <c r="K630" s="19"/>
    </row>
    <row r="631" spans="1:11" ht="13.2">
      <c r="A631" s="22"/>
      <c r="B631" s="16"/>
      <c r="C631" s="23"/>
      <c r="D631" s="24"/>
      <c r="E631" s="25"/>
      <c r="F631" s="26"/>
      <c r="G631" s="27"/>
      <c r="H631" s="20"/>
      <c r="I631" s="21"/>
      <c r="J631" s="28"/>
      <c r="K631" s="19"/>
    </row>
    <row r="632" spans="1:11" ht="13.2">
      <c r="A632" s="22"/>
      <c r="B632" s="16"/>
      <c r="C632" s="23"/>
      <c r="D632" s="24"/>
      <c r="E632" s="25"/>
      <c r="F632" s="26"/>
      <c r="G632" s="27"/>
      <c r="H632" s="20"/>
      <c r="I632" s="21"/>
      <c r="J632" s="28"/>
      <c r="K632" s="19"/>
    </row>
    <row r="633" spans="1:11" ht="13.2">
      <c r="A633" s="22"/>
      <c r="B633" s="16"/>
      <c r="C633" s="23"/>
      <c r="D633" s="24"/>
      <c r="E633" s="25"/>
      <c r="F633" s="26"/>
      <c r="G633" s="27"/>
      <c r="H633" s="20"/>
      <c r="I633" s="21"/>
      <c r="J633" s="28"/>
      <c r="K633" s="19"/>
    </row>
    <row r="634" spans="1:11" ht="13.2">
      <c r="A634" s="22"/>
      <c r="B634" s="16"/>
      <c r="C634" s="23"/>
      <c r="D634" s="24"/>
      <c r="E634" s="25"/>
      <c r="F634" s="26"/>
      <c r="G634" s="27"/>
      <c r="H634" s="20"/>
      <c r="I634" s="21"/>
      <c r="J634" s="28"/>
      <c r="K634" s="19"/>
    </row>
    <row r="635" spans="1:11" ht="13.2">
      <c r="A635" s="22"/>
      <c r="B635" s="16"/>
      <c r="C635" s="23"/>
      <c r="D635" s="24"/>
      <c r="E635" s="25"/>
      <c r="F635" s="26"/>
      <c r="G635" s="27"/>
      <c r="H635" s="20"/>
      <c r="I635" s="21"/>
      <c r="J635" s="28"/>
      <c r="K635" s="19"/>
    </row>
    <row r="636" spans="1:11" ht="13.2">
      <c r="A636" s="22"/>
      <c r="B636" s="16"/>
      <c r="C636" s="23"/>
      <c r="D636" s="24"/>
      <c r="E636" s="25"/>
      <c r="F636" s="26"/>
      <c r="G636" s="27"/>
      <c r="H636" s="20"/>
      <c r="I636" s="21"/>
      <c r="J636" s="28"/>
      <c r="K636" s="19"/>
    </row>
    <row r="637" spans="1:11" ht="13.2">
      <c r="A637" s="22"/>
      <c r="B637" s="16"/>
      <c r="C637" s="23"/>
      <c r="D637" s="24"/>
      <c r="E637" s="25"/>
      <c r="F637" s="26"/>
      <c r="G637" s="27"/>
      <c r="H637" s="20"/>
      <c r="I637" s="21"/>
      <c r="J637" s="28"/>
      <c r="K637" s="19"/>
    </row>
    <row r="638" spans="1:11" ht="13.2">
      <c r="A638" s="22"/>
      <c r="B638" s="16"/>
      <c r="C638" s="23"/>
      <c r="D638" s="24"/>
      <c r="E638" s="25"/>
      <c r="F638" s="26"/>
      <c r="G638" s="27"/>
      <c r="H638" s="20"/>
      <c r="I638" s="21"/>
      <c r="J638" s="28"/>
      <c r="K638" s="19"/>
    </row>
    <row r="639" spans="1:11" ht="13.2">
      <c r="A639" s="22"/>
      <c r="B639" s="16"/>
      <c r="C639" s="23"/>
      <c r="D639" s="24"/>
      <c r="E639" s="25"/>
      <c r="F639" s="26"/>
      <c r="G639" s="27"/>
      <c r="H639" s="20"/>
      <c r="I639" s="21"/>
      <c r="J639" s="28"/>
      <c r="K639" s="19"/>
    </row>
    <row r="640" spans="1:11" ht="13.2">
      <c r="A640" s="22"/>
      <c r="B640" s="16"/>
      <c r="C640" s="23"/>
      <c r="D640" s="24"/>
      <c r="E640" s="25"/>
      <c r="F640" s="26"/>
      <c r="G640" s="27"/>
      <c r="H640" s="20"/>
      <c r="I640" s="21"/>
      <c r="J640" s="28"/>
      <c r="K640" s="19"/>
    </row>
    <row r="641" spans="1:11" ht="13.2">
      <c r="A641" s="22"/>
      <c r="B641" s="16"/>
      <c r="C641" s="23"/>
      <c r="D641" s="24"/>
      <c r="E641" s="25"/>
      <c r="F641" s="26"/>
      <c r="G641" s="27"/>
      <c r="H641" s="20"/>
      <c r="I641" s="21"/>
      <c r="J641" s="28"/>
      <c r="K641" s="19"/>
    </row>
    <row r="642" spans="1:11" ht="13.2">
      <c r="A642" s="22"/>
      <c r="B642" s="16"/>
      <c r="C642" s="23"/>
      <c r="D642" s="24"/>
      <c r="E642" s="25"/>
      <c r="F642" s="26"/>
      <c r="G642" s="27"/>
      <c r="H642" s="20"/>
      <c r="I642" s="21"/>
      <c r="J642" s="28"/>
      <c r="K642" s="19"/>
    </row>
    <row r="643" spans="1:11" ht="13.2">
      <c r="A643" s="22"/>
      <c r="B643" s="16"/>
      <c r="C643" s="23"/>
      <c r="D643" s="24"/>
      <c r="E643" s="25"/>
      <c r="F643" s="26"/>
      <c r="G643" s="27"/>
      <c r="H643" s="20"/>
      <c r="I643" s="21"/>
      <c r="J643" s="28"/>
      <c r="K643" s="19"/>
    </row>
    <row r="644" spans="1:11" ht="13.2">
      <c r="A644" s="22"/>
      <c r="B644" s="16"/>
      <c r="C644" s="23"/>
      <c r="D644" s="24"/>
      <c r="E644" s="25"/>
      <c r="F644" s="26"/>
      <c r="G644" s="27"/>
      <c r="H644" s="20"/>
      <c r="I644" s="21"/>
      <c r="J644" s="28"/>
      <c r="K644" s="19"/>
    </row>
    <row r="645" spans="1:11" ht="13.2">
      <c r="A645" s="22"/>
      <c r="B645" s="16"/>
      <c r="C645" s="23"/>
      <c r="D645" s="24"/>
      <c r="E645" s="25"/>
      <c r="F645" s="26"/>
      <c r="G645" s="27"/>
      <c r="H645" s="20"/>
      <c r="I645" s="21"/>
      <c r="J645" s="28"/>
      <c r="K645" s="19"/>
    </row>
    <row r="646" spans="1:11" ht="13.2">
      <c r="A646" s="22"/>
      <c r="B646" s="16"/>
      <c r="C646" s="23"/>
      <c r="D646" s="24"/>
      <c r="E646" s="25"/>
      <c r="F646" s="26"/>
      <c r="G646" s="27"/>
      <c r="H646" s="20"/>
      <c r="I646" s="21"/>
      <c r="J646" s="28"/>
      <c r="K646" s="19"/>
    </row>
    <row r="647" spans="1:11" ht="13.2">
      <c r="A647" s="22"/>
      <c r="B647" s="16"/>
      <c r="C647" s="23"/>
      <c r="D647" s="24"/>
      <c r="E647" s="25"/>
      <c r="F647" s="26"/>
      <c r="G647" s="27"/>
      <c r="H647" s="20"/>
      <c r="I647" s="21"/>
      <c r="J647" s="28"/>
      <c r="K647" s="19"/>
    </row>
    <row r="648" spans="1:11" ht="13.2">
      <c r="A648" s="22"/>
      <c r="B648" s="16"/>
      <c r="C648" s="23"/>
      <c r="D648" s="24"/>
      <c r="E648" s="25"/>
      <c r="F648" s="26"/>
      <c r="G648" s="27"/>
      <c r="H648" s="20"/>
      <c r="I648" s="21"/>
      <c r="J648" s="28"/>
      <c r="K648" s="19"/>
    </row>
    <row r="649" spans="1:11" ht="13.2">
      <c r="A649" s="22"/>
      <c r="B649" s="16"/>
      <c r="C649" s="23"/>
      <c r="D649" s="24"/>
      <c r="E649" s="25"/>
      <c r="F649" s="26"/>
      <c r="G649" s="27"/>
      <c r="H649" s="20"/>
      <c r="I649" s="21"/>
      <c r="J649" s="28"/>
      <c r="K649" s="19"/>
    </row>
    <row r="650" spans="1:11" ht="13.2">
      <c r="A650" s="22"/>
      <c r="B650" s="16"/>
      <c r="C650" s="23"/>
      <c r="D650" s="24"/>
      <c r="E650" s="25"/>
      <c r="F650" s="26"/>
      <c r="G650" s="27"/>
      <c r="H650" s="20"/>
      <c r="I650" s="21"/>
      <c r="J650" s="28"/>
      <c r="K650" s="19"/>
    </row>
    <row r="651" spans="1:11" ht="13.2">
      <c r="A651" s="22"/>
      <c r="B651" s="16"/>
      <c r="C651" s="23"/>
      <c r="D651" s="24"/>
      <c r="E651" s="25"/>
      <c r="F651" s="26"/>
      <c r="G651" s="27"/>
      <c r="H651" s="20"/>
      <c r="I651" s="21"/>
      <c r="J651" s="28"/>
      <c r="K651" s="19"/>
    </row>
    <row r="652" spans="1:11" ht="13.2">
      <c r="A652" s="22"/>
      <c r="B652" s="16"/>
      <c r="C652" s="23"/>
      <c r="D652" s="24"/>
      <c r="E652" s="25"/>
      <c r="F652" s="26"/>
      <c r="G652" s="27"/>
      <c r="H652" s="20"/>
      <c r="I652" s="21"/>
      <c r="J652" s="28"/>
      <c r="K652" s="19"/>
    </row>
    <row r="653" spans="1:11" ht="13.2">
      <c r="A653" s="22"/>
      <c r="B653" s="16"/>
      <c r="C653" s="23"/>
      <c r="D653" s="24"/>
      <c r="E653" s="25"/>
      <c r="F653" s="26"/>
      <c r="G653" s="27"/>
      <c r="H653" s="20"/>
      <c r="I653" s="21"/>
      <c r="J653" s="28"/>
      <c r="K653" s="19"/>
    </row>
    <row r="654" spans="1:11" ht="13.2">
      <c r="A654" s="22"/>
      <c r="B654" s="16"/>
      <c r="C654" s="23"/>
      <c r="D654" s="24"/>
      <c r="E654" s="25"/>
      <c r="F654" s="26"/>
      <c r="G654" s="27"/>
      <c r="H654" s="20"/>
      <c r="I654" s="21"/>
      <c r="J654" s="28"/>
      <c r="K654" s="19"/>
    </row>
    <row r="655" spans="1:11" ht="13.2">
      <c r="A655" s="22"/>
      <c r="B655" s="16"/>
      <c r="C655" s="23"/>
      <c r="D655" s="24"/>
      <c r="E655" s="25"/>
      <c r="F655" s="26"/>
      <c r="G655" s="27"/>
      <c r="H655" s="20"/>
      <c r="I655" s="21"/>
      <c r="J655" s="28"/>
      <c r="K655" s="19"/>
    </row>
    <row r="656" spans="1:11" ht="13.2">
      <c r="A656" s="22"/>
      <c r="B656" s="16"/>
      <c r="C656" s="23"/>
      <c r="D656" s="24"/>
      <c r="E656" s="25"/>
      <c r="F656" s="26"/>
      <c r="G656" s="27"/>
      <c r="H656" s="20"/>
      <c r="I656" s="21"/>
      <c r="J656" s="28"/>
      <c r="K656" s="19"/>
    </row>
    <row r="657" spans="1:11" ht="13.2">
      <c r="A657" s="22"/>
      <c r="B657" s="16"/>
      <c r="C657" s="23"/>
      <c r="D657" s="24"/>
      <c r="E657" s="25"/>
      <c r="F657" s="26"/>
      <c r="G657" s="27"/>
      <c r="H657" s="20"/>
      <c r="I657" s="21"/>
      <c r="J657" s="28"/>
      <c r="K657" s="19"/>
    </row>
    <row r="658" spans="1:11" ht="13.2">
      <c r="A658" s="22"/>
      <c r="B658" s="16"/>
      <c r="C658" s="23"/>
      <c r="D658" s="24"/>
      <c r="E658" s="25"/>
      <c r="F658" s="26"/>
      <c r="G658" s="27"/>
      <c r="H658" s="20"/>
      <c r="I658" s="21"/>
      <c r="J658" s="28"/>
      <c r="K658" s="19"/>
    </row>
    <row r="659" spans="1:11" ht="13.2">
      <c r="A659" s="22"/>
      <c r="B659" s="16"/>
      <c r="C659" s="23"/>
      <c r="D659" s="24"/>
      <c r="E659" s="25"/>
      <c r="F659" s="26"/>
      <c r="G659" s="27"/>
      <c r="H659" s="20"/>
      <c r="I659" s="21"/>
      <c r="J659" s="28"/>
      <c r="K659" s="19"/>
    </row>
    <row r="660" spans="1:11" ht="13.2">
      <c r="A660" s="22"/>
      <c r="B660" s="16"/>
      <c r="C660" s="23"/>
      <c r="D660" s="24"/>
      <c r="E660" s="25"/>
      <c r="F660" s="26"/>
      <c r="G660" s="27"/>
      <c r="H660" s="20"/>
      <c r="I660" s="21"/>
      <c r="J660" s="28"/>
      <c r="K660" s="19"/>
    </row>
    <row r="661" spans="1:11" ht="13.2">
      <c r="A661" s="22"/>
      <c r="B661" s="16"/>
      <c r="C661" s="23"/>
      <c r="D661" s="24"/>
      <c r="E661" s="25"/>
      <c r="F661" s="26"/>
      <c r="G661" s="27"/>
      <c r="H661" s="20"/>
      <c r="I661" s="21"/>
      <c r="J661" s="28"/>
      <c r="K661" s="19"/>
    </row>
    <row r="662" spans="1:11" ht="13.2">
      <c r="A662" s="22"/>
      <c r="B662" s="16"/>
      <c r="C662" s="23"/>
      <c r="D662" s="24"/>
      <c r="E662" s="25"/>
      <c r="F662" s="26"/>
      <c r="G662" s="27"/>
      <c r="H662" s="20"/>
      <c r="I662" s="21"/>
      <c r="J662" s="28"/>
      <c r="K662" s="19"/>
    </row>
    <row r="663" spans="1:11" ht="13.2">
      <c r="A663" s="22"/>
      <c r="B663" s="16"/>
      <c r="C663" s="23"/>
      <c r="D663" s="24"/>
      <c r="E663" s="25"/>
      <c r="F663" s="26"/>
      <c r="G663" s="27"/>
      <c r="H663" s="20"/>
      <c r="I663" s="21"/>
      <c r="J663" s="28"/>
      <c r="K663" s="19"/>
    </row>
    <row r="664" spans="1:11" ht="13.2">
      <c r="A664" s="22"/>
      <c r="B664" s="16"/>
      <c r="C664" s="23"/>
      <c r="D664" s="24"/>
      <c r="E664" s="25"/>
      <c r="F664" s="26"/>
      <c r="G664" s="27"/>
      <c r="H664" s="20"/>
      <c r="I664" s="21"/>
      <c r="J664" s="28"/>
      <c r="K664" s="19"/>
    </row>
    <row r="665" spans="1:11" ht="13.2">
      <c r="A665" s="22"/>
      <c r="B665" s="16"/>
      <c r="C665" s="23"/>
      <c r="D665" s="24"/>
      <c r="E665" s="25"/>
      <c r="F665" s="26"/>
      <c r="G665" s="27"/>
      <c r="H665" s="20"/>
      <c r="I665" s="21"/>
      <c r="J665" s="28"/>
      <c r="K665" s="19"/>
    </row>
    <row r="666" spans="1:11" ht="13.2">
      <c r="A666" s="22"/>
      <c r="B666" s="16"/>
      <c r="C666" s="23"/>
      <c r="D666" s="24"/>
      <c r="E666" s="25"/>
      <c r="F666" s="26"/>
      <c r="G666" s="27"/>
      <c r="H666" s="20"/>
      <c r="I666" s="21"/>
      <c r="J666" s="28"/>
      <c r="K666" s="19"/>
    </row>
    <row r="667" spans="1:11" ht="13.2">
      <c r="A667" s="22"/>
      <c r="B667" s="16"/>
      <c r="C667" s="23"/>
      <c r="D667" s="24"/>
      <c r="E667" s="25"/>
      <c r="F667" s="26"/>
      <c r="G667" s="27"/>
      <c r="H667" s="20"/>
      <c r="I667" s="21"/>
      <c r="J667" s="28"/>
      <c r="K667" s="19"/>
    </row>
    <row r="668" spans="1:11" ht="13.2">
      <c r="A668" s="22"/>
      <c r="B668" s="16"/>
      <c r="C668" s="23"/>
      <c r="D668" s="24"/>
      <c r="E668" s="25"/>
      <c r="F668" s="26"/>
      <c r="G668" s="27"/>
      <c r="H668" s="20"/>
      <c r="I668" s="21"/>
      <c r="J668" s="28"/>
      <c r="K668" s="19"/>
    </row>
    <row r="669" spans="1:11" ht="13.2">
      <c r="A669" s="22"/>
      <c r="B669" s="16"/>
      <c r="C669" s="23"/>
      <c r="D669" s="24"/>
      <c r="E669" s="25"/>
      <c r="F669" s="26"/>
      <c r="G669" s="27"/>
      <c r="H669" s="20"/>
      <c r="I669" s="21"/>
      <c r="J669" s="28"/>
      <c r="K669" s="19"/>
    </row>
    <row r="670" spans="1:11" ht="13.2">
      <c r="A670" s="22"/>
      <c r="B670" s="16"/>
      <c r="C670" s="23"/>
      <c r="D670" s="24"/>
      <c r="E670" s="25"/>
      <c r="F670" s="26"/>
      <c r="G670" s="27"/>
      <c r="H670" s="20"/>
      <c r="I670" s="21"/>
      <c r="J670" s="28"/>
      <c r="K670" s="19"/>
    </row>
    <row r="671" spans="1:11" ht="13.2">
      <c r="A671" s="22"/>
      <c r="B671" s="16"/>
      <c r="C671" s="23"/>
      <c r="D671" s="24"/>
      <c r="E671" s="25"/>
      <c r="F671" s="26"/>
      <c r="G671" s="27"/>
      <c r="H671" s="20"/>
      <c r="I671" s="21"/>
      <c r="J671" s="28"/>
      <c r="K671" s="19"/>
    </row>
    <row r="672" spans="1:11" ht="13.2">
      <c r="A672" s="22"/>
      <c r="B672" s="16"/>
      <c r="C672" s="23"/>
      <c r="D672" s="24"/>
      <c r="E672" s="25"/>
      <c r="F672" s="26"/>
      <c r="G672" s="27"/>
      <c r="H672" s="20"/>
      <c r="I672" s="21"/>
      <c r="J672" s="28"/>
      <c r="K672" s="19"/>
    </row>
    <row r="673" spans="1:11" ht="13.2">
      <c r="A673" s="22"/>
      <c r="B673" s="16"/>
      <c r="C673" s="23"/>
      <c r="D673" s="24"/>
      <c r="E673" s="25"/>
      <c r="F673" s="26"/>
      <c r="G673" s="27"/>
      <c r="H673" s="20"/>
      <c r="I673" s="21"/>
      <c r="J673" s="28"/>
      <c r="K673" s="19"/>
    </row>
    <row r="674" spans="1:11" ht="13.2">
      <c r="A674" s="22"/>
      <c r="B674" s="16"/>
      <c r="C674" s="23"/>
      <c r="D674" s="24"/>
      <c r="E674" s="25"/>
      <c r="F674" s="26"/>
      <c r="G674" s="27"/>
      <c r="H674" s="20"/>
      <c r="I674" s="21"/>
      <c r="J674" s="28"/>
      <c r="K674" s="19"/>
    </row>
    <row r="675" spans="1:11" ht="13.2">
      <c r="A675" s="22"/>
      <c r="B675" s="16"/>
      <c r="C675" s="23"/>
      <c r="D675" s="24"/>
      <c r="E675" s="25"/>
      <c r="F675" s="26"/>
      <c r="G675" s="27"/>
      <c r="H675" s="20"/>
      <c r="I675" s="21"/>
      <c r="J675" s="28"/>
      <c r="K675" s="19"/>
    </row>
    <row r="676" spans="1:11" ht="13.2">
      <c r="A676" s="22"/>
      <c r="B676" s="16"/>
      <c r="C676" s="23"/>
      <c r="D676" s="24"/>
      <c r="E676" s="25"/>
      <c r="F676" s="26"/>
      <c r="G676" s="27"/>
      <c r="H676" s="20"/>
      <c r="I676" s="21"/>
      <c r="J676" s="28"/>
      <c r="K676" s="19"/>
    </row>
    <row r="677" spans="1:11" ht="13.2">
      <c r="A677" s="22"/>
      <c r="B677" s="16"/>
      <c r="C677" s="23"/>
      <c r="D677" s="24"/>
      <c r="E677" s="25"/>
      <c r="F677" s="26"/>
      <c r="G677" s="27"/>
      <c r="H677" s="20"/>
      <c r="I677" s="21"/>
      <c r="J677" s="28"/>
      <c r="K677" s="19"/>
    </row>
    <row r="678" spans="1:11" ht="13.2">
      <c r="A678" s="22"/>
      <c r="B678" s="16"/>
      <c r="C678" s="23"/>
      <c r="D678" s="24"/>
      <c r="E678" s="25"/>
      <c r="F678" s="26"/>
      <c r="G678" s="27"/>
      <c r="H678" s="20"/>
      <c r="I678" s="21"/>
      <c r="J678" s="28"/>
      <c r="K678" s="19"/>
    </row>
    <row r="679" spans="1:11" ht="13.2">
      <c r="A679" s="22"/>
      <c r="B679" s="16"/>
      <c r="C679" s="23"/>
      <c r="D679" s="24"/>
      <c r="E679" s="25"/>
      <c r="F679" s="26"/>
      <c r="G679" s="27"/>
      <c r="H679" s="20"/>
      <c r="I679" s="21"/>
      <c r="J679" s="28"/>
      <c r="K679" s="19"/>
    </row>
    <row r="680" spans="1:11" ht="13.2">
      <c r="A680" s="22"/>
      <c r="B680" s="16"/>
      <c r="C680" s="23"/>
      <c r="D680" s="24"/>
      <c r="E680" s="25"/>
      <c r="F680" s="26"/>
      <c r="G680" s="27"/>
      <c r="H680" s="20"/>
      <c r="I680" s="21"/>
      <c r="J680" s="28"/>
      <c r="K680" s="19"/>
    </row>
    <row r="681" spans="1:11" ht="13.2">
      <c r="A681" s="22"/>
      <c r="B681" s="16"/>
      <c r="C681" s="23"/>
      <c r="D681" s="24"/>
      <c r="E681" s="25"/>
      <c r="F681" s="26"/>
      <c r="G681" s="27"/>
      <c r="H681" s="20"/>
      <c r="I681" s="21"/>
      <c r="J681" s="28"/>
      <c r="K681" s="19"/>
    </row>
    <row r="682" spans="1:11" ht="13.2">
      <c r="A682" s="22"/>
      <c r="B682" s="16"/>
      <c r="C682" s="23"/>
      <c r="D682" s="24"/>
      <c r="E682" s="25"/>
      <c r="F682" s="26"/>
      <c r="G682" s="27"/>
      <c r="H682" s="20"/>
      <c r="I682" s="21"/>
      <c r="J682" s="28"/>
      <c r="K682" s="19"/>
    </row>
    <row r="683" spans="1:11" ht="13.2">
      <c r="A683" s="22"/>
      <c r="B683" s="16"/>
      <c r="C683" s="23"/>
      <c r="D683" s="24"/>
      <c r="E683" s="25"/>
      <c r="F683" s="26"/>
      <c r="G683" s="27"/>
      <c r="H683" s="20"/>
      <c r="I683" s="21"/>
      <c r="J683" s="28"/>
      <c r="K683" s="19"/>
    </row>
    <row r="684" spans="1:11" ht="13.2">
      <c r="A684" s="22"/>
      <c r="B684" s="16"/>
      <c r="C684" s="23"/>
      <c r="D684" s="24"/>
      <c r="E684" s="25"/>
      <c r="F684" s="26"/>
      <c r="G684" s="27"/>
      <c r="H684" s="20"/>
      <c r="I684" s="21"/>
      <c r="J684" s="28"/>
      <c r="K684" s="19"/>
    </row>
    <row r="685" spans="1:11" ht="13.2">
      <c r="A685" s="22"/>
      <c r="B685" s="16"/>
      <c r="C685" s="23"/>
      <c r="D685" s="24"/>
      <c r="E685" s="25"/>
      <c r="F685" s="26"/>
      <c r="G685" s="27"/>
      <c r="H685" s="20"/>
      <c r="I685" s="21"/>
      <c r="J685" s="28"/>
      <c r="K685" s="19"/>
    </row>
    <row r="686" spans="1:11" ht="13.2">
      <c r="A686" s="22"/>
      <c r="B686" s="16"/>
      <c r="C686" s="23"/>
      <c r="D686" s="24"/>
      <c r="E686" s="25"/>
      <c r="F686" s="26"/>
      <c r="G686" s="27"/>
      <c r="H686" s="20"/>
      <c r="I686" s="21"/>
      <c r="J686" s="28"/>
      <c r="K686" s="19"/>
    </row>
    <row r="687" spans="1:11" ht="13.2">
      <c r="A687" s="22"/>
      <c r="B687" s="16"/>
      <c r="C687" s="23"/>
      <c r="D687" s="24"/>
      <c r="E687" s="25"/>
      <c r="F687" s="26"/>
      <c r="G687" s="27"/>
      <c r="H687" s="20"/>
      <c r="I687" s="21"/>
      <c r="J687" s="28"/>
      <c r="K687" s="19"/>
    </row>
    <row r="688" spans="1:11" ht="13.2">
      <c r="A688" s="22"/>
      <c r="B688" s="16"/>
      <c r="C688" s="23"/>
      <c r="D688" s="24"/>
      <c r="E688" s="25"/>
      <c r="F688" s="26"/>
      <c r="G688" s="27"/>
      <c r="H688" s="20"/>
      <c r="I688" s="21"/>
      <c r="J688" s="28"/>
      <c r="K688" s="19"/>
    </row>
    <row r="689" spans="1:11" ht="13.2">
      <c r="A689" s="22"/>
      <c r="B689" s="16"/>
      <c r="C689" s="23"/>
      <c r="D689" s="24"/>
      <c r="E689" s="25"/>
      <c r="F689" s="26"/>
      <c r="G689" s="27"/>
      <c r="H689" s="20"/>
      <c r="I689" s="21"/>
      <c r="J689" s="28"/>
      <c r="K689" s="19"/>
    </row>
    <row r="690" spans="1:11" ht="13.2">
      <c r="A690" s="22"/>
      <c r="B690" s="16"/>
      <c r="C690" s="23"/>
      <c r="D690" s="24"/>
      <c r="E690" s="25"/>
      <c r="F690" s="26"/>
      <c r="G690" s="27"/>
      <c r="H690" s="20"/>
      <c r="I690" s="21"/>
      <c r="J690" s="28"/>
      <c r="K690" s="19"/>
    </row>
    <row r="691" spans="1:11" ht="13.2">
      <c r="A691" s="22"/>
      <c r="B691" s="16"/>
      <c r="C691" s="23"/>
      <c r="D691" s="24"/>
      <c r="E691" s="25"/>
      <c r="F691" s="26"/>
      <c r="G691" s="27"/>
      <c r="H691" s="20"/>
      <c r="I691" s="21"/>
      <c r="J691" s="28"/>
      <c r="K691" s="19"/>
    </row>
    <row r="692" spans="1:11" ht="13.2">
      <c r="A692" s="22"/>
      <c r="B692" s="16"/>
      <c r="C692" s="23"/>
      <c r="D692" s="24"/>
      <c r="E692" s="25"/>
      <c r="F692" s="26"/>
      <c r="G692" s="27"/>
      <c r="H692" s="20"/>
      <c r="I692" s="21"/>
      <c r="J692" s="28"/>
      <c r="K692" s="19"/>
    </row>
    <row r="693" spans="1:11" ht="13.2">
      <c r="A693" s="22"/>
      <c r="B693" s="16"/>
      <c r="C693" s="23"/>
      <c r="D693" s="24"/>
      <c r="E693" s="25"/>
      <c r="F693" s="26"/>
      <c r="G693" s="27"/>
      <c r="H693" s="20"/>
      <c r="I693" s="21"/>
      <c r="J693" s="28"/>
      <c r="K693" s="19"/>
    </row>
    <row r="694" spans="1:11" ht="13.2">
      <c r="A694" s="22"/>
      <c r="B694" s="16"/>
      <c r="C694" s="23"/>
      <c r="D694" s="24"/>
      <c r="E694" s="25"/>
      <c r="F694" s="26"/>
      <c r="G694" s="27"/>
      <c r="H694" s="20"/>
      <c r="I694" s="21"/>
      <c r="J694" s="28"/>
      <c r="K694" s="19"/>
    </row>
    <row r="695" spans="1:11" ht="13.2">
      <c r="A695" s="22"/>
      <c r="B695" s="16"/>
      <c r="C695" s="23"/>
      <c r="D695" s="24"/>
      <c r="E695" s="25"/>
      <c r="F695" s="26"/>
      <c r="G695" s="27"/>
      <c r="H695" s="20"/>
      <c r="I695" s="21"/>
      <c r="J695" s="28"/>
      <c r="K695" s="19"/>
    </row>
    <row r="696" spans="1:11" ht="13.2">
      <c r="A696" s="22"/>
      <c r="B696" s="16"/>
      <c r="C696" s="23"/>
      <c r="D696" s="24"/>
      <c r="E696" s="25"/>
      <c r="F696" s="26"/>
      <c r="G696" s="27"/>
      <c r="H696" s="20"/>
      <c r="I696" s="21"/>
      <c r="J696" s="28"/>
      <c r="K696" s="19"/>
    </row>
    <row r="697" spans="1:11" ht="13.2">
      <c r="A697" s="22"/>
      <c r="B697" s="16"/>
      <c r="C697" s="23"/>
      <c r="D697" s="24"/>
      <c r="E697" s="25"/>
      <c r="F697" s="26"/>
      <c r="G697" s="27"/>
      <c r="H697" s="20"/>
      <c r="I697" s="21"/>
      <c r="J697" s="28"/>
      <c r="K697" s="19"/>
    </row>
    <row r="698" spans="1:11" ht="13.2">
      <c r="A698" s="22"/>
      <c r="B698" s="16"/>
      <c r="C698" s="23"/>
      <c r="D698" s="24"/>
      <c r="E698" s="25"/>
      <c r="F698" s="26"/>
      <c r="G698" s="27"/>
      <c r="H698" s="20"/>
      <c r="I698" s="21"/>
      <c r="J698" s="28"/>
      <c r="K698" s="19"/>
    </row>
    <row r="699" spans="1:11" ht="13.2">
      <c r="A699" s="22"/>
      <c r="B699" s="16"/>
      <c r="C699" s="23"/>
      <c r="D699" s="24"/>
      <c r="E699" s="25"/>
      <c r="F699" s="26"/>
      <c r="G699" s="27"/>
      <c r="H699" s="20"/>
      <c r="I699" s="21"/>
      <c r="J699" s="28"/>
      <c r="K699" s="19"/>
    </row>
    <row r="700" spans="1:11" ht="13.2">
      <c r="A700" s="22"/>
      <c r="B700" s="16"/>
      <c r="C700" s="23"/>
      <c r="D700" s="24"/>
      <c r="E700" s="25"/>
      <c r="F700" s="26"/>
      <c r="G700" s="27"/>
      <c r="H700" s="20"/>
      <c r="I700" s="21"/>
      <c r="J700" s="28"/>
      <c r="K700" s="19"/>
    </row>
    <row r="701" spans="1:11" ht="13.2">
      <c r="A701" s="22"/>
      <c r="B701" s="16"/>
      <c r="C701" s="23"/>
      <c r="D701" s="24"/>
      <c r="E701" s="25"/>
      <c r="F701" s="26"/>
      <c r="G701" s="27"/>
      <c r="H701" s="20"/>
      <c r="I701" s="21"/>
      <c r="J701" s="28"/>
      <c r="K701" s="19"/>
    </row>
    <row r="702" spans="1:11" ht="13.2">
      <c r="A702" s="22"/>
      <c r="B702" s="16"/>
      <c r="C702" s="23"/>
      <c r="D702" s="24"/>
      <c r="E702" s="25"/>
      <c r="F702" s="26"/>
      <c r="G702" s="27"/>
      <c r="H702" s="20"/>
      <c r="I702" s="21"/>
      <c r="J702" s="28"/>
      <c r="K702" s="19"/>
    </row>
    <row r="703" spans="1:11" ht="13.2">
      <c r="A703" s="22"/>
      <c r="B703" s="16"/>
      <c r="C703" s="23"/>
      <c r="D703" s="24"/>
      <c r="E703" s="25"/>
      <c r="F703" s="26"/>
      <c r="G703" s="27"/>
      <c r="H703" s="20"/>
      <c r="I703" s="21"/>
      <c r="J703" s="28"/>
      <c r="K703" s="19"/>
    </row>
    <row r="704" spans="1:11" ht="13.2">
      <c r="A704" s="22"/>
      <c r="B704" s="16"/>
      <c r="C704" s="23"/>
      <c r="D704" s="24"/>
      <c r="E704" s="25"/>
      <c r="F704" s="26"/>
      <c r="G704" s="27"/>
      <c r="H704" s="20"/>
      <c r="I704" s="21"/>
      <c r="J704" s="28"/>
      <c r="K704" s="19"/>
    </row>
    <row r="705" spans="1:11" ht="13.2">
      <c r="A705" s="22"/>
      <c r="B705" s="16"/>
      <c r="C705" s="23"/>
      <c r="D705" s="24"/>
      <c r="E705" s="25"/>
      <c r="F705" s="26"/>
      <c r="G705" s="27"/>
      <c r="H705" s="20"/>
      <c r="I705" s="21"/>
      <c r="J705" s="28"/>
      <c r="K705" s="19"/>
    </row>
    <row r="706" spans="1:11" ht="13.2">
      <c r="A706" s="22"/>
      <c r="B706" s="16"/>
      <c r="C706" s="23"/>
      <c r="D706" s="24"/>
      <c r="E706" s="25"/>
      <c r="F706" s="26"/>
      <c r="G706" s="27"/>
      <c r="H706" s="20"/>
      <c r="I706" s="21"/>
      <c r="J706" s="28"/>
      <c r="K706" s="19"/>
    </row>
    <row r="707" spans="1:11" ht="13.2">
      <c r="A707" s="22"/>
      <c r="B707" s="16"/>
      <c r="C707" s="23"/>
      <c r="D707" s="24"/>
      <c r="E707" s="25"/>
      <c r="F707" s="26"/>
      <c r="G707" s="27"/>
      <c r="H707" s="20"/>
      <c r="I707" s="21"/>
      <c r="J707" s="28"/>
      <c r="K707" s="19"/>
    </row>
    <row r="708" spans="1:11" ht="13.2">
      <c r="A708" s="22"/>
      <c r="B708" s="16"/>
      <c r="C708" s="23"/>
      <c r="D708" s="24"/>
      <c r="E708" s="25"/>
      <c r="F708" s="26"/>
      <c r="G708" s="27"/>
      <c r="H708" s="20"/>
      <c r="I708" s="21"/>
      <c r="J708" s="28"/>
      <c r="K708" s="19"/>
    </row>
    <row r="709" spans="1:11" ht="13.2">
      <c r="A709" s="22"/>
      <c r="B709" s="16"/>
      <c r="C709" s="23"/>
      <c r="D709" s="24"/>
      <c r="E709" s="25"/>
      <c r="F709" s="26"/>
      <c r="G709" s="27"/>
      <c r="H709" s="20"/>
      <c r="I709" s="21"/>
      <c r="J709" s="28"/>
      <c r="K709" s="19"/>
    </row>
    <row r="710" spans="1:11" ht="13.2">
      <c r="A710" s="22"/>
      <c r="B710" s="16"/>
      <c r="C710" s="23"/>
      <c r="D710" s="24"/>
      <c r="E710" s="25"/>
      <c r="F710" s="26"/>
      <c r="G710" s="27"/>
      <c r="H710" s="20"/>
      <c r="I710" s="21"/>
      <c r="J710" s="28"/>
      <c r="K710" s="19"/>
    </row>
    <row r="711" spans="1:11" ht="13.2">
      <c r="A711" s="22"/>
      <c r="B711" s="16"/>
      <c r="C711" s="23"/>
      <c r="D711" s="24"/>
      <c r="E711" s="25"/>
      <c r="F711" s="26"/>
      <c r="G711" s="27"/>
      <c r="H711" s="20"/>
      <c r="I711" s="21"/>
      <c r="J711" s="28"/>
      <c r="K711" s="19"/>
    </row>
    <row r="712" spans="1:11" ht="13.2">
      <c r="A712" s="22"/>
      <c r="B712" s="16"/>
      <c r="C712" s="23"/>
      <c r="D712" s="24"/>
      <c r="E712" s="25"/>
      <c r="F712" s="26"/>
      <c r="G712" s="27"/>
      <c r="H712" s="20"/>
      <c r="I712" s="21"/>
      <c r="J712" s="28"/>
      <c r="K712" s="19"/>
    </row>
    <row r="713" spans="1:11" ht="13.2">
      <c r="A713" s="22"/>
      <c r="B713" s="16"/>
      <c r="C713" s="23"/>
      <c r="D713" s="24"/>
      <c r="E713" s="25"/>
      <c r="F713" s="26"/>
      <c r="G713" s="27"/>
      <c r="H713" s="20"/>
      <c r="I713" s="21"/>
      <c r="J713" s="28"/>
      <c r="K713" s="19"/>
    </row>
    <row r="714" spans="1:11" ht="13.2">
      <c r="A714" s="22"/>
      <c r="B714" s="16"/>
      <c r="C714" s="23"/>
      <c r="D714" s="24"/>
      <c r="E714" s="25"/>
      <c r="F714" s="26"/>
      <c r="G714" s="27"/>
      <c r="H714" s="20"/>
      <c r="I714" s="21"/>
      <c r="J714" s="28"/>
      <c r="K714" s="19"/>
    </row>
    <row r="715" spans="1:11" ht="13.2">
      <c r="A715" s="22"/>
      <c r="B715" s="16"/>
      <c r="C715" s="23"/>
      <c r="D715" s="24"/>
      <c r="E715" s="25"/>
      <c r="F715" s="26"/>
      <c r="G715" s="27"/>
      <c r="H715" s="20"/>
      <c r="I715" s="21"/>
      <c r="J715" s="28"/>
      <c r="K715" s="19"/>
    </row>
    <row r="716" spans="1:11" ht="13.2">
      <c r="A716" s="22"/>
      <c r="B716" s="16"/>
      <c r="C716" s="23"/>
      <c r="D716" s="24"/>
      <c r="E716" s="25"/>
      <c r="F716" s="26"/>
      <c r="G716" s="27"/>
      <c r="H716" s="20"/>
      <c r="I716" s="21"/>
      <c r="J716" s="28"/>
      <c r="K716" s="19"/>
    </row>
    <row r="717" spans="1:11" ht="13.2">
      <c r="A717" s="22"/>
      <c r="B717" s="16"/>
      <c r="C717" s="23"/>
      <c r="D717" s="24"/>
      <c r="E717" s="25"/>
      <c r="F717" s="26"/>
      <c r="G717" s="27"/>
      <c r="H717" s="20"/>
      <c r="I717" s="21"/>
      <c r="J717" s="28"/>
      <c r="K717" s="19"/>
    </row>
    <row r="718" spans="1:11" ht="13.2">
      <c r="A718" s="22"/>
      <c r="B718" s="16"/>
      <c r="C718" s="23"/>
      <c r="D718" s="24"/>
      <c r="E718" s="25"/>
      <c r="F718" s="26"/>
      <c r="G718" s="27"/>
      <c r="H718" s="20"/>
      <c r="I718" s="21"/>
      <c r="J718" s="28"/>
      <c r="K718" s="19"/>
    </row>
    <row r="719" spans="1:11" ht="13.2">
      <c r="A719" s="22"/>
      <c r="B719" s="16"/>
      <c r="C719" s="23"/>
      <c r="D719" s="24"/>
      <c r="E719" s="25"/>
      <c r="F719" s="26"/>
      <c r="G719" s="27"/>
      <c r="H719" s="20"/>
      <c r="I719" s="21"/>
      <c r="J719" s="28"/>
      <c r="K719" s="19"/>
    </row>
    <row r="720" spans="1:11" ht="13.2">
      <c r="A720" s="22"/>
      <c r="B720" s="16"/>
      <c r="C720" s="23"/>
      <c r="D720" s="24"/>
      <c r="E720" s="25"/>
      <c r="F720" s="26"/>
      <c r="G720" s="27"/>
      <c r="H720" s="20"/>
      <c r="I720" s="21"/>
      <c r="J720" s="28"/>
      <c r="K720" s="19"/>
    </row>
    <row r="721" spans="1:11" ht="13.2">
      <c r="A721" s="22"/>
      <c r="B721" s="16"/>
      <c r="C721" s="23"/>
      <c r="D721" s="24"/>
      <c r="E721" s="25"/>
      <c r="F721" s="26"/>
      <c r="G721" s="27"/>
      <c r="H721" s="20"/>
      <c r="I721" s="21"/>
      <c r="J721" s="28"/>
      <c r="K721" s="19"/>
    </row>
    <row r="722" spans="1:11" ht="13.2">
      <c r="A722" s="22"/>
      <c r="B722" s="16"/>
      <c r="C722" s="23"/>
      <c r="D722" s="24"/>
      <c r="E722" s="25"/>
      <c r="F722" s="26"/>
      <c r="G722" s="27"/>
      <c r="H722" s="20"/>
      <c r="I722" s="21"/>
      <c r="J722" s="28"/>
      <c r="K722" s="19"/>
    </row>
    <row r="723" spans="1:11" ht="13.2">
      <c r="A723" s="22"/>
      <c r="B723" s="16"/>
      <c r="C723" s="23"/>
      <c r="D723" s="24"/>
      <c r="E723" s="25"/>
      <c r="F723" s="26"/>
      <c r="G723" s="27"/>
      <c r="H723" s="20"/>
      <c r="I723" s="21"/>
      <c r="J723" s="28"/>
      <c r="K723" s="19"/>
    </row>
    <row r="724" spans="1:11" ht="13.2">
      <c r="A724" s="22"/>
      <c r="B724" s="16"/>
      <c r="C724" s="23"/>
      <c r="D724" s="24"/>
      <c r="E724" s="25"/>
      <c r="F724" s="26"/>
      <c r="G724" s="27"/>
      <c r="H724" s="20"/>
      <c r="I724" s="21"/>
      <c r="J724" s="28"/>
      <c r="K724" s="19"/>
    </row>
    <row r="725" spans="1:11" ht="13.2">
      <c r="A725" s="22"/>
      <c r="B725" s="16"/>
      <c r="C725" s="23"/>
      <c r="D725" s="24"/>
      <c r="E725" s="25"/>
      <c r="F725" s="26"/>
      <c r="G725" s="27"/>
      <c r="H725" s="20"/>
      <c r="I725" s="21"/>
      <c r="J725" s="28"/>
      <c r="K725" s="19"/>
    </row>
    <row r="726" spans="1:11" ht="13.2">
      <c r="A726" s="22"/>
      <c r="B726" s="16"/>
      <c r="C726" s="23"/>
      <c r="D726" s="24"/>
      <c r="E726" s="25"/>
      <c r="F726" s="26"/>
      <c r="G726" s="27"/>
      <c r="H726" s="20"/>
      <c r="I726" s="21"/>
      <c r="J726" s="28"/>
      <c r="K726" s="19"/>
    </row>
    <row r="727" spans="1:11" ht="13.2">
      <c r="A727" s="22"/>
      <c r="B727" s="16"/>
      <c r="C727" s="23"/>
      <c r="D727" s="24"/>
      <c r="E727" s="25"/>
      <c r="F727" s="26"/>
      <c r="G727" s="27"/>
      <c r="H727" s="20"/>
      <c r="I727" s="21"/>
      <c r="J727" s="28"/>
      <c r="K727" s="19"/>
    </row>
    <row r="728" spans="1:11" ht="13.2">
      <c r="A728" s="22"/>
      <c r="B728" s="16"/>
      <c r="C728" s="23"/>
      <c r="D728" s="24"/>
      <c r="E728" s="25"/>
      <c r="F728" s="26"/>
      <c r="G728" s="27"/>
      <c r="H728" s="20"/>
      <c r="I728" s="21"/>
      <c r="J728" s="28"/>
      <c r="K728" s="19"/>
    </row>
    <row r="729" spans="1:11" ht="13.2">
      <c r="A729" s="22"/>
      <c r="B729" s="16"/>
      <c r="C729" s="23"/>
      <c r="D729" s="24"/>
      <c r="E729" s="25"/>
      <c r="F729" s="26"/>
      <c r="G729" s="27"/>
      <c r="H729" s="20"/>
      <c r="I729" s="21"/>
      <c r="J729" s="28"/>
      <c r="K729" s="19"/>
    </row>
    <row r="730" spans="1:11" ht="13.2">
      <c r="A730" s="22"/>
      <c r="B730" s="16"/>
      <c r="C730" s="23"/>
      <c r="D730" s="24"/>
      <c r="E730" s="25"/>
      <c r="F730" s="26"/>
      <c r="G730" s="27"/>
      <c r="H730" s="20"/>
      <c r="I730" s="21"/>
      <c r="J730" s="28"/>
      <c r="K730" s="19"/>
    </row>
    <row r="731" spans="1:11" ht="13.2">
      <c r="A731" s="22"/>
      <c r="B731" s="16"/>
      <c r="C731" s="23"/>
      <c r="D731" s="24"/>
      <c r="E731" s="25"/>
      <c r="F731" s="26"/>
      <c r="G731" s="27"/>
      <c r="H731" s="20"/>
      <c r="I731" s="21"/>
      <c r="J731" s="28"/>
      <c r="K731" s="19"/>
    </row>
    <row r="732" spans="1:11" ht="13.2">
      <c r="A732" s="22"/>
      <c r="B732" s="16"/>
      <c r="C732" s="23"/>
      <c r="D732" s="24"/>
      <c r="E732" s="25"/>
      <c r="F732" s="26"/>
      <c r="G732" s="27"/>
      <c r="H732" s="20"/>
      <c r="I732" s="21"/>
      <c r="J732" s="28"/>
      <c r="K732" s="19"/>
    </row>
    <row r="733" spans="1:11" ht="13.2">
      <c r="A733" s="22"/>
      <c r="B733" s="16"/>
      <c r="C733" s="23"/>
      <c r="D733" s="24"/>
      <c r="E733" s="25"/>
      <c r="F733" s="26"/>
      <c r="G733" s="27"/>
      <c r="H733" s="20"/>
      <c r="I733" s="21"/>
      <c r="J733" s="28"/>
      <c r="K733" s="19"/>
    </row>
    <row r="734" spans="1:11" ht="13.2">
      <c r="A734" s="22"/>
      <c r="B734" s="16"/>
      <c r="C734" s="23"/>
      <c r="D734" s="24"/>
      <c r="E734" s="25"/>
      <c r="F734" s="26"/>
      <c r="G734" s="27"/>
      <c r="H734" s="20"/>
      <c r="I734" s="21"/>
      <c r="J734" s="28"/>
      <c r="K734" s="19"/>
    </row>
    <row r="735" spans="1:11" ht="13.2">
      <c r="A735" s="22"/>
      <c r="B735" s="16"/>
      <c r="C735" s="23"/>
      <c r="D735" s="24"/>
      <c r="E735" s="25"/>
      <c r="F735" s="26"/>
      <c r="G735" s="27"/>
      <c r="H735" s="20"/>
      <c r="I735" s="21"/>
      <c r="J735" s="28"/>
      <c r="K735" s="19"/>
    </row>
    <row r="736" spans="1:11" ht="13.2">
      <c r="A736" s="22"/>
      <c r="B736" s="16"/>
      <c r="C736" s="23"/>
      <c r="D736" s="24"/>
      <c r="E736" s="25"/>
      <c r="F736" s="26"/>
      <c r="G736" s="27"/>
      <c r="H736" s="20"/>
      <c r="I736" s="21"/>
      <c r="J736" s="28"/>
      <c r="K736" s="19"/>
    </row>
    <row r="737" spans="1:11" ht="13.2">
      <c r="A737" s="22"/>
      <c r="B737" s="16"/>
      <c r="C737" s="23"/>
      <c r="D737" s="24"/>
      <c r="E737" s="25"/>
      <c r="F737" s="26"/>
      <c r="G737" s="27"/>
      <c r="H737" s="20"/>
      <c r="I737" s="21"/>
      <c r="J737" s="28"/>
      <c r="K737" s="19"/>
    </row>
    <row r="738" spans="1:11" ht="13.2">
      <c r="A738" s="22"/>
      <c r="B738" s="16"/>
      <c r="C738" s="23"/>
      <c r="D738" s="24"/>
      <c r="E738" s="25"/>
      <c r="F738" s="26"/>
      <c r="G738" s="27"/>
      <c r="H738" s="20"/>
      <c r="I738" s="21"/>
      <c r="J738" s="28"/>
      <c r="K738" s="19"/>
    </row>
    <row r="739" spans="1:11" ht="13.2">
      <c r="A739" s="22"/>
      <c r="B739" s="16"/>
      <c r="C739" s="23"/>
      <c r="D739" s="24"/>
      <c r="E739" s="25"/>
      <c r="F739" s="26"/>
      <c r="G739" s="27"/>
      <c r="H739" s="20"/>
      <c r="I739" s="21"/>
      <c r="J739" s="28"/>
      <c r="K739" s="19"/>
    </row>
    <row r="740" spans="1:11" ht="13.2">
      <c r="A740" s="22"/>
      <c r="B740" s="16"/>
      <c r="C740" s="23"/>
      <c r="D740" s="24"/>
      <c r="E740" s="25"/>
      <c r="F740" s="26"/>
      <c r="G740" s="27"/>
      <c r="H740" s="20"/>
      <c r="I740" s="21"/>
      <c r="J740" s="28"/>
      <c r="K740" s="19"/>
    </row>
    <row r="741" spans="1:11" ht="13.2">
      <c r="A741" s="22"/>
      <c r="B741" s="16"/>
      <c r="C741" s="23"/>
      <c r="D741" s="24"/>
      <c r="E741" s="25"/>
      <c r="F741" s="26"/>
      <c r="G741" s="27"/>
      <c r="H741" s="20"/>
      <c r="I741" s="21"/>
      <c r="J741" s="28"/>
      <c r="K741" s="19"/>
    </row>
    <row r="742" spans="1:11" ht="13.2">
      <c r="A742" s="22"/>
      <c r="B742" s="16"/>
      <c r="C742" s="23"/>
      <c r="D742" s="24"/>
      <c r="E742" s="25"/>
      <c r="F742" s="26"/>
      <c r="G742" s="27"/>
      <c r="H742" s="20"/>
      <c r="I742" s="21"/>
      <c r="J742" s="28"/>
      <c r="K742" s="19"/>
    </row>
    <row r="743" spans="1:11" ht="13.2">
      <c r="A743" s="22"/>
      <c r="B743" s="16"/>
      <c r="C743" s="23"/>
      <c r="D743" s="24"/>
      <c r="E743" s="25"/>
      <c r="F743" s="26"/>
      <c r="G743" s="27"/>
      <c r="H743" s="20"/>
      <c r="I743" s="21"/>
      <c r="J743" s="28"/>
      <c r="K743" s="19"/>
    </row>
    <row r="744" spans="1:11" ht="13.2">
      <c r="A744" s="22"/>
      <c r="B744" s="16"/>
      <c r="C744" s="23"/>
      <c r="D744" s="24"/>
      <c r="E744" s="25"/>
      <c r="F744" s="26"/>
      <c r="G744" s="27"/>
      <c r="H744" s="20"/>
      <c r="I744" s="21"/>
      <c r="J744" s="28"/>
      <c r="K744" s="19"/>
    </row>
    <row r="745" spans="1:11" ht="13.2">
      <c r="A745" s="22"/>
      <c r="B745" s="16"/>
      <c r="C745" s="23"/>
      <c r="D745" s="24"/>
      <c r="E745" s="25"/>
      <c r="F745" s="26"/>
      <c r="G745" s="27"/>
      <c r="H745" s="20"/>
      <c r="I745" s="21"/>
      <c r="J745" s="28"/>
      <c r="K745" s="19"/>
    </row>
    <row r="746" spans="1:11" ht="13.2">
      <c r="A746" s="22"/>
      <c r="B746" s="16"/>
      <c r="C746" s="23"/>
      <c r="D746" s="24"/>
      <c r="E746" s="25"/>
      <c r="F746" s="26"/>
      <c r="G746" s="27"/>
      <c r="H746" s="20"/>
      <c r="I746" s="21"/>
      <c r="J746" s="28"/>
      <c r="K746" s="19"/>
    </row>
    <row r="747" spans="1:11" ht="13.2">
      <c r="A747" s="22"/>
      <c r="B747" s="16"/>
      <c r="C747" s="23"/>
      <c r="D747" s="24"/>
      <c r="E747" s="25"/>
      <c r="F747" s="26"/>
      <c r="G747" s="27"/>
      <c r="H747" s="20"/>
      <c r="I747" s="21"/>
      <c r="J747" s="28"/>
      <c r="K747" s="19"/>
    </row>
    <row r="748" spans="1:11" ht="13.2">
      <c r="A748" s="22"/>
      <c r="B748" s="16"/>
      <c r="C748" s="23"/>
      <c r="D748" s="24"/>
      <c r="E748" s="25"/>
      <c r="F748" s="26"/>
      <c r="G748" s="27"/>
      <c r="H748" s="20"/>
      <c r="I748" s="21"/>
      <c r="J748" s="28"/>
      <c r="K748" s="19"/>
    </row>
    <row r="749" spans="1:11" ht="13.2">
      <c r="A749" s="22"/>
      <c r="B749" s="16"/>
      <c r="C749" s="23"/>
      <c r="D749" s="24"/>
      <c r="E749" s="25"/>
      <c r="F749" s="26"/>
      <c r="G749" s="27"/>
      <c r="H749" s="20"/>
      <c r="I749" s="21"/>
      <c r="J749" s="28"/>
      <c r="K749" s="19"/>
    </row>
    <row r="750" spans="1:11" ht="13.2">
      <c r="A750" s="22"/>
      <c r="B750" s="16"/>
      <c r="C750" s="23"/>
      <c r="D750" s="24"/>
      <c r="E750" s="25"/>
      <c r="F750" s="26"/>
      <c r="G750" s="27"/>
      <c r="H750" s="20"/>
      <c r="I750" s="21"/>
      <c r="J750" s="28"/>
      <c r="K750" s="19"/>
    </row>
    <row r="751" spans="1:11" ht="13.2">
      <c r="A751" s="22"/>
      <c r="B751" s="16"/>
      <c r="C751" s="23"/>
      <c r="D751" s="24"/>
      <c r="E751" s="25"/>
      <c r="F751" s="26"/>
      <c r="G751" s="27"/>
      <c r="H751" s="20"/>
      <c r="I751" s="21"/>
      <c r="J751" s="28"/>
      <c r="K751" s="19"/>
    </row>
    <row r="752" spans="1:11" ht="13.2">
      <c r="A752" s="22"/>
      <c r="B752" s="16"/>
      <c r="C752" s="23"/>
      <c r="D752" s="24"/>
      <c r="E752" s="25"/>
      <c r="F752" s="26"/>
      <c r="G752" s="27"/>
      <c r="H752" s="20"/>
      <c r="I752" s="21"/>
      <c r="J752" s="28"/>
      <c r="K752" s="19"/>
    </row>
    <row r="753" spans="1:11" ht="13.2">
      <c r="A753" s="22"/>
      <c r="B753" s="16"/>
      <c r="C753" s="23"/>
      <c r="D753" s="24"/>
      <c r="E753" s="25"/>
      <c r="F753" s="26"/>
      <c r="G753" s="27"/>
      <c r="H753" s="20"/>
      <c r="I753" s="21"/>
      <c r="J753" s="28"/>
      <c r="K753" s="19"/>
    </row>
    <row r="754" spans="1:11" ht="13.2">
      <c r="A754" s="22"/>
      <c r="B754" s="16"/>
      <c r="C754" s="23"/>
      <c r="D754" s="24"/>
      <c r="E754" s="25"/>
      <c r="F754" s="26"/>
      <c r="G754" s="27"/>
      <c r="H754" s="20"/>
      <c r="I754" s="21"/>
      <c r="J754" s="28"/>
      <c r="K754" s="19"/>
    </row>
    <row r="755" spans="1:11" ht="13.2">
      <c r="A755" s="22"/>
      <c r="B755" s="16"/>
      <c r="C755" s="23"/>
      <c r="D755" s="24"/>
      <c r="E755" s="25"/>
      <c r="F755" s="26"/>
      <c r="G755" s="27"/>
      <c r="H755" s="20"/>
      <c r="I755" s="21"/>
      <c r="J755" s="28"/>
      <c r="K755" s="19"/>
    </row>
    <row r="756" spans="1:11" ht="13.2">
      <c r="A756" s="22"/>
      <c r="B756" s="16"/>
      <c r="C756" s="23"/>
      <c r="D756" s="24"/>
      <c r="E756" s="25"/>
      <c r="F756" s="26"/>
      <c r="G756" s="27"/>
      <c r="H756" s="20"/>
      <c r="I756" s="21"/>
      <c r="J756" s="28"/>
      <c r="K756" s="19"/>
    </row>
    <row r="757" spans="1:11" ht="13.2">
      <c r="A757" s="22"/>
      <c r="B757" s="16"/>
      <c r="C757" s="23"/>
      <c r="D757" s="24"/>
      <c r="E757" s="25"/>
      <c r="F757" s="26"/>
      <c r="G757" s="27"/>
      <c r="H757" s="20"/>
      <c r="I757" s="21"/>
      <c r="J757" s="28"/>
      <c r="K757" s="19"/>
    </row>
    <row r="758" spans="1:11" ht="13.2">
      <c r="A758" s="22"/>
      <c r="B758" s="16"/>
      <c r="C758" s="23"/>
      <c r="D758" s="24"/>
      <c r="E758" s="25"/>
      <c r="F758" s="26"/>
      <c r="G758" s="27"/>
      <c r="H758" s="20"/>
      <c r="I758" s="21"/>
      <c r="J758" s="28"/>
      <c r="K758" s="19"/>
    </row>
    <row r="759" spans="1:11" ht="13.2">
      <c r="A759" s="22"/>
      <c r="B759" s="16"/>
      <c r="C759" s="23"/>
      <c r="D759" s="24"/>
      <c r="E759" s="25"/>
      <c r="F759" s="26"/>
      <c r="G759" s="27"/>
      <c r="H759" s="20"/>
      <c r="I759" s="21"/>
      <c r="J759" s="28"/>
      <c r="K759" s="19"/>
    </row>
    <row r="760" spans="1:11" ht="13.2">
      <c r="A760" s="22"/>
      <c r="B760" s="16"/>
      <c r="C760" s="23"/>
      <c r="D760" s="24"/>
      <c r="E760" s="25"/>
      <c r="F760" s="26"/>
      <c r="G760" s="27"/>
      <c r="H760" s="20"/>
      <c r="I760" s="21"/>
      <c r="J760" s="28"/>
      <c r="K760" s="19"/>
    </row>
    <row r="761" spans="1:11" ht="13.2">
      <c r="A761" s="22"/>
      <c r="B761" s="16"/>
      <c r="C761" s="23"/>
      <c r="D761" s="24"/>
      <c r="E761" s="25"/>
      <c r="F761" s="26"/>
      <c r="G761" s="27"/>
      <c r="H761" s="20"/>
      <c r="I761" s="21"/>
      <c r="J761" s="28"/>
      <c r="K761" s="19"/>
    </row>
    <row r="762" spans="1:11" ht="13.2">
      <c r="A762" s="22"/>
      <c r="B762" s="16"/>
      <c r="C762" s="23"/>
      <c r="D762" s="24"/>
      <c r="E762" s="25"/>
      <c r="F762" s="26"/>
      <c r="G762" s="27"/>
      <c r="H762" s="20"/>
      <c r="I762" s="21"/>
      <c r="J762" s="28"/>
      <c r="K762" s="19"/>
    </row>
    <row r="763" spans="1:11" ht="13.2">
      <c r="A763" s="22"/>
      <c r="B763" s="16"/>
      <c r="C763" s="23"/>
      <c r="D763" s="24"/>
      <c r="E763" s="25"/>
      <c r="F763" s="26"/>
      <c r="G763" s="27"/>
      <c r="H763" s="20"/>
      <c r="I763" s="21"/>
      <c r="J763" s="28"/>
      <c r="K763" s="19"/>
    </row>
    <row r="764" spans="1:11" ht="13.2">
      <c r="A764" s="22"/>
      <c r="B764" s="16"/>
      <c r="C764" s="23"/>
      <c r="D764" s="24"/>
      <c r="E764" s="25"/>
      <c r="F764" s="26"/>
      <c r="G764" s="27"/>
      <c r="H764" s="20"/>
      <c r="I764" s="21"/>
      <c r="J764" s="28"/>
      <c r="K764" s="19"/>
    </row>
    <row r="765" spans="1:11" ht="13.2">
      <c r="A765" s="22"/>
      <c r="B765" s="16"/>
      <c r="C765" s="23"/>
      <c r="D765" s="24"/>
      <c r="E765" s="25"/>
      <c r="F765" s="26"/>
      <c r="G765" s="27"/>
      <c r="H765" s="20"/>
      <c r="I765" s="21"/>
      <c r="J765" s="28"/>
      <c r="K765" s="19"/>
    </row>
    <row r="766" spans="1:11" ht="13.2">
      <c r="A766" s="22"/>
      <c r="B766" s="16"/>
      <c r="C766" s="23"/>
      <c r="D766" s="24"/>
      <c r="E766" s="25"/>
      <c r="F766" s="26"/>
      <c r="G766" s="27"/>
      <c r="H766" s="20"/>
      <c r="I766" s="21"/>
      <c r="J766" s="28"/>
      <c r="K766" s="19"/>
    </row>
    <row r="767" spans="1:11" ht="13.2">
      <c r="A767" s="22"/>
      <c r="B767" s="16"/>
      <c r="C767" s="23"/>
      <c r="D767" s="24"/>
      <c r="E767" s="25"/>
      <c r="F767" s="26"/>
      <c r="G767" s="27"/>
      <c r="H767" s="20"/>
      <c r="I767" s="21"/>
      <c r="J767" s="28"/>
      <c r="K767" s="19"/>
    </row>
    <row r="768" spans="1:11" ht="13.2">
      <c r="A768" s="22"/>
      <c r="B768" s="16"/>
      <c r="C768" s="23"/>
      <c r="D768" s="24"/>
      <c r="E768" s="25"/>
      <c r="F768" s="26"/>
      <c r="G768" s="27"/>
      <c r="H768" s="20"/>
      <c r="I768" s="21"/>
      <c r="J768" s="28"/>
      <c r="K768" s="19"/>
    </row>
    <row r="769" spans="1:11" ht="13.2">
      <c r="A769" s="22"/>
      <c r="B769" s="16"/>
      <c r="C769" s="23"/>
      <c r="D769" s="24"/>
      <c r="E769" s="25"/>
      <c r="F769" s="26"/>
      <c r="G769" s="27"/>
      <c r="H769" s="20"/>
      <c r="I769" s="21"/>
      <c r="J769" s="28"/>
      <c r="K769" s="19"/>
    </row>
    <row r="770" spans="1:11" ht="13.2">
      <c r="A770" s="22"/>
      <c r="B770" s="16"/>
      <c r="C770" s="23"/>
      <c r="D770" s="24"/>
      <c r="E770" s="25"/>
      <c r="F770" s="26"/>
      <c r="G770" s="27"/>
      <c r="H770" s="20"/>
      <c r="I770" s="21"/>
      <c r="J770" s="28"/>
      <c r="K770" s="19"/>
    </row>
    <row r="771" spans="1:11" ht="13.2">
      <c r="A771" s="22"/>
      <c r="B771" s="16"/>
      <c r="C771" s="23"/>
      <c r="D771" s="24"/>
      <c r="E771" s="25"/>
      <c r="F771" s="26"/>
      <c r="G771" s="27"/>
      <c r="H771" s="20"/>
      <c r="I771" s="21"/>
      <c r="J771" s="28"/>
      <c r="K771" s="19"/>
    </row>
    <row r="772" spans="1:11" ht="13.2">
      <c r="A772" s="22"/>
      <c r="B772" s="16"/>
      <c r="C772" s="23"/>
      <c r="D772" s="24"/>
      <c r="E772" s="25"/>
      <c r="F772" s="26"/>
      <c r="G772" s="27"/>
      <c r="H772" s="20"/>
      <c r="I772" s="21"/>
      <c r="J772" s="28"/>
      <c r="K772" s="19"/>
    </row>
    <row r="773" spans="1:11" ht="13.2">
      <c r="A773" s="22"/>
      <c r="B773" s="16"/>
      <c r="C773" s="23"/>
      <c r="D773" s="24"/>
      <c r="E773" s="25"/>
      <c r="F773" s="26"/>
      <c r="G773" s="27"/>
      <c r="H773" s="20"/>
      <c r="I773" s="21"/>
      <c r="J773" s="28"/>
      <c r="K773" s="19"/>
    </row>
    <row r="774" spans="1:11" ht="13.2">
      <c r="A774" s="22"/>
      <c r="B774" s="16"/>
      <c r="C774" s="23"/>
      <c r="D774" s="24"/>
      <c r="E774" s="25"/>
      <c r="F774" s="26"/>
      <c r="G774" s="27"/>
      <c r="H774" s="20"/>
      <c r="I774" s="21"/>
      <c r="J774" s="28"/>
      <c r="K774" s="19"/>
    </row>
    <row r="775" spans="1:11" ht="13.2">
      <c r="A775" s="22"/>
      <c r="B775" s="16"/>
      <c r="C775" s="23"/>
      <c r="D775" s="24"/>
      <c r="E775" s="25"/>
      <c r="F775" s="26"/>
      <c r="G775" s="27"/>
      <c r="H775" s="20"/>
      <c r="I775" s="21"/>
      <c r="J775" s="28"/>
      <c r="K775" s="19"/>
    </row>
    <row r="776" spans="1:11" ht="13.2">
      <c r="A776" s="22"/>
      <c r="B776" s="16"/>
      <c r="C776" s="23"/>
      <c r="D776" s="24"/>
      <c r="E776" s="25"/>
      <c r="F776" s="26"/>
      <c r="G776" s="27"/>
      <c r="H776" s="20"/>
      <c r="I776" s="21"/>
      <c r="J776" s="28"/>
      <c r="K776" s="19"/>
    </row>
    <row r="777" spans="1:11" ht="13.2">
      <c r="A777" s="22"/>
      <c r="B777" s="16"/>
      <c r="C777" s="23"/>
      <c r="D777" s="24"/>
      <c r="E777" s="25"/>
      <c r="F777" s="26"/>
      <c r="G777" s="27"/>
      <c r="H777" s="20"/>
      <c r="I777" s="21"/>
      <c r="J777" s="28"/>
      <c r="K777" s="19"/>
    </row>
    <row r="778" spans="1:11" ht="13.2">
      <c r="A778" s="22"/>
      <c r="B778" s="16"/>
      <c r="C778" s="23"/>
      <c r="D778" s="24"/>
      <c r="E778" s="25"/>
      <c r="F778" s="26"/>
      <c r="G778" s="27"/>
      <c r="H778" s="20"/>
      <c r="I778" s="21"/>
      <c r="J778" s="28"/>
      <c r="K778" s="19"/>
    </row>
    <row r="779" spans="1:11" ht="13.2">
      <c r="A779" s="22"/>
      <c r="B779" s="16"/>
      <c r="C779" s="23"/>
      <c r="D779" s="24"/>
      <c r="E779" s="25"/>
      <c r="F779" s="26"/>
      <c r="G779" s="27"/>
      <c r="H779" s="20"/>
      <c r="I779" s="21"/>
      <c r="J779" s="28"/>
      <c r="K779" s="19"/>
    </row>
    <row r="780" spans="1:11" ht="13.2">
      <c r="A780" s="22"/>
      <c r="B780" s="16"/>
      <c r="C780" s="23"/>
      <c r="D780" s="24"/>
      <c r="E780" s="25"/>
      <c r="F780" s="26"/>
      <c r="G780" s="27"/>
      <c r="H780" s="20"/>
      <c r="I780" s="21"/>
      <c r="J780" s="28"/>
      <c r="K780" s="19"/>
    </row>
    <row r="781" spans="1:11" ht="13.2">
      <c r="A781" s="22"/>
      <c r="B781" s="16"/>
      <c r="C781" s="23"/>
      <c r="D781" s="24"/>
      <c r="E781" s="25"/>
      <c r="F781" s="26"/>
      <c r="G781" s="27"/>
      <c r="H781" s="20"/>
      <c r="I781" s="21"/>
      <c r="J781" s="28"/>
      <c r="K781" s="19"/>
    </row>
    <row r="782" spans="1:11" ht="13.2">
      <c r="A782" s="22"/>
      <c r="B782" s="16"/>
      <c r="C782" s="23"/>
      <c r="D782" s="24"/>
      <c r="E782" s="25"/>
      <c r="F782" s="26"/>
      <c r="G782" s="27"/>
      <c r="H782" s="20"/>
      <c r="I782" s="21"/>
      <c r="J782" s="28"/>
      <c r="K782" s="19"/>
    </row>
    <row r="783" spans="1:11" ht="13.2">
      <c r="A783" s="22"/>
      <c r="B783" s="16"/>
      <c r="C783" s="23"/>
      <c r="D783" s="24"/>
      <c r="E783" s="25"/>
      <c r="F783" s="26"/>
      <c r="G783" s="27"/>
      <c r="H783" s="20"/>
      <c r="I783" s="21"/>
      <c r="J783" s="28"/>
      <c r="K783" s="19"/>
    </row>
    <row r="784" spans="1:11" ht="13.2">
      <c r="A784" s="22"/>
      <c r="B784" s="16"/>
      <c r="C784" s="23"/>
      <c r="D784" s="24"/>
      <c r="E784" s="25"/>
      <c r="F784" s="26"/>
      <c r="G784" s="27"/>
      <c r="H784" s="20"/>
      <c r="I784" s="21"/>
      <c r="J784" s="28"/>
      <c r="K784" s="19"/>
    </row>
    <row r="785" spans="1:11" ht="13.2">
      <c r="A785" s="22"/>
      <c r="B785" s="16"/>
      <c r="C785" s="23"/>
      <c r="D785" s="24"/>
      <c r="E785" s="25"/>
      <c r="F785" s="26"/>
      <c r="G785" s="27"/>
      <c r="H785" s="20"/>
      <c r="I785" s="21"/>
      <c r="J785" s="28"/>
      <c r="K785" s="19"/>
    </row>
    <row r="786" spans="1:11" ht="13.2">
      <c r="A786" s="22"/>
      <c r="B786" s="16"/>
      <c r="C786" s="23"/>
      <c r="D786" s="24"/>
      <c r="E786" s="25"/>
      <c r="F786" s="26"/>
      <c r="G786" s="27"/>
      <c r="H786" s="20"/>
      <c r="I786" s="21"/>
      <c r="J786" s="28"/>
      <c r="K786" s="19"/>
    </row>
    <row r="787" spans="1:11" ht="13.2">
      <c r="A787" s="22"/>
      <c r="B787" s="16"/>
      <c r="C787" s="23"/>
      <c r="D787" s="24"/>
      <c r="E787" s="25"/>
      <c r="F787" s="26"/>
      <c r="G787" s="27"/>
      <c r="H787" s="20"/>
      <c r="I787" s="21"/>
      <c r="J787" s="28"/>
      <c r="K787" s="19"/>
    </row>
    <row r="788" spans="1:11" ht="13.2">
      <c r="A788" s="22"/>
      <c r="B788" s="16"/>
      <c r="C788" s="23"/>
      <c r="D788" s="24"/>
      <c r="E788" s="25"/>
      <c r="F788" s="26"/>
      <c r="G788" s="27"/>
      <c r="H788" s="20"/>
      <c r="I788" s="21"/>
      <c r="J788" s="28"/>
      <c r="K788" s="19"/>
    </row>
    <row r="789" spans="1:11" ht="13.2">
      <c r="A789" s="22"/>
      <c r="B789" s="16"/>
      <c r="C789" s="23"/>
      <c r="D789" s="24"/>
      <c r="E789" s="25"/>
      <c r="F789" s="26"/>
      <c r="G789" s="27"/>
      <c r="H789" s="20"/>
      <c r="I789" s="21"/>
      <c r="J789" s="28"/>
      <c r="K789" s="19"/>
    </row>
    <row r="790" spans="1:11" ht="13.2">
      <c r="A790" s="22"/>
      <c r="B790" s="16"/>
      <c r="C790" s="23"/>
      <c r="D790" s="24"/>
      <c r="E790" s="25"/>
      <c r="F790" s="26"/>
      <c r="G790" s="27"/>
      <c r="H790" s="20"/>
      <c r="I790" s="21"/>
      <c r="J790" s="28"/>
      <c r="K790" s="19"/>
    </row>
    <row r="791" spans="1:11" ht="13.2">
      <c r="A791" s="22"/>
      <c r="B791" s="16"/>
      <c r="C791" s="23"/>
      <c r="D791" s="24"/>
      <c r="E791" s="25"/>
      <c r="F791" s="26"/>
      <c r="G791" s="27"/>
      <c r="H791" s="20"/>
      <c r="I791" s="21"/>
      <c r="J791" s="28"/>
      <c r="K791" s="19"/>
    </row>
    <row r="792" spans="1:11" ht="13.2">
      <c r="A792" s="22"/>
      <c r="B792" s="16"/>
      <c r="C792" s="23"/>
      <c r="D792" s="24"/>
      <c r="E792" s="25"/>
      <c r="F792" s="26"/>
      <c r="G792" s="27"/>
      <c r="H792" s="20"/>
      <c r="I792" s="21"/>
      <c r="J792" s="28"/>
      <c r="K792" s="19"/>
    </row>
    <row r="793" spans="1:11" ht="13.2">
      <c r="A793" s="22"/>
      <c r="B793" s="16"/>
      <c r="C793" s="23"/>
      <c r="D793" s="24"/>
      <c r="E793" s="25"/>
      <c r="F793" s="26"/>
      <c r="G793" s="27"/>
      <c r="H793" s="20"/>
      <c r="I793" s="21"/>
      <c r="J793" s="28"/>
      <c r="K793" s="19"/>
    </row>
    <row r="794" spans="1:11" ht="13.2">
      <c r="A794" s="22"/>
      <c r="B794" s="16"/>
      <c r="C794" s="23"/>
      <c r="D794" s="24"/>
      <c r="E794" s="25"/>
      <c r="F794" s="26"/>
      <c r="G794" s="27"/>
      <c r="H794" s="20"/>
      <c r="I794" s="21"/>
      <c r="J794" s="28"/>
      <c r="K794" s="19"/>
    </row>
    <row r="795" spans="1:11" ht="13.2">
      <c r="A795" s="22"/>
      <c r="B795" s="16"/>
      <c r="C795" s="23"/>
      <c r="D795" s="24"/>
      <c r="E795" s="25"/>
      <c r="F795" s="26"/>
      <c r="G795" s="27"/>
      <c r="H795" s="20"/>
      <c r="I795" s="21"/>
      <c r="J795" s="28"/>
      <c r="K795" s="19"/>
    </row>
    <row r="796" spans="1:11" ht="13.2">
      <c r="A796" s="22"/>
      <c r="B796" s="16"/>
      <c r="C796" s="23"/>
      <c r="D796" s="24"/>
      <c r="E796" s="25"/>
      <c r="F796" s="26"/>
      <c r="G796" s="27"/>
      <c r="H796" s="20"/>
      <c r="I796" s="21"/>
      <c r="J796" s="28"/>
      <c r="K796" s="19"/>
    </row>
    <row r="797" spans="1:11" ht="13.2">
      <c r="A797" s="22"/>
      <c r="B797" s="16"/>
      <c r="C797" s="23"/>
      <c r="D797" s="24"/>
      <c r="E797" s="25"/>
      <c r="F797" s="26"/>
      <c r="G797" s="27"/>
      <c r="H797" s="20"/>
      <c r="I797" s="21"/>
      <c r="J797" s="28"/>
      <c r="K797" s="19"/>
    </row>
    <row r="798" spans="1:11" ht="13.2">
      <c r="A798" s="22"/>
      <c r="B798" s="16"/>
      <c r="C798" s="23"/>
      <c r="D798" s="24"/>
      <c r="E798" s="25"/>
      <c r="F798" s="26"/>
      <c r="G798" s="27"/>
      <c r="H798" s="20"/>
      <c r="I798" s="21"/>
      <c r="J798" s="28"/>
      <c r="K798" s="19"/>
    </row>
    <row r="799" spans="1:11" ht="13.2">
      <c r="A799" s="22"/>
      <c r="B799" s="16"/>
      <c r="C799" s="23"/>
      <c r="D799" s="24"/>
      <c r="E799" s="25"/>
      <c r="F799" s="26"/>
      <c r="G799" s="27"/>
      <c r="H799" s="20"/>
      <c r="I799" s="21"/>
      <c r="J799" s="28"/>
      <c r="K799" s="19"/>
    </row>
    <row r="800" spans="1:11" ht="13.2">
      <c r="A800" s="22"/>
      <c r="B800" s="16"/>
      <c r="C800" s="23"/>
      <c r="D800" s="24"/>
      <c r="E800" s="25"/>
      <c r="F800" s="26"/>
      <c r="G800" s="27"/>
      <c r="H800" s="20"/>
      <c r="I800" s="21"/>
      <c r="J800" s="28"/>
      <c r="K800" s="19"/>
    </row>
    <row r="801" spans="1:11" ht="13.2">
      <c r="A801" s="22"/>
      <c r="B801" s="16"/>
      <c r="C801" s="23"/>
      <c r="D801" s="24"/>
      <c r="E801" s="25"/>
      <c r="F801" s="26"/>
      <c r="G801" s="27"/>
      <c r="H801" s="20"/>
      <c r="I801" s="21"/>
      <c r="J801" s="28"/>
      <c r="K801" s="19"/>
    </row>
    <row r="802" spans="1:11" ht="13.2">
      <c r="A802" s="22"/>
      <c r="B802" s="16"/>
      <c r="C802" s="23"/>
      <c r="D802" s="24"/>
      <c r="E802" s="25"/>
      <c r="F802" s="26"/>
      <c r="G802" s="27"/>
      <c r="H802" s="20"/>
      <c r="I802" s="21"/>
      <c r="J802" s="28"/>
      <c r="K802" s="19"/>
    </row>
    <row r="803" spans="1:11" ht="13.2">
      <c r="A803" s="22"/>
      <c r="B803" s="16"/>
      <c r="C803" s="23"/>
      <c r="D803" s="24"/>
      <c r="E803" s="25"/>
      <c r="F803" s="26"/>
      <c r="G803" s="27"/>
      <c r="H803" s="20"/>
      <c r="I803" s="21"/>
      <c r="J803" s="28"/>
      <c r="K803" s="19"/>
    </row>
    <row r="804" spans="1:11" ht="13.2">
      <c r="A804" s="22"/>
      <c r="B804" s="16"/>
      <c r="C804" s="23"/>
      <c r="D804" s="24"/>
      <c r="E804" s="25"/>
      <c r="F804" s="26"/>
      <c r="G804" s="27"/>
      <c r="H804" s="20"/>
      <c r="I804" s="21"/>
      <c r="J804" s="28"/>
      <c r="K804" s="19"/>
    </row>
    <row r="805" spans="1:11" ht="13.2">
      <c r="A805" s="22"/>
      <c r="B805" s="16"/>
      <c r="C805" s="23"/>
      <c r="D805" s="24"/>
      <c r="E805" s="25"/>
      <c r="F805" s="26"/>
      <c r="G805" s="27"/>
      <c r="H805" s="20"/>
      <c r="I805" s="21"/>
      <c r="J805" s="28"/>
      <c r="K805" s="19"/>
    </row>
    <row r="806" spans="1:11" ht="13.2">
      <c r="A806" s="22"/>
      <c r="B806" s="16"/>
      <c r="C806" s="23"/>
      <c r="D806" s="24"/>
      <c r="E806" s="25"/>
      <c r="F806" s="26"/>
      <c r="G806" s="27"/>
      <c r="H806" s="20"/>
      <c r="I806" s="21"/>
      <c r="J806" s="28"/>
      <c r="K806" s="19"/>
    </row>
    <row r="807" spans="1:11" ht="13.2">
      <c r="A807" s="22"/>
      <c r="B807" s="16"/>
      <c r="C807" s="23"/>
      <c r="D807" s="24"/>
      <c r="E807" s="25"/>
      <c r="F807" s="26"/>
      <c r="G807" s="27"/>
      <c r="H807" s="20"/>
      <c r="I807" s="21"/>
      <c r="J807" s="28"/>
      <c r="K807" s="19"/>
    </row>
    <row r="808" spans="1:11" ht="13.2">
      <c r="A808" s="22"/>
      <c r="B808" s="16"/>
      <c r="C808" s="23"/>
      <c r="D808" s="24"/>
      <c r="E808" s="25"/>
      <c r="F808" s="26"/>
      <c r="G808" s="27"/>
      <c r="H808" s="20"/>
      <c r="I808" s="21"/>
      <c r="J808" s="28"/>
      <c r="K808" s="19"/>
    </row>
    <row r="809" spans="1:11" ht="13.2">
      <c r="A809" s="22"/>
      <c r="B809" s="16"/>
      <c r="C809" s="23"/>
      <c r="D809" s="24"/>
      <c r="E809" s="25"/>
      <c r="F809" s="26"/>
      <c r="G809" s="27"/>
      <c r="H809" s="20"/>
      <c r="I809" s="21"/>
      <c r="J809" s="28"/>
      <c r="K809" s="19"/>
    </row>
    <row r="810" spans="1:11" ht="13.2">
      <c r="A810" s="22"/>
      <c r="B810" s="16"/>
      <c r="C810" s="23"/>
      <c r="D810" s="24"/>
      <c r="E810" s="25"/>
      <c r="F810" s="26"/>
      <c r="G810" s="27"/>
      <c r="H810" s="20"/>
      <c r="I810" s="21"/>
      <c r="J810" s="28"/>
      <c r="K810" s="19"/>
    </row>
    <row r="811" spans="1:11" ht="13.2">
      <c r="A811" s="22"/>
      <c r="B811" s="16"/>
      <c r="C811" s="23"/>
      <c r="D811" s="24"/>
      <c r="E811" s="25"/>
      <c r="F811" s="26"/>
      <c r="G811" s="27"/>
      <c r="H811" s="20"/>
      <c r="I811" s="21"/>
      <c r="J811" s="28"/>
      <c r="K811" s="19"/>
    </row>
    <row r="812" spans="1:11" ht="13.2">
      <c r="A812" s="22"/>
      <c r="B812" s="16"/>
      <c r="C812" s="23"/>
      <c r="D812" s="24"/>
      <c r="E812" s="25"/>
      <c r="F812" s="26"/>
      <c r="G812" s="27"/>
      <c r="H812" s="20"/>
      <c r="I812" s="21"/>
      <c r="J812" s="28"/>
      <c r="K812" s="19"/>
    </row>
    <row r="813" spans="1:11" ht="13.2">
      <c r="A813" s="22"/>
      <c r="B813" s="16"/>
      <c r="C813" s="23"/>
      <c r="D813" s="24"/>
      <c r="E813" s="25"/>
      <c r="F813" s="26"/>
      <c r="G813" s="27"/>
      <c r="H813" s="20"/>
      <c r="I813" s="21"/>
      <c r="J813" s="28"/>
      <c r="K813" s="19"/>
    </row>
    <row r="814" spans="1:11" ht="13.2">
      <c r="A814" s="22"/>
      <c r="B814" s="16"/>
      <c r="C814" s="23"/>
      <c r="D814" s="24"/>
      <c r="E814" s="25"/>
      <c r="F814" s="26"/>
      <c r="G814" s="27"/>
      <c r="H814" s="20"/>
      <c r="I814" s="21"/>
      <c r="J814" s="28"/>
      <c r="K814" s="19"/>
    </row>
    <row r="815" spans="1:11" ht="13.2">
      <c r="A815" s="22"/>
      <c r="B815" s="16"/>
      <c r="C815" s="23"/>
      <c r="D815" s="24"/>
      <c r="E815" s="25"/>
      <c r="F815" s="26"/>
      <c r="G815" s="27"/>
      <c r="H815" s="20"/>
      <c r="I815" s="21"/>
      <c r="J815" s="28"/>
      <c r="K815" s="19"/>
    </row>
    <row r="816" spans="1:11" ht="13.2">
      <c r="A816" s="22"/>
      <c r="B816" s="16"/>
      <c r="C816" s="23"/>
      <c r="D816" s="24"/>
      <c r="E816" s="25"/>
      <c r="F816" s="26"/>
      <c r="G816" s="27"/>
      <c r="H816" s="20"/>
      <c r="I816" s="21"/>
      <c r="J816" s="28"/>
      <c r="K816" s="19"/>
    </row>
    <row r="817" spans="1:11" ht="13.2">
      <c r="A817" s="22"/>
      <c r="B817" s="16"/>
      <c r="C817" s="23"/>
      <c r="D817" s="24"/>
      <c r="E817" s="25"/>
      <c r="F817" s="26"/>
      <c r="G817" s="27"/>
      <c r="H817" s="20"/>
      <c r="I817" s="21"/>
      <c r="J817" s="28"/>
      <c r="K817" s="19"/>
    </row>
    <row r="818" spans="1:11" ht="13.2">
      <c r="A818" s="22"/>
      <c r="B818" s="16"/>
      <c r="C818" s="23"/>
      <c r="D818" s="24"/>
      <c r="E818" s="25"/>
      <c r="F818" s="26"/>
      <c r="G818" s="27"/>
      <c r="H818" s="20"/>
      <c r="I818" s="21"/>
      <c r="J818" s="28"/>
      <c r="K818" s="19"/>
    </row>
    <row r="819" spans="1:11" ht="13.2">
      <c r="A819" s="22"/>
      <c r="B819" s="16"/>
      <c r="C819" s="23"/>
      <c r="D819" s="24"/>
      <c r="E819" s="25"/>
      <c r="F819" s="26"/>
      <c r="G819" s="27"/>
      <c r="H819" s="20"/>
      <c r="I819" s="21"/>
      <c r="J819" s="28"/>
      <c r="K819" s="19"/>
    </row>
    <row r="820" spans="1:11" ht="13.2">
      <c r="A820" s="22"/>
      <c r="B820" s="16"/>
      <c r="C820" s="23"/>
      <c r="D820" s="24"/>
      <c r="E820" s="25"/>
      <c r="F820" s="26"/>
      <c r="G820" s="27"/>
      <c r="H820" s="20"/>
      <c r="I820" s="21"/>
      <c r="J820" s="28"/>
      <c r="K820" s="19"/>
    </row>
    <row r="821" spans="1:11" ht="13.2">
      <c r="A821" s="22"/>
      <c r="B821" s="16"/>
      <c r="C821" s="23"/>
      <c r="D821" s="24"/>
      <c r="E821" s="25"/>
      <c r="F821" s="26"/>
      <c r="G821" s="27"/>
      <c r="H821" s="20"/>
      <c r="I821" s="21"/>
      <c r="J821" s="28"/>
      <c r="K821" s="19"/>
    </row>
    <row r="822" spans="1:11" ht="13.2">
      <c r="A822" s="22"/>
      <c r="B822" s="16"/>
      <c r="C822" s="23"/>
      <c r="D822" s="24"/>
      <c r="E822" s="25"/>
      <c r="F822" s="26"/>
      <c r="G822" s="27"/>
      <c r="H822" s="20"/>
      <c r="I822" s="21"/>
      <c r="J822" s="28"/>
      <c r="K822" s="19"/>
    </row>
    <row r="823" spans="1:11" ht="13.2">
      <c r="A823" s="22"/>
      <c r="B823" s="16"/>
      <c r="C823" s="23"/>
      <c r="D823" s="24"/>
      <c r="E823" s="25"/>
      <c r="F823" s="26"/>
      <c r="G823" s="27"/>
      <c r="H823" s="20"/>
      <c r="I823" s="21"/>
      <c r="J823" s="28"/>
      <c r="K823" s="19"/>
    </row>
    <row r="824" spans="1:11" ht="13.2">
      <c r="A824" s="22"/>
      <c r="B824" s="16"/>
      <c r="C824" s="23"/>
      <c r="D824" s="24"/>
      <c r="E824" s="25"/>
      <c r="F824" s="26"/>
      <c r="G824" s="27"/>
      <c r="H824" s="20"/>
      <c r="I824" s="21"/>
      <c r="J824" s="28"/>
      <c r="K824" s="19"/>
    </row>
    <row r="825" spans="1:11" ht="13.2">
      <c r="A825" s="22"/>
      <c r="B825" s="16"/>
      <c r="C825" s="23"/>
      <c r="D825" s="24"/>
      <c r="E825" s="25"/>
      <c r="F825" s="26"/>
      <c r="G825" s="27"/>
      <c r="H825" s="20"/>
      <c r="I825" s="21"/>
      <c r="J825" s="28"/>
      <c r="K825" s="19"/>
    </row>
    <row r="826" spans="1:11" ht="13.2">
      <c r="A826" s="22"/>
      <c r="B826" s="16"/>
      <c r="C826" s="23"/>
      <c r="D826" s="24"/>
      <c r="E826" s="25"/>
      <c r="F826" s="26"/>
      <c r="G826" s="27"/>
      <c r="H826" s="20"/>
      <c r="I826" s="21"/>
      <c r="J826" s="28"/>
      <c r="K826" s="19"/>
    </row>
    <row r="827" spans="1:11" ht="13.2">
      <c r="A827" s="22"/>
      <c r="B827" s="16"/>
      <c r="C827" s="23"/>
      <c r="D827" s="24"/>
      <c r="E827" s="25"/>
      <c r="F827" s="26"/>
      <c r="G827" s="27"/>
      <c r="H827" s="20"/>
      <c r="I827" s="21"/>
      <c r="J827" s="28"/>
      <c r="K827" s="19"/>
    </row>
    <row r="828" spans="1:11" ht="13.2">
      <c r="A828" s="22"/>
      <c r="B828" s="16"/>
      <c r="C828" s="23"/>
      <c r="D828" s="24"/>
      <c r="E828" s="25"/>
      <c r="F828" s="26"/>
      <c r="G828" s="27"/>
      <c r="H828" s="20"/>
      <c r="I828" s="21"/>
      <c r="J828" s="28"/>
      <c r="K828" s="19"/>
    </row>
    <row r="829" spans="1:11" ht="13.2">
      <c r="A829" s="22"/>
      <c r="B829" s="16"/>
      <c r="C829" s="23"/>
      <c r="D829" s="24"/>
      <c r="E829" s="25"/>
      <c r="F829" s="26"/>
      <c r="G829" s="27"/>
      <c r="H829" s="20"/>
      <c r="I829" s="21"/>
      <c r="J829" s="28"/>
      <c r="K829" s="19"/>
    </row>
    <row r="830" spans="1:11" ht="13.2">
      <c r="A830" s="22"/>
      <c r="B830" s="16"/>
      <c r="C830" s="23"/>
      <c r="D830" s="24"/>
      <c r="E830" s="25"/>
      <c r="F830" s="26"/>
      <c r="G830" s="27"/>
      <c r="H830" s="20"/>
      <c r="I830" s="21"/>
      <c r="J830" s="28"/>
      <c r="K830" s="19"/>
    </row>
    <row r="831" spans="1:11" ht="13.2">
      <c r="A831" s="22"/>
      <c r="B831" s="16"/>
      <c r="C831" s="23"/>
      <c r="D831" s="24"/>
      <c r="E831" s="25"/>
      <c r="F831" s="26"/>
      <c r="G831" s="27"/>
      <c r="H831" s="20"/>
      <c r="I831" s="21"/>
      <c r="J831" s="28"/>
      <c r="K831" s="19"/>
    </row>
    <row r="832" spans="1:11" ht="13.2">
      <c r="A832" s="22"/>
      <c r="B832" s="16"/>
      <c r="C832" s="23"/>
      <c r="D832" s="24"/>
      <c r="E832" s="25"/>
      <c r="F832" s="26"/>
      <c r="G832" s="27"/>
      <c r="H832" s="20"/>
      <c r="I832" s="21"/>
      <c r="J832" s="28"/>
      <c r="K832" s="19"/>
    </row>
    <row r="833" spans="1:11" ht="13.2">
      <c r="A833" s="22"/>
      <c r="B833" s="16"/>
      <c r="C833" s="23"/>
      <c r="D833" s="24"/>
      <c r="E833" s="25"/>
      <c r="F833" s="26"/>
      <c r="G833" s="27"/>
      <c r="H833" s="20"/>
      <c r="I833" s="21"/>
      <c r="J833" s="28"/>
      <c r="K833" s="19"/>
    </row>
    <row r="834" spans="1:11" ht="13.2">
      <c r="A834" s="22"/>
      <c r="B834" s="16"/>
      <c r="C834" s="23"/>
      <c r="D834" s="24"/>
      <c r="E834" s="25"/>
      <c r="F834" s="26"/>
      <c r="G834" s="27"/>
      <c r="H834" s="20"/>
      <c r="I834" s="21"/>
      <c r="J834" s="28"/>
      <c r="K834" s="19"/>
    </row>
    <row r="835" spans="1:11" ht="13.2">
      <c r="A835" s="22"/>
      <c r="B835" s="16"/>
      <c r="C835" s="23"/>
      <c r="D835" s="24"/>
      <c r="E835" s="25"/>
      <c r="F835" s="26"/>
      <c r="G835" s="27"/>
      <c r="H835" s="20"/>
      <c r="I835" s="21"/>
      <c r="J835" s="28"/>
      <c r="K835" s="19"/>
    </row>
    <row r="836" spans="1:11" ht="13.2">
      <c r="A836" s="22"/>
      <c r="B836" s="16"/>
      <c r="C836" s="23"/>
      <c r="D836" s="24"/>
      <c r="E836" s="25"/>
      <c r="F836" s="26"/>
      <c r="G836" s="27"/>
      <c r="H836" s="20"/>
      <c r="I836" s="21"/>
      <c r="J836" s="28"/>
      <c r="K836" s="19"/>
    </row>
    <row r="837" spans="1:11" ht="13.2">
      <c r="A837" s="22"/>
      <c r="B837" s="16"/>
      <c r="C837" s="23"/>
      <c r="D837" s="24"/>
      <c r="E837" s="25"/>
      <c r="F837" s="26"/>
      <c r="G837" s="27"/>
      <c r="H837" s="20"/>
      <c r="I837" s="21"/>
      <c r="J837" s="28"/>
      <c r="K837" s="19"/>
    </row>
    <row r="838" spans="1:11" ht="13.2">
      <c r="A838" s="22"/>
      <c r="B838" s="16"/>
      <c r="C838" s="23"/>
      <c r="D838" s="24"/>
      <c r="E838" s="25"/>
      <c r="F838" s="26"/>
      <c r="G838" s="27"/>
      <c r="H838" s="20"/>
      <c r="I838" s="21"/>
      <c r="J838" s="28"/>
      <c r="K838" s="19"/>
    </row>
    <row r="839" spans="1:11" ht="13.2">
      <c r="A839" s="22"/>
      <c r="B839" s="16"/>
      <c r="C839" s="23"/>
      <c r="D839" s="24"/>
      <c r="E839" s="25"/>
      <c r="F839" s="26"/>
      <c r="G839" s="27"/>
      <c r="H839" s="20"/>
      <c r="I839" s="21"/>
      <c r="J839" s="28"/>
      <c r="K839" s="19"/>
    </row>
    <row r="840" spans="1:11" ht="13.2">
      <c r="A840" s="22"/>
      <c r="B840" s="16"/>
      <c r="C840" s="23"/>
      <c r="D840" s="24"/>
      <c r="E840" s="25"/>
      <c r="F840" s="26"/>
      <c r="G840" s="27"/>
      <c r="H840" s="20"/>
      <c r="I840" s="21"/>
      <c r="J840" s="28"/>
      <c r="K840" s="19"/>
    </row>
    <row r="841" spans="1:11" ht="13.2">
      <c r="A841" s="22"/>
      <c r="B841" s="16"/>
      <c r="C841" s="23"/>
      <c r="D841" s="24"/>
      <c r="E841" s="25"/>
      <c r="F841" s="26"/>
      <c r="G841" s="27"/>
      <c r="H841" s="20"/>
      <c r="I841" s="21"/>
      <c r="J841" s="28"/>
      <c r="K841" s="19"/>
    </row>
    <row r="842" spans="1:11" ht="13.2">
      <c r="A842" s="22"/>
      <c r="B842" s="16"/>
      <c r="C842" s="23"/>
      <c r="D842" s="24"/>
      <c r="E842" s="25"/>
      <c r="F842" s="26"/>
      <c r="G842" s="27"/>
      <c r="H842" s="20"/>
      <c r="I842" s="21"/>
      <c r="J842" s="28"/>
      <c r="K842" s="19"/>
    </row>
    <row r="843" spans="1:11" ht="13.2">
      <c r="A843" s="22"/>
      <c r="B843" s="16"/>
      <c r="C843" s="23"/>
      <c r="D843" s="24"/>
      <c r="E843" s="25"/>
      <c r="F843" s="26"/>
      <c r="G843" s="27"/>
      <c r="H843" s="20"/>
      <c r="I843" s="21"/>
      <c r="J843" s="28"/>
      <c r="K843" s="19"/>
    </row>
    <row r="844" spans="1:11" ht="13.2">
      <c r="A844" s="22"/>
      <c r="B844" s="16"/>
      <c r="C844" s="23"/>
      <c r="D844" s="24"/>
      <c r="E844" s="25"/>
      <c r="F844" s="26"/>
      <c r="G844" s="27"/>
      <c r="H844" s="20"/>
      <c r="I844" s="21"/>
      <c r="J844" s="28"/>
      <c r="K844" s="19"/>
    </row>
    <row r="845" spans="1:11" ht="13.2">
      <c r="A845" s="22"/>
      <c r="B845" s="16"/>
      <c r="C845" s="23"/>
      <c r="D845" s="24"/>
      <c r="E845" s="25"/>
      <c r="F845" s="26"/>
      <c r="G845" s="27"/>
      <c r="H845" s="20"/>
      <c r="I845" s="21"/>
      <c r="J845" s="28"/>
      <c r="K845" s="19"/>
    </row>
    <row r="846" spans="1:11" ht="13.2">
      <c r="A846" s="22"/>
      <c r="B846" s="16"/>
      <c r="C846" s="23"/>
      <c r="D846" s="24"/>
      <c r="E846" s="25"/>
      <c r="F846" s="26"/>
      <c r="G846" s="27"/>
      <c r="H846" s="20"/>
      <c r="I846" s="21"/>
      <c r="J846" s="28"/>
      <c r="K846" s="19"/>
    </row>
    <row r="847" spans="1:11" ht="13.2">
      <c r="A847" s="22"/>
      <c r="B847" s="16"/>
      <c r="C847" s="23"/>
      <c r="D847" s="24"/>
      <c r="E847" s="25"/>
      <c r="F847" s="26"/>
      <c r="G847" s="27"/>
      <c r="H847" s="20"/>
      <c r="I847" s="21"/>
      <c r="J847" s="28"/>
      <c r="K847" s="19"/>
    </row>
    <row r="848" spans="1:11" ht="13.2">
      <c r="A848" s="22"/>
      <c r="B848" s="16"/>
      <c r="C848" s="23"/>
      <c r="D848" s="24"/>
      <c r="E848" s="25"/>
      <c r="F848" s="26"/>
      <c r="G848" s="27"/>
      <c r="H848" s="20"/>
      <c r="I848" s="21"/>
      <c r="J848" s="28"/>
      <c r="K848" s="19"/>
    </row>
    <row r="849" spans="1:11" ht="13.2">
      <c r="A849" s="22"/>
      <c r="B849" s="16"/>
      <c r="C849" s="23"/>
      <c r="D849" s="24"/>
      <c r="E849" s="25"/>
      <c r="F849" s="26"/>
      <c r="G849" s="27"/>
      <c r="H849" s="20"/>
      <c r="I849" s="21"/>
      <c r="J849" s="28"/>
      <c r="K849" s="19"/>
    </row>
    <row r="850" spans="1:11" ht="13.2">
      <c r="A850" s="22"/>
      <c r="B850" s="16"/>
      <c r="C850" s="23"/>
      <c r="D850" s="24"/>
      <c r="E850" s="25"/>
      <c r="F850" s="26"/>
      <c r="G850" s="27"/>
      <c r="H850" s="20"/>
      <c r="I850" s="21"/>
      <c r="J850" s="28"/>
      <c r="K850" s="19"/>
    </row>
    <row r="851" spans="1:11" ht="13.2">
      <c r="A851" s="22"/>
      <c r="B851" s="16"/>
      <c r="C851" s="23"/>
      <c r="D851" s="24"/>
      <c r="E851" s="25"/>
      <c r="F851" s="26"/>
      <c r="G851" s="27"/>
      <c r="H851" s="20"/>
      <c r="I851" s="21"/>
      <c r="J851" s="28"/>
      <c r="K851" s="19"/>
    </row>
    <row r="852" spans="1:11" ht="13.2">
      <c r="A852" s="22"/>
      <c r="B852" s="16"/>
      <c r="C852" s="23"/>
      <c r="D852" s="24"/>
      <c r="E852" s="25"/>
      <c r="F852" s="26"/>
      <c r="G852" s="27"/>
      <c r="H852" s="20"/>
      <c r="I852" s="21"/>
      <c r="J852" s="28"/>
      <c r="K852" s="19"/>
    </row>
    <row r="853" spans="1:11" ht="13.2">
      <c r="A853" s="22"/>
      <c r="B853" s="16"/>
      <c r="C853" s="23"/>
      <c r="D853" s="24"/>
      <c r="E853" s="25"/>
      <c r="F853" s="26"/>
      <c r="G853" s="27"/>
      <c r="H853" s="20"/>
      <c r="I853" s="21"/>
      <c r="J853" s="28"/>
      <c r="K853" s="19"/>
    </row>
    <row r="854" spans="1:11" ht="13.2">
      <c r="A854" s="22"/>
      <c r="B854" s="16"/>
      <c r="C854" s="23"/>
      <c r="D854" s="24"/>
      <c r="E854" s="25"/>
      <c r="F854" s="26"/>
      <c r="G854" s="27"/>
      <c r="H854" s="20"/>
      <c r="I854" s="21"/>
      <c r="J854" s="28"/>
      <c r="K854" s="19"/>
    </row>
    <row r="855" spans="1:11" ht="13.2">
      <c r="A855" s="22"/>
      <c r="B855" s="16"/>
      <c r="C855" s="23"/>
      <c r="D855" s="24"/>
      <c r="E855" s="25"/>
      <c r="F855" s="26"/>
      <c r="G855" s="27"/>
      <c r="H855" s="20"/>
      <c r="I855" s="21"/>
      <c r="J855" s="28"/>
      <c r="K855" s="19"/>
    </row>
    <row r="856" spans="1:11" ht="13.2">
      <c r="A856" s="22"/>
      <c r="B856" s="16"/>
      <c r="C856" s="23"/>
      <c r="D856" s="24"/>
      <c r="E856" s="25"/>
      <c r="F856" s="26"/>
      <c r="G856" s="27"/>
      <c r="H856" s="20"/>
      <c r="I856" s="21"/>
      <c r="J856" s="28"/>
      <c r="K856" s="19"/>
    </row>
    <row r="857" spans="1:11" ht="13.2">
      <c r="A857" s="22"/>
      <c r="B857" s="16"/>
      <c r="C857" s="23"/>
      <c r="D857" s="24"/>
      <c r="E857" s="25"/>
      <c r="F857" s="26"/>
      <c r="G857" s="27"/>
      <c r="H857" s="20"/>
      <c r="I857" s="21"/>
      <c r="J857" s="28"/>
      <c r="K857" s="19"/>
    </row>
    <row r="858" spans="1:11" ht="13.2">
      <c r="A858" s="22"/>
      <c r="B858" s="16"/>
      <c r="C858" s="23"/>
      <c r="D858" s="24"/>
      <c r="E858" s="25"/>
      <c r="F858" s="26"/>
      <c r="G858" s="27"/>
      <c r="H858" s="20"/>
      <c r="I858" s="21"/>
      <c r="J858" s="28"/>
      <c r="K858" s="19"/>
    </row>
    <row r="859" spans="1:11" ht="13.2">
      <c r="A859" s="22"/>
      <c r="B859" s="16"/>
      <c r="C859" s="23"/>
      <c r="D859" s="24"/>
      <c r="E859" s="25"/>
      <c r="F859" s="26"/>
      <c r="G859" s="27"/>
      <c r="H859" s="20"/>
      <c r="I859" s="21"/>
      <c r="J859" s="28"/>
      <c r="K859" s="19"/>
    </row>
    <row r="860" spans="1:11" ht="13.2">
      <c r="A860" s="22"/>
      <c r="B860" s="16"/>
      <c r="C860" s="23"/>
      <c r="D860" s="24"/>
      <c r="E860" s="25"/>
      <c r="F860" s="26"/>
      <c r="G860" s="27"/>
      <c r="H860" s="20"/>
      <c r="I860" s="21"/>
      <c r="J860" s="28"/>
      <c r="K860" s="19"/>
    </row>
    <row r="861" spans="1:11" ht="13.2">
      <c r="A861" s="22"/>
      <c r="B861" s="16"/>
      <c r="C861" s="23"/>
      <c r="D861" s="24"/>
      <c r="E861" s="25"/>
      <c r="F861" s="26"/>
      <c r="G861" s="27"/>
      <c r="H861" s="20"/>
      <c r="I861" s="21"/>
      <c r="J861" s="28"/>
      <c r="K861" s="19"/>
    </row>
    <row r="862" spans="1:11" ht="13.2">
      <c r="A862" s="22"/>
      <c r="B862" s="16"/>
      <c r="C862" s="23"/>
      <c r="D862" s="24"/>
      <c r="E862" s="25"/>
      <c r="F862" s="26"/>
      <c r="G862" s="27"/>
      <c r="H862" s="20"/>
      <c r="I862" s="21"/>
      <c r="J862" s="28"/>
      <c r="K862" s="19"/>
    </row>
    <row r="863" spans="1:11" ht="13.2">
      <c r="A863" s="22"/>
      <c r="B863" s="16"/>
      <c r="C863" s="23"/>
      <c r="D863" s="24"/>
      <c r="E863" s="25"/>
      <c r="F863" s="26"/>
      <c r="G863" s="27"/>
      <c r="H863" s="20"/>
      <c r="I863" s="21"/>
      <c r="J863" s="28"/>
      <c r="K863" s="19"/>
    </row>
    <row r="864" spans="1:11" ht="13.2">
      <c r="A864" s="22"/>
      <c r="B864" s="16"/>
      <c r="C864" s="23"/>
      <c r="D864" s="24"/>
      <c r="E864" s="25"/>
      <c r="F864" s="26"/>
      <c r="G864" s="27"/>
      <c r="H864" s="20"/>
      <c r="I864" s="21"/>
      <c r="J864" s="28"/>
      <c r="K864" s="19"/>
    </row>
    <row r="865" spans="1:11" ht="13.2">
      <c r="A865" s="22"/>
      <c r="B865" s="16"/>
      <c r="C865" s="23"/>
      <c r="D865" s="24"/>
      <c r="E865" s="25"/>
      <c r="F865" s="26"/>
      <c r="G865" s="27"/>
      <c r="H865" s="20"/>
      <c r="I865" s="21"/>
      <c r="J865" s="28"/>
      <c r="K865" s="19"/>
    </row>
    <row r="866" spans="1:11" ht="13.2">
      <c r="A866" s="22"/>
      <c r="B866" s="16"/>
      <c r="C866" s="23"/>
      <c r="D866" s="24"/>
      <c r="E866" s="25"/>
      <c r="F866" s="26"/>
      <c r="G866" s="27"/>
      <c r="H866" s="20"/>
      <c r="I866" s="21"/>
      <c r="J866" s="28"/>
      <c r="K866" s="19"/>
    </row>
    <row r="867" spans="1:11" ht="13.2">
      <c r="A867" s="22"/>
      <c r="B867" s="16"/>
      <c r="C867" s="23"/>
      <c r="D867" s="24"/>
      <c r="E867" s="25"/>
      <c r="F867" s="26"/>
      <c r="G867" s="27"/>
      <c r="H867" s="20"/>
      <c r="I867" s="21"/>
      <c r="J867" s="28"/>
      <c r="K867" s="19"/>
    </row>
    <row r="868" spans="1:11" ht="13.2">
      <c r="A868" s="22"/>
      <c r="B868" s="16"/>
      <c r="C868" s="23"/>
      <c r="D868" s="24"/>
      <c r="E868" s="25"/>
      <c r="F868" s="26"/>
      <c r="G868" s="27"/>
      <c r="H868" s="20"/>
      <c r="I868" s="21"/>
      <c r="J868" s="28"/>
      <c r="K868" s="19"/>
    </row>
    <row r="869" spans="1:11" ht="13.2">
      <c r="A869" s="22"/>
      <c r="B869" s="16"/>
      <c r="C869" s="23"/>
      <c r="D869" s="24"/>
      <c r="E869" s="25"/>
      <c r="F869" s="26"/>
      <c r="G869" s="27"/>
      <c r="H869" s="20"/>
      <c r="I869" s="21"/>
      <c r="J869" s="28"/>
      <c r="K869" s="19"/>
    </row>
    <row r="870" spans="1:11" ht="13.2">
      <c r="A870" s="22"/>
      <c r="B870" s="16"/>
      <c r="C870" s="23"/>
      <c r="D870" s="24"/>
      <c r="E870" s="25"/>
      <c r="F870" s="26"/>
      <c r="G870" s="27"/>
      <c r="H870" s="20"/>
      <c r="I870" s="21"/>
      <c r="J870" s="28"/>
      <c r="K870" s="19"/>
    </row>
    <row r="871" spans="1:11" ht="13.2">
      <c r="A871" s="22"/>
      <c r="B871" s="16"/>
      <c r="C871" s="23"/>
      <c r="D871" s="24"/>
      <c r="E871" s="25"/>
      <c r="F871" s="26"/>
      <c r="G871" s="27"/>
      <c r="H871" s="20"/>
      <c r="I871" s="21"/>
      <c r="J871" s="28"/>
      <c r="K871" s="19"/>
    </row>
    <row r="872" spans="1:11" ht="13.2">
      <c r="A872" s="22"/>
      <c r="B872" s="16"/>
      <c r="C872" s="23"/>
      <c r="D872" s="24"/>
      <c r="E872" s="25"/>
      <c r="F872" s="26"/>
      <c r="G872" s="27"/>
      <c r="H872" s="20"/>
      <c r="I872" s="21"/>
      <c r="J872" s="28"/>
      <c r="K872" s="19"/>
    </row>
    <row r="873" spans="1:11" ht="13.2">
      <c r="A873" s="22"/>
      <c r="B873" s="16"/>
      <c r="C873" s="23"/>
      <c r="D873" s="24"/>
      <c r="E873" s="25"/>
      <c r="F873" s="26"/>
      <c r="G873" s="27"/>
      <c r="H873" s="20"/>
      <c r="I873" s="21"/>
      <c r="J873" s="28"/>
      <c r="K873" s="19"/>
    </row>
    <row r="874" spans="1:11" ht="13.2">
      <c r="A874" s="22"/>
      <c r="B874" s="16"/>
      <c r="C874" s="23"/>
      <c r="D874" s="24"/>
      <c r="E874" s="25"/>
      <c r="F874" s="26"/>
      <c r="G874" s="27"/>
      <c r="H874" s="20"/>
      <c r="I874" s="21"/>
      <c r="J874" s="28"/>
      <c r="K874" s="19"/>
    </row>
    <row r="875" spans="1:11" ht="13.2">
      <c r="A875" s="22"/>
      <c r="B875" s="16"/>
      <c r="C875" s="23"/>
      <c r="D875" s="24"/>
      <c r="E875" s="25"/>
      <c r="F875" s="26"/>
      <c r="G875" s="27"/>
      <c r="H875" s="20"/>
      <c r="I875" s="21"/>
      <c r="J875" s="28"/>
      <c r="K875" s="19"/>
    </row>
    <row r="876" spans="1:11" ht="13.2">
      <c r="A876" s="22"/>
      <c r="B876" s="16"/>
      <c r="C876" s="23"/>
      <c r="D876" s="24"/>
      <c r="E876" s="25"/>
      <c r="F876" s="26"/>
      <c r="G876" s="27"/>
      <c r="H876" s="20"/>
      <c r="I876" s="21"/>
      <c r="J876" s="28"/>
      <c r="K876" s="19"/>
    </row>
    <row r="877" spans="1:11" ht="13.2">
      <c r="A877" s="22"/>
      <c r="B877" s="16"/>
      <c r="C877" s="23"/>
      <c r="D877" s="24"/>
      <c r="E877" s="25"/>
      <c r="F877" s="26"/>
      <c r="G877" s="27"/>
      <c r="H877" s="20"/>
      <c r="I877" s="21"/>
      <c r="J877" s="28"/>
      <c r="K877" s="19"/>
    </row>
    <row r="878" spans="1:11" ht="13.2">
      <c r="A878" s="22"/>
      <c r="B878" s="16"/>
      <c r="C878" s="23"/>
      <c r="D878" s="24"/>
      <c r="E878" s="25"/>
      <c r="F878" s="26"/>
      <c r="G878" s="27"/>
      <c r="H878" s="20"/>
      <c r="I878" s="21"/>
      <c r="J878" s="28"/>
      <c r="K878" s="19"/>
    </row>
    <row r="879" spans="1:11" ht="13.2">
      <c r="A879" s="22"/>
      <c r="B879" s="16"/>
      <c r="C879" s="23"/>
      <c r="D879" s="24"/>
      <c r="E879" s="25"/>
      <c r="F879" s="26"/>
      <c r="G879" s="27"/>
      <c r="H879" s="20"/>
      <c r="I879" s="21"/>
      <c r="J879" s="28"/>
      <c r="K879" s="19"/>
    </row>
    <row r="880" spans="1:11" ht="13.2">
      <c r="A880" s="22"/>
      <c r="B880" s="16"/>
      <c r="C880" s="23"/>
      <c r="D880" s="24"/>
      <c r="E880" s="25"/>
      <c r="F880" s="26"/>
      <c r="G880" s="27"/>
      <c r="H880" s="20"/>
      <c r="I880" s="21"/>
      <c r="J880" s="28"/>
      <c r="K880" s="19"/>
    </row>
    <row r="881" spans="1:11" ht="13.2">
      <c r="A881" s="22"/>
      <c r="B881" s="16"/>
      <c r="C881" s="23"/>
      <c r="D881" s="24"/>
      <c r="E881" s="25"/>
      <c r="F881" s="26"/>
      <c r="G881" s="27"/>
      <c r="H881" s="20"/>
      <c r="I881" s="21"/>
      <c r="J881" s="28"/>
      <c r="K881" s="19"/>
    </row>
    <row r="882" spans="1:11" ht="13.2">
      <c r="A882" s="22"/>
      <c r="B882" s="16"/>
      <c r="C882" s="23"/>
      <c r="D882" s="24"/>
      <c r="E882" s="25"/>
      <c r="F882" s="26"/>
      <c r="G882" s="27"/>
      <c r="H882" s="20"/>
      <c r="I882" s="21"/>
      <c r="J882" s="28"/>
      <c r="K882" s="19"/>
    </row>
    <row r="883" spans="1:11" ht="13.2">
      <c r="A883" s="22"/>
      <c r="B883" s="16"/>
      <c r="C883" s="23"/>
      <c r="D883" s="24"/>
      <c r="E883" s="25"/>
      <c r="F883" s="26"/>
      <c r="G883" s="27"/>
      <c r="H883" s="20"/>
      <c r="I883" s="21"/>
      <c r="J883" s="28"/>
      <c r="K883" s="19"/>
    </row>
    <row r="884" spans="1:11" ht="13.2">
      <c r="A884" s="22"/>
      <c r="B884" s="16"/>
      <c r="C884" s="23"/>
      <c r="D884" s="24"/>
      <c r="E884" s="25"/>
      <c r="F884" s="26"/>
      <c r="G884" s="27"/>
      <c r="H884" s="20"/>
      <c r="I884" s="21"/>
      <c r="J884" s="28"/>
      <c r="K884" s="19"/>
    </row>
    <row r="885" spans="1:11" ht="13.2">
      <c r="A885" s="22"/>
      <c r="B885" s="16"/>
      <c r="C885" s="23"/>
      <c r="D885" s="24"/>
      <c r="E885" s="25"/>
      <c r="F885" s="26"/>
      <c r="G885" s="27"/>
      <c r="H885" s="20"/>
      <c r="I885" s="21"/>
      <c r="J885" s="28"/>
      <c r="K885" s="19"/>
    </row>
    <row r="886" spans="1:11" ht="13.2">
      <c r="A886" s="22"/>
      <c r="B886" s="16"/>
      <c r="C886" s="23"/>
      <c r="D886" s="24"/>
      <c r="E886" s="25"/>
      <c r="F886" s="26"/>
      <c r="G886" s="27"/>
      <c r="H886" s="20"/>
      <c r="I886" s="21"/>
      <c r="J886" s="28"/>
      <c r="K886" s="19"/>
    </row>
    <row r="887" spans="1:11" ht="13.2">
      <c r="A887" s="22"/>
      <c r="B887" s="16"/>
      <c r="C887" s="23"/>
      <c r="D887" s="24"/>
      <c r="E887" s="25"/>
      <c r="F887" s="26"/>
      <c r="G887" s="27"/>
      <c r="H887" s="20"/>
      <c r="I887" s="21"/>
      <c r="J887" s="28"/>
      <c r="K887" s="19"/>
    </row>
    <row r="888" spans="1:11" ht="13.2">
      <c r="A888" s="22"/>
      <c r="B888" s="16"/>
      <c r="C888" s="23"/>
      <c r="D888" s="24"/>
      <c r="E888" s="25"/>
      <c r="F888" s="26"/>
      <c r="G888" s="27"/>
      <c r="H888" s="20"/>
      <c r="I888" s="21"/>
      <c r="J888" s="28"/>
      <c r="K888" s="19"/>
    </row>
    <row r="889" spans="1:11" ht="13.2">
      <c r="A889" s="22"/>
      <c r="B889" s="16"/>
      <c r="C889" s="23"/>
      <c r="D889" s="24"/>
      <c r="E889" s="25"/>
      <c r="F889" s="26"/>
      <c r="G889" s="27"/>
      <c r="H889" s="20"/>
      <c r="I889" s="21"/>
      <c r="J889" s="28"/>
      <c r="K889" s="19"/>
    </row>
    <row r="890" spans="1:11" ht="13.2">
      <c r="A890" s="22"/>
      <c r="B890" s="16"/>
      <c r="C890" s="23"/>
      <c r="D890" s="24"/>
      <c r="E890" s="25"/>
      <c r="F890" s="26"/>
      <c r="G890" s="27"/>
      <c r="H890" s="20"/>
      <c r="I890" s="21"/>
      <c r="J890" s="28"/>
      <c r="K890" s="19"/>
    </row>
    <row r="891" spans="1:11" ht="13.2">
      <c r="A891" s="22"/>
      <c r="B891" s="16"/>
      <c r="C891" s="23"/>
      <c r="D891" s="24"/>
      <c r="E891" s="25"/>
      <c r="F891" s="26"/>
      <c r="G891" s="27"/>
      <c r="H891" s="20"/>
      <c r="I891" s="21"/>
      <c r="J891" s="28"/>
      <c r="K891" s="19"/>
    </row>
    <row r="892" spans="1:11" ht="13.2">
      <c r="A892" s="22"/>
      <c r="B892" s="16"/>
      <c r="C892" s="23"/>
      <c r="D892" s="24"/>
      <c r="E892" s="25"/>
      <c r="F892" s="26"/>
      <c r="G892" s="27"/>
      <c r="H892" s="20"/>
      <c r="I892" s="21"/>
      <c r="J892" s="28"/>
      <c r="K892" s="19"/>
    </row>
    <row r="893" spans="1:11" ht="13.2">
      <c r="A893" s="22"/>
      <c r="B893" s="16"/>
      <c r="C893" s="23"/>
      <c r="D893" s="24"/>
      <c r="E893" s="25"/>
      <c r="F893" s="26"/>
      <c r="G893" s="27"/>
      <c r="H893" s="20"/>
      <c r="I893" s="21"/>
      <c r="J893" s="28"/>
      <c r="K893" s="19"/>
    </row>
    <row r="894" spans="1:11" ht="13.2">
      <c r="A894" s="22"/>
      <c r="B894" s="16"/>
      <c r="C894" s="23"/>
      <c r="D894" s="24"/>
      <c r="E894" s="25"/>
      <c r="F894" s="26"/>
      <c r="G894" s="27"/>
      <c r="H894" s="20"/>
      <c r="I894" s="21"/>
      <c r="J894" s="28"/>
      <c r="K894" s="19"/>
    </row>
    <row r="895" spans="1:11" ht="13.2">
      <c r="A895" s="22"/>
      <c r="B895" s="16"/>
      <c r="C895" s="23"/>
      <c r="D895" s="24"/>
      <c r="E895" s="25"/>
      <c r="F895" s="26"/>
      <c r="G895" s="27"/>
      <c r="H895" s="20"/>
      <c r="I895" s="21"/>
      <c r="J895" s="28"/>
      <c r="K895" s="19"/>
    </row>
    <row r="896" spans="1:11" ht="13.2">
      <c r="A896" s="22"/>
      <c r="B896" s="16"/>
      <c r="C896" s="23"/>
      <c r="D896" s="24"/>
      <c r="E896" s="25"/>
      <c r="F896" s="26"/>
      <c r="G896" s="27"/>
      <c r="H896" s="20"/>
      <c r="I896" s="21"/>
      <c r="J896" s="28"/>
      <c r="K896" s="19"/>
    </row>
    <row r="897" spans="1:11" ht="13.2">
      <c r="A897" s="22"/>
      <c r="B897" s="16"/>
      <c r="C897" s="23"/>
      <c r="D897" s="24"/>
      <c r="E897" s="25"/>
      <c r="F897" s="26"/>
      <c r="G897" s="27"/>
      <c r="H897" s="20"/>
      <c r="I897" s="21"/>
      <c r="J897" s="28"/>
      <c r="K897" s="19"/>
    </row>
    <row r="898" spans="1:11" ht="13.2">
      <c r="A898" s="22"/>
      <c r="B898" s="16"/>
      <c r="C898" s="23"/>
      <c r="D898" s="24"/>
      <c r="E898" s="25"/>
      <c r="F898" s="26"/>
      <c r="G898" s="27"/>
      <c r="H898" s="20"/>
      <c r="I898" s="21"/>
      <c r="J898" s="28"/>
      <c r="K898" s="19"/>
    </row>
    <row r="899" spans="1:11" ht="13.2">
      <c r="A899" s="22"/>
      <c r="B899" s="16"/>
      <c r="C899" s="23"/>
      <c r="D899" s="24"/>
      <c r="E899" s="25"/>
      <c r="F899" s="26"/>
      <c r="G899" s="27"/>
      <c r="H899" s="20"/>
      <c r="I899" s="21"/>
      <c r="J899" s="28"/>
      <c r="K899" s="19"/>
    </row>
    <row r="900" spans="1:11" ht="13.2">
      <c r="A900" s="22"/>
      <c r="B900" s="16"/>
      <c r="C900" s="23"/>
      <c r="D900" s="24"/>
      <c r="E900" s="25"/>
      <c r="F900" s="26"/>
      <c r="G900" s="27"/>
      <c r="H900" s="20"/>
      <c r="I900" s="21"/>
      <c r="J900" s="28"/>
      <c r="K900" s="19"/>
    </row>
    <row r="901" spans="1:11" ht="13.2">
      <c r="A901" s="22"/>
      <c r="B901" s="16"/>
      <c r="C901" s="23"/>
      <c r="D901" s="24"/>
      <c r="E901" s="25"/>
      <c r="F901" s="26"/>
      <c r="G901" s="27"/>
      <c r="H901" s="20"/>
      <c r="I901" s="21"/>
      <c r="J901" s="28"/>
      <c r="K901" s="19"/>
    </row>
    <row r="902" spans="1:11" ht="13.2">
      <c r="A902" s="22"/>
      <c r="B902" s="16"/>
      <c r="C902" s="23"/>
      <c r="D902" s="24"/>
      <c r="E902" s="25"/>
      <c r="F902" s="26"/>
      <c r="G902" s="27"/>
      <c r="H902" s="20"/>
      <c r="I902" s="21"/>
      <c r="J902" s="28"/>
      <c r="K902" s="19"/>
    </row>
    <row r="903" spans="1:11" ht="13.2">
      <c r="A903" s="22"/>
      <c r="B903" s="16"/>
      <c r="C903" s="23"/>
      <c r="D903" s="24"/>
      <c r="E903" s="25"/>
      <c r="F903" s="26"/>
      <c r="G903" s="27"/>
      <c r="H903" s="20"/>
      <c r="I903" s="21"/>
      <c r="J903" s="28"/>
      <c r="K903" s="19"/>
    </row>
    <row r="904" spans="1:11" ht="13.2">
      <c r="A904" s="22"/>
      <c r="B904" s="16"/>
      <c r="C904" s="23"/>
      <c r="D904" s="24"/>
      <c r="E904" s="25"/>
      <c r="F904" s="26"/>
      <c r="G904" s="27"/>
      <c r="H904" s="20"/>
      <c r="I904" s="21"/>
      <c r="J904" s="28"/>
      <c r="K904" s="19"/>
    </row>
    <row r="905" spans="1:11" ht="13.2">
      <c r="A905" s="22"/>
      <c r="B905" s="16"/>
      <c r="C905" s="23"/>
      <c r="D905" s="24"/>
      <c r="E905" s="25"/>
      <c r="F905" s="26"/>
      <c r="G905" s="27"/>
      <c r="H905" s="20"/>
      <c r="I905" s="21"/>
      <c r="J905" s="28"/>
      <c r="K905" s="19"/>
    </row>
    <row r="906" spans="1:11" ht="13.2">
      <c r="A906" s="22"/>
      <c r="B906" s="16"/>
      <c r="C906" s="23"/>
      <c r="D906" s="24"/>
      <c r="E906" s="25"/>
      <c r="F906" s="26"/>
      <c r="G906" s="27"/>
      <c r="H906" s="20"/>
      <c r="I906" s="21"/>
      <c r="J906" s="28"/>
      <c r="K906" s="19"/>
    </row>
    <row r="907" spans="1:11" ht="13.2">
      <c r="A907" s="22"/>
      <c r="B907" s="16"/>
      <c r="C907" s="23"/>
      <c r="D907" s="24"/>
      <c r="E907" s="25"/>
      <c r="F907" s="26"/>
      <c r="G907" s="27"/>
      <c r="H907" s="20"/>
      <c r="I907" s="21"/>
      <c r="J907" s="28"/>
      <c r="K907" s="19"/>
    </row>
    <row r="908" spans="1:11" ht="13.2">
      <c r="A908" s="22"/>
      <c r="B908" s="16"/>
      <c r="C908" s="23"/>
      <c r="D908" s="24"/>
      <c r="E908" s="25"/>
      <c r="F908" s="26"/>
      <c r="G908" s="27"/>
      <c r="H908" s="20"/>
      <c r="I908" s="21"/>
      <c r="J908" s="28"/>
      <c r="K908" s="19"/>
    </row>
    <row r="909" spans="1:11" ht="13.2">
      <c r="A909" s="22"/>
      <c r="B909" s="16"/>
      <c r="C909" s="23"/>
      <c r="D909" s="24"/>
      <c r="E909" s="25"/>
      <c r="F909" s="26"/>
      <c r="G909" s="27"/>
      <c r="H909" s="20"/>
      <c r="I909" s="21"/>
      <c r="J909" s="28"/>
      <c r="K909" s="19"/>
    </row>
    <row r="910" spans="1:11" ht="13.2">
      <c r="A910" s="22"/>
      <c r="B910" s="16"/>
      <c r="C910" s="23"/>
      <c r="D910" s="24"/>
      <c r="E910" s="25"/>
      <c r="F910" s="26"/>
      <c r="G910" s="27"/>
      <c r="H910" s="20"/>
      <c r="I910" s="21"/>
      <c r="J910" s="28"/>
      <c r="K910" s="19"/>
    </row>
    <row r="911" spans="1:11" ht="13.2">
      <c r="A911" s="22"/>
      <c r="B911" s="16"/>
      <c r="C911" s="23"/>
      <c r="D911" s="24"/>
      <c r="E911" s="25"/>
      <c r="F911" s="26"/>
      <c r="G911" s="27"/>
      <c r="H911" s="20"/>
      <c r="I911" s="21"/>
      <c r="J911" s="28"/>
      <c r="K911" s="19"/>
    </row>
    <row r="912" spans="1:11" ht="13.2">
      <c r="A912" s="22"/>
      <c r="B912" s="16"/>
      <c r="C912" s="23"/>
      <c r="D912" s="24"/>
      <c r="E912" s="25"/>
      <c r="F912" s="26"/>
      <c r="G912" s="27"/>
      <c r="H912" s="20"/>
      <c r="I912" s="21"/>
      <c r="J912" s="28"/>
      <c r="K912" s="19"/>
    </row>
    <row r="913" spans="1:11" ht="13.2">
      <c r="A913" s="22"/>
      <c r="B913" s="16"/>
      <c r="C913" s="23"/>
      <c r="D913" s="24"/>
      <c r="E913" s="25"/>
      <c r="F913" s="26"/>
      <c r="G913" s="27"/>
      <c r="H913" s="20"/>
      <c r="I913" s="21"/>
      <c r="J913" s="28"/>
      <c r="K913" s="19"/>
    </row>
    <row r="914" spans="1:11" ht="13.2">
      <c r="A914" s="22"/>
      <c r="B914" s="16"/>
      <c r="C914" s="23"/>
      <c r="D914" s="24"/>
      <c r="E914" s="25"/>
      <c r="F914" s="26"/>
      <c r="G914" s="27"/>
      <c r="H914" s="20"/>
      <c r="I914" s="21"/>
      <c r="J914" s="28"/>
      <c r="K914" s="19"/>
    </row>
    <row r="915" spans="1:11" ht="13.2">
      <c r="A915" s="22"/>
      <c r="B915" s="16"/>
      <c r="C915" s="23"/>
      <c r="D915" s="24"/>
      <c r="E915" s="25"/>
      <c r="F915" s="26"/>
      <c r="G915" s="27"/>
      <c r="H915" s="20"/>
      <c r="I915" s="21"/>
      <c r="J915" s="28"/>
      <c r="K915" s="19"/>
    </row>
    <row r="916" spans="1:11" ht="13.2">
      <c r="A916" s="22"/>
      <c r="B916" s="16"/>
      <c r="C916" s="23"/>
      <c r="D916" s="24"/>
      <c r="E916" s="25"/>
      <c r="F916" s="26"/>
      <c r="G916" s="27"/>
      <c r="H916" s="20"/>
      <c r="I916" s="21"/>
      <c r="J916" s="28"/>
      <c r="K916" s="19"/>
    </row>
    <row r="917" spans="1:11" ht="13.2">
      <c r="A917" s="22"/>
      <c r="B917" s="16"/>
      <c r="C917" s="23"/>
      <c r="D917" s="24"/>
      <c r="E917" s="25"/>
      <c r="F917" s="26"/>
      <c r="G917" s="27"/>
      <c r="H917" s="20"/>
      <c r="I917" s="21"/>
      <c r="J917" s="28"/>
      <c r="K917" s="19"/>
    </row>
    <row r="918" spans="1:11" ht="13.2">
      <c r="A918" s="22"/>
      <c r="B918" s="16"/>
      <c r="C918" s="23"/>
      <c r="D918" s="24"/>
      <c r="E918" s="25"/>
      <c r="F918" s="26"/>
      <c r="G918" s="27"/>
      <c r="H918" s="20"/>
      <c r="I918" s="21"/>
      <c r="J918" s="28"/>
      <c r="K918" s="19"/>
    </row>
    <row r="919" spans="1:11" ht="13.2">
      <c r="A919" s="22"/>
      <c r="B919" s="16"/>
      <c r="C919" s="23"/>
      <c r="D919" s="24"/>
      <c r="E919" s="25"/>
      <c r="F919" s="26"/>
      <c r="G919" s="27"/>
      <c r="H919" s="20"/>
      <c r="I919" s="21"/>
      <c r="J919" s="28"/>
      <c r="K919" s="19"/>
    </row>
    <row r="920" spans="1:11" ht="13.2">
      <c r="A920" s="22"/>
      <c r="B920" s="16"/>
      <c r="C920" s="23"/>
      <c r="D920" s="24"/>
      <c r="E920" s="25"/>
      <c r="F920" s="26"/>
      <c r="G920" s="27"/>
      <c r="H920" s="20"/>
      <c r="I920" s="21"/>
      <c r="J920" s="28"/>
      <c r="K920" s="19"/>
    </row>
    <row r="921" spans="1:11" ht="13.2">
      <c r="A921" s="22"/>
      <c r="B921" s="16"/>
      <c r="C921" s="23"/>
      <c r="D921" s="24"/>
      <c r="E921" s="25"/>
      <c r="F921" s="26"/>
      <c r="G921" s="27"/>
      <c r="H921" s="20"/>
      <c r="I921" s="21"/>
      <c r="J921" s="28"/>
      <c r="K921" s="19"/>
    </row>
    <row r="922" spans="1:11" ht="13.2">
      <c r="A922" s="22"/>
      <c r="B922" s="16"/>
      <c r="C922" s="23"/>
      <c r="D922" s="24"/>
      <c r="E922" s="25"/>
      <c r="F922" s="26"/>
      <c r="G922" s="27"/>
      <c r="H922" s="20"/>
      <c r="I922" s="21"/>
      <c r="J922" s="28"/>
      <c r="K922" s="19"/>
    </row>
    <row r="923" spans="1:11" ht="13.2">
      <c r="A923" s="22"/>
      <c r="B923" s="16"/>
      <c r="C923" s="23"/>
      <c r="D923" s="24"/>
      <c r="E923" s="25"/>
      <c r="F923" s="26"/>
      <c r="G923" s="27"/>
      <c r="H923" s="20"/>
      <c r="I923" s="21"/>
      <c r="J923" s="28"/>
      <c r="K923" s="19"/>
    </row>
    <row r="924" spans="1:11" ht="13.2">
      <c r="A924" s="22"/>
      <c r="B924" s="16"/>
      <c r="C924" s="23"/>
      <c r="D924" s="24"/>
      <c r="E924" s="25"/>
      <c r="F924" s="26"/>
      <c r="G924" s="27"/>
      <c r="H924" s="20"/>
      <c r="I924" s="21"/>
      <c r="J924" s="28"/>
      <c r="K924" s="19"/>
    </row>
    <row r="925" spans="1:11" ht="13.2">
      <c r="A925" s="22"/>
      <c r="B925" s="16"/>
      <c r="C925" s="23"/>
      <c r="D925" s="24"/>
      <c r="E925" s="25"/>
      <c r="F925" s="26"/>
      <c r="G925" s="27"/>
      <c r="H925" s="20"/>
      <c r="I925" s="21"/>
      <c r="J925" s="28"/>
      <c r="K925" s="19"/>
    </row>
    <row r="926" spans="1:11" ht="13.2">
      <c r="A926" s="22"/>
      <c r="B926" s="16"/>
      <c r="C926" s="23"/>
      <c r="D926" s="24"/>
      <c r="E926" s="25"/>
      <c r="F926" s="26"/>
      <c r="G926" s="27"/>
      <c r="H926" s="20"/>
      <c r="I926" s="21"/>
      <c r="J926" s="28"/>
      <c r="K926" s="19"/>
    </row>
    <row r="927" spans="1:11" ht="13.2">
      <c r="A927" s="22"/>
      <c r="B927" s="16"/>
      <c r="C927" s="23"/>
      <c r="D927" s="24"/>
      <c r="E927" s="25"/>
      <c r="F927" s="26"/>
      <c r="G927" s="27"/>
      <c r="H927" s="20"/>
      <c r="I927" s="21"/>
      <c r="J927" s="28"/>
      <c r="K927" s="19"/>
    </row>
    <row r="928" spans="1:11" ht="13.2">
      <c r="A928" s="22"/>
      <c r="B928" s="16"/>
      <c r="C928" s="23"/>
      <c r="D928" s="24"/>
      <c r="E928" s="25"/>
      <c r="F928" s="26"/>
      <c r="G928" s="27"/>
      <c r="H928" s="20"/>
      <c r="I928" s="21"/>
      <c r="J928" s="28"/>
      <c r="K928" s="19"/>
    </row>
    <row r="929" spans="1:11" ht="13.2">
      <c r="A929" s="22"/>
      <c r="B929" s="16"/>
      <c r="C929" s="23"/>
      <c r="D929" s="24"/>
      <c r="E929" s="25"/>
      <c r="F929" s="26"/>
      <c r="G929" s="27"/>
      <c r="H929" s="20"/>
      <c r="I929" s="21"/>
      <c r="J929" s="28"/>
      <c r="K929" s="19"/>
    </row>
    <row r="930" spans="1:11" ht="13.2">
      <c r="A930" s="22"/>
      <c r="B930" s="16"/>
      <c r="C930" s="23"/>
      <c r="D930" s="24"/>
      <c r="E930" s="25"/>
      <c r="F930" s="26"/>
      <c r="G930" s="27"/>
      <c r="H930" s="20"/>
      <c r="I930" s="21"/>
      <c r="J930" s="28"/>
      <c r="K930" s="19"/>
    </row>
    <row r="931" spans="1:11" ht="13.2">
      <c r="A931" s="22"/>
      <c r="B931" s="16"/>
      <c r="C931" s="23"/>
      <c r="D931" s="24"/>
      <c r="E931" s="25"/>
      <c r="F931" s="26"/>
      <c r="G931" s="27"/>
      <c r="H931" s="20"/>
      <c r="I931" s="21"/>
      <c r="J931" s="28"/>
      <c r="K931" s="19"/>
    </row>
    <row r="932" spans="1:11" ht="13.2">
      <c r="A932" s="22"/>
      <c r="B932" s="16"/>
      <c r="C932" s="23"/>
      <c r="D932" s="24"/>
      <c r="E932" s="25"/>
      <c r="F932" s="26"/>
      <c r="G932" s="27"/>
      <c r="H932" s="20"/>
      <c r="I932" s="21"/>
      <c r="J932" s="28"/>
      <c r="K932" s="19"/>
    </row>
    <row r="933" spans="1:11" ht="13.2">
      <c r="A933" s="22"/>
      <c r="B933" s="16"/>
      <c r="C933" s="23"/>
      <c r="D933" s="24"/>
      <c r="E933" s="25"/>
      <c r="F933" s="26"/>
      <c r="G933" s="27"/>
      <c r="H933" s="20"/>
      <c r="I933" s="21"/>
      <c r="J933" s="28"/>
      <c r="K933" s="19"/>
    </row>
    <row r="934" spans="1:11" ht="13.2">
      <c r="A934" s="22"/>
      <c r="B934" s="16"/>
      <c r="C934" s="23"/>
      <c r="D934" s="24"/>
      <c r="E934" s="25"/>
      <c r="F934" s="26"/>
      <c r="G934" s="27"/>
      <c r="H934" s="20"/>
      <c r="I934" s="21"/>
      <c r="J934" s="28"/>
      <c r="K934" s="19"/>
    </row>
    <row r="935" spans="1:11" ht="13.2">
      <c r="A935" s="22"/>
      <c r="B935" s="16"/>
      <c r="C935" s="23"/>
      <c r="D935" s="24"/>
      <c r="E935" s="25"/>
      <c r="F935" s="26"/>
      <c r="G935" s="27"/>
      <c r="H935" s="20"/>
      <c r="I935" s="21"/>
      <c r="J935" s="28"/>
      <c r="K935" s="19"/>
    </row>
    <row r="936" spans="1:11" ht="13.2">
      <c r="A936" s="22"/>
      <c r="B936" s="16"/>
      <c r="C936" s="23"/>
      <c r="D936" s="24"/>
      <c r="E936" s="25"/>
      <c r="F936" s="26"/>
      <c r="G936" s="27"/>
      <c r="H936" s="20"/>
      <c r="I936" s="21"/>
      <c r="J936" s="28"/>
      <c r="K936" s="19"/>
    </row>
    <row r="937" spans="1:11" ht="13.2">
      <c r="A937" s="22"/>
      <c r="B937" s="16"/>
      <c r="C937" s="23"/>
      <c r="D937" s="24"/>
      <c r="E937" s="25"/>
      <c r="F937" s="26"/>
      <c r="G937" s="27"/>
      <c r="H937" s="20"/>
      <c r="I937" s="21"/>
      <c r="J937" s="28"/>
      <c r="K937" s="19"/>
    </row>
    <row r="938" spans="1:11" ht="13.2">
      <c r="A938" s="22"/>
      <c r="B938" s="16"/>
      <c r="C938" s="23"/>
      <c r="D938" s="24"/>
      <c r="E938" s="25"/>
      <c r="F938" s="26"/>
      <c r="G938" s="27"/>
      <c r="H938" s="20"/>
      <c r="I938" s="21"/>
      <c r="J938" s="28"/>
      <c r="K938" s="19"/>
    </row>
    <row r="939" spans="1:11" ht="13.2">
      <c r="A939" s="22"/>
      <c r="B939" s="16"/>
      <c r="C939" s="23"/>
      <c r="D939" s="24"/>
      <c r="E939" s="25"/>
      <c r="F939" s="26"/>
      <c r="G939" s="27"/>
      <c r="H939" s="20"/>
      <c r="I939" s="21"/>
      <c r="J939" s="28"/>
      <c r="K939" s="19"/>
    </row>
    <row r="940" spans="1:11" ht="13.2">
      <c r="A940" s="22"/>
      <c r="B940" s="16"/>
      <c r="C940" s="23"/>
      <c r="D940" s="24"/>
      <c r="E940" s="25"/>
      <c r="F940" s="26"/>
      <c r="G940" s="27"/>
      <c r="H940" s="20"/>
      <c r="I940" s="21"/>
      <c r="J940" s="28"/>
      <c r="K940" s="19"/>
    </row>
    <row r="941" spans="1:11" ht="13.2">
      <c r="A941" s="22"/>
      <c r="B941" s="16"/>
      <c r="C941" s="23"/>
      <c r="D941" s="24"/>
      <c r="E941" s="25"/>
      <c r="F941" s="26"/>
      <c r="G941" s="27"/>
      <c r="H941" s="20"/>
      <c r="I941" s="21"/>
      <c r="J941" s="28"/>
      <c r="K941" s="19"/>
    </row>
    <row r="942" spans="1:11" ht="13.2">
      <c r="A942" s="22"/>
      <c r="B942" s="16"/>
      <c r="C942" s="23"/>
      <c r="D942" s="24"/>
      <c r="E942" s="25"/>
      <c r="F942" s="26"/>
      <c r="G942" s="27"/>
      <c r="H942" s="20"/>
      <c r="I942" s="21"/>
      <c r="J942" s="28"/>
      <c r="K942" s="19"/>
    </row>
    <row r="943" spans="1:11" ht="13.2">
      <c r="A943" s="22"/>
      <c r="B943" s="16"/>
      <c r="C943" s="23"/>
      <c r="D943" s="24"/>
      <c r="E943" s="25"/>
      <c r="F943" s="26"/>
      <c r="G943" s="27"/>
      <c r="H943" s="20"/>
      <c r="I943" s="21"/>
      <c r="J943" s="28"/>
      <c r="K943" s="19"/>
    </row>
    <row r="944" spans="1:11" ht="13.2">
      <c r="A944" s="22"/>
      <c r="B944" s="16"/>
      <c r="C944" s="23"/>
      <c r="D944" s="24"/>
      <c r="E944" s="25"/>
      <c r="F944" s="26"/>
      <c r="G944" s="27"/>
      <c r="H944" s="20"/>
      <c r="I944" s="21"/>
      <c r="J944" s="28"/>
      <c r="K944" s="19"/>
    </row>
    <row r="945" spans="1:11" ht="13.2">
      <c r="A945" s="22"/>
      <c r="B945" s="16"/>
      <c r="C945" s="23"/>
      <c r="D945" s="24"/>
      <c r="E945" s="25"/>
      <c r="F945" s="26"/>
      <c r="G945" s="27"/>
      <c r="H945" s="20"/>
      <c r="I945" s="21"/>
      <c r="J945" s="28"/>
      <c r="K945" s="19"/>
    </row>
    <row r="946" spans="1:11" ht="13.2">
      <c r="A946" s="22"/>
      <c r="B946" s="16"/>
      <c r="C946" s="23"/>
      <c r="D946" s="24"/>
      <c r="E946" s="25"/>
      <c r="F946" s="26"/>
      <c r="G946" s="27"/>
      <c r="H946" s="20"/>
      <c r="I946" s="21"/>
      <c r="J946" s="28"/>
      <c r="K946" s="19"/>
    </row>
    <row r="947" spans="1:11" ht="13.2">
      <c r="A947" s="22"/>
      <c r="B947" s="16"/>
      <c r="C947" s="23"/>
      <c r="D947" s="24"/>
      <c r="E947" s="25"/>
      <c r="F947" s="26"/>
      <c r="G947" s="27"/>
      <c r="H947" s="20"/>
      <c r="I947" s="21"/>
      <c r="J947" s="28"/>
      <c r="K947" s="19"/>
    </row>
    <row r="948" spans="1:11" ht="13.2">
      <c r="A948" s="22"/>
      <c r="B948" s="16"/>
      <c r="C948" s="23"/>
      <c r="D948" s="24"/>
      <c r="E948" s="25"/>
      <c r="F948" s="26"/>
      <c r="G948" s="27"/>
      <c r="H948" s="20"/>
      <c r="I948" s="21"/>
      <c r="J948" s="28"/>
      <c r="K948" s="19"/>
    </row>
    <row r="949" spans="1:11" ht="13.2">
      <c r="A949" s="22"/>
      <c r="B949" s="16"/>
      <c r="C949" s="23"/>
      <c r="D949" s="24"/>
      <c r="E949" s="25"/>
      <c r="F949" s="26"/>
      <c r="G949" s="27"/>
      <c r="H949" s="20"/>
      <c r="I949" s="21"/>
      <c r="J949" s="28"/>
      <c r="K949" s="19"/>
    </row>
    <row r="950" spans="1:11" ht="13.2">
      <c r="A950" s="22"/>
      <c r="B950" s="16"/>
      <c r="C950" s="23"/>
      <c r="D950" s="24"/>
      <c r="E950" s="25"/>
      <c r="F950" s="26"/>
      <c r="G950" s="27"/>
      <c r="H950" s="20"/>
      <c r="I950" s="21"/>
      <c r="J950" s="28"/>
      <c r="K950" s="19"/>
    </row>
    <row r="951" spans="1:11" ht="13.2">
      <c r="A951" s="22"/>
      <c r="B951" s="16"/>
      <c r="C951" s="23"/>
      <c r="D951" s="24"/>
      <c r="E951" s="25"/>
      <c r="F951" s="26"/>
      <c r="G951" s="27"/>
      <c r="H951" s="20"/>
      <c r="I951" s="21"/>
      <c r="J951" s="28"/>
      <c r="K951" s="19"/>
    </row>
    <row r="952" spans="1:11" ht="13.2">
      <c r="A952" s="22"/>
      <c r="B952" s="16"/>
      <c r="C952" s="23"/>
      <c r="D952" s="24"/>
      <c r="E952" s="25"/>
      <c r="F952" s="26"/>
      <c r="G952" s="27"/>
      <c r="H952" s="20"/>
      <c r="I952" s="21"/>
      <c r="J952" s="28"/>
      <c r="K952" s="19"/>
    </row>
    <row r="953" spans="1:11" ht="13.2">
      <c r="A953" s="22"/>
      <c r="B953" s="16"/>
      <c r="C953" s="23"/>
      <c r="D953" s="24"/>
      <c r="E953" s="25"/>
      <c r="F953" s="26"/>
      <c r="G953" s="27"/>
      <c r="H953" s="20"/>
      <c r="I953" s="21"/>
      <c r="J953" s="28"/>
      <c r="K953" s="19"/>
    </row>
    <row r="954" spans="1:11" ht="13.2">
      <c r="A954" s="22"/>
      <c r="B954" s="16"/>
      <c r="C954" s="23"/>
      <c r="D954" s="24"/>
      <c r="E954" s="25"/>
      <c r="F954" s="26"/>
      <c r="G954" s="27"/>
      <c r="H954" s="20"/>
      <c r="I954" s="21"/>
      <c r="J954" s="28"/>
      <c r="K954" s="19"/>
    </row>
    <row r="955" spans="1:11" ht="13.2">
      <c r="A955" s="22"/>
      <c r="B955" s="16"/>
      <c r="C955" s="23"/>
      <c r="D955" s="24"/>
      <c r="E955" s="25"/>
      <c r="F955" s="26"/>
      <c r="G955" s="27"/>
      <c r="H955" s="20"/>
      <c r="I955" s="21"/>
      <c r="J955" s="28"/>
      <c r="K955" s="19"/>
    </row>
    <row r="956" spans="1:11" ht="13.2">
      <c r="A956" s="22"/>
      <c r="B956" s="16"/>
      <c r="C956" s="23"/>
      <c r="D956" s="24"/>
      <c r="E956" s="25"/>
      <c r="F956" s="26"/>
      <c r="G956" s="27"/>
      <c r="H956" s="20"/>
      <c r="I956" s="21"/>
      <c r="J956" s="28"/>
      <c r="K956" s="19"/>
    </row>
    <row r="957" spans="1:11" ht="13.2">
      <c r="A957" s="22"/>
      <c r="B957" s="16"/>
      <c r="C957" s="23"/>
      <c r="D957" s="24"/>
      <c r="E957" s="25"/>
      <c r="F957" s="26"/>
      <c r="G957" s="27"/>
      <c r="H957" s="20"/>
      <c r="I957" s="21"/>
      <c r="J957" s="28"/>
      <c r="K957" s="19"/>
    </row>
    <row r="958" spans="1:11" ht="13.2">
      <c r="A958" s="22"/>
      <c r="B958" s="16"/>
      <c r="C958" s="23"/>
      <c r="D958" s="24"/>
      <c r="E958" s="25"/>
      <c r="F958" s="26"/>
      <c r="G958" s="27"/>
      <c r="H958" s="20"/>
      <c r="I958" s="21"/>
      <c r="J958" s="28"/>
      <c r="K958" s="19"/>
    </row>
    <row r="959" spans="1:11" ht="13.2">
      <c r="A959" s="22"/>
      <c r="B959" s="16"/>
      <c r="C959" s="23"/>
      <c r="D959" s="24"/>
      <c r="E959" s="25"/>
      <c r="F959" s="26"/>
      <c r="G959" s="27"/>
      <c r="H959" s="20"/>
      <c r="I959" s="21"/>
      <c r="J959" s="28"/>
      <c r="K959" s="19"/>
    </row>
    <row r="960" spans="1:11" ht="13.2">
      <c r="A960" s="22"/>
      <c r="B960" s="16"/>
      <c r="C960" s="23"/>
      <c r="D960" s="24"/>
      <c r="E960" s="25"/>
      <c r="F960" s="26"/>
      <c r="G960" s="27"/>
      <c r="H960" s="20"/>
      <c r="I960" s="21"/>
      <c r="J960" s="28"/>
      <c r="K960" s="19"/>
    </row>
    <row r="961" spans="1:11" ht="13.2">
      <c r="A961" s="22"/>
      <c r="B961" s="16"/>
      <c r="C961" s="23"/>
      <c r="D961" s="24"/>
      <c r="E961" s="25"/>
      <c r="F961" s="26"/>
      <c r="G961" s="27"/>
      <c r="H961" s="20"/>
      <c r="I961" s="21"/>
      <c r="J961" s="28"/>
      <c r="K961" s="19"/>
    </row>
    <row r="962" spans="1:11" ht="13.2">
      <c r="A962" s="22"/>
      <c r="B962" s="16"/>
      <c r="C962" s="23"/>
      <c r="D962" s="24"/>
      <c r="E962" s="25"/>
      <c r="F962" s="26"/>
      <c r="G962" s="27"/>
      <c r="H962" s="20"/>
      <c r="I962" s="21"/>
      <c r="J962" s="28"/>
      <c r="K962" s="19"/>
    </row>
    <row r="963" spans="1:11" ht="13.2">
      <c r="A963" s="22"/>
      <c r="B963" s="16"/>
      <c r="C963" s="23"/>
      <c r="D963" s="24"/>
      <c r="E963" s="25"/>
      <c r="F963" s="26"/>
      <c r="G963" s="27"/>
      <c r="H963" s="20"/>
      <c r="I963" s="21"/>
      <c r="J963" s="28"/>
      <c r="K963" s="19"/>
    </row>
    <row r="964" spans="1:11" ht="13.2">
      <c r="A964" s="22"/>
      <c r="B964" s="16"/>
      <c r="C964" s="23"/>
      <c r="D964" s="24"/>
      <c r="E964" s="25"/>
      <c r="F964" s="26"/>
      <c r="G964" s="27"/>
      <c r="H964" s="20"/>
      <c r="I964" s="21"/>
      <c r="J964" s="28"/>
      <c r="K964" s="19"/>
    </row>
    <row r="965" spans="1:11" ht="13.2">
      <c r="A965" s="22"/>
      <c r="B965" s="16"/>
      <c r="C965" s="23"/>
      <c r="D965" s="24"/>
      <c r="E965" s="25"/>
      <c r="F965" s="26"/>
      <c r="G965" s="27"/>
      <c r="H965" s="20"/>
      <c r="I965" s="21"/>
      <c r="J965" s="28"/>
      <c r="K965" s="19"/>
    </row>
    <row r="966" spans="1:11" ht="13.2">
      <c r="A966" s="22"/>
      <c r="B966" s="16"/>
      <c r="C966" s="23"/>
      <c r="D966" s="24"/>
      <c r="E966" s="25"/>
      <c r="F966" s="26"/>
      <c r="G966" s="27"/>
      <c r="H966" s="20"/>
      <c r="I966" s="21"/>
      <c r="J966" s="28"/>
      <c r="K966" s="19"/>
    </row>
    <row r="967" spans="1:11" ht="13.2">
      <c r="A967" s="22"/>
      <c r="B967" s="16"/>
      <c r="C967" s="23"/>
      <c r="D967" s="24"/>
      <c r="E967" s="25"/>
      <c r="F967" s="26"/>
      <c r="G967" s="27"/>
      <c r="H967" s="20"/>
      <c r="I967" s="21"/>
      <c r="J967" s="28"/>
      <c r="K967" s="19"/>
    </row>
    <row r="968" spans="1:11" ht="13.2">
      <c r="A968" s="22"/>
      <c r="B968" s="16"/>
      <c r="C968" s="23"/>
      <c r="D968" s="24"/>
      <c r="E968" s="25"/>
      <c r="F968" s="26"/>
      <c r="G968" s="27"/>
      <c r="H968" s="20"/>
      <c r="I968" s="21"/>
      <c r="J968" s="28"/>
      <c r="K968" s="19"/>
    </row>
    <row r="969" spans="1:11" ht="13.2">
      <c r="A969" s="22"/>
      <c r="B969" s="16"/>
      <c r="C969" s="23"/>
      <c r="D969" s="24"/>
      <c r="E969" s="25"/>
      <c r="F969" s="26"/>
      <c r="G969" s="27"/>
      <c r="H969" s="20"/>
      <c r="I969" s="21"/>
      <c r="J969" s="28"/>
      <c r="K969" s="19"/>
    </row>
    <row r="970" spans="1:11" ht="13.2">
      <c r="A970" s="22"/>
      <c r="B970" s="16"/>
      <c r="C970" s="23"/>
      <c r="D970" s="24"/>
      <c r="E970" s="25"/>
      <c r="F970" s="26"/>
      <c r="G970" s="27"/>
      <c r="H970" s="20"/>
      <c r="I970" s="21"/>
      <c r="J970" s="28"/>
      <c r="K970" s="19"/>
    </row>
    <row r="971" spans="1:11" ht="13.2">
      <c r="A971" s="22"/>
      <c r="B971" s="16"/>
      <c r="C971" s="23"/>
      <c r="D971" s="24"/>
      <c r="E971" s="25"/>
      <c r="F971" s="26"/>
      <c r="G971" s="27"/>
      <c r="H971" s="20"/>
      <c r="I971" s="21"/>
      <c r="J971" s="28"/>
      <c r="K971" s="19"/>
    </row>
    <row r="972" spans="1:11" ht="13.2">
      <c r="A972" s="22"/>
      <c r="B972" s="16"/>
      <c r="C972" s="23"/>
      <c r="D972" s="24"/>
      <c r="E972" s="25"/>
      <c r="F972" s="26"/>
      <c r="G972" s="27"/>
      <c r="H972" s="20"/>
      <c r="I972" s="21"/>
      <c r="J972" s="28"/>
      <c r="K972" s="19"/>
    </row>
    <row r="973" spans="1:11" ht="13.2">
      <c r="A973" s="22"/>
      <c r="B973" s="16"/>
      <c r="C973" s="23"/>
      <c r="D973" s="24"/>
      <c r="E973" s="25"/>
      <c r="F973" s="26"/>
      <c r="G973" s="27"/>
      <c r="H973" s="20"/>
      <c r="I973" s="21"/>
      <c r="J973" s="28"/>
      <c r="K973" s="19"/>
    </row>
    <row r="974" spans="1:11" ht="13.2">
      <c r="A974" s="22"/>
      <c r="B974" s="16"/>
      <c r="C974" s="23"/>
      <c r="D974" s="24"/>
      <c r="E974" s="25"/>
      <c r="F974" s="26"/>
      <c r="G974" s="27"/>
      <c r="H974" s="20"/>
      <c r="I974" s="21"/>
      <c r="J974" s="28"/>
      <c r="K974" s="19"/>
    </row>
    <row r="975" spans="1:11" ht="13.2">
      <c r="A975" s="22"/>
      <c r="B975" s="16"/>
      <c r="C975" s="23"/>
      <c r="D975" s="24"/>
      <c r="E975" s="25"/>
      <c r="F975" s="26"/>
      <c r="G975" s="27"/>
      <c r="H975" s="20"/>
      <c r="I975" s="21"/>
      <c r="J975" s="28"/>
      <c r="K975" s="19"/>
    </row>
    <row r="976" spans="1:11" ht="13.2">
      <c r="A976" s="22"/>
      <c r="B976" s="16"/>
      <c r="C976" s="23"/>
      <c r="D976" s="24"/>
      <c r="E976" s="25"/>
      <c r="F976" s="26"/>
      <c r="G976" s="27"/>
      <c r="H976" s="20"/>
      <c r="I976" s="21"/>
      <c r="J976" s="28"/>
      <c r="K976" s="19"/>
    </row>
    <row r="977" spans="1:11" ht="13.2">
      <c r="A977" s="22"/>
      <c r="B977" s="16"/>
      <c r="C977" s="23"/>
      <c r="D977" s="24"/>
      <c r="E977" s="25"/>
      <c r="F977" s="26"/>
      <c r="G977" s="27"/>
      <c r="H977" s="20"/>
      <c r="I977" s="21"/>
      <c r="J977" s="28"/>
      <c r="K977" s="19"/>
    </row>
    <row r="978" spans="1:11" ht="13.2">
      <c r="A978" s="22"/>
      <c r="B978" s="16"/>
      <c r="C978" s="23"/>
      <c r="D978" s="24"/>
      <c r="E978" s="25"/>
      <c r="F978" s="26"/>
      <c r="G978" s="27"/>
      <c r="H978" s="20"/>
      <c r="I978" s="21"/>
      <c r="J978" s="28"/>
      <c r="K978" s="19"/>
    </row>
    <row r="979" spans="1:11" ht="13.2">
      <c r="A979" s="22"/>
      <c r="B979" s="16"/>
      <c r="C979" s="23"/>
      <c r="D979" s="24"/>
      <c r="E979" s="25"/>
      <c r="F979" s="26"/>
      <c r="G979" s="27"/>
      <c r="H979" s="20"/>
      <c r="I979" s="21"/>
      <c r="J979" s="28"/>
      <c r="K979" s="19"/>
    </row>
    <row r="980" spans="1:11" ht="13.2">
      <c r="A980" s="22"/>
      <c r="B980" s="16"/>
      <c r="C980" s="23"/>
      <c r="D980" s="24"/>
      <c r="E980" s="25"/>
      <c r="F980" s="26"/>
      <c r="G980" s="27"/>
      <c r="H980" s="20"/>
      <c r="I980" s="21"/>
      <c r="J980" s="28"/>
      <c r="K980" s="19"/>
    </row>
    <row r="981" spans="1:11" ht="13.2">
      <c r="A981" s="22"/>
      <c r="B981" s="16"/>
      <c r="C981" s="23"/>
      <c r="D981" s="24"/>
      <c r="E981" s="25"/>
      <c r="F981" s="26"/>
      <c r="G981" s="27"/>
      <c r="H981" s="20"/>
      <c r="I981" s="21"/>
      <c r="J981" s="28"/>
      <c r="K981" s="19"/>
    </row>
    <row r="982" spans="1:11" ht="13.2">
      <c r="A982" s="22"/>
      <c r="B982" s="16"/>
      <c r="C982" s="23"/>
      <c r="D982" s="24"/>
      <c r="E982" s="25"/>
      <c r="F982" s="26"/>
      <c r="G982" s="27"/>
      <c r="H982" s="20"/>
      <c r="I982" s="21"/>
      <c r="J982" s="28"/>
      <c r="K982" s="19"/>
    </row>
    <row r="983" spans="1:11" ht="13.2">
      <c r="A983" s="22"/>
      <c r="B983" s="16"/>
      <c r="C983" s="23"/>
      <c r="D983" s="24"/>
      <c r="E983" s="25"/>
      <c r="F983" s="26"/>
      <c r="G983" s="27"/>
      <c r="H983" s="20"/>
      <c r="I983" s="21"/>
      <c r="J983" s="28"/>
      <c r="K983" s="19"/>
    </row>
    <row r="984" spans="1:11" ht="13.2">
      <c r="A984" s="22"/>
      <c r="B984" s="16"/>
      <c r="C984" s="23"/>
      <c r="D984" s="24"/>
      <c r="E984" s="25"/>
      <c r="F984" s="26"/>
      <c r="G984" s="27"/>
      <c r="H984" s="20"/>
      <c r="I984" s="21"/>
      <c r="J984" s="28"/>
      <c r="K984" s="19"/>
    </row>
    <row r="985" spans="1:11" ht="13.2">
      <c r="A985" s="22"/>
      <c r="B985" s="16"/>
      <c r="C985" s="23"/>
      <c r="D985" s="24"/>
      <c r="E985" s="25"/>
      <c r="F985" s="26"/>
      <c r="G985" s="27"/>
      <c r="H985" s="20"/>
      <c r="I985" s="21"/>
      <c r="J985" s="28"/>
      <c r="K985" s="19"/>
    </row>
    <row r="986" spans="1:11" ht="13.2">
      <c r="A986" s="22"/>
      <c r="B986" s="16"/>
      <c r="C986" s="23"/>
      <c r="D986" s="24"/>
      <c r="E986" s="25"/>
      <c r="F986" s="26"/>
      <c r="G986" s="27"/>
      <c r="H986" s="20"/>
      <c r="I986" s="21"/>
      <c r="J986" s="28"/>
      <c r="K986" s="19"/>
    </row>
    <row r="987" spans="1:11" ht="13.2">
      <c r="A987" s="22"/>
      <c r="B987" s="16"/>
      <c r="C987" s="23"/>
      <c r="D987" s="24"/>
      <c r="E987" s="25"/>
      <c r="F987" s="26"/>
      <c r="G987" s="27"/>
      <c r="H987" s="20"/>
      <c r="I987" s="21"/>
      <c r="J987" s="28"/>
      <c r="K987" s="19"/>
    </row>
    <row r="988" spans="1:11" ht="13.2">
      <c r="A988" s="22"/>
      <c r="B988" s="16"/>
      <c r="C988" s="23"/>
      <c r="D988" s="24"/>
      <c r="E988" s="25"/>
      <c r="F988" s="26"/>
      <c r="G988" s="27"/>
      <c r="H988" s="20"/>
      <c r="I988" s="21"/>
      <c r="J988" s="28"/>
      <c r="K988" s="19"/>
    </row>
    <row r="989" spans="1:11" ht="13.2">
      <c r="A989" s="22"/>
      <c r="B989" s="16"/>
      <c r="C989" s="23"/>
      <c r="D989" s="24"/>
      <c r="E989" s="25"/>
      <c r="F989" s="26"/>
      <c r="G989" s="27"/>
      <c r="H989" s="20"/>
      <c r="I989" s="21"/>
      <c r="J989" s="28"/>
      <c r="K989" s="19"/>
    </row>
    <row r="990" spans="1:11" ht="13.2">
      <c r="A990" s="22"/>
      <c r="B990" s="16"/>
      <c r="C990" s="23"/>
      <c r="D990" s="24"/>
      <c r="E990" s="25"/>
      <c r="F990" s="26"/>
      <c r="G990" s="27"/>
      <c r="H990" s="20"/>
      <c r="I990" s="21"/>
      <c r="J990" s="28"/>
      <c r="K990" s="19"/>
    </row>
    <row r="991" spans="1:11" ht="13.2">
      <c r="A991" s="22"/>
      <c r="B991" s="16"/>
      <c r="C991" s="23"/>
      <c r="D991" s="24"/>
      <c r="E991" s="25"/>
      <c r="F991" s="26"/>
      <c r="G991" s="27"/>
      <c r="H991" s="20"/>
      <c r="I991" s="21"/>
      <c r="J991" s="28"/>
      <c r="K991" s="19"/>
    </row>
    <row r="992" spans="1:11" ht="13.2">
      <c r="A992" s="22"/>
      <c r="B992" s="16"/>
      <c r="C992" s="23"/>
      <c r="D992" s="24"/>
      <c r="E992" s="25"/>
      <c r="F992" s="26"/>
      <c r="G992" s="27"/>
      <c r="H992" s="20"/>
      <c r="I992" s="21"/>
      <c r="J992" s="28"/>
      <c r="K992" s="19"/>
    </row>
    <row r="993" spans="1:11" ht="13.2">
      <c r="A993" s="22"/>
      <c r="B993" s="16"/>
      <c r="C993" s="23"/>
      <c r="D993" s="24"/>
      <c r="E993" s="25"/>
      <c r="F993" s="26"/>
      <c r="G993" s="27"/>
      <c r="H993" s="20"/>
      <c r="I993" s="21"/>
      <c r="J993" s="28"/>
      <c r="K993" s="19"/>
    </row>
    <row r="994" spans="1:11" ht="13.2">
      <c r="A994" s="22"/>
      <c r="B994" s="16"/>
      <c r="C994" s="23"/>
      <c r="D994" s="24"/>
      <c r="E994" s="25"/>
      <c r="F994" s="26"/>
      <c r="G994" s="27"/>
      <c r="H994" s="20"/>
      <c r="I994" s="21"/>
      <c r="J994" s="28"/>
      <c r="K994" s="19"/>
    </row>
    <row r="995" spans="1:11" ht="13.2">
      <c r="A995" s="22"/>
      <c r="B995" s="16"/>
      <c r="C995" s="23"/>
      <c r="D995" s="24"/>
      <c r="E995" s="25"/>
      <c r="F995" s="26"/>
      <c r="G995" s="27"/>
      <c r="H995" s="20"/>
      <c r="I995" s="21"/>
      <c r="J995" s="28"/>
      <c r="K995" s="19"/>
    </row>
    <row r="996" spans="1:11" ht="13.2">
      <c r="A996" s="22"/>
      <c r="B996" s="16"/>
      <c r="C996" s="23"/>
      <c r="D996" s="24"/>
      <c r="E996" s="25"/>
      <c r="F996" s="26"/>
      <c r="G996" s="27"/>
      <c r="H996" s="20"/>
      <c r="I996" s="21"/>
      <c r="J996" s="28"/>
      <c r="K996" s="19"/>
    </row>
    <row r="997" spans="1:11" ht="13.2">
      <c r="A997" s="22"/>
      <c r="B997" s="16"/>
      <c r="C997" s="23"/>
      <c r="D997" s="24"/>
      <c r="E997" s="25"/>
      <c r="F997" s="26"/>
      <c r="G997" s="27"/>
      <c r="H997" s="20"/>
      <c r="I997" s="21"/>
      <c r="J997" s="28"/>
      <c r="K997" s="19"/>
    </row>
    <row r="998" spans="1:11" ht="13.2">
      <c r="A998" s="22"/>
      <c r="B998" s="16"/>
      <c r="C998" s="23"/>
      <c r="D998" s="24"/>
      <c r="E998" s="25"/>
      <c r="F998" s="26"/>
      <c r="G998" s="27"/>
      <c r="H998" s="20"/>
      <c r="I998" s="21"/>
      <c r="J998" s="28"/>
      <c r="K998" s="19"/>
    </row>
    <row r="999" spans="1:11" ht="13.2">
      <c r="A999" s="22"/>
      <c r="B999" s="16"/>
      <c r="C999" s="23"/>
      <c r="D999" s="24"/>
      <c r="E999" s="25"/>
      <c r="F999" s="26"/>
      <c r="G999" s="27"/>
      <c r="H999" s="20"/>
      <c r="I999" s="21"/>
      <c r="J999" s="28"/>
      <c r="K999" s="19"/>
    </row>
    <row r="1000" spans="1:11" ht="13.2">
      <c r="A1000" s="22"/>
      <c r="B1000" s="16"/>
      <c r="C1000" s="23"/>
      <c r="D1000" s="24"/>
      <c r="E1000" s="25"/>
      <c r="F1000" s="26"/>
      <c r="G1000" s="27"/>
      <c r="H1000" s="20"/>
      <c r="I1000" s="21"/>
      <c r="J1000" s="28"/>
      <c r="K1000" s="19"/>
    </row>
    <row r="1001" spans="1:11" ht="13.2">
      <c r="A1001" s="22"/>
      <c r="B1001" s="16"/>
      <c r="C1001" s="23"/>
      <c r="D1001" s="24"/>
      <c r="E1001" s="25"/>
      <c r="F1001" s="26"/>
      <c r="G1001" s="27"/>
      <c r="H1001" s="20"/>
      <c r="I1001" s="21"/>
      <c r="J1001" s="28"/>
      <c r="K1001" s="19"/>
    </row>
    <row r="1002" spans="1:11" ht="13.2">
      <c r="A1002" s="22"/>
      <c r="B1002" s="16"/>
      <c r="C1002" s="23"/>
      <c r="D1002" s="24"/>
      <c r="E1002" s="25"/>
      <c r="F1002" s="26"/>
      <c r="G1002" s="27"/>
      <c r="H1002" s="20"/>
      <c r="I1002" s="21"/>
      <c r="J1002" s="28"/>
      <c r="K1002" s="19"/>
    </row>
    <row r="1003" spans="1:11" ht="13.2">
      <c r="A1003" s="22"/>
      <c r="B1003" s="16"/>
      <c r="C1003" s="23"/>
      <c r="D1003" s="24"/>
      <c r="E1003" s="25"/>
      <c r="F1003" s="26"/>
      <c r="G1003" s="27"/>
      <c r="H1003" s="20"/>
      <c r="I1003" s="21"/>
      <c r="J1003" s="28"/>
      <c r="K1003" s="19"/>
    </row>
    <row r="1004" spans="1:11" ht="13.2">
      <c r="A1004" s="22"/>
      <c r="B1004" s="16"/>
      <c r="C1004" s="23"/>
      <c r="D1004" s="24"/>
      <c r="E1004" s="25"/>
      <c r="F1004" s="26"/>
      <c r="G1004" s="27"/>
      <c r="H1004" s="20"/>
      <c r="I1004" s="21"/>
      <c r="J1004" s="28"/>
      <c r="K1004" s="19"/>
    </row>
    <row r="1005" spans="1:11" ht="13.2">
      <c r="A1005" s="22"/>
      <c r="B1005" s="16"/>
      <c r="C1005" s="23"/>
      <c r="D1005" s="24"/>
      <c r="E1005" s="25"/>
      <c r="F1005" s="26"/>
      <c r="G1005" s="27"/>
      <c r="H1005" s="20"/>
      <c r="I1005" s="21"/>
      <c r="J1005" s="28"/>
      <c r="K1005" s="19"/>
    </row>
    <row r="1006" spans="1:11" ht="13.2">
      <c r="A1006" s="22"/>
      <c r="B1006" s="16"/>
      <c r="C1006" s="23"/>
      <c r="D1006" s="24"/>
      <c r="E1006" s="25"/>
      <c r="F1006" s="26"/>
      <c r="G1006" s="27"/>
      <c r="H1006" s="20"/>
      <c r="I1006" s="21"/>
      <c r="J1006" s="28"/>
      <c r="K1006" s="19"/>
    </row>
    <row r="1007" spans="1:11" ht="13.2">
      <c r="A1007" s="22"/>
      <c r="B1007" s="16"/>
      <c r="C1007" s="23"/>
      <c r="D1007" s="24"/>
      <c r="E1007" s="25"/>
      <c r="F1007" s="26"/>
      <c r="G1007" s="27"/>
      <c r="H1007" s="20"/>
      <c r="I1007" s="21"/>
      <c r="J1007" s="28"/>
      <c r="K1007" s="19"/>
    </row>
    <row r="1008" spans="1:11" ht="13.2">
      <c r="A1008" s="22"/>
      <c r="B1008" s="16"/>
      <c r="C1008" s="23"/>
      <c r="D1008" s="24"/>
      <c r="E1008" s="25"/>
      <c r="F1008" s="26"/>
      <c r="G1008" s="27"/>
      <c r="H1008" s="20"/>
      <c r="I1008" s="21"/>
      <c r="J1008" s="28"/>
      <c r="K1008" s="19"/>
    </row>
    <row r="1009" spans="1:11" ht="13.2">
      <c r="A1009" s="22"/>
      <c r="B1009" s="16"/>
      <c r="C1009" s="23"/>
      <c r="D1009" s="24"/>
      <c r="E1009" s="25"/>
      <c r="F1009" s="26"/>
      <c r="G1009" s="27"/>
      <c r="H1009" s="20"/>
      <c r="I1009" s="21"/>
      <c r="J1009" s="28"/>
      <c r="K1009" s="19"/>
    </row>
    <row r="1010" spans="1:11" ht="13.2">
      <c r="A1010" s="22"/>
      <c r="B1010" s="16"/>
      <c r="C1010" s="23"/>
      <c r="D1010" s="24"/>
      <c r="E1010" s="25"/>
      <c r="F1010" s="26"/>
      <c r="G1010" s="27"/>
      <c r="H1010" s="20"/>
      <c r="I1010" s="21"/>
      <c r="J1010" s="28"/>
      <c r="K1010" s="19"/>
    </row>
    <row r="1011" spans="1:11" ht="13.2">
      <c r="A1011" s="22"/>
      <c r="B1011" s="16"/>
      <c r="C1011" s="23"/>
      <c r="D1011" s="24"/>
      <c r="E1011" s="25"/>
      <c r="F1011" s="26"/>
      <c r="G1011" s="27"/>
      <c r="H1011" s="20"/>
      <c r="I1011" s="21"/>
      <c r="J1011" s="28"/>
      <c r="K1011" s="19"/>
    </row>
    <row r="1012" spans="1:11" ht="13.2">
      <c r="A1012" s="22"/>
      <c r="B1012" s="16"/>
      <c r="C1012" s="23"/>
      <c r="D1012" s="24"/>
      <c r="E1012" s="25"/>
      <c r="F1012" s="26"/>
      <c r="G1012" s="27"/>
      <c r="H1012" s="20"/>
      <c r="I1012" s="21"/>
      <c r="J1012" s="28"/>
      <c r="K1012" s="19"/>
    </row>
    <row r="1013" spans="1:11" ht="13.2">
      <c r="A1013" s="22"/>
      <c r="B1013" s="16"/>
      <c r="C1013" s="23"/>
      <c r="D1013" s="24"/>
      <c r="E1013" s="25"/>
      <c r="F1013" s="26"/>
      <c r="G1013" s="27"/>
      <c r="H1013" s="20"/>
      <c r="I1013" s="21"/>
      <c r="J1013" s="28"/>
      <c r="K1013" s="19"/>
    </row>
    <row r="1014" spans="1:11" ht="13.2">
      <c r="A1014" s="22"/>
      <c r="B1014" s="16"/>
      <c r="C1014" s="23"/>
      <c r="D1014" s="24"/>
      <c r="E1014" s="25"/>
      <c r="F1014" s="26"/>
      <c r="G1014" s="27"/>
      <c r="H1014" s="20"/>
      <c r="I1014" s="21"/>
      <c r="J1014" s="28"/>
      <c r="K1014" s="19"/>
    </row>
    <row r="1015" spans="1:11" ht="13.2">
      <c r="A1015" s="22"/>
      <c r="B1015" s="16"/>
      <c r="C1015" s="23"/>
      <c r="D1015" s="24"/>
      <c r="E1015" s="25"/>
      <c r="F1015" s="26"/>
      <c r="G1015" s="27"/>
      <c r="H1015" s="20"/>
      <c r="I1015" s="21"/>
      <c r="J1015" s="28"/>
      <c r="K1015" s="19"/>
    </row>
    <row r="1016" spans="1:11" ht="13.2">
      <c r="A1016" s="22"/>
      <c r="B1016" s="16"/>
      <c r="C1016" s="23"/>
      <c r="D1016" s="24"/>
      <c r="E1016" s="25"/>
      <c r="F1016" s="26"/>
      <c r="G1016" s="27"/>
      <c r="H1016" s="20"/>
      <c r="I1016" s="21"/>
      <c r="J1016" s="28"/>
      <c r="K1016" s="19"/>
    </row>
    <row r="1017" spans="1:11" ht="13.2">
      <c r="A1017" s="22"/>
      <c r="B1017" s="16"/>
      <c r="C1017" s="23"/>
      <c r="D1017" s="24"/>
      <c r="E1017" s="25"/>
      <c r="F1017" s="26"/>
      <c r="G1017" s="27"/>
      <c r="H1017" s="20"/>
      <c r="I1017" s="21"/>
      <c r="J1017" s="28"/>
      <c r="K1017" s="19"/>
    </row>
    <row r="1018" spans="1:11" ht="13.2">
      <c r="A1018" s="22"/>
      <c r="B1018" s="16"/>
      <c r="C1018" s="23"/>
      <c r="D1018" s="24"/>
      <c r="E1018" s="25"/>
      <c r="F1018" s="26"/>
      <c r="G1018" s="27"/>
      <c r="H1018" s="20"/>
      <c r="I1018" s="21"/>
      <c r="J1018" s="28"/>
      <c r="K1018" s="19"/>
    </row>
    <row r="1019" spans="1:11" ht="13.2">
      <c r="A1019" s="22"/>
      <c r="B1019" s="16"/>
      <c r="C1019" s="23"/>
      <c r="D1019" s="24"/>
      <c r="E1019" s="25"/>
      <c r="F1019" s="26"/>
      <c r="G1019" s="27"/>
      <c r="H1019" s="20"/>
      <c r="I1019" s="21"/>
      <c r="J1019" s="28"/>
      <c r="K1019" s="19"/>
    </row>
    <row r="1020" spans="1:11" ht="13.2">
      <c r="A1020" s="22"/>
      <c r="B1020" s="16"/>
      <c r="C1020" s="23"/>
      <c r="D1020" s="24"/>
      <c r="E1020" s="25"/>
      <c r="F1020" s="26"/>
      <c r="G1020" s="27"/>
      <c r="H1020" s="20"/>
      <c r="I1020" s="21"/>
      <c r="J1020" s="28"/>
      <c r="K1020" s="19"/>
    </row>
    <row r="1021" spans="1:11" ht="13.2">
      <c r="A1021" s="22"/>
      <c r="B1021" s="16"/>
      <c r="C1021" s="23"/>
      <c r="D1021" s="24"/>
      <c r="E1021" s="25"/>
      <c r="F1021" s="26"/>
      <c r="G1021" s="27"/>
      <c r="H1021" s="20"/>
      <c r="I1021" s="21"/>
      <c r="J1021" s="28"/>
      <c r="K1021" s="19"/>
    </row>
    <row r="1022" spans="1:11" ht="13.2">
      <c r="A1022" s="22"/>
      <c r="B1022" s="16"/>
      <c r="C1022" s="23"/>
      <c r="D1022" s="24"/>
      <c r="E1022" s="25"/>
      <c r="F1022" s="26"/>
      <c r="G1022" s="27"/>
      <c r="H1022" s="20"/>
      <c r="I1022" s="21"/>
      <c r="J1022" s="28"/>
      <c r="K1022" s="19"/>
    </row>
    <row r="1023" spans="1:11" ht="13.2">
      <c r="A1023" s="22"/>
      <c r="B1023" s="16"/>
      <c r="C1023" s="23"/>
      <c r="D1023" s="24"/>
      <c r="E1023" s="25"/>
      <c r="F1023" s="26"/>
      <c r="G1023" s="27"/>
      <c r="H1023" s="20"/>
      <c r="I1023" s="21"/>
      <c r="J1023" s="28"/>
      <c r="K1023" s="19"/>
    </row>
    <row r="1024" spans="1:11" ht="13.2">
      <c r="A1024" s="22"/>
      <c r="B1024" s="16"/>
      <c r="C1024" s="23"/>
      <c r="D1024" s="24"/>
      <c r="E1024" s="25"/>
      <c r="F1024" s="26"/>
      <c r="G1024" s="27"/>
      <c r="H1024" s="20"/>
      <c r="I1024" s="21"/>
      <c r="J1024" s="28"/>
      <c r="K1024" s="19"/>
    </row>
    <row r="1025" spans="1:11" ht="13.2">
      <c r="A1025" s="22"/>
      <c r="B1025" s="16"/>
      <c r="C1025" s="23"/>
      <c r="D1025" s="24"/>
      <c r="E1025" s="25"/>
      <c r="F1025" s="26"/>
      <c r="G1025" s="27"/>
      <c r="H1025" s="20"/>
      <c r="I1025" s="21"/>
      <c r="J1025" s="28"/>
      <c r="K1025" s="19"/>
    </row>
    <row r="1026" spans="1:11" ht="13.2">
      <c r="A1026" s="22"/>
      <c r="B1026" s="16"/>
      <c r="C1026" s="23"/>
      <c r="D1026" s="24"/>
      <c r="E1026" s="25"/>
      <c r="F1026" s="26"/>
      <c r="G1026" s="27"/>
      <c r="H1026" s="20"/>
      <c r="I1026" s="21"/>
      <c r="J1026" s="28"/>
      <c r="K1026" s="19"/>
    </row>
    <row r="1027" spans="1:11" ht="13.2">
      <c r="A1027" s="22"/>
      <c r="B1027" s="16"/>
      <c r="C1027" s="23"/>
      <c r="D1027" s="24"/>
      <c r="E1027" s="25"/>
      <c r="F1027" s="26"/>
      <c r="G1027" s="27"/>
      <c r="H1027" s="20"/>
      <c r="I1027" s="21"/>
      <c r="J1027" s="28"/>
      <c r="K1027" s="19"/>
    </row>
    <row r="1028" spans="1:11" ht="13.2">
      <c r="A1028" s="22"/>
      <c r="B1028" s="16"/>
      <c r="C1028" s="23"/>
      <c r="D1028" s="24"/>
      <c r="E1028" s="25"/>
      <c r="F1028" s="26"/>
      <c r="G1028" s="27"/>
      <c r="H1028" s="20"/>
      <c r="I1028" s="21"/>
      <c r="J1028" s="28"/>
      <c r="K1028" s="19"/>
    </row>
    <row r="1029" spans="1:11" ht="13.2">
      <c r="A1029" s="22"/>
      <c r="B1029" s="16"/>
      <c r="C1029" s="23"/>
      <c r="D1029" s="24"/>
      <c r="E1029" s="25"/>
      <c r="F1029" s="26"/>
      <c r="G1029" s="27"/>
      <c r="H1029" s="20"/>
      <c r="I1029" s="21"/>
      <c r="J1029" s="28"/>
      <c r="K1029" s="19"/>
    </row>
    <row r="1030" spans="1:11" ht="13.2">
      <c r="A1030" s="22"/>
      <c r="B1030" s="16"/>
      <c r="C1030" s="23"/>
      <c r="D1030" s="24"/>
      <c r="E1030" s="25"/>
      <c r="F1030" s="26"/>
      <c r="G1030" s="27"/>
      <c r="H1030" s="20"/>
      <c r="I1030" s="21"/>
      <c r="J1030" s="28"/>
      <c r="K1030" s="19"/>
    </row>
    <row r="1031" spans="1:11" ht="13.2">
      <c r="A1031" s="22"/>
      <c r="B1031" s="16"/>
      <c r="C1031" s="23"/>
      <c r="D1031" s="24"/>
      <c r="E1031" s="25"/>
      <c r="F1031" s="26"/>
      <c r="G1031" s="27"/>
      <c r="H1031" s="20"/>
      <c r="I1031" s="21"/>
      <c r="J1031" s="28"/>
      <c r="K1031" s="19"/>
    </row>
    <row r="1032" spans="1:11" ht="13.2">
      <c r="A1032" s="22"/>
      <c r="B1032" s="16"/>
      <c r="C1032" s="23"/>
      <c r="D1032" s="24"/>
      <c r="E1032" s="25"/>
      <c r="F1032" s="26"/>
      <c r="G1032" s="27"/>
      <c r="H1032" s="20"/>
      <c r="I1032" s="21"/>
      <c r="J1032" s="28"/>
      <c r="K1032" s="19"/>
    </row>
    <row r="1033" spans="1:11" ht="13.2">
      <c r="A1033" s="22"/>
      <c r="B1033" s="16"/>
      <c r="C1033" s="23"/>
      <c r="D1033" s="24"/>
      <c r="E1033" s="25"/>
      <c r="F1033" s="26"/>
      <c r="G1033" s="27"/>
      <c r="H1033" s="20"/>
      <c r="I1033" s="21"/>
      <c r="J1033" s="28"/>
      <c r="K1033" s="19"/>
    </row>
    <row r="1034" spans="1:11" ht="13.2">
      <c r="A1034" s="22"/>
      <c r="B1034" s="16"/>
      <c r="C1034" s="23"/>
      <c r="D1034" s="24"/>
      <c r="E1034" s="25"/>
      <c r="F1034" s="26"/>
      <c r="G1034" s="27"/>
      <c r="H1034" s="20"/>
      <c r="I1034" s="21"/>
      <c r="J1034" s="28"/>
      <c r="K1034" s="19"/>
    </row>
    <row r="1035" spans="1:11" ht="13.2">
      <c r="A1035" s="22"/>
      <c r="B1035" s="16"/>
      <c r="C1035" s="23"/>
      <c r="D1035" s="24"/>
      <c r="E1035" s="25"/>
      <c r="F1035" s="26"/>
      <c r="G1035" s="27"/>
      <c r="H1035" s="20"/>
      <c r="I1035" s="21"/>
      <c r="J1035" s="28"/>
      <c r="K1035" s="19"/>
    </row>
    <row r="1036" spans="1:11" ht="13.2">
      <c r="A1036" s="22"/>
      <c r="B1036" s="16"/>
      <c r="C1036" s="23"/>
      <c r="D1036" s="24"/>
      <c r="E1036" s="25"/>
      <c r="F1036" s="26"/>
      <c r="G1036" s="27"/>
      <c r="H1036" s="20"/>
      <c r="I1036" s="21"/>
      <c r="J1036" s="28"/>
      <c r="K1036" s="19"/>
    </row>
    <row r="1037" spans="1:11" ht="13.2">
      <c r="A1037" s="22"/>
      <c r="B1037" s="16"/>
      <c r="C1037" s="23"/>
      <c r="D1037" s="24"/>
      <c r="E1037" s="25"/>
      <c r="F1037" s="26"/>
      <c r="G1037" s="27"/>
      <c r="H1037" s="20"/>
      <c r="I1037" s="21"/>
      <c r="J1037" s="28"/>
      <c r="K1037" s="19"/>
    </row>
    <row r="1038" spans="1:11" ht="13.2">
      <c r="A1038" s="22"/>
      <c r="B1038" s="16"/>
      <c r="C1038" s="23"/>
      <c r="D1038" s="24"/>
      <c r="E1038" s="25"/>
      <c r="F1038" s="26"/>
      <c r="G1038" s="27"/>
      <c r="H1038" s="20"/>
      <c r="I1038" s="21"/>
      <c r="J1038" s="28"/>
      <c r="K1038" s="19"/>
    </row>
    <row r="1039" spans="1:11" ht="13.2">
      <c r="A1039" s="22"/>
      <c r="B1039" s="16"/>
      <c r="C1039" s="23"/>
      <c r="D1039" s="24"/>
      <c r="E1039" s="25"/>
      <c r="F1039" s="26"/>
      <c r="G1039" s="27"/>
      <c r="H1039" s="20"/>
      <c r="I1039" s="21"/>
      <c r="J1039" s="28"/>
      <c r="K1039" s="19"/>
    </row>
    <row r="1040" spans="1:11" ht="13.2">
      <c r="A1040" s="22"/>
      <c r="B1040" s="16"/>
      <c r="C1040" s="23"/>
      <c r="D1040" s="24"/>
      <c r="E1040" s="25"/>
      <c r="F1040" s="26"/>
      <c r="G1040" s="27"/>
      <c r="H1040" s="20"/>
      <c r="I1040" s="21"/>
      <c r="J1040" s="28"/>
      <c r="K1040" s="19"/>
    </row>
    <row r="1041" spans="1:11" ht="13.2">
      <c r="A1041" s="22"/>
      <c r="B1041" s="16"/>
      <c r="C1041" s="23"/>
      <c r="D1041" s="24"/>
      <c r="E1041" s="25"/>
      <c r="F1041" s="26"/>
      <c r="G1041" s="27"/>
      <c r="H1041" s="20"/>
      <c r="I1041" s="21"/>
      <c r="J1041" s="28"/>
      <c r="K1041" s="19"/>
    </row>
    <row r="1042" spans="1:11" ht="13.2">
      <c r="A1042" s="22"/>
      <c r="B1042" s="16"/>
      <c r="C1042" s="23"/>
      <c r="D1042" s="24"/>
      <c r="E1042" s="25"/>
      <c r="F1042" s="26"/>
      <c r="G1042" s="27"/>
      <c r="H1042" s="20"/>
      <c r="I1042" s="21"/>
      <c r="J1042" s="28"/>
      <c r="K1042" s="19"/>
    </row>
    <row r="1043" spans="1:11" ht="13.2">
      <c r="A1043" s="22"/>
      <c r="B1043" s="16"/>
      <c r="C1043" s="23"/>
      <c r="D1043" s="24"/>
      <c r="E1043" s="25"/>
      <c r="F1043" s="26"/>
      <c r="G1043" s="27"/>
      <c r="H1043" s="20"/>
      <c r="I1043" s="21"/>
      <c r="J1043" s="28"/>
      <c r="K1043" s="19"/>
    </row>
    <row r="1044" spans="1:11" ht="13.2">
      <c r="A1044" s="22"/>
      <c r="B1044" s="16"/>
      <c r="C1044" s="23"/>
      <c r="D1044" s="24"/>
      <c r="E1044" s="25"/>
      <c r="F1044" s="26"/>
      <c r="G1044" s="27"/>
      <c r="H1044" s="20"/>
      <c r="I1044" s="21"/>
      <c r="J1044" s="28"/>
      <c r="K1044" s="19"/>
    </row>
    <row r="1045" spans="1:11" ht="13.2">
      <c r="A1045" s="22"/>
      <c r="B1045" s="16"/>
      <c r="C1045" s="23"/>
      <c r="D1045" s="24"/>
      <c r="E1045" s="25"/>
      <c r="F1045" s="26"/>
      <c r="G1045" s="27"/>
      <c r="H1045" s="20"/>
      <c r="I1045" s="21"/>
      <c r="J1045" s="28"/>
      <c r="K1045" s="19"/>
    </row>
    <row r="1046" spans="1:11" ht="13.2">
      <c r="A1046" s="22"/>
      <c r="B1046" s="16"/>
      <c r="C1046" s="23"/>
      <c r="D1046" s="24"/>
      <c r="E1046" s="25"/>
      <c r="F1046" s="26"/>
      <c r="G1046" s="27"/>
      <c r="H1046" s="20"/>
      <c r="I1046" s="21"/>
      <c r="J1046" s="28"/>
      <c r="K1046" s="19"/>
    </row>
    <row r="1047" spans="1:11" ht="13.2">
      <c r="A1047" s="22"/>
      <c r="B1047" s="16"/>
      <c r="C1047" s="23"/>
      <c r="D1047" s="24"/>
      <c r="E1047" s="25"/>
      <c r="F1047" s="26"/>
      <c r="G1047" s="27"/>
      <c r="H1047" s="20"/>
      <c r="I1047" s="21"/>
      <c r="J1047" s="28"/>
      <c r="K1047" s="19"/>
    </row>
    <row r="1048" spans="1:11" ht="13.2">
      <c r="A1048" s="22"/>
      <c r="B1048" s="16"/>
      <c r="C1048" s="23"/>
      <c r="D1048" s="24"/>
      <c r="E1048" s="25"/>
      <c r="F1048" s="26"/>
      <c r="G1048" s="27"/>
      <c r="H1048" s="20"/>
      <c r="I1048" s="21"/>
      <c r="J1048" s="28"/>
      <c r="K1048" s="19"/>
    </row>
    <row r="1049" spans="1:11" ht="13.2">
      <c r="A1049" s="22"/>
      <c r="B1049" s="16"/>
      <c r="C1049" s="23"/>
      <c r="D1049" s="24"/>
      <c r="E1049" s="25"/>
      <c r="F1049" s="26"/>
      <c r="G1049" s="27"/>
      <c r="H1049" s="20"/>
      <c r="I1049" s="21"/>
      <c r="J1049" s="28"/>
      <c r="K1049" s="19"/>
    </row>
    <row r="1050" spans="1:11" ht="13.2">
      <c r="A1050" s="22"/>
      <c r="B1050" s="16"/>
      <c r="C1050" s="23"/>
      <c r="D1050" s="24"/>
      <c r="E1050" s="25"/>
      <c r="F1050" s="26"/>
      <c r="G1050" s="27"/>
      <c r="H1050" s="20"/>
      <c r="I1050" s="21"/>
      <c r="J1050" s="28"/>
      <c r="K1050" s="19"/>
    </row>
    <row r="1051" spans="1:11" ht="13.2">
      <c r="A1051" s="22"/>
      <c r="B1051" s="16"/>
      <c r="C1051" s="23"/>
      <c r="D1051" s="24"/>
      <c r="E1051" s="25"/>
      <c r="F1051" s="26"/>
      <c r="G1051" s="27"/>
      <c r="H1051" s="20"/>
      <c r="I1051" s="21"/>
      <c r="J1051" s="28"/>
      <c r="K1051" s="19"/>
    </row>
    <row r="1052" spans="1:11" ht="13.2">
      <c r="A1052" s="22"/>
      <c r="B1052" s="16"/>
      <c r="C1052" s="23"/>
      <c r="D1052" s="24"/>
      <c r="E1052" s="25"/>
      <c r="F1052" s="26"/>
      <c r="G1052" s="27"/>
      <c r="H1052" s="20"/>
      <c r="I1052" s="21"/>
      <c r="J1052" s="28"/>
      <c r="K1052" s="19"/>
    </row>
    <row r="1053" spans="1:11" ht="13.2">
      <c r="A1053" s="22"/>
      <c r="B1053" s="16"/>
      <c r="C1053" s="23"/>
      <c r="D1053" s="24"/>
      <c r="E1053" s="25"/>
      <c r="F1053" s="26"/>
      <c r="G1053" s="27"/>
      <c r="H1053" s="20"/>
      <c r="I1053" s="21"/>
      <c r="J1053" s="28"/>
      <c r="K1053" s="19"/>
    </row>
    <row r="1054" spans="1:11" ht="13.2">
      <c r="A1054" s="22"/>
      <c r="B1054" s="16"/>
      <c r="C1054" s="23"/>
      <c r="D1054" s="24"/>
      <c r="E1054" s="25"/>
      <c r="F1054" s="26"/>
      <c r="G1054" s="27"/>
      <c r="H1054" s="20"/>
      <c r="I1054" s="21"/>
      <c r="J1054" s="28"/>
      <c r="K1054" s="19"/>
    </row>
    <row r="1055" spans="1:11" ht="13.2">
      <c r="A1055" s="22"/>
      <c r="B1055" s="16"/>
      <c r="C1055" s="23"/>
      <c r="D1055" s="24"/>
      <c r="E1055" s="25"/>
      <c r="F1055" s="26"/>
      <c r="G1055" s="27"/>
      <c r="H1055" s="20"/>
      <c r="I1055" s="21"/>
      <c r="J1055" s="28"/>
      <c r="K1055" s="19"/>
    </row>
    <row r="1056" spans="1:11" ht="13.2">
      <c r="A1056" s="22"/>
      <c r="B1056" s="16"/>
      <c r="C1056" s="23"/>
      <c r="D1056" s="24"/>
      <c r="E1056" s="25"/>
      <c r="F1056" s="26"/>
      <c r="G1056" s="27"/>
      <c r="H1056" s="20"/>
      <c r="I1056" s="21"/>
      <c r="J1056" s="28"/>
      <c r="K1056" s="19"/>
    </row>
    <row r="1057" spans="1:11" ht="13.2">
      <c r="A1057" s="22"/>
      <c r="B1057" s="16"/>
      <c r="C1057" s="23"/>
      <c r="D1057" s="24"/>
      <c r="E1057" s="25"/>
      <c r="F1057" s="26"/>
      <c r="G1057" s="27"/>
      <c r="H1057" s="20"/>
      <c r="I1057" s="21"/>
      <c r="J1057" s="28"/>
      <c r="K1057" s="19"/>
    </row>
    <row r="1058" spans="1:11" ht="13.2">
      <c r="A1058" s="22"/>
      <c r="B1058" s="16"/>
      <c r="C1058" s="23"/>
      <c r="D1058" s="24"/>
      <c r="E1058" s="25"/>
      <c r="F1058" s="26"/>
      <c r="G1058" s="27"/>
      <c r="H1058" s="20"/>
      <c r="I1058" s="21"/>
      <c r="J1058" s="28"/>
      <c r="K1058" s="19"/>
    </row>
    <row r="1059" spans="1:11" ht="13.2">
      <c r="A1059" s="22"/>
      <c r="B1059" s="16"/>
      <c r="C1059" s="23"/>
      <c r="D1059" s="24"/>
      <c r="E1059" s="25"/>
      <c r="F1059" s="26"/>
      <c r="G1059" s="27"/>
      <c r="H1059" s="20"/>
      <c r="I1059" s="21"/>
      <c r="J1059" s="28"/>
      <c r="K1059" s="19"/>
    </row>
    <row r="1060" spans="1:11" ht="13.2">
      <c r="A1060" s="22"/>
      <c r="B1060" s="16"/>
      <c r="C1060" s="23"/>
      <c r="D1060" s="24"/>
      <c r="E1060" s="25"/>
      <c r="F1060" s="26"/>
      <c r="G1060" s="27"/>
      <c r="H1060" s="20"/>
      <c r="I1060" s="21"/>
      <c r="J1060" s="28"/>
      <c r="K1060" s="19"/>
    </row>
    <row r="1061" spans="1:11" ht="13.2">
      <c r="A1061" s="22"/>
      <c r="B1061" s="16"/>
      <c r="C1061" s="23"/>
      <c r="D1061" s="24"/>
      <c r="E1061" s="25"/>
      <c r="F1061" s="26"/>
      <c r="G1061" s="27"/>
      <c r="H1061" s="20"/>
      <c r="I1061" s="21"/>
      <c r="J1061" s="28"/>
      <c r="K1061" s="19"/>
    </row>
    <row r="1062" spans="1:11" ht="13.2">
      <c r="A1062" s="22"/>
      <c r="B1062" s="16"/>
      <c r="C1062" s="23"/>
      <c r="D1062" s="24"/>
      <c r="E1062" s="25"/>
      <c r="F1062" s="26"/>
      <c r="G1062" s="27"/>
      <c r="H1062" s="20"/>
      <c r="I1062" s="21"/>
      <c r="J1062" s="28"/>
      <c r="K1062" s="19"/>
    </row>
    <row r="1063" spans="1:11" ht="13.2">
      <c r="A1063" s="22"/>
      <c r="B1063" s="16"/>
      <c r="C1063" s="23"/>
      <c r="D1063" s="24"/>
      <c r="E1063" s="25"/>
      <c r="F1063" s="26"/>
      <c r="G1063" s="27"/>
      <c r="H1063" s="20"/>
      <c r="I1063" s="21"/>
      <c r="J1063" s="28"/>
      <c r="K1063" s="19"/>
    </row>
    <row r="1064" spans="1:11" ht="13.2">
      <c r="A1064" s="22"/>
      <c r="B1064" s="16"/>
      <c r="C1064" s="23"/>
      <c r="D1064" s="24"/>
      <c r="E1064" s="25"/>
      <c r="F1064" s="26"/>
      <c r="G1064" s="27"/>
      <c r="H1064" s="20"/>
      <c r="I1064" s="21"/>
      <c r="J1064" s="28"/>
      <c r="K1064" s="19"/>
    </row>
    <row r="1065" spans="1:11" ht="13.2">
      <c r="A1065" s="22"/>
      <c r="B1065" s="16"/>
      <c r="C1065" s="23"/>
      <c r="D1065" s="24"/>
      <c r="E1065" s="25"/>
      <c r="F1065" s="26"/>
      <c r="G1065" s="27"/>
      <c r="H1065" s="20"/>
      <c r="I1065" s="21"/>
      <c r="J1065" s="28"/>
      <c r="K1065" s="19"/>
    </row>
    <row r="1066" spans="1:11" ht="13.2">
      <c r="A1066" s="22"/>
      <c r="B1066" s="16"/>
      <c r="C1066" s="23"/>
      <c r="D1066" s="24"/>
      <c r="E1066" s="25"/>
      <c r="F1066" s="26"/>
      <c r="G1066" s="27"/>
      <c r="H1066" s="20"/>
      <c r="I1066" s="21"/>
      <c r="J1066" s="28"/>
      <c r="K1066" s="19"/>
    </row>
    <row r="1067" spans="1:11" ht="13.2">
      <c r="A1067" s="22"/>
      <c r="B1067" s="16"/>
      <c r="C1067" s="23"/>
      <c r="D1067" s="24"/>
      <c r="E1067" s="25"/>
      <c r="F1067" s="26"/>
      <c r="G1067" s="27"/>
      <c r="H1067" s="20"/>
      <c r="I1067" s="21"/>
      <c r="J1067" s="28"/>
      <c r="K1067" s="19"/>
    </row>
    <row r="1068" spans="1:11" ht="13.2">
      <c r="A1068" s="22"/>
      <c r="B1068" s="16"/>
      <c r="C1068" s="23"/>
      <c r="D1068" s="24"/>
      <c r="E1068" s="25"/>
      <c r="F1068" s="26"/>
      <c r="G1068" s="27"/>
      <c r="H1068" s="20"/>
      <c r="I1068" s="21"/>
      <c r="J1068" s="28"/>
      <c r="K1068" s="19"/>
    </row>
    <row r="1069" spans="1:11" ht="13.2">
      <c r="A1069" s="22"/>
      <c r="B1069" s="16"/>
      <c r="C1069" s="23"/>
      <c r="D1069" s="24"/>
      <c r="E1069" s="25"/>
      <c r="F1069" s="26"/>
      <c r="G1069" s="27"/>
      <c r="H1069" s="20"/>
      <c r="I1069" s="21"/>
      <c r="J1069" s="28"/>
      <c r="K1069" s="19"/>
    </row>
    <row r="1070" spans="1:11" ht="13.2">
      <c r="A1070" s="22"/>
      <c r="B1070" s="16"/>
      <c r="C1070" s="23"/>
      <c r="D1070" s="24"/>
      <c r="E1070" s="25"/>
      <c r="F1070" s="26"/>
      <c r="G1070" s="27"/>
      <c r="H1070" s="20"/>
      <c r="I1070" s="21"/>
      <c r="J1070" s="28"/>
      <c r="K1070" s="19"/>
    </row>
    <row r="1071" spans="1:11" ht="13.2">
      <c r="A1071" s="22"/>
      <c r="B1071" s="16"/>
      <c r="C1071" s="23"/>
      <c r="D1071" s="24"/>
      <c r="E1071" s="25"/>
      <c r="F1071" s="26"/>
      <c r="G1071" s="27"/>
      <c r="H1071" s="20"/>
      <c r="I1071" s="21"/>
      <c r="J1071" s="28"/>
      <c r="K1071" s="19"/>
    </row>
    <row r="1072" spans="1:11" ht="13.2">
      <c r="A1072" s="22"/>
      <c r="B1072" s="16"/>
      <c r="C1072" s="23"/>
      <c r="D1072" s="24"/>
      <c r="E1072" s="25"/>
      <c r="F1072" s="26"/>
      <c r="G1072" s="27"/>
      <c r="H1072" s="20"/>
      <c r="I1072" s="21"/>
      <c r="J1072" s="28"/>
      <c r="K1072" s="19"/>
    </row>
    <row r="1073" spans="1:11" ht="13.2">
      <c r="A1073" s="22"/>
      <c r="B1073" s="16"/>
      <c r="C1073" s="23"/>
      <c r="D1073" s="24"/>
      <c r="E1073" s="25"/>
      <c r="F1073" s="26"/>
      <c r="G1073" s="27"/>
      <c r="H1073" s="20"/>
      <c r="I1073" s="21"/>
      <c r="J1073" s="28"/>
      <c r="K1073" s="19"/>
    </row>
    <row r="1074" spans="1:11" ht="13.2">
      <c r="A1074" s="22"/>
      <c r="B1074" s="16"/>
      <c r="C1074" s="23"/>
      <c r="D1074" s="24"/>
      <c r="E1074" s="25"/>
      <c r="F1074" s="26"/>
      <c r="G1074" s="27"/>
      <c r="H1074" s="20"/>
      <c r="I1074" s="21"/>
      <c r="J1074" s="28"/>
      <c r="K1074" s="19"/>
    </row>
    <row r="1075" spans="1:11" ht="13.2">
      <c r="A1075" s="22"/>
      <c r="B1075" s="16"/>
      <c r="C1075" s="23"/>
      <c r="D1075" s="24"/>
      <c r="E1075" s="25"/>
      <c r="F1075" s="26"/>
      <c r="G1075" s="27"/>
      <c r="H1075" s="20"/>
      <c r="I1075" s="21"/>
      <c r="J1075" s="28"/>
      <c r="K1075" s="19"/>
    </row>
    <row r="1076" spans="1:11" ht="13.2">
      <c r="A1076" s="22"/>
      <c r="B1076" s="16"/>
      <c r="C1076" s="23"/>
      <c r="D1076" s="24"/>
      <c r="E1076" s="25"/>
      <c r="F1076" s="26"/>
      <c r="G1076" s="27"/>
      <c r="H1076" s="20"/>
      <c r="I1076" s="21"/>
      <c r="J1076" s="28"/>
      <c r="K1076" s="19"/>
    </row>
    <row r="1077" spans="1:11" ht="13.2">
      <c r="A1077" s="22"/>
      <c r="B1077" s="16"/>
      <c r="C1077" s="23"/>
      <c r="D1077" s="24"/>
      <c r="E1077" s="25"/>
      <c r="F1077" s="26"/>
      <c r="G1077" s="27"/>
      <c r="H1077" s="20"/>
      <c r="I1077" s="21"/>
      <c r="J1077" s="28"/>
      <c r="K1077" s="19"/>
    </row>
    <row r="1078" spans="1:11" ht="13.2">
      <c r="A1078" s="22"/>
      <c r="B1078" s="16"/>
      <c r="C1078" s="23"/>
      <c r="D1078" s="24"/>
      <c r="E1078" s="25"/>
      <c r="F1078" s="26"/>
      <c r="G1078" s="27"/>
      <c r="H1078" s="20"/>
      <c r="I1078" s="21"/>
      <c r="J1078" s="28"/>
      <c r="K1078" s="19"/>
    </row>
    <row r="1079" spans="1:11" ht="13.2">
      <c r="A1079" s="22"/>
      <c r="B1079" s="16"/>
      <c r="C1079" s="23"/>
      <c r="D1079" s="24"/>
      <c r="E1079" s="25"/>
      <c r="F1079" s="26"/>
      <c r="G1079" s="27"/>
      <c r="H1079" s="20"/>
      <c r="I1079" s="21"/>
      <c r="J1079" s="28"/>
      <c r="K1079" s="19"/>
    </row>
    <row r="1080" spans="1:11" ht="13.2">
      <c r="A1080" s="22"/>
      <c r="B1080" s="16"/>
      <c r="C1080" s="23"/>
      <c r="D1080" s="24"/>
      <c r="E1080" s="25"/>
      <c r="F1080" s="26"/>
      <c r="G1080" s="27"/>
      <c r="H1080" s="20"/>
      <c r="I1080" s="21"/>
      <c r="J1080" s="28"/>
      <c r="K1080" s="19"/>
    </row>
    <row r="1081" spans="1:11" ht="13.2">
      <c r="A1081" s="22"/>
      <c r="B1081" s="16"/>
      <c r="C1081" s="23"/>
      <c r="D1081" s="24"/>
      <c r="E1081" s="25"/>
      <c r="F1081" s="26"/>
      <c r="G1081" s="27"/>
      <c r="H1081" s="20"/>
      <c r="I1081" s="21"/>
      <c r="J1081" s="28"/>
      <c r="K1081" s="19"/>
    </row>
    <row r="1082" spans="1:11" ht="13.2">
      <c r="A1082" s="22"/>
      <c r="B1082" s="16"/>
      <c r="C1082" s="23"/>
      <c r="D1082" s="24"/>
      <c r="E1082" s="25"/>
      <c r="F1082" s="26"/>
      <c r="G1082" s="27"/>
      <c r="H1082" s="20"/>
      <c r="I1082" s="21"/>
      <c r="J1082" s="28"/>
      <c r="K1082" s="19"/>
    </row>
    <row r="1083" spans="1:11" ht="13.2">
      <c r="A1083" s="22"/>
      <c r="B1083" s="16"/>
      <c r="C1083" s="23"/>
      <c r="D1083" s="24"/>
      <c r="E1083" s="25"/>
      <c r="F1083" s="26"/>
      <c r="G1083" s="27"/>
      <c r="H1083" s="20"/>
      <c r="I1083" s="21"/>
      <c r="J1083" s="28"/>
      <c r="K1083" s="19"/>
    </row>
    <row r="1084" spans="1:11" ht="13.2">
      <c r="A1084" s="22"/>
      <c r="B1084" s="16"/>
      <c r="C1084" s="23"/>
      <c r="D1084" s="24"/>
      <c r="E1084" s="25"/>
      <c r="F1084" s="26"/>
      <c r="G1084" s="27"/>
      <c r="H1084" s="20"/>
      <c r="I1084" s="21"/>
      <c r="J1084" s="28"/>
      <c r="K1084" s="19"/>
    </row>
    <row r="1085" spans="1:11" ht="13.2">
      <c r="A1085" s="22"/>
      <c r="B1085" s="16"/>
      <c r="C1085" s="23"/>
      <c r="D1085" s="24"/>
      <c r="E1085" s="25"/>
      <c r="F1085" s="26"/>
      <c r="G1085" s="27"/>
      <c r="H1085" s="20"/>
      <c r="I1085" s="21"/>
      <c r="J1085" s="28"/>
      <c r="K1085" s="19"/>
    </row>
    <row r="1086" spans="1:11" ht="13.2">
      <c r="A1086" s="22"/>
      <c r="B1086" s="16"/>
      <c r="C1086" s="23"/>
      <c r="D1086" s="24"/>
      <c r="E1086" s="25"/>
      <c r="F1086" s="26"/>
      <c r="G1086" s="27"/>
      <c r="H1086" s="20"/>
      <c r="I1086" s="21"/>
      <c r="J1086" s="28"/>
      <c r="K1086" s="19"/>
    </row>
    <row r="1087" spans="1:11" ht="13.2">
      <c r="A1087" s="22"/>
      <c r="B1087" s="16"/>
      <c r="C1087" s="23"/>
      <c r="D1087" s="24"/>
      <c r="E1087" s="25"/>
      <c r="F1087" s="26"/>
      <c r="G1087" s="27"/>
      <c r="H1087" s="20"/>
      <c r="I1087" s="21"/>
      <c r="J1087" s="28"/>
      <c r="K1087" s="19"/>
    </row>
    <row r="1088" spans="1:11" ht="13.2">
      <c r="A1088" s="22"/>
      <c r="B1088" s="16"/>
      <c r="C1088" s="23"/>
      <c r="D1088" s="24"/>
      <c r="E1088" s="25"/>
      <c r="F1088" s="26"/>
      <c r="G1088" s="27"/>
      <c r="H1088" s="20"/>
      <c r="I1088" s="21"/>
      <c r="J1088" s="28"/>
      <c r="K1088" s="19"/>
    </row>
    <row r="1089" spans="1:11" ht="13.2">
      <c r="A1089" s="22"/>
      <c r="B1089" s="16"/>
      <c r="C1089" s="23"/>
      <c r="D1089" s="24"/>
      <c r="E1089" s="25"/>
      <c r="F1089" s="26"/>
      <c r="G1089" s="27"/>
      <c r="H1089" s="20"/>
      <c r="I1089" s="21"/>
      <c r="J1089" s="28"/>
      <c r="K1089" s="19"/>
    </row>
    <row r="1090" spans="1:11" ht="13.2">
      <c r="A1090" s="22"/>
      <c r="B1090" s="16"/>
      <c r="C1090" s="23"/>
      <c r="D1090" s="24"/>
      <c r="E1090" s="25"/>
      <c r="F1090" s="26"/>
      <c r="G1090" s="27"/>
      <c r="H1090" s="20"/>
      <c r="I1090" s="21"/>
      <c r="J1090" s="28"/>
      <c r="K1090" s="19"/>
    </row>
    <row r="1091" spans="1:11" ht="13.2">
      <c r="A1091" s="22"/>
      <c r="B1091" s="16"/>
      <c r="C1091" s="23"/>
      <c r="D1091" s="24"/>
      <c r="E1091" s="25"/>
      <c r="F1091" s="26"/>
      <c r="G1091" s="27"/>
      <c r="H1091" s="20"/>
      <c r="I1091" s="21"/>
      <c r="J1091" s="28"/>
      <c r="K1091" s="19"/>
    </row>
    <row r="1092" spans="1:11" ht="13.2">
      <c r="A1092" s="22"/>
      <c r="B1092" s="16"/>
      <c r="C1092" s="23"/>
      <c r="D1092" s="24"/>
      <c r="E1092" s="25"/>
      <c r="F1092" s="26"/>
      <c r="G1092" s="27"/>
      <c r="H1092" s="20"/>
      <c r="I1092" s="21"/>
      <c r="J1092" s="28"/>
      <c r="K1092" s="19"/>
    </row>
    <row r="1093" spans="1:11" ht="13.2">
      <c r="A1093" s="22"/>
      <c r="B1093" s="16"/>
      <c r="C1093" s="23"/>
      <c r="D1093" s="24"/>
      <c r="E1093" s="25"/>
      <c r="F1093" s="26"/>
      <c r="G1093" s="27"/>
      <c r="H1093" s="20"/>
      <c r="I1093" s="21"/>
      <c r="J1093" s="28"/>
      <c r="K1093" s="19"/>
    </row>
    <row r="1094" spans="1:11" ht="13.2">
      <c r="A1094" s="22"/>
      <c r="B1094" s="16"/>
      <c r="C1094" s="23"/>
      <c r="D1094" s="24"/>
      <c r="E1094" s="25"/>
      <c r="F1094" s="26"/>
      <c r="G1094" s="27"/>
      <c r="H1094" s="20"/>
      <c r="I1094" s="21"/>
      <c r="J1094" s="28"/>
      <c r="K1094" s="19"/>
    </row>
    <row r="1095" spans="1:11" ht="13.2">
      <c r="A1095" s="22"/>
      <c r="B1095" s="16"/>
      <c r="C1095" s="23"/>
      <c r="D1095" s="24"/>
      <c r="E1095" s="25"/>
      <c r="F1095" s="26"/>
      <c r="G1095" s="27"/>
      <c r="H1095" s="20"/>
      <c r="I1095" s="21"/>
      <c r="J1095" s="28"/>
      <c r="K1095" s="19"/>
    </row>
    <row r="1096" spans="1:11" ht="13.2">
      <c r="A1096" s="22"/>
      <c r="B1096" s="16"/>
      <c r="C1096" s="23"/>
      <c r="D1096" s="24"/>
      <c r="E1096" s="25"/>
      <c r="F1096" s="26"/>
      <c r="G1096" s="27"/>
      <c r="H1096" s="20"/>
      <c r="I1096" s="21"/>
      <c r="J1096" s="28"/>
      <c r="K1096" s="19"/>
    </row>
    <row r="1097" spans="1:11" ht="13.2">
      <c r="A1097" s="22"/>
      <c r="B1097" s="16"/>
      <c r="C1097" s="23"/>
      <c r="D1097" s="24"/>
      <c r="E1097" s="25"/>
      <c r="F1097" s="26"/>
      <c r="G1097" s="27"/>
      <c r="H1097" s="20"/>
      <c r="I1097" s="21"/>
      <c r="J1097" s="28"/>
      <c r="K1097" s="19"/>
    </row>
    <row r="1098" spans="1:11" ht="13.2">
      <c r="A1098" s="22"/>
      <c r="B1098" s="16"/>
      <c r="C1098" s="23"/>
      <c r="D1098" s="24"/>
      <c r="E1098" s="25"/>
      <c r="F1098" s="26"/>
      <c r="G1098" s="27"/>
      <c r="H1098" s="20"/>
      <c r="I1098" s="21"/>
      <c r="J1098" s="28"/>
      <c r="K1098" s="19"/>
    </row>
    <row r="1099" spans="1:11" ht="13.2">
      <c r="A1099" s="22"/>
      <c r="B1099" s="16"/>
      <c r="C1099" s="23"/>
      <c r="D1099" s="24"/>
      <c r="E1099" s="25"/>
      <c r="F1099" s="26"/>
      <c r="G1099" s="27"/>
      <c r="H1099" s="20"/>
      <c r="I1099" s="21"/>
      <c r="J1099" s="28"/>
      <c r="K1099" s="19"/>
    </row>
    <row r="1100" spans="1:11" ht="13.2">
      <c r="A1100" s="22"/>
      <c r="B1100" s="16"/>
      <c r="C1100" s="23"/>
      <c r="D1100" s="24"/>
      <c r="E1100" s="25"/>
      <c r="F1100" s="26"/>
      <c r="G1100" s="27"/>
      <c r="H1100" s="20"/>
      <c r="I1100" s="21"/>
      <c r="J1100" s="28"/>
      <c r="K1100" s="19"/>
    </row>
    <row r="1101" spans="1:11" ht="13.2">
      <c r="A1101" s="22"/>
      <c r="B1101" s="16"/>
      <c r="C1101" s="23"/>
      <c r="D1101" s="24"/>
      <c r="E1101" s="25"/>
      <c r="F1101" s="26"/>
      <c r="G1101" s="27"/>
      <c r="H1101" s="20"/>
      <c r="I1101" s="21"/>
      <c r="J1101" s="28"/>
      <c r="K1101" s="19"/>
    </row>
    <row r="1102" spans="1:11" ht="13.2">
      <c r="A1102" s="22"/>
      <c r="B1102" s="16"/>
      <c r="C1102" s="23"/>
      <c r="D1102" s="24"/>
      <c r="E1102" s="25"/>
      <c r="F1102" s="26"/>
      <c r="G1102" s="27"/>
      <c r="H1102" s="20"/>
      <c r="I1102" s="21"/>
      <c r="J1102" s="28"/>
      <c r="K1102" s="19"/>
    </row>
    <row r="1103" spans="1:11" ht="13.2">
      <c r="A1103" s="22"/>
      <c r="B1103" s="16"/>
      <c r="C1103" s="23"/>
      <c r="D1103" s="24"/>
      <c r="E1103" s="25"/>
      <c r="F1103" s="26"/>
      <c r="G1103" s="27"/>
      <c r="H1103" s="20"/>
      <c r="I1103" s="21"/>
      <c r="J1103" s="28"/>
      <c r="K1103" s="19"/>
    </row>
    <row r="1104" spans="1:11" ht="13.2">
      <c r="A1104" s="22"/>
      <c r="B1104" s="16"/>
      <c r="C1104" s="23"/>
      <c r="D1104" s="24"/>
      <c r="E1104" s="25"/>
      <c r="F1104" s="26"/>
      <c r="G1104" s="27"/>
      <c r="H1104" s="20"/>
      <c r="I1104" s="21"/>
      <c r="J1104" s="28"/>
      <c r="K1104" s="19"/>
    </row>
    <row r="1105" spans="1:11" ht="13.2">
      <c r="A1105" s="22"/>
      <c r="B1105" s="16"/>
      <c r="C1105" s="23"/>
      <c r="D1105" s="24"/>
      <c r="E1105" s="25"/>
      <c r="F1105" s="26"/>
      <c r="G1105" s="27"/>
      <c r="H1105" s="20"/>
      <c r="I1105" s="21"/>
      <c r="J1105" s="28"/>
      <c r="K1105" s="19"/>
    </row>
    <row r="1106" spans="1:11" ht="13.2">
      <c r="A1106" s="22"/>
      <c r="B1106" s="16"/>
      <c r="C1106" s="23"/>
      <c r="D1106" s="24"/>
      <c r="E1106" s="25"/>
      <c r="F1106" s="26"/>
      <c r="G1106" s="27"/>
      <c r="H1106" s="20"/>
      <c r="I1106" s="21"/>
      <c r="J1106" s="28"/>
      <c r="K1106" s="19"/>
    </row>
    <row r="1107" spans="1:11" ht="13.2">
      <c r="A1107" s="22"/>
      <c r="B1107" s="16"/>
      <c r="C1107" s="23"/>
      <c r="D1107" s="24"/>
      <c r="E1107" s="25"/>
      <c r="F1107" s="26"/>
      <c r="G1107" s="27"/>
      <c r="H1107" s="20"/>
      <c r="I1107" s="21"/>
      <c r="J1107" s="28"/>
      <c r="K1107" s="19"/>
    </row>
    <row r="1108" spans="1:11" ht="13.2">
      <c r="A1108" s="22"/>
      <c r="B1108" s="16"/>
      <c r="C1108" s="23"/>
      <c r="D1108" s="24"/>
      <c r="E1108" s="25"/>
      <c r="F1108" s="26"/>
      <c r="G1108" s="27"/>
      <c r="H1108" s="20"/>
      <c r="I1108" s="21"/>
      <c r="J1108" s="28"/>
      <c r="K1108" s="19"/>
    </row>
    <row r="1109" spans="1:11" ht="13.2">
      <c r="A1109" s="22"/>
      <c r="B1109" s="16"/>
      <c r="C1109" s="23"/>
      <c r="D1109" s="24"/>
      <c r="E1109" s="25"/>
      <c r="F1109" s="26"/>
      <c r="G1109" s="27"/>
      <c r="H1109" s="20"/>
      <c r="I1109" s="21"/>
      <c r="J1109" s="28"/>
      <c r="K1109" s="19"/>
    </row>
    <row r="1110" spans="1:11" ht="13.2">
      <c r="A1110" s="22"/>
      <c r="B1110" s="16"/>
      <c r="C1110" s="23"/>
      <c r="D1110" s="24"/>
      <c r="E1110" s="25"/>
      <c r="F1110" s="26"/>
      <c r="G1110" s="27"/>
      <c r="H1110" s="20"/>
      <c r="I1110" s="21"/>
      <c r="J1110" s="28"/>
      <c r="K1110" s="19"/>
    </row>
    <row r="1111" spans="1:11" ht="13.2">
      <c r="A1111" s="22"/>
      <c r="B1111" s="16"/>
      <c r="C1111" s="23"/>
      <c r="D1111" s="24"/>
      <c r="E1111" s="25"/>
      <c r="F1111" s="26"/>
      <c r="G1111" s="27"/>
      <c r="H1111" s="20"/>
      <c r="I1111" s="21"/>
      <c r="J1111" s="28"/>
      <c r="K1111" s="19"/>
    </row>
    <row r="1112" spans="1:11" ht="13.2">
      <c r="A1112" s="22"/>
      <c r="B1112" s="16"/>
      <c r="C1112" s="23"/>
      <c r="D1112" s="24"/>
      <c r="E1112" s="25"/>
      <c r="F1112" s="26"/>
      <c r="G1112" s="27"/>
      <c r="H1112" s="20"/>
      <c r="I1112" s="21"/>
      <c r="J1112" s="28"/>
      <c r="K1112" s="19"/>
    </row>
    <row r="1113" spans="1:11" ht="13.2">
      <c r="A1113" s="22"/>
      <c r="B1113" s="16"/>
      <c r="C1113" s="23"/>
      <c r="D1113" s="24"/>
      <c r="E1113" s="25"/>
      <c r="F1113" s="26"/>
      <c r="G1113" s="27"/>
      <c r="H1113" s="20"/>
      <c r="I1113" s="21"/>
      <c r="J1113" s="28"/>
      <c r="K1113" s="19"/>
    </row>
    <row r="1114" spans="1:11" ht="13.2">
      <c r="A1114" s="22"/>
      <c r="B1114" s="16"/>
      <c r="C1114" s="23"/>
      <c r="D1114" s="24"/>
      <c r="E1114" s="25"/>
      <c r="F1114" s="26"/>
      <c r="G1114" s="27"/>
      <c r="H1114" s="20"/>
      <c r="I1114" s="21"/>
      <c r="J1114" s="28"/>
      <c r="K1114" s="19"/>
    </row>
    <row r="1115" spans="1:11" ht="13.2">
      <c r="A1115" s="22"/>
      <c r="B1115" s="16"/>
      <c r="C1115" s="23"/>
      <c r="D1115" s="24"/>
      <c r="E1115" s="25"/>
      <c r="F1115" s="26"/>
      <c r="G1115" s="27"/>
      <c r="H1115" s="20"/>
      <c r="I1115" s="21"/>
      <c r="J1115" s="28"/>
      <c r="K1115" s="19"/>
    </row>
    <row r="1116" spans="1:11" ht="13.2">
      <c r="A1116" s="22"/>
      <c r="B1116" s="16"/>
      <c r="C1116" s="23"/>
      <c r="D1116" s="24"/>
      <c r="E1116" s="25"/>
      <c r="F1116" s="26"/>
      <c r="G1116" s="27"/>
      <c r="H1116" s="20"/>
      <c r="I1116" s="21"/>
      <c r="J1116" s="28"/>
      <c r="K1116" s="19"/>
    </row>
    <row r="1117" spans="1:11" ht="13.2">
      <c r="A1117" s="22"/>
      <c r="B1117" s="16"/>
      <c r="C1117" s="23"/>
      <c r="D1117" s="24"/>
      <c r="E1117" s="25"/>
      <c r="F1117" s="26"/>
      <c r="G1117" s="27"/>
      <c r="H1117" s="20"/>
      <c r="I1117" s="21"/>
      <c r="J1117" s="28"/>
      <c r="K1117" s="19"/>
    </row>
    <row r="1118" spans="1:11" ht="13.2">
      <c r="A1118" s="22"/>
      <c r="B1118" s="16"/>
      <c r="C1118" s="23"/>
      <c r="D1118" s="24"/>
      <c r="E1118" s="25"/>
      <c r="F1118" s="26"/>
      <c r="G1118" s="27"/>
      <c r="H1118" s="20"/>
      <c r="I1118" s="21"/>
      <c r="J1118" s="28"/>
      <c r="K1118" s="19"/>
    </row>
    <row r="1119" spans="1:11" ht="13.2">
      <c r="A1119" s="22"/>
      <c r="B1119" s="16"/>
      <c r="C1119" s="23"/>
      <c r="D1119" s="24"/>
      <c r="E1119" s="25"/>
      <c r="F1119" s="26"/>
      <c r="G1119" s="27"/>
      <c r="H1119" s="20"/>
      <c r="I1119" s="21"/>
      <c r="J1119" s="28"/>
      <c r="K1119" s="19"/>
    </row>
    <row r="1120" spans="1:11" ht="13.2">
      <c r="A1120" s="22"/>
      <c r="B1120" s="16"/>
      <c r="C1120" s="23"/>
      <c r="D1120" s="24"/>
      <c r="E1120" s="25"/>
      <c r="F1120" s="26"/>
      <c r="G1120" s="27"/>
      <c r="H1120" s="20"/>
      <c r="I1120" s="21"/>
      <c r="J1120" s="28"/>
      <c r="K1120" s="19"/>
    </row>
    <row r="1121" spans="1:11" ht="13.2">
      <c r="A1121" s="22"/>
      <c r="B1121" s="16"/>
      <c r="C1121" s="23"/>
      <c r="D1121" s="24"/>
      <c r="E1121" s="25"/>
      <c r="F1121" s="26"/>
      <c r="G1121" s="27"/>
      <c r="H1121" s="20"/>
      <c r="I1121" s="21"/>
      <c r="J1121" s="28"/>
      <c r="K1121" s="19"/>
    </row>
    <row r="1122" spans="1:11" ht="13.2">
      <c r="A1122" s="22"/>
      <c r="B1122" s="16"/>
      <c r="C1122" s="23"/>
      <c r="D1122" s="24"/>
      <c r="E1122" s="25"/>
      <c r="F1122" s="26"/>
      <c r="G1122" s="27"/>
      <c r="H1122" s="20"/>
      <c r="I1122" s="21"/>
      <c r="J1122" s="28"/>
      <c r="K1122" s="19"/>
    </row>
    <row r="1123" spans="1:11" ht="13.2">
      <c r="A1123" s="22"/>
      <c r="B1123" s="16"/>
      <c r="C1123" s="23"/>
      <c r="D1123" s="24"/>
      <c r="E1123" s="25"/>
      <c r="F1123" s="26"/>
      <c r="G1123" s="27"/>
      <c r="H1123" s="20"/>
      <c r="I1123" s="21"/>
      <c r="J1123" s="28"/>
      <c r="K1123" s="19"/>
    </row>
    <row r="1124" spans="1:11" ht="13.2">
      <c r="A1124" s="22"/>
      <c r="B1124" s="16"/>
      <c r="C1124" s="23"/>
      <c r="D1124" s="24"/>
      <c r="E1124" s="25"/>
      <c r="F1124" s="26"/>
      <c r="G1124" s="27"/>
      <c r="H1124" s="20"/>
      <c r="I1124" s="21"/>
      <c r="J1124" s="28"/>
      <c r="K1124" s="19"/>
    </row>
    <row r="1125" spans="1:11" ht="13.2">
      <c r="A1125" s="22"/>
      <c r="B1125" s="16"/>
      <c r="C1125" s="23"/>
      <c r="D1125" s="24"/>
      <c r="E1125" s="25"/>
      <c r="F1125" s="26"/>
      <c r="G1125" s="27"/>
      <c r="H1125" s="20"/>
      <c r="I1125" s="21"/>
      <c r="J1125" s="28"/>
      <c r="K1125" s="19"/>
    </row>
    <row r="1126" spans="1:11" ht="13.2">
      <c r="A1126" s="22"/>
      <c r="B1126" s="16"/>
      <c r="C1126" s="23"/>
      <c r="D1126" s="24"/>
      <c r="E1126" s="25"/>
      <c r="F1126" s="26"/>
      <c r="G1126" s="27"/>
      <c r="H1126" s="20"/>
      <c r="I1126" s="21"/>
      <c r="J1126" s="28"/>
      <c r="K1126" s="19"/>
    </row>
    <row r="1127" spans="1:11" ht="13.2">
      <c r="A1127" s="22"/>
      <c r="B1127" s="16"/>
      <c r="C1127" s="23"/>
      <c r="D1127" s="24"/>
      <c r="E1127" s="25"/>
      <c r="F1127" s="26"/>
      <c r="G1127" s="27"/>
      <c r="H1127" s="20"/>
      <c r="I1127" s="21"/>
      <c r="J1127" s="28"/>
      <c r="K1127" s="19"/>
    </row>
    <row r="1128" spans="1:11" ht="13.2">
      <c r="A1128" s="22"/>
      <c r="B1128" s="16"/>
      <c r="C1128" s="23"/>
      <c r="D1128" s="24"/>
      <c r="E1128" s="25"/>
      <c r="F1128" s="26"/>
      <c r="G1128" s="27"/>
      <c r="H1128" s="20"/>
      <c r="I1128" s="21"/>
      <c r="J1128" s="28"/>
      <c r="K1128" s="19"/>
    </row>
    <row r="1129" spans="1:11" ht="13.2">
      <c r="A1129" s="22"/>
      <c r="B1129" s="16"/>
      <c r="C1129" s="23"/>
      <c r="D1129" s="24"/>
      <c r="E1129" s="25"/>
      <c r="F1129" s="26"/>
      <c r="G1129" s="27"/>
      <c r="H1129" s="20"/>
      <c r="I1129" s="21"/>
      <c r="J1129" s="28"/>
      <c r="K1129" s="19"/>
    </row>
    <row r="1130" spans="1:11" ht="13.2">
      <c r="A1130" s="22"/>
      <c r="B1130" s="16"/>
      <c r="C1130" s="23"/>
      <c r="D1130" s="24"/>
      <c r="E1130" s="25"/>
      <c r="F1130" s="26"/>
      <c r="G1130" s="27"/>
      <c r="H1130" s="20"/>
      <c r="I1130" s="21"/>
      <c r="J1130" s="28"/>
      <c r="K1130" s="19"/>
    </row>
    <row r="1131" spans="1:11" ht="13.2">
      <c r="A1131" s="22"/>
      <c r="B1131" s="16"/>
      <c r="C1131" s="23"/>
      <c r="D1131" s="24"/>
      <c r="E1131" s="25"/>
      <c r="F1131" s="26"/>
      <c r="G1131" s="27"/>
      <c r="H1131" s="20"/>
      <c r="I1131" s="21"/>
      <c r="J1131" s="28"/>
      <c r="K1131" s="19"/>
    </row>
    <row r="1132" spans="1:11" ht="13.2">
      <c r="A1132" s="22"/>
      <c r="B1132" s="16"/>
      <c r="C1132" s="23"/>
      <c r="D1132" s="24"/>
      <c r="E1132" s="25"/>
      <c r="F1132" s="26"/>
      <c r="G1132" s="27"/>
      <c r="H1132" s="20"/>
      <c r="I1132" s="21"/>
      <c r="J1132" s="28"/>
      <c r="K1132" s="19"/>
    </row>
    <row r="1133" spans="1:11" ht="13.2">
      <c r="A1133" s="22"/>
      <c r="B1133" s="16"/>
      <c r="C1133" s="23"/>
      <c r="D1133" s="24"/>
      <c r="E1133" s="25"/>
      <c r="F1133" s="26"/>
      <c r="G1133" s="27"/>
      <c r="H1133" s="20"/>
      <c r="I1133" s="21"/>
      <c r="J1133" s="28"/>
      <c r="K1133" s="19"/>
    </row>
    <row r="1134" spans="1:11" ht="13.2">
      <c r="A1134" s="22"/>
      <c r="B1134" s="16"/>
      <c r="C1134" s="23"/>
      <c r="D1134" s="24"/>
      <c r="E1134" s="25"/>
      <c r="F1134" s="26"/>
      <c r="G1134" s="27"/>
      <c r="H1134" s="20"/>
      <c r="I1134" s="21"/>
      <c r="J1134" s="28"/>
      <c r="K1134" s="19"/>
    </row>
    <row r="1135" spans="1:11" ht="13.2">
      <c r="A1135" s="22"/>
      <c r="B1135" s="16"/>
      <c r="C1135" s="23"/>
      <c r="D1135" s="24"/>
      <c r="E1135" s="25"/>
      <c r="F1135" s="26"/>
      <c r="G1135" s="27"/>
      <c r="H1135" s="20"/>
      <c r="I1135" s="21"/>
      <c r="J1135" s="28"/>
      <c r="K1135" s="19"/>
    </row>
    <row r="1136" spans="1:11" ht="13.2">
      <c r="A1136" s="22"/>
      <c r="B1136" s="16"/>
      <c r="C1136" s="23"/>
      <c r="D1136" s="24"/>
      <c r="E1136" s="25"/>
      <c r="F1136" s="26"/>
      <c r="G1136" s="27"/>
      <c r="H1136" s="20"/>
      <c r="I1136" s="21"/>
      <c r="J1136" s="28"/>
      <c r="K1136" s="19"/>
    </row>
    <row r="1137" spans="1:11" ht="13.2">
      <c r="A1137" s="22"/>
      <c r="B1137" s="16"/>
      <c r="C1137" s="23"/>
      <c r="D1137" s="24"/>
      <c r="E1137" s="25"/>
      <c r="F1137" s="26"/>
      <c r="G1137" s="27"/>
      <c r="H1137" s="20"/>
      <c r="I1137" s="21"/>
      <c r="J1137" s="28"/>
      <c r="K1137" s="19"/>
    </row>
    <row r="1138" spans="1:11" ht="13.2">
      <c r="A1138" s="22"/>
      <c r="B1138" s="16"/>
      <c r="C1138" s="23"/>
      <c r="D1138" s="24"/>
      <c r="E1138" s="25"/>
      <c r="F1138" s="26"/>
      <c r="G1138" s="27"/>
      <c r="H1138" s="20"/>
      <c r="I1138" s="21"/>
      <c r="J1138" s="28"/>
      <c r="K1138" s="19"/>
    </row>
    <row r="1139" spans="1:11" ht="13.2">
      <c r="A1139" s="22"/>
      <c r="B1139" s="16"/>
      <c r="C1139" s="23"/>
      <c r="D1139" s="24"/>
      <c r="E1139" s="25"/>
      <c r="F1139" s="26"/>
      <c r="G1139" s="27"/>
      <c r="H1139" s="20"/>
      <c r="I1139" s="21"/>
      <c r="J1139" s="28"/>
      <c r="K1139" s="19"/>
    </row>
    <row r="1140" spans="1:11" ht="13.2">
      <c r="A1140" s="22"/>
      <c r="B1140" s="16"/>
      <c r="C1140" s="23"/>
      <c r="D1140" s="24"/>
      <c r="E1140" s="25"/>
      <c r="F1140" s="26"/>
      <c r="G1140" s="27"/>
      <c r="H1140" s="20"/>
      <c r="I1140" s="21"/>
      <c r="J1140" s="28"/>
      <c r="K1140" s="19"/>
    </row>
    <row r="1141" spans="1:11" ht="13.2">
      <c r="A1141" s="22"/>
      <c r="B1141" s="16"/>
      <c r="C1141" s="23"/>
      <c r="D1141" s="24"/>
      <c r="E1141" s="25"/>
      <c r="F1141" s="26"/>
      <c r="G1141" s="27"/>
      <c r="H1141" s="20"/>
      <c r="I1141" s="21"/>
      <c r="J1141" s="28"/>
      <c r="K1141" s="19"/>
    </row>
    <row r="1142" spans="1:11" ht="13.2">
      <c r="A1142" s="22"/>
      <c r="B1142" s="16"/>
      <c r="C1142" s="23"/>
      <c r="D1142" s="24"/>
      <c r="E1142" s="25"/>
      <c r="F1142" s="26"/>
      <c r="G1142" s="27"/>
      <c r="H1142" s="20"/>
      <c r="I1142" s="21"/>
      <c r="J1142" s="28"/>
      <c r="K1142" s="19"/>
    </row>
    <row r="1143" spans="1:11" ht="13.2">
      <c r="A1143" s="22"/>
      <c r="B1143" s="16"/>
      <c r="C1143" s="23"/>
      <c r="D1143" s="24"/>
      <c r="E1143" s="25"/>
      <c r="F1143" s="26"/>
      <c r="G1143" s="27"/>
      <c r="H1143" s="20"/>
      <c r="I1143" s="21"/>
      <c r="J1143" s="28"/>
      <c r="K1143" s="19"/>
    </row>
    <row r="1144" spans="1:11" ht="13.2">
      <c r="A1144" s="22"/>
      <c r="B1144" s="16"/>
      <c r="C1144" s="23"/>
      <c r="D1144" s="24"/>
      <c r="E1144" s="25"/>
      <c r="F1144" s="26"/>
      <c r="G1144" s="27"/>
      <c r="H1144" s="20"/>
      <c r="I1144" s="21"/>
      <c r="J1144" s="28"/>
      <c r="K1144" s="19"/>
    </row>
    <row r="1145" spans="1:11" ht="13.2">
      <c r="A1145" s="22"/>
      <c r="B1145" s="16"/>
      <c r="C1145" s="23"/>
      <c r="D1145" s="24"/>
      <c r="E1145" s="25"/>
      <c r="F1145" s="26"/>
      <c r="G1145" s="27"/>
      <c r="H1145" s="20"/>
      <c r="I1145" s="21"/>
      <c r="J1145" s="28"/>
      <c r="K1145" s="19"/>
    </row>
    <row r="1146" spans="1:11" ht="13.2">
      <c r="A1146" s="22"/>
      <c r="B1146" s="16"/>
      <c r="C1146" s="23"/>
      <c r="D1146" s="24"/>
      <c r="E1146" s="25"/>
      <c r="F1146" s="26"/>
      <c r="G1146" s="27"/>
      <c r="H1146" s="20"/>
      <c r="I1146" s="21"/>
      <c r="J1146" s="28"/>
      <c r="K1146" s="19"/>
    </row>
    <row r="1147" spans="1:11" ht="13.2">
      <c r="A1147" s="22"/>
      <c r="B1147" s="16"/>
      <c r="C1147" s="23"/>
      <c r="D1147" s="24"/>
      <c r="E1147" s="25"/>
      <c r="F1147" s="26"/>
      <c r="G1147" s="27"/>
      <c r="H1147" s="20"/>
      <c r="I1147" s="21"/>
      <c r="J1147" s="28"/>
      <c r="K1147" s="19"/>
    </row>
    <row r="1148" spans="1:11" ht="13.2">
      <c r="A1148" s="22"/>
      <c r="B1148" s="16"/>
      <c r="C1148" s="23"/>
      <c r="D1148" s="24"/>
      <c r="E1148" s="25"/>
      <c r="F1148" s="26"/>
      <c r="G1148" s="27"/>
      <c r="H1148" s="20"/>
      <c r="I1148" s="21"/>
      <c r="J1148" s="28"/>
      <c r="K1148" s="19"/>
    </row>
    <row r="1149" spans="1:11" ht="13.2">
      <c r="A1149" s="22"/>
      <c r="B1149" s="16"/>
      <c r="C1149" s="23"/>
      <c r="D1149" s="24"/>
      <c r="E1149" s="25"/>
      <c r="F1149" s="26"/>
      <c r="G1149" s="27"/>
      <c r="H1149" s="20"/>
      <c r="I1149" s="21"/>
      <c r="J1149" s="28"/>
      <c r="K1149" s="19"/>
    </row>
    <row r="1150" spans="1:11" ht="13.2">
      <c r="A1150" s="22"/>
      <c r="B1150" s="16"/>
      <c r="C1150" s="23"/>
      <c r="D1150" s="24"/>
      <c r="E1150" s="25"/>
      <c r="F1150" s="26"/>
      <c r="G1150" s="27"/>
      <c r="H1150" s="20"/>
      <c r="I1150" s="21"/>
      <c r="J1150" s="28"/>
      <c r="K1150" s="19"/>
    </row>
    <row r="1151" spans="1:11" ht="13.2">
      <c r="A1151" s="22"/>
      <c r="B1151" s="16"/>
      <c r="C1151" s="23"/>
      <c r="D1151" s="24"/>
      <c r="E1151" s="25"/>
      <c r="F1151" s="26"/>
      <c r="G1151" s="27"/>
      <c r="H1151" s="20"/>
      <c r="I1151" s="21"/>
      <c r="J1151" s="28"/>
      <c r="K1151" s="19"/>
    </row>
    <row r="1152" spans="1:11" ht="13.2">
      <c r="A1152" s="22"/>
      <c r="B1152" s="16"/>
      <c r="C1152" s="23"/>
      <c r="D1152" s="24"/>
      <c r="E1152" s="25"/>
      <c r="F1152" s="26"/>
      <c r="G1152" s="27"/>
      <c r="H1152" s="20"/>
      <c r="I1152" s="21"/>
      <c r="J1152" s="28"/>
      <c r="K1152" s="19"/>
    </row>
    <row r="1153" spans="1:11" ht="13.2">
      <c r="A1153" s="22"/>
      <c r="B1153" s="16"/>
      <c r="C1153" s="23"/>
      <c r="D1153" s="24"/>
      <c r="E1153" s="25"/>
      <c r="F1153" s="26"/>
      <c r="G1153" s="27"/>
      <c r="H1153" s="20"/>
      <c r="I1153" s="21"/>
      <c r="J1153" s="28"/>
      <c r="K1153" s="19"/>
    </row>
    <row r="1154" spans="1:11" ht="13.2">
      <c r="A1154" s="22"/>
      <c r="B1154" s="16"/>
      <c r="C1154" s="23"/>
      <c r="D1154" s="24"/>
      <c r="E1154" s="25"/>
      <c r="F1154" s="26"/>
      <c r="G1154" s="27"/>
      <c r="H1154" s="20"/>
      <c r="I1154" s="21"/>
      <c r="J1154" s="28"/>
      <c r="K1154" s="19"/>
    </row>
    <row r="1155" spans="1:11" ht="13.2">
      <c r="A1155" s="22"/>
      <c r="B1155" s="16"/>
      <c r="C1155" s="23"/>
      <c r="D1155" s="24"/>
      <c r="E1155" s="25"/>
      <c r="F1155" s="26"/>
      <c r="G1155" s="27"/>
      <c r="H1155" s="20"/>
      <c r="I1155" s="21"/>
      <c r="J1155" s="28"/>
      <c r="K1155" s="19"/>
    </row>
    <row r="1156" spans="1:11" ht="13.2">
      <c r="A1156" s="22"/>
      <c r="B1156" s="16"/>
      <c r="C1156" s="23"/>
      <c r="D1156" s="24"/>
      <c r="E1156" s="25"/>
      <c r="F1156" s="26"/>
      <c r="G1156" s="27"/>
      <c r="H1156" s="20"/>
      <c r="I1156" s="21"/>
      <c r="J1156" s="28"/>
      <c r="K1156" s="19"/>
    </row>
    <row r="1157" spans="1:11" ht="13.2">
      <c r="A1157" s="22"/>
      <c r="B1157" s="16"/>
      <c r="C1157" s="23"/>
      <c r="D1157" s="24"/>
      <c r="E1157" s="25"/>
      <c r="F1157" s="26"/>
      <c r="G1157" s="27"/>
      <c r="H1157" s="20"/>
      <c r="I1157" s="21"/>
      <c r="J1157" s="28"/>
      <c r="K1157" s="19"/>
    </row>
    <row r="1158" spans="1:11" ht="13.2">
      <c r="A1158" s="22"/>
      <c r="B1158" s="16"/>
      <c r="C1158" s="23"/>
      <c r="D1158" s="24"/>
      <c r="E1158" s="25"/>
      <c r="F1158" s="26"/>
      <c r="G1158" s="27"/>
      <c r="H1158" s="20"/>
      <c r="I1158" s="21"/>
      <c r="J1158" s="28"/>
      <c r="K1158" s="19"/>
    </row>
    <row r="1159" spans="1:11" ht="13.2">
      <c r="A1159" s="22"/>
      <c r="B1159" s="16"/>
      <c r="C1159" s="23"/>
      <c r="D1159" s="24"/>
      <c r="E1159" s="25"/>
      <c r="F1159" s="26"/>
      <c r="G1159" s="27"/>
      <c r="H1159" s="20"/>
      <c r="I1159" s="21"/>
      <c r="J1159" s="28"/>
      <c r="K1159" s="19"/>
    </row>
    <row r="1160" spans="1:11" ht="13.2">
      <c r="A1160" s="22"/>
      <c r="B1160" s="16"/>
      <c r="C1160" s="23"/>
      <c r="D1160" s="24"/>
      <c r="E1160" s="25"/>
      <c r="F1160" s="26"/>
      <c r="G1160" s="27"/>
      <c r="H1160" s="20"/>
      <c r="I1160" s="21"/>
      <c r="J1160" s="28"/>
      <c r="K1160" s="19"/>
    </row>
    <row r="1161" spans="1:11" ht="13.2">
      <c r="A1161" s="22"/>
      <c r="B1161" s="16"/>
      <c r="C1161" s="23"/>
      <c r="D1161" s="24"/>
      <c r="E1161" s="25"/>
      <c r="F1161" s="26"/>
      <c r="G1161" s="27"/>
      <c r="H1161" s="20"/>
      <c r="I1161" s="21"/>
      <c r="J1161" s="28"/>
      <c r="K1161" s="19"/>
    </row>
    <row r="1162" spans="1:11" ht="13.2">
      <c r="A1162" s="22"/>
      <c r="B1162" s="16"/>
      <c r="C1162" s="23"/>
      <c r="D1162" s="24"/>
      <c r="E1162" s="25"/>
      <c r="F1162" s="26"/>
      <c r="G1162" s="27"/>
      <c r="H1162" s="20"/>
      <c r="I1162" s="21"/>
      <c r="J1162" s="28"/>
      <c r="K1162" s="19"/>
    </row>
    <row r="1163" spans="1:11" ht="13.2">
      <c r="A1163" s="22"/>
      <c r="B1163" s="16"/>
      <c r="C1163" s="23"/>
      <c r="D1163" s="24"/>
      <c r="E1163" s="25"/>
      <c r="F1163" s="26"/>
      <c r="G1163" s="27"/>
      <c r="H1163" s="20"/>
      <c r="I1163" s="21"/>
      <c r="J1163" s="28"/>
      <c r="K1163" s="19"/>
    </row>
    <row r="1164" spans="1:11" ht="13.2">
      <c r="A1164" s="22"/>
      <c r="B1164" s="16"/>
      <c r="C1164" s="23"/>
      <c r="D1164" s="24"/>
      <c r="E1164" s="25"/>
      <c r="F1164" s="26"/>
      <c r="G1164" s="27"/>
      <c r="H1164" s="20"/>
      <c r="I1164" s="21"/>
      <c r="J1164" s="28"/>
      <c r="K1164" s="19"/>
    </row>
    <row r="1165" spans="1:11" ht="13.2">
      <c r="A1165" s="22"/>
      <c r="B1165" s="16"/>
      <c r="C1165" s="23"/>
      <c r="D1165" s="24"/>
      <c r="E1165" s="25"/>
      <c r="F1165" s="26"/>
      <c r="G1165" s="27"/>
      <c r="H1165" s="20"/>
      <c r="I1165" s="21"/>
      <c r="J1165" s="28"/>
      <c r="K1165" s="19"/>
    </row>
    <row r="1166" spans="1:11" ht="13.2">
      <c r="A1166" s="22"/>
      <c r="B1166" s="16"/>
      <c r="C1166" s="23"/>
      <c r="D1166" s="24"/>
      <c r="E1166" s="25"/>
      <c r="F1166" s="26"/>
      <c r="G1166" s="27"/>
      <c r="H1166" s="20"/>
      <c r="I1166" s="21"/>
      <c r="J1166" s="28"/>
      <c r="K1166" s="19"/>
    </row>
    <row r="1167" spans="1:11" ht="13.2">
      <c r="A1167" s="22"/>
      <c r="B1167" s="16"/>
      <c r="C1167" s="23"/>
      <c r="D1167" s="24"/>
      <c r="E1167" s="25"/>
      <c r="F1167" s="26"/>
      <c r="G1167" s="27"/>
      <c r="H1167" s="20"/>
      <c r="I1167" s="21"/>
      <c r="J1167" s="28"/>
      <c r="K1167" s="19"/>
    </row>
    <row r="1168" spans="1:11" ht="13.2">
      <c r="A1168" s="22"/>
      <c r="B1168" s="16"/>
      <c r="C1168" s="23"/>
      <c r="D1168" s="24"/>
      <c r="E1168" s="25"/>
      <c r="F1168" s="26"/>
      <c r="G1168" s="27"/>
      <c r="H1168" s="20"/>
      <c r="I1168" s="21"/>
      <c r="J1168" s="28"/>
      <c r="K1168" s="19"/>
    </row>
    <row r="1169" spans="1:11" ht="13.2">
      <c r="A1169" s="22"/>
      <c r="B1169" s="16"/>
      <c r="C1169" s="23"/>
      <c r="D1169" s="24"/>
      <c r="E1169" s="25"/>
      <c r="F1169" s="26"/>
      <c r="G1169" s="27"/>
      <c r="H1169" s="20"/>
      <c r="I1169" s="21"/>
      <c r="J1169" s="28"/>
      <c r="K1169" s="19"/>
    </row>
    <row r="1170" spans="1:11" ht="13.2">
      <c r="A1170" s="22"/>
      <c r="B1170" s="16"/>
      <c r="C1170" s="23"/>
      <c r="D1170" s="24"/>
      <c r="E1170" s="25"/>
      <c r="F1170" s="26"/>
      <c r="G1170" s="27"/>
      <c r="H1170" s="20"/>
      <c r="I1170" s="21"/>
      <c r="J1170" s="28"/>
      <c r="K1170" s="19"/>
    </row>
    <row r="1171" spans="1:11" ht="13.2">
      <c r="A1171" s="22"/>
      <c r="B1171" s="16"/>
      <c r="C1171" s="23"/>
      <c r="D1171" s="24"/>
      <c r="E1171" s="25"/>
      <c r="F1171" s="26"/>
      <c r="G1171" s="27"/>
      <c r="H1171" s="20"/>
      <c r="I1171" s="21"/>
      <c r="J1171" s="28"/>
      <c r="K1171" s="19"/>
    </row>
    <row r="1172" spans="1:11" ht="13.2">
      <c r="A1172" s="22"/>
      <c r="B1172" s="16"/>
      <c r="C1172" s="23"/>
      <c r="D1172" s="24"/>
      <c r="E1172" s="25"/>
      <c r="F1172" s="26"/>
      <c r="G1172" s="27"/>
      <c r="H1172" s="20"/>
      <c r="I1172" s="21"/>
      <c r="J1172" s="28"/>
      <c r="K1172" s="19"/>
    </row>
    <row r="1173" spans="1:11" ht="13.2">
      <c r="A1173" s="22"/>
      <c r="B1173" s="16"/>
      <c r="C1173" s="23"/>
      <c r="D1173" s="24"/>
      <c r="E1173" s="25"/>
      <c r="F1173" s="26"/>
      <c r="G1173" s="27"/>
      <c r="H1173" s="20"/>
      <c r="I1173" s="21"/>
      <c r="J1173" s="28"/>
      <c r="K1173" s="19"/>
    </row>
    <row r="1174" spans="1:11" ht="13.2">
      <c r="A1174" s="22"/>
      <c r="B1174" s="16"/>
      <c r="C1174" s="23"/>
      <c r="D1174" s="24"/>
      <c r="E1174" s="25"/>
      <c r="F1174" s="26"/>
      <c r="G1174" s="27"/>
      <c r="H1174" s="20"/>
      <c r="I1174" s="21"/>
      <c r="J1174" s="28"/>
      <c r="K1174" s="19"/>
    </row>
    <row r="1175" spans="1:11" ht="13.2">
      <c r="A1175" s="22"/>
      <c r="B1175" s="16"/>
      <c r="C1175" s="23"/>
      <c r="D1175" s="24"/>
      <c r="E1175" s="25"/>
      <c r="F1175" s="26"/>
      <c r="G1175" s="27"/>
      <c r="H1175" s="20"/>
      <c r="I1175" s="21"/>
      <c r="J1175" s="28"/>
      <c r="K1175" s="19"/>
    </row>
    <row r="1176" spans="1:11" ht="13.2">
      <c r="A1176" s="22"/>
      <c r="B1176" s="16"/>
      <c r="C1176" s="23"/>
      <c r="D1176" s="24"/>
      <c r="E1176" s="25"/>
      <c r="F1176" s="26"/>
      <c r="G1176" s="27"/>
      <c r="H1176" s="20"/>
      <c r="I1176" s="21"/>
      <c r="J1176" s="28"/>
      <c r="K1176" s="19"/>
    </row>
    <row r="1177" spans="1:11" ht="13.2">
      <c r="A1177" s="22"/>
      <c r="B1177" s="16"/>
      <c r="C1177" s="23"/>
      <c r="D1177" s="24"/>
      <c r="E1177" s="25"/>
      <c r="F1177" s="26"/>
      <c r="G1177" s="27"/>
      <c r="H1177" s="20"/>
      <c r="I1177" s="21"/>
      <c r="J1177" s="28"/>
      <c r="K1177" s="19"/>
    </row>
    <row r="1178" spans="1:11" ht="13.2">
      <c r="A1178" s="22"/>
      <c r="B1178" s="16"/>
      <c r="C1178" s="23"/>
      <c r="D1178" s="24"/>
      <c r="E1178" s="25"/>
      <c r="F1178" s="26"/>
      <c r="G1178" s="27"/>
      <c r="H1178" s="20"/>
      <c r="I1178" s="21"/>
      <c r="J1178" s="28"/>
      <c r="K1178" s="19"/>
    </row>
    <row r="1179" spans="1:11" ht="13.2">
      <c r="A1179" s="22"/>
      <c r="B1179" s="16"/>
      <c r="C1179" s="23"/>
      <c r="D1179" s="24"/>
      <c r="E1179" s="25"/>
      <c r="F1179" s="26"/>
      <c r="G1179" s="27"/>
      <c r="H1179" s="20"/>
      <c r="I1179" s="21"/>
      <c r="J1179" s="28"/>
      <c r="K1179" s="19"/>
    </row>
    <row r="1180" spans="1:11" ht="13.2">
      <c r="A1180" s="22"/>
      <c r="B1180" s="16"/>
      <c r="C1180" s="23"/>
      <c r="D1180" s="24"/>
      <c r="E1180" s="25"/>
      <c r="F1180" s="26"/>
      <c r="G1180" s="27"/>
      <c r="H1180" s="20"/>
      <c r="I1180" s="21"/>
      <c r="J1180" s="28"/>
      <c r="K1180" s="19"/>
    </row>
    <row r="1181" spans="1:11" ht="13.2">
      <c r="A1181" s="22"/>
      <c r="B1181" s="16"/>
      <c r="C1181" s="23"/>
      <c r="D1181" s="24"/>
      <c r="E1181" s="25"/>
      <c r="F1181" s="26"/>
      <c r="G1181" s="27"/>
      <c r="H1181" s="20"/>
      <c r="I1181" s="21"/>
      <c r="J1181" s="28"/>
      <c r="K1181" s="19"/>
    </row>
    <row r="1182" spans="1:11" ht="13.2">
      <c r="A1182" s="22"/>
      <c r="B1182" s="16"/>
      <c r="C1182" s="23"/>
      <c r="D1182" s="24"/>
      <c r="E1182" s="25"/>
      <c r="F1182" s="26"/>
      <c r="G1182" s="27"/>
      <c r="H1182" s="20"/>
      <c r="I1182" s="21"/>
      <c r="J1182" s="28"/>
      <c r="K1182" s="19"/>
    </row>
    <row r="1183" spans="1:11" ht="13.2">
      <c r="A1183" s="22"/>
      <c r="B1183" s="16"/>
      <c r="C1183" s="23"/>
      <c r="D1183" s="24"/>
      <c r="E1183" s="25"/>
      <c r="F1183" s="26"/>
      <c r="G1183" s="27"/>
      <c r="H1183" s="20"/>
      <c r="I1183" s="21"/>
      <c r="J1183" s="28"/>
      <c r="K1183" s="19"/>
    </row>
    <row r="1184" spans="1:11" ht="13.2">
      <c r="A1184" s="22"/>
      <c r="B1184" s="16"/>
      <c r="C1184" s="23"/>
      <c r="D1184" s="24"/>
      <c r="E1184" s="25"/>
      <c r="F1184" s="26"/>
      <c r="G1184" s="27"/>
      <c r="H1184" s="20"/>
      <c r="I1184" s="21"/>
      <c r="J1184" s="28"/>
      <c r="K1184" s="19"/>
    </row>
    <row r="1185" spans="1:11" ht="13.2">
      <c r="A1185" s="22"/>
      <c r="B1185" s="16"/>
      <c r="C1185" s="23"/>
      <c r="D1185" s="24"/>
      <c r="E1185" s="25"/>
      <c r="F1185" s="26"/>
      <c r="G1185" s="27"/>
      <c r="H1185" s="20"/>
      <c r="I1185" s="21"/>
      <c r="J1185" s="28"/>
      <c r="K1185" s="19"/>
    </row>
    <row r="1186" spans="1:11" ht="13.2">
      <c r="A1186" s="22"/>
      <c r="B1186" s="16"/>
      <c r="C1186" s="23"/>
      <c r="D1186" s="24"/>
      <c r="E1186" s="25"/>
      <c r="F1186" s="26"/>
      <c r="G1186" s="27"/>
      <c r="H1186" s="20"/>
      <c r="I1186" s="21"/>
      <c r="J1186" s="28"/>
      <c r="K1186" s="19"/>
    </row>
    <row r="1187" spans="1:11" ht="13.2">
      <c r="A1187" s="22"/>
      <c r="B1187" s="16"/>
      <c r="C1187" s="23"/>
      <c r="D1187" s="24"/>
      <c r="E1187" s="25"/>
      <c r="F1187" s="26"/>
      <c r="G1187" s="27"/>
      <c r="H1187" s="20"/>
      <c r="I1187" s="21"/>
      <c r="J1187" s="28"/>
      <c r="K1187" s="19"/>
    </row>
    <row r="1188" spans="1:11" ht="13.2">
      <c r="A1188" s="22"/>
      <c r="B1188" s="16"/>
      <c r="C1188" s="23"/>
      <c r="D1188" s="24"/>
      <c r="E1188" s="25"/>
      <c r="F1188" s="26"/>
      <c r="G1188" s="27"/>
      <c r="H1188" s="20"/>
      <c r="I1188" s="21"/>
      <c r="J1188" s="28"/>
      <c r="K1188" s="19"/>
    </row>
    <row r="1189" spans="1:11" ht="13.2">
      <c r="A1189" s="22"/>
      <c r="B1189" s="16"/>
      <c r="C1189" s="23"/>
      <c r="D1189" s="24"/>
      <c r="E1189" s="25"/>
      <c r="F1189" s="26"/>
      <c r="G1189" s="27"/>
      <c r="H1189" s="20"/>
      <c r="I1189" s="21"/>
      <c r="J1189" s="28"/>
      <c r="K1189" s="19"/>
    </row>
    <row r="1190" spans="1:11" ht="13.2">
      <c r="A1190" s="22"/>
      <c r="B1190" s="16"/>
      <c r="C1190" s="23"/>
      <c r="D1190" s="24"/>
      <c r="E1190" s="25"/>
      <c r="F1190" s="26"/>
      <c r="G1190" s="27"/>
      <c r="H1190" s="20"/>
      <c r="I1190" s="21"/>
      <c r="J1190" s="28"/>
      <c r="K1190" s="19"/>
    </row>
    <row r="1191" spans="1:11" ht="13.2">
      <c r="A1191" s="22"/>
      <c r="B1191" s="16"/>
      <c r="C1191" s="23"/>
      <c r="D1191" s="24"/>
      <c r="E1191" s="25"/>
      <c r="F1191" s="26"/>
      <c r="G1191" s="27"/>
      <c r="H1191" s="20"/>
      <c r="I1191" s="21"/>
      <c r="J1191" s="28"/>
      <c r="K1191" s="19"/>
    </row>
    <row r="1192" spans="1:11" ht="13.2">
      <c r="A1192" s="22"/>
      <c r="B1192" s="16"/>
      <c r="C1192" s="23"/>
      <c r="D1192" s="24"/>
      <c r="E1192" s="25"/>
      <c r="F1192" s="26"/>
      <c r="G1192" s="27"/>
      <c r="H1192" s="20"/>
      <c r="I1192" s="21"/>
      <c r="J1192" s="28"/>
      <c r="K1192" s="19"/>
    </row>
    <row r="1193" spans="1:11" ht="13.2">
      <c r="A1193" s="22"/>
      <c r="B1193" s="16"/>
      <c r="C1193" s="23"/>
      <c r="D1193" s="24"/>
      <c r="E1193" s="25"/>
      <c r="F1193" s="26"/>
      <c r="G1193" s="27"/>
      <c r="H1193" s="20"/>
      <c r="I1193" s="21"/>
      <c r="J1193" s="28"/>
      <c r="K1193" s="19"/>
    </row>
    <row r="1194" spans="1:11" ht="13.2">
      <c r="A1194" s="22"/>
      <c r="B1194" s="16"/>
      <c r="C1194" s="23"/>
      <c r="D1194" s="24"/>
      <c r="E1194" s="25"/>
      <c r="F1194" s="26"/>
      <c r="G1194" s="27"/>
      <c r="H1194" s="20"/>
      <c r="I1194" s="21"/>
      <c r="J1194" s="28"/>
      <c r="K1194" s="19"/>
    </row>
    <row r="1195" spans="1:11" ht="13.2">
      <c r="A1195" s="22"/>
      <c r="B1195" s="16"/>
      <c r="C1195" s="23"/>
      <c r="D1195" s="24"/>
      <c r="E1195" s="25"/>
      <c r="F1195" s="26"/>
      <c r="G1195" s="27"/>
      <c r="H1195" s="20"/>
      <c r="I1195" s="21"/>
      <c r="J1195" s="28"/>
      <c r="K1195" s="19"/>
    </row>
    <row r="1196" spans="1:11" ht="13.2">
      <c r="A1196" s="22"/>
      <c r="B1196" s="16"/>
      <c r="C1196" s="23"/>
      <c r="D1196" s="24"/>
      <c r="E1196" s="25"/>
      <c r="F1196" s="26"/>
      <c r="G1196" s="27"/>
      <c r="H1196" s="20"/>
      <c r="I1196" s="21"/>
      <c r="J1196" s="28"/>
      <c r="K1196" s="19"/>
    </row>
    <row r="1197" spans="1:11" ht="13.2">
      <c r="A1197" s="22"/>
      <c r="B1197" s="16"/>
      <c r="C1197" s="23"/>
      <c r="D1197" s="24"/>
      <c r="E1197" s="25"/>
      <c r="F1197" s="26"/>
      <c r="G1197" s="27"/>
      <c r="H1197" s="20"/>
      <c r="I1197" s="21"/>
      <c r="J1197" s="28"/>
      <c r="K1197" s="19"/>
    </row>
    <row r="1198" spans="1:11" ht="13.2">
      <c r="A1198" s="22"/>
      <c r="B1198" s="16"/>
      <c r="C1198" s="23"/>
      <c r="D1198" s="24"/>
      <c r="E1198" s="25"/>
      <c r="F1198" s="26"/>
      <c r="G1198" s="27"/>
      <c r="H1198" s="20"/>
      <c r="I1198" s="21"/>
      <c r="J1198" s="28"/>
      <c r="K1198" s="19"/>
    </row>
    <row r="1199" spans="1:11" ht="13.2">
      <c r="A1199" s="22"/>
      <c r="B1199" s="16"/>
      <c r="C1199" s="23"/>
      <c r="D1199" s="24"/>
      <c r="E1199" s="25"/>
      <c r="F1199" s="26"/>
      <c r="G1199" s="27"/>
      <c r="H1199" s="20"/>
      <c r="I1199" s="21"/>
      <c r="J1199" s="28"/>
      <c r="K1199" s="19"/>
    </row>
    <row r="1200" spans="1:11" ht="13.2">
      <c r="A1200" s="22"/>
      <c r="B1200" s="16"/>
      <c r="C1200" s="23"/>
      <c r="D1200" s="24"/>
      <c r="E1200" s="25"/>
      <c r="F1200" s="26"/>
      <c r="G1200" s="27"/>
      <c r="H1200" s="20"/>
      <c r="I1200" s="21"/>
      <c r="J1200" s="28"/>
      <c r="K1200" s="19"/>
    </row>
    <row r="1201" spans="1:11" ht="13.2">
      <c r="A1201" s="22"/>
      <c r="B1201" s="16"/>
      <c r="C1201" s="23"/>
      <c r="D1201" s="24"/>
      <c r="E1201" s="25"/>
      <c r="F1201" s="26"/>
      <c r="G1201" s="27"/>
      <c r="H1201" s="20"/>
      <c r="I1201" s="21"/>
      <c r="J1201" s="28"/>
      <c r="K1201" s="19"/>
    </row>
    <row r="1202" spans="1:11" ht="13.2">
      <c r="A1202" s="22"/>
      <c r="B1202" s="16"/>
      <c r="C1202" s="23"/>
      <c r="D1202" s="24"/>
      <c r="E1202" s="25"/>
      <c r="F1202" s="26"/>
      <c r="G1202" s="27"/>
      <c r="H1202" s="20"/>
      <c r="I1202" s="21"/>
      <c r="J1202" s="28"/>
      <c r="K1202" s="19"/>
    </row>
    <row r="1203" spans="1:11" ht="13.2">
      <c r="A1203" s="22"/>
      <c r="B1203" s="16"/>
      <c r="C1203" s="23"/>
      <c r="D1203" s="24"/>
      <c r="E1203" s="25"/>
      <c r="F1203" s="26"/>
      <c r="G1203" s="27"/>
      <c r="H1203" s="20"/>
      <c r="I1203" s="21"/>
      <c r="J1203" s="28"/>
      <c r="K1203" s="19"/>
    </row>
    <row r="1204" spans="1:11" ht="13.2">
      <c r="A1204" s="22"/>
      <c r="B1204" s="16"/>
      <c r="C1204" s="23"/>
      <c r="D1204" s="24"/>
      <c r="E1204" s="25"/>
      <c r="F1204" s="26"/>
      <c r="G1204" s="27"/>
      <c r="H1204" s="20"/>
      <c r="I1204" s="21"/>
      <c r="J1204" s="28"/>
      <c r="K1204" s="19"/>
    </row>
    <row r="1205" spans="1:11" ht="13.2">
      <c r="A1205" s="22"/>
      <c r="B1205" s="16"/>
      <c r="C1205" s="23"/>
      <c r="D1205" s="24"/>
      <c r="E1205" s="25"/>
      <c r="F1205" s="26"/>
      <c r="G1205" s="27"/>
      <c r="H1205" s="20"/>
      <c r="I1205" s="21"/>
      <c r="J1205" s="28"/>
      <c r="K1205" s="19"/>
    </row>
    <row r="1206" spans="1:11" ht="13.2">
      <c r="A1206" s="22"/>
      <c r="B1206" s="16"/>
      <c r="C1206" s="23"/>
      <c r="D1206" s="24"/>
      <c r="E1206" s="25"/>
      <c r="F1206" s="26"/>
      <c r="G1206" s="27"/>
      <c r="H1206" s="20"/>
      <c r="I1206" s="21"/>
      <c r="J1206" s="28"/>
      <c r="K1206" s="19"/>
    </row>
    <row r="1207" spans="1:11" ht="13.2">
      <c r="A1207" s="22"/>
      <c r="B1207" s="16"/>
      <c r="C1207" s="23"/>
      <c r="D1207" s="24"/>
      <c r="E1207" s="25"/>
      <c r="F1207" s="26"/>
      <c r="G1207" s="27"/>
      <c r="H1207" s="20"/>
      <c r="I1207" s="21"/>
      <c r="J1207" s="28"/>
      <c r="K1207" s="19"/>
    </row>
    <row r="1208" spans="1:11" ht="13.2">
      <c r="A1208" s="22"/>
      <c r="B1208" s="16"/>
      <c r="C1208" s="23"/>
      <c r="D1208" s="24"/>
      <c r="E1208" s="25"/>
      <c r="F1208" s="26"/>
      <c r="G1208" s="27"/>
      <c r="H1208" s="20"/>
      <c r="I1208" s="21"/>
      <c r="J1208" s="28"/>
      <c r="K1208" s="19"/>
    </row>
    <row r="1209" spans="1:11" ht="13.2">
      <c r="A1209" s="22"/>
      <c r="B1209" s="16"/>
      <c r="C1209" s="23"/>
      <c r="D1209" s="24"/>
      <c r="E1209" s="25"/>
      <c r="F1209" s="26"/>
      <c r="G1209" s="27"/>
      <c r="H1209" s="20"/>
      <c r="I1209" s="21"/>
      <c r="J1209" s="28"/>
      <c r="K1209" s="19"/>
    </row>
    <row r="1210" spans="1:11" ht="13.2">
      <c r="A1210" s="22"/>
      <c r="B1210" s="16"/>
      <c r="C1210" s="23"/>
      <c r="D1210" s="24"/>
      <c r="E1210" s="25"/>
      <c r="F1210" s="26"/>
      <c r="G1210" s="27"/>
      <c r="H1210" s="20"/>
      <c r="I1210" s="21"/>
      <c r="J1210" s="28"/>
      <c r="K1210" s="19"/>
    </row>
    <row r="1211" spans="1:11" ht="13.2">
      <c r="A1211" s="22"/>
      <c r="B1211" s="16"/>
      <c r="C1211" s="23"/>
      <c r="D1211" s="24"/>
      <c r="E1211" s="25"/>
      <c r="F1211" s="26"/>
      <c r="G1211" s="27"/>
      <c r="H1211" s="20"/>
      <c r="I1211" s="21"/>
      <c r="J1211" s="28"/>
      <c r="K1211" s="19"/>
    </row>
    <row r="1212" spans="1:11" ht="13.2">
      <c r="A1212" s="22"/>
      <c r="B1212" s="16"/>
      <c r="C1212" s="23"/>
      <c r="D1212" s="24"/>
      <c r="E1212" s="25"/>
      <c r="F1212" s="26"/>
      <c r="G1212" s="27"/>
      <c r="H1212" s="20"/>
      <c r="I1212" s="21"/>
      <c r="J1212" s="28"/>
      <c r="K1212" s="19"/>
    </row>
    <row r="1213" spans="1:11" ht="13.2">
      <c r="A1213" s="22"/>
      <c r="B1213" s="16"/>
      <c r="C1213" s="23"/>
      <c r="D1213" s="24"/>
      <c r="E1213" s="25"/>
      <c r="F1213" s="26"/>
      <c r="G1213" s="27"/>
      <c r="H1213" s="20"/>
      <c r="I1213" s="21"/>
      <c r="J1213" s="28"/>
      <c r="K1213" s="19"/>
    </row>
    <row r="1214" spans="1:11" ht="13.2">
      <c r="A1214" s="22"/>
      <c r="B1214" s="16"/>
      <c r="C1214" s="23"/>
      <c r="D1214" s="24"/>
      <c r="E1214" s="25"/>
      <c r="F1214" s="26"/>
      <c r="G1214" s="27"/>
      <c r="H1214" s="20"/>
      <c r="I1214" s="21"/>
      <c r="J1214" s="28"/>
      <c r="K1214" s="19"/>
    </row>
    <row r="1215" spans="1:11" ht="13.2">
      <c r="A1215" s="22"/>
      <c r="B1215" s="16"/>
      <c r="C1215" s="23"/>
      <c r="D1215" s="24"/>
      <c r="E1215" s="25"/>
      <c r="F1215" s="26"/>
      <c r="G1215" s="27"/>
      <c r="H1215" s="20"/>
      <c r="I1215" s="21"/>
      <c r="J1215" s="28"/>
      <c r="K1215" s="19"/>
    </row>
    <row r="1216" spans="1:11" ht="13.2">
      <c r="A1216" s="22"/>
      <c r="B1216" s="16"/>
      <c r="C1216" s="23"/>
      <c r="D1216" s="24"/>
      <c r="E1216" s="25"/>
      <c r="F1216" s="26"/>
      <c r="G1216" s="27"/>
      <c r="H1216" s="20"/>
      <c r="I1216" s="21"/>
      <c r="J1216" s="28"/>
      <c r="K1216" s="19"/>
    </row>
    <row r="1217" spans="1:11" ht="13.2">
      <c r="A1217" s="22"/>
      <c r="B1217" s="16"/>
      <c r="C1217" s="23"/>
      <c r="D1217" s="24"/>
      <c r="E1217" s="25"/>
      <c r="F1217" s="26"/>
      <c r="G1217" s="27"/>
      <c r="H1217" s="20"/>
      <c r="I1217" s="21"/>
      <c r="J1217" s="28"/>
      <c r="K1217" s="19"/>
    </row>
    <row r="1218" spans="1:11" ht="13.2">
      <c r="A1218" s="22"/>
      <c r="B1218" s="16"/>
      <c r="C1218" s="23"/>
      <c r="D1218" s="24"/>
      <c r="E1218" s="25"/>
      <c r="F1218" s="26"/>
      <c r="G1218" s="27"/>
      <c r="H1218" s="20"/>
      <c r="I1218" s="21"/>
      <c r="J1218" s="28"/>
      <c r="K1218" s="19"/>
    </row>
    <row r="1219" spans="1:11" ht="13.2">
      <c r="A1219" s="22"/>
      <c r="B1219" s="16"/>
      <c r="C1219" s="23"/>
      <c r="D1219" s="24"/>
      <c r="E1219" s="25"/>
      <c r="F1219" s="26"/>
      <c r="G1219" s="27"/>
      <c r="H1219" s="20"/>
      <c r="I1219" s="21"/>
      <c r="J1219" s="28"/>
      <c r="K1219" s="19"/>
    </row>
    <row r="1220" spans="1:11" ht="13.2">
      <c r="A1220" s="22"/>
      <c r="B1220" s="16"/>
      <c r="C1220" s="23"/>
      <c r="D1220" s="24"/>
      <c r="E1220" s="25"/>
      <c r="F1220" s="26"/>
      <c r="G1220" s="27"/>
      <c r="H1220" s="20"/>
      <c r="I1220" s="21"/>
      <c r="J1220" s="28"/>
      <c r="K1220" s="19"/>
    </row>
    <row r="1221" spans="1:11" ht="13.2">
      <c r="A1221" s="22"/>
      <c r="B1221" s="16"/>
      <c r="C1221" s="23"/>
      <c r="D1221" s="24"/>
      <c r="E1221" s="25"/>
      <c r="F1221" s="26"/>
      <c r="G1221" s="27"/>
      <c r="H1221" s="20"/>
      <c r="I1221" s="21"/>
      <c r="J1221" s="28"/>
      <c r="K1221" s="19"/>
    </row>
    <row r="1222" spans="1:11" ht="13.2">
      <c r="A1222" s="22"/>
      <c r="B1222" s="16"/>
      <c r="C1222" s="23"/>
      <c r="D1222" s="24"/>
      <c r="E1222" s="25"/>
      <c r="F1222" s="26"/>
      <c r="G1222" s="27"/>
      <c r="H1222" s="20"/>
      <c r="I1222" s="21"/>
      <c r="J1222" s="28"/>
      <c r="K1222" s="19"/>
    </row>
    <row r="1223" spans="1:11" ht="13.2">
      <c r="A1223" s="22"/>
      <c r="B1223" s="16"/>
      <c r="C1223" s="23"/>
      <c r="D1223" s="24"/>
      <c r="E1223" s="25"/>
      <c r="F1223" s="26"/>
      <c r="G1223" s="27"/>
      <c r="H1223" s="20"/>
      <c r="I1223" s="21"/>
      <c r="J1223" s="28"/>
      <c r="K1223" s="19"/>
    </row>
    <row r="1224" spans="1:11" ht="13.2">
      <c r="A1224" s="22"/>
      <c r="B1224" s="16"/>
      <c r="C1224" s="23"/>
      <c r="D1224" s="24"/>
      <c r="E1224" s="25"/>
      <c r="F1224" s="26"/>
      <c r="G1224" s="27"/>
      <c r="H1224" s="20"/>
      <c r="I1224" s="21"/>
      <c r="J1224" s="28"/>
      <c r="K1224" s="19"/>
    </row>
    <row r="1225" spans="1:11" ht="13.2">
      <c r="A1225" s="22"/>
      <c r="B1225" s="16"/>
      <c r="C1225" s="23"/>
      <c r="D1225" s="24"/>
      <c r="E1225" s="25"/>
      <c r="F1225" s="26"/>
      <c r="G1225" s="27"/>
      <c r="H1225" s="20"/>
      <c r="I1225" s="21"/>
      <c r="J1225" s="28"/>
      <c r="K1225" s="19"/>
    </row>
    <row r="1226" spans="1:11" ht="13.2">
      <c r="A1226" s="22"/>
      <c r="B1226" s="16"/>
      <c r="C1226" s="23"/>
      <c r="D1226" s="24"/>
      <c r="E1226" s="25"/>
      <c r="F1226" s="26"/>
      <c r="G1226" s="27"/>
      <c r="H1226" s="20"/>
      <c r="I1226" s="21"/>
      <c r="J1226" s="28"/>
      <c r="K1226" s="19"/>
    </row>
    <row r="1227" spans="1:11" ht="13.2">
      <c r="A1227" s="22"/>
      <c r="B1227" s="16"/>
      <c r="C1227" s="23"/>
      <c r="D1227" s="24"/>
      <c r="E1227" s="25"/>
      <c r="F1227" s="26"/>
      <c r="G1227" s="27"/>
      <c r="H1227" s="20"/>
      <c r="I1227" s="21"/>
      <c r="J1227" s="28"/>
      <c r="K1227" s="19"/>
    </row>
    <row r="1228" spans="1:11" ht="13.2">
      <c r="A1228" s="22"/>
      <c r="B1228" s="16"/>
      <c r="C1228" s="23"/>
      <c r="D1228" s="24"/>
      <c r="E1228" s="25"/>
      <c r="F1228" s="26"/>
      <c r="G1228" s="27"/>
      <c r="H1228" s="20"/>
      <c r="I1228" s="21"/>
      <c r="J1228" s="28"/>
      <c r="K1228" s="19"/>
    </row>
    <row r="1229" spans="1:11" ht="13.2">
      <c r="A1229" s="22"/>
      <c r="B1229" s="16"/>
      <c r="C1229" s="23"/>
      <c r="D1229" s="24"/>
      <c r="E1229" s="25"/>
      <c r="F1229" s="26"/>
      <c r="G1229" s="27"/>
      <c r="H1229" s="20"/>
      <c r="I1229" s="21"/>
      <c r="J1229" s="28"/>
      <c r="K1229" s="19"/>
    </row>
    <row r="1230" spans="1:11" ht="13.2">
      <c r="A1230" s="22"/>
      <c r="B1230" s="16"/>
      <c r="C1230" s="23"/>
      <c r="D1230" s="24"/>
      <c r="E1230" s="25"/>
      <c r="F1230" s="26"/>
      <c r="G1230" s="27"/>
      <c r="H1230" s="20"/>
      <c r="I1230" s="21"/>
      <c r="J1230" s="28"/>
      <c r="K1230" s="19"/>
    </row>
    <row r="1231" spans="1:11" ht="13.2">
      <c r="A1231" s="22"/>
      <c r="B1231" s="16"/>
      <c r="C1231" s="23"/>
      <c r="D1231" s="24"/>
      <c r="E1231" s="25"/>
      <c r="F1231" s="26"/>
      <c r="G1231" s="27"/>
      <c r="H1231" s="20"/>
      <c r="I1231" s="21"/>
      <c r="J1231" s="28"/>
      <c r="K1231" s="19"/>
    </row>
    <row r="1232" spans="1:11" ht="13.2">
      <c r="A1232" s="22"/>
      <c r="B1232" s="16"/>
      <c r="C1232" s="23"/>
      <c r="D1232" s="24"/>
      <c r="E1232" s="25"/>
      <c r="F1232" s="26"/>
      <c r="G1232" s="27"/>
      <c r="H1232" s="20"/>
      <c r="I1232" s="21"/>
      <c r="J1232" s="28"/>
      <c r="K1232" s="19"/>
    </row>
    <row r="1233" spans="1:11" ht="13.2">
      <c r="A1233" s="22"/>
      <c r="B1233" s="16"/>
      <c r="C1233" s="23"/>
      <c r="D1233" s="24"/>
      <c r="E1233" s="25"/>
      <c r="F1233" s="26"/>
      <c r="G1233" s="27"/>
      <c r="H1233" s="20"/>
      <c r="I1233" s="21"/>
      <c r="J1233" s="28"/>
      <c r="K1233" s="19"/>
    </row>
    <row r="1234" spans="1:11" ht="13.2">
      <c r="A1234" s="22"/>
      <c r="B1234" s="16"/>
      <c r="C1234" s="23"/>
      <c r="D1234" s="24"/>
      <c r="E1234" s="25"/>
      <c r="F1234" s="26"/>
      <c r="G1234" s="27"/>
      <c r="H1234" s="20"/>
      <c r="I1234" s="21"/>
      <c r="J1234" s="28"/>
      <c r="K1234" s="19"/>
    </row>
    <row r="1235" spans="1:11" ht="13.2">
      <c r="A1235" s="22"/>
      <c r="B1235" s="16"/>
      <c r="C1235" s="23"/>
      <c r="D1235" s="24"/>
      <c r="E1235" s="25"/>
      <c r="F1235" s="26"/>
      <c r="G1235" s="27"/>
      <c r="H1235" s="20"/>
      <c r="I1235" s="21"/>
      <c r="J1235" s="28"/>
      <c r="K1235" s="19"/>
    </row>
    <row r="1236" spans="1:11" ht="13.2">
      <c r="A1236" s="22"/>
      <c r="B1236" s="16"/>
      <c r="C1236" s="23"/>
      <c r="D1236" s="24"/>
      <c r="E1236" s="25"/>
      <c r="F1236" s="26"/>
      <c r="G1236" s="27"/>
      <c r="H1236" s="20"/>
      <c r="I1236" s="21"/>
      <c r="J1236" s="28"/>
      <c r="K1236" s="19"/>
    </row>
    <row r="1237" spans="1:11" ht="13.2">
      <c r="A1237" s="22"/>
      <c r="B1237" s="16"/>
      <c r="C1237" s="23"/>
      <c r="D1237" s="24"/>
      <c r="E1237" s="25"/>
      <c r="F1237" s="26"/>
      <c r="G1237" s="27"/>
      <c r="H1237" s="20"/>
      <c r="I1237" s="21"/>
      <c r="J1237" s="28"/>
      <c r="K1237" s="19"/>
    </row>
    <row r="1238" spans="1:11" ht="13.2">
      <c r="A1238" s="22"/>
      <c r="B1238" s="16"/>
      <c r="C1238" s="23"/>
      <c r="D1238" s="24"/>
      <c r="E1238" s="25"/>
      <c r="F1238" s="26"/>
      <c r="G1238" s="27"/>
      <c r="H1238" s="20"/>
      <c r="I1238" s="21"/>
      <c r="J1238" s="28"/>
      <c r="K1238" s="19"/>
    </row>
    <row r="1239" spans="1:11" ht="13.2">
      <c r="A1239" s="22"/>
      <c r="B1239" s="16"/>
      <c r="C1239" s="23"/>
      <c r="D1239" s="24"/>
      <c r="E1239" s="25"/>
      <c r="F1239" s="26"/>
      <c r="G1239" s="27"/>
      <c r="H1239" s="20"/>
      <c r="I1239" s="21"/>
      <c r="J1239" s="28"/>
      <c r="K1239" s="19"/>
    </row>
    <row r="1240" spans="1:11" ht="13.2">
      <c r="A1240" s="22"/>
      <c r="B1240" s="16"/>
      <c r="C1240" s="23"/>
      <c r="D1240" s="24"/>
      <c r="E1240" s="25"/>
      <c r="F1240" s="26"/>
      <c r="G1240" s="27"/>
      <c r="H1240" s="20"/>
      <c r="I1240" s="21"/>
      <c r="J1240" s="28"/>
      <c r="K1240" s="19"/>
    </row>
    <row r="1241" spans="1:11" ht="13.2">
      <c r="A1241" s="22"/>
      <c r="B1241" s="16"/>
      <c r="C1241" s="23"/>
      <c r="D1241" s="24"/>
      <c r="E1241" s="25"/>
      <c r="F1241" s="26"/>
      <c r="G1241" s="27"/>
      <c r="H1241" s="20"/>
      <c r="I1241" s="21"/>
      <c r="J1241" s="28"/>
      <c r="K1241" s="19"/>
    </row>
    <row r="1242" spans="1:11" ht="13.2">
      <c r="A1242" s="22"/>
      <c r="B1242" s="16"/>
      <c r="C1242" s="23"/>
      <c r="D1242" s="24"/>
      <c r="E1242" s="25"/>
      <c r="F1242" s="26"/>
      <c r="G1242" s="27"/>
      <c r="H1242" s="20"/>
      <c r="I1242" s="21"/>
      <c r="J1242" s="28"/>
      <c r="K1242" s="19"/>
    </row>
    <row r="1243" spans="1:11" ht="13.2">
      <c r="A1243" s="22"/>
      <c r="B1243" s="16"/>
      <c r="C1243" s="23"/>
      <c r="D1243" s="24"/>
      <c r="E1243" s="25"/>
      <c r="F1243" s="26"/>
      <c r="G1243" s="27"/>
      <c r="H1243" s="20"/>
      <c r="I1243" s="21"/>
      <c r="J1243" s="28"/>
      <c r="K1243" s="19"/>
    </row>
    <row r="1244" spans="1:11" ht="13.2">
      <c r="A1244" s="22"/>
      <c r="B1244" s="16"/>
      <c r="C1244" s="23"/>
      <c r="D1244" s="24"/>
      <c r="E1244" s="25"/>
      <c r="F1244" s="26"/>
      <c r="G1244" s="27"/>
      <c r="H1244" s="20"/>
      <c r="I1244" s="21"/>
      <c r="J1244" s="28"/>
      <c r="K1244" s="19"/>
    </row>
    <row r="1245" spans="1:11" ht="13.2">
      <c r="A1245" s="22"/>
      <c r="B1245" s="16"/>
      <c r="C1245" s="23"/>
      <c r="D1245" s="24"/>
      <c r="E1245" s="25"/>
      <c r="F1245" s="26"/>
      <c r="G1245" s="27"/>
      <c r="H1245" s="20"/>
      <c r="I1245" s="21"/>
      <c r="J1245" s="28"/>
      <c r="K1245" s="19"/>
    </row>
    <row r="1246" spans="1:11" ht="13.2">
      <c r="A1246" s="22"/>
      <c r="B1246" s="16"/>
      <c r="C1246" s="23"/>
      <c r="D1246" s="24"/>
      <c r="E1246" s="25"/>
      <c r="F1246" s="26"/>
      <c r="G1246" s="27"/>
      <c r="H1246" s="20"/>
      <c r="I1246" s="21"/>
      <c r="J1246" s="28"/>
      <c r="K1246" s="19"/>
    </row>
    <row r="1247" spans="1:11" ht="13.2">
      <c r="A1247" s="22"/>
      <c r="B1247" s="16"/>
      <c r="C1247" s="23"/>
      <c r="D1247" s="24"/>
      <c r="E1247" s="25"/>
      <c r="F1247" s="26"/>
      <c r="G1247" s="27"/>
      <c r="H1247" s="20"/>
      <c r="I1247" s="21"/>
      <c r="J1247" s="28"/>
      <c r="K1247" s="19"/>
    </row>
    <row r="1248" spans="1:11" ht="13.2">
      <c r="A1248" s="22"/>
      <c r="B1248" s="16"/>
      <c r="C1248" s="23"/>
      <c r="D1248" s="24"/>
      <c r="E1248" s="25"/>
      <c r="F1248" s="26"/>
      <c r="G1248" s="27"/>
      <c r="H1248" s="20"/>
      <c r="I1248" s="21"/>
      <c r="J1248" s="28"/>
      <c r="K1248" s="19"/>
    </row>
    <row r="1249" spans="1:11" ht="13.2">
      <c r="A1249" s="22"/>
      <c r="B1249" s="16"/>
      <c r="C1249" s="23"/>
      <c r="D1249" s="24"/>
      <c r="E1249" s="25"/>
      <c r="F1249" s="26"/>
      <c r="G1249" s="27"/>
      <c r="H1249" s="20"/>
      <c r="I1249" s="21"/>
      <c r="J1249" s="28"/>
      <c r="K1249" s="19"/>
    </row>
    <row r="1250" spans="1:11" ht="13.2">
      <c r="A1250" s="22"/>
      <c r="B1250" s="16"/>
      <c r="C1250" s="23"/>
      <c r="D1250" s="24"/>
      <c r="E1250" s="25"/>
      <c r="F1250" s="26"/>
      <c r="G1250" s="27"/>
      <c r="H1250" s="20"/>
      <c r="I1250" s="21"/>
      <c r="J1250" s="28"/>
      <c r="K1250" s="19"/>
    </row>
    <row r="1251" spans="1:11" ht="13.2">
      <c r="A1251" s="22"/>
      <c r="B1251" s="16"/>
      <c r="C1251" s="23"/>
      <c r="D1251" s="24"/>
      <c r="E1251" s="25"/>
      <c r="F1251" s="26"/>
      <c r="G1251" s="27"/>
      <c r="H1251" s="20"/>
      <c r="I1251" s="21"/>
      <c r="J1251" s="28"/>
      <c r="K1251" s="19"/>
    </row>
    <row r="1252" spans="1:11" ht="13.2">
      <c r="A1252" s="22"/>
      <c r="B1252" s="16"/>
      <c r="C1252" s="23"/>
      <c r="D1252" s="24"/>
      <c r="E1252" s="25"/>
      <c r="F1252" s="26"/>
      <c r="G1252" s="27"/>
      <c r="H1252" s="20"/>
      <c r="I1252" s="21"/>
      <c r="J1252" s="28"/>
      <c r="K1252" s="19"/>
    </row>
    <row r="1253" spans="1:11" ht="13.2">
      <c r="A1253" s="22"/>
      <c r="B1253" s="16"/>
      <c r="C1253" s="23"/>
      <c r="D1253" s="24"/>
      <c r="E1253" s="25"/>
      <c r="F1253" s="26"/>
      <c r="G1253" s="27"/>
      <c r="H1253" s="20"/>
      <c r="I1253" s="21"/>
      <c r="J1253" s="28"/>
      <c r="K1253" s="19"/>
    </row>
    <row r="1254" spans="1:11" ht="13.2">
      <c r="A1254" s="22"/>
      <c r="B1254" s="16"/>
      <c r="C1254" s="23"/>
      <c r="D1254" s="24"/>
      <c r="E1254" s="25"/>
      <c r="F1254" s="26"/>
      <c r="G1254" s="27"/>
      <c r="H1254" s="20"/>
      <c r="I1254" s="21"/>
      <c r="J1254" s="28"/>
      <c r="K1254" s="19"/>
    </row>
    <row r="1255" spans="1:11" ht="13.2">
      <c r="A1255" s="22"/>
      <c r="B1255" s="16"/>
      <c r="C1255" s="23"/>
      <c r="D1255" s="24"/>
      <c r="E1255" s="25"/>
      <c r="F1255" s="26"/>
      <c r="G1255" s="27"/>
      <c r="H1255" s="20"/>
      <c r="I1255" s="21"/>
      <c r="J1255" s="28"/>
      <c r="K1255" s="19"/>
    </row>
    <row r="1256" spans="1:11" ht="13.2">
      <c r="A1256" s="22"/>
      <c r="B1256" s="16"/>
      <c r="C1256" s="23"/>
      <c r="D1256" s="24"/>
      <c r="E1256" s="25"/>
      <c r="F1256" s="26"/>
      <c r="G1256" s="27"/>
      <c r="H1256" s="20"/>
      <c r="I1256" s="21"/>
      <c r="J1256" s="28"/>
      <c r="K1256" s="19"/>
    </row>
    <row r="1257" spans="1:11" ht="13.2">
      <c r="A1257" s="22"/>
      <c r="B1257" s="16"/>
      <c r="C1257" s="23"/>
      <c r="D1257" s="24"/>
      <c r="E1257" s="25"/>
      <c r="F1257" s="26"/>
      <c r="G1257" s="27"/>
      <c r="H1257" s="20"/>
      <c r="I1257" s="21"/>
      <c r="J1257" s="28"/>
      <c r="K1257" s="19"/>
    </row>
    <row r="1258" spans="1:11" ht="13.2">
      <c r="A1258" s="22"/>
      <c r="B1258" s="16"/>
      <c r="C1258" s="23"/>
      <c r="D1258" s="24"/>
      <c r="E1258" s="25"/>
      <c r="F1258" s="26"/>
      <c r="G1258" s="27"/>
      <c r="H1258" s="20"/>
      <c r="I1258" s="21"/>
      <c r="J1258" s="28"/>
      <c r="K1258" s="19"/>
    </row>
    <row r="1259" spans="1:11" ht="13.2">
      <c r="A1259" s="22"/>
      <c r="B1259" s="16"/>
      <c r="C1259" s="23"/>
      <c r="D1259" s="24"/>
      <c r="E1259" s="25"/>
      <c r="F1259" s="26"/>
      <c r="G1259" s="27"/>
      <c r="H1259" s="20"/>
      <c r="I1259" s="21"/>
      <c r="J1259" s="28"/>
      <c r="K1259" s="19"/>
    </row>
    <row r="1260" spans="1:11" ht="13.2">
      <c r="A1260" s="22"/>
      <c r="B1260" s="16"/>
      <c r="C1260" s="23"/>
      <c r="D1260" s="24"/>
      <c r="E1260" s="25"/>
      <c r="F1260" s="26"/>
      <c r="G1260" s="27"/>
      <c r="H1260" s="20"/>
      <c r="I1260" s="21"/>
      <c r="J1260" s="28"/>
      <c r="K1260" s="19"/>
    </row>
    <row r="1261" spans="1:11" ht="13.2">
      <c r="A1261" s="22"/>
      <c r="B1261" s="16"/>
      <c r="C1261" s="23"/>
      <c r="D1261" s="24"/>
      <c r="E1261" s="25"/>
      <c r="F1261" s="26"/>
      <c r="G1261" s="27"/>
      <c r="H1261" s="20"/>
      <c r="I1261" s="21"/>
      <c r="J1261" s="28"/>
      <c r="K1261" s="19"/>
    </row>
    <row r="1262" spans="1:11" ht="13.2">
      <c r="A1262" s="22"/>
      <c r="B1262" s="16"/>
      <c r="C1262" s="23"/>
      <c r="D1262" s="24"/>
      <c r="E1262" s="25"/>
      <c r="F1262" s="26"/>
      <c r="G1262" s="27"/>
      <c r="H1262" s="20"/>
      <c r="I1262" s="21"/>
      <c r="J1262" s="28"/>
      <c r="K1262" s="19"/>
    </row>
    <row r="1263" spans="1:11" ht="13.2">
      <c r="A1263" s="22"/>
      <c r="B1263" s="16"/>
      <c r="C1263" s="23"/>
      <c r="D1263" s="24"/>
      <c r="E1263" s="25"/>
      <c r="F1263" s="26"/>
      <c r="G1263" s="27"/>
      <c r="H1263" s="20"/>
      <c r="I1263" s="21"/>
      <c r="J1263" s="28"/>
      <c r="K1263" s="19"/>
    </row>
    <row r="1264" spans="1:11" ht="13.2">
      <c r="A1264" s="22"/>
      <c r="B1264" s="16"/>
      <c r="C1264" s="23"/>
      <c r="D1264" s="24"/>
      <c r="E1264" s="25"/>
      <c r="F1264" s="26"/>
      <c r="G1264" s="27"/>
      <c r="H1264" s="20"/>
      <c r="I1264" s="21"/>
      <c r="J1264" s="28"/>
      <c r="K1264" s="19"/>
    </row>
    <row r="1265" spans="1:11" ht="13.2">
      <c r="A1265" s="22"/>
      <c r="B1265" s="16"/>
      <c r="C1265" s="23"/>
      <c r="D1265" s="24"/>
      <c r="E1265" s="25"/>
      <c r="F1265" s="26"/>
      <c r="G1265" s="27"/>
      <c r="H1265" s="20"/>
      <c r="I1265" s="21"/>
      <c r="J1265" s="28"/>
      <c r="K1265" s="19"/>
    </row>
    <row r="1266" spans="1:11" ht="13.2">
      <c r="A1266" s="22"/>
      <c r="B1266" s="16"/>
      <c r="C1266" s="23"/>
      <c r="D1266" s="24"/>
      <c r="E1266" s="25"/>
      <c r="F1266" s="26"/>
      <c r="G1266" s="27"/>
      <c r="H1266" s="20"/>
      <c r="I1266" s="21"/>
      <c r="J1266" s="28"/>
      <c r="K1266" s="19"/>
    </row>
    <row r="1267" spans="1:11" ht="13.2">
      <c r="A1267" s="22"/>
      <c r="B1267" s="16"/>
      <c r="C1267" s="23"/>
      <c r="D1267" s="24"/>
      <c r="E1267" s="25"/>
      <c r="F1267" s="26"/>
      <c r="G1267" s="27"/>
      <c r="H1267" s="20"/>
      <c r="I1267" s="21"/>
      <c r="J1267" s="28"/>
      <c r="K1267" s="19"/>
    </row>
    <row r="1268" spans="1:11" ht="13.2">
      <c r="A1268" s="22"/>
      <c r="B1268" s="16"/>
      <c r="C1268" s="23"/>
      <c r="D1268" s="24"/>
      <c r="E1268" s="25"/>
      <c r="F1268" s="26"/>
      <c r="G1268" s="27"/>
      <c r="H1268" s="20"/>
      <c r="I1268" s="21"/>
      <c r="J1268" s="28"/>
      <c r="K1268" s="19"/>
    </row>
    <row r="1269" spans="1:11" ht="13.2">
      <c r="A1269" s="22"/>
      <c r="B1269" s="16"/>
      <c r="C1269" s="23"/>
      <c r="D1269" s="24"/>
      <c r="E1269" s="25"/>
      <c r="F1269" s="26"/>
      <c r="G1269" s="27"/>
      <c r="H1269" s="20"/>
      <c r="I1269" s="21"/>
      <c r="J1269" s="28"/>
      <c r="K1269" s="19"/>
    </row>
    <row r="1270" spans="1:11" ht="13.2">
      <c r="A1270" s="22"/>
      <c r="B1270" s="16"/>
      <c r="C1270" s="23"/>
      <c r="D1270" s="24"/>
      <c r="E1270" s="25"/>
      <c r="F1270" s="26"/>
      <c r="G1270" s="27"/>
      <c r="H1270" s="20"/>
      <c r="I1270" s="21"/>
      <c r="J1270" s="28"/>
      <c r="K1270" s="19"/>
    </row>
    <row r="1271" spans="1:11" ht="13.2">
      <c r="A1271" s="22"/>
      <c r="B1271" s="16"/>
      <c r="C1271" s="23"/>
      <c r="D1271" s="24"/>
      <c r="E1271" s="25"/>
      <c r="F1271" s="26"/>
      <c r="G1271" s="27"/>
      <c r="H1271" s="20"/>
      <c r="I1271" s="21"/>
      <c r="J1271" s="28"/>
      <c r="K1271" s="19"/>
    </row>
    <row r="1272" spans="1:11" ht="13.2">
      <c r="A1272" s="22"/>
      <c r="B1272" s="16"/>
      <c r="C1272" s="23"/>
      <c r="D1272" s="24"/>
      <c r="E1272" s="25"/>
      <c r="F1272" s="26"/>
      <c r="G1272" s="27"/>
      <c r="H1272" s="20"/>
      <c r="I1272" s="21"/>
      <c r="J1272" s="28"/>
      <c r="K1272" s="19"/>
    </row>
    <row r="1273" spans="1:11" ht="13.2">
      <c r="A1273" s="22"/>
      <c r="B1273" s="16"/>
      <c r="C1273" s="23"/>
      <c r="D1273" s="24"/>
      <c r="E1273" s="25"/>
      <c r="F1273" s="26"/>
      <c r="G1273" s="27"/>
      <c r="H1273" s="20"/>
      <c r="I1273" s="21"/>
      <c r="J1273" s="28"/>
      <c r="K1273" s="19"/>
    </row>
    <row r="1274" spans="1:11" ht="13.2">
      <c r="A1274" s="22"/>
      <c r="B1274" s="16"/>
      <c r="C1274" s="23"/>
      <c r="D1274" s="24"/>
      <c r="E1274" s="25"/>
      <c r="F1274" s="26"/>
      <c r="G1274" s="27"/>
      <c r="H1274" s="20"/>
      <c r="I1274" s="21"/>
      <c r="J1274" s="28"/>
      <c r="K1274" s="19"/>
    </row>
    <row r="1275" spans="1:11" ht="13.2">
      <c r="A1275" s="22"/>
      <c r="B1275" s="16"/>
      <c r="C1275" s="23"/>
      <c r="D1275" s="24"/>
      <c r="E1275" s="25"/>
      <c r="F1275" s="26"/>
      <c r="G1275" s="27"/>
      <c r="H1275" s="20"/>
      <c r="I1275" s="21"/>
      <c r="J1275" s="28"/>
      <c r="K1275" s="19"/>
    </row>
    <row r="1276" spans="1:11" ht="13.2">
      <c r="A1276" s="22"/>
      <c r="B1276" s="16"/>
      <c r="C1276" s="23"/>
      <c r="D1276" s="24"/>
      <c r="E1276" s="25"/>
      <c r="F1276" s="26"/>
      <c r="G1276" s="27"/>
      <c r="H1276" s="20"/>
      <c r="I1276" s="21"/>
      <c r="J1276" s="28"/>
      <c r="K1276" s="19"/>
    </row>
    <row r="1277" spans="1:11" ht="13.2">
      <c r="A1277" s="22"/>
      <c r="B1277" s="16"/>
      <c r="C1277" s="23"/>
      <c r="D1277" s="24"/>
      <c r="E1277" s="25"/>
      <c r="F1277" s="26"/>
      <c r="G1277" s="27"/>
      <c r="H1277" s="20"/>
      <c r="I1277" s="21"/>
      <c r="J1277" s="28"/>
      <c r="K1277" s="19"/>
    </row>
    <row r="1278" spans="1:11" ht="13.2">
      <c r="A1278" s="22"/>
      <c r="B1278" s="16"/>
      <c r="C1278" s="23"/>
      <c r="D1278" s="24"/>
      <c r="E1278" s="25"/>
      <c r="F1278" s="26"/>
      <c r="G1278" s="27"/>
      <c r="H1278" s="20"/>
      <c r="I1278" s="21"/>
      <c r="J1278" s="28"/>
      <c r="K1278" s="19"/>
    </row>
    <row r="1279" spans="1:11" ht="13.2">
      <c r="A1279" s="22"/>
      <c r="B1279" s="16"/>
      <c r="C1279" s="23"/>
      <c r="D1279" s="24"/>
      <c r="E1279" s="25"/>
      <c r="F1279" s="26"/>
      <c r="G1279" s="27"/>
      <c r="H1279" s="20"/>
      <c r="I1279" s="21"/>
      <c r="J1279" s="28"/>
      <c r="K1279" s="19"/>
    </row>
    <row r="1280" spans="1:11" ht="13.2">
      <c r="A1280" s="22"/>
      <c r="B1280" s="16"/>
      <c r="C1280" s="23"/>
      <c r="D1280" s="24"/>
      <c r="E1280" s="25"/>
      <c r="F1280" s="26"/>
      <c r="G1280" s="27"/>
      <c r="H1280" s="20"/>
      <c r="I1280" s="21"/>
      <c r="J1280" s="28"/>
      <c r="K1280" s="19"/>
    </row>
    <row r="1281" spans="1:11" ht="13.2">
      <c r="A1281" s="22"/>
      <c r="B1281" s="16"/>
      <c r="C1281" s="23"/>
      <c r="D1281" s="24"/>
      <c r="E1281" s="25"/>
      <c r="F1281" s="26"/>
      <c r="G1281" s="27"/>
      <c r="H1281" s="20"/>
      <c r="I1281" s="21"/>
      <c r="J1281" s="28"/>
      <c r="K1281" s="19"/>
    </row>
    <row r="1282" spans="1:11" ht="13.2">
      <c r="A1282" s="22"/>
      <c r="B1282" s="16"/>
      <c r="C1282" s="23"/>
      <c r="D1282" s="24"/>
      <c r="E1282" s="25"/>
      <c r="F1282" s="26"/>
      <c r="G1282" s="27"/>
      <c r="H1282" s="20"/>
      <c r="I1282" s="21"/>
      <c r="J1282" s="28"/>
      <c r="K1282" s="19"/>
    </row>
    <row r="1283" spans="1:11" ht="13.2">
      <c r="A1283" s="22"/>
      <c r="B1283" s="16"/>
      <c r="C1283" s="23"/>
      <c r="D1283" s="24"/>
      <c r="E1283" s="25"/>
      <c r="F1283" s="26"/>
      <c r="G1283" s="27"/>
      <c r="H1283" s="20"/>
      <c r="I1283" s="21"/>
      <c r="J1283" s="28"/>
      <c r="K1283" s="19"/>
    </row>
    <row r="1284" spans="1:11" ht="13.2">
      <c r="A1284" s="22"/>
      <c r="B1284" s="16"/>
      <c r="C1284" s="23"/>
      <c r="D1284" s="24"/>
      <c r="E1284" s="25"/>
      <c r="F1284" s="26"/>
      <c r="G1284" s="27"/>
      <c r="H1284" s="20"/>
      <c r="I1284" s="21"/>
      <c r="J1284" s="28"/>
      <c r="K1284" s="19"/>
    </row>
    <row r="1285" spans="1:11" ht="13.2">
      <c r="A1285" s="22"/>
      <c r="B1285" s="16"/>
      <c r="C1285" s="23"/>
      <c r="D1285" s="24"/>
      <c r="E1285" s="25"/>
      <c r="F1285" s="26"/>
      <c r="G1285" s="27"/>
      <c r="H1285" s="20"/>
      <c r="I1285" s="21"/>
      <c r="J1285" s="28"/>
      <c r="K1285" s="19"/>
    </row>
    <row r="1286" spans="1:11" ht="13.2">
      <c r="A1286" s="22"/>
      <c r="B1286" s="16"/>
      <c r="C1286" s="23"/>
      <c r="D1286" s="24"/>
      <c r="E1286" s="25"/>
      <c r="F1286" s="26"/>
      <c r="G1286" s="27"/>
      <c r="H1286" s="20"/>
      <c r="I1286" s="21"/>
      <c r="J1286" s="28"/>
      <c r="K1286" s="19"/>
    </row>
    <row r="1287" spans="1:11" ht="13.2">
      <c r="A1287" s="22"/>
      <c r="B1287" s="16"/>
      <c r="C1287" s="23"/>
      <c r="D1287" s="24"/>
      <c r="E1287" s="25"/>
      <c r="F1287" s="26"/>
      <c r="G1287" s="27"/>
      <c r="H1287" s="20"/>
      <c r="I1287" s="21"/>
      <c r="J1287" s="28"/>
      <c r="K1287" s="19"/>
    </row>
    <row r="1288" spans="1:11" ht="13.2">
      <c r="A1288" s="22"/>
      <c r="B1288" s="16"/>
      <c r="C1288" s="23"/>
      <c r="D1288" s="24"/>
      <c r="E1288" s="25"/>
      <c r="F1288" s="26"/>
      <c r="G1288" s="27"/>
      <c r="H1288" s="20"/>
      <c r="I1288" s="21"/>
      <c r="J1288" s="28"/>
      <c r="K1288" s="19"/>
    </row>
    <row r="1289" spans="1:11" ht="13.2">
      <c r="A1289" s="22"/>
      <c r="B1289" s="16"/>
      <c r="C1289" s="23"/>
      <c r="D1289" s="24"/>
      <c r="E1289" s="25"/>
      <c r="F1289" s="26"/>
      <c r="G1289" s="27"/>
      <c r="H1289" s="20"/>
      <c r="I1289" s="21"/>
      <c r="J1289" s="28"/>
      <c r="K1289" s="19"/>
    </row>
    <row r="1290" spans="1:11" ht="13.2">
      <c r="A1290" s="22"/>
      <c r="B1290" s="16"/>
      <c r="C1290" s="23"/>
      <c r="D1290" s="24"/>
      <c r="E1290" s="25"/>
      <c r="F1290" s="26"/>
      <c r="G1290" s="27"/>
      <c r="H1290" s="20"/>
      <c r="I1290" s="21"/>
      <c r="J1290" s="28"/>
      <c r="K1290" s="19"/>
    </row>
    <row r="1291" spans="1:11" ht="13.2">
      <c r="A1291" s="22"/>
      <c r="B1291" s="16"/>
      <c r="C1291" s="23"/>
      <c r="D1291" s="24"/>
      <c r="E1291" s="25"/>
      <c r="F1291" s="26"/>
      <c r="G1291" s="27"/>
      <c r="H1291" s="20"/>
      <c r="I1291" s="21"/>
      <c r="J1291" s="28"/>
      <c r="K1291" s="19"/>
    </row>
    <row r="1292" spans="1:11" ht="13.2">
      <c r="A1292" s="22"/>
      <c r="B1292" s="16"/>
      <c r="C1292" s="23"/>
      <c r="D1292" s="24"/>
      <c r="E1292" s="25"/>
      <c r="F1292" s="26"/>
      <c r="G1292" s="27"/>
      <c r="H1292" s="20"/>
      <c r="I1292" s="21"/>
      <c r="J1292" s="28"/>
      <c r="K1292" s="19"/>
    </row>
    <row r="1293" spans="1:11" ht="13.2">
      <c r="A1293" s="22"/>
      <c r="B1293" s="16"/>
      <c r="C1293" s="23"/>
      <c r="D1293" s="24"/>
      <c r="E1293" s="25"/>
      <c r="F1293" s="26"/>
      <c r="G1293" s="27"/>
      <c r="H1293" s="20"/>
      <c r="I1293" s="21"/>
      <c r="J1293" s="28"/>
      <c r="K1293" s="19"/>
    </row>
    <row r="1294" spans="1:11" ht="13.2">
      <c r="A1294" s="22"/>
      <c r="B1294" s="16"/>
      <c r="C1294" s="23"/>
      <c r="D1294" s="24"/>
      <c r="E1294" s="25"/>
      <c r="F1294" s="26"/>
      <c r="G1294" s="27"/>
      <c r="H1294" s="20"/>
      <c r="I1294" s="21"/>
      <c r="J1294" s="28"/>
      <c r="K1294" s="19"/>
    </row>
    <row r="1295" spans="1:11" ht="13.2">
      <c r="A1295" s="22"/>
      <c r="B1295" s="16"/>
      <c r="C1295" s="23"/>
      <c r="D1295" s="24"/>
      <c r="E1295" s="25"/>
      <c r="F1295" s="26"/>
      <c r="G1295" s="27"/>
      <c r="H1295" s="20"/>
      <c r="I1295" s="21"/>
      <c r="J1295" s="28"/>
      <c r="K1295" s="19"/>
    </row>
    <row r="1296" spans="1:11" ht="13.2">
      <c r="A1296" s="22"/>
      <c r="B1296" s="16"/>
      <c r="C1296" s="23"/>
      <c r="D1296" s="24"/>
      <c r="E1296" s="25"/>
      <c r="F1296" s="26"/>
      <c r="G1296" s="27"/>
      <c r="H1296" s="20"/>
      <c r="I1296" s="21"/>
      <c r="J1296" s="28"/>
      <c r="K1296" s="19"/>
    </row>
    <row r="1297" spans="1:11" ht="13.2">
      <c r="A1297" s="22"/>
      <c r="B1297" s="16"/>
      <c r="C1297" s="23"/>
      <c r="D1297" s="24"/>
      <c r="E1297" s="25"/>
      <c r="F1297" s="26"/>
      <c r="G1297" s="27"/>
      <c r="H1297" s="20"/>
      <c r="I1297" s="21"/>
      <c r="J1297" s="28"/>
      <c r="K1297" s="19"/>
    </row>
    <row r="1298" spans="1:11" ht="13.2">
      <c r="A1298" s="22"/>
      <c r="B1298" s="16"/>
      <c r="C1298" s="23"/>
      <c r="D1298" s="24"/>
      <c r="E1298" s="25"/>
      <c r="F1298" s="26"/>
      <c r="G1298" s="27"/>
      <c r="H1298" s="20"/>
      <c r="I1298" s="21"/>
      <c r="J1298" s="28"/>
      <c r="K1298" s="19"/>
    </row>
    <row r="1299" spans="1:11" ht="13.2">
      <c r="A1299" s="22"/>
      <c r="B1299" s="16"/>
      <c r="C1299" s="23"/>
      <c r="D1299" s="24"/>
      <c r="E1299" s="25"/>
      <c r="F1299" s="26"/>
      <c r="G1299" s="27"/>
      <c r="H1299" s="20"/>
      <c r="I1299" s="21"/>
      <c r="J1299" s="28"/>
      <c r="K1299" s="19"/>
    </row>
    <row r="1300" spans="1:11" ht="13.2">
      <c r="A1300" s="22"/>
      <c r="B1300" s="16"/>
      <c r="C1300" s="23"/>
      <c r="D1300" s="24"/>
      <c r="E1300" s="25"/>
      <c r="F1300" s="26"/>
      <c r="G1300" s="27"/>
      <c r="H1300" s="20"/>
      <c r="I1300" s="21"/>
      <c r="J1300" s="28"/>
      <c r="K1300" s="19"/>
    </row>
    <row r="1301" spans="1:11" ht="13.2">
      <c r="A1301" s="22"/>
      <c r="B1301" s="16"/>
      <c r="C1301" s="23"/>
      <c r="D1301" s="24"/>
      <c r="E1301" s="25"/>
      <c r="F1301" s="26"/>
      <c r="G1301" s="27"/>
      <c r="H1301" s="20"/>
      <c r="I1301" s="21"/>
      <c r="J1301" s="28"/>
      <c r="K1301" s="19"/>
    </row>
    <row r="1302" spans="1:11" ht="13.2">
      <c r="A1302" s="22"/>
      <c r="B1302" s="16"/>
      <c r="C1302" s="23"/>
      <c r="D1302" s="24"/>
      <c r="E1302" s="25"/>
      <c r="F1302" s="26"/>
      <c r="G1302" s="27"/>
      <c r="H1302" s="20"/>
      <c r="I1302" s="21"/>
      <c r="J1302" s="28"/>
      <c r="K1302" s="19"/>
    </row>
    <row r="1303" spans="1:11" ht="13.2">
      <c r="A1303" s="22"/>
      <c r="B1303" s="16"/>
      <c r="C1303" s="23"/>
      <c r="D1303" s="24"/>
      <c r="E1303" s="25"/>
      <c r="F1303" s="26"/>
      <c r="G1303" s="27"/>
      <c r="H1303" s="20"/>
      <c r="I1303" s="21"/>
      <c r="J1303" s="28"/>
      <c r="K1303" s="19"/>
    </row>
    <row r="1304" spans="1:11" ht="13.2">
      <c r="A1304" s="22"/>
      <c r="B1304" s="16"/>
      <c r="C1304" s="23"/>
      <c r="D1304" s="24"/>
      <c r="E1304" s="25"/>
      <c r="F1304" s="26"/>
      <c r="G1304" s="27"/>
      <c r="H1304" s="20"/>
      <c r="I1304" s="21"/>
      <c r="J1304" s="28"/>
      <c r="K1304" s="19"/>
    </row>
    <row r="1305" spans="1:11" ht="13.2">
      <c r="A1305" s="22"/>
      <c r="B1305" s="16"/>
      <c r="C1305" s="23"/>
      <c r="D1305" s="24"/>
      <c r="E1305" s="25"/>
      <c r="F1305" s="26"/>
      <c r="G1305" s="27"/>
      <c r="H1305" s="20"/>
      <c r="I1305" s="21"/>
      <c r="J1305" s="28"/>
      <c r="K1305" s="19"/>
    </row>
    <row r="1306" spans="1:11" ht="13.2">
      <c r="A1306" s="22"/>
      <c r="B1306" s="16"/>
      <c r="C1306" s="23"/>
      <c r="D1306" s="24"/>
      <c r="E1306" s="25"/>
      <c r="F1306" s="26"/>
      <c r="G1306" s="27"/>
      <c r="H1306" s="20"/>
      <c r="I1306" s="21"/>
      <c r="J1306" s="28"/>
      <c r="K1306" s="19"/>
    </row>
    <row r="1307" spans="1:11" ht="13.2">
      <c r="A1307" s="22"/>
      <c r="B1307" s="16"/>
      <c r="C1307" s="23"/>
      <c r="D1307" s="24"/>
      <c r="E1307" s="25"/>
      <c r="F1307" s="26"/>
      <c r="G1307" s="27"/>
      <c r="H1307" s="20"/>
      <c r="I1307" s="21"/>
      <c r="J1307" s="28"/>
      <c r="K1307" s="19"/>
    </row>
    <row r="1308" spans="1:11" ht="13.2">
      <c r="A1308" s="22"/>
      <c r="B1308" s="16"/>
      <c r="C1308" s="23"/>
      <c r="D1308" s="24"/>
      <c r="E1308" s="25"/>
      <c r="F1308" s="26"/>
      <c r="G1308" s="27"/>
      <c r="H1308" s="20"/>
      <c r="I1308" s="21"/>
      <c r="J1308" s="28"/>
      <c r="K1308" s="19"/>
    </row>
    <row r="1309" spans="1:11" ht="13.2">
      <c r="A1309" s="22"/>
      <c r="B1309" s="16"/>
      <c r="C1309" s="23"/>
      <c r="D1309" s="24"/>
      <c r="E1309" s="25"/>
      <c r="F1309" s="26"/>
      <c r="G1309" s="27"/>
      <c r="H1309" s="20"/>
      <c r="I1309" s="21"/>
      <c r="J1309" s="28"/>
      <c r="K1309" s="19"/>
    </row>
    <row r="1310" spans="1:11" ht="13.2">
      <c r="A1310" s="22"/>
      <c r="B1310" s="16"/>
      <c r="C1310" s="23"/>
      <c r="D1310" s="24"/>
      <c r="E1310" s="25"/>
      <c r="F1310" s="26"/>
      <c r="G1310" s="27"/>
      <c r="H1310" s="20"/>
      <c r="I1310" s="21"/>
      <c r="J1310" s="28"/>
      <c r="K1310" s="19"/>
    </row>
    <row r="1311" spans="1:11" ht="13.2">
      <c r="A1311" s="22"/>
      <c r="B1311" s="16"/>
      <c r="C1311" s="23"/>
      <c r="D1311" s="24"/>
      <c r="E1311" s="25"/>
      <c r="F1311" s="26"/>
      <c r="G1311" s="27"/>
      <c r="H1311" s="20"/>
      <c r="I1311" s="21"/>
      <c r="J1311" s="28"/>
      <c r="K1311" s="19"/>
    </row>
    <row r="1312" spans="1:11" ht="13.2">
      <c r="A1312" s="22"/>
      <c r="B1312" s="16"/>
      <c r="C1312" s="23"/>
      <c r="D1312" s="24"/>
      <c r="E1312" s="25"/>
      <c r="F1312" s="26"/>
      <c r="G1312" s="27"/>
      <c r="H1312" s="20"/>
      <c r="I1312" s="21"/>
      <c r="J1312" s="28"/>
      <c r="K1312" s="19"/>
    </row>
    <row r="1313" spans="1:11" ht="13.2">
      <c r="A1313" s="22"/>
      <c r="B1313" s="16"/>
      <c r="C1313" s="23"/>
      <c r="D1313" s="24"/>
      <c r="E1313" s="25"/>
      <c r="F1313" s="26"/>
      <c r="G1313" s="27"/>
      <c r="H1313" s="20"/>
      <c r="I1313" s="21"/>
      <c r="J1313" s="28"/>
      <c r="K1313" s="19"/>
    </row>
    <row r="1314" spans="1:11" ht="13.2">
      <c r="A1314" s="22"/>
      <c r="B1314" s="16"/>
      <c r="C1314" s="23"/>
      <c r="D1314" s="24"/>
      <c r="E1314" s="25"/>
      <c r="F1314" s="26"/>
      <c r="G1314" s="27"/>
      <c r="H1314" s="20"/>
      <c r="I1314" s="21"/>
      <c r="J1314" s="28"/>
      <c r="K1314" s="19"/>
    </row>
    <row r="1315" spans="1:11" ht="13.2">
      <c r="A1315" s="22"/>
      <c r="B1315" s="16"/>
      <c r="C1315" s="23"/>
      <c r="D1315" s="24"/>
      <c r="E1315" s="25"/>
      <c r="F1315" s="26"/>
      <c r="G1315" s="27"/>
      <c r="H1315" s="20"/>
      <c r="I1315" s="21"/>
      <c r="J1315" s="28"/>
      <c r="K1315" s="19"/>
    </row>
    <row r="1316" spans="1:11" ht="13.2">
      <c r="A1316" s="22"/>
      <c r="B1316" s="16"/>
      <c r="C1316" s="23"/>
      <c r="D1316" s="24"/>
      <c r="E1316" s="25"/>
      <c r="F1316" s="26"/>
      <c r="G1316" s="27"/>
      <c r="H1316" s="20"/>
      <c r="I1316" s="21"/>
      <c r="J1316" s="28"/>
      <c r="K1316" s="19"/>
    </row>
    <row r="1317" spans="1:11" ht="13.2">
      <c r="A1317" s="22"/>
      <c r="B1317" s="16"/>
      <c r="C1317" s="23"/>
      <c r="D1317" s="24"/>
      <c r="E1317" s="25"/>
      <c r="F1317" s="26"/>
      <c r="G1317" s="27"/>
      <c r="H1317" s="20"/>
      <c r="I1317" s="21"/>
      <c r="J1317" s="28"/>
      <c r="K1317" s="19"/>
    </row>
    <row r="1318" spans="1:11" ht="13.2">
      <c r="A1318" s="22"/>
      <c r="B1318" s="16"/>
      <c r="C1318" s="23"/>
      <c r="D1318" s="24"/>
      <c r="E1318" s="25"/>
      <c r="F1318" s="26"/>
      <c r="G1318" s="27"/>
      <c r="H1318" s="20"/>
      <c r="I1318" s="21"/>
      <c r="J1318" s="28"/>
      <c r="K1318" s="19"/>
    </row>
    <row r="1319" spans="1:11" ht="13.2">
      <c r="A1319" s="22"/>
      <c r="B1319" s="16"/>
      <c r="C1319" s="23"/>
      <c r="D1319" s="24"/>
      <c r="E1319" s="25"/>
      <c r="F1319" s="26"/>
      <c r="G1319" s="27"/>
      <c r="H1319" s="20"/>
      <c r="I1319" s="21"/>
      <c r="J1319" s="28"/>
      <c r="K1319" s="19"/>
    </row>
    <row r="1320" spans="1:11" ht="13.2">
      <c r="A1320" s="22"/>
      <c r="B1320" s="16"/>
      <c r="C1320" s="23"/>
      <c r="D1320" s="24"/>
      <c r="E1320" s="25"/>
      <c r="F1320" s="26"/>
      <c r="G1320" s="27"/>
      <c r="H1320" s="20"/>
      <c r="I1320" s="21"/>
      <c r="J1320" s="28"/>
      <c r="K1320" s="19"/>
    </row>
    <row r="1321" spans="1:11" ht="13.2">
      <c r="A1321" s="22"/>
      <c r="B1321" s="16"/>
      <c r="C1321" s="23"/>
      <c r="D1321" s="24"/>
      <c r="E1321" s="25"/>
      <c r="F1321" s="26"/>
      <c r="G1321" s="27"/>
      <c r="H1321" s="20"/>
      <c r="I1321" s="21"/>
      <c r="J1321" s="28"/>
      <c r="K1321" s="19"/>
    </row>
    <row r="1322" spans="1:11" ht="13.2">
      <c r="A1322" s="22"/>
      <c r="B1322" s="16"/>
      <c r="C1322" s="23"/>
      <c r="D1322" s="24"/>
      <c r="E1322" s="25"/>
      <c r="F1322" s="26"/>
      <c r="G1322" s="27"/>
      <c r="H1322" s="20"/>
      <c r="I1322" s="21"/>
      <c r="J1322" s="28"/>
      <c r="K1322" s="19"/>
    </row>
    <row r="1323" spans="1:11" ht="13.2">
      <c r="A1323" s="22"/>
      <c r="B1323" s="16"/>
      <c r="C1323" s="23"/>
      <c r="D1323" s="24"/>
      <c r="E1323" s="25"/>
      <c r="F1323" s="26"/>
      <c r="G1323" s="27"/>
      <c r="H1323" s="20"/>
      <c r="I1323" s="21"/>
      <c r="J1323" s="28"/>
      <c r="K1323" s="19"/>
    </row>
    <row r="1324" spans="1:11" ht="13.2">
      <c r="A1324" s="22"/>
      <c r="B1324" s="16"/>
      <c r="C1324" s="23"/>
      <c r="D1324" s="24"/>
      <c r="E1324" s="25"/>
      <c r="F1324" s="26"/>
      <c r="G1324" s="27"/>
      <c r="H1324" s="20"/>
      <c r="I1324" s="21"/>
      <c r="J1324" s="28"/>
      <c r="K1324" s="19"/>
    </row>
    <row r="1325" spans="1:11" ht="13.2">
      <c r="A1325" s="22"/>
      <c r="B1325" s="16"/>
      <c r="C1325" s="23"/>
      <c r="D1325" s="24"/>
      <c r="E1325" s="25"/>
      <c r="F1325" s="26"/>
      <c r="G1325" s="27"/>
      <c r="H1325" s="20"/>
      <c r="I1325" s="21"/>
      <c r="J1325" s="28"/>
      <c r="K1325" s="19"/>
    </row>
    <row r="1326" spans="1:11" ht="13.2">
      <c r="A1326" s="22"/>
      <c r="B1326" s="16"/>
      <c r="C1326" s="23"/>
      <c r="D1326" s="24"/>
      <c r="E1326" s="25"/>
      <c r="F1326" s="26"/>
      <c r="G1326" s="27"/>
      <c r="H1326" s="20"/>
      <c r="I1326" s="21"/>
      <c r="J1326" s="28"/>
      <c r="K1326" s="19"/>
    </row>
    <row r="1327" spans="1:11" ht="13.2">
      <c r="A1327" s="22"/>
      <c r="B1327" s="16"/>
      <c r="C1327" s="23"/>
      <c r="D1327" s="24"/>
      <c r="E1327" s="25"/>
      <c r="F1327" s="26"/>
      <c r="G1327" s="27"/>
      <c r="H1327" s="20"/>
      <c r="I1327" s="21"/>
      <c r="J1327" s="28"/>
      <c r="K1327" s="19"/>
    </row>
    <row r="1328" spans="1:11" ht="13.2">
      <c r="A1328" s="22"/>
      <c r="B1328" s="16"/>
      <c r="C1328" s="23"/>
      <c r="D1328" s="24"/>
      <c r="E1328" s="25"/>
      <c r="F1328" s="26"/>
      <c r="G1328" s="27"/>
      <c r="H1328" s="20"/>
      <c r="I1328" s="21"/>
      <c r="J1328" s="28"/>
      <c r="K1328" s="19"/>
    </row>
    <row r="1329" spans="1:11" ht="13.2">
      <c r="A1329" s="22"/>
      <c r="B1329" s="16"/>
      <c r="C1329" s="23"/>
      <c r="D1329" s="24"/>
      <c r="E1329" s="25"/>
      <c r="F1329" s="26"/>
      <c r="G1329" s="27"/>
      <c r="H1329" s="20"/>
      <c r="I1329" s="21"/>
      <c r="J1329" s="28"/>
      <c r="K1329" s="19"/>
    </row>
    <row r="1330" spans="1:11" ht="13.2">
      <c r="A1330" s="22"/>
      <c r="B1330" s="16"/>
      <c r="C1330" s="23"/>
      <c r="D1330" s="24"/>
      <c r="E1330" s="25"/>
      <c r="F1330" s="26"/>
      <c r="G1330" s="27"/>
      <c r="H1330" s="20"/>
      <c r="I1330" s="21"/>
      <c r="J1330" s="28"/>
      <c r="K1330" s="19"/>
    </row>
    <row r="1331" spans="1:11" ht="13.2">
      <c r="A1331" s="22"/>
      <c r="B1331" s="16"/>
      <c r="C1331" s="23"/>
      <c r="D1331" s="24"/>
      <c r="E1331" s="25"/>
      <c r="F1331" s="26"/>
      <c r="G1331" s="27"/>
      <c r="H1331" s="20"/>
      <c r="I1331" s="21"/>
      <c r="J1331" s="28"/>
      <c r="K1331" s="19"/>
    </row>
    <row r="1332" spans="1:11" ht="13.2">
      <c r="A1332" s="22"/>
      <c r="B1332" s="16"/>
      <c r="C1332" s="23"/>
      <c r="D1332" s="24"/>
      <c r="E1332" s="25"/>
      <c r="F1332" s="26"/>
      <c r="G1332" s="27"/>
      <c r="H1332" s="20"/>
      <c r="I1332" s="21"/>
      <c r="J1332" s="28"/>
      <c r="K1332" s="19"/>
    </row>
    <row r="1333" spans="1:11" ht="13.2">
      <c r="A1333" s="22"/>
      <c r="B1333" s="16"/>
      <c r="C1333" s="23"/>
      <c r="D1333" s="24"/>
      <c r="E1333" s="25"/>
      <c r="F1333" s="26"/>
      <c r="G1333" s="27"/>
      <c r="H1333" s="20"/>
      <c r="I1333" s="21"/>
      <c r="J1333" s="28"/>
      <c r="K1333" s="19"/>
    </row>
    <row r="1334" spans="1:11" ht="13.2">
      <c r="A1334" s="22"/>
      <c r="B1334" s="16"/>
      <c r="C1334" s="23"/>
      <c r="D1334" s="24"/>
      <c r="E1334" s="25"/>
      <c r="F1334" s="26"/>
      <c r="G1334" s="27"/>
      <c r="H1334" s="20"/>
      <c r="I1334" s="21"/>
      <c r="J1334" s="28"/>
      <c r="K1334" s="19"/>
    </row>
    <row r="1335" spans="1:11" ht="13.2">
      <c r="A1335" s="22"/>
      <c r="B1335" s="16"/>
      <c r="C1335" s="23"/>
      <c r="D1335" s="24"/>
      <c r="E1335" s="25"/>
      <c r="F1335" s="26"/>
      <c r="G1335" s="27"/>
      <c r="H1335" s="20"/>
      <c r="I1335" s="21"/>
      <c r="J1335" s="28"/>
      <c r="K1335" s="19"/>
    </row>
    <row r="1336" spans="1:11" ht="13.2">
      <c r="A1336" s="22"/>
      <c r="B1336" s="16"/>
      <c r="C1336" s="23"/>
      <c r="D1336" s="24"/>
      <c r="E1336" s="25"/>
      <c r="F1336" s="26"/>
      <c r="G1336" s="27"/>
      <c r="H1336" s="20"/>
      <c r="I1336" s="21"/>
      <c r="J1336" s="28"/>
      <c r="K1336" s="19"/>
    </row>
    <row r="1337" spans="1:11" ht="13.2">
      <c r="A1337" s="22"/>
      <c r="B1337" s="16"/>
      <c r="C1337" s="23"/>
      <c r="D1337" s="24"/>
      <c r="E1337" s="25"/>
      <c r="F1337" s="26"/>
      <c r="G1337" s="27"/>
      <c r="H1337" s="20"/>
      <c r="I1337" s="21"/>
      <c r="J1337" s="28"/>
      <c r="K1337" s="19"/>
    </row>
    <row r="1338" spans="1:11" ht="13.2">
      <c r="A1338" s="22"/>
      <c r="B1338" s="16"/>
      <c r="C1338" s="23"/>
      <c r="D1338" s="24"/>
      <c r="E1338" s="25"/>
      <c r="F1338" s="26"/>
      <c r="G1338" s="27"/>
      <c r="H1338" s="20"/>
      <c r="I1338" s="21"/>
      <c r="J1338" s="28"/>
      <c r="K1338" s="19"/>
    </row>
    <row r="1339" spans="1:11" ht="13.2">
      <c r="A1339" s="22"/>
      <c r="B1339" s="16"/>
      <c r="C1339" s="23"/>
      <c r="D1339" s="24"/>
      <c r="E1339" s="25"/>
      <c r="F1339" s="26"/>
      <c r="G1339" s="27"/>
      <c r="H1339" s="20"/>
      <c r="I1339" s="21"/>
      <c r="J1339" s="28"/>
      <c r="K1339" s="19"/>
    </row>
    <row r="1340" spans="1:11" ht="13.2">
      <c r="A1340" s="22"/>
      <c r="B1340" s="16"/>
      <c r="C1340" s="23"/>
      <c r="D1340" s="24"/>
      <c r="E1340" s="25"/>
      <c r="F1340" s="26"/>
      <c r="G1340" s="27"/>
      <c r="H1340" s="20"/>
      <c r="I1340" s="21"/>
      <c r="J1340" s="28"/>
      <c r="K1340" s="19"/>
    </row>
    <row r="1341" spans="1:11" ht="13.2">
      <c r="A1341" s="22"/>
      <c r="B1341" s="16"/>
      <c r="C1341" s="23"/>
      <c r="D1341" s="24"/>
      <c r="E1341" s="25"/>
      <c r="F1341" s="26"/>
      <c r="G1341" s="27"/>
      <c r="H1341" s="20"/>
      <c r="I1341" s="21"/>
      <c r="J1341" s="28"/>
      <c r="K1341" s="19"/>
    </row>
    <row r="1342" spans="1:11" ht="13.2">
      <c r="A1342" s="22"/>
      <c r="B1342" s="16"/>
      <c r="C1342" s="23"/>
      <c r="D1342" s="24"/>
      <c r="E1342" s="25"/>
      <c r="F1342" s="26"/>
      <c r="G1342" s="27"/>
      <c r="H1342" s="20"/>
      <c r="I1342" s="21"/>
      <c r="J1342" s="28"/>
      <c r="K1342" s="19"/>
    </row>
    <row r="1343" spans="1:11" ht="13.2">
      <c r="A1343" s="22"/>
      <c r="B1343" s="16"/>
      <c r="C1343" s="23"/>
      <c r="D1343" s="24"/>
      <c r="E1343" s="25"/>
      <c r="F1343" s="26"/>
      <c r="G1343" s="27"/>
      <c r="H1343" s="20"/>
      <c r="I1343" s="21"/>
      <c r="J1343" s="28"/>
      <c r="K1343" s="19"/>
    </row>
    <row r="1344" spans="1:11" ht="13.2">
      <c r="A1344" s="22"/>
      <c r="B1344" s="16"/>
      <c r="C1344" s="23"/>
      <c r="D1344" s="24"/>
      <c r="E1344" s="25"/>
      <c r="F1344" s="26"/>
      <c r="G1344" s="27"/>
      <c r="H1344" s="20"/>
      <c r="I1344" s="21"/>
      <c r="J1344" s="28"/>
      <c r="K1344" s="19"/>
    </row>
    <row r="1345" spans="1:11" ht="13.2">
      <c r="A1345" s="22"/>
      <c r="B1345" s="16"/>
      <c r="C1345" s="23"/>
      <c r="D1345" s="24"/>
      <c r="E1345" s="25"/>
      <c r="F1345" s="26"/>
      <c r="G1345" s="27"/>
      <c r="H1345" s="20"/>
      <c r="I1345" s="21"/>
      <c r="J1345" s="28"/>
      <c r="K1345" s="19"/>
    </row>
    <row r="1346" spans="1:11" ht="13.2">
      <c r="A1346" s="22"/>
      <c r="B1346" s="16"/>
      <c r="C1346" s="23"/>
      <c r="D1346" s="24"/>
      <c r="E1346" s="25"/>
      <c r="F1346" s="26"/>
      <c r="G1346" s="27"/>
      <c r="H1346" s="20"/>
      <c r="I1346" s="21"/>
      <c r="J1346" s="28"/>
      <c r="K1346" s="19"/>
    </row>
    <row r="1347" spans="1:11" ht="13.2">
      <c r="A1347" s="22"/>
      <c r="B1347" s="16"/>
      <c r="C1347" s="23"/>
      <c r="D1347" s="24"/>
      <c r="E1347" s="25"/>
      <c r="F1347" s="26"/>
      <c r="G1347" s="27"/>
      <c r="H1347" s="20"/>
      <c r="I1347" s="21"/>
      <c r="J1347" s="28"/>
      <c r="K1347" s="19"/>
    </row>
    <row r="1348" spans="1:11" ht="13.2">
      <c r="A1348" s="22"/>
      <c r="B1348" s="16"/>
      <c r="C1348" s="23"/>
      <c r="D1348" s="24"/>
      <c r="E1348" s="25"/>
      <c r="F1348" s="26"/>
      <c r="G1348" s="27"/>
      <c r="H1348" s="20"/>
      <c r="I1348" s="21"/>
      <c r="J1348" s="28"/>
      <c r="K1348" s="19"/>
    </row>
    <row r="1349" spans="1:11" ht="13.2">
      <c r="A1349" s="22"/>
      <c r="B1349" s="16"/>
      <c r="C1349" s="23"/>
      <c r="D1349" s="24"/>
      <c r="E1349" s="25"/>
      <c r="F1349" s="26"/>
      <c r="G1349" s="27"/>
      <c r="H1349" s="20"/>
      <c r="I1349" s="21"/>
      <c r="J1349" s="28"/>
      <c r="K1349" s="19"/>
    </row>
    <row r="1350" spans="1:11" ht="13.2">
      <c r="A1350" s="22"/>
      <c r="B1350" s="16"/>
      <c r="C1350" s="23"/>
      <c r="D1350" s="24"/>
      <c r="E1350" s="25"/>
      <c r="F1350" s="26"/>
      <c r="G1350" s="27"/>
      <c r="H1350" s="20"/>
      <c r="I1350" s="21"/>
      <c r="J1350" s="28"/>
      <c r="K1350" s="19"/>
    </row>
    <row r="1351" spans="1:11" ht="13.2">
      <c r="A1351" s="22"/>
      <c r="B1351" s="16"/>
      <c r="C1351" s="23"/>
      <c r="D1351" s="24"/>
      <c r="E1351" s="25"/>
      <c r="F1351" s="26"/>
      <c r="G1351" s="27"/>
      <c r="H1351" s="20"/>
      <c r="I1351" s="21"/>
      <c r="J1351" s="28"/>
      <c r="K1351" s="19"/>
    </row>
    <row r="1352" spans="1:11" ht="13.2">
      <c r="A1352" s="22"/>
      <c r="B1352" s="16"/>
      <c r="C1352" s="23"/>
      <c r="D1352" s="24"/>
      <c r="E1352" s="25"/>
      <c r="F1352" s="26"/>
      <c r="G1352" s="27"/>
      <c r="H1352" s="20"/>
      <c r="I1352" s="21"/>
      <c r="J1352" s="28"/>
      <c r="K1352" s="19"/>
    </row>
    <row r="1353" spans="1:11" ht="13.2">
      <c r="A1353" s="22"/>
      <c r="B1353" s="16"/>
      <c r="C1353" s="23"/>
      <c r="D1353" s="24"/>
      <c r="E1353" s="25"/>
      <c r="F1353" s="26"/>
      <c r="G1353" s="27"/>
      <c r="H1353" s="20"/>
      <c r="I1353" s="21"/>
      <c r="J1353" s="28"/>
      <c r="K1353" s="19"/>
    </row>
    <row r="1354" spans="1:11" ht="13.2">
      <c r="A1354" s="22"/>
      <c r="B1354" s="16"/>
      <c r="C1354" s="23"/>
      <c r="D1354" s="24"/>
      <c r="E1354" s="25"/>
      <c r="F1354" s="26"/>
      <c r="G1354" s="27"/>
      <c r="H1354" s="20"/>
      <c r="I1354" s="21"/>
      <c r="J1354" s="28"/>
      <c r="K1354" s="19"/>
    </row>
    <row r="1355" spans="1:11" ht="13.2">
      <c r="A1355" s="22"/>
      <c r="B1355" s="16"/>
      <c r="C1355" s="23"/>
      <c r="D1355" s="24"/>
      <c r="E1355" s="25"/>
      <c r="F1355" s="26"/>
      <c r="G1355" s="27"/>
      <c r="H1355" s="20"/>
      <c r="I1355" s="21"/>
      <c r="J1355" s="28"/>
      <c r="K1355" s="19"/>
    </row>
    <row r="1356" spans="1:11" ht="13.2">
      <c r="A1356" s="22"/>
      <c r="B1356" s="16"/>
      <c r="C1356" s="23"/>
      <c r="D1356" s="24"/>
      <c r="E1356" s="25"/>
      <c r="F1356" s="26"/>
      <c r="G1356" s="27"/>
      <c r="H1356" s="20"/>
      <c r="I1356" s="21"/>
      <c r="J1356" s="28"/>
      <c r="K1356" s="19"/>
    </row>
    <row r="1357" spans="1:11" ht="13.2">
      <c r="A1357" s="22"/>
      <c r="B1357" s="16"/>
      <c r="C1357" s="23"/>
      <c r="D1357" s="24"/>
      <c r="E1357" s="25"/>
      <c r="F1357" s="26"/>
      <c r="G1357" s="27"/>
      <c r="H1357" s="20"/>
      <c r="I1357" s="21"/>
      <c r="J1357" s="28"/>
      <c r="K1357" s="19"/>
    </row>
    <row r="1358" spans="1:11" ht="13.2">
      <c r="A1358" s="22"/>
      <c r="B1358" s="16"/>
      <c r="C1358" s="23"/>
      <c r="D1358" s="24"/>
      <c r="E1358" s="25"/>
      <c r="F1358" s="26"/>
      <c r="G1358" s="27"/>
      <c r="H1358" s="20"/>
      <c r="I1358" s="21"/>
      <c r="J1358" s="28"/>
      <c r="K1358" s="19"/>
    </row>
    <row r="1359" spans="1:11" ht="13.2">
      <c r="A1359" s="22"/>
      <c r="B1359" s="16"/>
      <c r="C1359" s="23"/>
      <c r="D1359" s="24"/>
      <c r="E1359" s="25"/>
      <c r="F1359" s="26"/>
      <c r="G1359" s="27"/>
      <c r="H1359" s="20"/>
      <c r="I1359" s="21"/>
      <c r="J1359" s="28"/>
      <c r="K1359" s="19"/>
    </row>
    <row r="1360" spans="1:11" ht="13.2">
      <c r="A1360" s="22"/>
      <c r="B1360" s="16"/>
      <c r="C1360" s="23"/>
      <c r="D1360" s="24"/>
      <c r="E1360" s="25"/>
      <c r="F1360" s="26"/>
      <c r="G1360" s="27"/>
      <c r="H1360" s="20"/>
      <c r="I1360" s="21"/>
      <c r="J1360" s="28"/>
      <c r="K1360" s="19"/>
    </row>
    <row r="1361" spans="1:11" ht="13.2">
      <c r="A1361" s="22"/>
      <c r="B1361" s="16"/>
      <c r="C1361" s="23"/>
      <c r="D1361" s="24"/>
      <c r="E1361" s="25"/>
      <c r="F1361" s="26"/>
      <c r="G1361" s="27"/>
      <c r="H1361" s="20"/>
      <c r="I1361" s="21"/>
      <c r="J1361" s="28"/>
      <c r="K1361" s="19"/>
    </row>
    <row r="1362" spans="1:11" ht="13.2">
      <c r="A1362" s="22"/>
      <c r="B1362" s="16"/>
      <c r="C1362" s="23"/>
      <c r="D1362" s="24"/>
      <c r="E1362" s="25"/>
      <c r="F1362" s="26"/>
      <c r="G1362" s="27"/>
      <c r="H1362" s="20"/>
      <c r="I1362" s="21"/>
      <c r="J1362" s="28"/>
      <c r="K1362" s="19"/>
    </row>
    <row r="1363" spans="1:11" ht="13.2">
      <c r="A1363" s="22"/>
      <c r="B1363" s="16"/>
      <c r="C1363" s="23"/>
      <c r="D1363" s="24"/>
      <c r="E1363" s="25"/>
      <c r="F1363" s="26"/>
      <c r="G1363" s="27"/>
      <c r="H1363" s="20"/>
      <c r="I1363" s="21"/>
      <c r="J1363" s="28"/>
      <c r="K1363" s="19"/>
    </row>
    <row r="1364" spans="1:11" ht="13.2">
      <c r="A1364" s="22"/>
      <c r="B1364" s="16"/>
      <c r="C1364" s="23"/>
      <c r="D1364" s="24"/>
      <c r="E1364" s="25"/>
      <c r="F1364" s="26"/>
      <c r="G1364" s="27"/>
      <c r="H1364" s="20"/>
      <c r="I1364" s="21"/>
      <c r="J1364" s="28"/>
      <c r="K1364" s="19"/>
    </row>
    <row r="1365" spans="1:11" ht="13.2">
      <c r="A1365" s="22"/>
      <c r="B1365" s="16"/>
      <c r="C1365" s="23"/>
      <c r="D1365" s="24"/>
      <c r="E1365" s="25"/>
      <c r="F1365" s="26"/>
      <c r="G1365" s="27"/>
      <c r="H1365" s="20"/>
      <c r="I1365" s="21"/>
      <c r="J1365" s="28"/>
      <c r="K1365" s="19"/>
    </row>
    <row r="1366" spans="1:11" ht="13.2">
      <c r="A1366" s="22"/>
      <c r="B1366" s="16"/>
      <c r="C1366" s="23"/>
      <c r="D1366" s="24"/>
      <c r="E1366" s="25"/>
      <c r="F1366" s="26"/>
      <c r="G1366" s="27"/>
      <c r="H1366" s="20"/>
      <c r="I1366" s="21"/>
      <c r="J1366" s="28"/>
      <c r="K1366" s="19"/>
    </row>
    <row r="1367" spans="1:11" ht="13.2">
      <c r="A1367" s="22"/>
      <c r="B1367" s="16"/>
      <c r="C1367" s="23"/>
      <c r="D1367" s="24"/>
      <c r="E1367" s="25"/>
      <c r="F1367" s="26"/>
      <c r="G1367" s="27"/>
      <c r="H1367" s="20"/>
      <c r="I1367" s="21"/>
      <c r="J1367" s="28"/>
      <c r="K1367" s="19"/>
    </row>
    <row r="1368" spans="1:11" ht="13.2">
      <c r="A1368" s="22"/>
      <c r="B1368" s="16"/>
      <c r="C1368" s="23"/>
      <c r="D1368" s="24"/>
      <c r="E1368" s="25"/>
      <c r="F1368" s="26"/>
      <c r="G1368" s="27"/>
      <c r="H1368" s="20"/>
      <c r="I1368" s="21"/>
      <c r="J1368" s="28"/>
      <c r="K1368" s="19"/>
    </row>
    <row r="1369" spans="1:11" ht="13.2">
      <c r="A1369" s="22"/>
      <c r="B1369" s="16"/>
      <c r="C1369" s="23"/>
      <c r="D1369" s="24"/>
      <c r="E1369" s="25"/>
      <c r="F1369" s="26"/>
      <c r="G1369" s="27"/>
      <c r="H1369" s="20"/>
      <c r="I1369" s="21"/>
      <c r="J1369" s="28"/>
      <c r="K1369" s="19"/>
    </row>
    <row r="1370" spans="1:11" ht="13.2">
      <c r="A1370" s="22"/>
      <c r="B1370" s="16"/>
      <c r="C1370" s="23"/>
      <c r="D1370" s="24"/>
      <c r="E1370" s="25"/>
      <c r="F1370" s="26"/>
      <c r="G1370" s="27"/>
      <c r="H1370" s="20"/>
      <c r="I1370" s="21"/>
      <c r="J1370" s="28"/>
      <c r="K1370" s="19"/>
    </row>
    <row r="1371" spans="1:11" ht="13.2">
      <c r="A1371" s="22"/>
      <c r="B1371" s="16"/>
      <c r="C1371" s="23"/>
      <c r="D1371" s="24"/>
      <c r="E1371" s="25"/>
      <c r="F1371" s="26"/>
      <c r="G1371" s="27"/>
      <c r="H1371" s="20"/>
      <c r="I1371" s="21"/>
      <c r="J1371" s="28"/>
      <c r="K1371" s="19"/>
    </row>
    <row r="1372" spans="1:11" ht="13.2">
      <c r="A1372" s="22"/>
      <c r="B1372" s="16"/>
      <c r="C1372" s="23"/>
      <c r="D1372" s="24"/>
      <c r="E1372" s="25"/>
      <c r="F1372" s="26"/>
      <c r="G1372" s="27"/>
      <c r="H1372" s="20"/>
      <c r="I1372" s="21"/>
      <c r="J1372" s="28"/>
      <c r="K1372" s="19"/>
    </row>
    <row r="1373" spans="1:11" ht="13.2">
      <c r="A1373" s="22"/>
      <c r="B1373" s="16"/>
      <c r="C1373" s="23"/>
      <c r="D1373" s="24"/>
      <c r="E1373" s="25"/>
      <c r="F1373" s="26"/>
      <c r="G1373" s="27"/>
      <c r="H1373" s="20"/>
      <c r="I1373" s="21"/>
      <c r="J1373" s="28"/>
      <c r="K1373" s="19"/>
    </row>
    <row r="1374" spans="1:11" ht="13.2">
      <c r="A1374" s="22"/>
      <c r="B1374" s="16"/>
      <c r="C1374" s="23"/>
      <c r="D1374" s="24"/>
      <c r="E1374" s="25"/>
      <c r="F1374" s="26"/>
      <c r="G1374" s="27"/>
      <c r="H1374" s="20"/>
      <c r="I1374" s="21"/>
      <c r="J1374" s="28"/>
      <c r="K1374" s="19"/>
    </row>
    <row r="1375" spans="1:11" ht="13.2">
      <c r="A1375" s="22"/>
      <c r="B1375" s="16"/>
      <c r="C1375" s="23"/>
      <c r="D1375" s="24"/>
      <c r="E1375" s="25"/>
      <c r="F1375" s="26"/>
      <c r="G1375" s="27"/>
      <c r="H1375" s="20"/>
      <c r="I1375" s="21"/>
      <c r="J1375" s="28"/>
      <c r="K1375" s="19"/>
    </row>
    <row r="1376" spans="1:11" ht="13.2">
      <c r="A1376" s="22"/>
      <c r="B1376" s="16"/>
      <c r="C1376" s="23"/>
      <c r="D1376" s="24"/>
      <c r="E1376" s="25"/>
      <c r="F1376" s="26"/>
      <c r="G1376" s="27"/>
      <c r="H1376" s="20"/>
      <c r="I1376" s="21"/>
      <c r="J1376" s="28"/>
      <c r="K1376" s="19"/>
    </row>
    <row r="1377" spans="1:11" ht="13.2">
      <c r="A1377" s="22"/>
      <c r="B1377" s="16"/>
      <c r="C1377" s="23"/>
      <c r="D1377" s="24"/>
      <c r="E1377" s="25"/>
      <c r="F1377" s="26"/>
      <c r="G1377" s="27"/>
      <c r="H1377" s="20"/>
      <c r="I1377" s="21"/>
      <c r="J1377" s="28"/>
      <c r="K1377" s="19"/>
    </row>
    <row r="1378" spans="1:11" ht="13.2">
      <c r="A1378" s="22"/>
      <c r="B1378" s="16"/>
      <c r="C1378" s="23"/>
      <c r="D1378" s="24"/>
      <c r="E1378" s="25"/>
      <c r="F1378" s="26"/>
      <c r="G1378" s="27"/>
      <c r="H1378" s="20"/>
      <c r="I1378" s="21"/>
      <c r="J1378" s="28"/>
      <c r="K1378" s="19"/>
    </row>
    <row r="1379" spans="1:11" ht="13.2">
      <c r="A1379" s="22"/>
      <c r="B1379" s="16"/>
      <c r="C1379" s="23"/>
      <c r="D1379" s="24"/>
      <c r="E1379" s="25"/>
      <c r="F1379" s="26"/>
      <c r="G1379" s="27"/>
      <c r="H1379" s="20"/>
      <c r="I1379" s="21"/>
      <c r="J1379" s="28"/>
      <c r="K1379" s="19"/>
    </row>
    <row r="1380" spans="1:11" ht="13.2">
      <c r="A1380" s="22"/>
      <c r="B1380" s="16"/>
      <c r="C1380" s="23"/>
      <c r="D1380" s="24"/>
      <c r="E1380" s="25"/>
      <c r="F1380" s="26"/>
      <c r="G1380" s="27"/>
      <c r="H1380" s="20"/>
      <c r="I1380" s="21"/>
      <c r="J1380" s="28"/>
      <c r="K1380" s="19"/>
    </row>
    <row r="1381" spans="1:11" ht="13.2">
      <c r="A1381" s="22"/>
      <c r="B1381" s="16"/>
      <c r="C1381" s="23"/>
      <c r="D1381" s="24"/>
      <c r="E1381" s="25"/>
      <c r="F1381" s="26"/>
      <c r="G1381" s="27"/>
      <c r="H1381" s="20"/>
      <c r="I1381" s="21"/>
      <c r="J1381" s="28"/>
      <c r="K1381" s="19"/>
    </row>
    <row r="1382" spans="1:11" ht="13.2">
      <c r="A1382" s="22"/>
      <c r="B1382" s="16"/>
      <c r="C1382" s="23"/>
      <c r="D1382" s="24"/>
      <c r="E1382" s="25"/>
      <c r="F1382" s="26"/>
      <c r="G1382" s="27"/>
      <c r="H1382" s="20"/>
      <c r="I1382" s="21"/>
      <c r="J1382" s="28"/>
      <c r="K1382" s="19"/>
    </row>
    <row r="1383" spans="1:11" ht="13.2">
      <c r="A1383" s="22"/>
      <c r="B1383" s="16"/>
      <c r="C1383" s="23"/>
      <c r="D1383" s="24"/>
      <c r="E1383" s="25"/>
      <c r="F1383" s="26"/>
      <c r="G1383" s="27"/>
      <c r="H1383" s="20"/>
      <c r="I1383" s="21"/>
      <c r="J1383" s="28"/>
      <c r="K1383" s="19"/>
    </row>
    <row r="1384" spans="1:11" ht="13.2">
      <c r="A1384" s="22"/>
      <c r="B1384" s="16"/>
      <c r="C1384" s="23"/>
      <c r="D1384" s="24"/>
      <c r="E1384" s="25"/>
      <c r="F1384" s="26"/>
      <c r="G1384" s="27"/>
      <c r="H1384" s="20"/>
      <c r="I1384" s="21"/>
      <c r="J1384" s="28"/>
      <c r="K1384" s="19"/>
    </row>
    <row r="1385" spans="1:11" ht="13.2">
      <c r="A1385" s="22"/>
      <c r="B1385" s="16"/>
      <c r="C1385" s="23"/>
      <c r="D1385" s="24"/>
      <c r="E1385" s="25"/>
      <c r="F1385" s="26"/>
      <c r="G1385" s="27"/>
      <c r="H1385" s="20"/>
      <c r="I1385" s="21"/>
      <c r="J1385" s="28"/>
      <c r="K1385" s="19"/>
    </row>
    <row r="1386" spans="1:11" ht="13.2">
      <c r="A1386" s="22"/>
      <c r="B1386" s="16"/>
      <c r="C1386" s="23"/>
      <c r="D1386" s="24"/>
      <c r="E1386" s="25"/>
      <c r="F1386" s="26"/>
      <c r="G1386" s="27"/>
      <c r="H1386" s="20"/>
      <c r="I1386" s="21"/>
      <c r="J1386" s="28"/>
      <c r="K1386" s="19"/>
    </row>
    <row r="1387" spans="1:11" ht="13.2">
      <c r="A1387" s="22"/>
      <c r="B1387" s="16"/>
      <c r="C1387" s="23"/>
      <c r="D1387" s="24"/>
      <c r="E1387" s="25"/>
      <c r="F1387" s="26"/>
      <c r="G1387" s="27"/>
      <c r="H1387" s="20"/>
      <c r="I1387" s="21"/>
      <c r="J1387" s="28"/>
      <c r="K1387" s="19"/>
    </row>
    <row r="1388" spans="1:11" ht="13.2">
      <c r="A1388" s="22"/>
      <c r="B1388" s="16"/>
      <c r="C1388" s="23"/>
      <c r="D1388" s="24"/>
      <c r="E1388" s="25"/>
      <c r="F1388" s="26"/>
      <c r="G1388" s="27"/>
      <c r="H1388" s="20"/>
      <c r="I1388" s="21"/>
      <c r="J1388" s="28"/>
      <c r="K1388" s="19"/>
    </row>
    <row r="1389" spans="1:11" ht="13.2">
      <c r="A1389" s="22"/>
      <c r="B1389" s="16"/>
      <c r="C1389" s="23"/>
      <c r="D1389" s="24"/>
      <c r="E1389" s="25"/>
      <c r="F1389" s="26"/>
      <c r="G1389" s="27"/>
      <c r="H1389" s="20"/>
      <c r="I1389" s="21"/>
      <c r="J1389" s="28"/>
      <c r="K1389" s="19"/>
    </row>
    <row r="1390" spans="1:11" ht="13.2">
      <c r="A1390" s="22"/>
      <c r="B1390" s="16"/>
      <c r="C1390" s="23"/>
      <c r="D1390" s="24"/>
      <c r="E1390" s="25"/>
      <c r="F1390" s="26"/>
      <c r="G1390" s="27"/>
      <c r="H1390" s="20"/>
      <c r="I1390" s="21"/>
      <c r="J1390" s="28"/>
      <c r="K1390" s="19"/>
    </row>
    <row r="1391" spans="1:11" ht="13.2">
      <c r="A1391" s="22"/>
      <c r="B1391" s="16"/>
      <c r="C1391" s="23"/>
      <c r="D1391" s="24"/>
      <c r="E1391" s="25"/>
      <c r="F1391" s="26"/>
      <c r="G1391" s="27"/>
      <c r="H1391" s="20"/>
      <c r="I1391" s="21"/>
      <c r="J1391" s="28"/>
      <c r="K1391" s="19"/>
    </row>
    <row r="1392" spans="1:11" ht="13.2">
      <c r="A1392" s="22"/>
      <c r="B1392" s="16"/>
      <c r="C1392" s="23"/>
      <c r="D1392" s="24"/>
      <c r="E1392" s="25"/>
      <c r="F1392" s="26"/>
      <c r="G1392" s="27"/>
      <c r="H1392" s="20"/>
      <c r="I1392" s="21"/>
      <c r="J1392" s="28"/>
      <c r="K1392" s="19"/>
    </row>
    <row r="1393" spans="1:11" ht="13.2">
      <c r="A1393" s="22"/>
      <c r="B1393" s="16"/>
      <c r="C1393" s="23"/>
      <c r="D1393" s="24"/>
      <c r="E1393" s="25"/>
      <c r="F1393" s="26"/>
      <c r="G1393" s="27"/>
      <c r="H1393" s="20"/>
      <c r="I1393" s="21"/>
      <c r="J1393" s="28"/>
      <c r="K1393" s="19"/>
    </row>
    <row r="1394" spans="1:11" ht="13.2">
      <c r="A1394" s="22"/>
      <c r="B1394" s="16"/>
      <c r="C1394" s="23"/>
      <c r="D1394" s="24"/>
      <c r="E1394" s="25"/>
      <c r="F1394" s="26"/>
      <c r="G1394" s="27"/>
      <c r="H1394" s="20"/>
      <c r="I1394" s="21"/>
      <c r="J1394" s="28"/>
      <c r="K1394" s="19"/>
    </row>
    <row r="1395" spans="1:11" ht="13.2">
      <c r="A1395" s="22"/>
      <c r="B1395" s="16"/>
      <c r="C1395" s="23"/>
      <c r="D1395" s="24"/>
      <c r="E1395" s="25"/>
      <c r="F1395" s="26"/>
      <c r="G1395" s="27"/>
      <c r="H1395" s="20"/>
      <c r="I1395" s="21"/>
      <c r="J1395" s="28"/>
      <c r="K1395" s="19"/>
    </row>
    <row r="1396" spans="1:11" ht="13.2">
      <c r="A1396" s="22"/>
      <c r="B1396" s="16"/>
      <c r="C1396" s="23"/>
      <c r="D1396" s="24"/>
      <c r="E1396" s="25"/>
      <c r="F1396" s="26"/>
      <c r="G1396" s="27"/>
      <c r="H1396" s="20"/>
      <c r="I1396" s="21"/>
      <c r="J1396" s="28"/>
      <c r="K1396" s="19"/>
    </row>
    <row r="1397" spans="1:11" ht="13.2">
      <c r="A1397" s="22"/>
      <c r="B1397" s="16"/>
      <c r="C1397" s="23"/>
      <c r="D1397" s="24"/>
      <c r="E1397" s="25"/>
      <c r="F1397" s="26"/>
      <c r="G1397" s="27"/>
      <c r="H1397" s="20"/>
      <c r="I1397" s="21"/>
      <c r="J1397" s="28"/>
      <c r="K1397" s="19"/>
    </row>
    <row r="1398" spans="1:11" ht="13.2">
      <c r="A1398" s="22"/>
      <c r="B1398" s="16"/>
      <c r="C1398" s="23"/>
      <c r="D1398" s="24"/>
      <c r="E1398" s="25"/>
      <c r="F1398" s="26"/>
      <c r="G1398" s="27"/>
      <c r="H1398" s="20"/>
      <c r="I1398" s="21"/>
      <c r="J1398" s="28"/>
      <c r="K1398" s="19"/>
    </row>
    <row r="1399" spans="1:11" ht="13.2">
      <c r="A1399" s="22"/>
      <c r="B1399" s="16"/>
      <c r="C1399" s="23"/>
      <c r="D1399" s="24"/>
      <c r="E1399" s="25"/>
      <c r="F1399" s="26"/>
      <c r="G1399" s="27"/>
      <c r="H1399" s="20"/>
      <c r="I1399" s="21"/>
      <c r="J1399" s="28"/>
      <c r="K1399" s="19"/>
    </row>
    <row r="1400" spans="1:11" ht="13.2">
      <c r="A1400" s="22"/>
      <c r="B1400" s="16"/>
      <c r="C1400" s="23"/>
      <c r="D1400" s="24"/>
      <c r="E1400" s="25"/>
      <c r="F1400" s="26"/>
      <c r="G1400" s="27"/>
      <c r="H1400" s="20"/>
      <c r="I1400" s="21"/>
      <c r="J1400" s="28"/>
      <c r="K1400" s="19"/>
    </row>
    <row r="1401" spans="1:11" ht="13.2">
      <c r="A1401" s="22"/>
      <c r="B1401" s="16"/>
      <c r="C1401" s="23"/>
      <c r="D1401" s="24"/>
      <c r="E1401" s="25"/>
      <c r="F1401" s="26"/>
      <c r="G1401" s="27"/>
      <c r="H1401" s="20"/>
      <c r="I1401" s="21"/>
      <c r="J1401" s="28"/>
      <c r="K1401" s="19"/>
    </row>
    <row r="1402" spans="1:11" ht="13.2">
      <c r="A1402" s="22"/>
      <c r="B1402" s="16"/>
      <c r="C1402" s="23"/>
      <c r="D1402" s="24"/>
      <c r="E1402" s="25"/>
      <c r="F1402" s="26"/>
      <c r="G1402" s="27"/>
      <c r="H1402" s="20"/>
      <c r="I1402" s="21"/>
      <c r="J1402" s="28"/>
      <c r="K1402" s="19"/>
    </row>
    <row r="1403" spans="1:11" ht="13.2">
      <c r="A1403" s="22"/>
      <c r="B1403" s="16"/>
      <c r="C1403" s="23"/>
      <c r="D1403" s="24"/>
      <c r="E1403" s="25"/>
      <c r="F1403" s="26"/>
      <c r="G1403" s="27"/>
      <c r="H1403" s="20"/>
      <c r="I1403" s="21"/>
      <c r="J1403" s="28"/>
      <c r="K1403" s="19"/>
    </row>
    <row r="1404" spans="1:11" ht="13.2">
      <c r="A1404" s="22"/>
      <c r="B1404" s="16"/>
      <c r="C1404" s="23"/>
      <c r="D1404" s="24"/>
      <c r="E1404" s="25"/>
      <c r="F1404" s="26"/>
      <c r="G1404" s="27"/>
      <c r="H1404" s="20"/>
      <c r="I1404" s="21"/>
      <c r="J1404" s="28"/>
      <c r="K1404" s="19"/>
    </row>
    <row r="1405" spans="1:11" ht="13.2">
      <c r="A1405" s="22"/>
      <c r="B1405" s="16"/>
      <c r="C1405" s="23"/>
      <c r="D1405" s="24"/>
      <c r="E1405" s="25"/>
      <c r="F1405" s="26"/>
      <c r="G1405" s="27"/>
      <c r="H1405" s="20"/>
      <c r="I1405" s="21"/>
      <c r="J1405" s="28"/>
      <c r="K1405" s="19"/>
    </row>
    <row r="1406" spans="1:11" ht="13.2">
      <c r="A1406" s="22"/>
      <c r="B1406" s="16"/>
      <c r="C1406" s="23"/>
      <c r="D1406" s="24"/>
      <c r="E1406" s="25"/>
      <c r="F1406" s="26"/>
      <c r="G1406" s="27"/>
      <c r="H1406" s="20"/>
      <c r="I1406" s="21"/>
      <c r="J1406" s="28"/>
      <c r="K1406" s="19"/>
    </row>
    <row r="1407" spans="1:11" ht="13.2">
      <c r="A1407" s="22"/>
      <c r="B1407" s="16"/>
      <c r="C1407" s="23"/>
      <c r="D1407" s="24"/>
      <c r="E1407" s="25"/>
      <c r="F1407" s="26"/>
      <c r="G1407" s="27"/>
      <c r="H1407" s="20"/>
      <c r="I1407" s="21"/>
      <c r="J1407" s="28"/>
      <c r="K1407" s="19"/>
    </row>
    <row r="1408" spans="1:11" ht="13.2">
      <c r="A1408" s="22"/>
      <c r="B1408" s="16"/>
      <c r="C1408" s="23"/>
      <c r="D1408" s="24"/>
      <c r="E1408" s="25"/>
      <c r="F1408" s="26"/>
      <c r="G1408" s="27"/>
      <c r="H1408" s="20"/>
      <c r="I1408" s="21"/>
      <c r="J1408" s="28"/>
      <c r="K1408" s="19"/>
    </row>
    <row r="1409" spans="1:11" ht="13.2">
      <c r="A1409" s="22"/>
      <c r="B1409" s="16"/>
      <c r="C1409" s="23"/>
      <c r="D1409" s="24"/>
      <c r="E1409" s="25"/>
      <c r="F1409" s="26"/>
      <c r="G1409" s="27"/>
      <c r="H1409" s="20"/>
      <c r="I1409" s="21"/>
      <c r="J1409" s="28"/>
      <c r="K1409" s="19"/>
    </row>
    <row r="1410" spans="1:11" ht="13.2">
      <c r="A1410" s="22"/>
      <c r="B1410" s="16"/>
      <c r="C1410" s="23"/>
      <c r="D1410" s="24"/>
      <c r="E1410" s="25"/>
      <c r="F1410" s="26"/>
      <c r="G1410" s="27"/>
      <c r="H1410" s="20"/>
      <c r="I1410" s="21"/>
      <c r="J1410" s="28"/>
      <c r="K1410" s="19"/>
    </row>
    <row r="1411" spans="1:11" ht="13.2">
      <c r="A1411" s="22"/>
      <c r="B1411" s="16"/>
      <c r="C1411" s="23"/>
      <c r="D1411" s="24"/>
      <c r="E1411" s="25"/>
      <c r="F1411" s="26"/>
      <c r="G1411" s="27"/>
      <c r="H1411" s="20"/>
      <c r="I1411" s="21"/>
      <c r="J1411" s="28"/>
      <c r="K1411" s="19"/>
    </row>
    <row r="1412" spans="1:11" ht="13.2">
      <c r="A1412" s="22"/>
      <c r="B1412" s="16"/>
      <c r="C1412" s="23"/>
      <c r="D1412" s="24"/>
      <c r="E1412" s="25"/>
      <c r="F1412" s="26"/>
      <c r="G1412" s="27"/>
      <c r="H1412" s="20"/>
      <c r="I1412" s="21"/>
      <c r="J1412" s="28"/>
      <c r="K1412" s="19"/>
    </row>
    <row r="1413" spans="1:11" ht="13.2">
      <c r="A1413" s="22"/>
      <c r="B1413" s="16"/>
      <c r="C1413" s="23"/>
      <c r="D1413" s="24"/>
      <c r="E1413" s="25"/>
      <c r="F1413" s="26"/>
      <c r="G1413" s="27"/>
      <c r="H1413" s="20"/>
      <c r="I1413" s="21"/>
      <c r="J1413" s="28"/>
      <c r="K1413" s="19"/>
    </row>
    <row r="1414" spans="1:11" ht="13.2">
      <c r="A1414" s="22"/>
      <c r="B1414" s="16"/>
      <c r="C1414" s="23"/>
      <c r="D1414" s="24"/>
      <c r="E1414" s="25"/>
      <c r="F1414" s="26"/>
      <c r="G1414" s="27"/>
      <c r="H1414" s="20"/>
      <c r="I1414" s="21"/>
      <c r="J1414" s="28"/>
      <c r="K1414" s="19"/>
    </row>
    <row r="1415" spans="1:11" ht="13.2">
      <c r="A1415" s="22"/>
      <c r="B1415" s="16"/>
      <c r="C1415" s="23"/>
      <c r="D1415" s="24"/>
      <c r="E1415" s="25"/>
      <c r="F1415" s="26"/>
      <c r="G1415" s="27"/>
      <c r="H1415" s="20"/>
      <c r="I1415" s="21"/>
      <c r="J1415" s="28"/>
      <c r="K1415" s="19"/>
    </row>
    <row r="1416" spans="1:11" ht="13.2">
      <c r="A1416" s="22"/>
      <c r="B1416" s="16"/>
      <c r="C1416" s="23"/>
      <c r="D1416" s="24"/>
      <c r="E1416" s="25"/>
      <c r="F1416" s="26"/>
      <c r="G1416" s="27"/>
      <c r="H1416" s="20"/>
      <c r="I1416" s="21"/>
      <c r="J1416" s="28"/>
      <c r="K1416" s="19"/>
    </row>
    <row r="1417" spans="1:11" ht="13.2">
      <c r="A1417" s="22"/>
      <c r="B1417" s="16"/>
      <c r="C1417" s="23"/>
      <c r="D1417" s="24"/>
      <c r="E1417" s="25"/>
      <c r="F1417" s="26"/>
      <c r="G1417" s="27"/>
      <c r="H1417" s="20"/>
      <c r="I1417" s="21"/>
      <c r="J1417" s="28"/>
      <c r="K1417" s="19"/>
    </row>
    <row r="1418" spans="1:11" ht="13.2">
      <c r="A1418" s="22"/>
      <c r="B1418" s="16"/>
      <c r="C1418" s="23"/>
      <c r="D1418" s="24"/>
      <c r="E1418" s="25"/>
      <c r="F1418" s="26"/>
      <c r="G1418" s="27"/>
      <c r="H1418" s="20"/>
      <c r="I1418" s="21"/>
      <c r="J1418" s="28"/>
      <c r="K1418" s="19"/>
    </row>
    <row r="1419" spans="1:11" ht="13.2">
      <c r="A1419" s="22"/>
      <c r="B1419" s="16"/>
      <c r="C1419" s="23"/>
      <c r="D1419" s="24"/>
      <c r="E1419" s="25"/>
      <c r="F1419" s="26"/>
      <c r="G1419" s="27"/>
      <c r="H1419" s="20"/>
      <c r="I1419" s="21"/>
      <c r="J1419" s="28"/>
      <c r="K1419" s="19"/>
    </row>
    <row r="1420" spans="1:11" ht="13.2">
      <c r="A1420" s="22"/>
      <c r="B1420" s="16"/>
      <c r="C1420" s="23"/>
      <c r="D1420" s="24"/>
      <c r="E1420" s="25"/>
      <c r="F1420" s="26"/>
      <c r="G1420" s="27"/>
      <c r="H1420" s="20"/>
      <c r="I1420" s="21"/>
      <c r="J1420" s="28"/>
      <c r="K1420" s="19"/>
    </row>
    <row r="1421" spans="1:11" ht="13.2">
      <c r="A1421" s="22"/>
      <c r="B1421" s="16"/>
      <c r="C1421" s="23"/>
      <c r="D1421" s="24"/>
      <c r="E1421" s="25"/>
      <c r="F1421" s="26"/>
      <c r="G1421" s="27"/>
      <c r="H1421" s="20"/>
      <c r="I1421" s="21"/>
      <c r="J1421" s="28"/>
      <c r="K1421" s="19"/>
    </row>
    <row r="1422" spans="1:11" ht="13.2">
      <c r="A1422" s="22"/>
      <c r="B1422" s="16"/>
      <c r="C1422" s="23"/>
      <c r="D1422" s="24"/>
      <c r="E1422" s="25"/>
      <c r="F1422" s="26"/>
      <c r="G1422" s="27"/>
      <c r="H1422" s="20"/>
      <c r="I1422" s="21"/>
      <c r="J1422" s="28"/>
      <c r="K1422" s="19"/>
    </row>
    <row r="1423" spans="1:11" ht="13.2">
      <c r="A1423" s="22"/>
      <c r="B1423" s="16"/>
      <c r="C1423" s="23"/>
      <c r="D1423" s="24"/>
      <c r="E1423" s="25"/>
      <c r="F1423" s="26"/>
      <c r="G1423" s="27"/>
      <c r="H1423" s="20"/>
      <c r="I1423" s="21"/>
      <c r="J1423" s="28"/>
      <c r="K1423" s="19"/>
    </row>
    <row r="1424" spans="1:11" ht="13.2">
      <c r="A1424" s="22"/>
      <c r="B1424" s="16"/>
      <c r="C1424" s="23"/>
      <c r="D1424" s="24"/>
      <c r="E1424" s="25"/>
      <c r="F1424" s="26"/>
      <c r="G1424" s="27"/>
      <c r="H1424" s="20"/>
      <c r="I1424" s="21"/>
      <c r="J1424" s="28"/>
      <c r="K1424" s="19"/>
    </row>
    <row r="1425" spans="1:11" ht="13.2">
      <c r="A1425" s="22"/>
      <c r="B1425" s="16"/>
      <c r="C1425" s="23"/>
      <c r="D1425" s="24"/>
      <c r="E1425" s="25"/>
      <c r="F1425" s="26"/>
      <c r="G1425" s="27"/>
      <c r="H1425" s="20"/>
      <c r="I1425" s="21"/>
      <c r="J1425" s="28"/>
      <c r="K1425" s="19"/>
    </row>
    <row r="1426" spans="1:11" ht="13.2">
      <c r="A1426" s="22"/>
      <c r="B1426" s="16"/>
      <c r="C1426" s="23"/>
      <c r="D1426" s="24"/>
      <c r="E1426" s="25"/>
      <c r="F1426" s="26"/>
      <c r="G1426" s="27"/>
      <c r="H1426" s="20"/>
      <c r="I1426" s="21"/>
      <c r="J1426" s="28"/>
      <c r="K1426" s="19"/>
    </row>
    <row r="1427" spans="1:11" ht="13.2">
      <c r="A1427" s="22"/>
      <c r="B1427" s="16"/>
      <c r="C1427" s="23"/>
      <c r="D1427" s="24"/>
      <c r="E1427" s="25"/>
      <c r="F1427" s="26"/>
      <c r="G1427" s="27"/>
      <c r="H1427" s="20"/>
      <c r="I1427" s="21"/>
      <c r="J1427" s="28"/>
      <c r="K1427" s="19"/>
    </row>
    <row r="1428" spans="1:11" ht="13.2">
      <c r="A1428" s="22"/>
      <c r="B1428" s="16"/>
      <c r="C1428" s="23"/>
      <c r="D1428" s="24"/>
      <c r="E1428" s="25"/>
      <c r="F1428" s="26"/>
      <c r="G1428" s="27"/>
      <c r="H1428" s="20"/>
      <c r="I1428" s="21"/>
      <c r="J1428" s="28"/>
      <c r="K1428" s="19"/>
    </row>
    <row r="1429" spans="1:11" ht="13.2">
      <c r="A1429" s="22"/>
      <c r="B1429" s="16"/>
      <c r="C1429" s="23"/>
      <c r="D1429" s="24"/>
      <c r="E1429" s="25"/>
      <c r="F1429" s="26"/>
      <c r="G1429" s="27"/>
      <c r="H1429" s="20"/>
      <c r="I1429" s="21"/>
      <c r="J1429" s="28"/>
      <c r="K1429" s="19"/>
    </row>
    <row r="1430" spans="1:11" ht="13.2">
      <c r="A1430" s="22"/>
      <c r="B1430" s="16"/>
      <c r="C1430" s="23"/>
      <c r="D1430" s="24"/>
      <c r="E1430" s="25"/>
      <c r="F1430" s="26"/>
      <c r="G1430" s="27"/>
      <c r="H1430" s="20"/>
      <c r="I1430" s="21"/>
      <c r="J1430" s="28"/>
      <c r="K1430" s="19"/>
    </row>
    <row r="1431" spans="1:11" ht="13.2">
      <c r="A1431" s="22"/>
      <c r="B1431" s="16"/>
      <c r="C1431" s="23"/>
      <c r="D1431" s="24"/>
      <c r="E1431" s="25"/>
      <c r="F1431" s="26"/>
      <c r="G1431" s="27"/>
      <c r="H1431" s="20"/>
      <c r="I1431" s="21"/>
      <c r="J1431" s="28"/>
      <c r="K1431" s="19"/>
    </row>
    <row r="1432" spans="1:11" ht="13.2">
      <c r="A1432" s="22"/>
      <c r="B1432" s="16"/>
      <c r="C1432" s="23"/>
      <c r="D1432" s="24"/>
      <c r="E1432" s="25"/>
      <c r="F1432" s="26"/>
      <c r="G1432" s="27"/>
      <c r="H1432" s="20"/>
      <c r="I1432" s="21"/>
      <c r="J1432" s="28"/>
      <c r="K1432" s="19"/>
    </row>
    <row r="1433" spans="1:11" ht="13.2">
      <c r="A1433" s="22"/>
      <c r="B1433" s="16"/>
      <c r="C1433" s="23"/>
      <c r="D1433" s="24"/>
      <c r="E1433" s="25"/>
      <c r="F1433" s="26"/>
      <c r="G1433" s="27"/>
      <c r="H1433" s="20"/>
      <c r="I1433" s="21"/>
      <c r="J1433" s="28"/>
      <c r="K1433" s="19"/>
    </row>
    <row r="1434" spans="1:11" ht="13.2">
      <c r="A1434" s="22"/>
      <c r="B1434" s="16"/>
      <c r="C1434" s="23"/>
      <c r="D1434" s="24"/>
      <c r="E1434" s="25"/>
      <c r="F1434" s="26"/>
      <c r="G1434" s="27"/>
      <c r="H1434" s="20"/>
      <c r="I1434" s="21"/>
      <c r="J1434" s="28"/>
      <c r="K1434" s="19"/>
    </row>
    <row r="1435" spans="1:11" ht="13.2">
      <c r="A1435" s="22"/>
      <c r="B1435" s="16"/>
      <c r="C1435" s="23"/>
      <c r="D1435" s="24"/>
      <c r="E1435" s="25"/>
      <c r="F1435" s="26"/>
      <c r="G1435" s="27"/>
      <c r="H1435" s="20"/>
      <c r="I1435" s="21"/>
      <c r="J1435" s="28"/>
      <c r="K1435" s="19"/>
    </row>
    <row r="1436" spans="1:11" ht="13.2">
      <c r="A1436" s="22"/>
      <c r="B1436" s="16"/>
      <c r="C1436" s="23"/>
      <c r="D1436" s="24"/>
      <c r="E1436" s="25"/>
      <c r="F1436" s="26"/>
      <c r="G1436" s="27"/>
      <c r="H1436" s="20"/>
      <c r="I1436" s="21"/>
      <c r="J1436" s="28"/>
      <c r="K1436" s="19"/>
    </row>
    <row r="1437" spans="1:11" ht="13.2">
      <c r="A1437" s="22"/>
      <c r="B1437" s="16"/>
      <c r="C1437" s="23"/>
      <c r="D1437" s="24"/>
      <c r="E1437" s="25"/>
      <c r="F1437" s="26"/>
      <c r="G1437" s="27"/>
      <c r="H1437" s="20"/>
      <c r="I1437" s="21"/>
      <c r="J1437" s="28"/>
      <c r="K1437" s="19"/>
    </row>
    <row r="1438" spans="1:11" ht="13.2">
      <c r="A1438" s="22"/>
      <c r="B1438" s="16"/>
      <c r="C1438" s="23"/>
      <c r="D1438" s="24"/>
      <c r="E1438" s="25"/>
      <c r="F1438" s="26"/>
      <c r="G1438" s="27"/>
      <c r="H1438" s="20"/>
      <c r="I1438" s="21"/>
      <c r="J1438" s="28"/>
      <c r="K1438" s="19"/>
    </row>
    <row r="1439" spans="1:11" ht="13.2">
      <c r="A1439" s="22"/>
      <c r="B1439" s="16"/>
      <c r="C1439" s="23"/>
      <c r="D1439" s="24"/>
      <c r="E1439" s="25"/>
      <c r="F1439" s="26"/>
      <c r="G1439" s="27"/>
      <c r="H1439" s="20"/>
      <c r="I1439" s="21"/>
      <c r="J1439" s="28"/>
      <c r="K1439" s="19"/>
    </row>
    <row r="1440" spans="1:11" ht="13.2">
      <c r="A1440" s="22"/>
      <c r="B1440" s="16"/>
      <c r="C1440" s="23"/>
      <c r="D1440" s="24"/>
      <c r="E1440" s="25"/>
      <c r="F1440" s="26"/>
      <c r="G1440" s="27"/>
      <c r="H1440" s="20"/>
      <c r="I1440" s="21"/>
      <c r="J1440" s="28"/>
      <c r="K1440" s="19"/>
    </row>
    <row r="1441" spans="1:11" ht="13.2">
      <c r="A1441" s="22"/>
      <c r="B1441" s="16"/>
      <c r="C1441" s="23"/>
      <c r="D1441" s="24"/>
      <c r="E1441" s="25"/>
      <c r="F1441" s="26"/>
      <c r="G1441" s="27"/>
      <c r="H1441" s="20"/>
      <c r="I1441" s="21"/>
      <c r="J1441" s="28"/>
      <c r="K1441" s="19"/>
    </row>
    <row r="1442" spans="1:11" ht="13.2">
      <c r="A1442" s="22"/>
      <c r="B1442" s="16"/>
      <c r="C1442" s="23"/>
      <c r="D1442" s="24"/>
      <c r="E1442" s="25"/>
      <c r="F1442" s="26"/>
      <c r="G1442" s="27"/>
      <c r="H1442" s="20"/>
      <c r="I1442" s="21"/>
      <c r="J1442" s="28"/>
      <c r="K1442" s="19"/>
    </row>
    <row r="1443" spans="1:11" ht="13.2">
      <c r="A1443" s="22"/>
      <c r="B1443" s="16"/>
      <c r="C1443" s="23"/>
      <c r="D1443" s="24"/>
      <c r="E1443" s="25"/>
      <c r="F1443" s="26"/>
      <c r="G1443" s="27"/>
      <c r="H1443" s="20"/>
      <c r="I1443" s="21"/>
      <c r="J1443" s="28"/>
      <c r="K1443" s="19"/>
    </row>
    <row r="1444" spans="1:11" ht="13.2">
      <c r="A1444" s="22"/>
      <c r="B1444" s="16"/>
      <c r="C1444" s="23"/>
      <c r="D1444" s="24"/>
      <c r="E1444" s="25"/>
      <c r="F1444" s="26"/>
      <c r="G1444" s="27"/>
      <c r="H1444" s="20"/>
      <c r="I1444" s="21"/>
      <c r="J1444" s="28"/>
      <c r="K1444" s="19"/>
    </row>
    <row r="1445" spans="1:11" ht="13.2">
      <c r="A1445" s="22"/>
      <c r="B1445" s="16"/>
      <c r="C1445" s="23"/>
      <c r="D1445" s="24"/>
      <c r="E1445" s="25"/>
      <c r="F1445" s="26"/>
      <c r="G1445" s="27"/>
      <c r="H1445" s="20"/>
      <c r="I1445" s="21"/>
      <c r="J1445" s="28"/>
      <c r="K1445" s="19"/>
    </row>
    <row r="1446" spans="1:11" ht="13.2">
      <c r="A1446" s="22"/>
      <c r="B1446" s="16"/>
      <c r="C1446" s="23"/>
      <c r="D1446" s="24"/>
      <c r="E1446" s="25"/>
      <c r="F1446" s="26"/>
      <c r="G1446" s="27"/>
      <c r="H1446" s="20"/>
      <c r="I1446" s="21"/>
      <c r="J1446" s="28"/>
      <c r="K1446" s="19"/>
    </row>
    <row r="1447" spans="1:11" ht="13.2">
      <c r="A1447" s="22"/>
      <c r="B1447" s="16"/>
      <c r="C1447" s="23"/>
      <c r="D1447" s="24"/>
      <c r="E1447" s="25"/>
      <c r="F1447" s="26"/>
      <c r="G1447" s="27"/>
      <c r="H1447" s="20"/>
      <c r="I1447" s="21"/>
      <c r="J1447" s="28"/>
      <c r="K1447" s="19"/>
    </row>
    <row r="1448" spans="1:11" ht="13.2">
      <c r="A1448" s="22"/>
      <c r="B1448" s="16"/>
      <c r="C1448" s="23"/>
      <c r="D1448" s="24"/>
      <c r="E1448" s="25"/>
      <c r="F1448" s="26"/>
      <c r="G1448" s="27"/>
      <c r="H1448" s="20"/>
      <c r="I1448" s="21"/>
      <c r="J1448" s="28"/>
      <c r="K1448" s="19"/>
    </row>
    <row r="1449" spans="1:11" ht="13.2">
      <c r="A1449" s="22"/>
      <c r="B1449" s="16"/>
      <c r="C1449" s="23"/>
      <c r="D1449" s="24"/>
      <c r="E1449" s="25"/>
      <c r="F1449" s="26"/>
      <c r="G1449" s="27"/>
      <c r="H1449" s="20"/>
      <c r="I1449" s="21"/>
      <c r="J1449" s="28"/>
      <c r="K1449" s="19"/>
    </row>
    <row r="1450" spans="1:11" ht="13.2">
      <c r="A1450" s="22"/>
      <c r="B1450" s="16"/>
      <c r="C1450" s="23"/>
      <c r="D1450" s="24"/>
      <c r="E1450" s="25"/>
      <c r="F1450" s="26"/>
      <c r="G1450" s="27"/>
      <c r="H1450" s="20"/>
      <c r="I1450" s="21"/>
      <c r="J1450" s="28"/>
      <c r="K1450" s="19"/>
    </row>
    <row r="1451" spans="1:11" ht="13.2">
      <c r="A1451" s="22"/>
      <c r="B1451" s="16"/>
      <c r="C1451" s="23"/>
      <c r="D1451" s="24"/>
      <c r="E1451" s="25"/>
      <c r="F1451" s="26"/>
      <c r="G1451" s="27"/>
      <c r="H1451" s="20"/>
      <c r="I1451" s="21"/>
      <c r="J1451" s="28"/>
      <c r="K1451" s="19"/>
    </row>
    <row r="1452" spans="1:11" ht="13.2">
      <c r="A1452" s="22"/>
      <c r="B1452" s="16"/>
      <c r="C1452" s="23"/>
      <c r="D1452" s="24"/>
      <c r="E1452" s="25"/>
      <c r="F1452" s="26"/>
      <c r="G1452" s="27"/>
      <c r="H1452" s="20"/>
      <c r="I1452" s="21"/>
      <c r="J1452" s="28"/>
      <c r="K1452" s="19"/>
    </row>
    <row r="1453" spans="1:11" ht="13.2">
      <c r="A1453" s="22"/>
      <c r="B1453" s="16"/>
      <c r="C1453" s="23"/>
      <c r="D1453" s="24"/>
      <c r="E1453" s="25"/>
      <c r="F1453" s="26"/>
      <c r="G1453" s="27"/>
      <c r="H1453" s="20"/>
      <c r="I1453" s="21"/>
      <c r="J1453" s="28"/>
      <c r="K1453" s="19"/>
    </row>
    <row r="1454" spans="1:11" ht="13.2">
      <c r="A1454" s="22"/>
      <c r="B1454" s="16"/>
      <c r="C1454" s="23"/>
      <c r="D1454" s="24"/>
      <c r="E1454" s="25"/>
      <c r="F1454" s="26"/>
      <c r="G1454" s="27"/>
      <c r="H1454" s="20"/>
      <c r="I1454" s="21"/>
      <c r="J1454" s="28"/>
      <c r="K1454" s="19"/>
    </row>
    <row r="1455" spans="1:11" ht="13.2">
      <c r="A1455" s="22"/>
      <c r="B1455" s="16"/>
      <c r="C1455" s="23"/>
      <c r="D1455" s="24"/>
      <c r="E1455" s="25"/>
      <c r="F1455" s="26"/>
      <c r="G1455" s="27"/>
      <c r="H1455" s="20"/>
      <c r="I1455" s="21"/>
      <c r="J1455" s="28"/>
      <c r="K1455" s="19"/>
    </row>
    <row r="1456" spans="1:11" ht="13.2">
      <c r="A1456" s="22"/>
      <c r="B1456" s="16"/>
      <c r="C1456" s="23"/>
      <c r="D1456" s="24"/>
      <c r="E1456" s="25"/>
      <c r="F1456" s="26"/>
      <c r="G1456" s="27"/>
      <c r="H1456" s="20"/>
      <c r="I1456" s="21"/>
      <c r="J1456" s="28"/>
      <c r="K1456" s="19"/>
    </row>
    <row r="1457" spans="1:11" ht="13.2">
      <c r="A1457" s="22"/>
      <c r="B1457" s="16"/>
      <c r="C1457" s="23"/>
      <c r="D1457" s="24"/>
      <c r="E1457" s="25"/>
      <c r="F1457" s="26"/>
      <c r="G1457" s="27"/>
      <c r="H1457" s="20"/>
      <c r="I1457" s="21"/>
      <c r="J1457" s="28"/>
      <c r="K1457" s="19"/>
    </row>
    <row r="1458" spans="1:11" ht="13.2">
      <c r="A1458" s="22"/>
      <c r="B1458" s="16"/>
      <c r="C1458" s="23"/>
      <c r="D1458" s="24"/>
      <c r="E1458" s="25"/>
      <c r="F1458" s="26"/>
      <c r="G1458" s="27"/>
      <c r="H1458" s="20"/>
      <c r="I1458" s="21"/>
      <c r="J1458" s="28"/>
      <c r="K1458" s="19"/>
    </row>
    <row r="1459" spans="1:11" ht="13.2">
      <c r="A1459" s="22"/>
      <c r="B1459" s="16"/>
      <c r="C1459" s="23"/>
      <c r="D1459" s="24"/>
      <c r="E1459" s="25"/>
      <c r="F1459" s="26"/>
      <c r="G1459" s="27"/>
      <c r="H1459" s="20"/>
      <c r="I1459" s="21"/>
      <c r="J1459" s="28"/>
      <c r="K1459" s="19"/>
    </row>
    <row r="1460" spans="1:11" ht="13.2">
      <c r="A1460" s="22"/>
      <c r="B1460" s="16"/>
      <c r="C1460" s="23"/>
      <c r="D1460" s="24"/>
      <c r="E1460" s="25"/>
      <c r="F1460" s="26"/>
      <c r="G1460" s="27"/>
      <c r="H1460" s="20"/>
      <c r="I1460" s="21"/>
      <c r="J1460" s="28"/>
      <c r="K1460" s="19"/>
    </row>
    <row r="1461" spans="1:11" ht="13.2">
      <c r="A1461" s="22"/>
      <c r="B1461" s="16"/>
      <c r="C1461" s="23"/>
      <c r="D1461" s="24"/>
      <c r="E1461" s="25"/>
      <c r="F1461" s="26"/>
      <c r="G1461" s="27"/>
      <c r="H1461" s="20"/>
      <c r="I1461" s="21"/>
      <c r="J1461" s="28"/>
      <c r="K1461" s="19"/>
    </row>
    <row r="1462" spans="1:11" ht="13.2">
      <c r="A1462" s="22"/>
      <c r="B1462" s="16"/>
      <c r="C1462" s="23"/>
      <c r="D1462" s="24"/>
      <c r="E1462" s="25"/>
      <c r="F1462" s="26"/>
      <c r="G1462" s="27"/>
      <c r="H1462" s="20"/>
      <c r="I1462" s="21"/>
      <c r="J1462" s="28"/>
      <c r="K1462" s="19"/>
    </row>
    <row r="1463" spans="1:11" ht="13.2">
      <c r="A1463" s="22"/>
      <c r="B1463" s="16"/>
      <c r="C1463" s="23"/>
      <c r="D1463" s="24"/>
      <c r="E1463" s="25"/>
      <c r="F1463" s="26"/>
      <c r="G1463" s="27"/>
      <c r="H1463" s="20"/>
      <c r="I1463" s="21"/>
      <c r="J1463" s="28"/>
      <c r="K1463" s="19"/>
    </row>
    <row r="1464" spans="1:11" ht="13.2">
      <c r="A1464" s="22"/>
      <c r="B1464" s="16"/>
      <c r="C1464" s="23"/>
      <c r="D1464" s="24"/>
      <c r="E1464" s="25"/>
      <c r="F1464" s="26"/>
      <c r="G1464" s="27"/>
      <c r="H1464" s="20"/>
      <c r="I1464" s="21"/>
      <c r="J1464" s="28"/>
      <c r="K1464" s="19"/>
    </row>
    <row r="1465" spans="1:11" ht="13.2">
      <c r="A1465" s="22"/>
      <c r="B1465" s="16"/>
      <c r="C1465" s="23"/>
      <c r="D1465" s="24"/>
      <c r="E1465" s="25"/>
      <c r="F1465" s="26"/>
      <c r="G1465" s="27"/>
      <c r="H1465" s="20"/>
      <c r="I1465" s="21"/>
      <c r="J1465" s="28"/>
      <c r="K1465" s="19"/>
    </row>
    <row r="1466" spans="1:11" ht="13.2">
      <c r="A1466" s="22"/>
      <c r="B1466" s="16"/>
      <c r="C1466" s="23"/>
      <c r="D1466" s="24"/>
      <c r="E1466" s="25"/>
      <c r="F1466" s="26"/>
      <c r="G1466" s="27"/>
      <c r="H1466" s="20"/>
      <c r="I1466" s="21"/>
      <c r="J1466" s="28"/>
      <c r="K1466" s="19"/>
    </row>
    <row r="1467" spans="1:11" ht="13.2">
      <c r="A1467" s="22"/>
      <c r="B1467" s="16"/>
      <c r="C1467" s="23"/>
      <c r="D1467" s="24"/>
      <c r="E1467" s="25"/>
      <c r="F1467" s="26"/>
      <c r="G1467" s="27"/>
      <c r="H1467" s="20"/>
      <c r="I1467" s="21"/>
      <c r="J1467" s="28"/>
      <c r="K1467" s="19"/>
    </row>
    <row r="1468" spans="1:11" ht="13.2">
      <c r="A1468" s="22"/>
      <c r="B1468" s="16"/>
      <c r="C1468" s="23"/>
      <c r="D1468" s="24"/>
      <c r="E1468" s="25"/>
      <c r="F1468" s="26"/>
      <c r="G1468" s="27"/>
      <c r="H1468" s="20"/>
      <c r="I1468" s="21"/>
      <c r="J1468" s="28"/>
      <c r="K1468" s="19"/>
    </row>
    <row r="1469" spans="1:11" ht="13.2">
      <c r="A1469" s="22"/>
      <c r="B1469" s="16"/>
      <c r="C1469" s="23"/>
      <c r="D1469" s="24"/>
      <c r="E1469" s="25"/>
      <c r="F1469" s="26"/>
      <c r="G1469" s="27"/>
      <c r="H1469" s="20"/>
      <c r="I1469" s="21"/>
      <c r="J1469" s="28"/>
      <c r="K1469" s="19"/>
    </row>
    <row r="1470" spans="1:11" ht="13.2">
      <c r="A1470" s="22"/>
      <c r="B1470" s="16"/>
      <c r="C1470" s="23"/>
      <c r="D1470" s="24"/>
      <c r="E1470" s="25"/>
      <c r="F1470" s="26"/>
      <c r="G1470" s="27"/>
      <c r="H1470" s="20"/>
      <c r="I1470" s="21"/>
      <c r="J1470" s="28"/>
      <c r="K1470" s="19"/>
    </row>
    <row r="1471" spans="1:11" ht="13.2">
      <c r="A1471" s="22"/>
      <c r="B1471" s="16"/>
      <c r="C1471" s="23"/>
      <c r="D1471" s="24"/>
      <c r="E1471" s="25"/>
      <c r="F1471" s="26"/>
      <c r="G1471" s="27"/>
      <c r="H1471" s="20"/>
      <c r="I1471" s="21"/>
      <c r="J1471" s="28"/>
      <c r="K1471" s="19"/>
    </row>
    <row r="1472" spans="1:11" ht="13.2">
      <c r="A1472" s="22"/>
      <c r="B1472" s="16"/>
      <c r="C1472" s="23"/>
      <c r="D1472" s="24"/>
      <c r="E1472" s="25"/>
      <c r="F1472" s="26"/>
      <c r="G1472" s="27"/>
      <c r="H1472" s="20"/>
      <c r="I1472" s="21"/>
      <c r="J1472" s="28"/>
      <c r="K1472" s="19"/>
    </row>
    <row r="1473" spans="1:11" ht="13.2">
      <c r="A1473" s="22"/>
      <c r="B1473" s="16"/>
      <c r="C1473" s="23"/>
      <c r="D1473" s="24"/>
      <c r="E1473" s="25"/>
      <c r="F1473" s="26"/>
      <c r="G1473" s="27"/>
      <c r="H1473" s="20"/>
      <c r="I1473" s="21"/>
      <c r="J1473" s="28"/>
      <c r="K1473" s="19"/>
    </row>
    <row r="1474" spans="1:11" ht="13.2">
      <c r="A1474" s="22"/>
      <c r="B1474" s="16"/>
      <c r="C1474" s="23"/>
      <c r="D1474" s="24"/>
      <c r="E1474" s="25"/>
      <c r="F1474" s="26"/>
      <c r="G1474" s="27"/>
      <c r="H1474" s="20"/>
      <c r="I1474" s="21"/>
      <c r="J1474" s="28"/>
      <c r="K1474" s="19"/>
    </row>
    <row r="1475" spans="1:11" ht="13.2">
      <c r="A1475" s="22"/>
      <c r="B1475" s="16"/>
      <c r="C1475" s="23"/>
      <c r="D1475" s="24"/>
      <c r="E1475" s="25"/>
      <c r="F1475" s="26"/>
      <c r="G1475" s="27"/>
      <c r="H1475" s="20"/>
      <c r="I1475" s="21"/>
      <c r="J1475" s="28"/>
      <c r="K1475" s="19"/>
    </row>
    <row r="1476" spans="1:11" ht="13.2">
      <c r="A1476" s="22"/>
      <c r="B1476" s="16"/>
      <c r="C1476" s="23"/>
      <c r="D1476" s="24"/>
      <c r="E1476" s="25"/>
      <c r="F1476" s="26"/>
      <c r="G1476" s="27"/>
      <c r="H1476" s="20"/>
      <c r="I1476" s="21"/>
      <c r="J1476" s="28"/>
      <c r="K1476" s="19"/>
    </row>
    <row r="1477" spans="1:11" ht="13.2">
      <c r="A1477" s="22"/>
      <c r="B1477" s="16"/>
      <c r="C1477" s="23"/>
      <c r="D1477" s="24"/>
      <c r="E1477" s="25"/>
      <c r="F1477" s="26"/>
      <c r="G1477" s="27"/>
      <c r="H1477" s="20"/>
      <c r="I1477" s="21"/>
      <c r="J1477" s="28"/>
      <c r="K1477" s="19"/>
    </row>
    <row r="1478" spans="1:11" ht="13.2">
      <c r="A1478" s="22"/>
      <c r="B1478" s="16"/>
      <c r="C1478" s="23"/>
      <c r="D1478" s="24"/>
      <c r="E1478" s="25"/>
      <c r="F1478" s="26"/>
      <c r="G1478" s="27"/>
      <c r="H1478" s="20"/>
      <c r="I1478" s="21"/>
      <c r="J1478" s="28"/>
      <c r="K1478" s="19"/>
    </row>
    <row r="1479" spans="1:11" ht="13.2">
      <c r="A1479" s="22"/>
      <c r="B1479" s="16"/>
      <c r="C1479" s="23"/>
      <c r="D1479" s="24"/>
      <c r="E1479" s="25"/>
      <c r="F1479" s="26"/>
      <c r="G1479" s="27"/>
      <c r="H1479" s="20"/>
      <c r="I1479" s="21"/>
      <c r="J1479" s="28"/>
      <c r="K1479" s="19"/>
    </row>
    <row r="1480" spans="1:11" ht="13.2">
      <c r="A1480" s="22"/>
      <c r="B1480" s="16"/>
      <c r="C1480" s="23"/>
      <c r="D1480" s="24"/>
      <c r="E1480" s="25"/>
      <c r="F1480" s="26"/>
      <c r="G1480" s="27"/>
      <c r="H1480" s="20"/>
      <c r="I1480" s="21"/>
      <c r="J1480" s="28"/>
      <c r="K1480" s="19"/>
    </row>
    <row r="1481" spans="1:11" ht="13.2">
      <c r="A1481" s="22"/>
      <c r="B1481" s="16"/>
      <c r="C1481" s="23"/>
      <c r="D1481" s="24"/>
      <c r="E1481" s="25"/>
      <c r="F1481" s="26"/>
      <c r="G1481" s="27"/>
      <c r="H1481" s="20"/>
      <c r="I1481" s="21"/>
      <c r="J1481" s="28"/>
      <c r="K1481" s="19"/>
    </row>
    <row r="1482" spans="1:11" ht="13.2">
      <c r="A1482" s="22"/>
      <c r="B1482" s="16"/>
      <c r="C1482" s="23"/>
      <c r="D1482" s="24"/>
      <c r="E1482" s="25"/>
      <c r="F1482" s="26"/>
      <c r="G1482" s="27"/>
      <c r="H1482" s="20"/>
      <c r="I1482" s="21"/>
      <c r="J1482" s="28"/>
      <c r="K1482" s="19"/>
    </row>
    <row r="1483" spans="1:11" ht="13.2">
      <c r="A1483" s="22"/>
      <c r="B1483" s="16"/>
      <c r="C1483" s="23"/>
      <c r="D1483" s="24"/>
      <c r="E1483" s="25"/>
      <c r="F1483" s="26"/>
      <c r="G1483" s="27"/>
      <c r="H1483" s="20"/>
      <c r="I1483" s="21"/>
      <c r="J1483" s="28"/>
      <c r="K1483" s="19"/>
    </row>
    <row r="1484" spans="1:11" ht="13.2">
      <c r="A1484" s="22"/>
      <c r="B1484" s="16"/>
      <c r="C1484" s="23"/>
      <c r="D1484" s="24"/>
      <c r="E1484" s="25"/>
      <c r="F1484" s="26"/>
      <c r="G1484" s="27"/>
      <c r="H1484" s="20"/>
      <c r="I1484" s="21"/>
      <c r="J1484" s="28"/>
      <c r="K1484" s="19"/>
    </row>
    <row r="1485" spans="1:11" ht="13.2">
      <c r="A1485" s="22"/>
      <c r="B1485" s="16"/>
      <c r="C1485" s="23"/>
      <c r="D1485" s="24"/>
      <c r="E1485" s="25"/>
      <c r="F1485" s="26"/>
      <c r="G1485" s="27"/>
      <c r="H1485" s="20"/>
      <c r="I1485" s="21"/>
      <c r="J1485" s="28"/>
      <c r="K1485" s="19"/>
    </row>
    <row r="1486" spans="1:11" ht="13.2">
      <c r="A1486" s="22"/>
      <c r="B1486" s="16"/>
      <c r="C1486" s="23"/>
      <c r="D1486" s="24"/>
      <c r="E1486" s="25"/>
      <c r="F1486" s="26"/>
      <c r="G1486" s="27"/>
      <c r="H1486" s="20"/>
      <c r="I1486" s="21"/>
      <c r="J1486" s="28"/>
      <c r="K1486" s="19"/>
    </row>
    <row r="1487" spans="1:11" ht="13.2">
      <c r="A1487" s="22"/>
      <c r="B1487" s="16"/>
      <c r="C1487" s="23"/>
      <c r="D1487" s="24"/>
      <c r="E1487" s="25"/>
      <c r="F1487" s="26"/>
      <c r="G1487" s="27"/>
      <c r="H1487" s="20"/>
      <c r="I1487" s="21"/>
      <c r="J1487" s="28"/>
      <c r="K1487" s="19"/>
    </row>
    <row r="1488" spans="1:11" ht="13.2">
      <c r="A1488" s="22"/>
      <c r="B1488" s="16"/>
      <c r="C1488" s="23"/>
      <c r="D1488" s="24"/>
      <c r="E1488" s="25"/>
      <c r="F1488" s="26"/>
      <c r="G1488" s="27"/>
      <c r="H1488" s="20"/>
      <c r="I1488" s="21"/>
      <c r="J1488" s="28"/>
      <c r="K1488" s="19"/>
    </row>
    <row r="1489" spans="1:11" ht="13.2">
      <c r="A1489" s="22"/>
      <c r="B1489" s="16"/>
      <c r="C1489" s="23"/>
      <c r="D1489" s="24"/>
      <c r="E1489" s="25"/>
      <c r="F1489" s="26"/>
      <c r="G1489" s="27"/>
      <c r="H1489" s="20"/>
      <c r="I1489" s="21"/>
      <c r="J1489" s="28"/>
      <c r="K1489" s="19"/>
    </row>
    <row r="1490" spans="1:11" ht="13.2">
      <c r="A1490" s="22"/>
      <c r="B1490" s="16"/>
      <c r="C1490" s="23"/>
      <c r="D1490" s="24"/>
      <c r="E1490" s="25"/>
      <c r="F1490" s="26"/>
      <c r="G1490" s="27"/>
      <c r="H1490" s="20"/>
      <c r="I1490" s="21"/>
      <c r="J1490" s="28"/>
      <c r="K1490" s="19"/>
    </row>
    <row r="1491" spans="1:11" ht="13.2">
      <c r="A1491" s="22"/>
      <c r="B1491" s="16"/>
      <c r="C1491" s="23"/>
      <c r="D1491" s="24"/>
      <c r="E1491" s="25"/>
      <c r="F1491" s="26"/>
      <c r="G1491" s="27"/>
      <c r="H1491" s="20"/>
      <c r="I1491" s="21"/>
      <c r="J1491" s="28"/>
      <c r="K1491" s="19"/>
    </row>
    <row r="1492" spans="1:11" ht="13.2">
      <c r="A1492" s="22"/>
      <c r="B1492" s="16"/>
      <c r="C1492" s="23"/>
      <c r="D1492" s="24"/>
      <c r="E1492" s="25"/>
      <c r="F1492" s="26"/>
      <c r="G1492" s="27"/>
      <c r="H1492" s="20"/>
      <c r="I1492" s="21"/>
      <c r="J1492" s="28"/>
      <c r="K1492" s="19"/>
    </row>
    <row r="1493" spans="1:11" ht="13.2">
      <c r="A1493" s="22"/>
      <c r="B1493" s="16"/>
      <c r="C1493" s="23"/>
      <c r="D1493" s="24"/>
      <c r="E1493" s="25"/>
      <c r="F1493" s="26"/>
      <c r="G1493" s="27"/>
      <c r="H1493" s="20"/>
      <c r="I1493" s="21"/>
      <c r="J1493" s="28"/>
      <c r="K1493" s="19"/>
    </row>
  </sheetData>
  <autoFilter ref="A2:Z359"/>
  <mergeCells count="1">
    <mergeCell ref="A1:K1"/>
  </mergeCells>
  <conditionalFormatting sqref="C3:C1493">
    <cfRule type="cellIs" dxfId="339" priority="1" stopIfTrue="1" operator="equal">
      <formula>"Farjana Apu"</formula>
    </cfRule>
  </conditionalFormatting>
  <conditionalFormatting sqref="C3:C1493">
    <cfRule type="cellIs" dxfId="338" priority="2" stopIfTrue="1" operator="equal">
      <formula>"Fiza Apu"</formula>
    </cfRule>
  </conditionalFormatting>
  <conditionalFormatting sqref="C3:C1493">
    <cfRule type="cellIs" dxfId="337" priority="3" stopIfTrue="1" operator="equal">
      <formula>"Nazmul Sir"</formula>
    </cfRule>
  </conditionalFormatting>
  <conditionalFormatting sqref="C3:C1493">
    <cfRule type="cellIs" dxfId="336" priority="4" stopIfTrue="1" operator="equal">
      <formula>"Rabby Vai"</formula>
    </cfRule>
  </conditionalFormatting>
  <conditionalFormatting sqref="C3:C1493">
    <cfRule type="cellIs" dxfId="335" priority="5" stopIfTrue="1" operator="equal">
      <formula>"Reba Apu"</formula>
    </cfRule>
  </conditionalFormatting>
  <conditionalFormatting sqref="C3:C1493">
    <cfRule type="cellIs" dxfId="334" priority="6" stopIfTrue="1" operator="equal">
      <formula>"Saema Apu"</formula>
    </cfRule>
  </conditionalFormatting>
  <conditionalFormatting sqref="C3:C1493">
    <cfRule type="cellIs" dxfId="333" priority="7" stopIfTrue="1" operator="equal">
      <formula>"Sharika Apu"</formula>
    </cfRule>
  </conditionalFormatting>
  <conditionalFormatting sqref="C3:C1493">
    <cfRule type="cellIs" dxfId="332" priority="8" stopIfTrue="1" operator="equal">
      <formula>"Sharmin Apu"</formula>
    </cfRule>
  </conditionalFormatting>
  <conditionalFormatting sqref="C3:C1493">
    <cfRule type="cellIs" dxfId="331" priority="9" stopIfTrue="1" operator="equal">
      <formula>"Mubassira Apu"</formula>
    </cfRule>
  </conditionalFormatting>
  <conditionalFormatting sqref="C3:C1493">
    <cfRule type="cellIs" dxfId="330" priority="10" stopIfTrue="1" operator="equal">
      <formula>"Mona Apu"</formula>
    </cfRule>
  </conditionalFormatting>
  <conditionalFormatting sqref="C3:C1493">
    <cfRule type="cellIs" dxfId="329" priority="11" stopIfTrue="1" operator="equal">
      <formula>"Rakib Vai"</formula>
    </cfRule>
  </conditionalFormatting>
  <conditionalFormatting sqref="C3:C1493">
    <cfRule type="cellIs" dxfId="328" priority="12" stopIfTrue="1" operator="equal">
      <formula>"Saifullah Vai"</formula>
    </cfRule>
  </conditionalFormatting>
  <conditionalFormatting sqref="C3:C1493">
    <cfRule type="cellIs" dxfId="327" priority="13" stopIfTrue="1" operator="equal">
      <formula>"Shamsul Sir"</formula>
    </cfRule>
  </conditionalFormatting>
  <conditionalFormatting sqref="C3:C1493">
    <cfRule type="cellIs" dxfId="326" priority="14" stopIfTrue="1" operator="equal">
      <formula>"Zahirul Vai"</formula>
    </cfRule>
  </conditionalFormatting>
  <conditionalFormatting sqref="E3:E1493 D297">
    <cfRule type="cellIs" dxfId="325" priority="15" stopIfTrue="1" operator="equal">
      <formula>"ATC Box Output"</formula>
    </cfRule>
  </conditionalFormatting>
  <conditionalFormatting sqref="E3:E1493 D297">
    <cfRule type="cellIs" dxfId="324" priority="16" stopIfTrue="1" operator="equal">
      <formula>"Black Cylinder Output"</formula>
    </cfRule>
  </conditionalFormatting>
  <conditionalFormatting sqref="E3:E1493 D297">
    <cfRule type="cellIs" dxfId="323" priority="17" stopIfTrue="1" operator="equal">
      <formula>"Flyer/Brochure/Banner Output"</formula>
    </cfRule>
  </conditionalFormatting>
  <conditionalFormatting sqref="E3:E1493 D297">
    <cfRule type="cellIs" dxfId="322" priority="18" stopIfTrue="1" operator="equal">
      <formula>"Full Cylinder Output"</formula>
    </cfRule>
  </conditionalFormatting>
  <conditionalFormatting sqref="E3:E1493 D297">
    <cfRule type="cellIs" dxfId="321" priority="19" stopIfTrue="1" operator="equal">
      <formula>"Gravure Output #1"</formula>
    </cfRule>
  </conditionalFormatting>
  <conditionalFormatting sqref="E3:E1493 D297">
    <cfRule type="cellIs" dxfId="320" priority="20" stopIfTrue="1" operator="equal">
      <formula>"Gravure Output #2"</formula>
    </cfRule>
  </conditionalFormatting>
  <conditionalFormatting sqref="E3:E1493 D297">
    <cfRule type="cellIs" dxfId="319" priority="21" stopIfTrue="1" operator="equal">
      <formula>"JAR Label Sticker Output"</formula>
    </cfRule>
  </conditionalFormatting>
  <conditionalFormatting sqref="E3:E1493 D297">
    <cfRule type="cellIs" dxfId="318" priority="22" stopIfTrue="1" operator="equal">
      <formula>"Leaflet/Poster Output"</formula>
    </cfRule>
  </conditionalFormatting>
  <conditionalFormatting sqref="E3:E1493 D297">
    <cfRule type="cellIs" dxfId="317" priority="23" stopIfTrue="1" operator="equal">
      <formula>"Output Setup (Gravure/Offset)"</formula>
    </cfRule>
  </conditionalFormatting>
  <conditionalFormatting sqref="E3:E1493 D297">
    <cfRule type="cellIs" dxfId="316" priority="24" stopIfTrue="1" operator="equal">
      <formula>"Carton Design"</formula>
    </cfRule>
  </conditionalFormatting>
  <conditionalFormatting sqref="E3:E1493 D297">
    <cfRule type="cellIs" dxfId="315" priority="25" stopIfTrue="1" operator="equal">
      <formula>"Document Text Correction"</formula>
    </cfRule>
  </conditionalFormatting>
  <conditionalFormatting sqref="E3:E1493 D297">
    <cfRule type="cellIs" dxfId="314" priority="26" stopIfTrue="1" operator="equal">
      <formula>"FOP Sticker Making"</formula>
    </cfRule>
  </conditionalFormatting>
  <conditionalFormatting sqref="E3:E1493 D297">
    <cfRule type="cellIs" dxfId="313" priority="27" stopIfTrue="1" operator="equal">
      <formula>"Layout/Dieline Making"</formula>
    </cfRule>
  </conditionalFormatting>
  <conditionalFormatting sqref="E3:E1493 D297">
    <cfRule type="cellIs" dxfId="312" priority="28" stopIfTrue="1" operator="equal">
      <formula>"Packaging Text Design #1"</formula>
    </cfRule>
  </conditionalFormatting>
  <conditionalFormatting sqref="E3:E1493 D297">
    <cfRule type="cellIs" dxfId="311" priority="29" stopIfTrue="1" operator="equal">
      <formula>"Packaging Text Design #2"</formula>
    </cfRule>
  </conditionalFormatting>
  <conditionalFormatting sqref="E3:E1493 D297">
    <cfRule type="cellIs" dxfId="310" priority="30" stopIfTrue="1" operator="equal">
      <formula>"Text Sticker Design #1"</formula>
    </cfRule>
  </conditionalFormatting>
  <conditionalFormatting sqref="E3:E1493 D297">
    <cfRule type="cellIs" dxfId="309" priority="31" stopIfTrue="1" operator="equal">
      <formula>"Text Sticker Design #2"</formula>
    </cfRule>
  </conditionalFormatting>
  <conditionalFormatting sqref="E3:E1493 D297">
    <cfRule type="cellIs" dxfId="308" priority="32" stopIfTrue="1" operator="equal">
      <formula>"ATC BOX"</formula>
    </cfRule>
  </conditionalFormatting>
  <conditionalFormatting sqref="E3:E1493 D297">
    <cfRule type="cellIs" dxfId="307" priority="33" stopIfTrue="1" operator="equal">
      <formula>"Background Remove/Image Resize"</formula>
    </cfRule>
  </conditionalFormatting>
  <conditionalFormatting sqref="E3:E1493 D297">
    <cfRule type="cellIs" dxfId="306" priority="34" stopIfTrue="1" operator="equal">
      <formula>"Branding"</formula>
    </cfRule>
  </conditionalFormatting>
  <conditionalFormatting sqref="E3:E1493 D297">
    <cfRule type="cellIs" dxfId="305" priority="35" stopIfTrue="1" operator="equal">
      <formula>"Clipping Path"</formula>
    </cfRule>
  </conditionalFormatting>
  <conditionalFormatting sqref="E3:E1493 D297">
    <cfRule type="cellIs" dxfId="304" priority="36" stopIfTrue="1" operator="equal">
      <formula>"Digital Static For Social Media"</formula>
    </cfRule>
  </conditionalFormatting>
  <conditionalFormatting sqref="E3:E1493 D297">
    <cfRule type="cellIs" dxfId="303" priority="37" stopIfTrue="1" operator="equal">
      <formula>"Logo Design"</formula>
    </cfRule>
  </conditionalFormatting>
  <conditionalFormatting sqref="E3:E1493 D297">
    <cfRule type="cellIs" dxfId="302" priority="38" stopIfTrue="1" operator="equal">
      <formula>"Outdoor/Event/Showroom Branding"</formula>
    </cfRule>
  </conditionalFormatting>
  <conditionalFormatting sqref="E3:E1493 D297">
    <cfRule type="cellIs" dxfId="301" priority="39" stopIfTrue="1" operator="equal">
      <formula>"Packaging"</formula>
    </cfRule>
  </conditionalFormatting>
  <conditionalFormatting sqref="E3:E1493 D297">
    <cfRule type="cellIs" dxfId="300" priority="40" stopIfTrue="1" operator="equal">
      <formula>"Visiting/ ID Card design"</formula>
    </cfRule>
  </conditionalFormatting>
  <conditionalFormatting sqref="E3:E1493 D297">
    <cfRule type="cellIs" dxfId="299" priority="41" stopIfTrue="1" operator="equal">
      <formula>"Voice Over"</formula>
    </cfRule>
  </conditionalFormatting>
  <conditionalFormatting sqref="J3:J1493">
    <cfRule type="cellIs" dxfId="298" priority="42" stopIfTrue="1" operator="equal">
      <formula>"HoM Approved"</formula>
    </cfRule>
  </conditionalFormatting>
  <conditionalFormatting sqref="J3:J1493">
    <cfRule type="cellIs" dxfId="297" priority="43" stopIfTrue="1" operator="equal">
      <formula>"Brief Submitted"</formula>
    </cfRule>
  </conditionalFormatting>
  <conditionalFormatting sqref="J3:J1493">
    <cfRule type="cellIs" dxfId="296" priority="44" stopIfTrue="1" operator="equal">
      <formula>"In Review"</formula>
    </cfRule>
  </conditionalFormatting>
  <conditionalFormatting sqref="J3:J1493">
    <cfRule type="cellIs" dxfId="295" priority="45" stopIfTrue="1" operator="equal">
      <formula>"BM Approved"</formula>
    </cfRule>
  </conditionalFormatting>
  <conditionalFormatting sqref="J3:J1493">
    <cfRule type="cellIs" dxfId="294" priority="46" stopIfTrue="1" operator="equal">
      <formula>"Running"</formula>
    </cfRule>
  </conditionalFormatting>
  <conditionalFormatting sqref="C3:C1493">
    <cfRule type="expression" dxfId="293" priority="47" stopIfTrue="1">
      <formula>"=AND(=COUNTA($A3:$J3)&gt;0,$C3="")"</formula>
    </cfRule>
  </conditionalFormatting>
  <conditionalFormatting sqref="E3:H1493 I3:I302 M276 D297 I304:I1493">
    <cfRule type="expression" dxfId="292" priority="48" stopIfTrue="1">
      <formula>"=AND(=COUNTA($A3:$J3)&gt;0,E3="")"</formula>
    </cfRule>
  </conditionalFormatting>
  <conditionalFormatting sqref="A3:K1493 M276">
    <cfRule type="expression" dxfId="291" priority="49" stopIfTrue="1">
      <formula>COUNTA($A3:$K3)=0</formula>
    </cfRule>
  </conditionalFormatting>
  <dataValidations count="2">
    <dataValidation type="decimal" operator="greaterThan" allowBlank="1" showDropDown="1" showErrorMessage="1" sqref="G3:G1493">
      <formula1>0</formula1>
    </dataValidation>
    <dataValidation type="custom" allowBlank="1" showDropDown="1" showErrorMessage="1" sqref="H3:H1493">
      <formula1>OR(NOT(ISERROR(DATEVALUE(H3))), AND(ISNUMBER(H3), LEFT(CELL("format", H3))="D"))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Helper!$A$2:$A1493</xm:f>
          </x14:formula1>
          <xm:sqref>B3:B1493</xm:sqref>
        </x14:dataValidation>
        <x14:dataValidation type="list" allowBlank="1">
          <x14:formula1>
            <xm:f>Helper!$B$2:$B1493</xm:f>
          </x14:formula1>
          <xm:sqref>C3:C1493</xm:sqref>
        </x14:dataValidation>
        <x14:dataValidation type="list" allowBlank="1">
          <x14:formula1>
            <xm:f>Helper!$C$2:$C1493</xm:f>
          </x14:formula1>
          <xm:sqref>E3:E1493</xm:sqref>
        </x14:dataValidation>
        <x14:dataValidation type="list" allowBlank="1">
          <x14:formula1>
            <xm:f>Helper!$D$2:$D1493</xm:f>
          </x14:formula1>
          <xm:sqref>F3:F1493</xm:sqref>
        </x14:dataValidation>
        <x14:dataValidation type="list" allowBlank="1">
          <x14:formula1>
            <xm:f>Helper!$E$2:$E1493</xm:f>
          </x14:formula1>
          <xm:sqref>J3:J1493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  <outlinePr summaryBelow="0" summaryRight="0"/>
  </sheetPr>
  <dimension ref="A1:K1496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40.77734375" customWidth="1"/>
    <col min="2" max="2" width="13.21875" customWidth="1"/>
    <col min="3" max="3" width="21.33203125" customWidth="1"/>
    <col min="4" max="4" width="17.6640625" customWidth="1"/>
    <col min="5" max="5" width="28.88671875" customWidth="1"/>
    <col min="6" max="6" width="13.21875" customWidth="1"/>
    <col min="7" max="7" width="9.44140625" customWidth="1"/>
    <col min="8" max="8" width="16.33203125" customWidth="1"/>
    <col min="9" max="9" width="18.88671875" customWidth="1"/>
    <col min="10" max="10" width="17" customWidth="1"/>
    <col min="11" max="11" width="12.6640625" customWidth="1"/>
  </cols>
  <sheetData>
    <row r="1" spans="1:11" ht="27" customHeight="1">
      <c r="A1" s="106" t="s">
        <v>2160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5.5" customHeight="1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" t="s">
        <v>10</v>
      </c>
    </row>
    <row r="3" spans="1:11" ht="13.2">
      <c r="A3" s="4" t="s">
        <v>353</v>
      </c>
      <c r="B3" s="5" t="s">
        <v>60</v>
      </c>
      <c r="C3" s="6" t="s">
        <v>228</v>
      </c>
      <c r="D3" s="7" t="s">
        <v>2161</v>
      </c>
      <c r="E3" s="8" t="s">
        <v>1077</v>
      </c>
      <c r="F3" s="9" t="s">
        <v>17</v>
      </c>
      <c r="G3" s="10">
        <v>2</v>
      </c>
      <c r="H3" s="11">
        <v>46110</v>
      </c>
      <c r="I3" s="12" t="s">
        <v>2162</v>
      </c>
      <c r="J3" s="13" t="s">
        <v>30</v>
      </c>
      <c r="K3" s="14" t="str">
        <f>HYPERLINK("http://mpro.prangroup.com:4000/CreativeWorks/Edit/28341","Open")</f>
        <v>Open</v>
      </c>
    </row>
    <row r="4" spans="1:11" ht="13.2">
      <c r="A4" s="4" t="s">
        <v>2163</v>
      </c>
      <c r="B4" s="5" t="s">
        <v>32</v>
      </c>
      <c r="C4" s="6" t="s">
        <v>228</v>
      </c>
      <c r="D4" s="7" t="s">
        <v>2164</v>
      </c>
      <c r="E4" s="8" t="s">
        <v>1077</v>
      </c>
      <c r="F4" s="9" t="s">
        <v>17</v>
      </c>
      <c r="G4" s="10">
        <v>1</v>
      </c>
      <c r="H4" s="11">
        <v>46110</v>
      </c>
      <c r="I4" s="12" t="s">
        <v>2165</v>
      </c>
      <c r="J4" s="13" t="s">
        <v>30</v>
      </c>
      <c r="K4" s="14" t="str">
        <f>HYPERLINK("http://mpro.prangroup.com:4000/CreativeWorks/Edit/28347","Open")</f>
        <v>Open</v>
      </c>
    </row>
    <row r="5" spans="1:11" ht="13.2">
      <c r="A5" s="4" t="s">
        <v>165</v>
      </c>
      <c r="B5" s="5" t="s">
        <v>144</v>
      </c>
      <c r="C5" s="6" t="s">
        <v>228</v>
      </c>
      <c r="D5" s="7" t="s">
        <v>2166</v>
      </c>
      <c r="E5" s="8" t="s">
        <v>63</v>
      </c>
      <c r="F5" s="9" t="s">
        <v>17</v>
      </c>
      <c r="G5" s="10">
        <v>1</v>
      </c>
      <c r="H5" s="11">
        <v>46110</v>
      </c>
      <c r="I5" s="12" t="s">
        <v>2167</v>
      </c>
      <c r="J5" s="13" t="s">
        <v>30</v>
      </c>
      <c r="K5" s="14" t="str">
        <f>HYPERLINK("http://mpro.prangroup.com:4000/CreativeWorks/Edit/28343","Open")</f>
        <v>Open</v>
      </c>
    </row>
    <row r="6" spans="1:11" ht="13.2">
      <c r="A6" s="4" t="s">
        <v>353</v>
      </c>
      <c r="B6" s="5" t="s">
        <v>60</v>
      </c>
      <c r="C6" s="6" t="s">
        <v>228</v>
      </c>
      <c r="D6" s="7" t="s">
        <v>435</v>
      </c>
      <c r="E6" s="8" t="s">
        <v>302</v>
      </c>
      <c r="F6" s="9" t="s">
        <v>17</v>
      </c>
      <c r="G6" s="10">
        <v>6</v>
      </c>
      <c r="H6" s="11">
        <v>46110</v>
      </c>
      <c r="I6" s="12" t="s">
        <v>2168</v>
      </c>
      <c r="J6" s="13" t="s">
        <v>30</v>
      </c>
      <c r="K6" s="14" t="str">
        <f>HYPERLINK("http://mpro.prangroup.com:4000/CreativeWorks/Edit/28340","Open")</f>
        <v>Open</v>
      </c>
    </row>
    <row r="7" spans="1:11" ht="13.2">
      <c r="A7" s="4" t="s">
        <v>392</v>
      </c>
      <c r="B7" s="5" t="s">
        <v>41</v>
      </c>
      <c r="C7" s="6" t="s">
        <v>275</v>
      </c>
      <c r="D7" s="7" t="s">
        <v>393</v>
      </c>
      <c r="E7" s="8" t="s">
        <v>63</v>
      </c>
      <c r="F7" s="9" t="s">
        <v>17</v>
      </c>
      <c r="G7" s="10">
        <v>8</v>
      </c>
      <c r="H7" s="11">
        <v>46110</v>
      </c>
      <c r="I7" s="12" t="s">
        <v>2169</v>
      </c>
      <c r="J7" s="13" t="s">
        <v>30</v>
      </c>
      <c r="K7" s="14" t="str">
        <f>HYPERLINK("http://mpro.prangroup.com:4000/CreativeWorks/Edit/28342","Open")</f>
        <v>Open</v>
      </c>
    </row>
    <row r="8" spans="1:11" ht="13.2">
      <c r="A8" s="4" t="s">
        <v>274</v>
      </c>
      <c r="B8" s="5" t="s">
        <v>41</v>
      </c>
      <c r="C8" s="6" t="s">
        <v>275</v>
      </c>
      <c r="D8" s="7" t="s">
        <v>2170</v>
      </c>
      <c r="E8" s="8" t="s">
        <v>63</v>
      </c>
      <c r="F8" s="9" t="s">
        <v>17</v>
      </c>
      <c r="G8" s="10">
        <v>1</v>
      </c>
      <c r="H8" s="11">
        <v>46110</v>
      </c>
      <c r="I8" s="12" t="s">
        <v>2171</v>
      </c>
      <c r="J8" s="13" t="s">
        <v>30</v>
      </c>
      <c r="K8" s="14" t="str">
        <f>HYPERLINK("http://mpro.prangroup.com:4000/CreativeWorks/Edit/28344","Open")</f>
        <v>Open</v>
      </c>
    </row>
    <row r="9" spans="1:11" ht="13.2">
      <c r="A9" s="4" t="s">
        <v>395</v>
      </c>
      <c r="B9" s="5" t="s">
        <v>185</v>
      </c>
      <c r="C9" s="6" t="s">
        <v>166</v>
      </c>
      <c r="D9" s="7" t="s">
        <v>396</v>
      </c>
      <c r="E9" s="8" t="s">
        <v>1077</v>
      </c>
      <c r="F9" s="9" t="s">
        <v>17</v>
      </c>
      <c r="G9" s="10">
        <v>1</v>
      </c>
      <c r="H9" s="11">
        <v>46110</v>
      </c>
      <c r="I9" s="12" t="s">
        <v>2172</v>
      </c>
      <c r="J9" s="13" t="s">
        <v>30</v>
      </c>
      <c r="K9" s="14" t="str">
        <f>HYPERLINK("http://mpro.prangroup.com:4000/CreativeWorks/Edit/28338","Open")</f>
        <v>Open</v>
      </c>
    </row>
    <row r="10" spans="1:11" ht="13.2">
      <c r="A10" s="4" t="s">
        <v>408</v>
      </c>
      <c r="B10" s="5" t="s">
        <v>54</v>
      </c>
      <c r="C10" s="6" t="s">
        <v>166</v>
      </c>
      <c r="D10" s="7" t="s">
        <v>409</v>
      </c>
      <c r="E10" s="8" t="s">
        <v>63</v>
      </c>
      <c r="F10" s="9" t="s">
        <v>17</v>
      </c>
      <c r="G10" s="10">
        <v>1</v>
      </c>
      <c r="H10" s="11">
        <v>46110</v>
      </c>
      <c r="I10" s="12" t="s">
        <v>2173</v>
      </c>
      <c r="J10" s="13" t="s">
        <v>30</v>
      </c>
      <c r="K10" s="14" t="str">
        <f>HYPERLINK("http://mpro.prangroup.com:4000/CreativeWorks/Edit/28345","Open")</f>
        <v>Open</v>
      </c>
    </row>
    <row r="11" spans="1:11" ht="13.2">
      <c r="A11" s="4" t="s">
        <v>395</v>
      </c>
      <c r="B11" s="5" t="s">
        <v>185</v>
      </c>
      <c r="C11" s="6" t="s">
        <v>166</v>
      </c>
      <c r="D11" s="7" t="s">
        <v>401</v>
      </c>
      <c r="E11" s="8" t="s">
        <v>302</v>
      </c>
      <c r="F11" s="9" t="s">
        <v>17</v>
      </c>
      <c r="G11" s="10">
        <v>2</v>
      </c>
      <c r="H11" s="11">
        <v>46110</v>
      </c>
      <c r="I11" s="12" t="s">
        <v>2174</v>
      </c>
      <c r="J11" s="13" t="s">
        <v>30</v>
      </c>
      <c r="K11" s="14" t="str">
        <f>HYPERLINK("http://mpro.prangroup.com:4000/CreativeWorks/Edit/28332","Open")</f>
        <v>Open</v>
      </c>
    </row>
    <row r="12" spans="1:11" ht="13.2">
      <c r="A12" s="4" t="s">
        <v>987</v>
      </c>
      <c r="B12" s="5" t="s">
        <v>60</v>
      </c>
      <c r="C12" s="6" t="s">
        <v>186</v>
      </c>
      <c r="D12" s="7" t="s">
        <v>988</v>
      </c>
      <c r="E12" s="8" t="s">
        <v>302</v>
      </c>
      <c r="F12" s="9" t="s">
        <v>17</v>
      </c>
      <c r="G12" s="10">
        <v>1</v>
      </c>
      <c r="H12" s="11">
        <v>46110</v>
      </c>
      <c r="I12" s="12" t="s">
        <v>2175</v>
      </c>
      <c r="J12" s="13" t="s">
        <v>30</v>
      </c>
      <c r="K12" s="14" t="str">
        <f>HYPERLINK("http://mpro.prangroup.com:4000/CreativeWorks/Edit/28298","Open")</f>
        <v>Open</v>
      </c>
    </row>
    <row r="13" spans="1:11" ht="13.2">
      <c r="A13" s="4" t="s">
        <v>2176</v>
      </c>
      <c r="B13" s="5" t="s">
        <v>32</v>
      </c>
      <c r="C13" s="6" t="s">
        <v>186</v>
      </c>
      <c r="D13" s="7" t="s">
        <v>2177</v>
      </c>
      <c r="E13" s="8" t="s">
        <v>302</v>
      </c>
      <c r="F13" s="9" t="s">
        <v>17</v>
      </c>
      <c r="G13" s="10">
        <v>2</v>
      </c>
      <c r="H13" s="11">
        <v>46110</v>
      </c>
      <c r="I13" s="12" t="s">
        <v>2178</v>
      </c>
      <c r="J13" s="13" t="s">
        <v>30</v>
      </c>
      <c r="K13" s="14" t="str">
        <f>HYPERLINK("http://mpro.prangroup.com:4000/CreativeWorks/Edit/28346","Open")</f>
        <v>Open</v>
      </c>
    </row>
    <row r="14" spans="1:11" ht="13.2">
      <c r="A14" s="4" t="s">
        <v>1041</v>
      </c>
      <c r="B14" s="5" t="s">
        <v>41</v>
      </c>
      <c r="C14" s="6" t="s">
        <v>186</v>
      </c>
      <c r="D14" s="7" t="s">
        <v>1042</v>
      </c>
      <c r="E14" s="8" t="s">
        <v>302</v>
      </c>
      <c r="F14" s="9" t="s">
        <v>17</v>
      </c>
      <c r="G14" s="10">
        <v>1</v>
      </c>
      <c r="H14" s="11">
        <v>46110</v>
      </c>
      <c r="I14" s="12" t="s">
        <v>2179</v>
      </c>
      <c r="J14" s="13" t="s">
        <v>30</v>
      </c>
      <c r="K14" s="14" t="str">
        <f>HYPERLINK("http://mpro.prangroup.com:4000/CreativeWorks/Edit/28339","Open")</f>
        <v>Open</v>
      </c>
    </row>
    <row r="15" spans="1:11" ht="13.2">
      <c r="A15" s="4" t="s">
        <v>240</v>
      </c>
      <c r="B15" s="5" t="s">
        <v>60</v>
      </c>
      <c r="C15" s="6" t="s">
        <v>461</v>
      </c>
      <c r="D15" s="7" t="s">
        <v>1064</v>
      </c>
      <c r="E15" s="8" t="s">
        <v>63</v>
      </c>
      <c r="F15" s="9" t="s">
        <v>17</v>
      </c>
      <c r="G15" s="10">
        <v>1</v>
      </c>
      <c r="H15" s="11">
        <v>46111</v>
      </c>
      <c r="I15" s="12" t="s">
        <v>2180</v>
      </c>
      <c r="J15" s="13" t="s">
        <v>30</v>
      </c>
      <c r="K15" s="14" t="str">
        <f>HYPERLINK("http://mpro.prangroup.com:4000/CreativeWorks/Edit/28460","Open")</f>
        <v>Open</v>
      </c>
    </row>
    <row r="16" spans="1:11" ht="13.2">
      <c r="A16" s="4" t="s">
        <v>437</v>
      </c>
      <c r="B16" s="5" t="s">
        <v>41</v>
      </c>
      <c r="C16" s="6" t="s">
        <v>438</v>
      </c>
      <c r="D16" s="7" t="s">
        <v>439</v>
      </c>
      <c r="E16" s="8" t="s">
        <v>302</v>
      </c>
      <c r="F16" s="9" t="s">
        <v>17</v>
      </c>
      <c r="G16" s="10">
        <v>3</v>
      </c>
      <c r="H16" s="11">
        <v>46111</v>
      </c>
      <c r="I16" s="12" t="s">
        <v>2181</v>
      </c>
      <c r="J16" s="13" t="s">
        <v>30</v>
      </c>
      <c r="K16" s="14" t="str">
        <f>HYPERLINK("http://mpro.prangroup.com:4000/CreativeWorks/Edit/28449","Open")</f>
        <v>Open</v>
      </c>
    </row>
    <row r="17" spans="1:11" ht="13.2">
      <c r="A17" s="4" t="s">
        <v>227</v>
      </c>
      <c r="B17" s="5" t="s">
        <v>60</v>
      </c>
      <c r="C17" s="6" t="s">
        <v>228</v>
      </c>
      <c r="D17" s="7" t="s">
        <v>2182</v>
      </c>
      <c r="E17" s="8" t="s">
        <v>1077</v>
      </c>
      <c r="F17" s="9" t="s">
        <v>17</v>
      </c>
      <c r="G17" s="10">
        <v>1</v>
      </c>
      <c r="H17" s="11">
        <v>46111</v>
      </c>
      <c r="I17" s="12" t="s">
        <v>2183</v>
      </c>
      <c r="J17" s="13" t="s">
        <v>30</v>
      </c>
      <c r="K17" s="14" t="str">
        <f>HYPERLINK("http://mpro.prangroup.com:4000/CreativeWorks/Edit/28450","Open")</f>
        <v>Open</v>
      </c>
    </row>
    <row r="18" spans="1:11" ht="13.2">
      <c r="A18" s="4" t="s">
        <v>2184</v>
      </c>
      <c r="B18" s="5" t="s">
        <v>41</v>
      </c>
      <c r="C18" s="6" t="s">
        <v>228</v>
      </c>
      <c r="D18" s="7" t="s">
        <v>2185</v>
      </c>
      <c r="E18" s="8" t="s">
        <v>1077</v>
      </c>
      <c r="F18" s="9" t="s">
        <v>17</v>
      </c>
      <c r="G18" s="10">
        <v>1</v>
      </c>
      <c r="H18" s="11">
        <v>46111</v>
      </c>
      <c r="I18" s="12" t="s">
        <v>2186</v>
      </c>
      <c r="J18" s="13" t="s">
        <v>30</v>
      </c>
      <c r="K18" s="14" t="str">
        <f>HYPERLINK("http://mpro.prangroup.com:4000/CreativeWorks/Edit/28455","Open")</f>
        <v>Open</v>
      </c>
    </row>
    <row r="19" spans="1:11" ht="13.2">
      <c r="A19" s="4" t="s">
        <v>482</v>
      </c>
      <c r="B19" s="5" t="s">
        <v>41</v>
      </c>
      <c r="C19" s="6" t="s">
        <v>228</v>
      </c>
      <c r="D19" s="7" t="s">
        <v>2187</v>
      </c>
      <c r="E19" s="8" t="s">
        <v>1687</v>
      </c>
      <c r="F19" s="9" t="s">
        <v>17</v>
      </c>
      <c r="G19" s="10">
        <v>3</v>
      </c>
      <c r="H19" s="11">
        <v>46111</v>
      </c>
      <c r="I19" s="12" t="s">
        <v>2188</v>
      </c>
      <c r="J19" s="13" t="s">
        <v>30</v>
      </c>
      <c r="K19" s="14" t="str">
        <f>HYPERLINK("http://mpro.prangroup.com:4000/CreativeWorks/Edit/28453","Open")</f>
        <v>Open</v>
      </c>
    </row>
    <row r="20" spans="1:11" ht="13.2">
      <c r="A20" s="4" t="s">
        <v>388</v>
      </c>
      <c r="B20" s="5" t="s">
        <v>60</v>
      </c>
      <c r="C20" s="6" t="s">
        <v>166</v>
      </c>
      <c r="D20" s="7" t="s">
        <v>2189</v>
      </c>
      <c r="E20" s="8" t="s">
        <v>63</v>
      </c>
      <c r="F20" s="9" t="s">
        <v>17</v>
      </c>
      <c r="G20" s="10">
        <v>2</v>
      </c>
      <c r="H20" s="11">
        <v>46111</v>
      </c>
      <c r="I20" s="12" t="s">
        <v>2190</v>
      </c>
      <c r="J20" s="13" t="s">
        <v>30</v>
      </c>
      <c r="K20" s="14" t="str">
        <f>HYPERLINK("http://mpro.prangroup.com:4000/CreativeWorks/Edit/28461","Open")</f>
        <v>Open</v>
      </c>
    </row>
    <row r="21" spans="1:11" ht="13.2">
      <c r="A21" s="4" t="s">
        <v>1088</v>
      </c>
      <c r="B21" s="5" t="s">
        <v>202</v>
      </c>
      <c r="C21" s="6" t="s">
        <v>501</v>
      </c>
      <c r="D21" s="7" t="s">
        <v>2191</v>
      </c>
      <c r="E21" s="8" t="s">
        <v>63</v>
      </c>
      <c r="F21" s="9" t="s">
        <v>17</v>
      </c>
      <c r="G21" s="10">
        <v>1</v>
      </c>
      <c r="H21" s="11">
        <v>46111</v>
      </c>
      <c r="I21" s="12" t="s">
        <v>2192</v>
      </c>
      <c r="J21" s="13" t="s">
        <v>30</v>
      </c>
      <c r="K21" s="14" t="str">
        <f>HYPERLINK("http://mpro.prangroup.com:4000/CreativeWorks/Edit/28502","Open")</f>
        <v>Open</v>
      </c>
    </row>
    <row r="22" spans="1:11" ht="13.2">
      <c r="A22" s="4" t="s">
        <v>105</v>
      </c>
      <c r="B22" s="5" t="s">
        <v>60</v>
      </c>
      <c r="C22" s="6" t="s">
        <v>78</v>
      </c>
      <c r="D22" s="7" t="s">
        <v>1105</v>
      </c>
      <c r="E22" s="8" t="s">
        <v>63</v>
      </c>
      <c r="F22" s="9" t="s">
        <v>17</v>
      </c>
      <c r="G22" s="10">
        <v>4</v>
      </c>
      <c r="H22" s="11">
        <v>46113</v>
      </c>
      <c r="I22" s="12" t="s">
        <v>2193</v>
      </c>
      <c r="J22" s="13" t="s">
        <v>30</v>
      </c>
      <c r="K22" s="14" t="str">
        <f>HYPERLINK("http://mpro.prangroup.com:4000/CreativeWorks/Edit/28913","Open")</f>
        <v>Open</v>
      </c>
    </row>
    <row r="23" spans="1:11" ht="13.2">
      <c r="A23" s="4" t="s">
        <v>2194</v>
      </c>
      <c r="B23" s="5" t="s">
        <v>282</v>
      </c>
      <c r="C23" s="6" t="s">
        <v>1685</v>
      </c>
      <c r="D23" s="7" t="s">
        <v>2195</v>
      </c>
      <c r="E23" s="8" t="s">
        <v>1687</v>
      </c>
      <c r="F23" s="9" t="s">
        <v>17</v>
      </c>
      <c r="G23" s="10">
        <v>1</v>
      </c>
      <c r="H23" s="11">
        <v>46116</v>
      </c>
      <c r="I23" s="12" t="s">
        <v>2196</v>
      </c>
      <c r="J23" s="13" t="s">
        <v>30</v>
      </c>
      <c r="K23" s="14" t="str">
        <f>HYPERLINK("http://mpro.prangroup.com:4000/CreativeWorks/Edit/29103","Open")</f>
        <v>Open</v>
      </c>
    </row>
    <row r="24" spans="1:11" ht="13.2">
      <c r="A24" s="4" t="s">
        <v>1044</v>
      </c>
      <c r="B24" s="5" t="s">
        <v>170</v>
      </c>
      <c r="C24" s="6" t="s">
        <v>228</v>
      </c>
      <c r="D24" s="7" t="s">
        <v>2197</v>
      </c>
      <c r="E24" s="8" t="s">
        <v>505</v>
      </c>
      <c r="F24" s="9" t="s">
        <v>17</v>
      </c>
      <c r="G24" s="10">
        <v>2</v>
      </c>
      <c r="H24" s="11">
        <v>46117</v>
      </c>
      <c r="I24" s="12" t="s">
        <v>2198</v>
      </c>
      <c r="J24" s="13" t="s">
        <v>30</v>
      </c>
      <c r="K24" s="14" t="str">
        <f>HYPERLINK("http://mpro.prangroup.com:4000/CreativeWorks/Edit/29179","Open")</f>
        <v>Open</v>
      </c>
    </row>
    <row r="25" spans="1:11" ht="13.2">
      <c r="A25" s="4" t="s">
        <v>2199</v>
      </c>
      <c r="B25" s="5" t="s">
        <v>32</v>
      </c>
      <c r="C25" s="6" t="s">
        <v>228</v>
      </c>
      <c r="D25" s="7" t="s">
        <v>2200</v>
      </c>
      <c r="E25" s="8" t="s">
        <v>1077</v>
      </c>
      <c r="F25" s="9" t="s">
        <v>17</v>
      </c>
      <c r="G25" s="10">
        <v>1</v>
      </c>
      <c r="H25" s="11">
        <v>46117</v>
      </c>
      <c r="I25" s="12" t="s">
        <v>2201</v>
      </c>
      <c r="J25" s="13" t="s">
        <v>30</v>
      </c>
      <c r="K25" s="14" t="str">
        <f>HYPERLINK("http://mpro.prangroup.com:4000/CreativeWorks/Edit/29193","Open")</f>
        <v>Open</v>
      </c>
    </row>
    <row r="26" spans="1:11" ht="13.2">
      <c r="A26" s="4" t="s">
        <v>1044</v>
      </c>
      <c r="B26" s="5" t="s">
        <v>170</v>
      </c>
      <c r="C26" s="6" t="s">
        <v>228</v>
      </c>
      <c r="D26" s="7" t="s">
        <v>2197</v>
      </c>
      <c r="E26" s="8" t="s">
        <v>302</v>
      </c>
      <c r="F26" s="9" t="s">
        <v>17</v>
      </c>
      <c r="G26" s="10">
        <v>2</v>
      </c>
      <c r="H26" s="11">
        <v>46117</v>
      </c>
      <c r="I26" s="12" t="s">
        <v>2198</v>
      </c>
      <c r="J26" s="13" t="s">
        <v>30</v>
      </c>
      <c r="K26" s="14" t="str">
        <f>HYPERLINK("http://mpro.prangroup.com:4000/CreativeWorks/Edit/29179","Open")</f>
        <v>Open</v>
      </c>
    </row>
    <row r="27" spans="1:11" ht="13.2">
      <c r="A27" s="4" t="s">
        <v>117</v>
      </c>
      <c r="B27" s="5" t="s">
        <v>32</v>
      </c>
      <c r="C27" s="6" t="s">
        <v>228</v>
      </c>
      <c r="D27" s="7" t="s">
        <v>2202</v>
      </c>
      <c r="E27" s="8" t="s">
        <v>302</v>
      </c>
      <c r="F27" s="9" t="s">
        <v>17</v>
      </c>
      <c r="G27" s="10">
        <v>1</v>
      </c>
      <c r="H27" s="11">
        <v>46117</v>
      </c>
      <c r="I27" s="12" t="s">
        <v>2203</v>
      </c>
      <c r="J27" s="13" t="s">
        <v>30</v>
      </c>
      <c r="K27" s="14" t="str">
        <f>HYPERLINK("http://mpro.prangroup.com:4000/CreativeWorks/Edit/29181","Open")</f>
        <v>Open</v>
      </c>
    </row>
    <row r="28" spans="1:11" ht="13.2">
      <c r="A28" s="4" t="s">
        <v>408</v>
      </c>
      <c r="B28" s="5" t="s">
        <v>54</v>
      </c>
      <c r="C28" s="6" t="s">
        <v>166</v>
      </c>
      <c r="D28" s="7" t="s">
        <v>2204</v>
      </c>
      <c r="E28" s="8" t="s">
        <v>1077</v>
      </c>
      <c r="F28" s="9" t="s">
        <v>17</v>
      </c>
      <c r="G28" s="10">
        <v>4</v>
      </c>
      <c r="H28" s="11">
        <v>46117</v>
      </c>
      <c r="I28" s="12" t="s">
        <v>2205</v>
      </c>
      <c r="J28" s="13" t="s">
        <v>30</v>
      </c>
      <c r="K28" s="14" t="str">
        <f t="shared" ref="K28:K30" si="0">HYPERLINK("http://mpro.prangroup.com:4000/CreativeWorks/Edit/29192","Open")</f>
        <v>Open</v>
      </c>
    </row>
    <row r="29" spans="1:11" ht="13.2">
      <c r="A29" s="4" t="s">
        <v>408</v>
      </c>
      <c r="B29" s="5" t="s">
        <v>54</v>
      </c>
      <c r="C29" s="6" t="s">
        <v>166</v>
      </c>
      <c r="D29" s="7" t="s">
        <v>2204</v>
      </c>
      <c r="E29" s="8" t="s">
        <v>1687</v>
      </c>
      <c r="F29" s="9" t="s">
        <v>17</v>
      </c>
      <c r="G29" s="10">
        <v>6</v>
      </c>
      <c r="H29" s="11">
        <v>46117</v>
      </c>
      <c r="I29" s="12" t="s">
        <v>2205</v>
      </c>
      <c r="J29" s="13" t="s">
        <v>30</v>
      </c>
      <c r="K29" s="14" t="str">
        <f t="shared" si="0"/>
        <v>Open</v>
      </c>
    </row>
    <row r="30" spans="1:11" ht="13.2">
      <c r="A30" s="4" t="s">
        <v>408</v>
      </c>
      <c r="B30" s="5" t="s">
        <v>54</v>
      </c>
      <c r="C30" s="6" t="s">
        <v>166</v>
      </c>
      <c r="D30" s="7" t="s">
        <v>2204</v>
      </c>
      <c r="E30" s="8" t="s">
        <v>1373</v>
      </c>
      <c r="F30" s="9" t="s">
        <v>17</v>
      </c>
      <c r="G30" s="10">
        <v>4</v>
      </c>
      <c r="H30" s="11">
        <v>46117</v>
      </c>
      <c r="I30" s="12" t="s">
        <v>2205</v>
      </c>
      <c r="J30" s="13" t="s">
        <v>30</v>
      </c>
      <c r="K30" s="14" t="str">
        <f t="shared" si="0"/>
        <v>Open</v>
      </c>
    </row>
    <row r="31" spans="1:11" ht="13.2">
      <c r="A31" s="4" t="s">
        <v>2176</v>
      </c>
      <c r="B31" s="5" t="s">
        <v>32</v>
      </c>
      <c r="C31" s="6" t="s">
        <v>186</v>
      </c>
      <c r="D31" s="7" t="s">
        <v>2177</v>
      </c>
      <c r="E31" s="8" t="s">
        <v>302</v>
      </c>
      <c r="F31" s="9" t="s">
        <v>17</v>
      </c>
      <c r="G31" s="10">
        <v>2</v>
      </c>
      <c r="H31" s="11">
        <v>46117</v>
      </c>
      <c r="I31" s="12" t="s">
        <v>2206</v>
      </c>
      <c r="J31" s="13" t="s">
        <v>30</v>
      </c>
      <c r="K31" s="14" t="str">
        <f>HYPERLINK("http://mpro.prangroup.com:4000/CreativeWorks/Edit/29190","Open")</f>
        <v>Open</v>
      </c>
    </row>
    <row r="32" spans="1:11" ht="13.2">
      <c r="A32" s="4" t="s">
        <v>395</v>
      </c>
      <c r="B32" s="5" t="s">
        <v>185</v>
      </c>
      <c r="C32" s="6" t="s">
        <v>166</v>
      </c>
      <c r="D32" s="7" t="s">
        <v>361</v>
      </c>
      <c r="E32" s="8" t="s">
        <v>302</v>
      </c>
      <c r="F32" s="9" t="s">
        <v>17</v>
      </c>
      <c r="G32" s="10">
        <v>1</v>
      </c>
      <c r="H32" s="11">
        <v>46118</v>
      </c>
      <c r="I32" s="12" t="s">
        <v>2207</v>
      </c>
      <c r="J32" s="13" t="s">
        <v>30</v>
      </c>
      <c r="K32" s="14" t="str">
        <f>HYPERLINK("http://mpro.prangroup.com:4000/CreativeWorks/Edit/29281","Open")</f>
        <v>Open</v>
      </c>
    </row>
    <row r="33" spans="1:11" ht="13.2">
      <c r="A33" s="4" t="s">
        <v>421</v>
      </c>
      <c r="B33" s="5" t="s">
        <v>101</v>
      </c>
      <c r="C33" s="6" t="s">
        <v>422</v>
      </c>
      <c r="D33" s="7" t="s">
        <v>1111</v>
      </c>
      <c r="E33" s="8" t="s">
        <v>302</v>
      </c>
      <c r="F33" s="9" t="s">
        <v>17</v>
      </c>
      <c r="G33" s="10">
        <v>1</v>
      </c>
      <c r="H33" s="11">
        <v>46123</v>
      </c>
      <c r="I33" s="12" t="s">
        <v>2208</v>
      </c>
      <c r="J33" s="13" t="s">
        <v>30</v>
      </c>
      <c r="K33" s="14" t="str">
        <f>HYPERLINK("http://mpro.prangroup.com:4000/CreativeWorks/Edit/29763","Open")</f>
        <v>Open</v>
      </c>
    </row>
    <row r="34" spans="1:11" ht="13.2">
      <c r="A34" s="4" t="s">
        <v>919</v>
      </c>
      <c r="B34" s="5" t="s">
        <v>32</v>
      </c>
      <c r="C34" s="6" t="s">
        <v>228</v>
      </c>
      <c r="D34" s="7" t="s">
        <v>2209</v>
      </c>
      <c r="E34" s="8" t="s">
        <v>505</v>
      </c>
      <c r="F34" s="9" t="s">
        <v>17</v>
      </c>
      <c r="G34" s="10">
        <v>4</v>
      </c>
      <c r="H34" s="11">
        <v>46123</v>
      </c>
      <c r="I34" s="12" t="s">
        <v>2210</v>
      </c>
      <c r="J34" s="13" t="s">
        <v>30</v>
      </c>
      <c r="K34" s="14" t="str">
        <f>HYPERLINK("http://mpro.prangroup.com:4000/CreativeWorks/Edit/29774","Open")</f>
        <v>Open</v>
      </c>
    </row>
    <row r="35" spans="1:11" ht="13.2">
      <c r="A35" s="4" t="s">
        <v>353</v>
      </c>
      <c r="B35" s="5" t="s">
        <v>60</v>
      </c>
      <c r="C35" s="6" t="s">
        <v>186</v>
      </c>
      <c r="D35" s="7" t="s">
        <v>1136</v>
      </c>
      <c r="E35" s="8" t="s">
        <v>302</v>
      </c>
      <c r="F35" s="9" t="s">
        <v>17</v>
      </c>
      <c r="G35" s="10">
        <v>7</v>
      </c>
      <c r="H35" s="11">
        <v>46123</v>
      </c>
      <c r="I35" s="12" t="s">
        <v>2211</v>
      </c>
      <c r="J35" s="13" t="s">
        <v>30</v>
      </c>
      <c r="K35" s="14" t="str">
        <f>HYPERLINK("http://mpro.prangroup.com:4000/CreativeWorks/Edit/29775","Open")</f>
        <v>Open</v>
      </c>
    </row>
    <row r="36" spans="1:11" ht="13.2">
      <c r="A36" s="4" t="s">
        <v>395</v>
      </c>
      <c r="B36" s="5" t="s">
        <v>185</v>
      </c>
      <c r="C36" s="6" t="s">
        <v>166</v>
      </c>
      <c r="D36" s="7" t="s">
        <v>2212</v>
      </c>
      <c r="E36" s="8" t="s">
        <v>1077</v>
      </c>
      <c r="F36" s="9" t="s">
        <v>17</v>
      </c>
      <c r="G36" s="10">
        <v>1</v>
      </c>
      <c r="H36" s="11">
        <v>46126</v>
      </c>
      <c r="I36" s="12" t="s">
        <v>2213</v>
      </c>
      <c r="J36" s="13" t="s">
        <v>30</v>
      </c>
      <c r="K36" s="14" t="str">
        <f>HYPERLINK("http://mpro.prangroup.com:4000/CreativeWorks/Edit/30064","Open")</f>
        <v>Open</v>
      </c>
    </row>
    <row r="37" spans="1:11" ht="13.2">
      <c r="A37" s="4" t="s">
        <v>464</v>
      </c>
      <c r="B37" s="5" t="s">
        <v>213</v>
      </c>
      <c r="C37" s="6" t="s">
        <v>186</v>
      </c>
      <c r="D37" s="7" t="s">
        <v>465</v>
      </c>
      <c r="E37" s="8" t="s">
        <v>302</v>
      </c>
      <c r="F37" s="9" t="s">
        <v>17</v>
      </c>
      <c r="G37" s="10">
        <v>4</v>
      </c>
      <c r="H37" s="11">
        <v>46127</v>
      </c>
      <c r="I37" s="12" t="s">
        <v>2214</v>
      </c>
      <c r="J37" s="13" t="s">
        <v>30</v>
      </c>
      <c r="K37" s="14" t="str">
        <f>HYPERLINK("http://mpro.prangroup.com:4000/CreativeWorks/Edit/30170","Open")</f>
        <v>Open</v>
      </c>
    </row>
    <row r="38" spans="1:11" ht="13.2">
      <c r="A38" s="4" t="s">
        <v>227</v>
      </c>
      <c r="B38" s="5" t="s">
        <v>60</v>
      </c>
      <c r="C38" s="6" t="s">
        <v>228</v>
      </c>
      <c r="D38" s="7" t="s">
        <v>1000</v>
      </c>
      <c r="E38" s="8" t="s">
        <v>302</v>
      </c>
      <c r="F38" s="9" t="s">
        <v>17</v>
      </c>
      <c r="G38" s="10">
        <v>7</v>
      </c>
      <c r="H38" s="11">
        <v>46128</v>
      </c>
      <c r="I38" s="12" t="s">
        <v>2215</v>
      </c>
      <c r="J38" s="13" t="s">
        <v>30</v>
      </c>
      <c r="K38" s="14" t="str">
        <f>HYPERLINK("http://mpro.prangroup.com:4000/CreativeWorks/Edit/30256","Open")</f>
        <v>Open</v>
      </c>
    </row>
    <row r="39" spans="1:11" ht="13.2">
      <c r="A39" s="4" t="s">
        <v>227</v>
      </c>
      <c r="B39" s="5" t="s">
        <v>60</v>
      </c>
      <c r="C39" s="6" t="s">
        <v>186</v>
      </c>
      <c r="D39" s="7" t="s">
        <v>376</v>
      </c>
      <c r="E39" s="8" t="s">
        <v>302</v>
      </c>
      <c r="F39" s="9" t="s">
        <v>17</v>
      </c>
      <c r="G39" s="10">
        <v>2</v>
      </c>
      <c r="H39" s="11">
        <v>46128</v>
      </c>
      <c r="I39" s="12" t="s">
        <v>2216</v>
      </c>
      <c r="J39" s="13" t="s">
        <v>30</v>
      </c>
      <c r="K39" s="14" t="str">
        <f>HYPERLINK("http://mpro.prangroup.com:4000/CreativeWorks/Edit/30258","Open")</f>
        <v>Open</v>
      </c>
    </row>
    <row r="40" spans="1:11" ht="13.2">
      <c r="A40" s="4" t="s">
        <v>212</v>
      </c>
      <c r="B40" s="5" t="s">
        <v>213</v>
      </c>
      <c r="C40" s="6" t="s">
        <v>186</v>
      </c>
      <c r="D40" s="7" t="s">
        <v>373</v>
      </c>
      <c r="E40" s="8" t="s">
        <v>302</v>
      </c>
      <c r="F40" s="9" t="s">
        <v>17</v>
      </c>
      <c r="G40" s="10">
        <v>1</v>
      </c>
      <c r="H40" s="11">
        <v>46130</v>
      </c>
      <c r="I40" s="12" t="s">
        <v>2217</v>
      </c>
      <c r="J40" s="13" t="s">
        <v>30</v>
      </c>
      <c r="K40" s="14" t="str">
        <f>HYPERLINK("http://mpro.prangroup.com:4000/CreativeWorks/Edit/30316","Open")</f>
        <v>Open</v>
      </c>
    </row>
    <row r="41" spans="1:11" ht="13.2">
      <c r="A41" s="4" t="s">
        <v>563</v>
      </c>
      <c r="B41" s="5" t="s">
        <v>60</v>
      </c>
      <c r="C41" s="6" t="s">
        <v>186</v>
      </c>
      <c r="D41" s="7" t="s">
        <v>1026</v>
      </c>
      <c r="E41" s="8" t="s">
        <v>302</v>
      </c>
      <c r="F41" s="9" t="s">
        <v>17</v>
      </c>
      <c r="G41" s="10">
        <v>2</v>
      </c>
      <c r="H41" s="11">
        <v>46130</v>
      </c>
      <c r="I41" s="12" t="s">
        <v>2218</v>
      </c>
      <c r="J41" s="13" t="s">
        <v>30</v>
      </c>
      <c r="K41" s="14" t="str">
        <f>HYPERLINK("http://mpro.prangroup.com:4000/CreativeWorks/Edit/30318","Open")</f>
        <v>Open</v>
      </c>
    </row>
    <row r="42" spans="1:11" ht="13.2">
      <c r="A42" s="4" t="s">
        <v>227</v>
      </c>
      <c r="B42" s="5" t="s">
        <v>60</v>
      </c>
      <c r="C42" s="6" t="s">
        <v>186</v>
      </c>
      <c r="D42" s="7" t="s">
        <v>2219</v>
      </c>
      <c r="E42" s="8" t="s">
        <v>302</v>
      </c>
      <c r="F42" s="9" t="s">
        <v>17</v>
      </c>
      <c r="G42" s="10">
        <v>2</v>
      </c>
      <c r="H42" s="11">
        <v>46130</v>
      </c>
      <c r="I42" s="12" t="s">
        <v>2220</v>
      </c>
      <c r="J42" s="13" t="s">
        <v>30</v>
      </c>
      <c r="K42" s="14" t="str">
        <f>HYPERLINK("http://mpro.prangroup.com:4000/CreativeWorks/Edit/30337","Open")</f>
        <v>Open</v>
      </c>
    </row>
    <row r="43" spans="1:11" ht="13.2">
      <c r="A43" s="4" t="s">
        <v>267</v>
      </c>
      <c r="B43" s="5" t="s">
        <v>178</v>
      </c>
      <c r="C43" s="6" t="s">
        <v>228</v>
      </c>
      <c r="D43" s="7" t="s">
        <v>2221</v>
      </c>
      <c r="E43" s="8" t="s">
        <v>1077</v>
      </c>
      <c r="F43" s="9" t="s">
        <v>17</v>
      </c>
      <c r="G43" s="10">
        <v>1</v>
      </c>
      <c r="H43" s="11">
        <v>46131</v>
      </c>
      <c r="I43" s="12" t="s">
        <v>2222</v>
      </c>
      <c r="J43" s="13" t="s">
        <v>30</v>
      </c>
      <c r="K43" s="14" t="str">
        <f>HYPERLINK("http://mpro.prangroup.com:4000/CreativeWorks/Edit/30422","Open")</f>
        <v>Open</v>
      </c>
    </row>
    <row r="44" spans="1:11" ht="13.2">
      <c r="A44" s="4" t="s">
        <v>117</v>
      </c>
      <c r="B44" s="5" t="s">
        <v>32</v>
      </c>
      <c r="C44" s="6" t="s">
        <v>91</v>
      </c>
      <c r="D44" s="7" t="s">
        <v>2223</v>
      </c>
      <c r="E44" s="8" t="s">
        <v>302</v>
      </c>
      <c r="F44" s="9" t="s">
        <v>17</v>
      </c>
      <c r="G44" s="10">
        <v>1</v>
      </c>
      <c r="H44" s="11">
        <v>46132</v>
      </c>
      <c r="I44" s="12" t="s">
        <v>2224</v>
      </c>
      <c r="J44" s="13" t="s">
        <v>30</v>
      </c>
      <c r="K44" s="14" t="str">
        <f>HYPERLINK("http://mpro.prangroup.com:4000/CreativeWorks/Edit/30531","Open")</f>
        <v>Open</v>
      </c>
    </row>
    <row r="45" spans="1:11" ht="13.2">
      <c r="A45" s="4" t="s">
        <v>202</v>
      </c>
      <c r="B45" s="5" t="s">
        <v>202</v>
      </c>
      <c r="C45" s="6" t="s">
        <v>501</v>
      </c>
      <c r="D45" s="7" t="s">
        <v>2225</v>
      </c>
      <c r="E45" s="8" t="s">
        <v>302</v>
      </c>
      <c r="F45" s="9" t="s">
        <v>17</v>
      </c>
      <c r="G45" s="10">
        <v>1</v>
      </c>
      <c r="H45" s="11">
        <v>46132</v>
      </c>
      <c r="I45" s="12" t="s">
        <v>2226</v>
      </c>
      <c r="J45" s="13" t="s">
        <v>30</v>
      </c>
      <c r="K45" s="14" t="str">
        <f>HYPERLINK("http://mpro.prangroup.com:4000/CreativeWorks/Edit/30536","Open")</f>
        <v>Open</v>
      </c>
    </row>
    <row r="46" spans="1:11" ht="13.2">
      <c r="A46" s="4" t="s">
        <v>54</v>
      </c>
      <c r="B46" s="5" t="s">
        <v>54</v>
      </c>
      <c r="C46" s="6" t="s">
        <v>166</v>
      </c>
      <c r="D46" s="7" t="s">
        <v>2227</v>
      </c>
      <c r="E46" s="8" t="s">
        <v>490</v>
      </c>
      <c r="F46" s="9" t="s">
        <v>17</v>
      </c>
      <c r="G46" s="10">
        <v>1</v>
      </c>
      <c r="H46" s="11">
        <v>46138</v>
      </c>
      <c r="I46" s="12" t="s">
        <v>2228</v>
      </c>
      <c r="J46" s="13" t="s">
        <v>30</v>
      </c>
      <c r="K46" s="14" t="str">
        <f>HYPERLINK("http://mpro.prangroup.com:4000/CreativeWorks/Edit/31352","Open")</f>
        <v>Open</v>
      </c>
    </row>
    <row r="47" spans="1:11" ht="13.2">
      <c r="A47" s="4" t="s">
        <v>464</v>
      </c>
      <c r="B47" s="5" t="s">
        <v>213</v>
      </c>
      <c r="C47" s="6" t="s">
        <v>186</v>
      </c>
      <c r="D47" s="7" t="s">
        <v>465</v>
      </c>
      <c r="E47" s="8" t="s">
        <v>1077</v>
      </c>
      <c r="F47" s="9" t="s">
        <v>17</v>
      </c>
      <c r="G47" s="10">
        <v>4</v>
      </c>
      <c r="H47" s="11">
        <v>46141</v>
      </c>
      <c r="I47" s="12" t="s">
        <v>2229</v>
      </c>
      <c r="J47" s="13" t="s">
        <v>30</v>
      </c>
      <c r="K47" s="14" t="str">
        <f>HYPERLINK("http://mpro.prangroup.com:4000/CreativeWorks/Edit/31771","Open")</f>
        <v>Open</v>
      </c>
    </row>
    <row r="48" spans="1:11" ht="13.2">
      <c r="A48" s="4" t="s">
        <v>482</v>
      </c>
      <c r="B48" s="5" t="s">
        <v>41</v>
      </c>
      <c r="C48" s="6" t="s">
        <v>186</v>
      </c>
      <c r="D48" s="7" t="s">
        <v>2230</v>
      </c>
      <c r="E48" s="8" t="s">
        <v>1077</v>
      </c>
      <c r="F48" s="9" t="s">
        <v>17</v>
      </c>
      <c r="G48" s="10">
        <v>4</v>
      </c>
      <c r="H48" s="11">
        <v>46141</v>
      </c>
      <c r="I48" s="12" t="s">
        <v>2231</v>
      </c>
      <c r="J48" s="13" t="s">
        <v>30</v>
      </c>
      <c r="K48" s="14" t="str">
        <f>HYPERLINK("http://mpro.prangroup.com:4000/CreativeWorks/Edit/31773","Open")</f>
        <v>Open</v>
      </c>
    </row>
    <row r="49" spans="1:11" ht="13.2">
      <c r="A49" s="4" t="s">
        <v>227</v>
      </c>
      <c r="B49" s="5" t="s">
        <v>60</v>
      </c>
      <c r="C49" s="6" t="s">
        <v>228</v>
      </c>
      <c r="D49" s="7" t="s">
        <v>2182</v>
      </c>
      <c r="E49" s="8" t="s">
        <v>1077</v>
      </c>
      <c r="F49" s="9" t="s">
        <v>17</v>
      </c>
      <c r="G49" s="10">
        <v>1</v>
      </c>
      <c r="H49" s="11">
        <v>46142</v>
      </c>
      <c r="I49" s="12" t="s">
        <v>2232</v>
      </c>
      <c r="J49" s="13" t="s">
        <v>30</v>
      </c>
      <c r="K49" s="14" t="str">
        <f>HYPERLINK("http://mpro.prangroup.com:4000/CreativeWorks/Edit/31997","Open")</f>
        <v>Open</v>
      </c>
    </row>
    <row r="50" spans="1:11" ht="13.2">
      <c r="A50" s="4" t="s">
        <v>1088</v>
      </c>
      <c r="B50" s="5" t="s">
        <v>202</v>
      </c>
      <c r="C50" s="6" t="s">
        <v>501</v>
      </c>
      <c r="D50" s="7" t="s">
        <v>2233</v>
      </c>
      <c r="E50" s="8" t="s">
        <v>302</v>
      </c>
      <c r="F50" s="9" t="s">
        <v>17</v>
      </c>
      <c r="G50" s="10">
        <v>3</v>
      </c>
      <c r="H50" s="11">
        <v>46144</v>
      </c>
      <c r="I50" s="12" t="s">
        <v>2234</v>
      </c>
      <c r="J50" s="13" t="s">
        <v>30</v>
      </c>
      <c r="K50" s="14" t="str">
        <f>HYPERLINK("http://mpro.prangroup.com:4000/CreativeWorks/Edit/32190","Open")</f>
        <v>Open</v>
      </c>
    </row>
    <row r="51" spans="1:11" ht="13.2">
      <c r="A51" s="4" t="s">
        <v>108</v>
      </c>
      <c r="B51" s="5" t="s">
        <v>109</v>
      </c>
      <c r="C51" s="6" t="s">
        <v>228</v>
      </c>
      <c r="D51" s="7" t="s">
        <v>2235</v>
      </c>
      <c r="E51" s="8" t="s">
        <v>1355</v>
      </c>
      <c r="F51" s="9" t="s">
        <v>17</v>
      </c>
      <c r="G51" s="10">
        <v>1</v>
      </c>
      <c r="H51" s="11">
        <v>46146</v>
      </c>
      <c r="I51" s="12" t="s">
        <v>2236</v>
      </c>
      <c r="J51" s="13" t="s">
        <v>30</v>
      </c>
      <c r="K51" s="14" t="str">
        <f>HYPERLINK("http://mpro.prangroup.com:4000/CreativeWorks/Edit/32345","Open")</f>
        <v>Open</v>
      </c>
    </row>
    <row r="52" spans="1:11" ht="13.2">
      <c r="A52" s="4" t="s">
        <v>745</v>
      </c>
      <c r="B52" s="5" t="s">
        <v>41</v>
      </c>
      <c r="C52" s="6" t="s">
        <v>1421</v>
      </c>
      <c r="D52" s="7" t="s">
        <v>2237</v>
      </c>
      <c r="E52" s="8" t="s">
        <v>63</v>
      </c>
      <c r="F52" s="9" t="s">
        <v>17</v>
      </c>
      <c r="G52" s="10">
        <v>3</v>
      </c>
      <c r="H52" s="11">
        <v>46146</v>
      </c>
      <c r="I52" s="12" t="s">
        <v>2238</v>
      </c>
      <c r="J52" s="13" t="s">
        <v>30</v>
      </c>
      <c r="K52" s="14" t="str">
        <f>HYPERLINK("http://mpro.prangroup.com:4000/CreativeWorks/Edit/32372","Open")</f>
        <v>Open</v>
      </c>
    </row>
    <row r="53" spans="1:11" ht="13.2">
      <c r="A53" s="4" t="s">
        <v>2239</v>
      </c>
      <c r="B53" s="5" t="s">
        <v>158</v>
      </c>
      <c r="C53" s="6" t="s">
        <v>2240</v>
      </c>
      <c r="D53" s="7" t="s">
        <v>2241</v>
      </c>
      <c r="E53" s="8" t="s">
        <v>63</v>
      </c>
      <c r="F53" s="9" t="s">
        <v>17</v>
      </c>
      <c r="G53" s="10">
        <v>1</v>
      </c>
      <c r="H53" s="11">
        <v>46146</v>
      </c>
      <c r="I53" s="12" t="s">
        <v>2242</v>
      </c>
      <c r="J53" s="13" t="s">
        <v>30</v>
      </c>
      <c r="K53" s="14" t="str">
        <f>HYPERLINK("http://mpro.prangroup.com:4000/CreativeWorks/Edit/32343","Open")</f>
        <v>Open</v>
      </c>
    </row>
    <row r="54" spans="1:11" ht="13.2">
      <c r="A54" s="4" t="s">
        <v>464</v>
      </c>
      <c r="B54" s="5" t="s">
        <v>213</v>
      </c>
      <c r="C54" s="6" t="s">
        <v>186</v>
      </c>
      <c r="D54" s="7" t="s">
        <v>2243</v>
      </c>
      <c r="E54" s="8" t="s">
        <v>505</v>
      </c>
      <c r="F54" s="9" t="s">
        <v>17</v>
      </c>
      <c r="G54" s="10">
        <v>6</v>
      </c>
      <c r="H54" s="11">
        <v>46146</v>
      </c>
      <c r="I54" s="12" t="s">
        <v>2244</v>
      </c>
      <c r="J54" s="13" t="s">
        <v>30</v>
      </c>
      <c r="K54" s="14" t="str">
        <f>HYPERLINK("http://mpro.prangroup.com:4000/CreativeWorks/Edit/32347","Open")</f>
        <v>Open</v>
      </c>
    </row>
    <row r="55" spans="1:11" ht="13.2">
      <c r="A55" s="4" t="s">
        <v>1708</v>
      </c>
      <c r="B55" s="5" t="s">
        <v>32</v>
      </c>
      <c r="C55" s="6" t="s">
        <v>275</v>
      </c>
      <c r="D55" s="7" t="s">
        <v>2245</v>
      </c>
      <c r="E55" s="8" t="s">
        <v>63</v>
      </c>
      <c r="F55" s="9" t="s">
        <v>17</v>
      </c>
      <c r="G55" s="10">
        <v>1</v>
      </c>
      <c r="H55" s="11">
        <v>46147</v>
      </c>
      <c r="I55" s="12" t="s">
        <v>2246</v>
      </c>
      <c r="J55" s="13" t="s">
        <v>30</v>
      </c>
      <c r="K55" s="14" t="str">
        <f>HYPERLINK("http://mpro.prangroup.com:4000/CreativeWorks/Edit/32460","Open")</f>
        <v>Open</v>
      </c>
    </row>
    <row r="56" spans="1:11" ht="13.2">
      <c r="A56" s="4" t="s">
        <v>2247</v>
      </c>
      <c r="B56" s="5" t="s">
        <v>32</v>
      </c>
      <c r="C56" s="6" t="s">
        <v>228</v>
      </c>
      <c r="D56" s="7" t="s">
        <v>2248</v>
      </c>
      <c r="E56" s="8" t="s">
        <v>1077</v>
      </c>
      <c r="F56" s="9" t="s">
        <v>17</v>
      </c>
      <c r="G56" s="10">
        <v>1</v>
      </c>
      <c r="H56" s="11">
        <v>46149</v>
      </c>
      <c r="I56" s="12" t="s">
        <v>2249</v>
      </c>
      <c r="J56" s="13" t="s">
        <v>30</v>
      </c>
      <c r="K56" s="14" t="str">
        <f>HYPERLINK("http://mpro.prangroup.com:4000/CreativeWorks/Edit/32673","Open")</f>
        <v>Open</v>
      </c>
    </row>
    <row r="57" spans="1:11" ht="13.2">
      <c r="A57" s="4" t="s">
        <v>782</v>
      </c>
      <c r="B57" s="5" t="s">
        <v>209</v>
      </c>
      <c r="C57" s="6" t="s">
        <v>228</v>
      </c>
      <c r="D57" s="7" t="s">
        <v>2250</v>
      </c>
      <c r="E57" s="8" t="s">
        <v>1077</v>
      </c>
      <c r="F57" s="9" t="s">
        <v>17</v>
      </c>
      <c r="G57" s="10">
        <v>1</v>
      </c>
      <c r="H57" s="11">
        <v>46149</v>
      </c>
      <c r="I57" s="12" t="s">
        <v>2251</v>
      </c>
      <c r="J57" s="13" t="s">
        <v>30</v>
      </c>
      <c r="K57" s="14" t="str">
        <f t="shared" ref="K57:K58" si="1">HYPERLINK("http://mpro.prangroup.com:4000/CreativeWorks/Edit/32649","Open")</f>
        <v>Open</v>
      </c>
    </row>
    <row r="58" spans="1:11" ht="13.2">
      <c r="A58" s="4" t="s">
        <v>782</v>
      </c>
      <c r="B58" s="5" t="s">
        <v>209</v>
      </c>
      <c r="C58" s="6" t="s">
        <v>228</v>
      </c>
      <c r="D58" s="7" t="s">
        <v>2250</v>
      </c>
      <c r="E58" s="8" t="s">
        <v>63</v>
      </c>
      <c r="F58" s="9" t="s">
        <v>17</v>
      </c>
      <c r="G58" s="10">
        <v>1</v>
      </c>
      <c r="H58" s="11">
        <v>46149</v>
      </c>
      <c r="I58" s="12" t="s">
        <v>2251</v>
      </c>
      <c r="J58" s="13" t="s">
        <v>30</v>
      </c>
      <c r="K58" s="14" t="str">
        <f t="shared" si="1"/>
        <v>Open</v>
      </c>
    </row>
    <row r="59" spans="1:11" ht="13.2">
      <c r="A59" s="4" t="s">
        <v>1399</v>
      </c>
      <c r="B59" s="5" t="s">
        <v>916</v>
      </c>
      <c r="C59" s="6" t="s">
        <v>1421</v>
      </c>
      <c r="D59" s="7" t="s">
        <v>2252</v>
      </c>
      <c r="E59" s="8" t="s">
        <v>63</v>
      </c>
      <c r="F59" s="9" t="s">
        <v>17</v>
      </c>
      <c r="G59" s="10">
        <v>2</v>
      </c>
      <c r="H59" s="11">
        <v>46149</v>
      </c>
      <c r="I59" s="12" t="s">
        <v>2253</v>
      </c>
      <c r="J59" s="13" t="s">
        <v>30</v>
      </c>
      <c r="K59" s="14" t="str">
        <f>HYPERLINK("http://mpro.prangroup.com:4000/CreativeWorks/Edit/32694","Open")</f>
        <v>Open</v>
      </c>
    </row>
    <row r="60" spans="1:11" ht="13.2">
      <c r="A60" s="4" t="s">
        <v>1399</v>
      </c>
      <c r="B60" s="5" t="s">
        <v>916</v>
      </c>
      <c r="C60" s="6" t="s">
        <v>1421</v>
      </c>
      <c r="D60" s="7" t="s">
        <v>2254</v>
      </c>
      <c r="E60" s="8" t="s">
        <v>63</v>
      </c>
      <c r="F60" s="9" t="s">
        <v>17</v>
      </c>
      <c r="G60" s="10">
        <v>2</v>
      </c>
      <c r="H60" s="11">
        <v>46149</v>
      </c>
      <c r="I60" s="12" t="s">
        <v>2255</v>
      </c>
      <c r="J60" s="13" t="s">
        <v>30</v>
      </c>
      <c r="K60" s="14" t="str">
        <f>HYPERLINK("http://mpro.prangroup.com:4000/CreativeWorks/Edit/32696","Open")</f>
        <v>Open</v>
      </c>
    </row>
    <row r="61" spans="1:11" ht="13.2">
      <c r="A61" s="4" t="s">
        <v>395</v>
      </c>
      <c r="B61" s="5" t="s">
        <v>185</v>
      </c>
      <c r="C61" s="6" t="s">
        <v>166</v>
      </c>
      <c r="D61" s="7" t="s">
        <v>2256</v>
      </c>
      <c r="E61" s="8" t="s">
        <v>1687</v>
      </c>
      <c r="F61" s="9" t="s">
        <v>17</v>
      </c>
      <c r="G61" s="10">
        <v>1</v>
      </c>
      <c r="H61" s="11">
        <v>46149</v>
      </c>
      <c r="I61" s="12" t="s">
        <v>2257</v>
      </c>
      <c r="J61" s="13" t="s">
        <v>30</v>
      </c>
      <c r="K61" s="14" t="str">
        <f>HYPERLINK("http://mpro.prangroup.com:4000/CreativeWorks/Edit/32651","Open")</f>
        <v>Open</v>
      </c>
    </row>
    <row r="62" spans="1:11" ht="13.2">
      <c r="A62" s="4" t="s">
        <v>191</v>
      </c>
      <c r="B62" s="5" t="s">
        <v>32</v>
      </c>
      <c r="C62" s="6" t="s">
        <v>166</v>
      </c>
      <c r="D62" s="7" t="s">
        <v>2258</v>
      </c>
      <c r="E62" s="8" t="s">
        <v>1373</v>
      </c>
      <c r="F62" s="9" t="s">
        <v>17</v>
      </c>
      <c r="G62" s="10">
        <v>1</v>
      </c>
      <c r="H62" s="11">
        <v>46149</v>
      </c>
      <c r="I62" s="12" t="s">
        <v>2259</v>
      </c>
      <c r="J62" s="13" t="s">
        <v>30</v>
      </c>
      <c r="K62" s="14" t="str">
        <f>HYPERLINK("http://mpro.prangroup.com:4000/CreativeWorks/Edit/32650","Open")</f>
        <v>Open</v>
      </c>
    </row>
    <row r="63" spans="1:11" ht="13.2">
      <c r="A63" s="4" t="s">
        <v>395</v>
      </c>
      <c r="B63" s="5" t="s">
        <v>185</v>
      </c>
      <c r="C63" s="6" t="s">
        <v>166</v>
      </c>
      <c r="D63" s="7" t="s">
        <v>2256</v>
      </c>
      <c r="E63" s="8" t="s">
        <v>1373</v>
      </c>
      <c r="F63" s="9" t="s">
        <v>17</v>
      </c>
      <c r="G63" s="10">
        <v>3</v>
      </c>
      <c r="H63" s="11">
        <v>46149</v>
      </c>
      <c r="I63" s="12" t="s">
        <v>2257</v>
      </c>
      <c r="J63" s="13" t="s">
        <v>30</v>
      </c>
      <c r="K63" s="14" t="str">
        <f>HYPERLINK("http://mpro.prangroup.com:4000/CreativeWorks/Edit/32651","Open")</f>
        <v>Open</v>
      </c>
    </row>
    <row r="64" spans="1:11" ht="13.2">
      <c r="A64" s="4" t="s">
        <v>482</v>
      </c>
      <c r="B64" s="5" t="s">
        <v>41</v>
      </c>
      <c r="C64" s="6" t="s">
        <v>275</v>
      </c>
      <c r="D64" s="7" t="s">
        <v>483</v>
      </c>
      <c r="E64" s="8" t="s">
        <v>1077</v>
      </c>
      <c r="F64" s="9" t="s">
        <v>17</v>
      </c>
      <c r="G64" s="10">
        <v>1</v>
      </c>
      <c r="H64" s="11">
        <v>46153</v>
      </c>
      <c r="I64" s="12" t="s">
        <v>2260</v>
      </c>
      <c r="J64" s="13" t="s">
        <v>30</v>
      </c>
      <c r="K64" s="14" t="str">
        <f t="shared" ref="K64:K65" si="2">HYPERLINK("http://mpro.prangroup.com:4000/CreativeWorks/Edit/33119","Open")</f>
        <v>Open</v>
      </c>
    </row>
    <row r="65" spans="1:11" ht="13.2">
      <c r="A65" s="4" t="s">
        <v>482</v>
      </c>
      <c r="B65" s="5" t="s">
        <v>41</v>
      </c>
      <c r="C65" s="6" t="s">
        <v>275</v>
      </c>
      <c r="D65" s="7" t="s">
        <v>483</v>
      </c>
      <c r="E65" s="8" t="s">
        <v>63</v>
      </c>
      <c r="F65" s="9" t="s">
        <v>17</v>
      </c>
      <c r="G65" s="10">
        <v>2</v>
      </c>
      <c r="H65" s="11">
        <v>46153</v>
      </c>
      <c r="I65" s="12" t="s">
        <v>2260</v>
      </c>
      <c r="J65" s="13" t="s">
        <v>30</v>
      </c>
      <c r="K65" s="14" t="str">
        <f t="shared" si="2"/>
        <v>Open</v>
      </c>
    </row>
    <row r="66" spans="1:11" ht="13.2">
      <c r="A66" s="4" t="s">
        <v>227</v>
      </c>
      <c r="B66" s="5" t="s">
        <v>60</v>
      </c>
      <c r="C66" s="6" t="s">
        <v>186</v>
      </c>
      <c r="D66" s="7" t="s">
        <v>2261</v>
      </c>
      <c r="E66" s="8" t="s">
        <v>63</v>
      </c>
      <c r="F66" s="9" t="s">
        <v>17</v>
      </c>
      <c r="G66" s="10">
        <v>1</v>
      </c>
      <c r="H66" s="11">
        <v>46153</v>
      </c>
      <c r="I66" s="12" t="s">
        <v>2262</v>
      </c>
      <c r="J66" s="13" t="s">
        <v>30</v>
      </c>
      <c r="K66" s="14" t="str">
        <f>HYPERLINK("http://mpro.prangroup.com:4000/CreativeWorks/Edit/33161","Open")</f>
        <v>Open</v>
      </c>
    </row>
    <row r="67" spans="1:11" ht="13.2">
      <c r="A67" s="4" t="s">
        <v>454</v>
      </c>
      <c r="B67" s="5" t="s">
        <v>32</v>
      </c>
      <c r="C67" s="6" t="s">
        <v>368</v>
      </c>
      <c r="D67" s="7" t="s">
        <v>1172</v>
      </c>
      <c r="E67" s="8" t="s">
        <v>302</v>
      </c>
      <c r="F67" s="9" t="s">
        <v>17</v>
      </c>
      <c r="G67" s="10">
        <v>1</v>
      </c>
      <c r="H67" s="11">
        <v>46155</v>
      </c>
      <c r="I67" s="12" t="s">
        <v>2263</v>
      </c>
      <c r="J67" s="13" t="s">
        <v>30</v>
      </c>
      <c r="K67" s="14" t="str">
        <f>HYPERLINK("http://mpro.prangroup.com:4000/CreativeWorks/Edit/33396","Open")</f>
        <v>Open</v>
      </c>
    </row>
    <row r="68" spans="1:11" ht="13.2">
      <c r="A68" s="4" t="s">
        <v>227</v>
      </c>
      <c r="B68" s="5" t="s">
        <v>60</v>
      </c>
      <c r="C68" s="6" t="s">
        <v>228</v>
      </c>
      <c r="D68" s="7" t="s">
        <v>2264</v>
      </c>
      <c r="E68" s="8" t="s">
        <v>1077</v>
      </c>
      <c r="F68" s="9" t="s">
        <v>17</v>
      </c>
      <c r="G68" s="10">
        <v>1</v>
      </c>
      <c r="H68" s="11">
        <v>46155</v>
      </c>
      <c r="I68" s="12" t="s">
        <v>2265</v>
      </c>
      <c r="J68" s="13" t="s">
        <v>30</v>
      </c>
      <c r="K68" s="14" t="str">
        <f>HYPERLINK("http://mpro.prangroup.com:4000/CreativeWorks/Edit/33358","Open")</f>
        <v>Open</v>
      </c>
    </row>
    <row r="69" spans="1:11" ht="13.2">
      <c r="A69" s="4" t="s">
        <v>353</v>
      </c>
      <c r="B69" s="5" t="s">
        <v>60</v>
      </c>
      <c r="C69" s="6" t="s">
        <v>228</v>
      </c>
      <c r="D69" s="7" t="s">
        <v>2266</v>
      </c>
      <c r="E69" s="8" t="s">
        <v>1077</v>
      </c>
      <c r="F69" s="9" t="s">
        <v>17</v>
      </c>
      <c r="G69" s="10">
        <v>1</v>
      </c>
      <c r="H69" s="11">
        <v>46155</v>
      </c>
      <c r="I69" s="12" t="s">
        <v>2267</v>
      </c>
      <c r="J69" s="13" t="s">
        <v>30</v>
      </c>
      <c r="K69" s="14" t="str">
        <f>HYPERLINK("http://mpro.prangroup.com:4000/CreativeWorks/Edit/33349","Open")</f>
        <v>Open</v>
      </c>
    </row>
    <row r="70" spans="1:11" ht="13.2">
      <c r="A70" s="4" t="s">
        <v>138</v>
      </c>
      <c r="B70" s="5" t="s">
        <v>139</v>
      </c>
      <c r="C70" s="6" t="s">
        <v>166</v>
      </c>
      <c r="D70" s="7" t="s">
        <v>2268</v>
      </c>
      <c r="E70" s="8" t="s">
        <v>1077</v>
      </c>
      <c r="F70" s="9" t="s">
        <v>17</v>
      </c>
      <c r="G70" s="10">
        <v>1</v>
      </c>
      <c r="H70" s="11">
        <v>46155</v>
      </c>
      <c r="I70" s="12" t="s">
        <v>2269</v>
      </c>
      <c r="J70" s="13" t="s">
        <v>30</v>
      </c>
      <c r="K70" s="14" t="str">
        <f>HYPERLINK("http://mpro.prangroup.com:4000/CreativeWorks/Edit/33348","Open")</f>
        <v>Open</v>
      </c>
    </row>
    <row r="71" spans="1:11" ht="13.2">
      <c r="A71" s="4" t="s">
        <v>454</v>
      </c>
      <c r="B71" s="5" t="s">
        <v>32</v>
      </c>
      <c r="C71" s="6" t="s">
        <v>166</v>
      </c>
      <c r="D71" s="7" t="s">
        <v>2270</v>
      </c>
      <c r="E71" s="8" t="s">
        <v>1077</v>
      </c>
      <c r="F71" s="9" t="s">
        <v>17</v>
      </c>
      <c r="G71" s="10">
        <v>1</v>
      </c>
      <c r="H71" s="11">
        <v>46155</v>
      </c>
      <c r="I71" s="12" t="s">
        <v>2271</v>
      </c>
      <c r="J71" s="13" t="s">
        <v>30</v>
      </c>
      <c r="K71" s="14" t="str">
        <f>HYPERLINK("http://mpro.prangroup.com:4000/CreativeWorks/Edit/33352","Open")</f>
        <v>Open</v>
      </c>
    </row>
    <row r="72" spans="1:11" ht="13.2">
      <c r="A72" s="4" t="s">
        <v>138</v>
      </c>
      <c r="B72" s="5" t="s">
        <v>139</v>
      </c>
      <c r="C72" s="6" t="s">
        <v>166</v>
      </c>
      <c r="D72" s="7" t="s">
        <v>2268</v>
      </c>
      <c r="E72" s="8" t="s">
        <v>63</v>
      </c>
      <c r="F72" s="9" t="s">
        <v>17</v>
      </c>
      <c r="G72" s="10">
        <v>1</v>
      </c>
      <c r="H72" s="11">
        <v>46155</v>
      </c>
      <c r="I72" s="12" t="s">
        <v>2269</v>
      </c>
      <c r="J72" s="13" t="s">
        <v>30</v>
      </c>
      <c r="K72" s="14" t="str">
        <f>HYPERLINK("http://mpro.prangroup.com:4000/CreativeWorks/Edit/33348","Open")</f>
        <v>Open</v>
      </c>
    </row>
    <row r="73" spans="1:11" ht="13.2">
      <c r="A73" s="4" t="s">
        <v>395</v>
      </c>
      <c r="B73" s="5" t="s">
        <v>185</v>
      </c>
      <c r="C73" s="6" t="s">
        <v>166</v>
      </c>
      <c r="D73" s="7" t="s">
        <v>2272</v>
      </c>
      <c r="E73" s="8" t="s">
        <v>63</v>
      </c>
      <c r="F73" s="9" t="s">
        <v>17</v>
      </c>
      <c r="G73" s="10">
        <v>2</v>
      </c>
      <c r="H73" s="11">
        <v>46155</v>
      </c>
      <c r="I73" s="12" t="s">
        <v>2273</v>
      </c>
      <c r="J73" s="13" t="s">
        <v>30</v>
      </c>
      <c r="K73" s="14" t="str">
        <f>HYPERLINK("http://mpro.prangroup.com:4000/CreativeWorks/Edit/33371","Open")</f>
        <v>Open</v>
      </c>
    </row>
    <row r="74" spans="1:11" ht="13.2">
      <c r="A74" s="4" t="s">
        <v>395</v>
      </c>
      <c r="B74" s="5" t="s">
        <v>185</v>
      </c>
      <c r="C74" s="6" t="s">
        <v>166</v>
      </c>
      <c r="D74" s="7" t="s">
        <v>2274</v>
      </c>
      <c r="E74" s="8" t="s">
        <v>302</v>
      </c>
      <c r="F74" s="9" t="s">
        <v>17</v>
      </c>
      <c r="G74" s="10">
        <v>3</v>
      </c>
      <c r="H74" s="11">
        <v>46155</v>
      </c>
      <c r="I74" s="12" t="s">
        <v>2275</v>
      </c>
      <c r="J74" s="13" t="s">
        <v>30</v>
      </c>
      <c r="K74" s="14" t="str">
        <f>HYPERLINK("http://mpro.prangroup.com:4000/CreativeWorks/Edit/33368","Open")</f>
        <v>Open</v>
      </c>
    </row>
    <row r="75" spans="1:11" ht="13.2">
      <c r="A75" s="4" t="s">
        <v>2276</v>
      </c>
      <c r="B75" s="5" t="s">
        <v>41</v>
      </c>
      <c r="C75" s="6" t="s">
        <v>1685</v>
      </c>
      <c r="D75" s="7" t="s">
        <v>2277</v>
      </c>
      <c r="E75" s="8" t="s">
        <v>1373</v>
      </c>
      <c r="F75" s="9" t="s">
        <v>17</v>
      </c>
      <c r="G75" s="10">
        <v>1</v>
      </c>
      <c r="H75" s="11">
        <v>46155</v>
      </c>
      <c r="I75" s="12" t="s">
        <v>2278</v>
      </c>
      <c r="J75" s="13" t="s">
        <v>30</v>
      </c>
      <c r="K75" s="14" t="str">
        <f>HYPERLINK("http://mpro.prangroup.com:4000/CreativeWorks/Edit/33350","Open")</f>
        <v>Open</v>
      </c>
    </row>
    <row r="76" spans="1:11" ht="13.2">
      <c r="A76" s="4" t="s">
        <v>148</v>
      </c>
      <c r="B76" s="5" t="s">
        <v>144</v>
      </c>
      <c r="C76" s="6" t="s">
        <v>186</v>
      </c>
      <c r="D76" s="7" t="s">
        <v>2279</v>
      </c>
      <c r="E76" s="8" t="s">
        <v>1373</v>
      </c>
      <c r="F76" s="9" t="s">
        <v>17</v>
      </c>
      <c r="G76" s="10">
        <v>4</v>
      </c>
      <c r="H76" s="11">
        <v>46155</v>
      </c>
      <c r="I76" s="12" t="s">
        <v>2280</v>
      </c>
      <c r="J76" s="13" t="s">
        <v>30</v>
      </c>
      <c r="K76" s="14" t="str">
        <f>HYPERLINK("http://mpro.prangroup.com:4000/CreativeWorks/Edit/33364","Open")</f>
        <v>Open</v>
      </c>
    </row>
    <row r="77" spans="1:11" ht="13.2">
      <c r="A77" s="4" t="s">
        <v>138</v>
      </c>
      <c r="B77" s="5" t="s">
        <v>139</v>
      </c>
      <c r="C77" s="6" t="s">
        <v>166</v>
      </c>
      <c r="D77" s="7" t="s">
        <v>2281</v>
      </c>
      <c r="E77" s="8" t="s">
        <v>63</v>
      </c>
      <c r="F77" s="9" t="s">
        <v>17</v>
      </c>
      <c r="G77" s="10">
        <v>8</v>
      </c>
      <c r="H77" s="11">
        <v>46156</v>
      </c>
      <c r="I77" s="12" t="s">
        <v>2282</v>
      </c>
      <c r="J77" s="13" t="s">
        <v>30</v>
      </c>
      <c r="K77" s="14" t="str">
        <f>HYPERLINK("http://mpro.prangroup.com:4000/CreativeWorks/Edit/33493","Open")</f>
        <v>Open</v>
      </c>
    </row>
    <row r="78" spans="1:11" ht="13.2">
      <c r="A78" s="4" t="s">
        <v>919</v>
      </c>
      <c r="B78" s="5" t="s">
        <v>32</v>
      </c>
      <c r="C78" s="6" t="s">
        <v>275</v>
      </c>
      <c r="D78" s="7" t="s">
        <v>2283</v>
      </c>
      <c r="E78" s="8" t="s">
        <v>505</v>
      </c>
      <c r="F78" s="9" t="s">
        <v>17</v>
      </c>
      <c r="G78" s="10">
        <v>1</v>
      </c>
      <c r="H78" s="11">
        <v>46158</v>
      </c>
      <c r="I78" s="12" t="s">
        <v>2284</v>
      </c>
      <c r="J78" s="13" t="s">
        <v>30</v>
      </c>
      <c r="K78" s="14" t="str">
        <f>HYPERLINK("http://mpro.prangroup.com:4000/CreativeWorks/Edit/33598","Open")</f>
        <v>Open</v>
      </c>
    </row>
    <row r="79" spans="1:11" ht="13.2">
      <c r="A79" s="4" t="s">
        <v>867</v>
      </c>
      <c r="B79" s="5" t="s">
        <v>60</v>
      </c>
      <c r="C79" s="6" t="s">
        <v>275</v>
      </c>
      <c r="D79" s="7" t="s">
        <v>2285</v>
      </c>
      <c r="E79" s="8" t="s">
        <v>63</v>
      </c>
      <c r="F79" s="9" t="s">
        <v>17</v>
      </c>
      <c r="G79" s="10">
        <v>1</v>
      </c>
      <c r="H79" s="11">
        <v>46158</v>
      </c>
      <c r="I79" s="12" t="s">
        <v>2286</v>
      </c>
      <c r="J79" s="13" t="s">
        <v>30</v>
      </c>
      <c r="K79" s="14" t="str">
        <f>HYPERLINK("http://mpro.prangroup.com:4000/CreativeWorks/Edit/33600","Open")</f>
        <v>Open</v>
      </c>
    </row>
    <row r="80" spans="1:11" ht="13.2">
      <c r="A80" s="4" t="s">
        <v>138</v>
      </c>
      <c r="B80" s="5" t="s">
        <v>139</v>
      </c>
      <c r="C80" s="6" t="s">
        <v>166</v>
      </c>
      <c r="D80" s="7" t="s">
        <v>2287</v>
      </c>
      <c r="E80" s="8" t="s">
        <v>1077</v>
      </c>
      <c r="F80" s="9" t="s">
        <v>17</v>
      </c>
      <c r="G80" s="10">
        <v>2</v>
      </c>
      <c r="H80" s="11">
        <v>46158</v>
      </c>
      <c r="I80" s="12" t="s">
        <v>2288</v>
      </c>
      <c r="J80" s="13" t="s">
        <v>30</v>
      </c>
      <c r="K80" s="14" t="str">
        <f>HYPERLINK("http://mpro.prangroup.com:4000/CreativeWorks/Edit/33634","Open")</f>
        <v>Open</v>
      </c>
    </row>
    <row r="81" spans="1:11" ht="13.2">
      <c r="A81" s="4" t="s">
        <v>2289</v>
      </c>
      <c r="B81" s="5" t="s">
        <v>729</v>
      </c>
      <c r="C81" s="6" t="s">
        <v>228</v>
      </c>
      <c r="D81" s="7" t="s">
        <v>2290</v>
      </c>
      <c r="E81" s="8" t="s">
        <v>1077</v>
      </c>
      <c r="F81" s="9" t="s">
        <v>17</v>
      </c>
      <c r="G81" s="10">
        <v>4</v>
      </c>
      <c r="H81" s="11">
        <v>46159</v>
      </c>
      <c r="I81" s="12" t="s">
        <v>2291</v>
      </c>
      <c r="J81" s="13" t="s">
        <v>30</v>
      </c>
      <c r="K81" s="14" t="str">
        <f>HYPERLINK("http://mpro.prangroup.com:4000/CreativeWorks/Edit/33787","Open")</f>
        <v>Open</v>
      </c>
    </row>
    <row r="82" spans="1:11" ht="13.2">
      <c r="A82" s="4" t="s">
        <v>353</v>
      </c>
      <c r="B82" s="5" t="s">
        <v>60</v>
      </c>
      <c r="C82" s="6" t="s">
        <v>228</v>
      </c>
      <c r="D82" s="7" t="s">
        <v>1197</v>
      </c>
      <c r="E82" s="8" t="s">
        <v>63</v>
      </c>
      <c r="F82" s="9" t="s">
        <v>17</v>
      </c>
      <c r="G82" s="10">
        <v>12</v>
      </c>
      <c r="H82" s="11">
        <v>46159</v>
      </c>
      <c r="I82" s="12" t="s">
        <v>2292</v>
      </c>
      <c r="J82" s="13" t="s">
        <v>30</v>
      </c>
      <c r="K82" s="14" t="str">
        <f t="shared" ref="K82:K83" si="3">HYPERLINK("http://mpro.prangroup.com:4000/CreativeWorks/Edit/33788","Open")</f>
        <v>Open</v>
      </c>
    </row>
    <row r="83" spans="1:11" ht="13.2">
      <c r="A83" s="4" t="s">
        <v>353</v>
      </c>
      <c r="B83" s="5" t="s">
        <v>60</v>
      </c>
      <c r="C83" s="6" t="s">
        <v>228</v>
      </c>
      <c r="D83" s="7" t="s">
        <v>1197</v>
      </c>
      <c r="E83" s="8" t="s">
        <v>302</v>
      </c>
      <c r="F83" s="9" t="s">
        <v>17</v>
      </c>
      <c r="G83" s="10">
        <v>6</v>
      </c>
      <c r="H83" s="11">
        <v>46159</v>
      </c>
      <c r="I83" s="12" t="s">
        <v>2292</v>
      </c>
      <c r="J83" s="13" t="s">
        <v>30</v>
      </c>
      <c r="K83" s="14" t="str">
        <f t="shared" si="3"/>
        <v>Open</v>
      </c>
    </row>
    <row r="84" spans="1:11" ht="13.2">
      <c r="A84" s="4" t="s">
        <v>464</v>
      </c>
      <c r="B84" s="5" t="s">
        <v>170</v>
      </c>
      <c r="C84" s="6" t="s">
        <v>275</v>
      </c>
      <c r="D84" s="7" t="s">
        <v>2293</v>
      </c>
      <c r="E84" s="8" t="s">
        <v>505</v>
      </c>
      <c r="F84" s="9" t="s">
        <v>17</v>
      </c>
      <c r="G84" s="10">
        <v>4</v>
      </c>
      <c r="H84" s="11">
        <v>46159</v>
      </c>
      <c r="I84" s="12" t="s">
        <v>2294</v>
      </c>
      <c r="J84" s="13" t="s">
        <v>30</v>
      </c>
      <c r="K84" s="14" t="str">
        <f>HYPERLINK("http://mpro.prangroup.com:4000/CreativeWorks/Edit/33694","Open")</f>
        <v>Open</v>
      </c>
    </row>
    <row r="85" spans="1:11" ht="13.2">
      <c r="A85" s="4" t="s">
        <v>2295</v>
      </c>
      <c r="B85" s="5" t="s">
        <v>60</v>
      </c>
      <c r="C85" s="6" t="s">
        <v>275</v>
      </c>
      <c r="D85" s="7" t="s">
        <v>2296</v>
      </c>
      <c r="E85" s="8" t="s">
        <v>1077</v>
      </c>
      <c r="F85" s="9" t="s">
        <v>17</v>
      </c>
      <c r="G85" s="10">
        <v>4</v>
      </c>
      <c r="H85" s="11">
        <v>46159</v>
      </c>
      <c r="I85" s="12" t="s">
        <v>2297</v>
      </c>
      <c r="J85" s="13" t="s">
        <v>30</v>
      </c>
      <c r="K85" s="14" t="str">
        <f>HYPERLINK("http://mpro.prangroup.com:4000/CreativeWorks/Edit/33792","Open")</f>
        <v>Open</v>
      </c>
    </row>
    <row r="86" spans="1:11" ht="13.2">
      <c r="A86" s="4" t="s">
        <v>2298</v>
      </c>
      <c r="B86" s="5" t="s">
        <v>60</v>
      </c>
      <c r="C86" s="6" t="s">
        <v>275</v>
      </c>
      <c r="D86" s="7" t="s">
        <v>2299</v>
      </c>
      <c r="E86" s="8" t="s">
        <v>1077</v>
      </c>
      <c r="F86" s="9" t="s">
        <v>17</v>
      </c>
      <c r="G86" s="10">
        <v>4</v>
      </c>
      <c r="H86" s="11">
        <v>46159</v>
      </c>
      <c r="I86" s="12" t="s">
        <v>2300</v>
      </c>
      <c r="J86" s="13" t="s">
        <v>30</v>
      </c>
      <c r="K86" s="14" t="str">
        <f>HYPERLINK("http://mpro.prangroup.com:4000/CreativeWorks/Edit/33789","Open")</f>
        <v>Open</v>
      </c>
    </row>
    <row r="87" spans="1:11" ht="13.2">
      <c r="A87" s="4" t="s">
        <v>2295</v>
      </c>
      <c r="B87" s="5" t="s">
        <v>60</v>
      </c>
      <c r="C87" s="6" t="s">
        <v>275</v>
      </c>
      <c r="D87" s="7" t="s">
        <v>2296</v>
      </c>
      <c r="E87" s="8" t="s">
        <v>63</v>
      </c>
      <c r="F87" s="9" t="s">
        <v>17</v>
      </c>
      <c r="G87" s="10">
        <v>1</v>
      </c>
      <c r="H87" s="11">
        <v>46159</v>
      </c>
      <c r="I87" s="12" t="s">
        <v>2297</v>
      </c>
      <c r="J87" s="13" t="s">
        <v>30</v>
      </c>
      <c r="K87" s="14" t="str">
        <f>HYPERLINK("http://mpro.prangroup.com:4000/CreativeWorks/Edit/33792","Open")</f>
        <v>Open</v>
      </c>
    </row>
    <row r="88" spans="1:11" ht="13.2">
      <c r="A88" s="4" t="s">
        <v>2298</v>
      </c>
      <c r="B88" s="5" t="s">
        <v>60</v>
      </c>
      <c r="C88" s="6" t="s">
        <v>275</v>
      </c>
      <c r="D88" s="7" t="s">
        <v>2299</v>
      </c>
      <c r="E88" s="8" t="s">
        <v>63</v>
      </c>
      <c r="F88" s="9" t="s">
        <v>17</v>
      </c>
      <c r="G88" s="10">
        <v>2</v>
      </c>
      <c r="H88" s="11">
        <v>46159</v>
      </c>
      <c r="I88" s="12" t="s">
        <v>2300</v>
      </c>
      <c r="J88" s="13" t="s">
        <v>30</v>
      </c>
      <c r="K88" s="14" t="str">
        <f>HYPERLINK("http://mpro.prangroup.com:4000/CreativeWorks/Edit/33789","Open")</f>
        <v>Open</v>
      </c>
    </row>
    <row r="89" spans="1:11" ht="13.2">
      <c r="A89" s="4" t="s">
        <v>563</v>
      </c>
      <c r="B89" s="5" t="s">
        <v>60</v>
      </c>
      <c r="C89" s="6" t="s">
        <v>275</v>
      </c>
      <c r="D89" s="7" t="s">
        <v>2301</v>
      </c>
      <c r="E89" s="8" t="s">
        <v>1077</v>
      </c>
      <c r="F89" s="9" t="s">
        <v>17</v>
      </c>
      <c r="G89" s="10">
        <v>4</v>
      </c>
      <c r="H89" s="11">
        <v>46160</v>
      </c>
      <c r="I89" s="12" t="s">
        <v>2302</v>
      </c>
      <c r="J89" s="13" t="s">
        <v>30</v>
      </c>
      <c r="K89" s="14" t="str">
        <f>HYPERLINK("http://mpro.prangroup.com:4000/CreativeWorks/Edit/33842","Open")</f>
        <v>Open</v>
      </c>
    </row>
    <row r="90" spans="1:11" ht="13.2">
      <c r="A90" s="4" t="s">
        <v>429</v>
      </c>
      <c r="B90" s="5" t="s">
        <v>41</v>
      </c>
      <c r="C90" s="6" t="s">
        <v>275</v>
      </c>
      <c r="D90" s="7" t="s">
        <v>2303</v>
      </c>
      <c r="E90" s="8" t="s">
        <v>1077</v>
      </c>
      <c r="F90" s="9" t="s">
        <v>17</v>
      </c>
      <c r="G90" s="10">
        <v>4</v>
      </c>
      <c r="H90" s="11">
        <v>46160</v>
      </c>
      <c r="I90" s="12" t="s">
        <v>2304</v>
      </c>
      <c r="J90" s="13" t="s">
        <v>30</v>
      </c>
      <c r="K90" s="14" t="str">
        <f>HYPERLINK("http://mpro.prangroup.com:4000/CreativeWorks/Edit/33845","Open")</f>
        <v>Open</v>
      </c>
    </row>
    <row r="91" spans="1:11" ht="13.2">
      <c r="A91" s="4" t="s">
        <v>563</v>
      </c>
      <c r="B91" s="5" t="s">
        <v>60</v>
      </c>
      <c r="C91" s="6" t="s">
        <v>275</v>
      </c>
      <c r="D91" s="7" t="s">
        <v>2301</v>
      </c>
      <c r="E91" s="8" t="s">
        <v>63</v>
      </c>
      <c r="F91" s="9" t="s">
        <v>17</v>
      </c>
      <c r="G91" s="10">
        <v>1</v>
      </c>
      <c r="H91" s="11">
        <v>46160</v>
      </c>
      <c r="I91" s="12" t="s">
        <v>2302</v>
      </c>
      <c r="J91" s="13" t="s">
        <v>30</v>
      </c>
      <c r="K91" s="14" t="str">
        <f>HYPERLINK("http://mpro.prangroup.com:4000/CreativeWorks/Edit/33842","Open")</f>
        <v>Open</v>
      </c>
    </row>
    <row r="92" spans="1:11" ht="13.2">
      <c r="A92" s="4" t="s">
        <v>429</v>
      </c>
      <c r="B92" s="5" t="s">
        <v>41</v>
      </c>
      <c r="C92" s="6" t="s">
        <v>275</v>
      </c>
      <c r="D92" s="7" t="s">
        <v>2303</v>
      </c>
      <c r="E92" s="8" t="s">
        <v>63</v>
      </c>
      <c r="F92" s="9" t="s">
        <v>17</v>
      </c>
      <c r="G92" s="10">
        <v>1</v>
      </c>
      <c r="H92" s="11">
        <v>46160</v>
      </c>
      <c r="I92" s="12" t="s">
        <v>2304</v>
      </c>
      <c r="J92" s="13" t="s">
        <v>30</v>
      </c>
      <c r="K92" s="14" t="str">
        <f>HYPERLINK("http://mpro.prangroup.com:4000/CreativeWorks/Edit/33845","Open")</f>
        <v>Open</v>
      </c>
    </row>
    <row r="93" spans="1:11" ht="13.2">
      <c r="A93" s="4" t="s">
        <v>2276</v>
      </c>
      <c r="B93" s="5" t="s">
        <v>41</v>
      </c>
      <c r="C93" s="6" t="s">
        <v>166</v>
      </c>
      <c r="D93" s="7" t="s">
        <v>2305</v>
      </c>
      <c r="E93" s="8" t="s">
        <v>63</v>
      </c>
      <c r="F93" s="9" t="s">
        <v>17</v>
      </c>
      <c r="G93" s="10">
        <v>1</v>
      </c>
      <c r="H93" s="11">
        <v>46160</v>
      </c>
      <c r="I93" s="12" t="s">
        <v>2306</v>
      </c>
      <c r="J93" s="13" t="s">
        <v>30</v>
      </c>
      <c r="K93" s="14" t="str">
        <f>HYPERLINK("http://mpro.prangroup.com:4000/CreativeWorks/Edit/33872","Open")</f>
        <v>Open</v>
      </c>
    </row>
    <row r="94" spans="1:11" ht="13.2">
      <c r="A94" s="4" t="s">
        <v>138</v>
      </c>
      <c r="B94" s="5" t="s">
        <v>139</v>
      </c>
      <c r="C94" s="6" t="s">
        <v>166</v>
      </c>
      <c r="D94" s="7" t="s">
        <v>2307</v>
      </c>
      <c r="E94" s="8" t="s">
        <v>63</v>
      </c>
      <c r="F94" s="9" t="s">
        <v>17</v>
      </c>
      <c r="G94" s="10">
        <v>1</v>
      </c>
      <c r="H94" s="11">
        <v>46161</v>
      </c>
      <c r="I94" s="12" t="s">
        <v>2308</v>
      </c>
      <c r="J94" s="13" t="s">
        <v>30</v>
      </c>
      <c r="K94" s="14" t="str">
        <f>HYPERLINK("http://mpro.prangroup.com:4000/CreativeWorks/Edit/33971","Open")</f>
        <v>Open</v>
      </c>
    </row>
    <row r="95" spans="1:11" ht="13.2">
      <c r="A95" s="4" t="s">
        <v>2309</v>
      </c>
      <c r="B95" s="5" t="s">
        <v>60</v>
      </c>
      <c r="C95" s="6" t="s">
        <v>186</v>
      </c>
      <c r="D95" s="7" t="s">
        <v>2310</v>
      </c>
      <c r="E95" s="8" t="s">
        <v>2311</v>
      </c>
      <c r="F95" s="9" t="s">
        <v>17</v>
      </c>
      <c r="G95" s="10">
        <v>2</v>
      </c>
      <c r="H95" s="11">
        <v>46161</v>
      </c>
      <c r="I95" s="12" t="s">
        <v>2312</v>
      </c>
      <c r="J95" s="13" t="s">
        <v>30</v>
      </c>
      <c r="K95" s="14" t="str">
        <f>HYPERLINK("http://mpro.prangroup.com:4000/CreativeWorks/Edit/34051","Open")</f>
        <v>Open</v>
      </c>
    </row>
    <row r="96" spans="1:11" ht="13.2">
      <c r="A96" s="4" t="s">
        <v>1044</v>
      </c>
      <c r="B96" s="5" t="s">
        <v>170</v>
      </c>
      <c r="C96" s="6" t="s">
        <v>228</v>
      </c>
      <c r="D96" s="7" t="s">
        <v>2313</v>
      </c>
      <c r="E96" s="8" t="s">
        <v>1077</v>
      </c>
      <c r="F96" s="9" t="s">
        <v>17</v>
      </c>
      <c r="G96" s="10">
        <v>4</v>
      </c>
      <c r="H96" s="11">
        <v>46162</v>
      </c>
      <c r="I96" s="12" t="s">
        <v>2314</v>
      </c>
      <c r="J96" s="13" t="s">
        <v>30</v>
      </c>
      <c r="K96" s="14" t="str">
        <f>HYPERLINK("http://mpro.prangroup.com:4000/CreativeWorks/Edit/34131","Open")</f>
        <v>Open</v>
      </c>
    </row>
    <row r="97" spans="1:11" ht="13.2">
      <c r="A97" s="4" t="s">
        <v>563</v>
      </c>
      <c r="B97" s="5" t="s">
        <v>60</v>
      </c>
      <c r="C97" s="6" t="s">
        <v>275</v>
      </c>
      <c r="D97" s="7" t="s">
        <v>564</v>
      </c>
      <c r="E97" s="8" t="s">
        <v>1077</v>
      </c>
      <c r="F97" s="9" t="s">
        <v>17</v>
      </c>
      <c r="G97" s="10">
        <v>4</v>
      </c>
      <c r="H97" s="11">
        <v>46162</v>
      </c>
      <c r="I97" s="12" t="s">
        <v>2315</v>
      </c>
      <c r="J97" s="13" t="s">
        <v>30</v>
      </c>
      <c r="K97" s="14" t="str">
        <f t="shared" ref="K97:K98" si="4">HYPERLINK("http://mpro.prangroup.com:4000/CreativeWorks/Edit/34202","Open")</f>
        <v>Open</v>
      </c>
    </row>
    <row r="98" spans="1:11" ht="13.2">
      <c r="A98" s="4" t="s">
        <v>563</v>
      </c>
      <c r="B98" s="5" t="s">
        <v>60</v>
      </c>
      <c r="C98" s="6" t="s">
        <v>275</v>
      </c>
      <c r="D98" s="7" t="s">
        <v>564</v>
      </c>
      <c r="E98" s="8" t="s">
        <v>63</v>
      </c>
      <c r="F98" s="9" t="s">
        <v>17</v>
      </c>
      <c r="G98" s="10">
        <v>1</v>
      </c>
      <c r="H98" s="11">
        <v>46162</v>
      </c>
      <c r="I98" s="12" t="s">
        <v>2315</v>
      </c>
      <c r="J98" s="13" t="s">
        <v>30</v>
      </c>
      <c r="K98" s="14" t="str">
        <f t="shared" si="4"/>
        <v>Open</v>
      </c>
    </row>
    <row r="99" spans="1:11" ht="13.2">
      <c r="A99" s="4" t="s">
        <v>907</v>
      </c>
      <c r="B99" s="5" t="s">
        <v>60</v>
      </c>
      <c r="C99" s="6" t="s">
        <v>228</v>
      </c>
      <c r="D99" s="7" t="s">
        <v>2316</v>
      </c>
      <c r="E99" s="8" t="s">
        <v>302</v>
      </c>
      <c r="F99" s="9" t="s">
        <v>17</v>
      </c>
      <c r="G99" s="10">
        <v>8</v>
      </c>
      <c r="H99" s="11">
        <v>46163</v>
      </c>
      <c r="I99" s="12" t="s">
        <v>2317</v>
      </c>
      <c r="J99" s="13" t="s">
        <v>30</v>
      </c>
      <c r="K99" s="14" t="str">
        <f>HYPERLINK("http://mpro.prangroup.com:4000/CreativeWorks/Edit/34370","Open")</f>
        <v>Open</v>
      </c>
    </row>
    <row r="100" spans="1:11" ht="13.2">
      <c r="A100" s="4" t="s">
        <v>745</v>
      </c>
      <c r="B100" s="5" t="s">
        <v>41</v>
      </c>
      <c r="C100" s="6" t="s">
        <v>746</v>
      </c>
      <c r="D100" s="7" t="s">
        <v>2318</v>
      </c>
      <c r="E100" s="8" t="s">
        <v>63</v>
      </c>
      <c r="F100" s="9" t="s">
        <v>17</v>
      </c>
      <c r="G100" s="10">
        <v>1</v>
      </c>
      <c r="H100" s="11">
        <v>46164</v>
      </c>
      <c r="I100" s="12" t="s">
        <v>2319</v>
      </c>
      <c r="J100" s="13" t="s">
        <v>30</v>
      </c>
      <c r="K100" s="14" t="str">
        <f>HYPERLINK("http://mpro.prangroup.com:4000/CreativeWorks/Edit/34476","Open")</f>
        <v>Open</v>
      </c>
    </row>
    <row r="101" spans="1:11" ht="13.2">
      <c r="A101" s="4" t="s">
        <v>1396</v>
      </c>
      <c r="B101" s="5" t="s">
        <v>916</v>
      </c>
      <c r="C101" s="6" t="s">
        <v>746</v>
      </c>
      <c r="D101" s="7" t="s">
        <v>2320</v>
      </c>
      <c r="E101" s="8" t="s">
        <v>63</v>
      </c>
      <c r="F101" s="9" t="s">
        <v>17</v>
      </c>
      <c r="G101" s="10">
        <v>1</v>
      </c>
      <c r="H101" s="11">
        <v>46164</v>
      </c>
      <c r="I101" s="12" t="s">
        <v>2321</v>
      </c>
      <c r="J101" s="13" t="s">
        <v>30</v>
      </c>
      <c r="K101" s="14" t="str">
        <f>HYPERLINK("http://mpro.prangroup.com:4000/CreativeWorks/Edit/34475","Open")</f>
        <v>Open</v>
      </c>
    </row>
    <row r="102" spans="1:11" ht="13.2">
      <c r="A102" s="4" t="s">
        <v>240</v>
      </c>
      <c r="B102" s="5" t="s">
        <v>60</v>
      </c>
      <c r="C102" s="6" t="s">
        <v>228</v>
      </c>
      <c r="D102" s="7" t="s">
        <v>2322</v>
      </c>
      <c r="E102" s="8" t="s">
        <v>302</v>
      </c>
      <c r="F102" s="9" t="s">
        <v>17</v>
      </c>
      <c r="G102" s="10">
        <v>1</v>
      </c>
      <c r="H102" s="11">
        <v>46164</v>
      </c>
      <c r="I102" s="12" t="s">
        <v>2323</v>
      </c>
      <c r="J102" s="13" t="s">
        <v>30</v>
      </c>
      <c r="K102" s="14" t="str">
        <f>HYPERLINK("http://mpro.prangroup.com:4000/CreativeWorks/Edit/34473","Open")</f>
        <v>Open</v>
      </c>
    </row>
    <row r="103" spans="1:11" ht="13.2">
      <c r="A103" s="4" t="s">
        <v>202</v>
      </c>
      <c r="B103" s="5" t="s">
        <v>202</v>
      </c>
      <c r="C103" s="6" t="s">
        <v>203</v>
      </c>
      <c r="D103" s="7" t="s">
        <v>1201</v>
      </c>
      <c r="E103" s="8" t="s">
        <v>63</v>
      </c>
      <c r="F103" s="9" t="s">
        <v>17</v>
      </c>
      <c r="G103" s="10">
        <v>1</v>
      </c>
      <c r="H103" s="11">
        <v>46165</v>
      </c>
      <c r="I103" s="12" t="s">
        <v>2324</v>
      </c>
      <c r="J103" s="13" t="s">
        <v>30</v>
      </c>
      <c r="K103" s="14" t="str">
        <f>HYPERLINK("http://mpro.prangroup.com:4000/CreativeWorks/Edit/34653","Open")</f>
        <v>Open</v>
      </c>
    </row>
    <row r="104" spans="1:11" ht="13.2">
      <c r="A104" s="4" t="s">
        <v>227</v>
      </c>
      <c r="B104" s="5" t="s">
        <v>60</v>
      </c>
      <c r="C104" s="6" t="s">
        <v>228</v>
      </c>
      <c r="D104" s="7" t="s">
        <v>574</v>
      </c>
      <c r="E104" s="8" t="s">
        <v>302</v>
      </c>
      <c r="F104" s="9" t="s">
        <v>17</v>
      </c>
      <c r="G104" s="10">
        <v>4</v>
      </c>
      <c r="H104" s="11">
        <v>46166</v>
      </c>
      <c r="I104" s="12" t="s">
        <v>2325</v>
      </c>
      <c r="J104" s="13" t="s">
        <v>30</v>
      </c>
      <c r="K104" s="14" t="str">
        <f>HYPERLINK("http://mpro.prangroup.com:4000/CreativeWorks/Edit/34863","Open")</f>
        <v>Open</v>
      </c>
    </row>
    <row r="105" spans="1:11" ht="13.2">
      <c r="A105" s="4" t="s">
        <v>919</v>
      </c>
      <c r="B105" s="5" t="s">
        <v>32</v>
      </c>
      <c r="C105" s="6" t="s">
        <v>228</v>
      </c>
      <c r="D105" s="7" t="s">
        <v>2209</v>
      </c>
      <c r="E105" s="8" t="s">
        <v>302</v>
      </c>
      <c r="F105" s="9" t="s">
        <v>17</v>
      </c>
      <c r="G105" s="10">
        <v>4</v>
      </c>
      <c r="H105" s="11">
        <v>46166</v>
      </c>
      <c r="I105" s="12" t="s">
        <v>2326</v>
      </c>
      <c r="J105" s="13" t="s">
        <v>30</v>
      </c>
      <c r="K105" s="14" t="str">
        <f>HYPERLINK("http://mpro.prangroup.com:4000/CreativeWorks/Edit/34921","Open")</f>
        <v>Open</v>
      </c>
    </row>
    <row r="106" spans="1:11" ht="13.2">
      <c r="A106" s="4" t="s">
        <v>1044</v>
      </c>
      <c r="B106" s="5" t="s">
        <v>170</v>
      </c>
      <c r="C106" s="6" t="s">
        <v>228</v>
      </c>
      <c r="D106" s="7" t="s">
        <v>2197</v>
      </c>
      <c r="E106" s="8" t="s">
        <v>302</v>
      </c>
      <c r="F106" s="9" t="s">
        <v>17</v>
      </c>
      <c r="G106" s="10">
        <v>2</v>
      </c>
      <c r="H106" s="11">
        <v>46166</v>
      </c>
      <c r="I106" s="12" t="s">
        <v>2327</v>
      </c>
      <c r="J106" s="13" t="s">
        <v>30</v>
      </c>
      <c r="K106" s="14" t="str">
        <f>HYPERLINK("http://mpro.prangroup.com:4000/CreativeWorks/Edit/34925","Open")</f>
        <v>Open</v>
      </c>
    </row>
    <row r="107" spans="1:11" ht="13.2">
      <c r="A107" s="4" t="s">
        <v>919</v>
      </c>
      <c r="B107" s="5" t="s">
        <v>32</v>
      </c>
      <c r="C107" s="6" t="s">
        <v>275</v>
      </c>
      <c r="D107" s="7" t="s">
        <v>2283</v>
      </c>
      <c r="E107" s="8" t="s">
        <v>63</v>
      </c>
      <c r="F107" s="9" t="s">
        <v>17</v>
      </c>
      <c r="G107" s="10">
        <v>1</v>
      </c>
      <c r="H107" s="11">
        <v>46166</v>
      </c>
      <c r="I107" s="12" t="s">
        <v>2328</v>
      </c>
      <c r="J107" s="13" t="s">
        <v>30</v>
      </c>
      <c r="K107" s="14" t="str">
        <f>HYPERLINK("http://mpro.prangroup.com:4000/CreativeWorks/Edit/34929","Open")</f>
        <v>Open</v>
      </c>
    </row>
    <row r="108" spans="1:11" ht="13.2">
      <c r="A108" s="4" t="s">
        <v>464</v>
      </c>
      <c r="B108" s="5" t="s">
        <v>170</v>
      </c>
      <c r="C108" s="6" t="s">
        <v>275</v>
      </c>
      <c r="D108" s="7" t="s">
        <v>2293</v>
      </c>
      <c r="E108" s="8" t="s">
        <v>63</v>
      </c>
      <c r="F108" s="9" t="s">
        <v>17</v>
      </c>
      <c r="G108" s="10">
        <v>4</v>
      </c>
      <c r="H108" s="11">
        <v>46166</v>
      </c>
      <c r="I108" s="12" t="s">
        <v>2329</v>
      </c>
      <c r="J108" s="13" t="s">
        <v>30</v>
      </c>
      <c r="K108" s="14" t="str">
        <f>HYPERLINK("http://mpro.prangroup.com:4000/CreativeWorks/Edit/34931","Open")</f>
        <v>Open</v>
      </c>
    </row>
    <row r="109" spans="1:11" ht="13.2">
      <c r="A109" s="4" t="s">
        <v>2176</v>
      </c>
      <c r="B109" s="5" t="s">
        <v>32</v>
      </c>
      <c r="C109" s="6" t="s">
        <v>186</v>
      </c>
      <c r="D109" s="7" t="s">
        <v>2177</v>
      </c>
      <c r="E109" s="8" t="s">
        <v>302</v>
      </c>
      <c r="F109" s="9" t="s">
        <v>17</v>
      </c>
      <c r="G109" s="10">
        <v>2</v>
      </c>
      <c r="H109" s="11">
        <v>46166</v>
      </c>
      <c r="I109" s="12" t="s">
        <v>2330</v>
      </c>
      <c r="J109" s="13" t="s">
        <v>30</v>
      </c>
      <c r="K109" s="14" t="str">
        <f>HYPERLINK("http://mpro.prangroup.com:4000/CreativeWorks/Edit/34932","Open")</f>
        <v>Open</v>
      </c>
    </row>
    <row r="110" spans="1:11" ht="13.2">
      <c r="A110" s="4" t="s">
        <v>563</v>
      </c>
      <c r="B110" s="5" t="s">
        <v>60</v>
      </c>
      <c r="C110" s="6" t="s">
        <v>275</v>
      </c>
      <c r="D110" s="7" t="s">
        <v>564</v>
      </c>
      <c r="E110" s="8" t="s">
        <v>63</v>
      </c>
      <c r="F110" s="9" t="s">
        <v>17</v>
      </c>
      <c r="G110" s="10">
        <v>1</v>
      </c>
      <c r="H110" s="11">
        <v>46174</v>
      </c>
      <c r="I110" s="12" t="s">
        <v>2331</v>
      </c>
      <c r="J110" s="13" t="s">
        <v>30</v>
      </c>
      <c r="K110" s="14" t="str">
        <f>HYPERLINK("http://mpro.prangroup.com:4000/CreativeWorks/Edit/35284","Open")</f>
        <v>Open</v>
      </c>
    </row>
    <row r="111" spans="1:11" ht="13.2">
      <c r="A111" s="4" t="s">
        <v>105</v>
      </c>
      <c r="B111" s="5" t="s">
        <v>60</v>
      </c>
      <c r="C111" s="6" t="s">
        <v>275</v>
      </c>
      <c r="D111" s="7" t="s">
        <v>585</v>
      </c>
      <c r="E111" s="8" t="s">
        <v>63</v>
      </c>
      <c r="F111" s="9" t="s">
        <v>17</v>
      </c>
      <c r="G111" s="10">
        <v>1</v>
      </c>
      <c r="H111" s="11">
        <v>46175</v>
      </c>
      <c r="I111" s="12" t="s">
        <v>2332</v>
      </c>
      <c r="J111" s="13" t="s">
        <v>30</v>
      </c>
      <c r="K111" s="14" t="str">
        <f>HYPERLINK("http://mpro.prangroup.com:4000/CreativeWorks/Edit/35348","Open")</f>
        <v>Open</v>
      </c>
    </row>
    <row r="112" spans="1:11" ht="13.2">
      <c r="A112" s="4" t="s">
        <v>148</v>
      </c>
      <c r="B112" s="5" t="s">
        <v>144</v>
      </c>
      <c r="C112" s="6" t="s">
        <v>186</v>
      </c>
      <c r="D112" s="7" t="s">
        <v>2333</v>
      </c>
      <c r="E112" s="8" t="s">
        <v>505</v>
      </c>
      <c r="F112" s="9" t="s">
        <v>17</v>
      </c>
      <c r="G112" s="10">
        <v>6</v>
      </c>
      <c r="H112" s="11">
        <v>46175</v>
      </c>
      <c r="I112" s="12" t="s">
        <v>2334</v>
      </c>
      <c r="J112" s="13" t="s">
        <v>30</v>
      </c>
      <c r="K112" s="14" t="str">
        <f>HYPERLINK("http://mpro.prangroup.com:4000/CreativeWorks/Edit/35331","Open")</f>
        <v>Open</v>
      </c>
    </row>
    <row r="113" spans="1:11" ht="13.2">
      <c r="A113" s="4" t="s">
        <v>148</v>
      </c>
      <c r="B113" s="5" t="s">
        <v>144</v>
      </c>
      <c r="C113" s="6" t="s">
        <v>186</v>
      </c>
      <c r="D113" s="7" t="s">
        <v>2333</v>
      </c>
      <c r="E113" s="8" t="s">
        <v>302</v>
      </c>
      <c r="F113" s="9" t="s">
        <v>17</v>
      </c>
      <c r="G113" s="10">
        <v>6</v>
      </c>
      <c r="H113" s="11">
        <v>46175</v>
      </c>
      <c r="I113" s="12" t="s">
        <v>2335</v>
      </c>
      <c r="J113" s="13" t="s">
        <v>30</v>
      </c>
      <c r="K113" s="14" t="str">
        <f>HYPERLINK("http://mpro.prangroup.com:4000/CreativeWorks/Edit/35329","Open")</f>
        <v>Open</v>
      </c>
    </row>
    <row r="114" spans="1:11" ht="13.2">
      <c r="A114" s="4" t="s">
        <v>148</v>
      </c>
      <c r="B114" s="5" t="s">
        <v>144</v>
      </c>
      <c r="C114" s="6" t="s">
        <v>186</v>
      </c>
      <c r="D114" s="7" t="s">
        <v>2336</v>
      </c>
      <c r="E114" s="8" t="s">
        <v>1355</v>
      </c>
      <c r="F114" s="9" t="s">
        <v>17</v>
      </c>
      <c r="G114" s="10">
        <v>6</v>
      </c>
      <c r="H114" s="11">
        <v>46175</v>
      </c>
      <c r="I114" s="12" t="s">
        <v>2337</v>
      </c>
      <c r="J114" s="13" t="s">
        <v>30</v>
      </c>
      <c r="K114" s="14" t="str">
        <f>HYPERLINK("http://mpro.prangroup.com:4000/CreativeWorks/Edit/35332","Open")</f>
        <v>Open</v>
      </c>
    </row>
    <row r="115" spans="1:11" ht="13.2">
      <c r="A115" s="4" t="s">
        <v>2338</v>
      </c>
      <c r="B115" s="5" t="s">
        <v>60</v>
      </c>
      <c r="C115" s="6" t="s">
        <v>461</v>
      </c>
      <c r="D115" s="7" t="s">
        <v>2339</v>
      </c>
      <c r="E115" s="8" t="s">
        <v>63</v>
      </c>
      <c r="F115" s="9" t="s">
        <v>17</v>
      </c>
      <c r="G115" s="10">
        <v>4</v>
      </c>
      <c r="H115" s="20"/>
      <c r="I115" s="21"/>
      <c r="J115" s="13"/>
      <c r="K115" s="19"/>
    </row>
    <row r="116" spans="1:11" ht="13.2">
      <c r="A116" s="4" t="s">
        <v>2340</v>
      </c>
      <c r="B116" s="5" t="s">
        <v>1243</v>
      </c>
      <c r="C116" s="6" t="s">
        <v>1732</v>
      </c>
      <c r="D116" s="7" t="s">
        <v>2341</v>
      </c>
      <c r="E116" s="8" t="s">
        <v>302</v>
      </c>
      <c r="F116" s="9" t="s">
        <v>17</v>
      </c>
      <c r="G116" s="10">
        <v>1</v>
      </c>
      <c r="H116" s="11">
        <v>46186</v>
      </c>
      <c r="I116" s="12" t="s">
        <v>2342</v>
      </c>
      <c r="J116" s="13" t="s">
        <v>30</v>
      </c>
      <c r="K116" s="14" t="str">
        <f>HYPERLINK("http://mpro.prangroup.com:4000/CreativeWorks/Edit/36384","Open")</f>
        <v>Open</v>
      </c>
    </row>
    <row r="117" spans="1:11" ht="13.2">
      <c r="A117" s="4" t="s">
        <v>2343</v>
      </c>
      <c r="B117" s="5" t="s">
        <v>41</v>
      </c>
      <c r="C117" s="6" t="s">
        <v>2344</v>
      </c>
      <c r="D117" s="7" t="s">
        <v>2345</v>
      </c>
      <c r="E117" s="8" t="s">
        <v>302</v>
      </c>
      <c r="F117" s="9" t="s">
        <v>17</v>
      </c>
      <c r="G117" s="10">
        <v>1</v>
      </c>
      <c r="H117" s="20"/>
      <c r="I117" s="21"/>
      <c r="J117" s="13"/>
      <c r="K117" s="19"/>
    </row>
    <row r="118" spans="1:11" ht="13.2">
      <c r="A118" s="4" t="s">
        <v>2346</v>
      </c>
      <c r="B118" s="5" t="s">
        <v>60</v>
      </c>
      <c r="C118" s="6" t="s">
        <v>228</v>
      </c>
      <c r="D118" s="7" t="s">
        <v>2347</v>
      </c>
      <c r="E118" s="8" t="s">
        <v>1077</v>
      </c>
      <c r="F118" s="9" t="s">
        <v>17</v>
      </c>
      <c r="G118" s="10">
        <v>1</v>
      </c>
      <c r="H118" s="20"/>
      <c r="I118" s="21"/>
      <c r="J118" s="13"/>
      <c r="K118" s="19"/>
    </row>
    <row r="119" spans="1:11" ht="13.2">
      <c r="A119" s="4" t="s">
        <v>2348</v>
      </c>
      <c r="B119" s="5" t="s">
        <v>282</v>
      </c>
      <c r="C119" s="6" t="s">
        <v>283</v>
      </c>
      <c r="D119" s="7" t="s">
        <v>2349</v>
      </c>
      <c r="E119" s="8" t="s">
        <v>63</v>
      </c>
      <c r="F119" s="9" t="s">
        <v>17</v>
      </c>
      <c r="G119" s="10">
        <v>3</v>
      </c>
      <c r="H119" s="20"/>
      <c r="I119" s="21"/>
      <c r="J119" s="13"/>
      <c r="K119" s="19"/>
    </row>
    <row r="120" spans="1:11" ht="13.2">
      <c r="A120" s="4" t="s">
        <v>2350</v>
      </c>
      <c r="B120" s="5" t="s">
        <v>32</v>
      </c>
      <c r="C120" s="6" t="s">
        <v>228</v>
      </c>
      <c r="D120" s="7" t="s">
        <v>2351</v>
      </c>
      <c r="E120" s="8" t="s">
        <v>1077</v>
      </c>
      <c r="F120" s="9" t="s">
        <v>17</v>
      </c>
      <c r="G120" s="10">
        <v>2</v>
      </c>
      <c r="H120" s="11">
        <v>46176</v>
      </c>
      <c r="I120" s="12" t="s">
        <v>2352</v>
      </c>
      <c r="J120" s="13" t="s">
        <v>30</v>
      </c>
      <c r="K120" s="14" t="str">
        <f>HYPERLINK("http://mpro.prangroup.com:4000/CreativeWorks/Edit/35431","Open")</f>
        <v>Open</v>
      </c>
    </row>
    <row r="121" spans="1:11" ht="13.2">
      <c r="A121" s="4" t="s">
        <v>2353</v>
      </c>
      <c r="B121" s="5" t="s">
        <v>41</v>
      </c>
      <c r="C121" s="6" t="s">
        <v>228</v>
      </c>
      <c r="D121" s="7" t="s">
        <v>2354</v>
      </c>
      <c r="E121" s="8" t="s">
        <v>1077</v>
      </c>
      <c r="F121" s="9" t="s">
        <v>17</v>
      </c>
      <c r="G121" s="10">
        <v>1</v>
      </c>
      <c r="H121" s="20"/>
      <c r="I121" s="21"/>
      <c r="J121" s="13"/>
      <c r="K121" s="19"/>
    </row>
    <row r="122" spans="1:11" ht="13.2">
      <c r="A122" s="4" t="s">
        <v>2355</v>
      </c>
      <c r="B122" s="5" t="s">
        <v>41</v>
      </c>
      <c r="C122" s="6" t="s">
        <v>186</v>
      </c>
      <c r="D122" s="7" t="s">
        <v>2356</v>
      </c>
      <c r="E122" s="8" t="s">
        <v>302</v>
      </c>
      <c r="F122" s="9" t="s">
        <v>17</v>
      </c>
      <c r="G122" s="10">
        <v>1</v>
      </c>
      <c r="H122" s="20"/>
      <c r="I122" s="21"/>
      <c r="K122" s="19"/>
    </row>
    <row r="123" spans="1:11" ht="13.2">
      <c r="A123" s="4" t="s">
        <v>2357</v>
      </c>
      <c r="B123" s="5" t="s">
        <v>41</v>
      </c>
      <c r="C123" s="6" t="s">
        <v>166</v>
      </c>
      <c r="D123" s="7" t="s">
        <v>2358</v>
      </c>
      <c r="E123" s="8" t="s">
        <v>302</v>
      </c>
      <c r="F123" s="9" t="s">
        <v>17</v>
      </c>
      <c r="G123" s="10">
        <v>3</v>
      </c>
      <c r="H123" s="20"/>
      <c r="I123" s="21"/>
      <c r="J123" s="13"/>
      <c r="K123" s="19"/>
    </row>
    <row r="124" spans="1:11" ht="13.2">
      <c r="A124" s="4" t="s">
        <v>363</v>
      </c>
      <c r="B124" s="5" t="s">
        <v>101</v>
      </c>
      <c r="C124" s="6" t="s">
        <v>228</v>
      </c>
      <c r="D124" s="7" t="s">
        <v>2359</v>
      </c>
      <c r="E124" s="8" t="s">
        <v>302</v>
      </c>
      <c r="F124" s="9" t="s">
        <v>17</v>
      </c>
      <c r="G124" s="10">
        <v>3</v>
      </c>
      <c r="H124" s="20"/>
      <c r="I124" s="21"/>
      <c r="J124" s="13"/>
      <c r="K124" s="19"/>
    </row>
    <row r="125" spans="1:11" ht="13.2">
      <c r="A125" s="17" t="s">
        <v>216</v>
      </c>
      <c r="B125" s="5" t="s">
        <v>217</v>
      </c>
      <c r="C125" s="6" t="s">
        <v>228</v>
      </c>
      <c r="D125" s="7" t="s">
        <v>2360</v>
      </c>
      <c r="E125" s="8" t="s">
        <v>1373</v>
      </c>
      <c r="F125" s="9" t="s">
        <v>17</v>
      </c>
      <c r="G125" s="10">
        <v>1</v>
      </c>
      <c r="H125" s="11">
        <v>46179</v>
      </c>
      <c r="I125" s="12" t="s">
        <v>2361</v>
      </c>
      <c r="J125" s="13" t="s">
        <v>30</v>
      </c>
      <c r="K125" s="14" t="str">
        <f>HYPERLINK("http://mpro.prangroup.com:4000/CreativeWorks/Edit/35697","Open")</f>
        <v>Open</v>
      </c>
    </row>
    <row r="126" spans="1:11" ht="13.2">
      <c r="A126" s="17" t="s">
        <v>470</v>
      </c>
      <c r="B126" s="5" t="s">
        <v>60</v>
      </c>
      <c r="C126" s="6" t="s">
        <v>228</v>
      </c>
      <c r="D126" s="7" t="s">
        <v>610</v>
      </c>
      <c r="E126" s="8" t="s">
        <v>302</v>
      </c>
      <c r="F126" s="9" t="s">
        <v>17</v>
      </c>
      <c r="G126" s="10">
        <v>1</v>
      </c>
      <c r="H126" s="11">
        <v>46177</v>
      </c>
      <c r="I126" s="12" t="s">
        <v>2362</v>
      </c>
      <c r="J126" s="13" t="s">
        <v>30</v>
      </c>
      <c r="K126" s="14" t="str">
        <f>HYPERLINK("http://mpro.prangroup.com:4000/CreativeWorks/Edit/35586","Open")</f>
        <v>Open</v>
      </c>
    </row>
    <row r="127" spans="1:11" ht="13.2">
      <c r="A127" s="41" t="s">
        <v>2363</v>
      </c>
      <c r="B127" s="5" t="s">
        <v>144</v>
      </c>
      <c r="C127" s="6" t="s">
        <v>228</v>
      </c>
      <c r="D127" s="48" t="s">
        <v>2364</v>
      </c>
      <c r="E127" s="8" t="s">
        <v>302</v>
      </c>
      <c r="F127" s="9" t="s">
        <v>17</v>
      </c>
      <c r="G127" s="10">
        <v>8</v>
      </c>
      <c r="H127" s="11">
        <v>46191</v>
      </c>
      <c r="I127" s="12" t="s">
        <v>2365</v>
      </c>
      <c r="J127" s="13" t="s">
        <v>30</v>
      </c>
      <c r="K127" s="14" t="str">
        <f>HYPERLINK("http://mpro.prangroup.com:4000/CreativeWorks/Edit/37110","Open")</f>
        <v>Open</v>
      </c>
    </row>
    <row r="128" spans="1:11" ht="13.2">
      <c r="A128" s="41" t="s">
        <v>2366</v>
      </c>
      <c r="B128" s="5" t="s">
        <v>144</v>
      </c>
      <c r="C128" s="6" t="s">
        <v>228</v>
      </c>
      <c r="D128" s="7" t="s">
        <v>2367</v>
      </c>
      <c r="E128" s="8" t="s">
        <v>302</v>
      </c>
      <c r="F128" s="9" t="s">
        <v>17</v>
      </c>
      <c r="G128" s="10">
        <v>6</v>
      </c>
      <c r="H128" s="11">
        <v>46193</v>
      </c>
      <c r="I128" s="12" t="s">
        <v>2368</v>
      </c>
      <c r="J128" s="13" t="s">
        <v>30</v>
      </c>
      <c r="K128" s="14" t="str">
        <f>HYPERLINK("http://mpro.prangroup.com:4000/CreativeWorks/Edit/37230","Open")</f>
        <v>Open</v>
      </c>
    </row>
    <row r="129" spans="1:11" ht="13.2">
      <c r="A129" s="4" t="s">
        <v>2369</v>
      </c>
      <c r="B129" s="5" t="s">
        <v>202</v>
      </c>
      <c r="C129" s="6" t="s">
        <v>501</v>
      </c>
      <c r="D129" s="7" t="s">
        <v>2370</v>
      </c>
      <c r="E129" s="8" t="s">
        <v>302</v>
      </c>
      <c r="F129" s="9" t="s">
        <v>17</v>
      </c>
      <c r="G129" s="10">
        <v>1</v>
      </c>
      <c r="H129" s="11">
        <v>46182</v>
      </c>
      <c r="I129" s="12" t="s">
        <v>2371</v>
      </c>
      <c r="J129" s="13" t="s">
        <v>30</v>
      </c>
      <c r="K129" s="14" t="str">
        <f>HYPERLINK("http://mpro.prangroup.com:4000/CreativeWorks/Edit/36118","Open")</f>
        <v>Open</v>
      </c>
    </row>
    <row r="130" spans="1:11" ht="13.2">
      <c r="A130" s="4" t="s">
        <v>2372</v>
      </c>
      <c r="B130" s="5" t="s">
        <v>41</v>
      </c>
      <c r="C130" s="6" t="s">
        <v>438</v>
      </c>
      <c r="D130" s="7" t="s">
        <v>2373</v>
      </c>
      <c r="E130" s="8" t="s">
        <v>302</v>
      </c>
      <c r="F130" s="9" t="s">
        <v>17</v>
      </c>
      <c r="G130" s="10">
        <v>1</v>
      </c>
      <c r="H130" s="20"/>
      <c r="I130" s="21"/>
      <c r="J130" s="13"/>
      <c r="K130" s="19"/>
    </row>
    <row r="131" spans="1:11" ht="13.2">
      <c r="A131" s="17" t="s">
        <v>1801</v>
      </c>
      <c r="B131" s="5" t="s">
        <v>60</v>
      </c>
      <c r="C131" s="6" t="s">
        <v>61</v>
      </c>
      <c r="D131" s="7" t="s">
        <v>2374</v>
      </c>
      <c r="E131" s="8" t="s">
        <v>302</v>
      </c>
      <c r="F131" s="9" t="s">
        <v>17</v>
      </c>
      <c r="G131" s="10">
        <v>1</v>
      </c>
      <c r="H131" s="20"/>
      <c r="I131" s="21"/>
      <c r="J131" s="13"/>
      <c r="K131" s="19"/>
    </row>
    <row r="132" spans="1:11" ht="13.2">
      <c r="A132" s="4" t="s">
        <v>2375</v>
      </c>
      <c r="B132" s="5" t="s">
        <v>202</v>
      </c>
      <c r="C132" s="6" t="s">
        <v>501</v>
      </c>
      <c r="D132" s="7" t="s">
        <v>667</v>
      </c>
      <c r="E132" s="8" t="s">
        <v>63</v>
      </c>
      <c r="F132" s="9" t="s">
        <v>17</v>
      </c>
      <c r="G132" s="10">
        <v>1</v>
      </c>
      <c r="H132" s="11">
        <v>46191</v>
      </c>
      <c r="I132" s="12" t="s">
        <v>2376</v>
      </c>
      <c r="J132" s="13" t="s">
        <v>30</v>
      </c>
      <c r="K132" s="14" t="str">
        <f>HYPERLINK("http://mpro.prangroup.com:4000/CreativeWorks/Edit/37173","Open")</f>
        <v>Open</v>
      </c>
    </row>
    <row r="133" spans="1:11" ht="13.2">
      <c r="A133" s="17" t="s">
        <v>227</v>
      </c>
      <c r="B133" s="5" t="s">
        <v>60</v>
      </c>
      <c r="C133" s="6" t="s">
        <v>228</v>
      </c>
      <c r="D133" s="7" t="s">
        <v>2377</v>
      </c>
      <c r="E133" s="8" t="s">
        <v>302</v>
      </c>
      <c r="F133" s="9" t="s">
        <v>17</v>
      </c>
      <c r="G133" s="10">
        <v>6</v>
      </c>
      <c r="H133" s="20"/>
      <c r="I133" s="21"/>
      <c r="J133" s="13"/>
      <c r="K133" s="19"/>
    </row>
    <row r="134" spans="1:11" ht="13.2">
      <c r="A134" s="17" t="s">
        <v>227</v>
      </c>
      <c r="B134" s="5" t="s">
        <v>60</v>
      </c>
      <c r="C134" s="6" t="s">
        <v>228</v>
      </c>
      <c r="D134" s="7" t="s">
        <v>2378</v>
      </c>
      <c r="E134" s="8" t="s">
        <v>302</v>
      </c>
      <c r="F134" s="9" t="s">
        <v>17</v>
      </c>
      <c r="G134" s="10">
        <v>2</v>
      </c>
      <c r="H134" s="11">
        <v>46208</v>
      </c>
      <c r="I134" s="12" t="s">
        <v>2379</v>
      </c>
      <c r="J134" s="13" t="s">
        <v>19</v>
      </c>
      <c r="K134" s="14" t="str">
        <f>HYPERLINK("http://mpro.prangroup.com:4000/CreativeWorks/Edit/39426","Open")</f>
        <v>Open</v>
      </c>
    </row>
    <row r="135" spans="1:11" ht="13.2">
      <c r="A135" s="4" t="s">
        <v>2380</v>
      </c>
      <c r="B135" s="5" t="s">
        <v>32</v>
      </c>
      <c r="C135" s="6" t="s">
        <v>33</v>
      </c>
      <c r="D135" s="7" t="s">
        <v>2381</v>
      </c>
      <c r="E135" s="8" t="s">
        <v>302</v>
      </c>
      <c r="F135" s="9" t="s">
        <v>17</v>
      </c>
      <c r="G135" s="10">
        <v>1</v>
      </c>
      <c r="H135" s="11">
        <v>46196</v>
      </c>
      <c r="I135" s="12" t="s">
        <v>2382</v>
      </c>
      <c r="J135" s="13" t="s">
        <v>19</v>
      </c>
      <c r="K135" s="14" t="str">
        <f>HYPERLINK("http://mpro.prangroup.com:4000/CreativeWorks/Edit/37505","Open")</f>
        <v>Open</v>
      </c>
    </row>
    <row r="136" spans="1:11" ht="13.2">
      <c r="A136" s="4" t="s">
        <v>2383</v>
      </c>
      <c r="B136" s="5" t="s">
        <v>217</v>
      </c>
      <c r="C136" s="6" t="s">
        <v>166</v>
      </c>
      <c r="D136" s="7" t="s">
        <v>2384</v>
      </c>
      <c r="E136" s="8" t="s">
        <v>1355</v>
      </c>
      <c r="F136" s="9" t="s">
        <v>17</v>
      </c>
      <c r="G136" s="10">
        <v>6</v>
      </c>
      <c r="H136" s="11">
        <v>46176</v>
      </c>
      <c r="I136" s="12" t="s">
        <v>2385</v>
      </c>
      <c r="J136" s="13" t="s">
        <v>30</v>
      </c>
      <c r="K136" s="14" t="str">
        <f>HYPERLINK("http://mpro.prangroup.com:4000/CreativeWorks/Edit/35435","Open")</f>
        <v>Open</v>
      </c>
    </row>
    <row r="137" spans="1:11" ht="13.2">
      <c r="A137" s="4" t="s">
        <v>2386</v>
      </c>
      <c r="B137" s="5" t="s">
        <v>60</v>
      </c>
      <c r="C137" s="6" t="s">
        <v>1685</v>
      </c>
      <c r="D137" s="7" t="s">
        <v>2387</v>
      </c>
      <c r="E137" s="8" t="s">
        <v>63</v>
      </c>
      <c r="F137" s="9" t="s">
        <v>17</v>
      </c>
      <c r="G137" s="10">
        <v>2</v>
      </c>
      <c r="H137" s="20"/>
      <c r="I137" s="21"/>
      <c r="J137" s="13"/>
      <c r="K137" s="19"/>
    </row>
    <row r="138" spans="1:11" ht="13.2">
      <c r="A138" s="17" t="s">
        <v>227</v>
      </c>
      <c r="B138" s="5" t="s">
        <v>60</v>
      </c>
      <c r="C138" s="6" t="s">
        <v>228</v>
      </c>
      <c r="D138" s="7" t="s">
        <v>613</v>
      </c>
      <c r="E138" s="8" t="s">
        <v>302</v>
      </c>
      <c r="F138" s="9" t="s">
        <v>17</v>
      </c>
      <c r="G138" s="10">
        <v>2</v>
      </c>
      <c r="H138" s="11">
        <v>46177</v>
      </c>
      <c r="I138" s="12" t="s">
        <v>2388</v>
      </c>
      <c r="J138" s="13" t="s">
        <v>30</v>
      </c>
      <c r="K138" s="14" t="str">
        <f>HYPERLINK("http://mpro.prangroup.com:4000/CreativeWorks/Edit/35587","Open")</f>
        <v>Open</v>
      </c>
    </row>
    <row r="139" spans="1:11" ht="13.2">
      <c r="A139" s="17" t="s">
        <v>2389</v>
      </c>
      <c r="B139" s="5" t="s">
        <v>32</v>
      </c>
      <c r="C139" s="6" t="s">
        <v>348</v>
      </c>
      <c r="D139" s="7" t="s">
        <v>2390</v>
      </c>
      <c r="E139" s="8" t="s">
        <v>302</v>
      </c>
      <c r="F139" s="9" t="s">
        <v>17</v>
      </c>
      <c r="G139" s="10">
        <v>1</v>
      </c>
      <c r="H139" s="20"/>
      <c r="I139" s="21"/>
      <c r="J139" s="13"/>
      <c r="K139" s="19"/>
    </row>
    <row r="140" spans="1:11" ht="13.2">
      <c r="A140" s="41" t="s">
        <v>85</v>
      </c>
      <c r="B140" s="5" t="s">
        <v>32</v>
      </c>
      <c r="C140" s="6" t="s">
        <v>33</v>
      </c>
      <c r="D140" s="7" t="s">
        <v>1262</v>
      </c>
      <c r="E140" s="8" t="s">
        <v>302</v>
      </c>
      <c r="F140" s="9" t="s">
        <v>17</v>
      </c>
      <c r="G140" s="10">
        <v>1</v>
      </c>
      <c r="H140" s="11">
        <v>46181</v>
      </c>
      <c r="I140" s="12" t="s">
        <v>2391</v>
      </c>
      <c r="J140" s="13" t="s">
        <v>30</v>
      </c>
      <c r="K140" s="14" t="str">
        <f>HYPERLINK("http://mpro.prangroup.com:4000/CreativeWorks/Edit/35931","Open")</f>
        <v>Open</v>
      </c>
    </row>
    <row r="141" spans="1:11" ht="13.2">
      <c r="A141" s="4" t="s">
        <v>2392</v>
      </c>
      <c r="B141" s="5" t="s">
        <v>144</v>
      </c>
      <c r="C141" s="6" t="s">
        <v>186</v>
      </c>
      <c r="D141" s="7" t="s">
        <v>2393</v>
      </c>
      <c r="E141" s="8" t="s">
        <v>63</v>
      </c>
      <c r="F141" s="9" t="s">
        <v>17</v>
      </c>
      <c r="G141" s="10">
        <v>5</v>
      </c>
      <c r="H141" s="11">
        <v>46181</v>
      </c>
      <c r="I141" s="12" t="s">
        <v>2394</v>
      </c>
      <c r="J141" s="13" t="s">
        <v>30</v>
      </c>
      <c r="K141" s="14" t="str">
        <f>HYPERLINK("http://mpro.prangroup.com:4000/CreativeWorks/Edit/35959","Open")</f>
        <v>Open</v>
      </c>
    </row>
    <row r="142" spans="1:11" ht="13.2">
      <c r="A142" s="4" t="s">
        <v>563</v>
      </c>
      <c r="B142" s="5" t="s">
        <v>60</v>
      </c>
      <c r="C142" s="6" t="s">
        <v>275</v>
      </c>
      <c r="D142" s="7" t="s">
        <v>645</v>
      </c>
      <c r="E142" s="8" t="s">
        <v>63</v>
      </c>
      <c r="F142" s="9" t="s">
        <v>17</v>
      </c>
      <c r="G142" s="10">
        <v>8</v>
      </c>
      <c r="H142" s="11">
        <v>46187</v>
      </c>
      <c r="I142" s="12" t="s">
        <v>2395</v>
      </c>
      <c r="J142" s="13" t="s">
        <v>30</v>
      </c>
      <c r="K142" s="14" t="str">
        <f>HYPERLINK("http://mpro.prangroup.com:4000/CreativeWorks/Edit/36494","Open")</f>
        <v>Open</v>
      </c>
    </row>
    <row r="143" spans="1:11" ht="13.2">
      <c r="A143" s="4" t="s">
        <v>2396</v>
      </c>
      <c r="B143" s="5" t="s">
        <v>282</v>
      </c>
      <c r="C143" s="6" t="s">
        <v>283</v>
      </c>
      <c r="D143" s="7" t="s">
        <v>648</v>
      </c>
      <c r="E143" s="8" t="s">
        <v>302</v>
      </c>
      <c r="F143" s="9" t="s">
        <v>17</v>
      </c>
      <c r="G143" s="10">
        <v>1</v>
      </c>
      <c r="H143" s="11">
        <v>46188</v>
      </c>
      <c r="I143" s="12" t="s">
        <v>2397</v>
      </c>
      <c r="J143" s="13" t="s">
        <v>30</v>
      </c>
      <c r="K143" s="14" t="str">
        <f>HYPERLINK("http://mpro.prangroup.com:4000/CreativeWorks/Edit/36657","Open")</f>
        <v>Open</v>
      </c>
    </row>
    <row r="144" spans="1:11" ht="13.2">
      <c r="A144" s="4" t="s">
        <v>569</v>
      </c>
      <c r="B144" s="5" t="s">
        <v>41</v>
      </c>
      <c r="C144" s="6" t="s">
        <v>228</v>
      </c>
      <c r="D144" s="7" t="s">
        <v>2398</v>
      </c>
      <c r="E144" s="8" t="s">
        <v>1077</v>
      </c>
      <c r="F144" s="9" t="s">
        <v>17</v>
      </c>
      <c r="G144" s="10">
        <v>1</v>
      </c>
      <c r="H144" s="11">
        <v>46190</v>
      </c>
      <c r="I144" s="12" t="s">
        <v>2399</v>
      </c>
      <c r="J144" s="13" t="s">
        <v>30</v>
      </c>
      <c r="K144" s="14" t="str">
        <f>HYPERLINK("http://mpro.prangroup.com:4000/CreativeWorks/Edit/36872","Open")</f>
        <v>Open</v>
      </c>
    </row>
    <row r="145" spans="1:11" ht="13.2">
      <c r="A145" s="4" t="s">
        <v>2400</v>
      </c>
      <c r="B145" s="5" t="s">
        <v>60</v>
      </c>
      <c r="C145" s="6" t="s">
        <v>275</v>
      </c>
      <c r="D145" s="7" t="s">
        <v>1227</v>
      </c>
      <c r="E145" s="8" t="s">
        <v>63</v>
      </c>
      <c r="F145" s="9" t="s">
        <v>17</v>
      </c>
      <c r="G145" s="10">
        <v>2</v>
      </c>
      <c r="H145" s="11">
        <v>46176</v>
      </c>
      <c r="I145" s="12" t="s">
        <v>2401</v>
      </c>
      <c r="J145" s="13" t="s">
        <v>30</v>
      </c>
      <c r="K145" s="14" t="str">
        <f>HYPERLINK("http://mpro.prangroup.com:4000/CreativeWorks/Edit/35458","Open")</f>
        <v>Open</v>
      </c>
    </row>
    <row r="146" spans="1:11" ht="13.2">
      <c r="A146" s="4" t="s">
        <v>2402</v>
      </c>
      <c r="B146" s="5" t="s">
        <v>60</v>
      </c>
      <c r="C146" s="6" t="s">
        <v>228</v>
      </c>
      <c r="D146" s="7" t="s">
        <v>2403</v>
      </c>
      <c r="E146" s="8" t="s">
        <v>1077</v>
      </c>
      <c r="F146" s="9" t="s">
        <v>17</v>
      </c>
      <c r="G146" s="10">
        <v>1</v>
      </c>
      <c r="H146" s="11">
        <v>46190</v>
      </c>
      <c r="I146" s="12" t="s">
        <v>2404</v>
      </c>
      <c r="J146" s="13" t="s">
        <v>30</v>
      </c>
      <c r="K146" s="14" t="str">
        <f>HYPERLINK("http://mpro.prangroup.com:4000/CreativeWorks/Edit/36870","Open")</f>
        <v>Open</v>
      </c>
    </row>
    <row r="147" spans="1:11" ht="13.2">
      <c r="A147" s="4" t="s">
        <v>2405</v>
      </c>
      <c r="B147" s="5" t="s">
        <v>32</v>
      </c>
      <c r="C147" s="6" t="s">
        <v>228</v>
      </c>
      <c r="D147" s="7" t="s">
        <v>2406</v>
      </c>
      <c r="E147" s="8" t="s">
        <v>302</v>
      </c>
      <c r="F147" s="9" t="s">
        <v>17</v>
      </c>
      <c r="G147" s="10">
        <v>1</v>
      </c>
      <c r="H147" s="20"/>
      <c r="I147" s="21"/>
      <c r="J147" s="13"/>
      <c r="K147" s="19"/>
    </row>
    <row r="148" spans="1:11" ht="13.2">
      <c r="A148" s="4" t="s">
        <v>2407</v>
      </c>
      <c r="B148" s="5" t="s">
        <v>60</v>
      </c>
      <c r="C148" s="6" t="s">
        <v>228</v>
      </c>
      <c r="D148" s="7" t="s">
        <v>2408</v>
      </c>
      <c r="E148" s="8" t="s">
        <v>1077</v>
      </c>
      <c r="F148" s="9" t="s">
        <v>17</v>
      </c>
      <c r="G148" s="10">
        <v>1</v>
      </c>
      <c r="H148" s="20"/>
      <c r="I148" s="21"/>
      <c r="J148" s="13"/>
      <c r="K148" s="19"/>
    </row>
    <row r="149" spans="1:11" ht="13.2">
      <c r="A149" s="4" t="s">
        <v>2409</v>
      </c>
      <c r="B149" s="5" t="s">
        <v>60</v>
      </c>
      <c r="C149" s="6" t="s">
        <v>228</v>
      </c>
      <c r="D149" s="7" t="s">
        <v>2410</v>
      </c>
      <c r="E149" s="8" t="s">
        <v>302</v>
      </c>
      <c r="F149" s="9" t="s">
        <v>17</v>
      </c>
      <c r="G149" s="10">
        <v>2</v>
      </c>
      <c r="H149" s="11">
        <v>46201</v>
      </c>
      <c r="I149" s="12" t="s">
        <v>2411</v>
      </c>
      <c r="J149" s="13" t="s">
        <v>19</v>
      </c>
      <c r="K149" s="14" t="str">
        <f>HYPERLINK("http://mpro.prangroup.com:4000/CreativeWorks/Edit/38141","Open")</f>
        <v>Open</v>
      </c>
    </row>
    <row r="150" spans="1:11" ht="13.2">
      <c r="A150" s="4" t="s">
        <v>2412</v>
      </c>
      <c r="B150" s="5" t="s">
        <v>1832</v>
      </c>
      <c r="C150" s="6" t="s">
        <v>186</v>
      </c>
      <c r="D150" s="7" t="s">
        <v>607</v>
      </c>
      <c r="E150" s="8" t="s">
        <v>302</v>
      </c>
      <c r="F150" s="9" t="s">
        <v>17</v>
      </c>
      <c r="G150" s="10">
        <v>6</v>
      </c>
      <c r="H150" s="11">
        <v>46177</v>
      </c>
      <c r="I150" s="12" t="s">
        <v>2413</v>
      </c>
      <c r="J150" s="13" t="s">
        <v>30</v>
      </c>
      <c r="K150" s="14" t="str">
        <f>HYPERLINK("http://mpro.prangroup.com:4000/CreativeWorks/Edit/35594","Open")</f>
        <v>Open</v>
      </c>
    </row>
    <row r="151" spans="1:11" ht="13.2">
      <c r="A151" s="4" t="s">
        <v>2414</v>
      </c>
      <c r="B151" s="5" t="s">
        <v>32</v>
      </c>
      <c r="C151" s="6" t="s">
        <v>186</v>
      </c>
      <c r="D151" s="7" t="s">
        <v>2415</v>
      </c>
      <c r="E151" s="8" t="s">
        <v>63</v>
      </c>
      <c r="F151" s="9" t="s">
        <v>17</v>
      </c>
      <c r="G151" s="10">
        <v>10</v>
      </c>
      <c r="H151" s="11">
        <v>46177</v>
      </c>
      <c r="I151" s="12" t="s">
        <v>2416</v>
      </c>
      <c r="J151" s="13" t="s">
        <v>30</v>
      </c>
      <c r="K151" s="14" t="str">
        <f>HYPERLINK("http://mpro.prangroup.com:4000/CreativeWorks/Edit/35595","Open")</f>
        <v>Open</v>
      </c>
    </row>
    <row r="152" spans="1:11" ht="13.2">
      <c r="A152" s="4" t="s">
        <v>216</v>
      </c>
      <c r="B152" s="5" t="s">
        <v>217</v>
      </c>
      <c r="C152" s="6" t="s">
        <v>275</v>
      </c>
      <c r="D152" s="7" t="s">
        <v>2417</v>
      </c>
      <c r="E152" s="8" t="s">
        <v>63</v>
      </c>
      <c r="F152" s="9" t="s">
        <v>17</v>
      </c>
      <c r="G152" s="10">
        <v>3</v>
      </c>
      <c r="H152" s="20"/>
      <c r="I152" s="21"/>
      <c r="J152" s="13"/>
      <c r="K152" s="19"/>
    </row>
    <row r="153" spans="1:11" ht="13.2">
      <c r="A153" s="41" t="s">
        <v>191</v>
      </c>
      <c r="B153" s="5" t="s">
        <v>32</v>
      </c>
      <c r="C153" s="6" t="s">
        <v>228</v>
      </c>
      <c r="D153" s="7" t="s">
        <v>2418</v>
      </c>
      <c r="E153" s="8" t="s">
        <v>302</v>
      </c>
      <c r="F153" s="9" t="s">
        <v>17</v>
      </c>
      <c r="G153" s="10">
        <v>2</v>
      </c>
      <c r="H153" s="11">
        <v>46202</v>
      </c>
      <c r="I153" s="12" t="s">
        <v>2419</v>
      </c>
      <c r="J153" s="13" t="s">
        <v>19</v>
      </c>
      <c r="K153" s="14" t="str">
        <f>HYPERLINK("http://mpro.prangroup.com:4000/CreativeWorks/Edit/38359","Open")</f>
        <v>Open</v>
      </c>
    </row>
    <row r="154" spans="1:11" ht="13.2">
      <c r="A154" s="4" t="s">
        <v>1239</v>
      </c>
      <c r="B154" s="5" t="s">
        <v>41</v>
      </c>
      <c r="C154" s="6" t="s">
        <v>275</v>
      </c>
      <c r="D154" s="7" t="s">
        <v>1240</v>
      </c>
      <c r="E154" s="8" t="s">
        <v>63</v>
      </c>
      <c r="F154" s="9" t="s">
        <v>17</v>
      </c>
      <c r="G154" s="10">
        <v>1</v>
      </c>
      <c r="H154" s="11">
        <v>46180</v>
      </c>
      <c r="I154" s="12" t="s">
        <v>2420</v>
      </c>
      <c r="J154" s="13" t="s">
        <v>30</v>
      </c>
      <c r="K154" s="14" t="str">
        <f>HYPERLINK("http://mpro.prangroup.com:4000/CreativeWorks/Edit/35803","Open")</f>
        <v>Open</v>
      </c>
    </row>
    <row r="155" spans="1:11" ht="13.2">
      <c r="A155" s="4" t="s">
        <v>782</v>
      </c>
      <c r="B155" s="5" t="s">
        <v>41</v>
      </c>
      <c r="C155" s="6" t="s">
        <v>228</v>
      </c>
      <c r="D155" s="7" t="s">
        <v>2421</v>
      </c>
      <c r="E155" s="8" t="s">
        <v>302</v>
      </c>
      <c r="F155" s="9" t="s">
        <v>17</v>
      </c>
      <c r="G155" s="10">
        <v>3</v>
      </c>
      <c r="H155" s="11">
        <v>46202</v>
      </c>
      <c r="I155" s="12" t="s">
        <v>2422</v>
      </c>
      <c r="J155" s="13" t="s">
        <v>19</v>
      </c>
      <c r="K155" s="14" t="str">
        <f>HYPERLINK("http://mpro.prangroup.com:4000/CreativeWorks/Edit/38358","Open")</f>
        <v>Open</v>
      </c>
    </row>
    <row r="156" spans="1:11" ht="13.2">
      <c r="A156" s="4" t="s">
        <v>2423</v>
      </c>
      <c r="B156" s="5" t="s">
        <v>60</v>
      </c>
      <c r="C156" s="6" t="s">
        <v>228</v>
      </c>
      <c r="D156" s="7" t="s">
        <v>2424</v>
      </c>
      <c r="E156" s="8" t="s">
        <v>1077</v>
      </c>
      <c r="F156" s="9" t="s">
        <v>17</v>
      </c>
      <c r="G156" s="10">
        <v>2</v>
      </c>
      <c r="H156" s="11">
        <v>46190</v>
      </c>
      <c r="I156" s="12" t="s">
        <v>2425</v>
      </c>
      <c r="J156" s="13" t="s">
        <v>30</v>
      </c>
      <c r="K156" s="14" t="str">
        <f>HYPERLINK("http://mpro.prangroup.com:4000/CreativeWorks/Edit/36874","Open")</f>
        <v>Open</v>
      </c>
    </row>
    <row r="157" spans="1:11" ht="13.2">
      <c r="A157" s="4" t="s">
        <v>2426</v>
      </c>
      <c r="B157" s="5" t="s">
        <v>41</v>
      </c>
      <c r="C157" s="6" t="s">
        <v>228</v>
      </c>
      <c r="D157" s="7" t="s">
        <v>2427</v>
      </c>
      <c r="E157" s="8" t="s">
        <v>63</v>
      </c>
      <c r="F157" s="9" t="s">
        <v>17</v>
      </c>
      <c r="G157" s="10">
        <v>2</v>
      </c>
      <c r="H157" s="20"/>
      <c r="I157" s="21"/>
      <c r="J157" s="13"/>
      <c r="K157" s="19"/>
    </row>
    <row r="158" spans="1:11" ht="13.2">
      <c r="A158" s="4" t="s">
        <v>2428</v>
      </c>
      <c r="B158" s="5" t="s">
        <v>60</v>
      </c>
      <c r="C158" s="6" t="s">
        <v>228</v>
      </c>
      <c r="D158" s="7" t="s">
        <v>2429</v>
      </c>
      <c r="E158" s="8" t="s">
        <v>1355</v>
      </c>
      <c r="F158" s="9" t="s">
        <v>17</v>
      </c>
      <c r="G158" s="10">
        <v>3</v>
      </c>
      <c r="H158" s="20"/>
      <c r="I158" s="21"/>
      <c r="J158" s="13"/>
      <c r="K158" s="19"/>
    </row>
    <row r="159" spans="1:11" ht="13.2">
      <c r="A159" s="4" t="s">
        <v>216</v>
      </c>
      <c r="B159" s="5" t="s">
        <v>217</v>
      </c>
      <c r="C159" s="6" t="s">
        <v>186</v>
      </c>
      <c r="D159" s="7" t="s">
        <v>2430</v>
      </c>
      <c r="E159" s="8" t="s">
        <v>1077</v>
      </c>
      <c r="F159" s="9" t="s">
        <v>17</v>
      </c>
      <c r="G159" s="10">
        <v>7</v>
      </c>
      <c r="H159" s="20"/>
      <c r="I159" s="21"/>
      <c r="J159" s="13"/>
      <c r="K159" s="19"/>
    </row>
    <row r="160" spans="1:11" ht="13.2">
      <c r="A160" s="4" t="s">
        <v>240</v>
      </c>
      <c r="B160" s="5" t="s">
        <v>60</v>
      </c>
      <c r="C160" s="6" t="s">
        <v>461</v>
      </c>
      <c r="D160" s="7" t="s">
        <v>2431</v>
      </c>
      <c r="E160" s="8" t="s">
        <v>302</v>
      </c>
      <c r="F160" s="9" t="s">
        <v>17</v>
      </c>
      <c r="G160" s="10">
        <v>4</v>
      </c>
      <c r="H160" s="20"/>
      <c r="I160" s="21"/>
      <c r="J160" s="13"/>
      <c r="K160" s="19"/>
    </row>
    <row r="161" spans="1:11" ht="13.2">
      <c r="A161" s="4" t="s">
        <v>2432</v>
      </c>
      <c r="B161" s="5" t="s">
        <v>41</v>
      </c>
      <c r="C161" s="6" t="s">
        <v>1685</v>
      </c>
      <c r="D161" s="7" t="s">
        <v>2433</v>
      </c>
      <c r="E161" s="8" t="s">
        <v>302</v>
      </c>
      <c r="F161" s="9" t="s">
        <v>17</v>
      </c>
      <c r="G161" s="10">
        <v>4</v>
      </c>
      <c r="H161" s="20"/>
      <c r="I161" s="21"/>
      <c r="J161" s="13"/>
      <c r="K161" s="19"/>
    </row>
    <row r="162" spans="1:11" ht="13.2">
      <c r="A162" s="4" t="s">
        <v>2434</v>
      </c>
      <c r="B162" s="5" t="s">
        <v>60</v>
      </c>
      <c r="C162" s="6" t="s">
        <v>275</v>
      </c>
      <c r="D162" s="7" t="s">
        <v>2435</v>
      </c>
      <c r="E162" s="8" t="s">
        <v>63</v>
      </c>
      <c r="F162" s="9" t="s">
        <v>17</v>
      </c>
      <c r="G162" s="10">
        <v>1</v>
      </c>
      <c r="H162" s="11">
        <v>46184</v>
      </c>
      <c r="I162" s="12" t="s">
        <v>2436</v>
      </c>
      <c r="J162" s="13" t="s">
        <v>30</v>
      </c>
      <c r="K162" s="14" t="str">
        <f>HYPERLINK("http://mpro.prangroup.com:4000/CreativeWorks/Edit/36351","Open")</f>
        <v>Open</v>
      </c>
    </row>
    <row r="163" spans="1:11" ht="13.2">
      <c r="A163" s="4" t="s">
        <v>2437</v>
      </c>
      <c r="B163" s="5" t="s">
        <v>32</v>
      </c>
      <c r="C163" s="6" t="s">
        <v>1685</v>
      </c>
      <c r="D163" s="7" t="s">
        <v>2438</v>
      </c>
      <c r="E163" s="8" t="s">
        <v>302</v>
      </c>
      <c r="F163" s="9" t="s">
        <v>17</v>
      </c>
      <c r="G163" s="10">
        <v>2</v>
      </c>
      <c r="H163" s="20"/>
      <c r="I163" s="21"/>
      <c r="J163" s="13"/>
      <c r="K163" s="19"/>
    </row>
    <row r="164" spans="1:11" ht="13.2">
      <c r="A164" s="4" t="s">
        <v>907</v>
      </c>
      <c r="B164" s="5" t="s">
        <v>60</v>
      </c>
      <c r="C164" s="6" t="s">
        <v>275</v>
      </c>
      <c r="D164" s="7" t="s">
        <v>2439</v>
      </c>
      <c r="E164" s="8" t="s">
        <v>1077</v>
      </c>
      <c r="F164" s="9" t="s">
        <v>17</v>
      </c>
      <c r="G164" s="10">
        <v>4</v>
      </c>
      <c r="H164" s="11">
        <v>46186</v>
      </c>
      <c r="I164" s="12" t="s">
        <v>2440</v>
      </c>
      <c r="J164" s="13" t="s">
        <v>30</v>
      </c>
      <c r="K164" s="14" t="str">
        <f>HYPERLINK("http://mpro.prangroup.com:4000/CreativeWorks/Edit/36416","Open")</f>
        <v>Open</v>
      </c>
    </row>
    <row r="165" spans="1:11" ht="13.2">
      <c r="A165" s="4" t="s">
        <v>2441</v>
      </c>
      <c r="B165" s="5" t="s">
        <v>202</v>
      </c>
      <c r="C165" s="6" t="s">
        <v>203</v>
      </c>
      <c r="D165" s="7" t="s">
        <v>702</v>
      </c>
      <c r="E165" s="8" t="s">
        <v>302</v>
      </c>
      <c r="F165" s="9" t="s">
        <v>17</v>
      </c>
      <c r="G165" s="10">
        <v>3</v>
      </c>
      <c r="H165" s="11">
        <v>46201</v>
      </c>
      <c r="I165" s="12" t="s">
        <v>2442</v>
      </c>
      <c r="J165" s="13" t="s">
        <v>19</v>
      </c>
      <c r="K165" s="14" t="str">
        <f>HYPERLINK("http://mpro.prangroup.com:4000/CreativeWorks/Edit/38151","Open")</f>
        <v>Open</v>
      </c>
    </row>
    <row r="166" spans="1:11" ht="13.2">
      <c r="A166" s="4" t="s">
        <v>2443</v>
      </c>
      <c r="B166" s="5" t="s">
        <v>202</v>
      </c>
      <c r="C166" s="6" t="s">
        <v>203</v>
      </c>
      <c r="D166" s="7" t="s">
        <v>2444</v>
      </c>
      <c r="E166" s="8" t="s">
        <v>302</v>
      </c>
      <c r="F166" s="9" t="s">
        <v>17</v>
      </c>
      <c r="G166" s="10">
        <v>2</v>
      </c>
      <c r="H166" s="11">
        <v>46212</v>
      </c>
      <c r="I166" s="12" t="s">
        <v>2445</v>
      </c>
      <c r="J166" s="13" t="s">
        <v>19</v>
      </c>
      <c r="K166" s="14" t="str">
        <f>HYPERLINK("http://mpro.prangroup.com:4000/CreativeWorks/Edit/39974","Open")</f>
        <v>Open</v>
      </c>
    </row>
    <row r="167" spans="1:11" ht="13.2">
      <c r="A167" s="4" t="s">
        <v>2446</v>
      </c>
      <c r="B167" s="5" t="s">
        <v>32</v>
      </c>
      <c r="C167" s="6" t="s">
        <v>186</v>
      </c>
      <c r="D167" s="7" t="s">
        <v>2447</v>
      </c>
      <c r="E167" s="8" t="s">
        <v>302</v>
      </c>
      <c r="F167" s="9" t="s">
        <v>17</v>
      </c>
      <c r="G167" s="10">
        <v>4</v>
      </c>
      <c r="H167" s="11">
        <v>46188</v>
      </c>
      <c r="I167" s="12" t="s">
        <v>2448</v>
      </c>
      <c r="J167" s="13" t="s">
        <v>30</v>
      </c>
      <c r="K167" s="14" t="str">
        <f>HYPERLINK("http://mpro.prangroup.com:4000/CreativeWorks/Edit/36635","Open")</f>
        <v>Open</v>
      </c>
    </row>
    <row r="168" spans="1:11" ht="13.2">
      <c r="A168" s="4" t="s">
        <v>2449</v>
      </c>
      <c r="B168" s="5" t="s">
        <v>32</v>
      </c>
      <c r="C168" s="6" t="s">
        <v>129</v>
      </c>
      <c r="D168" s="7" t="s">
        <v>2450</v>
      </c>
      <c r="E168" s="8" t="s">
        <v>302</v>
      </c>
      <c r="F168" s="9" t="s">
        <v>17</v>
      </c>
      <c r="G168" s="10">
        <v>1</v>
      </c>
      <c r="H168" s="20"/>
      <c r="I168" s="21"/>
      <c r="J168" s="13"/>
      <c r="K168" s="19"/>
    </row>
    <row r="169" spans="1:11" ht="13.2">
      <c r="A169" s="4" t="s">
        <v>2451</v>
      </c>
      <c r="B169" s="5" t="s">
        <v>202</v>
      </c>
      <c r="C169" s="6" t="s">
        <v>501</v>
      </c>
      <c r="D169" s="7" t="s">
        <v>1320</v>
      </c>
      <c r="E169" s="8" t="s">
        <v>302</v>
      </c>
      <c r="F169" s="9" t="s">
        <v>17</v>
      </c>
      <c r="G169" s="10">
        <v>4</v>
      </c>
      <c r="H169" s="11">
        <v>46207</v>
      </c>
      <c r="I169" s="12" t="s">
        <v>2452</v>
      </c>
      <c r="J169" s="13" t="s">
        <v>19</v>
      </c>
      <c r="K169" s="14" t="str">
        <f>HYPERLINK("http://mpro.prangroup.com:4000/CreativeWorks/Edit/39288","Open")</f>
        <v>Open</v>
      </c>
    </row>
    <row r="170" spans="1:11" ht="13.2">
      <c r="A170" s="4" t="s">
        <v>2453</v>
      </c>
      <c r="B170" s="5" t="s">
        <v>32</v>
      </c>
      <c r="C170" s="6" t="s">
        <v>166</v>
      </c>
      <c r="D170" s="7" t="s">
        <v>2454</v>
      </c>
      <c r="E170" s="8" t="s">
        <v>1077</v>
      </c>
      <c r="F170" s="9" t="s">
        <v>17</v>
      </c>
      <c r="G170" s="10">
        <v>1</v>
      </c>
      <c r="H170" s="11">
        <v>46190</v>
      </c>
      <c r="I170" s="12" t="s">
        <v>2455</v>
      </c>
      <c r="J170" s="13" t="s">
        <v>30</v>
      </c>
      <c r="K170" s="14" t="str">
        <f>HYPERLINK("http://mpro.prangroup.com:4000/CreativeWorks/Edit/36901","Open")</f>
        <v>Open</v>
      </c>
    </row>
    <row r="171" spans="1:11" ht="13.2">
      <c r="A171" s="4" t="s">
        <v>2456</v>
      </c>
      <c r="B171" s="5" t="s">
        <v>41</v>
      </c>
      <c r="C171" s="6" t="s">
        <v>746</v>
      </c>
      <c r="D171" s="7" t="s">
        <v>2457</v>
      </c>
      <c r="E171" s="8" t="s">
        <v>63</v>
      </c>
      <c r="F171" s="9" t="s">
        <v>17</v>
      </c>
      <c r="G171" s="10">
        <v>1</v>
      </c>
      <c r="H171" s="11">
        <v>46193</v>
      </c>
      <c r="I171" s="12" t="s">
        <v>2458</v>
      </c>
      <c r="J171" s="13" t="s">
        <v>30</v>
      </c>
      <c r="K171" s="14" t="str">
        <f>HYPERLINK("http://mpro.prangroup.com:4000/CreativeWorks/Edit/37231","Open")</f>
        <v>Open</v>
      </c>
    </row>
    <row r="172" spans="1:11" ht="13.2">
      <c r="A172" s="4" t="s">
        <v>2459</v>
      </c>
      <c r="B172" s="5" t="s">
        <v>32</v>
      </c>
      <c r="C172" s="6" t="s">
        <v>33</v>
      </c>
      <c r="D172" s="7" t="s">
        <v>2460</v>
      </c>
      <c r="E172" s="8" t="s">
        <v>1077</v>
      </c>
      <c r="F172" s="9" t="s">
        <v>17</v>
      </c>
      <c r="G172" s="10">
        <v>1</v>
      </c>
      <c r="H172" s="11">
        <v>46190</v>
      </c>
      <c r="I172" s="12" t="s">
        <v>2461</v>
      </c>
      <c r="J172" s="13" t="s">
        <v>30</v>
      </c>
      <c r="K172" s="14" t="str">
        <f>HYPERLINK("http://mpro.prangroup.com:4000/CreativeWorks/Edit/36982","Open")</f>
        <v>Open</v>
      </c>
    </row>
    <row r="173" spans="1:11" ht="13.2">
      <c r="A173" s="4" t="s">
        <v>1298</v>
      </c>
      <c r="B173" s="5" t="s">
        <v>1054</v>
      </c>
      <c r="C173" s="6" t="s">
        <v>78</v>
      </c>
      <c r="D173" s="7" t="s">
        <v>699</v>
      </c>
      <c r="E173" s="8" t="s">
        <v>63</v>
      </c>
      <c r="F173" s="9" t="s">
        <v>17</v>
      </c>
      <c r="G173" s="10">
        <v>8</v>
      </c>
      <c r="H173" s="11">
        <v>46191</v>
      </c>
      <c r="I173" s="12" t="s">
        <v>2462</v>
      </c>
      <c r="J173" s="13" t="s">
        <v>30</v>
      </c>
      <c r="K173" s="14" t="str">
        <f>HYPERLINK("http://mpro.prangroup.com:4000/CreativeWorks/Edit/37186","Open")</f>
        <v>Open</v>
      </c>
    </row>
    <row r="174" spans="1:11" ht="13.2">
      <c r="A174" s="4" t="s">
        <v>2463</v>
      </c>
      <c r="B174" s="5" t="s">
        <v>101</v>
      </c>
      <c r="C174" s="6" t="s">
        <v>186</v>
      </c>
      <c r="D174" s="7" t="s">
        <v>651</v>
      </c>
      <c r="E174" s="8" t="s">
        <v>302</v>
      </c>
      <c r="F174" s="9" t="s">
        <v>17</v>
      </c>
      <c r="G174" s="10">
        <v>2</v>
      </c>
      <c r="H174" s="11">
        <v>46190</v>
      </c>
      <c r="I174" s="12" t="s">
        <v>2464</v>
      </c>
      <c r="J174" s="13" t="s">
        <v>30</v>
      </c>
      <c r="K174" s="14" t="str">
        <f>HYPERLINK("http://mpro.prangroup.com:4000/CreativeWorks/Edit/37009","Open")</f>
        <v>Open</v>
      </c>
    </row>
    <row r="175" spans="1:11" ht="13.2">
      <c r="A175" s="4" t="s">
        <v>2465</v>
      </c>
      <c r="B175" s="5" t="s">
        <v>41</v>
      </c>
      <c r="C175" s="6" t="s">
        <v>186</v>
      </c>
      <c r="D175" s="7" t="s">
        <v>2466</v>
      </c>
      <c r="E175" s="8" t="s">
        <v>302</v>
      </c>
      <c r="F175" s="9" t="s">
        <v>17</v>
      </c>
      <c r="G175" s="10">
        <v>3</v>
      </c>
      <c r="H175" s="11">
        <v>46191</v>
      </c>
      <c r="I175" s="12" t="s">
        <v>2467</v>
      </c>
      <c r="J175" s="13" t="s">
        <v>30</v>
      </c>
      <c r="K175" s="14" t="str">
        <f>HYPERLINK("http://mpro.prangroup.com:4000/CreativeWorks/Edit/37111","Open")</f>
        <v>Open</v>
      </c>
    </row>
    <row r="176" spans="1:11" ht="13.2">
      <c r="A176" s="4" t="s">
        <v>85</v>
      </c>
      <c r="B176" s="5" t="s">
        <v>32</v>
      </c>
      <c r="C176" s="6" t="s">
        <v>228</v>
      </c>
      <c r="D176" s="7" t="s">
        <v>2468</v>
      </c>
      <c r="E176" s="8" t="s">
        <v>302</v>
      </c>
      <c r="F176" s="9" t="s">
        <v>17</v>
      </c>
      <c r="G176" s="10">
        <v>2</v>
      </c>
      <c r="H176" s="20"/>
      <c r="I176" s="21"/>
      <c r="J176" s="13"/>
      <c r="K176" s="19"/>
    </row>
    <row r="177" spans="1:11" ht="13.2">
      <c r="A177" s="4" t="s">
        <v>1044</v>
      </c>
      <c r="B177" s="5" t="s">
        <v>32</v>
      </c>
      <c r="C177" s="6" t="s">
        <v>228</v>
      </c>
      <c r="D177" s="7" t="s">
        <v>2469</v>
      </c>
      <c r="E177" s="8" t="s">
        <v>302</v>
      </c>
      <c r="F177" s="9" t="s">
        <v>17</v>
      </c>
      <c r="G177" s="10">
        <v>4</v>
      </c>
      <c r="H177" s="11">
        <v>46198</v>
      </c>
      <c r="I177" s="12" t="s">
        <v>2470</v>
      </c>
      <c r="J177" s="13" t="s">
        <v>19</v>
      </c>
      <c r="K177" s="14" t="str">
        <f>HYPERLINK("http://mpro.prangroup.com:4000/CreativeWorks/Edit/37914","Open")</f>
        <v>Open</v>
      </c>
    </row>
    <row r="178" spans="1:11" ht="13.2">
      <c r="A178" s="4" t="s">
        <v>2471</v>
      </c>
      <c r="B178" s="5" t="s">
        <v>60</v>
      </c>
      <c r="C178" s="6" t="s">
        <v>275</v>
      </c>
      <c r="D178" s="7" t="s">
        <v>661</v>
      </c>
      <c r="E178" s="8" t="s">
        <v>63</v>
      </c>
      <c r="F178" s="9" t="s">
        <v>17</v>
      </c>
      <c r="G178" s="10">
        <v>5</v>
      </c>
      <c r="H178" s="11">
        <v>46191</v>
      </c>
      <c r="I178" s="12" t="s">
        <v>2472</v>
      </c>
      <c r="J178" s="13" t="s">
        <v>30</v>
      </c>
      <c r="K178" s="14" t="str">
        <f>HYPERLINK("http://mpro.prangroup.com:4000/CreativeWorks/Edit/37112","Open")</f>
        <v>Open</v>
      </c>
    </row>
    <row r="179" spans="1:11" ht="13.2">
      <c r="A179" s="4" t="s">
        <v>2473</v>
      </c>
      <c r="B179" s="5" t="s">
        <v>60</v>
      </c>
      <c r="C179" s="6" t="s">
        <v>275</v>
      </c>
      <c r="D179" s="7" t="s">
        <v>2474</v>
      </c>
      <c r="E179" s="8" t="s">
        <v>63</v>
      </c>
      <c r="F179" s="9" t="s">
        <v>17</v>
      </c>
      <c r="G179" s="10">
        <v>3</v>
      </c>
      <c r="H179" s="11">
        <v>46211</v>
      </c>
      <c r="I179" s="12" t="s">
        <v>2475</v>
      </c>
      <c r="J179" s="13" t="s">
        <v>19</v>
      </c>
      <c r="K179" s="14" t="str">
        <f>HYPERLINK("http://mpro.prangroup.com:4000/CreativeWorks/Edit/39856","Open")</f>
        <v>Open</v>
      </c>
    </row>
    <row r="180" spans="1:11" ht="13.2">
      <c r="A180" s="4" t="s">
        <v>2476</v>
      </c>
      <c r="B180" s="5" t="s">
        <v>144</v>
      </c>
      <c r="C180" s="6" t="s">
        <v>847</v>
      </c>
      <c r="D180" s="7" t="s">
        <v>2477</v>
      </c>
      <c r="E180" s="8" t="s">
        <v>1077</v>
      </c>
      <c r="F180" s="9" t="s">
        <v>17</v>
      </c>
      <c r="G180" s="10">
        <v>4</v>
      </c>
      <c r="H180" s="11">
        <v>46191</v>
      </c>
      <c r="I180" s="12" t="s">
        <v>2478</v>
      </c>
      <c r="J180" s="13" t="s">
        <v>30</v>
      </c>
      <c r="K180" s="14" t="str">
        <f>HYPERLINK("http://mpro.prangroup.com:4000/CreativeWorks/Edit/37118","Open")</f>
        <v>Open</v>
      </c>
    </row>
    <row r="181" spans="1:11" ht="13.2">
      <c r="A181" s="4" t="s">
        <v>2479</v>
      </c>
      <c r="B181" s="5" t="s">
        <v>41</v>
      </c>
      <c r="C181" s="6" t="s">
        <v>186</v>
      </c>
      <c r="D181" s="7" t="s">
        <v>2480</v>
      </c>
      <c r="E181" s="8" t="s">
        <v>302</v>
      </c>
      <c r="F181" s="9" t="s">
        <v>17</v>
      </c>
      <c r="G181" s="10">
        <v>6</v>
      </c>
      <c r="H181" s="11">
        <v>46193</v>
      </c>
      <c r="I181" s="12" t="s">
        <v>2481</v>
      </c>
      <c r="J181" s="13" t="s">
        <v>30</v>
      </c>
      <c r="K181" s="14" t="str">
        <f>HYPERLINK("http://mpro.prangroup.com:4000/CreativeWorks/Edit/37233","Open")</f>
        <v>Open</v>
      </c>
    </row>
    <row r="182" spans="1:11" ht="13.2">
      <c r="A182" s="4" t="s">
        <v>2482</v>
      </c>
      <c r="B182" s="5" t="s">
        <v>32</v>
      </c>
      <c r="C182" s="6" t="s">
        <v>228</v>
      </c>
      <c r="D182" s="7" t="s">
        <v>2483</v>
      </c>
      <c r="E182" s="8" t="s">
        <v>302</v>
      </c>
      <c r="F182" s="9" t="s">
        <v>17</v>
      </c>
      <c r="G182" s="10">
        <v>4</v>
      </c>
      <c r="H182" s="11">
        <v>46198</v>
      </c>
      <c r="I182" s="12" t="s">
        <v>2484</v>
      </c>
      <c r="J182" s="13" t="s">
        <v>19</v>
      </c>
      <c r="K182" s="14" t="str">
        <f>HYPERLINK("http://mpro.prangroup.com:4000/CreativeWorks/Edit/37911","Open")</f>
        <v>Open</v>
      </c>
    </row>
    <row r="183" spans="1:11" ht="13.2">
      <c r="A183" s="4" t="s">
        <v>2485</v>
      </c>
      <c r="B183" s="5" t="s">
        <v>41</v>
      </c>
      <c r="C183" s="6" t="s">
        <v>275</v>
      </c>
      <c r="D183" s="7" t="s">
        <v>2486</v>
      </c>
      <c r="E183" s="8" t="s">
        <v>63</v>
      </c>
      <c r="F183" s="9" t="s">
        <v>17</v>
      </c>
      <c r="G183" s="10">
        <v>4</v>
      </c>
      <c r="H183" s="11">
        <v>46195</v>
      </c>
      <c r="I183" s="12" t="s">
        <v>2487</v>
      </c>
      <c r="J183" s="13" t="s">
        <v>19</v>
      </c>
      <c r="K183" s="14" t="str">
        <f>HYPERLINK("http://mpro.prangroup.com:4000/CreativeWorks/Edit/37460","Open")</f>
        <v>Open</v>
      </c>
    </row>
    <row r="184" spans="1:11" ht="13.2">
      <c r="A184" s="4" t="s">
        <v>1315</v>
      </c>
      <c r="B184" s="5" t="s">
        <v>217</v>
      </c>
      <c r="C184" s="6" t="s">
        <v>275</v>
      </c>
      <c r="D184" s="7" t="s">
        <v>1316</v>
      </c>
      <c r="E184" s="8" t="s">
        <v>63</v>
      </c>
      <c r="F184" s="9" t="s">
        <v>17</v>
      </c>
      <c r="G184" s="10">
        <v>9</v>
      </c>
      <c r="H184" s="11">
        <v>46203</v>
      </c>
      <c r="I184" s="12" t="s">
        <v>2488</v>
      </c>
      <c r="J184" s="13" t="s">
        <v>19</v>
      </c>
      <c r="K184" s="14" t="str">
        <f>HYPERLINK("http://mpro.prangroup.com:4000/CreativeWorks/Edit/38614","Open")</f>
        <v>Open</v>
      </c>
    </row>
    <row r="185" spans="1:11" ht="13.2">
      <c r="A185" s="4" t="s">
        <v>2489</v>
      </c>
      <c r="B185" s="5" t="s">
        <v>217</v>
      </c>
      <c r="C185" s="6" t="s">
        <v>275</v>
      </c>
      <c r="D185" s="7" t="s">
        <v>1309</v>
      </c>
      <c r="E185" s="8" t="s">
        <v>63</v>
      </c>
      <c r="F185" s="9" t="s">
        <v>17</v>
      </c>
      <c r="G185" s="10">
        <v>3</v>
      </c>
      <c r="H185" s="11">
        <v>46203</v>
      </c>
      <c r="I185" s="12" t="s">
        <v>2490</v>
      </c>
      <c r="J185" s="13" t="s">
        <v>19</v>
      </c>
      <c r="K185" s="14" t="str">
        <f>HYPERLINK("http://mpro.prangroup.com:4000/CreativeWorks/Edit/38611","Open")</f>
        <v>Open</v>
      </c>
    </row>
    <row r="186" spans="1:11" ht="13.2">
      <c r="A186" s="4" t="s">
        <v>2491</v>
      </c>
      <c r="B186" s="5" t="s">
        <v>217</v>
      </c>
      <c r="C186" s="6" t="s">
        <v>275</v>
      </c>
      <c r="D186" s="7" t="s">
        <v>2492</v>
      </c>
      <c r="E186" s="8" t="s">
        <v>63</v>
      </c>
      <c r="F186" s="9" t="s">
        <v>17</v>
      </c>
      <c r="G186" s="10">
        <v>1</v>
      </c>
      <c r="H186" s="20"/>
      <c r="I186" s="21"/>
      <c r="J186" s="28"/>
      <c r="K186" s="19"/>
    </row>
    <row r="187" spans="1:11" ht="13.2">
      <c r="A187" s="4" t="s">
        <v>2493</v>
      </c>
      <c r="B187" s="5" t="s">
        <v>144</v>
      </c>
      <c r="C187" s="6" t="s">
        <v>275</v>
      </c>
      <c r="D187" s="7" t="s">
        <v>2494</v>
      </c>
      <c r="E187" s="8" t="s">
        <v>1355</v>
      </c>
      <c r="F187" s="9" t="s">
        <v>17</v>
      </c>
      <c r="G187" s="10">
        <v>2</v>
      </c>
      <c r="H187" s="11">
        <v>46198</v>
      </c>
      <c r="I187" s="12" t="s">
        <v>2495</v>
      </c>
      <c r="J187" s="13" t="s">
        <v>19</v>
      </c>
      <c r="K187" s="14" t="str">
        <f>HYPERLINK("http://mpro.prangroup.com:4000/CreativeWorks/Edit/37925","Open")</f>
        <v>Open</v>
      </c>
    </row>
    <row r="188" spans="1:11" ht="13.2">
      <c r="A188" s="4" t="s">
        <v>2496</v>
      </c>
      <c r="B188" s="5" t="s">
        <v>41</v>
      </c>
      <c r="C188" s="6" t="s">
        <v>228</v>
      </c>
      <c r="D188" s="7" t="s">
        <v>2497</v>
      </c>
      <c r="E188" s="8" t="s">
        <v>302</v>
      </c>
      <c r="F188" s="9" t="s">
        <v>17</v>
      </c>
      <c r="G188" s="10">
        <v>3</v>
      </c>
      <c r="H188" s="11">
        <v>46200</v>
      </c>
      <c r="I188" s="12" t="s">
        <v>2498</v>
      </c>
      <c r="J188" s="13" t="s">
        <v>30</v>
      </c>
      <c r="K188" s="14" t="str">
        <f>HYPERLINK("http://mpro.prangroup.com:4000/CreativeWorks/Edit/37959","Open")</f>
        <v>Open</v>
      </c>
    </row>
    <row r="189" spans="1:11" ht="13.2">
      <c r="A189" s="4" t="s">
        <v>2499</v>
      </c>
      <c r="B189" s="5" t="s">
        <v>60</v>
      </c>
      <c r="C189" s="6" t="s">
        <v>1685</v>
      </c>
      <c r="D189" s="7" t="s">
        <v>2500</v>
      </c>
      <c r="E189" s="8" t="s">
        <v>302</v>
      </c>
      <c r="F189" s="9" t="s">
        <v>17</v>
      </c>
      <c r="G189" s="10">
        <v>1</v>
      </c>
      <c r="H189" s="20"/>
      <c r="I189" s="21"/>
      <c r="J189" s="28"/>
      <c r="K189" s="19"/>
    </row>
    <row r="190" spans="1:11" ht="13.2">
      <c r="A190" s="4" t="s">
        <v>2501</v>
      </c>
      <c r="B190" s="5" t="s">
        <v>60</v>
      </c>
      <c r="C190" s="6" t="s">
        <v>228</v>
      </c>
      <c r="D190" s="7" t="s">
        <v>2502</v>
      </c>
      <c r="E190" s="8" t="s">
        <v>302</v>
      </c>
      <c r="F190" s="9" t="s">
        <v>17</v>
      </c>
      <c r="G190" s="10">
        <v>1</v>
      </c>
      <c r="H190" s="20"/>
      <c r="I190" s="21"/>
      <c r="J190" s="28"/>
      <c r="K190" s="19"/>
    </row>
    <row r="191" spans="1:11" ht="13.2">
      <c r="A191" s="4" t="s">
        <v>2503</v>
      </c>
      <c r="B191" s="5" t="s">
        <v>60</v>
      </c>
      <c r="C191" s="6" t="s">
        <v>228</v>
      </c>
      <c r="D191" s="7" t="s">
        <v>2504</v>
      </c>
      <c r="E191" s="8" t="s">
        <v>302</v>
      </c>
      <c r="F191" s="9" t="s">
        <v>17</v>
      </c>
      <c r="G191" s="10">
        <v>5</v>
      </c>
      <c r="H191" s="20"/>
      <c r="I191" s="21"/>
      <c r="J191" s="28"/>
      <c r="K191" s="19"/>
    </row>
    <row r="192" spans="1:11" ht="13.2">
      <c r="A192" s="4" t="s">
        <v>2505</v>
      </c>
      <c r="B192" s="5" t="s">
        <v>60</v>
      </c>
      <c r="C192" s="6" t="s">
        <v>228</v>
      </c>
      <c r="D192" s="7" t="s">
        <v>2506</v>
      </c>
      <c r="E192" s="8" t="s">
        <v>63</v>
      </c>
      <c r="F192" s="9" t="s">
        <v>17</v>
      </c>
      <c r="G192" s="10">
        <v>2</v>
      </c>
      <c r="H192" s="11">
        <v>46205</v>
      </c>
      <c r="I192" s="12" t="s">
        <v>2507</v>
      </c>
      <c r="J192" s="13" t="s">
        <v>19</v>
      </c>
      <c r="K192" s="14" t="str">
        <f>HYPERLINK("http://mpro.prangroup.com:4000/CreativeWorks/Edit/39074","Open")</f>
        <v>Open</v>
      </c>
    </row>
    <row r="193" spans="1:11" ht="13.2">
      <c r="A193" s="4" t="s">
        <v>2508</v>
      </c>
      <c r="B193" s="5" t="s">
        <v>60</v>
      </c>
      <c r="C193" s="6" t="s">
        <v>228</v>
      </c>
      <c r="D193" s="7" t="s">
        <v>2509</v>
      </c>
      <c r="E193" s="8" t="s">
        <v>302</v>
      </c>
      <c r="F193" s="9" t="s">
        <v>17</v>
      </c>
      <c r="G193" s="10">
        <v>2</v>
      </c>
      <c r="H193" s="20"/>
      <c r="I193" s="21"/>
      <c r="J193" s="28"/>
      <c r="K193" s="19"/>
    </row>
    <row r="194" spans="1:11" ht="13.2">
      <c r="A194" s="4" t="s">
        <v>2510</v>
      </c>
      <c r="B194" s="5" t="s">
        <v>202</v>
      </c>
      <c r="C194" s="6" t="s">
        <v>501</v>
      </c>
      <c r="D194" s="7" t="s">
        <v>2511</v>
      </c>
      <c r="E194" s="8" t="s">
        <v>302</v>
      </c>
      <c r="F194" s="9" t="s">
        <v>17</v>
      </c>
      <c r="G194" s="10">
        <v>2</v>
      </c>
      <c r="H194" s="11">
        <v>46207</v>
      </c>
      <c r="I194" s="12" t="s">
        <v>2512</v>
      </c>
      <c r="J194" s="13" t="s">
        <v>19</v>
      </c>
      <c r="K194" s="14" t="str">
        <f>HYPERLINK("http://mpro.prangroup.com:4000/CreativeWorks/Edit/39281","Open")</f>
        <v>Open</v>
      </c>
    </row>
    <row r="195" spans="1:11" ht="13.2">
      <c r="A195" s="4" t="s">
        <v>2513</v>
      </c>
      <c r="B195" s="5" t="s">
        <v>144</v>
      </c>
      <c r="C195" s="6" t="s">
        <v>275</v>
      </c>
      <c r="D195" s="7" t="s">
        <v>2514</v>
      </c>
      <c r="E195" s="8" t="s">
        <v>63</v>
      </c>
      <c r="F195" s="9" t="s">
        <v>17</v>
      </c>
      <c r="G195" s="10">
        <v>6</v>
      </c>
      <c r="H195" s="11">
        <v>46211</v>
      </c>
      <c r="I195" s="12" t="s">
        <v>2515</v>
      </c>
      <c r="J195" s="13" t="s">
        <v>19</v>
      </c>
      <c r="K195" s="14" t="str">
        <f>HYPERLINK("http://mpro.prangroup.com:4000/CreativeWorks/Edit/39871","Open")</f>
        <v>Open</v>
      </c>
    </row>
    <row r="196" spans="1:11" ht="13.2">
      <c r="A196" s="4" t="s">
        <v>2516</v>
      </c>
      <c r="B196" s="5" t="s">
        <v>144</v>
      </c>
      <c r="C196" s="6" t="s">
        <v>186</v>
      </c>
      <c r="D196" s="7" t="s">
        <v>2517</v>
      </c>
      <c r="E196" s="8" t="s">
        <v>1373</v>
      </c>
      <c r="F196" s="9" t="s">
        <v>17</v>
      </c>
      <c r="G196" s="10">
        <v>4</v>
      </c>
      <c r="H196" s="11">
        <v>46207</v>
      </c>
      <c r="I196" s="12" t="s">
        <v>2518</v>
      </c>
      <c r="J196" s="13" t="s">
        <v>19</v>
      </c>
      <c r="K196" s="14" t="str">
        <f>HYPERLINK("http://mpro.prangroup.com:4000/CreativeWorks/Edit/39302","Open")</f>
        <v>Open</v>
      </c>
    </row>
    <row r="197" spans="1:11" ht="13.2">
      <c r="A197" s="4" t="s">
        <v>117</v>
      </c>
      <c r="B197" s="5" t="s">
        <v>32</v>
      </c>
      <c r="C197" s="6" t="s">
        <v>186</v>
      </c>
      <c r="D197" s="7" t="s">
        <v>2519</v>
      </c>
      <c r="E197" s="8" t="s">
        <v>1687</v>
      </c>
      <c r="F197" s="9" t="s">
        <v>17</v>
      </c>
      <c r="G197" s="10">
        <v>3</v>
      </c>
      <c r="H197" s="11">
        <v>46207</v>
      </c>
      <c r="I197" s="12" t="s">
        <v>2520</v>
      </c>
      <c r="J197" s="13" t="s">
        <v>19</v>
      </c>
      <c r="K197" s="14" t="str">
        <f>HYPERLINK("http://mpro.prangroup.com:4000/CreativeWorks/Edit/39298","Open")</f>
        <v>Open</v>
      </c>
    </row>
    <row r="198" spans="1:11" ht="13.2">
      <c r="A198" s="4" t="s">
        <v>2521</v>
      </c>
      <c r="B198" s="5" t="s">
        <v>41</v>
      </c>
      <c r="C198" s="6" t="s">
        <v>186</v>
      </c>
      <c r="D198" s="7" t="s">
        <v>2522</v>
      </c>
      <c r="E198" s="8" t="s">
        <v>589</v>
      </c>
      <c r="F198" s="9" t="s">
        <v>17</v>
      </c>
      <c r="G198" s="10">
        <v>3</v>
      </c>
      <c r="H198" s="11">
        <v>46207</v>
      </c>
      <c r="I198" s="12" t="s">
        <v>2523</v>
      </c>
      <c r="J198" s="13" t="s">
        <v>19</v>
      </c>
      <c r="K198" s="14" t="str">
        <f>HYPERLINK("http://mpro.prangroup.com:4000/CreativeWorks/Edit/39299","Open")</f>
        <v>Open</v>
      </c>
    </row>
    <row r="199" spans="1:11" ht="13.2">
      <c r="A199" s="4" t="s">
        <v>2524</v>
      </c>
      <c r="B199" s="5" t="s">
        <v>41</v>
      </c>
      <c r="C199" s="6" t="s">
        <v>186</v>
      </c>
      <c r="D199" s="7" t="s">
        <v>2525</v>
      </c>
      <c r="E199" s="8" t="s">
        <v>1373</v>
      </c>
      <c r="F199" s="9" t="s">
        <v>17</v>
      </c>
      <c r="G199" s="10">
        <v>5</v>
      </c>
      <c r="H199" s="11">
        <v>46207</v>
      </c>
      <c r="I199" s="12" t="s">
        <v>2526</v>
      </c>
      <c r="J199" s="13" t="s">
        <v>19</v>
      </c>
      <c r="K199" s="14" t="str">
        <f>HYPERLINK("http://mpro.prangroup.com:4000/CreativeWorks/Edit/39300","Open")</f>
        <v>Open</v>
      </c>
    </row>
    <row r="200" spans="1:11" ht="13.2">
      <c r="A200" s="4" t="s">
        <v>2527</v>
      </c>
      <c r="B200" s="5" t="s">
        <v>60</v>
      </c>
      <c r="C200" s="6" t="s">
        <v>228</v>
      </c>
      <c r="D200" s="7" t="s">
        <v>2528</v>
      </c>
      <c r="E200" s="8" t="s">
        <v>63</v>
      </c>
      <c r="F200" s="9" t="s">
        <v>17</v>
      </c>
      <c r="G200" s="10">
        <v>12</v>
      </c>
      <c r="H200" s="20"/>
      <c r="I200" s="21"/>
      <c r="J200" s="28"/>
      <c r="K200" s="19"/>
    </row>
    <row r="201" spans="1:11" ht="13.2">
      <c r="A201" s="4" t="s">
        <v>2529</v>
      </c>
      <c r="B201" s="5" t="s">
        <v>60</v>
      </c>
      <c r="C201" s="6" t="s">
        <v>275</v>
      </c>
      <c r="D201" s="7" t="s">
        <v>2530</v>
      </c>
      <c r="E201" s="8" t="s">
        <v>63</v>
      </c>
      <c r="F201" s="9" t="s">
        <v>17</v>
      </c>
      <c r="G201" s="10">
        <v>2</v>
      </c>
      <c r="H201" s="20"/>
      <c r="I201" s="21"/>
      <c r="J201" s="28"/>
      <c r="K201" s="19"/>
    </row>
    <row r="202" spans="1:11" ht="13.2">
      <c r="A202" s="4" t="s">
        <v>2531</v>
      </c>
      <c r="B202" s="5" t="s">
        <v>60</v>
      </c>
      <c r="C202" s="6" t="s">
        <v>275</v>
      </c>
      <c r="D202" s="7" t="s">
        <v>2532</v>
      </c>
      <c r="E202" s="8" t="s">
        <v>1077</v>
      </c>
      <c r="F202" s="9" t="s">
        <v>17</v>
      </c>
      <c r="G202" s="10">
        <v>4</v>
      </c>
      <c r="H202" s="20"/>
      <c r="I202" s="21"/>
      <c r="J202" s="28"/>
      <c r="K202" s="19"/>
    </row>
    <row r="203" spans="1:11" ht="13.2">
      <c r="A203" s="4" t="s">
        <v>2513</v>
      </c>
      <c r="B203" s="5" t="s">
        <v>144</v>
      </c>
      <c r="C203" s="6" t="s">
        <v>275</v>
      </c>
      <c r="D203" s="7" t="s">
        <v>2514</v>
      </c>
      <c r="E203" s="8" t="s">
        <v>505</v>
      </c>
      <c r="F203" s="9" t="s">
        <v>17</v>
      </c>
      <c r="G203" s="10">
        <v>6</v>
      </c>
      <c r="H203" s="11">
        <v>46211</v>
      </c>
      <c r="I203" s="12" t="s">
        <v>2515</v>
      </c>
      <c r="J203" s="13" t="s">
        <v>19</v>
      </c>
      <c r="K203" s="14" t="str">
        <f>HYPERLINK("http://mpro.prangroup.com:4000/CreativeWorks/Edit/39871","Open")</f>
        <v>Open</v>
      </c>
    </row>
    <row r="204" spans="1:11" ht="13.2">
      <c r="A204" s="4" t="s">
        <v>2533</v>
      </c>
      <c r="B204" s="5" t="s">
        <v>202</v>
      </c>
      <c r="C204" s="6" t="s">
        <v>203</v>
      </c>
      <c r="D204" s="7" t="s">
        <v>2534</v>
      </c>
      <c r="E204" s="8" t="s">
        <v>302</v>
      </c>
      <c r="F204" s="9" t="s">
        <v>17</v>
      </c>
      <c r="G204" s="10">
        <v>1</v>
      </c>
      <c r="H204" s="11">
        <v>46212</v>
      </c>
      <c r="I204" s="12" t="s">
        <v>2535</v>
      </c>
      <c r="J204" s="13" t="s">
        <v>19</v>
      </c>
      <c r="K204" s="19"/>
    </row>
    <row r="205" spans="1:11" ht="13.2">
      <c r="A205" s="22"/>
      <c r="B205" s="16"/>
      <c r="C205" s="23"/>
      <c r="D205" s="24"/>
      <c r="E205" s="25"/>
      <c r="F205" s="26"/>
      <c r="G205" s="27"/>
      <c r="H205" s="20"/>
      <c r="I205" s="21"/>
      <c r="J205" s="28"/>
      <c r="K205" s="19"/>
    </row>
    <row r="206" spans="1:11" ht="13.2">
      <c r="A206" s="22"/>
      <c r="B206" s="16"/>
      <c r="C206" s="23"/>
      <c r="D206" s="24"/>
      <c r="E206" s="25"/>
      <c r="F206" s="26"/>
      <c r="G206" s="27"/>
      <c r="H206" s="20"/>
      <c r="I206" s="21"/>
      <c r="J206" s="28"/>
      <c r="K206" s="19"/>
    </row>
    <row r="207" spans="1:11" ht="13.2">
      <c r="A207" s="22"/>
      <c r="B207" s="16"/>
      <c r="C207" s="23"/>
      <c r="D207" s="24"/>
      <c r="E207" s="25"/>
      <c r="F207" s="26"/>
      <c r="G207" s="27"/>
      <c r="H207" s="20"/>
      <c r="I207" s="21"/>
      <c r="J207" s="28"/>
      <c r="K207" s="19"/>
    </row>
    <row r="208" spans="1:11" ht="13.2">
      <c r="A208" s="22"/>
      <c r="B208" s="16"/>
      <c r="C208" s="23"/>
      <c r="D208" s="24"/>
      <c r="E208" s="25"/>
      <c r="F208" s="26"/>
      <c r="G208" s="27"/>
      <c r="H208" s="20"/>
      <c r="I208" s="21"/>
      <c r="J208" s="28"/>
      <c r="K208" s="19"/>
    </row>
    <row r="209" spans="1:11" ht="13.2">
      <c r="A209" s="22"/>
      <c r="B209" s="16"/>
      <c r="C209" s="23"/>
      <c r="D209" s="24"/>
      <c r="E209" s="25"/>
      <c r="F209" s="26"/>
      <c r="G209" s="27"/>
      <c r="H209" s="20"/>
      <c r="I209" s="21"/>
      <c r="J209" s="28"/>
      <c r="K209" s="19"/>
    </row>
    <row r="210" spans="1:11" ht="13.2">
      <c r="A210" s="22"/>
      <c r="B210" s="16"/>
      <c r="C210" s="23"/>
      <c r="D210" s="24"/>
      <c r="E210" s="25"/>
      <c r="F210" s="26"/>
      <c r="G210" s="27"/>
      <c r="H210" s="20"/>
      <c r="I210" s="21"/>
      <c r="J210" s="28"/>
      <c r="K210" s="19"/>
    </row>
    <row r="211" spans="1:11" ht="13.2">
      <c r="A211" s="22"/>
      <c r="B211" s="16"/>
      <c r="C211" s="23"/>
      <c r="D211" s="24"/>
      <c r="E211" s="25"/>
      <c r="F211" s="26"/>
      <c r="G211" s="27"/>
      <c r="H211" s="20"/>
      <c r="I211" s="21"/>
      <c r="J211" s="28"/>
      <c r="K211" s="19"/>
    </row>
    <row r="212" spans="1:11" ht="13.2">
      <c r="A212" s="22"/>
      <c r="B212" s="16"/>
      <c r="C212" s="23"/>
      <c r="D212" s="24"/>
      <c r="E212" s="25"/>
      <c r="F212" s="26"/>
      <c r="G212" s="27"/>
      <c r="H212" s="20"/>
      <c r="I212" s="21"/>
      <c r="J212" s="28"/>
      <c r="K212" s="19"/>
    </row>
    <row r="213" spans="1:11" ht="13.2">
      <c r="A213" s="22"/>
      <c r="B213" s="16"/>
      <c r="C213" s="23"/>
      <c r="D213" s="24"/>
      <c r="E213" s="25"/>
      <c r="F213" s="26"/>
      <c r="G213" s="27"/>
      <c r="H213" s="20"/>
      <c r="I213" s="21"/>
      <c r="J213" s="28"/>
      <c r="K213" s="19"/>
    </row>
    <row r="214" spans="1:11" ht="13.2">
      <c r="A214" s="22"/>
      <c r="B214" s="16"/>
      <c r="C214" s="23"/>
      <c r="D214" s="24"/>
      <c r="E214" s="25"/>
      <c r="F214" s="26"/>
      <c r="G214" s="27"/>
      <c r="H214" s="20"/>
      <c r="I214" s="21"/>
      <c r="J214" s="28"/>
      <c r="K214" s="19"/>
    </row>
    <row r="215" spans="1:11" ht="13.2">
      <c r="A215" s="22"/>
      <c r="B215" s="16"/>
      <c r="C215" s="23"/>
      <c r="D215" s="24"/>
      <c r="E215" s="25"/>
      <c r="F215" s="26"/>
      <c r="G215" s="27"/>
      <c r="H215" s="20"/>
      <c r="I215" s="21"/>
      <c r="J215" s="28"/>
      <c r="K215" s="19"/>
    </row>
    <row r="216" spans="1:11" ht="13.2">
      <c r="A216" s="22"/>
      <c r="B216" s="16"/>
      <c r="C216" s="23"/>
      <c r="D216" s="24"/>
      <c r="E216" s="25"/>
      <c r="F216" s="26"/>
      <c r="G216" s="27"/>
      <c r="H216" s="20"/>
      <c r="I216" s="21"/>
      <c r="J216" s="28"/>
      <c r="K216" s="19"/>
    </row>
    <row r="217" spans="1:11" ht="13.2">
      <c r="A217" s="22"/>
      <c r="B217" s="16"/>
      <c r="C217" s="23"/>
      <c r="D217" s="24"/>
      <c r="E217" s="25"/>
      <c r="F217" s="26"/>
      <c r="G217" s="27"/>
      <c r="H217" s="20"/>
      <c r="I217" s="21"/>
      <c r="J217" s="28"/>
      <c r="K217" s="19"/>
    </row>
    <row r="218" spans="1:11" ht="13.2">
      <c r="A218" s="22"/>
      <c r="B218" s="16"/>
      <c r="C218" s="23"/>
      <c r="D218" s="24"/>
      <c r="E218" s="25"/>
      <c r="F218" s="26"/>
      <c r="G218" s="27"/>
      <c r="H218" s="20"/>
      <c r="I218" s="21"/>
      <c r="J218" s="28"/>
      <c r="K218" s="19"/>
    </row>
    <row r="219" spans="1:11" ht="13.2">
      <c r="A219" s="22"/>
      <c r="B219" s="16"/>
      <c r="C219" s="23"/>
      <c r="D219" s="24"/>
      <c r="E219" s="25"/>
      <c r="F219" s="26"/>
      <c r="G219" s="27"/>
      <c r="H219" s="20"/>
      <c r="I219" s="21"/>
      <c r="J219" s="28"/>
      <c r="K219" s="19"/>
    </row>
    <row r="220" spans="1:11" ht="13.2">
      <c r="A220" s="22"/>
      <c r="B220" s="16"/>
      <c r="C220" s="23"/>
      <c r="D220" s="24"/>
      <c r="E220" s="25"/>
      <c r="F220" s="26"/>
      <c r="G220" s="27"/>
      <c r="H220" s="20"/>
      <c r="I220" s="21"/>
      <c r="J220" s="28"/>
      <c r="K220" s="19"/>
    </row>
    <row r="221" spans="1:11" ht="13.2">
      <c r="A221" s="22"/>
      <c r="B221" s="16"/>
      <c r="C221" s="23"/>
      <c r="D221" s="24"/>
      <c r="E221" s="25"/>
      <c r="F221" s="26"/>
      <c r="G221" s="27"/>
      <c r="H221" s="20"/>
      <c r="I221" s="21"/>
      <c r="J221" s="28"/>
      <c r="K221" s="19"/>
    </row>
    <row r="222" spans="1:11" ht="13.2">
      <c r="A222" s="22"/>
      <c r="B222" s="16"/>
      <c r="C222" s="23"/>
      <c r="D222" s="24"/>
      <c r="E222" s="25"/>
      <c r="F222" s="26"/>
      <c r="G222" s="27"/>
      <c r="H222" s="20"/>
      <c r="I222" s="21"/>
      <c r="J222" s="28"/>
      <c r="K222" s="19"/>
    </row>
    <row r="223" spans="1:11" ht="13.2">
      <c r="A223" s="22"/>
      <c r="B223" s="16"/>
      <c r="C223" s="23"/>
      <c r="D223" s="24"/>
      <c r="E223" s="25"/>
      <c r="F223" s="26"/>
      <c r="G223" s="27"/>
      <c r="H223" s="20"/>
      <c r="I223" s="21"/>
      <c r="J223" s="28"/>
      <c r="K223" s="19"/>
    </row>
    <row r="224" spans="1:11" ht="13.2">
      <c r="A224" s="22"/>
      <c r="B224" s="16"/>
      <c r="C224" s="23"/>
      <c r="D224" s="24"/>
      <c r="E224" s="25"/>
      <c r="F224" s="26"/>
      <c r="G224" s="27"/>
      <c r="H224" s="20"/>
      <c r="I224" s="21"/>
      <c r="J224" s="28"/>
      <c r="K224" s="19"/>
    </row>
    <row r="225" spans="1:11" ht="13.2">
      <c r="A225" s="22"/>
      <c r="B225" s="16"/>
      <c r="C225" s="23"/>
      <c r="D225" s="24"/>
      <c r="E225" s="25"/>
      <c r="F225" s="26"/>
      <c r="G225" s="27"/>
      <c r="H225" s="20"/>
      <c r="I225" s="21"/>
      <c r="J225" s="28"/>
      <c r="K225" s="19"/>
    </row>
    <row r="226" spans="1:11" ht="13.2">
      <c r="A226" s="22"/>
      <c r="B226" s="16"/>
      <c r="C226" s="23"/>
      <c r="D226" s="24"/>
      <c r="E226" s="25"/>
      <c r="F226" s="26"/>
      <c r="G226" s="27"/>
      <c r="H226" s="20"/>
      <c r="I226" s="21"/>
      <c r="J226" s="28"/>
      <c r="K226" s="19"/>
    </row>
    <row r="227" spans="1:11" ht="13.2">
      <c r="A227" s="22"/>
      <c r="B227" s="16"/>
      <c r="C227" s="23"/>
      <c r="D227" s="24"/>
      <c r="E227" s="25"/>
      <c r="F227" s="26"/>
      <c r="G227" s="27"/>
      <c r="H227" s="20"/>
      <c r="I227" s="21"/>
      <c r="J227" s="28"/>
      <c r="K227" s="19"/>
    </row>
    <row r="228" spans="1:11" ht="13.2">
      <c r="A228" s="22"/>
      <c r="B228" s="16"/>
      <c r="C228" s="23"/>
      <c r="D228" s="24"/>
      <c r="E228" s="25"/>
      <c r="F228" s="26"/>
      <c r="G228" s="27"/>
      <c r="H228" s="20"/>
      <c r="I228" s="21"/>
      <c r="J228" s="28"/>
      <c r="K228" s="19"/>
    </row>
    <row r="229" spans="1:11" ht="13.2">
      <c r="A229" s="22"/>
      <c r="B229" s="16"/>
      <c r="C229" s="23"/>
      <c r="D229" s="24"/>
      <c r="E229" s="25"/>
      <c r="F229" s="26"/>
      <c r="G229" s="27"/>
      <c r="H229" s="20"/>
      <c r="I229" s="21"/>
      <c r="J229" s="28"/>
      <c r="K229" s="19"/>
    </row>
    <row r="230" spans="1:11" ht="13.2">
      <c r="A230" s="22"/>
      <c r="B230" s="16"/>
      <c r="C230" s="23"/>
      <c r="D230" s="24"/>
      <c r="E230" s="25"/>
      <c r="F230" s="26"/>
      <c r="G230" s="27"/>
      <c r="H230" s="20"/>
      <c r="I230" s="21"/>
      <c r="J230" s="28"/>
      <c r="K230" s="19"/>
    </row>
    <row r="231" spans="1:11" ht="13.2">
      <c r="A231" s="22"/>
      <c r="B231" s="16"/>
      <c r="C231" s="23"/>
      <c r="D231" s="24"/>
      <c r="E231" s="25"/>
      <c r="F231" s="26"/>
      <c r="G231" s="27"/>
      <c r="H231" s="20"/>
      <c r="I231" s="21"/>
      <c r="J231" s="28"/>
      <c r="K231" s="19"/>
    </row>
    <row r="232" spans="1:11" ht="13.2">
      <c r="A232" s="22"/>
      <c r="B232" s="16"/>
      <c r="C232" s="23"/>
      <c r="D232" s="24"/>
      <c r="E232" s="25"/>
      <c r="F232" s="26"/>
      <c r="G232" s="27"/>
      <c r="H232" s="20"/>
      <c r="I232" s="21"/>
      <c r="J232" s="28"/>
      <c r="K232" s="19"/>
    </row>
    <row r="233" spans="1:11" ht="13.2">
      <c r="A233" s="22"/>
      <c r="B233" s="16"/>
      <c r="C233" s="23"/>
      <c r="D233" s="24"/>
      <c r="E233" s="25"/>
      <c r="F233" s="26"/>
      <c r="G233" s="27"/>
      <c r="H233" s="20"/>
      <c r="I233" s="21"/>
      <c r="J233" s="28"/>
      <c r="K233" s="19"/>
    </row>
    <row r="234" spans="1:11" ht="13.2">
      <c r="A234" s="22"/>
      <c r="B234" s="16"/>
      <c r="C234" s="23"/>
      <c r="D234" s="24"/>
      <c r="E234" s="25"/>
      <c r="F234" s="26"/>
      <c r="G234" s="27"/>
      <c r="H234" s="20"/>
      <c r="I234" s="21"/>
      <c r="J234" s="28"/>
      <c r="K234" s="19"/>
    </row>
    <row r="235" spans="1:11" ht="13.2">
      <c r="A235" s="22"/>
      <c r="B235" s="16"/>
      <c r="C235" s="23"/>
      <c r="D235" s="24"/>
      <c r="E235" s="25"/>
      <c r="F235" s="26"/>
      <c r="G235" s="27"/>
      <c r="H235" s="20"/>
      <c r="I235" s="21"/>
      <c r="J235" s="28"/>
      <c r="K235" s="19"/>
    </row>
    <row r="236" spans="1:11" ht="13.2">
      <c r="A236" s="22"/>
      <c r="B236" s="16"/>
      <c r="C236" s="23"/>
      <c r="D236" s="24"/>
      <c r="E236" s="25"/>
      <c r="F236" s="26"/>
      <c r="G236" s="27"/>
      <c r="H236" s="20"/>
      <c r="I236" s="21"/>
      <c r="J236" s="28"/>
      <c r="K236" s="19"/>
    </row>
    <row r="237" spans="1:11" ht="13.2">
      <c r="A237" s="22"/>
      <c r="B237" s="16"/>
      <c r="C237" s="23"/>
      <c r="D237" s="24"/>
      <c r="E237" s="25"/>
      <c r="F237" s="26"/>
      <c r="G237" s="27"/>
      <c r="H237" s="20"/>
      <c r="I237" s="21"/>
      <c r="J237" s="28"/>
      <c r="K237" s="19"/>
    </row>
    <row r="238" spans="1:11" ht="13.2">
      <c r="A238" s="22"/>
      <c r="B238" s="16"/>
      <c r="C238" s="23"/>
      <c r="D238" s="24"/>
      <c r="E238" s="25"/>
      <c r="F238" s="26"/>
      <c r="G238" s="27"/>
      <c r="H238" s="20"/>
      <c r="I238" s="21"/>
      <c r="J238" s="28"/>
      <c r="K238" s="19"/>
    </row>
    <row r="239" spans="1:11" ht="13.2">
      <c r="A239" s="22"/>
      <c r="B239" s="16"/>
      <c r="C239" s="23"/>
      <c r="D239" s="24"/>
      <c r="E239" s="25"/>
      <c r="F239" s="26"/>
      <c r="G239" s="27"/>
      <c r="H239" s="20"/>
      <c r="I239" s="21"/>
      <c r="J239" s="28"/>
      <c r="K239" s="19"/>
    </row>
    <row r="240" spans="1:11" ht="13.2">
      <c r="A240" s="22"/>
      <c r="B240" s="16"/>
      <c r="C240" s="23"/>
      <c r="D240" s="24"/>
      <c r="E240" s="25"/>
      <c r="F240" s="26"/>
      <c r="G240" s="27"/>
      <c r="H240" s="20"/>
      <c r="I240" s="21"/>
      <c r="J240" s="28"/>
      <c r="K240" s="19"/>
    </row>
    <row r="241" spans="1:11" ht="13.2">
      <c r="A241" s="22"/>
      <c r="B241" s="16"/>
      <c r="C241" s="23"/>
      <c r="D241" s="24"/>
      <c r="E241" s="25"/>
      <c r="F241" s="26"/>
      <c r="G241" s="27"/>
      <c r="H241" s="20"/>
      <c r="I241" s="21"/>
      <c r="J241" s="28"/>
      <c r="K241" s="19"/>
    </row>
    <row r="242" spans="1:11" ht="13.2">
      <c r="A242" s="22"/>
      <c r="B242" s="16"/>
      <c r="C242" s="23"/>
      <c r="D242" s="24"/>
      <c r="E242" s="25"/>
      <c r="F242" s="26"/>
      <c r="G242" s="27"/>
      <c r="H242" s="20"/>
      <c r="I242" s="21"/>
      <c r="J242" s="28"/>
      <c r="K242" s="19"/>
    </row>
    <row r="243" spans="1:11" ht="13.2">
      <c r="A243" s="22"/>
      <c r="B243" s="16"/>
      <c r="C243" s="23"/>
      <c r="D243" s="24"/>
      <c r="E243" s="25"/>
      <c r="F243" s="26"/>
      <c r="G243" s="27"/>
      <c r="H243" s="20"/>
      <c r="I243" s="21"/>
      <c r="J243" s="28"/>
      <c r="K243" s="19"/>
    </row>
    <row r="244" spans="1:11" ht="13.2">
      <c r="A244" s="22"/>
      <c r="B244" s="16"/>
      <c r="C244" s="23"/>
      <c r="D244" s="24"/>
      <c r="E244" s="25"/>
      <c r="F244" s="26"/>
      <c r="G244" s="27"/>
      <c r="H244" s="20"/>
      <c r="I244" s="21"/>
      <c r="J244" s="28"/>
      <c r="K244" s="19"/>
    </row>
    <row r="245" spans="1:11" ht="13.2">
      <c r="A245" s="22"/>
      <c r="B245" s="16"/>
      <c r="C245" s="23"/>
      <c r="D245" s="24"/>
      <c r="E245" s="25"/>
      <c r="F245" s="26"/>
      <c r="G245" s="27"/>
      <c r="H245" s="20"/>
      <c r="I245" s="21"/>
      <c r="J245" s="28"/>
      <c r="K245" s="19"/>
    </row>
    <row r="246" spans="1:11" ht="13.2">
      <c r="A246" s="22"/>
      <c r="B246" s="16"/>
      <c r="C246" s="23"/>
      <c r="D246" s="24"/>
      <c r="E246" s="25"/>
      <c r="F246" s="26"/>
      <c r="G246" s="27"/>
      <c r="H246" s="20"/>
      <c r="I246" s="21"/>
      <c r="J246" s="28"/>
      <c r="K246" s="19"/>
    </row>
    <row r="247" spans="1:11" ht="13.2">
      <c r="A247" s="22"/>
      <c r="B247" s="16"/>
      <c r="C247" s="23"/>
      <c r="D247" s="24"/>
      <c r="E247" s="25"/>
      <c r="F247" s="26"/>
      <c r="G247" s="27"/>
      <c r="H247" s="20"/>
      <c r="I247" s="21"/>
      <c r="J247" s="28"/>
      <c r="K247" s="19"/>
    </row>
    <row r="248" spans="1:11" ht="13.2">
      <c r="A248" s="22"/>
      <c r="B248" s="16"/>
      <c r="C248" s="23"/>
      <c r="D248" s="24"/>
      <c r="E248" s="25"/>
      <c r="F248" s="26"/>
      <c r="G248" s="27"/>
      <c r="H248" s="20"/>
      <c r="I248" s="21"/>
      <c r="J248" s="28"/>
      <c r="K248" s="19"/>
    </row>
    <row r="249" spans="1:11" ht="13.2">
      <c r="A249" s="22"/>
      <c r="B249" s="16"/>
      <c r="C249" s="23"/>
      <c r="D249" s="24"/>
      <c r="E249" s="25"/>
      <c r="F249" s="26"/>
      <c r="G249" s="27"/>
      <c r="H249" s="20"/>
      <c r="I249" s="21"/>
      <c r="J249" s="28"/>
      <c r="K249" s="19"/>
    </row>
    <row r="250" spans="1:11" ht="13.2">
      <c r="A250" s="22"/>
      <c r="B250" s="16"/>
      <c r="C250" s="23"/>
      <c r="D250" s="24"/>
      <c r="E250" s="25"/>
      <c r="F250" s="26"/>
      <c r="G250" s="27"/>
      <c r="H250" s="20"/>
      <c r="I250" s="21"/>
      <c r="J250" s="28"/>
      <c r="K250" s="19"/>
    </row>
    <row r="251" spans="1:11" ht="13.2">
      <c r="A251" s="22"/>
      <c r="B251" s="16"/>
      <c r="C251" s="23"/>
      <c r="D251" s="24"/>
      <c r="E251" s="25"/>
      <c r="F251" s="26"/>
      <c r="G251" s="27"/>
      <c r="H251" s="20"/>
      <c r="I251" s="21"/>
      <c r="J251" s="28"/>
      <c r="K251" s="19"/>
    </row>
    <row r="252" spans="1:11" ht="13.2">
      <c r="A252" s="22"/>
      <c r="B252" s="16"/>
      <c r="C252" s="23"/>
      <c r="D252" s="24"/>
      <c r="E252" s="25"/>
      <c r="F252" s="26"/>
      <c r="G252" s="27"/>
      <c r="H252" s="20"/>
      <c r="I252" s="21"/>
      <c r="J252" s="28"/>
      <c r="K252" s="19"/>
    </row>
    <row r="253" spans="1:11" ht="13.2">
      <c r="A253" s="22"/>
      <c r="B253" s="16"/>
      <c r="C253" s="23"/>
      <c r="D253" s="24"/>
      <c r="E253" s="25"/>
      <c r="F253" s="26"/>
      <c r="G253" s="27"/>
      <c r="H253" s="20"/>
      <c r="I253" s="21"/>
      <c r="J253" s="28"/>
      <c r="K253" s="19"/>
    </row>
    <row r="254" spans="1:11" ht="13.2">
      <c r="A254" s="22"/>
      <c r="B254" s="16"/>
      <c r="C254" s="23"/>
      <c r="D254" s="24"/>
      <c r="E254" s="25"/>
      <c r="F254" s="26"/>
      <c r="G254" s="27"/>
      <c r="H254" s="20"/>
      <c r="I254" s="21"/>
      <c r="J254" s="28"/>
      <c r="K254" s="19"/>
    </row>
    <row r="255" spans="1:11" ht="13.2">
      <c r="A255" s="22"/>
      <c r="B255" s="16"/>
      <c r="C255" s="23"/>
      <c r="D255" s="24"/>
      <c r="E255" s="25"/>
      <c r="F255" s="26"/>
      <c r="G255" s="27"/>
      <c r="H255" s="20"/>
      <c r="I255" s="21"/>
      <c r="J255" s="28"/>
      <c r="K255" s="19"/>
    </row>
    <row r="256" spans="1:11" ht="13.2">
      <c r="A256" s="22"/>
      <c r="B256" s="16"/>
      <c r="C256" s="23"/>
      <c r="D256" s="24"/>
      <c r="E256" s="25"/>
      <c r="F256" s="26"/>
      <c r="G256" s="27"/>
      <c r="H256" s="20"/>
      <c r="I256" s="21"/>
      <c r="J256" s="28"/>
      <c r="K256" s="19"/>
    </row>
    <row r="257" spans="1:11" ht="13.2">
      <c r="A257" s="22"/>
      <c r="B257" s="16"/>
      <c r="C257" s="23"/>
      <c r="D257" s="24"/>
      <c r="E257" s="25"/>
      <c r="F257" s="26"/>
      <c r="G257" s="27"/>
      <c r="H257" s="20"/>
      <c r="I257" s="21"/>
      <c r="J257" s="28"/>
      <c r="K257" s="19"/>
    </row>
    <row r="258" spans="1:11" ht="13.2">
      <c r="A258" s="22"/>
      <c r="B258" s="16"/>
      <c r="C258" s="23"/>
      <c r="D258" s="24"/>
      <c r="E258" s="25"/>
      <c r="F258" s="26"/>
      <c r="G258" s="27"/>
      <c r="H258" s="20"/>
      <c r="I258" s="21"/>
      <c r="J258" s="28"/>
      <c r="K258" s="19"/>
    </row>
    <row r="259" spans="1:11" ht="13.2">
      <c r="A259" s="22"/>
      <c r="B259" s="16"/>
      <c r="C259" s="23"/>
      <c r="D259" s="24"/>
      <c r="E259" s="25"/>
      <c r="F259" s="26"/>
      <c r="G259" s="27"/>
      <c r="H259" s="20"/>
      <c r="I259" s="21"/>
      <c r="J259" s="28"/>
      <c r="K259" s="19"/>
    </row>
    <row r="260" spans="1:11" ht="13.2">
      <c r="A260" s="22"/>
      <c r="B260" s="16"/>
      <c r="C260" s="23"/>
      <c r="D260" s="24"/>
      <c r="E260" s="25"/>
      <c r="F260" s="26"/>
      <c r="G260" s="27"/>
      <c r="H260" s="20"/>
      <c r="I260" s="21"/>
      <c r="J260" s="28"/>
      <c r="K260" s="19"/>
    </row>
    <row r="261" spans="1:11" ht="13.2">
      <c r="A261" s="22"/>
      <c r="B261" s="16"/>
      <c r="C261" s="23"/>
      <c r="D261" s="24"/>
      <c r="E261" s="25"/>
      <c r="F261" s="26"/>
      <c r="G261" s="27"/>
      <c r="H261" s="20"/>
      <c r="I261" s="21"/>
      <c r="J261" s="28"/>
      <c r="K261" s="19"/>
    </row>
    <row r="262" spans="1:11" ht="13.2">
      <c r="A262" s="22"/>
      <c r="B262" s="16"/>
      <c r="C262" s="23"/>
      <c r="D262" s="24"/>
      <c r="E262" s="25"/>
      <c r="F262" s="26"/>
      <c r="G262" s="27"/>
      <c r="H262" s="20"/>
      <c r="I262" s="21"/>
      <c r="J262" s="28"/>
      <c r="K262" s="19"/>
    </row>
    <row r="263" spans="1:11" ht="13.2">
      <c r="A263" s="22"/>
      <c r="B263" s="16"/>
      <c r="C263" s="23"/>
      <c r="D263" s="24"/>
      <c r="E263" s="25"/>
      <c r="F263" s="26"/>
      <c r="G263" s="27"/>
      <c r="H263" s="20"/>
      <c r="I263" s="21"/>
      <c r="J263" s="28"/>
      <c r="K263" s="19"/>
    </row>
    <row r="264" spans="1:11" ht="13.2">
      <c r="A264" s="22"/>
      <c r="B264" s="16"/>
      <c r="C264" s="23"/>
      <c r="D264" s="24"/>
      <c r="E264" s="25"/>
      <c r="F264" s="26"/>
      <c r="G264" s="27"/>
      <c r="H264" s="20"/>
      <c r="I264" s="21"/>
      <c r="J264" s="28"/>
      <c r="K264" s="19"/>
    </row>
    <row r="265" spans="1:11" ht="13.2">
      <c r="A265" s="22"/>
      <c r="B265" s="16"/>
      <c r="C265" s="23"/>
      <c r="D265" s="24"/>
      <c r="E265" s="25"/>
      <c r="F265" s="26"/>
      <c r="G265" s="27"/>
      <c r="H265" s="20"/>
      <c r="I265" s="21"/>
      <c r="J265" s="28"/>
      <c r="K265" s="19"/>
    </row>
    <row r="266" spans="1:11" ht="13.2">
      <c r="A266" s="22"/>
      <c r="B266" s="16"/>
      <c r="C266" s="23"/>
      <c r="D266" s="24"/>
      <c r="E266" s="25"/>
      <c r="F266" s="26"/>
      <c r="G266" s="27"/>
      <c r="H266" s="20"/>
      <c r="I266" s="21"/>
      <c r="J266" s="28"/>
      <c r="K266" s="19"/>
    </row>
    <row r="267" spans="1:11" ht="13.2">
      <c r="A267" s="22"/>
      <c r="B267" s="16"/>
      <c r="C267" s="23"/>
      <c r="D267" s="24"/>
      <c r="E267" s="25"/>
      <c r="F267" s="26"/>
      <c r="G267" s="27"/>
      <c r="H267" s="20"/>
      <c r="I267" s="21"/>
      <c r="J267" s="28"/>
      <c r="K267" s="19"/>
    </row>
    <row r="268" spans="1:11" ht="13.2">
      <c r="A268" s="22"/>
      <c r="B268" s="16"/>
      <c r="C268" s="23"/>
      <c r="D268" s="24"/>
      <c r="E268" s="25"/>
      <c r="F268" s="26"/>
      <c r="G268" s="27"/>
      <c r="H268" s="20"/>
      <c r="I268" s="21"/>
      <c r="J268" s="28"/>
      <c r="K268" s="19"/>
    </row>
    <row r="269" spans="1:11" ht="13.2">
      <c r="A269" s="22"/>
      <c r="B269" s="16"/>
      <c r="C269" s="23"/>
      <c r="D269" s="24"/>
      <c r="E269" s="25"/>
      <c r="F269" s="26"/>
      <c r="G269" s="27"/>
      <c r="H269" s="20"/>
      <c r="I269" s="21"/>
      <c r="J269" s="28"/>
      <c r="K269" s="19"/>
    </row>
    <row r="270" spans="1:11" ht="13.2">
      <c r="A270" s="22"/>
      <c r="B270" s="16"/>
      <c r="C270" s="23"/>
      <c r="D270" s="24"/>
      <c r="E270" s="25"/>
      <c r="F270" s="26"/>
      <c r="G270" s="27"/>
      <c r="H270" s="20"/>
      <c r="I270" s="21"/>
      <c r="J270" s="28"/>
      <c r="K270" s="19"/>
    </row>
    <row r="271" spans="1:11" ht="13.2">
      <c r="A271" s="22"/>
      <c r="B271" s="16"/>
      <c r="C271" s="23"/>
      <c r="D271" s="24"/>
      <c r="E271" s="25"/>
      <c r="F271" s="26"/>
      <c r="G271" s="27"/>
      <c r="H271" s="20"/>
      <c r="I271" s="21"/>
      <c r="J271" s="28"/>
      <c r="K271" s="19"/>
    </row>
    <row r="272" spans="1:11" ht="13.2">
      <c r="A272" s="22"/>
      <c r="B272" s="16"/>
      <c r="C272" s="23"/>
      <c r="D272" s="24"/>
      <c r="E272" s="25"/>
      <c r="F272" s="26"/>
      <c r="G272" s="27"/>
      <c r="H272" s="20"/>
      <c r="I272" s="21"/>
      <c r="J272" s="28"/>
      <c r="K272" s="19"/>
    </row>
    <row r="273" spans="1:11" ht="13.2">
      <c r="A273" s="22"/>
      <c r="B273" s="16"/>
      <c r="C273" s="23"/>
      <c r="D273" s="24"/>
      <c r="E273" s="25"/>
      <c r="F273" s="26"/>
      <c r="G273" s="27"/>
      <c r="H273" s="20"/>
      <c r="I273" s="21"/>
      <c r="J273" s="28"/>
      <c r="K273" s="19"/>
    </row>
    <row r="274" spans="1:11" ht="13.2">
      <c r="A274" s="22"/>
      <c r="B274" s="16"/>
      <c r="C274" s="23"/>
      <c r="D274" s="24"/>
      <c r="E274" s="25"/>
      <c r="F274" s="26"/>
      <c r="G274" s="27"/>
      <c r="H274" s="20"/>
      <c r="I274" s="21"/>
      <c r="J274" s="28"/>
      <c r="K274" s="19"/>
    </row>
    <row r="275" spans="1:11" ht="13.2">
      <c r="A275" s="22"/>
      <c r="B275" s="16"/>
      <c r="C275" s="23"/>
      <c r="D275" s="24"/>
      <c r="E275" s="25"/>
      <c r="F275" s="26"/>
      <c r="G275" s="27"/>
      <c r="H275" s="20"/>
      <c r="I275" s="21"/>
      <c r="J275" s="28"/>
      <c r="K275" s="19"/>
    </row>
    <row r="276" spans="1:11" ht="13.2">
      <c r="A276" s="22"/>
      <c r="B276" s="16"/>
      <c r="C276" s="23"/>
      <c r="D276" s="24"/>
      <c r="E276" s="25"/>
      <c r="F276" s="26"/>
      <c r="G276" s="27"/>
      <c r="H276" s="20"/>
      <c r="I276" s="21"/>
      <c r="J276" s="28"/>
      <c r="K276" s="19"/>
    </row>
    <row r="277" spans="1:11" ht="13.2">
      <c r="A277" s="22"/>
      <c r="B277" s="16"/>
      <c r="C277" s="23"/>
      <c r="D277" s="24"/>
      <c r="E277" s="25"/>
      <c r="F277" s="26"/>
      <c r="G277" s="27"/>
      <c r="H277" s="20"/>
      <c r="I277" s="21"/>
      <c r="J277" s="28"/>
      <c r="K277" s="19"/>
    </row>
    <row r="278" spans="1:11" ht="13.2">
      <c r="A278" s="22"/>
      <c r="B278" s="16"/>
      <c r="C278" s="23"/>
      <c r="D278" s="24"/>
      <c r="E278" s="25"/>
      <c r="F278" s="26"/>
      <c r="G278" s="27"/>
      <c r="H278" s="20"/>
      <c r="I278" s="21"/>
      <c r="J278" s="28"/>
      <c r="K278" s="19"/>
    </row>
    <row r="279" spans="1:11" ht="13.2">
      <c r="A279" s="22"/>
      <c r="B279" s="16"/>
      <c r="C279" s="23"/>
      <c r="D279" s="24"/>
      <c r="E279" s="25"/>
      <c r="F279" s="26"/>
      <c r="G279" s="27"/>
      <c r="H279" s="20"/>
      <c r="I279" s="21"/>
      <c r="J279" s="28"/>
      <c r="K279" s="19"/>
    </row>
    <row r="280" spans="1:11" ht="13.2">
      <c r="A280" s="22"/>
      <c r="B280" s="16"/>
      <c r="C280" s="23"/>
      <c r="D280" s="24"/>
      <c r="E280" s="25"/>
      <c r="F280" s="26"/>
      <c r="G280" s="27"/>
      <c r="H280" s="20"/>
      <c r="I280" s="21"/>
      <c r="J280" s="28"/>
      <c r="K280" s="19"/>
    </row>
    <row r="281" spans="1:11" ht="13.2">
      <c r="A281" s="22"/>
      <c r="B281" s="16"/>
      <c r="C281" s="23"/>
      <c r="D281" s="24"/>
      <c r="E281" s="25"/>
      <c r="F281" s="26"/>
      <c r="G281" s="27"/>
      <c r="H281" s="20"/>
      <c r="I281" s="21"/>
      <c r="J281" s="28"/>
      <c r="K281" s="19"/>
    </row>
    <row r="282" spans="1:11" ht="13.2">
      <c r="A282" s="22"/>
      <c r="B282" s="16"/>
      <c r="C282" s="23"/>
      <c r="D282" s="24"/>
      <c r="E282" s="25"/>
      <c r="F282" s="26"/>
      <c r="G282" s="27"/>
      <c r="H282" s="20"/>
      <c r="I282" s="21"/>
      <c r="J282" s="28"/>
      <c r="K282" s="19"/>
    </row>
    <row r="283" spans="1:11" ht="13.2">
      <c r="A283" s="22"/>
      <c r="B283" s="16"/>
      <c r="C283" s="23"/>
      <c r="D283" s="24"/>
      <c r="E283" s="25"/>
      <c r="F283" s="26"/>
      <c r="G283" s="27"/>
      <c r="H283" s="20"/>
      <c r="I283" s="21"/>
      <c r="J283" s="28"/>
      <c r="K283" s="19"/>
    </row>
    <row r="284" spans="1:11" ht="13.2">
      <c r="A284" s="22"/>
      <c r="B284" s="16"/>
      <c r="C284" s="23"/>
      <c r="D284" s="24"/>
      <c r="E284" s="25"/>
      <c r="F284" s="26"/>
      <c r="G284" s="27"/>
      <c r="H284" s="20"/>
      <c r="I284" s="21"/>
      <c r="J284" s="28"/>
      <c r="K284" s="19"/>
    </row>
    <row r="285" spans="1:11" ht="13.2">
      <c r="A285" s="22"/>
      <c r="B285" s="16"/>
      <c r="C285" s="23"/>
      <c r="D285" s="24"/>
      <c r="E285" s="25"/>
      <c r="F285" s="26"/>
      <c r="G285" s="27"/>
      <c r="H285" s="20"/>
      <c r="I285" s="21"/>
      <c r="J285" s="28"/>
      <c r="K285" s="19"/>
    </row>
    <row r="286" spans="1:11" ht="13.2">
      <c r="A286" s="22"/>
      <c r="B286" s="16"/>
      <c r="C286" s="23"/>
      <c r="D286" s="24"/>
      <c r="E286" s="25"/>
      <c r="F286" s="26"/>
      <c r="G286" s="27"/>
      <c r="H286" s="20"/>
      <c r="I286" s="21"/>
      <c r="J286" s="28"/>
      <c r="K286" s="19"/>
    </row>
    <row r="287" spans="1:11" ht="13.2">
      <c r="A287" s="22"/>
      <c r="B287" s="16"/>
      <c r="C287" s="23"/>
      <c r="D287" s="24"/>
      <c r="E287" s="25"/>
      <c r="F287" s="26"/>
      <c r="G287" s="27"/>
      <c r="H287" s="20"/>
      <c r="I287" s="21"/>
      <c r="J287" s="28"/>
      <c r="K287" s="19"/>
    </row>
    <row r="288" spans="1:11" ht="13.2">
      <c r="A288" s="22"/>
      <c r="B288" s="16"/>
      <c r="C288" s="23"/>
      <c r="D288" s="24"/>
      <c r="E288" s="25"/>
      <c r="F288" s="26"/>
      <c r="G288" s="27"/>
      <c r="H288" s="20"/>
      <c r="I288" s="21"/>
      <c r="J288" s="28"/>
      <c r="K288" s="19"/>
    </row>
    <row r="289" spans="1:11" ht="13.2">
      <c r="A289" s="22"/>
      <c r="B289" s="16"/>
      <c r="C289" s="23"/>
      <c r="D289" s="24"/>
      <c r="E289" s="25"/>
      <c r="F289" s="26"/>
      <c r="G289" s="27"/>
      <c r="H289" s="20"/>
      <c r="I289" s="21"/>
      <c r="J289" s="28"/>
      <c r="K289" s="19"/>
    </row>
    <row r="290" spans="1:11" ht="13.2">
      <c r="A290" s="22"/>
      <c r="B290" s="16"/>
      <c r="C290" s="23"/>
      <c r="D290" s="24"/>
      <c r="E290" s="25"/>
      <c r="F290" s="26"/>
      <c r="G290" s="27"/>
      <c r="H290" s="20"/>
      <c r="I290" s="21"/>
      <c r="J290" s="28"/>
      <c r="K290" s="19"/>
    </row>
    <row r="291" spans="1:11" ht="13.2">
      <c r="A291" s="22"/>
      <c r="B291" s="16"/>
      <c r="C291" s="23"/>
      <c r="D291" s="24"/>
      <c r="E291" s="25"/>
      <c r="F291" s="26"/>
      <c r="G291" s="27"/>
      <c r="H291" s="20"/>
      <c r="I291" s="21"/>
      <c r="J291" s="28"/>
      <c r="K291" s="19"/>
    </row>
    <row r="292" spans="1:11" ht="13.2">
      <c r="A292" s="22"/>
      <c r="B292" s="16"/>
      <c r="C292" s="23"/>
      <c r="D292" s="24"/>
      <c r="E292" s="25"/>
      <c r="F292" s="26"/>
      <c r="G292" s="27"/>
      <c r="H292" s="20"/>
      <c r="I292" s="21"/>
      <c r="J292" s="28"/>
      <c r="K292" s="19"/>
    </row>
    <row r="293" spans="1:11" ht="13.2">
      <c r="A293" s="22"/>
      <c r="B293" s="16"/>
      <c r="C293" s="23"/>
      <c r="D293" s="24"/>
      <c r="E293" s="25"/>
      <c r="F293" s="26"/>
      <c r="G293" s="27"/>
      <c r="H293" s="20"/>
      <c r="I293" s="21"/>
      <c r="J293" s="28"/>
      <c r="K293" s="19"/>
    </row>
    <row r="294" spans="1:11" ht="13.2">
      <c r="A294" s="22"/>
      <c r="B294" s="16"/>
      <c r="C294" s="23"/>
      <c r="D294" s="24"/>
      <c r="E294" s="25"/>
      <c r="F294" s="26"/>
      <c r="G294" s="27"/>
      <c r="H294" s="20"/>
      <c r="I294" s="21"/>
      <c r="J294" s="28"/>
      <c r="K294" s="19"/>
    </row>
    <row r="295" spans="1:11" ht="13.2">
      <c r="A295" s="22"/>
      <c r="B295" s="16"/>
      <c r="C295" s="23"/>
      <c r="D295" s="24"/>
      <c r="E295" s="25"/>
      <c r="F295" s="26"/>
      <c r="G295" s="27"/>
      <c r="H295" s="20"/>
      <c r="I295" s="21"/>
      <c r="J295" s="28"/>
      <c r="K295" s="19"/>
    </row>
    <row r="296" spans="1:11" ht="13.2">
      <c r="A296" s="22"/>
      <c r="B296" s="16"/>
      <c r="C296" s="23"/>
      <c r="D296" s="24"/>
      <c r="E296" s="25"/>
      <c r="F296" s="26"/>
      <c r="G296" s="27"/>
      <c r="H296" s="20"/>
      <c r="I296" s="21"/>
      <c r="J296" s="28"/>
      <c r="K296" s="19"/>
    </row>
    <row r="297" spans="1:11" ht="13.2">
      <c r="A297" s="22"/>
      <c r="B297" s="16"/>
      <c r="C297" s="23"/>
      <c r="D297" s="24"/>
      <c r="E297" s="25"/>
      <c r="F297" s="26"/>
      <c r="G297" s="27"/>
      <c r="H297" s="20"/>
      <c r="I297" s="21"/>
      <c r="J297" s="28"/>
      <c r="K297" s="19"/>
    </row>
    <row r="298" spans="1:11" ht="13.2">
      <c r="A298" s="22"/>
      <c r="B298" s="16"/>
      <c r="C298" s="23"/>
      <c r="D298" s="24"/>
      <c r="E298" s="25"/>
      <c r="F298" s="26"/>
      <c r="G298" s="27"/>
      <c r="H298" s="20"/>
      <c r="I298" s="21"/>
      <c r="J298" s="28"/>
      <c r="K298" s="19"/>
    </row>
    <row r="299" spans="1:11" ht="13.2">
      <c r="A299" s="22"/>
      <c r="B299" s="16"/>
      <c r="C299" s="23"/>
      <c r="D299" s="24"/>
      <c r="E299" s="25"/>
      <c r="F299" s="26"/>
      <c r="G299" s="27"/>
      <c r="H299" s="20"/>
      <c r="I299" s="21"/>
      <c r="J299" s="28"/>
      <c r="K299" s="19"/>
    </row>
    <row r="300" spans="1:11" ht="13.2">
      <c r="A300" s="22"/>
      <c r="B300" s="16"/>
      <c r="C300" s="23"/>
      <c r="D300" s="24"/>
      <c r="E300" s="25"/>
      <c r="F300" s="26"/>
      <c r="G300" s="27"/>
      <c r="H300" s="20"/>
      <c r="I300" s="21"/>
      <c r="J300" s="28"/>
      <c r="K300" s="19"/>
    </row>
    <row r="301" spans="1:11" ht="13.2">
      <c r="A301" s="22"/>
      <c r="B301" s="16"/>
      <c r="C301" s="23"/>
      <c r="D301" s="24"/>
      <c r="E301" s="25"/>
      <c r="F301" s="26"/>
      <c r="G301" s="27"/>
      <c r="H301" s="20"/>
      <c r="I301" s="21"/>
      <c r="J301" s="28"/>
      <c r="K301" s="19"/>
    </row>
    <row r="302" spans="1:11" ht="13.2">
      <c r="A302" s="22"/>
      <c r="B302" s="16"/>
      <c r="C302" s="23"/>
      <c r="D302" s="24"/>
      <c r="E302" s="25"/>
      <c r="F302" s="26"/>
      <c r="G302" s="27"/>
      <c r="H302" s="20"/>
      <c r="I302" s="21"/>
      <c r="J302" s="28"/>
      <c r="K302" s="19"/>
    </row>
    <row r="303" spans="1:11" ht="13.2">
      <c r="A303" s="22"/>
      <c r="B303" s="16"/>
      <c r="C303" s="23"/>
      <c r="D303" s="24"/>
      <c r="E303" s="25"/>
      <c r="F303" s="26"/>
      <c r="G303" s="27"/>
      <c r="H303" s="20"/>
      <c r="I303" s="21"/>
      <c r="J303" s="28"/>
      <c r="K303" s="19"/>
    </row>
    <row r="304" spans="1:11" ht="13.2">
      <c r="A304" s="22"/>
      <c r="B304" s="16"/>
      <c r="C304" s="23"/>
      <c r="D304" s="24"/>
      <c r="E304" s="25"/>
      <c r="F304" s="26"/>
      <c r="G304" s="27"/>
      <c r="H304" s="20"/>
      <c r="I304" s="21"/>
      <c r="J304" s="28"/>
      <c r="K304" s="19"/>
    </row>
    <row r="305" spans="1:11" ht="13.2">
      <c r="A305" s="22"/>
      <c r="B305" s="16"/>
      <c r="C305" s="23"/>
      <c r="D305" s="24"/>
      <c r="E305" s="25"/>
      <c r="F305" s="26"/>
      <c r="G305" s="27"/>
      <c r="H305" s="20"/>
      <c r="I305" s="21"/>
      <c r="J305" s="28"/>
      <c r="K305" s="19"/>
    </row>
    <row r="306" spans="1:11" ht="13.2">
      <c r="A306" s="22"/>
      <c r="B306" s="16"/>
      <c r="C306" s="23"/>
      <c r="D306" s="24"/>
      <c r="E306" s="25"/>
      <c r="F306" s="26"/>
      <c r="G306" s="27"/>
      <c r="H306" s="20"/>
      <c r="I306" s="21"/>
      <c r="J306" s="28"/>
      <c r="K306" s="19"/>
    </row>
    <row r="307" spans="1:11" ht="13.2">
      <c r="A307" s="22"/>
      <c r="B307" s="16"/>
      <c r="C307" s="23"/>
      <c r="D307" s="24"/>
      <c r="E307" s="25"/>
      <c r="F307" s="26"/>
      <c r="G307" s="27"/>
      <c r="H307" s="20"/>
      <c r="I307" s="21"/>
      <c r="J307" s="28"/>
      <c r="K307" s="19"/>
    </row>
    <row r="308" spans="1:11" ht="13.2">
      <c r="A308" s="22"/>
      <c r="B308" s="16"/>
      <c r="C308" s="23"/>
      <c r="D308" s="24"/>
      <c r="E308" s="25"/>
      <c r="F308" s="26"/>
      <c r="G308" s="27"/>
      <c r="H308" s="20"/>
      <c r="I308" s="21"/>
      <c r="J308" s="28"/>
      <c r="K308" s="19"/>
    </row>
    <row r="309" spans="1:11" ht="13.2">
      <c r="A309" s="22"/>
      <c r="B309" s="16"/>
      <c r="C309" s="23"/>
      <c r="D309" s="24"/>
      <c r="E309" s="25"/>
      <c r="F309" s="26"/>
      <c r="G309" s="27"/>
      <c r="H309" s="20"/>
      <c r="I309" s="21"/>
      <c r="J309" s="28"/>
      <c r="K309" s="19"/>
    </row>
    <row r="310" spans="1:11" ht="13.2">
      <c r="A310" s="22"/>
      <c r="B310" s="16"/>
      <c r="C310" s="23"/>
      <c r="D310" s="24"/>
      <c r="E310" s="25"/>
      <c r="F310" s="26"/>
      <c r="G310" s="27"/>
      <c r="H310" s="20"/>
      <c r="I310" s="21"/>
      <c r="J310" s="28"/>
      <c r="K310" s="19"/>
    </row>
    <row r="311" spans="1:11" ht="13.2">
      <c r="A311" s="22"/>
      <c r="B311" s="16"/>
      <c r="C311" s="23"/>
      <c r="D311" s="24"/>
      <c r="E311" s="25"/>
      <c r="F311" s="26"/>
      <c r="G311" s="27"/>
      <c r="H311" s="20"/>
      <c r="I311" s="21"/>
      <c r="J311" s="28"/>
      <c r="K311" s="19"/>
    </row>
    <row r="312" spans="1:11" ht="13.2">
      <c r="A312" s="22"/>
      <c r="B312" s="16"/>
      <c r="C312" s="23"/>
      <c r="D312" s="24"/>
      <c r="E312" s="25"/>
      <c r="F312" s="26"/>
      <c r="G312" s="27"/>
      <c r="H312" s="20"/>
      <c r="I312" s="21"/>
      <c r="J312" s="28"/>
      <c r="K312" s="19"/>
    </row>
    <row r="313" spans="1:11" ht="13.2">
      <c r="A313" s="22"/>
      <c r="B313" s="16"/>
      <c r="C313" s="23"/>
      <c r="D313" s="24"/>
      <c r="E313" s="25"/>
      <c r="F313" s="26"/>
      <c r="G313" s="27"/>
      <c r="H313" s="20"/>
      <c r="I313" s="21"/>
      <c r="J313" s="28"/>
      <c r="K313" s="19"/>
    </row>
    <row r="314" spans="1:11" ht="13.2">
      <c r="A314" s="22"/>
      <c r="B314" s="16"/>
      <c r="C314" s="23"/>
      <c r="D314" s="24"/>
      <c r="E314" s="25"/>
      <c r="F314" s="26"/>
      <c r="G314" s="27"/>
      <c r="H314" s="20"/>
      <c r="I314" s="21"/>
      <c r="J314" s="28"/>
      <c r="K314" s="19"/>
    </row>
    <row r="315" spans="1:11" ht="13.2">
      <c r="A315" s="22"/>
      <c r="B315" s="16"/>
      <c r="C315" s="23"/>
      <c r="D315" s="24"/>
      <c r="E315" s="25"/>
      <c r="F315" s="26"/>
      <c r="G315" s="27"/>
      <c r="H315" s="20"/>
      <c r="I315" s="21"/>
      <c r="J315" s="28"/>
      <c r="K315" s="19"/>
    </row>
    <row r="316" spans="1:11" ht="13.2">
      <c r="A316" s="22"/>
      <c r="B316" s="16"/>
      <c r="C316" s="23"/>
      <c r="D316" s="24"/>
      <c r="E316" s="25"/>
      <c r="F316" s="26"/>
      <c r="G316" s="27"/>
      <c r="H316" s="20"/>
      <c r="I316" s="21"/>
      <c r="J316" s="28"/>
      <c r="K316" s="19"/>
    </row>
    <row r="317" spans="1:11" ht="13.2">
      <c r="A317" s="22"/>
      <c r="B317" s="16"/>
      <c r="C317" s="23"/>
      <c r="D317" s="24"/>
      <c r="E317" s="25"/>
      <c r="F317" s="26"/>
      <c r="G317" s="27"/>
      <c r="H317" s="20"/>
      <c r="I317" s="21"/>
      <c r="J317" s="28"/>
      <c r="K317" s="19"/>
    </row>
    <row r="318" spans="1:11" ht="13.2">
      <c r="A318" s="22"/>
      <c r="B318" s="16"/>
      <c r="C318" s="23"/>
      <c r="D318" s="24"/>
      <c r="E318" s="25"/>
      <c r="F318" s="26"/>
      <c r="G318" s="27"/>
      <c r="H318" s="20"/>
      <c r="I318" s="21"/>
      <c r="J318" s="28"/>
      <c r="K318" s="19"/>
    </row>
    <row r="319" spans="1:11" ht="13.2">
      <c r="A319" s="22"/>
      <c r="B319" s="16"/>
      <c r="C319" s="23"/>
      <c r="D319" s="24"/>
      <c r="E319" s="25"/>
      <c r="F319" s="26"/>
      <c r="G319" s="27"/>
      <c r="H319" s="20"/>
      <c r="I319" s="21"/>
      <c r="J319" s="28"/>
      <c r="K319" s="19"/>
    </row>
    <row r="320" spans="1:11" ht="13.2">
      <c r="A320" s="22"/>
      <c r="B320" s="16"/>
      <c r="C320" s="23"/>
      <c r="D320" s="24"/>
      <c r="E320" s="25"/>
      <c r="F320" s="26"/>
      <c r="G320" s="27"/>
      <c r="H320" s="20"/>
      <c r="I320" s="21"/>
      <c r="J320" s="28"/>
      <c r="K320" s="19"/>
    </row>
    <row r="321" spans="1:11" ht="13.2">
      <c r="A321" s="22"/>
      <c r="B321" s="16"/>
      <c r="C321" s="23"/>
      <c r="D321" s="24"/>
      <c r="E321" s="25"/>
      <c r="F321" s="26"/>
      <c r="G321" s="27"/>
      <c r="H321" s="20"/>
      <c r="I321" s="21"/>
      <c r="J321" s="28"/>
      <c r="K321" s="19"/>
    </row>
    <row r="322" spans="1:11" ht="13.2">
      <c r="A322" s="22"/>
      <c r="B322" s="16"/>
      <c r="C322" s="23"/>
      <c r="D322" s="24"/>
      <c r="E322" s="25"/>
      <c r="F322" s="26"/>
      <c r="G322" s="27"/>
      <c r="H322" s="20"/>
      <c r="I322" s="21"/>
      <c r="J322" s="28"/>
      <c r="K322" s="19"/>
    </row>
    <row r="323" spans="1:11" ht="13.2">
      <c r="A323" s="22"/>
      <c r="B323" s="16"/>
      <c r="C323" s="23"/>
      <c r="D323" s="24"/>
      <c r="E323" s="25"/>
      <c r="F323" s="26"/>
      <c r="G323" s="27"/>
      <c r="H323" s="20"/>
      <c r="I323" s="21"/>
      <c r="J323" s="28"/>
      <c r="K323" s="19"/>
    </row>
    <row r="324" spans="1:11" ht="13.2">
      <c r="A324" s="22"/>
      <c r="B324" s="16"/>
      <c r="C324" s="23"/>
      <c r="D324" s="24"/>
      <c r="E324" s="25"/>
      <c r="F324" s="26"/>
      <c r="G324" s="27"/>
      <c r="H324" s="20"/>
      <c r="I324" s="21"/>
      <c r="J324" s="28"/>
      <c r="K324" s="19"/>
    </row>
    <row r="325" spans="1:11" ht="13.2">
      <c r="A325" s="22"/>
      <c r="B325" s="16"/>
      <c r="C325" s="23"/>
      <c r="D325" s="24"/>
      <c r="E325" s="25"/>
      <c r="F325" s="26"/>
      <c r="G325" s="27"/>
      <c r="H325" s="20"/>
      <c r="I325" s="21"/>
      <c r="J325" s="28"/>
      <c r="K325" s="19"/>
    </row>
    <row r="326" spans="1:11" ht="13.2">
      <c r="A326" s="22"/>
      <c r="B326" s="16"/>
      <c r="C326" s="23"/>
      <c r="D326" s="24"/>
      <c r="E326" s="25"/>
      <c r="F326" s="26"/>
      <c r="G326" s="27"/>
      <c r="H326" s="20"/>
      <c r="I326" s="21"/>
      <c r="J326" s="28"/>
      <c r="K326" s="19"/>
    </row>
    <row r="327" spans="1:11" ht="13.2">
      <c r="A327" s="22"/>
      <c r="B327" s="16"/>
      <c r="C327" s="23"/>
      <c r="D327" s="24"/>
      <c r="E327" s="25"/>
      <c r="F327" s="26"/>
      <c r="G327" s="27"/>
      <c r="H327" s="20"/>
      <c r="I327" s="21"/>
      <c r="J327" s="28"/>
      <c r="K327" s="19"/>
    </row>
    <row r="328" spans="1:11" ht="13.2">
      <c r="A328" s="22"/>
      <c r="B328" s="16"/>
      <c r="C328" s="23"/>
      <c r="D328" s="24"/>
      <c r="E328" s="25"/>
      <c r="F328" s="26"/>
      <c r="G328" s="27"/>
      <c r="H328" s="20"/>
      <c r="I328" s="21"/>
      <c r="J328" s="28"/>
      <c r="K328" s="19"/>
    </row>
    <row r="329" spans="1:11" ht="13.2">
      <c r="A329" s="22"/>
      <c r="B329" s="16"/>
      <c r="C329" s="23"/>
      <c r="D329" s="24"/>
      <c r="E329" s="25"/>
      <c r="F329" s="26"/>
      <c r="G329" s="27"/>
      <c r="H329" s="20"/>
      <c r="I329" s="21"/>
      <c r="J329" s="28"/>
      <c r="K329" s="19"/>
    </row>
    <row r="330" spans="1:11" ht="13.2">
      <c r="A330" s="22"/>
      <c r="B330" s="16"/>
      <c r="C330" s="23"/>
      <c r="D330" s="24"/>
      <c r="E330" s="25"/>
      <c r="F330" s="26"/>
      <c r="G330" s="27"/>
      <c r="H330" s="20"/>
      <c r="I330" s="21"/>
      <c r="J330" s="28"/>
      <c r="K330" s="19"/>
    </row>
    <row r="331" spans="1:11" ht="13.2">
      <c r="A331" s="22"/>
      <c r="B331" s="16"/>
      <c r="C331" s="23"/>
      <c r="D331" s="24"/>
      <c r="E331" s="25"/>
      <c r="F331" s="26"/>
      <c r="G331" s="27"/>
      <c r="H331" s="20"/>
      <c r="I331" s="21"/>
      <c r="J331" s="28"/>
      <c r="K331" s="19"/>
    </row>
    <row r="332" spans="1:11" ht="13.2">
      <c r="A332" s="22"/>
      <c r="B332" s="16"/>
      <c r="C332" s="23"/>
      <c r="D332" s="24"/>
      <c r="E332" s="25"/>
      <c r="F332" s="26"/>
      <c r="G332" s="27"/>
      <c r="H332" s="20"/>
      <c r="I332" s="21"/>
      <c r="J332" s="28"/>
      <c r="K332" s="19"/>
    </row>
    <row r="333" spans="1:11" ht="13.2">
      <c r="A333" s="22"/>
      <c r="B333" s="16"/>
      <c r="C333" s="23"/>
      <c r="D333" s="24"/>
      <c r="E333" s="25"/>
      <c r="F333" s="26"/>
      <c r="G333" s="27"/>
      <c r="H333" s="20"/>
      <c r="I333" s="21"/>
      <c r="J333" s="28"/>
      <c r="K333" s="19"/>
    </row>
    <row r="334" spans="1:11" ht="13.2">
      <c r="A334" s="22"/>
      <c r="B334" s="16"/>
      <c r="C334" s="23"/>
      <c r="D334" s="24"/>
      <c r="E334" s="25"/>
      <c r="F334" s="26"/>
      <c r="G334" s="27"/>
      <c r="H334" s="20"/>
      <c r="I334" s="21"/>
      <c r="J334" s="28"/>
      <c r="K334" s="19"/>
    </row>
    <row r="335" spans="1:11" ht="13.2">
      <c r="A335" s="22"/>
      <c r="B335" s="16"/>
      <c r="C335" s="23"/>
      <c r="D335" s="24"/>
      <c r="E335" s="25"/>
      <c r="F335" s="26"/>
      <c r="G335" s="27"/>
      <c r="H335" s="20"/>
      <c r="I335" s="21"/>
      <c r="J335" s="28"/>
      <c r="K335" s="19"/>
    </row>
    <row r="336" spans="1:11" ht="13.2">
      <c r="A336" s="22"/>
      <c r="B336" s="16"/>
      <c r="C336" s="23"/>
      <c r="D336" s="24"/>
      <c r="E336" s="25"/>
      <c r="F336" s="26"/>
      <c r="G336" s="27"/>
      <c r="H336" s="20"/>
      <c r="I336" s="21"/>
      <c r="J336" s="28"/>
      <c r="K336" s="19"/>
    </row>
    <row r="337" spans="1:11" ht="13.2">
      <c r="A337" s="22"/>
      <c r="B337" s="16"/>
      <c r="C337" s="23"/>
      <c r="D337" s="24"/>
      <c r="E337" s="25"/>
      <c r="F337" s="26"/>
      <c r="G337" s="27"/>
      <c r="H337" s="20"/>
      <c r="I337" s="21"/>
      <c r="J337" s="28"/>
      <c r="K337" s="19"/>
    </row>
    <row r="338" spans="1:11" ht="13.2">
      <c r="A338" s="22"/>
      <c r="B338" s="16"/>
      <c r="C338" s="23"/>
      <c r="D338" s="24"/>
      <c r="E338" s="25"/>
      <c r="F338" s="26"/>
      <c r="G338" s="27"/>
      <c r="H338" s="20"/>
      <c r="I338" s="21"/>
      <c r="J338" s="28"/>
      <c r="K338" s="19"/>
    </row>
    <row r="339" spans="1:11" ht="13.2">
      <c r="A339" s="22"/>
      <c r="B339" s="16"/>
      <c r="C339" s="23"/>
      <c r="D339" s="24"/>
      <c r="E339" s="25"/>
      <c r="F339" s="26"/>
      <c r="G339" s="27"/>
      <c r="H339" s="20"/>
      <c r="I339" s="21"/>
      <c r="J339" s="28"/>
      <c r="K339" s="19"/>
    </row>
    <row r="340" spans="1:11" ht="13.2">
      <c r="A340" s="22"/>
      <c r="B340" s="16"/>
      <c r="C340" s="23"/>
      <c r="D340" s="24"/>
      <c r="E340" s="25"/>
      <c r="F340" s="26"/>
      <c r="G340" s="27"/>
      <c r="H340" s="20"/>
      <c r="I340" s="21"/>
      <c r="J340" s="28"/>
      <c r="K340" s="19"/>
    </row>
    <row r="341" spans="1:11" ht="13.2">
      <c r="A341" s="22"/>
      <c r="B341" s="16"/>
      <c r="C341" s="23"/>
      <c r="D341" s="24"/>
      <c r="E341" s="25"/>
      <c r="F341" s="26"/>
      <c r="G341" s="27"/>
      <c r="H341" s="20"/>
      <c r="I341" s="21"/>
      <c r="J341" s="28"/>
      <c r="K341" s="19"/>
    </row>
    <row r="342" spans="1:11" ht="13.2">
      <c r="A342" s="22"/>
      <c r="B342" s="16"/>
      <c r="C342" s="23"/>
      <c r="D342" s="24"/>
      <c r="E342" s="25"/>
      <c r="F342" s="26"/>
      <c r="G342" s="27"/>
      <c r="H342" s="20"/>
      <c r="I342" s="21"/>
      <c r="J342" s="28"/>
      <c r="K342" s="19"/>
    </row>
    <row r="343" spans="1:11" ht="13.2">
      <c r="A343" s="22"/>
      <c r="B343" s="16"/>
      <c r="C343" s="23"/>
      <c r="D343" s="24"/>
      <c r="E343" s="25"/>
      <c r="F343" s="26"/>
      <c r="G343" s="27"/>
      <c r="H343" s="20"/>
      <c r="I343" s="21"/>
      <c r="J343" s="28"/>
      <c r="K343" s="19"/>
    </row>
    <row r="344" spans="1:11" ht="13.2">
      <c r="A344" s="22"/>
      <c r="B344" s="16"/>
      <c r="C344" s="23"/>
      <c r="D344" s="24"/>
      <c r="E344" s="25"/>
      <c r="F344" s="26"/>
      <c r="G344" s="27"/>
      <c r="H344" s="20"/>
      <c r="I344" s="21"/>
      <c r="J344" s="28"/>
      <c r="K344" s="19"/>
    </row>
    <row r="345" spans="1:11" ht="13.2">
      <c r="A345" s="22"/>
      <c r="B345" s="16"/>
      <c r="C345" s="23"/>
      <c r="D345" s="24"/>
      <c r="E345" s="25"/>
      <c r="F345" s="26"/>
      <c r="G345" s="27"/>
      <c r="H345" s="20"/>
      <c r="I345" s="21"/>
      <c r="J345" s="28"/>
      <c r="K345" s="19"/>
    </row>
    <row r="346" spans="1:11" ht="13.2">
      <c r="A346" s="22"/>
      <c r="B346" s="16"/>
      <c r="C346" s="23"/>
      <c r="D346" s="24"/>
      <c r="E346" s="25"/>
      <c r="F346" s="26"/>
      <c r="G346" s="27"/>
      <c r="H346" s="20"/>
      <c r="I346" s="21"/>
      <c r="J346" s="28"/>
      <c r="K346" s="19"/>
    </row>
    <row r="347" spans="1:11" ht="13.2">
      <c r="A347" s="22"/>
      <c r="B347" s="16"/>
      <c r="C347" s="23"/>
      <c r="D347" s="24"/>
      <c r="E347" s="25"/>
      <c r="F347" s="26"/>
      <c r="G347" s="27"/>
      <c r="H347" s="20"/>
      <c r="I347" s="21"/>
      <c r="J347" s="28"/>
      <c r="K347" s="19"/>
    </row>
    <row r="348" spans="1:11" ht="13.2">
      <c r="A348" s="22"/>
      <c r="B348" s="16"/>
      <c r="C348" s="23"/>
      <c r="D348" s="24"/>
      <c r="E348" s="25"/>
      <c r="F348" s="26"/>
      <c r="G348" s="27"/>
      <c r="H348" s="20"/>
      <c r="I348" s="21"/>
      <c r="J348" s="28"/>
      <c r="K348" s="19"/>
    </row>
    <row r="349" spans="1:11" ht="13.2">
      <c r="A349" s="22"/>
      <c r="B349" s="16"/>
      <c r="C349" s="23"/>
      <c r="D349" s="24"/>
      <c r="E349" s="25"/>
      <c r="F349" s="26"/>
      <c r="G349" s="27"/>
      <c r="H349" s="20"/>
      <c r="I349" s="21"/>
      <c r="J349" s="28"/>
      <c r="K349" s="19"/>
    </row>
    <row r="350" spans="1:11" ht="13.2">
      <c r="A350" s="22"/>
      <c r="B350" s="16"/>
      <c r="C350" s="23"/>
      <c r="D350" s="24"/>
      <c r="E350" s="25"/>
      <c r="F350" s="26"/>
      <c r="G350" s="27"/>
      <c r="H350" s="20"/>
      <c r="I350" s="21"/>
      <c r="J350" s="28"/>
      <c r="K350" s="19"/>
    </row>
    <row r="351" spans="1:11" ht="13.2">
      <c r="A351" s="22"/>
      <c r="B351" s="16"/>
      <c r="C351" s="23"/>
      <c r="D351" s="24"/>
      <c r="E351" s="25"/>
      <c r="F351" s="26"/>
      <c r="G351" s="27"/>
      <c r="H351" s="20"/>
      <c r="I351" s="21"/>
      <c r="J351" s="28"/>
      <c r="K351" s="19"/>
    </row>
    <row r="352" spans="1:11" ht="13.2">
      <c r="A352" s="22"/>
      <c r="B352" s="16"/>
      <c r="C352" s="23"/>
      <c r="D352" s="24"/>
      <c r="E352" s="25"/>
      <c r="F352" s="26"/>
      <c r="G352" s="27"/>
      <c r="H352" s="20"/>
      <c r="I352" s="21"/>
      <c r="J352" s="28"/>
      <c r="K352" s="19"/>
    </row>
    <row r="353" spans="1:11" ht="13.2">
      <c r="A353" s="22"/>
      <c r="B353" s="16"/>
      <c r="C353" s="23"/>
      <c r="D353" s="24"/>
      <c r="E353" s="25"/>
      <c r="F353" s="26"/>
      <c r="G353" s="27"/>
      <c r="H353" s="20"/>
      <c r="I353" s="21"/>
      <c r="J353" s="28"/>
      <c r="K353" s="19"/>
    </row>
    <row r="354" spans="1:11" ht="13.2">
      <c r="A354" s="22"/>
      <c r="B354" s="16"/>
      <c r="C354" s="23"/>
      <c r="D354" s="24"/>
      <c r="E354" s="25"/>
      <c r="F354" s="26"/>
      <c r="G354" s="27"/>
      <c r="H354" s="20"/>
      <c r="I354" s="21"/>
      <c r="J354" s="28"/>
      <c r="K354" s="19"/>
    </row>
    <row r="355" spans="1:11" ht="13.2">
      <c r="A355" s="22"/>
      <c r="B355" s="16"/>
      <c r="C355" s="23"/>
      <c r="D355" s="24"/>
      <c r="E355" s="25"/>
      <c r="F355" s="26"/>
      <c r="G355" s="27"/>
      <c r="H355" s="20"/>
      <c r="I355" s="21"/>
      <c r="J355" s="28"/>
      <c r="K355" s="19"/>
    </row>
    <row r="356" spans="1:11" ht="13.2">
      <c r="A356" s="22"/>
      <c r="B356" s="16"/>
      <c r="C356" s="23"/>
      <c r="D356" s="24"/>
      <c r="E356" s="25"/>
      <c r="F356" s="26"/>
      <c r="G356" s="27"/>
      <c r="H356" s="20"/>
      <c r="I356" s="21"/>
      <c r="J356" s="28"/>
      <c r="K356" s="19"/>
    </row>
    <row r="357" spans="1:11" ht="13.2">
      <c r="A357" s="22"/>
      <c r="B357" s="16"/>
      <c r="C357" s="23"/>
      <c r="D357" s="24"/>
      <c r="E357" s="25"/>
      <c r="F357" s="26"/>
      <c r="G357" s="27"/>
      <c r="H357" s="20"/>
      <c r="I357" s="21"/>
      <c r="J357" s="28"/>
      <c r="K357" s="19"/>
    </row>
    <row r="358" spans="1:11" ht="13.2">
      <c r="A358" s="22"/>
      <c r="B358" s="16"/>
      <c r="C358" s="23"/>
      <c r="D358" s="24"/>
      <c r="E358" s="25"/>
      <c r="F358" s="26"/>
      <c r="G358" s="27"/>
      <c r="H358" s="20"/>
      <c r="I358" s="21"/>
      <c r="J358" s="28"/>
      <c r="K358" s="19"/>
    </row>
    <row r="359" spans="1:11" ht="13.2">
      <c r="A359" s="22"/>
      <c r="B359" s="16"/>
      <c r="C359" s="23"/>
      <c r="D359" s="24"/>
      <c r="E359" s="25"/>
      <c r="F359" s="26"/>
      <c r="G359" s="27"/>
      <c r="H359" s="20"/>
      <c r="I359" s="21"/>
      <c r="J359" s="28"/>
      <c r="K359" s="19"/>
    </row>
    <row r="360" spans="1:11" ht="13.2">
      <c r="A360" s="22"/>
      <c r="B360" s="16"/>
      <c r="C360" s="23"/>
      <c r="D360" s="24"/>
      <c r="E360" s="25"/>
      <c r="F360" s="26"/>
      <c r="G360" s="27"/>
      <c r="H360" s="20"/>
      <c r="I360" s="21"/>
      <c r="J360" s="28"/>
      <c r="K360" s="19"/>
    </row>
    <row r="361" spans="1:11" ht="13.2">
      <c r="A361" s="22"/>
      <c r="B361" s="16"/>
      <c r="C361" s="23"/>
      <c r="D361" s="24"/>
      <c r="E361" s="25"/>
      <c r="F361" s="26"/>
      <c r="G361" s="27"/>
      <c r="H361" s="20"/>
      <c r="I361" s="21"/>
      <c r="J361" s="28"/>
      <c r="K361" s="19"/>
    </row>
    <row r="362" spans="1:11" ht="13.2">
      <c r="A362" s="22"/>
      <c r="B362" s="16"/>
      <c r="C362" s="23"/>
      <c r="D362" s="24"/>
      <c r="E362" s="25"/>
      <c r="F362" s="26"/>
      <c r="G362" s="27"/>
      <c r="H362" s="20"/>
      <c r="I362" s="21"/>
      <c r="J362" s="28"/>
      <c r="K362" s="19"/>
    </row>
    <row r="363" spans="1:11" ht="13.2">
      <c r="A363" s="22"/>
      <c r="B363" s="16"/>
      <c r="C363" s="23"/>
      <c r="D363" s="24"/>
      <c r="E363" s="25"/>
      <c r="F363" s="26"/>
      <c r="G363" s="27"/>
      <c r="H363" s="20"/>
      <c r="I363" s="21"/>
      <c r="J363" s="28"/>
      <c r="K363" s="19"/>
    </row>
    <row r="364" spans="1:11" ht="13.2">
      <c r="A364" s="22"/>
      <c r="B364" s="16"/>
      <c r="C364" s="23"/>
      <c r="D364" s="24"/>
      <c r="E364" s="25"/>
      <c r="F364" s="26"/>
      <c r="G364" s="27"/>
      <c r="H364" s="20"/>
      <c r="I364" s="21"/>
      <c r="J364" s="28"/>
      <c r="K364" s="19"/>
    </row>
    <row r="365" spans="1:11" ht="13.2">
      <c r="A365" s="22"/>
      <c r="B365" s="16"/>
      <c r="C365" s="23"/>
      <c r="D365" s="24"/>
      <c r="E365" s="25"/>
      <c r="F365" s="26"/>
      <c r="G365" s="27"/>
      <c r="H365" s="20"/>
      <c r="I365" s="21"/>
      <c r="J365" s="28"/>
      <c r="K365" s="19"/>
    </row>
    <row r="366" spans="1:11" ht="13.2">
      <c r="A366" s="22"/>
      <c r="B366" s="16"/>
      <c r="C366" s="23"/>
      <c r="D366" s="24"/>
      <c r="E366" s="25"/>
      <c r="F366" s="26"/>
      <c r="G366" s="27"/>
      <c r="H366" s="20"/>
      <c r="I366" s="21"/>
      <c r="J366" s="28"/>
      <c r="K366" s="19"/>
    </row>
    <row r="367" spans="1:11" ht="13.2">
      <c r="A367" s="22"/>
      <c r="B367" s="16"/>
      <c r="C367" s="23"/>
      <c r="D367" s="24"/>
      <c r="E367" s="25"/>
      <c r="F367" s="26"/>
      <c r="G367" s="27"/>
      <c r="H367" s="20"/>
      <c r="I367" s="21"/>
      <c r="J367" s="28"/>
      <c r="K367" s="19"/>
    </row>
    <row r="368" spans="1:11" ht="13.2">
      <c r="A368" s="22"/>
      <c r="B368" s="16"/>
      <c r="C368" s="23"/>
      <c r="D368" s="24"/>
      <c r="E368" s="25"/>
      <c r="F368" s="26"/>
      <c r="G368" s="27"/>
      <c r="H368" s="20"/>
      <c r="I368" s="21"/>
      <c r="J368" s="28"/>
      <c r="K368" s="19"/>
    </row>
    <row r="369" spans="1:11" ht="13.2">
      <c r="A369" s="22"/>
      <c r="B369" s="16"/>
      <c r="C369" s="23"/>
      <c r="D369" s="24"/>
      <c r="E369" s="25"/>
      <c r="F369" s="26"/>
      <c r="G369" s="27"/>
      <c r="H369" s="20"/>
      <c r="I369" s="21"/>
      <c r="J369" s="28"/>
      <c r="K369" s="19"/>
    </row>
    <row r="370" spans="1:11" ht="13.2">
      <c r="A370" s="22"/>
      <c r="B370" s="16"/>
      <c r="C370" s="23"/>
      <c r="D370" s="24"/>
      <c r="E370" s="25"/>
      <c r="F370" s="26"/>
      <c r="G370" s="27"/>
      <c r="H370" s="20"/>
      <c r="I370" s="21"/>
      <c r="J370" s="28"/>
      <c r="K370" s="19"/>
    </row>
    <row r="371" spans="1:11" ht="13.2">
      <c r="A371" s="22"/>
      <c r="B371" s="16"/>
      <c r="C371" s="23"/>
      <c r="D371" s="24"/>
      <c r="E371" s="25"/>
      <c r="F371" s="26"/>
      <c r="G371" s="27"/>
      <c r="H371" s="20"/>
      <c r="I371" s="21"/>
      <c r="J371" s="28"/>
      <c r="K371" s="19"/>
    </row>
    <row r="372" spans="1:11" ht="13.2">
      <c r="A372" s="22"/>
      <c r="B372" s="16"/>
      <c r="C372" s="23"/>
      <c r="D372" s="24"/>
      <c r="E372" s="25"/>
      <c r="F372" s="26"/>
      <c r="G372" s="27"/>
      <c r="H372" s="20"/>
      <c r="I372" s="21"/>
      <c r="J372" s="28"/>
      <c r="K372" s="19"/>
    </row>
    <row r="373" spans="1:11" ht="13.2">
      <c r="A373" s="22"/>
      <c r="B373" s="16"/>
      <c r="C373" s="23"/>
      <c r="D373" s="24"/>
      <c r="E373" s="25"/>
      <c r="F373" s="26"/>
      <c r="G373" s="27"/>
      <c r="H373" s="20"/>
      <c r="I373" s="21"/>
      <c r="J373" s="28"/>
      <c r="K373" s="19"/>
    </row>
    <row r="374" spans="1:11" ht="13.2">
      <c r="A374" s="22"/>
      <c r="B374" s="16"/>
      <c r="C374" s="23"/>
      <c r="D374" s="24"/>
      <c r="E374" s="25"/>
      <c r="F374" s="26"/>
      <c r="G374" s="27"/>
      <c r="H374" s="20"/>
      <c r="I374" s="21"/>
      <c r="J374" s="28"/>
      <c r="K374" s="19"/>
    </row>
    <row r="375" spans="1:11" ht="13.2">
      <c r="A375" s="22"/>
      <c r="B375" s="16"/>
      <c r="C375" s="23"/>
      <c r="D375" s="24"/>
      <c r="E375" s="25"/>
      <c r="F375" s="26"/>
      <c r="G375" s="27"/>
      <c r="H375" s="20"/>
      <c r="I375" s="21"/>
      <c r="J375" s="28"/>
      <c r="K375" s="19"/>
    </row>
    <row r="376" spans="1:11" ht="13.2">
      <c r="A376" s="22"/>
      <c r="B376" s="16"/>
      <c r="C376" s="23"/>
      <c r="D376" s="24"/>
      <c r="E376" s="25"/>
      <c r="F376" s="26"/>
      <c r="G376" s="27"/>
      <c r="H376" s="20"/>
      <c r="I376" s="21"/>
      <c r="J376" s="28"/>
      <c r="K376" s="19"/>
    </row>
    <row r="377" spans="1:11" ht="13.2">
      <c r="A377" s="22"/>
      <c r="B377" s="16"/>
      <c r="C377" s="23"/>
      <c r="D377" s="24"/>
      <c r="E377" s="25"/>
      <c r="F377" s="26"/>
      <c r="G377" s="27"/>
      <c r="H377" s="20"/>
      <c r="I377" s="21"/>
      <c r="J377" s="28"/>
      <c r="K377" s="19"/>
    </row>
    <row r="378" spans="1:11" ht="13.2">
      <c r="A378" s="22"/>
      <c r="B378" s="16"/>
      <c r="C378" s="23"/>
      <c r="D378" s="24"/>
      <c r="E378" s="25"/>
      <c r="F378" s="26"/>
      <c r="G378" s="27"/>
      <c r="H378" s="20"/>
      <c r="I378" s="21"/>
      <c r="J378" s="28"/>
      <c r="K378" s="19"/>
    </row>
    <row r="379" spans="1:11" ht="13.2">
      <c r="A379" s="22"/>
      <c r="B379" s="16"/>
      <c r="C379" s="23"/>
      <c r="D379" s="24"/>
      <c r="E379" s="25"/>
      <c r="F379" s="26"/>
      <c r="G379" s="27"/>
      <c r="H379" s="20"/>
      <c r="I379" s="21"/>
      <c r="J379" s="28"/>
      <c r="K379" s="19"/>
    </row>
    <row r="380" spans="1:11" ht="13.2">
      <c r="A380" s="22"/>
      <c r="B380" s="16"/>
      <c r="C380" s="23"/>
      <c r="D380" s="24"/>
      <c r="E380" s="25"/>
      <c r="F380" s="26"/>
      <c r="G380" s="27"/>
      <c r="H380" s="20"/>
      <c r="I380" s="21"/>
      <c r="J380" s="28"/>
      <c r="K380" s="19"/>
    </row>
    <row r="381" spans="1:11" ht="13.2">
      <c r="A381" s="22"/>
      <c r="B381" s="16"/>
      <c r="C381" s="23"/>
      <c r="D381" s="24"/>
      <c r="E381" s="25"/>
      <c r="F381" s="26"/>
      <c r="G381" s="27"/>
      <c r="H381" s="20"/>
      <c r="I381" s="21"/>
      <c r="J381" s="28"/>
      <c r="K381" s="19"/>
    </row>
    <row r="382" spans="1:11" ht="13.2">
      <c r="A382" s="22"/>
      <c r="B382" s="16"/>
      <c r="C382" s="23"/>
      <c r="D382" s="24"/>
      <c r="E382" s="25"/>
      <c r="F382" s="26"/>
      <c r="G382" s="27"/>
      <c r="H382" s="20"/>
      <c r="I382" s="21"/>
      <c r="J382" s="28"/>
      <c r="K382" s="19"/>
    </row>
    <row r="383" spans="1:11" ht="13.2">
      <c r="A383" s="22"/>
      <c r="B383" s="16"/>
      <c r="C383" s="23"/>
      <c r="D383" s="24"/>
      <c r="E383" s="25"/>
      <c r="F383" s="26"/>
      <c r="G383" s="27"/>
      <c r="H383" s="20"/>
      <c r="I383" s="21"/>
      <c r="J383" s="28"/>
      <c r="K383" s="19"/>
    </row>
    <row r="384" spans="1:11" ht="13.2">
      <c r="A384" s="22"/>
      <c r="B384" s="16"/>
      <c r="C384" s="23"/>
      <c r="D384" s="24"/>
      <c r="E384" s="25"/>
      <c r="F384" s="26"/>
      <c r="G384" s="27"/>
      <c r="H384" s="20"/>
      <c r="I384" s="21"/>
      <c r="J384" s="28"/>
      <c r="K384" s="19"/>
    </row>
    <row r="385" spans="1:11" ht="13.2">
      <c r="A385" s="22"/>
      <c r="B385" s="16"/>
      <c r="C385" s="23"/>
      <c r="D385" s="24"/>
      <c r="E385" s="25"/>
      <c r="F385" s="26"/>
      <c r="G385" s="27"/>
      <c r="H385" s="20"/>
      <c r="I385" s="21"/>
      <c r="J385" s="28"/>
      <c r="K385" s="19"/>
    </row>
    <row r="386" spans="1:11" ht="13.2">
      <c r="A386" s="22"/>
      <c r="B386" s="16"/>
      <c r="C386" s="23"/>
      <c r="D386" s="24"/>
      <c r="E386" s="25"/>
      <c r="F386" s="26"/>
      <c r="G386" s="27"/>
      <c r="H386" s="20"/>
      <c r="I386" s="21"/>
      <c r="J386" s="28"/>
      <c r="K386" s="19"/>
    </row>
    <row r="387" spans="1:11" ht="13.2">
      <c r="A387" s="22"/>
      <c r="B387" s="16"/>
      <c r="C387" s="23"/>
      <c r="D387" s="24"/>
      <c r="E387" s="25"/>
      <c r="F387" s="26"/>
      <c r="G387" s="27"/>
      <c r="H387" s="20"/>
      <c r="I387" s="21"/>
      <c r="J387" s="28"/>
      <c r="K387" s="19"/>
    </row>
    <row r="388" spans="1:11" ht="13.2">
      <c r="A388" s="22"/>
      <c r="B388" s="16"/>
      <c r="C388" s="23"/>
      <c r="D388" s="24"/>
      <c r="E388" s="25"/>
      <c r="F388" s="26"/>
      <c r="G388" s="27"/>
      <c r="H388" s="20"/>
      <c r="I388" s="21"/>
      <c r="J388" s="28"/>
      <c r="K388" s="19"/>
    </row>
    <row r="389" spans="1:11" ht="13.2">
      <c r="A389" s="22"/>
      <c r="B389" s="16"/>
      <c r="C389" s="23"/>
      <c r="D389" s="24"/>
      <c r="E389" s="25"/>
      <c r="F389" s="26"/>
      <c r="G389" s="27"/>
      <c r="H389" s="20"/>
      <c r="I389" s="21"/>
      <c r="J389" s="28"/>
      <c r="K389" s="19"/>
    </row>
    <row r="390" spans="1:11" ht="13.2">
      <c r="A390" s="22"/>
      <c r="B390" s="16"/>
      <c r="C390" s="23"/>
      <c r="D390" s="24"/>
      <c r="E390" s="25"/>
      <c r="F390" s="26"/>
      <c r="G390" s="27"/>
      <c r="H390" s="20"/>
      <c r="I390" s="21"/>
      <c r="J390" s="28"/>
      <c r="K390" s="19"/>
    </row>
    <row r="391" spans="1:11" ht="13.2">
      <c r="A391" s="22"/>
      <c r="B391" s="16"/>
      <c r="C391" s="23"/>
      <c r="D391" s="24"/>
      <c r="E391" s="25"/>
      <c r="F391" s="26"/>
      <c r="G391" s="27"/>
      <c r="H391" s="20"/>
      <c r="I391" s="21"/>
      <c r="J391" s="28"/>
      <c r="K391" s="19"/>
    </row>
    <row r="392" spans="1:11" ht="13.2">
      <c r="A392" s="22"/>
      <c r="B392" s="16"/>
      <c r="C392" s="23"/>
      <c r="D392" s="24"/>
      <c r="E392" s="25"/>
      <c r="F392" s="26"/>
      <c r="G392" s="27"/>
      <c r="H392" s="20"/>
      <c r="I392" s="21"/>
      <c r="J392" s="28"/>
      <c r="K392" s="19"/>
    </row>
    <row r="393" spans="1:11" ht="13.2">
      <c r="A393" s="22"/>
      <c r="B393" s="16"/>
      <c r="C393" s="23"/>
      <c r="D393" s="24"/>
      <c r="E393" s="25"/>
      <c r="F393" s="26"/>
      <c r="G393" s="27"/>
      <c r="H393" s="20"/>
      <c r="I393" s="21"/>
      <c r="J393" s="28"/>
      <c r="K393" s="19"/>
    </row>
    <row r="394" spans="1:11" ht="13.2">
      <c r="A394" s="22"/>
      <c r="B394" s="16"/>
      <c r="C394" s="23"/>
      <c r="D394" s="24"/>
      <c r="E394" s="25"/>
      <c r="F394" s="26"/>
      <c r="G394" s="27"/>
      <c r="H394" s="20"/>
      <c r="I394" s="21"/>
      <c r="J394" s="28"/>
      <c r="K394" s="19"/>
    </row>
    <row r="395" spans="1:11" ht="13.2">
      <c r="A395" s="22"/>
      <c r="B395" s="16"/>
      <c r="C395" s="23"/>
      <c r="D395" s="24"/>
      <c r="E395" s="25"/>
      <c r="F395" s="26"/>
      <c r="G395" s="27"/>
      <c r="H395" s="20"/>
      <c r="I395" s="21"/>
      <c r="J395" s="28"/>
      <c r="K395" s="19"/>
    </row>
    <row r="396" spans="1:11" ht="13.2">
      <c r="A396" s="22"/>
      <c r="B396" s="16"/>
      <c r="C396" s="23"/>
      <c r="D396" s="24"/>
      <c r="E396" s="25"/>
      <c r="F396" s="26"/>
      <c r="G396" s="27"/>
      <c r="H396" s="20"/>
      <c r="I396" s="21"/>
      <c r="J396" s="28"/>
      <c r="K396" s="19"/>
    </row>
    <row r="397" spans="1:11" ht="13.2">
      <c r="A397" s="22"/>
      <c r="B397" s="16"/>
      <c r="C397" s="23"/>
      <c r="D397" s="24"/>
      <c r="E397" s="25"/>
      <c r="F397" s="26"/>
      <c r="G397" s="27"/>
      <c r="H397" s="20"/>
      <c r="I397" s="21"/>
      <c r="J397" s="28"/>
      <c r="K397" s="19"/>
    </row>
    <row r="398" spans="1:11" ht="13.2">
      <c r="A398" s="22"/>
      <c r="B398" s="16"/>
      <c r="C398" s="23"/>
      <c r="D398" s="24"/>
      <c r="E398" s="25"/>
      <c r="F398" s="26"/>
      <c r="G398" s="27"/>
      <c r="H398" s="20"/>
      <c r="I398" s="21"/>
      <c r="J398" s="28"/>
      <c r="K398" s="19"/>
    </row>
    <row r="399" spans="1:11" ht="13.2">
      <c r="A399" s="22"/>
      <c r="B399" s="16"/>
      <c r="C399" s="23"/>
      <c r="D399" s="24"/>
      <c r="E399" s="25"/>
      <c r="F399" s="26"/>
      <c r="G399" s="27"/>
      <c r="H399" s="20"/>
      <c r="I399" s="21"/>
      <c r="J399" s="28"/>
      <c r="K399" s="19"/>
    </row>
    <row r="400" spans="1:11" ht="13.2">
      <c r="A400" s="22"/>
      <c r="B400" s="16"/>
      <c r="C400" s="23"/>
      <c r="D400" s="24"/>
      <c r="E400" s="25"/>
      <c r="F400" s="26"/>
      <c r="G400" s="27"/>
      <c r="H400" s="20"/>
      <c r="I400" s="21"/>
      <c r="J400" s="28"/>
      <c r="K400" s="19"/>
    </row>
    <row r="401" spans="1:11" ht="13.2">
      <c r="A401" s="22"/>
      <c r="B401" s="16"/>
      <c r="C401" s="23"/>
      <c r="D401" s="24"/>
      <c r="E401" s="25"/>
      <c r="F401" s="26"/>
      <c r="G401" s="27"/>
      <c r="H401" s="20"/>
      <c r="I401" s="21"/>
      <c r="J401" s="28"/>
      <c r="K401" s="19"/>
    </row>
    <row r="402" spans="1:11" ht="13.2">
      <c r="A402" s="22"/>
      <c r="B402" s="16"/>
      <c r="C402" s="23"/>
      <c r="D402" s="24"/>
      <c r="E402" s="25"/>
      <c r="F402" s="26"/>
      <c r="G402" s="27"/>
      <c r="H402" s="20"/>
      <c r="I402" s="21"/>
      <c r="J402" s="28"/>
      <c r="K402" s="19"/>
    </row>
    <row r="403" spans="1:11" ht="13.2">
      <c r="A403" s="22"/>
      <c r="B403" s="16"/>
      <c r="C403" s="23"/>
      <c r="D403" s="24"/>
      <c r="E403" s="25"/>
      <c r="F403" s="26"/>
      <c r="G403" s="27"/>
      <c r="H403" s="20"/>
      <c r="I403" s="21"/>
      <c r="J403" s="28"/>
      <c r="K403" s="19"/>
    </row>
    <row r="404" spans="1:11" ht="13.2">
      <c r="A404" s="22"/>
      <c r="B404" s="16"/>
      <c r="C404" s="23"/>
      <c r="D404" s="24"/>
      <c r="E404" s="25"/>
      <c r="F404" s="26"/>
      <c r="G404" s="27"/>
      <c r="H404" s="20"/>
      <c r="I404" s="21"/>
      <c r="J404" s="28"/>
      <c r="K404" s="19"/>
    </row>
    <row r="405" spans="1:11" ht="13.2">
      <c r="A405" s="22"/>
      <c r="B405" s="16"/>
      <c r="C405" s="23"/>
      <c r="D405" s="24"/>
      <c r="E405" s="25"/>
      <c r="F405" s="26"/>
      <c r="G405" s="27"/>
      <c r="H405" s="20"/>
      <c r="I405" s="21"/>
      <c r="J405" s="28"/>
      <c r="K405" s="19"/>
    </row>
    <row r="406" spans="1:11" ht="13.2">
      <c r="A406" s="22"/>
      <c r="B406" s="16"/>
      <c r="C406" s="23"/>
      <c r="D406" s="24"/>
      <c r="E406" s="25"/>
      <c r="F406" s="26"/>
      <c r="G406" s="27"/>
      <c r="H406" s="20"/>
      <c r="I406" s="21"/>
      <c r="J406" s="28"/>
      <c r="K406" s="19"/>
    </row>
    <row r="407" spans="1:11" ht="13.2">
      <c r="A407" s="22"/>
      <c r="B407" s="16"/>
      <c r="C407" s="23"/>
      <c r="D407" s="24"/>
      <c r="E407" s="25"/>
      <c r="F407" s="26"/>
      <c r="G407" s="27"/>
      <c r="H407" s="20"/>
      <c r="I407" s="21"/>
      <c r="J407" s="28"/>
      <c r="K407" s="19"/>
    </row>
    <row r="408" spans="1:11" ht="13.2">
      <c r="A408" s="22"/>
      <c r="B408" s="16"/>
      <c r="C408" s="23"/>
      <c r="D408" s="24"/>
      <c r="E408" s="25"/>
      <c r="F408" s="26"/>
      <c r="G408" s="27"/>
      <c r="H408" s="20"/>
      <c r="I408" s="21"/>
      <c r="J408" s="28"/>
      <c r="K408" s="19"/>
    </row>
    <row r="409" spans="1:11" ht="13.2">
      <c r="A409" s="22"/>
      <c r="B409" s="16"/>
      <c r="C409" s="23"/>
      <c r="D409" s="24"/>
      <c r="E409" s="25"/>
      <c r="F409" s="26"/>
      <c r="G409" s="27"/>
      <c r="H409" s="20"/>
      <c r="I409" s="21"/>
      <c r="J409" s="28"/>
      <c r="K409" s="19"/>
    </row>
    <row r="410" spans="1:11" ht="13.2">
      <c r="A410" s="22"/>
      <c r="B410" s="16"/>
      <c r="C410" s="23"/>
      <c r="D410" s="24"/>
      <c r="E410" s="25"/>
      <c r="F410" s="26"/>
      <c r="G410" s="27"/>
      <c r="H410" s="20"/>
      <c r="I410" s="21"/>
      <c r="J410" s="28"/>
      <c r="K410" s="19"/>
    </row>
    <row r="411" spans="1:11" ht="13.2">
      <c r="A411" s="22"/>
      <c r="B411" s="16"/>
      <c r="C411" s="23"/>
      <c r="D411" s="24"/>
      <c r="E411" s="25"/>
      <c r="F411" s="26"/>
      <c r="G411" s="27"/>
      <c r="H411" s="20"/>
      <c r="I411" s="21"/>
      <c r="J411" s="28"/>
      <c r="K411" s="19"/>
    </row>
    <row r="412" spans="1:11" ht="13.2">
      <c r="A412" s="22"/>
      <c r="B412" s="16"/>
      <c r="C412" s="23"/>
      <c r="D412" s="24"/>
      <c r="E412" s="25"/>
      <c r="F412" s="26"/>
      <c r="G412" s="27"/>
      <c r="H412" s="20"/>
      <c r="I412" s="21"/>
      <c r="J412" s="28"/>
      <c r="K412" s="19"/>
    </row>
    <row r="413" spans="1:11" ht="13.2">
      <c r="A413" s="22"/>
      <c r="B413" s="16"/>
      <c r="C413" s="23"/>
      <c r="D413" s="24"/>
      <c r="E413" s="25"/>
      <c r="F413" s="26"/>
      <c r="G413" s="27"/>
      <c r="H413" s="20"/>
      <c r="I413" s="21"/>
      <c r="J413" s="28"/>
      <c r="K413" s="19"/>
    </row>
    <row r="414" spans="1:11" ht="13.2">
      <c r="A414" s="22"/>
      <c r="B414" s="16"/>
      <c r="C414" s="23"/>
      <c r="D414" s="24"/>
      <c r="E414" s="25"/>
      <c r="F414" s="26"/>
      <c r="G414" s="27"/>
      <c r="H414" s="20"/>
      <c r="I414" s="21"/>
      <c r="J414" s="28"/>
      <c r="K414" s="19"/>
    </row>
    <row r="415" spans="1:11" ht="13.2">
      <c r="A415" s="22"/>
      <c r="B415" s="16"/>
      <c r="C415" s="23"/>
      <c r="D415" s="24"/>
      <c r="E415" s="25"/>
      <c r="F415" s="26"/>
      <c r="G415" s="27"/>
      <c r="H415" s="20"/>
      <c r="I415" s="21"/>
      <c r="J415" s="28"/>
      <c r="K415" s="19"/>
    </row>
    <row r="416" spans="1:11" ht="13.2">
      <c r="A416" s="22"/>
      <c r="B416" s="16"/>
      <c r="C416" s="23"/>
      <c r="D416" s="24"/>
      <c r="E416" s="25"/>
      <c r="F416" s="26"/>
      <c r="G416" s="27"/>
      <c r="H416" s="20"/>
      <c r="I416" s="21"/>
      <c r="J416" s="28"/>
      <c r="K416" s="19"/>
    </row>
    <row r="417" spans="1:11" ht="13.2">
      <c r="A417" s="22"/>
      <c r="B417" s="16"/>
      <c r="C417" s="23"/>
      <c r="D417" s="24"/>
      <c r="E417" s="25"/>
      <c r="F417" s="26"/>
      <c r="G417" s="27"/>
      <c r="H417" s="20"/>
      <c r="I417" s="21"/>
      <c r="J417" s="28"/>
      <c r="K417" s="19"/>
    </row>
    <row r="418" spans="1:11" ht="13.2">
      <c r="A418" s="22"/>
      <c r="B418" s="16"/>
      <c r="C418" s="23"/>
      <c r="D418" s="24"/>
      <c r="E418" s="25"/>
      <c r="F418" s="26"/>
      <c r="G418" s="27"/>
      <c r="H418" s="20"/>
      <c r="I418" s="21"/>
      <c r="J418" s="28"/>
      <c r="K418" s="19"/>
    </row>
    <row r="419" spans="1:11" ht="13.2">
      <c r="A419" s="22"/>
      <c r="B419" s="16"/>
      <c r="C419" s="23"/>
      <c r="D419" s="24"/>
      <c r="E419" s="25"/>
      <c r="F419" s="26"/>
      <c r="G419" s="27"/>
      <c r="H419" s="20"/>
      <c r="I419" s="21"/>
      <c r="J419" s="28"/>
      <c r="K419" s="19"/>
    </row>
    <row r="420" spans="1:11" ht="13.2">
      <c r="A420" s="22"/>
      <c r="B420" s="16"/>
      <c r="C420" s="23"/>
      <c r="D420" s="24"/>
      <c r="E420" s="25"/>
      <c r="F420" s="26"/>
      <c r="G420" s="27"/>
      <c r="H420" s="20"/>
      <c r="I420" s="21"/>
      <c r="J420" s="28"/>
      <c r="K420" s="19"/>
    </row>
    <row r="421" spans="1:11" ht="13.2">
      <c r="A421" s="22"/>
      <c r="B421" s="16"/>
      <c r="C421" s="23"/>
      <c r="D421" s="24"/>
      <c r="E421" s="25"/>
      <c r="F421" s="26"/>
      <c r="G421" s="27"/>
      <c r="H421" s="20"/>
      <c r="I421" s="21"/>
      <c r="J421" s="28"/>
      <c r="K421" s="19"/>
    </row>
    <row r="422" spans="1:11" ht="13.2">
      <c r="A422" s="22"/>
      <c r="B422" s="16"/>
      <c r="C422" s="23"/>
      <c r="D422" s="24"/>
      <c r="E422" s="25"/>
      <c r="F422" s="26"/>
      <c r="G422" s="27"/>
      <c r="H422" s="20"/>
      <c r="I422" s="21"/>
      <c r="J422" s="28"/>
      <c r="K422" s="19"/>
    </row>
    <row r="423" spans="1:11" ht="13.2">
      <c r="A423" s="22"/>
      <c r="B423" s="16"/>
      <c r="C423" s="23"/>
      <c r="D423" s="24"/>
      <c r="E423" s="25"/>
      <c r="F423" s="26"/>
      <c r="G423" s="27"/>
      <c r="H423" s="20"/>
      <c r="I423" s="21"/>
      <c r="J423" s="28"/>
      <c r="K423" s="19"/>
    </row>
    <row r="424" spans="1:11" ht="13.2">
      <c r="A424" s="22"/>
      <c r="B424" s="16"/>
      <c r="C424" s="23"/>
      <c r="D424" s="24"/>
      <c r="E424" s="25"/>
      <c r="F424" s="26"/>
      <c r="G424" s="27"/>
      <c r="H424" s="20"/>
      <c r="I424" s="21"/>
      <c r="J424" s="28"/>
      <c r="K424" s="19"/>
    </row>
    <row r="425" spans="1:11" ht="13.2">
      <c r="A425" s="22"/>
      <c r="B425" s="16"/>
      <c r="C425" s="23"/>
      <c r="D425" s="24"/>
      <c r="E425" s="25"/>
      <c r="F425" s="26"/>
      <c r="G425" s="27"/>
      <c r="H425" s="20"/>
      <c r="I425" s="21"/>
      <c r="J425" s="28"/>
      <c r="K425" s="19"/>
    </row>
    <row r="426" spans="1:11" ht="13.2">
      <c r="A426" s="22"/>
      <c r="B426" s="16"/>
      <c r="C426" s="23"/>
      <c r="D426" s="24"/>
      <c r="E426" s="25"/>
      <c r="F426" s="26"/>
      <c r="G426" s="27"/>
      <c r="H426" s="20"/>
      <c r="I426" s="21"/>
      <c r="J426" s="28"/>
      <c r="K426" s="19"/>
    </row>
    <row r="427" spans="1:11" ht="13.2">
      <c r="A427" s="22"/>
      <c r="B427" s="16"/>
      <c r="C427" s="23"/>
      <c r="D427" s="24"/>
      <c r="E427" s="25"/>
      <c r="F427" s="26"/>
      <c r="G427" s="27"/>
      <c r="H427" s="20"/>
      <c r="I427" s="21"/>
      <c r="J427" s="28"/>
      <c r="K427" s="19"/>
    </row>
    <row r="428" spans="1:11" ht="13.2">
      <c r="A428" s="22"/>
      <c r="B428" s="16"/>
      <c r="C428" s="23"/>
      <c r="D428" s="24"/>
      <c r="E428" s="25"/>
      <c r="F428" s="26"/>
      <c r="G428" s="27"/>
      <c r="H428" s="20"/>
      <c r="I428" s="21"/>
      <c r="J428" s="28"/>
      <c r="K428" s="19"/>
    </row>
    <row r="429" spans="1:11" ht="13.2">
      <c r="A429" s="22"/>
      <c r="B429" s="16"/>
      <c r="C429" s="23"/>
      <c r="D429" s="24"/>
      <c r="E429" s="25"/>
      <c r="F429" s="26"/>
      <c r="G429" s="27"/>
      <c r="H429" s="20"/>
      <c r="I429" s="21"/>
      <c r="J429" s="28"/>
      <c r="K429" s="19"/>
    </row>
    <row r="430" spans="1:11" ht="13.2">
      <c r="A430" s="22"/>
      <c r="B430" s="16"/>
      <c r="C430" s="23"/>
      <c r="D430" s="24"/>
      <c r="E430" s="25"/>
      <c r="F430" s="26"/>
      <c r="G430" s="27"/>
      <c r="H430" s="20"/>
      <c r="I430" s="21"/>
      <c r="J430" s="28"/>
      <c r="K430" s="19"/>
    </row>
    <row r="431" spans="1:11" ht="13.2">
      <c r="A431" s="22"/>
      <c r="B431" s="16"/>
      <c r="C431" s="23"/>
      <c r="D431" s="24"/>
      <c r="E431" s="25"/>
      <c r="F431" s="26"/>
      <c r="G431" s="27"/>
      <c r="H431" s="20"/>
      <c r="I431" s="21"/>
      <c r="J431" s="28"/>
      <c r="K431" s="19"/>
    </row>
    <row r="432" spans="1:11" ht="13.2">
      <c r="A432" s="22"/>
      <c r="B432" s="16"/>
      <c r="C432" s="23"/>
      <c r="D432" s="24"/>
      <c r="E432" s="25"/>
      <c r="F432" s="26"/>
      <c r="G432" s="27"/>
      <c r="H432" s="20"/>
      <c r="I432" s="21"/>
      <c r="J432" s="28"/>
      <c r="K432" s="19"/>
    </row>
    <row r="433" spans="1:11" ht="13.2">
      <c r="A433" s="22"/>
      <c r="B433" s="16"/>
      <c r="C433" s="23"/>
      <c r="D433" s="24"/>
      <c r="E433" s="25"/>
      <c r="F433" s="26"/>
      <c r="G433" s="27"/>
      <c r="H433" s="20"/>
      <c r="I433" s="21"/>
      <c r="J433" s="28"/>
      <c r="K433" s="19"/>
    </row>
    <row r="434" spans="1:11" ht="13.2">
      <c r="A434" s="22"/>
      <c r="B434" s="16"/>
      <c r="C434" s="23"/>
      <c r="D434" s="24"/>
      <c r="E434" s="25"/>
      <c r="F434" s="26"/>
      <c r="G434" s="27"/>
      <c r="H434" s="20"/>
      <c r="I434" s="21"/>
      <c r="J434" s="28"/>
      <c r="K434" s="19"/>
    </row>
    <row r="435" spans="1:11" ht="13.2">
      <c r="A435" s="22"/>
      <c r="B435" s="16"/>
      <c r="C435" s="23"/>
      <c r="D435" s="24"/>
      <c r="E435" s="25"/>
      <c r="F435" s="26"/>
      <c r="G435" s="27"/>
      <c r="H435" s="20"/>
      <c r="I435" s="21"/>
      <c r="J435" s="28"/>
      <c r="K435" s="19"/>
    </row>
    <row r="436" spans="1:11" ht="13.2">
      <c r="A436" s="22"/>
      <c r="B436" s="16"/>
      <c r="C436" s="23"/>
      <c r="D436" s="24"/>
      <c r="E436" s="25"/>
      <c r="F436" s="26"/>
      <c r="G436" s="27"/>
      <c r="H436" s="20"/>
      <c r="I436" s="21"/>
      <c r="J436" s="28"/>
      <c r="K436" s="19"/>
    </row>
    <row r="437" spans="1:11" ht="13.2">
      <c r="A437" s="22"/>
      <c r="B437" s="16"/>
      <c r="C437" s="23"/>
      <c r="D437" s="24"/>
      <c r="E437" s="25"/>
      <c r="F437" s="26"/>
      <c r="G437" s="27"/>
      <c r="H437" s="20"/>
      <c r="I437" s="21"/>
      <c r="J437" s="28"/>
      <c r="K437" s="19"/>
    </row>
    <row r="438" spans="1:11" ht="13.2">
      <c r="A438" s="22"/>
      <c r="B438" s="16"/>
      <c r="C438" s="23"/>
      <c r="D438" s="24"/>
      <c r="E438" s="25"/>
      <c r="F438" s="26"/>
      <c r="G438" s="27"/>
      <c r="H438" s="20"/>
      <c r="I438" s="21"/>
      <c r="J438" s="28"/>
      <c r="K438" s="19"/>
    </row>
    <row r="439" spans="1:11" ht="13.2">
      <c r="A439" s="22"/>
      <c r="B439" s="16"/>
      <c r="C439" s="23"/>
      <c r="D439" s="24"/>
      <c r="E439" s="25"/>
      <c r="F439" s="26"/>
      <c r="G439" s="27"/>
      <c r="H439" s="20"/>
      <c r="I439" s="21"/>
      <c r="J439" s="28"/>
      <c r="K439" s="19"/>
    </row>
    <row r="440" spans="1:11" ht="13.2">
      <c r="A440" s="22"/>
      <c r="B440" s="16"/>
      <c r="C440" s="23"/>
      <c r="D440" s="24"/>
      <c r="E440" s="25"/>
      <c r="F440" s="26"/>
      <c r="G440" s="27"/>
      <c r="H440" s="20"/>
      <c r="I440" s="21"/>
      <c r="J440" s="28"/>
      <c r="K440" s="19"/>
    </row>
    <row r="441" spans="1:11" ht="13.2">
      <c r="A441" s="22"/>
      <c r="B441" s="16"/>
      <c r="C441" s="23"/>
      <c r="D441" s="24"/>
      <c r="E441" s="25"/>
      <c r="F441" s="26"/>
      <c r="G441" s="27"/>
      <c r="H441" s="20"/>
      <c r="I441" s="21"/>
      <c r="J441" s="28"/>
      <c r="K441" s="19"/>
    </row>
    <row r="442" spans="1:11" ht="13.2">
      <c r="A442" s="22"/>
      <c r="B442" s="16"/>
      <c r="C442" s="23"/>
      <c r="D442" s="24"/>
      <c r="E442" s="25"/>
      <c r="F442" s="26"/>
      <c r="G442" s="27"/>
      <c r="H442" s="20"/>
      <c r="I442" s="21"/>
      <c r="J442" s="28"/>
      <c r="K442" s="19"/>
    </row>
    <row r="443" spans="1:11" ht="13.2">
      <c r="A443" s="22"/>
      <c r="B443" s="16"/>
      <c r="C443" s="23"/>
      <c r="D443" s="24"/>
      <c r="E443" s="25"/>
      <c r="F443" s="26"/>
      <c r="G443" s="27"/>
      <c r="H443" s="20"/>
      <c r="I443" s="21"/>
      <c r="J443" s="28"/>
      <c r="K443" s="19"/>
    </row>
    <row r="444" spans="1:11" ht="13.2">
      <c r="A444" s="22"/>
      <c r="B444" s="16"/>
      <c r="C444" s="23"/>
      <c r="D444" s="24"/>
      <c r="E444" s="25"/>
      <c r="F444" s="26"/>
      <c r="G444" s="27"/>
      <c r="H444" s="20"/>
      <c r="I444" s="21"/>
      <c r="J444" s="28"/>
      <c r="K444" s="19"/>
    </row>
    <row r="445" spans="1:11" ht="13.2">
      <c r="A445" s="22"/>
      <c r="B445" s="16"/>
      <c r="C445" s="23"/>
      <c r="D445" s="24"/>
      <c r="E445" s="25"/>
      <c r="F445" s="26"/>
      <c r="G445" s="27"/>
      <c r="H445" s="20"/>
      <c r="I445" s="21"/>
      <c r="J445" s="28"/>
      <c r="K445" s="19"/>
    </row>
    <row r="446" spans="1:11" ht="13.2">
      <c r="A446" s="22"/>
      <c r="B446" s="16"/>
      <c r="C446" s="23"/>
      <c r="D446" s="24"/>
      <c r="E446" s="25"/>
      <c r="F446" s="26"/>
      <c r="G446" s="27"/>
      <c r="H446" s="20"/>
      <c r="I446" s="21"/>
      <c r="J446" s="28"/>
      <c r="K446" s="19"/>
    </row>
    <row r="447" spans="1:11" ht="13.2">
      <c r="A447" s="22"/>
      <c r="B447" s="16"/>
      <c r="C447" s="23"/>
      <c r="D447" s="24"/>
      <c r="E447" s="25"/>
      <c r="F447" s="26"/>
      <c r="G447" s="27"/>
      <c r="H447" s="20"/>
      <c r="I447" s="21"/>
      <c r="J447" s="28"/>
      <c r="K447" s="19"/>
    </row>
    <row r="448" spans="1:11" ht="13.2">
      <c r="A448" s="22"/>
      <c r="B448" s="16"/>
      <c r="C448" s="23"/>
      <c r="D448" s="24"/>
      <c r="E448" s="25"/>
      <c r="F448" s="26"/>
      <c r="G448" s="27"/>
      <c r="H448" s="20"/>
      <c r="I448" s="21"/>
      <c r="J448" s="28"/>
      <c r="K448" s="19"/>
    </row>
    <row r="449" spans="1:11" ht="13.2">
      <c r="A449" s="22"/>
      <c r="B449" s="16"/>
      <c r="C449" s="23"/>
      <c r="D449" s="24"/>
      <c r="E449" s="25"/>
      <c r="F449" s="26"/>
      <c r="G449" s="27"/>
      <c r="H449" s="20"/>
      <c r="I449" s="21"/>
      <c r="J449" s="28"/>
      <c r="K449" s="19"/>
    </row>
    <row r="450" spans="1:11" ht="13.2">
      <c r="A450" s="22"/>
      <c r="B450" s="16"/>
      <c r="C450" s="23"/>
      <c r="D450" s="24"/>
      <c r="E450" s="25"/>
      <c r="F450" s="26"/>
      <c r="G450" s="27"/>
      <c r="H450" s="20"/>
      <c r="I450" s="21"/>
      <c r="J450" s="28"/>
      <c r="K450" s="19"/>
    </row>
    <row r="451" spans="1:11" ht="13.2">
      <c r="A451" s="22"/>
      <c r="B451" s="16"/>
      <c r="C451" s="23"/>
      <c r="D451" s="24"/>
      <c r="E451" s="25"/>
      <c r="F451" s="26"/>
      <c r="G451" s="27"/>
      <c r="H451" s="20"/>
      <c r="I451" s="21"/>
      <c r="J451" s="28"/>
      <c r="K451" s="19"/>
    </row>
    <row r="452" spans="1:11" ht="13.2">
      <c r="A452" s="22"/>
      <c r="B452" s="16"/>
      <c r="C452" s="23"/>
      <c r="D452" s="24"/>
      <c r="E452" s="25"/>
      <c r="F452" s="26"/>
      <c r="G452" s="27"/>
      <c r="H452" s="20"/>
      <c r="I452" s="21"/>
      <c r="J452" s="28"/>
      <c r="K452" s="19"/>
    </row>
    <row r="453" spans="1:11" ht="13.2">
      <c r="A453" s="22"/>
      <c r="B453" s="16"/>
      <c r="C453" s="23"/>
      <c r="D453" s="24"/>
      <c r="E453" s="25"/>
      <c r="F453" s="26"/>
      <c r="G453" s="27"/>
      <c r="H453" s="20"/>
      <c r="I453" s="21"/>
      <c r="J453" s="28"/>
      <c r="K453" s="19"/>
    </row>
    <row r="454" spans="1:11" ht="13.2">
      <c r="A454" s="22"/>
      <c r="B454" s="16"/>
      <c r="C454" s="23"/>
      <c r="D454" s="24"/>
      <c r="E454" s="25"/>
      <c r="F454" s="26"/>
      <c r="G454" s="27"/>
      <c r="H454" s="20"/>
      <c r="I454" s="21"/>
      <c r="J454" s="28"/>
      <c r="K454" s="19"/>
    </row>
    <row r="455" spans="1:11" ht="13.2">
      <c r="A455" s="22"/>
      <c r="B455" s="16"/>
      <c r="C455" s="23"/>
      <c r="D455" s="24"/>
      <c r="E455" s="25"/>
      <c r="F455" s="26"/>
      <c r="G455" s="27"/>
      <c r="H455" s="20"/>
      <c r="I455" s="21"/>
      <c r="J455" s="28"/>
      <c r="K455" s="19"/>
    </row>
    <row r="456" spans="1:11" ht="13.2">
      <c r="A456" s="22"/>
      <c r="B456" s="16"/>
      <c r="C456" s="23"/>
      <c r="D456" s="24"/>
      <c r="E456" s="25"/>
      <c r="F456" s="26"/>
      <c r="G456" s="27"/>
      <c r="H456" s="20"/>
      <c r="I456" s="21"/>
      <c r="J456" s="28"/>
      <c r="K456" s="19"/>
    </row>
    <row r="457" spans="1:11" ht="13.2">
      <c r="A457" s="22"/>
      <c r="B457" s="16"/>
      <c r="C457" s="23"/>
      <c r="D457" s="24"/>
      <c r="E457" s="25"/>
      <c r="F457" s="26"/>
      <c r="G457" s="27"/>
      <c r="H457" s="20"/>
      <c r="I457" s="21"/>
      <c r="J457" s="28"/>
      <c r="K457" s="19"/>
    </row>
    <row r="458" spans="1:11" ht="13.2">
      <c r="A458" s="22"/>
      <c r="B458" s="16"/>
      <c r="C458" s="23"/>
      <c r="D458" s="24"/>
      <c r="E458" s="25"/>
      <c r="F458" s="26"/>
      <c r="G458" s="27"/>
      <c r="H458" s="20"/>
      <c r="I458" s="21"/>
      <c r="J458" s="28"/>
      <c r="K458" s="19"/>
    </row>
    <row r="459" spans="1:11" ht="13.2">
      <c r="A459" s="22"/>
      <c r="B459" s="16"/>
      <c r="C459" s="23"/>
      <c r="D459" s="24"/>
      <c r="E459" s="25"/>
      <c r="F459" s="26"/>
      <c r="G459" s="27"/>
      <c r="H459" s="20"/>
      <c r="I459" s="21"/>
      <c r="J459" s="28"/>
      <c r="K459" s="19"/>
    </row>
    <row r="460" spans="1:11" ht="13.2">
      <c r="A460" s="22"/>
      <c r="B460" s="16"/>
      <c r="C460" s="23"/>
      <c r="D460" s="24"/>
      <c r="E460" s="25"/>
      <c r="F460" s="26"/>
      <c r="G460" s="27"/>
      <c r="H460" s="20"/>
      <c r="I460" s="21"/>
      <c r="J460" s="28"/>
      <c r="K460" s="19"/>
    </row>
    <row r="461" spans="1:11" ht="13.2">
      <c r="A461" s="22"/>
      <c r="B461" s="16"/>
      <c r="C461" s="23"/>
      <c r="D461" s="24"/>
      <c r="E461" s="25"/>
      <c r="F461" s="26"/>
      <c r="G461" s="27"/>
      <c r="H461" s="20"/>
      <c r="I461" s="21"/>
      <c r="J461" s="28"/>
      <c r="K461" s="19"/>
    </row>
    <row r="462" spans="1:11" ht="13.2">
      <c r="A462" s="22"/>
      <c r="B462" s="16"/>
      <c r="C462" s="23"/>
      <c r="D462" s="24"/>
      <c r="E462" s="25"/>
      <c r="F462" s="26"/>
      <c r="G462" s="27"/>
      <c r="H462" s="20"/>
      <c r="I462" s="21"/>
      <c r="J462" s="28"/>
      <c r="K462" s="19"/>
    </row>
    <row r="463" spans="1:11" ht="13.2">
      <c r="A463" s="22"/>
      <c r="B463" s="16"/>
      <c r="C463" s="23"/>
      <c r="D463" s="24"/>
      <c r="E463" s="25"/>
      <c r="F463" s="26"/>
      <c r="G463" s="27"/>
      <c r="H463" s="20"/>
      <c r="I463" s="21"/>
      <c r="J463" s="28"/>
      <c r="K463" s="19"/>
    </row>
    <row r="464" spans="1:11" ht="13.2">
      <c r="A464" s="22"/>
      <c r="B464" s="16"/>
      <c r="C464" s="23"/>
      <c r="D464" s="24"/>
      <c r="E464" s="25"/>
      <c r="F464" s="26"/>
      <c r="G464" s="27"/>
      <c r="H464" s="20"/>
      <c r="I464" s="21"/>
      <c r="J464" s="28"/>
      <c r="K464" s="19"/>
    </row>
    <row r="465" spans="1:11" ht="13.2">
      <c r="A465" s="22"/>
      <c r="B465" s="16"/>
      <c r="C465" s="23"/>
      <c r="D465" s="24"/>
      <c r="E465" s="25"/>
      <c r="F465" s="26"/>
      <c r="G465" s="27"/>
      <c r="H465" s="20"/>
      <c r="I465" s="21"/>
      <c r="J465" s="28"/>
      <c r="K465" s="19"/>
    </row>
    <row r="466" spans="1:11" ht="13.2">
      <c r="A466" s="22"/>
      <c r="B466" s="16"/>
      <c r="C466" s="23"/>
      <c r="D466" s="24"/>
      <c r="E466" s="25"/>
      <c r="F466" s="26"/>
      <c r="G466" s="27"/>
      <c r="H466" s="20"/>
      <c r="I466" s="21"/>
      <c r="J466" s="28"/>
      <c r="K466" s="19"/>
    </row>
    <row r="467" spans="1:11" ht="13.2">
      <c r="A467" s="22"/>
      <c r="B467" s="16"/>
      <c r="C467" s="23"/>
      <c r="D467" s="24"/>
      <c r="E467" s="25"/>
      <c r="F467" s="26"/>
      <c r="G467" s="27"/>
      <c r="H467" s="20"/>
      <c r="I467" s="21"/>
      <c r="J467" s="28"/>
      <c r="K467" s="19"/>
    </row>
    <row r="468" spans="1:11" ht="13.2">
      <c r="A468" s="22"/>
      <c r="B468" s="16"/>
      <c r="C468" s="23"/>
      <c r="D468" s="24"/>
      <c r="E468" s="25"/>
      <c r="F468" s="26"/>
      <c r="G468" s="27"/>
      <c r="H468" s="20"/>
      <c r="I468" s="21"/>
      <c r="J468" s="28"/>
      <c r="K468" s="19"/>
    </row>
    <row r="469" spans="1:11" ht="13.2">
      <c r="A469" s="22"/>
      <c r="B469" s="16"/>
      <c r="C469" s="23"/>
      <c r="D469" s="24"/>
      <c r="E469" s="25"/>
      <c r="F469" s="26"/>
      <c r="G469" s="27"/>
      <c r="H469" s="20"/>
      <c r="I469" s="21"/>
      <c r="J469" s="28"/>
      <c r="K469" s="19"/>
    </row>
    <row r="470" spans="1:11" ht="13.2">
      <c r="A470" s="22"/>
      <c r="B470" s="16"/>
      <c r="C470" s="23"/>
      <c r="D470" s="24"/>
      <c r="E470" s="25"/>
      <c r="F470" s="26"/>
      <c r="G470" s="27"/>
      <c r="H470" s="20"/>
      <c r="I470" s="21"/>
      <c r="J470" s="28"/>
      <c r="K470" s="19"/>
    </row>
    <row r="471" spans="1:11" ht="13.2">
      <c r="A471" s="22"/>
      <c r="B471" s="16"/>
      <c r="C471" s="23"/>
      <c r="D471" s="24"/>
      <c r="E471" s="25"/>
      <c r="F471" s="26"/>
      <c r="G471" s="27"/>
      <c r="H471" s="20"/>
      <c r="I471" s="21"/>
      <c r="J471" s="28"/>
      <c r="K471" s="19"/>
    </row>
    <row r="472" spans="1:11" ht="13.2">
      <c r="A472" s="22"/>
      <c r="B472" s="16"/>
      <c r="C472" s="23"/>
      <c r="D472" s="24"/>
      <c r="E472" s="25"/>
      <c r="F472" s="26"/>
      <c r="G472" s="27"/>
      <c r="H472" s="20"/>
      <c r="I472" s="21"/>
      <c r="J472" s="28"/>
      <c r="K472" s="19"/>
    </row>
    <row r="473" spans="1:11" ht="13.2">
      <c r="A473" s="22"/>
      <c r="B473" s="16"/>
      <c r="C473" s="23"/>
      <c r="D473" s="24"/>
      <c r="E473" s="25"/>
      <c r="F473" s="26"/>
      <c r="G473" s="27"/>
      <c r="H473" s="20"/>
      <c r="I473" s="21"/>
      <c r="J473" s="28"/>
      <c r="K473" s="19"/>
    </row>
    <row r="474" spans="1:11" ht="13.2">
      <c r="A474" s="22"/>
      <c r="B474" s="16"/>
      <c r="C474" s="23"/>
      <c r="D474" s="24"/>
      <c r="E474" s="25"/>
      <c r="F474" s="26"/>
      <c r="G474" s="27"/>
      <c r="H474" s="20"/>
      <c r="I474" s="21"/>
      <c r="J474" s="28"/>
      <c r="K474" s="19"/>
    </row>
    <row r="475" spans="1:11" ht="13.2">
      <c r="A475" s="22"/>
      <c r="B475" s="16"/>
      <c r="C475" s="23"/>
      <c r="D475" s="24"/>
      <c r="E475" s="25"/>
      <c r="F475" s="26"/>
      <c r="G475" s="27"/>
      <c r="H475" s="20"/>
      <c r="I475" s="21"/>
      <c r="J475" s="28"/>
      <c r="K475" s="19"/>
    </row>
    <row r="476" spans="1:11" ht="13.2">
      <c r="A476" s="22"/>
      <c r="B476" s="16"/>
      <c r="C476" s="23"/>
      <c r="D476" s="24"/>
      <c r="E476" s="25"/>
      <c r="F476" s="26"/>
      <c r="G476" s="27"/>
      <c r="H476" s="20"/>
      <c r="I476" s="21"/>
      <c r="J476" s="28"/>
      <c r="K476" s="19"/>
    </row>
    <row r="477" spans="1:11" ht="13.2">
      <c r="A477" s="22"/>
      <c r="B477" s="16"/>
      <c r="C477" s="23"/>
      <c r="D477" s="24"/>
      <c r="E477" s="25"/>
      <c r="F477" s="26"/>
      <c r="G477" s="27"/>
      <c r="H477" s="20"/>
      <c r="I477" s="21"/>
      <c r="J477" s="28"/>
      <c r="K477" s="19"/>
    </row>
    <row r="478" spans="1:11" ht="13.2">
      <c r="A478" s="22"/>
      <c r="B478" s="16"/>
      <c r="C478" s="23"/>
      <c r="D478" s="24"/>
      <c r="E478" s="25"/>
      <c r="F478" s="26"/>
      <c r="G478" s="27"/>
      <c r="H478" s="20"/>
      <c r="I478" s="21"/>
      <c r="J478" s="28"/>
      <c r="K478" s="19"/>
    </row>
    <row r="479" spans="1:11" ht="13.2">
      <c r="A479" s="22"/>
      <c r="B479" s="16"/>
      <c r="C479" s="23"/>
      <c r="D479" s="24"/>
      <c r="E479" s="25"/>
      <c r="F479" s="26"/>
      <c r="G479" s="27"/>
      <c r="H479" s="20"/>
      <c r="I479" s="21"/>
      <c r="J479" s="28"/>
      <c r="K479" s="19"/>
    </row>
    <row r="480" spans="1:11" ht="13.2">
      <c r="A480" s="22"/>
      <c r="B480" s="16"/>
      <c r="C480" s="23"/>
      <c r="D480" s="24"/>
      <c r="E480" s="25"/>
      <c r="F480" s="26"/>
      <c r="G480" s="27"/>
      <c r="H480" s="20"/>
      <c r="I480" s="21"/>
      <c r="J480" s="28"/>
      <c r="K480" s="19"/>
    </row>
    <row r="481" spans="1:11" ht="13.2">
      <c r="A481" s="22"/>
      <c r="B481" s="16"/>
      <c r="C481" s="23"/>
      <c r="D481" s="24"/>
      <c r="E481" s="25"/>
      <c r="F481" s="26"/>
      <c r="G481" s="27"/>
      <c r="H481" s="20"/>
      <c r="I481" s="21"/>
      <c r="J481" s="28"/>
      <c r="K481" s="19"/>
    </row>
    <row r="482" spans="1:11" ht="13.2">
      <c r="A482" s="22"/>
      <c r="B482" s="16"/>
      <c r="C482" s="23"/>
      <c r="D482" s="24"/>
      <c r="E482" s="25"/>
      <c r="F482" s="26"/>
      <c r="G482" s="27"/>
      <c r="H482" s="20"/>
      <c r="I482" s="21"/>
      <c r="J482" s="28"/>
      <c r="K482" s="19"/>
    </row>
    <row r="483" spans="1:11" ht="13.2">
      <c r="A483" s="22"/>
      <c r="B483" s="16"/>
      <c r="C483" s="23"/>
      <c r="D483" s="24"/>
      <c r="E483" s="25"/>
      <c r="F483" s="26"/>
      <c r="G483" s="27"/>
      <c r="H483" s="20"/>
      <c r="I483" s="21"/>
      <c r="J483" s="28"/>
      <c r="K483" s="19"/>
    </row>
    <row r="484" spans="1:11" ht="13.2">
      <c r="A484" s="22"/>
      <c r="B484" s="16"/>
      <c r="C484" s="23"/>
      <c r="D484" s="24"/>
      <c r="E484" s="25"/>
      <c r="F484" s="26"/>
      <c r="G484" s="27"/>
      <c r="H484" s="20"/>
      <c r="I484" s="21"/>
      <c r="J484" s="28"/>
      <c r="K484" s="19"/>
    </row>
    <row r="485" spans="1:11" ht="13.2">
      <c r="A485" s="22"/>
      <c r="B485" s="16"/>
      <c r="C485" s="23"/>
      <c r="D485" s="24"/>
      <c r="E485" s="25"/>
      <c r="F485" s="26"/>
      <c r="G485" s="27"/>
      <c r="H485" s="20"/>
      <c r="I485" s="21"/>
      <c r="J485" s="28"/>
      <c r="K485" s="19"/>
    </row>
    <row r="486" spans="1:11" ht="13.2">
      <c r="A486" s="22"/>
      <c r="B486" s="16"/>
      <c r="C486" s="23"/>
      <c r="D486" s="24"/>
      <c r="E486" s="25"/>
      <c r="F486" s="26"/>
      <c r="G486" s="27"/>
      <c r="H486" s="20"/>
      <c r="I486" s="21"/>
      <c r="J486" s="28"/>
      <c r="K486" s="19"/>
    </row>
    <row r="487" spans="1:11" ht="13.2">
      <c r="A487" s="22"/>
      <c r="B487" s="16"/>
      <c r="C487" s="23"/>
      <c r="D487" s="24"/>
      <c r="E487" s="25"/>
      <c r="F487" s="26"/>
      <c r="G487" s="27"/>
      <c r="H487" s="20"/>
      <c r="I487" s="21"/>
      <c r="J487" s="28"/>
      <c r="K487" s="19"/>
    </row>
    <row r="488" spans="1:11" ht="13.2">
      <c r="A488" s="22"/>
      <c r="B488" s="16"/>
      <c r="C488" s="23"/>
      <c r="D488" s="24"/>
      <c r="E488" s="25"/>
      <c r="F488" s="26"/>
      <c r="G488" s="27"/>
      <c r="H488" s="20"/>
      <c r="I488" s="21"/>
      <c r="J488" s="28"/>
      <c r="K488" s="19"/>
    </row>
    <row r="489" spans="1:11" ht="13.2">
      <c r="A489" s="22"/>
      <c r="B489" s="16"/>
      <c r="C489" s="23"/>
      <c r="D489" s="24"/>
      <c r="E489" s="25"/>
      <c r="F489" s="26"/>
      <c r="G489" s="27"/>
      <c r="H489" s="20"/>
      <c r="I489" s="21"/>
      <c r="J489" s="28"/>
      <c r="K489" s="19"/>
    </row>
    <row r="490" spans="1:11" ht="13.2">
      <c r="A490" s="22"/>
      <c r="B490" s="16"/>
      <c r="C490" s="23"/>
      <c r="D490" s="24"/>
      <c r="E490" s="25"/>
      <c r="F490" s="26"/>
      <c r="G490" s="27"/>
      <c r="H490" s="20"/>
      <c r="I490" s="21"/>
      <c r="J490" s="28"/>
      <c r="K490" s="19"/>
    </row>
    <row r="491" spans="1:11" ht="13.2">
      <c r="A491" s="22"/>
      <c r="B491" s="16"/>
      <c r="C491" s="23"/>
      <c r="D491" s="24"/>
      <c r="E491" s="25"/>
      <c r="F491" s="26"/>
      <c r="G491" s="27"/>
      <c r="H491" s="20"/>
      <c r="I491" s="21"/>
      <c r="J491" s="28"/>
      <c r="K491" s="19"/>
    </row>
    <row r="492" spans="1:11" ht="13.2">
      <c r="A492" s="22"/>
      <c r="B492" s="16"/>
      <c r="C492" s="23"/>
      <c r="D492" s="24"/>
      <c r="E492" s="25"/>
      <c r="F492" s="26"/>
      <c r="G492" s="27"/>
      <c r="H492" s="20"/>
      <c r="I492" s="21"/>
      <c r="J492" s="28"/>
      <c r="K492" s="19"/>
    </row>
    <row r="493" spans="1:11" ht="13.2">
      <c r="A493" s="22"/>
      <c r="B493" s="16"/>
      <c r="C493" s="23"/>
      <c r="D493" s="24"/>
      <c r="E493" s="25"/>
      <c r="F493" s="26"/>
      <c r="G493" s="27"/>
      <c r="H493" s="20"/>
      <c r="I493" s="21"/>
      <c r="J493" s="28"/>
      <c r="K493" s="19"/>
    </row>
    <row r="494" spans="1:11" ht="13.2">
      <c r="A494" s="22"/>
      <c r="B494" s="16"/>
      <c r="C494" s="23"/>
      <c r="D494" s="24"/>
      <c r="E494" s="25"/>
      <c r="F494" s="26"/>
      <c r="G494" s="27"/>
      <c r="H494" s="20"/>
      <c r="I494" s="21"/>
      <c r="J494" s="28"/>
      <c r="K494" s="19"/>
    </row>
    <row r="495" spans="1:11" ht="13.2">
      <c r="A495" s="22"/>
      <c r="B495" s="16"/>
      <c r="C495" s="23"/>
      <c r="D495" s="24"/>
      <c r="E495" s="25"/>
      <c r="F495" s="26"/>
      <c r="G495" s="27"/>
      <c r="H495" s="20"/>
      <c r="I495" s="21"/>
      <c r="J495" s="28"/>
      <c r="K495" s="19"/>
    </row>
    <row r="496" spans="1:11" ht="13.2">
      <c r="A496" s="22"/>
      <c r="B496" s="16"/>
      <c r="C496" s="23"/>
      <c r="D496" s="24"/>
      <c r="E496" s="25"/>
      <c r="F496" s="26"/>
      <c r="G496" s="27"/>
      <c r="H496" s="20"/>
      <c r="I496" s="21"/>
      <c r="J496" s="28"/>
      <c r="K496" s="19"/>
    </row>
    <row r="497" spans="1:11" ht="13.2">
      <c r="A497" s="22"/>
      <c r="B497" s="16"/>
      <c r="C497" s="23"/>
      <c r="D497" s="24"/>
      <c r="E497" s="25"/>
      <c r="F497" s="26"/>
      <c r="G497" s="27"/>
      <c r="H497" s="20"/>
      <c r="I497" s="21"/>
      <c r="J497" s="28"/>
      <c r="K497" s="19"/>
    </row>
    <row r="498" spans="1:11" ht="13.2">
      <c r="A498" s="22"/>
      <c r="B498" s="16"/>
      <c r="C498" s="23"/>
      <c r="D498" s="24"/>
      <c r="E498" s="25"/>
      <c r="F498" s="26"/>
      <c r="G498" s="27"/>
      <c r="H498" s="20"/>
      <c r="I498" s="21"/>
      <c r="J498" s="28"/>
      <c r="K498" s="19"/>
    </row>
    <row r="499" spans="1:11" ht="13.2">
      <c r="A499" s="22"/>
      <c r="B499" s="16"/>
      <c r="C499" s="23"/>
      <c r="D499" s="24"/>
      <c r="E499" s="25"/>
      <c r="F499" s="26"/>
      <c r="G499" s="27"/>
      <c r="H499" s="20"/>
      <c r="I499" s="21"/>
      <c r="J499" s="28"/>
      <c r="K499" s="19"/>
    </row>
    <row r="500" spans="1:11" ht="13.2">
      <c r="A500" s="22"/>
      <c r="B500" s="16"/>
      <c r="C500" s="23"/>
      <c r="D500" s="24"/>
      <c r="E500" s="25"/>
      <c r="F500" s="26"/>
      <c r="G500" s="27"/>
      <c r="H500" s="20"/>
      <c r="I500" s="21"/>
      <c r="J500" s="28"/>
      <c r="K500" s="19"/>
    </row>
    <row r="501" spans="1:11" ht="13.2">
      <c r="A501" s="22"/>
      <c r="B501" s="16"/>
      <c r="C501" s="23"/>
      <c r="D501" s="24"/>
      <c r="E501" s="25"/>
      <c r="F501" s="26"/>
      <c r="G501" s="27"/>
      <c r="H501" s="20"/>
      <c r="I501" s="21"/>
      <c r="J501" s="28"/>
      <c r="K501" s="19"/>
    </row>
    <row r="502" spans="1:11" ht="13.2">
      <c r="A502" s="22"/>
      <c r="B502" s="16"/>
      <c r="C502" s="23"/>
      <c r="D502" s="24"/>
      <c r="E502" s="25"/>
      <c r="F502" s="26"/>
      <c r="G502" s="27"/>
      <c r="H502" s="20"/>
      <c r="I502" s="21"/>
      <c r="J502" s="28"/>
      <c r="K502" s="19"/>
    </row>
    <row r="503" spans="1:11" ht="13.2">
      <c r="A503" s="22"/>
      <c r="B503" s="16"/>
      <c r="C503" s="23"/>
      <c r="D503" s="24"/>
      <c r="E503" s="25"/>
      <c r="F503" s="26"/>
      <c r="G503" s="27"/>
      <c r="H503" s="20"/>
      <c r="I503" s="21"/>
      <c r="J503" s="28"/>
      <c r="K503" s="19"/>
    </row>
    <row r="504" spans="1:11" ht="13.2">
      <c r="A504" s="22"/>
      <c r="B504" s="16"/>
      <c r="C504" s="23"/>
      <c r="D504" s="24"/>
      <c r="E504" s="25"/>
      <c r="F504" s="26"/>
      <c r="G504" s="27"/>
      <c r="H504" s="20"/>
      <c r="I504" s="21"/>
      <c r="J504" s="28"/>
      <c r="K504" s="19"/>
    </row>
    <row r="505" spans="1:11" ht="13.2">
      <c r="A505" s="22"/>
      <c r="B505" s="16"/>
      <c r="C505" s="23"/>
      <c r="D505" s="24"/>
      <c r="E505" s="25"/>
      <c r="F505" s="26"/>
      <c r="G505" s="27"/>
      <c r="H505" s="20"/>
      <c r="I505" s="21"/>
      <c r="J505" s="28"/>
      <c r="K505" s="19"/>
    </row>
    <row r="506" spans="1:11" ht="13.2">
      <c r="A506" s="22"/>
      <c r="B506" s="16"/>
      <c r="C506" s="23"/>
      <c r="D506" s="24"/>
      <c r="E506" s="25"/>
      <c r="F506" s="26"/>
      <c r="G506" s="27"/>
      <c r="H506" s="20"/>
      <c r="I506" s="21"/>
      <c r="J506" s="28"/>
      <c r="K506" s="19"/>
    </row>
    <row r="507" spans="1:11" ht="13.2">
      <c r="A507" s="22"/>
      <c r="B507" s="16"/>
      <c r="C507" s="23"/>
      <c r="D507" s="24"/>
      <c r="E507" s="25"/>
      <c r="F507" s="26"/>
      <c r="G507" s="27"/>
      <c r="H507" s="20"/>
      <c r="I507" s="21"/>
      <c r="J507" s="28"/>
      <c r="K507" s="19"/>
    </row>
    <row r="508" spans="1:11" ht="13.2">
      <c r="A508" s="22"/>
      <c r="B508" s="16"/>
      <c r="C508" s="23"/>
      <c r="D508" s="24"/>
      <c r="E508" s="25"/>
      <c r="F508" s="26"/>
      <c r="G508" s="27"/>
      <c r="H508" s="20"/>
      <c r="I508" s="21"/>
      <c r="J508" s="28"/>
      <c r="K508" s="19"/>
    </row>
    <row r="509" spans="1:11" ht="13.2">
      <c r="A509" s="22"/>
      <c r="B509" s="16"/>
      <c r="C509" s="23"/>
      <c r="D509" s="24"/>
      <c r="E509" s="25"/>
      <c r="F509" s="26"/>
      <c r="G509" s="27"/>
      <c r="H509" s="20"/>
      <c r="I509" s="21"/>
      <c r="J509" s="28"/>
      <c r="K509" s="19"/>
    </row>
    <row r="510" spans="1:11" ht="13.2">
      <c r="A510" s="22"/>
      <c r="B510" s="16"/>
      <c r="C510" s="23"/>
      <c r="D510" s="24"/>
      <c r="E510" s="25"/>
      <c r="F510" s="26"/>
      <c r="G510" s="27"/>
      <c r="H510" s="20"/>
      <c r="I510" s="21"/>
      <c r="J510" s="28"/>
      <c r="K510" s="19"/>
    </row>
    <row r="511" spans="1:11" ht="13.2">
      <c r="A511" s="22"/>
      <c r="B511" s="16"/>
      <c r="C511" s="23"/>
      <c r="D511" s="24"/>
      <c r="E511" s="25"/>
      <c r="F511" s="26"/>
      <c r="G511" s="27"/>
      <c r="H511" s="20"/>
      <c r="I511" s="21"/>
      <c r="J511" s="28"/>
      <c r="K511" s="19"/>
    </row>
    <row r="512" spans="1:11" ht="13.2">
      <c r="A512" s="22"/>
      <c r="B512" s="16"/>
      <c r="C512" s="23"/>
      <c r="D512" s="24"/>
      <c r="E512" s="25"/>
      <c r="F512" s="26"/>
      <c r="G512" s="27"/>
      <c r="H512" s="20"/>
      <c r="I512" s="21"/>
      <c r="J512" s="28"/>
      <c r="K512" s="19"/>
    </row>
    <row r="513" spans="1:11" ht="13.2">
      <c r="A513" s="22"/>
      <c r="B513" s="16"/>
      <c r="C513" s="23"/>
      <c r="D513" s="24"/>
      <c r="E513" s="25"/>
      <c r="F513" s="26"/>
      <c r="G513" s="27"/>
      <c r="H513" s="20"/>
      <c r="I513" s="21"/>
      <c r="J513" s="28"/>
      <c r="K513" s="19"/>
    </row>
    <row r="514" spans="1:11" ht="13.2">
      <c r="A514" s="22"/>
      <c r="B514" s="16"/>
      <c r="C514" s="23"/>
      <c r="D514" s="24"/>
      <c r="E514" s="25"/>
      <c r="F514" s="26"/>
      <c r="G514" s="27"/>
      <c r="H514" s="20"/>
      <c r="I514" s="21"/>
      <c r="J514" s="28"/>
      <c r="K514" s="19"/>
    </row>
    <row r="515" spans="1:11" ht="13.2">
      <c r="A515" s="22"/>
      <c r="B515" s="16"/>
      <c r="C515" s="23"/>
      <c r="D515" s="24"/>
      <c r="E515" s="25"/>
      <c r="F515" s="26"/>
      <c r="G515" s="27"/>
      <c r="H515" s="20"/>
      <c r="I515" s="21"/>
      <c r="J515" s="28"/>
      <c r="K515" s="19"/>
    </row>
    <row r="516" spans="1:11" ht="13.2">
      <c r="A516" s="22"/>
      <c r="B516" s="16"/>
      <c r="C516" s="23"/>
      <c r="D516" s="24"/>
      <c r="E516" s="25"/>
      <c r="F516" s="26"/>
      <c r="G516" s="27"/>
      <c r="H516" s="20"/>
      <c r="I516" s="21"/>
      <c r="J516" s="28"/>
      <c r="K516" s="19"/>
    </row>
    <row r="517" spans="1:11" ht="13.2">
      <c r="A517" s="22"/>
      <c r="B517" s="16"/>
      <c r="C517" s="23"/>
      <c r="D517" s="24"/>
      <c r="E517" s="25"/>
      <c r="F517" s="26"/>
      <c r="G517" s="27"/>
      <c r="H517" s="20"/>
      <c r="I517" s="21"/>
      <c r="J517" s="28"/>
      <c r="K517" s="19"/>
    </row>
    <row r="518" spans="1:11" ht="13.2">
      <c r="A518" s="22"/>
      <c r="B518" s="16"/>
      <c r="C518" s="23"/>
      <c r="D518" s="24"/>
      <c r="E518" s="25"/>
      <c r="F518" s="26"/>
      <c r="G518" s="27"/>
      <c r="H518" s="20"/>
      <c r="I518" s="21"/>
      <c r="J518" s="28"/>
      <c r="K518" s="19"/>
    </row>
    <row r="519" spans="1:11" ht="13.2">
      <c r="A519" s="22"/>
      <c r="B519" s="16"/>
      <c r="C519" s="23"/>
      <c r="D519" s="24"/>
      <c r="E519" s="25"/>
      <c r="F519" s="26"/>
      <c r="G519" s="27"/>
      <c r="H519" s="20"/>
      <c r="I519" s="21"/>
      <c r="J519" s="28"/>
      <c r="K519" s="19"/>
    </row>
    <row r="520" spans="1:11" ht="13.2">
      <c r="A520" s="22"/>
      <c r="B520" s="16"/>
      <c r="C520" s="23"/>
      <c r="D520" s="24"/>
      <c r="E520" s="25"/>
      <c r="F520" s="26"/>
      <c r="G520" s="27"/>
      <c r="H520" s="20"/>
      <c r="I520" s="21"/>
      <c r="J520" s="28"/>
      <c r="K520" s="19"/>
    </row>
    <row r="521" spans="1:11" ht="13.2">
      <c r="A521" s="22"/>
      <c r="B521" s="16"/>
      <c r="C521" s="23"/>
      <c r="D521" s="24"/>
      <c r="E521" s="25"/>
      <c r="F521" s="26"/>
      <c r="G521" s="27"/>
      <c r="H521" s="20"/>
      <c r="I521" s="21"/>
      <c r="J521" s="28"/>
      <c r="K521" s="19"/>
    </row>
    <row r="522" spans="1:11" ht="13.2">
      <c r="A522" s="22"/>
      <c r="B522" s="16"/>
      <c r="C522" s="23"/>
      <c r="D522" s="24"/>
      <c r="E522" s="25"/>
      <c r="F522" s="26"/>
      <c r="G522" s="27"/>
      <c r="H522" s="20"/>
      <c r="I522" s="21"/>
      <c r="J522" s="28"/>
      <c r="K522" s="19"/>
    </row>
    <row r="523" spans="1:11" ht="13.2">
      <c r="A523" s="22"/>
      <c r="B523" s="16"/>
      <c r="C523" s="23"/>
      <c r="D523" s="24"/>
      <c r="E523" s="25"/>
      <c r="F523" s="26"/>
      <c r="G523" s="27"/>
      <c r="H523" s="20"/>
      <c r="I523" s="21"/>
      <c r="J523" s="28"/>
      <c r="K523" s="19"/>
    </row>
    <row r="524" spans="1:11" ht="13.2">
      <c r="A524" s="22"/>
      <c r="B524" s="16"/>
      <c r="C524" s="23"/>
      <c r="D524" s="24"/>
      <c r="E524" s="25"/>
      <c r="F524" s="26"/>
      <c r="G524" s="27"/>
      <c r="H524" s="20"/>
      <c r="I524" s="21"/>
      <c r="J524" s="28"/>
      <c r="K524" s="19"/>
    </row>
    <row r="525" spans="1:11" ht="13.2">
      <c r="A525" s="22"/>
      <c r="B525" s="16"/>
      <c r="C525" s="23"/>
      <c r="D525" s="24"/>
      <c r="E525" s="25"/>
      <c r="F525" s="26"/>
      <c r="G525" s="27"/>
      <c r="H525" s="20"/>
      <c r="I525" s="21"/>
      <c r="J525" s="28"/>
      <c r="K525" s="19"/>
    </row>
    <row r="526" spans="1:11" ht="13.2">
      <c r="A526" s="22"/>
      <c r="B526" s="16"/>
      <c r="C526" s="23"/>
      <c r="D526" s="24"/>
      <c r="E526" s="25"/>
      <c r="F526" s="26"/>
      <c r="G526" s="27"/>
      <c r="H526" s="20"/>
      <c r="I526" s="21"/>
      <c r="J526" s="28"/>
      <c r="K526" s="19"/>
    </row>
    <row r="527" spans="1:11" ht="13.2">
      <c r="A527" s="22"/>
      <c r="B527" s="16"/>
      <c r="C527" s="23"/>
      <c r="D527" s="24"/>
      <c r="E527" s="25"/>
      <c r="F527" s="26"/>
      <c r="G527" s="27"/>
      <c r="H527" s="20"/>
      <c r="I527" s="21"/>
      <c r="J527" s="28"/>
      <c r="K527" s="19"/>
    </row>
    <row r="528" spans="1:11" ht="13.2">
      <c r="A528" s="22"/>
      <c r="B528" s="16"/>
      <c r="C528" s="23"/>
      <c r="D528" s="24"/>
      <c r="E528" s="25"/>
      <c r="F528" s="26"/>
      <c r="G528" s="27"/>
      <c r="H528" s="20"/>
      <c r="I528" s="21"/>
      <c r="J528" s="28"/>
      <c r="K528" s="19"/>
    </row>
    <row r="529" spans="1:11" ht="13.2">
      <c r="A529" s="22"/>
      <c r="B529" s="16"/>
      <c r="C529" s="23"/>
      <c r="D529" s="24"/>
      <c r="E529" s="25"/>
      <c r="F529" s="26"/>
      <c r="G529" s="27"/>
      <c r="H529" s="20"/>
      <c r="I529" s="21"/>
      <c r="J529" s="28"/>
      <c r="K529" s="19"/>
    </row>
    <row r="530" spans="1:11" ht="13.2">
      <c r="A530" s="22"/>
      <c r="B530" s="16"/>
      <c r="C530" s="23"/>
      <c r="D530" s="24"/>
      <c r="E530" s="25"/>
      <c r="F530" s="26"/>
      <c r="G530" s="27"/>
      <c r="H530" s="20"/>
      <c r="I530" s="21"/>
      <c r="J530" s="28"/>
      <c r="K530" s="19"/>
    </row>
    <row r="531" spans="1:11" ht="13.2">
      <c r="A531" s="22"/>
      <c r="B531" s="16"/>
      <c r="C531" s="23"/>
      <c r="D531" s="24"/>
      <c r="E531" s="25"/>
      <c r="F531" s="26"/>
      <c r="G531" s="27"/>
      <c r="H531" s="20"/>
      <c r="I531" s="21"/>
      <c r="J531" s="28"/>
      <c r="K531" s="19"/>
    </row>
    <row r="532" spans="1:11" ht="13.2">
      <c r="A532" s="22"/>
      <c r="B532" s="16"/>
      <c r="C532" s="23"/>
      <c r="D532" s="24"/>
      <c r="E532" s="25"/>
      <c r="F532" s="26"/>
      <c r="G532" s="27"/>
      <c r="H532" s="20"/>
      <c r="I532" s="21"/>
      <c r="J532" s="28"/>
      <c r="K532" s="19"/>
    </row>
    <row r="533" spans="1:11" ht="13.2">
      <c r="A533" s="22"/>
      <c r="B533" s="16"/>
      <c r="C533" s="23"/>
      <c r="D533" s="24"/>
      <c r="E533" s="25"/>
      <c r="F533" s="26"/>
      <c r="G533" s="27"/>
      <c r="H533" s="20"/>
      <c r="I533" s="21"/>
      <c r="J533" s="28"/>
      <c r="K533" s="19"/>
    </row>
    <row r="534" spans="1:11" ht="13.2">
      <c r="A534" s="22"/>
      <c r="B534" s="16"/>
      <c r="C534" s="23"/>
      <c r="D534" s="24"/>
      <c r="E534" s="25"/>
      <c r="F534" s="26"/>
      <c r="G534" s="27"/>
      <c r="H534" s="20"/>
      <c r="I534" s="21"/>
      <c r="J534" s="28"/>
      <c r="K534" s="19"/>
    </row>
    <row r="535" spans="1:11" ht="13.2">
      <c r="A535" s="22"/>
      <c r="B535" s="16"/>
      <c r="C535" s="23"/>
      <c r="D535" s="24"/>
      <c r="E535" s="25"/>
      <c r="F535" s="26"/>
      <c r="G535" s="27"/>
      <c r="H535" s="20"/>
      <c r="I535" s="21"/>
      <c r="J535" s="28"/>
      <c r="K535" s="19"/>
    </row>
    <row r="536" spans="1:11" ht="13.2">
      <c r="A536" s="22"/>
      <c r="B536" s="16"/>
      <c r="C536" s="23"/>
      <c r="D536" s="24"/>
      <c r="E536" s="25"/>
      <c r="F536" s="26"/>
      <c r="G536" s="27"/>
      <c r="H536" s="20"/>
      <c r="I536" s="21"/>
      <c r="J536" s="28"/>
      <c r="K536" s="19"/>
    </row>
    <row r="537" spans="1:11" ht="13.2">
      <c r="A537" s="22"/>
      <c r="B537" s="16"/>
      <c r="C537" s="23"/>
      <c r="D537" s="24"/>
      <c r="E537" s="25"/>
      <c r="F537" s="26"/>
      <c r="G537" s="27"/>
      <c r="H537" s="20"/>
      <c r="I537" s="21"/>
      <c r="J537" s="28"/>
      <c r="K537" s="19"/>
    </row>
    <row r="538" spans="1:11" ht="13.2">
      <c r="A538" s="22"/>
      <c r="B538" s="16"/>
      <c r="C538" s="23"/>
      <c r="D538" s="24"/>
      <c r="E538" s="25"/>
      <c r="F538" s="26"/>
      <c r="G538" s="27"/>
      <c r="H538" s="20"/>
      <c r="I538" s="21"/>
      <c r="J538" s="28"/>
      <c r="K538" s="19"/>
    </row>
    <row r="539" spans="1:11" ht="13.2">
      <c r="A539" s="22"/>
      <c r="B539" s="16"/>
      <c r="C539" s="23"/>
      <c r="D539" s="24"/>
      <c r="E539" s="25"/>
      <c r="F539" s="26"/>
      <c r="G539" s="27"/>
      <c r="H539" s="20"/>
      <c r="I539" s="21"/>
      <c r="J539" s="28"/>
      <c r="K539" s="19"/>
    </row>
    <row r="540" spans="1:11" ht="13.2">
      <c r="A540" s="22"/>
      <c r="B540" s="16"/>
      <c r="C540" s="23"/>
      <c r="D540" s="24"/>
      <c r="E540" s="25"/>
      <c r="F540" s="26"/>
      <c r="G540" s="27"/>
      <c r="H540" s="20"/>
      <c r="I540" s="21"/>
      <c r="J540" s="28"/>
      <c r="K540" s="19"/>
    </row>
    <row r="541" spans="1:11" ht="13.2">
      <c r="A541" s="22"/>
      <c r="B541" s="16"/>
      <c r="C541" s="23"/>
      <c r="D541" s="24"/>
      <c r="E541" s="25"/>
      <c r="F541" s="26"/>
      <c r="G541" s="27"/>
      <c r="H541" s="20"/>
      <c r="I541" s="21"/>
      <c r="J541" s="28"/>
      <c r="K541" s="19"/>
    </row>
    <row r="542" spans="1:11" ht="13.2">
      <c r="A542" s="22"/>
      <c r="B542" s="16"/>
      <c r="C542" s="23"/>
      <c r="D542" s="24"/>
      <c r="E542" s="25"/>
      <c r="F542" s="26"/>
      <c r="G542" s="27"/>
      <c r="H542" s="20"/>
      <c r="I542" s="21"/>
      <c r="J542" s="28"/>
      <c r="K542" s="19"/>
    </row>
    <row r="543" spans="1:11" ht="13.2">
      <c r="A543" s="22"/>
      <c r="B543" s="16"/>
      <c r="C543" s="23"/>
      <c r="D543" s="24"/>
      <c r="E543" s="25"/>
      <c r="F543" s="26"/>
      <c r="G543" s="27"/>
      <c r="H543" s="20"/>
      <c r="I543" s="21"/>
      <c r="J543" s="28"/>
      <c r="K543" s="19"/>
    </row>
    <row r="544" spans="1:11" ht="13.2">
      <c r="A544" s="22"/>
      <c r="B544" s="16"/>
      <c r="C544" s="23"/>
      <c r="D544" s="24"/>
      <c r="E544" s="25"/>
      <c r="F544" s="26"/>
      <c r="G544" s="27"/>
      <c r="H544" s="20"/>
      <c r="I544" s="21"/>
      <c r="J544" s="28"/>
      <c r="K544" s="19"/>
    </row>
    <row r="545" spans="1:11" ht="13.2">
      <c r="A545" s="22"/>
      <c r="B545" s="16"/>
      <c r="C545" s="23"/>
      <c r="D545" s="24"/>
      <c r="E545" s="25"/>
      <c r="F545" s="26"/>
      <c r="G545" s="27"/>
      <c r="H545" s="20"/>
      <c r="I545" s="21"/>
      <c r="J545" s="28"/>
      <c r="K545" s="19"/>
    </row>
    <row r="546" spans="1:11" ht="13.2">
      <c r="A546" s="22"/>
      <c r="B546" s="16"/>
      <c r="C546" s="23"/>
      <c r="D546" s="24"/>
      <c r="E546" s="25"/>
      <c r="F546" s="26"/>
      <c r="G546" s="27"/>
      <c r="H546" s="20"/>
      <c r="I546" s="21"/>
      <c r="J546" s="28"/>
      <c r="K546" s="19"/>
    </row>
    <row r="547" spans="1:11" ht="13.2">
      <c r="A547" s="22"/>
      <c r="B547" s="16"/>
      <c r="C547" s="23"/>
      <c r="D547" s="24"/>
      <c r="E547" s="25"/>
      <c r="F547" s="26"/>
      <c r="G547" s="27"/>
      <c r="H547" s="20"/>
      <c r="I547" s="21"/>
      <c r="J547" s="28"/>
      <c r="K547" s="19"/>
    </row>
    <row r="548" spans="1:11" ht="13.2">
      <c r="A548" s="22"/>
      <c r="B548" s="16"/>
      <c r="C548" s="23"/>
      <c r="D548" s="24"/>
      <c r="E548" s="25"/>
      <c r="F548" s="26"/>
      <c r="G548" s="27"/>
      <c r="H548" s="20"/>
      <c r="I548" s="21"/>
      <c r="J548" s="28"/>
      <c r="K548" s="19"/>
    </row>
    <row r="549" spans="1:11" ht="13.2">
      <c r="A549" s="22"/>
      <c r="B549" s="16"/>
      <c r="C549" s="23"/>
      <c r="D549" s="24"/>
      <c r="E549" s="25"/>
      <c r="F549" s="26"/>
      <c r="G549" s="27"/>
      <c r="H549" s="20"/>
      <c r="I549" s="21"/>
      <c r="J549" s="28"/>
      <c r="K549" s="19"/>
    </row>
    <row r="550" spans="1:11" ht="13.2">
      <c r="A550" s="22"/>
      <c r="B550" s="16"/>
      <c r="C550" s="23"/>
      <c r="D550" s="24"/>
      <c r="E550" s="25"/>
      <c r="F550" s="26"/>
      <c r="G550" s="27"/>
      <c r="H550" s="20"/>
      <c r="I550" s="21"/>
      <c r="J550" s="28"/>
      <c r="K550" s="19"/>
    </row>
    <row r="551" spans="1:11" ht="13.2">
      <c r="A551" s="22"/>
      <c r="B551" s="16"/>
      <c r="C551" s="23"/>
      <c r="D551" s="24"/>
      <c r="E551" s="25"/>
      <c r="F551" s="26"/>
      <c r="G551" s="27"/>
      <c r="H551" s="20"/>
      <c r="I551" s="21"/>
      <c r="J551" s="28"/>
      <c r="K551" s="19"/>
    </row>
    <row r="552" spans="1:11" ht="13.2">
      <c r="A552" s="22"/>
      <c r="B552" s="16"/>
      <c r="C552" s="23"/>
      <c r="D552" s="24"/>
      <c r="E552" s="25"/>
      <c r="F552" s="26"/>
      <c r="G552" s="27"/>
      <c r="H552" s="20"/>
      <c r="I552" s="21"/>
      <c r="J552" s="28"/>
      <c r="K552" s="19"/>
    </row>
    <row r="553" spans="1:11" ht="13.2">
      <c r="A553" s="22"/>
      <c r="B553" s="16"/>
      <c r="C553" s="23"/>
      <c r="D553" s="24"/>
      <c r="E553" s="25"/>
      <c r="F553" s="26"/>
      <c r="G553" s="27"/>
      <c r="H553" s="20"/>
      <c r="I553" s="21"/>
      <c r="J553" s="28"/>
      <c r="K553" s="19"/>
    </row>
    <row r="554" spans="1:11" ht="13.2">
      <c r="A554" s="22"/>
      <c r="B554" s="16"/>
      <c r="C554" s="23"/>
      <c r="D554" s="24"/>
      <c r="E554" s="25"/>
      <c r="F554" s="26"/>
      <c r="G554" s="27"/>
      <c r="H554" s="20"/>
      <c r="I554" s="21"/>
      <c r="J554" s="28"/>
      <c r="K554" s="19"/>
    </row>
    <row r="555" spans="1:11" ht="13.2">
      <c r="A555" s="22"/>
      <c r="B555" s="16"/>
      <c r="C555" s="23"/>
      <c r="D555" s="24"/>
      <c r="E555" s="25"/>
      <c r="F555" s="26"/>
      <c r="G555" s="27"/>
      <c r="H555" s="20"/>
      <c r="I555" s="21"/>
      <c r="J555" s="28"/>
      <c r="K555" s="19"/>
    </row>
    <row r="556" spans="1:11" ht="13.2">
      <c r="A556" s="22"/>
      <c r="B556" s="16"/>
      <c r="C556" s="23"/>
      <c r="D556" s="24"/>
      <c r="E556" s="25"/>
      <c r="F556" s="26"/>
      <c r="G556" s="27"/>
      <c r="H556" s="20"/>
      <c r="I556" s="21"/>
      <c r="J556" s="28"/>
      <c r="K556" s="19"/>
    </row>
    <row r="557" spans="1:11" ht="13.2">
      <c r="A557" s="22"/>
      <c r="B557" s="16"/>
      <c r="C557" s="23"/>
      <c r="D557" s="24"/>
      <c r="E557" s="25"/>
      <c r="F557" s="26"/>
      <c r="G557" s="27"/>
      <c r="H557" s="20"/>
      <c r="I557" s="21"/>
      <c r="J557" s="28"/>
      <c r="K557" s="19"/>
    </row>
    <row r="558" spans="1:11" ht="13.2">
      <c r="A558" s="22"/>
      <c r="B558" s="16"/>
      <c r="C558" s="23"/>
      <c r="D558" s="24"/>
      <c r="E558" s="25"/>
      <c r="F558" s="26"/>
      <c r="G558" s="27"/>
      <c r="H558" s="20"/>
      <c r="I558" s="21"/>
      <c r="J558" s="28"/>
      <c r="K558" s="19"/>
    </row>
    <row r="559" spans="1:11" ht="13.2">
      <c r="A559" s="22"/>
      <c r="B559" s="16"/>
      <c r="C559" s="23"/>
      <c r="D559" s="24"/>
      <c r="E559" s="25"/>
      <c r="F559" s="26"/>
      <c r="G559" s="27"/>
      <c r="H559" s="20"/>
      <c r="I559" s="21"/>
      <c r="J559" s="28"/>
      <c r="K559" s="19"/>
    </row>
    <row r="560" spans="1:11" ht="13.2">
      <c r="A560" s="22"/>
      <c r="B560" s="16"/>
      <c r="C560" s="23"/>
      <c r="D560" s="24"/>
      <c r="E560" s="25"/>
      <c r="F560" s="26"/>
      <c r="G560" s="27"/>
      <c r="H560" s="20"/>
      <c r="I560" s="21"/>
      <c r="J560" s="28"/>
      <c r="K560" s="19"/>
    </row>
    <row r="561" spans="1:11" ht="13.2">
      <c r="A561" s="22"/>
      <c r="B561" s="16"/>
      <c r="C561" s="23"/>
      <c r="D561" s="24"/>
      <c r="E561" s="25"/>
      <c r="F561" s="26"/>
      <c r="G561" s="27"/>
      <c r="H561" s="20"/>
      <c r="I561" s="21"/>
      <c r="J561" s="28"/>
      <c r="K561" s="19"/>
    </row>
    <row r="562" spans="1:11" ht="13.2">
      <c r="A562" s="22"/>
      <c r="B562" s="16"/>
      <c r="C562" s="23"/>
      <c r="D562" s="24"/>
      <c r="E562" s="25"/>
      <c r="F562" s="26"/>
      <c r="G562" s="27"/>
      <c r="H562" s="20"/>
      <c r="I562" s="21"/>
      <c r="J562" s="28"/>
      <c r="K562" s="19"/>
    </row>
    <row r="563" spans="1:11" ht="13.2">
      <c r="A563" s="22"/>
      <c r="B563" s="16"/>
      <c r="C563" s="23"/>
      <c r="D563" s="24"/>
      <c r="E563" s="25"/>
      <c r="F563" s="26"/>
      <c r="G563" s="27"/>
      <c r="H563" s="20"/>
      <c r="I563" s="21"/>
      <c r="J563" s="28"/>
      <c r="K563" s="19"/>
    </row>
    <row r="564" spans="1:11" ht="13.2">
      <c r="A564" s="22"/>
      <c r="B564" s="16"/>
      <c r="C564" s="23"/>
      <c r="D564" s="24"/>
      <c r="E564" s="25"/>
      <c r="F564" s="26"/>
      <c r="G564" s="27"/>
      <c r="H564" s="20"/>
      <c r="I564" s="21"/>
      <c r="J564" s="28"/>
      <c r="K564" s="19"/>
    </row>
    <row r="565" spans="1:11" ht="13.2">
      <c r="A565" s="22"/>
      <c r="B565" s="16"/>
      <c r="C565" s="23"/>
      <c r="D565" s="24"/>
      <c r="E565" s="25"/>
      <c r="F565" s="26"/>
      <c r="G565" s="27"/>
      <c r="H565" s="20"/>
      <c r="I565" s="21"/>
      <c r="J565" s="28"/>
      <c r="K565" s="19"/>
    </row>
    <row r="566" spans="1:11" ht="13.2">
      <c r="A566" s="22"/>
      <c r="B566" s="16"/>
      <c r="C566" s="23"/>
      <c r="D566" s="24"/>
      <c r="E566" s="25"/>
      <c r="F566" s="26"/>
      <c r="G566" s="27"/>
      <c r="H566" s="20"/>
      <c r="I566" s="21"/>
      <c r="J566" s="28"/>
      <c r="K566" s="19"/>
    </row>
    <row r="567" spans="1:11" ht="13.2">
      <c r="A567" s="22"/>
      <c r="B567" s="16"/>
      <c r="C567" s="23"/>
      <c r="D567" s="24"/>
      <c r="E567" s="25"/>
      <c r="F567" s="26"/>
      <c r="G567" s="27"/>
      <c r="H567" s="20"/>
      <c r="I567" s="21"/>
      <c r="J567" s="28"/>
      <c r="K567" s="19"/>
    </row>
    <row r="568" spans="1:11" ht="13.2">
      <c r="A568" s="22"/>
      <c r="B568" s="16"/>
      <c r="C568" s="23"/>
      <c r="D568" s="24"/>
      <c r="E568" s="25"/>
      <c r="F568" s="26"/>
      <c r="G568" s="27"/>
      <c r="H568" s="20"/>
      <c r="I568" s="21"/>
      <c r="J568" s="28"/>
      <c r="K568" s="19"/>
    </row>
    <row r="569" spans="1:11" ht="13.2">
      <c r="A569" s="22"/>
      <c r="B569" s="16"/>
      <c r="C569" s="23"/>
      <c r="D569" s="24"/>
      <c r="E569" s="25"/>
      <c r="F569" s="26"/>
      <c r="G569" s="27"/>
      <c r="H569" s="20"/>
      <c r="I569" s="21"/>
      <c r="J569" s="28"/>
      <c r="K569" s="19"/>
    </row>
    <row r="570" spans="1:11" ht="13.2">
      <c r="A570" s="22"/>
      <c r="B570" s="16"/>
      <c r="C570" s="23"/>
      <c r="D570" s="24"/>
      <c r="E570" s="25"/>
      <c r="F570" s="26"/>
      <c r="G570" s="27"/>
      <c r="H570" s="20"/>
      <c r="I570" s="21"/>
      <c r="J570" s="28"/>
      <c r="K570" s="19"/>
    </row>
    <row r="571" spans="1:11" ht="13.2">
      <c r="A571" s="22"/>
      <c r="B571" s="16"/>
      <c r="C571" s="23"/>
      <c r="D571" s="24"/>
      <c r="E571" s="25"/>
      <c r="F571" s="26"/>
      <c r="G571" s="27"/>
      <c r="H571" s="20"/>
      <c r="I571" s="21"/>
      <c r="J571" s="28"/>
      <c r="K571" s="19"/>
    </row>
    <row r="572" spans="1:11" ht="13.2">
      <c r="A572" s="22"/>
      <c r="B572" s="16"/>
      <c r="C572" s="23"/>
      <c r="D572" s="24"/>
      <c r="E572" s="25"/>
      <c r="F572" s="26"/>
      <c r="G572" s="27"/>
      <c r="H572" s="20"/>
      <c r="I572" s="21"/>
      <c r="J572" s="28"/>
      <c r="K572" s="19"/>
    </row>
    <row r="573" spans="1:11" ht="13.2">
      <c r="A573" s="22"/>
      <c r="B573" s="16"/>
      <c r="C573" s="23"/>
      <c r="D573" s="24"/>
      <c r="E573" s="25"/>
      <c r="F573" s="26"/>
      <c r="G573" s="27"/>
      <c r="H573" s="20"/>
      <c r="I573" s="21"/>
      <c r="J573" s="28"/>
      <c r="K573" s="19"/>
    </row>
    <row r="574" spans="1:11" ht="13.2">
      <c r="A574" s="22"/>
      <c r="B574" s="16"/>
      <c r="C574" s="23"/>
      <c r="D574" s="24"/>
      <c r="E574" s="25"/>
      <c r="F574" s="26"/>
      <c r="G574" s="27"/>
      <c r="H574" s="20"/>
      <c r="I574" s="21"/>
      <c r="J574" s="28"/>
      <c r="K574" s="19"/>
    </row>
    <row r="575" spans="1:11" ht="13.2">
      <c r="A575" s="22"/>
      <c r="B575" s="16"/>
      <c r="C575" s="23"/>
      <c r="D575" s="24"/>
      <c r="E575" s="25"/>
      <c r="F575" s="26"/>
      <c r="G575" s="27"/>
      <c r="H575" s="20"/>
      <c r="I575" s="21"/>
      <c r="J575" s="28"/>
      <c r="K575" s="19"/>
    </row>
    <row r="576" spans="1:11" ht="13.2">
      <c r="A576" s="22"/>
      <c r="B576" s="16"/>
      <c r="C576" s="23"/>
      <c r="D576" s="24"/>
      <c r="E576" s="25"/>
      <c r="F576" s="26"/>
      <c r="G576" s="27"/>
      <c r="H576" s="20"/>
      <c r="I576" s="21"/>
      <c r="J576" s="28"/>
      <c r="K576" s="19"/>
    </row>
    <row r="577" spans="1:11" ht="13.2">
      <c r="A577" s="22"/>
      <c r="B577" s="16"/>
      <c r="C577" s="23"/>
      <c r="D577" s="24"/>
      <c r="E577" s="25"/>
      <c r="F577" s="26"/>
      <c r="G577" s="27"/>
      <c r="H577" s="20"/>
      <c r="I577" s="21"/>
      <c r="J577" s="28"/>
      <c r="K577" s="19"/>
    </row>
    <row r="578" spans="1:11" ht="13.2">
      <c r="A578" s="22"/>
      <c r="B578" s="16"/>
      <c r="C578" s="23"/>
      <c r="D578" s="24"/>
      <c r="E578" s="25"/>
      <c r="F578" s="26"/>
      <c r="G578" s="27"/>
      <c r="H578" s="20"/>
      <c r="I578" s="21"/>
      <c r="J578" s="28"/>
      <c r="K578" s="19"/>
    </row>
    <row r="579" spans="1:11" ht="13.2">
      <c r="A579" s="22"/>
      <c r="B579" s="16"/>
      <c r="C579" s="23"/>
      <c r="D579" s="24"/>
      <c r="E579" s="25"/>
      <c r="F579" s="26"/>
      <c r="G579" s="27"/>
      <c r="H579" s="20"/>
      <c r="I579" s="21"/>
      <c r="J579" s="28"/>
      <c r="K579" s="19"/>
    </row>
    <row r="580" spans="1:11" ht="13.2">
      <c r="A580" s="22"/>
      <c r="B580" s="16"/>
      <c r="C580" s="23"/>
      <c r="D580" s="24"/>
      <c r="E580" s="25"/>
      <c r="F580" s="26"/>
      <c r="G580" s="27"/>
      <c r="H580" s="20"/>
      <c r="I580" s="21"/>
      <c r="J580" s="28"/>
      <c r="K580" s="19"/>
    </row>
    <row r="581" spans="1:11" ht="13.2">
      <c r="A581" s="22"/>
      <c r="B581" s="16"/>
      <c r="C581" s="23"/>
      <c r="D581" s="24"/>
      <c r="E581" s="25"/>
      <c r="F581" s="26"/>
      <c r="G581" s="27"/>
      <c r="H581" s="20"/>
      <c r="I581" s="21"/>
      <c r="J581" s="28"/>
      <c r="K581" s="19"/>
    </row>
    <row r="582" spans="1:11" ht="13.2">
      <c r="A582" s="22"/>
      <c r="B582" s="16"/>
      <c r="C582" s="23"/>
      <c r="D582" s="24"/>
      <c r="E582" s="25"/>
      <c r="F582" s="26"/>
      <c r="G582" s="27"/>
      <c r="H582" s="20"/>
      <c r="I582" s="21"/>
      <c r="J582" s="28"/>
      <c r="K582" s="19"/>
    </row>
    <row r="583" spans="1:11" ht="13.2">
      <c r="A583" s="22"/>
      <c r="B583" s="16"/>
      <c r="C583" s="23"/>
      <c r="D583" s="24"/>
      <c r="E583" s="25"/>
      <c r="F583" s="26"/>
      <c r="G583" s="27"/>
      <c r="H583" s="20"/>
      <c r="I583" s="21"/>
      <c r="J583" s="28"/>
      <c r="K583" s="19"/>
    </row>
    <row r="584" spans="1:11" ht="13.2">
      <c r="A584" s="22"/>
      <c r="B584" s="16"/>
      <c r="C584" s="23"/>
      <c r="D584" s="24"/>
      <c r="E584" s="25"/>
      <c r="F584" s="26"/>
      <c r="G584" s="27"/>
      <c r="H584" s="20"/>
      <c r="I584" s="21"/>
      <c r="J584" s="28"/>
      <c r="K584" s="19"/>
    </row>
    <row r="585" spans="1:11" ht="13.2">
      <c r="A585" s="22"/>
      <c r="B585" s="16"/>
      <c r="C585" s="23"/>
      <c r="D585" s="24"/>
      <c r="E585" s="25"/>
      <c r="F585" s="26"/>
      <c r="G585" s="27"/>
      <c r="H585" s="20"/>
      <c r="I585" s="21"/>
      <c r="J585" s="28"/>
      <c r="K585" s="19"/>
    </row>
    <row r="586" spans="1:11" ht="13.2">
      <c r="A586" s="22"/>
      <c r="B586" s="16"/>
      <c r="C586" s="23"/>
      <c r="D586" s="24"/>
      <c r="E586" s="25"/>
      <c r="F586" s="26"/>
      <c r="G586" s="27"/>
      <c r="H586" s="20"/>
      <c r="I586" s="21"/>
      <c r="J586" s="28"/>
      <c r="K586" s="19"/>
    </row>
    <row r="587" spans="1:11" ht="13.2">
      <c r="A587" s="22"/>
      <c r="B587" s="16"/>
      <c r="C587" s="23"/>
      <c r="D587" s="24"/>
      <c r="E587" s="25"/>
      <c r="F587" s="26"/>
      <c r="G587" s="27"/>
      <c r="H587" s="20"/>
      <c r="I587" s="21"/>
      <c r="J587" s="28"/>
      <c r="K587" s="19"/>
    </row>
    <row r="588" spans="1:11" ht="13.2">
      <c r="A588" s="22"/>
      <c r="B588" s="16"/>
      <c r="C588" s="23"/>
      <c r="D588" s="24"/>
      <c r="E588" s="25"/>
      <c r="F588" s="26"/>
      <c r="G588" s="27"/>
      <c r="H588" s="20"/>
      <c r="I588" s="21"/>
      <c r="J588" s="28"/>
      <c r="K588" s="19"/>
    </row>
    <row r="589" spans="1:11" ht="13.2">
      <c r="A589" s="22"/>
      <c r="B589" s="16"/>
      <c r="C589" s="23"/>
      <c r="D589" s="24"/>
      <c r="E589" s="25"/>
      <c r="F589" s="26"/>
      <c r="G589" s="27"/>
      <c r="H589" s="20"/>
      <c r="I589" s="21"/>
      <c r="J589" s="28"/>
      <c r="K589" s="19"/>
    </row>
    <row r="590" spans="1:11" ht="13.2">
      <c r="A590" s="22"/>
      <c r="B590" s="16"/>
      <c r="C590" s="23"/>
      <c r="D590" s="24"/>
      <c r="E590" s="25"/>
      <c r="F590" s="26"/>
      <c r="G590" s="27"/>
      <c r="H590" s="20"/>
      <c r="I590" s="21"/>
      <c r="J590" s="28"/>
      <c r="K590" s="19"/>
    </row>
    <row r="591" spans="1:11" ht="13.2">
      <c r="A591" s="22"/>
      <c r="B591" s="16"/>
      <c r="C591" s="23"/>
      <c r="D591" s="24"/>
      <c r="E591" s="25"/>
      <c r="F591" s="26"/>
      <c r="G591" s="27"/>
      <c r="H591" s="20"/>
      <c r="I591" s="21"/>
      <c r="J591" s="28"/>
      <c r="K591" s="19"/>
    </row>
    <row r="592" spans="1:11" ht="13.2">
      <c r="A592" s="22"/>
      <c r="B592" s="16"/>
      <c r="C592" s="23"/>
      <c r="D592" s="24"/>
      <c r="E592" s="25"/>
      <c r="F592" s="26"/>
      <c r="G592" s="27"/>
      <c r="H592" s="20"/>
      <c r="I592" s="21"/>
      <c r="J592" s="28"/>
      <c r="K592" s="19"/>
    </row>
    <row r="593" spans="1:11" ht="13.2">
      <c r="A593" s="22"/>
      <c r="B593" s="16"/>
      <c r="C593" s="23"/>
      <c r="D593" s="24"/>
      <c r="E593" s="25"/>
      <c r="F593" s="26"/>
      <c r="G593" s="27"/>
      <c r="H593" s="20"/>
      <c r="I593" s="21"/>
      <c r="J593" s="28"/>
      <c r="K593" s="19"/>
    </row>
    <row r="594" spans="1:11" ht="13.2">
      <c r="A594" s="22"/>
      <c r="B594" s="16"/>
      <c r="C594" s="23"/>
      <c r="D594" s="24"/>
      <c r="E594" s="25"/>
      <c r="F594" s="26"/>
      <c r="G594" s="27"/>
      <c r="H594" s="20"/>
      <c r="I594" s="21"/>
      <c r="J594" s="28"/>
      <c r="K594" s="19"/>
    </row>
    <row r="595" spans="1:11" ht="13.2">
      <c r="A595" s="22"/>
      <c r="B595" s="16"/>
      <c r="C595" s="23"/>
      <c r="D595" s="24"/>
      <c r="E595" s="25"/>
      <c r="F595" s="26"/>
      <c r="G595" s="27"/>
      <c r="H595" s="20"/>
      <c r="I595" s="21"/>
      <c r="J595" s="28"/>
      <c r="K595" s="19"/>
    </row>
    <row r="596" spans="1:11" ht="13.2">
      <c r="A596" s="22"/>
      <c r="B596" s="16"/>
      <c r="C596" s="23"/>
      <c r="D596" s="24"/>
      <c r="E596" s="25"/>
      <c r="F596" s="26"/>
      <c r="G596" s="27"/>
      <c r="H596" s="20"/>
      <c r="I596" s="21"/>
      <c r="J596" s="28"/>
      <c r="K596" s="19"/>
    </row>
    <row r="597" spans="1:11" ht="13.2">
      <c r="A597" s="22"/>
      <c r="B597" s="16"/>
      <c r="C597" s="23"/>
      <c r="D597" s="24"/>
      <c r="E597" s="25"/>
      <c r="F597" s="26"/>
      <c r="G597" s="27"/>
      <c r="H597" s="20"/>
      <c r="I597" s="21"/>
      <c r="J597" s="28"/>
      <c r="K597" s="19"/>
    </row>
    <row r="598" spans="1:11" ht="13.2">
      <c r="A598" s="22"/>
      <c r="B598" s="16"/>
      <c r="C598" s="23"/>
      <c r="D598" s="24"/>
      <c r="E598" s="25"/>
      <c r="F598" s="26"/>
      <c r="G598" s="27"/>
      <c r="H598" s="20"/>
      <c r="I598" s="21"/>
      <c r="J598" s="28"/>
      <c r="K598" s="19"/>
    </row>
    <row r="599" spans="1:11" ht="13.2">
      <c r="A599" s="22"/>
      <c r="B599" s="16"/>
      <c r="C599" s="23"/>
      <c r="D599" s="24"/>
      <c r="E599" s="25"/>
      <c r="F599" s="26"/>
      <c r="G599" s="27"/>
      <c r="H599" s="20"/>
      <c r="I599" s="21"/>
      <c r="J599" s="28"/>
      <c r="K599" s="19"/>
    </row>
    <row r="600" spans="1:11" ht="13.2">
      <c r="A600" s="22"/>
      <c r="B600" s="16"/>
      <c r="C600" s="23"/>
      <c r="D600" s="24"/>
      <c r="E600" s="25"/>
      <c r="F600" s="26"/>
      <c r="G600" s="27"/>
      <c r="H600" s="20"/>
      <c r="I600" s="21"/>
      <c r="J600" s="28"/>
      <c r="K600" s="19"/>
    </row>
    <row r="601" spans="1:11" ht="13.2">
      <c r="A601" s="22"/>
      <c r="B601" s="16"/>
      <c r="C601" s="23"/>
      <c r="D601" s="24"/>
      <c r="E601" s="25"/>
      <c r="F601" s="26"/>
      <c r="G601" s="27"/>
      <c r="H601" s="20"/>
      <c r="I601" s="21"/>
      <c r="J601" s="28"/>
      <c r="K601" s="19"/>
    </row>
    <row r="602" spans="1:11" ht="13.2">
      <c r="A602" s="22"/>
      <c r="B602" s="16"/>
      <c r="C602" s="23"/>
      <c r="D602" s="24"/>
      <c r="E602" s="25"/>
      <c r="F602" s="26"/>
      <c r="G602" s="27"/>
      <c r="H602" s="20"/>
      <c r="I602" s="21"/>
      <c r="J602" s="28"/>
      <c r="K602" s="19"/>
    </row>
    <row r="603" spans="1:11" ht="13.2">
      <c r="A603" s="22"/>
      <c r="B603" s="16"/>
      <c r="C603" s="23"/>
      <c r="D603" s="24"/>
      <c r="E603" s="25"/>
      <c r="F603" s="26"/>
      <c r="G603" s="27"/>
      <c r="H603" s="20"/>
      <c r="I603" s="21"/>
      <c r="J603" s="28"/>
      <c r="K603" s="19"/>
    </row>
    <row r="604" spans="1:11" ht="13.2">
      <c r="A604" s="22"/>
      <c r="B604" s="16"/>
      <c r="C604" s="23"/>
      <c r="D604" s="24"/>
      <c r="E604" s="25"/>
      <c r="F604" s="26"/>
      <c r="G604" s="27"/>
      <c r="H604" s="20"/>
      <c r="I604" s="21"/>
      <c r="J604" s="28"/>
      <c r="K604" s="19"/>
    </row>
    <row r="605" spans="1:11" ht="13.2">
      <c r="A605" s="22"/>
      <c r="B605" s="16"/>
      <c r="C605" s="23"/>
      <c r="D605" s="24"/>
      <c r="E605" s="25"/>
      <c r="F605" s="26"/>
      <c r="G605" s="27"/>
      <c r="H605" s="20"/>
      <c r="I605" s="21"/>
      <c r="J605" s="28"/>
      <c r="K605" s="19"/>
    </row>
    <row r="606" spans="1:11" ht="13.2">
      <c r="A606" s="22"/>
      <c r="B606" s="16"/>
      <c r="C606" s="23"/>
      <c r="D606" s="24"/>
      <c r="E606" s="25"/>
      <c r="F606" s="26"/>
      <c r="G606" s="27"/>
      <c r="H606" s="20"/>
      <c r="I606" s="21"/>
      <c r="J606" s="28"/>
      <c r="K606" s="19"/>
    </row>
    <row r="607" spans="1:11" ht="13.2">
      <c r="A607" s="22"/>
      <c r="B607" s="16"/>
      <c r="C607" s="23"/>
      <c r="D607" s="24"/>
      <c r="E607" s="25"/>
      <c r="F607" s="26"/>
      <c r="G607" s="27"/>
      <c r="H607" s="20"/>
      <c r="I607" s="21"/>
      <c r="J607" s="28"/>
      <c r="K607" s="19"/>
    </row>
    <row r="608" spans="1:11" ht="13.2">
      <c r="A608" s="22"/>
      <c r="B608" s="16"/>
      <c r="C608" s="23"/>
      <c r="D608" s="24"/>
      <c r="E608" s="25"/>
      <c r="F608" s="26"/>
      <c r="G608" s="27"/>
      <c r="H608" s="20"/>
      <c r="I608" s="21"/>
      <c r="J608" s="28"/>
      <c r="K608" s="19"/>
    </row>
    <row r="609" spans="1:11" ht="13.2">
      <c r="A609" s="22"/>
      <c r="B609" s="16"/>
      <c r="C609" s="23"/>
      <c r="D609" s="24"/>
      <c r="E609" s="25"/>
      <c r="F609" s="26"/>
      <c r="G609" s="27"/>
      <c r="H609" s="20"/>
      <c r="I609" s="21"/>
      <c r="J609" s="28"/>
      <c r="K609" s="19"/>
    </row>
    <row r="610" spans="1:11" ht="13.2">
      <c r="A610" s="22"/>
      <c r="B610" s="16"/>
      <c r="C610" s="23"/>
      <c r="D610" s="24"/>
      <c r="E610" s="25"/>
      <c r="F610" s="26"/>
      <c r="G610" s="27"/>
      <c r="H610" s="20"/>
      <c r="I610" s="21"/>
      <c r="J610" s="28"/>
      <c r="K610" s="19"/>
    </row>
    <row r="611" spans="1:11" ht="13.2">
      <c r="A611" s="22"/>
      <c r="B611" s="16"/>
      <c r="C611" s="23"/>
      <c r="D611" s="24"/>
      <c r="E611" s="25"/>
      <c r="F611" s="26"/>
      <c r="G611" s="27"/>
      <c r="H611" s="20"/>
      <c r="I611" s="21"/>
      <c r="J611" s="28"/>
      <c r="K611" s="19"/>
    </row>
    <row r="612" spans="1:11" ht="13.2">
      <c r="A612" s="22"/>
      <c r="B612" s="16"/>
      <c r="C612" s="23"/>
      <c r="D612" s="24"/>
      <c r="E612" s="25"/>
      <c r="F612" s="26"/>
      <c r="G612" s="27"/>
      <c r="H612" s="20"/>
      <c r="I612" s="21"/>
      <c r="J612" s="28"/>
      <c r="K612" s="19"/>
    </row>
    <row r="613" spans="1:11" ht="13.2">
      <c r="A613" s="22"/>
      <c r="B613" s="16"/>
      <c r="C613" s="23"/>
      <c r="D613" s="24"/>
      <c r="E613" s="25"/>
      <c r="F613" s="26"/>
      <c r="G613" s="27"/>
      <c r="H613" s="20"/>
      <c r="I613" s="21"/>
      <c r="J613" s="28"/>
      <c r="K613" s="19"/>
    </row>
    <row r="614" spans="1:11" ht="13.2">
      <c r="A614" s="22"/>
      <c r="B614" s="16"/>
      <c r="C614" s="23"/>
      <c r="D614" s="24"/>
      <c r="E614" s="25"/>
      <c r="F614" s="26"/>
      <c r="G614" s="27"/>
      <c r="H614" s="20"/>
      <c r="I614" s="21"/>
      <c r="J614" s="28"/>
      <c r="K614" s="19"/>
    </row>
    <row r="615" spans="1:11" ht="13.2">
      <c r="A615" s="22"/>
      <c r="B615" s="16"/>
      <c r="C615" s="23"/>
      <c r="D615" s="24"/>
      <c r="E615" s="25"/>
      <c r="F615" s="26"/>
      <c r="G615" s="27"/>
      <c r="H615" s="20"/>
      <c r="I615" s="21"/>
      <c r="J615" s="28"/>
      <c r="K615" s="19"/>
    </row>
    <row r="616" spans="1:11" ht="13.2">
      <c r="A616" s="22"/>
      <c r="B616" s="16"/>
      <c r="C616" s="23"/>
      <c r="D616" s="24"/>
      <c r="E616" s="25"/>
      <c r="F616" s="26"/>
      <c r="G616" s="27"/>
      <c r="H616" s="20"/>
      <c r="I616" s="21"/>
      <c r="J616" s="28"/>
      <c r="K616" s="19"/>
    </row>
    <row r="617" spans="1:11" ht="13.2">
      <c r="A617" s="22"/>
      <c r="B617" s="16"/>
      <c r="C617" s="23"/>
      <c r="D617" s="24"/>
      <c r="E617" s="25"/>
      <c r="F617" s="26"/>
      <c r="G617" s="27"/>
      <c r="H617" s="20"/>
      <c r="I617" s="21"/>
      <c r="J617" s="28"/>
      <c r="K617" s="19"/>
    </row>
    <row r="618" spans="1:11" ht="13.2">
      <c r="A618" s="22"/>
      <c r="B618" s="16"/>
      <c r="C618" s="23"/>
      <c r="D618" s="24"/>
      <c r="E618" s="25"/>
      <c r="F618" s="26"/>
      <c r="G618" s="27"/>
      <c r="H618" s="20"/>
      <c r="I618" s="21"/>
      <c r="J618" s="28"/>
      <c r="K618" s="19"/>
    </row>
    <row r="619" spans="1:11" ht="13.2">
      <c r="A619" s="22"/>
      <c r="B619" s="16"/>
      <c r="C619" s="23"/>
      <c r="D619" s="24"/>
      <c r="E619" s="25"/>
      <c r="F619" s="26"/>
      <c r="G619" s="27"/>
      <c r="H619" s="20"/>
      <c r="I619" s="21"/>
      <c r="J619" s="28"/>
      <c r="K619" s="19"/>
    </row>
    <row r="620" spans="1:11" ht="13.2">
      <c r="A620" s="22"/>
      <c r="B620" s="16"/>
      <c r="C620" s="23"/>
      <c r="D620" s="24"/>
      <c r="E620" s="25"/>
      <c r="F620" s="26"/>
      <c r="G620" s="27"/>
      <c r="H620" s="20"/>
      <c r="I620" s="21"/>
      <c r="J620" s="28"/>
      <c r="K620" s="19"/>
    </row>
    <row r="621" spans="1:11" ht="13.2">
      <c r="A621" s="22"/>
      <c r="B621" s="16"/>
      <c r="C621" s="23"/>
      <c r="D621" s="24"/>
      <c r="E621" s="25"/>
      <c r="F621" s="26"/>
      <c r="G621" s="27"/>
      <c r="H621" s="20"/>
      <c r="I621" s="21"/>
      <c r="J621" s="28"/>
      <c r="K621" s="19"/>
    </row>
    <row r="622" spans="1:11" ht="13.2">
      <c r="A622" s="22"/>
      <c r="B622" s="16"/>
      <c r="C622" s="23"/>
      <c r="D622" s="24"/>
      <c r="E622" s="25"/>
      <c r="F622" s="26"/>
      <c r="G622" s="27"/>
      <c r="H622" s="20"/>
      <c r="I622" s="21"/>
      <c r="J622" s="28"/>
      <c r="K622" s="19"/>
    </row>
    <row r="623" spans="1:11" ht="13.2">
      <c r="A623" s="22"/>
      <c r="B623" s="16"/>
      <c r="C623" s="23"/>
      <c r="D623" s="24"/>
      <c r="E623" s="25"/>
      <c r="F623" s="26"/>
      <c r="G623" s="27"/>
      <c r="H623" s="20"/>
      <c r="I623" s="21"/>
      <c r="J623" s="28"/>
      <c r="K623" s="19"/>
    </row>
    <row r="624" spans="1:11" ht="13.2">
      <c r="A624" s="22"/>
      <c r="B624" s="16"/>
      <c r="C624" s="23"/>
      <c r="D624" s="24"/>
      <c r="E624" s="25"/>
      <c r="F624" s="26"/>
      <c r="G624" s="27"/>
      <c r="H624" s="20"/>
      <c r="I624" s="21"/>
      <c r="J624" s="28"/>
      <c r="K624" s="19"/>
    </row>
    <row r="625" spans="1:11" ht="13.2">
      <c r="A625" s="22"/>
      <c r="B625" s="16"/>
      <c r="C625" s="23"/>
      <c r="D625" s="24"/>
      <c r="E625" s="25"/>
      <c r="F625" s="26"/>
      <c r="G625" s="27"/>
      <c r="H625" s="20"/>
      <c r="I625" s="21"/>
      <c r="J625" s="28"/>
      <c r="K625" s="19"/>
    </row>
    <row r="626" spans="1:11" ht="13.2">
      <c r="A626" s="22"/>
      <c r="B626" s="16"/>
      <c r="C626" s="23"/>
      <c r="D626" s="24"/>
      <c r="E626" s="25"/>
      <c r="F626" s="26"/>
      <c r="G626" s="27"/>
      <c r="H626" s="20"/>
      <c r="I626" s="21"/>
      <c r="J626" s="28"/>
      <c r="K626" s="19"/>
    </row>
    <row r="627" spans="1:11" ht="13.2">
      <c r="A627" s="22"/>
      <c r="B627" s="16"/>
      <c r="C627" s="23"/>
      <c r="D627" s="24"/>
      <c r="E627" s="25"/>
      <c r="F627" s="26"/>
      <c r="G627" s="27"/>
      <c r="H627" s="20"/>
      <c r="I627" s="21"/>
      <c r="J627" s="28"/>
      <c r="K627" s="19"/>
    </row>
    <row r="628" spans="1:11" ht="13.2">
      <c r="A628" s="22"/>
      <c r="B628" s="16"/>
      <c r="C628" s="23"/>
      <c r="D628" s="24"/>
      <c r="E628" s="25"/>
      <c r="F628" s="26"/>
      <c r="G628" s="27"/>
      <c r="H628" s="20"/>
      <c r="I628" s="21"/>
      <c r="J628" s="28"/>
      <c r="K628" s="19"/>
    </row>
    <row r="629" spans="1:11" ht="13.2">
      <c r="A629" s="22"/>
      <c r="B629" s="16"/>
      <c r="C629" s="23"/>
      <c r="D629" s="24"/>
      <c r="E629" s="25"/>
      <c r="F629" s="26"/>
      <c r="G629" s="27"/>
      <c r="H629" s="20"/>
      <c r="I629" s="21"/>
      <c r="J629" s="28"/>
      <c r="K629" s="19"/>
    </row>
    <row r="630" spans="1:11" ht="13.2">
      <c r="A630" s="22"/>
      <c r="B630" s="16"/>
      <c r="C630" s="23"/>
      <c r="D630" s="24"/>
      <c r="E630" s="25"/>
      <c r="F630" s="26"/>
      <c r="G630" s="27"/>
      <c r="H630" s="20"/>
      <c r="I630" s="21"/>
      <c r="J630" s="28"/>
      <c r="K630" s="19"/>
    </row>
    <row r="631" spans="1:11" ht="13.2">
      <c r="A631" s="22"/>
      <c r="B631" s="16"/>
      <c r="C631" s="23"/>
      <c r="D631" s="24"/>
      <c r="E631" s="25"/>
      <c r="F631" s="26"/>
      <c r="G631" s="27"/>
      <c r="H631" s="20"/>
      <c r="I631" s="21"/>
      <c r="J631" s="28"/>
      <c r="K631" s="19"/>
    </row>
    <row r="632" spans="1:11" ht="13.2">
      <c r="A632" s="22"/>
      <c r="B632" s="16"/>
      <c r="C632" s="23"/>
      <c r="D632" s="24"/>
      <c r="E632" s="25"/>
      <c r="F632" s="26"/>
      <c r="G632" s="27"/>
      <c r="H632" s="20"/>
      <c r="I632" s="21"/>
      <c r="J632" s="28"/>
      <c r="K632" s="19"/>
    </row>
    <row r="633" spans="1:11" ht="13.2">
      <c r="A633" s="22"/>
      <c r="B633" s="16"/>
      <c r="C633" s="23"/>
      <c r="D633" s="24"/>
      <c r="E633" s="25"/>
      <c r="F633" s="26"/>
      <c r="G633" s="27"/>
      <c r="H633" s="20"/>
      <c r="I633" s="21"/>
      <c r="J633" s="28"/>
      <c r="K633" s="19"/>
    </row>
    <row r="634" spans="1:11" ht="13.2">
      <c r="A634" s="22"/>
      <c r="B634" s="16"/>
      <c r="C634" s="23"/>
      <c r="D634" s="24"/>
      <c r="E634" s="25"/>
      <c r="F634" s="26"/>
      <c r="G634" s="27"/>
      <c r="H634" s="20"/>
      <c r="I634" s="21"/>
      <c r="J634" s="28"/>
      <c r="K634" s="19"/>
    </row>
    <row r="635" spans="1:11" ht="13.2">
      <c r="A635" s="22"/>
      <c r="B635" s="16"/>
      <c r="C635" s="23"/>
      <c r="D635" s="24"/>
      <c r="E635" s="25"/>
      <c r="F635" s="26"/>
      <c r="G635" s="27"/>
      <c r="H635" s="20"/>
      <c r="I635" s="21"/>
      <c r="J635" s="28"/>
      <c r="K635" s="19"/>
    </row>
    <row r="636" spans="1:11" ht="13.2">
      <c r="A636" s="22"/>
      <c r="B636" s="16"/>
      <c r="C636" s="23"/>
      <c r="D636" s="24"/>
      <c r="E636" s="25"/>
      <c r="F636" s="26"/>
      <c r="G636" s="27"/>
      <c r="H636" s="20"/>
      <c r="I636" s="21"/>
      <c r="J636" s="28"/>
      <c r="K636" s="19"/>
    </row>
    <row r="637" spans="1:11" ht="13.2">
      <c r="A637" s="22"/>
      <c r="B637" s="16"/>
      <c r="C637" s="23"/>
      <c r="D637" s="24"/>
      <c r="E637" s="25"/>
      <c r="F637" s="26"/>
      <c r="G637" s="27"/>
      <c r="H637" s="20"/>
      <c r="I637" s="21"/>
      <c r="J637" s="28"/>
      <c r="K637" s="19"/>
    </row>
    <row r="638" spans="1:11" ht="13.2">
      <c r="A638" s="22"/>
      <c r="B638" s="16"/>
      <c r="C638" s="23"/>
      <c r="D638" s="24"/>
      <c r="E638" s="25"/>
      <c r="F638" s="26"/>
      <c r="G638" s="27"/>
      <c r="H638" s="20"/>
      <c r="I638" s="21"/>
      <c r="J638" s="28"/>
      <c r="K638" s="19"/>
    </row>
    <row r="639" spans="1:11" ht="13.2">
      <c r="A639" s="22"/>
      <c r="B639" s="16"/>
      <c r="C639" s="23"/>
      <c r="D639" s="24"/>
      <c r="E639" s="25"/>
      <c r="F639" s="26"/>
      <c r="G639" s="27"/>
      <c r="H639" s="20"/>
      <c r="I639" s="21"/>
      <c r="J639" s="28"/>
      <c r="K639" s="19"/>
    </row>
    <row r="640" spans="1:11" ht="13.2">
      <c r="A640" s="22"/>
      <c r="B640" s="16"/>
      <c r="C640" s="23"/>
      <c r="D640" s="24"/>
      <c r="E640" s="25"/>
      <c r="F640" s="26"/>
      <c r="G640" s="27"/>
      <c r="H640" s="20"/>
      <c r="I640" s="21"/>
      <c r="J640" s="28"/>
      <c r="K640" s="19"/>
    </row>
    <row r="641" spans="1:11" ht="13.2">
      <c r="A641" s="22"/>
      <c r="B641" s="16"/>
      <c r="C641" s="23"/>
      <c r="D641" s="24"/>
      <c r="E641" s="25"/>
      <c r="F641" s="26"/>
      <c r="G641" s="27"/>
      <c r="H641" s="20"/>
      <c r="I641" s="21"/>
      <c r="J641" s="28"/>
      <c r="K641" s="19"/>
    </row>
    <row r="642" spans="1:11" ht="13.2">
      <c r="A642" s="22"/>
      <c r="B642" s="16"/>
      <c r="C642" s="23"/>
      <c r="D642" s="24"/>
      <c r="E642" s="25"/>
      <c r="F642" s="26"/>
      <c r="G642" s="27"/>
      <c r="H642" s="20"/>
      <c r="I642" s="21"/>
      <c r="J642" s="28"/>
      <c r="K642" s="19"/>
    </row>
    <row r="643" spans="1:11" ht="13.2">
      <c r="A643" s="22"/>
      <c r="B643" s="16"/>
      <c r="C643" s="23"/>
      <c r="D643" s="24"/>
      <c r="E643" s="25"/>
      <c r="F643" s="26"/>
      <c r="G643" s="27"/>
      <c r="H643" s="20"/>
      <c r="I643" s="21"/>
      <c r="J643" s="28"/>
      <c r="K643" s="19"/>
    </row>
    <row r="644" spans="1:11" ht="13.2">
      <c r="A644" s="22"/>
      <c r="B644" s="16"/>
      <c r="C644" s="23"/>
      <c r="D644" s="24"/>
      <c r="E644" s="25"/>
      <c r="F644" s="26"/>
      <c r="G644" s="27"/>
      <c r="H644" s="20"/>
      <c r="I644" s="21"/>
      <c r="J644" s="28"/>
      <c r="K644" s="19"/>
    </row>
    <row r="645" spans="1:11" ht="13.2">
      <c r="A645" s="22"/>
      <c r="B645" s="16"/>
      <c r="C645" s="23"/>
      <c r="D645" s="24"/>
      <c r="E645" s="25"/>
      <c r="F645" s="26"/>
      <c r="G645" s="27"/>
      <c r="H645" s="20"/>
      <c r="I645" s="21"/>
      <c r="J645" s="28"/>
      <c r="K645" s="19"/>
    </row>
    <row r="646" spans="1:11" ht="13.2">
      <c r="A646" s="22"/>
      <c r="B646" s="16"/>
      <c r="C646" s="23"/>
      <c r="D646" s="24"/>
      <c r="E646" s="25"/>
      <c r="F646" s="26"/>
      <c r="G646" s="27"/>
      <c r="H646" s="20"/>
      <c r="I646" s="21"/>
      <c r="J646" s="28"/>
      <c r="K646" s="19"/>
    </row>
    <row r="647" spans="1:11" ht="13.2">
      <c r="A647" s="22"/>
      <c r="B647" s="16"/>
      <c r="C647" s="23"/>
      <c r="D647" s="24"/>
      <c r="E647" s="25"/>
      <c r="F647" s="26"/>
      <c r="G647" s="27"/>
      <c r="H647" s="20"/>
      <c r="I647" s="21"/>
      <c r="J647" s="28"/>
      <c r="K647" s="19"/>
    </row>
    <row r="648" spans="1:11" ht="13.2">
      <c r="A648" s="22"/>
      <c r="B648" s="16"/>
      <c r="C648" s="23"/>
      <c r="D648" s="24"/>
      <c r="E648" s="25"/>
      <c r="F648" s="26"/>
      <c r="G648" s="27"/>
      <c r="H648" s="20"/>
      <c r="I648" s="21"/>
      <c r="J648" s="28"/>
      <c r="K648" s="19"/>
    </row>
    <row r="649" spans="1:11" ht="13.2">
      <c r="A649" s="22"/>
      <c r="B649" s="16"/>
      <c r="C649" s="23"/>
      <c r="D649" s="24"/>
      <c r="E649" s="25"/>
      <c r="F649" s="26"/>
      <c r="G649" s="27"/>
      <c r="H649" s="20"/>
      <c r="I649" s="21"/>
      <c r="J649" s="28"/>
      <c r="K649" s="19"/>
    </row>
    <row r="650" spans="1:11" ht="13.2">
      <c r="A650" s="22"/>
      <c r="B650" s="16"/>
      <c r="C650" s="23"/>
      <c r="D650" s="24"/>
      <c r="E650" s="25"/>
      <c r="F650" s="26"/>
      <c r="G650" s="27"/>
      <c r="H650" s="20"/>
      <c r="I650" s="21"/>
      <c r="J650" s="28"/>
      <c r="K650" s="19"/>
    </row>
    <row r="651" spans="1:11" ht="13.2">
      <c r="A651" s="22"/>
      <c r="B651" s="16"/>
      <c r="C651" s="23"/>
      <c r="D651" s="24"/>
      <c r="E651" s="25"/>
      <c r="F651" s="26"/>
      <c r="G651" s="27"/>
      <c r="H651" s="20"/>
      <c r="I651" s="21"/>
      <c r="J651" s="28"/>
      <c r="K651" s="19"/>
    </row>
    <row r="652" spans="1:11" ht="13.2">
      <c r="A652" s="22"/>
      <c r="B652" s="16"/>
      <c r="C652" s="23"/>
      <c r="D652" s="24"/>
      <c r="E652" s="25"/>
      <c r="F652" s="26"/>
      <c r="G652" s="27"/>
      <c r="H652" s="20"/>
      <c r="I652" s="21"/>
      <c r="J652" s="28"/>
      <c r="K652" s="19"/>
    </row>
    <row r="653" spans="1:11" ht="13.2">
      <c r="A653" s="22"/>
      <c r="B653" s="16"/>
      <c r="C653" s="23"/>
      <c r="D653" s="24"/>
      <c r="E653" s="25"/>
      <c r="F653" s="26"/>
      <c r="G653" s="27"/>
      <c r="H653" s="20"/>
      <c r="I653" s="21"/>
      <c r="J653" s="28"/>
      <c r="K653" s="19"/>
    </row>
    <row r="654" spans="1:11" ht="13.2">
      <c r="A654" s="22"/>
      <c r="B654" s="16"/>
      <c r="C654" s="23"/>
      <c r="D654" s="24"/>
      <c r="E654" s="25"/>
      <c r="F654" s="26"/>
      <c r="G654" s="27"/>
      <c r="H654" s="20"/>
      <c r="I654" s="21"/>
      <c r="J654" s="28"/>
      <c r="K654" s="19"/>
    </row>
    <row r="655" spans="1:11" ht="13.2">
      <c r="A655" s="22"/>
      <c r="B655" s="16"/>
      <c r="C655" s="23"/>
      <c r="D655" s="24"/>
      <c r="E655" s="25"/>
      <c r="F655" s="26"/>
      <c r="G655" s="27"/>
      <c r="H655" s="20"/>
      <c r="I655" s="21"/>
      <c r="J655" s="28"/>
      <c r="K655" s="19"/>
    </row>
    <row r="656" spans="1:11" ht="13.2">
      <c r="A656" s="22"/>
      <c r="B656" s="16"/>
      <c r="C656" s="23"/>
      <c r="D656" s="24"/>
      <c r="E656" s="25"/>
      <c r="F656" s="26"/>
      <c r="G656" s="27"/>
      <c r="H656" s="20"/>
      <c r="I656" s="21"/>
      <c r="J656" s="28"/>
      <c r="K656" s="19"/>
    </row>
    <row r="657" spans="1:11" ht="13.2">
      <c r="A657" s="22"/>
      <c r="B657" s="16"/>
      <c r="C657" s="23"/>
      <c r="D657" s="24"/>
      <c r="E657" s="25"/>
      <c r="F657" s="26"/>
      <c r="G657" s="27"/>
      <c r="H657" s="20"/>
      <c r="I657" s="21"/>
      <c r="J657" s="28"/>
      <c r="K657" s="19"/>
    </row>
    <row r="658" spans="1:11" ht="13.2">
      <c r="A658" s="22"/>
      <c r="B658" s="16"/>
      <c r="C658" s="23"/>
      <c r="D658" s="24"/>
      <c r="E658" s="25"/>
      <c r="F658" s="26"/>
      <c r="G658" s="27"/>
      <c r="H658" s="20"/>
      <c r="I658" s="21"/>
      <c r="J658" s="28"/>
      <c r="K658" s="19"/>
    </row>
    <row r="659" spans="1:11" ht="13.2">
      <c r="A659" s="22"/>
      <c r="B659" s="16"/>
      <c r="C659" s="23"/>
      <c r="D659" s="24"/>
      <c r="E659" s="25"/>
      <c r="F659" s="26"/>
      <c r="G659" s="27"/>
      <c r="H659" s="20"/>
      <c r="I659" s="21"/>
      <c r="J659" s="28"/>
      <c r="K659" s="19"/>
    </row>
    <row r="660" spans="1:11" ht="13.2">
      <c r="A660" s="22"/>
      <c r="B660" s="16"/>
      <c r="C660" s="23"/>
      <c r="D660" s="24"/>
      <c r="E660" s="25"/>
      <c r="F660" s="26"/>
      <c r="G660" s="27"/>
      <c r="H660" s="20"/>
      <c r="I660" s="21"/>
      <c r="J660" s="28"/>
      <c r="K660" s="19"/>
    </row>
    <row r="661" spans="1:11" ht="13.2">
      <c r="A661" s="22"/>
      <c r="B661" s="16"/>
      <c r="C661" s="23"/>
      <c r="D661" s="24"/>
      <c r="E661" s="25"/>
      <c r="F661" s="26"/>
      <c r="G661" s="27"/>
      <c r="H661" s="20"/>
      <c r="I661" s="21"/>
      <c r="J661" s="28"/>
      <c r="K661" s="19"/>
    </row>
    <row r="662" spans="1:11" ht="13.2">
      <c r="A662" s="22"/>
      <c r="B662" s="16"/>
      <c r="C662" s="23"/>
      <c r="D662" s="24"/>
      <c r="E662" s="25"/>
      <c r="F662" s="26"/>
      <c r="G662" s="27"/>
      <c r="H662" s="20"/>
      <c r="I662" s="21"/>
      <c r="J662" s="28"/>
      <c r="K662" s="19"/>
    </row>
    <row r="663" spans="1:11" ht="13.2">
      <c r="A663" s="22"/>
      <c r="B663" s="16"/>
      <c r="C663" s="23"/>
      <c r="D663" s="24"/>
      <c r="E663" s="25"/>
      <c r="F663" s="26"/>
      <c r="G663" s="27"/>
      <c r="H663" s="20"/>
      <c r="I663" s="21"/>
      <c r="J663" s="28"/>
      <c r="K663" s="19"/>
    </row>
    <row r="664" spans="1:11" ht="13.2">
      <c r="A664" s="22"/>
      <c r="B664" s="16"/>
      <c r="C664" s="23"/>
      <c r="D664" s="24"/>
      <c r="E664" s="25"/>
      <c r="F664" s="26"/>
      <c r="G664" s="27"/>
      <c r="H664" s="20"/>
      <c r="I664" s="21"/>
      <c r="J664" s="28"/>
      <c r="K664" s="19"/>
    </row>
    <row r="665" spans="1:11" ht="13.2">
      <c r="A665" s="22"/>
      <c r="B665" s="16"/>
      <c r="C665" s="23"/>
      <c r="D665" s="24"/>
      <c r="E665" s="25"/>
      <c r="F665" s="26"/>
      <c r="G665" s="27"/>
      <c r="H665" s="20"/>
      <c r="I665" s="21"/>
      <c r="J665" s="28"/>
      <c r="K665" s="19"/>
    </row>
    <row r="666" spans="1:11" ht="13.2">
      <c r="A666" s="22"/>
      <c r="B666" s="16"/>
      <c r="C666" s="23"/>
      <c r="D666" s="24"/>
      <c r="E666" s="25"/>
      <c r="F666" s="26"/>
      <c r="G666" s="27"/>
      <c r="H666" s="20"/>
      <c r="I666" s="21"/>
      <c r="J666" s="28"/>
      <c r="K666" s="19"/>
    </row>
    <row r="667" spans="1:11" ht="13.2">
      <c r="A667" s="22"/>
      <c r="B667" s="16"/>
      <c r="C667" s="23"/>
      <c r="D667" s="24"/>
      <c r="E667" s="25"/>
      <c r="F667" s="26"/>
      <c r="G667" s="27"/>
      <c r="H667" s="20"/>
      <c r="I667" s="21"/>
      <c r="J667" s="28"/>
      <c r="K667" s="19"/>
    </row>
    <row r="668" spans="1:11" ht="13.2">
      <c r="A668" s="22"/>
      <c r="B668" s="16"/>
      <c r="C668" s="23"/>
      <c r="D668" s="24"/>
      <c r="E668" s="25"/>
      <c r="F668" s="26"/>
      <c r="G668" s="27"/>
      <c r="H668" s="20"/>
      <c r="I668" s="21"/>
      <c r="J668" s="28"/>
      <c r="K668" s="19"/>
    </row>
    <row r="669" spans="1:11" ht="13.2">
      <c r="A669" s="22"/>
      <c r="B669" s="16"/>
      <c r="C669" s="23"/>
      <c r="D669" s="24"/>
      <c r="E669" s="25"/>
      <c r="F669" s="26"/>
      <c r="G669" s="27"/>
      <c r="H669" s="20"/>
      <c r="I669" s="21"/>
      <c r="J669" s="28"/>
      <c r="K669" s="19"/>
    </row>
    <row r="670" spans="1:11" ht="13.2">
      <c r="A670" s="22"/>
      <c r="B670" s="16"/>
      <c r="C670" s="23"/>
      <c r="D670" s="24"/>
      <c r="E670" s="25"/>
      <c r="F670" s="26"/>
      <c r="G670" s="27"/>
      <c r="H670" s="20"/>
      <c r="I670" s="21"/>
      <c r="J670" s="28"/>
      <c r="K670" s="19"/>
    </row>
    <row r="671" spans="1:11" ht="13.2">
      <c r="A671" s="22"/>
      <c r="B671" s="16"/>
      <c r="C671" s="23"/>
      <c r="D671" s="24"/>
      <c r="E671" s="25"/>
      <c r="F671" s="26"/>
      <c r="G671" s="27"/>
      <c r="H671" s="20"/>
      <c r="I671" s="21"/>
      <c r="J671" s="28"/>
      <c r="K671" s="19"/>
    </row>
    <row r="672" spans="1:11" ht="13.2">
      <c r="A672" s="22"/>
      <c r="B672" s="16"/>
      <c r="C672" s="23"/>
      <c r="D672" s="24"/>
      <c r="E672" s="25"/>
      <c r="F672" s="26"/>
      <c r="G672" s="27"/>
      <c r="H672" s="20"/>
      <c r="I672" s="21"/>
      <c r="J672" s="28"/>
      <c r="K672" s="19"/>
    </row>
    <row r="673" spans="1:11" ht="13.2">
      <c r="A673" s="22"/>
      <c r="B673" s="16"/>
      <c r="C673" s="23"/>
      <c r="D673" s="24"/>
      <c r="E673" s="25"/>
      <c r="F673" s="26"/>
      <c r="G673" s="27"/>
      <c r="H673" s="20"/>
      <c r="I673" s="21"/>
      <c r="J673" s="28"/>
      <c r="K673" s="19"/>
    </row>
    <row r="674" spans="1:11" ht="13.2">
      <c r="A674" s="22"/>
      <c r="B674" s="16"/>
      <c r="C674" s="23"/>
      <c r="D674" s="24"/>
      <c r="E674" s="25"/>
      <c r="F674" s="26"/>
      <c r="G674" s="27"/>
      <c r="H674" s="20"/>
      <c r="I674" s="21"/>
      <c r="J674" s="28"/>
      <c r="K674" s="19"/>
    </row>
    <row r="675" spans="1:11" ht="13.2">
      <c r="A675" s="22"/>
      <c r="B675" s="16"/>
      <c r="C675" s="23"/>
      <c r="D675" s="24"/>
      <c r="E675" s="25"/>
      <c r="F675" s="26"/>
      <c r="G675" s="27"/>
      <c r="H675" s="20"/>
      <c r="I675" s="21"/>
      <c r="J675" s="28"/>
      <c r="K675" s="19"/>
    </row>
    <row r="676" spans="1:11" ht="13.2">
      <c r="A676" s="22"/>
      <c r="B676" s="16"/>
      <c r="C676" s="23"/>
      <c r="D676" s="24"/>
      <c r="E676" s="25"/>
      <c r="F676" s="26"/>
      <c r="G676" s="27"/>
      <c r="H676" s="20"/>
      <c r="I676" s="21"/>
      <c r="J676" s="28"/>
      <c r="K676" s="19"/>
    </row>
    <row r="677" spans="1:11" ht="13.2">
      <c r="A677" s="22"/>
      <c r="B677" s="16"/>
      <c r="C677" s="23"/>
      <c r="D677" s="24"/>
      <c r="E677" s="25"/>
      <c r="F677" s="26"/>
      <c r="G677" s="27"/>
      <c r="H677" s="20"/>
      <c r="I677" s="21"/>
      <c r="J677" s="28"/>
      <c r="K677" s="19"/>
    </row>
    <row r="678" spans="1:11" ht="13.2">
      <c r="A678" s="22"/>
      <c r="B678" s="16"/>
      <c r="C678" s="23"/>
      <c r="D678" s="24"/>
      <c r="E678" s="25"/>
      <c r="F678" s="26"/>
      <c r="G678" s="27"/>
      <c r="H678" s="20"/>
      <c r="I678" s="21"/>
      <c r="J678" s="28"/>
      <c r="K678" s="19"/>
    </row>
    <row r="679" spans="1:11" ht="13.2">
      <c r="A679" s="22"/>
      <c r="B679" s="16"/>
      <c r="C679" s="23"/>
      <c r="D679" s="24"/>
      <c r="E679" s="25"/>
      <c r="F679" s="26"/>
      <c r="G679" s="27"/>
      <c r="H679" s="20"/>
      <c r="I679" s="21"/>
      <c r="J679" s="28"/>
      <c r="K679" s="19"/>
    </row>
    <row r="680" spans="1:11" ht="13.2">
      <c r="A680" s="22"/>
      <c r="B680" s="16"/>
      <c r="C680" s="23"/>
      <c r="D680" s="24"/>
      <c r="E680" s="25"/>
      <c r="F680" s="26"/>
      <c r="G680" s="27"/>
      <c r="H680" s="20"/>
      <c r="I680" s="21"/>
      <c r="J680" s="28"/>
      <c r="K680" s="19"/>
    </row>
    <row r="681" spans="1:11" ht="13.2">
      <c r="A681" s="22"/>
      <c r="B681" s="16"/>
      <c r="C681" s="23"/>
      <c r="D681" s="24"/>
      <c r="E681" s="25"/>
      <c r="F681" s="26"/>
      <c r="G681" s="27"/>
      <c r="H681" s="20"/>
      <c r="I681" s="21"/>
      <c r="J681" s="28"/>
      <c r="K681" s="19"/>
    </row>
    <row r="682" spans="1:11" ht="13.2">
      <c r="A682" s="22"/>
      <c r="B682" s="16"/>
      <c r="C682" s="23"/>
      <c r="D682" s="24"/>
      <c r="E682" s="25"/>
      <c r="F682" s="26"/>
      <c r="G682" s="27"/>
      <c r="H682" s="20"/>
      <c r="I682" s="21"/>
      <c r="J682" s="28"/>
      <c r="K682" s="19"/>
    </row>
    <row r="683" spans="1:11" ht="13.2">
      <c r="A683" s="22"/>
      <c r="B683" s="16"/>
      <c r="C683" s="23"/>
      <c r="D683" s="24"/>
      <c r="E683" s="25"/>
      <c r="F683" s="26"/>
      <c r="G683" s="27"/>
      <c r="H683" s="20"/>
      <c r="I683" s="21"/>
      <c r="J683" s="28"/>
      <c r="K683" s="19"/>
    </row>
    <row r="684" spans="1:11" ht="13.2">
      <c r="A684" s="22"/>
      <c r="B684" s="16"/>
      <c r="C684" s="23"/>
      <c r="D684" s="24"/>
      <c r="E684" s="25"/>
      <c r="F684" s="26"/>
      <c r="G684" s="27"/>
      <c r="H684" s="20"/>
      <c r="I684" s="21"/>
      <c r="J684" s="28"/>
      <c r="K684" s="19"/>
    </row>
    <row r="685" spans="1:11" ht="13.2">
      <c r="A685" s="22"/>
      <c r="B685" s="16"/>
      <c r="C685" s="23"/>
      <c r="D685" s="24"/>
      <c r="E685" s="25"/>
      <c r="F685" s="26"/>
      <c r="G685" s="27"/>
      <c r="H685" s="20"/>
      <c r="I685" s="21"/>
      <c r="J685" s="28"/>
      <c r="K685" s="19"/>
    </row>
    <row r="686" spans="1:11" ht="13.2">
      <c r="A686" s="22"/>
      <c r="B686" s="16"/>
      <c r="C686" s="23"/>
      <c r="D686" s="24"/>
      <c r="E686" s="25"/>
      <c r="F686" s="26"/>
      <c r="G686" s="27"/>
      <c r="H686" s="20"/>
      <c r="I686" s="21"/>
      <c r="J686" s="28"/>
      <c r="K686" s="19"/>
    </row>
    <row r="687" spans="1:11" ht="13.2">
      <c r="A687" s="22"/>
      <c r="B687" s="16"/>
      <c r="C687" s="23"/>
      <c r="D687" s="24"/>
      <c r="E687" s="25"/>
      <c r="F687" s="26"/>
      <c r="G687" s="27"/>
      <c r="H687" s="20"/>
      <c r="I687" s="21"/>
      <c r="J687" s="28"/>
      <c r="K687" s="19"/>
    </row>
    <row r="688" spans="1:11" ht="13.2">
      <c r="A688" s="22"/>
      <c r="B688" s="16"/>
      <c r="C688" s="23"/>
      <c r="D688" s="24"/>
      <c r="E688" s="25"/>
      <c r="F688" s="26"/>
      <c r="G688" s="27"/>
      <c r="H688" s="20"/>
      <c r="I688" s="21"/>
      <c r="J688" s="28"/>
      <c r="K688" s="19"/>
    </row>
    <row r="689" spans="1:11" ht="13.2">
      <c r="A689" s="22"/>
      <c r="B689" s="16"/>
      <c r="C689" s="23"/>
      <c r="D689" s="24"/>
      <c r="E689" s="25"/>
      <c r="F689" s="26"/>
      <c r="G689" s="27"/>
      <c r="H689" s="20"/>
      <c r="I689" s="21"/>
      <c r="J689" s="28"/>
      <c r="K689" s="19"/>
    </row>
    <row r="690" spans="1:11" ht="13.2">
      <c r="A690" s="22"/>
      <c r="B690" s="16"/>
      <c r="C690" s="23"/>
      <c r="D690" s="24"/>
      <c r="E690" s="25"/>
      <c r="F690" s="26"/>
      <c r="G690" s="27"/>
      <c r="H690" s="20"/>
      <c r="I690" s="21"/>
      <c r="J690" s="28"/>
      <c r="K690" s="19"/>
    </row>
    <row r="691" spans="1:11" ht="13.2">
      <c r="A691" s="22"/>
      <c r="B691" s="16"/>
      <c r="C691" s="23"/>
      <c r="D691" s="24"/>
      <c r="E691" s="25"/>
      <c r="F691" s="26"/>
      <c r="G691" s="27"/>
      <c r="H691" s="20"/>
      <c r="I691" s="21"/>
      <c r="J691" s="28"/>
      <c r="K691" s="19"/>
    </row>
    <row r="692" spans="1:11" ht="13.2">
      <c r="A692" s="22"/>
      <c r="B692" s="16"/>
      <c r="C692" s="23"/>
      <c r="D692" s="24"/>
      <c r="E692" s="25"/>
      <c r="F692" s="26"/>
      <c r="G692" s="27"/>
      <c r="H692" s="20"/>
      <c r="I692" s="21"/>
      <c r="J692" s="28"/>
      <c r="K692" s="19"/>
    </row>
    <row r="693" spans="1:11" ht="13.2">
      <c r="A693" s="22"/>
      <c r="B693" s="16"/>
      <c r="C693" s="23"/>
      <c r="D693" s="24"/>
      <c r="E693" s="25"/>
      <c r="F693" s="26"/>
      <c r="G693" s="27"/>
      <c r="H693" s="20"/>
      <c r="I693" s="21"/>
      <c r="J693" s="28"/>
      <c r="K693" s="19"/>
    </row>
    <row r="694" spans="1:11" ht="13.2">
      <c r="A694" s="22"/>
      <c r="B694" s="16"/>
      <c r="C694" s="23"/>
      <c r="D694" s="24"/>
      <c r="E694" s="25"/>
      <c r="F694" s="26"/>
      <c r="G694" s="27"/>
      <c r="H694" s="20"/>
      <c r="I694" s="21"/>
      <c r="J694" s="28"/>
      <c r="K694" s="19"/>
    </row>
    <row r="695" spans="1:11" ht="13.2">
      <c r="A695" s="22"/>
      <c r="B695" s="16"/>
      <c r="C695" s="23"/>
      <c r="D695" s="24"/>
      <c r="E695" s="25"/>
      <c r="F695" s="26"/>
      <c r="G695" s="27"/>
      <c r="H695" s="20"/>
      <c r="I695" s="21"/>
      <c r="J695" s="28"/>
      <c r="K695" s="19"/>
    </row>
    <row r="696" spans="1:11" ht="13.2">
      <c r="A696" s="22"/>
      <c r="B696" s="16"/>
      <c r="C696" s="23"/>
      <c r="D696" s="24"/>
      <c r="E696" s="25"/>
      <c r="F696" s="26"/>
      <c r="G696" s="27"/>
      <c r="H696" s="20"/>
      <c r="I696" s="21"/>
      <c r="J696" s="28"/>
      <c r="K696" s="19"/>
    </row>
    <row r="697" spans="1:11" ht="13.2">
      <c r="A697" s="22"/>
      <c r="B697" s="16"/>
      <c r="C697" s="23"/>
      <c r="D697" s="24"/>
      <c r="E697" s="25"/>
      <c r="F697" s="26"/>
      <c r="G697" s="27"/>
      <c r="H697" s="20"/>
      <c r="I697" s="21"/>
      <c r="J697" s="28"/>
      <c r="K697" s="19"/>
    </row>
    <row r="698" spans="1:11" ht="13.2">
      <c r="A698" s="22"/>
      <c r="B698" s="16"/>
      <c r="C698" s="23"/>
      <c r="D698" s="24"/>
      <c r="E698" s="25"/>
      <c r="F698" s="26"/>
      <c r="G698" s="27"/>
      <c r="H698" s="20"/>
      <c r="I698" s="21"/>
      <c r="J698" s="28"/>
      <c r="K698" s="19"/>
    </row>
    <row r="699" spans="1:11" ht="13.2">
      <c r="A699" s="22"/>
      <c r="B699" s="16"/>
      <c r="C699" s="23"/>
      <c r="D699" s="24"/>
      <c r="E699" s="25"/>
      <c r="F699" s="26"/>
      <c r="G699" s="27"/>
      <c r="H699" s="20"/>
      <c r="I699" s="21"/>
      <c r="J699" s="28"/>
      <c r="K699" s="19"/>
    </row>
    <row r="700" spans="1:11" ht="13.2">
      <c r="A700" s="22"/>
      <c r="B700" s="16"/>
      <c r="C700" s="23"/>
      <c r="D700" s="24"/>
      <c r="E700" s="25"/>
      <c r="F700" s="26"/>
      <c r="G700" s="27"/>
      <c r="H700" s="20"/>
      <c r="I700" s="21"/>
      <c r="J700" s="28"/>
      <c r="K700" s="19"/>
    </row>
    <row r="701" spans="1:11" ht="13.2">
      <c r="A701" s="22"/>
      <c r="B701" s="16"/>
      <c r="C701" s="23"/>
      <c r="D701" s="24"/>
      <c r="E701" s="25"/>
      <c r="F701" s="26"/>
      <c r="G701" s="27"/>
      <c r="H701" s="20"/>
      <c r="I701" s="21"/>
      <c r="J701" s="28"/>
      <c r="K701" s="19"/>
    </row>
    <row r="702" spans="1:11" ht="13.2">
      <c r="A702" s="22"/>
      <c r="B702" s="16"/>
      <c r="C702" s="23"/>
      <c r="D702" s="24"/>
      <c r="E702" s="25"/>
      <c r="F702" s="26"/>
      <c r="G702" s="27"/>
      <c r="H702" s="20"/>
      <c r="I702" s="21"/>
      <c r="J702" s="28"/>
      <c r="K702" s="19"/>
    </row>
    <row r="703" spans="1:11" ht="13.2">
      <c r="A703" s="22"/>
      <c r="B703" s="16"/>
      <c r="C703" s="23"/>
      <c r="D703" s="24"/>
      <c r="E703" s="25"/>
      <c r="F703" s="26"/>
      <c r="G703" s="27"/>
      <c r="H703" s="20"/>
      <c r="I703" s="21"/>
      <c r="J703" s="28"/>
      <c r="K703" s="19"/>
    </row>
    <row r="704" spans="1:11" ht="13.2">
      <c r="A704" s="22"/>
      <c r="B704" s="16"/>
      <c r="C704" s="23"/>
      <c r="D704" s="24"/>
      <c r="E704" s="25"/>
      <c r="F704" s="26"/>
      <c r="G704" s="27"/>
      <c r="H704" s="20"/>
      <c r="I704" s="21"/>
      <c r="J704" s="28"/>
      <c r="K704" s="19"/>
    </row>
    <row r="705" spans="1:11" ht="13.2">
      <c r="A705" s="22"/>
      <c r="B705" s="16"/>
      <c r="C705" s="23"/>
      <c r="D705" s="24"/>
      <c r="E705" s="25"/>
      <c r="F705" s="26"/>
      <c r="G705" s="27"/>
      <c r="H705" s="20"/>
      <c r="I705" s="21"/>
      <c r="J705" s="28"/>
      <c r="K705" s="19"/>
    </row>
    <row r="706" spans="1:11" ht="13.2">
      <c r="A706" s="22"/>
      <c r="B706" s="16"/>
      <c r="C706" s="23"/>
      <c r="D706" s="24"/>
      <c r="E706" s="25"/>
      <c r="F706" s="26"/>
      <c r="G706" s="27"/>
      <c r="H706" s="20"/>
      <c r="I706" s="21"/>
      <c r="J706" s="28"/>
      <c r="K706" s="19"/>
    </row>
    <row r="707" spans="1:11" ht="13.2">
      <c r="A707" s="22"/>
      <c r="B707" s="16"/>
      <c r="C707" s="23"/>
      <c r="D707" s="24"/>
      <c r="E707" s="25"/>
      <c r="F707" s="26"/>
      <c r="G707" s="27"/>
      <c r="H707" s="20"/>
      <c r="I707" s="21"/>
      <c r="J707" s="28"/>
      <c r="K707" s="19"/>
    </row>
    <row r="708" spans="1:11" ht="13.2">
      <c r="A708" s="22"/>
      <c r="B708" s="16"/>
      <c r="C708" s="23"/>
      <c r="D708" s="24"/>
      <c r="E708" s="25"/>
      <c r="F708" s="26"/>
      <c r="G708" s="27"/>
      <c r="H708" s="20"/>
      <c r="I708" s="21"/>
      <c r="J708" s="28"/>
      <c r="K708" s="19"/>
    </row>
    <row r="709" spans="1:11" ht="13.2">
      <c r="A709" s="22"/>
      <c r="B709" s="16"/>
      <c r="C709" s="23"/>
      <c r="D709" s="24"/>
      <c r="E709" s="25"/>
      <c r="F709" s="26"/>
      <c r="G709" s="27"/>
      <c r="H709" s="20"/>
      <c r="I709" s="21"/>
      <c r="J709" s="28"/>
      <c r="K709" s="19"/>
    </row>
    <row r="710" spans="1:11" ht="13.2">
      <c r="A710" s="22"/>
      <c r="B710" s="16"/>
      <c r="C710" s="23"/>
      <c r="D710" s="24"/>
      <c r="E710" s="25"/>
      <c r="F710" s="26"/>
      <c r="G710" s="27"/>
      <c r="H710" s="20"/>
      <c r="I710" s="21"/>
      <c r="J710" s="28"/>
      <c r="K710" s="19"/>
    </row>
    <row r="711" spans="1:11" ht="13.2">
      <c r="A711" s="22"/>
      <c r="B711" s="16"/>
      <c r="C711" s="23"/>
      <c r="D711" s="24"/>
      <c r="E711" s="25"/>
      <c r="F711" s="26"/>
      <c r="G711" s="27"/>
      <c r="H711" s="20"/>
      <c r="I711" s="21"/>
      <c r="J711" s="28"/>
      <c r="K711" s="19"/>
    </row>
    <row r="712" spans="1:11" ht="13.2">
      <c r="A712" s="22"/>
      <c r="B712" s="16"/>
      <c r="C712" s="23"/>
      <c r="D712" s="24"/>
      <c r="E712" s="25"/>
      <c r="F712" s="26"/>
      <c r="G712" s="27"/>
      <c r="H712" s="20"/>
      <c r="I712" s="21"/>
      <c r="J712" s="28"/>
      <c r="K712" s="19"/>
    </row>
    <row r="713" spans="1:11" ht="13.2">
      <c r="A713" s="22"/>
      <c r="B713" s="16"/>
      <c r="C713" s="23"/>
      <c r="D713" s="24"/>
      <c r="E713" s="25"/>
      <c r="F713" s="26"/>
      <c r="G713" s="27"/>
      <c r="H713" s="20"/>
      <c r="I713" s="21"/>
      <c r="J713" s="28"/>
      <c r="K713" s="19"/>
    </row>
    <row r="714" spans="1:11" ht="13.2">
      <c r="A714" s="22"/>
      <c r="B714" s="16"/>
      <c r="C714" s="23"/>
      <c r="D714" s="24"/>
      <c r="E714" s="25"/>
      <c r="F714" s="26"/>
      <c r="G714" s="27"/>
      <c r="H714" s="20"/>
      <c r="I714" s="21"/>
      <c r="J714" s="28"/>
      <c r="K714" s="19"/>
    </row>
    <row r="715" spans="1:11" ht="13.2">
      <c r="A715" s="22"/>
      <c r="B715" s="16"/>
      <c r="C715" s="23"/>
      <c r="D715" s="24"/>
      <c r="E715" s="25"/>
      <c r="F715" s="26"/>
      <c r="G715" s="27"/>
      <c r="H715" s="20"/>
      <c r="I715" s="21"/>
      <c r="J715" s="28"/>
      <c r="K715" s="19"/>
    </row>
    <row r="716" spans="1:11" ht="13.2">
      <c r="A716" s="22"/>
      <c r="B716" s="16"/>
      <c r="C716" s="23"/>
      <c r="D716" s="24"/>
      <c r="E716" s="25"/>
      <c r="F716" s="26"/>
      <c r="G716" s="27"/>
      <c r="H716" s="20"/>
      <c r="I716" s="21"/>
      <c r="J716" s="28"/>
      <c r="K716" s="19"/>
    </row>
    <row r="717" spans="1:11" ht="13.2">
      <c r="A717" s="22"/>
      <c r="B717" s="16"/>
      <c r="C717" s="23"/>
      <c r="D717" s="24"/>
      <c r="E717" s="25"/>
      <c r="F717" s="26"/>
      <c r="G717" s="27"/>
      <c r="H717" s="20"/>
      <c r="I717" s="21"/>
      <c r="J717" s="28"/>
      <c r="K717" s="19"/>
    </row>
    <row r="718" spans="1:11" ht="13.2">
      <c r="A718" s="22"/>
      <c r="B718" s="16"/>
      <c r="C718" s="23"/>
      <c r="D718" s="24"/>
      <c r="E718" s="25"/>
      <c r="F718" s="26"/>
      <c r="G718" s="27"/>
      <c r="H718" s="20"/>
      <c r="I718" s="21"/>
      <c r="J718" s="28"/>
      <c r="K718" s="19"/>
    </row>
    <row r="719" spans="1:11" ht="13.2">
      <c r="A719" s="22"/>
      <c r="B719" s="16"/>
      <c r="C719" s="23"/>
      <c r="D719" s="24"/>
      <c r="E719" s="25"/>
      <c r="F719" s="26"/>
      <c r="G719" s="27"/>
      <c r="H719" s="20"/>
      <c r="I719" s="21"/>
      <c r="J719" s="28"/>
      <c r="K719" s="19"/>
    </row>
    <row r="720" spans="1:11" ht="13.2">
      <c r="A720" s="22"/>
      <c r="B720" s="16"/>
      <c r="C720" s="23"/>
      <c r="D720" s="24"/>
      <c r="E720" s="25"/>
      <c r="F720" s="26"/>
      <c r="G720" s="27"/>
      <c r="H720" s="20"/>
      <c r="I720" s="21"/>
      <c r="J720" s="28"/>
      <c r="K720" s="19"/>
    </row>
    <row r="721" spans="1:11" ht="13.2">
      <c r="A721" s="22"/>
      <c r="B721" s="16"/>
      <c r="C721" s="23"/>
      <c r="D721" s="24"/>
      <c r="E721" s="25"/>
      <c r="F721" s="26"/>
      <c r="G721" s="27"/>
      <c r="H721" s="20"/>
      <c r="I721" s="21"/>
      <c r="J721" s="28"/>
      <c r="K721" s="19"/>
    </row>
    <row r="722" spans="1:11" ht="13.2">
      <c r="A722" s="22"/>
      <c r="B722" s="16"/>
      <c r="C722" s="23"/>
      <c r="D722" s="24"/>
      <c r="E722" s="25"/>
      <c r="F722" s="26"/>
      <c r="G722" s="27"/>
      <c r="H722" s="20"/>
      <c r="I722" s="21"/>
      <c r="J722" s="28"/>
      <c r="K722" s="19"/>
    </row>
    <row r="723" spans="1:11" ht="13.2">
      <c r="A723" s="22"/>
      <c r="B723" s="16"/>
      <c r="C723" s="23"/>
      <c r="D723" s="24"/>
      <c r="E723" s="25"/>
      <c r="F723" s="26"/>
      <c r="G723" s="27"/>
      <c r="H723" s="20"/>
      <c r="I723" s="21"/>
      <c r="J723" s="28"/>
      <c r="K723" s="19"/>
    </row>
    <row r="724" spans="1:11" ht="13.2">
      <c r="A724" s="22"/>
      <c r="B724" s="16"/>
      <c r="C724" s="23"/>
      <c r="D724" s="24"/>
      <c r="E724" s="25"/>
      <c r="F724" s="26"/>
      <c r="G724" s="27"/>
      <c r="H724" s="20"/>
      <c r="I724" s="21"/>
      <c r="J724" s="28"/>
      <c r="K724" s="19"/>
    </row>
    <row r="725" spans="1:11" ht="13.2">
      <c r="A725" s="22"/>
      <c r="B725" s="16"/>
      <c r="C725" s="23"/>
      <c r="D725" s="24"/>
      <c r="E725" s="25"/>
      <c r="F725" s="26"/>
      <c r="G725" s="27"/>
      <c r="H725" s="20"/>
      <c r="I725" s="21"/>
      <c r="J725" s="28"/>
      <c r="K725" s="19"/>
    </row>
    <row r="726" spans="1:11" ht="13.2">
      <c r="A726" s="22"/>
      <c r="B726" s="16"/>
      <c r="C726" s="23"/>
      <c r="D726" s="24"/>
      <c r="E726" s="25"/>
      <c r="F726" s="26"/>
      <c r="G726" s="27"/>
      <c r="H726" s="20"/>
      <c r="I726" s="21"/>
      <c r="J726" s="28"/>
      <c r="K726" s="19"/>
    </row>
    <row r="727" spans="1:11" ht="13.2">
      <c r="A727" s="22"/>
      <c r="B727" s="16"/>
      <c r="C727" s="23"/>
      <c r="D727" s="24"/>
      <c r="E727" s="25"/>
      <c r="F727" s="26"/>
      <c r="G727" s="27"/>
      <c r="H727" s="20"/>
      <c r="I727" s="21"/>
      <c r="J727" s="28"/>
      <c r="K727" s="19"/>
    </row>
    <row r="728" spans="1:11" ht="13.2">
      <c r="A728" s="22"/>
      <c r="B728" s="16"/>
      <c r="C728" s="23"/>
      <c r="D728" s="24"/>
      <c r="E728" s="25"/>
      <c r="F728" s="26"/>
      <c r="G728" s="27"/>
      <c r="H728" s="20"/>
      <c r="I728" s="21"/>
      <c r="J728" s="28"/>
      <c r="K728" s="19"/>
    </row>
    <row r="729" spans="1:11" ht="13.2">
      <c r="A729" s="22"/>
      <c r="B729" s="16"/>
      <c r="C729" s="23"/>
      <c r="D729" s="24"/>
      <c r="E729" s="25"/>
      <c r="F729" s="26"/>
      <c r="G729" s="27"/>
      <c r="H729" s="20"/>
      <c r="I729" s="21"/>
      <c r="J729" s="28"/>
      <c r="K729" s="19"/>
    </row>
    <row r="730" spans="1:11" ht="13.2">
      <c r="A730" s="22"/>
      <c r="B730" s="16"/>
      <c r="C730" s="23"/>
      <c r="D730" s="24"/>
      <c r="E730" s="25"/>
      <c r="F730" s="26"/>
      <c r="G730" s="27"/>
      <c r="H730" s="20"/>
      <c r="I730" s="21"/>
      <c r="J730" s="28"/>
      <c r="K730" s="19"/>
    </row>
    <row r="731" spans="1:11" ht="13.2">
      <c r="A731" s="22"/>
      <c r="B731" s="16"/>
      <c r="C731" s="23"/>
      <c r="D731" s="24"/>
      <c r="E731" s="25"/>
      <c r="F731" s="26"/>
      <c r="G731" s="27"/>
      <c r="H731" s="20"/>
      <c r="I731" s="21"/>
      <c r="J731" s="28"/>
      <c r="K731" s="19"/>
    </row>
    <row r="732" spans="1:11" ht="13.2">
      <c r="A732" s="22"/>
      <c r="B732" s="16"/>
      <c r="C732" s="23"/>
      <c r="D732" s="24"/>
      <c r="E732" s="25"/>
      <c r="F732" s="26"/>
      <c r="G732" s="27"/>
      <c r="H732" s="20"/>
      <c r="I732" s="21"/>
      <c r="J732" s="28"/>
      <c r="K732" s="19"/>
    </row>
    <row r="733" spans="1:11" ht="13.2">
      <c r="A733" s="22"/>
      <c r="B733" s="16"/>
      <c r="C733" s="23"/>
      <c r="D733" s="24"/>
      <c r="E733" s="25"/>
      <c r="F733" s="26"/>
      <c r="G733" s="27"/>
      <c r="H733" s="20"/>
      <c r="I733" s="21"/>
      <c r="J733" s="28"/>
      <c r="K733" s="19"/>
    </row>
    <row r="734" spans="1:11" ht="13.2">
      <c r="A734" s="22"/>
      <c r="B734" s="16"/>
      <c r="C734" s="23"/>
      <c r="D734" s="24"/>
      <c r="E734" s="25"/>
      <c r="F734" s="26"/>
      <c r="G734" s="27"/>
      <c r="H734" s="20"/>
      <c r="I734" s="21"/>
      <c r="J734" s="28"/>
      <c r="K734" s="19"/>
    </row>
    <row r="735" spans="1:11" ht="13.2">
      <c r="A735" s="22"/>
      <c r="B735" s="16"/>
      <c r="C735" s="23"/>
      <c r="D735" s="24"/>
      <c r="E735" s="25"/>
      <c r="F735" s="26"/>
      <c r="G735" s="27"/>
      <c r="H735" s="20"/>
      <c r="I735" s="21"/>
      <c r="J735" s="28"/>
      <c r="K735" s="19"/>
    </row>
    <row r="736" spans="1:11" ht="13.2">
      <c r="A736" s="22"/>
      <c r="B736" s="16"/>
      <c r="C736" s="23"/>
      <c r="D736" s="24"/>
      <c r="E736" s="25"/>
      <c r="F736" s="26"/>
      <c r="G736" s="27"/>
      <c r="H736" s="20"/>
      <c r="I736" s="21"/>
      <c r="J736" s="28"/>
      <c r="K736" s="19"/>
    </row>
    <row r="737" spans="1:11" ht="13.2">
      <c r="A737" s="22"/>
      <c r="B737" s="16"/>
      <c r="C737" s="23"/>
      <c r="D737" s="24"/>
      <c r="E737" s="25"/>
      <c r="F737" s="26"/>
      <c r="G737" s="27"/>
      <c r="H737" s="20"/>
      <c r="I737" s="21"/>
      <c r="J737" s="28"/>
      <c r="K737" s="19"/>
    </row>
    <row r="738" spans="1:11" ht="13.2">
      <c r="A738" s="22"/>
      <c r="B738" s="16"/>
      <c r="C738" s="23"/>
      <c r="D738" s="24"/>
      <c r="E738" s="25"/>
      <c r="F738" s="26"/>
      <c r="G738" s="27"/>
      <c r="H738" s="20"/>
      <c r="I738" s="21"/>
      <c r="J738" s="28"/>
      <c r="K738" s="19"/>
    </row>
    <row r="739" spans="1:11" ht="13.2">
      <c r="A739" s="22"/>
      <c r="B739" s="16"/>
      <c r="C739" s="23"/>
      <c r="D739" s="24"/>
      <c r="E739" s="25"/>
      <c r="F739" s="26"/>
      <c r="G739" s="27"/>
      <c r="H739" s="20"/>
      <c r="I739" s="21"/>
      <c r="J739" s="28"/>
      <c r="K739" s="19"/>
    </row>
    <row r="740" spans="1:11" ht="13.2">
      <c r="A740" s="22"/>
      <c r="B740" s="16"/>
      <c r="C740" s="23"/>
      <c r="D740" s="24"/>
      <c r="E740" s="25"/>
      <c r="F740" s="26"/>
      <c r="G740" s="27"/>
      <c r="H740" s="20"/>
      <c r="I740" s="21"/>
      <c r="J740" s="28"/>
      <c r="K740" s="19"/>
    </row>
    <row r="741" spans="1:11" ht="13.2">
      <c r="A741" s="22"/>
      <c r="B741" s="16"/>
      <c r="C741" s="23"/>
      <c r="D741" s="24"/>
      <c r="E741" s="25"/>
      <c r="F741" s="26"/>
      <c r="G741" s="27"/>
      <c r="H741" s="20"/>
      <c r="I741" s="21"/>
      <c r="J741" s="28"/>
      <c r="K741" s="19"/>
    </row>
    <row r="742" spans="1:11" ht="13.2">
      <c r="A742" s="22"/>
      <c r="B742" s="16"/>
      <c r="C742" s="23"/>
      <c r="D742" s="24"/>
      <c r="E742" s="25"/>
      <c r="F742" s="26"/>
      <c r="G742" s="27"/>
      <c r="H742" s="20"/>
      <c r="I742" s="21"/>
      <c r="J742" s="28"/>
      <c r="K742" s="19"/>
    </row>
    <row r="743" spans="1:11" ht="13.2">
      <c r="A743" s="22"/>
      <c r="B743" s="16"/>
      <c r="C743" s="23"/>
      <c r="D743" s="24"/>
      <c r="E743" s="25"/>
      <c r="F743" s="26"/>
      <c r="G743" s="27"/>
      <c r="H743" s="20"/>
      <c r="I743" s="21"/>
      <c r="J743" s="28"/>
      <c r="K743" s="19"/>
    </row>
    <row r="744" spans="1:11" ht="13.2">
      <c r="A744" s="22"/>
      <c r="B744" s="16"/>
      <c r="C744" s="23"/>
      <c r="D744" s="24"/>
      <c r="E744" s="25"/>
      <c r="F744" s="26"/>
      <c r="G744" s="27"/>
      <c r="H744" s="20"/>
      <c r="I744" s="21"/>
      <c r="J744" s="28"/>
      <c r="K744" s="19"/>
    </row>
    <row r="745" spans="1:11" ht="13.2">
      <c r="A745" s="22"/>
      <c r="B745" s="16"/>
      <c r="C745" s="23"/>
      <c r="D745" s="24"/>
      <c r="E745" s="25"/>
      <c r="F745" s="26"/>
      <c r="G745" s="27"/>
      <c r="H745" s="20"/>
      <c r="I745" s="21"/>
      <c r="J745" s="28"/>
      <c r="K745" s="19"/>
    </row>
    <row r="746" spans="1:11" ht="13.2">
      <c r="A746" s="22"/>
      <c r="B746" s="16"/>
      <c r="C746" s="23"/>
      <c r="D746" s="24"/>
      <c r="E746" s="25"/>
      <c r="F746" s="26"/>
      <c r="G746" s="27"/>
      <c r="H746" s="20"/>
      <c r="I746" s="21"/>
      <c r="J746" s="28"/>
      <c r="K746" s="19"/>
    </row>
    <row r="747" spans="1:11" ht="13.2">
      <c r="A747" s="22"/>
      <c r="B747" s="16"/>
      <c r="C747" s="23"/>
      <c r="D747" s="24"/>
      <c r="E747" s="25"/>
      <c r="F747" s="26"/>
      <c r="G747" s="27"/>
      <c r="H747" s="20"/>
      <c r="I747" s="21"/>
      <c r="J747" s="28"/>
      <c r="K747" s="19"/>
    </row>
    <row r="748" spans="1:11" ht="13.2">
      <c r="A748" s="22"/>
      <c r="B748" s="16"/>
      <c r="C748" s="23"/>
      <c r="D748" s="24"/>
      <c r="E748" s="25"/>
      <c r="F748" s="26"/>
      <c r="G748" s="27"/>
      <c r="H748" s="20"/>
      <c r="I748" s="21"/>
      <c r="J748" s="28"/>
      <c r="K748" s="19"/>
    </row>
    <row r="749" spans="1:11" ht="13.2">
      <c r="A749" s="22"/>
      <c r="B749" s="16"/>
      <c r="C749" s="23"/>
      <c r="D749" s="24"/>
      <c r="E749" s="25"/>
      <c r="F749" s="26"/>
      <c r="G749" s="27"/>
      <c r="H749" s="20"/>
      <c r="I749" s="21"/>
      <c r="J749" s="28"/>
      <c r="K749" s="19"/>
    </row>
    <row r="750" spans="1:11" ht="13.2">
      <c r="A750" s="22"/>
      <c r="B750" s="16"/>
      <c r="C750" s="23"/>
      <c r="D750" s="24"/>
      <c r="E750" s="25"/>
      <c r="F750" s="26"/>
      <c r="G750" s="27"/>
      <c r="H750" s="20"/>
      <c r="I750" s="21"/>
      <c r="J750" s="28"/>
      <c r="K750" s="19"/>
    </row>
    <row r="751" spans="1:11" ht="13.2">
      <c r="A751" s="22"/>
      <c r="B751" s="16"/>
      <c r="C751" s="23"/>
      <c r="D751" s="24"/>
      <c r="E751" s="25"/>
      <c r="F751" s="26"/>
      <c r="G751" s="27"/>
      <c r="H751" s="20"/>
      <c r="I751" s="21"/>
      <c r="J751" s="28"/>
      <c r="K751" s="19"/>
    </row>
    <row r="752" spans="1:11" ht="13.2">
      <c r="A752" s="22"/>
      <c r="B752" s="16"/>
      <c r="C752" s="23"/>
      <c r="D752" s="24"/>
      <c r="E752" s="25"/>
      <c r="F752" s="26"/>
      <c r="G752" s="27"/>
      <c r="H752" s="20"/>
      <c r="I752" s="21"/>
      <c r="J752" s="28"/>
      <c r="K752" s="19"/>
    </row>
    <row r="753" spans="1:11" ht="13.2">
      <c r="A753" s="22"/>
      <c r="B753" s="16"/>
      <c r="C753" s="23"/>
      <c r="D753" s="24"/>
      <c r="E753" s="25"/>
      <c r="F753" s="26"/>
      <c r="G753" s="27"/>
      <c r="H753" s="20"/>
      <c r="I753" s="21"/>
      <c r="J753" s="28"/>
      <c r="K753" s="19"/>
    </row>
    <row r="754" spans="1:11" ht="13.2">
      <c r="A754" s="22"/>
      <c r="B754" s="16"/>
      <c r="C754" s="23"/>
      <c r="D754" s="24"/>
      <c r="E754" s="25"/>
      <c r="F754" s="26"/>
      <c r="G754" s="27"/>
      <c r="H754" s="20"/>
      <c r="I754" s="21"/>
      <c r="J754" s="28"/>
      <c r="K754" s="19"/>
    </row>
    <row r="755" spans="1:11" ht="13.2">
      <c r="A755" s="22"/>
      <c r="B755" s="16"/>
      <c r="C755" s="23"/>
      <c r="D755" s="24"/>
      <c r="E755" s="25"/>
      <c r="F755" s="26"/>
      <c r="G755" s="27"/>
      <c r="H755" s="20"/>
      <c r="I755" s="21"/>
      <c r="J755" s="28"/>
      <c r="K755" s="19"/>
    </row>
    <row r="756" spans="1:11" ht="13.2">
      <c r="A756" s="22"/>
      <c r="B756" s="16"/>
      <c r="C756" s="23"/>
      <c r="D756" s="24"/>
      <c r="E756" s="25"/>
      <c r="F756" s="26"/>
      <c r="G756" s="27"/>
      <c r="H756" s="20"/>
      <c r="I756" s="21"/>
      <c r="J756" s="28"/>
      <c r="K756" s="19"/>
    </row>
    <row r="757" spans="1:11" ht="13.2">
      <c r="A757" s="22"/>
      <c r="B757" s="16"/>
      <c r="C757" s="23"/>
      <c r="D757" s="24"/>
      <c r="E757" s="25"/>
      <c r="F757" s="26"/>
      <c r="G757" s="27"/>
      <c r="H757" s="20"/>
      <c r="I757" s="21"/>
      <c r="J757" s="28"/>
      <c r="K757" s="19"/>
    </row>
    <row r="758" spans="1:11" ht="13.2">
      <c r="A758" s="22"/>
      <c r="B758" s="16"/>
      <c r="C758" s="23"/>
      <c r="D758" s="24"/>
      <c r="E758" s="25"/>
      <c r="F758" s="26"/>
      <c r="G758" s="27"/>
      <c r="H758" s="20"/>
      <c r="I758" s="21"/>
      <c r="J758" s="28"/>
      <c r="K758" s="19"/>
    </row>
    <row r="759" spans="1:11" ht="13.2">
      <c r="A759" s="22"/>
      <c r="B759" s="16"/>
      <c r="C759" s="23"/>
      <c r="D759" s="24"/>
      <c r="E759" s="25"/>
      <c r="F759" s="26"/>
      <c r="G759" s="27"/>
      <c r="H759" s="20"/>
      <c r="I759" s="21"/>
      <c r="J759" s="28"/>
      <c r="K759" s="19"/>
    </row>
    <row r="760" spans="1:11" ht="13.2">
      <c r="A760" s="22"/>
      <c r="B760" s="16"/>
      <c r="C760" s="23"/>
      <c r="D760" s="24"/>
      <c r="E760" s="25"/>
      <c r="F760" s="26"/>
      <c r="G760" s="27"/>
      <c r="H760" s="20"/>
      <c r="I760" s="21"/>
      <c r="J760" s="28"/>
      <c r="K760" s="19"/>
    </row>
    <row r="761" spans="1:11" ht="13.2">
      <c r="A761" s="22"/>
      <c r="B761" s="16"/>
      <c r="C761" s="23"/>
      <c r="D761" s="24"/>
      <c r="E761" s="25"/>
      <c r="F761" s="26"/>
      <c r="G761" s="27"/>
      <c r="H761" s="20"/>
      <c r="I761" s="21"/>
      <c r="J761" s="28"/>
      <c r="K761" s="19"/>
    </row>
    <row r="762" spans="1:11" ht="13.2">
      <c r="A762" s="22"/>
      <c r="B762" s="16"/>
      <c r="C762" s="23"/>
      <c r="D762" s="24"/>
      <c r="E762" s="25"/>
      <c r="F762" s="26"/>
      <c r="G762" s="27"/>
      <c r="H762" s="20"/>
      <c r="I762" s="21"/>
      <c r="J762" s="28"/>
      <c r="K762" s="19"/>
    </row>
    <row r="763" spans="1:11" ht="13.2">
      <c r="A763" s="22"/>
      <c r="B763" s="16"/>
      <c r="C763" s="23"/>
      <c r="D763" s="24"/>
      <c r="E763" s="25"/>
      <c r="F763" s="26"/>
      <c r="G763" s="27"/>
      <c r="H763" s="20"/>
      <c r="I763" s="21"/>
      <c r="J763" s="28"/>
      <c r="K763" s="19"/>
    </row>
    <row r="764" spans="1:11" ht="13.2">
      <c r="A764" s="22"/>
      <c r="B764" s="16"/>
      <c r="C764" s="23"/>
      <c r="D764" s="24"/>
      <c r="E764" s="25"/>
      <c r="F764" s="26"/>
      <c r="G764" s="27"/>
      <c r="H764" s="20"/>
      <c r="I764" s="21"/>
      <c r="J764" s="28"/>
      <c r="K764" s="19"/>
    </row>
    <row r="765" spans="1:11" ht="13.2">
      <c r="A765" s="22"/>
      <c r="B765" s="16"/>
      <c r="C765" s="23"/>
      <c r="D765" s="24"/>
      <c r="E765" s="25"/>
      <c r="F765" s="26"/>
      <c r="G765" s="27"/>
      <c r="H765" s="20"/>
      <c r="I765" s="21"/>
      <c r="J765" s="28"/>
      <c r="K765" s="19"/>
    </row>
    <row r="766" spans="1:11" ht="13.2">
      <c r="A766" s="22"/>
      <c r="B766" s="16"/>
      <c r="C766" s="23"/>
      <c r="D766" s="24"/>
      <c r="E766" s="25"/>
      <c r="F766" s="26"/>
      <c r="G766" s="27"/>
      <c r="H766" s="20"/>
      <c r="I766" s="21"/>
      <c r="J766" s="28"/>
      <c r="K766" s="19"/>
    </row>
    <row r="767" spans="1:11" ht="13.2">
      <c r="A767" s="22"/>
      <c r="B767" s="16"/>
      <c r="C767" s="23"/>
      <c r="D767" s="24"/>
      <c r="E767" s="25"/>
      <c r="F767" s="26"/>
      <c r="G767" s="27"/>
      <c r="H767" s="20"/>
      <c r="I767" s="21"/>
      <c r="J767" s="28"/>
      <c r="K767" s="19"/>
    </row>
    <row r="768" spans="1:11" ht="13.2">
      <c r="A768" s="22"/>
      <c r="B768" s="16"/>
      <c r="C768" s="23"/>
      <c r="D768" s="24"/>
      <c r="E768" s="25"/>
      <c r="F768" s="26"/>
      <c r="G768" s="27"/>
      <c r="H768" s="20"/>
      <c r="I768" s="21"/>
      <c r="J768" s="28"/>
      <c r="K768" s="19"/>
    </row>
    <row r="769" spans="1:11" ht="13.2">
      <c r="A769" s="22"/>
      <c r="B769" s="16"/>
      <c r="C769" s="23"/>
      <c r="D769" s="24"/>
      <c r="E769" s="25"/>
      <c r="F769" s="26"/>
      <c r="G769" s="27"/>
      <c r="H769" s="20"/>
      <c r="I769" s="21"/>
      <c r="J769" s="28"/>
      <c r="K769" s="19"/>
    </row>
    <row r="770" spans="1:11" ht="13.2">
      <c r="A770" s="22"/>
      <c r="B770" s="16"/>
      <c r="C770" s="23"/>
      <c r="D770" s="24"/>
      <c r="E770" s="25"/>
      <c r="F770" s="26"/>
      <c r="G770" s="27"/>
      <c r="H770" s="20"/>
      <c r="I770" s="21"/>
      <c r="J770" s="28"/>
      <c r="K770" s="19"/>
    </row>
    <row r="771" spans="1:11" ht="13.2">
      <c r="A771" s="22"/>
      <c r="B771" s="16"/>
      <c r="C771" s="23"/>
      <c r="D771" s="24"/>
      <c r="E771" s="25"/>
      <c r="F771" s="26"/>
      <c r="G771" s="27"/>
      <c r="H771" s="20"/>
      <c r="I771" s="21"/>
      <c r="J771" s="28"/>
      <c r="K771" s="19"/>
    </row>
    <row r="772" spans="1:11" ht="13.2">
      <c r="A772" s="22"/>
      <c r="B772" s="16"/>
      <c r="C772" s="23"/>
      <c r="D772" s="24"/>
      <c r="E772" s="25"/>
      <c r="F772" s="26"/>
      <c r="G772" s="27"/>
      <c r="H772" s="20"/>
      <c r="I772" s="21"/>
      <c r="J772" s="28"/>
      <c r="K772" s="19"/>
    </row>
    <row r="773" spans="1:11" ht="13.2">
      <c r="A773" s="22"/>
      <c r="B773" s="16"/>
      <c r="C773" s="23"/>
      <c r="D773" s="24"/>
      <c r="E773" s="25"/>
      <c r="F773" s="26"/>
      <c r="G773" s="27"/>
      <c r="H773" s="20"/>
      <c r="I773" s="21"/>
      <c r="J773" s="28"/>
      <c r="K773" s="19"/>
    </row>
    <row r="774" spans="1:11" ht="13.2">
      <c r="A774" s="22"/>
      <c r="B774" s="16"/>
      <c r="C774" s="23"/>
      <c r="D774" s="24"/>
      <c r="E774" s="25"/>
      <c r="F774" s="26"/>
      <c r="G774" s="27"/>
      <c r="H774" s="20"/>
      <c r="I774" s="21"/>
      <c r="J774" s="28"/>
      <c r="K774" s="19"/>
    </row>
    <row r="775" spans="1:11" ht="13.2">
      <c r="A775" s="22"/>
      <c r="B775" s="16"/>
      <c r="C775" s="23"/>
      <c r="D775" s="24"/>
      <c r="E775" s="25"/>
      <c r="F775" s="26"/>
      <c r="G775" s="27"/>
      <c r="H775" s="20"/>
      <c r="I775" s="21"/>
      <c r="J775" s="28"/>
      <c r="K775" s="19"/>
    </row>
    <row r="776" spans="1:11" ht="13.2">
      <c r="A776" s="22"/>
      <c r="B776" s="16"/>
      <c r="C776" s="23"/>
      <c r="D776" s="24"/>
      <c r="E776" s="25"/>
      <c r="F776" s="26"/>
      <c r="G776" s="27"/>
      <c r="H776" s="20"/>
      <c r="I776" s="21"/>
      <c r="J776" s="28"/>
      <c r="K776" s="19"/>
    </row>
    <row r="777" spans="1:11" ht="13.2">
      <c r="A777" s="22"/>
      <c r="B777" s="16"/>
      <c r="C777" s="23"/>
      <c r="D777" s="24"/>
      <c r="E777" s="25"/>
      <c r="F777" s="26"/>
      <c r="G777" s="27"/>
      <c r="H777" s="20"/>
      <c r="I777" s="21"/>
      <c r="J777" s="28"/>
      <c r="K777" s="19"/>
    </row>
    <row r="778" spans="1:11" ht="13.2">
      <c r="A778" s="22"/>
      <c r="B778" s="16"/>
      <c r="C778" s="23"/>
      <c r="D778" s="24"/>
      <c r="E778" s="25"/>
      <c r="F778" s="26"/>
      <c r="G778" s="27"/>
      <c r="H778" s="20"/>
      <c r="I778" s="21"/>
      <c r="J778" s="28"/>
      <c r="K778" s="19"/>
    </row>
    <row r="779" spans="1:11" ht="13.2">
      <c r="A779" s="22"/>
      <c r="B779" s="16"/>
      <c r="C779" s="23"/>
      <c r="D779" s="24"/>
      <c r="E779" s="25"/>
      <c r="F779" s="26"/>
      <c r="G779" s="27"/>
      <c r="H779" s="20"/>
      <c r="I779" s="21"/>
      <c r="J779" s="28"/>
      <c r="K779" s="19"/>
    </row>
    <row r="780" spans="1:11" ht="13.2">
      <c r="A780" s="22"/>
      <c r="B780" s="16"/>
      <c r="C780" s="23"/>
      <c r="D780" s="24"/>
      <c r="E780" s="25"/>
      <c r="F780" s="26"/>
      <c r="G780" s="27"/>
      <c r="H780" s="20"/>
      <c r="I780" s="21"/>
      <c r="J780" s="28"/>
      <c r="K780" s="19"/>
    </row>
    <row r="781" spans="1:11" ht="13.2">
      <c r="A781" s="22"/>
      <c r="B781" s="16"/>
      <c r="C781" s="23"/>
      <c r="D781" s="24"/>
      <c r="E781" s="25"/>
      <c r="F781" s="26"/>
      <c r="G781" s="27"/>
      <c r="H781" s="20"/>
      <c r="I781" s="21"/>
      <c r="J781" s="28"/>
      <c r="K781" s="19"/>
    </row>
    <row r="782" spans="1:11" ht="13.2">
      <c r="A782" s="22"/>
      <c r="B782" s="16"/>
      <c r="C782" s="23"/>
      <c r="D782" s="24"/>
      <c r="E782" s="25"/>
      <c r="F782" s="26"/>
      <c r="G782" s="27"/>
      <c r="H782" s="20"/>
      <c r="I782" s="21"/>
      <c r="J782" s="28"/>
      <c r="K782" s="19"/>
    </row>
    <row r="783" spans="1:11" ht="13.2">
      <c r="A783" s="22"/>
      <c r="B783" s="16"/>
      <c r="C783" s="23"/>
      <c r="D783" s="24"/>
      <c r="E783" s="25"/>
      <c r="F783" s="26"/>
      <c r="G783" s="27"/>
      <c r="H783" s="20"/>
      <c r="I783" s="21"/>
      <c r="J783" s="28"/>
      <c r="K783" s="19"/>
    </row>
    <row r="784" spans="1:11" ht="13.2">
      <c r="A784" s="22"/>
      <c r="B784" s="16"/>
      <c r="C784" s="23"/>
      <c r="D784" s="24"/>
      <c r="E784" s="25"/>
      <c r="F784" s="26"/>
      <c r="G784" s="27"/>
      <c r="H784" s="20"/>
      <c r="I784" s="21"/>
      <c r="J784" s="28"/>
      <c r="K784" s="19"/>
    </row>
    <row r="785" spans="1:11" ht="13.2">
      <c r="A785" s="22"/>
      <c r="B785" s="16"/>
      <c r="C785" s="23"/>
      <c r="D785" s="24"/>
      <c r="E785" s="25"/>
      <c r="F785" s="26"/>
      <c r="G785" s="27"/>
      <c r="H785" s="20"/>
      <c r="I785" s="21"/>
      <c r="J785" s="28"/>
      <c r="K785" s="19"/>
    </row>
    <row r="786" spans="1:11" ht="13.2">
      <c r="A786" s="22"/>
      <c r="B786" s="16"/>
      <c r="C786" s="23"/>
      <c r="D786" s="24"/>
      <c r="E786" s="25"/>
      <c r="F786" s="26"/>
      <c r="G786" s="27"/>
      <c r="H786" s="20"/>
      <c r="I786" s="21"/>
      <c r="J786" s="28"/>
      <c r="K786" s="19"/>
    </row>
    <row r="787" spans="1:11" ht="13.2">
      <c r="A787" s="22"/>
      <c r="B787" s="16"/>
      <c r="C787" s="23"/>
      <c r="D787" s="24"/>
      <c r="E787" s="25"/>
      <c r="F787" s="26"/>
      <c r="G787" s="27"/>
      <c r="H787" s="20"/>
      <c r="I787" s="21"/>
      <c r="J787" s="28"/>
      <c r="K787" s="19"/>
    </row>
    <row r="788" spans="1:11" ht="13.2">
      <c r="A788" s="22"/>
      <c r="B788" s="16"/>
      <c r="C788" s="23"/>
      <c r="D788" s="24"/>
      <c r="E788" s="25"/>
      <c r="F788" s="26"/>
      <c r="G788" s="27"/>
      <c r="H788" s="20"/>
      <c r="I788" s="21"/>
      <c r="J788" s="28"/>
      <c r="K788" s="19"/>
    </row>
    <row r="789" spans="1:11" ht="13.2">
      <c r="A789" s="22"/>
      <c r="B789" s="16"/>
      <c r="C789" s="23"/>
      <c r="D789" s="24"/>
      <c r="E789" s="25"/>
      <c r="F789" s="26"/>
      <c r="G789" s="27"/>
      <c r="H789" s="20"/>
      <c r="I789" s="21"/>
      <c r="J789" s="28"/>
      <c r="K789" s="19"/>
    </row>
    <row r="790" spans="1:11" ht="13.2">
      <c r="A790" s="22"/>
      <c r="B790" s="16"/>
      <c r="C790" s="23"/>
      <c r="D790" s="24"/>
      <c r="E790" s="25"/>
      <c r="F790" s="26"/>
      <c r="G790" s="27"/>
      <c r="H790" s="20"/>
      <c r="I790" s="21"/>
      <c r="J790" s="28"/>
      <c r="K790" s="19"/>
    </row>
    <row r="791" spans="1:11" ht="13.2">
      <c r="A791" s="22"/>
      <c r="B791" s="16"/>
      <c r="C791" s="23"/>
      <c r="D791" s="24"/>
      <c r="E791" s="25"/>
      <c r="F791" s="26"/>
      <c r="G791" s="27"/>
      <c r="H791" s="20"/>
      <c r="I791" s="21"/>
      <c r="J791" s="28"/>
      <c r="K791" s="19"/>
    </row>
    <row r="792" spans="1:11" ht="13.2">
      <c r="A792" s="22"/>
      <c r="B792" s="16"/>
      <c r="C792" s="23"/>
      <c r="D792" s="24"/>
      <c r="E792" s="25"/>
      <c r="F792" s="26"/>
      <c r="G792" s="27"/>
      <c r="H792" s="20"/>
      <c r="I792" s="21"/>
      <c r="J792" s="28"/>
      <c r="K792" s="19"/>
    </row>
    <row r="793" spans="1:11" ht="13.2">
      <c r="A793" s="22"/>
      <c r="B793" s="16"/>
      <c r="C793" s="23"/>
      <c r="D793" s="24"/>
      <c r="E793" s="25"/>
      <c r="F793" s="26"/>
      <c r="G793" s="27"/>
      <c r="H793" s="20"/>
      <c r="I793" s="21"/>
      <c r="J793" s="28"/>
      <c r="K793" s="19"/>
    </row>
    <row r="794" spans="1:11" ht="13.2">
      <c r="A794" s="22"/>
      <c r="B794" s="16"/>
      <c r="C794" s="23"/>
      <c r="D794" s="24"/>
      <c r="E794" s="25"/>
      <c r="F794" s="26"/>
      <c r="G794" s="27"/>
      <c r="H794" s="20"/>
      <c r="I794" s="21"/>
      <c r="J794" s="28"/>
      <c r="K794" s="19"/>
    </row>
    <row r="795" spans="1:11" ht="13.2">
      <c r="A795" s="22"/>
      <c r="B795" s="16"/>
      <c r="C795" s="23"/>
      <c r="D795" s="24"/>
      <c r="E795" s="25"/>
      <c r="F795" s="26"/>
      <c r="G795" s="27"/>
      <c r="H795" s="20"/>
      <c r="I795" s="21"/>
      <c r="J795" s="28"/>
      <c r="K795" s="19"/>
    </row>
    <row r="796" spans="1:11" ht="13.2">
      <c r="A796" s="22"/>
      <c r="B796" s="16"/>
      <c r="C796" s="23"/>
      <c r="D796" s="24"/>
      <c r="E796" s="25"/>
      <c r="F796" s="26"/>
      <c r="G796" s="27"/>
      <c r="H796" s="20"/>
      <c r="I796" s="21"/>
      <c r="J796" s="28"/>
      <c r="K796" s="19"/>
    </row>
    <row r="797" spans="1:11" ht="13.2">
      <c r="A797" s="22"/>
      <c r="B797" s="16"/>
      <c r="C797" s="23"/>
      <c r="D797" s="24"/>
      <c r="E797" s="25"/>
      <c r="F797" s="26"/>
      <c r="G797" s="27"/>
      <c r="H797" s="20"/>
      <c r="I797" s="21"/>
      <c r="J797" s="28"/>
      <c r="K797" s="19"/>
    </row>
    <row r="798" spans="1:11" ht="13.2">
      <c r="A798" s="22"/>
      <c r="B798" s="16"/>
      <c r="C798" s="23"/>
      <c r="D798" s="24"/>
      <c r="E798" s="25"/>
      <c r="F798" s="26"/>
      <c r="G798" s="27"/>
      <c r="H798" s="20"/>
      <c r="I798" s="21"/>
      <c r="J798" s="28"/>
      <c r="K798" s="19"/>
    </row>
    <row r="799" spans="1:11" ht="13.2">
      <c r="A799" s="22"/>
      <c r="B799" s="16"/>
      <c r="C799" s="23"/>
      <c r="D799" s="24"/>
      <c r="E799" s="25"/>
      <c r="F799" s="26"/>
      <c r="G799" s="27"/>
      <c r="H799" s="20"/>
      <c r="I799" s="21"/>
      <c r="J799" s="28"/>
      <c r="K799" s="19"/>
    </row>
    <row r="800" spans="1:11" ht="13.2">
      <c r="A800" s="22"/>
      <c r="B800" s="16"/>
      <c r="C800" s="23"/>
      <c r="D800" s="24"/>
      <c r="E800" s="25"/>
      <c r="F800" s="26"/>
      <c r="G800" s="27"/>
      <c r="H800" s="20"/>
      <c r="I800" s="21"/>
      <c r="J800" s="28"/>
      <c r="K800" s="19"/>
    </row>
    <row r="801" spans="1:11" ht="13.2">
      <c r="A801" s="22"/>
      <c r="B801" s="16"/>
      <c r="C801" s="23"/>
      <c r="D801" s="24"/>
      <c r="E801" s="25"/>
      <c r="F801" s="26"/>
      <c r="G801" s="27"/>
      <c r="H801" s="20"/>
      <c r="I801" s="21"/>
      <c r="J801" s="28"/>
      <c r="K801" s="19"/>
    </row>
    <row r="802" spans="1:11" ht="13.2">
      <c r="A802" s="22"/>
      <c r="B802" s="16"/>
      <c r="C802" s="23"/>
      <c r="D802" s="24"/>
      <c r="E802" s="25"/>
      <c r="F802" s="26"/>
      <c r="G802" s="27"/>
      <c r="H802" s="20"/>
      <c r="I802" s="21"/>
      <c r="J802" s="28"/>
      <c r="K802" s="19"/>
    </row>
    <row r="803" spans="1:11" ht="13.2">
      <c r="A803" s="22"/>
      <c r="B803" s="16"/>
      <c r="C803" s="23"/>
      <c r="D803" s="24"/>
      <c r="E803" s="25"/>
      <c r="F803" s="26"/>
      <c r="G803" s="27"/>
      <c r="H803" s="20"/>
      <c r="I803" s="21"/>
      <c r="J803" s="28"/>
      <c r="K803" s="19"/>
    </row>
    <row r="804" spans="1:11" ht="13.2">
      <c r="A804" s="22"/>
      <c r="B804" s="16"/>
      <c r="C804" s="23"/>
      <c r="D804" s="24"/>
      <c r="E804" s="25"/>
      <c r="F804" s="26"/>
      <c r="G804" s="27"/>
      <c r="H804" s="20"/>
      <c r="I804" s="21"/>
      <c r="J804" s="28"/>
      <c r="K804" s="19"/>
    </row>
    <row r="805" spans="1:11" ht="13.2">
      <c r="A805" s="22"/>
      <c r="B805" s="16"/>
      <c r="C805" s="23"/>
      <c r="D805" s="24"/>
      <c r="E805" s="25"/>
      <c r="F805" s="26"/>
      <c r="G805" s="27"/>
      <c r="H805" s="20"/>
      <c r="I805" s="21"/>
      <c r="J805" s="28"/>
      <c r="K805" s="19"/>
    </row>
    <row r="806" spans="1:11" ht="13.2">
      <c r="A806" s="22"/>
      <c r="B806" s="16"/>
      <c r="C806" s="23"/>
      <c r="D806" s="24"/>
      <c r="E806" s="25"/>
      <c r="F806" s="26"/>
      <c r="G806" s="27"/>
      <c r="H806" s="20"/>
      <c r="I806" s="21"/>
      <c r="J806" s="28"/>
      <c r="K806" s="19"/>
    </row>
    <row r="807" spans="1:11" ht="13.2">
      <c r="A807" s="22"/>
      <c r="B807" s="16"/>
      <c r="C807" s="23"/>
      <c r="D807" s="24"/>
      <c r="E807" s="25"/>
      <c r="F807" s="26"/>
      <c r="G807" s="27"/>
      <c r="H807" s="20"/>
      <c r="I807" s="21"/>
      <c r="J807" s="28"/>
      <c r="K807" s="19"/>
    </row>
    <row r="808" spans="1:11" ht="13.2">
      <c r="A808" s="22"/>
      <c r="B808" s="16"/>
      <c r="C808" s="23"/>
      <c r="D808" s="24"/>
      <c r="E808" s="25"/>
      <c r="F808" s="26"/>
      <c r="G808" s="27"/>
      <c r="H808" s="20"/>
      <c r="I808" s="21"/>
      <c r="J808" s="28"/>
      <c r="K808" s="19"/>
    </row>
    <row r="809" spans="1:11" ht="13.2">
      <c r="A809" s="22"/>
      <c r="B809" s="16"/>
      <c r="C809" s="23"/>
      <c r="D809" s="24"/>
      <c r="E809" s="25"/>
      <c r="F809" s="26"/>
      <c r="G809" s="27"/>
      <c r="H809" s="20"/>
      <c r="I809" s="21"/>
      <c r="J809" s="28"/>
      <c r="K809" s="19"/>
    </row>
    <row r="810" spans="1:11" ht="13.2">
      <c r="A810" s="22"/>
      <c r="B810" s="16"/>
      <c r="C810" s="23"/>
      <c r="D810" s="24"/>
      <c r="E810" s="25"/>
      <c r="F810" s="26"/>
      <c r="G810" s="27"/>
      <c r="H810" s="20"/>
      <c r="I810" s="21"/>
      <c r="J810" s="28"/>
      <c r="K810" s="19"/>
    </row>
    <row r="811" spans="1:11" ht="13.2">
      <c r="A811" s="22"/>
      <c r="B811" s="16"/>
      <c r="C811" s="23"/>
      <c r="D811" s="24"/>
      <c r="E811" s="25"/>
      <c r="F811" s="26"/>
      <c r="G811" s="27"/>
      <c r="H811" s="20"/>
      <c r="I811" s="21"/>
      <c r="J811" s="28"/>
      <c r="K811" s="19"/>
    </row>
    <row r="812" spans="1:11" ht="13.2">
      <c r="A812" s="22"/>
      <c r="B812" s="16"/>
      <c r="C812" s="23"/>
      <c r="D812" s="24"/>
      <c r="E812" s="25"/>
      <c r="F812" s="26"/>
      <c r="G812" s="27"/>
      <c r="H812" s="20"/>
      <c r="I812" s="21"/>
      <c r="J812" s="28"/>
      <c r="K812" s="19"/>
    </row>
    <row r="813" spans="1:11" ht="13.2">
      <c r="A813" s="22"/>
      <c r="B813" s="16"/>
      <c r="C813" s="23"/>
      <c r="D813" s="24"/>
      <c r="E813" s="25"/>
      <c r="F813" s="26"/>
      <c r="G813" s="27"/>
      <c r="H813" s="20"/>
      <c r="I813" s="21"/>
      <c r="J813" s="28"/>
      <c r="K813" s="19"/>
    </row>
    <row r="814" spans="1:11" ht="13.2">
      <c r="A814" s="22"/>
      <c r="B814" s="16"/>
      <c r="C814" s="23"/>
      <c r="D814" s="24"/>
      <c r="E814" s="25"/>
      <c r="F814" s="26"/>
      <c r="G814" s="27"/>
      <c r="H814" s="20"/>
      <c r="I814" s="21"/>
      <c r="J814" s="28"/>
      <c r="K814" s="19"/>
    </row>
    <row r="815" spans="1:11" ht="13.2">
      <c r="A815" s="22"/>
      <c r="B815" s="16"/>
      <c r="C815" s="23"/>
      <c r="D815" s="24"/>
      <c r="E815" s="25"/>
      <c r="F815" s="26"/>
      <c r="G815" s="27"/>
      <c r="H815" s="20"/>
      <c r="I815" s="21"/>
      <c r="J815" s="28"/>
      <c r="K815" s="19"/>
    </row>
    <row r="816" spans="1:11" ht="13.2">
      <c r="A816" s="22"/>
      <c r="B816" s="16"/>
      <c r="C816" s="23"/>
      <c r="D816" s="24"/>
      <c r="E816" s="25"/>
      <c r="F816" s="26"/>
      <c r="G816" s="27"/>
      <c r="H816" s="20"/>
      <c r="I816" s="21"/>
      <c r="J816" s="28"/>
      <c r="K816" s="19"/>
    </row>
    <row r="817" spans="1:11" ht="13.2">
      <c r="A817" s="22"/>
      <c r="B817" s="16"/>
      <c r="C817" s="23"/>
      <c r="D817" s="24"/>
      <c r="E817" s="25"/>
      <c r="F817" s="26"/>
      <c r="G817" s="27"/>
      <c r="H817" s="20"/>
      <c r="I817" s="21"/>
      <c r="J817" s="28"/>
      <c r="K817" s="19"/>
    </row>
    <row r="818" spans="1:11" ht="13.2">
      <c r="A818" s="22"/>
      <c r="B818" s="16"/>
      <c r="C818" s="23"/>
      <c r="D818" s="24"/>
      <c r="E818" s="25"/>
      <c r="F818" s="26"/>
      <c r="G818" s="27"/>
      <c r="H818" s="20"/>
      <c r="I818" s="21"/>
      <c r="J818" s="28"/>
      <c r="K818" s="19"/>
    </row>
    <row r="819" spans="1:11" ht="13.2">
      <c r="A819" s="22"/>
      <c r="B819" s="16"/>
      <c r="C819" s="23"/>
      <c r="D819" s="24"/>
      <c r="E819" s="25"/>
      <c r="F819" s="26"/>
      <c r="G819" s="27"/>
      <c r="H819" s="20"/>
      <c r="I819" s="21"/>
      <c r="J819" s="28"/>
      <c r="K819" s="19"/>
    </row>
    <row r="820" spans="1:11" ht="13.2">
      <c r="A820" s="22"/>
      <c r="B820" s="16"/>
      <c r="C820" s="23"/>
      <c r="D820" s="24"/>
      <c r="E820" s="25"/>
      <c r="F820" s="26"/>
      <c r="G820" s="27"/>
      <c r="H820" s="20"/>
      <c r="I820" s="21"/>
      <c r="J820" s="28"/>
      <c r="K820" s="19"/>
    </row>
    <row r="821" spans="1:11" ht="13.2">
      <c r="A821" s="22"/>
      <c r="B821" s="16"/>
      <c r="C821" s="23"/>
      <c r="D821" s="24"/>
      <c r="E821" s="25"/>
      <c r="F821" s="26"/>
      <c r="G821" s="27"/>
      <c r="H821" s="20"/>
      <c r="I821" s="21"/>
      <c r="J821" s="28"/>
      <c r="K821" s="19"/>
    </row>
    <row r="822" spans="1:11" ht="13.2">
      <c r="A822" s="22"/>
      <c r="B822" s="16"/>
      <c r="C822" s="23"/>
      <c r="D822" s="24"/>
      <c r="E822" s="25"/>
      <c r="F822" s="26"/>
      <c r="G822" s="27"/>
      <c r="H822" s="20"/>
      <c r="I822" s="21"/>
      <c r="J822" s="28"/>
      <c r="K822" s="19"/>
    </row>
    <row r="823" spans="1:11" ht="13.2">
      <c r="A823" s="22"/>
      <c r="B823" s="16"/>
      <c r="C823" s="23"/>
      <c r="D823" s="24"/>
      <c r="E823" s="25"/>
      <c r="F823" s="26"/>
      <c r="G823" s="27"/>
      <c r="H823" s="20"/>
      <c r="I823" s="21"/>
      <c r="J823" s="28"/>
      <c r="K823" s="19"/>
    </row>
    <row r="824" spans="1:11" ht="13.2">
      <c r="A824" s="22"/>
      <c r="B824" s="16"/>
      <c r="C824" s="23"/>
      <c r="D824" s="24"/>
      <c r="E824" s="25"/>
      <c r="F824" s="26"/>
      <c r="G824" s="27"/>
      <c r="H824" s="20"/>
      <c r="I824" s="21"/>
      <c r="J824" s="28"/>
      <c r="K824" s="19"/>
    </row>
    <row r="825" spans="1:11" ht="13.2">
      <c r="A825" s="22"/>
      <c r="B825" s="16"/>
      <c r="C825" s="23"/>
      <c r="D825" s="24"/>
      <c r="E825" s="25"/>
      <c r="F825" s="26"/>
      <c r="G825" s="27"/>
      <c r="H825" s="20"/>
      <c r="I825" s="21"/>
      <c r="J825" s="28"/>
      <c r="K825" s="19"/>
    </row>
    <row r="826" spans="1:11" ht="13.2">
      <c r="A826" s="22"/>
      <c r="B826" s="16"/>
      <c r="C826" s="23"/>
      <c r="D826" s="24"/>
      <c r="E826" s="25"/>
      <c r="F826" s="26"/>
      <c r="G826" s="27"/>
      <c r="H826" s="20"/>
      <c r="I826" s="21"/>
      <c r="J826" s="28"/>
      <c r="K826" s="19"/>
    </row>
    <row r="827" spans="1:11" ht="13.2">
      <c r="A827" s="22"/>
      <c r="B827" s="16"/>
      <c r="C827" s="23"/>
      <c r="D827" s="24"/>
      <c r="E827" s="25"/>
      <c r="F827" s="26"/>
      <c r="G827" s="27"/>
      <c r="H827" s="20"/>
      <c r="I827" s="21"/>
      <c r="J827" s="28"/>
      <c r="K827" s="19"/>
    </row>
    <row r="828" spans="1:11" ht="13.2">
      <c r="A828" s="22"/>
      <c r="B828" s="16"/>
      <c r="C828" s="23"/>
      <c r="D828" s="24"/>
      <c r="E828" s="25"/>
      <c r="F828" s="26"/>
      <c r="G828" s="27"/>
      <c r="H828" s="20"/>
      <c r="I828" s="21"/>
      <c r="J828" s="28"/>
      <c r="K828" s="19"/>
    </row>
    <row r="829" spans="1:11" ht="13.2">
      <c r="A829" s="22"/>
      <c r="B829" s="16"/>
      <c r="C829" s="23"/>
      <c r="D829" s="24"/>
      <c r="E829" s="25"/>
      <c r="F829" s="26"/>
      <c r="G829" s="27"/>
      <c r="H829" s="20"/>
      <c r="I829" s="21"/>
      <c r="J829" s="28"/>
      <c r="K829" s="19"/>
    </row>
    <row r="830" spans="1:11" ht="13.2">
      <c r="A830" s="22"/>
      <c r="B830" s="16"/>
      <c r="C830" s="23"/>
      <c r="D830" s="24"/>
      <c r="E830" s="25"/>
      <c r="F830" s="26"/>
      <c r="G830" s="27"/>
      <c r="H830" s="20"/>
      <c r="I830" s="21"/>
      <c r="J830" s="28"/>
      <c r="K830" s="19"/>
    </row>
    <row r="831" spans="1:11" ht="13.2">
      <c r="A831" s="22"/>
      <c r="B831" s="16"/>
      <c r="C831" s="23"/>
      <c r="D831" s="24"/>
      <c r="E831" s="25"/>
      <c r="F831" s="26"/>
      <c r="G831" s="27"/>
      <c r="H831" s="20"/>
      <c r="I831" s="21"/>
      <c r="J831" s="28"/>
      <c r="K831" s="19"/>
    </row>
    <row r="832" spans="1:11" ht="13.2">
      <c r="A832" s="22"/>
      <c r="B832" s="16"/>
      <c r="C832" s="23"/>
      <c r="D832" s="24"/>
      <c r="E832" s="25"/>
      <c r="F832" s="26"/>
      <c r="G832" s="27"/>
      <c r="H832" s="20"/>
      <c r="I832" s="21"/>
      <c r="J832" s="28"/>
      <c r="K832" s="19"/>
    </row>
    <row r="833" spans="1:11" ht="13.2">
      <c r="A833" s="22"/>
      <c r="B833" s="16"/>
      <c r="C833" s="23"/>
      <c r="D833" s="24"/>
      <c r="E833" s="25"/>
      <c r="F833" s="26"/>
      <c r="G833" s="27"/>
      <c r="H833" s="20"/>
      <c r="I833" s="21"/>
      <c r="J833" s="28"/>
      <c r="K833" s="19"/>
    </row>
    <row r="834" spans="1:11" ht="13.2">
      <c r="A834" s="22"/>
      <c r="B834" s="16"/>
      <c r="C834" s="23"/>
      <c r="D834" s="24"/>
      <c r="E834" s="25"/>
      <c r="F834" s="26"/>
      <c r="G834" s="27"/>
      <c r="H834" s="20"/>
      <c r="I834" s="21"/>
      <c r="J834" s="28"/>
      <c r="K834" s="19"/>
    </row>
    <row r="835" spans="1:11" ht="13.2">
      <c r="A835" s="22"/>
      <c r="B835" s="16"/>
      <c r="C835" s="23"/>
      <c r="D835" s="24"/>
      <c r="E835" s="25"/>
      <c r="F835" s="26"/>
      <c r="G835" s="27"/>
      <c r="H835" s="20"/>
      <c r="I835" s="21"/>
      <c r="J835" s="28"/>
      <c r="K835" s="19"/>
    </row>
    <row r="836" spans="1:11" ht="13.2">
      <c r="A836" s="22"/>
      <c r="B836" s="16"/>
      <c r="C836" s="23"/>
      <c r="D836" s="24"/>
      <c r="E836" s="25"/>
      <c r="F836" s="26"/>
      <c r="G836" s="27"/>
      <c r="H836" s="20"/>
      <c r="I836" s="21"/>
      <c r="J836" s="28"/>
      <c r="K836" s="19"/>
    </row>
    <row r="837" spans="1:11" ht="13.2">
      <c r="A837" s="22"/>
      <c r="B837" s="16"/>
      <c r="C837" s="23"/>
      <c r="D837" s="24"/>
      <c r="E837" s="25"/>
      <c r="F837" s="26"/>
      <c r="G837" s="27"/>
      <c r="H837" s="20"/>
      <c r="I837" s="21"/>
      <c r="J837" s="28"/>
      <c r="K837" s="19"/>
    </row>
    <row r="838" spans="1:11" ht="13.2">
      <c r="A838" s="22"/>
      <c r="B838" s="16"/>
      <c r="C838" s="23"/>
      <c r="D838" s="24"/>
      <c r="E838" s="25"/>
      <c r="F838" s="26"/>
      <c r="G838" s="27"/>
      <c r="H838" s="20"/>
      <c r="I838" s="21"/>
      <c r="J838" s="28"/>
      <c r="K838" s="19"/>
    </row>
    <row r="839" spans="1:11" ht="13.2">
      <c r="A839" s="22"/>
      <c r="B839" s="16"/>
      <c r="C839" s="23"/>
      <c r="D839" s="24"/>
      <c r="E839" s="25"/>
      <c r="F839" s="26"/>
      <c r="G839" s="27"/>
      <c r="H839" s="20"/>
      <c r="I839" s="21"/>
      <c r="J839" s="28"/>
      <c r="K839" s="19"/>
    </row>
    <row r="840" spans="1:11" ht="13.2">
      <c r="A840" s="22"/>
      <c r="B840" s="16"/>
      <c r="C840" s="23"/>
      <c r="D840" s="24"/>
      <c r="E840" s="25"/>
      <c r="F840" s="26"/>
      <c r="G840" s="27"/>
      <c r="H840" s="20"/>
      <c r="I840" s="21"/>
      <c r="J840" s="28"/>
      <c r="K840" s="19"/>
    </row>
    <row r="841" spans="1:11" ht="13.2">
      <c r="A841" s="22"/>
      <c r="B841" s="16"/>
      <c r="C841" s="23"/>
      <c r="D841" s="24"/>
      <c r="E841" s="25"/>
      <c r="F841" s="26"/>
      <c r="G841" s="27"/>
      <c r="H841" s="20"/>
      <c r="I841" s="21"/>
      <c r="J841" s="28"/>
      <c r="K841" s="19"/>
    </row>
    <row r="842" spans="1:11" ht="13.2">
      <c r="A842" s="22"/>
      <c r="B842" s="16"/>
      <c r="C842" s="23"/>
      <c r="D842" s="24"/>
      <c r="E842" s="25"/>
      <c r="F842" s="26"/>
      <c r="G842" s="27"/>
      <c r="H842" s="20"/>
      <c r="I842" s="21"/>
      <c r="J842" s="28"/>
      <c r="K842" s="19"/>
    </row>
    <row r="843" spans="1:11" ht="13.2">
      <c r="A843" s="22"/>
      <c r="B843" s="16"/>
      <c r="C843" s="23"/>
      <c r="D843" s="24"/>
      <c r="E843" s="25"/>
      <c r="F843" s="26"/>
      <c r="G843" s="27"/>
      <c r="H843" s="20"/>
      <c r="I843" s="21"/>
      <c r="J843" s="28"/>
      <c r="K843" s="19"/>
    </row>
    <row r="844" spans="1:11" ht="13.2">
      <c r="A844" s="22"/>
      <c r="B844" s="16"/>
      <c r="C844" s="23"/>
      <c r="D844" s="24"/>
      <c r="E844" s="25"/>
      <c r="F844" s="26"/>
      <c r="G844" s="27"/>
      <c r="H844" s="20"/>
      <c r="I844" s="21"/>
      <c r="J844" s="28"/>
      <c r="K844" s="19"/>
    </row>
    <row r="845" spans="1:11" ht="13.2">
      <c r="A845" s="22"/>
      <c r="B845" s="16"/>
      <c r="C845" s="23"/>
      <c r="D845" s="24"/>
      <c r="E845" s="25"/>
      <c r="F845" s="26"/>
      <c r="G845" s="27"/>
      <c r="H845" s="20"/>
      <c r="I845" s="21"/>
      <c r="J845" s="28"/>
      <c r="K845" s="19"/>
    </row>
    <row r="846" spans="1:11" ht="13.2">
      <c r="A846" s="22"/>
      <c r="B846" s="16"/>
      <c r="C846" s="23"/>
      <c r="D846" s="24"/>
      <c r="E846" s="25"/>
      <c r="F846" s="26"/>
      <c r="G846" s="27"/>
      <c r="H846" s="20"/>
      <c r="I846" s="21"/>
      <c r="J846" s="28"/>
      <c r="K846" s="19"/>
    </row>
    <row r="847" spans="1:11" ht="13.2">
      <c r="A847" s="22"/>
      <c r="B847" s="16"/>
      <c r="C847" s="23"/>
      <c r="D847" s="24"/>
      <c r="E847" s="25"/>
      <c r="F847" s="26"/>
      <c r="G847" s="27"/>
      <c r="H847" s="20"/>
      <c r="I847" s="21"/>
      <c r="J847" s="28"/>
      <c r="K847" s="19"/>
    </row>
    <row r="848" spans="1:11" ht="13.2">
      <c r="A848" s="22"/>
      <c r="B848" s="16"/>
      <c r="C848" s="23"/>
      <c r="D848" s="24"/>
      <c r="E848" s="25"/>
      <c r="F848" s="26"/>
      <c r="G848" s="27"/>
      <c r="H848" s="20"/>
      <c r="I848" s="21"/>
      <c r="J848" s="28"/>
      <c r="K848" s="19"/>
    </row>
    <row r="849" spans="1:11" ht="13.2">
      <c r="A849" s="22"/>
      <c r="B849" s="16"/>
      <c r="C849" s="23"/>
      <c r="D849" s="24"/>
      <c r="E849" s="25"/>
      <c r="F849" s="26"/>
      <c r="G849" s="27"/>
      <c r="H849" s="20"/>
      <c r="I849" s="21"/>
      <c r="J849" s="28"/>
      <c r="K849" s="19"/>
    </row>
    <row r="850" spans="1:11" ht="13.2">
      <c r="A850" s="22"/>
      <c r="B850" s="16"/>
      <c r="C850" s="23"/>
      <c r="D850" s="24"/>
      <c r="E850" s="25"/>
      <c r="F850" s="26"/>
      <c r="G850" s="27"/>
      <c r="H850" s="20"/>
      <c r="I850" s="21"/>
      <c r="J850" s="28"/>
      <c r="K850" s="19"/>
    </row>
    <row r="851" spans="1:11" ht="13.2">
      <c r="A851" s="22"/>
      <c r="B851" s="16"/>
      <c r="C851" s="23"/>
      <c r="D851" s="24"/>
      <c r="E851" s="25"/>
      <c r="F851" s="26"/>
      <c r="G851" s="27"/>
      <c r="H851" s="20"/>
      <c r="I851" s="21"/>
      <c r="J851" s="28"/>
      <c r="K851" s="19"/>
    </row>
    <row r="852" spans="1:11" ht="13.2">
      <c r="A852" s="22"/>
      <c r="B852" s="16"/>
      <c r="C852" s="23"/>
      <c r="D852" s="24"/>
      <c r="E852" s="25"/>
      <c r="F852" s="26"/>
      <c r="G852" s="27"/>
      <c r="H852" s="20"/>
      <c r="I852" s="21"/>
      <c r="J852" s="28"/>
      <c r="K852" s="19"/>
    </row>
    <row r="853" spans="1:11" ht="13.2">
      <c r="A853" s="22"/>
      <c r="B853" s="16"/>
      <c r="C853" s="23"/>
      <c r="D853" s="24"/>
      <c r="E853" s="25"/>
      <c r="F853" s="26"/>
      <c r="G853" s="27"/>
      <c r="H853" s="20"/>
      <c r="I853" s="21"/>
      <c r="J853" s="28"/>
      <c r="K853" s="19"/>
    </row>
    <row r="854" spans="1:11" ht="13.2">
      <c r="A854" s="22"/>
      <c r="B854" s="16"/>
      <c r="C854" s="23"/>
      <c r="D854" s="24"/>
      <c r="E854" s="25"/>
      <c r="F854" s="26"/>
      <c r="G854" s="27"/>
      <c r="H854" s="20"/>
      <c r="I854" s="21"/>
      <c r="J854" s="28"/>
      <c r="K854" s="19"/>
    </row>
    <row r="855" spans="1:11" ht="13.2">
      <c r="A855" s="22"/>
      <c r="B855" s="16"/>
      <c r="C855" s="23"/>
      <c r="D855" s="24"/>
      <c r="E855" s="25"/>
      <c r="F855" s="26"/>
      <c r="G855" s="27"/>
      <c r="H855" s="20"/>
      <c r="I855" s="21"/>
      <c r="J855" s="28"/>
      <c r="K855" s="19"/>
    </row>
    <row r="856" spans="1:11" ht="13.2">
      <c r="A856" s="22"/>
      <c r="B856" s="16"/>
      <c r="C856" s="23"/>
      <c r="D856" s="24"/>
      <c r="E856" s="25"/>
      <c r="F856" s="26"/>
      <c r="G856" s="27"/>
      <c r="H856" s="20"/>
      <c r="I856" s="21"/>
      <c r="J856" s="28"/>
      <c r="K856" s="19"/>
    </row>
    <row r="857" spans="1:11" ht="13.2">
      <c r="A857" s="22"/>
      <c r="B857" s="16"/>
      <c r="C857" s="23"/>
      <c r="D857" s="24"/>
      <c r="E857" s="25"/>
      <c r="F857" s="26"/>
      <c r="G857" s="27"/>
      <c r="H857" s="20"/>
      <c r="I857" s="21"/>
      <c r="J857" s="28"/>
      <c r="K857" s="19"/>
    </row>
    <row r="858" spans="1:11" ht="13.2">
      <c r="A858" s="22"/>
      <c r="B858" s="16"/>
      <c r="C858" s="23"/>
      <c r="D858" s="24"/>
      <c r="E858" s="25"/>
      <c r="F858" s="26"/>
      <c r="G858" s="27"/>
      <c r="H858" s="20"/>
      <c r="I858" s="21"/>
      <c r="J858" s="28"/>
      <c r="K858" s="19"/>
    </row>
    <row r="859" spans="1:11" ht="13.2">
      <c r="A859" s="22"/>
      <c r="B859" s="16"/>
      <c r="C859" s="23"/>
      <c r="D859" s="24"/>
      <c r="E859" s="25"/>
      <c r="F859" s="26"/>
      <c r="G859" s="27"/>
      <c r="H859" s="20"/>
      <c r="I859" s="21"/>
      <c r="J859" s="28"/>
      <c r="K859" s="19"/>
    </row>
    <row r="860" spans="1:11" ht="13.2">
      <c r="A860" s="22"/>
      <c r="B860" s="16"/>
      <c r="C860" s="23"/>
      <c r="D860" s="24"/>
      <c r="E860" s="25"/>
      <c r="F860" s="26"/>
      <c r="G860" s="27"/>
      <c r="H860" s="20"/>
      <c r="I860" s="21"/>
      <c r="J860" s="28"/>
      <c r="K860" s="19"/>
    </row>
    <row r="861" spans="1:11" ht="13.2">
      <c r="A861" s="22"/>
      <c r="B861" s="16"/>
      <c r="C861" s="23"/>
      <c r="D861" s="24"/>
      <c r="E861" s="25"/>
      <c r="F861" s="26"/>
      <c r="G861" s="27"/>
      <c r="H861" s="20"/>
      <c r="I861" s="21"/>
      <c r="J861" s="28"/>
      <c r="K861" s="19"/>
    </row>
    <row r="862" spans="1:11" ht="13.2">
      <c r="A862" s="22"/>
      <c r="B862" s="16"/>
      <c r="C862" s="23"/>
      <c r="D862" s="24"/>
      <c r="E862" s="25"/>
      <c r="F862" s="26"/>
      <c r="G862" s="27"/>
      <c r="H862" s="20"/>
      <c r="I862" s="21"/>
      <c r="J862" s="28"/>
      <c r="K862" s="19"/>
    </row>
    <row r="863" spans="1:11" ht="13.2">
      <c r="A863" s="22"/>
      <c r="B863" s="16"/>
      <c r="C863" s="23"/>
      <c r="D863" s="24"/>
      <c r="E863" s="25"/>
      <c r="F863" s="26"/>
      <c r="G863" s="27"/>
      <c r="H863" s="20"/>
      <c r="I863" s="21"/>
      <c r="J863" s="28"/>
      <c r="K863" s="19"/>
    </row>
    <row r="864" spans="1:11" ht="13.2">
      <c r="A864" s="22"/>
      <c r="B864" s="16"/>
      <c r="C864" s="23"/>
      <c r="D864" s="24"/>
      <c r="E864" s="25"/>
      <c r="F864" s="26"/>
      <c r="G864" s="27"/>
      <c r="H864" s="20"/>
      <c r="I864" s="21"/>
      <c r="J864" s="28"/>
      <c r="K864" s="19"/>
    </row>
    <row r="865" spans="1:11" ht="13.2">
      <c r="A865" s="22"/>
      <c r="B865" s="16"/>
      <c r="C865" s="23"/>
      <c r="D865" s="24"/>
      <c r="E865" s="25"/>
      <c r="F865" s="26"/>
      <c r="G865" s="27"/>
      <c r="H865" s="20"/>
      <c r="I865" s="21"/>
      <c r="J865" s="28"/>
      <c r="K865" s="19"/>
    </row>
    <row r="866" spans="1:11" ht="13.2">
      <c r="A866" s="22"/>
      <c r="B866" s="16"/>
      <c r="C866" s="23"/>
      <c r="D866" s="24"/>
      <c r="E866" s="25"/>
      <c r="F866" s="26"/>
      <c r="G866" s="27"/>
      <c r="H866" s="20"/>
      <c r="I866" s="21"/>
      <c r="J866" s="28"/>
      <c r="K866" s="19"/>
    </row>
    <row r="867" spans="1:11" ht="13.2">
      <c r="A867" s="22"/>
      <c r="B867" s="16"/>
      <c r="C867" s="23"/>
      <c r="D867" s="24"/>
      <c r="E867" s="25"/>
      <c r="F867" s="26"/>
      <c r="G867" s="27"/>
      <c r="H867" s="20"/>
      <c r="I867" s="21"/>
      <c r="J867" s="28"/>
      <c r="K867" s="19"/>
    </row>
    <row r="868" spans="1:11" ht="13.2">
      <c r="A868" s="22"/>
      <c r="B868" s="16"/>
      <c r="C868" s="23"/>
      <c r="D868" s="24"/>
      <c r="E868" s="25"/>
      <c r="F868" s="26"/>
      <c r="G868" s="27"/>
      <c r="H868" s="20"/>
      <c r="I868" s="21"/>
      <c r="J868" s="28"/>
      <c r="K868" s="19"/>
    </row>
    <row r="869" spans="1:11" ht="13.2">
      <c r="A869" s="22"/>
      <c r="B869" s="16"/>
      <c r="C869" s="23"/>
      <c r="D869" s="24"/>
      <c r="E869" s="25"/>
      <c r="F869" s="26"/>
      <c r="G869" s="27"/>
      <c r="H869" s="20"/>
      <c r="I869" s="21"/>
      <c r="J869" s="28"/>
      <c r="K869" s="19"/>
    </row>
    <row r="870" spans="1:11" ht="13.2">
      <c r="A870" s="22"/>
      <c r="B870" s="16"/>
      <c r="C870" s="23"/>
      <c r="D870" s="24"/>
      <c r="E870" s="25"/>
      <c r="F870" s="26"/>
      <c r="G870" s="27"/>
      <c r="H870" s="20"/>
      <c r="I870" s="21"/>
      <c r="J870" s="28"/>
      <c r="K870" s="19"/>
    </row>
    <row r="871" spans="1:11" ht="13.2">
      <c r="A871" s="22"/>
      <c r="B871" s="16"/>
      <c r="C871" s="23"/>
      <c r="D871" s="24"/>
      <c r="E871" s="25"/>
      <c r="F871" s="26"/>
      <c r="G871" s="27"/>
      <c r="H871" s="20"/>
      <c r="I871" s="21"/>
      <c r="J871" s="28"/>
      <c r="K871" s="19"/>
    </row>
    <row r="872" spans="1:11" ht="13.2">
      <c r="A872" s="22"/>
      <c r="B872" s="16"/>
      <c r="C872" s="23"/>
      <c r="D872" s="24"/>
      <c r="E872" s="25"/>
      <c r="F872" s="26"/>
      <c r="G872" s="27"/>
      <c r="H872" s="20"/>
      <c r="I872" s="21"/>
      <c r="J872" s="28"/>
      <c r="K872" s="19"/>
    </row>
    <row r="873" spans="1:11" ht="13.2">
      <c r="A873" s="22"/>
      <c r="B873" s="16"/>
      <c r="C873" s="23"/>
      <c r="D873" s="24"/>
      <c r="E873" s="25"/>
      <c r="F873" s="26"/>
      <c r="G873" s="27"/>
      <c r="H873" s="20"/>
      <c r="I873" s="21"/>
      <c r="J873" s="28"/>
      <c r="K873" s="19"/>
    </row>
    <row r="874" spans="1:11" ht="13.2">
      <c r="A874" s="22"/>
      <c r="B874" s="16"/>
      <c r="C874" s="23"/>
      <c r="D874" s="24"/>
      <c r="E874" s="25"/>
      <c r="F874" s="26"/>
      <c r="G874" s="27"/>
      <c r="H874" s="20"/>
      <c r="I874" s="21"/>
      <c r="J874" s="28"/>
      <c r="K874" s="19"/>
    </row>
    <row r="875" spans="1:11" ht="13.2">
      <c r="A875" s="22"/>
      <c r="B875" s="16"/>
      <c r="C875" s="23"/>
      <c r="D875" s="24"/>
      <c r="E875" s="25"/>
      <c r="F875" s="26"/>
      <c r="G875" s="27"/>
      <c r="H875" s="20"/>
      <c r="I875" s="21"/>
      <c r="J875" s="28"/>
      <c r="K875" s="19"/>
    </row>
    <row r="876" spans="1:11" ht="13.2">
      <c r="A876" s="22"/>
      <c r="B876" s="16"/>
      <c r="C876" s="23"/>
      <c r="D876" s="24"/>
      <c r="E876" s="25"/>
      <c r="F876" s="26"/>
      <c r="G876" s="27"/>
      <c r="H876" s="20"/>
      <c r="I876" s="21"/>
      <c r="J876" s="28"/>
      <c r="K876" s="19"/>
    </row>
    <row r="877" spans="1:11" ht="13.2">
      <c r="A877" s="22"/>
      <c r="B877" s="16"/>
      <c r="C877" s="23"/>
      <c r="D877" s="24"/>
      <c r="E877" s="25"/>
      <c r="F877" s="26"/>
      <c r="G877" s="27"/>
      <c r="H877" s="20"/>
      <c r="I877" s="21"/>
      <c r="J877" s="28"/>
      <c r="K877" s="19"/>
    </row>
    <row r="878" spans="1:11" ht="13.2">
      <c r="A878" s="22"/>
      <c r="B878" s="16"/>
      <c r="C878" s="23"/>
      <c r="D878" s="24"/>
      <c r="E878" s="25"/>
      <c r="F878" s="26"/>
      <c r="G878" s="27"/>
      <c r="H878" s="20"/>
      <c r="I878" s="21"/>
      <c r="J878" s="28"/>
      <c r="K878" s="19"/>
    </row>
    <row r="879" spans="1:11" ht="13.2">
      <c r="A879" s="22"/>
      <c r="B879" s="16"/>
      <c r="C879" s="23"/>
      <c r="D879" s="24"/>
      <c r="E879" s="25"/>
      <c r="F879" s="26"/>
      <c r="G879" s="27"/>
      <c r="H879" s="20"/>
      <c r="I879" s="21"/>
      <c r="J879" s="28"/>
      <c r="K879" s="19"/>
    </row>
    <row r="880" spans="1:11" ht="13.2">
      <c r="A880" s="22"/>
      <c r="B880" s="16"/>
      <c r="C880" s="23"/>
      <c r="D880" s="24"/>
      <c r="E880" s="25"/>
      <c r="F880" s="26"/>
      <c r="G880" s="27"/>
      <c r="H880" s="20"/>
      <c r="I880" s="21"/>
      <c r="J880" s="28"/>
      <c r="K880" s="19"/>
    </row>
    <row r="881" spans="1:11" ht="13.2">
      <c r="A881" s="22"/>
      <c r="B881" s="16"/>
      <c r="C881" s="23"/>
      <c r="D881" s="24"/>
      <c r="E881" s="25"/>
      <c r="F881" s="26"/>
      <c r="G881" s="27"/>
      <c r="H881" s="20"/>
      <c r="I881" s="21"/>
      <c r="J881" s="28"/>
      <c r="K881" s="19"/>
    </row>
    <row r="882" spans="1:11" ht="13.2">
      <c r="A882" s="22"/>
      <c r="B882" s="16"/>
      <c r="C882" s="23"/>
      <c r="D882" s="24"/>
      <c r="E882" s="25"/>
      <c r="F882" s="26"/>
      <c r="G882" s="27"/>
      <c r="H882" s="20"/>
      <c r="I882" s="21"/>
      <c r="J882" s="28"/>
      <c r="K882" s="19"/>
    </row>
    <row r="883" spans="1:11" ht="13.2">
      <c r="A883" s="22"/>
      <c r="B883" s="16"/>
      <c r="C883" s="23"/>
      <c r="D883" s="24"/>
      <c r="E883" s="25"/>
      <c r="F883" s="26"/>
      <c r="G883" s="27"/>
      <c r="H883" s="20"/>
      <c r="I883" s="21"/>
      <c r="J883" s="28"/>
      <c r="K883" s="19"/>
    </row>
    <row r="884" spans="1:11" ht="13.2">
      <c r="A884" s="22"/>
      <c r="B884" s="16"/>
      <c r="C884" s="23"/>
      <c r="D884" s="24"/>
      <c r="E884" s="25"/>
      <c r="F884" s="26"/>
      <c r="G884" s="27"/>
      <c r="H884" s="20"/>
      <c r="I884" s="21"/>
      <c r="J884" s="28"/>
      <c r="K884" s="19"/>
    </row>
    <row r="885" spans="1:11" ht="13.2">
      <c r="A885" s="22"/>
      <c r="B885" s="16"/>
      <c r="C885" s="23"/>
      <c r="D885" s="24"/>
      <c r="E885" s="25"/>
      <c r="F885" s="26"/>
      <c r="G885" s="27"/>
      <c r="H885" s="20"/>
      <c r="I885" s="21"/>
      <c r="J885" s="28"/>
      <c r="K885" s="19"/>
    </row>
    <row r="886" spans="1:11" ht="13.2">
      <c r="A886" s="22"/>
      <c r="B886" s="16"/>
      <c r="C886" s="23"/>
      <c r="D886" s="24"/>
      <c r="E886" s="25"/>
      <c r="F886" s="26"/>
      <c r="G886" s="27"/>
      <c r="H886" s="20"/>
      <c r="I886" s="21"/>
      <c r="J886" s="28"/>
      <c r="K886" s="19"/>
    </row>
    <row r="887" spans="1:11" ht="13.2">
      <c r="A887" s="22"/>
      <c r="B887" s="16"/>
      <c r="C887" s="23"/>
      <c r="D887" s="24"/>
      <c r="E887" s="25"/>
      <c r="F887" s="26"/>
      <c r="G887" s="27"/>
      <c r="H887" s="20"/>
      <c r="I887" s="21"/>
      <c r="J887" s="28"/>
      <c r="K887" s="19"/>
    </row>
    <row r="888" spans="1:11" ht="13.2">
      <c r="A888" s="22"/>
      <c r="B888" s="16"/>
      <c r="C888" s="23"/>
      <c r="D888" s="24"/>
      <c r="E888" s="25"/>
      <c r="F888" s="26"/>
      <c r="G888" s="27"/>
      <c r="H888" s="20"/>
      <c r="I888" s="21"/>
      <c r="J888" s="28"/>
      <c r="K888" s="19"/>
    </row>
    <row r="889" spans="1:11" ht="13.2">
      <c r="A889" s="22"/>
      <c r="B889" s="16"/>
      <c r="C889" s="23"/>
      <c r="D889" s="24"/>
      <c r="E889" s="25"/>
      <c r="F889" s="26"/>
      <c r="G889" s="27"/>
      <c r="H889" s="20"/>
      <c r="I889" s="21"/>
      <c r="J889" s="28"/>
      <c r="K889" s="19"/>
    </row>
    <row r="890" spans="1:11" ht="13.2">
      <c r="A890" s="22"/>
      <c r="B890" s="16"/>
      <c r="C890" s="23"/>
      <c r="D890" s="24"/>
      <c r="E890" s="25"/>
      <c r="F890" s="26"/>
      <c r="G890" s="27"/>
      <c r="H890" s="20"/>
      <c r="I890" s="21"/>
      <c r="J890" s="28"/>
      <c r="K890" s="19"/>
    </row>
    <row r="891" spans="1:11" ht="13.2">
      <c r="A891" s="22"/>
      <c r="B891" s="16"/>
      <c r="C891" s="23"/>
      <c r="D891" s="24"/>
      <c r="E891" s="25"/>
      <c r="F891" s="26"/>
      <c r="G891" s="27"/>
      <c r="H891" s="20"/>
      <c r="I891" s="21"/>
      <c r="J891" s="28"/>
      <c r="K891" s="19"/>
    </row>
    <row r="892" spans="1:11" ht="13.2">
      <c r="A892" s="22"/>
      <c r="B892" s="16"/>
      <c r="C892" s="23"/>
      <c r="D892" s="24"/>
      <c r="E892" s="25"/>
      <c r="F892" s="26"/>
      <c r="G892" s="27"/>
      <c r="H892" s="20"/>
      <c r="I892" s="21"/>
      <c r="J892" s="28"/>
      <c r="K892" s="19"/>
    </row>
    <row r="893" spans="1:11" ht="13.2">
      <c r="A893" s="22"/>
      <c r="B893" s="16"/>
      <c r="C893" s="23"/>
      <c r="D893" s="24"/>
      <c r="E893" s="25"/>
      <c r="F893" s="26"/>
      <c r="G893" s="27"/>
      <c r="H893" s="20"/>
      <c r="I893" s="21"/>
      <c r="J893" s="28"/>
      <c r="K893" s="19"/>
    </row>
    <row r="894" spans="1:11" ht="13.2">
      <c r="A894" s="22"/>
      <c r="B894" s="16"/>
      <c r="C894" s="23"/>
      <c r="D894" s="24"/>
      <c r="E894" s="25"/>
      <c r="F894" s="26"/>
      <c r="G894" s="27"/>
      <c r="H894" s="20"/>
      <c r="I894" s="21"/>
      <c r="J894" s="28"/>
      <c r="K894" s="19"/>
    </row>
    <row r="895" spans="1:11" ht="13.2">
      <c r="A895" s="22"/>
      <c r="B895" s="16"/>
      <c r="C895" s="23"/>
      <c r="D895" s="24"/>
      <c r="E895" s="25"/>
      <c r="F895" s="26"/>
      <c r="G895" s="27"/>
      <c r="H895" s="20"/>
      <c r="I895" s="21"/>
      <c r="J895" s="28"/>
      <c r="K895" s="19"/>
    </row>
    <row r="896" spans="1:11" ht="13.2">
      <c r="A896" s="22"/>
      <c r="B896" s="16"/>
      <c r="C896" s="23"/>
      <c r="D896" s="24"/>
      <c r="E896" s="25"/>
      <c r="F896" s="26"/>
      <c r="G896" s="27"/>
      <c r="H896" s="20"/>
      <c r="I896" s="21"/>
      <c r="J896" s="28"/>
      <c r="K896" s="19"/>
    </row>
    <row r="897" spans="1:11" ht="13.2">
      <c r="A897" s="22"/>
      <c r="B897" s="16"/>
      <c r="C897" s="23"/>
      <c r="D897" s="24"/>
      <c r="E897" s="25"/>
      <c r="F897" s="26"/>
      <c r="G897" s="27"/>
      <c r="H897" s="20"/>
      <c r="I897" s="21"/>
      <c r="J897" s="28"/>
      <c r="K897" s="19"/>
    </row>
    <row r="898" spans="1:11" ht="13.2">
      <c r="A898" s="22"/>
      <c r="B898" s="16"/>
      <c r="C898" s="23"/>
      <c r="D898" s="24"/>
      <c r="E898" s="25"/>
      <c r="F898" s="26"/>
      <c r="G898" s="27"/>
      <c r="H898" s="20"/>
      <c r="I898" s="21"/>
      <c r="J898" s="28"/>
      <c r="K898" s="19"/>
    </row>
    <row r="899" spans="1:11" ht="13.2">
      <c r="A899" s="22"/>
      <c r="B899" s="16"/>
      <c r="C899" s="23"/>
      <c r="D899" s="24"/>
      <c r="E899" s="25"/>
      <c r="F899" s="26"/>
      <c r="G899" s="27"/>
      <c r="H899" s="20"/>
      <c r="I899" s="21"/>
      <c r="J899" s="28"/>
      <c r="K899" s="19"/>
    </row>
    <row r="900" spans="1:11" ht="13.2">
      <c r="A900" s="22"/>
      <c r="B900" s="16"/>
      <c r="C900" s="23"/>
      <c r="D900" s="24"/>
      <c r="E900" s="25"/>
      <c r="F900" s="26"/>
      <c r="G900" s="27"/>
      <c r="H900" s="20"/>
      <c r="I900" s="21"/>
      <c r="J900" s="28"/>
      <c r="K900" s="19"/>
    </row>
    <row r="901" spans="1:11" ht="13.2">
      <c r="A901" s="22"/>
      <c r="B901" s="16"/>
      <c r="C901" s="23"/>
      <c r="D901" s="24"/>
      <c r="E901" s="25"/>
      <c r="F901" s="26"/>
      <c r="G901" s="27"/>
      <c r="H901" s="20"/>
      <c r="I901" s="21"/>
      <c r="J901" s="28"/>
      <c r="K901" s="19"/>
    </row>
    <row r="902" spans="1:11" ht="13.2">
      <c r="A902" s="22"/>
      <c r="B902" s="16"/>
      <c r="C902" s="23"/>
      <c r="D902" s="24"/>
      <c r="E902" s="25"/>
      <c r="F902" s="26"/>
      <c r="G902" s="27"/>
      <c r="H902" s="20"/>
      <c r="I902" s="21"/>
      <c r="J902" s="28"/>
      <c r="K902" s="19"/>
    </row>
    <row r="903" spans="1:11" ht="13.2">
      <c r="A903" s="22"/>
      <c r="B903" s="16"/>
      <c r="C903" s="23"/>
      <c r="D903" s="24"/>
      <c r="E903" s="25"/>
      <c r="F903" s="26"/>
      <c r="G903" s="27"/>
      <c r="H903" s="20"/>
      <c r="I903" s="21"/>
      <c r="J903" s="28"/>
      <c r="K903" s="19"/>
    </row>
    <row r="904" spans="1:11" ht="13.2">
      <c r="A904" s="22"/>
      <c r="B904" s="16"/>
      <c r="C904" s="23"/>
      <c r="D904" s="24"/>
      <c r="E904" s="25"/>
      <c r="F904" s="26"/>
      <c r="G904" s="27"/>
      <c r="H904" s="20"/>
      <c r="I904" s="21"/>
      <c r="J904" s="28"/>
      <c r="K904" s="19"/>
    </row>
    <row r="905" spans="1:11" ht="13.2">
      <c r="A905" s="22"/>
      <c r="B905" s="16"/>
      <c r="C905" s="23"/>
      <c r="D905" s="24"/>
      <c r="E905" s="25"/>
      <c r="F905" s="26"/>
      <c r="G905" s="27"/>
      <c r="H905" s="20"/>
      <c r="I905" s="21"/>
      <c r="J905" s="28"/>
      <c r="K905" s="19"/>
    </row>
    <row r="906" spans="1:11" ht="13.2">
      <c r="A906" s="22"/>
      <c r="B906" s="16"/>
      <c r="C906" s="23"/>
      <c r="D906" s="24"/>
      <c r="E906" s="25"/>
      <c r="F906" s="26"/>
      <c r="G906" s="27"/>
      <c r="H906" s="20"/>
      <c r="I906" s="21"/>
      <c r="J906" s="28"/>
      <c r="K906" s="19"/>
    </row>
    <row r="907" spans="1:11" ht="13.2">
      <c r="A907" s="22"/>
      <c r="B907" s="16"/>
      <c r="C907" s="23"/>
      <c r="D907" s="24"/>
      <c r="E907" s="25"/>
      <c r="F907" s="26"/>
      <c r="G907" s="27"/>
      <c r="H907" s="20"/>
      <c r="I907" s="21"/>
      <c r="J907" s="28"/>
      <c r="K907" s="19"/>
    </row>
    <row r="908" spans="1:11" ht="13.2">
      <c r="A908" s="22"/>
      <c r="B908" s="16"/>
      <c r="C908" s="23"/>
      <c r="D908" s="24"/>
      <c r="E908" s="25"/>
      <c r="F908" s="26"/>
      <c r="G908" s="27"/>
      <c r="H908" s="20"/>
      <c r="I908" s="21"/>
      <c r="J908" s="28"/>
      <c r="K908" s="19"/>
    </row>
    <row r="909" spans="1:11" ht="13.2">
      <c r="A909" s="22"/>
      <c r="B909" s="16"/>
      <c r="C909" s="23"/>
      <c r="D909" s="24"/>
      <c r="E909" s="25"/>
      <c r="F909" s="26"/>
      <c r="G909" s="27"/>
      <c r="H909" s="20"/>
      <c r="I909" s="21"/>
      <c r="J909" s="28"/>
      <c r="K909" s="19"/>
    </row>
    <row r="910" spans="1:11" ht="13.2">
      <c r="A910" s="22"/>
      <c r="B910" s="16"/>
      <c r="C910" s="23"/>
      <c r="D910" s="24"/>
      <c r="E910" s="25"/>
      <c r="F910" s="26"/>
      <c r="G910" s="27"/>
      <c r="H910" s="20"/>
      <c r="I910" s="21"/>
      <c r="J910" s="28"/>
      <c r="K910" s="19"/>
    </row>
    <row r="911" spans="1:11" ht="13.2">
      <c r="A911" s="22"/>
      <c r="B911" s="16"/>
      <c r="C911" s="23"/>
      <c r="D911" s="24"/>
      <c r="E911" s="25"/>
      <c r="F911" s="26"/>
      <c r="G911" s="27"/>
      <c r="H911" s="20"/>
      <c r="I911" s="21"/>
      <c r="J911" s="28"/>
      <c r="K911" s="19"/>
    </row>
    <row r="912" spans="1:11" ht="13.2">
      <c r="A912" s="22"/>
      <c r="B912" s="16"/>
      <c r="C912" s="23"/>
      <c r="D912" s="24"/>
      <c r="E912" s="25"/>
      <c r="F912" s="26"/>
      <c r="G912" s="27"/>
      <c r="H912" s="20"/>
      <c r="I912" s="21"/>
      <c r="J912" s="28"/>
      <c r="K912" s="19"/>
    </row>
    <row r="913" spans="1:11" ht="13.2">
      <c r="A913" s="22"/>
      <c r="B913" s="16"/>
      <c r="C913" s="23"/>
      <c r="D913" s="24"/>
      <c r="E913" s="25"/>
      <c r="F913" s="26"/>
      <c r="G913" s="27"/>
      <c r="H913" s="20"/>
      <c r="I913" s="21"/>
      <c r="J913" s="28"/>
      <c r="K913" s="19"/>
    </row>
    <row r="914" spans="1:11" ht="13.2">
      <c r="A914" s="22"/>
      <c r="B914" s="16"/>
      <c r="C914" s="23"/>
      <c r="D914" s="24"/>
      <c r="E914" s="25"/>
      <c r="F914" s="26"/>
      <c r="G914" s="27"/>
      <c r="H914" s="20"/>
      <c r="I914" s="21"/>
      <c r="J914" s="28"/>
      <c r="K914" s="19"/>
    </row>
    <row r="915" spans="1:11" ht="13.2">
      <c r="A915" s="22"/>
      <c r="B915" s="16"/>
      <c r="C915" s="23"/>
      <c r="D915" s="24"/>
      <c r="E915" s="25"/>
      <c r="F915" s="26"/>
      <c r="G915" s="27"/>
      <c r="H915" s="20"/>
      <c r="I915" s="21"/>
      <c r="J915" s="28"/>
      <c r="K915" s="19"/>
    </row>
    <row r="916" spans="1:11" ht="13.2">
      <c r="A916" s="22"/>
      <c r="B916" s="16"/>
      <c r="C916" s="23"/>
      <c r="D916" s="24"/>
      <c r="E916" s="25"/>
      <c r="F916" s="26"/>
      <c r="G916" s="27"/>
      <c r="H916" s="20"/>
      <c r="I916" s="21"/>
      <c r="J916" s="28"/>
      <c r="K916" s="19"/>
    </row>
    <row r="917" spans="1:11" ht="13.2">
      <c r="A917" s="22"/>
      <c r="B917" s="16"/>
      <c r="C917" s="23"/>
      <c r="D917" s="24"/>
      <c r="E917" s="25"/>
      <c r="F917" s="26"/>
      <c r="G917" s="27"/>
      <c r="H917" s="20"/>
      <c r="I917" s="21"/>
      <c r="J917" s="28"/>
      <c r="K917" s="19"/>
    </row>
    <row r="918" spans="1:11" ht="13.2">
      <c r="A918" s="22"/>
      <c r="B918" s="16"/>
      <c r="C918" s="23"/>
      <c r="D918" s="24"/>
      <c r="E918" s="25"/>
      <c r="F918" s="26"/>
      <c r="G918" s="27"/>
      <c r="H918" s="20"/>
      <c r="I918" s="21"/>
      <c r="J918" s="28"/>
      <c r="K918" s="19"/>
    </row>
    <row r="919" spans="1:11" ht="13.2">
      <c r="A919" s="22"/>
      <c r="B919" s="16"/>
      <c r="C919" s="23"/>
      <c r="D919" s="24"/>
      <c r="E919" s="25"/>
      <c r="F919" s="26"/>
      <c r="G919" s="27"/>
      <c r="H919" s="20"/>
      <c r="I919" s="21"/>
      <c r="J919" s="28"/>
      <c r="K919" s="19"/>
    </row>
    <row r="920" spans="1:11" ht="13.2">
      <c r="A920" s="22"/>
      <c r="B920" s="16"/>
      <c r="C920" s="23"/>
      <c r="D920" s="24"/>
      <c r="E920" s="25"/>
      <c r="F920" s="26"/>
      <c r="G920" s="27"/>
      <c r="H920" s="20"/>
      <c r="I920" s="21"/>
      <c r="J920" s="28"/>
      <c r="K920" s="19"/>
    </row>
    <row r="921" spans="1:11" ht="13.2">
      <c r="A921" s="22"/>
      <c r="B921" s="16"/>
      <c r="C921" s="23"/>
      <c r="D921" s="24"/>
      <c r="E921" s="25"/>
      <c r="F921" s="26"/>
      <c r="G921" s="27"/>
      <c r="H921" s="20"/>
      <c r="I921" s="21"/>
      <c r="J921" s="28"/>
      <c r="K921" s="19"/>
    </row>
    <row r="922" spans="1:11" ht="13.2">
      <c r="A922" s="22"/>
      <c r="B922" s="16"/>
      <c r="C922" s="23"/>
      <c r="D922" s="24"/>
      <c r="E922" s="25"/>
      <c r="F922" s="26"/>
      <c r="G922" s="27"/>
      <c r="H922" s="20"/>
      <c r="I922" s="21"/>
      <c r="J922" s="28"/>
      <c r="K922" s="19"/>
    </row>
    <row r="923" spans="1:11" ht="13.2">
      <c r="A923" s="22"/>
      <c r="B923" s="16"/>
      <c r="C923" s="23"/>
      <c r="D923" s="24"/>
      <c r="E923" s="25"/>
      <c r="F923" s="26"/>
      <c r="G923" s="27"/>
      <c r="H923" s="20"/>
      <c r="I923" s="21"/>
      <c r="J923" s="28"/>
      <c r="K923" s="19"/>
    </row>
    <row r="924" spans="1:11" ht="13.2">
      <c r="A924" s="22"/>
      <c r="B924" s="16"/>
      <c r="C924" s="23"/>
      <c r="D924" s="24"/>
      <c r="E924" s="25"/>
      <c r="F924" s="26"/>
      <c r="G924" s="27"/>
      <c r="H924" s="20"/>
      <c r="I924" s="21"/>
      <c r="J924" s="28"/>
      <c r="K924" s="19"/>
    </row>
    <row r="925" spans="1:11" ht="13.2">
      <c r="A925" s="22"/>
      <c r="B925" s="16"/>
      <c r="C925" s="23"/>
      <c r="D925" s="24"/>
      <c r="E925" s="25"/>
      <c r="F925" s="26"/>
      <c r="G925" s="27"/>
      <c r="H925" s="20"/>
      <c r="I925" s="21"/>
      <c r="J925" s="28"/>
      <c r="K925" s="19"/>
    </row>
    <row r="926" spans="1:11" ht="13.2">
      <c r="A926" s="22"/>
      <c r="B926" s="16"/>
      <c r="C926" s="23"/>
      <c r="D926" s="24"/>
      <c r="E926" s="25"/>
      <c r="F926" s="26"/>
      <c r="G926" s="27"/>
      <c r="H926" s="20"/>
      <c r="I926" s="21"/>
      <c r="J926" s="28"/>
      <c r="K926" s="19"/>
    </row>
    <row r="927" spans="1:11" ht="13.2">
      <c r="A927" s="22"/>
      <c r="B927" s="16"/>
      <c r="C927" s="23"/>
      <c r="D927" s="24"/>
      <c r="E927" s="25"/>
      <c r="F927" s="26"/>
      <c r="G927" s="27"/>
      <c r="H927" s="20"/>
      <c r="I927" s="21"/>
      <c r="J927" s="28"/>
      <c r="K927" s="19"/>
    </row>
    <row r="928" spans="1:11" ht="13.2">
      <c r="A928" s="22"/>
      <c r="B928" s="16"/>
      <c r="C928" s="23"/>
      <c r="D928" s="24"/>
      <c r="E928" s="25"/>
      <c r="F928" s="26"/>
      <c r="G928" s="27"/>
      <c r="H928" s="20"/>
      <c r="I928" s="21"/>
      <c r="J928" s="28"/>
      <c r="K928" s="19"/>
    </row>
    <row r="929" spans="1:11" ht="13.2">
      <c r="A929" s="22"/>
      <c r="B929" s="16"/>
      <c r="C929" s="23"/>
      <c r="D929" s="24"/>
      <c r="E929" s="25"/>
      <c r="F929" s="26"/>
      <c r="G929" s="27"/>
      <c r="H929" s="20"/>
      <c r="I929" s="21"/>
      <c r="J929" s="28"/>
      <c r="K929" s="19"/>
    </row>
    <row r="930" spans="1:11" ht="13.2">
      <c r="A930" s="22"/>
      <c r="B930" s="16"/>
      <c r="C930" s="23"/>
      <c r="D930" s="24"/>
      <c r="E930" s="25"/>
      <c r="F930" s="26"/>
      <c r="G930" s="27"/>
      <c r="H930" s="20"/>
      <c r="I930" s="21"/>
      <c r="J930" s="28"/>
      <c r="K930" s="19"/>
    </row>
    <row r="931" spans="1:11" ht="13.2">
      <c r="A931" s="22"/>
      <c r="B931" s="16"/>
      <c r="C931" s="23"/>
      <c r="D931" s="24"/>
      <c r="E931" s="25"/>
      <c r="F931" s="26"/>
      <c r="G931" s="27"/>
      <c r="H931" s="20"/>
      <c r="I931" s="21"/>
      <c r="J931" s="28"/>
      <c r="K931" s="19"/>
    </row>
    <row r="932" spans="1:11" ht="13.2">
      <c r="A932" s="22"/>
      <c r="B932" s="16"/>
      <c r="C932" s="23"/>
      <c r="D932" s="24"/>
      <c r="E932" s="25"/>
      <c r="F932" s="26"/>
      <c r="G932" s="27"/>
      <c r="H932" s="20"/>
      <c r="I932" s="21"/>
      <c r="J932" s="28"/>
      <c r="K932" s="19"/>
    </row>
    <row r="933" spans="1:11" ht="13.2">
      <c r="A933" s="22"/>
      <c r="B933" s="16"/>
      <c r="C933" s="23"/>
      <c r="D933" s="24"/>
      <c r="E933" s="25"/>
      <c r="F933" s="26"/>
      <c r="G933" s="27"/>
      <c r="H933" s="20"/>
      <c r="I933" s="21"/>
      <c r="J933" s="28"/>
      <c r="K933" s="19"/>
    </row>
    <row r="934" spans="1:11" ht="13.2">
      <c r="A934" s="22"/>
      <c r="B934" s="16"/>
      <c r="C934" s="23"/>
      <c r="D934" s="24"/>
      <c r="E934" s="25"/>
      <c r="F934" s="26"/>
      <c r="G934" s="27"/>
      <c r="H934" s="20"/>
      <c r="I934" s="21"/>
      <c r="J934" s="28"/>
      <c r="K934" s="19"/>
    </row>
    <row r="935" spans="1:11" ht="13.2">
      <c r="A935" s="22"/>
      <c r="B935" s="16"/>
      <c r="C935" s="23"/>
      <c r="D935" s="24"/>
      <c r="E935" s="25"/>
      <c r="F935" s="26"/>
      <c r="G935" s="27"/>
      <c r="H935" s="20"/>
      <c r="I935" s="21"/>
      <c r="J935" s="28"/>
      <c r="K935" s="19"/>
    </row>
    <row r="936" spans="1:11" ht="13.2">
      <c r="A936" s="22"/>
      <c r="B936" s="16"/>
      <c r="C936" s="23"/>
      <c r="D936" s="24"/>
      <c r="E936" s="25"/>
      <c r="F936" s="26"/>
      <c r="G936" s="27"/>
      <c r="H936" s="20"/>
      <c r="I936" s="21"/>
      <c r="J936" s="28"/>
      <c r="K936" s="19"/>
    </row>
    <row r="937" spans="1:11" ht="13.2">
      <c r="A937" s="22"/>
      <c r="B937" s="16"/>
      <c r="C937" s="23"/>
      <c r="D937" s="24"/>
      <c r="E937" s="25"/>
      <c r="F937" s="26"/>
      <c r="G937" s="27"/>
      <c r="H937" s="20"/>
      <c r="I937" s="21"/>
      <c r="J937" s="28"/>
      <c r="K937" s="19"/>
    </row>
    <row r="938" spans="1:11" ht="13.2">
      <c r="A938" s="22"/>
      <c r="B938" s="16"/>
      <c r="C938" s="23"/>
      <c r="D938" s="24"/>
      <c r="E938" s="25"/>
      <c r="F938" s="26"/>
      <c r="G938" s="27"/>
      <c r="H938" s="20"/>
      <c r="I938" s="21"/>
      <c r="J938" s="28"/>
      <c r="K938" s="19"/>
    </row>
    <row r="939" spans="1:11" ht="13.2">
      <c r="A939" s="22"/>
      <c r="B939" s="16"/>
      <c r="C939" s="23"/>
      <c r="D939" s="24"/>
      <c r="E939" s="25"/>
      <c r="F939" s="26"/>
      <c r="G939" s="27"/>
      <c r="H939" s="20"/>
      <c r="I939" s="21"/>
      <c r="J939" s="28"/>
      <c r="K939" s="19"/>
    </row>
    <row r="940" spans="1:11" ht="13.2">
      <c r="A940" s="22"/>
      <c r="B940" s="16"/>
      <c r="C940" s="23"/>
      <c r="D940" s="24"/>
      <c r="E940" s="25"/>
      <c r="F940" s="26"/>
      <c r="G940" s="27"/>
      <c r="H940" s="20"/>
      <c r="I940" s="21"/>
      <c r="J940" s="28"/>
      <c r="K940" s="19"/>
    </row>
    <row r="941" spans="1:11" ht="13.2">
      <c r="A941" s="22"/>
      <c r="B941" s="16"/>
      <c r="C941" s="23"/>
      <c r="D941" s="24"/>
      <c r="E941" s="25"/>
      <c r="F941" s="26"/>
      <c r="G941" s="27"/>
      <c r="H941" s="20"/>
      <c r="I941" s="21"/>
      <c r="J941" s="28"/>
      <c r="K941" s="19"/>
    </row>
    <row r="942" spans="1:11" ht="13.2">
      <c r="A942" s="22"/>
      <c r="B942" s="16"/>
      <c r="C942" s="23"/>
      <c r="D942" s="24"/>
      <c r="E942" s="25"/>
      <c r="F942" s="26"/>
      <c r="G942" s="27"/>
      <c r="H942" s="20"/>
      <c r="I942" s="21"/>
      <c r="J942" s="28"/>
      <c r="K942" s="19"/>
    </row>
    <row r="943" spans="1:11" ht="13.2">
      <c r="A943" s="22"/>
      <c r="B943" s="16"/>
      <c r="C943" s="23"/>
      <c r="D943" s="24"/>
      <c r="E943" s="25"/>
      <c r="F943" s="26"/>
      <c r="G943" s="27"/>
      <c r="H943" s="20"/>
      <c r="I943" s="21"/>
      <c r="J943" s="28"/>
      <c r="K943" s="19"/>
    </row>
    <row r="944" spans="1:11" ht="13.2">
      <c r="A944" s="22"/>
      <c r="B944" s="16"/>
      <c r="C944" s="23"/>
      <c r="D944" s="24"/>
      <c r="E944" s="25"/>
      <c r="F944" s="26"/>
      <c r="G944" s="27"/>
      <c r="H944" s="20"/>
      <c r="I944" s="21"/>
      <c r="J944" s="28"/>
      <c r="K944" s="19"/>
    </row>
    <row r="945" spans="1:11" ht="13.2">
      <c r="A945" s="22"/>
      <c r="B945" s="16"/>
      <c r="C945" s="23"/>
      <c r="D945" s="24"/>
      <c r="E945" s="25"/>
      <c r="F945" s="26"/>
      <c r="G945" s="27"/>
      <c r="H945" s="20"/>
      <c r="I945" s="21"/>
      <c r="J945" s="28"/>
      <c r="K945" s="19"/>
    </row>
    <row r="946" spans="1:11" ht="13.2">
      <c r="A946" s="22"/>
      <c r="B946" s="16"/>
      <c r="C946" s="23"/>
      <c r="D946" s="24"/>
      <c r="E946" s="25"/>
      <c r="F946" s="26"/>
      <c r="G946" s="27"/>
      <c r="H946" s="20"/>
      <c r="I946" s="21"/>
      <c r="J946" s="28"/>
      <c r="K946" s="19"/>
    </row>
    <row r="947" spans="1:11" ht="13.2">
      <c r="A947" s="22"/>
      <c r="B947" s="16"/>
      <c r="C947" s="23"/>
      <c r="D947" s="24"/>
      <c r="E947" s="25"/>
      <c r="F947" s="26"/>
      <c r="G947" s="27"/>
      <c r="H947" s="20"/>
      <c r="I947" s="21"/>
      <c r="J947" s="28"/>
      <c r="K947" s="19"/>
    </row>
    <row r="948" spans="1:11" ht="13.2">
      <c r="A948" s="22"/>
      <c r="B948" s="16"/>
      <c r="C948" s="23"/>
      <c r="D948" s="24"/>
      <c r="E948" s="25"/>
      <c r="F948" s="26"/>
      <c r="G948" s="27"/>
      <c r="H948" s="20"/>
      <c r="I948" s="21"/>
      <c r="J948" s="28"/>
      <c r="K948" s="19"/>
    </row>
    <row r="949" spans="1:11" ht="13.2">
      <c r="A949" s="22"/>
      <c r="B949" s="16"/>
      <c r="C949" s="23"/>
      <c r="D949" s="24"/>
      <c r="E949" s="25"/>
      <c r="F949" s="26"/>
      <c r="G949" s="27"/>
      <c r="H949" s="20"/>
      <c r="I949" s="21"/>
      <c r="J949" s="28"/>
      <c r="K949" s="19"/>
    </row>
    <row r="950" spans="1:11" ht="13.2">
      <c r="A950" s="22"/>
      <c r="B950" s="16"/>
      <c r="C950" s="23"/>
      <c r="D950" s="24"/>
      <c r="E950" s="25"/>
      <c r="F950" s="26"/>
      <c r="G950" s="27"/>
      <c r="H950" s="20"/>
      <c r="I950" s="21"/>
      <c r="J950" s="28"/>
      <c r="K950" s="19"/>
    </row>
    <row r="951" spans="1:11" ht="13.2">
      <c r="A951" s="22"/>
      <c r="B951" s="16"/>
      <c r="C951" s="23"/>
      <c r="D951" s="24"/>
      <c r="E951" s="25"/>
      <c r="F951" s="26"/>
      <c r="G951" s="27"/>
      <c r="H951" s="20"/>
      <c r="I951" s="21"/>
      <c r="J951" s="28"/>
      <c r="K951" s="19"/>
    </row>
    <row r="952" spans="1:11" ht="13.2">
      <c r="A952" s="22"/>
      <c r="B952" s="16"/>
      <c r="C952" s="23"/>
      <c r="D952" s="24"/>
      <c r="E952" s="25"/>
      <c r="F952" s="26"/>
      <c r="G952" s="27"/>
      <c r="H952" s="20"/>
      <c r="I952" s="21"/>
      <c r="J952" s="28"/>
      <c r="K952" s="19"/>
    </row>
    <row r="953" spans="1:11" ht="13.2">
      <c r="A953" s="22"/>
      <c r="B953" s="16"/>
      <c r="C953" s="23"/>
      <c r="D953" s="24"/>
      <c r="E953" s="25"/>
      <c r="F953" s="26"/>
      <c r="G953" s="27"/>
      <c r="H953" s="20"/>
      <c r="I953" s="21"/>
      <c r="J953" s="28"/>
      <c r="K953" s="19"/>
    </row>
    <row r="954" spans="1:11" ht="13.2">
      <c r="A954" s="22"/>
      <c r="B954" s="16"/>
      <c r="C954" s="23"/>
      <c r="D954" s="24"/>
      <c r="E954" s="25"/>
      <c r="F954" s="26"/>
      <c r="G954" s="27"/>
      <c r="H954" s="20"/>
      <c r="I954" s="21"/>
      <c r="J954" s="28"/>
      <c r="K954" s="19"/>
    </row>
    <row r="955" spans="1:11" ht="13.2">
      <c r="A955" s="22"/>
      <c r="B955" s="16"/>
      <c r="C955" s="23"/>
      <c r="D955" s="24"/>
      <c r="E955" s="25"/>
      <c r="F955" s="26"/>
      <c r="G955" s="27"/>
      <c r="H955" s="20"/>
      <c r="I955" s="21"/>
      <c r="J955" s="28"/>
      <c r="K955" s="19"/>
    </row>
    <row r="956" spans="1:11" ht="13.2">
      <c r="A956" s="22"/>
      <c r="B956" s="16"/>
      <c r="C956" s="23"/>
      <c r="D956" s="24"/>
      <c r="E956" s="25"/>
      <c r="F956" s="26"/>
      <c r="G956" s="27"/>
      <c r="H956" s="20"/>
      <c r="I956" s="21"/>
      <c r="J956" s="28"/>
      <c r="K956" s="19"/>
    </row>
    <row r="957" spans="1:11" ht="13.2">
      <c r="A957" s="22"/>
      <c r="B957" s="16"/>
      <c r="C957" s="23"/>
      <c r="D957" s="24"/>
      <c r="E957" s="25"/>
      <c r="F957" s="26"/>
      <c r="G957" s="27"/>
      <c r="H957" s="20"/>
      <c r="I957" s="21"/>
      <c r="J957" s="28"/>
      <c r="K957" s="19"/>
    </row>
    <row r="958" spans="1:11" ht="13.2">
      <c r="A958" s="22"/>
      <c r="B958" s="16"/>
      <c r="C958" s="23"/>
      <c r="D958" s="24"/>
      <c r="E958" s="25"/>
      <c r="F958" s="26"/>
      <c r="G958" s="27"/>
      <c r="H958" s="20"/>
      <c r="I958" s="21"/>
      <c r="J958" s="28"/>
      <c r="K958" s="19"/>
    </row>
    <row r="959" spans="1:11" ht="13.2">
      <c r="A959" s="22"/>
      <c r="B959" s="16"/>
      <c r="C959" s="23"/>
      <c r="D959" s="24"/>
      <c r="E959" s="25"/>
      <c r="F959" s="26"/>
      <c r="G959" s="27"/>
      <c r="H959" s="20"/>
      <c r="I959" s="21"/>
      <c r="J959" s="28"/>
      <c r="K959" s="19"/>
    </row>
    <row r="960" spans="1:11" ht="13.2">
      <c r="A960" s="22"/>
      <c r="B960" s="16"/>
      <c r="C960" s="23"/>
      <c r="D960" s="24"/>
      <c r="E960" s="25"/>
      <c r="F960" s="26"/>
      <c r="G960" s="27"/>
      <c r="H960" s="20"/>
      <c r="I960" s="21"/>
      <c r="J960" s="28"/>
      <c r="K960" s="19"/>
    </row>
    <row r="961" spans="1:11" ht="13.2">
      <c r="A961" s="22"/>
      <c r="B961" s="16"/>
      <c r="C961" s="23"/>
      <c r="D961" s="24"/>
      <c r="E961" s="25"/>
      <c r="F961" s="26"/>
      <c r="G961" s="27"/>
      <c r="H961" s="20"/>
      <c r="I961" s="21"/>
      <c r="J961" s="28"/>
      <c r="K961" s="19"/>
    </row>
    <row r="962" spans="1:11" ht="13.2">
      <c r="A962" s="22"/>
      <c r="B962" s="16"/>
      <c r="C962" s="23"/>
      <c r="D962" s="24"/>
      <c r="E962" s="25"/>
      <c r="F962" s="26"/>
      <c r="G962" s="27"/>
      <c r="H962" s="20"/>
      <c r="I962" s="21"/>
      <c r="J962" s="28"/>
      <c r="K962" s="19"/>
    </row>
    <row r="963" spans="1:11" ht="13.2">
      <c r="A963" s="22"/>
      <c r="B963" s="16"/>
      <c r="C963" s="23"/>
      <c r="D963" s="24"/>
      <c r="E963" s="25"/>
      <c r="F963" s="26"/>
      <c r="G963" s="27"/>
      <c r="H963" s="20"/>
      <c r="I963" s="21"/>
      <c r="J963" s="28"/>
      <c r="K963" s="19"/>
    </row>
    <row r="964" spans="1:11" ht="13.2">
      <c r="A964" s="22"/>
      <c r="B964" s="16"/>
      <c r="C964" s="23"/>
      <c r="D964" s="24"/>
      <c r="E964" s="25"/>
      <c r="F964" s="26"/>
      <c r="G964" s="27"/>
      <c r="H964" s="20"/>
      <c r="I964" s="21"/>
      <c r="J964" s="28"/>
      <c r="K964" s="19"/>
    </row>
    <row r="965" spans="1:11" ht="13.2">
      <c r="A965" s="22"/>
      <c r="B965" s="16"/>
      <c r="C965" s="23"/>
      <c r="D965" s="24"/>
      <c r="E965" s="25"/>
      <c r="F965" s="26"/>
      <c r="G965" s="27"/>
      <c r="H965" s="20"/>
      <c r="I965" s="21"/>
      <c r="J965" s="28"/>
      <c r="K965" s="19"/>
    </row>
    <row r="966" spans="1:11" ht="13.2">
      <c r="A966" s="22"/>
      <c r="B966" s="16"/>
      <c r="C966" s="23"/>
      <c r="D966" s="24"/>
      <c r="E966" s="25"/>
      <c r="F966" s="26"/>
      <c r="G966" s="27"/>
      <c r="H966" s="20"/>
      <c r="I966" s="21"/>
      <c r="J966" s="28"/>
      <c r="K966" s="19"/>
    </row>
    <row r="967" spans="1:11" ht="13.2">
      <c r="A967" s="22"/>
      <c r="B967" s="16"/>
      <c r="C967" s="23"/>
      <c r="D967" s="24"/>
      <c r="E967" s="25"/>
      <c r="F967" s="26"/>
      <c r="G967" s="27"/>
      <c r="H967" s="20"/>
      <c r="I967" s="21"/>
      <c r="J967" s="28"/>
      <c r="K967" s="19"/>
    </row>
    <row r="968" spans="1:11" ht="13.2">
      <c r="A968" s="22"/>
      <c r="B968" s="16"/>
      <c r="C968" s="23"/>
      <c r="D968" s="24"/>
      <c r="E968" s="25"/>
      <c r="F968" s="26"/>
      <c r="G968" s="27"/>
      <c r="H968" s="20"/>
      <c r="I968" s="21"/>
      <c r="J968" s="28"/>
      <c r="K968" s="19"/>
    </row>
    <row r="969" spans="1:11" ht="13.2">
      <c r="A969" s="22"/>
      <c r="B969" s="16"/>
      <c r="C969" s="23"/>
      <c r="D969" s="24"/>
      <c r="E969" s="25"/>
      <c r="F969" s="26"/>
      <c r="G969" s="27"/>
      <c r="H969" s="20"/>
      <c r="I969" s="21"/>
      <c r="J969" s="28"/>
      <c r="K969" s="19"/>
    </row>
    <row r="970" spans="1:11" ht="13.2">
      <c r="A970" s="22"/>
      <c r="B970" s="16"/>
      <c r="C970" s="23"/>
      <c r="D970" s="24"/>
      <c r="E970" s="25"/>
      <c r="F970" s="26"/>
      <c r="G970" s="27"/>
      <c r="H970" s="20"/>
      <c r="I970" s="21"/>
      <c r="J970" s="28"/>
      <c r="K970" s="19"/>
    </row>
    <row r="971" spans="1:11" ht="13.2">
      <c r="A971" s="22"/>
      <c r="B971" s="16"/>
      <c r="C971" s="23"/>
      <c r="D971" s="24"/>
      <c r="E971" s="25"/>
      <c r="F971" s="26"/>
      <c r="G971" s="27"/>
      <c r="H971" s="20"/>
      <c r="I971" s="21"/>
      <c r="J971" s="28"/>
      <c r="K971" s="19"/>
    </row>
    <row r="972" spans="1:11" ht="13.2">
      <c r="A972" s="22"/>
      <c r="B972" s="16"/>
      <c r="C972" s="23"/>
      <c r="D972" s="24"/>
      <c r="E972" s="25"/>
      <c r="F972" s="26"/>
      <c r="G972" s="27"/>
      <c r="H972" s="20"/>
      <c r="I972" s="21"/>
      <c r="J972" s="28"/>
      <c r="K972" s="19"/>
    </row>
    <row r="973" spans="1:11" ht="13.2">
      <c r="A973" s="22"/>
      <c r="B973" s="16"/>
      <c r="C973" s="23"/>
      <c r="D973" s="24"/>
      <c r="E973" s="25"/>
      <c r="F973" s="26"/>
      <c r="G973" s="27"/>
      <c r="H973" s="20"/>
      <c r="I973" s="21"/>
      <c r="J973" s="28"/>
      <c r="K973" s="19"/>
    </row>
    <row r="974" spans="1:11" ht="13.2">
      <c r="A974" s="22"/>
      <c r="B974" s="16"/>
      <c r="C974" s="23"/>
      <c r="D974" s="24"/>
      <c r="E974" s="25"/>
      <c r="F974" s="26"/>
      <c r="G974" s="27"/>
      <c r="H974" s="20"/>
      <c r="I974" s="21"/>
      <c r="J974" s="28"/>
      <c r="K974" s="19"/>
    </row>
    <row r="975" spans="1:11" ht="13.2">
      <c r="A975" s="22"/>
      <c r="B975" s="16"/>
      <c r="C975" s="23"/>
      <c r="D975" s="24"/>
      <c r="E975" s="25"/>
      <c r="F975" s="26"/>
      <c r="G975" s="27"/>
      <c r="H975" s="20"/>
      <c r="I975" s="21"/>
      <c r="J975" s="28"/>
      <c r="K975" s="19"/>
    </row>
    <row r="976" spans="1:11" ht="13.2">
      <c r="A976" s="22"/>
      <c r="B976" s="16"/>
      <c r="C976" s="23"/>
      <c r="D976" s="24"/>
      <c r="E976" s="25"/>
      <c r="F976" s="26"/>
      <c r="G976" s="27"/>
      <c r="H976" s="20"/>
      <c r="I976" s="21"/>
      <c r="J976" s="28"/>
      <c r="K976" s="19"/>
    </row>
    <row r="977" spans="1:11" ht="13.2">
      <c r="A977" s="22"/>
      <c r="B977" s="16"/>
      <c r="C977" s="23"/>
      <c r="D977" s="24"/>
      <c r="E977" s="25"/>
      <c r="F977" s="26"/>
      <c r="G977" s="27"/>
      <c r="H977" s="20"/>
      <c r="I977" s="21"/>
      <c r="J977" s="28"/>
      <c r="K977" s="19"/>
    </row>
    <row r="978" spans="1:11" ht="13.2">
      <c r="A978" s="22"/>
      <c r="B978" s="16"/>
      <c r="C978" s="23"/>
      <c r="D978" s="24"/>
      <c r="E978" s="25"/>
      <c r="F978" s="26"/>
      <c r="G978" s="27"/>
      <c r="H978" s="20"/>
      <c r="I978" s="21"/>
      <c r="J978" s="28"/>
      <c r="K978" s="19"/>
    </row>
    <row r="979" spans="1:11" ht="13.2">
      <c r="A979" s="22"/>
      <c r="B979" s="16"/>
      <c r="C979" s="23"/>
      <c r="D979" s="24"/>
      <c r="E979" s="25"/>
      <c r="F979" s="26"/>
      <c r="G979" s="27"/>
      <c r="H979" s="20"/>
      <c r="I979" s="21"/>
      <c r="J979" s="28"/>
      <c r="K979" s="19"/>
    </row>
    <row r="980" spans="1:11" ht="13.2">
      <c r="A980" s="22"/>
      <c r="B980" s="16"/>
      <c r="C980" s="23"/>
      <c r="D980" s="24"/>
      <c r="E980" s="25"/>
      <c r="F980" s="26"/>
      <c r="G980" s="27"/>
      <c r="H980" s="20"/>
      <c r="I980" s="21"/>
      <c r="J980" s="28"/>
      <c r="K980" s="19"/>
    </row>
    <row r="981" spans="1:11" ht="13.2">
      <c r="A981" s="22"/>
      <c r="B981" s="16"/>
      <c r="C981" s="23"/>
      <c r="D981" s="24"/>
      <c r="E981" s="25"/>
      <c r="F981" s="26"/>
      <c r="G981" s="27"/>
      <c r="H981" s="20"/>
      <c r="I981" s="21"/>
      <c r="J981" s="28"/>
      <c r="K981" s="19"/>
    </row>
    <row r="982" spans="1:11" ht="13.2">
      <c r="A982" s="22"/>
      <c r="B982" s="16"/>
      <c r="C982" s="23"/>
      <c r="D982" s="24"/>
      <c r="E982" s="25"/>
      <c r="F982" s="26"/>
      <c r="G982" s="27"/>
      <c r="H982" s="20"/>
      <c r="I982" s="21"/>
      <c r="J982" s="28"/>
      <c r="K982" s="19"/>
    </row>
    <row r="983" spans="1:11" ht="13.2">
      <c r="A983" s="22"/>
      <c r="B983" s="16"/>
      <c r="C983" s="23"/>
      <c r="D983" s="24"/>
      <c r="E983" s="25"/>
      <c r="F983" s="26"/>
      <c r="G983" s="27"/>
      <c r="H983" s="20"/>
      <c r="I983" s="21"/>
      <c r="J983" s="28"/>
      <c r="K983" s="19"/>
    </row>
    <row r="984" spans="1:11" ht="13.2">
      <c r="A984" s="22"/>
      <c r="B984" s="16"/>
      <c r="C984" s="23"/>
      <c r="D984" s="24"/>
      <c r="E984" s="25"/>
      <c r="F984" s="26"/>
      <c r="G984" s="27"/>
      <c r="H984" s="20"/>
      <c r="I984" s="21"/>
      <c r="J984" s="28"/>
      <c r="K984" s="19"/>
    </row>
    <row r="985" spans="1:11" ht="13.2">
      <c r="A985" s="22"/>
      <c r="B985" s="16"/>
      <c r="C985" s="23"/>
      <c r="D985" s="24"/>
      <c r="E985" s="25"/>
      <c r="F985" s="26"/>
      <c r="G985" s="27"/>
      <c r="H985" s="20"/>
      <c r="I985" s="21"/>
      <c r="J985" s="28"/>
      <c r="K985" s="19"/>
    </row>
    <row r="986" spans="1:11" ht="13.2">
      <c r="A986" s="22"/>
      <c r="B986" s="16"/>
      <c r="C986" s="23"/>
      <c r="D986" s="24"/>
      <c r="E986" s="25"/>
      <c r="F986" s="26"/>
      <c r="G986" s="27"/>
      <c r="H986" s="20"/>
      <c r="I986" s="21"/>
      <c r="J986" s="28"/>
      <c r="K986" s="19"/>
    </row>
    <row r="987" spans="1:11" ht="13.2">
      <c r="A987" s="22"/>
      <c r="B987" s="16"/>
      <c r="C987" s="23"/>
      <c r="D987" s="24"/>
      <c r="E987" s="25"/>
      <c r="F987" s="26"/>
      <c r="G987" s="27"/>
      <c r="H987" s="20"/>
      <c r="I987" s="21"/>
      <c r="J987" s="28"/>
      <c r="K987" s="19"/>
    </row>
    <row r="988" spans="1:11" ht="13.2">
      <c r="A988" s="22"/>
      <c r="B988" s="16"/>
      <c r="C988" s="23"/>
      <c r="D988" s="24"/>
      <c r="E988" s="25"/>
      <c r="F988" s="26"/>
      <c r="G988" s="27"/>
      <c r="H988" s="20"/>
      <c r="I988" s="21"/>
      <c r="J988" s="28"/>
      <c r="K988" s="19"/>
    </row>
    <row r="989" spans="1:11" ht="13.2">
      <c r="A989" s="22"/>
      <c r="B989" s="16"/>
      <c r="C989" s="23"/>
      <c r="D989" s="24"/>
      <c r="E989" s="25"/>
      <c r="F989" s="26"/>
      <c r="G989" s="27"/>
      <c r="H989" s="20"/>
      <c r="I989" s="21"/>
      <c r="J989" s="28"/>
      <c r="K989" s="19"/>
    </row>
    <row r="990" spans="1:11" ht="13.2">
      <c r="A990" s="22"/>
      <c r="B990" s="16"/>
      <c r="C990" s="23"/>
      <c r="D990" s="24"/>
      <c r="E990" s="25"/>
      <c r="F990" s="26"/>
      <c r="G990" s="27"/>
      <c r="H990" s="20"/>
      <c r="I990" s="21"/>
      <c r="J990" s="28"/>
      <c r="K990" s="19"/>
    </row>
    <row r="991" spans="1:11" ht="13.2">
      <c r="A991" s="22"/>
      <c r="B991" s="16"/>
      <c r="C991" s="23"/>
      <c r="D991" s="24"/>
      <c r="E991" s="25"/>
      <c r="F991" s="26"/>
      <c r="G991" s="27"/>
      <c r="H991" s="20"/>
      <c r="I991" s="21"/>
      <c r="J991" s="28"/>
      <c r="K991" s="19"/>
    </row>
    <row r="992" spans="1:11" ht="13.2">
      <c r="A992" s="22"/>
      <c r="B992" s="16"/>
      <c r="C992" s="23"/>
      <c r="D992" s="24"/>
      <c r="E992" s="25"/>
      <c r="F992" s="26"/>
      <c r="G992" s="27"/>
      <c r="H992" s="20"/>
      <c r="I992" s="21"/>
      <c r="J992" s="28"/>
      <c r="K992" s="19"/>
    </row>
    <row r="993" spans="1:11" ht="13.2">
      <c r="A993" s="22"/>
      <c r="B993" s="16"/>
      <c r="C993" s="23"/>
      <c r="D993" s="24"/>
      <c r="E993" s="25"/>
      <c r="F993" s="26"/>
      <c r="G993" s="27"/>
      <c r="H993" s="20"/>
      <c r="I993" s="21"/>
      <c r="J993" s="28"/>
      <c r="K993" s="19"/>
    </row>
    <row r="994" spans="1:11" ht="13.2">
      <c r="A994" s="22"/>
      <c r="B994" s="16"/>
      <c r="C994" s="23"/>
      <c r="D994" s="24"/>
      <c r="E994" s="25"/>
      <c r="F994" s="26"/>
      <c r="G994" s="27"/>
      <c r="H994" s="20"/>
      <c r="I994" s="21"/>
      <c r="J994" s="28"/>
      <c r="K994" s="19"/>
    </row>
    <row r="995" spans="1:11" ht="13.2">
      <c r="A995" s="22"/>
      <c r="B995" s="16"/>
      <c r="C995" s="23"/>
      <c r="D995" s="24"/>
      <c r="E995" s="25"/>
      <c r="F995" s="26"/>
      <c r="G995" s="27"/>
      <c r="H995" s="20"/>
      <c r="I995" s="21"/>
      <c r="J995" s="28"/>
      <c r="K995" s="19"/>
    </row>
    <row r="996" spans="1:11" ht="13.2">
      <c r="A996" s="22"/>
      <c r="B996" s="16"/>
      <c r="C996" s="23"/>
      <c r="D996" s="24"/>
      <c r="E996" s="25"/>
      <c r="F996" s="26"/>
      <c r="G996" s="27"/>
      <c r="H996" s="20"/>
      <c r="I996" s="21"/>
      <c r="J996" s="28"/>
      <c r="K996" s="19"/>
    </row>
    <row r="997" spans="1:11" ht="13.2">
      <c r="A997" s="22"/>
      <c r="B997" s="16"/>
      <c r="C997" s="23"/>
      <c r="D997" s="24"/>
      <c r="E997" s="25"/>
      <c r="F997" s="26"/>
      <c r="G997" s="27"/>
      <c r="H997" s="20"/>
      <c r="I997" s="21"/>
      <c r="J997" s="28"/>
      <c r="K997" s="19"/>
    </row>
    <row r="998" spans="1:11" ht="13.2">
      <c r="A998" s="22"/>
      <c r="B998" s="16"/>
      <c r="C998" s="23"/>
      <c r="D998" s="24"/>
      <c r="E998" s="25"/>
      <c r="F998" s="26"/>
      <c r="G998" s="27"/>
      <c r="H998" s="20"/>
      <c r="I998" s="21"/>
      <c r="J998" s="28"/>
      <c r="K998" s="19"/>
    </row>
    <row r="999" spans="1:11" ht="13.2">
      <c r="A999" s="22"/>
      <c r="B999" s="16"/>
      <c r="C999" s="23"/>
      <c r="D999" s="24"/>
      <c r="E999" s="25"/>
      <c r="F999" s="26"/>
      <c r="G999" s="27"/>
      <c r="H999" s="20"/>
      <c r="I999" s="21"/>
      <c r="J999" s="28"/>
      <c r="K999" s="19"/>
    </row>
    <row r="1000" spans="1:11" ht="13.2">
      <c r="A1000" s="22"/>
      <c r="B1000" s="16"/>
      <c r="C1000" s="23"/>
      <c r="D1000" s="24"/>
      <c r="E1000" s="25"/>
      <c r="F1000" s="26"/>
      <c r="G1000" s="27"/>
      <c r="H1000" s="20"/>
      <c r="I1000" s="21"/>
      <c r="J1000" s="28"/>
      <c r="K1000" s="19"/>
    </row>
    <row r="1001" spans="1:11" ht="13.2">
      <c r="A1001" s="22"/>
      <c r="B1001" s="16"/>
      <c r="C1001" s="23"/>
      <c r="D1001" s="24"/>
      <c r="E1001" s="25"/>
      <c r="F1001" s="26"/>
      <c r="G1001" s="27"/>
      <c r="H1001" s="20"/>
      <c r="I1001" s="21"/>
      <c r="J1001" s="28"/>
      <c r="K1001" s="19"/>
    </row>
    <row r="1002" spans="1:11" ht="13.2">
      <c r="A1002" s="22"/>
      <c r="B1002" s="16"/>
      <c r="C1002" s="23"/>
      <c r="D1002" s="24"/>
      <c r="E1002" s="25"/>
      <c r="F1002" s="26"/>
      <c r="G1002" s="27"/>
      <c r="H1002" s="20"/>
      <c r="I1002" s="21"/>
      <c r="J1002" s="28"/>
      <c r="K1002" s="19"/>
    </row>
    <row r="1003" spans="1:11" ht="13.2">
      <c r="A1003" s="22"/>
      <c r="B1003" s="16"/>
      <c r="C1003" s="23"/>
      <c r="D1003" s="24"/>
      <c r="E1003" s="25"/>
      <c r="F1003" s="26"/>
      <c r="G1003" s="27"/>
      <c r="H1003" s="20"/>
      <c r="I1003" s="21"/>
      <c r="J1003" s="28"/>
      <c r="K1003" s="19"/>
    </row>
    <row r="1004" spans="1:11" ht="13.2">
      <c r="A1004" s="22"/>
      <c r="B1004" s="16"/>
      <c r="C1004" s="23"/>
      <c r="D1004" s="24"/>
      <c r="E1004" s="25"/>
      <c r="F1004" s="26"/>
      <c r="G1004" s="27"/>
      <c r="H1004" s="20"/>
      <c r="I1004" s="21"/>
      <c r="J1004" s="28"/>
      <c r="K1004" s="19"/>
    </row>
    <row r="1005" spans="1:11" ht="13.2">
      <c r="A1005" s="22"/>
      <c r="B1005" s="16"/>
      <c r="C1005" s="23"/>
      <c r="D1005" s="24"/>
      <c r="E1005" s="25"/>
      <c r="F1005" s="26"/>
      <c r="G1005" s="27"/>
      <c r="H1005" s="20"/>
      <c r="I1005" s="21"/>
      <c r="J1005" s="28"/>
      <c r="K1005" s="19"/>
    </row>
    <row r="1006" spans="1:11" ht="13.2">
      <c r="A1006" s="22"/>
      <c r="B1006" s="16"/>
      <c r="C1006" s="23"/>
      <c r="D1006" s="24"/>
      <c r="E1006" s="25"/>
      <c r="F1006" s="26"/>
      <c r="G1006" s="27"/>
      <c r="H1006" s="20"/>
      <c r="I1006" s="21"/>
      <c r="J1006" s="28"/>
      <c r="K1006" s="19"/>
    </row>
    <row r="1007" spans="1:11" ht="13.2">
      <c r="A1007" s="22"/>
      <c r="B1007" s="16"/>
      <c r="C1007" s="23"/>
      <c r="D1007" s="24"/>
      <c r="E1007" s="25"/>
      <c r="F1007" s="26"/>
      <c r="G1007" s="27"/>
      <c r="H1007" s="20"/>
      <c r="I1007" s="21"/>
      <c r="J1007" s="28"/>
      <c r="K1007" s="19"/>
    </row>
    <row r="1008" spans="1:11" ht="13.2">
      <c r="A1008" s="22"/>
      <c r="B1008" s="16"/>
      <c r="C1008" s="23"/>
      <c r="D1008" s="24"/>
      <c r="E1008" s="25"/>
      <c r="F1008" s="26"/>
      <c r="G1008" s="27"/>
      <c r="H1008" s="20"/>
      <c r="I1008" s="21"/>
      <c r="J1008" s="28"/>
      <c r="K1008" s="19"/>
    </row>
    <row r="1009" spans="1:11" ht="13.2">
      <c r="A1009" s="22"/>
      <c r="B1009" s="16"/>
      <c r="C1009" s="23"/>
      <c r="D1009" s="24"/>
      <c r="E1009" s="25"/>
      <c r="F1009" s="26"/>
      <c r="G1009" s="27"/>
      <c r="H1009" s="20"/>
      <c r="I1009" s="21"/>
      <c r="J1009" s="28"/>
      <c r="K1009" s="19"/>
    </row>
    <row r="1010" spans="1:11" ht="13.2">
      <c r="A1010" s="22"/>
      <c r="B1010" s="16"/>
      <c r="C1010" s="23"/>
      <c r="D1010" s="24"/>
      <c r="E1010" s="25"/>
      <c r="F1010" s="26"/>
      <c r="G1010" s="27"/>
      <c r="H1010" s="20"/>
      <c r="I1010" s="21"/>
      <c r="J1010" s="28"/>
      <c r="K1010" s="19"/>
    </row>
    <row r="1011" spans="1:11" ht="13.2">
      <c r="A1011" s="22"/>
      <c r="B1011" s="16"/>
      <c r="C1011" s="23"/>
      <c r="D1011" s="24"/>
      <c r="E1011" s="25"/>
      <c r="F1011" s="26"/>
      <c r="G1011" s="27"/>
      <c r="H1011" s="20"/>
      <c r="I1011" s="21"/>
      <c r="J1011" s="28"/>
      <c r="K1011" s="19"/>
    </row>
    <row r="1012" spans="1:11" ht="13.2">
      <c r="A1012" s="22"/>
      <c r="B1012" s="16"/>
      <c r="C1012" s="23"/>
      <c r="D1012" s="24"/>
      <c r="E1012" s="25"/>
      <c r="F1012" s="26"/>
      <c r="G1012" s="27"/>
      <c r="H1012" s="20"/>
      <c r="I1012" s="21"/>
      <c r="J1012" s="28"/>
      <c r="K1012" s="19"/>
    </row>
    <row r="1013" spans="1:11" ht="13.2">
      <c r="A1013" s="22"/>
      <c r="B1013" s="16"/>
      <c r="C1013" s="23"/>
      <c r="D1013" s="24"/>
      <c r="E1013" s="25"/>
      <c r="F1013" s="26"/>
      <c r="G1013" s="27"/>
      <c r="H1013" s="20"/>
      <c r="I1013" s="21"/>
      <c r="J1013" s="28"/>
      <c r="K1013" s="19"/>
    </row>
    <row r="1014" spans="1:11" ht="13.2">
      <c r="A1014" s="22"/>
      <c r="B1014" s="16"/>
      <c r="C1014" s="23"/>
      <c r="D1014" s="24"/>
      <c r="E1014" s="25"/>
      <c r="F1014" s="26"/>
      <c r="G1014" s="27"/>
      <c r="H1014" s="20"/>
      <c r="I1014" s="21"/>
      <c r="J1014" s="28"/>
      <c r="K1014" s="19"/>
    </row>
    <row r="1015" spans="1:11" ht="13.2">
      <c r="A1015" s="22"/>
      <c r="B1015" s="16"/>
      <c r="C1015" s="23"/>
      <c r="D1015" s="24"/>
      <c r="E1015" s="25"/>
      <c r="F1015" s="26"/>
      <c r="G1015" s="27"/>
      <c r="H1015" s="20"/>
      <c r="I1015" s="21"/>
      <c r="J1015" s="28"/>
      <c r="K1015" s="19"/>
    </row>
    <row r="1016" spans="1:11" ht="13.2">
      <c r="A1016" s="22"/>
      <c r="B1016" s="16"/>
      <c r="C1016" s="23"/>
      <c r="D1016" s="24"/>
      <c r="E1016" s="25"/>
      <c r="F1016" s="26"/>
      <c r="G1016" s="27"/>
      <c r="H1016" s="20"/>
      <c r="I1016" s="21"/>
      <c r="J1016" s="28"/>
      <c r="K1016" s="19"/>
    </row>
    <row r="1017" spans="1:11" ht="13.2">
      <c r="A1017" s="22"/>
      <c r="B1017" s="16"/>
      <c r="C1017" s="23"/>
      <c r="D1017" s="24"/>
      <c r="E1017" s="25"/>
      <c r="F1017" s="26"/>
      <c r="G1017" s="27"/>
      <c r="H1017" s="20"/>
      <c r="I1017" s="21"/>
      <c r="J1017" s="28"/>
      <c r="K1017" s="19"/>
    </row>
    <row r="1018" spans="1:11" ht="13.2">
      <c r="A1018" s="22"/>
      <c r="B1018" s="16"/>
      <c r="C1018" s="23"/>
      <c r="D1018" s="24"/>
      <c r="E1018" s="25"/>
      <c r="F1018" s="26"/>
      <c r="G1018" s="27"/>
      <c r="H1018" s="20"/>
      <c r="I1018" s="21"/>
      <c r="J1018" s="28"/>
      <c r="K1018" s="19"/>
    </row>
    <row r="1019" spans="1:11" ht="13.2">
      <c r="A1019" s="22"/>
      <c r="B1019" s="16"/>
      <c r="C1019" s="23"/>
      <c r="D1019" s="24"/>
      <c r="E1019" s="25"/>
      <c r="F1019" s="26"/>
      <c r="G1019" s="27"/>
      <c r="H1019" s="20"/>
      <c r="I1019" s="21"/>
      <c r="J1019" s="28"/>
      <c r="K1019" s="19"/>
    </row>
    <row r="1020" spans="1:11" ht="13.2">
      <c r="A1020" s="22"/>
      <c r="B1020" s="16"/>
      <c r="C1020" s="23"/>
      <c r="D1020" s="24"/>
      <c r="E1020" s="25"/>
      <c r="F1020" s="26"/>
      <c r="G1020" s="27"/>
      <c r="H1020" s="20"/>
      <c r="I1020" s="21"/>
      <c r="J1020" s="28"/>
      <c r="K1020" s="19"/>
    </row>
    <row r="1021" spans="1:11" ht="13.2">
      <c r="A1021" s="22"/>
      <c r="B1021" s="16"/>
      <c r="C1021" s="23"/>
      <c r="D1021" s="24"/>
      <c r="E1021" s="25"/>
      <c r="F1021" s="26"/>
      <c r="G1021" s="27"/>
      <c r="H1021" s="20"/>
      <c r="I1021" s="21"/>
      <c r="J1021" s="28"/>
      <c r="K1021" s="19"/>
    </row>
    <row r="1022" spans="1:11" ht="13.2">
      <c r="A1022" s="22"/>
      <c r="B1022" s="16"/>
      <c r="C1022" s="23"/>
      <c r="D1022" s="24"/>
      <c r="E1022" s="25"/>
      <c r="F1022" s="26"/>
      <c r="G1022" s="27"/>
      <c r="H1022" s="20"/>
      <c r="I1022" s="21"/>
      <c r="J1022" s="28"/>
      <c r="K1022" s="19"/>
    </row>
    <row r="1023" spans="1:11" ht="13.2">
      <c r="A1023" s="22"/>
      <c r="B1023" s="16"/>
      <c r="C1023" s="23"/>
      <c r="D1023" s="24"/>
      <c r="E1023" s="25"/>
      <c r="F1023" s="26"/>
      <c r="G1023" s="27"/>
      <c r="H1023" s="20"/>
      <c r="I1023" s="21"/>
      <c r="J1023" s="28"/>
      <c r="K1023" s="19"/>
    </row>
    <row r="1024" spans="1:11" ht="13.2">
      <c r="A1024" s="22"/>
      <c r="B1024" s="16"/>
      <c r="C1024" s="23"/>
      <c r="D1024" s="24"/>
      <c r="E1024" s="25"/>
      <c r="F1024" s="26"/>
      <c r="G1024" s="27"/>
      <c r="H1024" s="20"/>
      <c r="I1024" s="21"/>
      <c r="J1024" s="28"/>
      <c r="K1024" s="19"/>
    </row>
    <row r="1025" spans="1:11" ht="13.2">
      <c r="A1025" s="22"/>
      <c r="B1025" s="16"/>
      <c r="C1025" s="23"/>
      <c r="D1025" s="24"/>
      <c r="E1025" s="25"/>
      <c r="F1025" s="26"/>
      <c r="G1025" s="27"/>
      <c r="H1025" s="20"/>
      <c r="I1025" s="21"/>
      <c r="J1025" s="28"/>
      <c r="K1025" s="19"/>
    </row>
    <row r="1026" spans="1:11" ht="13.2">
      <c r="A1026" s="22"/>
      <c r="B1026" s="16"/>
      <c r="C1026" s="23"/>
      <c r="D1026" s="24"/>
      <c r="E1026" s="25"/>
      <c r="F1026" s="26"/>
      <c r="G1026" s="27"/>
      <c r="H1026" s="20"/>
      <c r="I1026" s="21"/>
      <c r="J1026" s="28"/>
      <c r="K1026" s="19"/>
    </row>
    <row r="1027" spans="1:11" ht="13.2">
      <c r="A1027" s="22"/>
      <c r="B1027" s="16"/>
      <c r="C1027" s="23"/>
      <c r="D1027" s="24"/>
      <c r="E1027" s="25"/>
      <c r="F1027" s="26"/>
      <c r="G1027" s="27"/>
      <c r="H1027" s="20"/>
      <c r="I1027" s="21"/>
      <c r="J1027" s="28"/>
      <c r="K1027" s="19"/>
    </row>
    <row r="1028" spans="1:11" ht="13.2">
      <c r="A1028" s="22"/>
      <c r="B1028" s="16"/>
      <c r="C1028" s="23"/>
      <c r="D1028" s="24"/>
      <c r="E1028" s="25"/>
      <c r="F1028" s="26"/>
      <c r="G1028" s="27"/>
      <c r="H1028" s="20"/>
      <c r="I1028" s="21"/>
      <c r="J1028" s="28"/>
      <c r="K1028" s="19"/>
    </row>
    <row r="1029" spans="1:11" ht="13.2">
      <c r="A1029" s="22"/>
      <c r="B1029" s="16"/>
      <c r="C1029" s="23"/>
      <c r="D1029" s="24"/>
      <c r="E1029" s="25"/>
      <c r="F1029" s="26"/>
      <c r="G1029" s="27"/>
      <c r="H1029" s="20"/>
      <c r="I1029" s="21"/>
      <c r="J1029" s="28"/>
      <c r="K1029" s="19"/>
    </row>
    <row r="1030" spans="1:11" ht="13.2">
      <c r="A1030" s="22"/>
      <c r="B1030" s="16"/>
      <c r="C1030" s="23"/>
      <c r="D1030" s="24"/>
      <c r="E1030" s="25"/>
      <c r="F1030" s="26"/>
      <c r="G1030" s="27"/>
      <c r="H1030" s="20"/>
      <c r="I1030" s="21"/>
      <c r="J1030" s="28"/>
      <c r="K1030" s="19"/>
    </row>
    <row r="1031" spans="1:11" ht="13.2">
      <c r="A1031" s="22"/>
      <c r="B1031" s="16"/>
      <c r="C1031" s="23"/>
      <c r="D1031" s="24"/>
      <c r="E1031" s="25"/>
      <c r="F1031" s="26"/>
      <c r="G1031" s="27"/>
      <c r="H1031" s="20"/>
      <c r="I1031" s="21"/>
      <c r="J1031" s="28"/>
      <c r="K1031" s="19"/>
    </row>
    <row r="1032" spans="1:11" ht="13.2">
      <c r="A1032" s="22"/>
      <c r="B1032" s="16"/>
      <c r="C1032" s="23"/>
      <c r="D1032" s="24"/>
      <c r="E1032" s="25"/>
      <c r="F1032" s="26"/>
      <c r="G1032" s="27"/>
      <c r="H1032" s="20"/>
      <c r="I1032" s="21"/>
      <c r="J1032" s="28"/>
      <c r="K1032" s="19"/>
    </row>
    <row r="1033" spans="1:11" ht="13.2">
      <c r="A1033" s="22"/>
      <c r="B1033" s="16"/>
      <c r="C1033" s="23"/>
      <c r="D1033" s="24"/>
      <c r="E1033" s="25"/>
      <c r="F1033" s="26"/>
      <c r="G1033" s="27"/>
      <c r="H1033" s="20"/>
      <c r="I1033" s="21"/>
      <c r="J1033" s="28"/>
      <c r="K1033" s="19"/>
    </row>
    <row r="1034" spans="1:11" ht="13.2">
      <c r="A1034" s="22"/>
      <c r="B1034" s="16"/>
      <c r="C1034" s="23"/>
      <c r="D1034" s="24"/>
      <c r="E1034" s="25"/>
      <c r="F1034" s="26"/>
      <c r="G1034" s="27"/>
      <c r="H1034" s="20"/>
      <c r="I1034" s="21"/>
      <c r="J1034" s="28"/>
      <c r="K1034" s="19"/>
    </row>
    <row r="1035" spans="1:11" ht="13.2">
      <c r="A1035" s="22"/>
      <c r="B1035" s="16"/>
      <c r="C1035" s="23"/>
      <c r="D1035" s="24"/>
      <c r="E1035" s="25"/>
      <c r="F1035" s="26"/>
      <c r="G1035" s="27"/>
      <c r="H1035" s="20"/>
      <c r="I1035" s="21"/>
      <c r="J1035" s="28"/>
      <c r="K1035" s="19"/>
    </row>
    <row r="1036" spans="1:11" ht="13.2">
      <c r="A1036" s="22"/>
      <c r="B1036" s="16"/>
      <c r="C1036" s="23"/>
      <c r="D1036" s="24"/>
      <c r="E1036" s="25"/>
      <c r="F1036" s="26"/>
      <c r="G1036" s="27"/>
      <c r="H1036" s="20"/>
      <c r="I1036" s="21"/>
      <c r="J1036" s="28"/>
      <c r="K1036" s="19"/>
    </row>
    <row r="1037" spans="1:11" ht="13.2">
      <c r="A1037" s="22"/>
      <c r="B1037" s="16"/>
      <c r="C1037" s="23"/>
      <c r="D1037" s="24"/>
      <c r="E1037" s="25"/>
      <c r="F1037" s="26"/>
      <c r="G1037" s="27"/>
      <c r="H1037" s="20"/>
      <c r="I1037" s="21"/>
      <c r="J1037" s="28"/>
      <c r="K1037" s="19"/>
    </row>
    <row r="1038" spans="1:11" ht="13.2">
      <c r="A1038" s="22"/>
      <c r="B1038" s="16"/>
      <c r="C1038" s="23"/>
      <c r="D1038" s="24"/>
      <c r="E1038" s="25"/>
      <c r="F1038" s="26"/>
      <c r="G1038" s="27"/>
      <c r="H1038" s="20"/>
      <c r="I1038" s="21"/>
      <c r="J1038" s="28"/>
      <c r="K1038" s="19"/>
    </row>
    <row r="1039" spans="1:11" ht="13.2">
      <c r="A1039" s="22"/>
      <c r="B1039" s="16"/>
      <c r="C1039" s="23"/>
      <c r="D1039" s="24"/>
      <c r="E1039" s="25"/>
      <c r="F1039" s="26"/>
      <c r="G1039" s="27"/>
      <c r="H1039" s="20"/>
      <c r="I1039" s="21"/>
      <c r="J1039" s="28"/>
      <c r="K1039" s="19"/>
    </row>
    <row r="1040" spans="1:11" ht="13.2">
      <c r="A1040" s="22"/>
      <c r="B1040" s="16"/>
      <c r="C1040" s="23"/>
      <c r="D1040" s="24"/>
      <c r="E1040" s="25"/>
      <c r="F1040" s="26"/>
      <c r="G1040" s="27"/>
      <c r="H1040" s="20"/>
      <c r="I1040" s="21"/>
      <c r="J1040" s="28"/>
      <c r="K1040" s="19"/>
    </row>
    <row r="1041" spans="1:11" ht="13.2">
      <c r="A1041" s="22"/>
      <c r="B1041" s="16"/>
      <c r="C1041" s="23"/>
      <c r="D1041" s="24"/>
      <c r="E1041" s="25"/>
      <c r="F1041" s="26"/>
      <c r="G1041" s="27"/>
      <c r="H1041" s="20"/>
      <c r="I1041" s="21"/>
      <c r="J1041" s="28"/>
      <c r="K1041" s="19"/>
    </row>
    <row r="1042" spans="1:11" ht="13.2">
      <c r="A1042" s="22"/>
      <c r="B1042" s="16"/>
      <c r="C1042" s="23"/>
      <c r="D1042" s="24"/>
      <c r="E1042" s="25"/>
      <c r="F1042" s="26"/>
      <c r="G1042" s="27"/>
      <c r="H1042" s="20"/>
      <c r="I1042" s="21"/>
      <c r="J1042" s="28"/>
      <c r="K1042" s="19"/>
    </row>
    <row r="1043" spans="1:11" ht="13.2">
      <c r="A1043" s="22"/>
      <c r="B1043" s="16"/>
      <c r="C1043" s="23"/>
      <c r="D1043" s="24"/>
      <c r="E1043" s="25"/>
      <c r="F1043" s="26"/>
      <c r="G1043" s="27"/>
      <c r="H1043" s="20"/>
      <c r="I1043" s="21"/>
      <c r="J1043" s="28"/>
      <c r="K1043" s="19"/>
    </row>
    <row r="1044" spans="1:11" ht="13.2">
      <c r="A1044" s="22"/>
      <c r="B1044" s="16"/>
      <c r="C1044" s="23"/>
      <c r="D1044" s="24"/>
      <c r="E1044" s="25"/>
      <c r="F1044" s="26"/>
      <c r="G1044" s="27"/>
      <c r="H1044" s="20"/>
      <c r="I1044" s="21"/>
      <c r="J1044" s="28"/>
      <c r="K1044" s="19"/>
    </row>
    <row r="1045" spans="1:11" ht="13.2">
      <c r="A1045" s="22"/>
      <c r="B1045" s="16"/>
      <c r="C1045" s="23"/>
      <c r="D1045" s="24"/>
      <c r="E1045" s="25"/>
      <c r="F1045" s="26"/>
      <c r="G1045" s="27"/>
      <c r="H1045" s="20"/>
      <c r="I1045" s="21"/>
      <c r="J1045" s="28"/>
      <c r="K1045" s="19"/>
    </row>
    <row r="1046" spans="1:11" ht="13.2">
      <c r="A1046" s="22"/>
      <c r="B1046" s="16"/>
      <c r="C1046" s="23"/>
      <c r="D1046" s="24"/>
      <c r="E1046" s="25"/>
      <c r="F1046" s="26"/>
      <c r="G1046" s="27"/>
      <c r="H1046" s="20"/>
      <c r="I1046" s="21"/>
      <c r="J1046" s="28"/>
      <c r="K1046" s="19"/>
    </row>
    <row r="1047" spans="1:11" ht="13.2">
      <c r="A1047" s="22"/>
      <c r="B1047" s="16"/>
      <c r="C1047" s="23"/>
      <c r="D1047" s="24"/>
      <c r="E1047" s="25"/>
      <c r="F1047" s="26"/>
      <c r="G1047" s="27"/>
      <c r="H1047" s="20"/>
      <c r="I1047" s="21"/>
      <c r="J1047" s="28"/>
      <c r="K1047" s="19"/>
    </row>
    <row r="1048" spans="1:11" ht="13.2">
      <c r="A1048" s="22"/>
      <c r="B1048" s="16"/>
      <c r="C1048" s="23"/>
      <c r="D1048" s="24"/>
      <c r="E1048" s="25"/>
      <c r="F1048" s="26"/>
      <c r="G1048" s="27"/>
      <c r="H1048" s="20"/>
      <c r="I1048" s="21"/>
      <c r="J1048" s="28"/>
      <c r="K1048" s="19"/>
    </row>
    <row r="1049" spans="1:11" ht="13.2">
      <c r="A1049" s="22"/>
      <c r="B1049" s="16"/>
      <c r="C1049" s="23"/>
      <c r="D1049" s="24"/>
      <c r="E1049" s="25"/>
      <c r="F1049" s="26"/>
      <c r="G1049" s="27"/>
      <c r="H1049" s="20"/>
      <c r="I1049" s="21"/>
      <c r="J1049" s="28"/>
      <c r="K1049" s="19"/>
    </row>
    <row r="1050" spans="1:11" ht="13.2">
      <c r="A1050" s="22"/>
      <c r="B1050" s="16"/>
      <c r="C1050" s="23"/>
      <c r="D1050" s="24"/>
      <c r="E1050" s="25"/>
      <c r="F1050" s="26"/>
      <c r="G1050" s="27"/>
      <c r="H1050" s="20"/>
      <c r="I1050" s="21"/>
      <c r="J1050" s="28"/>
      <c r="K1050" s="19"/>
    </row>
    <row r="1051" spans="1:11" ht="13.2">
      <c r="A1051" s="22"/>
      <c r="B1051" s="16"/>
      <c r="C1051" s="23"/>
      <c r="D1051" s="24"/>
      <c r="E1051" s="25"/>
      <c r="F1051" s="26"/>
      <c r="G1051" s="27"/>
      <c r="H1051" s="20"/>
      <c r="I1051" s="21"/>
      <c r="J1051" s="28"/>
      <c r="K1051" s="19"/>
    </row>
    <row r="1052" spans="1:11" ht="13.2">
      <c r="A1052" s="22"/>
      <c r="B1052" s="16"/>
      <c r="C1052" s="23"/>
      <c r="D1052" s="24"/>
      <c r="E1052" s="25"/>
      <c r="F1052" s="26"/>
      <c r="G1052" s="27"/>
      <c r="H1052" s="20"/>
      <c r="I1052" s="21"/>
      <c r="J1052" s="28"/>
      <c r="K1052" s="19"/>
    </row>
    <row r="1053" spans="1:11" ht="13.2">
      <c r="A1053" s="22"/>
      <c r="B1053" s="16"/>
      <c r="C1053" s="23"/>
      <c r="D1053" s="24"/>
      <c r="E1053" s="25"/>
      <c r="F1053" s="26"/>
      <c r="G1053" s="27"/>
      <c r="H1053" s="20"/>
      <c r="I1053" s="21"/>
      <c r="J1053" s="28"/>
      <c r="K1053" s="19"/>
    </row>
    <row r="1054" spans="1:11" ht="13.2">
      <c r="A1054" s="22"/>
      <c r="B1054" s="16"/>
      <c r="C1054" s="23"/>
      <c r="D1054" s="24"/>
      <c r="E1054" s="25"/>
      <c r="F1054" s="26"/>
      <c r="G1054" s="27"/>
      <c r="H1054" s="20"/>
      <c r="I1054" s="21"/>
      <c r="J1054" s="28"/>
      <c r="K1054" s="19"/>
    </row>
    <row r="1055" spans="1:11" ht="13.2">
      <c r="A1055" s="22"/>
      <c r="B1055" s="16"/>
      <c r="C1055" s="23"/>
      <c r="D1055" s="24"/>
      <c r="E1055" s="25"/>
      <c r="F1055" s="26"/>
      <c r="G1055" s="27"/>
      <c r="H1055" s="20"/>
      <c r="I1055" s="21"/>
      <c r="J1055" s="28"/>
      <c r="K1055" s="19"/>
    </row>
    <row r="1056" spans="1:11" ht="13.2">
      <c r="A1056" s="22"/>
      <c r="B1056" s="16"/>
      <c r="C1056" s="23"/>
      <c r="D1056" s="24"/>
      <c r="E1056" s="25"/>
      <c r="F1056" s="26"/>
      <c r="G1056" s="27"/>
      <c r="H1056" s="20"/>
      <c r="I1056" s="21"/>
      <c r="J1056" s="28"/>
      <c r="K1056" s="19"/>
    </row>
    <row r="1057" spans="1:11" ht="13.2">
      <c r="A1057" s="22"/>
      <c r="B1057" s="16"/>
      <c r="C1057" s="23"/>
      <c r="D1057" s="24"/>
      <c r="E1057" s="25"/>
      <c r="F1057" s="26"/>
      <c r="G1057" s="27"/>
      <c r="H1057" s="20"/>
      <c r="I1057" s="21"/>
      <c r="J1057" s="28"/>
      <c r="K1057" s="19"/>
    </row>
    <row r="1058" spans="1:11" ht="13.2">
      <c r="A1058" s="22"/>
      <c r="B1058" s="16"/>
      <c r="C1058" s="23"/>
      <c r="D1058" s="24"/>
      <c r="E1058" s="25"/>
      <c r="F1058" s="26"/>
      <c r="G1058" s="27"/>
      <c r="H1058" s="20"/>
      <c r="I1058" s="21"/>
      <c r="J1058" s="28"/>
      <c r="K1058" s="19"/>
    </row>
    <row r="1059" spans="1:11" ht="13.2">
      <c r="A1059" s="22"/>
      <c r="B1059" s="16"/>
      <c r="C1059" s="23"/>
      <c r="D1059" s="24"/>
      <c r="E1059" s="25"/>
      <c r="F1059" s="26"/>
      <c r="G1059" s="27"/>
      <c r="H1059" s="20"/>
      <c r="I1059" s="21"/>
      <c r="J1059" s="28"/>
      <c r="K1059" s="19"/>
    </row>
    <row r="1060" spans="1:11" ht="13.2">
      <c r="A1060" s="22"/>
      <c r="B1060" s="16"/>
      <c r="C1060" s="23"/>
      <c r="D1060" s="24"/>
      <c r="E1060" s="25"/>
      <c r="F1060" s="26"/>
      <c r="G1060" s="27"/>
      <c r="H1060" s="20"/>
      <c r="I1060" s="21"/>
      <c r="J1060" s="28"/>
      <c r="K1060" s="19"/>
    </row>
    <row r="1061" spans="1:11" ht="13.2">
      <c r="A1061" s="22"/>
      <c r="B1061" s="16"/>
      <c r="C1061" s="23"/>
      <c r="D1061" s="24"/>
      <c r="E1061" s="25"/>
      <c r="F1061" s="26"/>
      <c r="G1061" s="27"/>
      <c r="H1061" s="20"/>
      <c r="I1061" s="21"/>
      <c r="J1061" s="28"/>
      <c r="K1061" s="19"/>
    </row>
    <row r="1062" spans="1:11" ht="13.2">
      <c r="A1062" s="22"/>
      <c r="B1062" s="16"/>
      <c r="C1062" s="23"/>
      <c r="D1062" s="24"/>
      <c r="E1062" s="25"/>
      <c r="F1062" s="26"/>
      <c r="G1062" s="27"/>
      <c r="H1062" s="20"/>
      <c r="I1062" s="21"/>
      <c r="J1062" s="28"/>
      <c r="K1062" s="19"/>
    </row>
    <row r="1063" spans="1:11" ht="13.2">
      <c r="A1063" s="22"/>
      <c r="B1063" s="16"/>
      <c r="C1063" s="23"/>
      <c r="D1063" s="24"/>
      <c r="E1063" s="25"/>
      <c r="F1063" s="26"/>
      <c r="G1063" s="27"/>
      <c r="H1063" s="20"/>
      <c r="I1063" s="21"/>
      <c r="J1063" s="28"/>
      <c r="K1063" s="19"/>
    </row>
    <row r="1064" spans="1:11" ht="13.2">
      <c r="A1064" s="22"/>
      <c r="B1064" s="16"/>
      <c r="C1064" s="23"/>
      <c r="D1064" s="24"/>
      <c r="E1064" s="25"/>
      <c r="F1064" s="26"/>
      <c r="G1064" s="27"/>
      <c r="H1064" s="20"/>
      <c r="I1064" s="21"/>
      <c r="J1064" s="28"/>
      <c r="K1064" s="19"/>
    </row>
    <row r="1065" spans="1:11" ht="13.2">
      <c r="A1065" s="22"/>
      <c r="B1065" s="16"/>
      <c r="C1065" s="23"/>
      <c r="D1065" s="24"/>
      <c r="E1065" s="25"/>
      <c r="F1065" s="26"/>
      <c r="G1065" s="27"/>
      <c r="H1065" s="20"/>
      <c r="I1065" s="21"/>
      <c r="J1065" s="28"/>
      <c r="K1065" s="19"/>
    </row>
    <row r="1066" spans="1:11" ht="13.2">
      <c r="A1066" s="22"/>
      <c r="B1066" s="16"/>
      <c r="C1066" s="23"/>
      <c r="D1066" s="24"/>
      <c r="E1066" s="25"/>
      <c r="F1066" s="26"/>
      <c r="G1066" s="27"/>
      <c r="H1066" s="20"/>
      <c r="I1066" s="21"/>
      <c r="J1066" s="28"/>
      <c r="K1066" s="19"/>
    </row>
    <row r="1067" spans="1:11" ht="13.2">
      <c r="A1067" s="22"/>
      <c r="B1067" s="16"/>
      <c r="C1067" s="23"/>
      <c r="D1067" s="24"/>
      <c r="E1067" s="25"/>
      <c r="F1067" s="26"/>
      <c r="G1067" s="27"/>
      <c r="H1067" s="20"/>
      <c r="I1067" s="21"/>
      <c r="J1067" s="28"/>
      <c r="K1067" s="19"/>
    </row>
    <row r="1068" spans="1:11" ht="13.2">
      <c r="A1068" s="22"/>
      <c r="B1068" s="16"/>
      <c r="C1068" s="23"/>
      <c r="D1068" s="24"/>
      <c r="E1068" s="25"/>
      <c r="F1068" s="26"/>
      <c r="G1068" s="27"/>
      <c r="H1068" s="20"/>
      <c r="I1068" s="21"/>
      <c r="J1068" s="28"/>
      <c r="K1068" s="19"/>
    </row>
    <row r="1069" spans="1:11" ht="13.2">
      <c r="A1069" s="22"/>
      <c r="B1069" s="16"/>
      <c r="C1069" s="23"/>
      <c r="D1069" s="24"/>
      <c r="E1069" s="25"/>
      <c r="F1069" s="26"/>
      <c r="G1069" s="27"/>
      <c r="H1069" s="20"/>
      <c r="I1069" s="21"/>
      <c r="J1069" s="28"/>
      <c r="K1069" s="19"/>
    </row>
    <row r="1070" spans="1:11" ht="13.2">
      <c r="A1070" s="22"/>
      <c r="B1070" s="16"/>
      <c r="C1070" s="23"/>
      <c r="D1070" s="24"/>
      <c r="E1070" s="25"/>
      <c r="F1070" s="26"/>
      <c r="G1070" s="27"/>
      <c r="H1070" s="20"/>
      <c r="I1070" s="21"/>
      <c r="J1070" s="28"/>
      <c r="K1070" s="19"/>
    </row>
    <row r="1071" spans="1:11" ht="13.2">
      <c r="A1071" s="22"/>
      <c r="B1071" s="16"/>
      <c r="C1071" s="23"/>
      <c r="D1071" s="24"/>
      <c r="E1071" s="25"/>
      <c r="F1071" s="26"/>
      <c r="G1071" s="27"/>
      <c r="H1071" s="20"/>
      <c r="I1071" s="21"/>
      <c r="J1071" s="28"/>
      <c r="K1071" s="19"/>
    </row>
    <row r="1072" spans="1:11" ht="13.2">
      <c r="A1072" s="22"/>
      <c r="B1072" s="16"/>
      <c r="C1072" s="23"/>
      <c r="D1072" s="24"/>
      <c r="E1072" s="25"/>
      <c r="F1072" s="26"/>
      <c r="G1072" s="27"/>
      <c r="H1072" s="20"/>
      <c r="I1072" s="21"/>
      <c r="J1072" s="28"/>
      <c r="K1072" s="19"/>
    </row>
    <row r="1073" spans="1:11" ht="13.2">
      <c r="A1073" s="22"/>
      <c r="B1073" s="16"/>
      <c r="C1073" s="23"/>
      <c r="D1073" s="24"/>
      <c r="E1073" s="25"/>
      <c r="F1073" s="26"/>
      <c r="G1073" s="27"/>
      <c r="H1073" s="20"/>
      <c r="I1073" s="21"/>
      <c r="J1073" s="28"/>
      <c r="K1073" s="19"/>
    </row>
    <row r="1074" spans="1:11" ht="13.2">
      <c r="A1074" s="22"/>
      <c r="B1074" s="16"/>
      <c r="C1074" s="23"/>
      <c r="D1074" s="24"/>
      <c r="E1074" s="25"/>
      <c r="F1074" s="26"/>
      <c r="G1074" s="27"/>
      <c r="H1074" s="20"/>
      <c r="I1074" s="21"/>
      <c r="J1074" s="28"/>
      <c r="K1074" s="19"/>
    </row>
    <row r="1075" spans="1:11" ht="13.2">
      <c r="A1075" s="22"/>
      <c r="B1075" s="16"/>
      <c r="C1075" s="23"/>
      <c r="D1075" s="24"/>
      <c r="E1075" s="25"/>
      <c r="F1075" s="26"/>
      <c r="G1075" s="27"/>
      <c r="H1075" s="20"/>
      <c r="I1075" s="21"/>
      <c r="J1075" s="28"/>
      <c r="K1075" s="19"/>
    </row>
    <row r="1076" spans="1:11" ht="13.2">
      <c r="A1076" s="22"/>
      <c r="B1076" s="16"/>
      <c r="C1076" s="23"/>
      <c r="D1076" s="24"/>
      <c r="E1076" s="25"/>
      <c r="F1076" s="26"/>
      <c r="G1076" s="27"/>
      <c r="H1076" s="20"/>
      <c r="I1076" s="21"/>
      <c r="J1076" s="28"/>
      <c r="K1076" s="19"/>
    </row>
    <row r="1077" spans="1:11" ht="13.2">
      <c r="A1077" s="22"/>
      <c r="B1077" s="16"/>
      <c r="C1077" s="23"/>
      <c r="D1077" s="24"/>
      <c r="E1077" s="25"/>
      <c r="F1077" s="26"/>
      <c r="G1077" s="27"/>
      <c r="H1077" s="20"/>
      <c r="I1077" s="21"/>
      <c r="J1077" s="28"/>
      <c r="K1077" s="19"/>
    </row>
    <row r="1078" spans="1:11" ht="13.2">
      <c r="A1078" s="22"/>
      <c r="B1078" s="16"/>
      <c r="C1078" s="23"/>
      <c r="D1078" s="24"/>
      <c r="E1078" s="25"/>
      <c r="F1078" s="26"/>
      <c r="G1078" s="27"/>
      <c r="H1078" s="20"/>
      <c r="I1078" s="21"/>
      <c r="J1078" s="28"/>
      <c r="K1078" s="19"/>
    </row>
    <row r="1079" spans="1:11" ht="13.2">
      <c r="A1079" s="22"/>
      <c r="B1079" s="16"/>
      <c r="C1079" s="23"/>
      <c r="D1079" s="24"/>
      <c r="E1079" s="25"/>
      <c r="F1079" s="26"/>
      <c r="G1079" s="27"/>
      <c r="H1079" s="20"/>
      <c r="I1079" s="21"/>
      <c r="J1079" s="28"/>
      <c r="K1079" s="19"/>
    </row>
    <row r="1080" spans="1:11" ht="13.2">
      <c r="A1080" s="22"/>
      <c r="B1080" s="16"/>
      <c r="C1080" s="23"/>
      <c r="D1080" s="24"/>
      <c r="E1080" s="25"/>
      <c r="F1080" s="26"/>
      <c r="G1080" s="27"/>
      <c r="H1080" s="20"/>
      <c r="I1080" s="21"/>
      <c r="J1080" s="28"/>
      <c r="K1080" s="19"/>
    </row>
    <row r="1081" spans="1:11" ht="13.2">
      <c r="A1081" s="22"/>
      <c r="B1081" s="16"/>
      <c r="C1081" s="23"/>
      <c r="D1081" s="24"/>
      <c r="E1081" s="25"/>
      <c r="F1081" s="26"/>
      <c r="G1081" s="27"/>
      <c r="H1081" s="20"/>
      <c r="I1081" s="21"/>
      <c r="J1081" s="28"/>
      <c r="K1081" s="19"/>
    </row>
    <row r="1082" spans="1:11" ht="13.2">
      <c r="A1082" s="22"/>
      <c r="B1082" s="16"/>
      <c r="C1082" s="23"/>
      <c r="D1082" s="24"/>
      <c r="E1082" s="25"/>
      <c r="F1082" s="26"/>
      <c r="G1082" s="27"/>
      <c r="H1082" s="20"/>
      <c r="I1082" s="21"/>
      <c r="J1082" s="28"/>
      <c r="K1082" s="19"/>
    </row>
    <row r="1083" spans="1:11" ht="13.2">
      <c r="A1083" s="22"/>
      <c r="B1083" s="16"/>
      <c r="C1083" s="23"/>
      <c r="D1083" s="24"/>
      <c r="E1083" s="25"/>
      <c r="F1083" s="26"/>
      <c r="G1083" s="27"/>
      <c r="H1083" s="20"/>
      <c r="I1083" s="21"/>
      <c r="J1083" s="28"/>
      <c r="K1083" s="19"/>
    </row>
    <row r="1084" spans="1:11" ht="13.2">
      <c r="A1084" s="22"/>
      <c r="B1084" s="16"/>
      <c r="C1084" s="23"/>
      <c r="D1084" s="24"/>
      <c r="E1084" s="25"/>
      <c r="F1084" s="26"/>
      <c r="G1084" s="27"/>
      <c r="H1084" s="20"/>
      <c r="I1084" s="21"/>
      <c r="J1084" s="28"/>
      <c r="K1084" s="19"/>
    </row>
    <row r="1085" spans="1:11" ht="13.2">
      <c r="A1085" s="22"/>
      <c r="B1085" s="16"/>
      <c r="C1085" s="23"/>
      <c r="D1085" s="24"/>
      <c r="E1085" s="25"/>
      <c r="F1085" s="26"/>
      <c r="G1085" s="27"/>
      <c r="H1085" s="20"/>
      <c r="I1085" s="21"/>
      <c r="J1085" s="28"/>
      <c r="K1085" s="19"/>
    </row>
    <row r="1086" spans="1:11" ht="13.2">
      <c r="A1086" s="22"/>
      <c r="B1086" s="16"/>
      <c r="C1086" s="23"/>
      <c r="D1086" s="24"/>
      <c r="E1086" s="25"/>
      <c r="F1086" s="26"/>
      <c r="G1086" s="27"/>
      <c r="H1086" s="20"/>
      <c r="I1086" s="21"/>
      <c r="J1086" s="28"/>
      <c r="K1086" s="19"/>
    </row>
    <row r="1087" spans="1:11" ht="13.2">
      <c r="A1087" s="22"/>
      <c r="B1087" s="16"/>
      <c r="C1087" s="23"/>
      <c r="D1087" s="24"/>
      <c r="E1087" s="25"/>
      <c r="F1087" s="26"/>
      <c r="G1087" s="27"/>
      <c r="H1087" s="20"/>
      <c r="I1087" s="21"/>
      <c r="J1087" s="28"/>
      <c r="K1087" s="19"/>
    </row>
    <row r="1088" spans="1:11" ht="13.2">
      <c r="A1088" s="22"/>
      <c r="B1088" s="16"/>
      <c r="C1088" s="23"/>
      <c r="D1088" s="24"/>
      <c r="E1088" s="25"/>
      <c r="F1088" s="26"/>
      <c r="G1088" s="27"/>
      <c r="H1088" s="20"/>
      <c r="I1088" s="21"/>
      <c r="J1088" s="28"/>
      <c r="K1088" s="19"/>
    </row>
    <row r="1089" spans="1:11" ht="13.2">
      <c r="A1089" s="22"/>
      <c r="B1089" s="16"/>
      <c r="C1089" s="23"/>
      <c r="D1089" s="24"/>
      <c r="E1089" s="25"/>
      <c r="F1089" s="26"/>
      <c r="G1089" s="27"/>
      <c r="H1089" s="20"/>
      <c r="I1089" s="21"/>
      <c r="J1089" s="28"/>
      <c r="K1089" s="19"/>
    </row>
    <row r="1090" spans="1:11" ht="13.2">
      <c r="A1090" s="22"/>
      <c r="B1090" s="16"/>
      <c r="C1090" s="23"/>
      <c r="D1090" s="24"/>
      <c r="E1090" s="25"/>
      <c r="F1090" s="26"/>
      <c r="G1090" s="27"/>
      <c r="H1090" s="20"/>
      <c r="I1090" s="21"/>
      <c r="J1090" s="28"/>
      <c r="K1090" s="19"/>
    </row>
    <row r="1091" spans="1:11" ht="13.2">
      <c r="A1091" s="22"/>
      <c r="B1091" s="16"/>
      <c r="C1091" s="23"/>
      <c r="D1091" s="24"/>
      <c r="E1091" s="25"/>
      <c r="F1091" s="26"/>
      <c r="G1091" s="27"/>
      <c r="H1091" s="20"/>
      <c r="I1091" s="21"/>
      <c r="J1091" s="28"/>
      <c r="K1091" s="19"/>
    </row>
    <row r="1092" spans="1:11" ht="13.2">
      <c r="A1092" s="22"/>
      <c r="B1092" s="16"/>
      <c r="C1092" s="23"/>
      <c r="D1092" s="24"/>
      <c r="E1092" s="25"/>
      <c r="F1092" s="26"/>
      <c r="G1092" s="27"/>
      <c r="H1092" s="20"/>
      <c r="I1092" s="21"/>
      <c r="J1092" s="28"/>
      <c r="K1092" s="19"/>
    </row>
    <row r="1093" spans="1:11" ht="13.2">
      <c r="A1093" s="22"/>
      <c r="B1093" s="16"/>
      <c r="C1093" s="23"/>
      <c r="D1093" s="24"/>
      <c r="E1093" s="25"/>
      <c r="F1093" s="26"/>
      <c r="G1093" s="27"/>
      <c r="H1093" s="20"/>
      <c r="I1093" s="21"/>
      <c r="J1093" s="28"/>
      <c r="K1093" s="19"/>
    </row>
    <row r="1094" spans="1:11" ht="13.2">
      <c r="A1094" s="22"/>
      <c r="B1094" s="16"/>
      <c r="C1094" s="23"/>
      <c r="D1094" s="24"/>
      <c r="E1094" s="25"/>
      <c r="F1094" s="26"/>
      <c r="G1094" s="27"/>
      <c r="H1094" s="20"/>
      <c r="I1094" s="21"/>
      <c r="J1094" s="28"/>
      <c r="K1094" s="19"/>
    </row>
    <row r="1095" spans="1:11" ht="13.2">
      <c r="A1095" s="22"/>
      <c r="B1095" s="16"/>
      <c r="C1095" s="23"/>
      <c r="D1095" s="24"/>
      <c r="E1095" s="25"/>
      <c r="F1095" s="26"/>
      <c r="G1095" s="27"/>
      <c r="H1095" s="20"/>
      <c r="I1095" s="21"/>
      <c r="J1095" s="28"/>
      <c r="K1095" s="19"/>
    </row>
    <row r="1096" spans="1:11" ht="13.2">
      <c r="A1096" s="22"/>
      <c r="B1096" s="16"/>
      <c r="C1096" s="23"/>
      <c r="D1096" s="24"/>
      <c r="E1096" s="25"/>
      <c r="F1096" s="26"/>
      <c r="G1096" s="27"/>
      <c r="H1096" s="20"/>
      <c r="I1096" s="21"/>
      <c r="J1096" s="28"/>
      <c r="K1096" s="19"/>
    </row>
    <row r="1097" spans="1:11" ht="13.2">
      <c r="A1097" s="22"/>
      <c r="B1097" s="16"/>
      <c r="C1097" s="23"/>
      <c r="D1097" s="24"/>
      <c r="E1097" s="25"/>
      <c r="F1097" s="26"/>
      <c r="G1097" s="27"/>
      <c r="H1097" s="20"/>
      <c r="I1097" s="21"/>
      <c r="J1097" s="28"/>
      <c r="K1097" s="19"/>
    </row>
    <row r="1098" spans="1:11" ht="13.2">
      <c r="A1098" s="22"/>
      <c r="B1098" s="16"/>
      <c r="C1098" s="23"/>
      <c r="D1098" s="24"/>
      <c r="E1098" s="25"/>
      <c r="F1098" s="26"/>
      <c r="G1098" s="27"/>
      <c r="H1098" s="20"/>
      <c r="I1098" s="21"/>
      <c r="J1098" s="28"/>
      <c r="K1098" s="19"/>
    </row>
    <row r="1099" spans="1:11" ht="13.2">
      <c r="A1099" s="22"/>
      <c r="B1099" s="16"/>
      <c r="C1099" s="23"/>
      <c r="D1099" s="24"/>
      <c r="E1099" s="25"/>
      <c r="F1099" s="26"/>
      <c r="G1099" s="27"/>
      <c r="H1099" s="20"/>
      <c r="I1099" s="21"/>
      <c r="J1099" s="28"/>
      <c r="K1099" s="19"/>
    </row>
    <row r="1100" spans="1:11" ht="13.2">
      <c r="A1100" s="22"/>
      <c r="B1100" s="16"/>
      <c r="C1100" s="23"/>
      <c r="D1100" s="24"/>
      <c r="E1100" s="25"/>
      <c r="F1100" s="26"/>
      <c r="G1100" s="27"/>
      <c r="H1100" s="20"/>
      <c r="I1100" s="21"/>
      <c r="J1100" s="28"/>
      <c r="K1100" s="19"/>
    </row>
    <row r="1101" spans="1:11" ht="13.2">
      <c r="A1101" s="22"/>
      <c r="B1101" s="16"/>
      <c r="C1101" s="23"/>
      <c r="D1101" s="24"/>
      <c r="E1101" s="25"/>
      <c r="F1101" s="26"/>
      <c r="G1101" s="27"/>
      <c r="H1101" s="20"/>
      <c r="I1101" s="21"/>
      <c r="J1101" s="28"/>
      <c r="K1101" s="19"/>
    </row>
    <row r="1102" spans="1:11" ht="13.2">
      <c r="A1102" s="22"/>
      <c r="B1102" s="16"/>
      <c r="C1102" s="23"/>
      <c r="D1102" s="24"/>
      <c r="E1102" s="25"/>
      <c r="F1102" s="26"/>
      <c r="G1102" s="27"/>
      <c r="H1102" s="20"/>
      <c r="I1102" s="21"/>
      <c r="J1102" s="28"/>
      <c r="K1102" s="19"/>
    </row>
    <row r="1103" spans="1:11" ht="13.2">
      <c r="A1103" s="22"/>
      <c r="B1103" s="16"/>
      <c r="C1103" s="23"/>
      <c r="D1103" s="24"/>
      <c r="E1103" s="25"/>
      <c r="F1103" s="26"/>
      <c r="G1103" s="27"/>
      <c r="H1103" s="20"/>
      <c r="I1103" s="21"/>
      <c r="J1103" s="28"/>
      <c r="K1103" s="19"/>
    </row>
    <row r="1104" spans="1:11" ht="13.2">
      <c r="A1104" s="22"/>
      <c r="B1104" s="16"/>
      <c r="C1104" s="23"/>
      <c r="D1104" s="24"/>
      <c r="E1104" s="25"/>
      <c r="F1104" s="26"/>
      <c r="G1104" s="27"/>
      <c r="H1104" s="20"/>
      <c r="I1104" s="21"/>
      <c r="J1104" s="28"/>
      <c r="K1104" s="19"/>
    </row>
    <row r="1105" spans="1:11" ht="13.2">
      <c r="A1105" s="22"/>
      <c r="B1105" s="16"/>
      <c r="C1105" s="23"/>
      <c r="D1105" s="24"/>
      <c r="E1105" s="25"/>
      <c r="F1105" s="26"/>
      <c r="G1105" s="27"/>
      <c r="H1105" s="20"/>
      <c r="I1105" s="21"/>
      <c r="J1105" s="28"/>
      <c r="K1105" s="19"/>
    </row>
    <row r="1106" spans="1:11" ht="13.2">
      <c r="A1106" s="22"/>
      <c r="B1106" s="16"/>
      <c r="C1106" s="23"/>
      <c r="D1106" s="24"/>
      <c r="E1106" s="25"/>
      <c r="F1106" s="26"/>
      <c r="G1106" s="27"/>
      <c r="H1106" s="20"/>
      <c r="I1106" s="21"/>
      <c r="J1106" s="28"/>
      <c r="K1106" s="19"/>
    </row>
    <row r="1107" spans="1:11" ht="13.2">
      <c r="A1107" s="22"/>
      <c r="B1107" s="16"/>
      <c r="C1107" s="23"/>
      <c r="D1107" s="24"/>
      <c r="E1107" s="25"/>
      <c r="F1107" s="26"/>
      <c r="G1107" s="27"/>
      <c r="H1107" s="20"/>
      <c r="I1107" s="21"/>
      <c r="J1107" s="28"/>
      <c r="K1107" s="19"/>
    </row>
    <row r="1108" spans="1:11" ht="13.2">
      <c r="A1108" s="22"/>
      <c r="B1108" s="16"/>
      <c r="C1108" s="23"/>
      <c r="D1108" s="24"/>
      <c r="E1108" s="25"/>
      <c r="F1108" s="26"/>
      <c r="G1108" s="27"/>
      <c r="H1108" s="20"/>
      <c r="I1108" s="21"/>
      <c r="J1108" s="28"/>
      <c r="K1108" s="19"/>
    </row>
    <row r="1109" spans="1:11" ht="13.2">
      <c r="A1109" s="22"/>
      <c r="B1109" s="16"/>
      <c r="C1109" s="23"/>
      <c r="D1109" s="24"/>
      <c r="E1109" s="25"/>
      <c r="F1109" s="26"/>
      <c r="G1109" s="27"/>
      <c r="H1109" s="20"/>
      <c r="I1109" s="21"/>
      <c r="J1109" s="28"/>
      <c r="K1109" s="19"/>
    </row>
    <row r="1110" spans="1:11" ht="13.2">
      <c r="A1110" s="22"/>
      <c r="B1110" s="16"/>
      <c r="C1110" s="23"/>
      <c r="D1110" s="24"/>
      <c r="E1110" s="25"/>
      <c r="F1110" s="26"/>
      <c r="G1110" s="27"/>
      <c r="H1110" s="20"/>
      <c r="I1110" s="21"/>
      <c r="J1110" s="28"/>
      <c r="K1110" s="19"/>
    </row>
    <row r="1111" spans="1:11" ht="13.2">
      <c r="A1111" s="22"/>
      <c r="B1111" s="16"/>
      <c r="C1111" s="23"/>
      <c r="D1111" s="24"/>
      <c r="E1111" s="25"/>
      <c r="F1111" s="26"/>
      <c r="G1111" s="27"/>
      <c r="H1111" s="20"/>
      <c r="I1111" s="21"/>
      <c r="J1111" s="28"/>
      <c r="K1111" s="19"/>
    </row>
    <row r="1112" spans="1:11" ht="13.2">
      <c r="A1112" s="22"/>
      <c r="B1112" s="16"/>
      <c r="C1112" s="23"/>
      <c r="D1112" s="24"/>
      <c r="E1112" s="25"/>
      <c r="F1112" s="26"/>
      <c r="G1112" s="27"/>
      <c r="H1112" s="20"/>
      <c r="I1112" s="21"/>
      <c r="J1112" s="28"/>
      <c r="K1112" s="19"/>
    </row>
    <row r="1113" spans="1:11" ht="13.2">
      <c r="A1113" s="22"/>
      <c r="B1113" s="16"/>
      <c r="C1113" s="23"/>
      <c r="D1113" s="24"/>
      <c r="E1113" s="25"/>
      <c r="F1113" s="26"/>
      <c r="G1113" s="27"/>
      <c r="H1113" s="20"/>
      <c r="I1113" s="21"/>
      <c r="J1113" s="28"/>
      <c r="K1113" s="19"/>
    </row>
    <row r="1114" spans="1:11" ht="13.2">
      <c r="A1114" s="22"/>
      <c r="B1114" s="16"/>
      <c r="C1114" s="23"/>
      <c r="D1114" s="24"/>
      <c r="E1114" s="25"/>
      <c r="F1114" s="26"/>
      <c r="G1114" s="27"/>
      <c r="H1114" s="20"/>
      <c r="I1114" s="21"/>
      <c r="J1114" s="28"/>
      <c r="K1114" s="19"/>
    </row>
    <row r="1115" spans="1:11" ht="13.2">
      <c r="A1115" s="22"/>
      <c r="B1115" s="16"/>
      <c r="C1115" s="23"/>
      <c r="D1115" s="24"/>
      <c r="E1115" s="25"/>
      <c r="F1115" s="26"/>
      <c r="G1115" s="27"/>
      <c r="H1115" s="20"/>
      <c r="I1115" s="21"/>
      <c r="J1115" s="28"/>
      <c r="K1115" s="19"/>
    </row>
    <row r="1116" spans="1:11" ht="13.2">
      <c r="A1116" s="22"/>
      <c r="B1116" s="16"/>
      <c r="C1116" s="23"/>
      <c r="D1116" s="24"/>
      <c r="E1116" s="25"/>
      <c r="F1116" s="26"/>
      <c r="G1116" s="27"/>
      <c r="H1116" s="20"/>
      <c r="I1116" s="21"/>
      <c r="J1116" s="28"/>
      <c r="K1116" s="19"/>
    </row>
    <row r="1117" spans="1:11" ht="13.2">
      <c r="A1117" s="22"/>
      <c r="B1117" s="16"/>
      <c r="C1117" s="23"/>
      <c r="D1117" s="24"/>
      <c r="E1117" s="25"/>
      <c r="F1117" s="26"/>
      <c r="G1117" s="27"/>
      <c r="H1117" s="20"/>
      <c r="I1117" s="21"/>
      <c r="J1117" s="28"/>
      <c r="K1117" s="19"/>
    </row>
    <row r="1118" spans="1:11" ht="13.2">
      <c r="A1118" s="22"/>
      <c r="B1118" s="16"/>
      <c r="C1118" s="23"/>
      <c r="D1118" s="24"/>
      <c r="E1118" s="25"/>
      <c r="F1118" s="26"/>
      <c r="G1118" s="27"/>
      <c r="H1118" s="20"/>
      <c r="I1118" s="21"/>
      <c r="J1118" s="28"/>
      <c r="K1118" s="19"/>
    </row>
    <row r="1119" spans="1:11" ht="13.2">
      <c r="A1119" s="22"/>
      <c r="B1119" s="16"/>
      <c r="C1119" s="23"/>
      <c r="D1119" s="24"/>
      <c r="E1119" s="25"/>
      <c r="F1119" s="26"/>
      <c r="G1119" s="27"/>
      <c r="H1119" s="20"/>
      <c r="I1119" s="21"/>
      <c r="J1119" s="28"/>
      <c r="K1119" s="19"/>
    </row>
    <row r="1120" spans="1:11" ht="13.2">
      <c r="A1120" s="22"/>
      <c r="B1120" s="16"/>
      <c r="C1120" s="23"/>
      <c r="D1120" s="24"/>
      <c r="E1120" s="25"/>
      <c r="F1120" s="26"/>
      <c r="G1120" s="27"/>
      <c r="H1120" s="20"/>
      <c r="I1120" s="21"/>
      <c r="J1120" s="28"/>
      <c r="K1120" s="19"/>
    </row>
    <row r="1121" spans="1:11" ht="13.2">
      <c r="A1121" s="22"/>
      <c r="B1121" s="16"/>
      <c r="C1121" s="23"/>
      <c r="D1121" s="24"/>
      <c r="E1121" s="25"/>
      <c r="F1121" s="26"/>
      <c r="G1121" s="27"/>
      <c r="H1121" s="20"/>
      <c r="I1121" s="21"/>
      <c r="J1121" s="28"/>
      <c r="K1121" s="19"/>
    </row>
    <row r="1122" spans="1:11" ht="13.2">
      <c r="A1122" s="22"/>
      <c r="B1122" s="16"/>
      <c r="C1122" s="23"/>
      <c r="D1122" s="24"/>
      <c r="E1122" s="25"/>
      <c r="F1122" s="26"/>
      <c r="G1122" s="27"/>
      <c r="H1122" s="20"/>
      <c r="I1122" s="21"/>
      <c r="J1122" s="28"/>
      <c r="K1122" s="19"/>
    </row>
    <row r="1123" spans="1:11" ht="13.2">
      <c r="A1123" s="22"/>
      <c r="B1123" s="16"/>
      <c r="C1123" s="23"/>
      <c r="D1123" s="24"/>
      <c r="E1123" s="25"/>
      <c r="F1123" s="26"/>
      <c r="G1123" s="27"/>
      <c r="H1123" s="20"/>
      <c r="I1123" s="21"/>
      <c r="J1123" s="28"/>
      <c r="K1123" s="19"/>
    </row>
    <row r="1124" spans="1:11" ht="13.2">
      <c r="A1124" s="22"/>
      <c r="B1124" s="16"/>
      <c r="C1124" s="23"/>
      <c r="D1124" s="24"/>
      <c r="E1124" s="25"/>
      <c r="F1124" s="26"/>
      <c r="G1124" s="27"/>
      <c r="H1124" s="20"/>
      <c r="I1124" s="21"/>
      <c r="J1124" s="28"/>
      <c r="K1124" s="19"/>
    </row>
    <row r="1125" spans="1:11" ht="13.2">
      <c r="A1125" s="22"/>
      <c r="B1125" s="16"/>
      <c r="C1125" s="23"/>
      <c r="D1125" s="24"/>
      <c r="E1125" s="25"/>
      <c r="F1125" s="26"/>
      <c r="G1125" s="27"/>
      <c r="H1125" s="20"/>
      <c r="I1125" s="21"/>
      <c r="J1125" s="28"/>
      <c r="K1125" s="19"/>
    </row>
    <row r="1126" spans="1:11" ht="13.2">
      <c r="A1126" s="22"/>
      <c r="B1126" s="16"/>
      <c r="C1126" s="23"/>
      <c r="D1126" s="24"/>
      <c r="E1126" s="25"/>
      <c r="F1126" s="26"/>
      <c r="G1126" s="27"/>
      <c r="H1126" s="20"/>
      <c r="I1126" s="21"/>
      <c r="J1126" s="28"/>
      <c r="K1126" s="19"/>
    </row>
    <row r="1127" spans="1:11" ht="13.2">
      <c r="A1127" s="22"/>
      <c r="B1127" s="16"/>
      <c r="C1127" s="23"/>
      <c r="D1127" s="24"/>
      <c r="E1127" s="25"/>
      <c r="F1127" s="26"/>
      <c r="G1127" s="27"/>
      <c r="H1127" s="20"/>
      <c r="I1127" s="21"/>
      <c r="J1127" s="28"/>
      <c r="K1127" s="19"/>
    </row>
    <row r="1128" spans="1:11" ht="13.2">
      <c r="A1128" s="22"/>
      <c r="B1128" s="16"/>
      <c r="C1128" s="23"/>
      <c r="D1128" s="24"/>
      <c r="E1128" s="25"/>
      <c r="F1128" s="26"/>
      <c r="G1128" s="27"/>
      <c r="H1128" s="20"/>
      <c r="I1128" s="21"/>
      <c r="J1128" s="28"/>
      <c r="K1128" s="19"/>
    </row>
    <row r="1129" spans="1:11" ht="13.2">
      <c r="A1129" s="22"/>
      <c r="B1129" s="16"/>
      <c r="C1129" s="23"/>
      <c r="D1129" s="24"/>
      <c r="E1129" s="25"/>
      <c r="F1129" s="26"/>
      <c r="G1129" s="27"/>
      <c r="H1129" s="20"/>
      <c r="I1129" s="21"/>
      <c r="J1129" s="28"/>
      <c r="K1129" s="19"/>
    </row>
    <row r="1130" spans="1:11" ht="13.2">
      <c r="A1130" s="22"/>
      <c r="B1130" s="16"/>
      <c r="C1130" s="23"/>
      <c r="D1130" s="24"/>
      <c r="E1130" s="25"/>
      <c r="F1130" s="26"/>
      <c r="G1130" s="27"/>
      <c r="H1130" s="20"/>
      <c r="I1130" s="21"/>
      <c r="J1130" s="28"/>
      <c r="K1130" s="19"/>
    </row>
    <row r="1131" spans="1:11" ht="13.2">
      <c r="A1131" s="22"/>
      <c r="B1131" s="16"/>
      <c r="C1131" s="23"/>
      <c r="D1131" s="24"/>
      <c r="E1131" s="25"/>
      <c r="F1131" s="26"/>
      <c r="G1131" s="27"/>
      <c r="H1131" s="20"/>
      <c r="I1131" s="21"/>
      <c r="J1131" s="28"/>
      <c r="K1131" s="19"/>
    </row>
    <row r="1132" spans="1:11" ht="13.2">
      <c r="A1132" s="22"/>
      <c r="B1132" s="16"/>
      <c r="C1132" s="23"/>
      <c r="D1132" s="24"/>
      <c r="E1132" s="25"/>
      <c r="F1132" s="26"/>
      <c r="G1132" s="27"/>
      <c r="H1132" s="20"/>
      <c r="I1132" s="21"/>
      <c r="J1132" s="28"/>
      <c r="K1132" s="19"/>
    </row>
    <row r="1133" spans="1:11" ht="13.2">
      <c r="A1133" s="22"/>
      <c r="B1133" s="16"/>
      <c r="C1133" s="23"/>
      <c r="D1133" s="24"/>
      <c r="E1133" s="25"/>
      <c r="F1133" s="26"/>
      <c r="G1133" s="27"/>
      <c r="H1133" s="20"/>
      <c r="I1133" s="21"/>
      <c r="J1133" s="28"/>
      <c r="K1133" s="19"/>
    </row>
    <row r="1134" spans="1:11" ht="13.2">
      <c r="A1134" s="22"/>
      <c r="B1134" s="16"/>
      <c r="C1134" s="23"/>
      <c r="D1134" s="24"/>
      <c r="E1134" s="25"/>
      <c r="F1134" s="26"/>
      <c r="G1134" s="27"/>
      <c r="H1134" s="20"/>
      <c r="I1134" s="21"/>
      <c r="J1134" s="28"/>
      <c r="K1134" s="19"/>
    </row>
    <row r="1135" spans="1:11" ht="13.2">
      <c r="A1135" s="22"/>
      <c r="B1135" s="16"/>
      <c r="C1135" s="23"/>
      <c r="D1135" s="24"/>
      <c r="E1135" s="25"/>
      <c r="F1135" s="26"/>
      <c r="G1135" s="27"/>
      <c r="H1135" s="20"/>
      <c r="I1135" s="21"/>
      <c r="J1135" s="28"/>
      <c r="K1135" s="19"/>
    </row>
    <row r="1136" spans="1:11" ht="13.2">
      <c r="A1136" s="22"/>
      <c r="B1136" s="16"/>
      <c r="C1136" s="23"/>
      <c r="D1136" s="24"/>
      <c r="E1136" s="25"/>
      <c r="F1136" s="26"/>
      <c r="G1136" s="27"/>
      <c r="H1136" s="20"/>
      <c r="I1136" s="21"/>
      <c r="J1136" s="28"/>
      <c r="K1136" s="19"/>
    </row>
    <row r="1137" spans="1:11" ht="13.2">
      <c r="A1137" s="22"/>
      <c r="B1137" s="16"/>
      <c r="C1137" s="23"/>
      <c r="D1137" s="24"/>
      <c r="E1137" s="25"/>
      <c r="F1137" s="26"/>
      <c r="G1137" s="27"/>
      <c r="H1137" s="20"/>
      <c r="I1137" s="21"/>
      <c r="J1137" s="28"/>
      <c r="K1137" s="19"/>
    </row>
    <row r="1138" spans="1:11" ht="13.2">
      <c r="A1138" s="22"/>
      <c r="B1138" s="16"/>
      <c r="C1138" s="23"/>
      <c r="D1138" s="24"/>
      <c r="E1138" s="25"/>
      <c r="F1138" s="26"/>
      <c r="G1138" s="27"/>
      <c r="H1138" s="20"/>
      <c r="I1138" s="21"/>
      <c r="J1138" s="28"/>
      <c r="K1138" s="19"/>
    </row>
    <row r="1139" spans="1:11" ht="13.2">
      <c r="A1139" s="22"/>
      <c r="B1139" s="16"/>
      <c r="C1139" s="23"/>
      <c r="D1139" s="24"/>
      <c r="E1139" s="25"/>
      <c r="F1139" s="26"/>
      <c r="G1139" s="27"/>
      <c r="H1139" s="20"/>
      <c r="I1139" s="21"/>
      <c r="J1139" s="28"/>
      <c r="K1139" s="19"/>
    </row>
    <row r="1140" spans="1:11" ht="13.2">
      <c r="A1140" s="22"/>
      <c r="B1140" s="16"/>
      <c r="C1140" s="23"/>
      <c r="D1140" s="24"/>
      <c r="E1140" s="25"/>
      <c r="F1140" s="26"/>
      <c r="G1140" s="27"/>
      <c r="H1140" s="20"/>
      <c r="I1140" s="21"/>
      <c r="J1140" s="28"/>
      <c r="K1140" s="19"/>
    </row>
    <row r="1141" spans="1:11" ht="13.2">
      <c r="A1141" s="22"/>
      <c r="B1141" s="16"/>
      <c r="C1141" s="23"/>
      <c r="D1141" s="24"/>
      <c r="E1141" s="25"/>
      <c r="F1141" s="26"/>
      <c r="G1141" s="27"/>
      <c r="H1141" s="20"/>
      <c r="I1141" s="21"/>
      <c r="J1141" s="28"/>
      <c r="K1141" s="19"/>
    </row>
    <row r="1142" spans="1:11" ht="13.2">
      <c r="A1142" s="22"/>
      <c r="B1142" s="16"/>
      <c r="C1142" s="23"/>
      <c r="D1142" s="24"/>
      <c r="E1142" s="25"/>
      <c r="F1142" s="26"/>
      <c r="G1142" s="27"/>
      <c r="H1142" s="20"/>
      <c r="I1142" s="21"/>
      <c r="J1142" s="28"/>
      <c r="K1142" s="19"/>
    </row>
    <row r="1143" spans="1:11" ht="13.2">
      <c r="A1143" s="22"/>
      <c r="B1143" s="16"/>
      <c r="C1143" s="23"/>
      <c r="D1143" s="24"/>
      <c r="E1143" s="25"/>
      <c r="F1143" s="26"/>
      <c r="G1143" s="27"/>
      <c r="H1143" s="20"/>
      <c r="I1143" s="21"/>
      <c r="J1143" s="28"/>
      <c r="K1143" s="19"/>
    </row>
    <row r="1144" spans="1:11" ht="13.2">
      <c r="A1144" s="22"/>
      <c r="B1144" s="16"/>
      <c r="C1144" s="23"/>
      <c r="D1144" s="24"/>
      <c r="E1144" s="25"/>
      <c r="F1144" s="26"/>
      <c r="G1144" s="27"/>
      <c r="H1144" s="20"/>
      <c r="I1144" s="21"/>
      <c r="J1144" s="28"/>
      <c r="K1144" s="19"/>
    </row>
    <row r="1145" spans="1:11" ht="13.2">
      <c r="A1145" s="22"/>
      <c r="B1145" s="16"/>
      <c r="C1145" s="23"/>
      <c r="D1145" s="24"/>
      <c r="E1145" s="25"/>
      <c r="F1145" s="26"/>
      <c r="G1145" s="27"/>
      <c r="H1145" s="20"/>
      <c r="I1145" s="21"/>
      <c r="J1145" s="28"/>
      <c r="K1145" s="19"/>
    </row>
    <row r="1146" spans="1:11" ht="13.2">
      <c r="A1146" s="22"/>
      <c r="B1146" s="16"/>
      <c r="C1146" s="23"/>
      <c r="D1146" s="24"/>
      <c r="E1146" s="25"/>
      <c r="F1146" s="26"/>
      <c r="G1146" s="27"/>
      <c r="H1146" s="20"/>
      <c r="I1146" s="21"/>
      <c r="J1146" s="28"/>
      <c r="K1146" s="19"/>
    </row>
    <row r="1147" spans="1:11" ht="13.2">
      <c r="A1147" s="22"/>
      <c r="B1147" s="16"/>
      <c r="C1147" s="23"/>
      <c r="D1147" s="24"/>
      <c r="E1147" s="25"/>
      <c r="F1147" s="26"/>
      <c r="G1147" s="27"/>
      <c r="H1147" s="20"/>
      <c r="I1147" s="21"/>
      <c r="J1147" s="28"/>
      <c r="K1147" s="19"/>
    </row>
    <row r="1148" spans="1:11" ht="13.2">
      <c r="A1148" s="22"/>
      <c r="B1148" s="16"/>
      <c r="C1148" s="23"/>
      <c r="D1148" s="24"/>
      <c r="E1148" s="25"/>
      <c r="F1148" s="26"/>
      <c r="G1148" s="27"/>
      <c r="H1148" s="20"/>
      <c r="I1148" s="21"/>
      <c r="J1148" s="28"/>
      <c r="K1148" s="19"/>
    </row>
    <row r="1149" spans="1:11" ht="13.2">
      <c r="A1149" s="22"/>
      <c r="B1149" s="16"/>
      <c r="C1149" s="23"/>
      <c r="D1149" s="24"/>
      <c r="E1149" s="25"/>
      <c r="F1149" s="26"/>
      <c r="G1149" s="27"/>
      <c r="H1149" s="20"/>
      <c r="I1149" s="21"/>
      <c r="J1149" s="28"/>
      <c r="K1149" s="19"/>
    </row>
    <row r="1150" spans="1:11" ht="13.2">
      <c r="A1150" s="22"/>
      <c r="B1150" s="16"/>
      <c r="C1150" s="23"/>
      <c r="D1150" s="24"/>
      <c r="E1150" s="25"/>
      <c r="F1150" s="26"/>
      <c r="G1150" s="27"/>
      <c r="H1150" s="20"/>
      <c r="I1150" s="21"/>
      <c r="J1150" s="28"/>
      <c r="K1150" s="19"/>
    </row>
    <row r="1151" spans="1:11" ht="13.2">
      <c r="A1151" s="22"/>
      <c r="B1151" s="16"/>
      <c r="C1151" s="23"/>
      <c r="D1151" s="24"/>
      <c r="E1151" s="25"/>
      <c r="F1151" s="26"/>
      <c r="G1151" s="27"/>
      <c r="H1151" s="20"/>
      <c r="I1151" s="21"/>
      <c r="J1151" s="28"/>
      <c r="K1151" s="19"/>
    </row>
    <row r="1152" spans="1:11" ht="13.2">
      <c r="A1152" s="22"/>
      <c r="B1152" s="16"/>
      <c r="C1152" s="23"/>
      <c r="D1152" s="24"/>
      <c r="E1152" s="25"/>
      <c r="F1152" s="26"/>
      <c r="G1152" s="27"/>
      <c r="H1152" s="20"/>
      <c r="I1152" s="21"/>
      <c r="J1152" s="28"/>
      <c r="K1152" s="19"/>
    </row>
    <row r="1153" spans="1:11" ht="13.2">
      <c r="A1153" s="22"/>
      <c r="B1153" s="16"/>
      <c r="C1153" s="23"/>
      <c r="D1153" s="24"/>
      <c r="E1153" s="25"/>
      <c r="F1153" s="26"/>
      <c r="G1153" s="27"/>
      <c r="H1153" s="20"/>
      <c r="I1153" s="21"/>
      <c r="J1153" s="28"/>
      <c r="K1153" s="19"/>
    </row>
    <row r="1154" spans="1:11" ht="13.2">
      <c r="A1154" s="22"/>
      <c r="B1154" s="16"/>
      <c r="C1154" s="23"/>
      <c r="D1154" s="24"/>
      <c r="E1154" s="25"/>
      <c r="F1154" s="26"/>
      <c r="G1154" s="27"/>
      <c r="H1154" s="20"/>
      <c r="I1154" s="21"/>
      <c r="J1154" s="28"/>
      <c r="K1154" s="19"/>
    </row>
    <row r="1155" spans="1:11" ht="13.2">
      <c r="A1155" s="22"/>
      <c r="B1155" s="16"/>
      <c r="C1155" s="23"/>
      <c r="D1155" s="24"/>
      <c r="E1155" s="25"/>
      <c r="F1155" s="26"/>
      <c r="G1155" s="27"/>
      <c r="H1155" s="20"/>
      <c r="I1155" s="21"/>
      <c r="J1155" s="28"/>
      <c r="K1155" s="19"/>
    </row>
    <row r="1156" spans="1:11" ht="13.2">
      <c r="A1156" s="22"/>
      <c r="B1156" s="16"/>
      <c r="C1156" s="23"/>
      <c r="D1156" s="24"/>
      <c r="E1156" s="25"/>
      <c r="F1156" s="26"/>
      <c r="G1156" s="27"/>
      <c r="H1156" s="20"/>
      <c r="I1156" s="21"/>
      <c r="J1156" s="28"/>
      <c r="K1156" s="19"/>
    </row>
    <row r="1157" spans="1:11" ht="13.2">
      <c r="A1157" s="22"/>
      <c r="B1157" s="16"/>
      <c r="C1157" s="23"/>
      <c r="D1157" s="24"/>
      <c r="E1157" s="25"/>
      <c r="F1157" s="26"/>
      <c r="G1157" s="27"/>
      <c r="H1157" s="20"/>
      <c r="I1157" s="21"/>
      <c r="J1157" s="28"/>
      <c r="K1157" s="19"/>
    </row>
    <row r="1158" spans="1:11" ht="13.2">
      <c r="A1158" s="22"/>
      <c r="B1158" s="16"/>
      <c r="C1158" s="23"/>
      <c r="D1158" s="24"/>
      <c r="E1158" s="25"/>
      <c r="F1158" s="26"/>
      <c r="G1158" s="27"/>
      <c r="H1158" s="20"/>
      <c r="I1158" s="21"/>
      <c r="J1158" s="28"/>
      <c r="K1158" s="19"/>
    </row>
    <row r="1159" spans="1:11" ht="13.2">
      <c r="A1159" s="22"/>
      <c r="B1159" s="16"/>
      <c r="C1159" s="23"/>
      <c r="D1159" s="24"/>
      <c r="E1159" s="25"/>
      <c r="F1159" s="26"/>
      <c r="G1159" s="27"/>
      <c r="H1159" s="20"/>
      <c r="I1159" s="21"/>
      <c r="J1159" s="28"/>
      <c r="K1159" s="19"/>
    </row>
    <row r="1160" spans="1:11" ht="13.2">
      <c r="A1160" s="22"/>
      <c r="B1160" s="16"/>
      <c r="C1160" s="23"/>
      <c r="D1160" s="24"/>
      <c r="E1160" s="25"/>
      <c r="F1160" s="26"/>
      <c r="G1160" s="27"/>
      <c r="H1160" s="20"/>
      <c r="I1160" s="21"/>
      <c r="J1160" s="28"/>
      <c r="K1160" s="19"/>
    </row>
    <row r="1161" spans="1:11" ht="13.2">
      <c r="A1161" s="22"/>
      <c r="B1161" s="16"/>
      <c r="C1161" s="23"/>
      <c r="D1161" s="24"/>
      <c r="E1161" s="25"/>
      <c r="F1161" s="26"/>
      <c r="G1161" s="27"/>
      <c r="H1161" s="20"/>
      <c r="I1161" s="21"/>
      <c r="J1161" s="28"/>
      <c r="K1161" s="19"/>
    </row>
    <row r="1162" spans="1:11" ht="13.2">
      <c r="A1162" s="22"/>
      <c r="B1162" s="16"/>
      <c r="C1162" s="23"/>
      <c r="D1162" s="24"/>
      <c r="E1162" s="25"/>
      <c r="F1162" s="26"/>
      <c r="G1162" s="27"/>
      <c r="H1162" s="20"/>
      <c r="I1162" s="21"/>
      <c r="J1162" s="28"/>
      <c r="K1162" s="19"/>
    </row>
    <row r="1163" spans="1:11" ht="13.2">
      <c r="A1163" s="22"/>
      <c r="B1163" s="16"/>
      <c r="C1163" s="23"/>
      <c r="D1163" s="24"/>
      <c r="E1163" s="25"/>
      <c r="F1163" s="26"/>
      <c r="G1163" s="27"/>
      <c r="H1163" s="20"/>
      <c r="I1163" s="21"/>
      <c r="J1163" s="28"/>
      <c r="K1163" s="19"/>
    </row>
    <row r="1164" spans="1:11" ht="13.2">
      <c r="A1164" s="22"/>
      <c r="B1164" s="16"/>
      <c r="C1164" s="23"/>
      <c r="D1164" s="24"/>
      <c r="E1164" s="25"/>
      <c r="F1164" s="26"/>
      <c r="G1164" s="27"/>
      <c r="H1164" s="20"/>
      <c r="I1164" s="21"/>
      <c r="J1164" s="28"/>
      <c r="K1164" s="19"/>
    </row>
    <row r="1165" spans="1:11" ht="13.2">
      <c r="A1165" s="22"/>
      <c r="B1165" s="16"/>
      <c r="C1165" s="23"/>
      <c r="D1165" s="24"/>
      <c r="E1165" s="25"/>
      <c r="F1165" s="26"/>
      <c r="G1165" s="27"/>
      <c r="H1165" s="20"/>
      <c r="I1165" s="21"/>
      <c r="J1165" s="28"/>
      <c r="K1165" s="19"/>
    </row>
    <row r="1166" spans="1:11" ht="13.2">
      <c r="A1166" s="22"/>
      <c r="B1166" s="16"/>
      <c r="C1166" s="23"/>
      <c r="D1166" s="24"/>
      <c r="E1166" s="25"/>
      <c r="F1166" s="26"/>
      <c r="G1166" s="27"/>
      <c r="H1166" s="20"/>
      <c r="I1166" s="21"/>
      <c r="J1166" s="28"/>
      <c r="K1166" s="19"/>
    </row>
    <row r="1167" spans="1:11" ht="13.2">
      <c r="A1167" s="22"/>
      <c r="B1167" s="16"/>
      <c r="C1167" s="23"/>
      <c r="D1167" s="24"/>
      <c r="E1167" s="25"/>
      <c r="F1167" s="26"/>
      <c r="G1167" s="27"/>
      <c r="H1167" s="20"/>
      <c r="I1167" s="21"/>
      <c r="J1167" s="28"/>
      <c r="K1167" s="19"/>
    </row>
    <row r="1168" spans="1:11" ht="13.2">
      <c r="A1168" s="22"/>
      <c r="B1168" s="16"/>
      <c r="C1168" s="23"/>
      <c r="D1168" s="24"/>
      <c r="E1168" s="25"/>
      <c r="F1168" s="26"/>
      <c r="G1168" s="27"/>
      <c r="H1168" s="20"/>
      <c r="I1168" s="21"/>
      <c r="J1168" s="28"/>
      <c r="K1168" s="19"/>
    </row>
    <row r="1169" spans="1:11" ht="13.2">
      <c r="A1169" s="22"/>
      <c r="B1169" s="16"/>
      <c r="C1169" s="23"/>
      <c r="D1169" s="24"/>
      <c r="E1169" s="25"/>
      <c r="F1169" s="26"/>
      <c r="G1169" s="27"/>
      <c r="H1169" s="20"/>
      <c r="I1169" s="21"/>
      <c r="J1169" s="28"/>
      <c r="K1169" s="19"/>
    </row>
    <row r="1170" spans="1:11" ht="13.2">
      <c r="A1170" s="22"/>
      <c r="B1170" s="16"/>
      <c r="C1170" s="23"/>
      <c r="D1170" s="24"/>
      <c r="E1170" s="25"/>
      <c r="F1170" s="26"/>
      <c r="G1170" s="27"/>
      <c r="H1170" s="20"/>
      <c r="I1170" s="21"/>
      <c r="J1170" s="28"/>
      <c r="K1170" s="19"/>
    </row>
    <row r="1171" spans="1:11" ht="13.2">
      <c r="A1171" s="22"/>
      <c r="B1171" s="16"/>
      <c r="C1171" s="23"/>
      <c r="D1171" s="24"/>
      <c r="E1171" s="25"/>
      <c r="F1171" s="26"/>
      <c r="G1171" s="27"/>
      <c r="H1171" s="20"/>
      <c r="I1171" s="21"/>
      <c r="J1171" s="28"/>
      <c r="K1171" s="19"/>
    </row>
    <row r="1172" spans="1:11" ht="13.2">
      <c r="A1172" s="22"/>
      <c r="B1172" s="16"/>
      <c r="C1172" s="23"/>
      <c r="D1172" s="24"/>
      <c r="E1172" s="25"/>
      <c r="F1172" s="26"/>
      <c r="G1172" s="27"/>
      <c r="H1172" s="20"/>
      <c r="I1172" s="21"/>
      <c r="J1172" s="28"/>
      <c r="K1172" s="19"/>
    </row>
    <row r="1173" spans="1:11" ht="13.2">
      <c r="A1173" s="22"/>
      <c r="B1173" s="16"/>
      <c r="C1173" s="23"/>
      <c r="D1173" s="24"/>
      <c r="E1173" s="25"/>
      <c r="F1173" s="26"/>
      <c r="G1173" s="27"/>
      <c r="H1173" s="20"/>
      <c r="I1173" s="21"/>
      <c r="J1173" s="28"/>
      <c r="K1173" s="19"/>
    </row>
    <row r="1174" spans="1:11" ht="13.2">
      <c r="A1174" s="22"/>
      <c r="B1174" s="16"/>
      <c r="C1174" s="23"/>
      <c r="D1174" s="24"/>
      <c r="E1174" s="25"/>
      <c r="F1174" s="26"/>
      <c r="G1174" s="27"/>
      <c r="H1174" s="20"/>
      <c r="I1174" s="21"/>
      <c r="J1174" s="28"/>
      <c r="K1174" s="19"/>
    </row>
    <row r="1175" spans="1:11" ht="13.2">
      <c r="A1175" s="22"/>
      <c r="B1175" s="16"/>
      <c r="C1175" s="23"/>
      <c r="D1175" s="24"/>
      <c r="E1175" s="25"/>
      <c r="F1175" s="26"/>
      <c r="G1175" s="27"/>
      <c r="H1175" s="20"/>
      <c r="I1175" s="21"/>
      <c r="J1175" s="28"/>
      <c r="K1175" s="19"/>
    </row>
    <row r="1176" spans="1:11" ht="13.2">
      <c r="A1176" s="22"/>
      <c r="B1176" s="16"/>
      <c r="C1176" s="23"/>
      <c r="D1176" s="24"/>
      <c r="E1176" s="25"/>
      <c r="F1176" s="26"/>
      <c r="G1176" s="27"/>
      <c r="H1176" s="20"/>
      <c r="I1176" s="21"/>
      <c r="J1176" s="28"/>
      <c r="K1176" s="19"/>
    </row>
    <row r="1177" spans="1:11" ht="13.2">
      <c r="A1177" s="22"/>
      <c r="B1177" s="16"/>
      <c r="C1177" s="23"/>
      <c r="D1177" s="24"/>
      <c r="E1177" s="25"/>
      <c r="F1177" s="26"/>
      <c r="G1177" s="27"/>
      <c r="H1177" s="20"/>
      <c r="I1177" s="21"/>
      <c r="J1177" s="28"/>
      <c r="K1177" s="19"/>
    </row>
    <row r="1178" spans="1:11" ht="13.2">
      <c r="A1178" s="22"/>
      <c r="B1178" s="16"/>
      <c r="C1178" s="23"/>
      <c r="D1178" s="24"/>
      <c r="E1178" s="25"/>
      <c r="F1178" s="26"/>
      <c r="G1178" s="27"/>
      <c r="H1178" s="20"/>
      <c r="I1178" s="21"/>
      <c r="J1178" s="28"/>
      <c r="K1178" s="19"/>
    </row>
    <row r="1179" spans="1:11" ht="13.2">
      <c r="A1179" s="22"/>
      <c r="B1179" s="16"/>
      <c r="C1179" s="23"/>
      <c r="D1179" s="24"/>
      <c r="E1179" s="25"/>
      <c r="F1179" s="26"/>
      <c r="G1179" s="27"/>
      <c r="H1179" s="20"/>
      <c r="I1179" s="21"/>
      <c r="J1179" s="28"/>
      <c r="K1179" s="19"/>
    </row>
    <row r="1180" spans="1:11" ht="13.2">
      <c r="A1180" s="22"/>
      <c r="B1180" s="16"/>
      <c r="C1180" s="23"/>
      <c r="D1180" s="24"/>
      <c r="E1180" s="25"/>
      <c r="F1180" s="26"/>
      <c r="G1180" s="27"/>
      <c r="H1180" s="20"/>
      <c r="I1180" s="21"/>
      <c r="J1180" s="28"/>
      <c r="K1180" s="19"/>
    </row>
    <row r="1181" spans="1:11" ht="13.2">
      <c r="A1181" s="22"/>
      <c r="B1181" s="16"/>
      <c r="C1181" s="23"/>
      <c r="D1181" s="24"/>
      <c r="E1181" s="25"/>
      <c r="F1181" s="26"/>
      <c r="G1181" s="27"/>
      <c r="H1181" s="20"/>
      <c r="I1181" s="21"/>
      <c r="J1181" s="28"/>
      <c r="K1181" s="19"/>
    </row>
    <row r="1182" spans="1:11" ht="13.2">
      <c r="A1182" s="22"/>
      <c r="B1182" s="16"/>
      <c r="C1182" s="23"/>
      <c r="D1182" s="24"/>
      <c r="E1182" s="25"/>
      <c r="F1182" s="26"/>
      <c r="G1182" s="27"/>
      <c r="H1182" s="20"/>
      <c r="I1182" s="21"/>
      <c r="J1182" s="28"/>
      <c r="K1182" s="19"/>
    </row>
    <row r="1183" spans="1:11" ht="13.2">
      <c r="A1183" s="22"/>
      <c r="B1183" s="16"/>
      <c r="C1183" s="23"/>
      <c r="D1183" s="24"/>
      <c r="E1183" s="25"/>
      <c r="F1183" s="26"/>
      <c r="G1183" s="27"/>
      <c r="H1183" s="20"/>
      <c r="I1183" s="21"/>
      <c r="J1183" s="28"/>
      <c r="K1183" s="19"/>
    </row>
    <row r="1184" spans="1:11" ht="13.2">
      <c r="A1184" s="22"/>
      <c r="B1184" s="16"/>
      <c r="C1184" s="23"/>
      <c r="D1184" s="24"/>
      <c r="E1184" s="25"/>
      <c r="F1184" s="26"/>
      <c r="G1184" s="27"/>
      <c r="H1184" s="20"/>
      <c r="I1184" s="21"/>
      <c r="J1184" s="28"/>
      <c r="K1184" s="19"/>
    </row>
    <row r="1185" spans="1:11" ht="13.2">
      <c r="A1185" s="22"/>
      <c r="B1185" s="16"/>
      <c r="C1185" s="23"/>
      <c r="D1185" s="24"/>
      <c r="E1185" s="25"/>
      <c r="F1185" s="26"/>
      <c r="G1185" s="27"/>
      <c r="H1185" s="20"/>
      <c r="I1185" s="21"/>
      <c r="J1185" s="28"/>
      <c r="K1185" s="19"/>
    </row>
    <row r="1186" spans="1:11" ht="13.2">
      <c r="A1186" s="22"/>
      <c r="B1186" s="16"/>
      <c r="C1186" s="23"/>
      <c r="D1186" s="24"/>
      <c r="E1186" s="25"/>
      <c r="F1186" s="26"/>
      <c r="G1186" s="27"/>
      <c r="H1186" s="20"/>
      <c r="I1186" s="21"/>
      <c r="J1186" s="28"/>
      <c r="K1186" s="19"/>
    </row>
    <row r="1187" spans="1:11" ht="13.2">
      <c r="A1187" s="22"/>
      <c r="B1187" s="16"/>
      <c r="C1187" s="23"/>
      <c r="D1187" s="24"/>
      <c r="E1187" s="25"/>
      <c r="F1187" s="26"/>
      <c r="G1187" s="27"/>
      <c r="H1187" s="20"/>
      <c r="I1187" s="21"/>
      <c r="J1187" s="28"/>
      <c r="K1187" s="19"/>
    </row>
    <row r="1188" spans="1:11" ht="13.2">
      <c r="A1188" s="22"/>
      <c r="B1188" s="16"/>
      <c r="C1188" s="23"/>
      <c r="D1188" s="24"/>
      <c r="E1188" s="25"/>
      <c r="F1188" s="26"/>
      <c r="G1188" s="27"/>
      <c r="H1188" s="20"/>
      <c r="I1188" s="21"/>
      <c r="J1188" s="28"/>
      <c r="K1188" s="19"/>
    </row>
    <row r="1189" spans="1:11" ht="13.2">
      <c r="A1189" s="22"/>
      <c r="B1189" s="16"/>
      <c r="C1189" s="23"/>
      <c r="D1189" s="24"/>
      <c r="E1189" s="25"/>
      <c r="F1189" s="26"/>
      <c r="G1189" s="27"/>
      <c r="H1189" s="20"/>
      <c r="I1189" s="21"/>
      <c r="J1189" s="28"/>
      <c r="K1189" s="19"/>
    </row>
    <row r="1190" spans="1:11" ht="13.2">
      <c r="A1190" s="22"/>
      <c r="B1190" s="16"/>
      <c r="C1190" s="23"/>
      <c r="D1190" s="24"/>
      <c r="E1190" s="25"/>
      <c r="F1190" s="26"/>
      <c r="G1190" s="27"/>
      <c r="H1190" s="20"/>
      <c r="I1190" s="21"/>
      <c r="J1190" s="28"/>
      <c r="K1190" s="19"/>
    </row>
    <row r="1191" spans="1:11" ht="13.2">
      <c r="A1191" s="22"/>
      <c r="B1191" s="16"/>
      <c r="C1191" s="23"/>
      <c r="D1191" s="24"/>
      <c r="E1191" s="25"/>
      <c r="F1191" s="26"/>
      <c r="G1191" s="27"/>
      <c r="H1191" s="20"/>
      <c r="I1191" s="21"/>
      <c r="J1191" s="28"/>
      <c r="K1191" s="19"/>
    </row>
    <row r="1192" spans="1:11" ht="13.2">
      <c r="A1192" s="22"/>
      <c r="B1192" s="16"/>
      <c r="C1192" s="23"/>
      <c r="D1192" s="24"/>
      <c r="E1192" s="25"/>
      <c r="F1192" s="26"/>
      <c r="G1192" s="27"/>
      <c r="H1192" s="20"/>
      <c r="I1192" s="21"/>
      <c r="J1192" s="28"/>
      <c r="K1192" s="19"/>
    </row>
    <row r="1193" spans="1:11" ht="13.2">
      <c r="A1193" s="22"/>
      <c r="B1193" s="16"/>
      <c r="C1193" s="23"/>
      <c r="D1193" s="24"/>
      <c r="E1193" s="25"/>
      <c r="F1193" s="26"/>
      <c r="G1193" s="27"/>
      <c r="H1193" s="20"/>
      <c r="I1193" s="21"/>
      <c r="J1193" s="28"/>
      <c r="K1193" s="19"/>
    </row>
    <row r="1194" spans="1:11" ht="13.2">
      <c r="A1194" s="22"/>
      <c r="B1194" s="16"/>
      <c r="C1194" s="23"/>
      <c r="D1194" s="24"/>
      <c r="E1194" s="25"/>
      <c r="F1194" s="26"/>
      <c r="G1194" s="27"/>
      <c r="H1194" s="20"/>
      <c r="I1194" s="21"/>
      <c r="J1194" s="28"/>
      <c r="K1194" s="19"/>
    </row>
    <row r="1195" spans="1:11" ht="13.2">
      <c r="A1195" s="22"/>
      <c r="B1195" s="16"/>
      <c r="C1195" s="23"/>
      <c r="D1195" s="24"/>
      <c r="E1195" s="25"/>
      <c r="F1195" s="26"/>
      <c r="G1195" s="27"/>
      <c r="H1195" s="20"/>
      <c r="I1195" s="21"/>
      <c r="J1195" s="28"/>
      <c r="K1195" s="19"/>
    </row>
    <row r="1196" spans="1:11" ht="13.2">
      <c r="A1196" s="22"/>
      <c r="B1196" s="16"/>
      <c r="C1196" s="23"/>
      <c r="D1196" s="24"/>
      <c r="E1196" s="25"/>
      <c r="F1196" s="26"/>
      <c r="G1196" s="27"/>
      <c r="H1196" s="20"/>
      <c r="I1196" s="21"/>
      <c r="J1196" s="28"/>
      <c r="K1196" s="19"/>
    </row>
    <row r="1197" spans="1:11" ht="13.2">
      <c r="A1197" s="22"/>
      <c r="B1197" s="16"/>
      <c r="C1197" s="23"/>
      <c r="D1197" s="24"/>
      <c r="E1197" s="25"/>
      <c r="F1197" s="26"/>
      <c r="G1197" s="27"/>
      <c r="H1197" s="20"/>
      <c r="I1197" s="21"/>
      <c r="J1197" s="28"/>
      <c r="K1197" s="19"/>
    </row>
    <row r="1198" spans="1:11" ht="13.2">
      <c r="A1198" s="22"/>
      <c r="B1198" s="16"/>
      <c r="C1198" s="23"/>
      <c r="D1198" s="24"/>
      <c r="E1198" s="25"/>
      <c r="F1198" s="26"/>
      <c r="G1198" s="27"/>
      <c r="H1198" s="20"/>
      <c r="I1198" s="21"/>
      <c r="J1198" s="28"/>
      <c r="K1198" s="19"/>
    </row>
    <row r="1199" spans="1:11" ht="13.2">
      <c r="A1199" s="22"/>
      <c r="B1199" s="16"/>
      <c r="C1199" s="23"/>
      <c r="D1199" s="24"/>
      <c r="E1199" s="25"/>
      <c r="F1199" s="26"/>
      <c r="G1199" s="27"/>
      <c r="H1199" s="20"/>
      <c r="I1199" s="21"/>
      <c r="J1199" s="28"/>
      <c r="K1199" s="19"/>
    </row>
    <row r="1200" spans="1:11" ht="13.2">
      <c r="A1200" s="22"/>
      <c r="B1200" s="16"/>
      <c r="C1200" s="23"/>
      <c r="D1200" s="24"/>
      <c r="E1200" s="25"/>
      <c r="F1200" s="26"/>
      <c r="G1200" s="27"/>
      <c r="H1200" s="20"/>
      <c r="I1200" s="21"/>
      <c r="J1200" s="28"/>
      <c r="K1200" s="19"/>
    </row>
    <row r="1201" spans="1:11" ht="13.2">
      <c r="A1201" s="22"/>
      <c r="B1201" s="16"/>
      <c r="C1201" s="23"/>
      <c r="D1201" s="24"/>
      <c r="E1201" s="25"/>
      <c r="F1201" s="26"/>
      <c r="G1201" s="27"/>
      <c r="H1201" s="20"/>
      <c r="I1201" s="21"/>
      <c r="J1201" s="28"/>
      <c r="K1201" s="19"/>
    </row>
    <row r="1202" spans="1:11" ht="13.2">
      <c r="A1202" s="22"/>
      <c r="B1202" s="16"/>
      <c r="C1202" s="23"/>
      <c r="D1202" s="24"/>
      <c r="E1202" s="25"/>
      <c r="F1202" s="26"/>
      <c r="G1202" s="27"/>
      <c r="H1202" s="20"/>
      <c r="I1202" s="21"/>
      <c r="J1202" s="28"/>
      <c r="K1202" s="19"/>
    </row>
    <row r="1203" spans="1:11" ht="13.2">
      <c r="A1203" s="22"/>
      <c r="B1203" s="16"/>
      <c r="C1203" s="23"/>
      <c r="D1203" s="24"/>
      <c r="E1203" s="25"/>
      <c r="F1203" s="26"/>
      <c r="G1203" s="27"/>
      <c r="H1203" s="20"/>
      <c r="I1203" s="21"/>
      <c r="J1203" s="28"/>
      <c r="K1203" s="19"/>
    </row>
    <row r="1204" spans="1:11" ht="13.2">
      <c r="A1204" s="22"/>
      <c r="B1204" s="16"/>
      <c r="C1204" s="23"/>
      <c r="D1204" s="24"/>
      <c r="E1204" s="25"/>
      <c r="F1204" s="26"/>
      <c r="G1204" s="27"/>
      <c r="H1204" s="20"/>
      <c r="I1204" s="21"/>
      <c r="J1204" s="28"/>
      <c r="K1204" s="19"/>
    </row>
    <row r="1205" spans="1:11" ht="13.2">
      <c r="A1205" s="22"/>
      <c r="B1205" s="16"/>
      <c r="C1205" s="23"/>
      <c r="D1205" s="24"/>
      <c r="E1205" s="25"/>
      <c r="F1205" s="26"/>
      <c r="G1205" s="27"/>
      <c r="H1205" s="20"/>
      <c r="I1205" s="21"/>
      <c r="J1205" s="28"/>
      <c r="K1205" s="19"/>
    </row>
    <row r="1206" spans="1:11" ht="13.2">
      <c r="A1206" s="22"/>
      <c r="B1206" s="16"/>
      <c r="C1206" s="23"/>
      <c r="D1206" s="24"/>
      <c r="E1206" s="25"/>
      <c r="F1206" s="26"/>
      <c r="G1206" s="27"/>
      <c r="H1206" s="20"/>
      <c r="I1206" s="21"/>
      <c r="J1206" s="28"/>
      <c r="K1206" s="19"/>
    </row>
    <row r="1207" spans="1:11" ht="13.2">
      <c r="A1207" s="22"/>
      <c r="B1207" s="16"/>
      <c r="C1207" s="23"/>
      <c r="D1207" s="24"/>
      <c r="E1207" s="25"/>
      <c r="F1207" s="26"/>
      <c r="G1207" s="27"/>
      <c r="H1207" s="20"/>
      <c r="I1207" s="21"/>
      <c r="J1207" s="28"/>
      <c r="K1207" s="19"/>
    </row>
    <row r="1208" spans="1:11" ht="13.2">
      <c r="A1208" s="22"/>
      <c r="B1208" s="16"/>
      <c r="C1208" s="23"/>
      <c r="D1208" s="24"/>
      <c r="E1208" s="25"/>
      <c r="F1208" s="26"/>
      <c r="G1208" s="27"/>
      <c r="H1208" s="20"/>
      <c r="I1208" s="21"/>
      <c r="J1208" s="28"/>
      <c r="K1208" s="19"/>
    </row>
    <row r="1209" spans="1:11" ht="13.2">
      <c r="A1209" s="22"/>
      <c r="B1209" s="16"/>
      <c r="C1209" s="23"/>
      <c r="D1209" s="24"/>
      <c r="E1209" s="25"/>
      <c r="F1209" s="26"/>
      <c r="G1209" s="27"/>
      <c r="H1209" s="20"/>
      <c r="I1209" s="21"/>
      <c r="J1209" s="28"/>
      <c r="K1209" s="19"/>
    </row>
    <row r="1210" spans="1:11" ht="13.2">
      <c r="A1210" s="22"/>
      <c r="B1210" s="16"/>
      <c r="C1210" s="23"/>
      <c r="D1210" s="24"/>
      <c r="E1210" s="25"/>
      <c r="F1210" s="26"/>
      <c r="G1210" s="27"/>
      <c r="H1210" s="20"/>
      <c r="I1210" s="21"/>
      <c r="J1210" s="28"/>
      <c r="K1210" s="19"/>
    </row>
    <row r="1211" spans="1:11" ht="13.2">
      <c r="A1211" s="22"/>
      <c r="B1211" s="16"/>
      <c r="C1211" s="23"/>
      <c r="D1211" s="24"/>
      <c r="E1211" s="25"/>
      <c r="F1211" s="26"/>
      <c r="G1211" s="27"/>
      <c r="H1211" s="20"/>
      <c r="I1211" s="21"/>
      <c r="J1211" s="28"/>
      <c r="K1211" s="19"/>
    </row>
    <row r="1212" spans="1:11" ht="13.2">
      <c r="A1212" s="22"/>
      <c r="B1212" s="16"/>
      <c r="C1212" s="23"/>
      <c r="D1212" s="24"/>
      <c r="E1212" s="25"/>
      <c r="F1212" s="26"/>
      <c r="G1212" s="27"/>
      <c r="H1212" s="20"/>
      <c r="I1212" s="21"/>
      <c r="J1212" s="28"/>
      <c r="K1212" s="19"/>
    </row>
    <row r="1213" spans="1:11" ht="13.2">
      <c r="A1213" s="22"/>
      <c r="B1213" s="16"/>
      <c r="C1213" s="23"/>
      <c r="D1213" s="24"/>
      <c r="E1213" s="25"/>
      <c r="F1213" s="26"/>
      <c r="G1213" s="27"/>
      <c r="H1213" s="20"/>
      <c r="I1213" s="21"/>
      <c r="J1213" s="28"/>
      <c r="K1213" s="19"/>
    </row>
    <row r="1214" spans="1:11" ht="13.2">
      <c r="A1214" s="22"/>
      <c r="B1214" s="16"/>
      <c r="C1214" s="23"/>
      <c r="D1214" s="24"/>
      <c r="E1214" s="25"/>
      <c r="F1214" s="26"/>
      <c r="G1214" s="27"/>
      <c r="H1214" s="20"/>
      <c r="I1214" s="21"/>
      <c r="J1214" s="28"/>
      <c r="K1214" s="19"/>
    </row>
    <row r="1215" spans="1:11" ht="13.2">
      <c r="A1215" s="22"/>
      <c r="B1215" s="16"/>
      <c r="C1215" s="23"/>
      <c r="D1215" s="24"/>
      <c r="E1215" s="25"/>
      <c r="F1215" s="26"/>
      <c r="G1215" s="27"/>
      <c r="H1215" s="20"/>
      <c r="I1215" s="21"/>
      <c r="J1215" s="28"/>
      <c r="K1215" s="19"/>
    </row>
    <row r="1216" spans="1:11" ht="13.2">
      <c r="A1216" s="22"/>
      <c r="B1216" s="16"/>
      <c r="C1216" s="23"/>
      <c r="D1216" s="24"/>
      <c r="E1216" s="25"/>
      <c r="F1216" s="26"/>
      <c r="G1216" s="27"/>
      <c r="H1216" s="20"/>
      <c r="I1216" s="21"/>
      <c r="J1216" s="28"/>
      <c r="K1216" s="19"/>
    </row>
    <row r="1217" spans="1:11" ht="13.2">
      <c r="A1217" s="22"/>
      <c r="B1217" s="16"/>
      <c r="C1217" s="23"/>
      <c r="D1217" s="24"/>
      <c r="E1217" s="25"/>
      <c r="F1217" s="26"/>
      <c r="G1217" s="27"/>
      <c r="H1217" s="20"/>
      <c r="I1217" s="21"/>
      <c r="J1217" s="28"/>
      <c r="K1217" s="19"/>
    </row>
    <row r="1218" spans="1:11" ht="13.2">
      <c r="A1218" s="22"/>
      <c r="B1218" s="16"/>
      <c r="C1218" s="23"/>
      <c r="D1218" s="24"/>
      <c r="E1218" s="25"/>
      <c r="F1218" s="26"/>
      <c r="G1218" s="27"/>
      <c r="H1218" s="20"/>
      <c r="I1218" s="21"/>
      <c r="J1218" s="28"/>
      <c r="K1218" s="19"/>
    </row>
    <row r="1219" spans="1:11" ht="13.2">
      <c r="A1219" s="22"/>
      <c r="B1219" s="16"/>
      <c r="C1219" s="23"/>
      <c r="D1219" s="24"/>
      <c r="E1219" s="25"/>
      <c r="F1219" s="26"/>
      <c r="G1219" s="27"/>
      <c r="H1219" s="20"/>
      <c r="I1219" s="21"/>
      <c r="J1219" s="28"/>
      <c r="K1219" s="19"/>
    </row>
    <row r="1220" spans="1:11" ht="13.2">
      <c r="A1220" s="22"/>
      <c r="B1220" s="16"/>
      <c r="C1220" s="23"/>
      <c r="D1220" s="24"/>
      <c r="E1220" s="25"/>
      <c r="F1220" s="26"/>
      <c r="G1220" s="27"/>
      <c r="H1220" s="20"/>
      <c r="I1220" s="21"/>
      <c r="J1220" s="28"/>
      <c r="K1220" s="19"/>
    </row>
    <row r="1221" spans="1:11" ht="13.2">
      <c r="A1221" s="22"/>
      <c r="B1221" s="16"/>
      <c r="C1221" s="23"/>
      <c r="D1221" s="24"/>
      <c r="E1221" s="25"/>
      <c r="F1221" s="26"/>
      <c r="G1221" s="27"/>
      <c r="H1221" s="20"/>
      <c r="I1221" s="21"/>
      <c r="J1221" s="28"/>
      <c r="K1221" s="19"/>
    </row>
    <row r="1222" spans="1:11" ht="13.2">
      <c r="A1222" s="22"/>
      <c r="B1222" s="16"/>
      <c r="C1222" s="23"/>
      <c r="D1222" s="24"/>
      <c r="E1222" s="25"/>
      <c r="F1222" s="26"/>
      <c r="G1222" s="27"/>
      <c r="H1222" s="20"/>
      <c r="I1222" s="21"/>
      <c r="J1222" s="28"/>
      <c r="K1222" s="19"/>
    </row>
    <row r="1223" spans="1:11" ht="13.2">
      <c r="A1223" s="22"/>
      <c r="B1223" s="16"/>
      <c r="C1223" s="23"/>
      <c r="D1223" s="24"/>
      <c r="E1223" s="25"/>
      <c r="F1223" s="26"/>
      <c r="G1223" s="27"/>
      <c r="H1223" s="20"/>
      <c r="I1223" s="21"/>
      <c r="J1223" s="28"/>
      <c r="K1223" s="19"/>
    </row>
    <row r="1224" spans="1:11" ht="13.2">
      <c r="A1224" s="22"/>
      <c r="B1224" s="16"/>
      <c r="C1224" s="23"/>
      <c r="D1224" s="24"/>
      <c r="E1224" s="25"/>
      <c r="F1224" s="26"/>
      <c r="G1224" s="27"/>
      <c r="H1224" s="20"/>
      <c r="I1224" s="21"/>
      <c r="J1224" s="28"/>
      <c r="K1224" s="19"/>
    </row>
    <row r="1225" spans="1:11" ht="13.2">
      <c r="A1225" s="22"/>
      <c r="B1225" s="16"/>
      <c r="C1225" s="23"/>
      <c r="D1225" s="24"/>
      <c r="E1225" s="25"/>
      <c r="F1225" s="26"/>
      <c r="G1225" s="27"/>
      <c r="H1225" s="20"/>
      <c r="I1225" s="21"/>
      <c r="J1225" s="28"/>
      <c r="K1225" s="19"/>
    </row>
    <row r="1226" spans="1:11" ht="13.2">
      <c r="A1226" s="22"/>
      <c r="B1226" s="16"/>
      <c r="C1226" s="23"/>
      <c r="D1226" s="24"/>
      <c r="E1226" s="25"/>
      <c r="F1226" s="26"/>
      <c r="G1226" s="27"/>
      <c r="H1226" s="20"/>
      <c r="I1226" s="21"/>
      <c r="J1226" s="28"/>
      <c r="K1226" s="19"/>
    </row>
    <row r="1227" spans="1:11" ht="13.2">
      <c r="A1227" s="22"/>
      <c r="B1227" s="16"/>
      <c r="C1227" s="23"/>
      <c r="D1227" s="24"/>
      <c r="E1227" s="25"/>
      <c r="F1227" s="26"/>
      <c r="G1227" s="27"/>
      <c r="H1227" s="20"/>
      <c r="I1227" s="21"/>
      <c r="J1227" s="28"/>
      <c r="K1227" s="19"/>
    </row>
    <row r="1228" spans="1:11" ht="13.2">
      <c r="A1228" s="22"/>
      <c r="B1228" s="16"/>
      <c r="C1228" s="23"/>
      <c r="D1228" s="24"/>
      <c r="E1228" s="25"/>
      <c r="F1228" s="26"/>
      <c r="G1228" s="27"/>
      <c r="H1228" s="20"/>
      <c r="I1228" s="21"/>
      <c r="J1228" s="28"/>
      <c r="K1228" s="19"/>
    </row>
    <row r="1229" spans="1:11" ht="13.2">
      <c r="A1229" s="22"/>
      <c r="B1229" s="16"/>
      <c r="C1229" s="23"/>
      <c r="D1229" s="24"/>
      <c r="E1229" s="25"/>
      <c r="F1229" s="26"/>
      <c r="G1229" s="27"/>
      <c r="H1229" s="20"/>
      <c r="I1229" s="21"/>
      <c r="J1229" s="28"/>
      <c r="K1229" s="19"/>
    </row>
    <row r="1230" spans="1:11" ht="13.2">
      <c r="A1230" s="22"/>
      <c r="B1230" s="16"/>
      <c r="C1230" s="23"/>
      <c r="D1230" s="24"/>
      <c r="E1230" s="25"/>
      <c r="F1230" s="26"/>
      <c r="G1230" s="27"/>
      <c r="H1230" s="20"/>
      <c r="I1230" s="21"/>
      <c r="J1230" s="28"/>
      <c r="K1230" s="19"/>
    </row>
    <row r="1231" spans="1:11" ht="13.2">
      <c r="A1231" s="22"/>
      <c r="B1231" s="16"/>
      <c r="C1231" s="23"/>
      <c r="D1231" s="24"/>
      <c r="E1231" s="25"/>
      <c r="F1231" s="26"/>
      <c r="G1231" s="27"/>
      <c r="H1231" s="20"/>
      <c r="I1231" s="21"/>
      <c r="J1231" s="28"/>
      <c r="K1231" s="19"/>
    </row>
    <row r="1232" spans="1:11" ht="13.2">
      <c r="A1232" s="22"/>
      <c r="B1232" s="16"/>
      <c r="C1232" s="23"/>
      <c r="D1232" s="24"/>
      <c r="E1232" s="25"/>
      <c r="F1232" s="26"/>
      <c r="G1232" s="27"/>
      <c r="H1232" s="20"/>
      <c r="I1232" s="21"/>
      <c r="J1232" s="28"/>
      <c r="K1232" s="19"/>
    </row>
    <row r="1233" spans="1:11" ht="13.2">
      <c r="A1233" s="22"/>
      <c r="B1233" s="16"/>
      <c r="C1233" s="23"/>
      <c r="D1233" s="24"/>
      <c r="E1233" s="25"/>
      <c r="F1233" s="26"/>
      <c r="G1233" s="27"/>
      <c r="H1233" s="20"/>
      <c r="I1233" s="21"/>
      <c r="J1233" s="28"/>
      <c r="K1233" s="19"/>
    </row>
    <row r="1234" spans="1:11" ht="13.2">
      <c r="A1234" s="22"/>
      <c r="B1234" s="16"/>
      <c r="C1234" s="23"/>
      <c r="D1234" s="24"/>
      <c r="E1234" s="25"/>
      <c r="F1234" s="26"/>
      <c r="G1234" s="27"/>
      <c r="H1234" s="20"/>
      <c r="I1234" s="21"/>
      <c r="J1234" s="28"/>
      <c r="K1234" s="19"/>
    </row>
    <row r="1235" spans="1:11" ht="13.2">
      <c r="A1235" s="22"/>
      <c r="B1235" s="16"/>
      <c r="C1235" s="23"/>
      <c r="D1235" s="24"/>
      <c r="E1235" s="25"/>
      <c r="F1235" s="26"/>
      <c r="G1235" s="27"/>
      <c r="H1235" s="20"/>
      <c r="I1235" s="21"/>
      <c r="J1235" s="28"/>
      <c r="K1235" s="19"/>
    </row>
    <row r="1236" spans="1:11" ht="13.2">
      <c r="A1236" s="22"/>
      <c r="B1236" s="16"/>
      <c r="C1236" s="23"/>
      <c r="D1236" s="24"/>
      <c r="E1236" s="25"/>
      <c r="F1236" s="26"/>
      <c r="G1236" s="27"/>
      <c r="H1236" s="20"/>
      <c r="I1236" s="21"/>
      <c r="J1236" s="28"/>
      <c r="K1236" s="19"/>
    </row>
    <row r="1237" spans="1:11" ht="13.2">
      <c r="A1237" s="22"/>
      <c r="B1237" s="16"/>
      <c r="C1237" s="23"/>
      <c r="D1237" s="24"/>
      <c r="E1237" s="25"/>
      <c r="F1237" s="26"/>
      <c r="G1237" s="27"/>
      <c r="H1237" s="20"/>
      <c r="I1237" s="21"/>
      <c r="J1237" s="28"/>
      <c r="K1237" s="19"/>
    </row>
    <row r="1238" spans="1:11" ht="13.2">
      <c r="A1238" s="22"/>
      <c r="B1238" s="16"/>
      <c r="C1238" s="23"/>
      <c r="D1238" s="24"/>
      <c r="E1238" s="25"/>
      <c r="F1238" s="26"/>
      <c r="G1238" s="27"/>
      <c r="H1238" s="20"/>
      <c r="I1238" s="21"/>
      <c r="J1238" s="28"/>
      <c r="K1238" s="19"/>
    </row>
    <row r="1239" spans="1:11" ht="13.2">
      <c r="A1239" s="22"/>
      <c r="B1239" s="16"/>
      <c r="C1239" s="23"/>
      <c r="D1239" s="24"/>
      <c r="E1239" s="25"/>
      <c r="F1239" s="26"/>
      <c r="G1239" s="27"/>
      <c r="H1239" s="20"/>
      <c r="I1239" s="21"/>
      <c r="J1239" s="28"/>
      <c r="K1239" s="19"/>
    </row>
    <row r="1240" spans="1:11" ht="13.2">
      <c r="A1240" s="22"/>
      <c r="B1240" s="16"/>
      <c r="C1240" s="23"/>
      <c r="D1240" s="24"/>
      <c r="E1240" s="25"/>
      <c r="F1240" s="26"/>
      <c r="G1240" s="27"/>
      <c r="H1240" s="20"/>
      <c r="I1240" s="21"/>
      <c r="J1240" s="28"/>
      <c r="K1240" s="19"/>
    </row>
    <row r="1241" spans="1:11" ht="13.2">
      <c r="A1241" s="22"/>
      <c r="B1241" s="16"/>
      <c r="C1241" s="23"/>
      <c r="D1241" s="24"/>
      <c r="E1241" s="25"/>
      <c r="F1241" s="26"/>
      <c r="G1241" s="27"/>
      <c r="H1241" s="20"/>
      <c r="I1241" s="21"/>
      <c r="J1241" s="28"/>
      <c r="K1241" s="19"/>
    </row>
    <row r="1242" spans="1:11" ht="13.2">
      <c r="A1242" s="22"/>
      <c r="B1242" s="16"/>
      <c r="C1242" s="23"/>
      <c r="D1242" s="24"/>
      <c r="E1242" s="25"/>
      <c r="F1242" s="26"/>
      <c r="G1242" s="27"/>
      <c r="H1242" s="20"/>
      <c r="I1242" s="21"/>
      <c r="J1242" s="28"/>
      <c r="K1242" s="19"/>
    </row>
    <row r="1243" spans="1:11" ht="13.2">
      <c r="A1243" s="22"/>
      <c r="B1243" s="16"/>
      <c r="C1243" s="23"/>
      <c r="D1243" s="24"/>
      <c r="E1243" s="25"/>
      <c r="F1243" s="26"/>
      <c r="G1243" s="27"/>
      <c r="H1243" s="20"/>
      <c r="I1243" s="21"/>
      <c r="J1243" s="28"/>
      <c r="K1243" s="19"/>
    </row>
    <row r="1244" spans="1:11" ht="13.2">
      <c r="A1244" s="22"/>
      <c r="B1244" s="16"/>
      <c r="C1244" s="23"/>
      <c r="D1244" s="24"/>
      <c r="E1244" s="25"/>
      <c r="F1244" s="26"/>
      <c r="G1244" s="27"/>
      <c r="H1244" s="20"/>
      <c r="I1244" s="21"/>
      <c r="J1244" s="28"/>
      <c r="K1244" s="19"/>
    </row>
    <row r="1245" spans="1:11" ht="13.2">
      <c r="A1245" s="22"/>
      <c r="B1245" s="16"/>
      <c r="C1245" s="23"/>
      <c r="D1245" s="24"/>
      <c r="E1245" s="25"/>
      <c r="F1245" s="26"/>
      <c r="G1245" s="27"/>
      <c r="H1245" s="20"/>
      <c r="I1245" s="21"/>
      <c r="J1245" s="28"/>
      <c r="K1245" s="19"/>
    </row>
    <row r="1246" spans="1:11" ht="13.2">
      <c r="A1246" s="22"/>
      <c r="B1246" s="16"/>
      <c r="C1246" s="23"/>
      <c r="D1246" s="24"/>
      <c r="E1246" s="25"/>
      <c r="F1246" s="26"/>
      <c r="G1246" s="27"/>
      <c r="H1246" s="20"/>
      <c r="I1246" s="21"/>
      <c r="J1246" s="28"/>
      <c r="K1246" s="19"/>
    </row>
    <row r="1247" spans="1:11" ht="13.2">
      <c r="A1247" s="22"/>
      <c r="B1247" s="16"/>
      <c r="C1247" s="23"/>
      <c r="D1247" s="24"/>
      <c r="E1247" s="25"/>
      <c r="F1247" s="26"/>
      <c r="G1247" s="27"/>
      <c r="H1247" s="20"/>
      <c r="I1247" s="21"/>
      <c r="J1247" s="28"/>
      <c r="K1247" s="19"/>
    </row>
    <row r="1248" spans="1:11" ht="13.2">
      <c r="A1248" s="22"/>
      <c r="B1248" s="16"/>
      <c r="C1248" s="23"/>
      <c r="D1248" s="24"/>
      <c r="E1248" s="25"/>
      <c r="F1248" s="26"/>
      <c r="G1248" s="27"/>
      <c r="H1248" s="20"/>
      <c r="I1248" s="21"/>
      <c r="J1248" s="28"/>
      <c r="K1248" s="19"/>
    </row>
    <row r="1249" spans="1:11" ht="13.2">
      <c r="A1249" s="22"/>
      <c r="B1249" s="16"/>
      <c r="C1249" s="23"/>
      <c r="D1249" s="24"/>
      <c r="E1249" s="25"/>
      <c r="F1249" s="26"/>
      <c r="G1249" s="27"/>
      <c r="H1249" s="20"/>
      <c r="I1249" s="21"/>
      <c r="J1249" s="28"/>
      <c r="K1249" s="19"/>
    </row>
    <row r="1250" spans="1:11" ht="13.2">
      <c r="A1250" s="22"/>
      <c r="B1250" s="16"/>
      <c r="C1250" s="23"/>
      <c r="D1250" s="24"/>
      <c r="E1250" s="25"/>
      <c r="F1250" s="26"/>
      <c r="G1250" s="27"/>
      <c r="H1250" s="20"/>
      <c r="I1250" s="21"/>
      <c r="J1250" s="28"/>
      <c r="K1250" s="19"/>
    </row>
    <row r="1251" spans="1:11" ht="13.2">
      <c r="A1251" s="22"/>
      <c r="B1251" s="16"/>
      <c r="C1251" s="23"/>
      <c r="D1251" s="24"/>
      <c r="E1251" s="25"/>
      <c r="F1251" s="26"/>
      <c r="G1251" s="27"/>
      <c r="H1251" s="20"/>
      <c r="I1251" s="21"/>
      <c r="J1251" s="28"/>
      <c r="K1251" s="19"/>
    </row>
    <row r="1252" spans="1:11" ht="13.2">
      <c r="A1252" s="22"/>
      <c r="B1252" s="16"/>
      <c r="C1252" s="23"/>
      <c r="D1252" s="24"/>
      <c r="E1252" s="25"/>
      <c r="F1252" s="26"/>
      <c r="G1252" s="27"/>
      <c r="H1252" s="20"/>
      <c r="I1252" s="21"/>
      <c r="J1252" s="28"/>
      <c r="K1252" s="19"/>
    </row>
    <row r="1253" spans="1:11" ht="13.2">
      <c r="A1253" s="22"/>
      <c r="B1253" s="16"/>
      <c r="C1253" s="23"/>
      <c r="D1253" s="24"/>
      <c r="E1253" s="25"/>
      <c r="F1253" s="26"/>
      <c r="G1253" s="27"/>
      <c r="H1253" s="20"/>
      <c r="I1253" s="21"/>
      <c r="J1253" s="28"/>
      <c r="K1253" s="19"/>
    </row>
    <row r="1254" spans="1:11" ht="13.2">
      <c r="A1254" s="22"/>
      <c r="B1254" s="16"/>
      <c r="C1254" s="23"/>
      <c r="D1254" s="24"/>
      <c r="E1254" s="25"/>
      <c r="F1254" s="26"/>
      <c r="G1254" s="27"/>
      <c r="H1254" s="20"/>
      <c r="I1254" s="21"/>
      <c r="J1254" s="28"/>
      <c r="K1254" s="19"/>
    </row>
    <row r="1255" spans="1:11" ht="13.2">
      <c r="A1255" s="22"/>
      <c r="B1255" s="16"/>
      <c r="C1255" s="23"/>
      <c r="D1255" s="24"/>
      <c r="E1255" s="25"/>
      <c r="F1255" s="26"/>
      <c r="G1255" s="27"/>
      <c r="H1255" s="20"/>
      <c r="I1255" s="21"/>
      <c r="J1255" s="28"/>
      <c r="K1255" s="19"/>
    </row>
    <row r="1256" spans="1:11" ht="13.2">
      <c r="A1256" s="22"/>
      <c r="B1256" s="16"/>
      <c r="C1256" s="23"/>
      <c r="D1256" s="24"/>
      <c r="E1256" s="25"/>
      <c r="F1256" s="26"/>
      <c r="G1256" s="27"/>
      <c r="H1256" s="20"/>
      <c r="I1256" s="21"/>
      <c r="J1256" s="28"/>
      <c r="K1256" s="19"/>
    </row>
    <row r="1257" spans="1:11" ht="13.2">
      <c r="A1257" s="22"/>
      <c r="B1257" s="16"/>
      <c r="C1257" s="23"/>
      <c r="D1257" s="24"/>
      <c r="E1257" s="25"/>
      <c r="F1257" s="26"/>
      <c r="G1257" s="27"/>
      <c r="H1257" s="20"/>
      <c r="I1257" s="21"/>
      <c r="J1257" s="28"/>
      <c r="K1257" s="19"/>
    </row>
    <row r="1258" spans="1:11" ht="13.2">
      <c r="A1258" s="22"/>
      <c r="B1258" s="16"/>
      <c r="C1258" s="23"/>
      <c r="D1258" s="24"/>
      <c r="E1258" s="25"/>
      <c r="F1258" s="26"/>
      <c r="G1258" s="27"/>
      <c r="H1258" s="20"/>
      <c r="I1258" s="21"/>
      <c r="J1258" s="28"/>
      <c r="K1258" s="19"/>
    </row>
    <row r="1259" spans="1:11" ht="13.2">
      <c r="A1259" s="22"/>
      <c r="B1259" s="16"/>
      <c r="C1259" s="23"/>
      <c r="D1259" s="24"/>
      <c r="E1259" s="25"/>
      <c r="F1259" s="26"/>
      <c r="G1259" s="27"/>
      <c r="H1259" s="20"/>
      <c r="I1259" s="21"/>
      <c r="J1259" s="28"/>
      <c r="K1259" s="19"/>
    </row>
    <row r="1260" spans="1:11" ht="13.2">
      <c r="A1260" s="22"/>
      <c r="B1260" s="16"/>
      <c r="C1260" s="23"/>
      <c r="D1260" s="24"/>
      <c r="E1260" s="25"/>
      <c r="F1260" s="26"/>
      <c r="G1260" s="27"/>
      <c r="H1260" s="20"/>
      <c r="I1260" s="21"/>
      <c r="J1260" s="28"/>
      <c r="K1260" s="19"/>
    </row>
    <row r="1261" spans="1:11" ht="13.2">
      <c r="A1261" s="22"/>
      <c r="B1261" s="16"/>
      <c r="C1261" s="23"/>
      <c r="D1261" s="24"/>
      <c r="E1261" s="25"/>
      <c r="F1261" s="26"/>
      <c r="G1261" s="27"/>
      <c r="H1261" s="20"/>
      <c r="I1261" s="21"/>
      <c r="J1261" s="28"/>
      <c r="K1261" s="19"/>
    </row>
    <row r="1262" spans="1:11" ht="13.2">
      <c r="A1262" s="22"/>
      <c r="B1262" s="16"/>
      <c r="C1262" s="23"/>
      <c r="D1262" s="24"/>
      <c r="E1262" s="25"/>
      <c r="F1262" s="26"/>
      <c r="G1262" s="27"/>
      <c r="H1262" s="20"/>
      <c r="I1262" s="21"/>
      <c r="J1262" s="28"/>
      <c r="K1262" s="19"/>
    </row>
    <row r="1263" spans="1:11" ht="13.2">
      <c r="A1263" s="22"/>
      <c r="B1263" s="16"/>
      <c r="C1263" s="23"/>
      <c r="D1263" s="24"/>
      <c r="E1263" s="25"/>
      <c r="F1263" s="26"/>
      <c r="G1263" s="27"/>
      <c r="H1263" s="20"/>
      <c r="I1263" s="21"/>
      <c r="J1263" s="28"/>
      <c r="K1263" s="19"/>
    </row>
    <row r="1264" spans="1:11" ht="13.2">
      <c r="A1264" s="22"/>
      <c r="B1264" s="16"/>
      <c r="C1264" s="23"/>
      <c r="D1264" s="24"/>
      <c r="E1264" s="25"/>
      <c r="F1264" s="26"/>
      <c r="G1264" s="27"/>
      <c r="H1264" s="20"/>
      <c r="I1264" s="21"/>
      <c r="J1264" s="28"/>
      <c r="K1264" s="19"/>
    </row>
    <row r="1265" spans="1:11" ht="13.2">
      <c r="A1265" s="22"/>
      <c r="B1265" s="16"/>
      <c r="C1265" s="23"/>
      <c r="D1265" s="24"/>
      <c r="E1265" s="25"/>
      <c r="F1265" s="26"/>
      <c r="G1265" s="27"/>
      <c r="H1265" s="20"/>
      <c r="I1265" s="21"/>
      <c r="J1265" s="28"/>
      <c r="K1265" s="19"/>
    </row>
    <row r="1266" spans="1:11" ht="13.2">
      <c r="A1266" s="22"/>
      <c r="B1266" s="16"/>
      <c r="C1266" s="23"/>
      <c r="D1266" s="24"/>
      <c r="E1266" s="25"/>
      <c r="F1266" s="26"/>
      <c r="G1266" s="27"/>
      <c r="H1266" s="20"/>
      <c r="I1266" s="21"/>
      <c r="J1266" s="28"/>
      <c r="K1266" s="19"/>
    </row>
    <row r="1267" spans="1:11" ht="13.2">
      <c r="A1267" s="22"/>
      <c r="B1267" s="16"/>
      <c r="C1267" s="23"/>
      <c r="D1267" s="24"/>
      <c r="E1267" s="25"/>
      <c r="F1267" s="26"/>
      <c r="G1267" s="27"/>
      <c r="H1267" s="20"/>
      <c r="I1267" s="21"/>
      <c r="J1267" s="28"/>
      <c r="K1267" s="19"/>
    </row>
    <row r="1268" spans="1:11" ht="13.2">
      <c r="A1268" s="22"/>
      <c r="B1268" s="16"/>
      <c r="C1268" s="23"/>
      <c r="D1268" s="24"/>
      <c r="E1268" s="25"/>
      <c r="F1268" s="26"/>
      <c r="G1268" s="27"/>
      <c r="H1268" s="20"/>
      <c r="I1268" s="21"/>
      <c r="J1268" s="28"/>
      <c r="K1268" s="19"/>
    </row>
    <row r="1269" spans="1:11" ht="13.2">
      <c r="A1269" s="22"/>
      <c r="B1269" s="16"/>
      <c r="C1269" s="23"/>
      <c r="D1269" s="24"/>
      <c r="E1269" s="25"/>
      <c r="F1269" s="26"/>
      <c r="G1269" s="27"/>
      <c r="H1269" s="20"/>
      <c r="I1269" s="21"/>
      <c r="J1269" s="28"/>
      <c r="K1269" s="19"/>
    </row>
    <row r="1270" spans="1:11" ht="13.2">
      <c r="A1270" s="22"/>
      <c r="B1270" s="16"/>
      <c r="C1270" s="23"/>
      <c r="D1270" s="24"/>
      <c r="E1270" s="25"/>
      <c r="F1270" s="26"/>
      <c r="G1270" s="27"/>
      <c r="H1270" s="20"/>
      <c r="I1270" s="21"/>
      <c r="J1270" s="28"/>
      <c r="K1270" s="19"/>
    </row>
    <row r="1271" spans="1:11" ht="13.2">
      <c r="A1271" s="22"/>
      <c r="B1271" s="16"/>
      <c r="C1271" s="23"/>
      <c r="D1271" s="24"/>
      <c r="E1271" s="25"/>
      <c r="F1271" s="26"/>
      <c r="G1271" s="27"/>
      <c r="H1271" s="20"/>
      <c r="I1271" s="21"/>
      <c r="J1271" s="28"/>
      <c r="K1271" s="19"/>
    </row>
    <row r="1272" spans="1:11" ht="13.2">
      <c r="A1272" s="22"/>
      <c r="B1272" s="16"/>
      <c r="C1272" s="23"/>
      <c r="D1272" s="24"/>
      <c r="E1272" s="25"/>
      <c r="F1272" s="26"/>
      <c r="G1272" s="27"/>
      <c r="H1272" s="20"/>
      <c r="I1272" s="21"/>
      <c r="J1272" s="28"/>
      <c r="K1272" s="19"/>
    </row>
    <row r="1273" spans="1:11" ht="13.2">
      <c r="A1273" s="22"/>
      <c r="B1273" s="16"/>
      <c r="C1273" s="23"/>
      <c r="D1273" s="24"/>
      <c r="E1273" s="25"/>
      <c r="F1273" s="26"/>
      <c r="G1273" s="27"/>
      <c r="H1273" s="20"/>
      <c r="I1273" s="21"/>
      <c r="J1273" s="28"/>
      <c r="K1273" s="19"/>
    </row>
    <row r="1274" spans="1:11" ht="13.2">
      <c r="A1274" s="22"/>
      <c r="B1274" s="16"/>
      <c r="C1274" s="23"/>
      <c r="D1274" s="24"/>
      <c r="E1274" s="25"/>
      <c r="F1274" s="26"/>
      <c r="G1274" s="27"/>
      <c r="H1274" s="20"/>
      <c r="I1274" s="21"/>
      <c r="J1274" s="28"/>
      <c r="K1274" s="19"/>
    </row>
    <row r="1275" spans="1:11" ht="13.2">
      <c r="A1275" s="22"/>
      <c r="B1275" s="16"/>
      <c r="C1275" s="23"/>
      <c r="D1275" s="24"/>
      <c r="E1275" s="25"/>
      <c r="F1275" s="26"/>
      <c r="G1275" s="27"/>
      <c r="H1275" s="20"/>
      <c r="I1275" s="21"/>
      <c r="J1275" s="28"/>
      <c r="K1275" s="19"/>
    </row>
    <row r="1276" spans="1:11" ht="13.2">
      <c r="A1276" s="22"/>
      <c r="B1276" s="16"/>
      <c r="C1276" s="23"/>
      <c r="D1276" s="24"/>
      <c r="E1276" s="25"/>
      <c r="F1276" s="26"/>
      <c r="G1276" s="27"/>
      <c r="H1276" s="20"/>
      <c r="I1276" s="21"/>
      <c r="J1276" s="28"/>
      <c r="K1276" s="19"/>
    </row>
    <row r="1277" spans="1:11" ht="13.2">
      <c r="A1277" s="22"/>
      <c r="B1277" s="16"/>
      <c r="C1277" s="23"/>
      <c r="D1277" s="24"/>
      <c r="E1277" s="25"/>
      <c r="F1277" s="26"/>
      <c r="G1277" s="27"/>
      <c r="H1277" s="20"/>
      <c r="I1277" s="21"/>
      <c r="J1277" s="28"/>
      <c r="K1277" s="19"/>
    </row>
    <row r="1278" spans="1:11" ht="13.2">
      <c r="A1278" s="22"/>
      <c r="B1278" s="16"/>
      <c r="C1278" s="23"/>
      <c r="D1278" s="24"/>
      <c r="E1278" s="25"/>
      <c r="F1278" s="26"/>
      <c r="G1278" s="27"/>
      <c r="H1278" s="20"/>
      <c r="I1278" s="21"/>
      <c r="J1278" s="28"/>
      <c r="K1278" s="19"/>
    </row>
    <row r="1279" spans="1:11" ht="13.2">
      <c r="A1279" s="22"/>
      <c r="B1279" s="16"/>
      <c r="C1279" s="23"/>
      <c r="D1279" s="24"/>
      <c r="E1279" s="25"/>
      <c r="F1279" s="26"/>
      <c r="G1279" s="27"/>
      <c r="H1279" s="20"/>
      <c r="I1279" s="21"/>
      <c r="J1279" s="28"/>
      <c r="K1279" s="19"/>
    </row>
    <row r="1280" spans="1:11" ht="13.2">
      <c r="A1280" s="22"/>
      <c r="B1280" s="16"/>
      <c r="C1280" s="23"/>
      <c r="D1280" s="24"/>
      <c r="E1280" s="25"/>
      <c r="F1280" s="26"/>
      <c r="G1280" s="27"/>
      <c r="H1280" s="20"/>
      <c r="I1280" s="21"/>
      <c r="J1280" s="28"/>
      <c r="K1280" s="19"/>
    </row>
    <row r="1281" spans="1:11" ht="13.2">
      <c r="A1281" s="22"/>
      <c r="B1281" s="16"/>
      <c r="C1281" s="23"/>
      <c r="D1281" s="24"/>
      <c r="E1281" s="25"/>
      <c r="F1281" s="26"/>
      <c r="G1281" s="27"/>
      <c r="H1281" s="20"/>
      <c r="I1281" s="21"/>
      <c r="J1281" s="28"/>
      <c r="K1281" s="19"/>
    </row>
    <row r="1282" spans="1:11" ht="13.2">
      <c r="A1282" s="22"/>
      <c r="B1282" s="16"/>
      <c r="C1282" s="23"/>
      <c r="D1282" s="24"/>
      <c r="E1282" s="25"/>
      <c r="F1282" s="26"/>
      <c r="G1282" s="27"/>
      <c r="H1282" s="20"/>
      <c r="I1282" s="21"/>
      <c r="J1282" s="28"/>
      <c r="K1282" s="19"/>
    </row>
    <row r="1283" spans="1:11" ht="13.2">
      <c r="A1283" s="22"/>
      <c r="B1283" s="16"/>
      <c r="C1283" s="23"/>
      <c r="D1283" s="24"/>
      <c r="E1283" s="25"/>
      <c r="F1283" s="26"/>
      <c r="G1283" s="27"/>
      <c r="H1283" s="20"/>
      <c r="I1283" s="21"/>
      <c r="J1283" s="28"/>
      <c r="K1283" s="19"/>
    </row>
    <row r="1284" spans="1:11" ht="13.2">
      <c r="A1284" s="22"/>
      <c r="B1284" s="16"/>
      <c r="C1284" s="23"/>
      <c r="D1284" s="24"/>
      <c r="E1284" s="25"/>
      <c r="F1284" s="26"/>
      <c r="G1284" s="27"/>
      <c r="H1284" s="20"/>
      <c r="I1284" s="21"/>
      <c r="J1284" s="28"/>
      <c r="K1284" s="19"/>
    </row>
    <row r="1285" spans="1:11" ht="13.2">
      <c r="A1285" s="22"/>
      <c r="B1285" s="16"/>
      <c r="C1285" s="23"/>
      <c r="D1285" s="24"/>
      <c r="E1285" s="25"/>
      <c r="F1285" s="26"/>
      <c r="G1285" s="27"/>
      <c r="H1285" s="20"/>
      <c r="I1285" s="21"/>
      <c r="J1285" s="28"/>
      <c r="K1285" s="19"/>
    </row>
    <row r="1286" spans="1:11" ht="13.2">
      <c r="A1286" s="22"/>
      <c r="B1286" s="16"/>
      <c r="C1286" s="23"/>
      <c r="D1286" s="24"/>
      <c r="E1286" s="25"/>
      <c r="F1286" s="26"/>
      <c r="G1286" s="27"/>
      <c r="H1286" s="20"/>
      <c r="I1286" s="21"/>
      <c r="J1286" s="28"/>
      <c r="K1286" s="19"/>
    </row>
    <row r="1287" spans="1:11" ht="13.2">
      <c r="A1287" s="22"/>
      <c r="B1287" s="16"/>
      <c r="C1287" s="23"/>
      <c r="D1287" s="24"/>
      <c r="E1287" s="25"/>
      <c r="F1287" s="26"/>
      <c r="G1287" s="27"/>
      <c r="H1287" s="20"/>
      <c r="I1287" s="21"/>
      <c r="J1287" s="28"/>
      <c r="K1287" s="19"/>
    </row>
    <row r="1288" spans="1:11" ht="13.2">
      <c r="A1288" s="22"/>
      <c r="B1288" s="16"/>
      <c r="C1288" s="23"/>
      <c r="D1288" s="24"/>
      <c r="E1288" s="25"/>
      <c r="F1288" s="26"/>
      <c r="G1288" s="27"/>
      <c r="H1288" s="20"/>
      <c r="I1288" s="21"/>
      <c r="J1288" s="28"/>
      <c r="K1288" s="19"/>
    </row>
    <row r="1289" spans="1:11" ht="13.2">
      <c r="A1289" s="22"/>
      <c r="B1289" s="16"/>
      <c r="C1289" s="23"/>
      <c r="D1289" s="24"/>
      <c r="E1289" s="25"/>
      <c r="F1289" s="26"/>
      <c r="G1289" s="27"/>
      <c r="H1289" s="20"/>
      <c r="I1289" s="21"/>
      <c r="J1289" s="28"/>
      <c r="K1289" s="19"/>
    </row>
    <row r="1290" spans="1:11" ht="13.2">
      <c r="A1290" s="22"/>
      <c r="B1290" s="16"/>
      <c r="C1290" s="23"/>
      <c r="D1290" s="24"/>
      <c r="E1290" s="25"/>
      <c r="F1290" s="26"/>
      <c r="G1290" s="27"/>
      <c r="H1290" s="20"/>
      <c r="I1290" s="21"/>
      <c r="J1290" s="28"/>
      <c r="K1290" s="19"/>
    </row>
    <row r="1291" spans="1:11" ht="13.2">
      <c r="A1291" s="22"/>
      <c r="B1291" s="16"/>
      <c r="C1291" s="23"/>
      <c r="D1291" s="24"/>
      <c r="E1291" s="25"/>
      <c r="F1291" s="26"/>
      <c r="G1291" s="27"/>
      <c r="H1291" s="20"/>
      <c r="I1291" s="21"/>
      <c r="J1291" s="28"/>
      <c r="K1291" s="19"/>
    </row>
    <row r="1292" spans="1:11" ht="13.2">
      <c r="A1292" s="22"/>
      <c r="B1292" s="16"/>
      <c r="C1292" s="23"/>
      <c r="D1292" s="24"/>
      <c r="E1292" s="25"/>
      <c r="F1292" s="26"/>
      <c r="G1292" s="27"/>
      <c r="H1292" s="20"/>
      <c r="I1292" s="21"/>
      <c r="J1292" s="28"/>
      <c r="K1292" s="19"/>
    </row>
    <row r="1293" spans="1:11" ht="13.2">
      <c r="A1293" s="22"/>
      <c r="B1293" s="16"/>
      <c r="C1293" s="23"/>
      <c r="D1293" s="24"/>
      <c r="E1293" s="25"/>
      <c r="F1293" s="26"/>
      <c r="G1293" s="27"/>
      <c r="H1293" s="20"/>
      <c r="I1293" s="21"/>
      <c r="J1293" s="28"/>
      <c r="K1293" s="19"/>
    </row>
    <row r="1294" spans="1:11" ht="13.2">
      <c r="A1294" s="22"/>
      <c r="B1294" s="16"/>
      <c r="C1294" s="23"/>
      <c r="D1294" s="24"/>
      <c r="E1294" s="25"/>
      <c r="F1294" s="26"/>
      <c r="G1294" s="27"/>
      <c r="H1294" s="20"/>
      <c r="I1294" s="21"/>
      <c r="J1294" s="28"/>
      <c r="K1294" s="19"/>
    </row>
    <row r="1295" spans="1:11" ht="13.2">
      <c r="A1295" s="22"/>
      <c r="B1295" s="16"/>
      <c r="C1295" s="23"/>
      <c r="D1295" s="24"/>
      <c r="E1295" s="25"/>
      <c r="F1295" s="26"/>
      <c r="G1295" s="27"/>
      <c r="H1295" s="20"/>
      <c r="I1295" s="21"/>
      <c r="J1295" s="28"/>
      <c r="K1295" s="19"/>
    </row>
    <row r="1296" spans="1:11" ht="13.2">
      <c r="A1296" s="22"/>
      <c r="B1296" s="16"/>
      <c r="C1296" s="23"/>
      <c r="D1296" s="24"/>
      <c r="E1296" s="25"/>
      <c r="F1296" s="26"/>
      <c r="G1296" s="27"/>
      <c r="H1296" s="20"/>
      <c r="I1296" s="21"/>
      <c r="J1296" s="28"/>
      <c r="K1296" s="19"/>
    </row>
    <row r="1297" spans="1:11" ht="13.2">
      <c r="A1297" s="22"/>
      <c r="B1297" s="16"/>
      <c r="C1297" s="23"/>
      <c r="D1297" s="24"/>
      <c r="E1297" s="25"/>
      <c r="F1297" s="26"/>
      <c r="G1297" s="27"/>
      <c r="H1297" s="20"/>
      <c r="I1297" s="21"/>
      <c r="J1297" s="28"/>
      <c r="K1297" s="19"/>
    </row>
    <row r="1298" spans="1:11" ht="13.2">
      <c r="A1298" s="22"/>
      <c r="B1298" s="16"/>
      <c r="C1298" s="23"/>
      <c r="D1298" s="24"/>
      <c r="E1298" s="25"/>
      <c r="F1298" s="26"/>
      <c r="G1298" s="27"/>
      <c r="H1298" s="20"/>
      <c r="I1298" s="21"/>
      <c r="J1298" s="28"/>
      <c r="K1298" s="19"/>
    </row>
    <row r="1299" spans="1:11" ht="13.2">
      <c r="A1299" s="22"/>
      <c r="B1299" s="16"/>
      <c r="C1299" s="23"/>
      <c r="D1299" s="24"/>
      <c r="E1299" s="25"/>
      <c r="F1299" s="26"/>
      <c r="G1299" s="27"/>
      <c r="H1299" s="20"/>
      <c r="I1299" s="21"/>
      <c r="J1299" s="28"/>
      <c r="K1299" s="19"/>
    </row>
    <row r="1300" spans="1:11" ht="13.2">
      <c r="A1300" s="22"/>
      <c r="B1300" s="16"/>
      <c r="C1300" s="23"/>
      <c r="D1300" s="24"/>
      <c r="E1300" s="25"/>
      <c r="F1300" s="26"/>
      <c r="G1300" s="27"/>
      <c r="H1300" s="20"/>
      <c r="I1300" s="21"/>
      <c r="J1300" s="28"/>
      <c r="K1300" s="19"/>
    </row>
    <row r="1301" spans="1:11" ht="13.2">
      <c r="A1301" s="22"/>
      <c r="B1301" s="16"/>
      <c r="C1301" s="23"/>
      <c r="D1301" s="24"/>
      <c r="E1301" s="25"/>
      <c r="F1301" s="26"/>
      <c r="G1301" s="27"/>
      <c r="H1301" s="20"/>
      <c r="I1301" s="21"/>
      <c r="J1301" s="28"/>
      <c r="K1301" s="19"/>
    </row>
    <row r="1302" spans="1:11" ht="13.2">
      <c r="A1302" s="22"/>
      <c r="B1302" s="16"/>
      <c r="C1302" s="23"/>
      <c r="D1302" s="24"/>
      <c r="E1302" s="25"/>
      <c r="F1302" s="26"/>
      <c r="G1302" s="27"/>
      <c r="H1302" s="20"/>
      <c r="I1302" s="21"/>
      <c r="J1302" s="28"/>
      <c r="K1302" s="19"/>
    </row>
    <row r="1303" spans="1:11" ht="13.2">
      <c r="A1303" s="22"/>
      <c r="B1303" s="16"/>
      <c r="C1303" s="23"/>
      <c r="D1303" s="24"/>
      <c r="E1303" s="25"/>
      <c r="F1303" s="26"/>
      <c r="G1303" s="27"/>
      <c r="H1303" s="20"/>
      <c r="I1303" s="21"/>
      <c r="J1303" s="28"/>
      <c r="K1303" s="19"/>
    </row>
    <row r="1304" spans="1:11" ht="13.2">
      <c r="A1304" s="22"/>
      <c r="B1304" s="16"/>
      <c r="C1304" s="23"/>
      <c r="D1304" s="24"/>
      <c r="E1304" s="25"/>
      <c r="F1304" s="26"/>
      <c r="G1304" s="27"/>
      <c r="H1304" s="20"/>
      <c r="I1304" s="21"/>
      <c r="J1304" s="28"/>
      <c r="K1304" s="19"/>
    </row>
    <row r="1305" spans="1:11" ht="13.2">
      <c r="A1305" s="22"/>
      <c r="B1305" s="16"/>
      <c r="C1305" s="23"/>
      <c r="D1305" s="24"/>
      <c r="E1305" s="25"/>
      <c r="F1305" s="26"/>
      <c r="G1305" s="27"/>
      <c r="H1305" s="20"/>
      <c r="I1305" s="21"/>
      <c r="J1305" s="28"/>
      <c r="K1305" s="19"/>
    </row>
    <row r="1306" spans="1:11" ht="13.2">
      <c r="A1306" s="22"/>
      <c r="B1306" s="16"/>
      <c r="C1306" s="23"/>
      <c r="D1306" s="24"/>
      <c r="E1306" s="25"/>
      <c r="F1306" s="26"/>
      <c r="G1306" s="27"/>
      <c r="H1306" s="20"/>
      <c r="I1306" s="21"/>
      <c r="J1306" s="28"/>
      <c r="K1306" s="19"/>
    </row>
    <row r="1307" spans="1:11" ht="13.2">
      <c r="A1307" s="22"/>
      <c r="B1307" s="16"/>
      <c r="C1307" s="23"/>
      <c r="D1307" s="24"/>
      <c r="E1307" s="25"/>
      <c r="F1307" s="26"/>
      <c r="G1307" s="27"/>
      <c r="H1307" s="20"/>
      <c r="I1307" s="21"/>
      <c r="J1307" s="28"/>
      <c r="K1307" s="19"/>
    </row>
    <row r="1308" spans="1:11" ht="13.2">
      <c r="A1308" s="22"/>
      <c r="B1308" s="16"/>
      <c r="C1308" s="23"/>
      <c r="D1308" s="24"/>
      <c r="E1308" s="25"/>
      <c r="F1308" s="26"/>
      <c r="G1308" s="27"/>
      <c r="H1308" s="20"/>
      <c r="I1308" s="21"/>
      <c r="J1308" s="28"/>
      <c r="K1308" s="19"/>
    </row>
    <row r="1309" spans="1:11" ht="13.2">
      <c r="A1309" s="22"/>
      <c r="B1309" s="16"/>
      <c r="C1309" s="23"/>
      <c r="D1309" s="24"/>
      <c r="E1309" s="25"/>
      <c r="F1309" s="26"/>
      <c r="G1309" s="27"/>
      <c r="H1309" s="20"/>
      <c r="I1309" s="21"/>
      <c r="J1309" s="28"/>
      <c r="K1309" s="19"/>
    </row>
    <row r="1310" spans="1:11" ht="13.2">
      <c r="A1310" s="22"/>
      <c r="B1310" s="16"/>
      <c r="C1310" s="23"/>
      <c r="D1310" s="24"/>
      <c r="E1310" s="25"/>
      <c r="F1310" s="26"/>
      <c r="G1310" s="27"/>
      <c r="H1310" s="20"/>
      <c r="I1310" s="21"/>
      <c r="J1310" s="28"/>
      <c r="K1310" s="19"/>
    </row>
    <row r="1311" spans="1:11" ht="13.2">
      <c r="A1311" s="22"/>
      <c r="B1311" s="16"/>
      <c r="C1311" s="23"/>
      <c r="D1311" s="24"/>
      <c r="E1311" s="25"/>
      <c r="F1311" s="26"/>
      <c r="G1311" s="27"/>
      <c r="H1311" s="20"/>
      <c r="I1311" s="21"/>
      <c r="J1311" s="28"/>
      <c r="K1311" s="19"/>
    </row>
    <row r="1312" spans="1:11" ht="13.2">
      <c r="A1312" s="22"/>
      <c r="B1312" s="16"/>
      <c r="C1312" s="23"/>
      <c r="D1312" s="24"/>
      <c r="E1312" s="25"/>
      <c r="F1312" s="26"/>
      <c r="G1312" s="27"/>
      <c r="H1312" s="20"/>
      <c r="I1312" s="21"/>
      <c r="J1312" s="28"/>
      <c r="K1312" s="19"/>
    </row>
    <row r="1313" spans="1:11" ht="13.2">
      <c r="A1313" s="22"/>
      <c r="B1313" s="16"/>
      <c r="C1313" s="23"/>
      <c r="D1313" s="24"/>
      <c r="E1313" s="25"/>
      <c r="F1313" s="26"/>
      <c r="G1313" s="27"/>
      <c r="H1313" s="20"/>
      <c r="I1313" s="21"/>
      <c r="J1313" s="28"/>
      <c r="K1313" s="19"/>
    </row>
    <row r="1314" spans="1:11" ht="13.2">
      <c r="A1314" s="22"/>
      <c r="B1314" s="16"/>
      <c r="C1314" s="23"/>
      <c r="D1314" s="24"/>
      <c r="E1314" s="25"/>
      <c r="F1314" s="26"/>
      <c r="G1314" s="27"/>
      <c r="H1314" s="20"/>
      <c r="I1314" s="21"/>
      <c r="J1314" s="28"/>
      <c r="K1314" s="19"/>
    </row>
    <row r="1315" spans="1:11" ht="13.2">
      <c r="A1315" s="22"/>
      <c r="B1315" s="16"/>
      <c r="C1315" s="23"/>
      <c r="D1315" s="24"/>
      <c r="E1315" s="25"/>
      <c r="F1315" s="26"/>
      <c r="G1315" s="27"/>
      <c r="H1315" s="20"/>
      <c r="I1315" s="21"/>
      <c r="J1315" s="28"/>
      <c r="K1315" s="19"/>
    </row>
    <row r="1316" spans="1:11" ht="13.2">
      <c r="A1316" s="22"/>
      <c r="B1316" s="16"/>
      <c r="C1316" s="23"/>
      <c r="D1316" s="24"/>
      <c r="E1316" s="25"/>
      <c r="F1316" s="26"/>
      <c r="G1316" s="27"/>
      <c r="H1316" s="20"/>
      <c r="I1316" s="21"/>
      <c r="J1316" s="28"/>
      <c r="K1316" s="19"/>
    </row>
    <row r="1317" spans="1:11" ht="13.2">
      <c r="A1317" s="22"/>
      <c r="B1317" s="16"/>
      <c r="C1317" s="23"/>
      <c r="D1317" s="24"/>
      <c r="E1317" s="25"/>
      <c r="F1317" s="26"/>
      <c r="G1317" s="27"/>
      <c r="H1317" s="20"/>
      <c r="I1317" s="21"/>
      <c r="J1317" s="28"/>
      <c r="K1317" s="19"/>
    </row>
    <row r="1318" spans="1:11" ht="13.2">
      <c r="A1318" s="22"/>
      <c r="B1318" s="16"/>
      <c r="C1318" s="23"/>
      <c r="D1318" s="24"/>
      <c r="E1318" s="25"/>
      <c r="F1318" s="26"/>
      <c r="G1318" s="27"/>
      <c r="H1318" s="20"/>
      <c r="I1318" s="21"/>
      <c r="J1318" s="28"/>
      <c r="K1318" s="19"/>
    </row>
    <row r="1319" spans="1:11" ht="13.2">
      <c r="A1319" s="22"/>
      <c r="B1319" s="16"/>
      <c r="C1319" s="23"/>
      <c r="D1319" s="24"/>
      <c r="E1319" s="25"/>
      <c r="F1319" s="26"/>
      <c r="G1319" s="27"/>
      <c r="H1319" s="20"/>
      <c r="I1319" s="21"/>
      <c r="J1319" s="28"/>
      <c r="K1319" s="19"/>
    </row>
    <row r="1320" spans="1:11" ht="13.2">
      <c r="A1320" s="22"/>
      <c r="B1320" s="16"/>
      <c r="C1320" s="23"/>
      <c r="D1320" s="24"/>
      <c r="E1320" s="25"/>
      <c r="F1320" s="26"/>
      <c r="G1320" s="27"/>
      <c r="H1320" s="20"/>
      <c r="I1320" s="21"/>
      <c r="J1320" s="28"/>
      <c r="K1320" s="19"/>
    </row>
    <row r="1321" spans="1:11" ht="13.2">
      <c r="A1321" s="22"/>
      <c r="B1321" s="16"/>
      <c r="C1321" s="23"/>
      <c r="D1321" s="24"/>
      <c r="E1321" s="25"/>
      <c r="F1321" s="26"/>
      <c r="G1321" s="27"/>
      <c r="H1321" s="20"/>
      <c r="I1321" s="21"/>
      <c r="J1321" s="28"/>
      <c r="K1321" s="19"/>
    </row>
    <row r="1322" spans="1:11" ht="13.2">
      <c r="A1322" s="22"/>
      <c r="B1322" s="16"/>
      <c r="C1322" s="23"/>
      <c r="D1322" s="24"/>
      <c r="E1322" s="25"/>
      <c r="F1322" s="26"/>
      <c r="G1322" s="27"/>
      <c r="H1322" s="20"/>
      <c r="I1322" s="21"/>
      <c r="J1322" s="28"/>
      <c r="K1322" s="19"/>
    </row>
    <row r="1323" spans="1:11" ht="13.2">
      <c r="A1323" s="22"/>
      <c r="B1323" s="16"/>
      <c r="C1323" s="23"/>
      <c r="D1323" s="24"/>
      <c r="E1323" s="25"/>
      <c r="F1323" s="26"/>
      <c r="G1323" s="27"/>
      <c r="H1323" s="20"/>
      <c r="I1323" s="21"/>
      <c r="J1323" s="28"/>
      <c r="K1323" s="19"/>
    </row>
    <row r="1324" spans="1:11" ht="13.2">
      <c r="A1324" s="22"/>
      <c r="B1324" s="16"/>
      <c r="C1324" s="23"/>
      <c r="D1324" s="24"/>
      <c r="E1324" s="25"/>
      <c r="F1324" s="26"/>
      <c r="G1324" s="27"/>
      <c r="H1324" s="20"/>
      <c r="I1324" s="21"/>
      <c r="J1324" s="28"/>
      <c r="K1324" s="19"/>
    </row>
    <row r="1325" spans="1:11" ht="13.2">
      <c r="A1325" s="22"/>
      <c r="B1325" s="16"/>
      <c r="C1325" s="23"/>
      <c r="D1325" s="24"/>
      <c r="E1325" s="25"/>
      <c r="F1325" s="26"/>
      <c r="G1325" s="27"/>
      <c r="H1325" s="20"/>
      <c r="I1325" s="21"/>
      <c r="J1325" s="28"/>
      <c r="K1325" s="19"/>
    </row>
    <row r="1326" spans="1:11" ht="13.2">
      <c r="A1326" s="22"/>
      <c r="B1326" s="16"/>
      <c r="C1326" s="23"/>
      <c r="D1326" s="24"/>
      <c r="E1326" s="25"/>
      <c r="F1326" s="26"/>
      <c r="G1326" s="27"/>
      <c r="H1326" s="20"/>
      <c r="I1326" s="21"/>
      <c r="J1326" s="28"/>
      <c r="K1326" s="19"/>
    </row>
    <row r="1327" spans="1:11" ht="13.2">
      <c r="A1327" s="22"/>
      <c r="B1327" s="16"/>
      <c r="C1327" s="23"/>
      <c r="D1327" s="24"/>
      <c r="E1327" s="25"/>
      <c r="F1327" s="26"/>
      <c r="G1327" s="27"/>
      <c r="H1327" s="20"/>
      <c r="I1327" s="21"/>
      <c r="J1327" s="28"/>
      <c r="K1327" s="19"/>
    </row>
    <row r="1328" spans="1:11" ht="13.2">
      <c r="A1328" s="22"/>
      <c r="B1328" s="16"/>
      <c r="C1328" s="23"/>
      <c r="D1328" s="24"/>
      <c r="E1328" s="25"/>
      <c r="F1328" s="26"/>
      <c r="G1328" s="27"/>
      <c r="H1328" s="20"/>
      <c r="I1328" s="21"/>
      <c r="J1328" s="28"/>
      <c r="K1328" s="19"/>
    </row>
    <row r="1329" spans="1:11" ht="13.2">
      <c r="A1329" s="22"/>
      <c r="B1329" s="16"/>
      <c r="C1329" s="23"/>
      <c r="D1329" s="24"/>
      <c r="E1329" s="25"/>
      <c r="F1329" s="26"/>
      <c r="G1329" s="27"/>
      <c r="H1329" s="20"/>
      <c r="I1329" s="21"/>
      <c r="J1329" s="28"/>
      <c r="K1329" s="19"/>
    </row>
    <row r="1330" spans="1:11" ht="13.2">
      <c r="A1330" s="22"/>
      <c r="B1330" s="16"/>
      <c r="C1330" s="23"/>
      <c r="D1330" s="24"/>
      <c r="E1330" s="25"/>
      <c r="F1330" s="26"/>
      <c r="G1330" s="27"/>
      <c r="H1330" s="20"/>
      <c r="I1330" s="21"/>
      <c r="J1330" s="28"/>
      <c r="K1330" s="19"/>
    </row>
    <row r="1331" spans="1:11" ht="13.2">
      <c r="A1331" s="22"/>
      <c r="B1331" s="16"/>
      <c r="C1331" s="23"/>
      <c r="D1331" s="24"/>
      <c r="E1331" s="25"/>
      <c r="F1331" s="26"/>
      <c r="G1331" s="27"/>
      <c r="H1331" s="20"/>
      <c r="I1331" s="21"/>
      <c r="J1331" s="28"/>
      <c r="K1331" s="19"/>
    </row>
    <row r="1332" spans="1:11" ht="13.2">
      <c r="A1332" s="22"/>
      <c r="B1332" s="16"/>
      <c r="C1332" s="23"/>
      <c r="D1332" s="24"/>
      <c r="E1332" s="25"/>
      <c r="F1332" s="26"/>
      <c r="G1332" s="27"/>
      <c r="H1332" s="20"/>
      <c r="I1332" s="21"/>
      <c r="J1332" s="28"/>
      <c r="K1332" s="19"/>
    </row>
    <row r="1333" spans="1:11" ht="13.2">
      <c r="A1333" s="22"/>
      <c r="B1333" s="16"/>
      <c r="C1333" s="23"/>
      <c r="D1333" s="24"/>
      <c r="E1333" s="25"/>
      <c r="F1333" s="26"/>
      <c r="G1333" s="27"/>
      <c r="H1333" s="20"/>
      <c r="I1333" s="21"/>
      <c r="J1333" s="28"/>
      <c r="K1333" s="19"/>
    </row>
    <row r="1334" spans="1:11" ht="13.2">
      <c r="A1334" s="22"/>
      <c r="B1334" s="16"/>
      <c r="C1334" s="23"/>
      <c r="D1334" s="24"/>
      <c r="E1334" s="25"/>
      <c r="F1334" s="26"/>
      <c r="G1334" s="27"/>
      <c r="H1334" s="20"/>
      <c r="I1334" s="21"/>
      <c r="J1334" s="28"/>
      <c r="K1334" s="19"/>
    </row>
    <row r="1335" spans="1:11" ht="13.2">
      <c r="A1335" s="22"/>
      <c r="B1335" s="16"/>
      <c r="C1335" s="23"/>
      <c r="D1335" s="24"/>
      <c r="E1335" s="25"/>
      <c r="F1335" s="26"/>
      <c r="G1335" s="27"/>
      <c r="H1335" s="20"/>
      <c r="I1335" s="21"/>
      <c r="J1335" s="28"/>
      <c r="K1335" s="19"/>
    </row>
    <row r="1336" spans="1:11" ht="13.2">
      <c r="A1336" s="22"/>
      <c r="B1336" s="16"/>
      <c r="C1336" s="23"/>
      <c r="D1336" s="24"/>
      <c r="E1336" s="25"/>
      <c r="F1336" s="26"/>
      <c r="G1336" s="27"/>
      <c r="H1336" s="20"/>
      <c r="I1336" s="21"/>
      <c r="J1336" s="28"/>
      <c r="K1336" s="19"/>
    </row>
    <row r="1337" spans="1:11" ht="13.2">
      <c r="A1337" s="22"/>
      <c r="B1337" s="16"/>
      <c r="C1337" s="23"/>
      <c r="D1337" s="24"/>
      <c r="E1337" s="25"/>
      <c r="F1337" s="26"/>
      <c r="G1337" s="27"/>
      <c r="H1337" s="20"/>
      <c r="I1337" s="21"/>
      <c r="J1337" s="28"/>
      <c r="K1337" s="19"/>
    </row>
    <row r="1338" spans="1:11" ht="13.2">
      <c r="A1338" s="22"/>
      <c r="B1338" s="16"/>
      <c r="C1338" s="23"/>
      <c r="D1338" s="24"/>
      <c r="E1338" s="25"/>
      <c r="F1338" s="26"/>
      <c r="G1338" s="27"/>
      <c r="H1338" s="20"/>
      <c r="I1338" s="21"/>
      <c r="J1338" s="28"/>
      <c r="K1338" s="19"/>
    </row>
    <row r="1339" spans="1:11" ht="13.2">
      <c r="A1339" s="22"/>
      <c r="B1339" s="16"/>
      <c r="C1339" s="23"/>
      <c r="D1339" s="24"/>
      <c r="E1339" s="25"/>
      <c r="F1339" s="26"/>
      <c r="G1339" s="27"/>
      <c r="H1339" s="20"/>
      <c r="I1339" s="21"/>
      <c r="J1339" s="28"/>
      <c r="K1339" s="19"/>
    </row>
    <row r="1340" spans="1:11" ht="13.2">
      <c r="A1340" s="22"/>
      <c r="B1340" s="16"/>
      <c r="C1340" s="23"/>
      <c r="D1340" s="24"/>
      <c r="E1340" s="25"/>
      <c r="F1340" s="26"/>
      <c r="G1340" s="27"/>
      <c r="H1340" s="20"/>
      <c r="I1340" s="21"/>
      <c r="J1340" s="28"/>
      <c r="K1340" s="19"/>
    </row>
    <row r="1341" spans="1:11" ht="13.2">
      <c r="A1341" s="22"/>
      <c r="B1341" s="16"/>
      <c r="C1341" s="23"/>
      <c r="D1341" s="24"/>
      <c r="E1341" s="25"/>
      <c r="F1341" s="26"/>
      <c r="G1341" s="27"/>
      <c r="H1341" s="20"/>
      <c r="I1341" s="21"/>
      <c r="J1341" s="28"/>
      <c r="K1341" s="19"/>
    </row>
    <row r="1342" spans="1:11" ht="13.2">
      <c r="A1342" s="22"/>
      <c r="B1342" s="16"/>
      <c r="C1342" s="23"/>
      <c r="D1342" s="24"/>
      <c r="E1342" s="25"/>
      <c r="F1342" s="26"/>
      <c r="G1342" s="27"/>
      <c r="H1342" s="20"/>
      <c r="I1342" s="21"/>
      <c r="J1342" s="28"/>
      <c r="K1342" s="19"/>
    </row>
    <row r="1343" spans="1:11" ht="13.2">
      <c r="A1343" s="22"/>
      <c r="B1343" s="16"/>
      <c r="C1343" s="23"/>
      <c r="D1343" s="24"/>
      <c r="E1343" s="25"/>
      <c r="F1343" s="26"/>
      <c r="G1343" s="27"/>
      <c r="H1343" s="20"/>
      <c r="I1343" s="21"/>
      <c r="J1343" s="28"/>
      <c r="K1343" s="19"/>
    </row>
    <row r="1344" spans="1:11" ht="13.2">
      <c r="A1344" s="22"/>
      <c r="B1344" s="16"/>
      <c r="C1344" s="23"/>
      <c r="D1344" s="24"/>
      <c r="E1344" s="25"/>
      <c r="F1344" s="26"/>
      <c r="G1344" s="27"/>
      <c r="H1344" s="20"/>
      <c r="I1344" s="21"/>
      <c r="J1344" s="28"/>
      <c r="K1344" s="19"/>
    </row>
    <row r="1345" spans="1:11" ht="13.2">
      <c r="A1345" s="22"/>
      <c r="B1345" s="16"/>
      <c r="C1345" s="23"/>
      <c r="D1345" s="24"/>
      <c r="E1345" s="25"/>
      <c r="F1345" s="26"/>
      <c r="G1345" s="27"/>
      <c r="H1345" s="20"/>
      <c r="I1345" s="21"/>
      <c r="J1345" s="28"/>
      <c r="K1345" s="19"/>
    </row>
    <row r="1346" spans="1:11" ht="13.2">
      <c r="A1346" s="22"/>
      <c r="B1346" s="16"/>
      <c r="C1346" s="23"/>
      <c r="D1346" s="24"/>
      <c r="E1346" s="25"/>
      <c r="F1346" s="26"/>
      <c r="G1346" s="27"/>
      <c r="H1346" s="20"/>
      <c r="I1346" s="21"/>
      <c r="J1346" s="28"/>
      <c r="K1346" s="19"/>
    </row>
    <row r="1347" spans="1:11" ht="13.2">
      <c r="A1347" s="22"/>
      <c r="B1347" s="16"/>
      <c r="C1347" s="23"/>
      <c r="D1347" s="24"/>
      <c r="E1347" s="25"/>
      <c r="F1347" s="26"/>
      <c r="G1347" s="27"/>
      <c r="H1347" s="20"/>
      <c r="I1347" s="21"/>
      <c r="J1347" s="28"/>
      <c r="K1347" s="19"/>
    </row>
    <row r="1348" spans="1:11" ht="13.2">
      <c r="A1348" s="22"/>
      <c r="B1348" s="16"/>
      <c r="C1348" s="23"/>
      <c r="D1348" s="24"/>
      <c r="E1348" s="25"/>
      <c r="F1348" s="26"/>
      <c r="G1348" s="27"/>
      <c r="H1348" s="20"/>
      <c r="I1348" s="21"/>
      <c r="J1348" s="28"/>
      <c r="K1348" s="19"/>
    </row>
    <row r="1349" spans="1:11" ht="13.2">
      <c r="A1349" s="22"/>
      <c r="B1349" s="16"/>
      <c r="C1349" s="23"/>
      <c r="D1349" s="24"/>
      <c r="E1349" s="25"/>
      <c r="F1349" s="26"/>
      <c r="G1349" s="27"/>
      <c r="H1349" s="20"/>
      <c r="I1349" s="21"/>
      <c r="J1349" s="28"/>
      <c r="K1349" s="19"/>
    </row>
    <row r="1350" spans="1:11" ht="13.2">
      <c r="A1350" s="22"/>
      <c r="B1350" s="16"/>
      <c r="C1350" s="23"/>
      <c r="D1350" s="24"/>
      <c r="E1350" s="25"/>
      <c r="F1350" s="26"/>
      <c r="G1350" s="27"/>
      <c r="H1350" s="20"/>
      <c r="I1350" s="21"/>
      <c r="J1350" s="28"/>
      <c r="K1350" s="19"/>
    </row>
    <row r="1351" spans="1:11" ht="13.2">
      <c r="A1351" s="22"/>
      <c r="B1351" s="16"/>
      <c r="C1351" s="23"/>
      <c r="D1351" s="24"/>
      <c r="E1351" s="25"/>
      <c r="F1351" s="26"/>
      <c r="G1351" s="27"/>
      <c r="H1351" s="20"/>
      <c r="I1351" s="21"/>
      <c r="J1351" s="28"/>
      <c r="K1351" s="19"/>
    </row>
    <row r="1352" spans="1:11" ht="13.2">
      <c r="A1352" s="22"/>
      <c r="B1352" s="16"/>
      <c r="C1352" s="23"/>
      <c r="D1352" s="24"/>
      <c r="E1352" s="25"/>
      <c r="F1352" s="26"/>
      <c r="G1352" s="27"/>
      <c r="H1352" s="20"/>
      <c r="I1352" s="21"/>
      <c r="J1352" s="28"/>
      <c r="K1352" s="19"/>
    </row>
    <row r="1353" spans="1:11" ht="13.2">
      <c r="A1353" s="22"/>
      <c r="B1353" s="16"/>
      <c r="C1353" s="23"/>
      <c r="D1353" s="24"/>
      <c r="E1353" s="25"/>
      <c r="F1353" s="26"/>
      <c r="G1353" s="27"/>
      <c r="H1353" s="20"/>
      <c r="I1353" s="21"/>
      <c r="J1353" s="28"/>
      <c r="K1353" s="19"/>
    </row>
    <row r="1354" spans="1:11" ht="13.2">
      <c r="A1354" s="22"/>
      <c r="B1354" s="16"/>
      <c r="C1354" s="23"/>
      <c r="D1354" s="24"/>
      <c r="E1354" s="25"/>
      <c r="F1354" s="26"/>
      <c r="G1354" s="27"/>
      <c r="H1354" s="20"/>
      <c r="I1354" s="21"/>
      <c r="J1354" s="28"/>
      <c r="K1354" s="19"/>
    </row>
    <row r="1355" spans="1:11" ht="13.2">
      <c r="A1355" s="22"/>
      <c r="B1355" s="16"/>
      <c r="C1355" s="23"/>
      <c r="D1355" s="24"/>
      <c r="E1355" s="25"/>
      <c r="F1355" s="26"/>
      <c r="G1355" s="27"/>
      <c r="H1355" s="20"/>
      <c r="I1355" s="21"/>
      <c r="J1355" s="28"/>
      <c r="K1355" s="19"/>
    </row>
    <row r="1356" spans="1:11" ht="13.2">
      <c r="A1356" s="22"/>
      <c r="B1356" s="16"/>
      <c r="C1356" s="23"/>
      <c r="D1356" s="24"/>
      <c r="E1356" s="25"/>
      <c r="F1356" s="26"/>
      <c r="G1356" s="27"/>
      <c r="H1356" s="20"/>
      <c r="I1356" s="21"/>
      <c r="J1356" s="28"/>
      <c r="K1356" s="19"/>
    </row>
    <row r="1357" spans="1:11" ht="13.2">
      <c r="A1357" s="22"/>
      <c r="B1357" s="16"/>
      <c r="C1357" s="23"/>
      <c r="D1357" s="24"/>
      <c r="E1357" s="25"/>
      <c r="F1357" s="26"/>
      <c r="G1357" s="27"/>
      <c r="H1357" s="20"/>
      <c r="I1357" s="21"/>
      <c r="J1357" s="28"/>
      <c r="K1357" s="19"/>
    </row>
    <row r="1358" spans="1:11" ht="13.2">
      <c r="A1358" s="22"/>
      <c r="B1358" s="16"/>
      <c r="C1358" s="23"/>
      <c r="D1358" s="24"/>
      <c r="E1358" s="25"/>
      <c r="F1358" s="26"/>
      <c r="G1358" s="27"/>
      <c r="H1358" s="20"/>
      <c r="I1358" s="21"/>
      <c r="J1358" s="28"/>
      <c r="K1358" s="19"/>
    </row>
    <row r="1359" spans="1:11" ht="13.2">
      <c r="A1359" s="22"/>
      <c r="B1359" s="16"/>
      <c r="C1359" s="23"/>
      <c r="D1359" s="24"/>
      <c r="E1359" s="25"/>
      <c r="F1359" s="26"/>
      <c r="G1359" s="27"/>
      <c r="H1359" s="20"/>
      <c r="I1359" s="21"/>
      <c r="J1359" s="28"/>
      <c r="K1359" s="19"/>
    </row>
    <row r="1360" spans="1:11" ht="13.2">
      <c r="A1360" s="22"/>
      <c r="B1360" s="16"/>
      <c r="C1360" s="23"/>
      <c r="D1360" s="24"/>
      <c r="E1360" s="25"/>
      <c r="F1360" s="26"/>
      <c r="G1360" s="27"/>
      <c r="H1360" s="20"/>
      <c r="I1360" s="21"/>
      <c r="J1360" s="28"/>
      <c r="K1360" s="19"/>
    </row>
    <row r="1361" spans="1:11" ht="13.2">
      <c r="A1361" s="22"/>
      <c r="B1361" s="16"/>
      <c r="C1361" s="23"/>
      <c r="D1361" s="24"/>
      <c r="E1361" s="25"/>
      <c r="F1361" s="26"/>
      <c r="G1361" s="27"/>
      <c r="H1361" s="20"/>
      <c r="I1361" s="21"/>
      <c r="J1361" s="28"/>
      <c r="K1361" s="19"/>
    </row>
    <row r="1362" spans="1:11" ht="13.2">
      <c r="A1362" s="22"/>
      <c r="B1362" s="16"/>
      <c r="C1362" s="23"/>
      <c r="D1362" s="24"/>
      <c r="E1362" s="25"/>
      <c r="F1362" s="26"/>
      <c r="G1362" s="27"/>
      <c r="H1362" s="20"/>
      <c r="I1362" s="21"/>
      <c r="J1362" s="28"/>
      <c r="K1362" s="19"/>
    </row>
    <row r="1363" spans="1:11" ht="13.2">
      <c r="A1363" s="22"/>
      <c r="B1363" s="16"/>
      <c r="C1363" s="23"/>
      <c r="D1363" s="24"/>
      <c r="E1363" s="25"/>
      <c r="F1363" s="26"/>
      <c r="G1363" s="27"/>
      <c r="H1363" s="20"/>
      <c r="I1363" s="21"/>
      <c r="J1363" s="28"/>
      <c r="K1363" s="19"/>
    </row>
    <row r="1364" spans="1:11" ht="13.2">
      <c r="A1364" s="22"/>
      <c r="B1364" s="16"/>
      <c r="C1364" s="23"/>
      <c r="D1364" s="24"/>
      <c r="E1364" s="25"/>
      <c r="F1364" s="26"/>
      <c r="G1364" s="27"/>
      <c r="H1364" s="20"/>
      <c r="I1364" s="21"/>
      <c r="J1364" s="28"/>
      <c r="K1364" s="19"/>
    </row>
    <row r="1365" spans="1:11" ht="13.2">
      <c r="A1365" s="22"/>
      <c r="B1365" s="16"/>
      <c r="C1365" s="23"/>
      <c r="D1365" s="24"/>
      <c r="E1365" s="25"/>
      <c r="F1365" s="26"/>
      <c r="G1365" s="27"/>
      <c r="H1365" s="20"/>
      <c r="I1365" s="21"/>
      <c r="J1365" s="28"/>
      <c r="K1365" s="19"/>
    </row>
    <row r="1366" spans="1:11" ht="13.2">
      <c r="A1366" s="22"/>
      <c r="B1366" s="16"/>
      <c r="C1366" s="23"/>
      <c r="D1366" s="24"/>
      <c r="E1366" s="25"/>
      <c r="F1366" s="26"/>
      <c r="G1366" s="27"/>
      <c r="H1366" s="20"/>
      <c r="I1366" s="21"/>
      <c r="J1366" s="28"/>
      <c r="K1366" s="19"/>
    </row>
    <row r="1367" spans="1:11" ht="13.2">
      <c r="A1367" s="22"/>
      <c r="B1367" s="16"/>
      <c r="C1367" s="23"/>
      <c r="D1367" s="24"/>
      <c r="E1367" s="25"/>
      <c r="F1367" s="26"/>
      <c r="G1367" s="27"/>
      <c r="H1367" s="20"/>
      <c r="I1367" s="21"/>
      <c r="J1367" s="28"/>
      <c r="K1367" s="19"/>
    </row>
    <row r="1368" spans="1:11" ht="13.2">
      <c r="A1368" s="22"/>
      <c r="B1368" s="16"/>
      <c r="C1368" s="23"/>
      <c r="D1368" s="24"/>
      <c r="E1368" s="25"/>
      <c r="F1368" s="26"/>
      <c r="G1368" s="27"/>
      <c r="H1368" s="20"/>
      <c r="I1368" s="21"/>
      <c r="J1368" s="28"/>
      <c r="K1368" s="19"/>
    </row>
    <row r="1369" spans="1:11" ht="13.2">
      <c r="A1369" s="22"/>
      <c r="B1369" s="16"/>
      <c r="C1369" s="23"/>
      <c r="D1369" s="24"/>
      <c r="E1369" s="25"/>
      <c r="F1369" s="26"/>
      <c r="G1369" s="27"/>
      <c r="H1369" s="20"/>
      <c r="I1369" s="21"/>
      <c r="J1369" s="28"/>
      <c r="K1369" s="19"/>
    </row>
    <row r="1370" spans="1:11" ht="13.2">
      <c r="A1370" s="22"/>
      <c r="B1370" s="16"/>
      <c r="C1370" s="23"/>
      <c r="D1370" s="24"/>
      <c r="E1370" s="25"/>
      <c r="F1370" s="26"/>
      <c r="G1370" s="27"/>
      <c r="H1370" s="20"/>
      <c r="I1370" s="21"/>
      <c r="J1370" s="28"/>
      <c r="K1370" s="19"/>
    </row>
    <row r="1371" spans="1:11" ht="13.2">
      <c r="A1371" s="22"/>
      <c r="B1371" s="16"/>
      <c r="C1371" s="23"/>
      <c r="D1371" s="24"/>
      <c r="E1371" s="25"/>
      <c r="F1371" s="26"/>
      <c r="G1371" s="27"/>
      <c r="H1371" s="20"/>
      <c r="I1371" s="21"/>
      <c r="J1371" s="28"/>
      <c r="K1371" s="19"/>
    </row>
    <row r="1372" spans="1:11" ht="13.2">
      <c r="A1372" s="22"/>
      <c r="B1372" s="16"/>
      <c r="C1372" s="23"/>
      <c r="D1372" s="24"/>
      <c r="E1372" s="25"/>
      <c r="F1372" s="26"/>
      <c r="G1372" s="27"/>
      <c r="H1372" s="20"/>
      <c r="I1372" s="21"/>
      <c r="J1372" s="28"/>
      <c r="K1372" s="19"/>
    </row>
    <row r="1373" spans="1:11" ht="13.2">
      <c r="A1373" s="22"/>
      <c r="B1373" s="16"/>
      <c r="C1373" s="23"/>
      <c r="D1373" s="24"/>
      <c r="E1373" s="25"/>
      <c r="F1373" s="26"/>
      <c r="G1373" s="27"/>
      <c r="H1373" s="20"/>
      <c r="I1373" s="21"/>
      <c r="J1373" s="28"/>
      <c r="K1373" s="19"/>
    </row>
    <row r="1374" spans="1:11" ht="13.2">
      <c r="A1374" s="22"/>
      <c r="B1374" s="16"/>
      <c r="C1374" s="23"/>
      <c r="D1374" s="24"/>
      <c r="E1374" s="25"/>
      <c r="F1374" s="26"/>
      <c r="G1374" s="27"/>
      <c r="H1374" s="20"/>
      <c r="I1374" s="21"/>
      <c r="J1374" s="28"/>
      <c r="K1374" s="19"/>
    </row>
    <row r="1375" spans="1:11" ht="13.2">
      <c r="A1375" s="22"/>
      <c r="B1375" s="16"/>
      <c r="C1375" s="23"/>
      <c r="D1375" s="24"/>
      <c r="E1375" s="25"/>
      <c r="F1375" s="26"/>
      <c r="G1375" s="27"/>
      <c r="H1375" s="20"/>
      <c r="I1375" s="21"/>
      <c r="J1375" s="28"/>
      <c r="K1375" s="19"/>
    </row>
    <row r="1376" spans="1:11" ht="13.2">
      <c r="A1376" s="22"/>
      <c r="B1376" s="16"/>
      <c r="C1376" s="23"/>
      <c r="D1376" s="24"/>
      <c r="E1376" s="25"/>
      <c r="F1376" s="26"/>
      <c r="G1376" s="27"/>
      <c r="H1376" s="20"/>
      <c r="I1376" s="21"/>
      <c r="J1376" s="28"/>
      <c r="K1376" s="19"/>
    </row>
    <row r="1377" spans="1:11" ht="13.2">
      <c r="A1377" s="22"/>
      <c r="B1377" s="16"/>
      <c r="C1377" s="23"/>
      <c r="D1377" s="24"/>
      <c r="E1377" s="25"/>
      <c r="F1377" s="26"/>
      <c r="G1377" s="27"/>
      <c r="H1377" s="20"/>
      <c r="I1377" s="21"/>
      <c r="J1377" s="28"/>
      <c r="K1377" s="19"/>
    </row>
    <row r="1378" spans="1:11" ht="13.2">
      <c r="A1378" s="22"/>
      <c r="B1378" s="16"/>
      <c r="C1378" s="23"/>
      <c r="D1378" s="24"/>
      <c r="E1378" s="25"/>
      <c r="F1378" s="26"/>
      <c r="G1378" s="27"/>
      <c r="H1378" s="20"/>
      <c r="I1378" s="21"/>
      <c r="J1378" s="28"/>
      <c r="K1378" s="19"/>
    </row>
    <row r="1379" spans="1:11" ht="13.2">
      <c r="A1379" s="22"/>
      <c r="B1379" s="16"/>
      <c r="C1379" s="23"/>
      <c r="D1379" s="24"/>
      <c r="E1379" s="25"/>
      <c r="F1379" s="26"/>
      <c r="G1379" s="27"/>
      <c r="H1379" s="20"/>
      <c r="I1379" s="21"/>
      <c r="J1379" s="28"/>
      <c r="K1379" s="19"/>
    </row>
    <row r="1380" spans="1:11" ht="13.2">
      <c r="A1380" s="22"/>
      <c r="B1380" s="16"/>
      <c r="C1380" s="23"/>
      <c r="D1380" s="24"/>
      <c r="E1380" s="25"/>
      <c r="F1380" s="26"/>
      <c r="G1380" s="27"/>
      <c r="H1380" s="20"/>
      <c r="I1380" s="21"/>
      <c r="J1380" s="28"/>
      <c r="K1380" s="19"/>
    </row>
    <row r="1381" spans="1:11" ht="13.2">
      <c r="A1381" s="22"/>
      <c r="B1381" s="16"/>
      <c r="C1381" s="23"/>
      <c r="D1381" s="24"/>
      <c r="E1381" s="25"/>
      <c r="F1381" s="26"/>
      <c r="G1381" s="27"/>
      <c r="H1381" s="20"/>
      <c r="I1381" s="21"/>
      <c r="J1381" s="28"/>
      <c r="K1381" s="19"/>
    </row>
    <row r="1382" spans="1:11" ht="13.2">
      <c r="A1382" s="22"/>
      <c r="B1382" s="16"/>
      <c r="C1382" s="23"/>
      <c r="D1382" s="24"/>
      <c r="E1382" s="25"/>
      <c r="F1382" s="26"/>
      <c r="G1382" s="27"/>
      <c r="H1382" s="20"/>
      <c r="I1382" s="21"/>
      <c r="J1382" s="28"/>
      <c r="K1382" s="19"/>
    </row>
    <row r="1383" spans="1:11" ht="13.2">
      <c r="A1383" s="22"/>
      <c r="B1383" s="16"/>
      <c r="C1383" s="23"/>
      <c r="D1383" s="24"/>
      <c r="E1383" s="25"/>
      <c r="F1383" s="26"/>
      <c r="G1383" s="27"/>
      <c r="H1383" s="20"/>
      <c r="I1383" s="21"/>
      <c r="J1383" s="28"/>
      <c r="K1383" s="19"/>
    </row>
    <row r="1384" spans="1:11" ht="13.2">
      <c r="A1384" s="22"/>
      <c r="B1384" s="16"/>
      <c r="C1384" s="23"/>
      <c r="D1384" s="24"/>
      <c r="E1384" s="25"/>
      <c r="F1384" s="26"/>
      <c r="G1384" s="27"/>
      <c r="H1384" s="20"/>
      <c r="I1384" s="21"/>
      <c r="J1384" s="28"/>
      <c r="K1384" s="19"/>
    </row>
    <row r="1385" spans="1:11" ht="13.2">
      <c r="A1385" s="22"/>
      <c r="B1385" s="16"/>
      <c r="C1385" s="23"/>
      <c r="D1385" s="24"/>
      <c r="E1385" s="25"/>
      <c r="F1385" s="26"/>
      <c r="G1385" s="27"/>
      <c r="H1385" s="20"/>
      <c r="I1385" s="21"/>
      <c r="J1385" s="28"/>
      <c r="K1385" s="19"/>
    </row>
    <row r="1386" spans="1:11" ht="13.2">
      <c r="A1386" s="22"/>
      <c r="B1386" s="16"/>
      <c r="C1386" s="23"/>
      <c r="D1386" s="24"/>
      <c r="E1386" s="25"/>
      <c r="F1386" s="26"/>
      <c r="G1386" s="27"/>
      <c r="H1386" s="20"/>
      <c r="I1386" s="21"/>
      <c r="J1386" s="28"/>
      <c r="K1386" s="19"/>
    </row>
    <row r="1387" spans="1:11" ht="13.2">
      <c r="A1387" s="22"/>
      <c r="B1387" s="16"/>
      <c r="C1387" s="23"/>
      <c r="D1387" s="24"/>
      <c r="E1387" s="25"/>
      <c r="F1387" s="26"/>
      <c r="G1387" s="27"/>
      <c r="H1387" s="20"/>
      <c r="I1387" s="21"/>
      <c r="J1387" s="28"/>
      <c r="K1387" s="19"/>
    </row>
    <row r="1388" spans="1:11" ht="13.2">
      <c r="A1388" s="22"/>
      <c r="B1388" s="16"/>
      <c r="C1388" s="23"/>
      <c r="D1388" s="24"/>
      <c r="E1388" s="25"/>
      <c r="F1388" s="26"/>
      <c r="G1388" s="27"/>
      <c r="H1388" s="20"/>
      <c r="I1388" s="21"/>
      <c r="J1388" s="28"/>
      <c r="K1388" s="19"/>
    </row>
    <row r="1389" spans="1:11" ht="13.2">
      <c r="A1389" s="22"/>
      <c r="B1389" s="16"/>
      <c r="C1389" s="23"/>
      <c r="D1389" s="24"/>
      <c r="E1389" s="25"/>
      <c r="F1389" s="26"/>
      <c r="G1389" s="27"/>
      <c r="H1389" s="20"/>
      <c r="I1389" s="21"/>
      <c r="J1389" s="28"/>
      <c r="K1389" s="19"/>
    </row>
    <row r="1390" spans="1:11" ht="13.2">
      <c r="A1390" s="22"/>
      <c r="B1390" s="16"/>
      <c r="C1390" s="23"/>
      <c r="D1390" s="24"/>
      <c r="E1390" s="25"/>
      <c r="F1390" s="26"/>
      <c r="G1390" s="27"/>
      <c r="H1390" s="20"/>
      <c r="I1390" s="21"/>
      <c r="J1390" s="28"/>
      <c r="K1390" s="19"/>
    </row>
    <row r="1391" spans="1:11" ht="13.2">
      <c r="A1391" s="22"/>
      <c r="B1391" s="16"/>
      <c r="C1391" s="23"/>
      <c r="D1391" s="24"/>
      <c r="E1391" s="25"/>
      <c r="F1391" s="26"/>
      <c r="G1391" s="27"/>
      <c r="H1391" s="20"/>
      <c r="I1391" s="21"/>
      <c r="J1391" s="28"/>
      <c r="K1391" s="19"/>
    </row>
    <row r="1392" spans="1:11" ht="13.2">
      <c r="A1392" s="22"/>
      <c r="B1392" s="16"/>
      <c r="C1392" s="23"/>
      <c r="D1392" s="24"/>
      <c r="E1392" s="25"/>
      <c r="F1392" s="26"/>
      <c r="G1392" s="27"/>
      <c r="H1392" s="20"/>
      <c r="I1392" s="21"/>
      <c r="J1392" s="28"/>
      <c r="K1392" s="19"/>
    </row>
    <row r="1393" spans="1:11" ht="13.2">
      <c r="A1393" s="22"/>
      <c r="B1393" s="16"/>
      <c r="C1393" s="23"/>
      <c r="D1393" s="24"/>
      <c r="E1393" s="25"/>
      <c r="F1393" s="26"/>
      <c r="G1393" s="27"/>
      <c r="H1393" s="20"/>
      <c r="I1393" s="21"/>
      <c r="J1393" s="28"/>
      <c r="K1393" s="19"/>
    </row>
    <row r="1394" spans="1:11" ht="13.2">
      <c r="A1394" s="22"/>
      <c r="B1394" s="16"/>
      <c r="C1394" s="23"/>
      <c r="D1394" s="24"/>
      <c r="E1394" s="25"/>
      <c r="F1394" s="26"/>
      <c r="G1394" s="27"/>
      <c r="H1394" s="20"/>
      <c r="I1394" s="21"/>
      <c r="J1394" s="28"/>
      <c r="K1394" s="19"/>
    </row>
    <row r="1395" spans="1:11" ht="13.2">
      <c r="A1395" s="22"/>
      <c r="B1395" s="16"/>
      <c r="C1395" s="23"/>
      <c r="D1395" s="24"/>
      <c r="E1395" s="25"/>
      <c r="F1395" s="26"/>
      <c r="G1395" s="27"/>
      <c r="H1395" s="20"/>
      <c r="I1395" s="21"/>
      <c r="J1395" s="28"/>
      <c r="K1395" s="19"/>
    </row>
    <row r="1396" spans="1:11" ht="13.2">
      <c r="A1396" s="22"/>
      <c r="B1396" s="16"/>
      <c r="C1396" s="23"/>
      <c r="D1396" s="24"/>
      <c r="E1396" s="25"/>
      <c r="F1396" s="26"/>
      <c r="G1396" s="27"/>
      <c r="H1396" s="20"/>
      <c r="I1396" s="21"/>
      <c r="J1396" s="28"/>
      <c r="K1396" s="19"/>
    </row>
    <row r="1397" spans="1:11" ht="13.2">
      <c r="A1397" s="22"/>
      <c r="B1397" s="16"/>
      <c r="C1397" s="23"/>
      <c r="D1397" s="24"/>
      <c r="E1397" s="25"/>
      <c r="F1397" s="26"/>
      <c r="G1397" s="27"/>
      <c r="H1397" s="20"/>
      <c r="I1397" s="21"/>
      <c r="J1397" s="28"/>
      <c r="K1397" s="19"/>
    </row>
    <row r="1398" spans="1:11" ht="13.2">
      <c r="A1398" s="22"/>
      <c r="B1398" s="16"/>
      <c r="C1398" s="23"/>
      <c r="D1398" s="24"/>
      <c r="E1398" s="25"/>
      <c r="F1398" s="26"/>
      <c r="G1398" s="27"/>
      <c r="H1398" s="20"/>
      <c r="I1398" s="21"/>
      <c r="J1398" s="28"/>
      <c r="K1398" s="19"/>
    </row>
    <row r="1399" spans="1:11" ht="13.2">
      <c r="A1399" s="22"/>
      <c r="B1399" s="16"/>
      <c r="C1399" s="23"/>
      <c r="D1399" s="24"/>
      <c r="E1399" s="25"/>
      <c r="F1399" s="26"/>
      <c r="G1399" s="27"/>
      <c r="H1399" s="20"/>
      <c r="I1399" s="21"/>
      <c r="J1399" s="28"/>
      <c r="K1399" s="19"/>
    </row>
    <row r="1400" spans="1:11" ht="13.2">
      <c r="A1400" s="22"/>
      <c r="B1400" s="16"/>
      <c r="C1400" s="23"/>
      <c r="D1400" s="24"/>
      <c r="E1400" s="25"/>
      <c r="F1400" s="26"/>
      <c r="G1400" s="27"/>
      <c r="H1400" s="20"/>
      <c r="I1400" s="21"/>
      <c r="J1400" s="28"/>
      <c r="K1400" s="19"/>
    </row>
    <row r="1401" spans="1:11" ht="13.2">
      <c r="A1401" s="22"/>
      <c r="B1401" s="16"/>
      <c r="C1401" s="23"/>
      <c r="D1401" s="24"/>
      <c r="E1401" s="25"/>
      <c r="F1401" s="26"/>
      <c r="G1401" s="27"/>
      <c r="H1401" s="20"/>
      <c r="I1401" s="21"/>
      <c r="J1401" s="28"/>
      <c r="K1401" s="19"/>
    </row>
    <row r="1402" spans="1:11" ht="13.2">
      <c r="A1402" s="22"/>
      <c r="B1402" s="16"/>
      <c r="C1402" s="23"/>
      <c r="D1402" s="24"/>
      <c r="E1402" s="25"/>
      <c r="F1402" s="26"/>
      <c r="G1402" s="27"/>
      <c r="H1402" s="20"/>
      <c r="I1402" s="21"/>
      <c r="J1402" s="28"/>
      <c r="K1402" s="19"/>
    </row>
    <row r="1403" spans="1:11" ht="13.2">
      <c r="A1403" s="22"/>
      <c r="B1403" s="16"/>
      <c r="C1403" s="23"/>
      <c r="D1403" s="24"/>
      <c r="E1403" s="25"/>
      <c r="F1403" s="26"/>
      <c r="G1403" s="27"/>
      <c r="H1403" s="20"/>
      <c r="I1403" s="21"/>
      <c r="J1403" s="28"/>
      <c r="K1403" s="19"/>
    </row>
    <row r="1404" spans="1:11" ht="13.2">
      <c r="A1404" s="22"/>
      <c r="B1404" s="16"/>
      <c r="C1404" s="23"/>
      <c r="D1404" s="24"/>
      <c r="E1404" s="25"/>
      <c r="F1404" s="26"/>
      <c r="G1404" s="27"/>
      <c r="H1404" s="20"/>
      <c r="I1404" s="21"/>
      <c r="J1404" s="28"/>
      <c r="K1404" s="19"/>
    </row>
    <row r="1405" spans="1:11" ht="13.2">
      <c r="A1405" s="22"/>
      <c r="B1405" s="16"/>
      <c r="C1405" s="23"/>
      <c r="D1405" s="24"/>
      <c r="E1405" s="25"/>
      <c r="F1405" s="26"/>
      <c r="G1405" s="27"/>
      <c r="H1405" s="20"/>
      <c r="I1405" s="21"/>
      <c r="J1405" s="28"/>
      <c r="K1405" s="19"/>
    </row>
    <row r="1406" spans="1:11" ht="13.2">
      <c r="A1406" s="22"/>
      <c r="B1406" s="16"/>
      <c r="C1406" s="23"/>
      <c r="D1406" s="24"/>
      <c r="E1406" s="25"/>
      <c r="F1406" s="26"/>
      <c r="G1406" s="27"/>
      <c r="H1406" s="20"/>
      <c r="I1406" s="21"/>
      <c r="J1406" s="28"/>
      <c r="K1406" s="19"/>
    </row>
    <row r="1407" spans="1:11" ht="13.2">
      <c r="A1407" s="22"/>
      <c r="B1407" s="16"/>
      <c r="C1407" s="23"/>
      <c r="D1407" s="24"/>
      <c r="E1407" s="25"/>
      <c r="F1407" s="26"/>
      <c r="G1407" s="27"/>
      <c r="H1407" s="20"/>
      <c r="I1407" s="21"/>
      <c r="J1407" s="28"/>
      <c r="K1407" s="19"/>
    </row>
    <row r="1408" spans="1:11" ht="13.2">
      <c r="A1408" s="22"/>
      <c r="B1408" s="16"/>
      <c r="C1408" s="23"/>
      <c r="D1408" s="24"/>
      <c r="E1408" s="25"/>
      <c r="F1408" s="26"/>
      <c r="G1408" s="27"/>
      <c r="H1408" s="20"/>
      <c r="I1408" s="21"/>
      <c r="J1408" s="28"/>
      <c r="K1408" s="19"/>
    </row>
    <row r="1409" spans="1:11" ht="13.2">
      <c r="A1409" s="22"/>
      <c r="B1409" s="16"/>
      <c r="C1409" s="23"/>
      <c r="D1409" s="24"/>
      <c r="E1409" s="25"/>
      <c r="F1409" s="26"/>
      <c r="G1409" s="27"/>
      <c r="H1409" s="20"/>
      <c r="I1409" s="21"/>
      <c r="J1409" s="28"/>
      <c r="K1409" s="19"/>
    </row>
    <row r="1410" spans="1:11" ht="13.2">
      <c r="A1410" s="22"/>
      <c r="B1410" s="16"/>
      <c r="C1410" s="23"/>
      <c r="D1410" s="24"/>
      <c r="E1410" s="25"/>
      <c r="F1410" s="26"/>
      <c r="G1410" s="27"/>
      <c r="H1410" s="20"/>
      <c r="I1410" s="21"/>
      <c r="J1410" s="28"/>
      <c r="K1410" s="19"/>
    </row>
    <row r="1411" spans="1:11" ht="13.2">
      <c r="A1411" s="22"/>
      <c r="B1411" s="16"/>
      <c r="C1411" s="23"/>
      <c r="D1411" s="24"/>
      <c r="E1411" s="25"/>
      <c r="F1411" s="26"/>
      <c r="G1411" s="27"/>
      <c r="H1411" s="20"/>
      <c r="I1411" s="21"/>
      <c r="J1411" s="28"/>
      <c r="K1411" s="19"/>
    </row>
    <row r="1412" spans="1:11" ht="13.2">
      <c r="A1412" s="22"/>
      <c r="B1412" s="16"/>
      <c r="C1412" s="23"/>
      <c r="D1412" s="24"/>
      <c r="E1412" s="25"/>
      <c r="F1412" s="26"/>
      <c r="G1412" s="27"/>
      <c r="H1412" s="20"/>
      <c r="I1412" s="21"/>
      <c r="J1412" s="28"/>
      <c r="K1412" s="19"/>
    </row>
    <row r="1413" spans="1:11" ht="13.2">
      <c r="A1413" s="22"/>
      <c r="B1413" s="16"/>
      <c r="C1413" s="23"/>
      <c r="D1413" s="24"/>
      <c r="E1413" s="25"/>
      <c r="F1413" s="26"/>
      <c r="G1413" s="27"/>
      <c r="H1413" s="20"/>
      <c r="I1413" s="21"/>
      <c r="J1413" s="28"/>
      <c r="K1413" s="19"/>
    </row>
    <row r="1414" spans="1:11" ht="13.2">
      <c r="A1414" s="22"/>
      <c r="B1414" s="16"/>
      <c r="C1414" s="23"/>
      <c r="D1414" s="24"/>
      <c r="E1414" s="25"/>
      <c r="F1414" s="26"/>
      <c r="G1414" s="27"/>
      <c r="H1414" s="20"/>
      <c r="I1414" s="21"/>
      <c r="J1414" s="28"/>
      <c r="K1414" s="19"/>
    </row>
    <row r="1415" spans="1:11" ht="13.2">
      <c r="A1415" s="22"/>
      <c r="B1415" s="16"/>
      <c r="C1415" s="23"/>
      <c r="D1415" s="24"/>
      <c r="E1415" s="25"/>
      <c r="F1415" s="26"/>
      <c r="G1415" s="27"/>
      <c r="H1415" s="20"/>
      <c r="I1415" s="21"/>
      <c r="J1415" s="28"/>
      <c r="K1415" s="19"/>
    </row>
    <row r="1416" spans="1:11" ht="13.2">
      <c r="A1416" s="22"/>
      <c r="B1416" s="16"/>
      <c r="C1416" s="23"/>
      <c r="D1416" s="24"/>
      <c r="E1416" s="25"/>
      <c r="F1416" s="26"/>
      <c r="G1416" s="27"/>
      <c r="H1416" s="20"/>
      <c r="I1416" s="21"/>
      <c r="J1416" s="28"/>
      <c r="K1416" s="19"/>
    </row>
    <row r="1417" spans="1:11" ht="13.2">
      <c r="A1417" s="22"/>
      <c r="B1417" s="16"/>
      <c r="C1417" s="23"/>
      <c r="D1417" s="24"/>
      <c r="E1417" s="25"/>
      <c r="F1417" s="26"/>
      <c r="G1417" s="27"/>
      <c r="H1417" s="20"/>
      <c r="I1417" s="21"/>
      <c r="J1417" s="28"/>
      <c r="K1417" s="19"/>
    </row>
    <row r="1418" spans="1:11" ht="13.2">
      <c r="A1418" s="22"/>
      <c r="B1418" s="16"/>
      <c r="C1418" s="23"/>
      <c r="D1418" s="24"/>
      <c r="E1418" s="25"/>
      <c r="F1418" s="26"/>
      <c r="G1418" s="27"/>
      <c r="H1418" s="20"/>
      <c r="I1418" s="21"/>
      <c r="J1418" s="28"/>
      <c r="K1418" s="19"/>
    </row>
    <row r="1419" spans="1:11" ht="13.2">
      <c r="A1419" s="22"/>
      <c r="B1419" s="16"/>
      <c r="C1419" s="23"/>
      <c r="D1419" s="24"/>
      <c r="E1419" s="25"/>
      <c r="F1419" s="26"/>
      <c r="G1419" s="27"/>
      <c r="H1419" s="20"/>
      <c r="I1419" s="21"/>
      <c r="J1419" s="28"/>
      <c r="K1419" s="19"/>
    </row>
    <row r="1420" spans="1:11" ht="13.2">
      <c r="A1420" s="22"/>
      <c r="B1420" s="16"/>
      <c r="C1420" s="23"/>
      <c r="D1420" s="24"/>
      <c r="E1420" s="25"/>
      <c r="F1420" s="26"/>
      <c r="G1420" s="27"/>
      <c r="H1420" s="20"/>
      <c r="I1420" s="21"/>
      <c r="J1420" s="28"/>
      <c r="K1420" s="19"/>
    </row>
    <row r="1421" spans="1:11" ht="13.2">
      <c r="A1421" s="22"/>
      <c r="B1421" s="16"/>
      <c r="C1421" s="23"/>
      <c r="D1421" s="24"/>
      <c r="E1421" s="25"/>
      <c r="F1421" s="26"/>
      <c r="G1421" s="27"/>
      <c r="H1421" s="20"/>
      <c r="I1421" s="21"/>
      <c r="J1421" s="28"/>
      <c r="K1421" s="19"/>
    </row>
    <row r="1422" spans="1:11" ht="13.2">
      <c r="A1422" s="22"/>
      <c r="B1422" s="16"/>
      <c r="C1422" s="23"/>
      <c r="D1422" s="24"/>
      <c r="E1422" s="25"/>
      <c r="F1422" s="26"/>
      <c r="G1422" s="27"/>
      <c r="H1422" s="20"/>
      <c r="I1422" s="21"/>
      <c r="J1422" s="28"/>
      <c r="K1422" s="19"/>
    </row>
    <row r="1423" spans="1:11" ht="13.2">
      <c r="A1423" s="22"/>
      <c r="B1423" s="16"/>
      <c r="C1423" s="23"/>
      <c r="D1423" s="24"/>
      <c r="E1423" s="25"/>
      <c r="F1423" s="26"/>
      <c r="G1423" s="27"/>
      <c r="H1423" s="20"/>
      <c r="I1423" s="21"/>
      <c r="J1423" s="28"/>
      <c r="K1423" s="19"/>
    </row>
    <row r="1424" spans="1:11" ht="13.2">
      <c r="A1424" s="22"/>
      <c r="B1424" s="16"/>
      <c r="C1424" s="23"/>
      <c r="D1424" s="24"/>
      <c r="E1424" s="25"/>
      <c r="F1424" s="26"/>
      <c r="G1424" s="27"/>
      <c r="H1424" s="20"/>
      <c r="I1424" s="21"/>
      <c r="J1424" s="28"/>
      <c r="K1424" s="19"/>
    </row>
    <row r="1425" spans="1:11" ht="13.2">
      <c r="A1425" s="22"/>
      <c r="B1425" s="16"/>
      <c r="C1425" s="23"/>
      <c r="D1425" s="24"/>
      <c r="E1425" s="25"/>
      <c r="F1425" s="26"/>
      <c r="G1425" s="27"/>
      <c r="H1425" s="20"/>
      <c r="I1425" s="21"/>
      <c r="J1425" s="28"/>
      <c r="K1425" s="19"/>
    </row>
    <row r="1426" spans="1:11" ht="13.2">
      <c r="A1426" s="22"/>
      <c r="B1426" s="16"/>
      <c r="C1426" s="23"/>
      <c r="D1426" s="24"/>
      <c r="E1426" s="25"/>
      <c r="F1426" s="26"/>
      <c r="G1426" s="27"/>
      <c r="H1426" s="20"/>
      <c r="I1426" s="21"/>
      <c r="J1426" s="28"/>
      <c r="K1426" s="19"/>
    </row>
    <row r="1427" spans="1:11" ht="13.2">
      <c r="A1427" s="22"/>
      <c r="B1427" s="16"/>
      <c r="C1427" s="23"/>
      <c r="D1427" s="24"/>
      <c r="E1427" s="25"/>
      <c r="F1427" s="26"/>
      <c r="G1427" s="27"/>
      <c r="H1427" s="20"/>
      <c r="I1427" s="21"/>
      <c r="J1427" s="28"/>
      <c r="K1427" s="19"/>
    </row>
    <row r="1428" spans="1:11" ht="13.2">
      <c r="A1428" s="22"/>
      <c r="B1428" s="16"/>
      <c r="C1428" s="23"/>
      <c r="D1428" s="24"/>
      <c r="E1428" s="25"/>
      <c r="F1428" s="26"/>
      <c r="G1428" s="27"/>
      <c r="H1428" s="20"/>
      <c r="I1428" s="21"/>
      <c r="J1428" s="28"/>
      <c r="K1428" s="19"/>
    </row>
    <row r="1429" spans="1:11" ht="13.2">
      <c r="A1429" s="22"/>
      <c r="B1429" s="16"/>
      <c r="C1429" s="23"/>
      <c r="D1429" s="24"/>
      <c r="E1429" s="25"/>
      <c r="F1429" s="26"/>
      <c r="G1429" s="27"/>
      <c r="H1429" s="20"/>
      <c r="I1429" s="21"/>
      <c r="J1429" s="28"/>
      <c r="K1429" s="19"/>
    </row>
    <row r="1430" spans="1:11" ht="13.2">
      <c r="A1430" s="22"/>
      <c r="B1430" s="16"/>
      <c r="C1430" s="23"/>
      <c r="D1430" s="24"/>
      <c r="E1430" s="25"/>
      <c r="F1430" s="26"/>
      <c r="G1430" s="27"/>
      <c r="H1430" s="20"/>
      <c r="I1430" s="21"/>
      <c r="J1430" s="28"/>
      <c r="K1430" s="19"/>
    </row>
    <row r="1431" spans="1:11" ht="13.2">
      <c r="A1431" s="22"/>
      <c r="B1431" s="16"/>
      <c r="C1431" s="23"/>
      <c r="D1431" s="24"/>
      <c r="E1431" s="25"/>
      <c r="F1431" s="26"/>
      <c r="G1431" s="27"/>
      <c r="H1431" s="20"/>
      <c r="I1431" s="21"/>
      <c r="J1431" s="28"/>
      <c r="K1431" s="19"/>
    </row>
    <row r="1432" spans="1:11" ht="13.2">
      <c r="A1432" s="22"/>
      <c r="B1432" s="16"/>
      <c r="C1432" s="23"/>
      <c r="D1432" s="24"/>
      <c r="E1432" s="25"/>
      <c r="F1432" s="26"/>
      <c r="G1432" s="27"/>
      <c r="H1432" s="20"/>
      <c r="I1432" s="21"/>
      <c r="J1432" s="28"/>
      <c r="K1432" s="19"/>
    </row>
    <row r="1433" spans="1:11" ht="13.2">
      <c r="A1433" s="22"/>
      <c r="B1433" s="16"/>
      <c r="C1433" s="23"/>
      <c r="D1433" s="24"/>
      <c r="E1433" s="25"/>
      <c r="F1433" s="26"/>
      <c r="G1433" s="27"/>
      <c r="H1433" s="20"/>
      <c r="I1433" s="21"/>
      <c r="J1433" s="28"/>
      <c r="K1433" s="19"/>
    </row>
    <row r="1434" spans="1:11" ht="13.2">
      <c r="A1434" s="22"/>
      <c r="B1434" s="16"/>
      <c r="C1434" s="23"/>
      <c r="D1434" s="24"/>
      <c r="E1434" s="25"/>
      <c r="F1434" s="26"/>
      <c r="G1434" s="27"/>
      <c r="H1434" s="20"/>
      <c r="I1434" s="21"/>
      <c r="J1434" s="28"/>
      <c r="K1434" s="19"/>
    </row>
    <row r="1435" spans="1:11" ht="13.2">
      <c r="A1435" s="22"/>
      <c r="B1435" s="16"/>
      <c r="C1435" s="23"/>
      <c r="D1435" s="24"/>
      <c r="E1435" s="25"/>
      <c r="F1435" s="26"/>
      <c r="G1435" s="27"/>
      <c r="H1435" s="20"/>
      <c r="I1435" s="21"/>
      <c r="J1435" s="28"/>
      <c r="K1435" s="19"/>
    </row>
    <row r="1436" spans="1:11" ht="13.2">
      <c r="A1436" s="22"/>
      <c r="B1436" s="16"/>
      <c r="C1436" s="23"/>
      <c r="D1436" s="24"/>
      <c r="E1436" s="25"/>
      <c r="F1436" s="26"/>
      <c r="G1436" s="27"/>
      <c r="H1436" s="20"/>
      <c r="I1436" s="21"/>
      <c r="J1436" s="28"/>
      <c r="K1436" s="19"/>
    </row>
    <row r="1437" spans="1:11" ht="13.2">
      <c r="A1437" s="22"/>
      <c r="B1437" s="16"/>
      <c r="C1437" s="23"/>
      <c r="D1437" s="24"/>
      <c r="E1437" s="25"/>
      <c r="F1437" s="26"/>
      <c r="G1437" s="27"/>
      <c r="H1437" s="20"/>
      <c r="I1437" s="21"/>
      <c r="J1437" s="28"/>
      <c r="K1437" s="19"/>
    </row>
    <row r="1438" spans="1:11" ht="13.2">
      <c r="A1438" s="22"/>
      <c r="B1438" s="16"/>
      <c r="C1438" s="23"/>
      <c r="D1438" s="24"/>
      <c r="E1438" s="25"/>
      <c r="F1438" s="26"/>
      <c r="G1438" s="27"/>
      <c r="H1438" s="20"/>
      <c r="I1438" s="21"/>
      <c r="J1438" s="28"/>
      <c r="K1438" s="19"/>
    </row>
    <row r="1439" spans="1:11" ht="13.2">
      <c r="A1439" s="22"/>
      <c r="B1439" s="16"/>
      <c r="C1439" s="23"/>
      <c r="D1439" s="24"/>
      <c r="E1439" s="25"/>
      <c r="F1439" s="26"/>
      <c r="G1439" s="27"/>
      <c r="H1439" s="20"/>
      <c r="I1439" s="21"/>
      <c r="J1439" s="28"/>
      <c r="K1439" s="19"/>
    </row>
    <row r="1440" spans="1:11" ht="13.2">
      <c r="A1440" s="22"/>
      <c r="B1440" s="16"/>
      <c r="C1440" s="23"/>
      <c r="D1440" s="24"/>
      <c r="E1440" s="25"/>
      <c r="F1440" s="26"/>
      <c r="G1440" s="27"/>
      <c r="H1440" s="20"/>
      <c r="I1440" s="21"/>
      <c r="J1440" s="28"/>
      <c r="K1440" s="19"/>
    </row>
    <row r="1441" spans="1:11" ht="13.2">
      <c r="A1441" s="22"/>
      <c r="B1441" s="16"/>
      <c r="C1441" s="23"/>
      <c r="D1441" s="24"/>
      <c r="E1441" s="25"/>
      <c r="F1441" s="26"/>
      <c r="G1441" s="27"/>
      <c r="H1441" s="20"/>
      <c r="I1441" s="21"/>
      <c r="J1441" s="28"/>
      <c r="K1441" s="19"/>
    </row>
    <row r="1442" spans="1:11" ht="13.2">
      <c r="A1442" s="22"/>
      <c r="B1442" s="16"/>
      <c r="C1442" s="23"/>
      <c r="D1442" s="24"/>
      <c r="E1442" s="25"/>
      <c r="F1442" s="26"/>
      <c r="G1442" s="27"/>
      <c r="H1442" s="20"/>
      <c r="I1442" s="21"/>
      <c r="J1442" s="28"/>
      <c r="K1442" s="19"/>
    </row>
    <row r="1443" spans="1:11" ht="13.2">
      <c r="A1443" s="22"/>
      <c r="B1443" s="16"/>
      <c r="C1443" s="23"/>
      <c r="D1443" s="24"/>
      <c r="E1443" s="25"/>
      <c r="F1443" s="26"/>
      <c r="G1443" s="27"/>
      <c r="H1443" s="20"/>
      <c r="I1443" s="21"/>
      <c r="J1443" s="28"/>
      <c r="K1443" s="19"/>
    </row>
    <row r="1444" spans="1:11" ht="13.2">
      <c r="A1444" s="22"/>
      <c r="B1444" s="16"/>
      <c r="C1444" s="23"/>
      <c r="D1444" s="24"/>
      <c r="E1444" s="25"/>
      <c r="F1444" s="26"/>
      <c r="G1444" s="27"/>
      <c r="H1444" s="20"/>
      <c r="I1444" s="21"/>
      <c r="J1444" s="28"/>
      <c r="K1444" s="19"/>
    </row>
    <row r="1445" spans="1:11" ht="13.2">
      <c r="A1445" s="22"/>
      <c r="B1445" s="16"/>
      <c r="C1445" s="23"/>
      <c r="D1445" s="24"/>
      <c r="E1445" s="25"/>
      <c r="F1445" s="26"/>
      <c r="G1445" s="27"/>
      <c r="H1445" s="20"/>
      <c r="I1445" s="21"/>
      <c r="J1445" s="28"/>
      <c r="K1445" s="19"/>
    </row>
    <row r="1446" spans="1:11" ht="13.2">
      <c r="A1446" s="22"/>
      <c r="B1446" s="16"/>
      <c r="C1446" s="23"/>
      <c r="D1446" s="24"/>
      <c r="E1446" s="25"/>
      <c r="F1446" s="26"/>
      <c r="G1446" s="27"/>
      <c r="H1446" s="20"/>
      <c r="I1446" s="21"/>
      <c r="J1446" s="28"/>
      <c r="K1446" s="19"/>
    </row>
    <row r="1447" spans="1:11" ht="13.2">
      <c r="A1447" s="22"/>
      <c r="B1447" s="16"/>
      <c r="C1447" s="23"/>
      <c r="D1447" s="24"/>
      <c r="E1447" s="25"/>
      <c r="F1447" s="26"/>
      <c r="G1447" s="27"/>
      <c r="H1447" s="20"/>
      <c r="I1447" s="21"/>
      <c r="J1447" s="28"/>
      <c r="K1447" s="19"/>
    </row>
    <row r="1448" spans="1:11" ht="13.2">
      <c r="A1448" s="22"/>
      <c r="B1448" s="16"/>
      <c r="C1448" s="23"/>
      <c r="D1448" s="24"/>
      <c r="E1448" s="25"/>
      <c r="F1448" s="26"/>
      <c r="G1448" s="27"/>
      <c r="H1448" s="20"/>
      <c r="I1448" s="21"/>
      <c r="J1448" s="28"/>
      <c r="K1448" s="19"/>
    </row>
    <row r="1449" spans="1:11" ht="13.2">
      <c r="A1449" s="22"/>
      <c r="B1449" s="16"/>
      <c r="C1449" s="23"/>
      <c r="D1449" s="24"/>
      <c r="E1449" s="25"/>
      <c r="F1449" s="26"/>
      <c r="G1449" s="27"/>
      <c r="H1449" s="20"/>
      <c r="I1449" s="21"/>
      <c r="J1449" s="28"/>
      <c r="K1449" s="19"/>
    </row>
    <row r="1450" spans="1:11" ht="13.2">
      <c r="A1450" s="22"/>
      <c r="B1450" s="16"/>
      <c r="C1450" s="23"/>
      <c r="D1450" s="24"/>
      <c r="E1450" s="25"/>
      <c r="F1450" s="26"/>
      <c r="G1450" s="27"/>
      <c r="H1450" s="20"/>
      <c r="I1450" s="21"/>
      <c r="J1450" s="28"/>
      <c r="K1450" s="19"/>
    </row>
    <row r="1451" spans="1:11" ht="13.2">
      <c r="A1451" s="22"/>
      <c r="B1451" s="16"/>
      <c r="C1451" s="23"/>
      <c r="D1451" s="24"/>
      <c r="E1451" s="25"/>
      <c r="F1451" s="26"/>
      <c r="G1451" s="27"/>
      <c r="H1451" s="20"/>
      <c r="I1451" s="21"/>
      <c r="J1451" s="28"/>
      <c r="K1451" s="19"/>
    </row>
    <row r="1452" spans="1:11" ht="13.2">
      <c r="A1452" s="22"/>
      <c r="B1452" s="16"/>
      <c r="C1452" s="23"/>
      <c r="D1452" s="24"/>
      <c r="E1452" s="25"/>
      <c r="F1452" s="26"/>
      <c r="G1452" s="27"/>
      <c r="H1452" s="20"/>
      <c r="I1452" s="21"/>
      <c r="J1452" s="28"/>
      <c r="K1452" s="19"/>
    </row>
    <row r="1453" spans="1:11" ht="13.2">
      <c r="A1453" s="22"/>
      <c r="B1453" s="16"/>
      <c r="C1453" s="23"/>
      <c r="D1453" s="24"/>
      <c r="E1453" s="25"/>
      <c r="F1453" s="26"/>
      <c r="G1453" s="27"/>
      <c r="H1453" s="20"/>
      <c r="I1453" s="21"/>
      <c r="J1453" s="28"/>
      <c r="K1453" s="19"/>
    </row>
    <row r="1454" spans="1:11" ht="13.2">
      <c r="A1454" s="22"/>
      <c r="B1454" s="16"/>
      <c r="C1454" s="23"/>
      <c r="D1454" s="24"/>
      <c r="E1454" s="25"/>
      <c r="F1454" s="26"/>
      <c r="G1454" s="27"/>
      <c r="H1454" s="20"/>
      <c r="I1454" s="21"/>
      <c r="J1454" s="28"/>
      <c r="K1454" s="19"/>
    </row>
    <row r="1455" spans="1:11" ht="13.2">
      <c r="A1455" s="22"/>
      <c r="B1455" s="16"/>
      <c r="C1455" s="23"/>
      <c r="D1455" s="24"/>
      <c r="E1455" s="25"/>
      <c r="F1455" s="26"/>
      <c r="G1455" s="27"/>
      <c r="H1455" s="20"/>
      <c r="I1455" s="21"/>
      <c r="J1455" s="28"/>
      <c r="K1455" s="19"/>
    </row>
    <row r="1456" spans="1:11" ht="13.2">
      <c r="A1456" s="22"/>
      <c r="B1456" s="16"/>
      <c r="C1456" s="23"/>
      <c r="D1456" s="24"/>
      <c r="E1456" s="25"/>
      <c r="F1456" s="26"/>
      <c r="G1456" s="27"/>
      <c r="H1456" s="20"/>
      <c r="I1456" s="21"/>
      <c r="J1456" s="28"/>
      <c r="K1456" s="19"/>
    </row>
    <row r="1457" spans="1:11" ht="13.2">
      <c r="A1457" s="22"/>
      <c r="B1457" s="16"/>
      <c r="C1457" s="23"/>
      <c r="D1457" s="24"/>
      <c r="E1457" s="25"/>
      <c r="F1457" s="26"/>
      <c r="G1457" s="27"/>
      <c r="H1457" s="20"/>
      <c r="I1457" s="21"/>
      <c r="J1457" s="28"/>
      <c r="K1457" s="19"/>
    </row>
    <row r="1458" spans="1:11" ht="13.2">
      <c r="A1458" s="22"/>
      <c r="B1458" s="16"/>
      <c r="C1458" s="23"/>
      <c r="D1458" s="24"/>
      <c r="E1458" s="25"/>
      <c r="F1458" s="26"/>
      <c r="G1458" s="27"/>
      <c r="H1458" s="20"/>
      <c r="I1458" s="21"/>
      <c r="J1458" s="28"/>
      <c r="K1458" s="19"/>
    </row>
    <row r="1459" spans="1:11" ht="13.2">
      <c r="A1459" s="22"/>
      <c r="B1459" s="16"/>
      <c r="C1459" s="23"/>
      <c r="D1459" s="24"/>
      <c r="E1459" s="25"/>
      <c r="F1459" s="26"/>
      <c r="G1459" s="27"/>
      <c r="H1459" s="20"/>
      <c r="I1459" s="21"/>
      <c r="J1459" s="28"/>
      <c r="K1459" s="19"/>
    </row>
    <row r="1460" spans="1:11" ht="13.2">
      <c r="A1460" s="22"/>
      <c r="B1460" s="16"/>
      <c r="C1460" s="23"/>
      <c r="D1460" s="24"/>
      <c r="E1460" s="25"/>
      <c r="F1460" s="26"/>
      <c r="G1460" s="27"/>
      <c r="H1460" s="20"/>
      <c r="I1460" s="21"/>
      <c r="J1460" s="28"/>
      <c r="K1460" s="19"/>
    </row>
    <row r="1461" spans="1:11" ht="13.2">
      <c r="A1461" s="22"/>
      <c r="B1461" s="16"/>
      <c r="C1461" s="23"/>
      <c r="D1461" s="24"/>
      <c r="E1461" s="25"/>
      <c r="F1461" s="26"/>
      <c r="G1461" s="27"/>
      <c r="H1461" s="20"/>
      <c r="I1461" s="21"/>
      <c r="J1461" s="28"/>
      <c r="K1461" s="19"/>
    </row>
    <row r="1462" spans="1:11" ht="13.2">
      <c r="A1462" s="22"/>
      <c r="B1462" s="16"/>
      <c r="C1462" s="23"/>
      <c r="D1462" s="24"/>
      <c r="E1462" s="25"/>
      <c r="F1462" s="26"/>
      <c r="G1462" s="27"/>
      <c r="H1462" s="20"/>
      <c r="I1462" s="21"/>
      <c r="J1462" s="28"/>
      <c r="K1462" s="19"/>
    </row>
    <row r="1463" spans="1:11" ht="13.2">
      <c r="A1463" s="22"/>
      <c r="B1463" s="16"/>
      <c r="C1463" s="23"/>
      <c r="D1463" s="24"/>
      <c r="E1463" s="25"/>
      <c r="F1463" s="26"/>
      <c r="G1463" s="27"/>
      <c r="H1463" s="20"/>
      <c r="I1463" s="21"/>
      <c r="J1463" s="28"/>
      <c r="K1463" s="19"/>
    </row>
    <row r="1464" spans="1:11" ht="13.2">
      <c r="A1464" s="22"/>
      <c r="B1464" s="16"/>
      <c r="C1464" s="23"/>
      <c r="D1464" s="24"/>
      <c r="E1464" s="25"/>
      <c r="F1464" s="26"/>
      <c r="G1464" s="27"/>
      <c r="H1464" s="20"/>
      <c r="I1464" s="21"/>
      <c r="J1464" s="28"/>
      <c r="K1464" s="19"/>
    </row>
    <row r="1465" spans="1:11" ht="13.2">
      <c r="A1465" s="22"/>
      <c r="B1465" s="16"/>
      <c r="C1465" s="23"/>
      <c r="D1465" s="24"/>
      <c r="E1465" s="25"/>
      <c r="F1465" s="26"/>
      <c r="G1465" s="27"/>
      <c r="H1465" s="20"/>
      <c r="I1465" s="21"/>
      <c r="J1465" s="28"/>
      <c r="K1465" s="19"/>
    </row>
    <row r="1466" spans="1:11" ht="13.2">
      <c r="A1466" s="22"/>
      <c r="B1466" s="16"/>
      <c r="C1466" s="23"/>
      <c r="D1466" s="24"/>
      <c r="E1466" s="25"/>
      <c r="F1466" s="26"/>
      <c r="G1466" s="27"/>
      <c r="H1466" s="20"/>
      <c r="I1466" s="21"/>
      <c r="J1466" s="28"/>
      <c r="K1466" s="19"/>
    </row>
    <row r="1467" spans="1:11" ht="13.2">
      <c r="A1467" s="22"/>
      <c r="B1467" s="16"/>
      <c r="C1467" s="23"/>
      <c r="D1467" s="24"/>
      <c r="E1467" s="25"/>
      <c r="F1467" s="26"/>
      <c r="G1467" s="27"/>
      <c r="H1467" s="20"/>
      <c r="I1467" s="21"/>
      <c r="J1467" s="28"/>
      <c r="K1467" s="19"/>
    </row>
    <row r="1468" spans="1:11" ht="13.2">
      <c r="A1468" s="22"/>
      <c r="B1468" s="16"/>
      <c r="C1468" s="23"/>
      <c r="D1468" s="24"/>
      <c r="E1468" s="25"/>
      <c r="F1468" s="26"/>
      <c r="G1468" s="27"/>
      <c r="H1468" s="20"/>
      <c r="I1468" s="21"/>
      <c r="J1468" s="28"/>
      <c r="K1468" s="19"/>
    </row>
    <row r="1469" spans="1:11" ht="13.2">
      <c r="A1469" s="22"/>
      <c r="B1469" s="16"/>
      <c r="C1469" s="23"/>
      <c r="D1469" s="24"/>
      <c r="E1469" s="25"/>
      <c r="F1469" s="26"/>
      <c r="G1469" s="27"/>
      <c r="H1469" s="20"/>
      <c r="I1469" s="21"/>
      <c r="J1469" s="28"/>
      <c r="K1469" s="19"/>
    </row>
    <row r="1470" spans="1:11" ht="13.2">
      <c r="A1470" s="22"/>
      <c r="B1470" s="16"/>
      <c r="C1470" s="23"/>
      <c r="D1470" s="24"/>
      <c r="E1470" s="25"/>
      <c r="F1470" s="26"/>
      <c r="G1470" s="27"/>
      <c r="H1470" s="20"/>
      <c r="I1470" s="21"/>
      <c r="J1470" s="28"/>
      <c r="K1470" s="19"/>
    </row>
    <row r="1471" spans="1:11" ht="13.2">
      <c r="A1471" s="22"/>
      <c r="B1471" s="16"/>
      <c r="C1471" s="23"/>
      <c r="D1471" s="24"/>
      <c r="E1471" s="25"/>
      <c r="F1471" s="26"/>
      <c r="G1471" s="27"/>
      <c r="H1471" s="20"/>
      <c r="I1471" s="21"/>
      <c r="J1471" s="28"/>
      <c r="K1471" s="19"/>
    </row>
    <row r="1472" spans="1:11" ht="13.2">
      <c r="A1472" s="22"/>
      <c r="B1472" s="16"/>
      <c r="C1472" s="23"/>
      <c r="D1472" s="24"/>
      <c r="E1472" s="25"/>
      <c r="F1472" s="26"/>
      <c r="G1472" s="27"/>
      <c r="H1472" s="20"/>
      <c r="I1472" s="21"/>
      <c r="J1472" s="28"/>
      <c r="K1472" s="19"/>
    </row>
    <row r="1473" spans="1:11" ht="13.2">
      <c r="A1473" s="22"/>
      <c r="B1473" s="16"/>
      <c r="C1473" s="23"/>
      <c r="D1473" s="24"/>
      <c r="E1473" s="25"/>
      <c r="F1473" s="26"/>
      <c r="G1473" s="27"/>
      <c r="H1473" s="20"/>
      <c r="I1473" s="21"/>
      <c r="J1473" s="28"/>
      <c r="K1473" s="19"/>
    </row>
    <row r="1474" spans="1:11" ht="13.2">
      <c r="A1474" s="22"/>
      <c r="B1474" s="16"/>
      <c r="C1474" s="23"/>
      <c r="D1474" s="24"/>
      <c r="E1474" s="25"/>
      <c r="F1474" s="26"/>
      <c r="G1474" s="27"/>
      <c r="H1474" s="20"/>
      <c r="I1474" s="21"/>
      <c r="J1474" s="28"/>
      <c r="K1474" s="19"/>
    </row>
    <row r="1475" spans="1:11" ht="13.2">
      <c r="A1475" s="22"/>
      <c r="B1475" s="16"/>
      <c r="C1475" s="23"/>
      <c r="D1475" s="24"/>
      <c r="E1475" s="25"/>
      <c r="F1475" s="26"/>
      <c r="G1475" s="27"/>
      <c r="H1475" s="20"/>
      <c r="I1475" s="21"/>
      <c r="J1475" s="28"/>
      <c r="K1475" s="19"/>
    </row>
    <row r="1476" spans="1:11" ht="13.2">
      <c r="A1476" s="22"/>
      <c r="B1476" s="16"/>
      <c r="C1476" s="23"/>
      <c r="D1476" s="24"/>
      <c r="E1476" s="25"/>
      <c r="F1476" s="26"/>
      <c r="G1476" s="27"/>
      <c r="H1476" s="20"/>
      <c r="I1476" s="21"/>
      <c r="J1476" s="28"/>
      <c r="K1476" s="19"/>
    </row>
    <row r="1477" spans="1:11" ht="13.2">
      <c r="A1477" s="22"/>
      <c r="B1477" s="16"/>
      <c r="C1477" s="23"/>
      <c r="D1477" s="24"/>
      <c r="E1477" s="25"/>
      <c r="F1477" s="26"/>
      <c r="G1477" s="27"/>
      <c r="H1477" s="20"/>
      <c r="I1477" s="21"/>
      <c r="J1477" s="28"/>
      <c r="K1477" s="19"/>
    </row>
    <row r="1478" spans="1:11" ht="13.2">
      <c r="A1478" s="22"/>
      <c r="B1478" s="16"/>
      <c r="C1478" s="23"/>
      <c r="D1478" s="24"/>
      <c r="E1478" s="25"/>
      <c r="F1478" s="26"/>
      <c r="G1478" s="27"/>
      <c r="H1478" s="20"/>
      <c r="I1478" s="21"/>
      <c r="J1478" s="28"/>
      <c r="K1478" s="19"/>
    </row>
    <row r="1479" spans="1:11" ht="13.2">
      <c r="A1479" s="22"/>
      <c r="B1479" s="16"/>
      <c r="C1479" s="23"/>
      <c r="D1479" s="24"/>
      <c r="E1479" s="25"/>
      <c r="F1479" s="26"/>
      <c r="G1479" s="27"/>
      <c r="H1479" s="20"/>
      <c r="I1479" s="21"/>
      <c r="J1479" s="28"/>
      <c r="K1479" s="19"/>
    </row>
    <row r="1480" spans="1:11" ht="13.2">
      <c r="A1480" s="22"/>
      <c r="B1480" s="16"/>
      <c r="C1480" s="23"/>
      <c r="D1480" s="24"/>
      <c r="E1480" s="25"/>
      <c r="F1480" s="26"/>
      <c r="G1480" s="27"/>
      <c r="H1480" s="20"/>
      <c r="I1480" s="21"/>
      <c r="J1480" s="28"/>
      <c r="K1480" s="19"/>
    </row>
    <row r="1481" spans="1:11" ht="13.2">
      <c r="A1481" s="22"/>
      <c r="B1481" s="16"/>
      <c r="C1481" s="23"/>
      <c r="D1481" s="24"/>
      <c r="E1481" s="25"/>
      <c r="F1481" s="26"/>
      <c r="G1481" s="27"/>
      <c r="H1481" s="20"/>
      <c r="I1481" s="21"/>
      <c r="J1481" s="28"/>
      <c r="K1481" s="19"/>
    </row>
    <row r="1482" spans="1:11" ht="13.2">
      <c r="A1482" s="22"/>
      <c r="B1482" s="16"/>
      <c r="C1482" s="23"/>
      <c r="D1482" s="24"/>
      <c r="E1482" s="25"/>
      <c r="F1482" s="26"/>
      <c r="G1482" s="27"/>
      <c r="H1482" s="20"/>
      <c r="I1482" s="21"/>
      <c r="J1482" s="28"/>
      <c r="K1482" s="19"/>
    </row>
    <row r="1483" spans="1:11" ht="13.2">
      <c r="A1483" s="22"/>
      <c r="B1483" s="16"/>
      <c r="C1483" s="23"/>
      <c r="D1483" s="24"/>
      <c r="E1483" s="25"/>
      <c r="F1483" s="26"/>
      <c r="G1483" s="27"/>
      <c r="H1483" s="20"/>
      <c r="I1483" s="21"/>
      <c r="J1483" s="28"/>
      <c r="K1483" s="19"/>
    </row>
    <row r="1484" spans="1:11" ht="13.2">
      <c r="A1484" s="22"/>
      <c r="B1484" s="16"/>
      <c r="C1484" s="23"/>
      <c r="D1484" s="24"/>
      <c r="E1484" s="25"/>
      <c r="F1484" s="26"/>
      <c r="G1484" s="27"/>
      <c r="H1484" s="20"/>
      <c r="I1484" s="21"/>
      <c r="J1484" s="28"/>
      <c r="K1484" s="19"/>
    </row>
    <row r="1485" spans="1:11" ht="13.2">
      <c r="A1485" s="22"/>
      <c r="B1485" s="16"/>
      <c r="C1485" s="23"/>
      <c r="D1485" s="24"/>
      <c r="E1485" s="25"/>
      <c r="F1485" s="26"/>
      <c r="G1485" s="27"/>
      <c r="H1485" s="20"/>
      <c r="I1485" s="21"/>
      <c r="J1485" s="28"/>
      <c r="K1485" s="19"/>
    </row>
    <row r="1486" spans="1:11" ht="13.2">
      <c r="A1486" s="22"/>
      <c r="B1486" s="16"/>
      <c r="C1486" s="23"/>
      <c r="D1486" s="24"/>
      <c r="E1486" s="25"/>
      <c r="F1486" s="26"/>
      <c r="G1486" s="27"/>
      <c r="H1486" s="20"/>
      <c r="I1486" s="21"/>
      <c r="J1486" s="28"/>
      <c r="K1486" s="19"/>
    </row>
    <row r="1487" spans="1:11" ht="13.2">
      <c r="A1487" s="22"/>
      <c r="B1487" s="16"/>
      <c r="C1487" s="23"/>
      <c r="D1487" s="24"/>
      <c r="E1487" s="25"/>
      <c r="F1487" s="26"/>
      <c r="G1487" s="27"/>
      <c r="H1487" s="20"/>
      <c r="I1487" s="21"/>
      <c r="J1487" s="28"/>
      <c r="K1487" s="19"/>
    </row>
    <row r="1488" spans="1:11" ht="13.2">
      <c r="A1488" s="22"/>
      <c r="B1488" s="16"/>
      <c r="C1488" s="23"/>
      <c r="D1488" s="24"/>
      <c r="E1488" s="25"/>
      <c r="F1488" s="26"/>
      <c r="G1488" s="27"/>
      <c r="H1488" s="20"/>
      <c r="I1488" s="21"/>
      <c r="J1488" s="28"/>
      <c r="K1488" s="19"/>
    </row>
    <row r="1489" spans="1:11" ht="13.2">
      <c r="A1489" s="22"/>
      <c r="B1489" s="16"/>
      <c r="C1489" s="23"/>
      <c r="D1489" s="24"/>
      <c r="E1489" s="25"/>
      <c r="F1489" s="26"/>
      <c r="G1489" s="27"/>
      <c r="H1489" s="20"/>
      <c r="I1489" s="21"/>
      <c r="J1489" s="28"/>
      <c r="K1489" s="19"/>
    </row>
    <row r="1490" spans="1:11" ht="13.2">
      <c r="A1490" s="22"/>
      <c r="B1490" s="16"/>
      <c r="C1490" s="23"/>
      <c r="D1490" s="24"/>
      <c r="E1490" s="25"/>
      <c r="F1490" s="26"/>
      <c r="G1490" s="27"/>
      <c r="H1490" s="20"/>
      <c r="I1490" s="21"/>
      <c r="J1490" s="28"/>
      <c r="K1490" s="19"/>
    </row>
    <row r="1491" spans="1:11" ht="13.2">
      <c r="A1491" s="22"/>
      <c r="B1491" s="16"/>
      <c r="C1491" s="23"/>
      <c r="D1491" s="24"/>
      <c r="E1491" s="25"/>
      <c r="F1491" s="26"/>
      <c r="G1491" s="27"/>
      <c r="H1491" s="20"/>
      <c r="I1491" s="21"/>
      <c r="J1491" s="28"/>
      <c r="K1491" s="19"/>
    </row>
    <row r="1492" spans="1:11" ht="13.2">
      <c r="A1492" s="22"/>
      <c r="B1492" s="16"/>
      <c r="C1492" s="23"/>
      <c r="D1492" s="24"/>
      <c r="E1492" s="25"/>
      <c r="F1492" s="26"/>
      <c r="G1492" s="27"/>
      <c r="H1492" s="20"/>
      <c r="I1492" s="21"/>
      <c r="J1492" s="28"/>
      <c r="K1492" s="19"/>
    </row>
    <row r="1493" spans="1:11" ht="13.2">
      <c r="A1493" s="22"/>
      <c r="B1493" s="16"/>
      <c r="C1493" s="23"/>
      <c r="D1493" s="24"/>
      <c r="E1493" s="25"/>
      <c r="F1493" s="26"/>
      <c r="G1493" s="27"/>
      <c r="H1493" s="20"/>
      <c r="I1493" s="21"/>
      <c r="J1493" s="28"/>
      <c r="K1493" s="19"/>
    </row>
    <row r="1494" spans="1:11" ht="13.2">
      <c r="A1494" s="22"/>
      <c r="B1494" s="16"/>
      <c r="C1494" s="23"/>
      <c r="D1494" s="24"/>
      <c r="E1494" s="25"/>
      <c r="F1494" s="26"/>
      <c r="G1494" s="27"/>
      <c r="H1494" s="20"/>
      <c r="I1494" s="21"/>
      <c r="J1494" s="28"/>
      <c r="K1494" s="19"/>
    </row>
    <row r="1495" spans="1:11" ht="13.2">
      <c r="A1495" s="22"/>
      <c r="B1495" s="16"/>
      <c r="C1495" s="23"/>
      <c r="D1495" s="24"/>
      <c r="E1495" s="25"/>
      <c r="F1495" s="26"/>
      <c r="G1495" s="27"/>
      <c r="H1495" s="20"/>
      <c r="I1495" s="21"/>
      <c r="J1495" s="28"/>
      <c r="K1495" s="19"/>
    </row>
    <row r="1496" spans="1:11" ht="13.2">
      <c r="A1496" s="22"/>
      <c r="B1496" s="16"/>
      <c r="C1496" s="23"/>
      <c r="D1496" s="24"/>
      <c r="E1496" s="25"/>
      <c r="F1496" s="26"/>
      <c r="G1496" s="27"/>
      <c r="H1496" s="20"/>
      <c r="I1496" s="21"/>
      <c r="J1496" s="28"/>
      <c r="K1496" s="19"/>
    </row>
  </sheetData>
  <autoFilter ref="A2:K127"/>
  <mergeCells count="1">
    <mergeCell ref="A1:K1"/>
  </mergeCells>
  <conditionalFormatting sqref="C3:C1496">
    <cfRule type="cellIs" dxfId="290" priority="1" stopIfTrue="1" operator="equal">
      <formula>"Farjana Apu"</formula>
    </cfRule>
  </conditionalFormatting>
  <conditionalFormatting sqref="C3:C1496">
    <cfRule type="cellIs" dxfId="289" priority="2" stopIfTrue="1" operator="equal">
      <formula>"Fiza Apu"</formula>
    </cfRule>
  </conditionalFormatting>
  <conditionalFormatting sqref="C3:C1496">
    <cfRule type="cellIs" dxfId="288" priority="3" stopIfTrue="1" operator="equal">
      <formula>"Nazmul Sir"</formula>
    </cfRule>
  </conditionalFormatting>
  <conditionalFormatting sqref="C3:C1496">
    <cfRule type="cellIs" dxfId="287" priority="4" stopIfTrue="1" operator="equal">
      <formula>"Rabby Vai"</formula>
    </cfRule>
  </conditionalFormatting>
  <conditionalFormatting sqref="C3:C1496">
    <cfRule type="cellIs" dxfId="286" priority="5" stopIfTrue="1" operator="equal">
      <formula>"Reba Apu"</formula>
    </cfRule>
  </conditionalFormatting>
  <conditionalFormatting sqref="C3:C1496">
    <cfRule type="cellIs" dxfId="285" priority="6" stopIfTrue="1" operator="equal">
      <formula>"Saema Apu"</formula>
    </cfRule>
  </conditionalFormatting>
  <conditionalFormatting sqref="C3:C1496">
    <cfRule type="cellIs" dxfId="284" priority="7" stopIfTrue="1" operator="equal">
      <formula>"Sharika Apu"</formula>
    </cfRule>
  </conditionalFormatting>
  <conditionalFormatting sqref="C3:C1496">
    <cfRule type="cellIs" dxfId="283" priority="8" stopIfTrue="1" operator="equal">
      <formula>"Sharmin Apu"</formula>
    </cfRule>
  </conditionalFormatting>
  <conditionalFormatting sqref="C3:C1496">
    <cfRule type="cellIs" dxfId="282" priority="9" stopIfTrue="1" operator="equal">
      <formula>"Mubassira Apu"</formula>
    </cfRule>
  </conditionalFormatting>
  <conditionalFormatting sqref="C3:C1496">
    <cfRule type="cellIs" dxfId="281" priority="10" stopIfTrue="1" operator="equal">
      <formula>"Mona Apu"</formula>
    </cfRule>
  </conditionalFormatting>
  <conditionalFormatting sqref="C3:C1496">
    <cfRule type="cellIs" dxfId="280" priority="11" stopIfTrue="1" operator="equal">
      <formula>"Rakib Vai"</formula>
    </cfRule>
  </conditionalFormatting>
  <conditionalFormatting sqref="C3:C1496">
    <cfRule type="cellIs" dxfId="279" priority="12" stopIfTrue="1" operator="equal">
      <formula>"Saifullah Vai"</formula>
    </cfRule>
  </conditionalFormatting>
  <conditionalFormatting sqref="C3:C1496">
    <cfRule type="cellIs" dxfId="278" priority="13" stopIfTrue="1" operator="equal">
      <formula>"Shamsul Sir"</formula>
    </cfRule>
  </conditionalFormatting>
  <conditionalFormatting sqref="C3:C1496">
    <cfRule type="cellIs" dxfId="277" priority="14" stopIfTrue="1" operator="equal">
      <formula>"Zahirul Vai"</formula>
    </cfRule>
  </conditionalFormatting>
  <conditionalFormatting sqref="E3:E1496">
    <cfRule type="cellIs" dxfId="276" priority="15" stopIfTrue="1" operator="equal">
      <formula>"ATC Box Output"</formula>
    </cfRule>
  </conditionalFormatting>
  <conditionalFormatting sqref="E3:E1496">
    <cfRule type="cellIs" dxfId="275" priority="16" stopIfTrue="1" operator="equal">
      <formula>"Black Cylinder Output"</formula>
    </cfRule>
  </conditionalFormatting>
  <conditionalFormatting sqref="E3:E1496">
    <cfRule type="cellIs" dxfId="274" priority="17" stopIfTrue="1" operator="equal">
      <formula>"Flyer/Brochure/Banner Output"</formula>
    </cfRule>
  </conditionalFormatting>
  <conditionalFormatting sqref="E3:E1496">
    <cfRule type="cellIs" dxfId="273" priority="18" stopIfTrue="1" operator="equal">
      <formula>"Full Cylinder Output"</formula>
    </cfRule>
  </conditionalFormatting>
  <conditionalFormatting sqref="E3:E1496">
    <cfRule type="cellIs" dxfId="272" priority="19" stopIfTrue="1" operator="equal">
      <formula>"Gravure Output #1"</formula>
    </cfRule>
  </conditionalFormatting>
  <conditionalFormatting sqref="E3:E1496">
    <cfRule type="cellIs" dxfId="271" priority="20" stopIfTrue="1" operator="equal">
      <formula>"Gravure Output #2"</formula>
    </cfRule>
  </conditionalFormatting>
  <conditionalFormatting sqref="E3:E1496">
    <cfRule type="cellIs" dxfId="270" priority="21" stopIfTrue="1" operator="equal">
      <formula>"JAR Label Sticker Output"</formula>
    </cfRule>
  </conditionalFormatting>
  <conditionalFormatting sqref="E3:E1496">
    <cfRule type="cellIs" dxfId="269" priority="22" stopIfTrue="1" operator="equal">
      <formula>"Leaflet/Poster Output"</formula>
    </cfRule>
  </conditionalFormatting>
  <conditionalFormatting sqref="E3:E1496">
    <cfRule type="cellIs" dxfId="268" priority="23" stopIfTrue="1" operator="equal">
      <formula>"Output Setup (Gravure/Offset)"</formula>
    </cfRule>
  </conditionalFormatting>
  <conditionalFormatting sqref="E3:E1496">
    <cfRule type="cellIs" dxfId="267" priority="24" stopIfTrue="1" operator="equal">
      <formula>"Carton Design"</formula>
    </cfRule>
  </conditionalFormatting>
  <conditionalFormatting sqref="E3:E1496">
    <cfRule type="cellIs" dxfId="266" priority="25" stopIfTrue="1" operator="equal">
      <formula>"Document Text Correction"</formula>
    </cfRule>
  </conditionalFormatting>
  <conditionalFormatting sqref="E3:E1496">
    <cfRule type="cellIs" dxfId="265" priority="26" stopIfTrue="1" operator="equal">
      <formula>"FOP Sticker Making"</formula>
    </cfRule>
  </conditionalFormatting>
  <conditionalFormatting sqref="E3:E1496">
    <cfRule type="cellIs" dxfId="264" priority="27" stopIfTrue="1" operator="equal">
      <formula>"Layout/Dieline Making"</formula>
    </cfRule>
  </conditionalFormatting>
  <conditionalFormatting sqref="E3:E1496">
    <cfRule type="cellIs" dxfId="263" priority="28" stopIfTrue="1" operator="equal">
      <formula>"Packaging Text Design #1"</formula>
    </cfRule>
  </conditionalFormatting>
  <conditionalFormatting sqref="E3:E1496">
    <cfRule type="cellIs" dxfId="262" priority="29" stopIfTrue="1" operator="equal">
      <formula>"Packaging Text Design #2"</formula>
    </cfRule>
  </conditionalFormatting>
  <conditionalFormatting sqref="E3:E1496">
    <cfRule type="cellIs" dxfId="261" priority="30" stopIfTrue="1" operator="equal">
      <formula>"Text Sticker Design #1"</formula>
    </cfRule>
  </conditionalFormatting>
  <conditionalFormatting sqref="E3:E1496">
    <cfRule type="cellIs" dxfId="260" priority="31" stopIfTrue="1" operator="equal">
      <formula>"Text Sticker Design #2"</formula>
    </cfRule>
  </conditionalFormatting>
  <conditionalFormatting sqref="E3:E1496">
    <cfRule type="cellIs" dxfId="259" priority="32" stopIfTrue="1" operator="equal">
      <formula>"ATC BOX"</formula>
    </cfRule>
  </conditionalFormatting>
  <conditionalFormatting sqref="E3:E1496">
    <cfRule type="cellIs" dxfId="258" priority="33" stopIfTrue="1" operator="equal">
      <formula>"Background Remove/Image Resize"</formula>
    </cfRule>
  </conditionalFormatting>
  <conditionalFormatting sqref="E3:E1496">
    <cfRule type="cellIs" dxfId="257" priority="34" stopIfTrue="1" operator="equal">
      <formula>"Branding"</formula>
    </cfRule>
  </conditionalFormatting>
  <conditionalFormatting sqref="E3:E1496">
    <cfRule type="cellIs" dxfId="256" priority="35" stopIfTrue="1" operator="equal">
      <formula>"Clipping Path"</formula>
    </cfRule>
  </conditionalFormatting>
  <conditionalFormatting sqref="E3:E1496">
    <cfRule type="cellIs" dxfId="255" priority="36" stopIfTrue="1" operator="equal">
      <formula>"Digital Static For Social Media"</formula>
    </cfRule>
  </conditionalFormatting>
  <conditionalFormatting sqref="E3:E1496">
    <cfRule type="cellIs" dxfId="254" priority="37" stopIfTrue="1" operator="equal">
      <formula>"Logo Design"</formula>
    </cfRule>
  </conditionalFormatting>
  <conditionalFormatting sqref="E3:E1496">
    <cfRule type="cellIs" dxfId="253" priority="38" stopIfTrue="1" operator="equal">
      <formula>"Outdoor/Event/Showroom Branding"</formula>
    </cfRule>
  </conditionalFormatting>
  <conditionalFormatting sqref="E3:E1496">
    <cfRule type="cellIs" dxfId="252" priority="39" stopIfTrue="1" operator="equal">
      <formula>"Packaging"</formula>
    </cfRule>
  </conditionalFormatting>
  <conditionalFormatting sqref="E3:E1496">
    <cfRule type="cellIs" dxfId="251" priority="40" stopIfTrue="1" operator="equal">
      <formula>"Visiting/ ID Card design"</formula>
    </cfRule>
  </conditionalFormatting>
  <conditionalFormatting sqref="E3:E1496">
    <cfRule type="cellIs" dxfId="250" priority="41" stopIfTrue="1" operator="equal">
      <formula>"Voice Over"</formula>
    </cfRule>
  </conditionalFormatting>
  <conditionalFormatting sqref="J3:J1496">
    <cfRule type="cellIs" dxfId="249" priority="42" stopIfTrue="1" operator="equal">
      <formula>"HoM Approved"</formula>
    </cfRule>
  </conditionalFormatting>
  <conditionalFormatting sqref="J3:J1496">
    <cfRule type="cellIs" dxfId="248" priority="43" stopIfTrue="1" operator="equal">
      <formula>"Brief Submitted"</formula>
    </cfRule>
  </conditionalFormatting>
  <conditionalFormatting sqref="J3:J1496">
    <cfRule type="cellIs" dxfId="247" priority="44" stopIfTrue="1" operator="equal">
      <formula>"In Review"</formula>
    </cfRule>
  </conditionalFormatting>
  <conditionalFormatting sqref="J3:J1496">
    <cfRule type="cellIs" dxfId="246" priority="45" stopIfTrue="1" operator="equal">
      <formula>"BM Approved"</formula>
    </cfRule>
  </conditionalFormatting>
  <conditionalFormatting sqref="J3:J1496">
    <cfRule type="cellIs" dxfId="245" priority="46" stopIfTrue="1" operator="equal">
      <formula>"Running"</formula>
    </cfRule>
  </conditionalFormatting>
  <conditionalFormatting sqref="C3:C1496">
    <cfRule type="expression" dxfId="244" priority="47" stopIfTrue="1">
      <formula>"=AND(=COUNTA($A3:$J3)&gt;0,$C3="")"</formula>
    </cfRule>
  </conditionalFormatting>
  <conditionalFormatting sqref="E3:I1496">
    <cfRule type="expression" dxfId="243" priority="48" stopIfTrue="1">
      <formula>"=AND(=COUNTA($A3:$J3)&gt;0,E3="")"</formula>
    </cfRule>
  </conditionalFormatting>
  <conditionalFormatting sqref="A3:K1496">
    <cfRule type="expression" dxfId="242" priority="49" stopIfTrue="1">
      <formula>COUNTA($A3:$K3)=0</formula>
    </cfRule>
  </conditionalFormatting>
  <dataValidations count="2">
    <dataValidation type="decimal" operator="greaterThan" allowBlank="1" showDropDown="1" showErrorMessage="1" sqref="G3:G1496">
      <formula1>0</formula1>
    </dataValidation>
    <dataValidation type="custom" allowBlank="1" showDropDown="1" showErrorMessage="1" sqref="H3:H1496">
      <formula1>OR(NOT(ISERROR(DATEVALUE(H3))), AND(ISNUMBER(H3), LEFT(CELL("format", H3))="D"))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Helper!$A$2:$A1496</xm:f>
          </x14:formula1>
          <xm:sqref>B3:B1496</xm:sqref>
        </x14:dataValidation>
        <x14:dataValidation type="list" allowBlank="1">
          <x14:formula1>
            <xm:f>Helper!$B$2:$B1496</xm:f>
          </x14:formula1>
          <xm:sqref>C3:C1496</xm:sqref>
        </x14:dataValidation>
        <x14:dataValidation type="list" allowBlank="1">
          <x14:formula1>
            <xm:f>Helper!$C$2:$C1496</xm:f>
          </x14:formula1>
          <xm:sqref>E3:E1496</xm:sqref>
        </x14:dataValidation>
        <x14:dataValidation type="list" allowBlank="1">
          <x14:formula1>
            <xm:f>Helper!$D$2:$D1496</xm:f>
          </x14:formula1>
          <xm:sqref>F3:F1496</xm:sqref>
        </x14:dataValidation>
        <x14:dataValidation type="list" allowBlank="1">
          <x14:formula1>
            <xm:f>Helper!$E$2:$E1496</xm:f>
          </x14:formula1>
          <xm:sqref>J3:J121 J123:J1496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  <outlinePr summaryBelow="0" summaryRight="0"/>
  </sheetPr>
  <dimension ref="A1:K1499"/>
  <sheetViews>
    <sheetView workbookViewId="0">
      <pane ySplit="2" topLeftCell="A3" activePane="bottomLeft" state="frozen"/>
      <selection pane="bottomLeft" activeCell="B3" sqref="B3"/>
    </sheetView>
  </sheetViews>
  <sheetFormatPr defaultColWidth="12.6640625" defaultRowHeight="15.75" customHeight="1"/>
  <cols>
    <col min="1" max="1" width="67.6640625" customWidth="1"/>
    <col min="2" max="2" width="15.44140625" customWidth="1"/>
    <col min="3" max="3" width="21.33203125" customWidth="1"/>
    <col min="4" max="4" width="17.6640625" customWidth="1"/>
    <col min="5" max="5" width="28.88671875" customWidth="1"/>
    <col min="6" max="6" width="13.21875" customWidth="1"/>
    <col min="7" max="7" width="9.44140625" customWidth="1"/>
    <col min="8" max="8" width="16.33203125" customWidth="1"/>
    <col min="9" max="9" width="18.88671875" customWidth="1"/>
    <col min="10" max="10" width="17" customWidth="1"/>
    <col min="11" max="11" width="12.6640625" customWidth="1"/>
  </cols>
  <sheetData>
    <row r="1" spans="1:11" ht="27" customHeight="1">
      <c r="A1" s="104" t="str">
        <f>HYPERLINK("https://docs.google.com/spreadsheets/d/1K9G-wDk_WFUTXFBEzHiTsPAPTkgmvY6ydUUckPlDbUM/edit?gid=2135007239#gid=2135007239","➜ Go to Dashboard")</f>
        <v>➜ Go to Dashboard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5.5" customHeight="1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" t="s">
        <v>10</v>
      </c>
    </row>
    <row r="3" spans="1:11" ht="13.2">
      <c r="A3" s="4" t="s">
        <v>449</v>
      </c>
      <c r="B3" s="5" t="s">
        <v>144</v>
      </c>
      <c r="C3" s="6" t="s">
        <v>1075</v>
      </c>
      <c r="D3" s="7" t="s">
        <v>2536</v>
      </c>
      <c r="E3" s="8" t="s">
        <v>1077</v>
      </c>
      <c r="F3" s="9" t="s">
        <v>17</v>
      </c>
      <c r="G3" s="10">
        <v>1</v>
      </c>
      <c r="H3" s="11">
        <v>46109</v>
      </c>
      <c r="I3" s="12" t="s">
        <v>2537</v>
      </c>
      <c r="J3" s="13" t="s">
        <v>30</v>
      </c>
      <c r="K3" s="14" t="str">
        <f>HYPERLINK("http://mpro.prangroup.com:4000/CreativeWorks/Edit/28217","Open")</f>
        <v>Open</v>
      </c>
    </row>
    <row r="4" spans="1:11" ht="13.2">
      <c r="A4" s="4" t="s">
        <v>227</v>
      </c>
      <c r="B4" s="5" t="s">
        <v>60</v>
      </c>
      <c r="C4" s="6" t="s">
        <v>228</v>
      </c>
      <c r="D4" s="7" t="s">
        <v>2538</v>
      </c>
      <c r="E4" s="8" t="s">
        <v>1077</v>
      </c>
      <c r="F4" s="9" t="s">
        <v>17</v>
      </c>
      <c r="G4" s="10">
        <v>2</v>
      </c>
      <c r="H4" s="11">
        <v>46113</v>
      </c>
      <c r="I4" s="12" t="s">
        <v>2539</v>
      </c>
      <c r="J4" s="13" t="s">
        <v>30</v>
      </c>
      <c r="K4" s="14" t="str">
        <f>HYPERLINK("http://mpro.prangroup.com:4000/CreativeWorks/Edit/28928","Open")</f>
        <v>Open</v>
      </c>
    </row>
    <row r="5" spans="1:11" ht="13.2">
      <c r="A5" s="4" t="s">
        <v>464</v>
      </c>
      <c r="B5" s="5" t="s">
        <v>170</v>
      </c>
      <c r="C5" s="6" t="s">
        <v>228</v>
      </c>
      <c r="D5" s="7" t="s">
        <v>2540</v>
      </c>
      <c r="E5" s="8" t="s">
        <v>1077</v>
      </c>
      <c r="F5" s="9" t="s">
        <v>17</v>
      </c>
      <c r="G5" s="10">
        <v>5</v>
      </c>
      <c r="H5" s="11">
        <v>46113</v>
      </c>
      <c r="I5" s="12" t="s">
        <v>2541</v>
      </c>
      <c r="J5" s="13" t="s">
        <v>30</v>
      </c>
      <c r="K5" s="14" t="str">
        <f>HYPERLINK("http://mpro.prangroup.com:4000/CreativeWorks/Edit/28915","Open")</f>
        <v>Open</v>
      </c>
    </row>
    <row r="6" spans="1:11" ht="13.2">
      <c r="A6" s="4" t="s">
        <v>395</v>
      </c>
      <c r="B6" s="5" t="s">
        <v>185</v>
      </c>
      <c r="C6" s="6" t="s">
        <v>166</v>
      </c>
      <c r="D6" s="7" t="s">
        <v>2542</v>
      </c>
      <c r="E6" s="8" t="s">
        <v>16</v>
      </c>
      <c r="F6" s="9" t="s">
        <v>17</v>
      </c>
      <c r="G6" s="10">
        <v>5</v>
      </c>
      <c r="H6" s="11">
        <v>46113</v>
      </c>
      <c r="I6" s="12" t="s">
        <v>2543</v>
      </c>
      <c r="J6" s="13" t="s">
        <v>30</v>
      </c>
      <c r="K6" s="14" t="str">
        <f>HYPERLINK("http://mpro.prangroup.com:4000/CreativeWorks/Edit/28940","Open")</f>
        <v>Open</v>
      </c>
    </row>
    <row r="7" spans="1:11" ht="13.2">
      <c r="A7" s="4" t="s">
        <v>1049</v>
      </c>
      <c r="B7" s="5" t="s">
        <v>68</v>
      </c>
      <c r="C7" s="6" t="s">
        <v>1093</v>
      </c>
      <c r="D7" s="7" t="s">
        <v>2544</v>
      </c>
      <c r="E7" s="8" t="s">
        <v>57</v>
      </c>
      <c r="F7" s="9" t="s">
        <v>17</v>
      </c>
      <c r="G7" s="10">
        <v>1</v>
      </c>
      <c r="H7" s="11">
        <v>46114</v>
      </c>
      <c r="I7" s="12" t="s">
        <v>2545</v>
      </c>
      <c r="J7" s="13" t="s">
        <v>30</v>
      </c>
      <c r="K7" s="14" t="str">
        <f>HYPERLINK("http://mpro.prangroup.com:4000/CreativeWorks/Edit/29095","Open")</f>
        <v>Open</v>
      </c>
    </row>
    <row r="8" spans="1:11" ht="13.2">
      <c r="A8" s="4" t="s">
        <v>1044</v>
      </c>
      <c r="B8" s="5" t="s">
        <v>170</v>
      </c>
      <c r="C8" s="6" t="s">
        <v>228</v>
      </c>
      <c r="D8" s="7" t="s">
        <v>2197</v>
      </c>
      <c r="E8" s="8" t="s">
        <v>16</v>
      </c>
      <c r="F8" s="9" t="s">
        <v>17</v>
      </c>
      <c r="G8" s="10">
        <v>2</v>
      </c>
      <c r="H8" s="11">
        <v>46117</v>
      </c>
      <c r="I8" s="12" t="s">
        <v>2546</v>
      </c>
      <c r="J8" s="13" t="s">
        <v>30</v>
      </c>
      <c r="K8" s="14" t="str">
        <f>HYPERLINK("http://mpro.prangroup.com:4000/CreativeWorks/Edit/29229","Open")</f>
        <v>Open</v>
      </c>
    </row>
    <row r="9" spans="1:11" ht="13.2">
      <c r="A9" s="4" t="s">
        <v>117</v>
      </c>
      <c r="B9" s="5" t="s">
        <v>32</v>
      </c>
      <c r="C9" s="6" t="s">
        <v>228</v>
      </c>
      <c r="D9" s="7" t="s">
        <v>2202</v>
      </c>
      <c r="E9" s="8" t="s">
        <v>16</v>
      </c>
      <c r="F9" s="9" t="s">
        <v>17</v>
      </c>
      <c r="G9" s="10">
        <v>1</v>
      </c>
      <c r="H9" s="11">
        <v>46118</v>
      </c>
      <c r="I9" s="12" t="s">
        <v>2547</v>
      </c>
      <c r="J9" s="13" t="s">
        <v>30</v>
      </c>
      <c r="K9" s="14" t="str">
        <f>HYPERLINK("http://mpro.prangroup.com:4000/CreativeWorks/Edit/29312","Open")</f>
        <v>Open</v>
      </c>
    </row>
    <row r="10" spans="1:11" ht="13.2">
      <c r="A10" s="4" t="s">
        <v>395</v>
      </c>
      <c r="B10" s="5" t="s">
        <v>185</v>
      </c>
      <c r="C10" s="6" t="s">
        <v>166</v>
      </c>
      <c r="D10" s="7" t="s">
        <v>2548</v>
      </c>
      <c r="E10" s="8" t="s">
        <v>1373</v>
      </c>
      <c r="F10" s="9" t="s">
        <v>17</v>
      </c>
      <c r="G10" s="10">
        <v>7</v>
      </c>
      <c r="H10" s="11">
        <v>46118</v>
      </c>
      <c r="I10" s="12" t="s">
        <v>2549</v>
      </c>
      <c r="J10" s="13" t="s">
        <v>30</v>
      </c>
      <c r="K10" s="14" t="str">
        <f>HYPERLINK("http://mpro.prangroup.com:4000/CreativeWorks/Edit/29268","Open")</f>
        <v>Open</v>
      </c>
    </row>
    <row r="11" spans="1:11" ht="13.2">
      <c r="A11" s="4" t="s">
        <v>392</v>
      </c>
      <c r="B11" s="5" t="s">
        <v>41</v>
      </c>
      <c r="C11" s="6" t="s">
        <v>275</v>
      </c>
      <c r="D11" s="7" t="s">
        <v>1706</v>
      </c>
      <c r="E11" s="8" t="s">
        <v>1077</v>
      </c>
      <c r="F11" s="9" t="s">
        <v>17</v>
      </c>
      <c r="G11" s="10">
        <v>1</v>
      </c>
      <c r="H11" s="11">
        <v>46119</v>
      </c>
      <c r="I11" s="12" t="s">
        <v>2550</v>
      </c>
      <c r="J11" s="13" t="s">
        <v>30</v>
      </c>
      <c r="K11" s="14" t="str">
        <f>HYPERLINK("http://mpro.prangroup.com:4000/CreativeWorks/Edit/29405","Open")</f>
        <v>Open</v>
      </c>
    </row>
    <row r="12" spans="1:11" ht="13.2">
      <c r="A12" s="4" t="s">
        <v>2551</v>
      </c>
      <c r="B12" s="5" t="s">
        <v>460</v>
      </c>
      <c r="C12" s="6" t="s">
        <v>689</v>
      </c>
      <c r="D12" s="7" t="s">
        <v>2552</v>
      </c>
      <c r="E12" s="8" t="s">
        <v>141</v>
      </c>
      <c r="F12" s="9" t="s">
        <v>17</v>
      </c>
      <c r="G12" s="10">
        <v>1</v>
      </c>
      <c r="H12" s="11">
        <v>46121</v>
      </c>
      <c r="I12" s="12" t="s">
        <v>2553</v>
      </c>
      <c r="J12" s="13" t="s">
        <v>30</v>
      </c>
      <c r="K12" s="14" t="str">
        <f>HYPERLINK("http://mpro.prangroup.com:4000/CreativeWorks/Edit/29581","Open")</f>
        <v>Open</v>
      </c>
    </row>
    <row r="13" spans="1:11" ht="13.2">
      <c r="A13" s="4" t="s">
        <v>2554</v>
      </c>
      <c r="B13" s="5" t="s">
        <v>197</v>
      </c>
      <c r="C13" s="6" t="s">
        <v>27</v>
      </c>
      <c r="D13" s="7" t="s">
        <v>2555</v>
      </c>
      <c r="E13" s="8" t="s">
        <v>141</v>
      </c>
      <c r="F13" s="9" t="s">
        <v>17</v>
      </c>
      <c r="G13" s="10">
        <v>1</v>
      </c>
      <c r="H13" s="11">
        <v>46121</v>
      </c>
      <c r="I13" s="12" t="s">
        <v>2556</v>
      </c>
      <c r="J13" s="13" t="s">
        <v>30</v>
      </c>
      <c r="K13" s="14" t="str">
        <f>HYPERLINK("http://mpro.prangroup.com:4000/CreativeWorks/Edit/29588","Open")</f>
        <v>Open</v>
      </c>
    </row>
    <row r="14" spans="1:11" ht="13.2">
      <c r="A14" s="4" t="s">
        <v>2557</v>
      </c>
      <c r="B14" s="5" t="s">
        <v>170</v>
      </c>
      <c r="C14" s="6" t="s">
        <v>228</v>
      </c>
      <c r="D14" s="7" t="s">
        <v>2558</v>
      </c>
      <c r="E14" s="8" t="s">
        <v>1687</v>
      </c>
      <c r="F14" s="9" t="s">
        <v>17</v>
      </c>
      <c r="G14" s="10">
        <v>4</v>
      </c>
      <c r="H14" s="11">
        <v>46124</v>
      </c>
      <c r="I14" s="12" t="s">
        <v>2559</v>
      </c>
      <c r="J14" s="13" t="s">
        <v>30</v>
      </c>
      <c r="K14" s="14" t="str">
        <f>HYPERLINK("http://mpro.prangroup.com:4000/CreativeWorks/Edit/29898","Open")</f>
        <v>Open</v>
      </c>
    </row>
    <row r="15" spans="1:11" ht="13.2">
      <c r="A15" s="4" t="s">
        <v>1100</v>
      </c>
      <c r="B15" s="5" t="s">
        <v>213</v>
      </c>
      <c r="C15" s="6" t="s">
        <v>186</v>
      </c>
      <c r="D15" s="7" t="s">
        <v>2560</v>
      </c>
      <c r="E15" s="8" t="s">
        <v>1077</v>
      </c>
      <c r="F15" s="9" t="s">
        <v>17</v>
      </c>
      <c r="G15" s="10">
        <v>4</v>
      </c>
      <c r="H15" s="11">
        <v>46124</v>
      </c>
      <c r="I15" s="12" t="s">
        <v>2561</v>
      </c>
      <c r="J15" s="13" t="s">
        <v>30</v>
      </c>
      <c r="K15" s="14" t="str">
        <f>HYPERLINK("http://mpro.prangroup.com:4000/CreativeWorks/Edit/29886","Open")</f>
        <v>Open</v>
      </c>
    </row>
    <row r="16" spans="1:11" ht="13.2">
      <c r="A16" s="4" t="s">
        <v>2562</v>
      </c>
      <c r="B16" s="5" t="s">
        <v>620</v>
      </c>
      <c r="C16" s="6" t="s">
        <v>293</v>
      </c>
      <c r="D16" s="7" t="s">
        <v>2563</v>
      </c>
      <c r="E16" s="8" t="s">
        <v>242</v>
      </c>
      <c r="F16" s="9" t="s">
        <v>17</v>
      </c>
      <c r="G16" s="10">
        <v>2</v>
      </c>
      <c r="H16" s="11">
        <v>46126</v>
      </c>
      <c r="I16" s="12" t="s">
        <v>2564</v>
      </c>
      <c r="J16" s="13" t="s">
        <v>30</v>
      </c>
      <c r="K16" s="14" t="str">
        <f>HYPERLINK("http://mpro.prangroup.com:4000/CreativeWorks/Edit/30061","Open")</f>
        <v>Open</v>
      </c>
    </row>
    <row r="17" spans="1:11" ht="13.2">
      <c r="A17" s="4" t="s">
        <v>1700</v>
      </c>
      <c r="B17" s="5" t="s">
        <v>282</v>
      </c>
      <c r="C17" s="6" t="s">
        <v>1685</v>
      </c>
      <c r="D17" s="7" t="s">
        <v>2565</v>
      </c>
      <c r="E17" s="8" t="s">
        <v>1373</v>
      </c>
      <c r="F17" s="9" t="s">
        <v>17</v>
      </c>
      <c r="G17" s="10">
        <v>5</v>
      </c>
      <c r="H17" s="11">
        <v>46126</v>
      </c>
      <c r="I17" s="12" t="s">
        <v>2566</v>
      </c>
      <c r="J17" s="13" t="s">
        <v>30</v>
      </c>
      <c r="K17" s="14" t="str">
        <f>HYPERLINK("http://mpro.prangroup.com:4000/CreativeWorks/Edit/30063","Open")</f>
        <v>Open</v>
      </c>
    </row>
    <row r="18" spans="1:11" ht="13.2">
      <c r="A18" s="4" t="s">
        <v>563</v>
      </c>
      <c r="B18" s="5" t="s">
        <v>60</v>
      </c>
      <c r="C18" s="6" t="s">
        <v>186</v>
      </c>
      <c r="D18" s="7" t="s">
        <v>2567</v>
      </c>
      <c r="E18" s="8" t="s">
        <v>242</v>
      </c>
      <c r="F18" s="9" t="s">
        <v>17</v>
      </c>
      <c r="G18" s="10">
        <v>1</v>
      </c>
      <c r="H18" s="11">
        <v>46126</v>
      </c>
      <c r="I18" s="12" t="s">
        <v>2568</v>
      </c>
      <c r="J18" s="13" t="s">
        <v>30</v>
      </c>
      <c r="K18" s="14" t="str">
        <f>HYPERLINK("http://mpro.prangroup.com:4000/CreativeWorks/Edit/30078","Open")</f>
        <v>Open</v>
      </c>
    </row>
    <row r="19" spans="1:11" ht="13.2">
      <c r="A19" s="4" t="s">
        <v>952</v>
      </c>
      <c r="B19" s="5" t="s">
        <v>197</v>
      </c>
      <c r="C19" s="6" t="s">
        <v>953</v>
      </c>
      <c r="D19" s="7" t="s">
        <v>2569</v>
      </c>
      <c r="E19" s="8" t="s">
        <v>141</v>
      </c>
      <c r="F19" s="9" t="s">
        <v>17</v>
      </c>
      <c r="G19" s="10">
        <v>1</v>
      </c>
      <c r="H19" s="11">
        <v>46127</v>
      </c>
      <c r="I19" s="12" t="s">
        <v>2570</v>
      </c>
      <c r="J19" s="13" t="s">
        <v>30</v>
      </c>
      <c r="K19" s="14" t="str">
        <f>HYPERLINK("http://mpro.prangroup.com:4000/CreativeWorks/Edit/30153","Open")</f>
        <v>Open</v>
      </c>
    </row>
    <row r="20" spans="1:11" ht="13.2">
      <c r="A20" s="4" t="s">
        <v>2571</v>
      </c>
      <c r="B20" s="5" t="s">
        <v>123</v>
      </c>
      <c r="C20" s="6" t="s">
        <v>166</v>
      </c>
      <c r="D20" s="7" t="s">
        <v>2572</v>
      </c>
      <c r="E20" s="8" t="s">
        <v>1373</v>
      </c>
      <c r="F20" s="9" t="s">
        <v>17</v>
      </c>
      <c r="G20" s="10">
        <v>5</v>
      </c>
      <c r="H20" s="11">
        <v>46127</v>
      </c>
      <c r="I20" s="12" t="s">
        <v>2573</v>
      </c>
      <c r="J20" s="13" t="s">
        <v>30</v>
      </c>
      <c r="K20" s="14" t="str">
        <f>HYPERLINK("http://mpro.prangroup.com:4000/CreativeWorks/Edit/30154","Open")</f>
        <v>Open</v>
      </c>
    </row>
    <row r="21" spans="1:11" ht="13.2">
      <c r="A21" s="4" t="s">
        <v>2574</v>
      </c>
      <c r="B21" s="5" t="s">
        <v>13</v>
      </c>
      <c r="C21" s="6" t="s">
        <v>2575</v>
      </c>
      <c r="D21" s="7" t="s">
        <v>2576</v>
      </c>
      <c r="E21" s="8" t="s">
        <v>141</v>
      </c>
      <c r="F21" s="9" t="s">
        <v>17</v>
      </c>
      <c r="G21" s="10">
        <v>1</v>
      </c>
      <c r="H21" s="11">
        <v>46127</v>
      </c>
      <c r="I21" s="12" t="s">
        <v>2577</v>
      </c>
      <c r="J21" s="13" t="s">
        <v>30</v>
      </c>
      <c r="K21" s="14" t="str">
        <f>HYPERLINK("http://mpro.prangroup.com:4000/CreativeWorks/Edit/30151","Open")</f>
        <v>Open</v>
      </c>
    </row>
    <row r="22" spans="1:11" ht="13.2">
      <c r="A22" s="4" t="s">
        <v>90</v>
      </c>
      <c r="B22" s="5" t="s">
        <v>32</v>
      </c>
      <c r="C22" s="6" t="s">
        <v>186</v>
      </c>
      <c r="D22" s="7" t="s">
        <v>2578</v>
      </c>
      <c r="E22" s="8" t="s">
        <v>16</v>
      </c>
      <c r="F22" s="9" t="s">
        <v>17</v>
      </c>
      <c r="G22" s="10">
        <v>1</v>
      </c>
      <c r="H22" s="11">
        <v>46127</v>
      </c>
      <c r="I22" s="12" t="s">
        <v>2579</v>
      </c>
      <c r="J22" s="13" t="s">
        <v>30</v>
      </c>
      <c r="K22" s="14" t="str">
        <f>HYPERLINK("http://mpro.prangroup.com:4000/CreativeWorks/Edit/30149","Open")</f>
        <v>Open</v>
      </c>
    </row>
    <row r="23" spans="1:11" ht="13.2">
      <c r="A23" s="4" t="s">
        <v>395</v>
      </c>
      <c r="B23" s="5" t="s">
        <v>185</v>
      </c>
      <c r="C23" s="6" t="s">
        <v>166</v>
      </c>
      <c r="D23" s="7" t="s">
        <v>2580</v>
      </c>
      <c r="E23" s="8" t="s">
        <v>242</v>
      </c>
      <c r="F23" s="9" t="s">
        <v>17</v>
      </c>
      <c r="G23" s="10">
        <v>1</v>
      </c>
      <c r="H23" s="11">
        <v>46128</v>
      </c>
      <c r="I23" s="12" t="s">
        <v>2581</v>
      </c>
      <c r="J23" s="13" t="s">
        <v>30</v>
      </c>
      <c r="K23" s="14" t="str">
        <f>HYPERLINK("http://mpro.prangroup.com:4000/CreativeWorks/Edit/30298","Open")</f>
        <v>Open</v>
      </c>
    </row>
    <row r="24" spans="1:11" ht="13.2">
      <c r="A24" s="4" t="s">
        <v>1037</v>
      </c>
      <c r="B24" s="5" t="s">
        <v>123</v>
      </c>
      <c r="C24" s="6" t="s">
        <v>2582</v>
      </c>
      <c r="D24" s="7" t="s">
        <v>2583</v>
      </c>
      <c r="E24" s="8" t="s">
        <v>242</v>
      </c>
      <c r="F24" s="9" t="s">
        <v>17</v>
      </c>
      <c r="G24" s="10">
        <v>1</v>
      </c>
      <c r="H24" s="11">
        <v>46130</v>
      </c>
      <c r="I24" s="12" t="s">
        <v>2584</v>
      </c>
      <c r="J24" s="13" t="s">
        <v>30</v>
      </c>
      <c r="K24" s="14" t="str">
        <f>HYPERLINK("http://mpro.prangroup.com:4000/CreativeWorks/Edit/30352","Open")</f>
        <v>Open</v>
      </c>
    </row>
    <row r="25" spans="1:11" ht="13.2">
      <c r="A25" s="4" t="s">
        <v>421</v>
      </c>
      <c r="B25" s="5" t="s">
        <v>101</v>
      </c>
      <c r="C25" s="6" t="s">
        <v>422</v>
      </c>
      <c r="D25" s="7" t="s">
        <v>2585</v>
      </c>
      <c r="E25" s="8" t="s">
        <v>242</v>
      </c>
      <c r="F25" s="9" t="s">
        <v>17</v>
      </c>
      <c r="G25" s="10">
        <v>2</v>
      </c>
      <c r="H25" s="11">
        <v>46130</v>
      </c>
      <c r="I25" s="12" t="s">
        <v>2586</v>
      </c>
      <c r="J25" s="13" t="s">
        <v>30</v>
      </c>
      <c r="K25" s="14" t="str">
        <f>HYPERLINK("http://mpro.prangroup.com:4000/CreativeWorks/Edit/30377","Open")</f>
        <v>Open</v>
      </c>
    </row>
    <row r="26" spans="1:11" ht="13.2">
      <c r="A26" s="4" t="s">
        <v>1379</v>
      </c>
      <c r="B26" s="5" t="s">
        <v>60</v>
      </c>
      <c r="C26" s="6" t="s">
        <v>228</v>
      </c>
      <c r="D26" s="7" t="s">
        <v>2587</v>
      </c>
      <c r="E26" s="8" t="s">
        <v>1077</v>
      </c>
      <c r="F26" s="9" t="s">
        <v>17</v>
      </c>
      <c r="G26" s="10">
        <v>3</v>
      </c>
      <c r="H26" s="11">
        <v>46132</v>
      </c>
      <c r="I26" s="12" t="s">
        <v>2588</v>
      </c>
      <c r="J26" s="13" t="s">
        <v>30</v>
      </c>
      <c r="K26" s="14" t="str">
        <f>HYPERLINK("http://mpro.prangroup.com:4000/CreativeWorks/Edit/30555","Open")</f>
        <v>Open</v>
      </c>
    </row>
    <row r="27" spans="1:11" ht="13.2">
      <c r="A27" s="4" t="s">
        <v>2571</v>
      </c>
      <c r="B27" s="5" t="s">
        <v>123</v>
      </c>
      <c r="C27" s="6" t="s">
        <v>232</v>
      </c>
      <c r="D27" s="7" t="s">
        <v>2589</v>
      </c>
      <c r="E27" s="8" t="s">
        <v>16</v>
      </c>
      <c r="F27" s="9" t="s">
        <v>17</v>
      </c>
      <c r="G27" s="10">
        <v>1</v>
      </c>
      <c r="H27" s="11">
        <v>46133</v>
      </c>
      <c r="I27" s="12" t="s">
        <v>2590</v>
      </c>
      <c r="J27" s="13" t="s">
        <v>30</v>
      </c>
      <c r="K27" s="14" t="str">
        <f>HYPERLINK("http://mpro.prangroup.com:4000/CreativeWorks/Edit/30737","Open")</f>
        <v>Open</v>
      </c>
    </row>
    <row r="28" spans="1:11" ht="13.2">
      <c r="A28" s="4" t="s">
        <v>500</v>
      </c>
      <c r="B28" s="5" t="s">
        <v>202</v>
      </c>
      <c r="C28" s="6" t="s">
        <v>2591</v>
      </c>
      <c r="D28" s="7" t="s">
        <v>2592</v>
      </c>
      <c r="E28" s="8" t="s">
        <v>242</v>
      </c>
      <c r="F28" s="9" t="s">
        <v>17</v>
      </c>
      <c r="G28" s="10">
        <v>1</v>
      </c>
      <c r="H28" s="11">
        <v>46134</v>
      </c>
      <c r="I28" s="12" t="s">
        <v>2593</v>
      </c>
      <c r="J28" s="13" t="s">
        <v>30</v>
      </c>
      <c r="K28" s="14" t="str">
        <f>HYPERLINK("http://mpro.prangroup.com:4000/CreativeWorks/Edit/30824","Open")</f>
        <v>Open</v>
      </c>
    </row>
    <row r="29" spans="1:11" ht="13.2">
      <c r="A29" s="4" t="s">
        <v>1044</v>
      </c>
      <c r="B29" s="5" t="s">
        <v>170</v>
      </c>
      <c r="C29" s="6" t="s">
        <v>455</v>
      </c>
      <c r="D29" s="7" t="s">
        <v>2594</v>
      </c>
      <c r="E29" s="8" t="s">
        <v>57</v>
      </c>
      <c r="F29" s="9" t="s">
        <v>17</v>
      </c>
      <c r="G29" s="10">
        <v>1</v>
      </c>
      <c r="H29" s="11">
        <v>46134</v>
      </c>
      <c r="I29" s="12" t="s">
        <v>2595</v>
      </c>
      <c r="J29" s="13" t="s">
        <v>30</v>
      </c>
      <c r="K29" s="14" t="str">
        <f>HYPERLINK("http://mpro.prangroup.com:4000/CreativeWorks/Edit/30810","Open")</f>
        <v>Open</v>
      </c>
    </row>
    <row r="30" spans="1:11" ht="13.2">
      <c r="A30" s="4" t="s">
        <v>2596</v>
      </c>
      <c r="B30" s="5" t="s">
        <v>197</v>
      </c>
      <c r="C30" s="6" t="s">
        <v>953</v>
      </c>
      <c r="D30" s="7" t="s">
        <v>2597</v>
      </c>
      <c r="E30" s="8" t="s">
        <v>16</v>
      </c>
      <c r="F30" s="9" t="s">
        <v>17</v>
      </c>
      <c r="G30" s="10">
        <v>1</v>
      </c>
      <c r="H30" s="11">
        <v>46137</v>
      </c>
      <c r="I30" s="12" t="s">
        <v>2598</v>
      </c>
      <c r="J30" s="13" t="s">
        <v>30</v>
      </c>
      <c r="K30" s="14" t="str">
        <f>HYPERLINK("http://mpro.prangroup.com:4000/CreativeWorks/Edit/31180","Open")</f>
        <v>Open</v>
      </c>
    </row>
    <row r="31" spans="1:11" ht="13.2">
      <c r="A31" s="4" t="s">
        <v>244</v>
      </c>
      <c r="B31" s="5" t="s">
        <v>41</v>
      </c>
      <c r="C31" s="6" t="s">
        <v>1139</v>
      </c>
      <c r="D31" s="7" t="s">
        <v>1718</v>
      </c>
      <c r="E31" s="8" t="s">
        <v>242</v>
      </c>
      <c r="F31" s="9" t="s">
        <v>17</v>
      </c>
      <c r="G31" s="10">
        <v>1</v>
      </c>
      <c r="H31" s="11">
        <v>46140</v>
      </c>
      <c r="I31" s="12" t="s">
        <v>2599</v>
      </c>
      <c r="J31" s="13" t="s">
        <v>30</v>
      </c>
      <c r="K31" s="14" t="str">
        <f>HYPERLINK("http://mpro.prangroup.com:4000/CreativeWorks/Edit/31564","Open")</f>
        <v>Open</v>
      </c>
    </row>
    <row r="32" spans="1:11" ht="13.2">
      <c r="A32" s="4" t="s">
        <v>1049</v>
      </c>
      <c r="B32" s="5" t="s">
        <v>68</v>
      </c>
      <c r="C32" s="6" t="s">
        <v>1659</v>
      </c>
      <c r="D32" s="7" t="s">
        <v>2600</v>
      </c>
      <c r="E32" s="8" t="s">
        <v>57</v>
      </c>
      <c r="F32" s="9" t="s">
        <v>17</v>
      </c>
      <c r="G32" s="10">
        <v>1</v>
      </c>
      <c r="H32" s="11">
        <v>46141</v>
      </c>
      <c r="I32" s="12" t="s">
        <v>2601</v>
      </c>
      <c r="J32" s="13" t="s">
        <v>30</v>
      </c>
      <c r="K32" s="14" t="str">
        <f>HYPERLINK("http://mpro.prangroup.com:4000/CreativeWorks/Edit/31806","Open")</f>
        <v>Open</v>
      </c>
    </row>
    <row r="33" spans="1:11" ht="13.2">
      <c r="A33" s="4" t="s">
        <v>1049</v>
      </c>
      <c r="B33" s="5" t="s">
        <v>68</v>
      </c>
      <c r="C33" s="6" t="s">
        <v>1050</v>
      </c>
      <c r="D33" s="7" t="s">
        <v>2602</v>
      </c>
      <c r="E33" s="8" t="s">
        <v>57</v>
      </c>
      <c r="F33" s="9" t="s">
        <v>17</v>
      </c>
      <c r="G33" s="10">
        <v>1</v>
      </c>
      <c r="H33" s="11">
        <v>46141</v>
      </c>
      <c r="I33" s="12" t="s">
        <v>2603</v>
      </c>
      <c r="J33" s="13" t="s">
        <v>30</v>
      </c>
      <c r="K33" s="14" t="str">
        <f>HYPERLINK("http://mpro.prangroup.com:4000/CreativeWorks/Edit/31778","Open")</f>
        <v>Open</v>
      </c>
    </row>
    <row r="34" spans="1:11" ht="13.2">
      <c r="A34" s="4" t="s">
        <v>558</v>
      </c>
      <c r="B34" s="5" t="s">
        <v>282</v>
      </c>
      <c r="C34" s="6" t="s">
        <v>486</v>
      </c>
      <c r="D34" s="7" t="s">
        <v>2604</v>
      </c>
      <c r="E34" s="8" t="s">
        <v>242</v>
      </c>
      <c r="F34" s="9" t="s">
        <v>17</v>
      </c>
      <c r="G34" s="10">
        <v>1</v>
      </c>
      <c r="H34" s="11">
        <v>46142</v>
      </c>
      <c r="I34" s="12" t="s">
        <v>2605</v>
      </c>
      <c r="J34" s="13" t="s">
        <v>30</v>
      </c>
      <c r="K34" s="14" t="str">
        <f>HYPERLINK("http://mpro.prangroup.com:4000/CreativeWorks/Edit/32024","Open")</f>
        <v>Open</v>
      </c>
    </row>
    <row r="35" spans="1:11" ht="13.2">
      <c r="A35" s="4" t="s">
        <v>464</v>
      </c>
      <c r="B35" s="5" t="s">
        <v>213</v>
      </c>
      <c r="C35" s="6" t="s">
        <v>186</v>
      </c>
      <c r="D35" s="7" t="s">
        <v>465</v>
      </c>
      <c r="E35" s="8" t="s">
        <v>16</v>
      </c>
      <c r="F35" s="9" t="s">
        <v>17</v>
      </c>
      <c r="G35" s="10">
        <v>4</v>
      </c>
      <c r="H35" s="11">
        <v>46142</v>
      </c>
      <c r="I35" s="12" t="s">
        <v>2606</v>
      </c>
      <c r="J35" s="13" t="s">
        <v>30</v>
      </c>
      <c r="K35" s="14" t="str">
        <f>HYPERLINK("http://mpro.prangroup.com:4000/CreativeWorks/Edit/32063","Open")</f>
        <v>Open</v>
      </c>
    </row>
    <row r="36" spans="1:11" ht="13.2">
      <c r="A36" s="4" t="s">
        <v>549</v>
      </c>
      <c r="B36" s="5" t="s">
        <v>178</v>
      </c>
      <c r="C36" s="6" t="s">
        <v>228</v>
      </c>
      <c r="D36" s="7" t="s">
        <v>2607</v>
      </c>
      <c r="E36" s="8" t="s">
        <v>1687</v>
      </c>
      <c r="F36" s="9" t="s">
        <v>17</v>
      </c>
      <c r="G36" s="10">
        <v>1</v>
      </c>
      <c r="H36" s="11">
        <v>46144</v>
      </c>
      <c r="I36" s="12" t="s">
        <v>2608</v>
      </c>
      <c r="J36" s="13" t="s">
        <v>30</v>
      </c>
      <c r="K36" s="14" t="str">
        <f>HYPERLINK("http://mpro.prangroup.com:4000/CreativeWorks/Edit/32189","Open")</f>
        <v>Open</v>
      </c>
    </row>
    <row r="37" spans="1:11" ht="13.2">
      <c r="A37" s="4" t="s">
        <v>1684</v>
      </c>
      <c r="B37" s="5" t="s">
        <v>41</v>
      </c>
      <c r="C37" s="6" t="s">
        <v>232</v>
      </c>
      <c r="D37" s="7" t="s">
        <v>2609</v>
      </c>
      <c r="E37" s="8" t="s">
        <v>242</v>
      </c>
      <c r="F37" s="9" t="s">
        <v>17</v>
      </c>
      <c r="G37" s="10">
        <v>3</v>
      </c>
      <c r="H37" s="11">
        <v>46144</v>
      </c>
      <c r="I37" s="12" t="s">
        <v>2610</v>
      </c>
      <c r="J37" s="13" t="s">
        <v>30</v>
      </c>
      <c r="K37" s="14" t="str">
        <f>HYPERLINK("http://mpro.prangroup.com:4000/CreativeWorks/Edit/32163","Open")</f>
        <v>Open</v>
      </c>
    </row>
    <row r="38" spans="1:11" ht="13.2">
      <c r="A38" s="4" t="s">
        <v>2611</v>
      </c>
      <c r="B38" s="5" t="s">
        <v>221</v>
      </c>
      <c r="C38" s="6" t="s">
        <v>2612</v>
      </c>
      <c r="D38" s="7" t="s">
        <v>2613</v>
      </c>
      <c r="E38" s="8" t="s">
        <v>141</v>
      </c>
      <c r="F38" s="9" t="s">
        <v>17</v>
      </c>
      <c r="G38" s="10">
        <v>3</v>
      </c>
      <c r="H38" s="11">
        <v>46146</v>
      </c>
      <c r="I38" s="12" t="s">
        <v>2614</v>
      </c>
      <c r="J38" s="13" t="s">
        <v>30</v>
      </c>
      <c r="K38" s="14" t="str">
        <f>HYPERLINK("http://mpro.prangroup.com:4000/CreativeWorks/Edit/32352","Open")</f>
        <v>Open</v>
      </c>
    </row>
    <row r="39" spans="1:11" ht="13.2">
      <c r="A39" s="4" t="s">
        <v>1587</v>
      </c>
      <c r="B39" s="5" t="s">
        <v>916</v>
      </c>
      <c r="C39" s="6" t="s">
        <v>746</v>
      </c>
      <c r="D39" s="7" t="s">
        <v>2615</v>
      </c>
      <c r="E39" s="8" t="s">
        <v>63</v>
      </c>
      <c r="F39" s="9" t="s">
        <v>17</v>
      </c>
      <c r="G39" s="10">
        <v>3</v>
      </c>
      <c r="H39" s="11">
        <v>46147</v>
      </c>
      <c r="I39" s="12" t="s">
        <v>2616</v>
      </c>
      <c r="J39" s="13" t="s">
        <v>30</v>
      </c>
      <c r="K39" s="14" t="str">
        <f>HYPERLINK("http://mpro.prangroup.com:4000/CreativeWorks/Edit/32491","Open")</f>
        <v>Open</v>
      </c>
    </row>
    <row r="40" spans="1:11" ht="13.2">
      <c r="A40" s="4" t="s">
        <v>227</v>
      </c>
      <c r="B40" s="5" t="s">
        <v>60</v>
      </c>
      <c r="C40" s="6" t="s">
        <v>228</v>
      </c>
      <c r="D40" s="7" t="s">
        <v>2617</v>
      </c>
      <c r="E40" s="8" t="s">
        <v>16</v>
      </c>
      <c r="F40" s="9" t="s">
        <v>17</v>
      </c>
      <c r="G40" s="10">
        <v>1</v>
      </c>
      <c r="H40" s="11">
        <v>46147</v>
      </c>
      <c r="I40" s="12" t="s">
        <v>2618</v>
      </c>
      <c r="J40" s="13" t="s">
        <v>30</v>
      </c>
      <c r="K40" s="14" t="str">
        <f>HYPERLINK("http://mpro.prangroup.com:4000/CreativeWorks/Edit/32498","Open")</f>
        <v>Open</v>
      </c>
    </row>
    <row r="41" spans="1:11" ht="13.2">
      <c r="A41" s="4" t="s">
        <v>227</v>
      </c>
      <c r="B41" s="5" t="s">
        <v>60</v>
      </c>
      <c r="C41" s="6" t="s">
        <v>228</v>
      </c>
      <c r="D41" s="7" t="s">
        <v>2619</v>
      </c>
      <c r="E41" s="8" t="s">
        <v>1077</v>
      </c>
      <c r="F41" s="9" t="s">
        <v>17</v>
      </c>
      <c r="G41" s="10">
        <v>2</v>
      </c>
      <c r="H41" s="11">
        <v>46147</v>
      </c>
      <c r="I41" s="12" t="s">
        <v>2620</v>
      </c>
      <c r="J41" s="13" t="s">
        <v>30</v>
      </c>
      <c r="K41" s="14" t="str">
        <f>HYPERLINK("http://mpro.prangroup.com:4000/CreativeWorks/Edit/32506","Open")</f>
        <v>Open</v>
      </c>
    </row>
    <row r="42" spans="1:11" ht="13.2">
      <c r="A42" s="4" t="s">
        <v>227</v>
      </c>
      <c r="B42" s="5" t="s">
        <v>60</v>
      </c>
      <c r="C42" s="6" t="s">
        <v>228</v>
      </c>
      <c r="D42" s="7" t="s">
        <v>2617</v>
      </c>
      <c r="E42" s="8" t="s">
        <v>242</v>
      </c>
      <c r="F42" s="9" t="s">
        <v>17</v>
      </c>
      <c r="G42" s="10">
        <v>1</v>
      </c>
      <c r="H42" s="11">
        <v>46147</v>
      </c>
      <c r="I42" s="12" t="s">
        <v>2618</v>
      </c>
      <c r="J42" s="13" t="s">
        <v>30</v>
      </c>
      <c r="K42" s="14" t="str">
        <f>HYPERLINK("http://mpro.prangroup.com:4000/CreativeWorks/Edit/32498","Open")</f>
        <v>Open</v>
      </c>
    </row>
    <row r="43" spans="1:11" ht="13.2">
      <c r="A43" s="4" t="s">
        <v>1700</v>
      </c>
      <c r="B43" s="5" t="s">
        <v>282</v>
      </c>
      <c r="C43" s="6" t="s">
        <v>275</v>
      </c>
      <c r="D43" s="7" t="s">
        <v>2621</v>
      </c>
      <c r="E43" s="8" t="s">
        <v>1355</v>
      </c>
      <c r="F43" s="9" t="s">
        <v>17</v>
      </c>
      <c r="G43" s="10">
        <v>3</v>
      </c>
      <c r="H43" s="11">
        <v>46147</v>
      </c>
      <c r="I43" s="12" t="s">
        <v>2622</v>
      </c>
      <c r="J43" s="13" t="s">
        <v>30</v>
      </c>
      <c r="K43" s="14" t="str">
        <f>HYPERLINK("http://mpro.prangroup.com:4000/CreativeWorks/Edit/32466","Open")</f>
        <v>Open</v>
      </c>
    </row>
    <row r="44" spans="1:11" ht="13.2">
      <c r="A44" s="4" t="s">
        <v>1587</v>
      </c>
      <c r="B44" s="5" t="s">
        <v>916</v>
      </c>
      <c r="C44" s="6" t="s">
        <v>746</v>
      </c>
      <c r="D44" s="7" t="s">
        <v>2623</v>
      </c>
      <c r="E44" s="8" t="s">
        <v>748</v>
      </c>
      <c r="F44" s="9" t="s">
        <v>17</v>
      </c>
      <c r="G44" s="10">
        <v>3</v>
      </c>
      <c r="H44" s="11">
        <v>46148</v>
      </c>
      <c r="I44" s="12" t="s">
        <v>2624</v>
      </c>
      <c r="J44" s="13" t="s">
        <v>30</v>
      </c>
      <c r="K44" s="14" t="str">
        <f>HYPERLINK("http://mpro.prangroup.com:4000/CreativeWorks/Edit/32584","Open")</f>
        <v>Open</v>
      </c>
    </row>
    <row r="45" spans="1:11" ht="13.2">
      <c r="A45" s="4" t="s">
        <v>2625</v>
      </c>
      <c r="B45" s="5" t="s">
        <v>2626</v>
      </c>
      <c r="C45" s="6" t="s">
        <v>2627</v>
      </c>
      <c r="D45" s="7" t="s">
        <v>2628</v>
      </c>
      <c r="E45" s="8" t="s">
        <v>141</v>
      </c>
      <c r="F45" s="9" t="s">
        <v>17</v>
      </c>
      <c r="G45" s="10">
        <v>2</v>
      </c>
      <c r="H45" s="11">
        <v>46149</v>
      </c>
      <c r="I45" s="12" t="s">
        <v>2629</v>
      </c>
      <c r="J45" s="13" t="s">
        <v>30</v>
      </c>
      <c r="K45" s="14" t="str">
        <f>HYPERLINK("http://mpro.prangroup.com:4000/CreativeWorks/Edit/32760","Open")</f>
        <v>Open</v>
      </c>
    </row>
    <row r="46" spans="1:11" ht="13.2">
      <c r="A46" s="4" t="s">
        <v>782</v>
      </c>
      <c r="B46" s="5" t="s">
        <v>209</v>
      </c>
      <c r="C46" s="6" t="s">
        <v>228</v>
      </c>
      <c r="D46" s="7" t="s">
        <v>2250</v>
      </c>
      <c r="E46" s="8" t="s">
        <v>141</v>
      </c>
      <c r="F46" s="9" t="s">
        <v>17</v>
      </c>
      <c r="G46" s="10">
        <v>1</v>
      </c>
      <c r="H46" s="11">
        <v>46149</v>
      </c>
      <c r="I46" s="12" t="s">
        <v>2630</v>
      </c>
      <c r="J46" s="13" t="s">
        <v>30</v>
      </c>
      <c r="K46" s="14" t="str">
        <f>HYPERLINK("http://mpro.prangroup.com:4000/CreativeWorks/Edit/32722","Open")</f>
        <v>Open</v>
      </c>
    </row>
    <row r="47" spans="1:11" ht="13.2">
      <c r="A47" s="4" t="s">
        <v>1158</v>
      </c>
      <c r="B47" s="5" t="s">
        <v>1159</v>
      </c>
      <c r="C47" s="6" t="s">
        <v>1160</v>
      </c>
      <c r="D47" s="7" t="s">
        <v>2631</v>
      </c>
      <c r="E47" s="8" t="s">
        <v>141</v>
      </c>
      <c r="F47" s="9" t="s">
        <v>17</v>
      </c>
      <c r="G47" s="10">
        <v>1</v>
      </c>
      <c r="H47" s="11">
        <v>46151</v>
      </c>
      <c r="I47" s="12" t="s">
        <v>2632</v>
      </c>
      <c r="J47" s="13" t="s">
        <v>30</v>
      </c>
      <c r="K47" s="14" t="str">
        <f>HYPERLINK("http://mpro.prangroup.com:4000/CreativeWorks/Edit/32867","Open")</f>
        <v>Open</v>
      </c>
    </row>
    <row r="48" spans="1:11" ht="13.2">
      <c r="A48" s="4" t="s">
        <v>256</v>
      </c>
      <c r="B48" s="5" t="s">
        <v>197</v>
      </c>
      <c r="C48" s="6" t="s">
        <v>257</v>
      </c>
      <c r="D48" s="7" t="s">
        <v>2633</v>
      </c>
      <c r="E48" s="8" t="s">
        <v>57</v>
      </c>
      <c r="F48" s="9" t="s">
        <v>17</v>
      </c>
      <c r="G48" s="10">
        <v>1</v>
      </c>
      <c r="H48" s="11">
        <v>46151</v>
      </c>
      <c r="I48" s="12" t="s">
        <v>2634</v>
      </c>
      <c r="J48" s="13" t="s">
        <v>30</v>
      </c>
      <c r="K48" s="14" t="str">
        <f>HYPERLINK("http://mpro.prangroup.com:4000/CreativeWorks/Edit/32894","Open")</f>
        <v>Open</v>
      </c>
    </row>
    <row r="49" spans="1:11" ht="13.2">
      <c r="A49" s="4" t="s">
        <v>745</v>
      </c>
      <c r="B49" s="5" t="s">
        <v>41</v>
      </c>
      <c r="C49" s="6" t="s">
        <v>746</v>
      </c>
      <c r="D49" s="7" t="s">
        <v>2635</v>
      </c>
      <c r="E49" s="8" t="s">
        <v>748</v>
      </c>
      <c r="F49" s="9" t="s">
        <v>17</v>
      </c>
      <c r="G49" s="10">
        <v>6</v>
      </c>
      <c r="H49" s="11">
        <v>46153</v>
      </c>
      <c r="I49" s="12" t="s">
        <v>2636</v>
      </c>
      <c r="J49" s="13" t="s">
        <v>30</v>
      </c>
      <c r="K49" s="14" t="str">
        <f>HYPERLINK("http://mpro.prangroup.com:4000/CreativeWorks/Edit/33116","Open")</f>
        <v>Open</v>
      </c>
    </row>
    <row r="50" spans="1:11" ht="13.2">
      <c r="A50" s="4" t="s">
        <v>1169</v>
      </c>
      <c r="B50" s="5" t="s">
        <v>153</v>
      </c>
      <c r="C50" s="6" t="s">
        <v>154</v>
      </c>
      <c r="D50" s="7" t="s">
        <v>1170</v>
      </c>
      <c r="E50" s="8" t="s">
        <v>141</v>
      </c>
      <c r="F50" s="9" t="s">
        <v>17</v>
      </c>
      <c r="G50" s="10">
        <v>1</v>
      </c>
      <c r="H50" s="11">
        <v>46153</v>
      </c>
      <c r="I50" s="12" t="s">
        <v>2637</v>
      </c>
      <c r="J50" s="13" t="s">
        <v>30</v>
      </c>
      <c r="K50" s="14" t="str">
        <f t="shared" ref="K50:K51" si="0">HYPERLINK("http://mpro.prangroup.com:4000/CreativeWorks/Edit/33105","Open")</f>
        <v>Open</v>
      </c>
    </row>
    <row r="51" spans="1:11" ht="13.2">
      <c r="A51" s="4" t="s">
        <v>1169</v>
      </c>
      <c r="B51" s="5" t="s">
        <v>153</v>
      </c>
      <c r="C51" s="6" t="s">
        <v>154</v>
      </c>
      <c r="D51" s="7" t="s">
        <v>1170</v>
      </c>
      <c r="E51" s="8" t="s">
        <v>242</v>
      </c>
      <c r="F51" s="9" t="s">
        <v>17</v>
      </c>
      <c r="G51" s="10">
        <v>1</v>
      </c>
      <c r="H51" s="11">
        <v>46153</v>
      </c>
      <c r="I51" s="12" t="s">
        <v>2637</v>
      </c>
      <c r="J51" s="13" t="s">
        <v>30</v>
      </c>
      <c r="K51" s="14" t="str">
        <f t="shared" si="0"/>
        <v>Open</v>
      </c>
    </row>
    <row r="52" spans="1:11" ht="13.2">
      <c r="A52" s="4" t="s">
        <v>227</v>
      </c>
      <c r="B52" s="5" t="s">
        <v>60</v>
      </c>
      <c r="C52" s="6" t="s">
        <v>186</v>
      </c>
      <c r="D52" s="7" t="s">
        <v>2261</v>
      </c>
      <c r="E52" s="8" t="s">
        <v>57</v>
      </c>
      <c r="F52" s="9" t="s">
        <v>17</v>
      </c>
      <c r="G52" s="10">
        <v>1</v>
      </c>
      <c r="H52" s="11">
        <v>46154</v>
      </c>
      <c r="I52" s="12" t="s">
        <v>2638</v>
      </c>
      <c r="J52" s="13" t="s">
        <v>30</v>
      </c>
      <c r="K52" s="14" t="str">
        <f>HYPERLINK("http://mpro.prangroup.com:4000/CreativeWorks/Edit/33259","Open")</f>
        <v>Open</v>
      </c>
    </row>
    <row r="53" spans="1:11" ht="13.2">
      <c r="A53" s="4" t="s">
        <v>202</v>
      </c>
      <c r="B53" s="5" t="s">
        <v>202</v>
      </c>
      <c r="C53" s="6" t="s">
        <v>203</v>
      </c>
      <c r="D53" s="7" t="s">
        <v>2639</v>
      </c>
      <c r="E53" s="8" t="s">
        <v>16</v>
      </c>
      <c r="F53" s="9" t="s">
        <v>17</v>
      </c>
      <c r="G53" s="10">
        <v>2</v>
      </c>
      <c r="H53" s="11">
        <v>46156</v>
      </c>
      <c r="I53" s="12" t="s">
        <v>2640</v>
      </c>
      <c r="J53" s="13" t="s">
        <v>30</v>
      </c>
      <c r="K53" s="14" t="str">
        <f>HYPERLINK("http://mpro.prangroup.com:4000/CreativeWorks/Edit/33496","Open")</f>
        <v>Open</v>
      </c>
    </row>
    <row r="54" spans="1:11" ht="13.2">
      <c r="A54" s="4" t="s">
        <v>113</v>
      </c>
      <c r="B54" s="5" t="s">
        <v>32</v>
      </c>
      <c r="C54" s="6" t="s">
        <v>114</v>
      </c>
      <c r="D54" s="7" t="s">
        <v>2641</v>
      </c>
      <c r="E54" s="8" t="s">
        <v>141</v>
      </c>
      <c r="F54" s="9" t="s">
        <v>17</v>
      </c>
      <c r="G54" s="10">
        <v>1</v>
      </c>
      <c r="H54" s="11">
        <v>46158</v>
      </c>
      <c r="I54" s="12" t="s">
        <v>2642</v>
      </c>
      <c r="J54" s="13" t="s">
        <v>30</v>
      </c>
      <c r="K54" s="14" t="str">
        <f>HYPERLINK("http://mpro.prangroup.com:4000/CreativeWorks/Edit/33619","Open")</f>
        <v>Open</v>
      </c>
    </row>
    <row r="55" spans="1:11" ht="13.2">
      <c r="A55" s="4" t="s">
        <v>2643</v>
      </c>
      <c r="B55" s="5" t="s">
        <v>32</v>
      </c>
      <c r="C55" s="6" t="s">
        <v>689</v>
      </c>
      <c r="D55" s="7" t="s">
        <v>2644</v>
      </c>
      <c r="E55" s="8" t="s">
        <v>57</v>
      </c>
      <c r="F55" s="9" t="s">
        <v>17</v>
      </c>
      <c r="G55" s="10">
        <v>2</v>
      </c>
      <c r="H55" s="11">
        <v>46158</v>
      </c>
      <c r="I55" s="12" t="s">
        <v>2645</v>
      </c>
      <c r="J55" s="13" t="s">
        <v>30</v>
      </c>
      <c r="K55" s="14" t="str">
        <f>HYPERLINK("http://mpro.prangroup.com:4000/CreativeWorks/Edit/33637","Open")</f>
        <v>Open</v>
      </c>
    </row>
    <row r="56" spans="1:11" ht="13.2">
      <c r="A56" s="4" t="s">
        <v>2571</v>
      </c>
      <c r="B56" s="5" t="s">
        <v>123</v>
      </c>
      <c r="C56" s="6" t="s">
        <v>124</v>
      </c>
      <c r="D56" s="7" t="s">
        <v>2646</v>
      </c>
      <c r="E56" s="8" t="s">
        <v>141</v>
      </c>
      <c r="F56" s="9" t="s">
        <v>17</v>
      </c>
      <c r="G56" s="10">
        <v>1</v>
      </c>
      <c r="H56" s="11">
        <v>46158</v>
      </c>
      <c r="I56" s="12" t="s">
        <v>2647</v>
      </c>
      <c r="J56" s="13" t="s">
        <v>30</v>
      </c>
      <c r="K56" s="14" t="str">
        <f>HYPERLINK("http://mpro.prangroup.com:4000/CreativeWorks/Edit/33588","Open")</f>
        <v>Open</v>
      </c>
    </row>
    <row r="57" spans="1:11" ht="13.2">
      <c r="A57" s="4" t="s">
        <v>867</v>
      </c>
      <c r="B57" s="5" t="s">
        <v>60</v>
      </c>
      <c r="C57" s="6" t="s">
        <v>275</v>
      </c>
      <c r="D57" s="7" t="s">
        <v>2285</v>
      </c>
      <c r="E57" s="8" t="s">
        <v>141</v>
      </c>
      <c r="F57" s="9" t="s">
        <v>17</v>
      </c>
      <c r="G57" s="10">
        <v>1</v>
      </c>
      <c r="H57" s="11">
        <v>46158</v>
      </c>
      <c r="I57" s="12" t="s">
        <v>2648</v>
      </c>
      <c r="J57" s="13" t="s">
        <v>30</v>
      </c>
      <c r="K57" s="14" t="str">
        <f>HYPERLINK("http://mpro.prangroup.com:4000/CreativeWorks/Edit/33593","Open")</f>
        <v>Open</v>
      </c>
    </row>
    <row r="58" spans="1:11" ht="13.2">
      <c r="A58" s="4" t="s">
        <v>897</v>
      </c>
      <c r="B58" s="5" t="s">
        <v>32</v>
      </c>
      <c r="C58" s="6" t="s">
        <v>1685</v>
      </c>
      <c r="D58" s="7" t="s">
        <v>2649</v>
      </c>
      <c r="E58" s="8" t="s">
        <v>1373</v>
      </c>
      <c r="F58" s="9" t="s">
        <v>17</v>
      </c>
      <c r="G58" s="10">
        <v>1</v>
      </c>
      <c r="H58" s="11">
        <v>46158</v>
      </c>
      <c r="I58" s="12" t="s">
        <v>2650</v>
      </c>
      <c r="J58" s="13" t="s">
        <v>30</v>
      </c>
      <c r="K58" s="14" t="str">
        <f>HYPERLINK("http://mpro.prangroup.com:4000/CreativeWorks/Edit/33583","Open")</f>
        <v>Open</v>
      </c>
    </row>
    <row r="59" spans="1:11" ht="13.2">
      <c r="A59" s="4" t="s">
        <v>415</v>
      </c>
      <c r="B59" s="5" t="s">
        <v>178</v>
      </c>
      <c r="C59" s="6" t="s">
        <v>416</v>
      </c>
      <c r="D59" s="7" t="s">
        <v>2651</v>
      </c>
      <c r="E59" s="8" t="s">
        <v>141</v>
      </c>
      <c r="F59" s="9" t="s">
        <v>17</v>
      </c>
      <c r="G59" s="10">
        <v>1</v>
      </c>
      <c r="H59" s="11">
        <v>46158</v>
      </c>
      <c r="I59" s="12" t="s">
        <v>2652</v>
      </c>
      <c r="J59" s="13" t="s">
        <v>30</v>
      </c>
      <c r="K59" s="14" t="str">
        <f>HYPERLINK("http://mpro.prangroup.com:4000/CreativeWorks/Edit/33614","Open")</f>
        <v>Open</v>
      </c>
    </row>
    <row r="60" spans="1:11" ht="13.2">
      <c r="A60" s="4" t="s">
        <v>398</v>
      </c>
      <c r="B60" s="5" t="s">
        <v>41</v>
      </c>
      <c r="C60" s="6" t="s">
        <v>186</v>
      </c>
      <c r="D60" s="7" t="s">
        <v>2653</v>
      </c>
      <c r="E60" s="8" t="s">
        <v>242</v>
      </c>
      <c r="F60" s="9" t="s">
        <v>17</v>
      </c>
      <c r="G60" s="10">
        <v>3</v>
      </c>
      <c r="H60" s="11">
        <v>46159</v>
      </c>
      <c r="I60" s="12" t="s">
        <v>2654</v>
      </c>
      <c r="J60" s="13" t="s">
        <v>30</v>
      </c>
      <c r="K60" s="14" t="str">
        <f>HYPERLINK("http://mpro.prangroup.com:4000/CreativeWorks/Edit/33780","Open")</f>
        <v>Open</v>
      </c>
    </row>
    <row r="61" spans="1:11" ht="13.2">
      <c r="A61" s="4" t="s">
        <v>745</v>
      </c>
      <c r="B61" s="5" t="s">
        <v>41</v>
      </c>
      <c r="C61" s="6" t="s">
        <v>746</v>
      </c>
      <c r="D61" s="7" t="s">
        <v>2655</v>
      </c>
      <c r="E61" s="8" t="s">
        <v>63</v>
      </c>
      <c r="F61" s="9" t="s">
        <v>17</v>
      </c>
      <c r="G61" s="10">
        <v>1</v>
      </c>
      <c r="H61" s="11">
        <v>46162</v>
      </c>
      <c r="I61" s="12" t="s">
        <v>2656</v>
      </c>
      <c r="J61" s="13" t="s">
        <v>30</v>
      </c>
      <c r="K61" s="14" t="str">
        <f>HYPERLINK("http://mpro.prangroup.com:4000/CreativeWorks/Edit/34185","Open")</f>
        <v>Open</v>
      </c>
    </row>
    <row r="62" spans="1:11" ht="13.2">
      <c r="A62" s="4" t="s">
        <v>429</v>
      </c>
      <c r="B62" s="5" t="s">
        <v>41</v>
      </c>
      <c r="C62" s="6" t="s">
        <v>275</v>
      </c>
      <c r="D62" s="7" t="s">
        <v>2303</v>
      </c>
      <c r="E62" s="8" t="s">
        <v>16</v>
      </c>
      <c r="F62" s="9" t="s">
        <v>17</v>
      </c>
      <c r="G62" s="10">
        <v>4</v>
      </c>
      <c r="H62" s="11">
        <v>46162</v>
      </c>
      <c r="I62" s="12" t="s">
        <v>2657</v>
      </c>
      <c r="J62" s="13" t="s">
        <v>30</v>
      </c>
      <c r="K62" s="14" t="str">
        <f t="shared" ref="K62:K63" si="1">HYPERLINK("http://mpro.prangroup.com:4000/CreativeWorks/Edit/34127","Open")</f>
        <v>Open</v>
      </c>
    </row>
    <row r="63" spans="1:11" ht="13.2">
      <c r="A63" s="4" t="s">
        <v>429</v>
      </c>
      <c r="B63" s="5" t="s">
        <v>41</v>
      </c>
      <c r="C63" s="6" t="s">
        <v>275</v>
      </c>
      <c r="D63" s="7" t="s">
        <v>2303</v>
      </c>
      <c r="E63" s="8" t="s">
        <v>57</v>
      </c>
      <c r="F63" s="9" t="s">
        <v>17</v>
      </c>
      <c r="G63" s="10">
        <v>1</v>
      </c>
      <c r="H63" s="11">
        <v>46162</v>
      </c>
      <c r="I63" s="12" t="s">
        <v>2657</v>
      </c>
      <c r="J63" s="13" t="s">
        <v>30</v>
      </c>
      <c r="K63" s="14" t="str">
        <f t="shared" si="1"/>
        <v>Open</v>
      </c>
    </row>
    <row r="64" spans="1:11" ht="13.2">
      <c r="A64" s="4" t="s">
        <v>40</v>
      </c>
      <c r="B64" s="5" t="s">
        <v>41</v>
      </c>
      <c r="C64" s="6" t="s">
        <v>166</v>
      </c>
      <c r="D64" s="7" t="s">
        <v>1805</v>
      </c>
      <c r="E64" s="8" t="s">
        <v>1077</v>
      </c>
      <c r="F64" s="9" t="s">
        <v>17</v>
      </c>
      <c r="G64" s="10">
        <v>12</v>
      </c>
      <c r="H64" s="11">
        <v>46162</v>
      </c>
      <c r="I64" s="12" t="s">
        <v>2658</v>
      </c>
      <c r="J64" s="13" t="s">
        <v>30</v>
      </c>
      <c r="K64" s="14" t="str">
        <f>HYPERLINK("http://mpro.prangroup.com:4000/CreativeWorks/Edit/34146","Open")</f>
        <v>Open</v>
      </c>
    </row>
    <row r="65" spans="1:11" ht="13.2">
      <c r="A65" s="4" t="s">
        <v>1399</v>
      </c>
      <c r="B65" s="5" t="s">
        <v>916</v>
      </c>
      <c r="C65" s="6" t="s">
        <v>746</v>
      </c>
      <c r="D65" s="7" t="s">
        <v>2659</v>
      </c>
      <c r="E65" s="8" t="s">
        <v>63</v>
      </c>
      <c r="F65" s="9" t="s">
        <v>17</v>
      </c>
      <c r="G65" s="10">
        <v>1</v>
      </c>
      <c r="H65" s="11">
        <v>46163</v>
      </c>
      <c r="I65" s="12" t="s">
        <v>2660</v>
      </c>
      <c r="J65" s="13" t="s">
        <v>30</v>
      </c>
      <c r="K65" s="14" t="str">
        <f>HYPERLINK("http://mpro.prangroup.com:4000/CreativeWorks/Edit/34374","Open")</f>
        <v>Open</v>
      </c>
    </row>
    <row r="66" spans="1:11" ht="13.2">
      <c r="A66" s="4" t="s">
        <v>1396</v>
      </c>
      <c r="B66" s="5" t="s">
        <v>916</v>
      </c>
      <c r="C66" s="6" t="s">
        <v>746</v>
      </c>
      <c r="D66" s="7" t="s">
        <v>2661</v>
      </c>
      <c r="E66" s="8" t="s">
        <v>1355</v>
      </c>
      <c r="F66" s="9" t="s">
        <v>17</v>
      </c>
      <c r="G66" s="10">
        <v>1</v>
      </c>
      <c r="H66" s="11">
        <v>46163</v>
      </c>
      <c r="I66" s="12" t="s">
        <v>2662</v>
      </c>
      <c r="J66" s="13" t="s">
        <v>30</v>
      </c>
      <c r="K66" s="14" t="str">
        <f>HYPERLINK("http://mpro.prangroup.com:4000/CreativeWorks/Edit/34323","Open")</f>
        <v>Open</v>
      </c>
    </row>
    <row r="67" spans="1:11" ht="13.2">
      <c r="A67" s="4" t="s">
        <v>563</v>
      </c>
      <c r="B67" s="5" t="s">
        <v>60</v>
      </c>
      <c r="C67" s="6" t="s">
        <v>275</v>
      </c>
      <c r="D67" s="7" t="s">
        <v>564</v>
      </c>
      <c r="E67" s="8" t="s">
        <v>16</v>
      </c>
      <c r="F67" s="9" t="s">
        <v>17</v>
      </c>
      <c r="G67" s="10">
        <v>4</v>
      </c>
      <c r="H67" s="11">
        <v>46163</v>
      </c>
      <c r="I67" s="12" t="s">
        <v>565</v>
      </c>
      <c r="J67" s="13" t="s">
        <v>30</v>
      </c>
      <c r="K67" s="14" t="str">
        <f>HYPERLINK("http://mpro.prangroup.com:4000/CreativeWorks/Edit/34324","Open")</f>
        <v>Open</v>
      </c>
    </row>
    <row r="68" spans="1:11" ht="13.2">
      <c r="A68" s="4" t="s">
        <v>2295</v>
      </c>
      <c r="B68" s="5" t="s">
        <v>60</v>
      </c>
      <c r="C68" s="6" t="s">
        <v>275</v>
      </c>
      <c r="D68" s="7" t="s">
        <v>2296</v>
      </c>
      <c r="E68" s="8" t="s">
        <v>16</v>
      </c>
      <c r="F68" s="9" t="s">
        <v>17</v>
      </c>
      <c r="G68" s="10">
        <v>1</v>
      </c>
      <c r="H68" s="11">
        <v>46163</v>
      </c>
      <c r="I68" s="12" t="s">
        <v>2663</v>
      </c>
      <c r="J68" s="13" t="s">
        <v>30</v>
      </c>
      <c r="K68" s="14" t="str">
        <f>HYPERLINK("http://mpro.prangroup.com:4000/CreativeWorks/Edit/34329","Open")</f>
        <v>Open</v>
      </c>
    </row>
    <row r="69" spans="1:11" ht="13.2">
      <c r="A69" s="4" t="s">
        <v>2298</v>
      </c>
      <c r="B69" s="5" t="s">
        <v>60</v>
      </c>
      <c r="C69" s="6" t="s">
        <v>275</v>
      </c>
      <c r="D69" s="7" t="s">
        <v>2299</v>
      </c>
      <c r="E69" s="8" t="s">
        <v>1077</v>
      </c>
      <c r="F69" s="9" t="s">
        <v>17</v>
      </c>
      <c r="G69" s="10">
        <v>4</v>
      </c>
      <c r="H69" s="11">
        <v>46163</v>
      </c>
      <c r="I69" s="12" t="s">
        <v>2664</v>
      </c>
      <c r="J69" s="13" t="s">
        <v>30</v>
      </c>
      <c r="K69" s="14" t="str">
        <f>HYPERLINK("http://mpro.prangroup.com:4000/CreativeWorks/Edit/34325","Open")</f>
        <v>Open</v>
      </c>
    </row>
    <row r="70" spans="1:11" ht="13.2">
      <c r="A70" s="4" t="s">
        <v>563</v>
      </c>
      <c r="B70" s="5" t="s">
        <v>60</v>
      </c>
      <c r="C70" s="6" t="s">
        <v>275</v>
      </c>
      <c r="D70" s="7" t="s">
        <v>2301</v>
      </c>
      <c r="E70" s="8" t="s">
        <v>1077</v>
      </c>
      <c r="F70" s="9" t="s">
        <v>17</v>
      </c>
      <c r="G70" s="10">
        <v>4</v>
      </c>
      <c r="H70" s="11">
        <v>46163</v>
      </c>
      <c r="I70" s="12" t="s">
        <v>2665</v>
      </c>
      <c r="J70" s="13" t="s">
        <v>30</v>
      </c>
      <c r="K70" s="14" t="str">
        <f>HYPERLINK("http://mpro.prangroup.com:4000/CreativeWorks/Edit/34327","Open")</f>
        <v>Open</v>
      </c>
    </row>
    <row r="71" spans="1:11" ht="13.2">
      <c r="A71" s="4" t="s">
        <v>2295</v>
      </c>
      <c r="B71" s="5" t="s">
        <v>60</v>
      </c>
      <c r="C71" s="6" t="s">
        <v>275</v>
      </c>
      <c r="D71" s="7" t="s">
        <v>2296</v>
      </c>
      <c r="E71" s="8" t="s">
        <v>1077</v>
      </c>
      <c r="F71" s="9" t="s">
        <v>17</v>
      </c>
      <c r="G71" s="10">
        <v>4</v>
      </c>
      <c r="H71" s="11">
        <v>46163</v>
      </c>
      <c r="I71" s="12" t="s">
        <v>2663</v>
      </c>
      <c r="J71" s="13" t="s">
        <v>30</v>
      </c>
      <c r="K71" s="14" t="str">
        <f>HYPERLINK("http://mpro.prangroup.com:4000/CreativeWorks/Edit/34329","Open")</f>
        <v>Open</v>
      </c>
    </row>
    <row r="72" spans="1:11" ht="13.2">
      <c r="A72" s="4" t="s">
        <v>2298</v>
      </c>
      <c r="B72" s="5" t="s">
        <v>60</v>
      </c>
      <c r="C72" s="6" t="s">
        <v>275</v>
      </c>
      <c r="D72" s="7" t="s">
        <v>2299</v>
      </c>
      <c r="E72" s="8" t="s">
        <v>141</v>
      </c>
      <c r="F72" s="9" t="s">
        <v>17</v>
      </c>
      <c r="G72" s="10">
        <v>1</v>
      </c>
      <c r="H72" s="11">
        <v>46163</v>
      </c>
      <c r="I72" s="12" t="s">
        <v>2664</v>
      </c>
      <c r="J72" s="13" t="s">
        <v>30</v>
      </c>
      <c r="K72" s="14" t="str">
        <f t="shared" ref="K72:K73" si="2">HYPERLINK("http://mpro.prangroup.com:4000/CreativeWorks/Edit/34325","Open")</f>
        <v>Open</v>
      </c>
    </row>
    <row r="73" spans="1:11" ht="13.2">
      <c r="A73" s="4" t="s">
        <v>2298</v>
      </c>
      <c r="B73" s="5" t="s">
        <v>60</v>
      </c>
      <c r="C73" s="6" t="s">
        <v>275</v>
      </c>
      <c r="D73" s="7" t="s">
        <v>2299</v>
      </c>
      <c r="E73" s="8" t="s">
        <v>57</v>
      </c>
      <c r="F73" s="9" t="s">
        <v>17</v>
      </c>
      <c r="G73" s="10">
        <v>1</v>
      </c>
      <c r="H73" s="11">
        <v>46163</v>
      </c>
      <c r="I73" s="12" t="s">
        <v>2664</v>
      </c>
      <c r="J73" s="13" t="s">
        <v>30</v>
      </c>
      <c r="K73" s="14" t="str">
        <f t="shared" si="2"/>
        <v>Open</v>
      </c>
    </row>
    <row r="74" spans="1:11" ht="13.2">
      <c r="A74" s="4" t="s">
        <v>563</v>
      </c>
      <c r="B74" s="5" t="s">
        <v>60</v>
      </c>
      <c r="C74" s="6" t="s">
        <v>275</v>
      </c>
      <c r="D74" s="7" t="s">
        <v>2301</v>
      </c>
      <c r="E74" s="8" t="s">
        <v>57</v>
      </c>
      <c r="F74" s="9" t="s">
        <v>17</v>
      </c>
      <c r="G74" s="10">
        <v>1</v>
      </c>
      <c r="H74" s="11">
        <v>46163</v>
      </c>
      <c r="I74" s="12" t="s">
        <v>2665</v>
      </c>
      <c r="J74" s="13" t="s">
        <v>30</v>
      </c>
      <c r="K74" s="14" t="str">
        <f>HYPERLINK("http://mpro.prangroup.com:4000/CreativeWorks/Edit/34327","Open")</f>
        <v>Open</v>
      </c>
    </row>
    <row r="75" spans="1:11" ht="13.2">
      <c r="A75" s="4" t="s">
        <v>897</v>
      </c>
      <c r="B75" s="5" t="s">
        <v>32</v>
      </c>
      <c r="C75" s="6" t="s">
        <v>1685</v>
      </c>
      <c r="D75" s="7" t="s">
        <v>2666</v>
      </c>
      <c r="E75" s="8" t="s">
        <v>1355</v>
      </c>
      <c r="F75" s="9" t="s">
        <v>17</v>
      </c>
      <c r="G75" s="10">
        <v>7</v>
      </c>
      <c r="H75" s="11">
        <v>46163</v>
      </c>
      <c r="I75" s="12" t="s">
        <v>2667</v>
      </c>
      <c r="J75" s="13" t="s">
        <v>30</v>
      </c>
      <c r="K75" s="14" t="str">
        <f>HYPERLINK("http://mpro.prangroup.com:4000/CreativeWorks/Edit/34333","Open")</f>
        <v>Open</v>
      </c>
    </row>
    <row r="76" spans="1:11" ht="13.2">
      <c r="A76" s="4" t="s">
        <v>1379</v>
      </c>
      <c r="B76" s="5" t="s">
        <v>60</v>
      </c>
      <c r="C76" s="6" t="s">
        <v>186</v>
      </c>
      <c r="D76" s="7" t="s">
        <v>1694</v>
      </c>
      <c r="E76" s="8" t="s">
        <v>57</v>
      </c>
      <c r="F76" s="9" t="s">
        <v>17</v>
      </c>
      <c r="G76" s="10">
        <v>2</v>
      </c>
      <c r="H76" s="11">
        <v>46163</v>
      </c>
      <c r="I76" s="12" t="s">
        <v>2668</v>
      </c>
      <c r="J76" s="13" t="s">
        <v>30</v>
      </c>
      <c r="K76" s="14" t="str">
        <f>HYPERLINK("http://mpro.prangroup.com:4000/CreativeWorks/Edit/34330","Open")</f>
        <v>Open</v>
      </c>
    </row>
    <row r="77" spans="1:11" ht="13.2">
      <c r="A77" s="4" t="s">
        <v>569</v>
      </c>
      <c r="B77" s="5" t="s">
        <v>41</v>
      </c>
      <c r="C77" s="6" t="s">
        <v>228</v>
      </c>
      <c r="D77" s="7" t="s">
        <v>570</v>
      </c>
      <c r="E77" s="8" t="s">
        <v>63</v>
      </c>
      <c r="F77" s="9" t="s">
        <v>17</v>
      </c>
      <c r="G77" s="10">
        <v>1</v>
      </c>
      <c r="H77" s="11">
        <v>46164</v>
      </c>
      <c r="I77" s="12" t="s">
        <v>2669</v>
      </c>
      <c r="J77" s="13" t="s">
        <v>30</v>
      </c>
      <c r="K77" s="14" t="str">
        <f t="shared" ref="K77:K78" si="3">HYPERLINK("http://mpro.prangroup.com:4000/CreativeWorks/Edit/34487","Open")</f>
        <v>Open</v>
      </c>
    </row>
    <row r="78" spans="1:11" ht="13.2">
      <c r="A78" s="4" t="s">
        <v>569</v>
      </c>
      <c r="B78" s="5" t="s">
        <v>41</v>
      </c>
      <c r="C78" s="6" t="s">
        <v>228</v>
      </c>
      <c r="D78" s="7" t="s">
        <v>570</v>
      </c>
      <c r="E78" s="8" t="s">
        <v>302</v>
      </c>
      <c r="F78" s="9" t="s">
        <v>17</v>
      </c>
      <c r="G78" s="10">
        <v>1</v>
      </c>
      <c r="H78" s="11">
        <v>46164</v>
      </c>
      <c r="I78" s="12" t="s">
        <v>2669</v>
      </c>
      <c r="J78" s="13" t="s">
        <v>30</v>
      </c>
      <c r="K78" s="14" t="str">
        <f t="shared" si="3"/>
        <v>Open</v>
      </c>
    </row>
    <row r="79" spans="1:11" ht="13.2">
      <c r="A79" s="4" t="s">
        <v>356</v>
      </c>
      <c r="B79" s="5" t="s">
        <v>144</v>
      </c>
      <c r="C79" s="6" t="s">
        <v>1075</v>
      </c>
      <c r="D79" s="7" t="s">
        <v>2670</v>
      </c>
      <c r="E79" s="8" t="s">
        <v>141</v>
      </c>
      <c r="F79" s="9" t="s">
        <v>17</v>
      </c>
      <c r="G79" s="10">
        <v>1</v>
      </c>
      <c r="H79" s="11">
        <v>46164</v>
      </c>
      <c r="I79" s="12" t="s">
        <v>2671</v>
      </c>
      <c r="J79" s="13" t="s">
        <v>30</v>
      </c>
      <c r="K79" s="14" t="str">
        <f>HYPERLINK("http://mpro.prangroup.com:4000/CreativeWorks/Edit/34506","Open")</f>
        <v>Open</v>
      </c>
    </row>
    <row r="80" spans="1:11" ht="13.2">
      <c r="A80" s="4" t="s">
        <v>2672</v>
      </c>
      <c r="B80" s="5" t="s">
        <v>13</v>
      </c>
      <c r="C80" s="6" t="s">
        <v>382</v>
      </c>
      <c r="D80" s="7" t="s">
        <v>2673</v>
      </c>
      <c r="E80" s="8" t="s">
        <v>57</v>
      </c>
      <c r="F80" s="9" t="s">
        <v>17</v>
      </c>
      <c r="G80" s="10">
        <v>1</v>
      </c>
      <c r="H80" s="11">
        <v>46166</v>
      </c>
      <c r="I80" s="12" t="s">
        <v>2674</v>
      </c>
      <c r="J80" s="13" t="s">
        <v>30</v>
      </c>
      <c r="K80" s="14" t="str">
        <f>HYPERLINK("http://mpro.prangroup.com:4000/CreativeWorks/Edit/34930","Open")</f>
        <v>Open</v>
      </c>
    </row>
    <row r="81" spans="1:11" ht="13.2">
      <c r="A81" s="4" t="s">
        <v>1169</v>
      </c>
      <c r="B81" s="5" t="s">
        <v>153</v>
      </c>
      <c r="C81" s="6" t="s">
        <v>154</v>
      </c>
      <c r="D81" s="7" t="s">
        <v>1170</v>
      </c>
      <c r="E81" s="8" t="s">
        <v>57</v>
      </c>
      <c r="F81" s="9" t="s">
        <v>17</v>
      </c>
      <c r="G81" s="10">
        <v>1</v>
      </c>
      <c r="H81" s="11">
        <v>46166</v>
      </c>
      <c r="I81" s="12" t="s">
        <v>2675</v>
      </c>
      <c r="J81" s="13" t="s">
        <v>30</v>
      </c>
      <c r="K81" s="14" t="str">
        <f>HYPERLINK("http://mpro.prangroup.com:4000/CreativeWorks/Edit/35008","Open")</f>
        <v>Open</v>
      </c>
    </row>
    <row r="82" spans="1:11" ht="13.2">
      <c r="A82" s="4" t="s">
        <v>1396</v>
      </c>
      <c r="B82" s="5" t="s">
        <v>916</v>
      </c>
      <c r="C82" s="6" t="s">
        <v>746</v>
      </c>
      <c r="D82" s="7" t="s">
        <v>2676</v>
      </c>
      <c r="E82" s="8" t="s">
        <v>63</v>
      </c>
      <c r="F82" s="9" t="s">
        <v>17</v>
      </c>
      <c r="G82" s="10">
        <v>3</v>
      </c>
      <c r="H82" s="11">
        <v>46167</v>
      </c>
      <c r="I82" s="12" t="s">
        <v>2677</v>
      </c>
      <c r="J82" s="13" t="s">
        <v>30</v>
      </c>
      <c r="K82" s="14" t="str">
        <f>HYPERLINK("http://mpro.prangroup.com:4000/CreativeWorks/Edit/35091","Open")</f>
        <v>Open</v>
      </c>
    </row>
    <row r="83" spans="1:11" ht="13.2">
      <c r="A83" s="4" t="s">
        <v>201</v>
      </c>
      <c r="B83" s="5" t="s">
        <v>202</v>
      </c>
      <c r="C83" s="6" t="s">
        <v>203</v>
      </c>
      <c r="D83" s="7" t="s">
        <v>2678</v>
      </c>
      <c r="E83" s="8" t="s">
        <v>16</v>
      </c>
      <c r="F83" s="9" t="s">
        <v>17</v>
      </c>
      <c r="G83" s="10">
        <v>1</v>
      </c>
      <c r="H83" s="11">
        <v>46167</v>
      </c>
      <c r="I83" s="12" t="s">
        <v>2679</v>
      </c>
      <c r="J83" s="13" t="s">
        <v>30</v>
      </c>
      <c r="K83" s="14" t="str">
        <f>HYPERLINK("http://mpro.prangroup.com:4000/CreativeWorks/Edit/35087","Open")</f>
        <v>Open</v>
      </c>
    </row>
    <row r="84" spans="1:11" ht="13.2">
      <c r="A84" s="4" t="s">
        <v>745</v>
      </c>
      <c r="B84" s="5" t="s">
        <v>41</v>
      </c>
      <c r="C84" s="6" t="s">
        <v>1421</v>
      </c>
      <c r="D84" s="7" t="s">
        <v>1790</v>
      </c>
      <c r="E84" s="8" t="s">
        <v>748</v>
      </c>
      <c r="F84" s="9" t="s">
        <v>17</v>
      </c>
      <c r="G84" s="10">
        <v>3</v>
      </c>
      <c r="H84" s="11">
        <v>46167</v>
      </c>
      <c r="I84" s="12" t="s">
        <v>2680</v>
      </c>
      <c r="J84" s="13" t="s">
        <v>30</v>
      </c>
      <c r="K84" s="14" t="str">
        <f>HYPERLINK("http://mpro.prangroup.com:4000/CreativeWorks/Edit/35107","Open")</f>
        <v>Open</v>
      </c>
    </row>
    <row r="85" spans="1:11" ht="13.2">
      <c r="A85" s="4" t="s">
        <v>1169</v>
      </c>
      <c r="B85" s="5" t="s">
        <v>153</v>
      </c>
      <c r="C85" s="6" t="s">
        <v>154</v>
      </c>
      <c r="D85" s="7" t="s">
        <v>1214</v>
      </c>
      <c r="E85" s="8" t="s">
        <v>141</v>
      </c>
      <c r="F85" s="9" t="s">
        <v>17</v>
      </c>
      <c r="G85" s="10">
        <v>7</v>
      </c>
      <c r="H85" s="11">
        <v>46167</v>
      </c>
      <c r="I85" s="12" t="s">
        <v>2681</v>
      </c>
      <c r="J85" s="13" t="s">
        <v>30</v>
      </c>
      <c r="K85" s="14" t="str">
        <f t="shared" ref="K85:K86" si="4">HYPERLINK("http://mpro.prangroup.com:4000/CreativeWorks/Edit/35009","Open")</f>
        <v>Open</v>
      </c>
    </row>
    <row r="86" spans="1:11" ht="13.2">
      <c r="A86" s="4" t="s">
        <v>1169</v>
      </c>
      <c r="B86" s="5" t="s">
        <v>153</v>
      </c>
      <c r="C86" s="6" t="s">
        <v>154</v>
      </c>
      <c r="D86" s="7" t="s">
        <v>1214</v>
      </c>
      <c r="E86" s="8" t="s">
        <v>57</v>
      </c>
      <c r="F86" s="9" t="s">
        <v>17</v>
      </c>
      <c r="G86" s="10">
        <v>1</v>
      </c>
      <c r="H86" s="11">
        <v>46167</v>
      </c>
      <c r="I86" s="12" t="s">
        <v>2681</v>
      </c>
      <c r="J86" s="13" t="s">
        <v>30</v>
      </c>
      <c r="K86" s="14" t="str">
        <f t="shared" si="4"/>
        <v>Open</v>
      </c>
    </row>
    <row r="87" spans="1:11" ht="13.2">
      <c r="A87" s="4" t="s">
        <v>2682</v>
      </c>
      <c r="B87" s="5" t="s">
        <v>153</v>
      </c>
      <c r="C87" s="6" t="s">
        <v>527</v>
      </c>
      <c r="D87" s="7" t="s">
        <v>2683</v>
      </c>
      <c r="E87" s="8" t="s">
        <v>141</v>
      </c>
      <c r="F87" s="9" t="s">
        <v>17</v>
      </c>
      <c r="G87" s="10">
        <v>13</v>
      </c>
      <c r="H87" s="11">
        <v>46174</v>
      </c>
      <c r="I87" s="12" t="s">
        <v>2684</v>
      </c>
      <c r="J87" s="13" t="s">
        <v>30</v>
      </c>
      <c r="K87" s="14" t="str">
        <f>HYPERLINK("http://mpro.prangroup.com:4000/CreativeWorks/Edit/35278","Open")</f>
        <v>Open</v>
      </c>
    </row>
    <row r="88" spans="1:11" ht="13.2">
      <c r="A88" s="4" t="s">
        <v>1396</v>
      </c>
      <c r="B88" s="5" t="s">
        <v>916</v>
      </c>
      <c r="C88" s="6" t="s">
        <v>746</v>
      </c>
      <c r="D88" s="7" t="s">
        <v>2685</v>
      </c>
      <c r="E88" s="8" t="s">
        <v>63</v>
      </c>
      <c r="F88" s="9" t="s">
        <v>17</v>
      </c>
      <c r="G88" s="10">
        <v>1</v>
      </c>
      <c r="H88" s="11">
        <v>46175</v>
      </c>
      <c r="I88" s="12" t="s">
        <v>2686</v>
      </c>
      <c r="J88" s="13" t="s">
        <v>30</v>
      </c>
      <c r="K88" s="14" t="str">
        <f>HYPERLINK("http://mpro.prangroup.com:4000/CreativeWorks/Edit/35352","Open")</f>
        <v>Open</v>
      </c>
    </row>
    <row r="89" spans="1:11" ht="13.2">
      <c r="A89" s="4" t="s">
        <v>526</v>
      </c>
      <c r="B89" s="5" t="s">
        <v>153</v>
      </c>
      <c r="C89" s="6" t="s">
        <v>527</v>
      </c>
      <c r="D89" s="7" t="s">
        <v>2687</v>
      </c>
      <c r="E89" s="8" t="s">
        <v>16</v>
      </c>
      <c r="F89" s="9" t="s">
        <v>17</v>
      </c>
      <c r="G89" s="10">
        <v>1</v>
      </c>
      <c r="H89" s="11">
        <v>46176</v>
      </c>
      <c r="I89" s="12" t="s">
        <v>2688</v>
      </c>
      <c r="J89" s="13" t="s">
        <v>30</v>
      </c>
      <c r="K89" s="14" t="str">
        <f>HYPERLINK("http://mpro.prangroup.com:4000/CreativeWorks/Edit/35459","Open")</f>
        <v>Open</v>
      </c>
    </row>
    <row r="90" spans="1:11" ht="13.2">
      <c r="A90" s="4" t="s">
        <v>2689</v>
      </c>
      <c r="B90" s="5" t="s">
        <v>202</v>
      </c>
      <c r="C90" s="6" t="s">
        <v>203</v>
      </c>
      <c r="D90" s="7" t="s">
        <v>2678</v>
      </c>
      <c r="E90" s="8" t="s">
        <v>16</v>
      </c>
      <c r="F90" s="9" t="s">
        <v>457</v>
      </c>
      <c r="G90" s="10">
        <v>1</v>
      </c>
      <c r="H90" s="11">
        <v>46176</v>
      </c>
      <c r="I90" s="12" t="s">
        <v>2690</v>
      </c>
      <c r="J90" s="13" t="s">
        <v>30</v>
      </c>
      <c r="K90" s="14" t="str">
        <f>HYPERLINK("http://mpro.prangroup.com:4000/CreativeWorks/Edit/35440","Open")</f>
        <v>Open</v>
      </c>
    </row>
    <row r="91" spans="1:11" ht="13.2">
      <c r="A91" s="4" t="s">
        <v>2691</v>
      </c>
      <c r="B91" s="5" t="s">
        <v>158</v>
      </c>
      <c r="C91" s="6" t="s">
        <v>2692</v>
      </c>
      <c r="D91" s="7" t="s">
        <v>2693</v>
      </c>
      <c r="E91" s="8" t="s">
        <v>63</v>
      </c>
      <c r="F91" s="9" t="s">
        <v>17</v>
      </c>
      <c r="G91" s="10">
        <v>3</v>
      </c>
      <c r="H91" s="11">
        <v>46179</v>
      </c>
      <c r="I91" s="12" t="s">
        <v>2694</v>
      </c>
      <c r="J91" s="13" t="s">
        <v>30</v>
      </c>
      <c r="K91" s="14" t="str">
        <f>HYPERLINK("http://mpro.prangroup.com:4000/CreativeWorks/Edit/35689","Open")</f>
        <v>Open</v>
      </c>
    </row>
    <row r="92" spans="1:11" ht="13.2">
      <c r="A92" s="4" t="s">
        <v>1943</v>
      </c>
      <c r="B92" s="5" t="s">
        <v>60</v>
      </c>
      <c r="C92" s="6" t="s">
        <v>228</v>
      </c>
      <c r="D92" s="7" t="s">
        <v>2695</v>
      </c>
      <c r="E92" s="8" t="s">
        <v>302</v>
      </c>
      <c r="F92" s="9" t="s">
        <v>17</v>
      </c>
      <c r="G92" s="10">
        <v>9</v>
      </c>
      <c r="H92" s="11">
        <v>46177</v>
      </c>
      <c r="I92" s="21"/>
      <c r="J92" s="13" t="s">
        <v>590</v>
      </c>
      <c r="K92" s="19"/>
    </row>
    <row r="93" spans="1:11" ht="13.2">
      <c r="A93" s="49" t="s">
        <v>2691</v>
      </c>
      <c r="B93" s="50" t="s">
        <v>158</v>
      </c>
      <c r="C93" s="51" t="s">
        <v>2692</v>
      </c>
      <c r="D93" s="52" t="s">
        <v>2693</v>
      </c>
      <c r="E93" s="53" t="s">
        <v>57</v>
      </c>
      <c r="F93" s="54" t="s">
        <v>17</v>
      </c>
      <c r="G93" s="55">
        <v>1</v>
      </c>
      <c r="H93" s="56">
        <v>46179</v>
      </c>
      <c r="I93" s="57" t="s">
        <v>2696</v>
      </c>
      <c r="J93" s="58" t="s">
        <v>30</v>
      </c>
      <c r="K93" s="59" t="str">
        <f>HYPERLINK("http://mpro.prangroup.com:4000/CreativeWorks/Edit/35733","Open")</f>
        <v>Open</v>
      </c>
    </row>
    <row r="94" spans="1:11" ht="13.2">
      <c r="A94" s="60" t="s">
        <v>2697</v>
      </c>
      <c r="B94" s="61" t="s">
        <v>13</v>
      </c>
      <c r="C94" s="62" t="s">
        <v>2698</v>
      </c>
      <c r="D94" s="63" t="s">
        <v>2699</v>
      </c>
      <c r="E94" s="64" t="s">
        <v>57</v>
      </c>
      <c r="F94" s="65" t="s">
        <v>17</v>
      </c>
      <c r="G94" s="66">
        <v>1</v>
      </c>
      <c r="H94" s="67">
        <v>46179</v>
      </c>
      <c r="I94" s="68" t="s">
        <v>2700</v>
      </c>
      <c r="J94" s="69" t="s">
        <v>30</v>
      </c>
      <c r="K94" s="70" t="str">
        <f>HYPERLINK("http://mpro.prangroup.com:4000/CreativeWorks/Edit/35727","Open")</f>
        <v>Open</v>
      </c>
    </row>
    <row r="95" spans="1:11" ht="13.2">
      <c r="A95" s="71" t="s">
        <v>2701</v>
      </c>
      <c r="B95" s="72" t="s">
        <v>153</v>
      </c>
      <c r="C95" s="73" t="s">
        <v>154</v>
      </c>
      <c r="D95" s="74" t="s">
        <v>1214</v>
      </c>
      <c r="E95" s="75" t="s">
        <v>141</v>
      </c>
      <c r="F95" s="76" t="s">
        <v>17</v>
      </c>
      <c r="G95" s="77">
        <v>1</v>
      </c>
      <c r="H95" s="67">
        <v>46180</v>
      </c>
      <c r="I95" s="78" t="s">
        <v>2702</v>
      </c>
      <c r="J95" s="79" t="s">
        <v>30</v>
      </c>
      <c r="K95" s="80" t="str">
        <f>HYPERLINK("http://mpro.prangroup.com:4000/CreativeWorks/Edit/35815","Open")</f>
        <v>Open</v>
      </c>
    </row>
    <row r="96" spans="1:11" ht="13.2">
      <c r="A96" s="3" t="s">
        <v>2703</v>
      </c>
      <c r="B96" s="5" t="s">
        <v>32</v>
      </c>
      <c r="C96" s="6" t="s">
        <v>33</v>
      </c>
      <c r="D96" s="3" t="s">
        <v>2704</v>
      </c>
      <c r="E96" s="8" t="s">
        <v>57</v>
      </c>
      <c r="F96" s="9" t="s">
        <v>17</v>
      </c>
      <c r="G96" s="77">
        <v>1</v>
      </c>
      <c r="H96" s="67">
        <v>46180</v>
      </c>
      <c r="I96" s="3" t="s">
        <v>2705</v>
      </c>
      <c r="J96" s="13" t="s">
        <v>30</v>
      </c>
      <c r="K96" s="81" t="str">
        <f>HYPERLINK("http://mpro.prangroup.com:4000/CreativeWorks/Edit/35824","Open")</f>
        <v>Open</v>
      </c>
    </row>
    <row r="97" spans="1:11" ht="13.2">
      <c r="A97" s="4" t="s">
        <v>2706</v>
      </c>
      <c r="B97" s="5" t="s">
        <v>202</v>
      </c>
      <c r="C97" s="6" t="s">
        <v>501</v>
      </c>
      <c r="D97" s="7" t="s">
        <v>2707</v>
      </c>
      <c r="E97" s="8" t="s">
        <v>57</v>
      </c>
      <c r="F97" s="9" t="s">
        <v>17</v>
      </c>
      <c r="G97" s="10">
        <v>1</v>
      </c>
      <c r="H97" s="67">
        <v>46183</v>
      </c>
      <c r="I97" s="12" t="s">
        <v>2708</v>
      </c>
      <c r="J97" s="13" t="s">
        <v>30</v>
      </c>
      <c r="K97" s="14" t="str">
        <f>HYPERLINK("http://mpro.prangroup.com:4000/CreativeWorks/Edit/36211","Open")</f>
        <v>Open</v>
      </c>
    </row>
    <row r="98" spans="1:11" ht="13.2">
      <c r="A98" s="4" t="s">
        <v>2709</v>
      </c>
      <c r="B98" s="5" t="s">
        <v>158</v>
      </c>
      <c r="C98" s="6" t="s">
        <v>592</v>
      </c>
      <c r="D98" s="7" t="s">
        <v>2710</v>
      </c>
      <c r="E98" s="8" t="s">
        <v>141</v>
      </c>
      <c r="F98" s="9" t="s">
        <v>17</v>
      </c>
      <c r="G98" s="10">
        <v>3</v>
      </c>
      <c r="H98" s="67">
        <v>46183</v>
      </c>
      <c r="I98" s="12" t="s">
        <v>2711</v>
      </c>
      <c r="J98" s="13" t="s">
        <v>30</v>
      </c>
      <c r="K98" s="14" t="str">
        <f>HYPERLINK("http://mpro.prangroup.com:4000/CreativeWorks/Edit/36210","Open")</f>
        <v>Open</v>
      </c>
    </row>
    <row r="99" spans="1:11" ht="13.2">
      <c r="A99" s="4" t="s">
        <v>2712</v>
      </c>
      <c r="B99" s="5" t="s">
        <v>123</v>
      </c>
      <c r="C99" s="6" t="s">
        <v>874</v>
      </c>
      <c r="D99" s="7" t="s">
        <v>2713</v>
      </c>
      <c r="E99" s="8" t="s">
        <v>57</v>
      </c>
      <c r="F99" s="9" t="s">
        <v>17</v>
      </c>
      <c r="G99" s="10">
        <v>1</v>
      </c>
      <c r="H99" s="67">
        <v>46184</v>
      </c>
      <c r="I99" s="12" t="s">
        <v>2714</v>
      </c>
      <c r="J99" s="13" t="s">
        <v>30</v>
      </c>
      <c r="K99" s="14" t="str">
        <f>HYPERLINK("http://mpro.prangroup.com:4000/CreativeWorks/Edit/36314","Open")</f>
        <v>Open</v>
      </c>
    </row>
    <row r="100" spans="1:11" ht="13.2">
      <c r="A100" s="22"/>
      <c r="B100" s="5" t="s">
        <v>916</v>
      </c>
      <c r="C100" s="6" t="s">
        <v>746</v>
      </c>
      <c r="D100" s="7" t="s">
        <v>2715</v>
      </c>
      <c r="E100" s="8" t="s">
        <v>1355</v>
      </c>
      <c r="F100" s="9" t="s">
        <v>17</v>
      </c>
      <c r="G100" s="10">
        <v>1</v>
      </c>
      <c r="H100" s="20"/>
      <c r="I100" s="21"/>
      <c r="J100" s="13" t="s">
        <v>1948</v>
      </c>
      <c r="K100" s="19"/>
    </row>
    <row r="101" spans="1:11" ht="13.2">
      <c r="A101" s="4" t="s">
        <v>2716</v>
      </c>
      <c r="B101" s="5" t="s">
        <v>202</v>
      </c>
      <c r="C101" s="6" t="s">
        <v>501</v>
      </c>
      <c r="D101" s="7" t="s">
        <v>2370</v>
      </c>
      <c r="E101" s="8" t="s">
        <v>16</v>
      </c>
      <c r="F101" s="9" t="s">
        <v>17</v>
      </c>
      <c r="G101" s="10">
        <v>1</v>
      </c>
      <c r="H101" s="67">
        <v>46184</v>
      </c>
      <c r="I101" s="12" t="s">
        <v>2717</v>
      </c>
      <c r="J101" s="13" t="s">
        <v>30</v>
      </c>
      <c r="K101" s="14" t="str">
        <f>HYPERLINK("http://mpro.prangroup.com:4000/CreativeWorks/Edit/36358","Open")</f>
        <v>Open</v>
      </c>
    </row>
    <row r="102" spans="1:11" ht="13.2">
      <c r="A102" s="4" t="s">
        <v>2718</v>
      </c>
      <c r="B102" s="5" t="s">
        <v>60</v>
      </c>
      <c r="C102" s="6" t="s">
        <v>78</v>
      </c>
      <c r="D102" s="7" t="s">
        <v>2719</v>
      </c>
      <c r="E102" s="8" t="s">
        <v>63</v>
      </c>
      <c r="F102" s="9" t="s">
        <v>17</v>
      </c>
      <c r="G102" s="10">
        <v>1</v>
      </c>
      <c r="H102" s="67">
        <v>46188</v>
      </c>
      <c r="I102" s="12" t="s">
        <v>2720</v>
      </c>
      <c r="J102" s="13" t="s">
        <v>30</v>
      </c>
      <c r="K102" s="14" t="str">
        <f>HYPERLINK("http://mpro.prangroup.com:4000/CreativeWorks/Edit/36613","Open")</f>
        <v>Open</v>
      </c>
    </row>
    <row r="103" spans="1:11" ht="13.2">
      <c r="A103" s="4" t="s">
        <v>1275</v>
      </c>
      <c r="B103" s="5" t="s">
        <v>32</v>
      </c>
      <c r="C103" s="6" t="s">
        <v>91</v>
      </c>
      <c r="D103" s="7" t="s">
        <v>1276</v>
      </c>
      <c r="E103" s="8" t="s">
        <v>302</v>
      </c>
      <c r="F103" s="9" t="s">
        <v>17</v>
      </c>
      <c r="G103" s="10">
        <v>1</v>
      </c>
      <c r="H103" s="67">
        <v>46191</v>
      </c>
      <c r="I103" s="12" t="s">
        <v>2721</v>
      </c>
      <c r="J103" s="13" t="s">
        <v>30</v>
      </c>
      <c r="K103" s="14" t="str">
        <f>HYPERLINK("http://mpro.prangroup.com:4000/CreativeWorks/Edit/37041","Open")</f>
        <v>Open</v>
      </c>
    </row>
    <row r="104" spans="1:11" ht="13.2">
      <c r="A104" s="4" t="s">
        <v>2722</v>
      </c>
      <c r="B104" s="5" t="s">
        <v>32</v>
      </c>
      <c r="C104" s="6" t="s">
        <v>91</v>
      </c>
      <c r="D104" s="7" t="s">
        <v>2723</v>
      </c>
      <c r="E104" s="8" t="s">
        <v>302</v>
      </c>
      <c r="F104" s="9" t="s">
        <v>17</v>
      </c>
      <c r="G104" s="10">
        <v>1</v>
      </c>
      <c r="H104" s="67">
        <v>46187</v>
      </c>
      <c r="I104" s="21"/>
      <c r="J104" s="13" t="s">
        <v>590</v>
      </c>
      <c r="K104" s="19"/>
    </row>
    <row r="105" spans="1:11" ht="13.2">
      <c r="A105" s="4" t="s">
        <v>2724</v>
      </c>
      <c r="B105" s="5" t="s">
        <v>478</v>
      </c>
      <c r="C105" s="6" t="s">
        <v>479</v>
      </c>
      <c r="D105" s="7" t="s">
        <v>2725</v>
      </c>
      <c r="E105" s="8" t="s">
        <v>1077</v>
      </c>
      <c r="F105" s="9" t="s">
        <v>17</v>
      </c>
      <c r="G105" s="10">
        <v>1</v>
      </c>
      <c r="H105" s="67">
        <v>46187</v>
      </c>
      <c r="I105" s="12" t="s">
        <v>2726</v>
      </c>
      <c r="J105" s="13" t="s">
        <v>30</v>
      </c>
      <c r="K105" s="14" t="str">
        <f>HYPERLINK("http://mpro.prangroup.com:4000/CreativeWorks/Edit/36524","Open")</f>
        <v>Open</v>
      </c>
    </row>
    <row r="106" spans="1:11" ht="13.2">
      <c r="A106" s="4" t="s">
        <v>2727</v>
      </c>
      <c r="B106" s="5" t="s">
        <v>32</v>
      </c>
      <c r="C106" s="6" t="s">
        <v>129</v>
      </c>
      <c r="D106" s="7" t="s">
        <v>2728</v>
      </c>
      <c r="E106" s="8" t="s">
        <v>57</v>
      </c>
      <c r="F106" s="9" t="s">
        <v>17</v>
      </c>
      <c r="G106" s="10">
        <v>1</v>
      </c>
      <c r="H106" s="67">
        <v>46187</v>
      </c>
      <c r="I106" s="12" t="s">
        <v>2729</v>
      </c>
      <c r="J106" s="13" t="s">
        <v>30</v>
      </c>
      <c r="K106" s="14" t="str">
        <f>HYPERLINK("http://mpro.prangroup.com:4000/CreativeWorks/Edit/36543","Open")</f>
        <v>Open</v>
      </c>
    </row>
    <row r="107" spans="1:11" ht="15" customHeight="1">
      <c r="A107" s="4" t="s">
        <v>2730</v>
      </c>
      <c r="B107" s="5" t="s">
        <v>916</v>
      </c>
      <c r="C107" s="6" t="s">
        <v>746</v>
      </c>
      <c r="D107" s="7" t="s">
        <v>2731</v>
      </c>
      <c r="E107" s="8" t="s">
        <v>63</v>
      </c>
      <c r="F107" s="9" t="s">
        <v>17</v>
      </c>
      <c r="G107" s="10">
        <v>3</v>
      </c>
      <c r="H107" s="67">
        <v>46188</v>
      </c>
      <c r="I107" s="12" t="s">
        <v>2732</v>
      </c>
      <c r="J107" s="13" t="s">
        <v>30</v>
      </c>
      <c r="K107" s="14" t="str">
        <f>HYPERLINK("http://mpro.prangroup.com:4000/CreativeWorks/Edit/36615","Open")</f>
        <v>Open</v>
      </c>
    </row>
    <row r="108" spans="1:11" ht="13.2">
      <c r="A108" s="4" t="s">
        <v>2733</v>
      </c>
      <c r="B108" s="5" t="s">
        <v>197</v>
      </c>
      <c r="C108" s="6" t="s">
        <v>198</v>
      </c>
      <c r="D108" s="7" t="s">
        <v>2734</v>
      </c>
      <c r="E108" s="8" t="s">
        <v>57</v>
      </c>
      <c r="F108" s="9" t="s">
        <v>17</v>
      </c>
      <c r="G108" s="10">
        <v>1</v>
      </c>
      <c r="H108" s="67">
        <v>46188</v>
      </c>
      <c r="I108" s="12" t="s">
        <v>2735</v>
      </c>
      <c r="J108" s="13" t="s">
        <v>30</v>
      </c>
      <c r="K108" s="14" t="str">
        <f>HYPERLINK("http://mpro.prangroup.com:4000/CreativeWorks/Edit/36662","Open")</f>
        <v>Open</v>
      </c>
    </row>
    <row r="109" spans="1:11" ht="13.2">
      <c r="A109" s="4" t="s">
        <v>2736</v>
      </c>
      <c r="B109" s="5" t="s">
        <v>916</v>
      </c>
      <c r="C109" s="6" t="s">
        <v>746</v>
      </c>
      <c r="D109" s="7" t="s">
        <v>2737</v>
      </c>
      <c r="E109" s="8" t="s">
        <v>63</v>
      </c>
      <c r="F109" s="9" t="s">
        <v>17</v>
      </c>
      <c r="G109" s="10">
        <v>1</v>
      </c>
      <c r="H109" s="67">
        <v>46189</v>
      </c>
      <c r="I109" s="12" t="s">
        <v>2738</v>
      </c>
      <c r="J109" s="13" t="s">
        <v>30</v>
      </c>
      <c r="K109" s="14" t="str">
        <f>HYPERLINK("http://mpro.prangroup.com:4000/CreativeWorks/Edit/36737","Open")</f>
        <v>Open</v>
      </c>
    </row>
    <row r="110" spans="1:11" ht="13.2">
      <c r="A110" s="4" t="s">
        <v>2739</v>
      </c>
      <c r="B110" s="5" t="s">
        <v>282</v>
      </c>
      <c r="C110" s="6" t="s">
        <v>1685</v>
      </c>
      <c r="D110" s="7" t="s">
        <v>2740</v>
      </c>
      <c r="E110" s="8" t="s">
        <v>1373</v>
      </c>
      <c r="F110" s="9" t="s">
        <v>17</v>
      </c>
      <c r="G110" s="10">
        <v>4</v>
      </c>
      <c r="H110" s="67">
        <v>46189</v>
      </c>
      <c r="I110" s="12" t="s">
        <v>2741</v>
      </c>
      <c r="J110" s="13" t="s">
        <v>30</v>
      </c>
      <c r="K110" s="14" t="str">
        <f>HYPERLINK("http://mpro.prangroup.com:4000/CreativeWorks/Edit/36740","Open")</f>
        <v>Open</v>
      </c>
    </row>
    <row r="111" spans="1:11" ht="13.2">
      <c r="A111" s="4" t="s">
        <v>2742</v>
      </c>
      <c r="B111" s="5" t="s">
        <v>916</v>
      </c>
      <c r="C111" s="6" t="s">
        <v>746</v>
      </c>
      <c r="D111" s="7" t="s">
        <v>2743</v>
      </c>
      <c r="E111" s="8" t="s">
        <v>63</v>
      </c>
      <c r="F111" s="9" t="s">
        <v>17</v>
      </c>
      <c r="G111" s="10">
        <v>1</v>
      </c>
      <c r="H111" s="67">
        <v>46189</v>
      </c>
      <c r="I111" s="12" t="s">
        <v>2744</v>
      </c>
      <c r="J111" s="13" t="s">
        <v>30</v>
      </c>
      <c r="K111" s="14" t="str">
        <f>HYPERLINK("http://mpro.prangroup.com:4000/CreativeWorks/Edit/37208","Open")</f>
        <v>Open</v>
      </c>
    </row>
    <row r="112" spans="1:11" ht="13.2">
      <c r="A112" s="4" t="s">
        <v>2742</v>
      </c>
      <c r="B112" s="5" t="s">
        <v>916</v>
      </c>
      <c r="C112" s="6" t="s">
        <v>746</v>
      </c>
      <c r="D112" s="7" t="s">
        <v>2745</v>
      </c>
      <c r="E112" s="8" t="s">
        <v>63</v>
      </c>
      <c r="F112" s="9" t="s">
        <v>17</v>
      </c>
      <c r="G112" s="10">
        <v>1</v>
      </c>
      <c r="H112" s="67">
        <v>46189</v>
      </c>
      <c r="I112" s="21"/>
      <c r="J112" s="13" t="s">
        <v>1948</v>
      </c>
      <c r="K112" s="19"/>
    </row>
    <row r="113" spans="1:11" ht="13.2">
      <c r="A113" s="4" t="s">
        <v>2746</v>
      </c>
      <c r="B113" s="5" t="s">
        <v>916</v>
      </c>
      <c r="C113" s="6" t="s">
        <v>746</v>
      </c>
      <c r="D113" s="7" t="s">
        <v>2737</v>
      </c>
      <c r="E113" s="8" t="s">
        <v>63</v>
      </c>
      <c r="F113" s="9" t="s">
        <v>17</v>
      </c>
      <c r="G113" s="10">
        <v>1</v>
      </c>
      <c r="H113" s="67">
        <v>46189</v>
      </c>
      <c r="I113" s="12" t="s">
        <v>2738</v>
      </c>
      <c r="J113" s="13" t="s">
        <v>30</v>
      </c>
      <c r="K113" s="14" t="str">
        <f>HYPERLINK("http://mpro.prangroup.com:4000/CreativeWorks/Edit/36737","Open")</f>
        <v>Open</v>
      </c>
    </row>
    <row r="114" spans="1:11" ht="13.2">
      <c r="A114" s="4" t="s">
        <v>2747</v>
      </c>
      <c r="B114" s="5" t="s">
        <v>68</v>
      </c>
      <c r="C114" s="6" t="s">
        <v>2748</v>
      </c>
      <c r="D114" s="7" t="s">
        <v>2749</v>
      </c>
      <c r="E114" s="8" t="s">
        <v>141</v>
      </c>
      <c r="F114" s="9" t="s">
        <v>17</v>
      </c>
      <c r="G114" s="10">
        <v>1</v>
      </c>
      <c r="H114" s="67">
        <v>46189</v>
      </c>
      <c r="I114" s="12" t="s">
        <v>2750</v>
      </c>
      <c r="J114" s="13" t="s">
        <v>30</v>
      </c>
      <c r="K114" s="14" t="str">
        <f>HYPERLINK("http://mpro.prangroup.com:4000/CreativeWorks/Edit/36796","Open")</f>
        <v>Open</v>
      </c>
    </row>
    <row r="115" spans="1:11" ht="13.2">
      <c r="A115" s="4" t="s">
        <v>2751</v>
      </c>
      <c r="B115" s="5" t="s">
        <v>68</v>
      </c>
      <c r="C115" s="6" t="s">
        <v>2748</v>
      </c>
      <c r="D115" s="7" t="s">
        <v>2752</v>
      </c>
      <c r="E115" s="8" t="s">
        <v>141</v>
      </c>
      <c r="F115" s="9" t="s">
        <v>17</v>
      </c>
      <c r="G115" s="10">
        <v>1</v>
      </c>
      <c r="H115" s="67">
        <v>46189</v>
      </c>
      <c r="I115" s="12" t="s">
        <v>2753</v>
      </c>
      <c r="J115" s="13" t="s">
        <v>30</v>
      </c>
      <c r="K115" s="14" t="str">
        <f>HYPERLINK("http://mpro.prangroup.com:4000/CreativeWorks/Edit/36798","Open")</f>
        <v>Open</v>
      </c>
    </row>
    <row r="116" spans="1:11" ht="13.2">
      <c r="A116" s="4" t="s">
        <v>2754</v>
      </c>
      <c r="B116" s="5" t="s">
        <v>916</v>
      </c>
      <c r="C116" s="6" t="s">
        <v>746</v>
      </c>
      <c r="D116" s="7" t="s">
        <v>2755</v>
      </c>
      <c r="E116" s="8" t="s">
        <v>63</v>
      </c>
      <c r="F116" s="9" t="s">
        <v>17</v>
      </c>
      <c r="G116" s="10">
        <v>1</v>
      </c>
      <c r="H116" s="67">
        <v>46192</v>
      </c>
      <c r="I116" s="12" t="s">
        <v>2756</v>
      </c>
      <c r="J116" s="13" t="s">
        <v>30</v>
      </c>
      <c r="K116" s="14" t="str">
        <f>HYPERLINK("http://mpro.prangroup.com:4000/CreativeWorks/Edit/37206","Open")</f>
        <v>Open</v>
      </c>
    </row>
    <row r="117" spans="1:11" ht="13.2">
      <c r="A117" s="4" t="s">
        <v>1275</v>
      </c>
      <c r="B117" s="5" t="s">
        <v>32</v>
      </c>
      <c r="C117" s="6" t="s">
        <v>91</v>
      </c>
      <c r="D117" s="7" t="s">
        <v>1276</v>
      </c>
      <c r="E117" s="8" t="s">
        <v>302</v>
      </c>
      <c r="F117" s="9" t="s">
        <v>17</v>
      </c>
      <c r="G117" s="10">
        <v>1</v>
      </c>
      <c r="H117" s="67">
        <v>46191</v>
      </c>
      <c r="I117" s="12" t="s">
        <v>2721</v>
      </c>
      <c r="J117" s="13" t="s">
        <v>30</v>
      </c>
      <c r="K117" s="14" t="str">
        <f>HYPERLINK("http://mpro.prangroup.com:4000/CreativeWorks/Edit/37041","Open")</f>
        <v>Open</v>
      </c>
    </row>
    <row r="118" spans="1:11" ht="13.2">
      <c r="A118" s="4" t="s">
        <v>2757</v>
      </c>
      <c r="B118" s="5" t="s">
        <v>153</v>
      </c>
      <c r="C118" s="6" t="s">
        <v>154</v>
      </c>
      <c r="D118" s="7" t="s">
        <v>1265</v>
      </c>
      <c r="E118" s="8" t="s">
        <v>242</v>
      </c>
      <c r="F118" s="9" t="s">
        <v>17</v>
      </c>
      <c r="G118" s="10">
        <v>1</v>
      </c>
      <c r="H118" s="67">
        <v>46191</v>
      </c>
      <c r="I118" s="12" t="s">
        <v>2758</v>
      </c>
      <c r="J118" s="13" t="s">
        <v>30</v>
      </c>
      <c r="K118" s="14" t="str">
        <f>HYPERLINK("http://mpro.prangroup.com:4000/CreativeWorks/Edit/37083","Open")</f>
        <v>Open</v>
      </c>
    </row>
    <row r="119" spans="1:11" ht="13.2">
      <c r="A119" s="4" t="s">
        <v>2759</v>
      </c>
      <c r="B119" s="5" t="s">
        <v>202</v>
      </c>
      <c r="C119" s="6" t="s">
        <v>501</v>
      </c>
      <c r="D119" s="7" t="s">
        <v>2760</v>
      </c>
      <c r="E119" s="8" t="s">
        <v>57</v>
      </c>
      <c r="F119" s="9" t="s">
        <v>17</v>
      </c>
      <c r="G119" s="10">
        <v>1</v>
      </c>
      <c r="H119" s="67">
        <v>46191</v>
      </c>
      <c r="I119" s="12" t="s">
        <v>2761</v>
      </c>
      <c r="J119" s="13" t="s">
        <v>30</v>
      </c>
      <c r="K119" s="14" t="str">
        <f>HYPERLINK("http://mpro.prangroup.com:4000/CreativeWorks/Edit/37081","Open")</f>
        <v>Open</v>
      </c>
    </row>
    <row r="120" spans="1:11" ht="13.2">
      <c r="A120" s="4" t="s">
        <v>2762</v>
      </c>
      <c r="B120" s="5" t="s">
        <v>123</v>
      </c>
      <c r="C120" s="6" t="s">
        <v>1685</v>
      </c>
      <c r="D120" s="7" t="s">
        <v>2763</v>
      </c>
      <c r="E120" s="8" t="s">
        <v>1355</v>
      </c>
      <c r="F120" s="9" t="s">
        <v>17</v>
      </c>
      <c r="G120" s="10">
        <v>3</v>
      </c>
      <c r="H120" s="67">
        <v>46192</v>
      </c>
      <c r="I120" s="12" t="s">
        <v>2764</v>
      </c>
      <c r="J120" s="13" t="s">
        <v>30</v>
      </c>
      <c r="K120" s="14" t="str">
        <f>HYPERLINK("http://mpro.prangroup.com:4000/CreativeWorks/Edit/37203","Open")</f>
        <v>Open</v>
      </c>
    </row>
    <row r="121" spans="1:11" ht="13.2">
      <c r="A121" s="4" t="s">
        <v>2765</v>
      </c>
      <c r="B121" s="5" t="s">
        <v>54</v>
      </c>
      <c r="C121" s="6" t="s">
        <v>166</v>
      </c>
      <c r="D121" s="7" t="s">
        <v>2766</v>
      </c>
      <c r="E121" s="8" t="s">
        <v>1373</v>
      </c>
      <c r="F121" s="9" t="s">
        <v>17</v>
      </c>
      <c r="G121" s="10">
        <v>5</v>
      </c>
      <c r="H121" s="67">
        <v>46192</v>
      </c>
      <c r="I121" s="12" t="s">
        <v>2767</v>
      </c>
      <c r="J121" s="13" t="s">
        <v>30</v>
      </c>
      <c r="K121" s="14" t="str">
        <f>HYPERLINK("http://mpro.prangroup.com:4000/CreativeWorks/Edit/37204","Open")</f>
        <v>Open</v>
      </c>
    </row>
    <row r="122" spans="1:11" ht="13.2">
      <c r="A122" s="4" t="s">
        <v>2768</v>
      </c>
      <c r="B122" s="5" t="s">
        <v>916</v>
      </c>
      <c r="C122" s="6" t="s">
        <v>746</v>
      </c>
      <c r="D122" s="7" t="s">
        <v>2769</v>
      </c>
      <c r="E122" s="8" t="s">
        <v>63</v>
      </c>
      <c r="F122" s="9" t="s">
        <v>17</v>
      </c>
      <c r="G122" s="10">
        <v>1</v>
      </c>
      <c r="H122" s="11">
        <v>46192</v>
      </c>
      <c r="I122" s="12" t="s">
        <v>2770</v>
      </c>
      <c r="J122" s="13" t="s">
        <v>30</v>
      </c>
      <c r="K122" s="14" t="str">
        <f>HYPERLINK("http://mpro.prangroup.com:4000/CreativeWorks/Edit/37205","Open")</f>
        <v>Open</v>
      </c>
    </row>
    <row r="123" spans="1:11" ht="13.2">
      <c r="A123" s="4" t="s">
        <v>2754</v>
      </c>
      <c r="B123" s="5" t="s">
        <v>916</v>
      </c>
      <c r="C123" s="6" t="s">
        <v>746</v>
      </c>
      <c r="D123" s="7" t="s">
        <v>2755</v>
      </c>
      <c r="E123" s="8" t="s">
        <v>63</v>
      </c>
      <c r="F123" s="9" t="s">
        <v>17</v>
      </c>
      <c r="G123" s="10">
        <v>1</v>
      </c>
      <c r="H123" s="11">
        <v>46192</v>
      </c>
      <c r="I123" s="12" t="s">
        <v>2756</v>
      </c>
      <c r="J123" s="13" t="s">
        <v>30</v>
      </c>
      <c r="K123" s="14" t="str">
        <f>HYPERLINK("http://mpro.prangroup.com:4000/CreativeWorks/Edit/37206","Open")</f>
        <v>Open</v>
      </c>
    </row>
    <row r="124" spans="1:11" ht="13.2">
      <c r="A124" s="4" t="s">
        <v>2771</v>
      </c>
      <c r="B124" s="5" t="s">
        <v>916</v>
      </c>
      <c r="C124" s="6" t="s">
        <v>746</v>
      </c>
      <c r="D124" s="7" t="s">
        <v>2743</v>
      </c>
      <c r="E124" s="8" t="s">
        <v>63</v>
      </c>
      <c r="F124" s="9" t="s">
        <v>17</v>
      </c>
      <c r="G124" s="10">
        <v>1</v>
      </c>
      <c r="H124" s="11">
        <v>46192</v>
      </c>
      <c r="I124" s="12" t="s">
        <v>2744</v>
      </c>
      <c r="J124" s="13" t="s">
        <v>30</v>
      </c>
      <c r="K124" s="14" t="str">
        <f>HYPERLINK("http://mpro.prangroup.com:4000/CreativeWorks/Edit/37208","Open")</f>
        <v>Open</v>
      </c>
    </row>
    <row r="125" spans="1:11" ht="13.2">
      <c r="A125" s="4" t="s">
        <v>2772</v>
      </c>
      <c r="B125" s="5" t="s">
        <v>158</v>
      </c>
      <c r="C125" s="6" t="s">
        <v>2240</v>
      </c>
      <c r="D125" s="7" t="s">
        <v>2773</v>
      </c>
      <c r="E125" s="8" t="s">
        <v>141</v>
      </c>
      <c r="F125" s="9" t="s">
        <v>17</v>
      </c>
      <c r="G125" s="10">
        <v>7</v>
      </c>
      <c r="H125" s="11">
        <v>46193</v>
      </c>
      <c r="I125" s="12" t="s">
        <v>2774</v>
      </c>
      <c r="J125" s="13" t="s">
        <v>19</v>
      </c>
      <c r="K125" s="14" t="str">
        <f>HYPERLINK("http://mpro.prangroup.com:4000/CreativeWorks/Edit/37289","Open")</f>
        <v>Open</v>
      </c>
    </row>
    <row r="126" spans="1:11" ht="13.2">
      <c r="A126" s="4" t="s">
        <v>2775</v>
      </c>
      <c r="B126" s="5" t="s">
        <v>41</v>
      </c>
      <c r="C126" s="6" t="s">
        <v>232</v>
      </c>
      <c r="D126" s="7" t="s">
        <v>2008</v>
      </c>
      <c r="E126" s="8" t="s">
        <v>242</v>
      </c>
      <c r="F126" s="9" t="s">
        <v>17</v>
      </c>
      <c r="G126" s="10">
        <v>1</v>
      </c>
      <c r="H126" s="11">
        <v>46193</v>
      </c>
      <c r="I126" s="12" t="s">
        <v>2776</v>
      </c>
      <c r="J126" s="13" t="s">
        <v>19</v>
      </c>
      <c r="K126" s="14" t="str">
        <f>HYPERLINK("http://mpro.prangroup.com:4000/CreativeWorks/Edit/37313","Open")</f>
        <v>Open</v>
      </c>
    </row>
    <row r="127" spans="1:11" ht="13.2">
      <c r="A127" s="4" t="s">
        <v>2777</v>
      </c>
      <c r="B127" s="5" t="s">
        <v>54</v>
      </c>
      <c r="C127" s="6" t="s">
        <v>166</v>
      </c>
      <c r="D127" s="7" t="s">
        <v>2778</v>
      </c>
      <c r="E127" s="8" t="s">
        <v>1355</v>
      </c>
      <c r="F127" s="9" t="s">
        <v>17</v>
      </c>
      <c r="G127" s="10">
        <v>16</v>
      </c>
      <c r="H127" s="11">
        <v>46193</v>
      </c>
      <c r="I127" s="12" t="s">
        <v>2779</v>
      </c>
      <c r="J127" s="13" t="s">
        <v>19</v>
      </c>
      <c r="K127" s="14" t="str">
        <f>HYPERLINK("http://mpro.prangroup.com:4000/CreativeWorks/Edit/37314","Open")</f>
        <v>Open</v>
      </c>
    </row>
    <row r="128" spans="1:11" ht="13.2">
      <c r="A128" s="4" t="s">
        <v>2780</v>
      </c>
      <c r="B128" s="5" t="s">
        <v>153</v>
      </c>
      <c r="C128" s="6" t="s">
        <v>154</v>
      </c>
      <c r="D128" s="7" t="s">
        <v>2781</v>
      </c>
      <c r="E128" s="8" t="s">
        <v>141</v>
      </c>
      <c r="F128" s="9" t="s">
        <v>17</v>
      </c>
      <c r="G128" s="10">
        <v>1</v>
      </c>
      <c r="H128" s="11">
        <v>46194</v>
      </c>
      <c r="I128" s="12" t="s">
        <v>2782</v>
      </c>
      <c r="J128" s="13" t="s">
        <v>30</v>
      </c>
      <c r="K128" s="14" t="str">
        <f>HYPERLINK("http://mpro.prangroup.com:4000/CreativeWorks/Edit/37428","Open")</f>
        <v>Open</v>
      </c>
    </row>
    <row r="129" spans="1:11" ht="13.2">
      <c r="A129" s="4" t="s">
        <v>2783</v>
      </c>
      <c r="B129" s="5" t="s">
        <v>13</v>
      </c>
      <c r="C129" s="6" t="s">
        <v>455</v>
      </c>
      <c r="D129" s="7" t="s">
        <v>2784</v>
      </c>
      <c r="E129" s="8" t="s">
        <v>57</v>
      </c>
      <c r="F129" s="9" t="s">
        <v>17</v>
      </c>
      <c r="G129" s="10">
        <v>1</v>
      </c>
      <c r="H129" s="11">
        <v>46194</v>
      </c>
      <c r="I129" s="12" t="s">
        <v>2785</v>
      </c>
      <c r="J129" s="13" t="s">
        <v>30</v>
      </c>
      <c r="K129" s="14" t="str">
        <f>HYPERLINK("http://mpro.prangroup.com:4000/CreativeWorks/Edit/37441","Open")</f>
        <v>Open</v>
      </c>
    </row>
    <row r="130" spans="1:11" ht="13.2">
      <c r="A130" s="4" t="s">
        <v>2786</v>
      </c>
      <c r="B130" s="5" t="s">
        <v>202</v>
      </c>
      <c r="C130" s="6" t="s">
        <v>2787</v>
      </c>
      <c r="D130" s="7" t="s">
        <v>2788</v>
      </c>
      <c r="E130" s="8" t="s">
        <v>302</v>
      </c>
      <c r="F130" s="9" t="s">
        <v>17</v>
      </c>
      <c r="G130" s="10">
        <v>1</v>
      </c>
      <c r="H130" s="11">
        <v>46195</v>
      </c>
      <c r="I130" s="12" t="s">
        <v>2789</v>
      </c>
      <c r="J130" s="13" t="s">
        <v>30</v>
      </c>
      <c r="K130" s="14" t="str">
        <f>HYPERLINK("http://mpro.prangroup.com:4000/CreativeWorks/Edit/37508","Open")</f>
        <v>Open</v>
      </c>
    </row>
    <row r="131" spans="1:11" ht="13.2">
      <c r="A131" s="4" t="s">
        <v>2790</v>
      </c>
      <c r="B131" s="5" t="s">
        <v>2791</v>
      </c>
      <c r="C131" s="6" t="s">
        <v>2792</v>
      </c>
      <c r="D131" s="7" t="s">
        <v>2793</v>
      </c>
      <c r="E131" s="8" t="s">
        <v>141</v>
      </c>
      <c r="F131" s="9" t="s">
        <v>17</v>
      </c>
      <c r="G131" s="10">
        <v>4</v>
      </c>
      <c r="H131" s="11">
        <v>46195</v>
      </c>
      <c r="I131" s="12" t="s">
        <v>2794</v>
      </c>
      <c r="J131" s="13" t="s">
        <v>30</v>
      </c>
      <c r="K131" s="14" t="str">
        <f t="shared" ref="K131:K132" si="5">HYPERLINK("http://mpro.prangroup.com:4000/CreativeWorks/Edit/37534","Open")</f>
        <v>Open</v>
      </c>
    </row>
    <row r="132" spans="1:11" ht="13.2">
      <c r="A132" s="4" t="s">
        <v>2790</v>
      </c>
      <c r="B132" s="5" t="s">
        <v>2791</v>
      </c>
      <c r="C132" s="6" t="s">
        <v>2792</v>
      </c>
      <c r="D132" s="7" t="s">
        <v>2793</v>
      </c>
      <c r="E132" s="8" t="s">
        <v>57</v>
      </c>
      <c r="F132" s="9" t="s">
        <v>17</v>
      </c>
      <c r="G132" s="10">
        <v>1</v>
      </c>
      <c r="H132" s="11">
        <v>46195</v>
      </c>
      <c r="I132" s="12" t="s">
        <v>2794</v>
      </c>
      <c r="J132" s="13" t="s">
        <v>30</v>
      </c>
      <c r="K132" s="14" t="str">
        <f t="shared" si="5"/>
        <v>Open</v>
      </c>
    </row>
    <row r="133" spans="1:11" ht="13.2">
      <c r="A133" s="4" t="s">
        <v>2747</v>
      </c>
      <c r="B133" s="5" t="s">
        <v>68</v>
      </c>
      <c r="C133" s="6" t="s">
        <v>2795</v>
      </c>
      <c r="D133" s="7" t="s">
        <v>2749</v>
      </c>
      <c r="E133" s="8" t="s">
        <v>141</v>
      </c>
      <c r="F133" s="9" t="s">
        <v>17</v>
      </c>
      <c r="G133" s="10">
        <v>3</v>
      </c>
      <c r="H133" s="11">
        <v>46196</v>
      </c>
      <c r="I133" s="12" t="s">
        <v>2796</v>
      </c>
      <c r="J133" s="13" t="s">
        <v>30</v>
      </c>
      <c r="K133" s="14" t="str">
        <f t="shared" ref="K133:K134" si="6">HYPERLINK("http://mpro.prangroup.com:4000/CreativeWorks/Edit/37556","Open")</f>
        <v>Open</v>
      </c>
    </row>
    <row r="134" spans="1:11" ht="13.2">
      <c r="A134" s="4" t="s">
        <v>2751</v>
      </c>
      <c r="B134" s="5" t="s">
        <v>68</v>
      </c>
      <c r="C134" s="6" t="s">
        <v>2795</v>
      </c>
      <c r="D134" s="7" t="s">
        <v>2749</v>
      </c>
      <c r="E134" s="8" t="s">
        <v>141</v>
      </c>
      <c r="F134" s="9" t="s">
        <v>457</v>
      </c>
      <c r="G134" s="10">
        <v>2</v>
      </c>
      <c r="H134" s="11">
        <v>46196</v>
      </c>
      <c r="I134" s="12" t="s">
        <v>2796</v>
      </c>
      <c r="J134" s="13" t="s">
        <v>30</v>
      </c>
      <c r="K134" s="14" t="str">
        <f t="shared" si="6"/>
        <v>Open</v>
      </c>
    </row>
    <row r="135" spans="1:11" ht="13.2">
      <c r="A135" s="4" t="s">
        <v>2797</v>
      </c>
      <c r="B135" s="5" t="s">
        <v>32</v>
      </c>
      <c r="C135" s="6" t="s">
        <v>91</v>
      </c>
      <c r="D135" s="7" t="s">
        <v>1276</v>
      </c>
      <c r="E135" s="8" t="s">
        <v>302</v>
      </c>
      <c r="F135" s="9" t="s">
        <v>457</v>
      </c>
      <c r="G135" s="10">
        <v>1</v>
      </c>
      <c r="H135" s="11">
        <v>46196</v>
      </c>
      <c r="I135" s="12" t="s">
        <v>2798</v>
      </c>
      <c r="J135" s="13" t="s">
        <v>19</v>
      </c>
      <c r="K135" s="14" t="str">
        <f>HYPERLINK("http://mpro.prangroup.com:4000/CreativeWorks/Edit/37602","Open")</f>
        <v>Open</v>
      </c>
    </row>
    <row r="136" spans="1:11" ht="13.2">
      <c r="A136" s="4" t="s">
        <v>2799</v>
      </c>
      <c r="B136" s="5" t="s">
        <v>153</v>
      </c>
      <c r="C136" s="6" t="s">
        <v>2800</v>
      </c>
      <c r="D136" s="7" t="s">
        <v>2801</v>
      </c>
      <c r="E136" s="8" t="s">
        <v>141</v>
      </c>
      <c r="F136" s="9" t="s">
        <v>17</v>
      </c>
      <c r="G136" s="10">
        <v>2</v>
      </c>
      <c r="H136" s="11">
        <v>46196</v>
      </c>
      <c r="I136" s="12" t="s">
        <v>2802</v>
      </c>
      <c r="J136" s="13" t="s">
        <v>30</v>
      </c>
      <c r="K136" s="14" t="str">
        <f>HYPERLINK("http://mpro.prangroup.com:4000/CreativeWorks/Edit/37652","Open")</f>
        <v>Open</v>
      </c>
    </row>
    <row r="137" spans="1:11" ht="13.2">
      <c r="A137" s="4" t="s">
        <v>2803</v>
      </c>
      <c r="B137" s="5" t="s">
        <v>516</v>
      </c>
      <c r="C137" s="6" t="s">
        <v>517</v>
      </c>
      <c r="D137" s="7" t="s">
        <v>2804</v>
      </c>
      <c r="E137" s="8" t="s">
        <v>141</v>
      </c>
      <c r="F137" s="9" t="s">
        <v>17</v>
      </c>
      <c r="G137" s="10">
        <v>1</v>
      </c>
      <c r="H137" s="11">
        <v>46197</v>
      </c>
      <c r="I137" s="12" t="s">
        <v>2805</v>
      </c>
      <c r="J137" s="13" t="s">
        <v>30</v>
      </c>
      <c r="K137" s="14" t="str">
        <f>HYPERLINK("http://mpro.prangroup.com:4000/CreativeWorks/Edit/37758","Open")</f>
        <v>Open</v>
      </c>
    </row>
    <row r="138" spans="1:11" ht="13.2">
      <c r="A138" s="4" t="s">
        <v>2806</v>
      </c>
      <c r="B138" s="5" t="s">
        <v>41</v>
      </c>
      <c r="C138" s="6" t="s">
        <v>186</v>
      </c>
      <c r="D138" s="7" t="s">
        <v>2807</v>
      </c>
      <c r="E138" s="8" t="s">
        <v>242</v>
      </c>
      <c r="F138" s="9" t="s">
        <v>17</v>
      </c>
      <c r="G138" s="10">
        <v>4</v>
      </c>
      <c r="H138" s="11">
        <v>46198</v>
      </c>
      <c r="I138" s="12" t="s">
        <v>2808</v>
      </c>
      <c r="J138" s="13" t="s">
        <v>19</v>
      </c>
      <c r="K138" s="14" t="str">
        <f>HYPERLINK("http://mpro.prangroup.com:4000/CreativeWorks/Edit/37908","Open")</f>
        <v>Open</v>
      </c>
    </row>
    <row r="139" spans="1:11" ht="13.2">
      <c r="A139" s="4" t="s">
        <v>2809</v>
      </c>
      <c r="B139" s="5" t="s">
        <v>32</v>
      </c>
      <c r="C139" s="6" t="s">
        <v>228</v>
      </c>
      <c r="D139" s="7" t="s">
        <v>2483</v>
      </c>
      <c r="E139" s="8" t="s">
        <v>16</v>
      </c>
      <c r="F139" s="9" t="s">
        <v>17</v>
      </c>
      <c r="G139" s="10">
        <v>4</v>
      </c>
      <c r="H139" s="11">
        <v>46198</v>
      </c>
      <c r="I139" s="12" t="s">
        <v>2810</v>
      </c>
      <c r="J139" s="13" t="s">
        <v>19</v>
      </c>
      <c r="K139" s="14" t="str">
        <f>HYPERLINK("http://mpro.prangroup.com:4000/CreativeWorks/Edit/37942","Open")</f>
        <v>Open</v>
      </c>
    </row>
    <row r="140" spans="1:11" ht="13.2">
      <c r="A140" s="4" t="s">
        <v>2811</v>
      </c>
      <c r="B140" s="5" t="s">
        <v>32</v>
      </c>
      <c r="C140" s="6" t="s">
        <v>228</v>
      </c>
      <c r="D140" s="7" t="s">
        <v>2469</v>
      </c>
      <c r="E140" s="8" t="s">
        <v>16</v>
      </c>
      <c r="F140" s="9" t="s">
        <v>17</v>
      </c>
      <c r="G140" s="10">
        <v>4</v>
      </c>
      <c r="H140" s="11">
        <v>46198</v>
      </c>
      <c r="I140" s="12" t="s">
        <v>2812</v>
      </c>
      <c r="J140" s="13" t="s">
        <v>19</v>
      </c>
      <c r="K140" s="14" t="str">
        <f>HYPERLINK("http://mpro.prangroup.com:4000/CreativeWorks/Edit/37945","Open")</f>
        <v>Open</v>
      </c>
    </row>
    <row r="141" spans="1:11" ht="13.2">
      <c r="A141" s="4" t="s">
        <v>2813</v>
      </c>
      <c r="B141" s="5" t="s">
        <v>32</v>
      </c>
      <c r="C141" s="6" t="s">
        <v>186</v>
      </c>
      <c r="D141" s="7" t="s">
        <v>2814</v>
      </c>
      <c r="E141" s="8" t="s">
        <v>242</v>
      </c>
      <c r="F141" s="9" t="s">
        <v>17</v>
      </c>
      <c r="G141" s="10">
        <v>1</v>
      </c>
      <c r="H141" s="11">
        <v>46200</v>
      </c>
      <c r="I141" s="12" t="s">
        <v>2815</v>
      </c>
      <c r="J141" s="13" t="s">
        <v>30</v>
      </c>
      <c r="K141" s="14" t="str">
        <f>HYPERLINK("http://mpro.prangroup.com:4000/CreativeWorks/Edit/38053","Open")</f>
        <v>Open</v>
      </c>
    </row>
    <row r="142" spans="1:11" ht="13.2">
      <c r="A142" s="4" t="s">
        <v>2816</v>
      </c>
      <c r="B142" s="5" t="s">
        <v>60</v>
      </c>
      <c r="C142" s="6" t="s">
        <v>166</v>
      </c>
      <c r="D142" s="24"/>
      <c r="E142" s="8" t="s">
        <v>242</v>
      </c>
      <c r="F142" s="9" t="s">
        <v>17</v>
      </c>
      <c r="G142" s="10">
        <v>2</v>
      </c>
      <c r="H142" s="11">
        <v>46201</v>
      </c>
      <c r="I142" s="21"/>
      <c r="J142" s="13" t="s">
        <v>19</v>
      </c>
      <c r="K142" s="19"/>
    </row>
    <row r="143" spans="1:11" ht="13.2">
      <c r="A143" s="4" t="s">
        <v>2817</v>
      </c>
      <c r="B143" s="5" t="s">
        <v>26</v>
      </c>
      <c r="C143" s="6" t="s">
        <v>2818</v>
      </c>
      <c r="D143" s="7" t="s">
        <v>2819</v>
      </c>
      <c r="E143" s="8" t="s">
        <v>141</v>
      </c>
      <c r="F143" s="9" t="s">
        <v>17</v>
      </c>
      <c r="G143" s="10">
        <v>4</v>
      </c>
      <c r="H143" s="11">
        <v>46202</v>
      </c>
      <c r="I143" s="12" t="s">
        <v>2820</v>
      </c>
      <c r="J143" s="13" t="s">
        <v>30</v>
      </c>
      <c r="K143" s="14" t="str">
        <f>HYPERLINK("http://mpro.prangroup.com:4000/CreativeWorks/Edit/38386","Open")</f>
        <v>Open</v>
      </c>
    </row>
    <row r="144" spans="1:11" ht="13.2">
      <c r="A144" s="4" t="s">
        <v>2821</v>
      </c>
      <c r="B144" s="5" t="s">
        <v>32</v>
      </c>
      <c r="C144" s="6" t="s">
        <v>228</v>
      </c>
      <c r="D144" s="7" t="s">
        <v>2421</v>
      </c>
      <c r="E144" s="8" t="s">
        <v>141</v>
      </c>
      <c r="F144" s="9" t="s">
        <v>17</v>
      </c>
      <c r="G144" s="10">
        <v>1</v>
      </c>
      <c r="H144" s="11">
        <v>46202</v>
      </c>
      <c r="I144" s="12" t="s">
        <v>2822</v>
      </c>
      <c r="J144" s="13" t="s">
        <v>19</v>
      </c>
      <c r="K144" s="14" t="str">
        <f>HYPERLINK("http://mpro.prangroup.com:4000/CreativeWorks/Edit/38399","Open")</f>
        <v>Open</v>
      </c>
    </row>
    <row r="145" spans="1:11" ht="13.2">
      <c r="A145" s="4" t="s">
        <v>2823</v>
      </c>
      <c r="B145" s="5" t="s">
        <v>32</v>
      </c>
      <c r="C145" s="6" t="s">
        <v>689</v>
      </c>
      <c r="D145" s="7" t="s">
        <v>2824</v>
      </c>
      <c r="E145" s="8" t="s">
        <v>302</v>
      </c>
      <c r="F145" s="9" t="s">
        <v>17</v>
      </c>
      <c r="G145" s="10">
        <v>3</v>
      </c>
      <c r="H145" s="11"/>
      <c r="I145" s="21"/>
      <c r="J145" s="13" t="s">
        <v>1948</v>
      </c>
      <c r="K145" s="19"/>
    </row>
    <row r="146" spans="1:11" ht="13.2">
      <c r="A146" s="4" t="s">
        <v>2825</v>
      </c>
      <c r="B146" s="5" t="s">
        <v>32</v>
      </c>
      <c r="C146" s="6" t="s">
        <v>91</v>
      </c>
      <c r="D146" s="7" t="s">
        <v>2826</v>
      </c>
      <c r="E146" s="8" t="s">
        <v>302</v>
      </c>
      <c r="F146" s="9" t="s">
        <v>17</v>
      </c>
      <c r="G146" s="10">
        <v>1</v>
      </c>
      <c r="H146" s="11"/>
      <c r="I146" s="21"/>
      <c r="J146" s="13" t="s">
        <v>1948</v>
      </c>
      <c r="K146" s="19"/>
    </row>
    <row r="147" spans="1:11" ht="13.2">
      <c r="A147" s="4" t="s">
        <v>2827</v>
      </c>
      <c r="B147" s="5" t="s">
        <v>202</v>
      </c>
      <c r="C147" s="6" t="s">
        <v>501</v>
      </c>
      <c r="D147" s="7" t="s">
        <v>2828</v>
      </c>
      <c r="E147" s="8" t="s">
        <v>141</v>
      </c>
      <c r="F147" s="9" t="s">
        <v>17</v>
      </c>
      <c r="G147" s="10">
        <v>1</v>
      </c>
      <c r="H147" s="11">
        <v>46205</v>
      </c>
      <c r="I147" s="12" t="s">
        <v>2829</v>
      </c>
      <c r="J147" s="13" t="s">
        <v>30</v>
      </c>
      <c r="K147" s="14" t="str">
        <f>HYPERLINK("http://mpro.prangroup.com:4000/CreativeWorks/Edit/39013","Open")</f>
        <v>Open</v>
      </c>
    </row>
    <row r="148" spans="1:11" ht="13.2">
      <c r="A148" s="4" t="s">
        <v>2830</v>
      </c>
      <c r="B148" s="5" t="s">
        <v>599</v>
      </c>
      <c r="C148" s="6" t="s">
        <v>222</v>
      </c>
      <c r="D148" s="7" t="s">
        <v>2831</v>
      </c>
      <c r="E148" s="8" t="s">
        <v>141</v>
      </c>
      <c r="F148" s="9" t="s">
        <v>17</v>
      </c>
      <c r="G148" s="10">
        <v>2</v>
      </c>
      <c r="H148" s="11">
        <v>46205</v>
      </c>
      <c r="I148" s="12" t="s">
        <v>2832</v>
      </c>
      <c r="J148" s="13" t="s">
        <v>30</v>
      </c>
      <c r="K148" s="14" t="str">
        <f>HYPERLINK("http://mpro.prangroup.com:4000/CreativeWorks/Edit/39036","Open")</f>
        <v>Open</v>
      </c>
    </row>
    <row r="149" spans="1:11" ht="13.2">
      <c r="A149" s="4" t="s">
        <v>2833</v>
      </c>
      <c r="B149" s="5" t="s">
        <v>68</v>
      </c>
      <c r="C149" s="6" t="s">
        <v>2834</v>
      </c>
      <c r="D149" s="7" t="s">
        <v>2835</v>
      </c>
      <c r="E149" s="8" t="s">
        <v>141</v>
      </c>
      <c r="F149" s="9" t="s">
        <v>17</v>
      </c>
      <c r="G149" s="10">
        <v>12</v>
      </c>
      <c r="H149" s="11">
        <v>46207</v>
      </c>
      <c r="I149" s="12" t="s">
        <v>2836</v>
      </c>
      <c r="J149" s="13" t="s">
        <v>19</v>
      </c>
      <c r="K149" s="14" t="str">
        <f>HYPERLINK("http://mpro.prangroup.com:4000/CreativeWorks/Edit/39253","Open")</f>
        <v>Open</v>
      </c>
    </row>
    <row r="150" spans="1:11" ht="13.2">
      <c r="A150" s="4" t="s">
        <v>2837</v>
      </c>
      <c r="B150" s="5" t="s">
        <v>109</v>
      </c>
      <c r="C150" s="6" t="s">
        <v>2838</v>
      </c>
      <c r="D150" s="7" t="s">
        <v>2839</v>
      </c>
      <c r="E150" s="8" t="s">
        <v>57</v>
      </c>
      <c r="F150" s="9" t="s">
        <v>17</v>
      </c>
      <c r="G150" s="10">
        <v>1</v>
      </c>
      <c r="H150" s="11">
        <v>46207</v>
      </c>
      <c r="I150" s="12" t="s">
        <v>2840</v>
      </c>
      <c r="J150" s="13" t="s">
        <v>19</v>
      </c>
      <c r="K150" s="14" t="str">
        <f t="shared" ref="K150:K151" si="7">HYPERLINK("http://mpro.prangroup.com:4000/CreativeWorks/Edit/39301","Open")</f>
        <v>Open</v>
      </c>
    </row>
    <row r="151" spans="1:11" ht="13.2">
      <c r="A151" s="4" t="s">
        <v>2841</v>
      </c>
      <c r="B151" s="5" t="s">
        <v>109</v>
      </c>
      <c r="C151" s="6" t="s">
        <v>2838</v>
      </c>
      <c r="D151" s="7" t="s">
        <v>2839</v>
      </c>
      <c r="E151" s="8" t="s">
        <v>141</v>
      </c>
      <c r="F151" s="9" t="s">
        <v>17</v>
      </c>
      <c r="G151" s="10">
        <v>2</v>
      </c>
      <c r="H151" s="11">
        <v>46207</v>
      </c>
      <c r="I151" s="12" t="s">
        <v>2840</v>
      </c>
      <c r="J151" s="13" t="s">
        <v>19</v>
      </c>
      <c r="K151" s="14" t="str">
        <f t="shared" si="7"/>
        <v>Open</v>
      </c>
    </row>
    <row r="152" spans="1:11" ht="13.2">
      <c r="A152" s="4" t="s">
        <v>2842</v>
      </c>
      <c r="B152" s="5" t="s">
        <v>41</v>
      </c>
      <c r="C152" s="6" t="s">
        <v>186</v>
      </c>
      <c r="D152" s="7" t="s">
        <v>2843</v>
      </c>
      <c r="E152" s="8" t="s">
        <v>16</v>
      </c>
      <c r="F152" s="9" t="s">
        <v>17</v>
      </c>
      <c r="G152" s="10">
        <v>1</v>
      </c>
      <c r="H152" s="11">
        <v>46208</v>
      </c>
      <c r="I152" s="12" t="s">
        <v>2844</v>
      </c>
      <c r="J152" s="13" t="s">
        <v>19</v>
      </c>
      <c r="K152" s="14" t="str">
        <f t="shared" ref="K152:K153" si="8">HYPERLINK("http://mpro.prangroup.com:4000/CreativeWorks/Edit/39408","Open")</f>
        <v>Open</v>
      </c>
    </row>
    <row r="153" spans="1:11" ht="13.2">
      <c r="A153" s="4" t="s">
        <v>2845</v>
      </c>
      <c r="B153" s="5" t="s">
        <v>41</v>
      </c>
      <c r="C153" s="6" t="s">
        <v>186</v>
      </c>
      <c r="D153" s="7" t="s">
        <v>2843</v>
      </c>
      <c r="E153" s="8" t="s">
        <v>589</v>
      </c>
      <c r="F153" s="9" t="s">
        <v>17</v>
      </c>
      <c r="G153" s="10">
        <v>2</v>
      </c>
      <c r="H153" s="11">
        <v>46208</v>
      </c>
      <c r="I153" s="12" t="s">
        <v>2844</v>
      </c>
      <c r="J153" s="13" t="s">
        <v>19</v>
      </c>
      <c r="K153" s="14" t="str">
        <f t="shared" si="8"/>
        <v>Open</v>
      </c>
    </row>
    <row r="154" spans="1:11" ht="13.2">
      <c r="A154" s="4" t="s">
        <v>2846</v>
      </c>
      <c r="B154" s="5" t="s">
        <v>202</v>
      </c>
      <c r="C154" s="6" t="s">
        <v>501</v>
      </c>
      <c r="D154" s="7" t="s">
        <v>2511</v>
      </c>
      <c r="E154" s="8" t="s">
        <v>242</v>
      </c>
      <c r="F154" s="9" t="s">
        <v>17</v>
      </c>
      <c r="G154" s="10">
        <v>2</v>
      </c>
      <c r="H154" s="11">
        <v>46208</v>
      </c>
      <c r="I154" s="12" t="s">
        <v>2847</v>
      </c>
      <c r="J154" s="13" t="s">
        <v>30</v>
      </c>
      <c r="K154" s="14" t="str">
        <f>HYPERLINK("http://mpro.prangroup.com:4000/CreativeWorks/Edit/39413","Open")</f>
        <v>Open</v>
      </c>
    </row>
    <row r="155" spans="1:11" ht="13.2">
      <c r="A155" s="4" t="s">
        <v>2848</v>
      </c>
      <c r="B155" s="5" t="s">
        <v>178</v>
      </c>
      <c r="C155" s="6" t="s">
        <v>455</v>
      </c>
      <c r="D155" s="7" t="s">
        <v>2849</v>
      </c>
      <c r="E155" s="8" t="s">
        <v>57</v>
      </c>
      <c r="F155" s="9" t="s">
        <v>17</v>
      </c>
      <c r="G155" s="10">
        <v>3</v>
      </c>
      <c r="H155" s="11">
        <v>46208</v>
      </c>
      <c r="I155" s="12" t="s">
        <v>2850</v>
      </c>
      <c r="J155" s="13" t="s">
        <v>48</v>
      </c>
      <c r="K155" s="14" t="str">
        <f>HYPERLINK("http://mpro.prangroup.com:4000/CreativeWorks/Edit/39418","Open")</f>
        <v>Open</v>
      </c>
    </row>
    <row r="156" spans="1:11" ht="13.2">
      <c r="A156" s="4" t="s">
        <v>2851</v>
      </c>
      <c r="B156" s="5" t="s">
        <v>60</v>
      </c>
      <c r="C156" s="6" t="s">
        <v>186</v>
      </c>
      <c r="D156" s="7" t="s">
        <v>2852</v>
      </c>
      <c r="E156" s="8" t="s">
        <v>242</v>
      </c>
      <c r="F156" s="9" t="s">
        <v>17</v>
      </c>
      <c r="G156" s="10">
        <v>2</v>
      </c>
      <c r="H156" s="11">
        <v>46208</v>
      </c>
      <c r="I156" s="12" t="s">
        <v>2853</v>
      </c>
      <c r="J156" s="13" t="s">
        <v>19</v>
      </c>
      <c r="K156" s="14" t="str">
        <f>HYPERLINK("http://mpro.prangroup.com:4000/CreativeWorks/Edit/39444","Open")</f>
        <v>Open</v>
      </c>
    </row>
    <row r="157" spans="1:11" ht="13.2">
      <c r="A157" s="4" t="s">
        <v>2854</v>
      </c>
      <c r="B157" s="5" t="s">
        <v>41</v>
      </c>
      <c r="C157" s="6" t="s">
        <v>42</v>
      </c>
      <c r="D157" s="7" t="s">
        <v>2855</v>
      </c>
      <c r="E157" s="8" t="s">
        <v>1077</v>
      </c>
      <c r="F157" s="9" t="s">
        <v>17</v>
      </c>
      <c r="G157" s="10">
        <v>3</v>
      </c>
      <c r="H157" s="11">
        <v>46209</v>
      </c>
      <c r="I157" s="12" t="s">
        <v>2856</v>
      </c>
      <c r="J157" s="13" t="s">
        <v>48</v>
      </c>
      <c r="K157" s="14" t="str">
        <f>HYPERLINK("http://mpro.prangroup.com:4000/CreativeWorks/Edit/39590","Open")</f>
        <v>Open</v>
      </c>
    </row>
    <row r="158" spans="1:11" ht="13.2">
      <c r="A158" s="4" t="s">
        <v>2857</v>
      </c>
      <c r="B158" s="5" t="s">
        <v>123</v>
      </c>
      <c r="C158" s="6" t="s">
        <v>2858</v>
      </c>
      <c r="D158" s="7" t="s">
        <v>2859</v>
      </c>
      <c r="E158" s="8" t="s">
        <v>57</v>
      </c>
      <c r="F158" s="9" t="s">
        <v>17</v>
      </c>
      <c r="G158" s="10">
        <v>5</v>
      </c>
      <c r="H158" s="11">
        <v>46211</v>
      </c>
      <c r="I158" s="12" t="s">
        <v>2860</v>
      </c>
      <c r="J158" s="13" t="s">
        <v>19</v>
      </c>
      <c r="K158" s="14" t="str">
        <f>HYPERLINK("http://mpro.prangroup.com:4000/CreativeWorks/Edit/39898","Open")</f>
        <v>Open</v>
      </c>
    </row>
    <row r="159" spans="1:11" ht="13.2">
      <c r="A159" s="4" t="s">
        <v>2861</v>
      </c>
      <c r="B159" s="5" t="s">
        <v>599</v>
      </c>
      <c r="C159" s="6" t="s">
        <v>521</v>
      </c>
      <c r="D159" s="7" t="s">
        <v>2862</v>
      </c>
      <c r="E159" s="8" t="s">
        <v>141</v>
      </c>
      <c r="F159" s="9" t="s">
        <v>17</v>
      </c>
      <c r="G159" s="10">
        <v>10</v>
      </c>
      <c r="H159" s="11">
        <v>46211</v>
      </c>
      <c r="I159" s="12" t="s">
        <v>2863</v>
      </c>
      <c r="J159" s="13" t="s">
        <v>48</v>
      </c>
      <c r="K159" s="14" t="str">
        <f>HYPERLINK("http://mpro.prangroup.com:4000/CreativeWorks/Edit/39896","Open")</f>
        <v>Open</v>
      </c>
    </row>
    <row r="160" spans="1:11" ht="13.2">
      <c r="A160" s="4" t="s">
        <v>2864</v>
      </c>
      <c r="B160" s="5" t="s">
        <v>60</v>
      </c>
      <c r="C160" s="6" t="s">
        <v>186</v>
      </c>
      <c r="D160" s="7" t="s">
        <v>2859</v>
      </c>
      <c r="E160" s="8" t="s">
        <v>242</v>
      </c>
      <c r="F160" s="9" t="s">
        <v>17</v>
      </c>
      <c r="G160" s="10">
        <v>1</v>
      </c>
      <c r="H160" s="11">
        <v>46212</v>
      </c>
      <c r="I160" s="12" t="s">
        <v>1350</v>
      </c>
      <c r="J160" s="13" t="s">
        <v>19</v>
      </c>
      <c r="K160" s="14" t="str">
        <f>HYPERLINK("http://mpro.prangroup.com:4000/CreativeWorks/Edit/39977","Open")</f>
        <v>Open</v>
      </c>
    </row>
    <row r="161" spans="1:11" ht="13.2">
      <c r="A161" s="22"/>
      <c r="B161" s="16"/>
      <c r="C161" s="23"/>
      <c r="D161" s="24"/>
      <c r="E161" s="25"/>
      <c r="F161" s="26"/>
      <c r="G161" s="27"/>
      <c r="H161" s="20"/>
      <c r="I161" s="21"/>
      <c r="J161" s="28"/>
      <c r="K161" s="19"/>
    </row>
    <row r="162" spans="1:11" ht="13.2">
      <c r="A162" s="22"/>
      <c r="B162" s="16"/>
      <c r="C162" s="23"/>
      <c r="D162" s="24"/>
      <c r="E162" s="25"/>
      <c r="F162" s="26"/>
      <c r="G162" s="27"/>
      <c r="H162" s="20"/>
      <c r="I162" s="21"/>
      <c r="J162" s="28"/>
      <c r="K162" s="19"/>
    </row>
    <row r="163" spans="1:11" ht="13.2">
      <c r="A163" s="22"/>
      <c r="B163" s="16"/>
      <c r="C163" s="23"/>
      <c r="D163" s="24"/>
      <c r="E163" s="25"/>
      <c r="F163" s="26"/>
      <c r="G163" s="27"/>
      <c r="H163" s="20"/>
      <c r="I163" s="21"/>
      <c r="J163" s="28"/>
      <c r="K163" s="19"/>
    </row>
    <row r="164" spans="1:11" ht="13.2">
      <c r="A164" s="22"/>
      <c r="B164" s="16"/>
      <c r="C164" s="23"/>
      <c r="D164" s="24"/>
      <c r="E164" s="25"/>
      <c r="F164" s="26"/>
      <c r="G164" s="27"/>
      <c r="H164" s="20"/>
      <c r="I164" s="21"/>
      <c r="J164" s="28"/>
      <c r="K164" s="19"/>
    </row>
    <row r="165" spans="1:11" ht="13.2">
      <c r="A165" s="22"/>
      <c r="B165" s="16"/>
      <c r="C165" s="23"/>
      <c r="D165" s="24"/>
      <c r="E165" s="25"/>
      <c r="F165" s="26"/>
      <c r="G165" s="27"/>
      <c r="H165" s="20"/>
      <c r="I165" s="21"/>
      <c r="J165" s="28"/>
      <c r="K165" s="19"/>
    </row>
    <row r="166" spans="1:11" ht="13.2">
      <c r="A166" s="22"/>
      <c r="B166" s="16"/>
      <c r="C166" s="23"/>
      <c r="D166" s="24"/>
      <c r="E166" s="25"/>
      <c r="F166" s="26"/>
      <c r="G166" s="27"/>
      <c r="H166" s="20"/>
      <c r="I166" s="21"/>
      <c r="J166" s="28"/>
      <c r="K166" s="19"/>
    </row>
    <row r="167" spans="1:11" ht="13.2">
      <c r="A167" s="22"/>
      <c r="B167" s="16"/>
      <c r="C167" s="23"/>
      <c r="D167" s="24"/>
      <c r="E167" s="25"/>
      <c r="F167" s="26"/>
      <c r="G167" s="27"/>
      <c r="H167" s="20"/>
      <c r="I167" s="21"/>
      <c r="J167" s="28"/>
      <c r="K167" s="19"/>
    </row>
    <row r="168" spans="1:11" ht="13.2">
      <c r="A168" s="22"/>
      <c r="B168" s="16"/>
      <c r="C168" s="23"/>
      <c r="D168" s="24"/>
      <c r="E168" s="25"/>
      <c r="F168" s="26"/>
      <c r="G168" s="27"/>
      <c r="H168" s="20"/>
      <c r="I168" s="21"/>
      <c r="J168" s="28"/>
      <c r="K168" s="19"/>
    </row>
    <row r="169" spans="1:11" ht="13.2">
      <c r="A169" s="22"/>
      <c r="B169" s="16"/>
      <c r="C169" s="23"/>
      <c r="D169" s="24"/>
      <c r="E169" s="25"/>
      <c r="F169" s="26"/>
      <c r="G169" s="27"/>
      <c r="H169" s="20"/>
      <c r="I169" s="21"/>
      <c r="J169" s="28"/>
      <c r="K169" s="19"/>
    </row>
    <row r="170" spans="1:11" ht="13.2">
      <c r="A170" s="22"/>
      <c r="B170" s="16"/>
      <c r="C170" s="23"/>
      <c r="D170" s="24"/>
      <c r="E170" s="25"/>
      <c r="F170" s="26"/>
      <c r="G170" s="27"/>
      <c r="H170" s="20"/>
      <c r="I170" s="21"/>
      <c r="J170" s="28"/>
      <c r="K170" s="19"/>
    </row>
    <row r="171" spans="1:11" ht="13.2">
      <c r="A171" s="22"/>
      <c r="B171" s="16"/>
      <c r="C171" s="23"/>
      <c r="D171" s="24"/>
      <c r="E171" s="25"/>
      <c r="F171" s="26"/>
      <c r="G171" s="27"/>
      <c r="H171" s="20"/>
      <c r="I171" s="21"/>
      <c r="J171" s="28"/>
      <c r="K171" s="19"/>
    </row>
    <row r="172" spans="1:11" ht="13.2">
      <c r="A172" s="22"/>
      <c r="B172" s="16"/>
      <c r="C172" s="23"/>
      <c r="D172" s="24"/>
      <c r="E172" s="25"/>
      <c r="F172" s="26"/>
      <c r="G172" s="27"/>
      <c r="H172" s="20"/>
      <c r="I172" s="21"/>
      <c r="J172" s="28"/>
      <c r="K172" s="19"/>
    </row>
    <row r="173" spans="1:11" ht="13.2">
      <c r="A173" s="22"/>
      <c r="B173" s="16"/>
      <c r="C173" s="23"/>
      <c r="D173" s="24"/>
      <c r="E173" s="25"/>
      <c r="F173" s="26"/>
      <c r="G173" s="27"/>
      <c r="H173" s="20"/>
      <c r="I173" s="21"/>
      <c r="J173" s="28"/>
      <c r="K173" s="19"/>
    </row>
    <row r="174" spans="1:11" ht="13.2">
      <c r="A174" s="22"/>
      <c r="B174" s="16"/>
      <c r="C174" s="23"/>
      <c r="D174" s="24"/>
      <c r="E174" s="25"/>
      <c r="F174" s="26"/>
      <c r="G174" s="27"/>
      <c r="H174" s="20"/>
      <c r="I174" s="21"/>
      <c r="J174" s="28"/>
      <c r="K174" s="19"/>
    </row>
    <row r="175" spans="1:11" ht="13.2">
      <c r="A175" s="22"/>
      <c r="B175" s="16"/>
      <c r="C175" s="23"/>
      <c r="D175" s="24"/>
      <c r="E175" s="25"/>
      <c r="F175" s="26"/>
      <c r="G175" s="27"/>
      <c r="H175" s="20"/>
      <c r="I175" s="21"/>
      <c r="J175" s="28"/>
      <c r="K175" s="19"/>
    </row>
    <row r="176" spans="1:11" ht="13.2">
      <c r="A176" s="22"/>
      <c r="B176" s="16"/>
      <c r="C176" s="23"/>
      <c r="D176" s="24"/>
      <c r="E176" s="25"/>
      <c r="F176" s="26"/>
      <c r="G176" s="27"/>
      <c r="H176" s="20"/>
      <c r="I176" s="21"/>
      <c r="J176" s="28"/>
      <c r="K176" s="19"/>
    </row>
    <row r="177" spans="1:11" ht="13.2">
      <c r="A177" s="22"/>
      <c r="B177" s="16"/>
      <c r="C177" s="23"/>
      <c r="D177" s="24"/>
      <c r="E177" s="25"/>
      <c r="F177" s="26"/>
      <c r="G177" s="27"/>
      <c r="H177" s="20"/>
      <c r="I177" s="21"/>
      <c r="J177" s="28"/>
      <c r="K177" s="19"/>
    </row>
    <row r="178" spans="1:11" ht="13.2">
      <c r="A178" s="22"/>
      <c r="B178" s="16"/>
      <c r="C178" s="23"/>
      <c r="D178" s="24"/>
      <c r="E178" s="25"/>
      <c r="F178" s="26"/>
      <c r="G178" s="27"/>
      <c r="H178" s="20"/>
      <c r="I178" s="21"/>
      <c r="J178" s="28"/>
      <c r="K178" s="19"/>
    </row>
    <row r="179" spans="1:11" ht="13.2">
      <c r="A179" s="22"/>
      <c r="B179" s="16"/>
      <c r="C179" s="23"/>
      <c r="D179" s="24"/>
      <c r="E179" s="25"/>
      <c r="F179" s="26"/>
      <c r="G179" s="27"/>
      <c r="H179" s="20"/>
      <c r="I179" s="21"/>
      <c r="J179" s="28"/>
      <c r="K179" s="19"/>
    </row>
    <row r="180" spans="1:11" ht="13.2">
      <c r="A180" s="22"/>
      <c r="B180" s="16"/>
      <c r="C180" s="23"/>
      <c r="D180" s="24"/>
      <c r="E180" s="25"/>
      <c r="F180" s="26"/>
      <c r="G180" s="27"/>
      <c r="H180" s="20"/>
      <c r="I180" s="21"/>
      <c r="J180" s="28"/>
      <c r="K180" s="19"/>
    </row>
    <row r="181" spans="1:11" ht="13.2">
      <c r="A181" s="22"/>
      <c r="B181" s="16"/>
      <c r="C181" s="23"/>
      <c r="D181" s="24"/>
      <c r="E181" s="25"/>
      <c r="F181" s="26"/>
      <c r="G181" s="27"/>
      <c r="H181" s="20"/>
      <c r="I181" s="21"/>
      <c r="J181" s="28"/>
      <c r="K181" s="19"/>
    </row>
    <row r="182" spans="1:11" ht="13.2">
      <c r="A182" s="22"/>
      <c r="B182" s="16"/>
      <c r="C182" s="23"/>
      <c r="D182" s="24"/>
      <c r="E182" s="25"/>
      <c r="F182" s="26"/>
      <c r="G182" s="27"/>
      <c r="H182" s="20"/>
      <c r="I182" s="21"/>
      <c r="J182" s="28"/>
      <c r="K182" s="19"/>
    </row>
    <row r="183" spans="1:11" ht="13.2">
      <c r="A183" s="22"/>
      <c r="B183" s="16"/>
      <c r="C183" s="23"/>
      <c r="D183" s="24"/>
      <c r="E183" s="25"/>
      <c r="F183" s="26"/>
      <c r="G183" s="27"/>
      <c r="H183" s="20"/>
      <c r="I183" s="21"/>
      <c r="J183" s="28"/>
      <c r="K183" s="19"/>
    </row>
    <row r="184" spans="1:11" ht="13.2">
      <c r="A184" s="22"/>
      <c r="B184" s="16"/>
      <c r="C184" s="23"/>
      <c r="D184" s="24"/>
      <c r="E184" s="25"/>
      <c r="F184" s="26"/>
      <c r="G184" s="27"/>
      <c r="H184" s="20"/>
      <c r="I184" s="21"/>
      <c r="J184" s="28"/>
      <c r="K184" s="19"/>
    </row>
    <row r="185" spans="1:11" ht="13.2">
      <c r="A185" s="22"/>
      <c r="B185" s="16"/>
      <c r="C185" s="23"/>
      <c r="D185" s="24"/>
      <c r="E185" s="25"/>
      <c r="F185" s="26"/>
      <c r="G185" s="27"/>
      <c r="H185" s="20"/>
      <c r="I185" s="21"/>
      <c r="J185" s="28"/>
      <c r="K185" s="19"/>
    </row>
    <row r="186" spans="1:11" ht="13.2">
      <c r="A186" s="22"/>
      <c r="B186" s="16"/>
      <c r="C186" s="23"/>
      <c r="D186" s="24"/>
      <c r="E186" s="25"/>
      <c r="F186" s="26"/>
      <c r="G186" s="27"/>
      <c r="H186" s="20"/>
      <c r="I186" s="21"/>
      <c r="J186" s="28"/>
      <c r="K186" s="19"/>
    </row>
    <row r="187" spans="1:11" ht="13.2">
      <c r="A187" s="22"/>
      <c r="B187" s="16"/>
      <c r="C187" s="23"/>
      <c r="D187" s="24"/>
      <c r="E187" s="25"/>
      <c r="F187" s="26"/>
      <c r="G187" s="27"/>
      <c r="H187" s="20"/>
      <c r="I187" s="21"/>
      <c r="J187" s="28"/>
      <c r="K187" s="19"/>
    </row>
    <row r="188" spans="1:11" ht="13.2">
      <c r="A188" s="22"/>
      <c r="B188" s="16"/>
      <c r="C188" s="23"/>
      <c r="D188" s="24"/>
      <c r="E188" s="25"/>
      <c r="F188" s="26"/>
      <c r="G188" s="27"/>
      <c r="H188" s="20"/>
      <c r="I188" s="21"/>
      <c r="J188" s="28"/>
      <c r="K188" s="19"/>
    </row>
    <row r="189" spans="1:11" ht="13.2">
      <c r="A189" s="22"/>
      <c r="B189" s="16"/>
      <c r="C189" s="23"/>
      <c r="D189" s="24"/>
      <c r="E189" s="25"/>
      <c r="F189" s="26"/>
      <c r="G189" s="27"/>
      <c r="H189" s="20"/>
      <c r="I189" s="21"/>
      <c r="J189" s="28"/>
      <c r="K189" s="19"/>
    </row>
    <row r="190" spans="1:11" ht="13.2">
      <c r="A190" s="22"/>
      <c r="B190" s="16"/>
      <c r="C190" s="23"/>
      <c r="D190" s="24"/>
      <c r="E190" s="25"/>
      <c r="F190" s="26"/>
      <c r="G190" s="27"/>
      <c r="H190" s="20"/>
      <c r="I190" s="21"/>
      <c r="J190" s="28"/>
      <c r="K190" s="19"/>
    </row>
    <row r="191" spans="1:11" ht="13.2">
      <c r="A191" s="22"/>
      <c r="B191" s="16"/>
      <c r="C191" s="23"/>
      <c r="D191" s="24"/>
      <c r="E191" s="25"/>
      <c r="F191" s="26"/>
      <c r="G191" s="27"/>
      <c r="H191" s="20"/>
      <c r="I191" s="21"/>
      <c r="J191" s="28"/>
      <c r="K191" s="19"/>
    </row>
    <row r="192" spans="1:11" ht="13.2">
      <c r="A192" s="22"/>
      <c r="B192" s="16"/>
      <c r="C192" s="23"/>
      <c r="D192" s="24"/>
      <c r="E192" s="25"/>
      <c r="F192" s="26"/>
      <c r="G192" s="27"/>
      <c r="H192" s="20"/>
      <c r="I192" s="21"/>
      <c r="J192" s="28"/>
      <c r="K192" s="19"/>
    </row>
    <row r="193" spans="1:11" ht="13.2">
      <c r="A193" s="22"/>
      <c r="B193" s="16"/>
      <c r="C193" s="23"/>
      <c r="D193" s="24"/>
      <c r="E193" s="25"/>
      <c r="F193" s="26"/>
      <c r="G193" s="27"/>
      <c r="H193" s="20"/>
      <c r="I193" s="21"/>
      <c r="J193" s="28"/>
      <c r="K193" s="19"/>
    </row>
    <row r="194" spans="1:11" ht="13.2">
      <c r="A194" s="22"/>
      <c r="B194" s="16"/>
      <c r="C194" s="23"/>
      <c r="D194" s="24"/>
      <c r="E194" s="25"/>
      <c r="F194" s="26"/>
      <c r="G194" s="27"/>
      <c r="H194" s="20"/>
      <c r="I194" s="21"/>
      <c r="J194" s="28"/>
      <c r="K194" s="19"/>
    </row>
    <row r="195" spans="1:11" ht="13.2">
      <c r="A195" s="22"/>
      <c r="B195" s="16"/>
      <c r="C195" s="23"/>
      <c r="D195" s="24"/>
      <c r="E195" s="25"/>
      <c r="F195" s="26"/>
      <c r="G195" s="27"/>
      <c r="H195" s="20"/>
      <c r="I195" s="21"/>
      <c r="J195" s="28"/>
      <c r="K195" s="19"/>
    </row>
    <row r="196" spans="1:11" ht="13.2">
      <c r="A196" s="22"/>
      <c r="B196" s="16"/>
      <c r="C196" s="23"/>
      <c r="D196" s="24"/>
      <c r="E196" s="25"/>
      <c r="F196" s="26"/>
      <c r="G196" s="27"/>
      <c r="H196" s="20"/>
      <c r="I196" s="21"/>
      <c r="J196" s="28"/>
      <c r="K196" s="19"/>
    </row>
    <row r="197" spans="1:11" ht="13.2">
      <c r="A197" s="22"/>
      <c r="B197" s="16"/>
      <c r="C197" s="23"/>
      <c r="D197" s="24"/>
      <c r="E197" s="25"/>
      <c r="F197" s="26"/>
      <c r="G197" s="27"/>
      <c r="H197" s="20"/>
      <c r="I197" s="21"/>
      <c r="J197" s="28"/>
      <c r="K197" s="19"/>
    </row>
    <row r="198" spans="1:11" ht="13.2">
      <c r="A198" s="22"/>
      <c r="B198" s="16"/>
      <c r="C198" s="23"/>
      <c r="D198" s="24"/>
      <c r="E198" s="25"/>
      <c r="F198" s="26"/>
      <c r="G198" s="27"/>
      <c r="H198" s="20"/>
      <c r="I198" s="21"/>
      <c r="J198" s="28"/>
      <c r="K198" s="19"/>
    </row>
    <row r="199" spans="1:11" ht="13.2">
      <c r="A199" s="22"/>
      <c r="B199" s="16"/>
      <c r="C199" s="23"/>
      <c r="D199" s="24"/>
      <c r="E199" s="25"/>
      <c r="F199" s="26"/>
      <c r="G199" s="27"/>
      <c r="H199" s="20"/>
      <c r="I199" s="21"/>
      <c r="J199" s="28"/>
      <c r="K199" s="19"/>
    </row>
    <row r="200" spans="1:11" ht="13.2">
      <c r="A200" s="22"/>
      <c r="B200" s="16"/>
      <c r="C200" s="23"/>
      <c r="D200" s="24"/>
      <c r="E200" s="25"/>
      <c r="F200" s="26"/>
      <c r="G200" s="27"/>
      <c r="H200" s="20"/>
      <c r="I200" s="21"/>
      <c r="J200" s="28"/>
      <c r="K200" s="19"/>
    </row>
    <row r="201" spans="1:11" ht="13.2">
      <c r="A201" s="22"/>
      <c r="B201" s="16"/>
      <c r="C201" s="23"/>
      <c r="D201" s="24"/>
      <c r="E201" s="25"/>
      <c r="F201" s="26"/>
      <c r="G201" s="27"/>
      <c r="H201" s="20"/>
      <c r="I201" s="21"/>
      <c r="J201" s="28"/>
      <c r="K201" s="19"/>
    </row>
    <row r="202" spans="1:11" ht="13.2">
      <c r="A202" s="22"/>
      <c r="B202" s="16"/>
      <c r="C202" s="23"/>
      <c r="D202" s="24"/>
      <c r="E202" s="25"/>
      <c r="F202" s="26"/>
      <c r="G202" s="27"/>
      <c r="H202" s="20"/>
      <c r="I202" s="21"/>
      <c r="J202" s="28"/>
      <c r="K202" s="19"/>
    </row>
    <row r="203" spans="1:11" ht="13.2">
      <c r="A203" s="22"/>
      <c r="B203" s="16"/>
      <c r="C203" s="23"/>
      <c r="D203" s="24"/>
      <c r="E203" s="25"/>
      <c r="F203" s="26"/>
      <c r="G203" s="27"/>
      <c r="H203" s="20"/>
      <c r="I203" s="21"/>
      <c r="J203" s="28"/>
      <c r="K203" s="19"/>
    </row>
    <row r="204" spans="1:11" ht="13.2">
      <c r="A204" s="22"/>
      <c r="B204" s="16"/>
      <c r="C204" s="23"/>
      <c r="D204" s="24"/>
      <c r="E204" s="25"/>
      <c r="F204" s="26"/>
      <c r="G204" s="27"/>
      <c r="H204" s="20"/>
      <c r="I204" s="21"/>
      <c r="J204" s="28"/>
      <c r="K204" s="19"/>
    </row>
    <row r="205" spans="1:11" ht="13.2">
      <c r="A205" s="22"/>
      <c r="B205" s="16"/>
      <c r="C205" s="23"/>
      <c r="D205" s="24"/>
      <c r="E205" s="25"/>
      <c r="F205" s="26"/>
      <c r="G205" s="27"/>
      <c r="H205" s="20"/>
      <c r="I205" s="21"/>
      <c r="J205" s="28"/>
      <c r="K205" s="19"/>
    </row>
    <row r="206" spans="1:11" ht="13.2">
      <c r="A206" s="22"/>
      <c r="B206" s="16"/>
      <c r="C206" s="23"/>
      <c r="D206" s="24"/>
      <c r="E206" s="25"/>
      <c r="F206" s="26"/>
      <c r="G206" s="27"/>
      <c r="H206" s="20"/>
      <c r="I206" s="21"/>
      <c r="J206" s="28"/>
      <c r="K206" s="19"/>
    </row>
    <row r="207" spans="1:11" ht="13.2">
      <c r="A207" s="22"/>
      <c r="B207" s="16"/>
      <c r="C207" s="23"/>
      <c r="D207" s="24"/>
      <c r="E207" s="25"/>
      <c r="F207" s="26"/>
      <c r="G207" s="27"/>
      <c r="H207" s="20"/>
      <c r="I207" s="21"/>
      <c r="J207" s="28"/>
      <c r="K207" s="19"/>
    </row>
    <row r="208" spans="1:11" ht="13.2">
      <c r="A208" s="22"/>
      <c r="B208" s="16"/>
      <c r="C208" s="23"/>
      <c r="D208" s="24"/>
      <c r="E208" s="25"/>
      <c r="F208" s="26"/>
      <c r="G208" s="27"/>
      <c r="H208" s="20"/>
      <c r="I208" s="21"/>
      <c r="J208" s="28"/>
      <c r="K208" s="19"/>
    </row>
    <row r="209" spans="1:11" ht="13.2">
      <c r="A209" s="22"/>
      <c r="B209" s="16"/>
      <c r="C209" s="23"/>
      <c r="D209" s="24"/>
      <c r="E209" s="25"/>
      <c r="F209" s="26"/>
      <c r="G209" s="27"/>
      <c r="H209" s="20"/>
      <c r="I209" s="21"/>
      <c r="J209" s="28"/>
      <c r="K209" s="19"/>
    </row>
    <row r="210" spans="1:11" ht="13.2">
      <c r="A210" s="22"/>
      <c r="B210" s="16"/>
      <c r="C210" s="23"/>
      <c r="D210" s="24"/>
      <c r="E210" s="25"/>
      <c r="F210" s="26"/>
      <c r="G210" s="27"/>
      <c r="H210" s="20"/>
      <c r="I210" s="21"/>
      <c r="J210" s="28"/>
      <c r="K210" s="19"/>
    </row>
    <row r="211" spans="1:11" ht="13.2">
      <c r="A211" s="22"/>
      <c r="B211" s="16"/>
      <c r="C211" s="23"/>
      <c r="D211" s="24"/>
      <c r="E211" s="25"/>
      <c r="F211" s="26"/>
      <c r="G211" s="27"/>
      <c r="H211" s="20"/>
      <c r="I211" s="21"/>
      <c r="J211" s="28"/>
      <c r="K211" s="19"/>
    </row>
    <row r="212" spans="1:11" ht="13.2">
      <c r="A212" s="22"/>
      <c r="B212" s="16"/>
      <c r="C212" s="23"/>
      <c r="D212" s="24"/>
      <c r="E212" s="25"/>
      <c r="F212" s="26"/>
      <c r="G212" s="27"/>
      <c r="H212" s="20"/>
      <c r="I212" s="21"/>
      <c r="J212" s="28"/>
      <c r="K212" s="19"/>
    </row>
    <row r="213" spans="1:11" ht="13.2">
      <c r="A213" s="22"/>
      <c r="B213" s="16"/>
      <c r="C213" s="23"/>
      <c r="D213" s="24"/>
      <c r="E213" s="25"/>
      <c r="F213" s="26"/>
      <c r="G213" s="27"/>
      <c r="H213" s="20"/>
      <c r="I213" s="21"/>
      <c r="J213" s="28"/>
      <c r="K213" s="19"/>
    </row>
    <row r="214" spans="1:11" ht="13.2">
      <c r="A214" s="22"/>
      <c r="B214" s="16"/>
      <c r="C214" s="23"/>
      <c r="D214" s="24"/>
      <c r="E214" s="25"/>
      <c r="F214" s="26"/>
      <c r="G214" s="27"/>
      <c r="H214" s="20"/>
      <c r="I214" s="21"/>
      <c r="J214" s="28"/>
      <c r="K214" s="19"/>
    </row>
    <row r="215" spans="1:11" ht="13.2">
      <c r="A215" s="22"/>
      <c r="B215" s="16"/>
      <c r="C215" s="23"/>
      <c r="D215" s="24"/>
      <c r="E215" s="25"/>
      <c r="F215" s="26"/>
      <c r="G215" s="27"/>
      <c r="H215" s="20"/>
      <c r="I215" s="21"/>
      <c r="J215" s="28"/>
      <c r="K215" s="19"/>
    </row>
    <row r="216" spans="1:11" ht="13.2">
      <c r="A216" s="22"/>
      <c r="B216" s="16"/>
      <c r="C216" s="23"/>
      <c r="D216" s="24"/>
      <c r="E216" s="25"/>
      <c r="F216" s="26"/>
      <c r="G216" s="27"/>
      <c r="H216" s="20"/>
      <c r="I216" s="21"/>
      <c r="J216" s="28"/>
      <c r="K216" s="19"/>
    </row>
    <row r="217" spans="1:11" ht="13.2">
      <c r="A217" s="22"/>
      <c r="B217" s="16"/>
      <c r="C217" s="23"/>
      <c r="D217" s="24"/>
      <c r="E217" s="25"/>
      <c r="F217" s="26"/>
      <c r="G217" s="27"/>
      <c r="H217" s="20"/>
      <c r="I217" s="21"/>
      <c r="J217" s="28"/>
      <c r="K217" s="19"/>
    </row>
    <row r="218" spans="1:11" ht="13.2">
      <c r="A218" s="22"/>
      <c r="B218" s="16"/>
      <c r="C218" s="23"/>
      <c r="D218" s="24"/>
      <c r="E218" s="25"/>
      <c r="F218" s="26"/>
      <c r="G218" s="27"/>
      <c r="H218" s="20"/>
      <c r="I218" s="21"/>
      <c r="J218" s="28"/>
      <c r="K218" s="19"/>
    </row>
    <row r="219" spans="1:11" ht="13.2">
      <c r="A219" s="22"/>
      <c r="B219" s="16"/>
      <c r="C219" s="23"/>
      <c r="D219" s="24"/>
      <c r="E219" s="25"/>
      <c r="F219" s="26"/>
      <c r="G219" s="27"/>
      <c r="H219" s="20"/>
      <c r="I219" s="21"/>
      <c r="J219" s="28"/>
      <c r="K219" s="19"/>
    </row>
    <row r="220" spans="1:11" ht="13.2">
      <c r="A220" s="22"/>
      <c r="B220" s="16"/>
      <c r="C220" s="23"/>
      <c r="D220" s="24"/>
      <c r="E220" s="25"/>
      <c r="F220" s="26"/>
      <c r="G220" s="27"/>
      <c r="H220" s="20"/>
      <c r="I220" s="21"/>
      <c r="J220" s="28"/>
      <c r="K220" s="19"/>
    </row>
    <row r="221" spans="1:11" ht="13.2">
      <c r="A221" s="22"/>
      <c r="B221" s="16"/>
      <c r="C221" s="23"/>
      <c r="D221" s="24"/>
      <c r="E221" s="25"/>
      <c r="F221" s="26"/>
      <c r="G221" s="27"/>
      <c r="H221" s="20"/>
      <c r="I221" s="21"/>
      <c r="J221" s="28"/>
      <c r="K221" s="19"/>
    </row>
    <row r="222" spans="1:11" ht="13.2">
      <c r="A222" s="22"/>
      <c r="B222" s="16"/>
      <c r="C222" s="23"/>
      <c r="D222" s="24"/>
      <c r="E222" s="25"/>
      <c r="F222" s="26"/>
      <c r="G222" s="27"/>
      <c r="H222" s="20"/>
      <c r="I222" s="21"/>
      <c r="J222" s="28"/>
      <c r="K222" s="19"/>
    </row>
    <row r="223" spans="1:11" ht="13.2">
      <c r="A223" s="22"/>
      <c r="B223" s="16"/>
      <c r="C223" s="23"/>
      <c r="D223" s="24"/>
      <c r="E223" s="25"/>
      <c r="F223" s="26"/>
      <c r="G223" s="27"/>
      <c r="H223" s="20"/>
      <c r="I223" s="21"/>
      <c r="J223" s="28"/>
      <c r="K223" s="19"/>
    </row>
    <row r="224" spans="1:11" ht="13.2">
      <c r="A224" s="22"/>
      <c r="B224" s="16"/>
      <c r="C224" s="23"/>
      <c r="D224" s="24"/>
      <c r="E224" s="25"/>
      <c r="F224" s="26"/>
      <c r="G224" s="27"/>
      <c r="H224" s="20"/>
      <c r="I224" s="21"/>
      <c r="J224" s="28"/>
      <c r="K224" s="19"/>
    </row>
    <row r="225" spans="1:11" ht="13.2">
      <c r="A225" s="22"/>
      <c r="B225" s="16"/>
      <c r="C225" s="23"/>
      <c r="D225" s="24"/>
      <c r="E225" s="25"/>
      <c r="F225" s="26"/>
      <c r="G225" s="27"/>
      <c r="H225" s="20"/>
      <c r="I225" s="21"/>
      <c r="J225" s="28"/>
      <c r="K225" s="19"/>
    </row>
    <row r="226" spans="1:11" ht="13.2">
      <c r="A226" s="22"/>
      <c r="B226" s="16"/>
      <c r="C226" s="23"/>
      <c r="D226" s="24"/>
      <c r="E226" s="25"/>
      <c r="F226" s="26"/>
      <c r="G226" s="27"/>
      <c r="H226" s="20"/>
      <c r="I226" s="21"/>
      <c r="J226" s="28"/>
      <c r="K226" s="19"/>
    </row>
    <row r="227" spans="1:11" ht="13.2">
      <c r="A227" s="22"/>
      <c r="B227" s="16"/>
      <c r="C227" s="23"/>
      <c r="D227" s="24"/>
      <c r="E227" s="25"/>
      <c r="F227" s="26"/>
      <c r="G227" s="27"/>
      <c r="H227" s="20"/>
      <c r="I227" s="21"/>
      <c r="J227" s="28"/>
      <c r="K227" s="19"/>
    </row>
    <row r="228" spans="1:11" ht="13.2">
      <c r="A228" s="22"/>
      <c r="B228" s="16"/>
      <c r="C228" s="23"/>
      <c r="D228" s="24"/>
      <c r="E228" s="25"/>
      <c r="F228" s="26"/>
      <c r="G228" s="27"/>
      <c r="H228" s="20"/>
      <c r="I228" s="21"/>
      <c r="J228" s="28"/>
      <c r="K228" s="19"/>
    </row>
    <row r="229" spans="1:11" ht="13.2">
      <c r="A229" s="22"/>
      <c r="B229" s="16"/>
      <c r="C229" s="23"/>
      <c r="D229" s="24"/>
      <c r="E229" s="25"/>
      <c r="F229" s="26"/>
      <c r="G229" s="27"/>
      <c r="H229" s="20"/>
      <c r="I229" s="21"/>
      <c r="J229" s="28"/>
      <c r="K229" s="19"/>
    </row>
    <row r="230" spans="1:11" ht="13.2">
      <c r="A230" s="22"/>
      <c r="B230" s="16"/>
      <c r="C230" s="23"/>
      <c r="D230" s="24"/>
      <c r="E230" s="25"/>
      <c r="F230" s="26"/>
      <c r="G230" s="27"/>
      <c r="H230" s="20"/>
      <c r="I230" s="21"/>
      <c r="J230" s="28"/>
      <c r="K230" s="19"/>
    </row>
    <row r="231" spans="1:11" ht="13.2">
      <c r="A231" s="22"/>
      <c r="B231" s="16"/>
      <c r="C231" s="23"/>
      <c r="D231" s="24"/>
      <c r="E231" s="25"/>
      <c r="F231" s="26"/>
      <c r="G231" s="27"/>
      <c r="H231" s="20"/>
      <c r="I231" s="21"/>
      <c r="J231" s="28"/>
      <c r="K231" s="19"/>
    </row>
    <row r="232" spans="1:11" ht="13.2">
      <c r="A232" s="22"/>
      <c r="B232" s="16"/>
      <c r="C232" s="23"/>
      <c r="D232" s="24"/>
      <c r="E232" s="25"/>
      <c r="F232" s="26"/>
      <c r="G232" s="27"/>
      <c r="H232" s="20"/>
      <c r="I232" s="21"/>
      <c r="J232" s="28"/>
      <c r="K232" s="19"/>
    </row>
    <row r="233" spans="1:11" ht="13.2">
      <c r="A233" s="22"/>
      <c r="B233" s="16"/>
      <c r="C233" s="23"/>
      <c r="D233" s="24"/>
      <c r="E233" s="25"/>
      <c r="F233" s="26"/>
      <c r="G233" s="27"/>
      <c r="H233" s="20"/>
      <c r="I233" s="21"/>
      <c r="J233" s="28"/>
      <c r="K233" s="19"/>
    </row>
    <row r="234" spans="1:11" ht="13.2">
      <c r="A234" s="22"/>
      <c r="B234" s="16"/>
      <c r="C234" s="23"/>
      <c r="D234" s="24"/>
      <c r="E234" s="25"/>
      <c r="F234" s="26"/>
      <c r="G234" s="27"/>
      <c r="H234" s="20"/>
      <c r="I234" s="21"/>
      <c r="J234" s="28"/>
      <c r="K234" s="19"/>
    </row>
    <row r="235" spans="1:11" ht="13.2">
      <c r="A235" s="22"/>
      <c r="B235" s="16"/>
      <c r="C235" s="23"/>
      <c r="D235" s="24"/>
      <c r="E235" s="25"/>
      <c r="F235" s="26"/>
      <c r="G235" s="27"/>
      <c r="H235" s="20"/>
      <c r="I235" s="21"/>
      <c r="J235" s="28"/>
      <c r="K235" s="19"/>
    </row>
    <row r="236" spans="1:11" ht="13.2">
      <c r="A236" s="22"/>
      <c r="B236" s="16"/>
      <c r="C236" s="23"/>
      <c r="D236" s="24"/>
      <c r="E236" s="25"/>
      <c r="F236" s="26"/>
      <c r="G236" s="27"/>
      <c r="H236" s="20"/>
      <c r="I236" s="21"/>
      <c r="J236" s="28"/>
      <c r="K236" s="19"/>
    </row>
    <row r="237" spans="1:11" ht="13.2">
      <c r="A237" s="22"/>
      <c r="B237" s="16"/>
      <c r="C237" s="23"/>
      <c r="D237" s="24"/>
      <c r="E237" s="25"/>
      <c r="F237" s="26"/>
      <c r="G237" s="27"/>
      <c r="H237" s="20"/>
      <c r="I237" s="21"/>
      <c r="J237" s="28"/>
      <c r="K237" s="19"/>
    </row>
    <row r="238" spans="1:11" ht="13.2">
      <c r="A238" s="22"/>
      <c r="B238" s="16"/>
      <c r="C238" s="23"/>
      <c r="D238" s="24"/>
      <c r="E238" s="25"/>
      <c r="F238" s="26"/>
      <c r="G238" s="27"/>
      <c r="H238" s="20"/>
      <c r="I238" s="21"/>
      <c r="J238" s="28"/>
      <c r="K238" s="19"/>
    </row>
    <row r="239" spans="1:11" ht="13.2">
      <c r="A239" s="22"/>
      <c r="B239" s="16"/>
      <c r="C239" s="23"/>
      <c r="D239" s="24"/>
      <c r="E239" s="25"/>
      <c r="F239" s="26"/>
      <c r="G239" s="27"/>
      <c r="H239" s="20"/>
      <c r="I239" s="21"/>
      <c r="J239" s="28"/>
      <c r="K239" s="19"/>
    </row>
    <row r="240" spans="1:11" ht="13.2">
      <c r="A240" s="22"/>
      <c r="B240" s="16"/>
      <c r="C240" s="23"/>
      <c r="D240" s="24"/>
      <c r="E240" s="25"/>
      <c r="F240" s="26"/>
      <c r="G240" s="27"/>
      <c r="H240" s="20"/>
      <c r="I240" s="21"/>
      <c r="J240" s="28"/>
      <c r="K240" s="19"/>
    </row>
    <row r="241" spans="1:11" ht="13.2">
      <c r="A241" s="22"/>
      <c r="B241" s="16"/>
      <c r="C241" s="23"/>
      <c r="D241" s="24"/>
      <c r="E241" s="25"/>
      <c r="F241" s="26"/>
      <c r="G241" s="27"/>
      <c r="H241" s="20"/>
      <c r="I241" s="21"/>
      <c r="J241" s="28"/>
      <c r="K241" s="19"/>
    </row>
    <row r="242" spans="1:11" ht="13.2">
      <c r="A242" s="22"/>
      <c r="B242" s="16"/>
      <c r="C242" s="23"/>
      <c r="D242" s="24"/>
      <c r="E242" s="25"/>
      <c r="F242" s="26"/>
      <c r="G242" s="27"/>
      <c r="H242" s="20"/>
      <c r="I242" s="21"/>
      <c r="J242" s="28"/>
      <c r="K242" s="19"/>
    </row>
    <row r="243" spans="1:11" ht="13.2">
      <c r="A243" s="22"/>
      <c r="B243" s="16"/>
      <c r="C243" s="23"/>
      <c r="D243" s="24"/>
      <c r="E243" s="25"/>
      <c r="F243" s="26"/>
      <c r="G243" s="27"/>
      <c r="H243" s="20"/>
      <c r="I243" s="21"/>
      <c r="J243" s="28"/>
      <c r="K243" s="19"/>
    </row>
    <row r="244" spans="1:11" ht="13.2">
      <c r="A244" s="22"/>
      <c r="B244" s="16"/>
      <c r="C244" s="23"/>
      <c r="D244" s="24"/>
      <c r="E244" s="25"/>
      <c r="F244" s="26"/>
      <c r="G244" s="27"/>
      <c r="H244" s="20"/>
      <c r="I244" s="21"/>
      <c r="J244" s="28"/>
      <c r="K244" s="19"/>
    </row>
    <row r="245" spans="1:11" ht="13.2">
      <c r="A245" s="22"/>
      <c r="B245" s="16"/>
      <c r="C245" s="23"/>
      <c r="D245" s="24"/>
      <c r="E245" s="25"/>
      <c r="F245" s="26"/>
      <c r="G245" s="27"/>
      <c r="H245" s="20"/>
      <c r="I245" s="21"/>
      <c r="J245" s="28"/>
      <c r="K245" s="19"/>
    </row>
    <row r="246" spans="1:11" ht="13.2">
      <c r="A246" s="22"/>
      <c r="B246" s="16"/>
      <c r="C246" s="23"/>
      <c r="D246" s="24"/>
      <c r="E246" s="25"/>
      <c r="F246" s="26"/>
      <c r="G246" s="27"/>
      <c r="H246" s="20"/>
      <c r="I246" s="21"/>
      <c r="J246" s="28"/>
      <c r="K246" s="19"/>
    </row>
    <row r="247" spans="1:11" ht="13.2">
      <c r="A247" s="22"/>
      <c r="B247" s="16"/>
      <c r="C247" s="23"/>
      <c r="D247" s="24"/>
      <c r="E247" s="25"/>
      <c r="F247" s="26"/>
      <c r="G247" s="27"/>
      <c r="H247" s="20"/>
      <c r="I247" s="21"/>
      <c r="J247" s="28"/>
      <c r="K247" s="19"/>
    </row>
    <row r="248" spans="1:11" ht="13.2">
      <c r="A248" s="22"/>
      <c r="B248" s="16"/>
      <c r="C248" s="23"/>
      <c r="D248" s="24"/>
      <c r="E248" s="25"/>
      <c r="F248" s="26"/>
      <c r="G248" s="27"/>
      <c r="H248" s="20"/>
      <c r="I248" s="21"/>
      <c r="J248" s="28"/>
      <c r="K248" s="19"/>
    </row>
    <row r="249" spans="1:11" ht="13.2">
      <c r="A249" s="22"/>
      <c r="B249" s="16"/>
      <c r="C249" s="23"/>
      <c r="D249" s="24"/>
      <c r="E249" s="25"/>
      <c r="F249" s="26"/>
      <c r="G249" s="27"/>
      <c r="H249" s="20"/>
      <c r="I249" s="21"/>
      <c r="J249" s="28"/>
      <c r="K249" s="19"/>
    </row>
    <row r="250" spans="1:11" ht="13.2">
      <c r="A250" s="22"/>
      <c r="B250" s="16"/>
      <c r="C250" s="23"/>
      <c r="D250" s="24"/>
      <c r="E250" s="25"/>
      <c r="F250" s="26"/>
      <c r="G250" s="27"/>
      <c r="H250" s="20"/>
      <c r="I250" s="21"/>
      <c r="J250" s="28"/>
      <c r="K250" s="19"/>
    </row>
    <row r="251" spans="1:11" ht="13.2">
      <c r="A251" s="22"/>
      <c r="B251" s="16"/>
      <c r="C251" s="23"/>
      <c r="D251" s="24"/>
      <c r="E251" s="25"/>
      <c r="F251" s="26"/>
      <c r="G251" s="27"/>
      <c r="H251" s="20"/>
      <c r="I251" s="21"/>
      <c r="J251" s="28"/>
      <c r="K251" s="19"/>
    </row>
    <row r="252" spans="1:11" ht="13.2">
      <c r="A252" s="22"/>
      <c r="B252" s="16"/>
      <c r="C252" s="23"/>
      <c r="D252" s="24"/>
      <c r="E252" s="25"/>
      <c r="F252" s="26"/>
      <c r="G252" s="27"/>
      <c r="H252" s="20"/>
      <c r="I252" s="21"/>
      <c r="J252" s="28"/>
      <c r="K252" s="19"/>
    </row>
    <row r="253" spans="1:11" ht="13.2">
      <c r="A253" s="22"/>
      <c r="B253" s="16"/>
      <c r="C253" s="23"/>
      <c r="D253" s="24"/>
      <c r="E253" s="25"/>
      <c r="F253" s="26"/>
      <c r="G253" s="27"/>
      <c r="H253" s="20"/>
      <c r="I253" s="21"/>
      <c r="J253" s="28"/>
      <c r="K253" s="19"/>
    </row>
    <row r="254" spans="1:11" ht="13.2">
      <c r="A254" s="22"/>
      <c r="B254" s="16"/>
      <c r="C254" s="23"/>
      <c r="D254" s="24"/>
      <c r="E254" s="25"/>
      <c r="F254" s="26"/>
      <c r="G254" s="27"/>
      <c r="H254" s="20"/>
      <c r="I254" s="21"/>
      <c r="J254" s="28"/>
      <c r="K254" s="19"/>
    </row>
    <row r="255" spans="1:11" ht="13.2">
      <c r="A255" s="22"/>
      <c r="B255" s="16"/>
      <c r="C255" s="23"/>
      <c r="D255" s="24"/>
      <c r="E255" s="25"/>
      <c r="F255" s="26"/>
      <c r="G255" s="27"/>
      <c r="H255" s="20"/>
      <c r="I255" s="21"/>
      <c r="J255" s="28"/>
      <c r="K255" s="19"/>
    </row>
    <row r="256" spans="1:11" ht="13.2">
      <c r="A256" s="22"/>
      <c r="B256" s="16"/>
      <c r="C256" s="23"/>
      <c r="D256" s="24"/>
      <c r="E256" s="25"/>
      <c r="F256" s="26"/>
      <c r="G256" s="27"/>
      <c r="H256" s="20"/>
      <c r="I256" s="21"/>
      <c r="J256" s="28"/>
      <c r="K256" s="19"/>
    </row>
    <row r="257" spans="1:11" ht="13.2">
      <c r="A257" s="22"/>
      <c r="B257" s="16"/>
      <c r="C257" s="23"/>
      <c r="D257" s="24"/>
      <c r="E257" s="25"/>
      <c r="F257" s="26"/>
      <c r="G257" s="27"/>
      <c r="H257" s="20"/>
      <c r="I257" s="21"/>
      <c r="J257" s="28"/>
      <c r="K257" s="19"/>
    </row>
    <row r="258" spans="1:11" ht="13.2">
      <c r="A258" s="22"/>
      <c r="B258" s="16"/>
      <c r="C258" s="23"/>
      <c r="D258" s="24"/>
      <c r="E258" s="25"/>
      <c r="F258" s="26"/>
      <c r="G258" s="27"/>
      <c r="H258" s="20"/>
      <c r="I258" s="21"/>
      <c r="J258" s="28"/>
      <c r="K258" s="19"/>
    </row>
    <row r="259" spans="1:11" ht="13.2">
      <c r="A259" s="22"/>
      <c r="B259" s="16"/>
      <c r="C259" s="23"/>
      <c r="D259" s="24"/>
      <c r="E259" s="25"/>
      <c r="F259" s="26"/>
      <c r="G259" s="27"/>
      <c r="H259" s="20"/>
      <c r="I259" s="21"/>
      <c r="J259" s="28"/>
      <c r="K259" s="19"/>
    </row>
    <row r="260" spans="1:11" ht="13.2">
      <c r="A260" s="22"/>
      <c r="B260" s="16"/>
      <c r="C260" s="23"/>
      <c r="D260" s="24"/>
      <c r="E260" s="25"/>
      <c r="F260" s="26"/>
      <c r="G260" s="27"/>
      <c r="H260" s="20"/>
      <c r="I260" s="21"/>
      <c r="J260" s="28"/>
      <c r="K260" s="19"/>
    </row>
    <row r="261" spans="1:11" ht="13.2">
      <c r="A261" s="22"/>
      <c r="B261" s="16"/>
      <c r="C261" s="23"/>
      <c r="D261" s="24"/>
      <c r="E261" s="25"/>
      <c r="F261" s="26"/>
      <c r="G261" s="27"/>
      <c r="H261" s="20"/>
      <c r="I261" s="21"/>
      <c r="J261" s="28"/>
      <c r="K261" s="19"/>
    </row>
    <row r="262" spans="1:11" ht="13.2">
      <c r="A262" s="22"/>
      <c r="B262" s="16"/>
      <c r="C262" s="23"/>
      <c r="D262" s="24"/>
      <c r="E262" s="25"/>
      <c r="F262" s="26"/>
      <c r="G262" s="27"/>
      <c r="H262" s="20"/>
      <c r="I262" s="21"/>
      <c r="J262" s="28"/>
      <c r="K262" s="19"/>
    </row>
    <row r="263" spans="1:11" ht="13.2">
      <c r="A263" s="22"/>
      <c r="B263" s="16"/>
      <c r="C263" s="23"/>
      <c r="D263" s="24"/>
      <c r="E263" s="25"/>
      <c r="F263" s="26"/>
      <c r="G263" s="27"/>
      <c r="H263" s="20"/>
      <c r="I263" s="21"/>
      <c r="J263" s="28"/>
      <c r="K263" s="19"/>
    </row>
    <row r="264" spans="1:11" ht="13.2">
      <c r="A264" s="22"/>
      <c r="B264" s="16"/>
      <c r="C264" s="23"/>
      <c r="D264" s="24"/>
      <c r="E264" s="25"/>
      <c r="F264" s="26"/>
      <c r="G264" s="27"/>
      <c r="H264" s="20"/>
      <c r="I264" s="21"/>
      <c r="J264" s="28"/>
      <c r="K264" s="19"/>
    </row>
    <row r="265" spans="1:11" ht="13.2">
      <c r="A265" s="22"/>
      <c r="B265" s="16"/>
      <c r="C265" s="23"/>
      <c r="D265" s="24"/>
      <c r="E265" s="25"/>
      <c r="F265" s="26"/>
      <c r="G265" s="27"/>
      <c r="H265" s="20"/>
      <c r="I265" s="21"/>
      <c r="J265" s="28"/>
      <c r="K265" s="19"/>
    </row>
    <row r="266" spans="1:11" ht="13.2">
      <c r="A266" s="22"/>
      <c r="B266" s="16"/>
      <c r="C266" s="23"/>
      <c r="D266" s="24"/>
      <c r="E266" s="25"/>
      <c r="F266" s="26"/>
      <c r="G266" s="27"/>
      <c r="H266" s="20"/>
      <c r="I266" s="21"/>
      <c r="J266" s="28"/>
      <c r="K266" s="19"/>
    </row>
    <row r="267" spans="1:11" ht="13.2">
      <c r="A267" s="22"/>
      <c r="B267" s="16"/>
      <c r="C267" s="23"/>
      <c r="D267" s="24"/>
      <c r="E267" s="25"/>
      <c r="F267" s="26"/>
      <c r="G267" s="27"/>
      <c r="H267" s="20"/>
      <c r="I267" s="21"/>
      <c r="J267" s="28"/>
      <c r="K267" s="19"/>
    </row>
    <row r="268" spans="1:11" ht="13.2">
      <c r="A268" s="22"/>
      <c r="B268" s="16"/>
      <c r="C268" s="23"/>
      <c r="D268" s="24"/>
      <c r="E268" s="25"/>
      <c r="F268" s="26"/>
      <c r="G268" s="27"/>
      <c r="H268" s="20"/>
      <c r="I268" s="21"/>
      <c r="J268" s="28"/>
      <c r="K268" s="19"/>
    </row>
    <row r="269" spans="1:11" ht="13.2">
      <c r="A269" s="22"/>
      <c r="B269" s="16"/>
      <c r="C269" s="23"/>
      <c r="D269" s="24"/>
      <c r="E269" s="25"/>
      <c r="F269" s="26"/>
      <c r="G269" s="27"/>
      <c r="H269" s="20"/>
      <c r="I269" s="21"/>
      <c r="J269" s="28"/>
      <c r="K269" s="19"/>
    </row>
    <row r="270" spans="1:11" ht="13.2">
      <c r="A270" s="22"/>
      <c r="B270" s="16"/>
      <c r="C270" s="23"/>
      <c r="D270" s="24"/>
      <c r="E270" s="25"/>
      <c r="F270" s="26"/>
      <c r="G270" s="27"/>
      <c r="H270" s="20"/>
      <c r="I270" s="21"/>
      <c r="J270" s="28"/>
      <c r="K270" s="19"/>
    </row>
    <row r="271" spans="1:11" ht="13.2">
      <c r="A271" s="22"/>
      <c r="B271" s="16"/>
      <c r="C271" s="23"/>
      <c r="D271" s="24"/>
      <c r="E271" s="25"/>
      <c r="F271" s="26"/>
      <c r="G271" s="27"/>
      <c r="H271" s="20"/>
      <c r="I271" s="21"/>
      <c r="J271" s="28"/>
      <c r="K271" s="19"/>
    </row>
    <row r="272" spans="1:11" ht="13.2">
      <c r="A272" s="22"/>
      <c r="B272" s="16"/>
      <c r="C272" s="23"/>
      <c r="D272" s="24"/>
      <c r="E272" s="25"/>
      <c r="F272" s="26"/>
      <c r="G272" s="27"/>
      <c r="H272" s="20"/>
      <c r="I272" s="21"/>
      <c r="J272" s="28"/>
      <c r="K272" s="19"/>
    </row>
    <row r="273" spans="1:11" ht="13.2">
      <c r="A273" s="22"/>
      <c r="B273" s="16"/>
      <c r="C273" s="23"/>
      <c r="D273" s="24"/>
      <c r="E273" s="25"/>
      <c r="F273" s="26"/>
      <c r="G273" s="27"/>
      <c r="H273" s="20"/>
      <c r="I273" s="21"/>
      <c r="J273" s="28"/>
      <c r="K273" s="19"/>
    </row>
    <row r="274" spans="1:11" ht="13.2">
      <c r="A274" s="22"/>
      <c r="B274" s="16"/>
      <c r="C274" s="23"/>
      <c r="D274" s="24"/>
      <c r="E274" s="25"/>
      <c r="F274" s="26"/>
      <c r="G274" s="27"/>
      <c r="H274" s="20"/>
      <c r="I274" s="21"/>
      <c r="J274" s="28"/>
      <c r="K274" s="19"/>
    </row>
    <row r="275" spans="1:11" ht="13.2">
      <c r="A275" s="22"/>
      <c r="B275" s="16"/>
      <c r="C275" s="23"/>
      <c r="D275" s="24"/>
      <c r="E275" s="25"/>
      <c r="F275" s="26"/>
      <c r="G275" s="27"/>
      <c r="H275" s="20"/>
      <c r="I275" s="21"/>
      <c r="J275" s="28"/>
      <c r="K275" s="19"/>
    </row>
    <row r="276" spans="1:11" ht="13.2">
      <c r="A276" s="22"/>
      <c r="B276" s="16"/>
      <c r="C276" s="23"/>
      <c r="D276" s="24"/>
      <c r="E276" s="25"/>
      <c r="F276" s="26"/>
      <c r="G276" s="27"/>
      <c r="H276" s="20"/>
      <c r="I276" s="21"/>
      <c r="J276" s="28"/>
      <c r="K276" s="19"/>
    </row>
    <row r="277" spans="1:11" ht="13.2">
      <c r="A277" s="22"/>
      <c r="B277" s="16"/>
      <c r="C277" s="23"/>
      <c r="D277" s="24"/>
      <c r="E277" s="25"/>
      <c r="F277" s="26"/>
      <c r="G277" s="27"/>
      <c r="H277" s="20"/>
      <c r="I277" s="21"/>
      <c r="J277" s="28"/>
      <c r="K277" s="19"/>
    </row>
    <row r="278" spans="1:11" ht="13.2">
      <c r="A278" s="22"/>
      <c r="B278" s="16"/>
      <c r="C278" s="23"/>
      <c r="D278" s="24"/>
      <c r="E278" s="25"/>
      <c r="F278" s="26"/>
      <c r="G278" s="27"/>
      <c r="H278" s="20"/>
      <c r="I278" s="21"/>
      <c r="J278" s="28"/>
      <c r="K278" s="19"/>
    </row>
    <row r="279" spans="1:11" ht="13.2">
      <c r="A279" s="22"/>
      <c r="B279" s="16"/>
      <c r="C279" s="23"/>
      <c r="D279" s="24"/>
      <c r="E279" s="25"/>
      <c r="F279" s="26"/>
      <c r="G279" s="27"/>
      <c r="H279" s="20"/>
      <c r="I279" s="21"/>
      <c r="J279" s="28"/>
      <c r="K279" s="19"/>
    </row>
    <row r="280" spans="1:11" ht="13.2">
      <c r="A280" s="22"/>
      <c r="B280" s="16"/>
      <c r="C280" s="23"/>
      <c r="D280" s="24"/>
      <c r="E280" s="25"/>
      <c r="F280" s="26"/>
      <c r="G280" s="27"/>
      <c r="H280" s="20"/>
      <c r="I280" s="21"/>
      <c r="J280" s="28"/>
      <c r="K280" s="19"/>
    </row>
    <row r="281" spans="1:11" ht="13.2">
      <c r="A281" s="22"/>
      <c r="B281" s="16"/>
      <c r="C281" s="23"/>
      <c r="D281" s="24"/>
      <c r="E281" s="25"/>
      <c r="F281" s="26"/>
      <c r="G281" s="27"/>
      <c r="H281" s="20"/>
      <c r="I281" s="21"/>
      <c r="J281" s="28"/>
      <c r="K281" s="19"/>
    </row>
    <row r="282" spans="1:11" ht="13.2">
      <c r="A282" s="22"/>
      <c r="B282" s="16"/>
      <c r="C282" s="23"/>
      <c r="D282" s="24"/>
      <c r="E282" s="25"/>
      <c r="F282" s="26"/>
      <c r="G282" s="27"/>
      <c r="H282" s="20"/>
      <c r="I282" s="21"/>
      <c r="J282" s="28"/>
      <c r="K282" s="19"/>
    </row>
    <row r="283" spans="1:11" ht="13.2">
      <c r="A283" s="22"/>
      <c r="B283" s="16"/>
      <c r="C283" s="23"/>
      <c r="D283" s="24"/>
      <c r="E283" s="25"/>
      <c r="F283" s="26"/>
      <c r="G283" s="27"/>
      <c r="H283" s="20"/>
      <c r="I283" s="21"/>
      <c r="J283" s="28"/>
      <c r="K283" s="19"/>
    </row>
    <row r="284" spans="1:11" ht="13.2">
      <c r="A284" s="22"/>
      <c r="B284" s="16"/>
      <c r="C284" s="23"/>
      <c r="D284" s="24"/>
      <c r="E284" s="25"/>
      <c r="F284" s="26"/>
      <c r="G284" s="27"/>
      <c r="H284" s="20"/>
      <c r="I284" s="21"/>
      <c r="J284" s="28"/>
      <c r="K284" s="19"/>
    </row>
    <row r="285" spans="1:11" ht="13.2">
      <c r="A285" s="22"/>
      <c r="B285" s="16"/>
      <c r="C285" s="23"/>
      <c r="D285" s="24"/>
      <c r="E285" s="25"/>
      <c r="F285" s="26"/>
      <c r="G285" s="27"/>
      <c r="H285" s="20"/>
      <c r="I285" s="21"/>
      <c r="J285" s="28"/>
      <c r="K285" s="19"/>
    </row>
    <row r="286" spans="1:11" ht="13.2">
      <c r="A286" s="22"/>
      <c r="B286" s="16"/>
      <c r="C286" s="23"/>
      <c r="D286" s="24"/>
      <c r="E286" s="25"/>
      <c r="F286" s="26"/>
      <c r="G286" s="27"/>
      <c r="H286" s="20"/>
      <c r="I286" s="21"/>
      <c r="J286" s="28"/>
      <c r="K286" s="19"/>
    </row>
    <row r="287" spans="1:11" ht="13.2">
      <c r="A287" s="22"/>
      <c r="B287" s="16"/>
      <c r="C287" s="23"/>
      <c r="D287" s="24"/>
      <c r="E287" s="25"/>
      <c r="F287" s="26"/>
      <c r="G287" s="27"/>
      <c r="H287" s="20"/>
      <c r="I287" s="21"/>
      <c r="J287" s="28"/>
      <c r="K287" s="19"/>
    </row>
    <row r="288" spans="1:11" ht="13.2">
      <c r="A288" s="22"/>
      <c r="B288" s="16"/>
      <c r="C288" s="23"/>
      <c r="D288" s="24"/>
      <c r="E288" s="25"/>
      <c r="F288" s="26"/>
      <c r="G288" s="27"/>
      <c r="H288" s="20"/>
      <c r="I288" s="21"/>
      <c r="J288" s="28"/>
      <c r="K288" s="19"/>
    </row>
    <row r="289" spans="1:11" ht="13.2">
      <c r="A289" s="22"/>
      <c r="B289" s="16"/>
      <c r="C289" s="23"/>
      <c r="D289" s="24"/>
      <c r="E289" s="25"/>
      <c r="F289" s="26"/>
      <c r="G289" s="27"/>
      <c r="H289" s="20"/>
      <c r="I289" s="21"/>
      <c r="J289" s="28"/>
      <c r="K289" s="19"/>
    </row>
    <row r="290" spans="1:11" ht="13.2">
      <c r="A290" s="22"/>
      <c r="B290" s="16"/>
      <c r="C290" s="23"/>
      <c r="D290" s="24"/>
      <c r="E290" s="25"/>
      <c r="F290" s="26"/>
      <c r="G290" s="27"/>
      <c r="H290" s="20"/>
      <c r="I290" s="21"/>
      <c r="J290" s="28"/>
      <c r="K290" s="19"/>
    </row>
    <row r="291" spans="1:11" ht="13.2">
      <c r="A291" s="22"/>
      <c r="B291" s="16"/>
      <c r="C291" s="23"/>
      <c r="D291" s="24"/>
      <c r="E291" s="25"/>
      <c r="F291" s="26"/>
      <c r="G291" s="27"/>
      <c r="H291" s="20"/>
      <c r="I291" s="21"/>
      <c r="J291" s="28"/>
      <c r="K291" s="19"/>
    </row>
    <row r="292" spans="1:11" ht="13.2">
      <c r="A292" s="22"/>
      <c r="B292" s="16"/>
      <c r="C292" s="23"/>
      <c r="D292" s="24"/>
      <c r="E292" s="25"/>
      <c r="F292" s="26"/>
      <c r="G292" s="27"/>
      <c r="H292" s="20"/>
      <c r="I292" s="21"/>
      <c r="J292" s="28"/>
      <c r="K292" s="19"/>
    </row>
    <row r="293" spans="1:11" ht="13.2">
      <c r="A293" s="22"/>
      <c r="B293" s="16"/>
      <c r="C293" s="23"/>
      <c r="D293" s="24"/>
      <c r="E293" s="25"/>
      <c r="F293" s="26"/>
      <c r="G293" s="27"/>
      <c r="H293" s="20"/>
      <c r="I293" s="21"/>
      <c r="J293" s="28"/>
      <c r="K293" s="19"/>
    </row>
    <row r="294" spans="1:11" ht="13.2">
      <c r="A294" s="22"/>
      <c r="B294" s="16"/>
      <c r="C294" s="23"/>
      <c r="D294" s="24"/>
      <c r="E294" s="25"/>
      <c r="F294" s="26"/>
      <c r="G294" s="27"/>
      <c r="H294" s="20"/>
      <c r="I294" s="21"/>
      <c r="J294" s="28"/>
      <c r="K294" s="19"/>
    </row>
    <row r="295" spans="1:11" ht="13.2">
      <c r="A295" s="22"/>
      <c r="B295" s="16"/>
      <c r="C295" s="23"/>
      <c r="D295" s="24"/>
      <c r="E295" s="25"/>
      <c r="F295" s="26"/>
      <c r="G295" s="27"/>
      <c r="H295" s="20"/>
      <c r="I295" s="21"/>
      <c r="J295" s="28"/>
      <c r="K295" s="19"/>
    </row>
    <row r="296" spans="1:11" ht="13.2">
      <c r="A296" s="22"/>
      <c r="B296" s="16"/>
      <c r="C296" s="23"/>
      <c r="D296" s="24"/>
      <c r="E296" s="25"/>
      <c r="F296" s="26"/>
      <c r="G296" s="27"/>
      <c r="H296" s="20"/>
      <c r="I296" s="21"/>
      <c r="J296" s="28"/>
      <c r="K296" s="19"/>
    </row>
    <row r="297" spans="1:11" ht="13.2">
      <c r="A297" s="22"/>
      <c r="B297" s="16"/>
      <c r="C297" s="23"/>
      <c r="D297" s="24"/>
      <c r="E297" s="25"/>
      <c r="F297" s="26"/>
      <c r="G297" s="27"/>
      <c r="H297" s="20"/>
      <c r="I297" s="21"/>
      <c r="J297" s="28"/>
      <c r="K297" s="19"/>
    </row>
    <row r="298" spans="1:11" ht="13.2">
      <c r="A298" s="22"/>
      <c r="B298" s="16"/>
      <c r="C298" s="23"/>
      <c r="D298" s="24"/>
      <c r="E298" s="25"/>
      <c r="F298" s="26"/>
      <c r="G298" s="27"/>
      <c r="H298" s="20"/>
      <c r="I298" s="21"/>
      <c r="J298" s="28"/>
      <c r="K298" s="19"/>
    </row>
    <row r="299" spans="1:11" ht="13.2">
      <c r="A299" s="22"/>
      <c r="B299" s="16"/>
      <c r="C299" s="23"/>
      <c r="D299" s="24"/>
      <c r="E299" s="25"/>
      <c r="F299" s="26"/>
      <c r="G299" s="27"/>
      <c r="H299" s="20"/>
      <c r="I299" s="21"/>
      <c r="J299" s="28"/>
      <c r="K299" s="19"/>
    </row>
    <row r="300" spans="1:11" ht="13.2">
      <c r="A300" s="22"/>
      <c r="B300" s="16"/>
      <c r="C300" s="23"/>
      <c r="D300" s="24"/>
      <c r="E300" s="25"/>
      <c r="F300" s="26"/>
      <c r="G300" s="27"/>
      <c r="H300" s="20"/>
      <c r="I300" s="21"/>
      <c r="J300" s="28"/>
      <c r="K300" s="19"/>
    </row>
    <row r="301" spans="1:11" ht="13.2">
      <c r="A301" s="22"/>
      <c r="B301" s="16"/>
      <c r="C301" s="23"/>
      <c r="D301" s="24"/>
      <c r="E301" s="25"/>
      <c r="F301" s="26"/>
      <c r="G301" s="27"/>
      <c r="H301" s="20"/>
      <c r="I301" s="21"/>
      <c r="J301" s="28"/>
      <c r="K301" s="19"/>
    </row>
    <row r="302" spans="1:11" ht="13.2">
      <c r="A302" s="22"/>
      <c r="B302" s="16"/>
      <c r="C302" s="23"/>
      <c r="D302" s="24"/>
      <c r="E302" s="25"/>
      <c r="F302" s="26"/>
      <c r="G302" s="27"/>
      <c r="H302" s="20"/>
      <c r="I302" s="21"/>
      <c r="J302" s="28"/>
      <c r="K302" s="19"/>
    </row>
    <row r="303" spans="1:11" ht="13.2">
      <c r="A303" s="22"/>
      <c r="B303" s="16"/>
      <c r="C303" s="23"/>
      <c r="D303" s="24"/>
      <c r="E303" s="25"/>
      <c r="F303" s="26"/>
      <c r="G303" s="27"/>
      <c r="H303" s="20"/>
      <c r="I303" s="21"/>
      <c r="J303" s="28"/>
      <c r="K303" s="19"/>
    </row>
    <row r="304" spans="1:11" ht="13.2">
      <c r="A304" s="22"/>
      <c r="B304" s="16"/>
      <c r="C304" s="23"/>
      <c r="D304" s="24"/>
      <c r="E304" s="25"/>
      <c r="F304" s="26"/>
      <c r="G304" s="27"/>
      <c r="H304" s="20"/>
      <c r="I304" s="21"/>
      <c r="J304" s="28"/>
      <c r="K304" s="19"/>
    </row>
    <row r="305" spans="1:11" ht="13.2">
      <c r="A305" s="22"/>
      <c r="B305" s="16"/>
      <c r="C305" s="23"/>
      <c r="D305" s="24"/>
      <c r="E305" s="25"/>
      <c r="F305" s="26"/>
      <c r="G305" s="27"/>
      <c r="H305" s="20"/>
      <c r="I305" s="21"/>
      <c r="J305" s="28"/>
      <c r="K305" s="19"/>
    </row>
    <row r="306" spans="1:11" ht="13.2">
      <c r="A306" s="22"/>
      <c r="B306" s="16"/>
      <c r="C306" s="23"/>
      <c r="D306" s="24"/>
      <c r="E306" s="25"/>
      <c r="F306" s="26"/>
      <c r="G306" s="27"/>
      <c r="H306" s="20"/>
      <c r="I306" s="21"/>
      <c r="J306" s="28"/>
      <c r="K306" s="19"/>
    </row>
    <row r="307" spans="1:11" ht="13.2">
      <c r="A307" s="22"/>
      <c r="B307" s="16"/>
      <c r="C307" s="23"/>
      <c r="D307" s="24"/>
      <c r="E307" s="25"/>
      <c r="F307" s="26"/>
      <c r="G307" s="27"/>
      <c r="H307" s="20"/>
      <c r="I307" s="21"/>
      <c r="J307" s="28"/>
      <c r="K307" s="19"/>
    </row>
    <row r="308" spans="1:11" ht="13.2">
      <c r="A308" s="22"/>
      <c r="B308" s="16"/>
      <c r="C308" s="23"/>
      <c r="D308" s="24"/>
      <c r="E308" s="25"/>
      <c r="F308" s="26"/>
      <c r="G308" s="27"/>
      <c r="H308" s="20"/>
      <c r="I308" s="21"/>
      <c r="J308" s="28"/>
      <c r="K308" s="19"/>
    </row>
    <row r="309" spans="1:11" ht="13.2">
      <c r="A309" s="22"/>
      <c r="B309" s="16"/>
      <c r="C309" s="23"/>
      <c r="D309" s="24"/>
      <c r="E309" s="25"/>
      <c r="F309" s="26"/>
      <c r="G309" s="27"/>
      <c r="H309" s="20"/>
      <c r="I309" s="21"/>
      <c r="J309" s="28"/>
      <c r="K309" s="19"/>
    </row>
    <row r="310" spans="1:11" ht="13.2">
      <c r="A310" s="22"/>
      <c r="B310" s="16"/>
      <c r="C310" s="23"/>
      <c r="D310" s="24"/>
      <c r="E310" s="25"/>
      <c r="F310" s="26"/>
      <c r="G310" s="27"/>
      <c r="H310" s="20"/>
      <c r="I310" s="21"/>
      <c r="J310" s="28"/>
      <c r="K310" s="19"/>
    </row>
    <row r="311" spans="1:11" ht="13.2">
      <c r="A311" s="22"/>
      <c r="B311" s="16"/>
      <c r="C311" s="23"/>
      <c r="D311" s="24"/>
      <c r="E311" s="25"/>
      <c r="F311" s="26"/>
      <c r="G311" s="27"/>
      <c r="H311" s="20"/>
      <c r="I311" s="21"/>
      <c r="J311" s="28"/>
      <c r="K311" s="19"/>
    </row>
    <row r="312" spans="1:11" ht="13.2">
      <c r="A312" s="22"/>
      <c r="B312" s="16"/>
      <c r="C312" s="23"/>
      <c r="D312" s="24"/>
      <c r="E312" s="25"/>
      <c r="F312" s="26"/>
      <c r="G312" s="27"/>
      <c r="H312" s="20"/>
      <c r="I312" s="21"/>
      <c r="J312" s="28"/>
      <c r="K312" s="19"/>
    </row>
    <row r="313" spans="1:11" ht="13.2">
      <c r="A313" s="22"/>
      <c r="B313" s="16"/>
      <c r="C313" s="23"/>
      <c r="D313" s="24"/>
      <c r="E313" s="25"/>
      <c r="F313" s="26"/>
      <c r="G313" s="27"/>
      <c r="H313" s="20"/>
      <c r="I313" s="21"/>
      <c r="J313" s="28"/>
      <c r="K313" s="19"/>
    </row>
    <row r="314" spans="1:11" ht="13.2">
      <c r="A314" s="22"/>
      <c r="B314" s="16"/>
      <c r="C314" s="23"/>
      <c r="D314" s="24"/>
      <c r="E314" s="25"/>
      <c r="F314" s="26"/>
      <c r="G314" s="27"/>
      <c r="H314" s="20"/>
      <c r="I314" s="21"/>
      <c r="J314" s="28"/>
      <c r="K314" s="19"/>
    </row>
    <row r="315" spans="1:11" ht="13.2">
      <c r="A315" s="22"/>
      <c r="B315" s="16"/>
      <c r="C315" s="23"/>
      <c r="D315" s="24"/>
      <c r="E315" s="25"/>
      <c r="F315" s="26"/>
      <c r="G315" s="27"/>
      <c r="H315" s="20"/>
      <c r="I315" s="21"/>
      <c r="J315" s="28"/>
      <c r="K315" s="19"/>
    </row>
    <row r="316" spans="1:11" ht="13.2">
      <c r="A316" s="22"/>
      <c r="B316" s="16"/>
      <c r="C316" s="23"/>
      <c r="D316" s="24"/>
      <c r="E316" s="25"/>
      <c r="F316" s="26"/>
      <c r="G316" s="27"/>
      <c r="H316" s="20"/>
      <c r="I316" s="21"/>
      <c r="J316" s="28"/>
      <c r="K316" s="19"/>
    </row>
    <row r="317" spans="1:11" ht="13.2">
      <c r="A317" s="22"/>
      <c r="B317" s="16"/>
      <c r="C317" s="23"/>
      <c r="D317" s="24"/>
      <c r="E317" s="25"/>
      <c r="F317" s="26"/>
      <c r="G317" s="27"/>
      <c r="H317" s="20"/>
      <c r="I317" s="21"/>
      <c r="J317" s="28"/>
      <c r="K317" s="19"/>
    </row>
    <row r="318" spans="1:11" ht="13.2">
      <c r="A318" s="22"/>
      <c r="B318" s="16"/>
      <c r="C318" s="23"/>
      <c r="D318" s="24"/>
      <c r="E318" s="25"/>
      <c r="F318" s="26"/>
      <c r="G318" s="27"/>
      <c r="H318" s="20"/>
      <c r="I318" s="21"/>
      <c r="J318" s="28"/>
      <c r="K318" s="19"/>
    </row>
    <row r="319" spans="1:11" ht="13.2">
      <c r="A319" s="22"/>
      <c r="B319" s="16"/>
      <c r="C319" s="23"/>
      <c r="D319" s="24"/>
      <c r="E319" s="25"/>
      <c r="F319" s="26"/>
      <c r="G319" s="27"/>
      <c r="H319" s="20"/>
      <c r="I319" s="21"/>
      <c r="J319" s="28"/>
      <c r="K319" s="19"/>
    </row>
    <row r="320" spans="1:11" ht="13.2">
      <c r="A320" s="22"/>
      <c r="B320" s="16"/>
      <c r="C320" s="23"/>
      <c r="D320" s="24"/>
      <c r="E320" s="25"/>
      <c r="F320" s="26"/>
      <c r="G320" s="27"/>
      <c r="H320" s="20"/>
      <c r="I320" s="21"/>
      <c r="J320" s="28"/>
      <c r="K320" s="19"/>
    </row>
    <row r="321" spans="1:11" ht="13.2">
      <c r="A321" s="22"/>
      <c r="B321" s="16"/>
      <c r="C321" s="23"/>
      <c r="D321" s="24"/>
      <c r="E321" s="25"/>
      <c r="F321" s="26"/>
      <c r="G321" s="27"/>
      <c r="H321" s="20"/>
      <c r="I321" s="21"/>
      <c r="J321" s="28"/>
      <c r="K321" s="19"/>
    </row>
    <row r="322" spans="1:11" ht="13.2">
      <c r="A322" s="22"/>
      <c r="B322" s="16"/>
      <c r="C322" s="23"/>
      <c r="D322" s="24"/>
      <c r="E322" s="25"/>
      <c r="F322" s="26"/>
      <c r="G322" s="27"/>
      <c r="H322" s="20"/>
      <c r="I322" s="21"/>
      <c r="J322" s="28"/>
      <c r="K322" s="19"/>
    </row>
    <row r="323" spans="1:11" ht="13.2">
      <c r="A323" s="22"/>
      <c r="B323" s="16"/>
      <c r="C323" s="23"/>
      <c r="D323" s="24"/>
      <c r="E323" s="25"/>
      <c r="F323" s="26"/>
      <c r="G323" s="27"/>
      <c r="H323" s="20"/>
      <c r="I323" s="21"/>
      <c r="J323" s="28"/>
      <c r="K323" s="19"/>
    </row>
    <row r="324" spans="1:11" ht="13.2">
      <c r="A324" s="22"/>
      <c r="B324" s="16"/>
      <c r="C324" s="23"/>
      <c r="D324" s="24"/>
      <c r="E324" s="25"/>
      <c r="F324" s="26"/>
      <c r="G324" s="27"/>
      <c r="H324" s="20"/>
      <c r="I324" s="21"/>
      <c r="J324" s="28"/>
      <c r="K324" s="19"/>
    </row>
    <row r="325" spans="1:11" ht="13.2">
      <c r="A325" s="22"/>
      <c r="B325" s="16"/>
      <c r="C325" s="23"/>
      <c r="D325" s="24"/>
      <c r="E325" s="25"/>
      <c r="F325" s="26"/>
      <c r="G325" s="27"/>
      <c r="H325" s="20"/>
      <c r="I325" s="21"/>
      <c r="J325" s="28"/>
      <c r="K325" s="19"/>
    </row>
    <row r="326" spans="1:11" ht="13.2">
      <c r="A326" s="22"/>
      <c r="B326" s="16"/>
      <c r="C326" s="23"/>
      <c r="D326" s="24"/>
      <c r="E326" s="25"/>
      <c r="F326" s="26"/>
      <c r="G326" s="27"/>
      <c r="H326" s="20"/>
      <c r="I326" s="21"/>
      <c r="J326" s="28"/>
      <c r="K326" s="19"/>
    </row>
    <row r="327" spans="1:11" ht="13.2">
      <c r="A327" s="22"/>
      <c r="B327" s="16"/>
      <c r="C327" s="23"/>
      <c r="D327" s="24"/>
      <c r="E327" s="25"/>
      <c r="F327" s="26"/>
      <c r="G327" s="27"/>
      <c r="H327" s="20"/>
      <c r="I327" s="21"/>
      <c r="J327" s="28"/>
      <c r="K327" s="19"/>
    </row>
    <row r="328" spans="1:11" ht="13.2">
      <c r="A328" s="22"/>
      <c r="B328" s="16"/>
      <c r="C328" s="23"/>
      <c r="D328" s="24"/>
      <c r="E328" s="25"/>
      <c r="F328" s="26"/>
      <c r="G328" s="27"/>
      <c r="H328" s="20"/>
      <c r="I328" s="21"/>
      <c r="J328" s="28"/>
      <c r="K328" s="19"/>
    </row>
    <row r="329" spans="1:11" ht="13.2">
      <c r="A329" s="22"/>
      <c r="B329" s="16"/>
      <c r="C329" s="23"/>
      <c r="D329" s="24"/>
      <c r="E329" s="25"/>
      <c r="F329" s="26"/>
      <c r="G329" s="27"/>
      <c r="H329" s="20"/>
      <c r="I329" s="21"/>
      <c r="J329" s="28"/>
      <c r="K329" s="19"/>
    </row>
    <row r="330" spans="1:11" ht="13.2">
      <c r="A330" s="22"/>
      <c r="B330" s="16"/>
      <c r="C330" s="23"/>
      <c r="D330" s="24"/>
      <c r="E330" s="25"/>
      <c r="F330" s="26"/>
      <c r="G330" s="27"/>
      <c r="H330" s="20"/>
      <c r="I330" s="21"/>
      <c r="J330" s="28"/>
      <c r="K330" s="19"/>
    </row>
    <row r="331" spans="1:11" ht="13.2">
      <c r="A331" s="22"/>
      <c r="B331" s="16"/>
      <c r="C331" s="23"/>
      <c r="D331" s="24"/>
      <c r="E331" s="25"/>
      <c r="F331" s="26"/>
      <c r="G331" s="27"/>
      <c r="H331" s="20"/>
      <c r="I331" s="21"/>
      <c r="J331" s="28"/>
      <c r="K331" s="19"/>
    </row>
    <row r="332" spans="1:11" ht="13.2">
      <c r="A332" s="22"/>
      <c r="B332" s="16"/>
      <c r="C332" s="23"/>
      <c r="D332" s="24"/>
      <c r="E332" s="25"/>
      <c r="F332" s="26"/>
      <c r="G332" s="27"/>
      <c r="H332" s="20"/>
      <c r="I332" s="21"/>
      <c r="J332" s="28"/>
      <c r="K332" s="19"/>
    </row>
    <row r="333" spans="1:11" ht="13.2">
      <c r="A333" s="22"/>
      <c r="B333" s="16"/>
      <c r="C333" s="23"/>
      <c r="D333" s="24"/>
      <c r="E333" s="25"/>
      <c r="F333" s="26"/>
      <c r="G333" s="27"/>
      <c r="H333" s="20"/>
      <c r="I333" s="21"/>
      <c r="J333" s="28"/>
      <c r="K333" s="19"/>
    </row>
    <row r="334" spans="1:11" ht="13.2">
      <c r="A334" s="22"/>
      <c r="B334" s="16"/>
      <c r="C334" s="23"/>
      <c r="D334" s="24"/>
      <c r="E334" s="25"/>
      <c r="F334" s="26"/>
      <c r="G334" s="27"/>
      <c r="H334" s="20"/>
      <c r="I334" s="21"/>
      <c r="J334" s="28"/>
      <c r="K334" s="19"/>
    </row>
    <row r="335" spans="1:11" ht="13.2">
      <c r="A335" s="22"/>
      <c r="B335" s="16"/>
      <c r="C335" s="23"/>
      <c r="D335" s="24"/>
      <c r="E335" s="25"/>
      <c r="F335" s="26"/>
      <c r="G335" s="27"/>
      <c r="H335" s="20"/>
      <c r="I335" s="21"/>
      <c r="J335" s="28"/>
      <c r="K335" s="19"/>
    </row>
    <row r="336" spans="1:11" ht="13.2">
      <c r="A336" s="22"/>
      <c r="B336" s="16"/>
      <c r="C336" s="23"/>
      <c r="D336" s="24"/>
      <c r="E336" s="25"/>
      <c r="F336" s="26"/>
      <c r="G336" s="27"/>
      <c r="H336" s="20"/>
      <c r="I336" s="21"/>
      <c r="J336" s="28"/>
      <c r="K336" s="19"/>
    </row>
    <row r="337" spans="1:11" ht="13.2">
      <c r="A337" s="22"/>
      <c r="B337" s="16"/>
      <c r="C337" s="23"/>
      <c r="D337" s="24"/>
      <c r="E337" s="25"/>
      <c r="F337" s="26"/>
      <c r="G337" s="27"/>
      <c r="H337" s="20"/>
      <c r="I337" s="21"/>
      <c r="J337" s="28"/>
      <c r="K337" s="19"/>
    </row>
    <row r="338" spans="1:11" ht="13.2">
      <c r="A338" s="22"/>
      <c r="B338" s="16"/>
      <c r="C338" s="23"/>
      <c r="D338" s="24"/>
      <c r="E338" s="25"/>
      <c r="F338" s="26"/>
      <c r="G338" s="27"/>
      <c r="H338" s="20"/>
      <c r="I338" s="21"/>
      <c r="J338" s="28"/>
      <c r="K338" s="19"/>
    </row>
    <row r="339" spans="1:11" ht="13.2">
      <c r="A339" s="22"/>
      <c r="B339" s="16"/>
      <c r="C339" s="23"/>
      <c r="D339" s="24"/>
      <c r="E339" s="25"/>
      <c r="F339" s="26"/>
      <c r="G339" s="27"/>
      <c r="H339" s="20"/>
      <c r="I339" s="21"/>
      <c r="J339" s="28"/>
      <c r="K339" s="19"/>
    </row>
    <row r="340" spans="1:11" ht="13.2">
      <c r="A340" s="22"/>
      <c r="B340" s="16"/>
      <c r="C340" s="23"/>
      <c r="D340" s="24"/>
      <c r="E340" s="25"/>
      <c r="F340" s="26"/>
      <c r="G340" s="27"/>
      <c r="H340" s="20"/>
      <c r="I340" s="21"/>
      <c r="J340" s="28"/>
      <c r="K340" s="19"/>
    </row>
    <row r="341" spans="1:11" ht="13.2">
      <c r="A341" s="22"/>
      <c r="B341" s="16"/>
      <c r="C341" s="23"/>
      <c r="D341" s="24"/>
      <c r="E341" s="25"/>
      <c r="F341" s="26"/>
      <c r="G341" s="27"/>
      <c r="H341" s="20"/>
      <c r="I341" s="21"/>
      <c r="J341" s="28"/>
      <c r="K341" s="19"/>
    </row>
    <row r="342" spans="1:11" ht="13.2">
      <c r="A342" s="22"/>
      <c r="B342" s="16"/>
      <c r="C342" s="23"/>
      <c r="D342" s="24"/>
      <c r="E342" s="25"/>
      <c r="F342" s="26"/>
      <c r="G342" s="27"/>
      <c r="H342" s="20"/>
      <c r="I342" s="21"/>
      <c r="J342" s="28"/>
      <c r="K342" s="19"/>
    </row>
    <row r="343" spans="1:11" ht="13.2">
      <c r="A343" s="22"/>
      <c r="B343" s="16"/>
      <c r="C343" s="23"/>
      <c r="D343" s="24"/>
      <c r="E343" s="25"/>
      <c r="F343" s="26"/>
      <c r="G343" s="27"/>
      <c r="H343" s="20"/>
      <c r="I343" s="21"/>
      <c r="J343" s="28"/>
      <c r="K343" s="19"/>
    </row>
    <row r="344" spans="1:11" ht="13.2">
      <c r="A344" s="22"/>
      <c r="B344" s="16"/>
      <c r="C344" s="23"/>
      <c r="D344" s="24"/>
      <c r="E344" s="25"/>
      <c r="F344" s="26"/>
      <c r="G344" s="27"/>
      <c r="H344" s="20"/>
      <c r="I344" s="21"/>
      <c r="J344" s="28"/>
      <c r="K344" s="19"/>
    </row>
    <row r="345" spans="1:11" ht="13.2">
      <c r="A345" s="22"/>
      <c r="B345" s="16"/>
      <c r="C345" s="23"/>
      <c r="D345" s="24"/>
      <c r="E345" s="25"/>
      <c r="F345" s="26"/>
      <c r="G345" s="27"/>
      <c r="H345" s="20"/>
      <c r="I345" s="21"/>
      <c r="J345" s="28"/>
      <c r="K345" s="19"/>
    </row>
    <row r="346" spans="1:11" ht="13.2">
      <c r="A346" s="22"/>
      <c r="B346" s="16"/>
      <c r="C346" s="23"/>
      <c r="D346" s="24"/>
      <c r="E346" s="25"/>
      <c r="F346" s="26"/>
      <c r="G346" s="27"/>
      <c r="H346" s="20"/>
      <c r="I346" s="21"/>
      <c r="J346" s="28"/>
      <c r="K346" s="19"/>
    </row>
    <row r="347" spans="1:11" ht="13.2">
      <c r="A347" s="22"/>
      <c r="B347" s="16"/>
      <c r="C347" s="23"/>
      <c r="D347" s="24"/>
      <c r="E347" s="25"/>
      <c r="F347" s="26"/>
      <c r="G347" s="27"/>
      <c r="H347" s="20"/>
      <c r="I347" s="21"/>
      <c r="J347" s="28"/>
      <c r="K347" s="19"/>
    </row>
    <row r="348" spans="1:11" ht="13.2">
      <c r="A348" s="22"/>
      <c r="B348" s="16"/>
      <c r="C348" s="23"/>
      <c r="D348" s="24"/>
      <c r="E348" s="25"/>
      <c r="F348" s="26"/>
      <c r="G348" s="27"/>
      <c r="H348" s="20"/>
      <c r="I348" s="21"/>
      <c r="J348" s="28"/>
      <c r="K348" s="19"/>
    </row>
    <row r="349" spans="1:11" ht="13.2">
      <c r="A349" s="22"/>
      <c r="B349" s="16"/>
      <c r="C349" s="23"/>
      <c r="D349" s="24"/>
      <c r="E349" s="25"/>
      <c r="F349" s="26"/>
      <c r="G349" s="27"/>
      <c r="H349" s="20"/>
      <c r="I349" s="21"/>
      <c r="J349" s="28"/>
      <c r="K349" s="19"/>
    </row>
    <row r="350" spans="1:11" ht="13.2">
      <c r="A350" s="22"/>
      <c r="B350" s="16"/>
      <c r="C350" s="23"/>
      <c r="D350" s="24"/>
      <c r="E350" s="25"/>
      <c r="F350" s="26"/>
      <c r="G350" s="27"/>
      <c r="H350" s="20"/>
      <c r="I350" s="21"/>
      <c r="J350" s="28"/>
      <c r="K350" s="19"/>
    </row>
    <row r="351" spans="1:11" ht="13.2">
      <c r="A351" s="22"/>
      <c r="B351" s="16"/>
      <c r="C351" s="23"/>
      <c r="D351" s="24"/>
      <c r="E351" s="25"/>
      <c r="F351" s="26"/>
      <c r="G351" s="27"/>
      <c r="H351" s="20"/>
      <c r="I351" s="21"/>
      <c r="J351" s="28"/>
      <c r="K351" s="19"/>
    </row>
    <row r="352" spans="1:11" ht="13.2">
      <c r="A352" s="22"/>
      <c r="B352" s="16"/>
      <c r="C352" s="23"/>
      <c r="D352" s="24"/>
      <c r="E352" s="25"/>
      <c r="F352" s="26"/>
      <c r="G352" s="27"/>
      <c r="H352" s="20"/>
      <c r="I352" s="21"/>
      <c r="J352" s="28"/>
      <c r="K352" s="19"/>
    </row>
    <row r="353" spans="1:11" ht="13.2">
      <c r="A353" s="22"/>
      <c r="B353" s="16"/>
      <c r="C353" s="23"/>
      <c r="D353" s="24"/>
      <c r="E353" s="25"/>
      <c r="F353" s="26"/>
      <c r="G353" s="27"/>
      <c r="H353" s="20"/>
      <c r="I353" s="21"/>
      <c r="J353" s="28"/>
      <c r="K353" s="19"/>
    </row>
    <row r="354" spans="1:11" ht="13.2">
      <c r="A354" s="22"/>
      <c r="B354" s="16"/>
      <c r="C354" s="23"/>
      <c r="D354" s="24"/>
      <c r="E354" s="25"/>
      <c r="F354" s="26"/>
      <c r="G354" s="27"/>
      <c r="H354" s="20"/>
      <c r="I354" s="21"/>
      <c r="J354" s="28"/>
      <c r="K354" s="19"/>
    </row>
    <row r="355" spans="1:11" ht="13.2">
      <c r="A355" s="22"/>
      <c r="B355" s="16"/>
      <c r="C355" s="23"/>
      <c r="D355" s="24"/>
      <c r="E355" s="25"/>
      <c r="F355" s="26"/>
      <c r="G355" s="27"/>
      <c r="H355" s="20"/>
      <c r="I355" s="21"/>
      <c r="J355" s="28"/>
      <c r="K355" s="19"/>
    </row>
    <row r="356" spans="1:11" ht="13.2">
      <c r="A356" s="22"/>
      <c r="B356" s="16"/>
      <c r="C356" s="23"/>
      <c r="D356" s="24"/>
      <c r="E356" s="25"/>
      <c r="F356" s="26"/>
      <c r="G356" s="27"/>
      <c r="H356" s="20"/>
      <c r="I356" s="21"/>
      <c r="J356" s="28"/>
      <c r="K356" s="19"/>
    </row>
    <row r="357" spans="1:11" ht="13.2">
      <c r="A357" s="22"/>
      <c r="B357" s="16"/>
      <c r="C357" s="23"/>
      <c r="D357" s="24"/>
      <c r="E357" s="25"/>
      <c r="F357" s="26"/>
      <c r="G357" s="27"/>
      <c r="H357" s="20"/>
      <c r="I357" s="21"/>
      <c r="J357" s="28"/>
      <c r="K357" s="19"/>
    </row>
    <row r="358" spans="1:11" ht="13.2">
      <c r="A358" s="22"/>
      <c r="B358" s="16"/>
      <c r="C358" s="23"/>
      <c r="D358" s="24"/>
      <c r="E358" s="25"/>
      <c r="F358" s="26"/>
      <c r="G358" s="27"/>
      <c r="H358" s="20"/>
      <c r="I358" s="21"/>
      <c r="J358" s="28"/>
      <c r="K358" s="19"/>
    </row>
    <row r="359" spans="1:11" ht="13.2">
      <c r="A359" s="22"/>
      <c r="B359" s="16"/>
      <c r="C359" s="23"/>
      <c r="D359" s="24"/>
      <c r="E359" s="25"/>
      <c r="F359" s="26"/>
      <c r="G359" s="27"/>
      <c r="H359" s="20"/>
      <c r="I359" s="21"/>
      <c r="J359" s="28"/>
      <c r="K359" s="19"/>
    </row>
    <row r="360" spans="1:11" ht="13.2">
      <c r="A360" s="22"/>
      <c r="B360" s="16"/>
      <c r="C360" s="23"/>
      <c r="D360" s="24"/>
      <c r="E360" s="25"/>
      <c r="F360" s="26"/>
      <c r="G360" s="27"/>
      <c r="H360" s="20"/>
      <c r="I360" s="21"/>
      <c r="J360" s="28"/>
      <c r="K360" s="19"/>
    </row>
    <row r="361" spans="1:11" ht="13.2">
      <c r="A361" s="22"/>
      <c r="B361" s="16"/>
      <c r="C361" s="23"/>
      <c r="D361" s="24"/>
      <c r="E361" s="25"/>
      <c r="F361" s="26"/>
      <c r="G361" s="27"/>
      <c r="H361" s="20"/>
      <c r="I361" s="21"/>
      <c r="J361" s="28"/>
      <c r="K361" s="19"/>
    </row>
    <row r="362" spans="1:11" ht="13.2">
      <c r="A362" s="22"/>
      <c r="B362" s="16"/>
      <c r="C362" s="23"/>
      <c r="D362" s="24"/>
      <c r="E362" s="25"/>
      <c r="F362" s="26"/>
      <c r="G362" s="27"/>
      <c r="H362" s="20"/>
      <c r="I362" s="21"/>
      <c r="J362" s="28"/>
      <c r="K362" s="19"/>
    </row>
    <row r="363" spans="1:11" ht="13.2">
      <c r="A363" s="22"/>
      <c r="B363" s="16"/>
      <c r="C363" s="23"/>
      <c r="D363" s="24"/>
      <c r="E363" s="25"/>
      <c r="F363" s="26"/>
      <c r="G363" s="27"/>
      <c r="H363" s="20"/>
      <c r="I363" s="21"/>
      <c r="J363" s="28"/>
      <c r="K363" s="19"/>
    </row>
    <row r="364" spans="1:11" ht="13.2">
      <c r="A364" s="22"/>
      <c r="B364" s="16"/>
      <c r="C364" s="23"/>
      <c r="D364" s="24"/>
      <c r="E364" s="25"/>
      <c r="F364" s="26"/>
      <c r="G364" s="27"/>
      <c r="H364" s="20"/>
      <c r="I364" s="21"/>
      <c r="J364" s="28"/>
      <c r="K364" s="19"/>
    </row>
    <row r="365" spans="1:11" ht="13.2">
      <c r="A365" s="22"/>
      <c r="B365" s="16"/>
      <c r="C365" s="23"/>
      <c r="D365" s="24"/>
      <c r="E365" s="25"/>
      <c r="F365" s="26"/>
      <c r="G365" s="27"/>
      <c r="H365" s="20"/>
      <c r="I365" s="21"/>
      <c r="J365" s="28"/>
      <c r="K365" s="19"/>
    </row>
    <row r="366" spans="1:11" ht="13.2">
      <c r="A366" s="22"/>
      <c r="B366" s="16"/>
      <c r="C366" s="23"/>
      <c r="D366" s="24"/>
      <c r="E366" s="25"/>
      <c r="F366" s="26"/>
      <c r="G366" s="27"/>
      <c r="H366" s="20"/>
      <c r="I366" s="21"/>
      <c r="J366" s="28"/>
      <c r="K366" s="19"/>
    </row>
    <row r="367" spans="1:11" ht="13.2">
      <c r="A367" s="22"/>
      <c r="B367" s="16"/>
      <c r="C367" s="23"/>
      <c r="D367" s="24"/>
      <c r="E367" s="25"/>
      <c r="F367" s="26"/>
      <c r="G367" s="27"/>
      <c r="H367" s="20"/>
      <c r="I367" s="21"/>
      <c r="J367" s="28"/>
      <c r="K367" s="19"/>
    </row>
    <row r="368" spans="1:11" ht="13.2">
      <c r="A368" s="22"/>
      <c r="B368" s="16"/>
      <c r="C368" s="23"/>
      <c r="D368" s="24"/>
      <c r="E368" s="25"/>
      <c r="F368" s="26"/>
      <c r="G368" s="27"/>
      <c r="H368" s="20"/>
      <c r="I368" s="21"/>
      <c r="J368" s="28"/>
      <c r="K368" s="19"/>
    </row>
    <row r="369" spans="1:11" ht="13.2">
      <c r="A369" s="22"/>
      <c r="B369" s="16"/>
      <c r="C369" s="23"/>
      <c r="D369" s="24"/>
      <c r="E369" s="25"/>
      <c r="F369" s="26"/>
      <c r="G369" s="27"/>
      <c r="H369" s="20"/>
      <c r="I369" s="21"/>
      <c r="J369" s="28"/>
      <c r="K369" s="19"/>
    </row>
    <row r="370" spans="1:11" ht="13.2">
      <c r="A370" s="22"/>
      <c r="B370" s="16"/>
      <c r="C370" s="23"/>
      <c r="D370" s="24"/>
      <c r="E370" s="25"/>
      <c r="F370" s="26"/>
      <c r="G370" s="27"/>
      <c r="H370" s="20"/>
      <c r="I370" s="21"/>
      <c r="J370" s="28"/>
      <c r="K370" s="19"/>
    </row>
    <row r="371" spans="1:11" ht="13.2">
      <c r="A371" s="22"/>
      <c r="B371" s="16"/>
      <c r="C371" s="23"/>
      <c r="D371" s="24"/>
      <c r="E371" s="25"/>
      <c r="F371" s="26"/>
      <c r="G371" s="27"/>
      <c r="H371" s="20"/>
      <c r="I371" s="21"/>
      <c r="J371" s="28"/>
      <c r="K371" s="19"/>
    </row>
    <row r="372" spans="1:11" ht="13.2">
      <c r="A372" s="22"/>
      <c r="B372" s="16"/>
      <c r="C372" s="23"/>
      <c r="D372" s="24"/>
      <c r="E372" s="25"/>
      <c r="F372" s="26"/>
      <c r="G372" s="27"/>
      <c r="H372" s="20"/>
      <c r="I372" s="21"/>
      <c r="J372" s="28"/>
      <c r="K372" s="19"/>
    </row>
    <row r="373" spans="1:11" ht="13.2">
      <c r="A373" s="22"/>
      <c r="B373" s="16"/>
      <c r="C373" s="23"/>
      <c r="D373" s="24"/>
      <c r="E373" s="25"/>
      <c r="F373" s="26"/>
      <c r="G373" s="27"/>
      <c r="H373" s="20"/>
      <c r="I373" s="21"/>
      <c r="J373" s="28"/>
      <c r="K373" s="19"/>
    </row>
    <row r="374" spans="1:11" ht="13.2">
      <c r="A374" s="22"/>
      <c r="B374" s="16"/>
      <c r="C374" s="23"/>
      <c r="D374" s="24"/>
      <c r="E374" s="25"/>
      <c r="F374" s="26"/>
      <c r="G374" s="27"/>
      <c r="H374" s="20"/>
      <c r="I374" s="21"/>
      <c r="J374" s="28"/>
      <c r="K374" s="19"/>
    </row>
    <row r="375" spans="1:11" ht="13.2">
      <c r="A375" s="22"/>
      <c r="B375" s="16"/>
      <c r="C375" s="23"/>
      <c r="D375" s="24"/>
      <c r="E375" s="25"/>
      <c r="F375" s="26"/>
      <c r="G375" s="27"/>
      <c r="H375" s="20"/>
      <c r="I375" s="21"/>
      <c r="J375" s="28"/>
      <c r="K375" s="19"/>
    </row>
    <row r="376" spans="1:11" ht="13.2">
      <c r="A376" s="22"/>
      <c r="B376" s="16"/>
      <c r="C376" s="23"/>
      <c r="D376" s="24"/>
      <c r="E376" s="25"/>
      <c r="F376" s="26"/>
      <c r="G376" s="27"/>
      <c r="H376" s="20"/>
      <c r="I376" s="21"/>
      <c r="J376" s="28"/>
      <c r="K376" s="19"/>
    </row>
    <row r="377" spans="1:11" ht="13.2">
      <c r="A377" s="22"/>
      <c r="B377" s="16"/>
      <c r="C377" s="23"/>
      <c r="D377" s="24"/>
      <c r="E377" s="25"/>
      <c r="F377" s="26"/>
      <c r="G377" s="27"/>
      <c r="H377" s="20"/>
      <c r="I377" s="21"/>
      <c r="J377" s="28"/>
      <c r="K377" s="19"/>
    </row>
    <row r="378" spans="1:11" ht="13.2">
      <c r="A378" s="22"/>
      <c r="B378" s="16"/>
      <c r="C378" s="23"/>
      <c r="D378" s="24"/>
      <c r="E378" s="25"/>
      <c r="F378" s="26"/>
      <c r="G378" s="27"/>
      <c r="H378" s="20"/>
      <c r="I378" s="21"/>
      <c r="J378" s="28"/>
      <c r="K378" s="19"/>
    </row>
    <row r="379" spans="1:11" ht="13.2">
      <c r="A379" s="22"/>
      <c r="B379" s="16"/>
      <c r="C379" s="23"/>
      <c r="D379" s="24"/>
      <c r="E379" s="25"/>
      <c r="F379" s="26"/>
      <c r="G379" s="27"/>
      <c r="H379" s="20"/>
      <c r="I379" s="21"/>
      <c r="J379" s="28"/>
      <c r="K379" s="19"/>
    </row>
    <row r="380" spans="1:11" ht="13.2">
      <c r="A380" s="22"/>
      <c r="B380" s="16"/>
      <c r="C380" s="23"/>
      <c r="D380" s="24"/>
      <c r="E380" s="25"/>
      <c r="F380" s="26"/>
      <c r="G380" s="27"/>
      <c r="H380" s="20"/>
      <c r="I380" s="21"/>
      <c r="J380" s="28"/>
      <c r="K380" s="19"/>
    </row>
    <row r="381" spans="1:11" ht="13.2">
      <c r="A381" s="22"/>
      <c r="B381" s="16"/>
      <c r="C381" s="23"/>
      <c r="D381" s="24"/>
      <c r="E381" s="25"/>
      <c r="F381" s="26"/>
      <c r="G381" s="27"/>
      <c r="H381" s="20"/>
      <c r="I381" s="21"/>
      <c r="J381" s="28"/>
      <c r="K381" s="19"/>
    </row>
    <row r="382" spans="1:11" ht="13.2">
      <c r="A382" s="22"/>
      <c r="B382" s="16"/>
      <c r="C382" s="23"/>
      <c r="D382" s="24"/>
      <c r="E382" s="25"/>
      <c r="F382" s="26"/>
      <c r="G382" s="27"/>
      <c r="H382" s="20"/>
      <c r="I382" s="21"/>
      <c r="J382" s="28"/>
      <c r="K382" s="19"/>
    </row>
    <row r="383" spans="1:11" ht="13.2">
      <c r="A383" s="22"/>
      <c r="B383" s="16"/>
      <c r="C383" s="23"/>
      <c r="D383" s="24"/>
      <c r="E383" s="25"/>
      <c r="F383" s="26"/>
      <c r="G383" s="27"/>
      <c r="H383" s="20"/>
      <c r="I383" s="21"/>
      <c r="J383" s="28"/>
      <c r="K383" s="19"/>
    </row>
    <row r="384" spans="1:11" ht="13.2">
      <c r="A384" s="22"/>
      <c r="B384" s="16"/>
      <c r="C384" s="23"/>
      <c r="D384" s="24"/>
      <c r="E384" s="25"/>
      <c r="F384" s="26"/>
      <c r="G384" s="27"/>
      <c r="H384" s="20"/>
      <c r="I384" s="21"/>
      <c r="J384" s="28"/>
      <c r="K384" s="19"/>
    </row>
    <row r="385" spans="1:11" ht="13.2">
      <c r="A385" s="22"/>
      <c r="B385" s="16"/>
      <c r="C385" s="23"/>
      <c r="D385" s="24"/>
      <c r="E385" s="25"/>
      <c r="F385" s="26"/>
      <c r="G385" s="27"/>
      <c r="H385" s="20"/>
      <c r="I385" s="21"/>
      <c r="J385" s="28"/>
      <c r="K385" s="19"/>
    </row>
    <row r="386" spans="1:11" ht="13.2">
      <c r="A386" s="22"/>
      <c r="B386" s="16"/>
      <c r="C386" s="23"/>
      <c r="D386" s="24"/>
      <c r="E386" s="25"/>
      <c r="F386" s="26"/>
      <c r="G386" s="27"/>
      <c r="H386" s="20"/>
      <c r="I386" s="21"/>
      <c r="J386" s="28"/>
      <c r="K386" s="19"/>
    </row>
    <row r="387" spans="1:11" ht="13.2">
      <c r="A387" s="22"/>
      <c r="B387" s="16"/>
      <c r="C387" s="23"/>
      <c r="D387" s="24"/>
      <c r="E387" s="25"/>
      <c r="F387" s="26"/>
      <c r="G387" s="27"/>
      <c r="H387" s="20"/>
      <c r="I387" s="21"/>
      <c r="J387" s="28"/>
      <c r="K387" s="19"/>
    </row>
    <row r="388" spans="1:11" ht="13.2">
      <c r="A388" s="22"/>
      <c r="B388" s="16"/>
      <c r="C388" s="23"/>
      <c r="D388" s="24"/>
      <c r="E388" s="25"/>
      <c r="F388" s="26"/>
      <c r="G388" s="27"/>
      <c r="H388" s="20"/>
      <c r="I388" s="21"/>
      <c r="J388" s="28"/>
      <c r="K388" s="19"/>
    </row>
    <row r="389" spans="1:11" ht="13.2">
      <c r="A389" s="22"/>
      <c r="B389" s="16"/>
      <c r="C389" s="23"/>
      <c r="D389" s="24"/>
      <c r="E389" s="25"/>
      <c r="F389" s="26"/>
      <c r="G389" s="27"/>
      <c r="H389" s="20"/>
      <c r="I389" s="21"/>
      <c r="J389" s="28"/>
      <c r="K389" s="19"/>
    </row>
    <row r="390" spans="1:11" ht="13.2">
      <c r="A390" s="22"/>
      <c r="B390" s="16"/>
      <c r="C390" s="23"/>
      <c r="D390" s="24"/>
      <c r="E390" s="25"/>
      <c r="F390" s="26"/>
      <c r="G390" s="27"/>
      <c r="H390" s="20"/>
      <c r="I390" s="21"/>
      <c r="J390" s="28"/>
      <c r="K390" s="19"/>
    </row>
    <row r="391" spans="1:11" ht="13.2">
      <c r="A391" s="22"/>
      <c r="B391" s="16"/>
      <c r="C391" s="23"/>
      <c r="D391" s="24"/>
      <c r="E391" s="25"/>
      <c r="F391" s="26"/>
      <c r="G391" s="27"/>
      <c r="H391" s="20"/>
      <c r="I391" s="21"/>
      <c r="J391" s="28"/>
      <c r="K391" s="19"/>
    </row>
    <row r="392" spans="1:11" ht="13.2">
      <c r="A392" s="22"/>
      <c r="B392" s="16"/>
      <c r="C392" s="23"/>
      <c r="D392" s="24"/>
      <c r="E392" s="25"/>
      <c r="F392" s="26"/>
      <c r="G392" s="27"/>
      <c r="H392" s="20"/>
      <c r="I392" s="21"/>
      <c r="J392" s="28"/>
      <c r="K392" s="19"/>
    </row>
    <row r="393" spans="1:11" ht="13.2">
      <c r="A393" s="22"/>
      <c r="B393" s="16"/>
      <c r="C393" s="23"/>
      <c r="D393" s="24"/>
      <c r="E393" s="25"/>
      <c r="F393" s="26"/>
      <c r="G393" s="27"/>
      <c r="H393" s="20"/>
      <c r="I393" s="21"/>
      <c r="J393" s="28"/>
      <c r="K393" s="19"/>
    </row>
    <row r="394" spans="1:11" ht="13.2">
      <c r="A394" s="22"/>
      <c r="B394" s="16"/>
      <c r="C394" s="23"/>
      <c r="D394" s="24"/>
      <c r="E394" s="25"/>
      <c r="F394" s="26"/>
      <c r="G394" s="27"/>
      <c r="H394" s="20"/>
      <c r="I394" s="21"/>
      <c r="J394" s="28"/>
      <c r="K394" s="19"/>
    </row>
    <row r="395" spans="1:11" ht="13.2">
      <c r="A395" s="22"/>
      <c r="B395" s="16"/>
      <c r="C395" s="23"/>
      <c r="D395" s="24"/>
      <c r="E395" s="25"/>
      <c r="F395" s="26"/>
      <c r="G395" s="27"/>
      <c r="H395" s="20"/>
      <c r="I395" s="21"/>
      <c r="J395" s="28"/>
      <c r="K395" s="19"/>
    </row>
    <row r="396" spans="1:11" ht="13.2">
      <c r="A396" s="22"/>
      <c r="B396" s="16"/>
      <c r="C396" s="23"/>
      <c r="D396" s="24"/>
      <c r="E396" s="25"/>
      <c r="F396" s="26"/>
      <c r="G396" s="27"/>
      <c r="H396" s="20"/>
      <c r="I396" s="21"/>
      <c r="J396" s="28"/>
      <c r="K396" s="19"/>
    </row>
    <row r="397" spans="1:11" ht="13.2">
      <c r="A397" s="22"/>
      <c r="B397" s="16"/>
      <c r="C397" s="23"/>
      <c r="D397" s="24"/>
      <c r="E397" s="25"/>
      <c r="F397" s="26"/>
      <c r="G397" s="27"/>
      <c r="H397" s="20"/>
      <c r="I397" s="21"/>
      <c r="J397" s="28"/>
      <c r="K397" s="19"/>
    </row>
    <row r="398" spans="1:11" ht="13.2">
      <c r="A398" s="22"/>
      <c r="B398" s="16"/>
      <c r="C398" s="23"/>
      <c r="D398" s="24"/>
      <c r="E398" s="25"/>
      <c r="F398" s="26"/>
      <c r="G398" s="27"/>
      <c r="H398" s="20"/>
      <c r="I398" s="21"/>
      <c r="J398" s="28"/>
      <c r="K398" s="19"/>
    </row>
    <row r="399" spans="1:11" ht="13.2">
      <c r="A399" s="22"/>
      <c r="B399" s="16"/>
      <c r="C399" s="23"/>
      <c r="D399" s="24"/>
      <c r="E399" s="25"/>
      <c r="F399" s="26"/>
      <c r="G399" s="27"/>
      <c r="H399" s="20"/>
      <c r="I399" s="21"/>
      <c r="J399" s="28"/>
      <c r="K399" s="19"/>
    </row>
    <row r="400" spans="1:11" ht="13.2">
      <c r="A400" s="22"/>
      <c r="B400" s="16"/>
      <c r="C400" s="23"/>
      <c r="D400" s="24"/>
      <c r="E400" s="25"/>
      <c r="F400" s="26"/>
      <c r="G400" s="27"/>
      <c r="H400" s="20"/>
      <c r="I400" s="21"/>
      <c r="J400" s="28"/>
      <c r="K400" s="19"/>
    </row>
    <row r="401" spans="1:11" ht="13.2">
      <c r="A401" s="22"/>
      <c r="B401" s="16"/>
      <c r="C401" s="23"/>
      <c r="D401" s="24"/>
      <c r="E401" s="25"/>
      <c r="F401" s="26"/>
      <c r="G401" s="27"/>
      <c r="H401" s="20"/>
      <c r="I401" s="21"/>
      <c r="J401" s="28"/>
      <c r="K401" s="19"/>
    </row>
    <row r="402" spans="1:11" ht="13.2">
      <c r="A402" s="22"/>
      <c r="B402" s="16"/>
      <c r="C402" s="23"/>
      <c r="D402" s="24"/>
      <c r="E402" s="25"/>
      <c r="F402" s="26"/>
      <c r="G402" s="27"/>
      <c r="H402" s="20"/>
      <c r="I402" s="21"/>
      <c r="J402" s="28"/>
      <c r="K402" s="19"/>
    </row>
    <row r="403" spans="1:11" ht="13.2">
      <c r="A403" s="22"/>
      <c r="B403" s="16"/>
      <c r="C403" s="23"/>
      <c r="D403" s="24"/>
      <c r="E403" s="25"/>
      <c r="F403" s="26"/>
      <c r="G403" s="27"/>
      <c r="H403" s="20"/>
      <c r="I403" s="21"/>
      <c r="J403" s="28"/>
      <c r="K403" s="19"/>
    </row>
    <row r="404" spans="1:11" ht="13.2">
      <c r="A404" s="22"/>
      <c r="B404" s="16"/>
      <c r="C404" s="23"/>
      <c r="D404" s="24"/>
      <c r="E404" s="25"/>
      <c r="F404" s="26"/>
      <c r="G404" s="27"/>
      <c r="H404" s="20"/>
      <c r="I404" s="21"/>
      <c r="J404" s="28"/>
      <c r="K404" s="19"/>
    </row>
    <row r="405" spans="1:11" ht="13.2">
      <c r="A405" s="22"/>
      <c r="B405" s="16"/>
      <c r="C405" s="23"/>
      <c r="D405" s="24"/>
      <c r="E405" s="25"/>
      <c r="F405" s="26"/>
      <c r="G405" s="27"/>
      <c r="H405" s="20"/>
      <c r="I405" s="21"/>
      <c r="J405" s="28"/>
      <c r="K405" s="19"/>
    </row>
    <row r="406" spans="1:11" ht="13.2">
      <c r="A406" s="22"/>
      <c r="B406" s="16"/>
      <c r="C406" s="23"/>
      <c r="D406" s="24"/>
      <c r="E406" s="25"/>
      <c r="F406" s="26"/>
      <c r="G406" s="27"/>
      <c r="H406" s="20"/>
      <c r="I406" s="21"/>
      <c r="J406" s="28"/>
      <c r="K406" s="19"/>
    </row>
    <row r="407" spans="1:11" ht="13.2">
      <c r="A407" s="22"/>
      <c r="B407" s="16"/>
      <c r="C407" s="23"/>
      <c r="D407" s="24"/>
      <c r="E407" s="25"/>
      <c r="F407" s="26"/>
      <c r="G407" s="27"/>
      <c r="H407" s="20"/>
      <c r="I407" s="21"/>
      <c r="J407" s="28"/>
      <c r="K407" s="19"/>
    </row>
    <row r="408" spans="1:11" ht="13.2">
      <c r="A408" s="22"/>
      <c r="B408" s="16"/>
      <c r="C408" s="23"/>
      <c r="D408" s="24"/>
      <c r="E408" s="25"/>
      <c r="F408" s="26"/>
      <c r="G408" s="27"/>
      <c r="H408" s="20"/>
      <c r="I408" s="21"/>
      <c r="J408" s="28"/>
      <c r="K408" s="19"/>
    </row>
    <row r="409" spans="1:11" ht="13.2">
      <c r="A409" s="22"/>
      <c r="B409" s="16"/>
      <c r="C409" s="23"/>
      <c r="D409" s="24"/>
      <c r="E409" s="25"/>
      <c r="F409" s="26"/>
      <c r="G409" s="27"/>
      <c r="H409" s="20"/>
      <c r="I409" s="21"/>
      <c r="J409" s="28"/>
      <c r="K409" s="19"/>
    </row>
    <row r="410" spans="1:11" ht="13.2">
      <c r="A410" s="22"/>
      <c r="B410" s="16"/>
      <c r="C410" s="23"/>
      <c r="D410" s="24"/>
      <c r="E410" s="25"/>
      <c r="F410" s="26"/>
      <c r="G410" s="27"/>
      <c r="H410" s="20"/>
      <c r="I410" s="21"/>
      <c r="J410" s="28"/>
      <c r="K410" s="19"/>
    </row>
    <row r="411" spans="1:11" ht="13.2">
      <c r="A411" s="22"/>
      <c r="B411" s="16"/>
      <c r="C411" s="23"/>
      <c r="D411" s="24"/>
      <c r="E411" s="25"/>
      <c r="F411" s="26"/>
      <c r="G411" s="27"/>
      <c r="H411" s="20"/>
      <c r="I411" s="21"/>
      <c r="J411" s="28"/>
      <c r="K411" s="19"/>
    </row>
    <row r="412" spans="1:11" ht="13.2">
      <c r="A412" s="22"/>
      <c r="B412" s="16"/>
      <c r="C412" s="23"/>
      <c r="D412" s="24"/>
      <c r="E412" s="25"/>
      <c r="F412" s="26"/>
      <c r="G412" s="27"/>
      <c r="H412" s="20"/>
      <c r="I412" s="21"/>
      <c r="J412" s="28"/>
      <c r="K412" s="19"/>
    </row>
    <row r="413" spans="1:11" ht="13.2">
      <c r="A413" s="22"/>
      <c r="B413" s="16"/>
      <c r="C413" s="23"/>
      <c r="D413" s="24"/>
      <c r="E413" s="25"/>
      <c r="F413" s="26"/>
      <c r="G413" s="27"/>
      <c r="H413" s="20"/>
      <c r="I413" s="21"/>
      <c r="J413" s="28"/>
      <c r="K413" s="19"/>
    </row>
    <row r="414" spans="1:11" ht="13.2">
      <c r="A414" s="22"/>
      <c r="B414" s="16"/>
      <c r="C414" s="23"/>
      <c r="D414" s="24"/>
      <c r="E414" s="25"/>
      <c r="F414" s="26"/>
      <c r="G414" s="27"/>
      <c r="H414" s="20"/>
      <c r="I414" s="21"/>
      <c r="J414" s="28"/>
      <c r="K414" s="19"/>
    </row>
    <row r="415" spans="1:11" ht="13.2">
      <c r="A415" s="22"/>
      <c r="B415" s="16"/>
      <c r="C415" s="23"/>
      <c r="D415" s="24"/>
      <c r="E415" s="25"/>
      <c r="F415" s="26"/>
      <c r="G415" s="27"/>
      <c r="H415" s="20"/>
      <c r="I415" s="21"/>
      <c r="J415" s="28"/>
      <c r="K415" s="19"/>
    </row>
    <row r="416" spans="1:11" ht="13.2">
      <c r="A416" s="22"/>
      <c r="B416" s="16"/>
      <c r="C416" s="23"/>
      <c r="D416" s="24"/>
      <c r="E416" s="25"/>
      <c r="F416" s="26"/>
      <c r="G416" s="27"/>
      <c r="H416" s="20"/>
      <c r="I416" s="21"/>
      <c r="J416" s="28"/>
      <c r="K416" s="19"/>
    </row>
    <row r="417" spans="1:11" ht="13.2">
      <c r="A417" s="22"/>
      <c r="B417" s="16"/>
      <c r="C417" s="23"/>
      <c r="D417" s="24"/>
      <c r="E417" s="25"/>
      <c r="F417" s="26"/>
      <c r="G417" s="27"/>
      <c r="H417" s="20"/>
      <c r="I417" s="21"/>
      <c r="J417" s="28"/>
      <c r="K417" s="19"/>
    </row>
    <row r="418" spans="1:11" ht="13.2">
      <c r="A418" s="22"/>
      <c r="B418" s="16"/>
      <c r="C418" s="23"/>
      <c r="D418" s="24"/>
      <c r="E418" s="25"/>
      <c r="F418" s="26"/>
      <c r="G418" s="27"/>
      <c r="H418" s="20"/>
      <c r="I418" s="21"/>
      <c r="J418" s="28"/>
      <c r="K418" s="19"/>
    </row>
    <row r="419" spans="1:11" ht="13.2">
      <c r="A419" s="22"/>
      <c r="B419" s="16"/>
      <c r="C419" s="23"/>
      <c r="D419" s="24"/>
      <c r="E419" s="25"/>
      <c r="F419" s="26"/>
      <c r="G419" s="27"/>
      <c r="H419" s="20"/>
      <c r="I419" s="21"/>
      <c r="J419" s="28"/>
      <c r="K419" s="19"/>
    </row>
    <row r="420" spans="1:11" ht="13.2">
      <c r="A420" s="22"/>
      <c r="B420" s="16"/>
      <c r="C420" s="23"/>
      <c r="D420" s="24"/>
      <c r="E420" s="25"/>
      <c r="F420" s="26"/>
      <c r="G420" s="27"/>
      <c r="H420" s="20"/>
      <c r="I420" s="21"/>
      <c r="J420" s="28"/>
      <c r="K420" s="19"/>
    </row>
    <row r="421" spans="1:11" ht="13.2">
      <c r="A421" s="22"/>
      <c r="B421" s="16"/>
      <c r="C421" s="23"/>
      <c r="D421" s="24"/>
      <c r="E421" s="25"/>
      <c r="F421" s="26"/>
      <c r="G421" s="27"/>
      <c r="H421" s="20"/>
      <c r="I421" s="21"/>
      <c r="J421" s="28"/>
      <c r="K421" s="19"/>
    </row>
    <row r="422" spans="1:11" ht="13.2">
      <c r="A422" s="22"/>
      <c r="B422" s="16"/>
      <c r="C422" s="23"/>
      <c r="D422" s="24"/>
      <c r="E422" s="25"/>
      <c r="F422" s="26"/>
      <c r="G422" s="27"/>
      <c r="H422" s="20"/>
      <c r="I422" s="21"/>
      <c r="J422" s="28"/>
      <c r="K422" s="19"/>
    </row>
    <row r="423" spans="1:11" ht="13.2">
      <c r="A423" s="22"/>
      <c r="B423" s="16"/>
      <c r="C423" s="23"/>
      <c r="D423" s="24"/>
      <c r="E423" s="25"/>
      <c r="F423" s="26"/>
      <c r="G423" s="27"/>
      <c r="H423" s="20"/>
      <c r="I423" s="21"/>
      <c r="J423" s="28"/>
      <c r="K423" s="19"/>
    </row>
    <row r="424" spans="1:11" ht="13.2">
      <c r="A424" s="22"/>
      <c r="B424" s="16"/>
      <c r="C424" s="23"/>
      <c r="D424" s="24"/>
      <c r="E424" s="25"/>
      <c r="F424" s="26"/>
      <c r="G424" s="27"/>
      <c r="H424" s="20"/>
      <c r="I424" s="21"/>
      <c r="J424" s="28"/>
      <c r="K424" s="19"/>
    </row>
    <row r="425" spans="1:11" ht="13.2">
      <c r="A425" s="22"/>
      <c r="B425" s="16"/>
      <c r="C425" s="23"/>
      <c r="D425" s="24"/>
      <c r="E425" s="25"/>
      <c r="F425" s="26"/>
      <c r="G425" s="27"/>
      <c r="H425" s="20"/>
      <c r="I425" s="21"/>
      <c r="J425" s="28"/>
      <c r="K425" s="19"/>
    </row>
    <row r="426" spans="1:11" ht="13.2">
      <c r="A426" s="22"/>
      <c r="B426" s="16"/>
      <c r="C426" s="23"/>
      <c r="D426" s="24"/>
      <c r="E426" s="25"/>
      <c r="F426" s="26"/>
      <c r="G426" s="27"/>
      <c r="H426" s="20"/>
      <c r="I426" s="21"/>
      <c r="J426" s="28"/>
      <c r="K426" s="19"/>
    </row>
    <row r="427" spans="1:11" ht="13.2">
      <c r="A427" s="22"/>
      <c r="B427" s="16"/>
      <c r="C427" s="23"/>
      <c r="D427" s="24"/>
      <c r="E427" s="25"/>
      <c r="F427" s="26"/>
      <c r="G427" s="27"/>
      <c r="H427" s="20"/>
      <c r="I427" s="21"/>
      <c r="J427" s="28"/>
      <c r="K427" s="19"/>
    </row>
    <row r="428" spans="1:11" ht="13.2">
      <c r="A428" s="22"/>
      <c r="B428" s="16"/>
      <c r="C428" s="23"/>
      <c r="D428" s="24"/>
      <c r="E428" s="25"/>
      <c r="F428" s="26"/>
      <c r="G428" s="27"/>
      <c r="H428" s="20"/>
      <c r="I428" s="21"/>
      <c r="J428" s="28"/>
      <c r="K428" s="19"/>
    </row>
    <row r="429" spans="1:11" ht="13.2">
      <c r="A429" s="22"/>
      <c r="B429" s="16"/>
      <c r="C429" s="23"/>
      <c r="D429" s="24"/>
      <c r="E429" s="25"/>
      <c r="F429" s="26"/>
      <c r="G429" s="27"/>
      <c r="H429" s="20"/>
      <c r="I429" s="21"/>
      <c r="J429" s="28"/>
      <c r="K429" s="19"/>
    </row>
    <row r="430" spans="1:11" ht="13.2">
      <c r="A430" s="22"/>
      <c r="B430" s="16"/>
      <c r="C430" s="23"/>
      <c r="D430" s="24"/>
      <c r="E430" s="25"/>
      <c r="F430" s="26"/>
      <c r="G430" s="27"/>
      <c r="H430" s="20"/>
      <c r="I430" s="21"/>
      <c r="J430" s="28"/>
      <c r="K430" s="19"/>
    </row>
    <row r="431" spans="1:11" ht="13.2">
      <c r="A431" s="22"/>
      <c r="B431" s="16"/>
      <c r="C431" s="23"/>
      <c r="D431" s="24"/>
      <c r="E431" s="25"/>
      <c r="F431" s="26"/>
      <c r="G431" s="27"/>
      <c r="H431" s="20"/>
      <c r="I431" s="21"/>
      <c r="J431" s="28"/>
      <c r="K431" s="19"/>
    </row>
    <row r="432" spans="1:11" ht="13.2">
      <c r="A432" s="22"/>
      <c r="B432" s="16"/>
      <c r="C432" s="23"/>
      <c r="D432" s="24"/>
      <c r="E432" s="25"/>
      <c r="F432" s="26"/>
      <c r="G432" s="27"/>
      <c r="H432" s="20"/>
      <c r="I432" s="21"/>
      <c r="J432" s="28"/>
      <c r="K432" s="19"/>
    </row>
    <row r="433" spans="1:11" ht="13.2">
      <c r="A433" s="22"/>
      <c r="B433" s="16"/>
      <c r="C433" s="23"/>
      <c r="D433" s="24"/>
      <c r="E433" s="25"/>
      <c r="F433" s="26"/>
      <c r="G433" s="27"/>
      <c r="H433" s="20"/>
      <c r="I433" s="21"/>
      <c r="J433" s="28"/>
      <c r="K433" s="19"/>
    </row>
    <row r="434" spans="1:11" ht="13.2">
      <c r="A434" s="22"/>
      <c r="B434" s="16"/>
      <c r="C434" s="23"/>
      <c r="D434" s="24"/>
      <c r="E434" s="25"/>
      <c r="F434" s="26"/>
      <c r="G434" s="27"/>
      <c r="H434" s="20"/>
      <c r="I434" s="21"/>
      <c r="J434" s="28"/>
      <c r="K434" s="19"/>
    </row>
    <row r="435" spans="1:11" ht="13.2">
      <c r="A435" s="22"/>
      <c r="B435" s="16"/>
      <c r="C435" s="23"/>
      <c r="D435" s="24"/>
      <c r="E435" s="25"/>
      <c r="F435" s="26"/>
      <c r="G435" s="27"/>
      <c r="H435" s="20"/>
      <c r="I435" s="21"/>
      <c r="J435" s="28"/>
      <c r="K435" s="19"/>
    </row>
    <row r="436" spans="1:11" ht="13.2">
      <c r="A436" s="22"/>
      <c r="B436" s="16"/>
      <c r="C436" s="23"/>
      <c r="D436" s="24"/>
      <c r="E436" s="25"/>
      <c r="F436" s="26"/>
      <c r="G436" s="27"/>
      <c r="H436" s="20"/>
      <c r="I436" s="21"/>
      <c r="J436" s="28"/>
      <c r="K436" s="19"/>
    </row>
    <row r="437" spans="1:11" ht="13.2">
      <c r="A437" s="22"/>
      <c r="B437" s="16"/>
      <c r="C437" s="23"/>
      <c r="D437" s="24"/>
      <c r="E437" s="25"/>
      <c r="F437" s="26"/>
      <c r="G437" s="27"/>
      <c r="H437" s="20"/>
      <c r="I437" s="21"/>
      <c r="J437" s="28"/>
      <c r="K437" s="19"/>
    </row>
    <row r="438" spans="1:11" ht="13.2">
      <c r="A438" s="22"/>
      <c r="B438" s="16"/>
      <c r="C438" s="23"/>
      <c r="D438" s="24"/>
      <c r="E438" s="25"/>
      <c r="F438" s="26"/>
      <c r="G438" s="27"/>
      <c r="H438" s="20"/>
      <c r="I438" s="21"/>
      <c r="J438" s="28"/>
      <c r="K438" s="19"/>
    </row>
    <row r="439" spans="1:11" ht="13.2">
      <c r="A439" s="22"/>
      <c r="B439" s="16"/>
      <c r="C439" s="23"/>
      <c r="D439" s="24"/>
      <c r="E439" s="25"/>
      <c r="F439" s="26"/>
      <c r="G439" s="27"/>
      <c r="H439" s="20"/>
      <c r="I439" s="21"/>
      <c r="J439" s="28"/>
      <c r="K439" s="19"/>
    </row>
    <row r="440" spans="1:11" ht="13.2">
      <c r="A440" s="22"/>
      <c r="B440" s="16"/>
      <c r="C440" s="23"/>
      <c r="D440" s="24"/>
      <c r="E440" s="25"/>
      <c r="F440" s="26"/>
      <c r="G440" s="27"/>
      <c r="H440" s="20"/>
      <c r="I440" s="21"/>
      <c r="J440" s="28"/>
      <c r="K440" s="19"/>
    </row>
    <row r="441" spans="1:11" ht="13.2">
      <c r="A441" s="22"/>
      <c r="B441" s="16"/>
      <c r="C441" s="23"/>
      <c r="D441" s="24"/>
      <c r="E441" s="25"/>
      <c r="F441" s="26"/>
      <c r="G441" s="27"/>
      <c r="H441" s="20"/>
      <c r="I441" s="21"/>
      <c r="J441" s="28"/>
      <c r="K441" s="19"/>
    </row>
    <row r="442" spans="1:11" ht="13.2">
      <c r="A442" s="22"/>
      <c r="B442" s="16"/>
      <c r="C442" s="23"/>
      <c r="D442" s="24"/>
      <c r="E442" s="25"/>
      <c r="F442" s="26"/>
      <c r="G442" s="27"/>
      <c r="H442" s="20"/>
      <c r="I442" s="21"/>
      <c r="J442" s="28"/>
      <c r="K442" s="19"/>
    </row>
    <row r="443" spans="1:11" ht="13.2">
      <c r="A443" s="22"/>
      <c r="B443" s="16"/>
      <c r="C443" s="23"/>
      <c r="D443" s="24"/>
      <c r="E443" s="25"/>
      <c r="F443" s="26"/>
      <c r="G443" s="27"/>
      <c r="H443" s="20"/>
      <c r="I443" s="21"/>
      <c r="J443" s="28"/>
      <c r="K443" s="19"/>
    </row>
    <row r="444" spans="1:11" ht="13.2">
      <c r="A444" s="22"/>
      <c r="B444" s="16"/>
      <c r="C444" s="23"/>
      <c r="D444" s="24"/>
      <c r="E444" s="25"/>
      <c r="F444" s="26"/>
      <c r="G444" s="27"/>
      <c r="H444" s="20"/>
      <c r="I444" s="21"/>
      <c r="J444" s="28"/>
      <c r="K444" s="19"/>
    </row>
    <row r="445" spans="1:11" ht="13.2">
      <c r="A445" s="22"/>
      <c r="B445" s="16"/>
      <c r="C445" s="23"/>
      <c r="D445" s="24"/>
      <c r="E445" s="25"/>
      <c r="F445" s="26"/>
      <c r="G445" s="27"/>
      <c r="H445" s="20"/>
      <c r="I445" s="21"/>
      <c r="J445" s="28"/>
      <c r="K445" s="19"/>
    </row>
    <row r="446" spans="1:11" ht="13.2">
      <c r="A446" s="22"/>
      <c r="B446" s="16"/>
      <c r="C446" s="23"/>
      <c r="D446" s="24"/>
      <c r="E446" s="25"/>
      <c r="F446" s="26"/>
      <c r="G446" s="27"/>
      <c r="H446" s="20"/>
      <c r="I446" s="21"/>
      <c r="J446" s="28"/>
      <c r="K446" s="19"/>
    </row>
    <row r="447" spans="1:11" ht="13.2">
      <c r="A447" s="22"/>
      <c r="B447" s="16"/>
      <c r="C447" s="23"/>
      <c r="D447" s="24"/>
      <c r="E447" s="25"/>
      <c r="F447" s="26"/>
      <c r="G447" s="27"/>
      <c r="H447" s="20"/>
      <c r="I447" s="21"/>
      <c r="J447" s="28"/>
      <c r="K447" s="19"/>
    </row>
    <row r="448" spans="1:11" ht="13.2">
      <c r="A448" s="22"/>
      <c r="B448" s="16"/>
      <c r="C448" s="23"/>
      <c r="D448" s="24"/>
      <c r="E448" s="25"/>
      <c r="F448" s="26"/>
      <c r="G448" s="27"/>
      <c r="H448" s="20"/>
      <c r="I448" s="21"/>
      <c r="J448" s="28"/>
      <c r="K448" s="19"/>
    </row>
    <row r="449" spans="1:11" ht="13.2">
      <c r="A449" s="22"/>
      <c r="B449" s="16"/>
      <c r="C449" s="23"/>
      <c r="D449" s="24"/>
      <c r="E449" s="25"/>
      <c r="F449" s="26"/>
      <c r="G449" s="27"/>
      <c r="H449" s="20"/>
      <c r="I449" s="21"/>
      <c r="J449" s="28"/>
      <c r="K449" s="19"/>
    </row>
    <row r="450" spans="1:11" ht="13.2">
      <c r="A450" s="22"/>
      <c r="B450" s="16"/>
      <c r="C450" s="23"/>
      <c r="D450" s="24"/>
      <c r="E450" s="25"/>
      <c r="F450" s="26"/>
      <c r="G450" s="27"/>
      <c r="H450" s="20"/>
      <c r="I450" s="21"/>
      <c r="J450" s="28"/>
      <c r="K450" s="19"/>
    </row>
    <row r="451" spans="1:11" ht="13.2">
      <c r="A451" s="22"/>
      <c r="B451" s="16"/>
      <c r="C451" s="23"/>
      <c r="D451" s="24"/>
      <c r="E451" s="25"/>
      <c r="F451" s="26"/>
      <c r="G451" s="27"/>
      <c r="H451" s="20"/>
      <c r="I451" s="21"/>
      <c r="J451" s="28"/>
      <c r="K451" s="19"/>
    </row>
    <row r="452" spans="1:11" ht="13.2">
      <c r="A452" s="22"/>
      <c r="B452" s="16"/>
      <c r="C452" s="23"/>
      <c r="D452" s="24"/>
      <c r="E452" s="25"/>
      <c r="F452" s="26"/>
      <c r="G452" s="27"/>
      <c r="H452" s="20"/>
      <c r="I452" s="21"/>
      <c r="J452" s="28"/>
      <c r="K452" s="19"/>
    </row>
    <row r="453" spans="1:11" ht="13.2">
      <c r="A453" s="22"/>
      <c r="B453" s="16"/>
      <c r="C453" s="23"/>
      <c r="D453" s="24"/>
      <c r="E453" s="25"/>
      <c r="F453" s="26"/>
      <c r="G453" s="27"/>
      <c r="H453" s="20"/>
      <c r="I453" s="21"/>
      <c r="J453" s="28"/>
      <c r="K453" s="19"/>
    </row>
    <row r="454" spans="1:11" ht="13.2">
      <c r="A454" s="22"/>
      <c r="B454" s="16"/>
      <c r="C454" s="23"/>
      <c r="D454" s="24"/>
      <c r="E454" s="25"/>
      <c r="F454" s="26"/>
      <c r="G454" s="27"/>
      <c r="H454" s="20"/>
      <c r="I454" s="21"/>
      <c r="J454" s="28"/>
      <c r="K454" s="19"/>
    </row>
    <row r="455" spans="1:11" ht="13.2">
      <c r="A455" s="22"/>
      <c r="B455" s="16"/>
      <c r="C455" s="23"/>
      <c r="D455" s="24"/>
      <c r="E455" s="25"/>
      <c r="F455" s="26"/>
      <c r="G455" s="27"/>
      <c r="H455" s="20"/>
      <c r="I455" s="21"/>
      <c r="J455" s="28"/>
      <c r="K455" s="19"/>
    </row>
    <row r="456" spans="1:11" ht="13.2">
      <c r="A456" s="22"/>
      <c r="B456" s="16"/>
      <c r="C456" s="23"/>
      <c r="D456" s="24"/>
      <c r="E456" s="25"/>
      <c r="F456" s="26"/>
      <c r="G456" s="27"/>
      <c r="H456" s="20"/>
      <c r="I456" s="21"/>
      <c r="J456" s="28"/>
      <c r="K456" s="19"/>
    </row>
    <row r="457" spans="1:11" ht="13.2">
      <c r="A457" s="22"/>
      <c r="B457" s="16"/>
      <c r="C457" s="23"/>
      <c r="D457" s="24"/>
      <c r="E457" s="25"/>
      <c r="F457" s="26"/>
      <c r="G457" s="27"/>
      <c r="H457" s="20"/>
      <c r="I457" s="21"/>
      <c r="J457" s="28"/>
      <c r="K457" s="19"/>
    </row>
    <row r="458" spans="1:11" ht="13.2">
      <c r="A458" s="22"/>
      <c r="B458" s="16"/>
      <c r="C458" s="23"/>
      <c r="D458" s="24"/>
      <c r="E458" s="25"/>
      <c r="F458" s="26"/>
      <c r="G458" s="27"/>
      <c r="H458" s="20"/>
      <c r="I458" s="21"/>
      <c r="J458" s="28"/>
      <c r="K458" s="19"/>
    </row>
    <row r="459" spans="1:11" ht="13.2">
      <c r="A459" s="22"/>
      <c r="B459" s="16"/>
      <c r="C459" s="23"/>
      <c r="D459" s="24"/>
      <c r="E459" s="25"/>
      <c r="F459" s="26"/>
      <c r="G459" s="27"/>
      <c r="H459" s="20"/>
      <c r="I459" s="21"/>
      <c r="J459" s="28"/>
      <c r="K459" s="19"/>
    </row>
    <row r="460" spans="1:11" ht="13.2">
      <c r="A460" s="22"/>
      <c r="B460" s="16"/>
      <c r="C460" s="23"/>
      <c r="D460" s="24"/>
      <c r="E460" s="25"/>
      <c r="F460" s="26"/>
      <c r="G460" s="27"/>
      <c r="H460" s="20"/>
      <c r="I460" s="21"/>
      <c r="J460" s="28"/>
      <c r="K460" s="19"/>
    </row>
    <row r="461" spans="1:11" ht="13.2">
      <c r="A461" s="22"/>
      <c r="B461" s="16"/>
      <c r="C461" s="23"/>
      <c r="D461" s="24"/>
      <c r="E461" s="25"/>
      <c r="F461" s="26"/>
      <c r="G461" s="27"/>
      <c r="H461" s="20"/>
      <c r="I461" s="21"/>
      <c r="J461" s="28"/>
      <c r="K461" s="19"/>
    </row>
    <row r="462" spans="1:11" ht="13.2">
      <c r="A462" s="22"/>
      <c r="B462" s="16"/>
      <c r="C462" s="23"/>
      <c r="D462" s="24"/>
      <c r="E462" s="25"/>
      <c r="F462" s="26"/>
      <c r="G462" s="27"/>
      <c r="H462" s="20"/>
      <c r="I462" s="21"/>
      <c r="J462" s="28"/>
      <c r="K462" s="19"/>
    </row>
    <row r="463" spans="1:11" ht="13.2">
      <c r="A463" s="22"/>
      <c r="B463" s="16"/>
      <c r="C463" s="23"/>
      <c r="D463" s="24"/>
      <c r="E463" s="25"/>
      <c r="F463" s="26"/>
      <c r="G463" s="27"/>
      <c r="H463" s="20"/>
      <c r="I463" s="21"/>
      <c r="J463" s="28"/>
      <c r="K463" s="19"/>
    </row>
    <row r="464" spans="1:11" ht="13.2">
      <c r="A464" s="22"/>
      <c r="B464" s="16"/>
      <c r="C464" s="23"/>
      <c r="D464" s="24"/>
      <c r="E464" s="25"/>
      <c r="F464" s="26"/>
      <c r="G464" s="27"/>
      <c r="H464" s="20"/>
      <c r="I464" s="21"/>
      <c r="J464" s="28"/>
      <c r="K464" s="19"/>
    </row>
    <row r="465" spans="1:11" ht="13.2">
      <c r="A465" s="22"/>
      <c r="B465" s="16"/>
      <c r="C465" s="23"/>
      <c r="D465" s="24"/>
      <c r="E465" s="25"/>
      <c r="F465" s="26"/>
      <c r="G465" s="27"/>
      <c r="H465" s="20"/>
      <c r="I465" s="21"/>
      <c r="J465" s="28"/>
      <c r="K465" s="19"/>
    </row>
    <row r="466" spans="1:11" ht="13.2">
      <c r="A466" s="22"/>
      <c r="B466" s="16"/>
      <c r="C466" s="23"/>
      <c r="D466" s="24"/>
      <c r="E466" s="25"/>
      <c r="F466" s="26"/>
      <c r="G466" s="27"/>
      <c r="H466" s="20"/>
      <c r="I466" s="21"/>
      <c r="J466" s="28"/>
      <c r="K466" s="19"/>
    </row>
    <row r="467" spans="1:11" ht="13.2">
      <c r="A467" s="22"/>
      <c r="B467" s="16"/>
      <c r="C467" s="23"/>
      <c r="D467" s="24"/>
      <c r="E467" s="25"/>
      <c r="F467" s="26"/>
      <c r="G467" s="27"/>
      <c r="H467" s="20"/>
      <c r="I467" s="21"/>
      <c r="J467" s="28"/>
      <c r="K467" s="19"/>
    </row>
    <row r="468" spans="1:11" ht="13.2">
      <c r="A468" s="22"/>
      <c r="B468" s="16"/>
      <c r="C468" s="23"/>
      <c r="D468" s="24"/>
      <c r="E468" s="25"/>
      <c r="F468" s="26"/>
      <c r="G468" s="27"/>
      <c r="H468" s="20"/>
      <c r="I468" s="21"/>
      <c r="J468" s="28"/>
      <c r="K468" s="19"/>
    </row>
    <row r="469" spans="1:11" ht="13.2">
      <c r="A469" s="22"/>
      <c r="B469" s="16"/>
      <c r="C469" s="23"/>
      <c r="D469" s="24"/>
      <c r="E469" s="25"/>
      <c r="F469" s="26"/>
      <c r="G469" s="27"/>
      <c r="H469" s="20"/>
      <c r="I469" s="21"/>
      <c r="J469" s="28"/>
      <c r="K469" s="19"/>
    </row>
    <row r="470" spans="1:11" ht="13.2">
      <c r="A470" s="22"/>
      <c r="B470" s="16"/>
      <c r="C470" s="23"/>
      <c r="D470" s="24"/>
      <c r="E470" s="25"/>
      <c r="F470" s="26"/>
      <c r="G470" s="27"/>
      <c r="H470" s="20"/>
      <c r="I470" s="21"/>
      <c r="J470" s="28"/>
      <c r="K470" s="19"/>
    </row>
    <row r="471" spans="1:11" ht="13.2">
      <c r="A471" s="22"/>
      <c r="B471" s="16"/>
      <c r="C471" s="23"/>
      <c r="D471" s="24"/>
      <c r="E471" s="25"/>
      <c r="F471" s="26"/>
      <c r="G471" s="27"/>
      <c r="H471" s="20"/>
      <c r="I471" s="21"/>
      <c r="J471" s="28"/>
      <c r="K471" s="19"/>
    </row>
    <row r="472" spans="1:11" ht="13.2">
      <c r="A472" s="22"/>
      <c r="B472" s="16"/>
      <c r="C472" s="23"/>
      <c r="D472" s="24"/>
      <c r="E472" s="25"/>
      <c r="F472" s="26"/>
      <c r="G472" s="27"/>
      <c r="H472" s="20"/>
      <c r="I472" s="21"/>
      <c r="J472" s="28"/>
      <c r="K472" s="19"/>
    </row>
    <row r="473" spans="1:11" ht="13.2">
      <c r="A473" s="22"/>
      <c r="B473" s="16"/>
      <c r="C473" s="23"/>
      <c r="D473" s="24"/>
      <c r="E473" s="25"/>
      <c r="F473" s="26"/>
      <c r="G473" s="27"/>
      <c r="H473" s="20"/>
      <c r="I473" s="21"/>
      <c r="J473" s="28"/>
      <c r="K473" s="19"/>
    </row>
    <row r="474" spans="1:11" ht="13.2">
      <c r="A474" s="22"/>
      <c r="B474" s="16"/>
      <c r="C474" s="23"/>
      <c r="D474" s="24"/>
      <c r="E474" s="25"/>
      <c r="F474" s="26"/>
      <c r="G474" s="27"/>
      <c r="H474" s="20"/>
      <c r="I474" s="21"/>
      <c r="J474" s="28"/>
      <c r="K474" s="19"/>
    </row>
    <row r="475" spans="1:11" ht="13.2">
      <c r="A475" s="22"/>
      <c r="B475" s="16"/>
      <c r="C475" s="23"/>
      <c r="D475" s="24"/>
      <c r="E475" s="25"/>
      <c r="F475" s="26"/>
      <c r="G475" s="27"/>
      <c r="H475" s="20"/>
      <c r="I475" s="21"/>
      <c r="J475" s="28"/>
      <c r="K475" s="19"/>
    </row>
    <row r="476" spans="1:11" ht="13.2">
      <c r="A476" s="22"/>
      <c r="B476" s="16"/>
      <c r="C476" s="23"/>
      <c r="D476" s="24"/>
      <c r="E476" s="25"/>
      <c r="F476" s="26"/>
      <c r="G476" s="27"/>
      <c r="H476" s="20"/>
      <c r="I476" s="21"/>
      <c r="J476" s="28"/>
      <c r="K476" s="19"/>
    </row>
    <row r="477" spans="1:11" ht="13.2">
      <c r="A477" s="22"/>
      <c r="B477" s="16"/>
      <c r="C477" s="23"/>
      <c r="D477" s="24"/>
      <c r="E477" s="25"/>
      <c r="F477" s="26"/>
      <c r="G477" s="27"/>
      <c r="H477" s="20"/>
      <c r="I477" s="21"/>
      <c r="J477" s="28"/>
      <c r="K477" s="19"/>
    </row>
    <row r="478" spans="1:11" ht="13.2">
      <c r="A478" s="22"/>
      <c r="B478" s="16"/>
      <c r="C478" s="23"/>
      <c r="D478" s="24"/>
      <c r="E478" s="25"/>
      <c r="F478" s="26"/>
      <c r="G478" s="27"/>
      <c r="H478" s="20"/>
      <c r="I478" s="21"/>
      <c r="J478" s="28"/>
      <c r="K478" s="19"/>
    </row>
    <row r="479" spans="1:11" ht="13.2">
      <c r="A479" s="22"/>
      <c r="B479" s="16"/>
      <c r="C479" s="23"/>
      <c r="D479" s="24"/>
      <c r="E479" s="25"/>
      <c r="F479" s="26"/>
      <c r="G479" s="27"/>
      <c r="H479" s="20"/>
      <c r="I479" s="21"/>
      <c r="J479" s="28"/>
      <c r="K479" s="19"/>
    </row>
    <row r="480" spans="1:11" ht="13.2">
      <c r="A480" s="22"/>
      <c r="B480" s="16"/>
      <c r="C480" s="23"/>
      <c r="D480" s="24"/>
      <c r="E480" s="25"/>
      <c r="F480" s="26"/>
      <c r="G480" s="27"/>
      <c r="H480" s="20"/>
      <c r="I480" s="21"/>
      <c r="J480" s="28"/>
      <c r="K480" s="19"/>
    </row>
    <row r="481" spans="1:11" ht="13.2">
      <c r="A481" s="22"/>
      <c r="B481" s="16"/>
      <c r="C481" s="23"/>
      <c r="D481" s="24"/>
      <c r="E481" s="25"/>
      <c r="F481" s="26"/>
      <c r="G481" s="27"/>
      <c r="H481" s="20"/>
      <c r="I481" s="21"/>
      <c r="J481" s="28"/>
      <c r="K481" s="19"/>
    </row>
    <row r="482" spans="1:11" ht="13.2">
      <c r="A482" s="22"/>
      <c r="B482" s="16"/>
      <c r="C482" s="23"/>
      <c r="D482" s="24"/>
      <c r="E482" s="25"/>
      <c r="F482" s="26"/>
      <c r="G482" s="27"/>
      <c r="H482" s="20"/>
      <c r="I482" s="21"/>
      <c r="J482" s="28"/>
      <c r="K482" s="19"/>
    </row>
    <row r="483" spans="1:11" ht="13.2">
      <c r="A483" s="22"/>
      <c r="B483" s="16"/>
      <c r="C483" s="23"/>
      <c r="D483" s="24"/>
      <c r="E483" s="25"/>
      <c r="F483" s="26"/>
      <c r="G483" s="27"/>
      <c r="H483" s="20"/>
      <c r="I483" s="21"/>
      <c r="J483" s="28"/>
      <c r="K483" s="19"/>
    </row>
    <row r="484" spans="1:11" ht="13.2">
      <c r="A484" s="22"/>
      <c r="B484" s="16"/>
      <c r="C484" s="23"/>
      <c r="D484" s="24"/>
      <c r="E484" s="25"/>
      <c r="F484" s="26"/>
      <c r="G484" s="27"/>
      <c r="H484" s="20"/>
      <c r="I484" s="21"/>
      <c r="J484" s="28"/>
      <c r="K484" s="19"/>
    </row>
    <row r="485" spans="1:11" ht="13.2">
      <c r="A485" s="22"/>
      <c r="B485" s="16"/>
      <c r="C485" s="23"/>
      <c r="D485" s="24"/>
      <c r="E485" s="25"/>
      <c r="F485" s="26"/>
      <c r="G485" s="27"/>
      <c r="H485" s="20"/>
      <c r="I485" s="21"/>
      <c r="J485" s="28"/>
      <c r="K485" s="19"/>
    </row>
    <row r="486" spans="1:11" ht="13.2">
      <c r="A486" s="22"/>
      <c r="B486" s="16"/>
      <c r="C486" s="23"/>
      <c r="D486" s="24"/>
      <c r="E486" s="25"/>
      <c r="F486" s="26"/>
      <c r="G486" s="27"/>
      <c r="H486" s="20"/>
      <c r="I486" s="21"/>
      <c r="J486" s="28"/>
      <c r="K486" s="19"/>
    </row>
    <row r="487" spans="1:11" ht="13.2">
      <c r="A487" s="22"/>
      <c r="B487" s="16"/>
      <c r="C487" s="23"/>
      <c r="D487" s="24"/>
      <c r="E487" s="25"/>
      <c r="F487" s="26"/>
      <c r="G487" s="27"/>
      <c r="H487" s="20"/>
      <c r="I487" s="21"/>
      <c r="J487" s="28"/>
      <c r="K487" s="19"/>
    </row>
    <row r="488" spans="1:11" ht="13.2">
      <c r="A488" s="22"/>
      <c r="B488" s="16"/>
      <c r="C488" s="23"/>
      <c r="D488" s="24"/>
      <c r="E488" s="25"/>
      <c r="F488" s="26"/>
      <c r="G488" s="27"/>
      <c r="H488" s="20"/>
      <c r="I488" s="21"/>
      <c r="J488" s="28"/>
      <c r="K488" s="19"/>
    </row>
    <row r="489" spans="1:11" ht="13.2">
      <c r="A489" s="22"/>
      <c r="B489" s="16"/>
      <c r="C489" s="23"/>
      <c r="D489" s="24"/>
      <c r="E489" s="25"/>
      <c r="F489" s="26"/>
      <c r="G489" s="27"/>
      <c r="H489" s="20"/>
      <c r="I489" s="21"/>
      <c r="J489" s="28"/>
      <c r="K489" s="19"/>
    </row>
    <row r="490" spans="1:11" ht="13.2">
      <c r="A490" s="22"/>
      <c r="B490" s="16"/>
      <c r="C490" s="23"/>
      <c r="D490" s="24"/>
      <c r="E490" s="25"/>
      <c r="F490" s="26"/>
      <c r="G490" s="27"/>
      <c r="H490" s="20"/>
      <c r="I490" s="21"/>
      <c r="J490" s="28"/>
      <c r="K490" s="19"/>
    </row>
    <row r="491" spans="1:11" ht="13.2">
      <c r="A491" s="22"/>
      <c r="B491" s="16"/>
      <c r="C491" s="23"/>
      <c r="D491" s="24"/>
      <c r="E491" s="25"/>
      <c r="F491" s="26"/>
      <c r="G491" s="27"/>
      <c r="H491" s="20"/>
      <c r="I491" s="21"/>
      <c r="J491" s="28"/>
      <c r="K491" s="19"/>
    </row>
    <row r="492" spans="1:11" ht="13.2">
      <c r="A492" s="22"/>
      <c r="B492" s="16"/>
      <c r="C492" s="23"/>
      <c r="D492" s="24"/>
      <c r="E492" s="25"/>
      <c r="F492" s="26"/>
      <c r="G492" s="27"/>
      <c r="H492" s="20"/>
      <c r="I492" s="21"/>
      <c r="J492" s="28"/>
      <c r="K492" s="19"/>
    </row>
    <row r="493" spans="1:11" ht="13.2">
      <c r="A493" s="22"/>
      <c r="B493" s="16"/>
      <c r="C493" s="23"/>
      <c r="D493" s="24"/>
      <c r="E493" s="25"/>
      <c r="F493" s="26"/>
      <c r="G493" s="27"/>
      <c r="H493" s="20"/>
      <c r="I493" s="21"/>
      <c r="J493" s="28"/>
      <c r="K493" s="19"/>
    </row>
    <row r="494" spans="1:11" ht="13.2">
      <c r="A494" s="22"/>
      <c r="B494" s="16"/>
      <c r="C494" s="23"/>
      <c r="D494" s="24"/>
      <c r="E494" s="25"/>
      <c r="F494" s="26"/>
      <c r="G494" s="27"/>
      <c r="H494" s="20"/>
      <c r="I494" s="21"/>
      <c r="J494" s="28"/>
      <c r="K494" s="19"/>
    </row>
    <row r="495" spans="1:11" ht="13.2">
      <c r="A495" s="22"/>
      <c r="B495" s="16"/>
      <c r="C495" s="23"/>
      <c r="D495" s="24"/>
      <c r="E495" s="25"/>
      <c r="F495" s="26"/>
      <c r="G495" s="27"/>
      <c r="H495" s="20"/>
      <c r="I495" s="21"/>
      <c r="J495" s="28"/>
      <c r="K495" s="19"/>
    </row>
    <row r="496" spans="1:11" ht="13.2">
      <c r="A496" s="22"/>
      <c r="B496" s="16"/>
      <c r="C496" s="23"/>
      <c r="D496" s="24"/>
      <c r="E496" s="25"/>
      <c r="F496" s="26"/>
      <c r="G496" s="27"/>
      <c r="H496" s="20"/>
      <c r="I496" s="21"/>
      <c r="J496" s="28"/>
      <c r="K496" s="19"/>
    </row>
    <row r="497" spans="1:11" ht="13.2">
      <c r="A497" s="22"/>
      <c r="B497" s="16"/>
      <c r="C497" s="23"/>
      <c r="D497" s="24"/>
      <c r="E497" s="25"/>
      <c r="F497" s="26"/>
      <c r="G497" s="27"/>
      <c r="H497" s="20"/>
      <c r="I497" s="21"/>
      <c r="J497" s="28"/>
      <c r="K497" s="19"/>
    </row>
    <row r="498" spans="1:11" ht="13.2">
      <c r="A498" s="22"/>
      <c r="B498" s="16"/>
      <c r="C498" s="23"/>
      <c r="D498" s="24"/>
      <c r="E498" s="25"/>
      <c r="F498" s="26"/>
      <c r="G498" s="27"/>
      <c r="H498" s="20"/>
      <c r="I498" s="21"/>
      <c r="J498" s="28"/>
      <c r="K498" s="19"/>
    </row>
    <row r="499" spans="1:11" ht="13.2">
      <c r="A499" s="22"/>
      <c r="B499" s="16"/>
      <c r="C499" s="23"/>
      <c r="D499" s="24"/>
      <c r="E499" s="25"/>
      <c r="F499" s="26"/>
      <c r="G499" s="27"/>
      <c r="H499" s="20"/>
      <c r="I499" s="21"/>
      <c r="J499" s="28"/>
      <c r="K499" s="19"/>
    </row>
    <row r="500" spans="1:11" ht="13.2">
      <c r="A500" s="22"/>
      <c r="B500" s="16"/>
      <c r="C500" s="23"/>
      <c r="D500" s="24"/>
      <c r="E500" s="25"/>
      <c r="F500" s="26"/>
      <c r="G500" s="27"/>
      <c r="H500" s="20"/>
      <c r="I500" s="21"/>
      <c r="J500" s="28"/>
      <c r="K500" s="19"/>
    </row>
    <row r="501" spans="1:11" ht="13.2">
      <c r="A501" s="22"/>
      <c r="B501" s="16"/>
      <c r="C501" s="23"/>
      <c r="D501" s="24"/>
      <c r="E501" s="25"/>
      <c r="F501" s="26"/>
      <c r="G501" s="27"/>
      <c r="H501" s="20"/>
      <c r="I501" s="21"/>
      <c r="J501" s="28"/>
      <c r="K501" s="19"/>
    </row>
    <row r="502" spans="1:11" ht="13.2">
      <c r="A502" s="22"/>
      <c r="B502" s="16"/>
      <c r="C502" s="23"/>
      <c r="D502" s="24"/>
      <c r="E502" s="25"/>
      <c r="F502" s="26"/>
      <c r="G502" s="27"/>
      <c r="H502" s="20"/>
      <c r="I502" s="21"/>
      <c r="J502" s="28"/>
      <c r="K502" s="19"/>
    </row>
    <row r="503" spans="1:11" ht="13.2">
      <c r="A503" s="22"/>
      <c r="B503" s="16"/>
      <c r="C503" s="23"/>
      <c r="D503" s="24"/>
      <c r="E503" s="25"/>
      <c r="F503" s="26"/>
      <c r="G503" s="27"/>
      <c r="H503" s="20"/>
      <c r="I503" s="21"/>
      <c r="J503" s="28"/>
      <c r="K503" s="19"/>
    </row>
    <row r="504" spans="1:11" ht="13.2">
      <c r="A504" s="22"/>
      <c r="B504" s="16"/>
      <c r="C504" s="23"/>
      <c r="D504" s="24"/>
      <c r="E504" s="25"/>
      <c r="F504" s="26"/>
      <c r="G504" s="27"/>
      <c r="H504" s="20"/>
      <c r="I504" s="21"/>
      <c r="J504" s="28"/>
      <c r="K504" s="19"/>
    </row>
    <row r="505" spans="1:11" ht="13.2">
      <c r="A505" s="22"/>
      <c r="B505" s="16"/>
      <c r="C505" s="23"/>
      <c r="D505" s="24"/>
      <c r="E505" s="25"/>
      <c r="F505" s="26"/>
      <c r="G505" s="27"/>
      <c r="H505" s="20"/>
      <c r="I505" s="21"/>
      <c r="J505" s="28"/>
      <c r="K505" s="19"/>
    </row>
    <row r="506" spans="1:11" ht="13.2">
      <c r="A506" s="22"/>
      <c r="B506" s="16"/>
      <c r="C506" s="23"/>
      <c r="D506" s="24"/>
      <c r="E506" s="25"/>
      <c r="F506" s="26"/>
      <c r="G506" s="27"/>
      <c r="H506" s="20"/>
      <c r="I506" s="21"/>
      <c r="J506" s="28"/>
      <c r="K506" s="19"/>
    </row>
    <row r="507" spans="1:11" ht="13.2">
      <c r="A507" s="22"/>
      <c r="B507" s="16"/>
      <c r="C507" s="23"/>
      <c r="D507" s="24"/>
      <c r="E507" s="25"/>
      <c r="F507" s="26"/>
      <c r="G507" s="27"/>
      <c r="H507" s="20"/>
      <c r="I507" s="21"/>
      <c r="J507" s="28"/>
      <c r="K507" s="19"/>
    </row>
    <row r="508" spans="1:11" ht="13.2">
      <c r="A508" s="22"/>
      <c r="B508" s="16"/>
      <c r="C508" s="23"/>
      <c r="D508" s="24"/>
      <c r="E508" s="25"/>
      <c r="F508" s="26"/>
      <c r="G508" s="27"/>
      <c r="H508" s="20"/>
      <c r="I508" s="21"/>
      <c r="J508" s="28"/>
      <c r="K508" s="19"/>
    </row>
    <row r="509" spans="1:11" ht="13.2">
      <c r="A509" s="22"/>
      <c r="B509" s="16"/>
      <c r="C509" s="23"/>
      <c r="D509" s="24"/>
      <c r="E509" s="25"/>
      <c r="F509" s="26"/>
      <c r="G509" s="27"/>
      <c r="H509" s="20"/>
      <c r="I509" s="21"/>
      <c r="J509" s="28"/>
      <c r="K509" s="19"/>
    </row>
    <row r="510" spans="1:11" ht="13.2">
      <c r="A510" s="22"/>
      <c r="B510" s="16"/>
      <c r="C510" s="23"/>
      <c r="D510" s="24"/>
      <c r="E510" s="25"/>
      <c r="F510" s="26"/>
      <c r="G510" s="27"/>
      <c r="H510" s="20"/>
      <c r="I510" s="21"/>
      <c r="J510" s="28"/>
      <c r="K510" s="19"/>
    </row>
    <row r="511" spans="1:11" ht="13.2">
      <c r="A511" s="22"/>
      <c r="B511" s="16"/>
      <c r="C511" s="23"/>
      <c r="D511" s="24"/>
      <c r="E511" s="25"/>
      <c r="F511" s="26"/>
      <c r="G511" s="27"/>
      <c r="H511" s="20"/>
      <c r="I511" s="21"/>
      <c r="J511" s="28"/>
      <c r="K511" s="19"/>
    </row>
    <row r="512" spans="1:11" ht="13.2">
      <c r="A512" s="22"/>
      <c r="B512" s="16"/>
      <c r="C512" s="23"/>
      <c r="D512" s="24"/>
      <c r="E512" s="25"/>
      <c r="F512" s="26"/>
      <c r="G512" s="27"/>
      <c r="H512" s="20"/>
      <c r="I512" s="21"/>
      <c r="J512" s="28"/>
      <c r="K512" s="19"/>
    </row>
    <row r="513" spans="1:11" ht="13.2">
      <c r="A513" s="22"/>
      <c r="B513" s="16"/>
      <c r="C513" s="23"/>
      <c r="D513" s="24"/>
      <c r="E513" s="25"/>
      <c r="F513" s="26"/>
      <c r="G513" s="27"/>
      <c r="H513" s="20"/>
      <c r="I513" s="21"/>
      <c r="J513" s="28"/>
      <c r="K513" s="19"/>
    </row>
    <row r="514" spans="1:11" ht="13.2">
      <c r="A514" s="22"/>
      <c r="B514" s="16"/>
      <c r="C514" s="23"/>
      <c r="D514" s="24"/>
      <c r="E514" s="25"/>
      <c r="F514" s="26"/>
      <c r="G514" s="27"/>
      <c r="H514" s="20"/>
      <c r="I514" s="21"/>
      <c r="J514" s="28"/>
      <c r="K514" s="19"/>
    </row>
    <row r="515" spans="1:11" ht="13.2">
      <c r="A515" s="22"/>
      <c r="B515" s="16"/>
      <c r="C515" s="23"/>
      <c r="D515" s="24"/>
      <c r="E515" s="25"/>
      <c r="F515" s="26"/>
      <c r="G515" s="27"/>
      <c r="H515" s="20"/>
      <c r="I515" s="21"/>
      <c r="J515" s="28"/>
      <c r="K515" s="19"/>
    </row>
    <row r="516" spans="1:11" ht="13.2">
      <c r="A516" s="22"/>
      <c r="B516" s="16"/>
      <c r="C516" s="23"/>
      <c r="D516" s="24"/>
      <c r="E516" s="25"/>
      <c r="F516" s="26"/>
      <c r="G516" s="27"/>
      <c r="H516" s="20"/>
      <c r="I516" s="21"/>
      <c r="J516" s="28"/>
      <c r="K516" s="19"/>
    </row>
    <row r="517" spans="1:11" ht="13.2">
      <c r="A517" s="22"/>
      <c r="B517" s="16"/>
      <c r="C517" s="23"/>
      <c r="D517" s="24"/>
      <c r="E517" s="25"/>
      <c r="F517" s="26"/>
      <c r="G517" s="27"/>
      <c r="H517" s="20"/>
      <c r="I517" s="21"/>
      <c r="J517" s="28"/>
      <c r="K517" s="19"/>
    </row>
    <row r="518" spans="1:11" ht="13.2">
      <c r="A518" s="22"/>
      <c r="B518" s="16"/>
      <c r="C518" s="23"/>
      <c r="D518" s="24"/>
      <c r="E518" s="25"/>
      <c r="F518" s="26"/>
      <c r="G518" s="27"/>
      <c r="H518" s="20"/>
      <c r="I518" s="21"/>
      <c r="J518" s="28"/>
      <c r="K518" s="19"/>
    </row>
    <row r="519" spans="1:11" ht="13.2">
      <c r="A519" s="22"/>
      <c r="B519" s="16"/>
      <c r="C519" s="23"/>
      <c r="D519" s="24"/>
      <c r="E519" s="25"/>
      <c r="F519" s="26"/>
      <c r="G519" s="27"/>
      <c r="H519" s="20"/>
      <c r="I519" s="21"/>
      <c r="J519" s="28"/>
      <c r="K519" s="19"/>
    </row>
    <row r="520" spans="1:11" ht="13.2">
      <c r="A520" s="22"/>
      <c r="B520" s="16"/>
      <c r="C520" s="23"/>
      <c r="D520" s="24"/>
      <c r="E520" s="25"/>
      <c r="F520" s="26"/>
      <c r="G520" s="27"/>
      <c r="H520" s="20"/>
      <c r="I520" s="21"/>
      <c r="J520" s="28"/>
      <c r="K520" s="19"/>
    </row>
    <row r="521" spans="1:11" ht="13.2">
      <c r="A521" s="22"/>
      <c r="B521" s="16"/>
      <c r="C521" s="23"/>
      <c r="D521" s="24"/>
      <c r="E521" s="25"/>
      <c r="F521" s="26"/>
      <c r="G521" s="27"/>
      <c r="H521" s="20"/>
      <c r="I521" s="21"/>
      <c r="J521" s="28"/>
      <c r="K521" s="19"/>
    </row>
    <row r="522" spans="1:11" ht="13.2">
      <c r="A522" s="22"/>
      <c r="B522" s="16"/>
      <c r="C522" s="23"/>
      <c r="D522" s="24"/>
      <c r="E522" s="25"/>
      <c r="F522" s="26"/>
      <c r="G522" s="27"/>
      <c r="H522" s="20"/>
      <c r="I522" s="21"/>
      <c r="J522" s="28"/>
      <c r="K522" s="19"/>
    </row>
    <row r="523" spans="1:11" ht="13.2">
      <c r="A523" s="22"/>
      <c r="B523" s="16"/>
      <c r="C523" s="23"/>
      <c r="D523" s="24"/>
      <c r="E523" s="25"/>
      <c r="F523" s="26"/>
      <c r="G523" s="27"/>
      <c r="H523" s="20"/>
      <c r="I523" s="21"/>
      <c r="J523" s="28"/>
      <c r="K523" s="19"/>
    </row>
    <row r="524" spans="1:11" ht="13.2">
      <c r="A524" s="22"/>
      <c r="B524" s="16"/>
      <c r="C524" s="23"/>
      <c r="D524" s="24"/>
      <c r="E524" s="25"/>
      <c r="F524" s="26"/>
      <c r="G524" s="27"/>
      <c r="H524" s="20"/>
      <c r="I524" s="21"/>
      <c r="J524" s="28"/>
      <c r="K524" s="19"/>
    </row>
    <row r="525" spans="1:11" ht="13.2">
      <c r="A525" s="22"/>
      <c r="B525" s="16"/>
      <c r="C525" s="23"/>
      <c r="D525" s="24"/>
      <c r="E525" s="25"/>
      <c r="F525" s="26"/>
      <c r="G525" s="27"/>
      <c r="H525" s="20"/>
      <c r="I525" s="21"/>
      <c r="J525" s="28"/>
      <c r="K525" s="19"/>
    </row>
    <row r="526" spans="1:11" ht="13.2">
      <c r="A526" s="22"/>
      <c r="B526" s="16"/>
      <c r="C526" s="23"/>
      <c r="D526" s="24"/>
      <c r="E526" s="25"/>
      <c r="F526" s="26"/>
      <c r="G526" s="27"/>
      <c r="H526" s="20"/>
      <c r="I526" s="21"/>
      <c r="J526" s="28"/>
      <c r="K526" s="19"/>
    </row>
    <row r="527" spans="1:11" ht="13.2">
      <c r="A527" s="22"/>
      <c r="B527" s="16"/>
      <c r="C527" s="23"/>
      <c r="D527" s="24"/>
      <c r="E527" s="25"/>
      <c r="F527" s="26"/>
      <c r="G527" s="27"/>
      <c r="H527" s="20"/>
      <c r="I527" s="21"/>
      <c r="J527" s="28"/>
      <c r="K527" s="19"/>
    </row>
    <row r="528" spans="1:11" ht="13.2">
      <c r="A528" s="22"/>
      <c r="B528" s="16"/>
      <c r="C528" s="23"/>
      <c r="D528" s="24"/>
      <c r="E528" s="25"/>
      <c r="F528" s="26"/>
      <c r="G528" s="27"/>
      <c r="H528" s="20"/>
      <c r="I528" s="21"/>
      <c r="J528" s="28"/>
      <c r="K528" s="19"/>
    </row>
    <row r="529" spans="1:11" ht="13.2">
      <c r="A529" s="22"/>
      <c r="B529" s="16"/>
      <c r="C529" s="23"/>
      <c r="D529" s="24"/>
      <c r="E529" s="25"/>
      <c r="F529" s="26"/>
      <c r="G529" s="27"/>
      <c r="H529" s="20"/>
      <c r="I529" s="21"/>
      <c r="J529" s="28"/>
      <c r="K529" s="19"/>
    </row>
    <row r="530" spans="1:11" ht="13.2">
      <c r="A530" s="22"/>
      <c r="B530" s="16"/>
      <c r="C530" s="23"/>
      <c r="D530" s="24"/>
      <c r="E530" s="25"/>
      <c r="F530" s="26"/>
      <c r="G530" s="27"/>
      <c r="H530" s="20"/>
      <c r="I530" s="21"/>
      <c r="J530" s="28"/>
      <c r="K530" s="19"/>
    </row>
    <row r="531" spans="1:11" ht="13.2">
      <c r="A531" s="22"/>
      <c r="B531" s="16"/>
      <c r="C531" s="23"/>
      <c r="D531" s="24"/>
      <c r="E531" s="25"/>
      <c r="F531" s="26"/>
      <c r="G531" s="27"/>
      <c r="H531" s="20"/>
      <c r="I531" s="21"/>
      <c r="J531" s="28"/>
      <c r="K531" s="19"/>
    </row>
    <row r="532" spans="1:11" ht="13.2">
      <c r="A532" s="22"/>
      <c r="B532" s="16"/>
      <c r="C532" s="23"/>
      <c r="D532" s="24"/>
      <c r="E532" s="25"/>
      <c r="F532" s="26"/>
      <c r="G532" s="27"/>
      <c r="H532" s="20"/>
      <c r="I532" s="21"/>
      <c r="J532" s="28"/>
      <c r="K532" s="19"/>
    </row>
    <row r="533" spans="1:11" ht="13.2">
      <c r="A533" s="22"/>
      <c r="B533" s="16"/>
      <c r="C533" s="23"/>
      <c r="D533" s="24"/>
      <c r="E533" s="25"/>
      <c r="F533" s="26"/>
      <c r="G533" s="27"/>
      <c r="H533" s="20"/>
      <c r="I533" s="21"/>
      <c r="J533" s="28"/>
      <c r="K533" s="19"/>
    </row>
    <row r="534" spans="1:11" ht="13.2">
      <c r="A534" s="22"/>
      <c r="B534" s="16"/>
      <c r="C534" s="23"/>
      <c r="D534" s="24"/>
      <c r="E534" s="25"/>
      <c r="F534" s="26"/>
      <c r="G534" s="27"/>
      <c r="H534" s="20"/>
      <c r="I534" s="21"/>
      <c r="J534" s="28"/>
      <c r="K534" s="19"/>
    </row>
    <row r="535" spans="1:11" ht="13.2">
      <c r="A535" s="22"/>
      <c r="B535" s="16"/>
      <c r="C535" s="23"/>
      <c r="D535" s="24"/>
      <c r="E535" s="25"/>
      <c r="F535" s="26"/>
      <c r="G535" s="27"/>
      <c r="H535" s="20"/>
      <c r="I535" s="21"/>
      <c r="J535" s="28"/>
      <c r="K535" s="19"/>
    </row>
    <row r="536" spans="1:11" ht="13.2">
      <c r="A536" s="22"/>
      <c r="B536" s="16"/>
      <c r="C536" s="23"/>
      <c r="D536" s="24"/>
      <c r="E536" s="25"/>
      <c r="F536" s="26"/>
      <c r="G536" s="27"/>
      <c r="H536" s="20"/>
      <c r="I536" s="21"/>
      <c r="J536" s="28"/>
      <c r="K536" s="19"/>
    </row>
    <row r="537" spans="1:11" ht="13.2">
      <c r="A537" s="22"/>
      <c r="B537" s="16"/>
      <c r="C537" s="23"/>
      <c r="D537" s="24"/>
      <c r="E537" s="25"/>
      <c r="F537" s="26"/>
      <c r="G537" s="27"/>
      <c r="H537" s="20"/>
      <c r="I537" s="21"/>
      <c r="J537" s="28"/>
      <c r="K537" s="19"/>
    </row>
    <row r="538" spans="1:11" ht="13.2">
      <c r="A538" s="22"/>
      <c r="B538" s="16"/>
      <c r="C538" s="23"/>
      <c r="D538" s="24"/>
      <c r="E538" s="25"/>
      <c r="F538" s="26"/>
      <c r="G538" s="27"/>
      <c r="H538" s="20"/>
      <c r="I538" s="21"/>
      <c r="J538" s="28"/>
      <c r="K538" s="19"/>
    </row>
    <row r="539" spans="1:11" ht="13.2">
      <c r="A539" s="22"/>
      <c r="B539" s="16"/>
      <c r="C539" s="23"/>
      <c r="D539" s="24"/>
      <c r="E539" s="25"/>
      <c r="F539" s="26"/>
      <c r="G539" s="27"/>
      <c r="H539" s="20"/>
      <c r="I539" s="21"/>
      <c r="J539" s="28"/>
      <c r="K539" s="19"/>
    </row>
    <row r="540" spans="1:11" ht="13.2">
      <c r="A540" s="22"/>
      <c r="B540" s="16"/>
      <c r="C540" s="23"/>
      <c r="D540" s="24"/>
      <c r="E540" s="25"/>
      <c r="F540" s="26"/>
      <c r="G540" s="27"/>
      <c r="H540" s="20"/>
      <c r="I540" s="21"/>
      <c r="J540" s="28"/>
      <c r="K540" s="19"/>
    </row>
    <row r="541" spans="1:11" ht="13.2">
      <c r="A541" s="22"/>
      <c r="B541" s="16"/>
      <c r="C541" s="23"/>
      <c r="D541" s="24"/>
      <c r="E541" s="25"/>
      <c r="F541" s="26"/>
      <c r="G541" s="27"/>
      <c r="H541" s="20"/>
      <c r="I541" s="21"/>
      <c r="J541" s="28"/>
      <c r="K541" s="19"/>
    </row>
    <row r="542" spans="1:11" ht="13.2">
      <c r="A542" s="22"/>
      <c r="B542" s="16"/>
      <c r="C542" s="23"/>
      <c r="D542" s="24"/>
      <c r="E542" s="25"/>
      <c r="F542" s="26"/>
      <c r="G542" s="27"/>
      <c r="H542" s="20"/>
      <c r="I542" s="21"/>
      <c r="J542" s="28"/>
      <c r="K542" s="19"/>
    </row>
    <row r="543" spans="1:11" ht="13.2">
      <c r="A543" s="22"/>
      <c r="B543" s="16"/>
      <c r="C543" s="23"/>
      <c r="D543" s="24"/>
      <c r="E543" s="25"/>
      <c r="F543" s="26"/>
      <c r="G543" s="27"/>
      <c r="H543" s="20"/>
      <c r="I543" s="21"/>
      <c r="J543" s="28"/>
      <c r="K543" s="19"/>
    </row>
    <row r="544" spans="1:11" ht="13.2">
      <c r="A544" s="22"/>
      <c r="B544" s="16"/>
      <c r="C544" s="23"/>
      <c r="D544" s="24"/>
      <c r="E544" s="25"/>
      <c r="F544" s="26"/>
      <c r="G544" s="27"/>
      <c r="H544" s="20"/>
      <c r="I544" s="21"/>
      <c r="J544" s="28"/>
      <c r="K544" s="19"/>
    </row>
    <row r="545" spans="1:11" ht="13.2">
      <c r="A545" s="22"/>
      <c r="B545" s="16"/>
      <c r="C545" s="23"/>
      <c r="D545" s="24"/>
      <c r="E545" s="25"/>
      <c r="F545" s="26"/>
      <c r="G545" s="27"/>
      <c r="H545" s="20"/>
      <c r="I545" s="21"/>
      <c r="J545" s="28"/>
      <c r="K545" s="19"/>
    </row>
    <row r="546" spans="1:11" ht="13.2">
      <c r="A546" s="22"/>
      <c r="B546" s="16"/>
      <c r="C546" s="23"/>
      <c r="D546" s="24"/>
      <c r="E546" s="25"/>
      <c r="F546" s="26"/>
      <c r="G546" s="27"/>
      <c r="H546" s="20"/>
      <c r="I546" s="21"/>
      <c r="J546" s="28"/>
      <c r="K546" s="19"/>
    </row>
    <row r="547" spans="1:11" ht="13.2">
      <c r="A547" s="22"/>
      <c r="B547" s="16"/>
      <c r="C547" s="23"/>
      <c r="D547" s="24"/>
      <c r="E547" s="25"/>
      <c r="F547" s="26"/>
      <c r="G547" s="27"/>
      <c r="H547" s="20"/>
      <c r="I547" s="21"/>
      <c r="J547" s="28"/>
      <c r="K547" s="19"/>
    </row>
    <row r="548" spans="1:11" ht="13.2">
      <c r="A548" s="22"/>
      <c r="B548" s="16"/>
      <c r="C548" s="23"/>
      <c r="D548" s="24"/>
      <c r="E548" s="25"/>
      <c r="F548" s="26"/>
      <c r="G548" s="27"/>
      <c r="H548" s="20"/>
      <c r="I548" s="21"/>
      <c r="J548" s="28"/>
      <c r="K548" s="19"/>
    </row>
    <row r="549" spans="1:11" ht="13.2">
      <c r="A549" s="22"/>
      <c r="B549" s="16"/>
      <c r="C549" s="23"/>
      <c r="D549" s="24"/>
      <c r="E549" s="25"/>
      <c r="F549" s="26"/>
      <c r="G549" s="27"/>
      <c r="H549" s="20"/>
      <c r="I549" s="21"/>
      <c r="J549" s="28"/>
      <c r="K549" s="19"/>
    </row>
    <row r="550" spans="1:11" ht="13.2">
      <c r="A550" s="22"/>
      <c r="B550" s="16"/>
      <c r="C550" s="23"/>
      <c r="D550" s="24"/>
      <c r="E550" s="25"/>
      <c r="F550" s="26"/>
      <c r="G550" s="27"/>
      <c r="H550" s="20"/>
      <c r="I550" s="21"/>
      <c r="J550" s="28"/>
      <c r="K550" s="19"/>
    </row>
    <row r="551" spans="1:11" ht="13.2">
      <c r="A551" s="22"/>
      <c r="B551" s="16"/>
      <c r="C551" s="23"/>
      <c r="D551" s="24"/>
      <c r="E551" s="25"/>
      <c r="F551" s="26"/>
      <c r="G551" s="27"/>
      <c r="H551" s="20"/>
      <c r="I551" s="21"/>
      <c r="J551" s="28"/>
      <c r="K551" s="19"/>
    </row>
    <row r="552" spans="1:11" ht="13.2">
      <c r="A552" s="22"/>
      <c r="B552" s="16"/>
      <c r="C552" s="23"/>
      <c r="D552" s="24"/>
      <c r="E552" s="25"/>
      <c r="F552" s="26"/>
      <c r="G552" s="27"/>
      <c r="H552" s="20"/>
      <c r="I552" s="21"/>
      <c r="J552" s="28"/>
      <c r="K552" s="19"/>
    </row>
    <row r="553" spans="1:11" ht="13.2">
      <c r="A553" s="22"/>
      <c r="B553" s="16"/>
      <c r="C553" s="23"/>
      <c r="D553" s="24"/>
      <c r="E553" s="25"/>
      <c r="F553" s="26"/>
      <c r="G553" s="27"/>
      <c r="H553" s="20"/>
      <c r="I553" s="21"/>
      <c r="J553" s="28"/>
      <c r="K553" s="19"/>
    </row>
    <row r="554" spans="1:11" ht="13.2">
      <c r="A554" s="22"/>
      <c r="B554" s="16"/>
      <c r="C554" s="23"/>
      <c r="D554" s="24"/>
      <c r="E554" s="25"/>
      <c r="F554" s="26"/>
      <c r="G554" s="27"/>
      <c r="H554" s="20"/>
      <c r="I554" s="21"/>
      <c r="J554" s="28"/>
      <c r="K554" s="19"/>
    </row>
    <row r="555" spans="1:11" ht="13.2">
      <c r="A555" s="22"/>
      <c r="B555" s="16"/>
      <c r="C555" s="23"/>
      <c r="D555" s="24"/>
      <c r="E555" s="25"/>
      <c r="F555" s="26"/>
      <c r="G555" s="27"/>
      <c r="H555" s="20"/>
      <c r="I555" s="21"/>
      <c r="J555" s="28"/>
      <c r="K555" s="19"/>
    </row>
    <row r="556" spans="1:11" ht="13.2">
      <c r="A556" s="22"/>
      <c r="B556" s="16"/>
      <c r="C556" s="23"/>
      <c r="D556" s="24"/>
      <c r="E556" s="25"/>
      <c r="F556" s="26"/>
      <c r="G556" s="27"/>
      <c r="H556" s="20"/>
      <c r="I556" s="21"/>
      <c r="J556" s="28"/>
      <c r="K556" s="19"/>
    </row>
    <row r="557" spans="1:11" ht="13.2">
      <c r="A557" s="22"/>
      <c r="B557" s="16"/>
      <c r="C557" s="23"/>
      <c r="D557" s="24"/>
      <c r="E557" s="25"/>
      <c r="F557" s="26"/>
      <c r="G557" s="27"/>
      <c r="H557" s="20"/>
      <c r="I557" s="21"/>
      <c r="J557" s="28"/>
      <c r="K557" s="19"/>
    </row>
    <row r="558" spans="1:11" ht="13.2">
      <c r="A558" s="22"/>
      <c r="B558" s="16"/>
      <c r="C558" s="23"/>
      <c r="D558" s="24"/>
      <c r="E558" s="25"/>
      <c r="F558" s="26"/>
      <c r="G558" s="27"/>
      <c r="H558" s="20"/>
      <c r="I558" s="21"/>
      <c r="J558" s="28"/>
      <c r="K558" s="19"/>
    </row>
    <row r="559" spans="1:11" ht="13.2">
      <c r="A559" s="22"/>
      <c r="B559" s="16"/>
      <c r="C559" s="23"/>
      <c r="D559" s="24"/>
      <c r="E559" s="25"/>
      <c r="F559" s="26"/>
      <c r="G559" s="27"/>
      <c r="H559" s="20"/>
      <c r="I559" s="21"/>
      <c r="J559" s="28"/>
      <c r="K559" s="19"/>
    </row>
    <row r="560" spans="1:11" ht="13.2">
      <c r="A560" s="22"/>
      <c r="B560" s="16"/>
      <c r="C560" s="23"/>
      <c r="D560" s="24"/>
      <c r="E560" s="25"/>
      <c r="F560" s="26"/>
      <c r="G560" s="27"/>
      <c r="H560" s="20"/>
      <c r="I560" s="21"/>
      <c r="J560" s="28"/>
      <c r="K560" s="19"/>
    </row>
    <row r="561" spans="1:11" ht="13.2">
      <c r="A561" s="22"/>
      <c r="B561" s="16"/>
      <c r="C561" s="23"/>
      <c r="D561" s="24"/>
      <c r="E561" s="25"/>
      <c r="F561" s="26"/>
      <c r="G561" s="27"/>
      <c r="H561" s="20"/>
      <c r="I561" s="21"/>
      <c r="J561" s="28"/>
      <c r="K561" s="19"/>
    </row>
    <row r="562" spans="1:11" ht="13.2">
      <c r="A562" s="22"/>
      <c r="B562" s="16"/>
      <c r="C562" s="23"/>
      <c r="D562" s="24"/>
      <c r="E562" s="25"/>
      <c r="F562" s="26"/>
      <c r="G562" s="27"/>
      <c r="H562" s="20"/>
      <c r="I562" s="21"/>
      <c r="J562" s="28"/>
      <c r="K562" s="19"/>
    </row>
    <row r="563" spans="1:11" ht="13.2">
      <c r="A563" s="22"/>
      <c r="B563" s="16"/>
      <c r="C563" s="23"/>
      <c r="D563" s="24"/>
      <c r="E563" s="25"/>
      <c r="F563" s="26"/>
      <c r="G563" s="27"/>
      <c r="H563" s="20"/>
      <c r="I563" s="21"/>
      <c r="J563" s="28"/>
      <c r="K563" s="19"/>
    </row>
    <row r="564" spans="1:11" ht="13.2">
      <c r="A564" s="22"/>
      <c r="B564" s="16"/>
      <c r="C564" s="23"/>
      <c r="D564" s="24"/>
      <c r="E564" s="25"/>
      <c r="F564" s="26"/>
      <c r="G564" s="27"/>
      <c r="H564" s="20"/>
      <c r="I564" s="21"/>
      <c r="J564" s="28"/>
      <c r="K564" s="19"/>
    </row>
    <row r="565" spans="1:11" ht="13.2">
      <c r="A565" s="22"/>
      <c r="B565" s="16"/>
      <c r="C565" s="23"/>
      <c r="D565" s="24"/>
      <c r="E565" s="25"/>
      <c r="F565" s="26"/>
      <c r="G565" s="27"/>
      <c r="H565" s="20"/>
      <c r="I565" s="21"/>
      <c r="J565" s="28"/>
      <c r="K565" s="19"/>
    </row>
    <row r="566" spans="1:11" ht="13.2">
      <c r="A566" s="22"/>
      <c r="B566" s="16"/>
      <c r="C566" s="23"/>
      <c r="D566" s="24"/>
      <c r="E566" s="25"/>
      <c r="F566" s="26"/>
      <c r="G566" s="27"/>
      <c r="H566" s="20"/>
      <c r="I566" s="21"/>
      <c r="J566" s="28"/>
      <c r="K566" s="19"/>
    </row>
    <row r="567" spans="1:11" ht="13.2">
      <c r="A567" s="22"/>
      <c r="B567" s="16"/>
      <c r="C567" s="23"/>
      <c r="D567" s="24"/>
      <c r="E567" s="25"/>
      <c r="F567" s="26"/>
      <c r="G567" s="27"/>
      <c r="H567" s="20"/>
      <c r="I567" s="21"/>
      <c r="J567" s="28"/>
      <c r="K567" s="19"/>
    </row>
    <row r="568" spans="1:11" ht="13.2">
      <c r="A568" s="22"/>
      <c r="B568" s="16"/>
      <c r="C568" s="23"/>
      <c r="D568" s="24"/>
      <c r="E568" s="25"/>
      <c r="F568" s="26"/>
      <c r="G568" s="27"/>
      <c r="H568" s="20"/>
      <c r="I568" s="21"/>
      <c r="J568" s="28"/>
      <c r="K568" s="19"/>
    </row>
    <row r="569" spans="1:11" ht="13.2">
      <c r="A569" s="22"/>
      <c r="B569" s="16"/>
      <c r="C569" s="23"/>
      <c r="D569" s="24"/>
      <c r="E569" s="25"/>
      <c r="F569" s="26"/>
      <c r="G569" s="27"/>
      <c r="H569" s="20"/>
      <c r="I569" s="21"/>
      <c r="J569" s="28"/>
      <c r="K569" s="19"/>
    </row>
    <row r="570" spans="1:11" ht="13.2">
      <c r="A570" s="22"/>
      <c r="B570" s="16"/>
      <c r="C570" s="23"/>
      <c r="D570" s="24"/>
      <c r="E570" s="25"/>
      <c r="F570" s="26"/>
      <c r="G570" s="27"/>
      <c r="H570" s="20"/>
      <c r="I570" s="21"/>
      <c r="J570" s="28"/>
      <c r="K570" s="19"/>
    </row>
    <row r="571" spans="1:11" ht="13.2">
      <c r="A571" s="22"/>
      <c r="B571" s="16"/>
      <c r="C571" s="23"/>
      <c r="D571" s="24"/>
      <c r="E571" s="25"/>
      <c r="F571" s="26"/>
      <c r="G571" s="27"/>
      <c r="H571" s="20"/>
      <c r="I571" s="21"/>
      <c r="J571" s="28"/>
      <c r="K571" s="19"/>
    </row>
    <row r="572" spans="1:11" ht="13.2">
      <c r="A572" s="22"/>
      <c r="B572" s="16"/>
      <c r="C572" s="23"/>
      <c r="D572" s="24"/>
      <c r="E572" s="25"/>
      <c r="F572" s="26"/>
      <c r="G572" s="27"/>
      <c r="H572" s="20"/>
      <c r="I572" s="21"/>
      <c r="J572" s="28"/>
      <c r="K572" s="19"/>
    </row>
    <row r="573" spans="1:11" ht="13.2">
      <c r="A573" s="22"/>
      <c r="B573" s="16"/>
      <c r="C573" s="23"/>
      <c r="D573" s="24"/>
      <c r="E573" s="25"/>
      <c r="F573" s="26"/>
      <c r="G573" s="27"/>
      <c r="H573" s="20"/>
      <c r="I573" s="21"/>
      <c r="J573" s="28"/>
      <c r="K573" s="19"/>
    </row>
    <row r="574" spans="1:11" ht="13.2">
      <c r="A574" s="22"/>
      <c r="B574" s="16"/>
      <c r="C574" s="23"/>
      <c r="D574" s="24"/>
      <c r="E574" s="25"/>
      <c r="F574" s="26"/>
      <c r="G574" s="27"/>
      <c r="H574" s="20"/>
      <c r="I574" s="21"/>
      <c r="J574" s="28"/>
      <c r="K574" s="19"/>
    </row>
    <row r="575" spans="1:11" ht="13.2">
      <c r="A575" s="22"/>
      <c r="B575" s="16"/>
      <c r="C575" s="23"/>
      <c r="D575" s="24"/>
      <c r="E575" s="25"/>
      <c r="F575" s="26"/>
      <c r="G575" s="27"/>
      <c r="H575" s="20"/>
      <c r="I575" s="21"/>
      <c r="J575" s="28"/>
      <c r="K575" s="19"/>
    </row>
    <row r="576" spans="1:11" ht="13.2">
      <c r="A576" s="22"/>
      <c r="B576" s="16"/>
      <c r="C576" s="23"/>
      <c r="D576" s="24"/>
      <c r="E576" s="25"/>
      <c r="F576" s="26"/>
      <c r="G576" s="27"/>
      <c r="H576" s="20"/>
      <c r="I576" s="21"/>
      <c r="J576" s="28"/>
      <c r="K576" s="19"/>
    </row>
    <row r="577" spans="1:11" ht="13.2">
      <c r="A577" s="22"/>
      <c r="B577" s="16"/>
      <c r="C577" s="23"/>
      <c r="D577" s="24"/>
      <c r="E577" s="25"/>
      <c r="F577" s="26"/>
      <c r="G577" s="27"/>
      <c r="H577" s="20"/>
      <c r="I577" s="21"/>
      <c r="J577" s="28"/>
      <c r="K577" s="19"/>
    </row>
    <row r="578" spans="1:11" ht="13.2">
      <c r="A578" s="22"/>
      <c r="B578" s="16"/>
      <c r="C578" s="23"/>
      <c r="D578" s="24"/>
      <c r="E578" s="25"/>
      <c r="F578" s="26"/>
      <c r="G578" s="27"/>
      <c r="H578" s="20"/>
      <c r="I578" s="21"/>
      <c r="J578" s="28"/>
      <c r="K578" s="19"/>
    </row>
    <row r="579" spans="1:11" ht="13.2">
      <c r="A579" s="22"/>
      <c r="B579" s="16"/>
      <c r="C579" s="23"/>
      <c r="D579" s="24"/>
      <c r="E579" s="25"/>
      <c r="F579" s="26"/>
      <c r="G579" s="27"/>
      <c r="H579" s="20"/>
      <c r="I579" s="21"/>
      <c r="J579" s="28"/>
      <c r="K579" s="19"/>
    </row>
    <row r="580" spans="1:11" ht="13.2">
      <c r="A580" s="22"/>
      <c r="B580" s="16"/>
      <c r="C580" s="23"/>
      <c r="D580" s="24"/>
      <c r="E580" s="25"/>
      <c r="F580" s="26"/>
      <c r="G580" s="27"/>
      <c r="H580" s="20"/>
      <c r="I580" s="21"/>
      <c r="J580" s="28"/>
      <c r="K580" s="19"/>
    </row>
    <row r="581" spans="1:11" ht="13.2">
      <c r="A581" s="22"/>
      <c r="B581" s="16"/>
      <c r="C581" s="23"/>
      <c r="D581" s="24"/>
      <c r="E581" s="25"/>
      <c r="F581" s="26"/>
      <c r="G581" s="27"/>
      <c r="H581" s="20"/>
      <c r="I581" s="21"/>
      <c r="J581" s="28"/>
      <c r="K581" s="19"/>
    </row>
    <row r="582" spans="1:11" ht="13.2">
      <c r="A582" s="22"/>
      <c r="B582" s="16"/>
      <c r="C582" s="23"/>
      <c r="D582" s="24"/>
      <c r="E582" s="25"/>
      <c r="F582" s="26"/>
      <c r="G582" s="27"/>
      <c r="H582" s="20"/>
      <c r="I582" s="21"/>
      <c r="J582" s="28"/>
      <c r="K582" s="19"/>
    </row>
    <row r="583" spans="1:11" ht="13.2">
      <c r="A583" s="22"/>
      <c r="B583" s="16"/>
      <c r="C583" s="23"/>
      <c r="D583" s="24"/>
      <c r="E583" s="25"/>
      <c r="F583" s="26"/>
      <c r="G583" s="27"/>
      <c r="H583" s="20"/>
      <c r="I583" s="21"/>
      <c r="J583" s="28"/>
      <c r="K583" s="19"/>
    </row>
    <row r="584" spans="1:11" ht="13.2">
      <c r="A584" s="22"/>
      <c r="B584" s="16"/>
      <c r="C584" s="23"/>
      <c r="D584" s="24"/>
      <c r="E584" s="25"/>
      <c r="F584" s="26"/>
      <c r="G584" s="27"/>
      <c r="H584" s="20"/>
      <c r="I584" s="21"/>
      <c r="J584" s="28"/>
      <c r="K584" s="19"/>
    </row>
    <row r="585" spans="1:11" ht="13.2">
      <c r="A585" s="22"/>
      <c r="B585" s="16"/>
      <c r="C585" s="23"/>
      <c r="D585" s="24"/>
      <c r="E585" s="25"/>
      <c r="F585" s="26"/>
      <c r="G585" s="27"/>
      <c r="H585" s="20"/>
      <c r="I585" s="21"/>
      <c r="J585" s="28"/>
      <c r="K585" s="19"/>
    </row>
    <row r="586" spans="1:11" ht="13.2">
      <c r="A586" s="22"/>
      <c r="B586" s="16"/>
      <c r="C586" s="23"/>
      <c r="D586" s="24"/>
      <c r="E586" s="25"/>
      <c r="F586" s="26"/>
      <c r="G586" s="27"/>
      <c r="H586" s="20"/>
      <c r="I586" s="21"/>
      <c r="J586" s="28"/>
      <c r="K586" s="19"/>
    </row>
    <row r="587" spans="1:11" ht="13.2">
      <c r="A587" s="22"/>
      <c r="B587" s="16"/>
      <c r="C587" s="23"/>
      <c r="D587" s="24"/>
      <c r="E587" s="25"/>
      <c r="F587" s="26"/>
      <c r="G587" s="27"/>
      <c r="H587" s="20"/>
      <c r="I587" s="21"/>
      <c r="J587" s="28"/>
      <c r="K587" s="19"/>
    </row>
    <row r="588" spans="1:11" ht="13.2">
      <c r="A588" s="22"/>
      <c r="B588" s="16"/>
      <c r="C588" s="23"/>
      <c r="D588" s="24"/>
      <c r="E588" s="25"/>
      <c r="F588" s="26"/>
      <c r="G588" s="27"/>
      <c r="H588" s="20"/>
      <c r="I588" s="21"/>
      <c r="J588" s="28"/>
      <c r="K588" s="19"/>
    </row>
    <row r="589" spans="1:11" ht="13.2">
      <c r="A589" s="22"/>
      <c r="B589" s="16"/>
      <c r="C589" s="23"/>
      <c r="D589" s="24"/>
      <c r="E589" s="25"/>
      <c r="F589" s="26"/>
      <c r="G589" s="27"/>
      <c r="H589" s="20"/>
      <c r="I589" s="21"/>
      <c r="J589" s="28"/>
      <c r="K589" s="19"/>
    </row>
    <row r="590" spans="1:11" ht="13.2">
      <c r="A590" s="22"/>
      <c r="B590" s="16"/>
      <c r="C590" s="23"/>
      <c r="D590" s="24"/>
      <c r="E590" s="25"/>
      <c r="F590" s="26"/>
      <c r="G590" s="27"/>
      <c r="H590" s="20"/>
      <c r="I590" s="21"/>
      <c r="J590" s="28"/>
      <c r="K590" s="19"/>
    </row>
    <row r="591" spans="1:11" ht="13.2">
      <c r="A591" s="22"/>
      <c r="B591" s="16"/>
      <c r="C591" s="23"/>
      <c r="D591" s="24"/>
      <c r="E591" s="25"/>
      <c r="F591" s="26"/>
      <c r="G591" s="27"/>
      <c r="H591" s="20"/>
      <c r="I591" s="21"/>
      <c r="J591" s="28"/>
      <c r="K591" s="19"/>
    </row>
    <row r="592" spans="1:11" ht="13.2">
      <c r="A592" s="22"/>
      <c r="B592" s="16"/>
      <c r="C592" s="23"/>
      <c r="D592" s="24"/>
      <c r="E592" s="25"/>
      <c r="F592" s="26"/>
      <c r="G592" s="27"/>
      <c r="H592" s="20"/>
      <c r="I592" s="21"/>
      <c r="J592" s="28"/>
      <c r="K592" s="19"/>
    </row>
    <row r="593" spans="1:11" ht="13.2">
      <c r="A593" s="22"/>
      <c r="B593" s="16"/>
      <c r="C593" s="23"/>
      <c r="D593" s="24"/>
      <c r="E593" s="25"/>
      <c r="F593" s="26"/>
      <c r="G593" s="27"/>
      <c r="H593" s="20"/>
      <c r="I593" s="21"/>
      <c r="J593" s="28"/>
      <c r="K593" s="19"/>
    </row>
    <row r="594" spans="1:11" ht="13.2">
      <c r="A594" s="22"/>
      <c r="B594" s="16"/>
      <c r="C594" s="23"/>
      <c r="D594" s="24"/>
      <c r="E594" s="25"/>
      <c r="F594" s="26"/>
      <c r="G594" s="27"/>
      <c r="H594" s="20"/>
      <c r="I594" s="21"/>
      <c r="J594" s="28"/>
      <c r="K594" s="19"/>
    </row>
    <row r="595" spans="1:11" ht="13.2">
      <c r="A595" s="22"/>
      <c r="B595" s="16"/>
      <c r="C595" s="23"/>
      <c r="D595" s="24"/>
      <c r="E595" s="25"/>
      <c r="F595" s="26"/>
      <c r="G595" s="27"/>
      <c r="H595" s="20"/>
      <c r="I595" s="21"/>
      <c r="J595" s="28"/>
      <c r="K595" s="19"/>
    </row>
    <row r="596" spans="1:11" ht="13.2">
      <c r="A596" s="22"/>
      <c r="B596" s="16"/>
      <c r="C596" s="23"/>
      <c r="D596" s="24"/>
      <c r="E596" s="25"/>
      <c r="F596" s="26"/>
      <c r="G596" s="27"/>
      <c r="H596" s="20"/>
      <c r="I596" s="21"/>
      <c r="J596" s="28"/>
      <c r="K596" s="19"/>
    </row>
    <row r="597" spans="1:11" ht="13.2">
      <c r="A597" s="22"/>
      <c r="B597" s="16"/>
      <c r="C597" s="23"/>
      <c r="D597" s="24"/>
      <c r="E597" s="25"/>
      <c r="F597" s="26"/>
      <c r="G597" s="27"/>
      <c r="H597" s="20"/>
      <c r="I597" s="21"/>
      <c r="J597" s="28"/>
      <c r="K597" s="19"/>
    </row>
    <row r="598" spans="1:11" ht="13.2">
      <c r="A598" s="22"/>
      <c r="B598" s="16"/>
      <c r="C598" s="23"/>
      <c r="D598" s="24"/>
      <c r="E598" s="25"/>
      <c r="F598" s="26"/>
      <c r="G598" s="27"/>
      <c r="H598" s="20"/>
      <c r="I598" s="21"/>
      <c r="J598" s="28"/>
      <c r="K598" s="19"/>
    </row>
    <row r="599" spans="1:11" ht="13.2">
      <c r="A599" s="22"/>
      <c r="B599" s="16"/>
      <c r="C599" s="23"/>
      <c r="D599" s="24"/>
      <c r="E599" s="25"/>
      <c r="F599" s="26"/>
      <c r="G599" s="27"/>
      <c r="H599" s="20"/>
      <c r="I599" s="21"/>
      <c r="J599" s="28"/>
      <c r="K599" s="19"/>
    </row>
    <row r="600" spans="1:11" ht="13.2">
      <c r="A600" s="22"/>
      <c r="B600" s="16"/>
      <c r="C600" s="23"/>
      <c r="D600" s="24"/>
      <c r="E600" s="25"/>
      <c r="F600" s="26"/>
      <c r="G600" s="27"/>
      <c r="H600" s="20"/>
      <c r="I600" s="21"/>
      <c r="J600" s="28"/>
      <c r="K600" s="19"/>
    </row>
    <row r="601" spans="1:11" ht="13.2">
      <c r="A601" s="22"/>
      <c r="B601" s="16"/>
      <c r="C601" s="23"/>
      <c r="D601" s="24"/>
      <c r="E601" s="25"/>
      <c r="F601" s="26"/>
      <c r="G601" s="27"/>
      <c r="H601" s="20"/>
      <c r="I601" s="21"/>
      <c r="J601" s="28"/>
      <c r="K601" s="19"/>
    </row>
    <row r="602" spans="1:11" ht="13.2">
      <c r="A602" s="22"/>
      <c r="B602" s="16"/>
      <c r="C602" s="23"/>
      <c r="D602" s="24"/>
      <c r="E602" s="25"/>
      <c r="F602" s="26"/>
      <c r="G602" s="27"/>
      <c r="H602" s="20"/>
      <c r="I602" s="21"/>
      <c r="J602" s="28"/>
      <c r="K602" s="19"/>
    </row>
    <row r="603" spans="1:11" ht="13.2">
      <c r="A603" s="22"/>
      <c r="B603" s="16"/>
      <c r="C603" s="23"/>
      <c r="D603" s="24"/>
      <c r="E603" s="25"/>
      <c r="F603" s="26"/>
      <c r="G603" s="27"/>
      <c r="H603" s="20"/>
      <c r="I603" s="21"/>
      <c r="J603" s="28"/>
      <c r="K603" s="19"/>
    </row>
    <row r="604" spans="1:11" ht="13.2">
      <c r="A604" s="22"/>
      <c r="B604" s="16"/>
      <c r="C604" s="23"/>
      <c r="D604" s="24"/>
      <c r="E604" s="25"/>
      <c r="F604" s="26"/>
      <c r="G604" s="27"/>
      <c r="H604" s="20"/>
      <c r="I604" s="21"/>
      <c r="J604" s="28"/>
      <c r="K604" s="19"/>
    </row>
    <row r="605" spans="1:11" ht="13.2">
      <c r="A605" s="22"/>
      <c r="B605" s="16"/>
      <c r="C605" s="23"/>
      <c r="D605" s="24"/>
      <c r="E605" s="25"/>
      <c r="F605" s="26"/>
      <c r="G605" s="27"/>
      <c r="H605" s="20"/>
      <c r="I605" s="21"/>
      <c r="J605" s="28"/>
      <c r="K605" s="19"/>
    </row>
    <row r="606" spans="1:11" ht="13.2">
      <c r="A606" s="22"/>
      <c r="B606" s="16"/>
      <c r="C606" s="23"/>
      <c r="D606" s="24"/>
      <c r="E606" s="25"/>
      <c r="F606" s="26"/>
      <c r="G606" s="27"/>
      <c r="H606" s="20"/>
      <c r="I606" s="21"/>
      <c r="J606" s="28"/>
      <c r="K606" s="19"/>
    </row>
    <row r="607" spans="1:11" ht="13.2">
      <c r="A607" s="22"/>
      <c r="B607" s="16"/>
      <c r="C607" s="23"/>
      <c r="D607" s="24"/>
      <c r="E607" s="25"/>
      <c r="F607" s="26"/>
      <c r="G607" s="27"/>
      <c r="H607" s="20"/>
      <c r="I607" s="21"/>
      <c r="J607" s="28"/>
      <c r="K607" s="19"/>
    </row>
    <row r="608" spans="1:11" ht="13.2">
      <c r="A608" s="22"/>
      <c r="B608" s="16"/>
      <c r="C608" s="23"/>
      <c r="D608" s="24"/>
      <c r="E608" s="25"/>
      <c r="F608" s="26"/>
      <c r="G608" s="27"/>
      <c r="H608" s="20"/>
      <c r="I608" s="21"/>
      <c r="J608" s="28"/>
      <c r="K608" s="19"/>
    </row>
    <row r="609" spans="1:11" ht="13.2">
      <c r="A609" s="22"/>
      <c r="B609" s="16"/>
      <c r="C609" s="23"/>
      <c r="D609" s="24"/>
      <c r="E609" s="25"/>
      <c r="F609" s="26"/>
      <c r="G609" s="27"/>
      <c r="H609" s="20"/>
      <c r="I609" s="21"/>
      <c r="J609" s="28"/>
      <c r="K609" s="19"/>
    </row>
    <row r="610" spans="1:11" ht="13.2">
      <c r="A610" s="22"/>
      <c r="B610" s="16"/>
      <c r="C610" s="23"/>
      <c r="D610" s="24"/>
      <c r="E610" s="25"/>
      <c r="F610" s="26"/>
      <c r="G610" s="27"/>
      <c r="H610" s="20"/>
      <c r="I610" s="21"/>
      <c r="J610" s="28"/>
      <c r="K610" s="19"/>
    </row>
    <row r="611" spans="1:11" ht="13.2">
      <c r="A611" s="22"/>
      <c r="B611" s="16"/>
      <c r="C611" s="23"/>
      <c r="D611" s="24"/>
      <c r="E611" s="25"/>
      <c r="F611" s="26"/>
      <c r="G611" s="27"/>
      <c r="H611" s="20"/>
      <c r="I611" s="21"/>
      <c r="J611" s="28"/>
      <c r="K611" s="19"/>
    </row>
    <row r="612" spans="1:11" ht="13.2">
      <c r="A612" s="22"/>
      <c r="B612" s="16"/>
      <c r="C612" s="23"/>
      <c r="D612" s="24"/>
      <c r="E612" s="25"/>
      <c r="F612" s="26"/>
      <c r="G612" s="27"/>
      <c r="H612" s="20"/>
      <c r="I612" s="21"/>
      <c r="J612" s="28"/>
      <c r="K612" s="19"/>
    </row>
    <row r="613" spans="1:11" ht="13.2">
      <c r="A613" s="22"/>
      <c r="B613" s="16"/>
      <c r="C613" s="23"/>
      <c r="D613" s="24"/>
      <c r="E613" s="25"/>
      <c r="F613" s="26"/>
      <c r="G613" s="27"/>
      <c r="H613" s="20"/>
      <c r="I613" s="21"/>
      <c r="J613" s="28"/>
      <c r="K613" s="19"/>
    </row>
    <row r="614" spans="1:11" ht="13.2">
      <c r="A614" s="22"/>
      <c r="B614" s="16"/>
      <c r="C614" s="23"/>
      <c r="D614" s="24"/>
      <c r="E614" s="25"/>
      <c r="F614" s="26"/>
      <c r="G614" s="27"/>
      <c r="H614" s="20"/>
      <c r="I614" s="21"/>
      <c r="J614" s="28"/>
      <c r="K614" s="19"/>
    </row>
    <row r="615" spans="1:11" ht="13.2">
      <c r="A615" s="22"/>
      <c r="B615" s="16"/>
      <c r="C615" s="23"/>
      <c r="D615" s="24"/>
      <c r="E615" s="25"/>
      <c r="F615" s="26"/>
      <c r="G615" s="27"/>
      <c r="H615" s="20"/>
      <c r="I615" s="21"/>
      <c r="J615" s="28"/>
      <c r="K615" s="19"/>
    </row>
    <row r="616" spans="1:11" ht="13.2">
      <c r="A616" s="22"/>
      <c r="B616" s="16"/>
      <c r="C616" s="23"/>
      <c r="D616" s="24"/>
      <c r="E616" s="25"/>
      <c r="F616" s="26"/>
      <c r="G616" s="27"/>
      <c r="H616" s="20"/>
      <c r="I616" s="21"/>
      <c r="J616" s="28"/>
      <c r="K616" s="19"/>
    </row>
    <row r="617" spans="1:11" ht="13.2">
      <c r="A617" s="22"/>
      <c r="B617" s="16"/>
      <c r="C617" s="23"/>
      <c r="D617" s="24"/>
      <c r="E617" s="25"/>
      <c r="F617" s="26"/>
      <c r="G617" s="27"/>
      <c r="H617" s="20"/>
      <c r="I617" s="21"/>
      <c r="J617" s="28"/>
      <c r="K617" s="19"/>
    </row>
    <row r="618" spans="1:11" ht="13.2">
      <c r="A618" s="22"/>
      <c r="B618" s="16"/>
      <c r="C618" s="23"/>
      <c r="D618" s="24"/>
      <c r="E618" s="25"/>
      <c r="F618" s="26"/>
      <c r="G618" s="27"/>
      <c r="H618" s="20"/>
      <c r="I618" s="21"/>
      <c r="J618" s="28"/>
      <c r="K618" s="19"/>
    </row>
    <row r="619" spans="1:11" ht="13.2">
      <c r="A619" s="22"/>
      <c r="B619" s="16"/>
      <c r="C619" s="23"/>
      <c r="D619" s="24"/>
      <c r="E619" s="25"/>
      <c r="F619" s="26"/>
      <c r="G619" s="27"/>
      <c r="H619" s="20"/>
      <c r="I619" s="21"/>
      <c r="J619" s="28"/>
      <c r="K619" s="19"/>
    </row>
    <row r="620" spans="1:11" ht="13.2">
      <c r="A620" s="22"/>
      <c r="B620" s="16"/>
      <c r="C620" s="23"/>
      <c r="D620" s="24"/>
      <c r="E620" s="25"/>
      <c r="F620" s="26"/>
      <c r="G620" s="27"/>
      <c r="H620" s="20"/>
      <c r="I620" s="21"/>
      <c r="J620" s="28"/>
      <c r="K620" s="19"/>
    </row>
    <row r="621" spans="1:11" ht="13.2">
      <c r="A621" s="22"/>
      <c r="B621" s="16"/>
      <c r="C621" s="23"/>
      <c r="D621" s="24"/>
      <c r="E621" s="25"/>
      <c r="F621" s="26"/>
      <c r="G621" s="27"/>
      <c r="H621" s="20"/>
      <c r="I621" s="21"/>
      <c r="J621" s="28"/>
      <c r="K621" s="19"/>
    </row>
    <row r="622" spans="1:11" ht="13.2">
      <c r="A622" s="22"/>
      <c r="B622" s="16"/>
      <c r="C622" s="23"/>
      <c r="D622" s="24"/>
      <c r="E622" s="25"/>
      <c r="F622" s="26"/>
      <c r="G622" s="27"/>
      <c r="H622" s="20"/>
      <c r="I622" s="21"/>
      <c r="J622" s="28"/>
      <c r="K622" s="19"/>
    </row>
    <row r="623" spans="1:11" ht="13.2">
      <c r="A623" s="22"/>
      <c r="B623" s="16"/>
      <c r="C623" s="23"/>
      <c r="D623" s="24"/>
      <c r="E623" s="25"/>
      <c r="F623" s="26"/>
      <c r="G623" s="27"/>
      <c r="H623" s="20"/>
      <c r="I623" s="21"/>
      <c r="J623" s="28"/>
      <c r="K623" s="19"/>
    </row>
    <row r="624" spans="1:11" ht="13.2">
      <c r="A624" s="22"/>
      <c r="B624" s="16"/>
      <c r="C624" s="23"/>
      <c r="D624" s="24"/>
      <c r="E624" s="25"/>
      <c r="F624" s="26"/>
      <c r="G624" s="27"/>
      <c r="H624" s="20"/>
      <c r="I624" s="21"/>
      <c r="J624" s="28"/>
      <c r="K624" s="19"/>
    </row>
    <row r="625" spans="1:11" ht="13.2">
      <c r="A625" s="22"/>
      <c r="B625" s="16"/>
      <c r="C625" s="23"/>
      <c r="D625" s="24"/>
      <c r="E625" s="25"/>
      <c r="F625" s="26"/>
      <c r="G625" s="27"/>
      <c r="H625" s="20"/>
      <c r="I625" s="21"/>
      <c r="J625" s="28"/>
      <c r="K625" s="19"/>
    </row>
    <row r="626" spans="1:11" ht="13.2">
      <c r="A626" s="22"/>
      <c r="B626" s="16"/>
      <c r="C626" s="23"/>
      <c r="D626" s="24"/>
      <c r="E626" s="25"/>
      <c r="F626" s="26"/>
      <c r="G626" s="27"/>
      <c r="H626" s="20"/>
      <c r="I626" s="21"/>
      <c r="J626" s="28"/>
      <c r="K626" s="19"/>
    </row>
    <row r="627" spans="1:11" ht="13.2">
      <c r="A627" s="22"/>
      <c r="B627" s="16"/>
      <c r="C627" s="23"/>
      <c r="D627" s="24"/>
      <c r="E627" s="25"/>
      <c r="F627" s="26"/>
      <c r="G627" s="27"/>
      <c r="H627" s="20"/>
      <c r="I627" s="21"/>
      <c r="J627" s="28"/>
      <c r="K627" s="19"/>
    </row>
    <row r="628" spans="1:11" ht="13.2">
      <c r="A628" s="22"/>
      <c r="B628" s="16"/>
      <c r="C628" s="23"/>
      <c r="D628" s="24"/>
      <c r="E628" s="25"/>
      <c r="F628" s="26"/>
      <c r="G628" s="27"/>
      <c r="H628" s="20"/>
      <c r="I628" s="21"/>
      <c r="J628" s="28"/>
      <c r="K628" s="19"/>
    </row>
    <row r="629" spans="1:11" ht="13.2">
      <c r="A629" s="22"/>
      <c r="B629" s="16"/>
      <c r="C629" s="23"/>
      <c r="D629" s="24"/>
      <c r="E629" s="25"/>
      <c r="F629" s="26"/>
      <c r="G629" s="27"/>
      <c r="H629" s="20"/>
      <c r="I629" s="21"/>
      <c r="J629" s="28"/>
      <c r="K629" s="19"/>
    </row>
    <row r="630" spans="1:11" ht="13.2">
      <c r="A630" s="22"/>
      <c r="B630" s="16"/>
      <c r="C630" s="23"/>
      <c r="D630" s="24"/>
      <c r="E630" s="25"/>
      <c r="F630" s="26"/>
      <c r="G630" s="27"/>
      <c r="H630" s="20"/>
      <c r="I630" s="21"/>
      <c r="J630" s="28"/>
      <c r="K630" s="19"/>
    </row>
    <row r="631" spans="1:11" ht="13.2">
      <c r="A631" s="22"/>
      <c r="B631" s="16"/>
      <c r="C631" s="23"/>
      <c r="D631" s="24"/>
      <c r="E631" s="25"/>
      <c r="F631" s="26"/>
      <c r="G631" s="27"/>
      <c r="H631" s="20"/>
      <c r="I631" s="21"/>
      <c r="J631" s="28"/>
      <c r="K631" s="19"/>
    </row>
    <row r="632" spans="1:11" ht="13.2">
      <c r="A632" s="22"/>
      <c r="B632" s="16"/>
      <c r="C632" s="23"/>
      <c r="D632" s="24"/>
      <c r="E632" s="25"/>
      <c r="F632" s="26"/>
      <c r="G632" s="27"/>
      <c r="H632" s="20"/>
      <c r="I632" s="21"/>
      <c r="J632" s="28"/>
      <c r="K632" s="19"/>
    </row>
    <row r="633" spans="1:11" ht="13.2">
      <c r="A633" s="22"/>
      <c r="B633" s="16"/>
      <c r="C633" s="23"/>
      <c r="D633" s="24"/>
      <c r="E633" s="25"/>
      <c r="F633" s="26"/>
      <c r="G633" s="27"/>
      <c r="H633" s="20"/>
      <c r="I633" s="21"/>
      <c r="J633" s="28"/>
      <c r="K633" s="19"/>
    </row>
    <row r="634" spans="1:11" ht="13.2">
      <c r="A634" s="22"/>
      <c r="B634" s="16"/>
      <c r="C634" s="23"/>
      <c r="D634" s="24"/>
      <c r="E634" s="25"/>
      <c r="F634" s="26"/>
      <c r="G634" s="27"/>
      <c r="H634" s="20"/>
      <c r="I634" s="21"/>
      <c r="J634" s="28"/>
      <c r="K634" s="19"/>
    </row>
    <row r="635" spans="1:11" ht="13.2">
      <c r="A635" s="22"/>
      <c r="B635" s="16"/>
      <c r="C635" s="23"/>
      <c r="D635" s="24"/>
      <c r="E635" s="25"/>
      <c r="F635" s="26"/>
      <c r="G635" s="27"/>
      <c r="H635" s="20"/>
      <c r="I635" s="21"/>
      <c r="J635" s="28"/>
      <c r="K635" s="19"/>
    </row>
    <row r="636" spans="1:11" ht="13.2">
      <c r="A636" s="22"/>
      <c r="B636" s="16"/>
      <c r="C636" s="23"/>
      <c r="D636" s="24"/>
      <c r="E636" s="25"/>
      <c r="F636" s="26"/>
      <c r="G636" s="27"/>
      <c r="H636" s="20"/>
      <c r="I636" s="21"/>
      <c r="J636" s="28"/>
      <c r="K636" s="19"/>
    </row>
    <row r="637" spans="1:11" ht="13.2">
      <c r="A637" s="22"/>
      <c r="B637" s="16"/>
      <c r="C637" s="23"/>
      <c r="D637" s="24"/>
      <c r="E637" s="25"/>
      <c r="F637" s="26"/>
      <c r="G637" s="27"/>
      <c r="H637" s="20"/>
      <c r="I637" s="21"/>
      <c r="J637" s="28"/>
      <c r="K637" s="19"/>
    </row>
    <row r="638" spans="1:11" ht="13.2">
      <c r="A638" s="22"/>
      <c r="B638" s="16"/>
      <c r="C638" s="23"/>
      <c r="D638" s="24"/>
      <c r="E638" s="25"/>
      <c r="F638" s="26"/>
      <c r="G638" s="27"/>
      <c r="H638" s="20"/>
      <c r="I638" s="21"/>
      <c r="J638" s="28"/>
      <c r="K638" s="19"/>
    </row>
    <row r="639" spans="1:11" ht="13.2">
      <c r="A639" s="22"/>
      <c r="B639" s="16"/>
      <c r="C639" s="23"/>
      <c r="D639" s="24"/>
      <c r="E639" s="25"/>
      <c r="F639" s="26"/>
      <c r="G639" s="27"/>
      <c r="H639" s="20"/>
      <c r="I639" s="21"/>
      <c r="J639" s="28"/>
      <c r="K639" s="19"/>
    </row>
    <row r="640" spans="1:11" ht="13.2">
      <c r="A640" s="22"/>
      <c r="B640" s="16"/>
      <c r="C640" s="23"/>
      <c r="D640" s="24"/>
      <c r="E640" s="25"/>
      <c r="F640" s="26"/>
      <c r="G640" s="27"/>
      <c r="H640" s="20"/>
      <c r="I640" s="21"/>
      <c r="J640" s="28"/>
      <c r="K640" s="19"/>
    </row>
    <row r="641" spans="1:11" ht="13.2">
      <c r="A641" s="22"/>
      <c r="B641" s="16"/>
      <c r="C641" s="23"/>
      <c r="D641" s="24"/>
      <c r="E641" s="25"/>
      <c r="F641" s="26"/>
      <c r="G641" s="27"/>
      <c r="H641" s="20"/>
      <c r="I641" s="21"/>
      <c r="J641" s="28"/>
      <c r="K641" s="19"/>
    </row>
    <row r="642" spans="1:11" ht="13.2">
      <c r="A642" s="22"/>
      <c r="B642" s="16"/>
      <c r="C642" s="23"/>
      <c r="D642" s="24"/>
      <c r="E642" s="25"/>
      <c r="F642" s="26"/>
      <c r="G642" s="27"/>
      <c r="H642" s="20"/>
      <c r="I642" s="21"/>
      <c r="J642" s="28"/>
      <c r="K642" s="19"/>
    </row>
    <row r="643" spans="1:11" ht="13.2">
      <c r="A643" s="22"/>
      <c r="B643" s="16"/>
      <c r="C643" s="23"/>
      <c r="D643" s="24"/>
      <c r="E643" s="25"/>
      <c r="F643" s="26"/>
      <c r="G643" s="27"/>
      <c r="H643" s="20"/>
      <c r="I643" s="21"/>
      <c r="J643" s="28"/>
      <c r="K643" s="19"/>
    </row>
    <row r="644" spans="1:11" ht="13.2">
      <c r="A644" s="22"/>
      <c r="B644" s="16"/>
      <c r="C644" s="23"/>
      <c r="D644" s="24"/>
      <c r="E644" s="25"/>
      <c r="F644" s="26"/>
      <c r="G644" s="27"/>
      <c r="H644" s="20"/>
      <c r="I644" s="21"/>
      <c r="J644" s="28"/>
      <c r="K644" s="19"/>
    </row>
    <row r="645" spans="1:11" ht="13.2">
      <c r="A645" s="22"/>
      <c r="B645" s="16"/>
      <c r="C645" s="23"/>
      <c r="D645" s="24"/>
      <c r="E645" s="25"/>
      <c r="F645" s="26"/>
      <c r="G645" s="27"/>
      <c r="H645" s="20"/>
      <c r="I645" s="21"/>
      <c r="J645" s="28"/>
      <c r="K645" s="19"/>
    </row>
    <row r="646" spans="1:11" ht="13.2">
      <c r="A646" s="22"/>
      <c r="B646" s="16"/>
      <c r="C646" s="23"/>
      <c r="D646" s="24"/>
      <c r="E646" s="25"/>
      <c r="F646" s="26"/>
      <c r="G646" s="27"/>
      <c r="H646" s="20"/>
      <c r="I646" s="21"/>
      <c r="J646" s="28"/>
      <c r="K646" s="19"/>
    </row>
    <row r="647" spans="1:11" ht="13.2">
      <c r="A647" s="22"/>
      <c r="B647" s="16"/>
      <c r="C647" s="23"/>
      <c r="D647" s="24"/>
      <c r="E647" s="25"/>
      <c r="F647" s="26"/>
      <c r="G647" s="27"/>
      <c r="H647" s="20"/>
      <c r="I647" s="21"/>
      <c r="J647" s="28"/>
      <c r="K647" s="19"/>
    </row>
    <row r="648" spans="1:11" ht="13.2">
      <c r="A648" s="22"/>
      <c r="B648" s="16"/>
      <c r="C648" s="23"/>
      <c r="D648" s="24"/>
      <c r="E648" s="25"/>
      <c r="F648" s="26"/>
      <c r="G648" s="27"/>
      <c r="H648" s="20"/>
      <c r="I648" s="21"/>
      <c r="J648" s="28"/>
      <c r="K648" s="19"/>
    </row>
    <row r="649" spans="1:11" ht="13.2">
      <c r="A649" s="22"/>
      <c r="B649" s="16"/>
      <c r="C649" s="23"/>
      <c r="D649" s="24"/>
      <c r="E649" s="25"/>
      <c r="F649" s="26"/>
      <c r="G649" s="27"/>
      <c r="H649" s="20"/>
      <c r="I649" s="21"/>
      <c r="J649" s="28"/>
      <c r="K649" s="19"/>
    </row>
    <row r="650" spans="1:11" ht="13.2">
      <c r="A650" s="22"/>
      <c r="B650" s="16"/>
      <c r="C650" s="23"/>
      <c r="D650" s="24"/>
      <c r="E650" s="25"/>
      <c r="F650" s="26"/>
      <c r="G650" s="27"/>
      <c r="H650" s="20"/>
      <c r="I650" s="21"/>
      <c r="J650" s="28"/>
      <c r="K650" s="19"/>
    </row>
    <row r="651" spans="1:11" ht="13.2">
      <c r="A651" s="22"/>
      <c r="B651" s="16"/>
      <c r="C651" s="23"/>
      <c r="D651" s="24"/>
      <c r="E651" s="25"/>
      <c r="F651" s="26"/>
      <c r="G651" s="27"/>
      <c r="H651" s="20"/>
      <c r="I651" s="21"/>
      <c r="J651" s="28"/>
      <c r="K651" s="19"/>
    </row>
    <row r="652" spans="1:11" ht="13.2">
      <c r="A652" s="22"/>
      <c r="B652" s="16"/>
      <c r="C652" s="23"/>
      <c r="D652" s="24"/>
      <c r="E652" s="25"/>
      <c r="F652" s="26"/>
      <c r="G652" s="27"/>
      <c r="H652" s="20"/>
      <c r="I652" s="21"/>
      <c r="J652" s="28"/>
      <c r="K652" s="19"/>
    </row>
    <row r="653" spans="1:11" ht="13.2">
      <c r="A653" s="22"/>
      <c r="B653" s="16"/>
      <c r="C653" s="23"/>
      <c r="D653" s="24"/>
      <c r="E653" s="25"/>
      <c r="F653" s="26"/>
      <c r="G653" s="27"/>
      <c r="H653" s="20"/>
      <c r="I653" s="21"/>
      <c r="J653" s="28"/>
      <c r="K653" s="19"/>
    </row>
    <row r="654" spans="1:11" ht="13.2">
      <c r="A654" s="22"/>
      <c r="B654" s="16"/>
      <c r="C654" s="23"/>
      <c r="D654" s="24"/>
      <c r="E654" s="25"/>
      <c r="F654" s="26"/>
      <c r="G654" s="27"/>
      <c r="H654" s="20"/>
      <c r="I654" s="21"/>
      <c r="J654" s="28"/>
      <c r="K654" s="19"/>
    </row>
    <row r="655" spans="1:11" ht="13.2">
      <c r="A655" s="22"/>
      <c r="B655" s="16"/>
      <c r="C655" s="23"/>
      <c r="D655" s="24"/>
      <c r="E655" s="25"/>
      <c r="F655" s="26"/>
      <c r="G655" s="27"/>
      <c r="H655" s="20"/>
      <c r="I655" s="21"/>
      <c r="J655" s="28"/>
      <c r="K655" s="19"/>
    </row>
    <row r="656" spans="1:11" ht="13.2">
      <c r="A656" s="22"/>
      <c r="B656" s="16"/>
      <c r="C656" s="23"/>
      <c r="D656" s="24"/>
      <c r="E656" s="25"/>
      <c r="F656" s="26"/>
      <c r="G656" s="27"/>
      <c r="H656" s="20"/>
      <c r="I656" s="21"/>
      <c r="J656" s="28"/>
      <c r="K656" s="19"/>
    </row>
    <row r="657" spans="1:11" ht="13.2">
      <c r="A657" s="22"/>
      <c r="B657" s="16"/>
      <c r="C657" s="23"/>
      <c r="D657" s="24"/>
      <c r="E657" s="25"/>
      <c r="F657" s="26"/>
      <c r="G657" s="27"/>
      <c r="H657" s="20"/>
      <c r="I657" s="21"/>
      <c r="J657" s="28"/>
      <c r="K657" s="19"/>
    </row>
    <row r="658" spans="1:11" ht="13.2">
      <c r="A658" s="22"/>
      <c r="B658" s="16"/>
      <c r="C658" s="23"/>
      <c r="D658" s="24"/>
      <c r="E658" s="25"/>
      <c r="F658" s="26"/>
      <c r="G658" s="27"/>
      <c r="H658" s="20"/>
      <c r="I658" s="21"/>
      <c r="J658" s="28"/>
      <c r="K658" s="19"/>
    </row>
    <row r="659" spans="1:11" ht="13.2">
      <c r="A659" s="22"/>
      <c r="B659" s="16"/>
      <c r="C659" s="23"/>
      <c r="D659" s="24"/>
      <c r="E659" s="25"/>
      <c r="F659" s="26"/>
      <c r="G659" s="27"/>
      <c r="H659" s="20"/>
      <c r="I659" s="21"/>
      <c r="J659" s="28"/>
      <c r="K659" s="19"/>
    </row>
    <row r="660" spans="1:11" ht="13.2">
      <c r="A660" s="22"/>
      <c r="B660" s="16"/>
      <c r="C660" s="23"/>
      <c r="D660" s="24"/>
      <c r="E660" s="25"/>
      <c r="F660" s="26"/>
      <c r="G660" s="27"/>
      <c r="H660" s="20"/>
      <c r="I660" s="21"/>
      <c r="J660" s="28"/>
      <c r="K660" s="19"/>
    </row>
    <row r="661" spans="1:11" ht="13.2">
      <c r="A661" s="22"/>
      <c r="B661" s="16"/>
      <c r="C661" s="23"/>
      <c r="D661" s="24"/>
      <c r="E661" s="25"/>
      <c r="F661" s="26"/>
      <c r="G661" s="27"/>
      <c r="H661" s="20"/>
      <c r="I661" s="21"/>
      <c r="J661" s="28"/>
      <c r="K661" s="19"/>
    </row>
    <row r="662" spans="1:11" ht="13.2">
      <c r="A662" s="22"/>
      <c r="B662" s="16"/>
      <c r="C662" s="23"/>
      <c r="D662" s="24"/>
      <c r="E662" s="25"/>
      <c r="F662" s="26"/>
      <c r="G662" s="27"/>
      <c r="H662" s="20"/>
      <c r="I662" s="21"/>
      <c r="J662" s="28"/>
      <c r="K662" s="19"/>
    </row>
    <row r="663" spans="1:11" ht="13.2">
      <c r="A663" s="22"/>
      <c r="B663" s="16"/>
      <c r="C663" s="23"/>
      <c r="D663" s="24"/>
      <c r="E663" s="25"/>
      <c r="F663" s="26"/>
      <c r="G663" s="27"/>
      <c r="H663" s="20"/>
      <c r="I663" s="21"/>
      <c r="J663" s="28"/>
      <c r="K663" s="19"/>
    </row>
    <row r="664" spans="1:11" ht="13.2">
      <c r="A664" s="22"/>
      <c r="B664" s="16"/>
      <c r="C664" s="23"/>
      <c r="D664" s="24"/>
      <c r="E664" s="25"/>
      <c r="F664" s="26"/>
      <c r="G664" s="27"/>
      <c r="H664" s="20"/>
      <c r="I664" s="21"/>
      <c r="J664" s="28"/>
      <c r="K664" s="19"/>
    </row>
    <row r="665" spans="1:11" ht="13.2">
      <c r="A665" s="22"/>
      <c r="B665" s="16"/>
      <c r="C665" s="23"/>
      <c r="D665" s="24"/>
      <c r="E665" s="25"/>
      <c r="F665" s="26"/>
      <c r="G665" s="27"/>
      <c r="H665" s="20"/>
      <c r="I665" s="21"/>
      <c r="J665" s="28"/>
      <c r="K665" s="19"/>
    </row>
    <row r="666" spans="1:11" ht="13.2">
      <c r="A666" s="22"/>
      <c r="B666" s="16"/>
      <c r="C666" s="23"/>
      <c r="D666" s="24"/>
      <c r="E666" s="25"/>
      <c r="F666" s="26"/>
      <c r="G666" s="27"/>
      <c r="H666" s="20"/>
      <c r="I666" s="21"/>
      <c r="J666" s="28"/>
      <c r="K666" s="19"/>
    </row>
    <row r="667" spans="1:11" ht="13.2">
      <c r="A667" s="22"/>
      <c r="B667" s="16"/>
      <c r="C667" s="23"/>
      <c r="D667" s="24"/>
      <c r="E667" s="25"/>
      <c r="F667" s="26"/>
      <c r="G667" s="27"/>
      <c r="H667" s="20"/>
      <c r="I667" s="21"/>
      <c r="J667" s="28"/>
      <c r="K667" s="19"/>
    </row>
    <row r="668" spans="1:11" ht="13.2">
      <c r="A668" s="22"/>
      <c r="B668" s="16"/>
      <c r="C668" s="23"/>
      <c r="D668" s="24"/>
      <c r="E668" s="25"/>
      <c r="F668" s="26"/>
      <c r="G668" s="27"/>
      <c r="H668" s="20"/>
      <c r="I668" s="21"/>
      <c r="J668" s="28"/>
      <c r="K668" s="19"/>
    </row>
    <row r="669" spans="1:11" ht="13.2">
      <c r="A669" s="22"/>
      <c r="B669" s="16"/>
      <c r="C669" s="23"/>
      <c r="D669" s="24"/>
      <c r="E669" s="25"/>
      <c r="F669" s="26"/>
      <c r="G669" s="27"/>
      <c r="H669" s="20"/>
      <c r="I669" s="21"/>
      <c r="J669" s="28"/>
      <c r="K669" s="19"/>
    </row>
    <row r="670" spans="1:11" ht="13.2">
      <c r="A670" s="22"/>
      <c r="B670" s="16"/>
      <c r="C670" s="23"/>
      <c r="D670" s="24"/>
      <c r="E670" s="25"/>
      <c r="F670" s="26"/>
      <c r="G670" s="27"/>
      <c r="H670" s="20"/>
      <c r="I670" s="21"/>
      <c r="J670" s="28"/>
      <c r="K670" s="19"/>
    </row>
    <row r="671" spans="1:11" ht="13.2">
      <c r="A671" s="22"/>
      <c r="B671" s="16"/>
      <c r="C671" s="23"/>
      <c r="D671" s="24"/>
      <c r="E671" s="25"/>
      <c r="F671" s="26"/>
      <c r="G671" s="27"/>
      <c r="H671" s="20"/>
      <c r="I671" s="21"/>
      <c r="J671" s="28"/>
      <c r="K671" s="19"/>
    </row>
    <row r="672" spans="1:11" ht="13.2">
      <c r="A672" s="22"/>
      <c r="B672" s="16"/>
      <c r="C672" s="23"/>
      <c r="D672" s="24"/>
      <c r="E672" s="25"/>
      <c r="F672" s="26"/>
      <c r="G672" s="27"/>
      <c r="H672" s="20"/>
      <c r="I672" s="21"/>
      <c r="J672" s="28"/>
      <c r="K672" s="19"/>
    </row>
    <row r="673" spans="1:11" ht="13.2">
      <c r="A673" s="22"/>
      <c r="B673" s="16"/>
      <c r="C673" s="23"/>
      <c r="D673" s="24"/>
      <c r="E673" s="25"/>
      <c r="F673" s="26"/>
      <c r="G673" s="27"/>
      <c r="H673" s="20"/>
      <c r="I673" s="21"/>
      <c r="J673" s="28"/>
      <c r="K673" s="19"/>
    </row>
    <row r="674" spans="1:11" ht="13.2">
      <c r="A674" s="22"/>
      <c r="B674" s="16"/>
      <c r="C674" s="23"/>
      <c r="D674" s="24"/>
      <c r="E674" s="25"/>
      <c r="F674" s="26"/>
      <c r="G674" s="27"/>
      <c r="H674" s="20"/>
      <c r="I674" s="21"/>
      <c r="J674" s="28"/>
      <c r="K674" s="19"/>
    </row>
    <row r="675" spans="1:11" ht="13.2">
      <c r="A675" s="22"/>
      <c r="B675" s="16"/>
      <c r="C675" s="23"/>
      <c r="D675" s="24"/>
      <c r="E675" s="25"/>
      <c r="F675" s="26"/>
      <c r="G675" s="27"/>
      <c r="H675" s="20"/>
      <c r="I675" s="21"/>
      <c r="J675" s="28"/>
      <c r="K675" s="19"/>
    </row>
    <row r="676" spans="1:11" ht="13.2">
      <c r="A676" s="22"/>
      <c r="B676" s="16"/>
      <c r="C676" s="23"/>
      <c r="D676" s="24"/>
      <c r="E676" s="25"/>
      <c r="F676" s="26"/>
      <c r="G676" s="27"/>
      <c r="H676" s="20"/>
      <c r="I676" s="21"/>
      <c r="J676" s="28"/>
      <c r="K676" s="19"/>
    </row>
    <row r="677" spans="1:11" ht="13.2">
      <c r="A677" s="22"/>
      <c r="B677" s="16"/>
      <c r="C677" s="23"/>
      <c r="D677" s="24"/>
      <c r="E677" s="25"/>
      <c r="F677" s="26"/>
      <c r="G677" s="27"/>
      <c r="H677" s="20"/>
      <c r="I677" s="21"/>
      <c r="J677" s="28"/>
      <c r="K677" s="19"/>
    </row>
    <row r="678" spans="1:11" ht="13.2">
      <c r="A678" s="22"/>
      <c r="B678" s="16"/>
      <c r="C678" s="23"/>
      <c r="D678" s="24"/>
      <c r="E678" s="25"/>
      <c r="F678" s="26"/>
      <c r="G678" s="27"/>
      <c r="H678" s="20"/>
      <c r="I678" s="21"/>
      <c r="J678" s="28"/>
      <c r="K678" s="19"/>
    </row>
    <row r="679" spans="1:11" ht="13.2">
      <c r="A679" s="22"/>
      <c r="B679" s="16"/>
      <c r="C679" s="23"/>
      <c r="D679" s="24"/>
      <c r="E679" s="25"/>
      <c r="F679" s="26"/>
      <c r="G679" s="27"/>
      <c r="H679" s="20"/>
      <c r="I679" s="21"/>
      <c r="J679" s="28"/>
      <c r="K679" s="19"/>
    </row>
    <row r="680" spans="1:11" ht="13.2">
      <c r="A680" s="22"/>
      <c r="B680" s="16"/>
      <c r="C680" s="23"/>
      <c r="D680" s="24"/>
      <c r="E680" s="25"/>
      <c r="F680" s="26"/>
      <c r="G680" s="27"/>
      <c r="H680" s="20"/>
      <c r="I680" s="21"/>
      <c r="J680" s="28"/>
      <c r="K680" s="19"/>
    </row>
    <row r="681" spans="1:11" ht="13.2">
      <c r="A681" s="22"/>
      <c r="B681" s="16"/>
      <c r="C681" s="23"/>
      <c r="D681" s="24"/>
      <c r="E681" s="25"/>
      <c r="F681" s="26"/>
      <c r="G681" s="27"/>
      <c r="H681" s="20"/>
      <c r="I681" s="21"/>
      <c r="J681" s="28"/>
      <c r="K681" s="19"/>
    </row>
    <row r="682" spans="1:11" ht="13.2">
      <c r="A682" s="22"/>
      <c r="B682" s="16"/>
      <c r="C682" s="23"/>
      <c r="D682" s="24"/>
      <c r="E682" s="25"/>
      <c r="F682" s="26"/>
      <c r="G682" s="27"/>
      <c r="H682" s="20"/>
      <c r="I682" s="21"/>
      <c r="J682" s="28"/>
      <c r="K682" s="19"/>
    </row>
    <row r="683" spans="1:11" ht="13.2">
      <c r="A683" s="22"/>
      <c r="B683" s="16"/>
      <c r="C683" s="23"/>
      <c r="D683" s="24"/>
      <c r="E683" s="25"/>
      <c r="F683" s="26"/>
      <c r="G683" s="27"/>
      <c r="H683" s="20"/>
      <c r="I683" s="21"/>
      <c r="J683" s="28"/>
      <c r="K683" s="19"/>
    </row>
    <row r="684" spans="1:11" ht="13.2">
      <c r="A684" s="22"/>
      <c r="B684" s="16"/>
      <c r="C684" s="23"/>
      <c r="D684" s="24"/>
      <c r="E684" s="25"/>
      <c r="F684" s="26"/>
      <c r="G684" s="27"/>
      <c r="H684" s="20"/>
      <c r="I684" s="21"/>
      <c r="J684" s="28"/>
      <c r="K684" s="19"/>
    </row>
    <row r="685" spans="1:11" ht="13.2">
      <c r="A685" s="22"/>
      <c r="B685" s="16"/>
      <c r="C685" s="23"/>
      <c r="D685" s="24"/>
      <c r="E685" s="25"/>
      <c r="F685" s="26"/>
      <c r="G685" s="27"/>
      <c r="H685" s="20"/>
      <c r="I685" s="21"/>
      <c r="J685" s="28"/>
      <c r="K685" s="19"/>
    </row>
    <row r="686" spans="1:11" ht="13.2">
      <c r="A686" s="22"/>
      <c r="B686" s="16"/>
      <c r="C686" s="23"/>
      <c r="D686" s="24"/>
      <c r="E686" s="25"/>
      <c r="F686" s="26"/>
      <c r="G686" s="27"/>
      <c r="H686" s="20"/>
      <c r="I686" s="21"/>
      <c r="J686" s="28"/>
      <c r="K686" s="19"/>
    </row>
    <row r="687" spans="1:11" ht="13.2">
      <c r="A687" s="22"/>
      <c r="B687" s="16"/>
      <c r="C687" s="23"/>
      <c r="D687" s="24"/>
      <c r="E687" s="25"/>
      <c r="F687" s="26"/>
      <c r="G687" s="27"/>
      <c r="H687" s="20"/>
      <c r="I687" s="21"/>
      <c r="J687" s="28"/>
      <c r="K687" s="19"/>
    </row>
    <row r="688" spans="1:11" ht="13.2">
      <c r="A688" s="22"/>
      <c r="B688" s="16"/>
      <c r="C688" s="23"/>
      <c r="D688" s="24"/>
      <c r="E688" s="25"/>
      <c r="F688" s="26"/>
      <c r="G688" s="27"/>
      <c r="H688" s="20"/>
      <c r="I688" s="21"/>
      <c r="J688" s="28"/>
      <c r="K688" s="19"/>
    </row>
    <row r="689" spans="1:11" ht="13.2">
      <c r="A689" s="22"/>
      <c r="B689" s="16"/>
      <c r="C689" s="23"/>
      <c r="D689" s="24"/>
      <c r="E689" s="25"/>
      <c r="F689" s="26"/>
      <c r="G689" s="27"/>
      <c r="H689" s="20"/>
      <c r="I689" s="21"/>
      <c r="J689" s="28"/>
      <c r="K689" s="19"/>
    </row>
    <row r="690" spans="1:11" ht="13.2">
      <c r="A690" s="22"/>
      <c r="B690" s="16"/>
      <c r="C690" s="23"/>
      <c r="D690" s="24"/>
      <c r="E690" s="25"/>
      <c r="F690" s="26"/>
      <c r="G690" s="27"/>
      <c r="H690" s="20"/>
      <c r="I690" s="21"/>
      <c r="J690" s="28"/>
      <c r="K690" s="19"/>
    </row>
    <row r="691" spans="1:11" ht="13.2">
      <c r="A691" s="22"/>
      <c r="B691" s="16"/>
      <c r="C691" s="23"/>
      <c r="D691" s="24"/>
      <c r="E691" s="25"/>
      <c r="F691" s="26"/>
      <c r="G691" s="27"/>
      <c r="H691" s="20"/>
      <c r="I691" s="21"/>
      <c r="J691" s="28"/>
      <c r="K691" s="19"/>
    </row>
    <row r="692" spans="1:11" ht="13.2">
      <c r="A692" s="22"/>
      <c r="B692" s="16"/>
      <c r="C692" s="23"/>
      <c r="D692" s="24"/>
      <c r="E692" s="25"/>
      <c r="F692" s="26"/>
      <c r="G692" s="27"/>
      <c r="H692" s="20"/>
      <c r="I692" s="21"/>
      <c r="J692" s="28"/>
      <c r="K692" s="19"/>
    </row>
    <row r="693" spans="1:11" ht="13.2">
      <c r="A693" s="22"/>
      <c r="B693" s="16"/>
      <c r="C693" s="23"/>
      <c r="D693" s="24"/>
      <c r="E693" s="25"/>
      <c r="F693" s="26"/>
      <c r="G693" s="27"/>
      <c r="H693" s="20"/>
      <c r="I693" s="21"/>
      <c r="J693" s="28"/>
      <c r="K693" s="19"/>
    </row>
    <row r="694" spans="1:11" ht="13.2">
      <c r="A694" s="22"/>
      <c r="B694" s="16"/>
      <c r="C694" s="23"/>
      <c r="D694" s="24"/>
      <c r="E694" s="25"/>
      <c r="F694" s="26"/>
      <c r="G694" s="27"/>
      <c r="H694" s="20"/>
      <c r="I694" s="21"/>
      <c r="J694" s="28"/>
      <c r="K694" s="19"/>
    </row>
    <row r="695" spans="1:11" ht="13.2">
      <c r="A695" s="22"/>
      <c r="B695" s="16"/>
      <c r="C695" s="23"/>
      <c r="D695" s="24"/>
      <c r="E695" s="25"/>
      <c r="F695" s="26"/>
      <c r="G695" s="27"/>
      <c r="H695" s="20"/>
      <c r="I695" s="21"/>
      <c r="J695" s="28"/>
      <c r="K695" s="19"/>
    </row>
    <row r="696" spans="1:11" ht="13.2">
      <c r="A696" s="22"/>
      <c r="B696" s="16"/>
      <c r="C696" s="23"/>
      <c r="D696" s="24"/>
      <c r="E696" s="25"/>
      <c r="F696" s="26"/>
      <c r="G696" s="27"/>
      <c r="H696" s="20"/>
      <c r="I696" s="21"/>
      <c r="J696" s="28"/>
      <c r="K696" s="19"/>
    </row>
    <row r="697" spans="1:11" ht="13.2">
      <c r="A697" s="22"/>
      <c r="B697" s="16"/>
      <c r="C697" s="23"/>
      <c r="D697" s="24"/>
      <c r="E697" s="25"/>
      <c r="F697" s="26"/>
      <c r="G697" s="27"/>
      <c r="H697" s="20"/>
      <c r="I697" s="21"/>
      <c r="J697" s="28"/>
      <c r="K697" s="19"/>
    </row>
    <row r="698" spans="1:11" ht="13.2">
      <c r="A698" s="22"/>
      <c r="B698" s="16"/>
      <c r="C698" s="23"/>
      <c r="D698" s="24"/>
      <c r="E698" s="25"/>
      <c r="F698" s="26"/>
      <c r="G698" s="27"/>
      <c r="H698" s="20"/>
      <c r="I698" s="21"/>
      <c r="J698" s="28"/>
      <c r="K698" s="19"/>
    </row>
    <row r="699" spans="1:11" ht="13.2">
      <c r="A699" s="22"/>
      <c r="B699" s="16"/>
      <c r="C699" s="23"/>
      <c r="D699" s="24"/>
      <c r="E699" s="25"/>
      <c r="F699" s="26"/>
      <c r="G699" s="27"/>
      <c r="H699" s="20"/>
      <c r="I699" s="21"/>
      <c r="J699" s="28"/>
      <c r="K699" s="19"/>
    </row>
    <row r="700" spans="1:11" ht="13.2">
      <c r="A700" s="22"/>
      <c r="B700" s="16"/>
      <c r="C700" s="23"/>
      <c r="D700" s="24"/>
      <c r="E700" s="25"/>
      <c r="F700" s="26"/>
      <c r="G700" s="27"/>
      <c r="H700" s="20"/>
      <c r="I700" s="21"/>
      <c r="J700" s="28"/>
      <c r="K700" s="19"/>
    </row>
    <row r="701" spans="1:11" ht="13.2">
      <c r="A701" s="22"/>
      <c r="B701" s="16"/>
      <c r="C701" s="23"/>
      <c r="D701" s="24"/>
      <c r="E701" s="25"/>
      <c r="F701" s="26"/>
      <c r="G701" s="27"/>
      <c r="H701" s="20"/>
      <c r="I701" s="21"/>
      <c r="J701" s="28"/>
      <c r="K701" s="19"/>
    </row>
    <row r="702" spans="1:11" ht="13.2">
      <c r="A702" s="22"/>
      <c r="B702" s="16"/>
      <c r="C702" s="23"/>
      <c r="D702" s="24"/>
      <c r="E702" s="25"/>
      <c r="F702" s="26"/>
      <c r="G702" s="27"/>
      <c r="H702" s="20"/>
      <c r="I702" s="21"/>
      <c r="J702" s="28"/>
      <c r="K702" s="19"/>
    </row>
    <row r="703" spans="1:11" ht="13.2">
      <c r="A703" s="22"/>
      <c r="B703" s="16"/>
      <c r="C703" s="23"/>
      <c r="D703" s="24"/>
      <c r="E703" s="25"/>
      <c r="F703" s="26"/>
      <c r="G703" s="27"/>
      <c r="H703" s="20"/>
      <c r="I703" s="21"/>
      <c r="J703" s="28"/>
      <c r="K703" s="19"/>
    </row>
    <row r="704" spans="1:11" ht="13.2">
      <c r="A704" s="22"/>
      <c r="B704" s="16"/>
      <c r="C704" s="23"/>
      <c r="D704" s="24"/>
      <c r="E704" s="25"/>
      <c r="F704" s="26"/>
      <c r="G704" s="27"/>
      <c r="H704" s="20"/>
      <c r="I704" s="21"/>
      <c r="J704" s="28"/>
      <c r="K704" s="19"/>
    </row>
    <row r="705" spans="1:11" ht="13.2">
      <c r="A705" s="22"/>
      <c r="B705" s="16"/>
      <c r="C705" s="23"/>
      <c r="D705" s="24"/>
      <c r="E705" s="25"/>
      <c r="F705" s="26"/>
      <c r="G705" s="27"/>
      <c r="H705" s="20"/>
      <c r="I705" s="21"/>
      <c r="J705" s="28"/>
      <c r="K705" s="19"/>
    </row>
    <row r="706" spans="1:11" ht="13.2">
      <c r="A706" s="22"/>
      <c r="B706" s="16"/>
      <c r="C706" s="23"/>
      <c r="D706" s="24"/>
      <c r="E706" s="25"/>
      <c r="F706" s="26"/>
      <c r="G706" s="27"/>
      <c r="H706" s="20"/>
      <c r="I706" s="21"/>
      <c r="J706" s="28"/>
      <c r="K706" s="19"/>
    </row>
    <row r="707" spans="1:11" ht="13.2">
      <c r="A707" s="22"/>
      <c r="B707" s="16"/>
      <c r="C707" s="23"/>
      <c r="D707" s="24"/>
      <c r="E707" s="25"/>
      <c r="F707" s="26"/>
      <c r="G707" s="27"/>
      <c r="H707" s="20"/>
      <c r="I707" s="21"/>
      <c r="J707" s="28"/>
      <c r="K707" s="19"/>
    </row>
    <row r="708" spans="1:11" ht="13.2">
      <c r="A708" s="22"/>
      <c r="B708" s="16"/>
      <c r="C708" s="23"/>
      <c r="D708" s="24"/>
      <c r="E708" s="25"/>
      <c r="F708" s="26"/>
      <c r="G708" s="27"/>
      <c r="H708" s="20"/>
      <c r="I708" s="21"/>
      <c r="J708" s="28"/>
      <c r="K708" s="19"/>
    </row>
    <row r="709" spans="1:11" ht="13.2">
      <c r="A709" s="22"/>
      <c r="B709" s="16"/>
      <c r="C709" s="23"/>
      <c r="D709" s="24"/>
      <c r="E709" s="25"/>
      <c r="F709" s="26"/>
      <c r="G709" s="27"/>
      <c r="H709" s="20"/>
      <c r="I709" s="21"/>
      <c r="J709" s="28"/>
      <c r="K709" s="19"/>
    </row>
    <row r="710" spans="1:11" ht="13.2">
      <c r="A710" s="22"/>
      <c r="B710" s="16"/>
      <c r="C710" s="23"/>
      <c r="D710" s="24"/>
      <c r="E710" s="25"/>
      <c r="F710" s="26"/>
      <c r="G710" s="27"/>
      <c r="H710" s="20"/>
      <c r="I710" s="21"/>
      <c r="J710" s="28"/>
      <c r="K710" s="19"/>
    </row>
    <row r="711" spans="1:11" ht="13.2">
      <c r="A711" s="22"/>
      <c r="B711" s="16"/>
      <c r="C711" s="23"/>
      <c r="D711" s="24"/>
      <c r="E711" s="25"/>
      <c r="F711" s="26"/>
      <c r="G711" s="27"/>
      <c r="H711" s="20"/>
      <c r="I711" s="21"/>
      <c r="J711" s="28"/>
      <c r="K711" s="19"/>
    </row>
    <row r="712" spans="1:11" ht="13.2">
      <c r="A712" s="22"/>
      <c r="B712" s="16"/>
      <c r="C712" s="23"/>
      <c r="D712" s="24"/>
      <c r="E712" s="25"/>
      <c r="F712" s="26"/>
      <c r="G712" s="27"/>
      <c r="H712" s="20"/>
      <c r="I712" s="21"/>
      <c r="J712" s="28"/>
      <c r="K712" s="19"/>
    </row>
    <row r="713" spans="1:11" ht="13.2">
      <c r="A713" s="22"/>
      <c r="B713" s="16"/>
      <c r="C713" s="23"/>
      <c r="D713" s="24"/>
      <c r="E713" s="25"/>
      <c r="F713" s="26"/>
      <c r="G713" s="27"/>
      <c r="H713" s="20"/>
      <c r="I713" s="21"/>
      <c r="J713" s="28"/>
      <c r="K713" s="19"/>
    </row>
    <row r="714" spans="1:11" ht="13.2">
      <c r="A714" s="22"/>
      <c r="B714" s="16"/>
      <c r="C714" s="23"/>
      <c r="D714" s="24"/>
      <c r="E714" s="25"/>
      <c r="F714" s="26"/>
      <c r="G714" s="27"/>
      <c r="H714" s="20"/>
      <c r="I714" s="21"/>
      <c r="J714" s="28"/>
      <c r="K714" s="19"/>
    </row>
    <row r="715" spans="1:11" ht="13.2">
      <c r="A715" s="22"/>
      <c r="B715" s="16"/>
      <c r="C715" s="23"/>
      <c r="D715" s="24"/>
      <c r="E715" s="25"/>
      <c r="F715" s="26"/>
      <c r="G715" s="27"/>
      <c r="H715" s="20"/>
      <c r="I715" s="21"/>
      <c r="J715" s="28"/>
      <c r="K715" s="19"/>
    </row>
    <row r="716" spans="1:11" ht="13.2">
      <c r="A716" s="22"/>
      <c r="B716" s="16"/>
      <c r="C716" s="23"/>
      <c r="D716" s="24"/>
      <c r="E716" s="25"/>
      <c r="F716" s="26"/>
      <c r="G716" s="27"/>
      <c r="H716" s="20"/>
      <c r="I716" s="21"/>
      <c r="J716" s="28"/>
      <c r="K716" s="19"/>
    </row>
    <row r="717" spans="1:11" ht="13.2">
      <c r="A717" s="22"/>
      <c r="B717" s="16"/>
      <c r="C717" s="23"/>
      <c r="D717" s="24"/>
      <c r="E717" s="25"/>
      <c r="F717" s="26"/>
      <c r="G717" s="27"/>
      <c r="H717" s="20"/>
      <c r="I717" s="21"/>
      <c r="J717" s="28"/>
      <c r="K717" s="19"/>
    </row>
    <row r="718" spans="1:11" ht="13.2">
      <c r="A718" s="22"/>
      <c r="B718" s="16"/>
      <c r="C718" s="23"/>
      <c r="D718" s="24"/>
      <c r="E718" s="25"/>
      <c r="F718" s="26"/>
      <c r="G718" s="27"/>
      <c r="H718" s="20"/>
      <c r="I718" s="21"/>
      <c r="J718" s="28"/>
      <c r="K718" s="19"/>
    </row>
    <row r="719" spans="1:11" ht="13.2">
      <c r="A719" s="22"/>
      <c r="B719" s="16"/>
      <c r="C719" s="23"/>
      <c r="D719" s="24"/>
      <c r="E719" s="25"/>
      <c r="F719" s="26"/>
      <c r="G719" s="27"/>
      <c r="H719" s="20"/>
      <c r="I719" s="21"/>
      <c r="J719" s="28"/>
      <c r="K719" s="19"/>
    </row>
    <row r="720" spans="1:11" ht="13.2">
      <c r="A720" s="22"/>
      <c r="B720" s="16"/>
      <c r="C720" s="23"/>
      <c r="D720" s="24"/>
      <c r="E720" s="25"/>
      <c r="F720" s="26"/>
      <c r="G720" s="27"/>
      <c r="H720" s="20"/>
      <c r="I720" s="21"/>
      <c r="J720" s="28"/>
      <c r="K720" s="19"/>
    </row>
    <row r="721" spans="1:11" ht="13.2">
      <c r="A721" s="22"/>
      <c r="B721" s="16"/>
      <c r="C721" s="23"/>
      <c r="D721" s="24"/>
      <c r="E721" s="25"/>
      <c r="F721" s="26"/>
      <c r="G721" s="27"/>
      <c r="H721" s="20"/>
      <c r="I721" s="21"/>
      <c r="J721" s="28"/>
      <c r="K721" s="19"/>
    </row>
    <row r="722" spans="1:11" ht="13.2">
      <c r="A722" s="22"/>
      <c r="B722" s="16"/>
      <c r="C722" s="23"/>
      <c r="D722" s="24"/>
      <c r="E722" s="25"/>
      <c r="F722" s="26"/>
      <c r="G722" s="27"/>
      <c r="H722" s="20"/>
      <c r="I722" s="21"/>
      <c r="J722" s="28"/>
      <c r="K722" s="19"/>
    </row>
    <row r="723" spans="1:11" ht="13.2">
      <c r="A723" s="22"/>
      <c r="B723" s="16"/>
      <c r="C723" s="23"/>
      <c r="D723" s="24"/>
      <c r="E723" s="25"/>
      <c r="F723" s="26"/>
      <c r="G723" s="27"/>
      <c r="H723" s="20"/>
      <c r="I723" s="21"/>
      <c r="J723" s="28"/>
      <c r="K723" s="19"/>
    </row>
    <row r="724" spans="1:11" ht="13.2">
      <c r="A724" s="22"/>
      <c r="B724" s="16"/>
      <c r="C724" s="23"/>
      <c r="D724" s="24"/>
      <c r="E724" s="25"/>
      <c r="F724" s="26"/>
      <c r="G724" s="27"/>
      <c r="H724" s="20"/>
      <c r="I724" s="21"/>
      <c r="J724" s="28"/>
      <c r="K724" s="19"/>
    </row>
    <row r="725" spans="1:11" ht="13.2">
      <c r="A725" s="22"/>
      <c r="B725" s="16"/>
      <c r="C725" s="23"/>
      <c r="D725" s="24"/>
      <c r="E725" s="25"/>
      <c r="F725" s="26"/>
      <c r="G725" s="27"/>
      <c r="H725" s="20"/>
      <c r="I725" s="21"/>
      <c r="J725" s="28"/>
      <c r="K725" s="19"/>
    </row>
    <row r="726" spans="1:11" ht="13.2">
      <c r="A726" s="22"/>
      <c r="B726" s="16"/>
      <c r="C726" s="23"/>
      <c r="D726" s="24"/>
      <c r="E726" s="25"/>
      <c r="F726" s="26"/>
      <c r="G726" s="27"/>
      <c r="H726" s="20"/>
      <c r="I726" s="21"/>
      <c r="J726" s="28"/>
      <c r="K726" s="19"/>
    </row>
    <row r="727" spans="1:11" ht="13.2">
      <c r="A727" s="22"/>
      <c r="B727" s="16"/>
      <c r="C727" s="23"/>
      <c r="D727" s="24"/>
      <c r="E727" s="25"/>
      <c r="F727" s="26"/>
      <c r="G727" s="27"/>
      <c r="H727" s="20"/>
      <c r="I727" s="21"/>
      <c r="J727" s="28"/>
      <c r="K727" s="19"/>
    </row>
    <row r="728" spans="1:11" ht="13.2">
      <c r="A728" s="22"/>
      <c r="B728" s="16"/>
      <c r="C728" s="23"/>
      <c r="D728" s="24"/>
      <c r="E728" s="25"/>
      <c r="F728" s="26"/>
      <c r="G728" s="27"/>
      <c r="H728" s="20"/>
      <c r="I728" s="21"/>
      <c r="J728" s="28"/>
      <c r="K728" s="19"/>
    </row>
    <row r="729" spans="1:11" ht="13.2">
      <c r="A729" s="22"/>
      <c r="B729" s="16"/>
      <c r="C729" s="23"/>
      <c r="D729" s="24"/>
      <c r="E729" s="25"/>
      <c r="F729" s="26"/>
      <c r="G729" s="27"/>
      <c r="H729" s="20"/>
      <c r="I729" s="21"/>
      <c r="J729" s="28"/>
      <c r="K729" s="19"/>
    </row>
    <row r="730" spans="1:11" ht="13.2">
      <c r="A730" s="22"/>
      <c r="B730" s="16"/>
      <c r="C730" s="23"/>
      <c r="D730" s="24"/>
      <c r="E730" s="25"/>
      <c r="F730" s="26"/>
      <c r="G730" s="27"/>
      <c r="H730" s="20"/>
      <c r="I730" s="21"/>
      <c r="J730" s="28"/>
      <c r="K730" s="19"/>
    </row>
    <row r="731" spans="1:11" ht="13.2">
      <c r="A731" s="22"/>
      <c r="B731" s="16"/>
      <c r="C731" s="23"/>
      <c r="D731" s="24"/>
      <c r="E731" s="25"/>
      <c r="F731" s="26"/>
      <c r="G731" s="27"/>
      <c r="H731" s="20"/>
      <c r="I731" s="21"/>
      <c r="J731" s="28"/>
      <c r="K731" s="19"/>
    </row>
    <row r="732" spans="1:11" ht="13.2">
      <c r="A732" s="22"/>
      <c r="B732" s="16"/>
      <c r="C732" s="23"/>
      <c r="D732" s="24"/>
      <c r="E732" s="25"/>
      <c r="F732" s="26"/>
      <c r="G732" s="27"/>
      <c r="H732" s="20"/>
      <c r="I732" s="21"/>
      <c r="J732" s="28"/>
      <c r="K732" s="19"/>
    </row>
    <row r="733" spans="1:11" ht="13.2">
      <c r="A733" s="22"/>
      <c r="B733" s="16"/>
      <c r="C733" s="23"/>
      <c r="D733" s="24"/>
      <c r="E733" s="25"/>
      <c r="F733" s="26"/>
      <c r="G733" s="27"/>
      <c r="H733" s="20"/>
      <c r="I733" s="21"/>
      <c r="J733" s="28"/>
      <c r="K733" s="19"/>
    </row>
    <row r="734" spans="1:11" ht="13.2">
      <c r="A734" s="22"/>
      <c r="B734" s="16"/>
      <c r="C734" s="23"/>
      <c r="D734" s="24"/>
      <c r="E734" s="25"/>
      <c r="F734" s="26"/>
      <c r="G734" s="27"/>
      <c r="H734" s="20"/>
      <c r="I734" s="21"/>
      <c r="J734" s="28"/>
      <c r="K734" s="19"/>
    </row>
    <row r="735" spans="1:11" ht="13.2">
      <c r="A735" s="22"/>
      <c r="B735" s="16"/>
      <c r="C735" s="23"/>
      <c r="D735" s="24"/>
      <c r="E735" s="25"/>
      <c r="F735" s="26"/>
      <c r="G735" s="27"/>
      <c r="H735" s="20"/>
      <c r="I735" s="21"/>
      <c r="J735" s="28"/>
      <c r="K735" s="19"/>
    </row>
    <row r="736" spans="1:11" ht="13.2">
      <c r="A736" s="22"/>
      <c r="B736" s="16"/>
      <c r="C736" s="23"/>
      <c r="D736" s="24"/>
      <c r="E736" s="25"/>
      <c r="F736" s="26"/>
      <c r="G736" s="27"/>
      <c r="H736" s="20"/>
      <c r="I736" s="21"/>
      <c r="J736" s="28"/>
      <c r="K736" s="19"/>
    </row>
    <row r="737" spans="1:11" ht="13.2">
      <c r="A737" s="22"/>
      <c r="B737" s="16"/>
      <c r="C737" s="23"/>
      <c r="D737" s="24"/>
      <c r="E737" s="25"/>
      <c r="F737" s="26"/>
      <c r="G737" s="27"/>
      <c r="H737" s="20"/>
      <c r="I737" s="21"/>
      <c r="J737" s="28"/>
      <c r="K737" s="19"/>
    </row>
    <row r="738" spans="1:11" ht="13.2">
      <c r="A738" s="22"/>
      <c r="B738" s="16"/>
      <c r="C738" s="23"/>
      <c r="D738" s="24"/>
      <c r="E738" s="25"/>
      <c r="F738" s="26"/>
      <c r="G738" s="27"/>
      <c r="H738" s="20"/>
      <c r="I738" s="21"/>
      <c r="J738" s="28"/>
      <c r="K738" s="19"/>
    </row>
    <row r="739" spans="1:11" ht="13.2">
      <c r="A739" s="22"/>
      <c r="B739" s="16"/>
      <c r="C739" s="23"/>
      <c r="D739" s="24"/>
      <c r="E739" s="25"/>
      <c r="F739" s="26"/>
      <c r="G739" s="27"/>
      <c r="H739" s="20"/>
      <c r="I739" s="21"/>
      <c r="J739" s="28"/>
      <c r="K739" s="19"/>
    </row>
    <row r="740" spans="1:11" ht="13.2">
      <c r="A740" s="22"/>
      <c r="B740" s="16"/>
      <c r="C740" s="23"/>
      <c r="D740" s="24"/>
      <c r="E740" s="25"/>
      <c r="F740" s="26"/>
      <c r="G740" s="27"/>
      <c r="H740" s="20"/>
      <c r="I740" s="21"/>
      <c r="J740" s="28"/>
      <c r="K740" s="19"/>
    </row>
    <row r="741" spans="1:11" ht="13.2">
      <c r="A741" s="22"/>
      <c r="B741" s="16"/>
      <c r="C741" s="23"/>
      <c r="D741" s="24"/>
      <c r="E741" s="25"/>
      <c r="F741" s="26"/>
      <c r="G741" s="27"/>
      <c r="H741" s="20"/>
      <c r="I741" s="21"/>
      <c r="J741" s="28"/>
      <c r="K741" s="19"/>
    </row>
    <row r="742" spans="1:11" ht="13.2">
      <c r="A742" s="22"/>
      <c r="B742" s="16"/>
      <c r="C742" s="23"/>
      <c r="D742" s="24"/>
      <c r="E742" s="25"/>
      <c r="F742" s="26"/>
      <c r="G742" s="27"/>
      <c r="H742" s="20"/>
      <c r="I742" s="21"/>
      <c r="J742" s="28"/>
      <c r="K742" s="19"/>
    </row>
    <row r="743" spans="1:11" ht="13.2">
      <c r="A743" s="22"/>
      <c r="B743" s="16"/>
      <c r="C743" s="23"/>
      <c r="D743" s="24"/>
      <c r="E743" s="25"/>
      <c r="F743" s="26"/>
      <c r="G743" s="27"/>
      <c r="H743" s="20"/>
      <c r="I743" s="21"/>
      <c r="J743" s="28"/>
      <c r="K743" s="19"/>
    </row>
    <row r="744" spans="1:11" ht="13.2">
      <c r="A744" s="22"/>
      <c r="B744" s="16"/>
      <c r="C744" s="23"/>
      <c r="D744" s="24"/>
      <c r="E744" s="25"/>
      <c r="F744" s="26"/>
      <c r="G744" s="27"/>
      <c r="H744" s="20"/>
      <c r="I744" s="21"/>
      <c r="J744" s="28"/>
      <c r="K744" s="19"/>
    </row>
    <row r="745" spans="1:11" ht="13.2">
      <c r="A745" s="22"/>
      <c r="B745" s="16"/>
      <c r="C745" s="23"/>
      <c r="D745" s="24"/>
      <c r="E745" s="25"/>
      <c r="F745" s="26"/>
      <c r="G745" s="27"/>
      <c r="H745" s="20"/>
      <c r="I745" s="21"/>
      <c r="J745" s="28"/>
      <c r="K745" s="19"/>
    </row>
    <row r="746" spans="1:11" ht="13.2">
      <c r="A746" s="22"/>
      <c r="B746" s="16"/>
      <c r="C746" s="23"/>
      <c r="D746" s="24"/>
      <c r="E746" s="25"/>
      <c r="F746" s="26"/>
      <c r="G746" s="27"/>
      <c r="H746" s="20"/>
      <c r="I746" s="21"/>
      <c r="J746" s="28"/>
      <c r="K746" s="19"/>
    </row>
    <row r="747" spans="1:11" ht="13.2">
      <c r="A747" s="22"/>
      <c r="B747" s="16"/>
      <c r="C747" s="23"/>
      <c r="D747" s="24"/>
      <c r="E747" s="25"/>
      <c r="F747" s="26"/>
      <c r="G747" s="27"/>
      <c r="H747" s="20"/>
      <c r="I747" s="21"/>
      <c r="J747" s="28"/>
      <c r="K747" s="19"/>
    </row>
    <row r="748" spans="1:11" ht="13.2">
      <c r="A748" s="22"/>
      <c r="B748" s="16"/>
      <c r="C748" s="23"/>
      <c r="D748" s="24"/>
      <c r="E748" s="25"/>
      <c r="F748" s="26"/>
      <c r="G748" s="27"/>
      <c r="H748" s="20"/>
      <c r="I748" s="21"/>
      <c r="J748" s="28"/>
      <c r="K748" s="19"/>
    </row>
    <row r="749" spans="1:11" ht="13.2">
      <c r="A749" s="22"/>
      <c r="B749" s="16"/>
      <c r="C749" s="23"/>
      <c r="D749" s="24"/>
      <c r="E749" s="25"/>
      <c r="F749" s="26"/>
      <c r="G749" s="27"/>
      <c r="H749" s="20"/>
      <c r="I749" s="21"/>
      <c r="J749" s="28"/>
      <c r="K749" s="19"/>
    </row>
    <row r="750" spans="1:11" ht="13.2">
      <c r="A750" s="22"/>
      <c r="B750" s="16"/>
      <c r="C750" s="23"/>
      <c r="D750" s="24"/>
      <c r="E750" s="25"/>
      <c r="F750" s="26"/>
      <c r="G750" s="27"/>
      <c r="H750" s="20"/>
      <c r="I750" s="21"/>
      <c r="J750" s="28"/>
      <c r="K750" s="19"/>
    </row>
    <row r="751" spans="1:11" ht="13.2">
      <c r="A751" s="22"/>
      <c r="B751" s="16"/>
      <c r="C751" s="23"/>
      <c r="D751" s="24"/>
      <c r="E751" s="25"/>
      <c r="F751" s="26"/>
      <c r="G751" s="27"/>
      <c r="H751" s="20"/>
      <c r="I751" s="21"/>
      <c r="J751" s="28"/>
      <c r="K751" s="19"/>
    </row>
    <row r="752" spans="1:11" ht="13.2">
      <c r="A752" s="22"/>
      <c r="B752" s="16"/>
      <c r="C752" s="23"/>
      <c r="D752" s="24"/>
      <c r="E752" s="25"/>
      <c r="F752" s="26"/>
      <c r="G752" s="27"/>
      <c r="H752" s="20"/>
      <c r="I752" s="21"/>
      <c r="J752" s="28"/>
      <c r="K752" s="19"/>
    </row>
    <row r="753" spans="1:11" ht="13.2">
      <c r="A753" s="22"/>
      <c r="B753" s="16"/>
      <c r="C753" s="23"/>
      <c r="D753" s="24"/>
      <c r="E753" s="25"/>
      <c r="F753" s="26"/>
      <c r="G753" s="27"/>
      <c r="H753" s="20"/>
      <c r="I753" s="21"/>
      <c r="J753" s="28"/>
      <c r="K753" s="19"/>
    </row>
    <row r="754" spans="1:11" ht="13.2">
      <c r="A754" s="22"/>
      <c r="B754" s="16"/>
      <c r="C754" s="23"/>
      <c r="D754" s="24"/>
      <c r="E754" s="25"/>
      <c r="F754" s="26"/>
      <c r="G754" s="27"/>
      <c r="H754" s="20"/>
      <c r="I754" s="21"/>
      <c r="J754" s="28"/>
      <c r="K754" s="19"/>
    </row>
    <row r="755" spans="1:11" ht="13.2">
      <c r="A755" s="22"/>
      <c r="B755" s="16"/>
      <c r="C755" s="23"/>
      <c r="D755" s="24"/>
      <c r="E755" s="25"/>
      <c r="F755" s="26"/>
      <c r="G755" s="27"/>
      <c r="H755" s="20"/>
      <c r="I755" s="21"/>
      <c r="J755" s="28"/>
      <c r="K755" s="19"/>
    </row>
    <row r="756" spans="1:11" ht="13.2">
      <c r="A756" s="22"/>
      <c r="B756" s="16"/>
      <c r="C756" s="23"/>
      <c r="D756" s="24"/>
      <c r="E756" s="25"/>
      <c r="F756" s="26"/>
      <c r="G756" s="27"/>
      <c r="H756" s="20"/>
      <c r="I756" s="21"/>
      <c r="J756" s="28"/>
      <c r="K756" s="19"/>
    </row>
    <row r="757" spans="1:11" ht="13.2">
      <c r="A757" s="22"/>
      <c r="B757" s="16"/>
      <c r="C757" s="23"/>
      <c r="D757" s="24"/>
      <c r="E757" s="25"/>
      <c r="F757" s="26"/>
      <c r="G757" s="27"/>
      <c r="H757" s="20"/>
      <c r="I757" s="21"/>
      <c r="J757" s="28"/>
      <c r="K757" s="19"/>
    </row>
    <row r="758" spans="1:11" ht="13.2">
      <c r="A758" s="22"/>
      <c r="B758" s="16"/>
      <c r="C758" s="23"/>
      <c r="D758" s="24"/>
      <c r="E758" s="25"/>
      <c r="F758" s="26"/>
      <c r="G758" s="27"/>
      <c r="H758" s="20"/>
      <c r="I758" s="21"/>
      <c r="J758" s="28"/>
      <c r="K758" s="19"/>
    </row>
    <row r="759" spans="1:11" ht="13.2">
      <c r="A759" s="22"/>
      <c r="B759" s="16"/>
      <c r="C759" s="23"/>
      <c r="D759" s="24"/>
      <c r="E759" s="25"/>
      <c r="F759" s="26"/>
      <c r="G759" s="27"/>
      <c r="H759" s="20"/>
      <c r="I759" s="21"/>
      <c r="J759" s="28"/>
      <c r="K759" s="19"/>
    </row>
    <row r="760" spans="1:11" ht="13.2">
      <c r="A760" s="22"/>
      <c r="B760" s="16"/>
      <c r="C760" s="23"/>
      <c r="D760" s="24"/>
      <c r="E760" s="25"/>
      <c r="F760" s="26"/>
      <c r="G760" s="27"/>
      <c r="H760" s="20"/>
      <c r="I760" s="21"/>
      <c r="J760" s="28"/>
      <c r="K760" s="19"/>
    </row>
    <row r="761" spans="1:11" ht="13.2">
      <c r="A761" s="22"/>
      <c r="B761" s="16"/>
      <c r="C761" s="23"/>
      <c r="D761" s="24"/>
      <c r="E761" s="25"/>
      <c r="F761" s="26"/>
      <c r="G761" s="27"/>
      <c r="H761" s="20"/>
      <c r="I761" s="21"/>
      <c r="J761" s="28"/>
      <c r="K761" s="19"/>
    </row>
    <row r="762" spans="1:11" ht="13.2">
      <c r="A762" s="22"/>
      <c r="B762" s="16"/>
      <c r="C762" s="23"/>
      <c r="D762" s="24"/>
      <c r="E762" s="25"/>
      <c r="F762" s="26"/>
      <c r="G762" s="27"/>
      <c r="H762" s="20"/>
      <c r="I762" s="21"/>
      <c r="J762" s="28"/>
      <c r="K762" s="19"/>
    </row>
    <row r="763" spans="1:11" ht="13.2">
      <c r="A763" s="22"/>
      <c r="B763" s="16"/>
      <c r="C763" s="23"/>
      <c r="D763" s="24"/>
      <c r="E763" s="25"/>
      <c r="F763" s="26"/>
      <c r="G763" s="27"/>
      <c r="H763" s="20"/>
      <c r="I763" s="21"/>
      <c r="J763" s="28"/>
      <c r="K763" s="19"/>
    </row>
    <row r="764" spans="1:11" ht="13.2">
      <c r="A764" s="22"/>
      <c r="B764" s="16"/>
      <c r="C764" s="23"/>
      <c r="D764" s="24"/>
      <c r="E764" s="25"/>
      <c r="F764" s="26"/>
      <c r="G764" s="27"/>
      <c r="H764" s="20"/>
      <c r="I764" s="21"/>
      <c r="J764" s="28"/>
      <c r="K764" s="19"/>
    </row>
    <row r="765" spans="1:11" ht="13.2">
      <c r="A765" s="22"/>
      <c r="B765" s="16"/>
      <c r="C765" s="23"/>
      <c r="D765" s="24"/>
      <c r="E765" s="25"/>
      <c r="F765" s="26"/>
      <c r="G765" s="27"/>
      <c r="H765" s="20"/>
      <c r="I765" s="21"/>
      <c r="J765" s="28"/>
      <c r="K765" s="19"/>
    </row>
    <row r="766" spans="1:11" ht="13.2">
      <c r="A766" s="22"/>
      <c r="B766" s="16"/>
      <c r="C766" s="23"/>
      <c r="D766" s="24"/>
      <c r="E766" s="25"/>
      <c r="F766" s="26"/>
      <c r="G766" s="27"/>
      <c r="H766" s="20"/>
      <c r="I766" s="21"/>
      <c r="J766" s="28"/>
      <c r="K766" s="19"/>
    </row>
    <row r="767" spans="1:11" ht="13.2">
      <c r="A767" s="22"/>
      <c r="B767" s="16"/>
      <c r="C767" s="23"/>
      <c r="D767" s="24"/>
      <c r="E767" s="25"/>
      <c r="F767" s="26"/>
      <c r="G767" s="27"/>
      <c r="H767" s="20"/>
      <c r="I767" s="21"/>
      <c r="J767" s="28"/>
      <c r="K767" s="19"/>
    </row>
    <row r="768" spans="1:11" ht="13.2">
      <c r="A768" s="22"/>
      <c r="B768" s="16"/>
      <c r="C768" s="23"/>
      <c r="D768" s="24"/>
      <c r="E768" s="25"/>
      <c r="F768" s="26"/>
      <c r="G768" s="27"/>
      <c r="H768" s="20"/>
      <c r="I768" s="21"/>
      <c r="J768" s="28"/>
      <c r="K768" s="19"/>
    </row>
    <row r="769" spans="1:11" ht="13.2">
      <c r="A769" s="22"/>
      <c r="B769" s="16"/>
      <c r="C769" s="23"/>
      <c r="D769" s="24"/>
      <c r="E769" s="25"/>
      <c r="F769" s="26"/>
      <c r="G769" s="27"/>
      <c r="H769" s="20"/>
      <c r="I769" s="21"/>
      <c r="J769" s="28"/>
      <c r="K769" s="19"/>
    </row>
    <row r="770" spans="1:11" ht="13.2">
      <c r="A770" s="22"/>
      <c r="B770" s="16"/>
      <c r="C770" s="23"/>
      <c r="D770" s="24"/>
      <c r="E770" s="25"/>
      <c r="F770" s="26"/>
      <c r="G770" s="27"/>
      <c r="H770" s="20"/>
      <c r="I770" s="21"/>
      <c r="J770" s="28"/>
      <c r="K770" s="19"/>
    </row>
    <row r="771" spans="1:11" ht="13.2">
      <c r="A771" s="22"/>
      <c r="B771" s="16"/>
      <c r="C771" s="23"/>
      <c r="D771" s="24"/>
      <c r="E771" s="25"/>
      <c r="F771" s="26"/>
      <c r="G771" s="27"/>
      <c r="H771" s="20"/>
      <c r="I771" s="21"/>
      <c r="J771" s="28"/>
      <c r="K771" s="19"/>
    </row>
    <row r="772" spans="1:11" ht="13.2">
      <c r="A772" s="22"/>
      <c r="B772" s="16"/>
      <c r="C772" s="23"/>
      <c r="D772" s="24"/>
      <c r="E772" s="25"/>
      <c r="F772" s="26"/>
      <c r="G772" s="27"/>
      <c r="H772" s="20"/>
      <c r="I772" s="21"/>
      <c r="J772" s="28"/>
      <c r="K772" s="19"/>
    </row>
    <row r="773" spans="1:11" ht="13.2">
      <c r="A773" s="22"/>
      <c r="B773" s="16"/>
      <c r="C773" s="23"/>
      <c r="D773" s="24"/>
      <c r="E773" s="25"/>
      <c r="F773" s="26"/>
      <c r="G773" s="27"/>
      <c r="H773" s="20"/>
      <c r="I773" s="21"/>
      <c r="J773" s="28"/>
      <c r="K773" s="19"/>
    </row>
    <row r="774" spans="1:11" ht="13.2">
      <c r="A774" s="22"/>
      <c r="B774" s="16"/>
      <c r="C774" s="23"/>
      <c r="D774" s="24"/>
      <c r="E774" s="25"/>
      <c r="F774" s="26"/>
      <c r="G774" s="27"/>
      <c r="H774" s="20"/>
      <c r="I774" s="21"/>
      <c r="J774" s="28"/>
      <c r="K774" s="19"/>
    </row>
    <row r="775" spans="1:11" ht="13.2">
      <c r="A775" s="22"/>
      <c r="B775" s="16"/>
      <c r="C775" s="23"/>
      <c r="D775" s="24"/>
      <c r="E775" s="25"/>
      <c r="F775" s="26"/>
      <c r="G775" s="27"/>
      <c r="H775" s="20"/>
      <c r="I775" s="21"/>
      <c r="J775" s="28"/>
      <c r="K775" s="19"/>
    </row>
    <row r="776" spans="1:11" ht="13.2">
      <c r="A776" s="22"/>
      <c r="B776" s="16"/>
      <c r="C776" s="23"/>
      <c r="D776" s="24"/>
      <c r="E776" s="25"/>
      <c r="F776" s="26"/>
      <c r="G776" s="27"/>
      <c r="H776" s="20"/>
      <c r="I776" s="21"/>
      <c r="J776" s="28"/>
      <c r="K776" s="19"/>
    </row>
    <row r="777" spans="1:11" ht="13.2">
      <c r="A777" s="22"/>
      <c r="B777" s="16"/>
      <c r="C777" s="23"/>
      <c r="D777" s="24"/>
      <c r="E777" s="25"/>
      <c r="F777" s="26"/>
      <c r="G777" s="27"/>
      <c r="H777" s="20"/>
      <c r="I777" s="21"/>
      <c r="J777" s="28"/>
      <c r="K777" s="19"/>
    </row>
    <row r="778" spans="1:11" ht="13.2">
      <c r="A778" s="22"/>
      <c r="B778" s="16"/>
      <c r="C778" s="23"/>
      <c r="D778" s="24"/>
      <c r="E778" s="25"/>
      <c r="F778" s="26"/>
      <c r="G778" s="27"/>
      <c r="H778" s="20"/>
      <c r="I778" s="21"/>
      <c r="J778" s="28"/>
      <c r="K778" s="19"/>
    </row>
    <row r="779" spans="1:11" ht="13.2">
      <c r="A779" s="22"/>
      <c r="B779" s="16"/>
      <c r="C779" s="23"/>
      <c r="D779" s="24"/>
      <c r="E779" s="25"/>
      <c r="F779" s="26"/>
      <c r="G779" s="27"/>
      <c r="H779" s="20"/>
      <c r="I779" s="21"/>
      <c r="J779" s="28"/>
      <c r="K779" s="19"/>
    </row>
    <row r="780" spans="1:11" ht="13.2">
      <c r="A780" s="22"/>
      <c r="B780" s="16"/>
      <c r="C780" s="23"/>
      <c r="D780" s="24"/>
      <c r="E780" s="25"/>
      <c r="F780" s="26"/>
      <c r="G780" s="27"/>
      <c r="H780" s="20"/>
      <c r="I780" s="21"/>
      <c r="J780" s="28"/>
      <c r="K780" s="19"/>
    </row>
    <row r="781" spans="1:11" ht="13.2">
      <c r="A781" s="22"/>
      <c r="B781" s="16"/>
      <c r="C781" s="23"/>
      <c r="D781" s="24"/>
      <c r="E781" s="25"/>
      <c r="F781" s="26"/>
      <c r="G781" s="27"/>
      <c r="H781" s="20"/>
      <c r="I781" s="21"/>
      <c r="J781" s="28"/>
      <c r="K781" s="19"/>
    </row>
    <row r="782" spans="1:11" ht="13.2">
      <c r="A782" s="22"/>
      <c r="B782" s="16"/>
      <c r="C782" s="23"/>
      <c r="D782" s="24"/>
      <c r="E782" s="25"/>
      <c r="F782" s="26"/>
      <c r="G782" s="27"/>
      <c r="H782" s="20"/>
      <c r="I782" s="21"/>
      <c r="J782" s="28"/>
      <c r="K782" s="19"/>
    </row>
    <row r="783" spans="1:11" ht="13.2">
      <c r="A783" s="22"/>
      <c r="B783" s="16"/>
      <c r="C783" s="23"/>
      <c r="D783" s="24"/>
      <c r="E783" s="25"/>
      <c r="F783" s="26"/>
      <c r="G783" s="27"/>
      <c r="H783" s="20"/>
      <c r="I783" s="21"/>
      <c r="J783" s="28"/>
      <c r="K783" s="19"/>
    </row>
    <row r="784" spans="1:11" ht="13.2">
      <c r="A784" s="22"/>
      <c r="B784" s="16"/>
      <c r="C784" s="23"/>
      <c r="D784" s="24"/>
      <c r="E784" s="25"/>
      <c r="F784" s="26"/>
      <c r="G784" s="27"/>
      <c r="H784" s="20"/>
      <c r="I784" s="21"/>
      <c r="J784" s="28"/>
      <c r="K784" s="19"/>
    </row>
    <row r="785" spans="1:11" ht="13.2">
      <c r="A785" s="22"/>
      <c r="B785" s="16"/>
      <c r="C785" s="23"/>
      <c r="D785" s="24"/>
      <c r="E785" s="25"/>
      <c r="F785" s="26"/>
      <c r="G785" s="27"/>
      <c r="H785" s="20"/>
      <c r="I785" s="21"/>
      <c r="J785" s="28"/>
      <c r="K785" s="19"/>
    </row>
    <row r="786" spans="1:11" ht="13.2">
      <c r="A786" s="22"/>
      <c r="B786" s="16"/>
      <c r="C786" s="23"/>
      <c r="D786" s="24"/>
      <c r="E786" s="25"/>
      <c r="F786" s="26"/>
      <c r="G786" s="27"/>
      <c r="H786" s="20"/>
      <c r="I786" s="21"/>
      <c r="J786" s="28"/>
      <c r="K786" s="19"/>
    </row>
    <row r="787" spans="1:11" ht="13.2">
      <c r="A787" s="22"/>
      <c r="B787" s="16"/>
      <c r="C787" s="23"/>
      <c r="D787" s="24"/>
      <c r="E787" s="25"/>
      <c r="F787" s="26"/>
      <c r="G787" s="27"/>
      <c r="H787" s="20"/>
      <c r="I787" s="21"/>
      <c r="J787" s="28"/>
      <c r="K787" s="19"/>
    </row>
    <row r="788" spans="1:11" ht="13.2">
      <c r="A788" s="22"/>
      <c r="B788" s="16"/>
      <c r="C788" s="23"/>
      <c r="D788" s="24"/>
      <c r="E788" s="25"/>
      <c r="F788" s="26"/>
      <c r="G788" s="27"/>
      <c r="H788" s="20"/>
      <c r="I788" s="21"/>
      <c r="J788" s="28"/>
      <c r="K788" s="19"/>
    </row>
    <row r="789" spans="1:11" ht="13.2">
      <c r="A789" s="22"/>
      <c r="B789" s="16"/>
      <c r="C789" s="23"/>
      <c r="D789" s="24"/>
      <c r="E789" s="25"/>
      <c r="F789" s="26"/>
      <c r="G789" s="27"/>
      <c r="H789" s="20"/>
      <c r="I789" s="21"/>
      <c r="J789" s="28"/>
      <c r="K789" s="19"/>
    </row>
    <row r="790" spans="1:11" ht="13.2">
      <c r="A790" s="22"/>
      <c r="B790" s="16"/>
      <c r="C790" s="23"/>
      <c r="D790" s="24"/>
      <c r="E790" s="25"/>
      <c r="F790" s="26"/>
      <c r="G790" s="27"/>
      <c r="H790" s="20"/>
      <c r="I790" s="21"/>
      <c r="J790" s="28"/>
      <c r="K790" s="19"/>
    </row>
    <row r="791" spans="1:11" ht="13.2">
      <c r="A791" s="22"/>
      <c r="B791" s="16"/>
      <c r="C791" s="23"/>
      <c r="D791" s="24"/>
      <c r="E791" s="25"/>
      <c r="F791" s="26"/>
      <c r="G791" s="27"/>
      <c r="H791" s="20"/>
      <c r="I791" s="21"/>
      <c r="J791" s="28"/>
      <c r="K791" s="19"/>
    </row>
    <row r="792" spans="1:11" ht="13.2">
      <c r="A792" s="22"/>
      <c r="B792" s="16"/>
      <c r="C792" s="23"/>
      <c r="D792" s="24"/>
      <c r="E792" s="25"/>
      <c r="F792" s="26"/>
      <c r="G792" s="27"/>
      <c r="H792" s="20"/>
      <c r="I792" s="21"/>
      <c r="J792" s="28"/>
      <c r="K792" s="19"/>
    </row>
    <row r="793" spans="1:11" ht="13.2">
      <c r="A793" s="22"/>
      <c r="B793" s="16"/>
      <c r="C793" s="23"/>
      <c r="D793" s="24"/>
      <c r="E793" s="25"/>
      <c r="F793" s="26"/>
      <c r="G793" s="27"/>
      <c r="H793" s="20"/>
      <c r="I793" s="21"/>
      <c r="J793" s="28"/>
      <c r="K793" s="19"/>
    </row>
    <row r="794" spans="1:11" ht="13.2">
      <c r="A794" s="22"/>
      <c r="B794" s="16"/>
      <c r="C794" s="23"/>
      <c r="D794" s="24"/>
      <c r="E794" s="25"/>
      <c r="F794" s="26"/>
      <c r="G794" s="27"/>
      <c r="H794" s="20"/>
      <c r="I794" s="21"/>
      <c r="J794" s="28"/>
      <c r="K794" s="19"/>
    </row>
    <row r="795" spans="1:11" ht="13.2">
      <c r="A795" s="22"/>
      <c r="B795" s="16"/>
      <c r="C795" s="23"/>
      <c r="D795" s="24"/>
      <c r="E795" s="25"/>
      <c r="F795" s="26"/>
      <c r="G795" s="27"/>
      <c r="H795" s="20"/>
      <c r="I795" s="21"/>
      <c r="J795" s="28"/>
      <c r="K795" s="19"/>
    </row>
    <row r="796" spans="1:11" ht="13.2">
      <c r="A796" s="22"/>
      <c r="B796" s="16"/>
      <c r="C796" s="23"/>
      <c r="D796" s="24"/>
      <c r="E796" s="25"/>
      <c r="F796" s="26"/>
      <c r="G796" s="27"/>
      <c r="H796" s="20"/>
      <c r="I796" s="21"/>
      <c r="J796" s="28"/>
      <c r="K796" s="19"/>
    </row>
    <row r="797" spans="1:11" ht="13.2">
      <c r="A797" s="22"/>
      <c r="B797" s="16"/>
      <c r="C797" s="23"/>
      <c r="D797" s="24"/>
      <c r="E797" s="25"/>
      <c r="F797" s="26"/>
      <c r="G797" s="27"/>
      <c r="H797" s="20"/>
      <c r="I797" s="21"/>
      <c r="J797" s="28"/>
      <c r="K797" s="19"/>
    </row>
    <row r="798" spans="1:11" ht="13.2">
      <c r="A798" s="22"/>
      <c r="B798" s="16"/>
      <c r="C798" s="23"/>
      <c r="D798" s="24"/>
      <c r="E798" s="25"/>
      <c r="F798" s="26"/>
      <c r="G798" s="27"/>
      <c r="H798" s="20"/>
      <c r="I798" s="21"/>
      <c r="J798" s="28"/>
      <c r="K798" s="19"/>
    </row>
    <row r="799" spans="1:11" ht="13.2">
      <c r="A799" s="22"/>
      <c r="B799" s="16"/>
      <c r="C799" s="23"/>
      <c r="D799" s="24"/>
      <c r="E799" s="25"/>
      <c r="F799" s="26"/>
      <c r="G799" s="27"/>
      <c r="H799" s="20"/>
      <c r="I799" s="21"/>
      <c r="J799" s="28"/>
      <c r="K799" s="19"/>
    </row>
    <row r="800" spans="1:11" ht="13.2">
      <c r="A800" s="22"/>
      <c r="B800" s="16"/>
      <c r="C800" s="23"/>
      <c r="D800" s="24"/>
      <c r="E800" s="25"/>
      <c r="F800" s="26"/>
      <c r="G800" s="27"/>
      <c r="H800" s="20"/>
      <c r="I800" s="21"/>
      <c r="J800" s="28"/>
      <c r="K800" s="19"/>
    </row>
    <row r="801" spans="1:11" ht="13.2">
      <c r="A801" s="22"/>
      <c r="B801" s="16"/>
      <c r="C801" s="23"/>
      <c r="D801" s="24"/>
      <c r="E801" s="25"/>
      <c r="F801" s="26"/>
      <c r="G801" s="27"/>
      <c r="H801" s="20"/>
      <c r="I801" s="21"/>
      <c r="J801" s="28"/>
      <c r="K801" s="19"/>
    </row>
    <row r="802" spans="1:11" ht="13.2">
      <c r="A802" s="22"/>
      <c r="B802" s="16"/>
      <c r="C802" s="23"/>
      <c r="D802" s="24"/>
      <c r="E802" s="25"/>
      <c r="F802" s="26"/>
      <c r="G802" s="27"/>
      <c r="H802" s="20"/>
      <c r="I802" s="21"/>
      <c r="J802" s="28"/>
      <c r="K802" s="19"/>
    </row>
    <row r="803" spans="1:11" ht="13.2">
      <c r="A803" s="22"/>
      <c r="B803" s="16"/>
      <c r="C803" s="23"/>
      <c r="D803" s="24"/>
      <c r="E803" s="25"/>
      <c r="F803" s="26"/>
      <c r="G803" s="27"/>
      <c r="H803" s="20"/>
      <c r="I803" s="21"/>
      <c r="J803" s="28"/>
      <c r="K803" s="19"/>
    </row>
    <row r="804" spans="1:11" ht="13.2">
      <c r="A804" s="22"/>
      <c r="B804" s="16"/>
      <c r="C804" s="23"/>
      <c r="D804" s="24"/>
      <c r="E804" s="25"/>
      <c r="F804" s="26"/>
      <c r="G804" s="27"/>
      <c r="H804" s="20"/>
      <c r="I804" s="21"/>
      <c r="J804" s="28"/>
      <c r="K804" s="19"/>
    </row>
    <row r="805" spans="1:11" ht="13.2">
      <c r="A805" s="22"/>
      <c r="B805" s="16"/>
      <c r="C805" s="23"/>
      <c r="D805" s="24"/>
      <c r="E805" s="25"/>
      <c r="F805" s="26"/>
      <c r="G805" s="27"/>
      <c r="H805" s="20"/>
      <c r="I805" s="21"/>
      <c r="J805" s="28"/>
      <c r="K805" s="19"/>
    </row>
    <row r="806" spans="1:11" ht="13.2">
      <c r="A806" s="22"/>
      <c r="B806" s="16"/>
      <c r="C806" s="23"/>
      <c r="D806" s="24"/>
      <c r="E806" s="25"/>
      <c r="F806" s="26"/>
      <c r="G806" s="27"/>
      <c r="H806" s="20"/>
      <c r="I806" s="21"/>
      <c r="J806" s="28"/>
      <c r="K806" s="19"/>
    </row>
    <row r="807" spans="1:11" ht="13.2">
      <c r="A807" s="22"/>
      <c r="B807" s="16"/>
      <c r="C807" s="23"/>
      <c r="D807" s="24"/>
      <c r="E807" s="25"/>
      <c r="F807" s="26"/>
      <c r="G807" s="27"/>
      <c r="H807" s="20"/>
      <c r="I807" s="21"/>
      <c r="J807" s="28"/>
      <c r="K807" s="19"/>
    </row>
    <row r="808" spans="1:11" ht="13.2">
      <c r="A808" s="22"/>
      <c r="B808" s="16"/>
      <c r="C808" s="23"/>
      <c r="D808" s="24"/>
      <c r="E808" s="25"/>
      <c r="F808" s="26"/>
      <c r="G808" s="27"/>
      <c r="H808" s="20"/>
      <c r="I808" s="21"/>
      <c r="J808" s="28"/>
      <c r="K808" s="19"/>
    </row>
    <row r="809" spans="1:11" ht="13.2">
      <c r="A809" s="22"/>
      <c r="B809" s="16"/>
      <c r="C809" s="23"/>
      <c r="D809" s="24"/>
      <c r="E809" s="25"/>
      <c r="F809" s="26"/>
      <c r="G809" s="27"/>
      <c r="H809" s="20"/>
      <c r="I809" s="21"/>
      <c r="J809" s="28"/>
      <c r="K809" s="19"/>
    </row>
    <row r="810" spans="1:11" ht="13.2">
      <c r="A810" s="22"/>
      <c r="B810" s="16"/>
      <c r="C810" s="23"/>
      <c r="D810" s="24"/>
      <c r="E810" s="25"/>
      <c r="F810" s="26"/>
      <c r="G810" s="27"/>
      <c r="H810" s="20"/>
      <c r="I810" s="21"/>
      <c r="J810" s="28"/>
      <c r="K810" s="19"/>
    </row>
    <row r="811" spans="1:11" ht="13.2">
      <c r="A811" s="22"/>
      <c r="B811" s="16"/>
      <c r="C811" s="23"/>
      <c r="D811" s="24"/>
      <c r="E811" s="25"/>
      <c r="F811" s="26"/>
      <c r="G811" s="27"/>
      <c r="H811" s="20"/>
      <c r="I811" s="21"/>
      <c r="J811" s="28"/>
      <c r="K811" s="19"/>
    </row>
    <row r="812" spans="1:11" ht="13.2">
      <c r="A812" s="22"/>
      <c r="B812" s="16"/>
      <c r="C812" s="23"/>
      <c r="D812" s="24"/>
      <c r="E812" s="25"/>
      <c r="F812" s="26"/>
      <c r="G812" s="27"/>
      <c r="H812" s="20"/>
      <c r="I812" s="21"/>
      <c r="J812" s="28"/>
      <c r="K812" s="19"/>
    </row>
    <row r="813" spans="1:11" ht="13.2">
      <c r="A813" s="22"/>
      <c r="B813" s="16"/>
      <c r="C813" s="23"/>
      <c r="D813" s="24"/>
      <c r="E813" s="25"/>
      <c r="F813" s="26"/>
      <c r="G813" s="27"/>
      <c r="H813" s="20"/>
      <c r="I813" s="21"/>
      <c r="J813" s="28"/>
      <c r="K813" s="19"/>
    </row>
    <row r="814" spans="1:11" ht="13.2">
      <c r="A814" s="22"/>
      <c r="B814" s="16"/>
      <c r="C814" s="23"/>
      <c r="D814" s="24"/>
      <c r="E814" s="25"/>
      <c r="F814" s="26"/>
      <c r="G814" s="27"/>
      <c r="H814" s="20"/>
      <c r="I814" s="21"/>
      <c r="J814" s="28"/>
      <c r="K814" s="19"/>
    </row>
    <row r="815" spans="1:11" ht="13.2">
      <c r="A815" s="22"/>
      <c r="B815" s="16"/>
      <c r="C815" s="23"/>
      <c r="D815" s="24"/>
      <c r="E815" s="25"/>
      <c r="F815" s="26"/>
      <c r="G815" s="27"/>
      <c r="H815" s="20"/>
      <c r="I815" s="21"/>
      <c r="J815" s="28"/>
      <c r="K815" s="19"/>
    </row>
    <row r="816" spans="1:11" ht="13.2">
      <c r="A816" s="22"/>
      <c r="B816" s="16"/>
      <c r="C816" s="23"/>
      <c r="D816" s="24"/>
      <c r="E816" s="25"/>
      <c r="F816" s="26"/>
      <c r="G816" s="27"/>
      <c r="H816" s="20"/>
      <c r="I816" s="21"/>
      <c r="J816" s="28"/>
      <c r="K816" s="19"/>
    </row>
    <row r="817" spans="1:11" ht="13.2">
      <c r="A817" s="22"/>
      <c r="B817" s="16"/>
      <c r="C817" s="23"/>
      <c r="D817" s="24"/>
      <c r="E817" s="25"/>
      <c r="F817" s="26"/>
      <c r="G817" s="27"/>
      <c r="H817" s="20"/>
      <c r="I817" s="21"/>
      <c r="J817" s="28"/>
      <c r="K817" s="19"/>
    </row>
    <row r="818" spans="1:11" ht="13.2">
      <c r="A818" s="22"/>
      <c r="B818" s="16"/>
      <c r="C818" s="23"/>
      <c r="D818" s="24"/>
      <c r="E818" s="25"/>
      <c r="F818" s="26"/>
      <c r="G818" s="27"/>
      <c r="H818" s="20"/>
      <c r="I818" s="21"/>
      <c r="J818" s="28"/>
      <c r="K818" s="19"/>
    </row>
    <row r="819" spans="1:11" ht="13.2">
      <c r="A819" s="22"/>
      <c r="B819" s="16"/>
      <c r="C819" s="23"/>
      <c r="D819" s="24"/>
      <c r="E819" s="25"/>
      <c r="F819" s="26"/>
      <c r="G819" s="27"/>
      <c r="H819" s="20"/>
      <c r="I819" s="21"/>
      <c r="J819" s="28"/>
      <c r="K819" s="19"/>
    </row>
    <row r="820" spans="1:11" ht="13.2">
      <c r="A820" s="22"/>
      <c r="B820" s="16"/>
      <c r="C820" s="23"/>
      <c r="D820" s="24"/>
      <c r="E820" s="25"/>
      <c r="F820" s="26"/>
      <c r="G820" s="27"/>
      <c r="H820" s="20"/>
      <c r="I820" s="21"/>
      <c r="J820" s="28"/>
      <c r="K820" s="19"/>
    </row>
    <row r="821" spans="1:11" ht="13.2">
      <c r="A821" s="22"/>
      <c r="B821" s="16"/>
      <c r="C821" s="23"/>
      <c r="D821" s="24"/>
      <c r="E821" s="25"/>
      <c r="F821" s="26"/>
      <c r="G821" s="27"/>
      <c r="H821" s="20"/>
      <c r="I821" s="21"/>
      <c r="J821" s="28"/>
      <c r="K821" s="19"/>
    </row>
    <row r="822" spans="1:11" ht="13.2">
      <c r="A822" s="22"/>
      <c r="B822" s="16"/>
      <c r="C822" s="23"/>
      <c r="D822" s="24"/>
      <c r="E822" s="25"/>
      <c r="F822" s="26"/>
      <c r="G822" s="27"/>
      <c r="H822" s="20"/>
      <c r="I822" s="21"/>
      <c r="J822" s="28"/>
      <c r="K822" s="19"/>
    </row>
    <row r="823" spans="1:11" ht="13.2">
      <c r="A823" s="22"/>
      <c r="B823" s="16"/>
      <c r="C823" s="23"/>
      <c r="D823" s="24"/>
      <c r="E823" s="25"/>
      <c r="F823" s="26"/>
      <c r="G823" s="27"/>
      <c r="H823" s="20"/>
      <c r="I823" s="21"/>
      <c r="J823" s="28"/>
      <c r="K823" s="19"/>
    </row>
    <row r="824" spans="1:11" ht="13.2">
      <c r="A824" s="22"/>
      <c r="B824" s="16"/>
      <c r="C824" s="23"/>
      <c r="D824" s="24"/>
      <c r="E824" s="25"/>
      <c r="F824" s="26"/>
      <c r="G824" s="27"/>
      <c r="H824" s="20"/>
      <c r="I824" s="21"/>
      <c r="J824" s="28"/>
      <c r="K824" s="19"/>
    </row>
    <row r="825" spans="1:11" ht="13.2">
      <c r="A825" s="22"/>
      <c r="B825" s="16"/>
      <c r="C825" s="23"/>
      <c r="D825" s="24"/>
      <c r="E825" s="25"/>
      <c r="F825" s="26"/>
      <c r="G825" s="27"/>
      <c r="H825" s="20"/>
      <c r="I825" s="21"/>
      <c r="J825" s="28"/>
      <c r="K825" s="19"/>
    </row>
    <row r="826" spans="1:11" ht="13.2">
      <c r="A826" s="22"/>
      <c r="B826" s="16"/>
      <c r="C826" s="23"/>
      <c r="D826" s="24"/>
      <c r="E826" s="25"/>
      <c r="F826" s="26"/>
      <c r="G826" s="27"/>
      <c r="H826" s="20"/>
      <c r="I826" s="21"/>
      <c r="J826" s="28"/>
      <c r="K826" s="19"/>
    </row>
    <row r="827" spans="1:11" ht="13.2">
      <c r="A827" s="22"/>
      <c r="B827" s="16"/>
      <c r="C827" s="23"/>
      <c r="D827" s="24"/>
      <c r="E827" s="25"/>
      <c r="F827" s="26"/>
      <c r="G827" s="27"/>
      <c r="H827" s="20"/>
      <c r="I827" s="21"/>
      <c r="J827" s="28"/>
      <c r="K827" s="19"/>
    </row>
    <row r="828" spans="1:11" ht="13.2">
      <c r="A828" s="22"/>
      <c r="B828" s="16"/>
      <c r="C828" s="23"/>
      <c r="D828" s="24"/>
      <c r="E828" s="25"/>
      <c r="F828" s="26"/>
      <c r="G828" s="27"/>
      <c r="H828" s="20"/>
      <c r="I828" s="21"/>
      <c r="J828" s="28"/>
      <c r="K828" s="19"/>
    </row>
    <row r="829" spans="1:11" ht="13.2">
      <c r="A829" s="22"/>
      <c r="B829" s="16"/>
      <c r="C829" s="23"/>
      <c r="D829" s="24"/>
      <c r="E829" s="25"/>
      <c r="F829" s="26"/>
      <c r="G829" s="27"/>
      <c r="H829" s="20"/>
      <c r="I829" s="21"/>
      <c r="J829" s="28"/>
      <c r="K829" s="19"/>
    </row>
    <row r="830" spans="1:11" ht="13.2">
      <c r="A830" s="22"/>
      <c r="B830" s="16"/>
      <c r="C830" s="23"/>
      <c r="D830" s="24"/>
      <c r="E830" s="25"/>
      <c r="F830" s="26"/>
      <c r="G830" s="27"/>
      <c r="H830" s="20"/>
      <c r="I830" s="21"/>
      <c r="J830" s="28"/>
      <c r="K830" s="19"/>
    </row>
    <row r="831" spans="1:11" ht="13.2">
      <c r="A831" s="22"/>
      <c r="B831" s="16"/>
      <c r="C831" s="23"/>
      <c r="D831" s="24"/>
      <c r="E831" s="25"/>
      <c r="F831" s="26"/>
      <c r="G831" s="27"/>
      <c r="H831" s="20"/>
      <c r="I831" s="21"/>
      <c r="J831" s="28"/>
      <c r="K831" s="19"/>
    </row>
    <row r="832" spans="1:11" ht="13.2">
      <c r="A832" s="22"/>
      <c r="B832" s="16"/>
      <c r="C832" s="23"/>
      <c r="D832" s="24"/>
      <c r="E832" s="25"/>
      <c r="F832" s="26"/>
      <c r="G832" s="27"/>
      <c r="H832" s="20"/>
      <c r="I832" s="21"/>
      <c r="J832" s="28"/>
      <c r="K832" s="19"/>
    </row>
    <row r="833" spans="1:11" ht="13.2">
      <c r="A833" s="22"/>
      <c r="B833" s="16"/>
      <c r="C833" s="23"/>
      <c r="D833" s="24"/>
      <c r="E833" s="25"/>
      <c r="F833" s="26"/>
      <c r="G833" s="27"/>
      <c r="H833" s="20"/>
      <c r="I833" s="21"/>
      <c r="J833" s="28"/>
      <c r="K833" s="19"/>
    </row>
    <row r="834" spans="1:11" ht="13.2">
      <c r="A834" s="22"/>
      <c r="B834" s="16"/>
      <c r="C834" s="23"/>
      <c r="D834" s="24"/>
      <c r="E834" s="25"/>
      <c r="F834" s="26"/>
      <c r="G834" s="27"/>
      <c r="H834" s="20"/>
      <c r="I834" s="21"/>
      <c r="J834" s="28"/>
      <c r="K834" s="19"/>
    </row>
    <row r="835" spans="1:11" ht="13.2">
      <c r="A835" s="22"/>
      <c r="B835" s="16"/>
      <c r="C835" s="23"/>
      <c r="D835" s="24"/>
      <c r="E835" s="25"/>
      <c r="F835" s="26"/>
      <c r="G835" s="27"/>
      <c r="H835" s="20"/>
      <c r="I835" s="21"/>
      <c r="J835" s="28"/>
      <c r="K835" s="19"/>
    </row>
    <row r="836" spans="1:11" ht="13.2">
      <c r="A836" s="22"/>
      <c r="B836" s="16"/>
      <c r="C836" s="23"/>
      <c r="D836" s="24"/>
      <c r="E836" s="25"/>
      <c r="F836" s="26"/>
      <c r="G836" s="27"/>
      <c r="H836" s="20"/>
      <c r="I836" s="21"/>
      <c r="J836" s="28"/>
      <c r="K836" s="19"/>
    </row>
    <row r="837" spans="1:11" ht="13.2">
      <c r="A837" s="22"/>
      <c r="B837" s="16"/>
      <c r="C837" s="23"/>
      <c r="D837" s="24"/>
      <c r="E837" s="25"/>
      <c r="F837" s="26"/>
      <c r="G837" s="27"/>
      <c r="H837" s="20"/>
      <c r="I837" s="21"/>
      <c r="J837" s="28"/>
      <c r="K837" s="19"/>
    </row>
    <row r="838" spans="1:11" ht="13.2">
      <c r="A838" s="22"/>
      <c r="B838" s="16"/>
      <c r="C838" s="23"/>
      <c r="D838" s="24"/>
      <c r="E838" s="25"/>
      <c r="F838" s="26"/>
      <c r="G838" s="27"/>
      <c r="H838" s="20"/>
      <c r="I838" s="21"/>
      <c r="J838" s="28"/>
      <c r="K838" s="19"/>
    </row>
    <row r="839" spans="1:11" ht="13.2">
      <c r="A839" s="22"/>
      <c r="B839" s="16"/>
      <c r="C839" s="23"/>
      <c r="D839" s="24"/>
      <c r="E839" s="25"/>
      <c r="F839" s="26"/>
      <c r="G839" s="27"/>
      <c r="H839" s="20"/>
      <c r="I839" s="21"/>
      <c r="J839" s="28"/>
      <c r="K839" s="19"/>
    </row>
    <row r="840" spans="1:11" ht="13.2">
      <c r="A840" s="22"/>
      <c r="B840" s="16"/>
      <c r="C840" s="23"/>
      <c r="D840" s="24"/>
      <c r="E840" s="25"/>
      <c r="F840" s="26"/>
      <c r="G840" s="27"/>
      <c r="H840" s="20"/>
      <c r="I840" s="21"/>
      <c r="J840" s="28"/>
      <c r="K840" s="19"/>
    </row>
    <row r="841" spans="1:11" ht="13.2">
      <c r="A841" s="22"/>
      <c r="B841" s="16"/>
      <c r="C841" s="23"/>
      <c r="D841" s="24"/>
      <c r="E841" s="25"/>
      <c r="F841" s="26"/>
      <c r="G841" s="27"/>
      <c r="H841" s="20"/>
      <c r="I841" s="21"/>
      <c r="J841" s="28"/>
      <c r="K841" s="19"/>
    </row>
    <row r="842" spans="1:11" ht="13.2">
      <c r="A842" s="22"/>
      <c r="B842" s="16"/>
      <c r="C842" s="23"/>
      <c r="D842" s="24"/>
      <c r="E842" s="25"/>
      <c r="F842" s="26"/>
      <c r="G842" s="27"/>
      <c r="H842" s="20"/>
      <c r="I842" s="21"/>
      <c r="J842" s="28"/>
      <c r="K842" s="19"/>
    </row>
    <row r="843" spans="1:11" ht="13.2">
      <c r="A843" s="22"/>
      <c r="B843" s="16"/>
      <c r="C843" s="23"/>
      <c r="D843" s="24"/>
      <c r="E843" s="25"/>
      <c r="F843" s="26"/>
      <c r="G843" s="27"/>
      <c r="H843" s="20"/>
      <c r="I843" s="21"/>
      <c r="J843" s="28"/>
      <c r="K843" s="19"/>
    </row>
    <row r="844" spans="1:11" ht="13.2">
      <c r="A844" s="22"/>
      <c r="B844" s="16"/>
      <c r="C844" s="23"/>
      <c r="D844" s="24"/>
      <c r="E844" s="25"/>
      <c r="F844" s="26"/>
      <c r="G844" s="27"/>
      <c r="H844" s="20"/>
      <c r="I844" s="21"/>
      <c r="J844" s="28"/>
      <c r="K844" s="19"/>
    </row>
    <row r="845" spans="1:11" ht="13.2">
      <c r="A845" s="22"/>
      <c r="B845" s="16"/>
      <c r="C845" s="23"/>
      <c r="D845" s="24"/>
      <c r="E845" s="25"/>
      <c r="F845" s="26"/>
      <c r="G845" s="27"/>
      <c r="H845" s="20"/>
      <c r="I845" s="21"/>
      <c r="J845" s="28"/>
      <c r="K845" s="19"/>
    </row>
    <row r="846" spans="1:11" ht="13.2">
      <c r="A846" s="22"/>
      <c r="B846" s="16"/>
      <c r="C846" s="23"/>
      <c r="D846" s="24"/>
      <c r="E846" s="25"/>
      <c r="F846" s="26"/>
      <c r="G846" s="27"/>
      <c r="H846" s="20"/>
      <c r="I846" s="21"/>
      <c r="J846" s="28"/>
      <c r="K846" s="19"/>
    </row>
    <row r="847" spans="1:11" ht="13.2">
      <c r="A847" s="22"/>
      <c r="B847" s="16"/>
      <c r="C847" s="23"/>
      <c r="D847" s="24"/>
      <c r="E847" s="25"/>
      <c r="F847" s="26"/>
      <c r="G847" s="27"/>
      <c r="H847" s="20"/>
      <c r="I847" s="21"/>
      <c r="J847" s="28"/>
      <c r="K847" s="19"/>
    </row>
    <row r="848" spans="1:11" ht="13.2">
      <c r="A848" s="22"/>
      <c r="B848" s="16"/>
      <c r="C848" s="23"/>
      <c r="D848" s="24"/>
      <c r="E848" s="25"/>
      <c r="F848" s="26"/>
      <c r="G848" s="27"/>
      <c r="H848" s="20"/>
      <c r="I848" s="21"/>
      <c r="J848" s="28"/>
      <c r="K848" s="19"/>
    </row>
    <row r="849" spans="1:11" ht="13.2">
      <c r="A849" s="22"/>
      <c r="B849" s="16"/>
      <c r="C849" s="23"/>
      <c r="D849" s="24"/>
      <c r="E849" s="25"/>
      <c r="F849" s="26"/>
      <c r="G849" s="27"/>
      <c r="H849" s="20"/>
      <c r="I849" s="21"/>
      <c r="J849" s="28"/>
      <c r="K849" s="19"/>
    </row>
    <row r="850" spans="1:11" ht="13.2">
      <c r="A850" s="22"/>
      <c r="B850" s="16"/>
      <c r="C850" s="23"/>
      <c r="D850" s="24"/>
      <c r="E850" s="25"/>
      <c r="F850" s="26"/>
      <c r="G850" s="27"/>
      <c r="H850" s="20"/>
      <c r="I850" s="21"/>
      <c r="J850" s="28"/>
      <c r="K850" s="19"/>
    </row>
    <row r="851" spans="1:11" ht="13.2">
      <c r="A851" s="22"/>
      <c r="B851" s="16"/>
      <c r="C851" s="23"/>
      <c r="D851" s="24"/>
      <c r="E851" s="25"/>
      <c r="F851" s="26"/>
      <c r="G851" s="27"/>
      <c r="H851" s="20"/>
      <c r="I851" s="21"/>
      <c r="J851" s="28"/>
      <c r="K851" s="19"/>
    </row>
    <row r="852" spans="1:11" ht="13.2">
      <c r="A852" s="22"/>
      <c r="B852" s="16"/>
      <c r="C852" s="23"/>
      <c r="D852" s="24"/>
      <c r="E852" s="25"/>
      <c r="F852" s="26"/>
      <c r="G852" s="27"/>
      <c r="H852" s="20"/>
      <c r="I852" s="21"/>
      <c r="J852" s="28"/>
      <c r="K852" s="19"/>
    </row>
    <row r="853" spans="1:11" ht="13.2">
      <c r="A853" s="22"/>
      <c r="B853" s="16"/>
      <c r="C853" s="23"/>
      <c r="D853" s="24"/>
      <c r="E853" s="25"/>
      <c r="F853" s="26"/>
      <c r="G853" s="27"/>
      <c r="H853" s="20"/>
      <c r="I853" s="21"/>
      <c r="J853" s="28"/>
      <c r="K853" s="19"/>
    </row>
    <row r="854" spans="1:11" ht="13.2">
      <c r="A854" s="22"/>
      <c r="B854" s="16"/>
      <c r="C854" s="23"/>
      <c r="D854" s="24"/>
      <c r="E854" s="25"/>
      <c r="F854" s="26"/>
      <c r="G854" s="27"/>
      <c r="H854" s="20"/>
      <c r="I854" s="21"/>
      <c r="J854" s="28"/>
      <c r="K854" s="19"/>
    </row>
    <row r="855" spans="1:11" ht="13.2">
      <c r="A855" s="22"/>
      <c r="B855" s="16"/>
      <c r="C855" s="23"/>
      <c r="D855" s="24"/>
      <c r="E855" s="25"/>
      <c r="F855" s="26"/>
      <c r="G855" s="27"/>
      <c r="H855" s="20"/>
      <c r="I855" s="21"/>
      <c r="J855" s="28"/>
      <c r="K855" s="19"/>
    </row>
    <row r="856" spans="1:11" ht="13.2">
      <c r="A856" s="22"/>
      <c r="B856" s="16"/>
      <c r="C856" s="23"/>
      <c r="D856" s="24"/>
      <c r="E856" s="25"/>
      <c r="F856" s="26"/>
      <c r="G856" s="27"/>
      <c r="H856" s="20"/>
      <c r="I856" s="21"/>
      <c r="J856" s="28"/>
      <c r="K856" s="19"/>
    </row>
    <row r="857" spans="1:11" ht="13.2">
      <c r="A857" s="22"/>
      <c r="B857" s="16"/>
      <c r="C857" s="23"/>
      <c r="D857" s="24"/>
      <c r="E857" s="25"/>
      <c r="F857" s="26"/>
      <c r="G857" s="27"/>
      <c r="H857" s="20"/>
      <c r="I857" s="21"/>
      <c r="J857" s="28"/>
      <c r="K857" s="19"/>
    </row>
    <row r="858" spans="1:11" ht="13.2">
      <c r="A858" s="22"/>
      <c r="B858" s="16"/>
      <c r="C858" s="23"/>
      <c r="D858" s="24"/>
      <c r="E858" s="25"/>
      <c r="F858" s="26"/>
      <c r="G858" s="27"/>
      <c r="H858" s="20"/>
      <c r="I858" s="21"/>
      <c r="J858" s="28"/>
      <c r="K858" s="19"/>
    </row>
    <row r="859" spans="1:11" ht="13.2">
      <c r="A859" s="22"/>
      <c r="B859" s="16"/>
      <c r="C859" s="23"/>
      <c r="D859" s="24"/>
      <c r="E859" s="25"/>
      <c r="F859" s="26"/>
      <c r="G859" s="27"/>
      <c r="H859" s="20"/>
      <c r="I859" s="21"/>
      <c r="J859" s="28"/>
      <c r="K859" s="19"/>
    </row>
    <row r="860" spans="1:11" ht="13.2">
      <c r="A860" s="22"/>
      <c r="B860" s="16"/>
      <c r="C860" s="23"/>
      <c r="D860" s="24"/>
      <c r="E860" s="25"/>
      <c r="F860" s="26"/>
      <c r="G860" s="27"/>
      <c r="H860" s="20"/>
      <c r="I860" s="21"/>
      <c r="J860" s="28"/>
      <c r="K860" s="19"/>
    </row>
    <row r="861" spans="1:11" ht="13.2">
      <c r="A861" s="22"/>
      <c r="B861" s="16"/>
      <c r="C861" s="23"/>
      <c r="D861" s="24"/>
      <c r="E861" s="25"/>
      <c r="F861" s="26"/>
      <c r="G861" s="27"/>
      <c r="H861" s="20"/>
      <c r="I861" s="21"/>
      <c r="J861" s="28"/>
      <c r="K861" s="19"/>
    </row>
    <row r="862" spans="1:11" ht="13.2">
      <c r="A862" s="22"/>
      <c r="B862" s="16"/>
      <c r="C862" s="23"/>
      <c r="D862" s="24"/>
      <c r="E862" s="25"/>
      <c r="F862" s="26"/>
      <c r="G862" s="27"/>
      <c r="H862" s="20"/>
      <c r="I862" s="21"/>
      <c r="J862" s="28"/>
      <c r="K862" s="19"/>
    </row>
    <row r="863" spans="1:11" ht="13.2">
      <c r="A863" s="22"/>
      <c r="B863" s="16"/>
      <c r="C863" s="23"/>
      <c r="D863" s="24"/>
      <c r="E863" s="25"/>
      <c r="F863" s="26"/>
      <c r="G863" s="27"/>
      <c r="H863" s="20"/>
      <c r="I863" s="21"/>
      <c r="J863" s="28"/>
      <c r="K863" s="19"/>
    </row>
    <row r="864" spans="1:11" ht="13.2">
      <c r="A864" s="22"/>
      <c r="B864" s="16"/>
      <c r="C864" s="23"/>
      <c r="D864" s="24"/>
      <c r="E864" s="25"/>
      <c r="F864" s="26"/>
      <c r="G864" s="27"/>
      <c r="H864" s="20"/>
      <c r="I864" s="21"/>
      <c r="J864" s="28"/>
      <c r="K864" s="19"/>
    </row>
    <row r="865" spans="1:11" ht="13.2">
      <c r="A865" s="22"/>
      <c r="B865" s="16"/>
      <c r="C865" s="23"/>
      <c r="D865" s="24"/>
      <c r="E865" s="25"/>
      <c r="F865" s="26"/>
      <c r="G865" s="27"/>
      <c r="H865" s="20"/>
      <c r="I865" s="21"/>
      <c r="J865" s="28"/>
      <c r="K865" s="19"/>
    </row>
    <row r="866" spans="1:11" ht="13.2">
      <c r="A866" s="22"/>
      <c r="B866" s="16"/>
      <c r="C866" s="23"/>
      <c r="D866" s="24"/>
      <c r="E866" s="25"/>
      <c r="F866" s="26"/>
      <c r="G866" s="27"/>
      <c r="H866" s="20"/>
      <c r="I866" s="21"/>
      <c r="J866" s="28"/>
      <c r="K866" s="19"/>
    </row>
    <row r="867" spans="1:11" ht="13.2">
      <c r="A867" s="22"/>
      <c r="B867" s="16"/>
      <c r="C867" s="23"/>
      <c r="D867" s="24"/>
      <c r="E867" s="25"/>
      <c r="F867" s="26"/>
      <c r="G867" s="27"/>
      <c r="H867" s="20"/>
      <c r="I867" s="21"/>
      <c r="J867" s="28"/>
      <c r="K867" s="19"/>
    </row>
    <row r="868" spans="1:11" ht="13.2">
      <c r="A868" s="22"/>
      <c r="B868" s="16"/>
      <c r="C868" s="23"/>
      <c r="D868" s="24"/>
      <c r="E868" s="25"/>
      <c r="F868" s="26"/>
      <c r="G868" s="27"/>
      <c r="H868" s="20"/>
      <c r="I868" s="21"/>
      <c r="J868" s="28"/>
      <c r="K868" s="19"/>
    </row>
    <row r="869" spans="1:11" ht="13.2">
      <c r="A869" s="22"/>
      <c r="B869" s="16"/>
      <c r="C869" s="23"/>
      <c r="D869" s="24"/>
      <c r="E869" s="25"/>
      <c r="F869" s="26"/>
      <c r="G869" s="27"/>
      <c r="H869" s="20"/>
      <c r="I869" s="21"/>
      <c r="J869" s="28"/>
      <c r="K869" s="19"/>
    </row>
    <row r="870" spans="1:11" ht="13.2">
      <c r="A870" s="22"/>
      <c r="B870" s="16"/>
      <c r="C870" s="23"/>
      <c r="D870" s="24"/>
      <c r="E870" s="25"/>
      <c r="F870" s="26"/>
      <c r="G870" s="27"/>
      <c r="H870" s="20"/>
      <c r="I870" s="21"/>
      <c r="J870" s="28"/>
      <c r="K870" s="19"/>
    </row>
    <row r="871" spans="1:11" ht="13.2">
      <c r="A871" s="22"/>
      <c r="B871" s="16"/>
      <c r="C871" s="23"/>
      <c r="D871" s="24"/>
      <c r="E871" s="25"/>
      <c r="F871" s="26"/>
      <c r="G871" s="27"/>
      <c r="H871" s="20"/>
      <c r="I871" s="21"/>
      <c r="J871" s="28"/>
      <c r="K871" s="19"/>
    </row>
    <row r="872" spans="1:11" ht="13.2">
      <c r="A872" s="22"/>
      <c r="B872" s="16"/>
      <c r="C872" s="23"/>
      <c r="D872" s="24"/>
      <c r="E872" s="25"/>
      <c r="F872" s="26"/>
      <c r="G872" s="27"/>
      <c r="H872" s="20"/>
      <c r="I872" s="21"/>
      <c r="J872" s="28"/>
      <c r="K872" s="19"/>
    </row>
    <row r="873" spans="1:11" ht="13.2">
      <c r="A873" s="22"/>
      <c r="B873" s="16"/>
      <c r="C873" s="23"/>
      <c r="D873" s="24"/>
      <c r="E873" s="25"/>
      <c r="F873" s="26"/>
      <c r="G873" s="27"/>
      <c r="H873" s="20"/>
      <c r="I873" s="21"/>
      <c r="J873" s="28"/>
      <c r="K873" s="19"/>
    </row>
    <row r="874" spans="1:11" ht="13.2">
      <c r="A874" s="22"/>
      <c r="B874" s="16"/>
      <c r="C874" s="23"/>
      <c r="D874" s="24"/>
      <c r="E874" s="25"/>
      <c r="F874" s="26"/>
      <c r="G874" s="27"/>
      <c r="H874" s="20"/>
      <c r="I874" s="21"/>
      <c r="J874" s="28"/>
      <c r="K874" s="19"/>
    </row>
    <row r="875" spans="1:11" ht="13.2">
      <c r="A875" s="22"/>
      <c r="B875" s="16"/>
      <c r="C875" s="23"/>
      <c r="D875" s="24"/>
      <c r="E875" s="25"/>
      <c r="F875" s="26"/>
      <c r="G875" s="27"/>
      <c r="H875" s="20"/>
      <c r="I875" s="21"/>
      <c r="J875" s="28"/>
      <c r="K875" s="19"/>
    </row>
    <row r="876" spans="1:11" ht="13.2">
      <c r="A876" s="22"/>
      <c r="B876" s="16"/>
      <c r="C876" s="23"/>
      <c r="D876" s="24"/>
      <c r="E876" s="25"/>
      <c r="F876" s="26"/>
      <c r="G876" s="27"/>
      <c r="H876" s="20"/>
      <c r="I876" s="21"/>
      <c r="J876" s="28"/>
      <c r="K876" s="19"/>
    </row>
    <row r="877" spans="1:11" ht="13.2">
      <c r="A877" s="22"/>
      <c r="B877" s="16"/>
      <c r="C877" s="23"/>
      <c r="D877" s="24"/>
      <c r="E877" s="25"/>
      <c r="F877" s="26"/>
      <c r="G877" s="27"/>
      <c r="H877" s="20"/>
      <c r="I877" s="21"/>
      <c r="J877" s="28"/>
      <c r="K877" s="19"/>
    </row>
    <row r="878" spans="1:11" ht="13.2">
      <c r="A878" s="22"/>
      <c r="B878" s="16"/>
      <c r="C878" s="23"/>
      <c r="D878" s="24"/>
      <c r="E878" s="25"/>
      <c r="F878" s="26"/>
      <c r="G878" s="27"/>
      <c r="H878" s="20"/>
      <c r="I878" s="21"/>
      <c r="J878" s="28"/>
      <c r="K878" s="19"/>
    </row>
    <row r="879" spans="1:11" ht="13.2">
      <c r="A879" s="22"/>
      <c r="B879" s="16"/>
      <c r="C879" s="23"/>
      <c r="D879" s="24"/>
      <c r="E879" s="25"/>
      <c r="F879" s="26"/>
      <c r="G879" s="27"/>
      <c r="H879" s="20"/>
      <c r="I879" s="21"/>
      <c r="J879" s="28"/>
      <c r="K879" s="19"/>
    </row>
    <row r="880" spans="1:11" ht="13.2">
      <c r="A880" s="22"/>
      <c r="B880" s="16"/>
      <c r="C880" s="23"/>
      <c r="D880" s="24"/>
      <c r="E880" s="25"/>
      <c r="F880" s="26"/>
      <c r="G880" s="27"/>
      <c r="H880" s="20"/>
      <c r="I880" s="21"/>
      <c r="J880" s="28"/>
      <c r="K880" s="19"/>
    </row>
    <row r="881" spans="1:11" ht="13.2">
      <c r="A881" s="22"/>
      <c r="B881" s="16"/>
      <c r="C881" s="23"/>
      <c r="D881" s="24"/>
      <c r="E881" s="25"/>
      <c r="F881" s="26"/>
      <c r="G881" s="27"/>
      <c r="H881" s="20"/>
      <c r="I881" s="21"/>
      <c r="J881" s="28"/>
      <c r="K881" s="19"/>
    </row>
    <row r="882" spans="1:11" ht="13.2">
      <c r="A882" s="22"/>
      <c r="B882" s="16"/>
      <c r="C882" s="23"/>
      <c r="D882" s="24"/>
      <c r="E882" s="25"/>
      <c r="F882" s="26"/>
      <c r="G882" s="27"/>
      <c r="H882" s="20"/>
      <c r="I882" s="21"/>
      <c r="J882" s="28"/>
      <c r="K882" s="19"/>
    </row>
    <row r="883" spans="1:11" ht="13.2">
      <c r="A883" s="22"/>
      <c r="B883" s="16"/>
      <c r="C883" s="23"/>
      <c r="D883" s="24"/>
      <c r="E883" s="25"/>
      <c r="F883" s="26"/>
      <c r="G883" s="27"/>
      <c r="H883" s="20"/>
      <c r="I883" s="21"/>
      <c r="J883" s="28"/>
      <c r="K883" s="19"/>
    </row>
    <row r="884" spans="1:11" ht="13.2">
      <c r="A884" s="22"/>
      <c r="B884" s="16"/>
      <c r="C884" s="23"/>
      <c r="D884" s="24"/>
      <c r="E884" s="25"/>
      <c r="F884" s="26"/>
      <c r="G884" s="27"/>
      <c r="H884" s="20"/>
      <c r="I884" s="21"/>
      <c r="J884" s="28"/>
      <c r="K884" s="19"/>
    </row>
    <row r="885" spans="1:11" ht="13.2">
      <c r="A885" s="22"/>
      <c r="B885" s="16"/>
      <c r="C885" s="23"/>
      <c r="D885" s="24"/>
      <c r="E885" s="25"/>
      <c r="F885" s="26"/>
      <c r="G885" s="27"/>
      <c r="H885" s="20"/>
      <c r="I885" s="21"/>
      <c r="J885" s="28"/>
      <c r="K885" s="19"/>
    </row>
    <row r="886" spans="1:11" ht="13.2">
      <c r="A886" s="22"/>
      <c r="B886" s="16"/>
      <c r="C886" s="23"/>
      <c r="D886" s="24"/>
      <c r="E886" s="25"/>
      <c r="F886" s="26"/>
      <c r="G886" s="27"/>
      <c r="H886" s="20"/>
      <c r="I886" s="21"/>
      <c r="J886" s="28"/>
      <c r="K886" s="19"/>
    </row>
    <row r="887" spans="1:11" ht="13.2">
      <c r="A887" s="22"/>
      <c r="B887" s="16"/>
      <c r="C887" s="23"/>
      <c r="D887" s="24"/>
      <c r="E887" s="25"/>
      <c r="F887" s="26"/>
      <c r="G887" s="27"/>
      <c r="H887" s="20"/>
      <c r="I887" s="21"/>
      <c r="J887" s="28"/>
      <c r="K887" s="19"/>
    </row>
    <row r="888" spans="1:11" ht="13.2">
      <c r="A888" s="22"/>
      <c r="B888" s="16"/>
      <c r="C888" s="23"/>
      <c r="D888" s="24"/>
      <c r="E888" s="25"/>
      <c r="F888" s="26"/>
      <c r="G888" s="27"/>
      <c r="H888" s="20"/>
      <c r="I888" s="21"/>
      <c r="J888" s="28"/>
      <c r="K888" s="19"/>
    </row>
    <row r="889" spans="1:11" ht="13.2">
      <c r="A889" s="22"/>
      <c r="B889" s="16"/>
      <c r="C889" s="23"/>
      <c r="D889" s="24"/>
      <c r="E889" s="25"/>
      <c r="F889" s="26"/>
      <c r="G889" s="27"/>
      <c r="H889" s="20"/>
      <c r="I889" s="21"/>
      <c r="J889" s="28"/>
      <c r="K889" s="19"/>
    </row>
    <row r="890" spans="1:11" ht="13.2">
      <c r="A890" s="22"/>
      <c r="B890" s="16"/>
      <c r="C890" s="23"/>
      <c r="D890" s="24"/>
      <c r="E890" s="25"/>
      <c r="F890" s="26"/>
      <c r="G890" s="27"/>
      <c r="H890" s="20"/>
      <c r="I890" s="21"/>
      <c r="J890" s="28"/>
      <c r="K890" s="19"/>
    </row>
    <row r="891" spans="1:11" ht="13.2">
      <c r="A891" s="22"/>
      <c r="B891" s="16"/>
      <c r="C891" s="23"/>
      <c r="D891" s="24"/>
      <c r="E891" s="25"/>
      <c r="F891" s="26"/>
      <c r="G891" s="27"/>
      <c r="H891" s="20"/>
      <c r="I891" s="21"/>
      <c r="J891" s="28"/>
      <c r="K891" s="19"/>
    </row>
    <row r="892" spans="1:11" ht="13.2">
      <c r="A892" s="22"/>
      <c r="B892" s="16"/>
      <c r="C892" s="23"/>
      <c r="D892" s="24"/>
      <c r="E892" s="25"/>
      <c r="F892" s="26"/>
      <c r="G892" s="27"/>
      <c r="H892" s="20"/>
      <c r="I892" s="21"/>
      <c r="J892" s="28"/>
      <c r="K892" s="19"/>
    </row>
    <row r="893" spans="1:11" ht="13.2">
      <c r="A893" s="22"/>
      <c r="B893" s="16"/>
      <c r="C893" s="23"/>
      <c r="D893" s="24"/>
      <c r="E893" s="25"/>
      <c r="F893" s="26"/>
      <c r="G893" s="27"/>
      <c r="H893" s="20"/>
      <c r="I893" s="21"/>
      <c r="J893" s="28"/>
      <c r="K893" s="19"/>
    </row>
    <row r="894" spans="1:11" ht="13.2">
      <c r="A894" s="22"/>
      <c r="B894" s="16"/>
      <c r="C894" s="23"/>
      <c r="D894" s="24"/>
      <c r="E894" s="25"/>
      <c r="F894" s="26"/>
      <c r="G894" s="27"/>
      <c r="H894" s="20"/>
      <c r="I894" s="21"/>
      <c r="J894" s="28"/>
      <c r="K894" s="19"/>
    </row>
    <row r="895" spans="1:11" ht="13.2">
      <c r="A895" s="22"/>
      <c r="B895" s="16"/>
      <c r="C895" s="23"/>
      <c r="D895" s="24"/>
      <c r="E895" s="25"/>
      <c r="F895" s="26"/>
      <c r="G895" s="27"/>
      <c r="H895" s="20"/>
      <c r="I895" s="21"/>
      <c r="J895" s="28"/>
      <c r="K895" s="19"/>
    </row>
    <row r="896" spans="1:11" ht="13.2">
      <c r="A896" s="22"/>
      <c r="B896" s="16"/>
      <c r="C896" s="23"/>
      <c r="D896" s="24"/>
      <c r="E896" s="25"/>
      <c r="F896" s="26"/>
      <c r="G896" s="27"/>
      <c r="H896" s="20"/>
      <c r="I896" s="21"/>
      <c r="J896" s="28"/>
      <c r="K896" s="19"/>
    </row>
    <row r="897" spans="1:11" ht="13.2">
      <c r="A897" s="22"/>
      <c r="B897" s="16"/>
      <c r="C897" s="23"/>
      <c r="D897" s="24"/>
      <c r="E897" s="25"/>
      <c r="F897" s="26"/>
      <c r="G897" s="27"/>
      <c r="H897" s="20"/>
      <c r="I897" s="21"/>
      <c r="J897" s="28"/>
      <c r="K897" s="19"/>
    </row>
    <row r="898" spans="1:11" ht="13.2">
      <c r="A898" s="22"/>
      <c r="B898" s="16"/>
      <c r="C898" s="23"/>
      <c r="D898" s="24"/>
      <c r="E898" s="25"/>
      <c r="F898" s="26"/>
      <c r="G898" s="27"/>
      <c r="H898" s="20"/>
      <c r="I898" s="21"/>
      <c r="J898" s="28"/>
      <c r="K898" s="19"/>
    </row>
    <row r="899" spans="1:11" ht="13.2">
      <c r="A899" s="22"/>
      <c r="B899" s="16"/>
      <c r="C899" s="23"/>
      <c r="D899" s="24"/>
      <c r="E899" s="25"/>
      <c r="F899" s="26"/>
      <c r="G899" s="27"/>
      <c r="H899" s="20"/>
      <c r="I899" s="21"/>
      <c r="J899" s="28"/>
      <c r="K899" s="19"/>
    </row>
    <row r="900" spans="1:11" ht="13.2">
      <c r="A900" s="22"/>
      <c r="B900" s="16"/>
      <c r="C900" s="23"/>
      <c r="D900" s="24"/>
      <c r="E900" s="25"/>
      <c r="F900" s="26"/>
      <c r="G900" s="27"/>
      <c r="H900" s="20"/>
      <c r="I900" s="21"/>
      <c r="J900" s="28"/>
      <c r="K900" s="19"/>
    </row>
    <row r="901" spans="1:11" ht="13.2">
      <c r="A901" s="22"/>
      <c r="B901" s="16"/>
      <c r="C901" s="23"/>
      <c r="D901" s="24"/>
      <c r="E901" s="25"/>
      <c r="F901" s="26"/>
      <c r="G901" s="27"/>
      <c r="H901" s="20"/>
      <c r="I901" s="21"/>
      <c r="J901" s="28"/>
      <c r="K901" s="19"/>
    </row>
    <row r="902" spans="1:11" ht="13.2">
      <c r="A902" s="22"/>
      <c r="B902" s="16"/>
      <c r="C902" s="23"/>
      <c r="D902" s="24"/>
      <c r="E902" s="25"/>
      <c r="F902" s="26"/>
      <c r="G902" s="27"/>
      <c r="H902" s="20"/>
      <c r="I902" s="21"/>
      <c r="J902" s="28"/>
      <c r="K902" s="19"/>
    </row>
    <row r="903" spans="1:11" ht="13.2">
      <c r="A903" s="22"/>
      <c r="B903" s="16"/>
      <c r="C903" s="23"/>
      <c r="D903" s="24"/>
      <c r="E903" s="25"/>
      <c r="F903" s="26"/>
      <c r="G903" s="27"/>
      <c r="H903" s="20"/>
      <c r="I903" s="21"/>
      <c r="J903" s="28"/>
      <c r="K903" s="19"/>
    </row>
    <row r="904" spans="1:11" ht="13.2">
      <c r="A904" s="22"/>
      <c r="B904" s="16"/>
      <c r="C904" s="23"/>
      <c r="D904" s="24"/>
      <c r="E904" s="25"/>
      <c r="F904" s="26"/>
      <c r="G904" s="27"/>
      <c r="H904" s="20"/>
      <c r="I904" s="21"/>
      <c r="J904" s="28"/>
      <c r="K904" s="19"/>
    </row>
    <row r="905" spans="1:11" ht="13.2">
      <c r="A905" s="22"/>
      <c r="B905" s="16"/>
      <c r="C905" s="23"/>
      <c r="D905" s="24"/>
      <c r="E905" s="25"/>
      <c r="F905" s="26"/>
      <c r="G905" s="27"/>
      <c r="H905" s="20"/>
      <c r="I905" s="21"/>
      <c r="J905" s="28"/>
      <c r="K905" s="19"/>
    </row>
    <row r="906" spans="1:11" ht="13.2">
      <c r="A906" s="22"/>
      <c r="B906" s="16"/>
      <c r="C906" s="23"/>
      <c r="D906" s="24"/>
      <c r="E906" s="25"/>
      <c r="F906" s="26"/>
      <c r="G906" s="27"/>
      <c r="H906" s="20"/>
      <c r="I906" s="21"/>
      <c r="J906" s="28"/>
      <c r="K906" s="19"/>
    </row>
    <row r="907" spans="1:11" ht="13.2">
      <c r="A907" s="22"/>
      <c r="B907" s="16"/>
      <c r="C907" s="23"/>
      <c r="D907" s="24"/>
      <c r="E907" s="25"/>
      <c r="F907" s="26"/>
      <c r="G907" s="27"/>
      <c r="H907" s="20"/>
      <c r="I907" s="21"/>
      <c r="J907" s="28"/>
      <c r="K907" s="19"/>
    </row>
    <row r="908" spans="1:11" ht="13.2">
      <c r="A908" s="22"/>
      <c r="B908" s="16"/>
      <c r="C908" s="23"/>
      <c r="D908" s="24"/>
      <c r="E908" s="25"/>
      <c r="F908" s="26"/>
      <c r="G908" s="27"/>
      <c r="H908" s="20"/>
      <c r="I908" s="21"/>
      <c r="J908" s="28"/>
      <c r="K908" s="19"/>
    </row>
    <row r="909" spans="1:11" ht="13.2">
      <c r="A909" s="22"/>
      <c r="B909" s="16"/>
      <c r="C909" s="23"/>
      <c r="D909" s="24"/>
      <c r="E909" s="25"/>
      <c r="F909" s="26"/>
      <c r="G909" s="27"/>
      <c r="H909" s="20"/>
      <c r="I909" s="21"/>
      <c r="J909" s="28"/>
      <c r="K909" s="19"/>
    </row>
    <row r="910" spans="1:11" ht="13.2">
      <c r="A910" s="22"/>
      <c r="B910" s="16"/>
      <c r="C910" s="23"/>
      <c r="D910" s="24"/>
      <c r="E910" s="25"/>
      <c r="F910" s="26"/>
      <c r="G910" s="27"/>
      <c r="H910" s="20"/>
      <c r="I910" s="21"/>
      <c r="J910" s="28"/>
      <c r="K910" s="19"/>
    </row>
    <row r="911" spans="1:11" ht="13.2">
      <c r="A911" s="22"/>
      <c r="B911" s="16"/>
      <c r="C911" s="23"/>
      <c r="D911" s="24"/>
      <c r="E911" s="25"/>
      <c r="F911" s="26"/>
      <c r="G911" s="27"/>
      <c r="H911" s="20"/>
      <c r="I911" s="21"/>
      <c r="J911" s="28"/>
      <c r="K911" s="19"/>
    </row>
    <row r="912" spans="1:11" ht="13.2">
      <c r="A912" s="22"/>
      <c r="B912" s="16"/>
      <c r="C912" s="23"/>
      <c r="D912" s="24"/>
      <c r="E912" s="25"/>
      <c r="F912" s="26"/>
      <c r="G912" s="27"/>
      <c r="H912" s="20"/>
      <c r="I912" s="21"/>
      <c r="J912" s="28"/>
      <c r="K912" s="19"/>
    </row>
    <row r="913" spans="1:11" ht="13.2">
      <c r="A913" s="22"/>
      <c r="B913" s="16"/>
      <c r="C913" s="23"/>
      <c r="D913" s="24"/>
      <c r="E913" s="25"/>
      <c r="F913" s="26"/>
      <c r="G913" s="27"/>
      <c r="H913" s="20"/>
      <c r="I913" s="21"/>
      <c r="J913" s="28"/>
      <c r="K913" s="19"/>
    </row>
    <row r="914" spans="1:11" ht="13.2">
      <c r="A914" s="22"/>
      <c r="B914" s="16"/>
      <c r="C914" s="23"/>
      <c r="D914" s="24"/>
      <c r="E914" s="25"/>
      <c r="F914" s="26"/>
      <c r="G914" s="27"/>
      <c r="H914" s="20"/>
      <c r="I914" s="21"/>
      <c r="J914" s="28"/>
      <c r="K914" s="19"/>
    </row>
    <row r="915" spans="1:11" ht="13.2">
      <c r="A915" s="22"/>
      <c r="B915" s="16"/>
      <c r="C915" s="23"/>
      <c r="D915" s="24"/>
      <c r="E915" s="25"/>
      <c r="F915" s="26"/>
      <c r="G915" s="27"/>
      <c r="H915" s="20"/>
      <c r="I915" s="21"/>
      <c r="J915" s="28"/>
      <c r="K915" s="19"/>
    </row>
    <row r="916" spans="1:11" ht="13.2">
      <c r="A916" s="22"/>
      <c r="B916" s="16"/>
      <c r="C916" s="23"/>
      <c r="D916" s="24"/>
      <c r="E916" s="25"/>
      <c r="F916" s="26"/>
      <c r="G916" s="27"/>
      <c r="H916" s="20"/>
      <c r="I916" s="21"/>
      <c r="J916" s="28"/>
      <c r="K916" s="19"/>
    </row>
    <row r="917" spans="1:11" ht="13.2">
      <c r="A917" s="22"/>
      <c r="B917" s="16"/>
      <c r="C917" s="23"/>
      <c r="D917" s="24"/>
      <c r="E917" s="25"/>
      <c r="F917" s="26"/>
      <c r="G917" s="27"/>
      <c r="H917" s="20"/>
      <c r="I917" s="21"/>
      <c r="J917" s="28"/>
      <c r="K917" s="19"/>
    </row>
    <row r="918" spans="1:11" ht="13.2">
      <c r="A918" s="22"/>
      <c r="B918" s="16"/>
      <c r="C918" s="23"/>
      <c r="D918" s="24"/>
      <c r="E918" s="25"/>
      <c r="F918" s="26"/>
      <c r="G918" s="27"/>
      <c r="H918" s="20"/>
      <c r="I918" s="21"/>
      <c r="J918" s="28"/>
      <c r="K918" s="19"/>
    </row>
    <row r="919" spans="1:11" ht="13.2">
      <c r="A919" s="22"/>
      <c r="B919" s="16"/>
      <c r="C919" s="23"/>
      <c r="D919" s="24"/>
      <c r="E919" s="25"/>
      <c r="F919" s="26"/>
      <c r="G919" s="27"/>
      <c r="H919" s="20"/>
      <c r="I919" s="21"/>
      <c r="J919" s="28"/>
      <c r="K919" s="19"/>
    </row>
    <row r="920" spans="1:11" ht="13.2">
      <c r="A920" s="22"/>
      <c r="B920" s="16"/>
      <c r="C920" s="23"/>
      <c r="D920" s="24"/>
      <c r="E920" s="25"/>
      <c r="F920" s="26"/>
      <c r="G920" s="27"/>
      <c r="H920" s="20"/>
      <c r="I920" s="21"/>
      <c r="J920" s="28"/>
      <c r="K920" s="19"/>
    </row>
    <row r="921" spans="1:11" ht="13.2">
      <c r="A921" s="22"/>
      <c r="B921" s="16"/>
      <c r="C921" s="23"/>
      <c r="D921" s="24"/>
      <c r="E921" s="25"/>
      <c r="F921" s="26"/>
      <c r="G921" s="27"/>
      <c r="H921" s="20"/>
      <c r="I921" s="21"/>
      <c r="J921" s="28"/>
      <c r="K921" s="19"/>
    </row>
    <row r="922" spans="1:11" ht="13.2">
      <c r="A922" s="22"/>
      <c r="B922" s="16"/>
      <c r="C922" s="23"/>
      <c r="D922" s="24"/>
      <c r="E922" s="25"/>
      <c r="F922" s="26"/>
      <c r="G922" s="27"/>
      <c r="H922" s="20"/>
      <c r="I922" s="21"/>
      <c r="J922" s="28"/>
      <c r="K922" s="19"/>
    </row>
    <row r="923" spans="1:11" ht="13.2">
      <c r="A923" s="22"/>
      <c r="B923" s="16"/>
      <c r="C923" s="23"/>
      <c r="D923" s="24"/>
      <c r="E923" s="25"/>
      <c r="F923" s="26"/>
      <c r="G923" s="27"/>
      <c r="H923" s="20"/>
      <c r="I923" s="21"/>
      <c r="J923" s="28"/>
      <c r="K923" s="19"/>
    </row>
    <row r="924" spans="1:11" ht="13.2">
      <c r="A924" s="22"/>
      <c r="B924" s="16"/>
      <c r="C924" s="23"/>
      <c r="D924" s="24"/>
      <c r="E924" s="25"/>
      <c r="F924" s="26"/>
      <c r="G924" s="27"/>
      <c r="H924" s="20"/>
      <c r="I924" s="21"/>
      <c r="J924" s="28"/>
      <c r="K924" s="19"/>
    </row>
    <row r="925" spans="1:11" ht="13.2">
      <c r="A925" s="22"/>
      <c r="B925" s="16"/>
      <c r="C925" s="23"/>
      <c r="D925" s="24"/>
      <c r="E925" s="25"/>
      <c r="F925" s="26"/>
      <c r="G925" s="27"/>
      <c r="H925" s="20"/>
      <c r="I925" s="21"/>
      <c r="J925" s="28"/>
      <c r="K925" s="19"/>
    </row>
    <row r="926" spans="1:11" ht="13.2">
      <c r="A926" s="22"/>
      <c r="B926" s="16"/>
      <c r="C926" s="23"/>
      <c r="D926" s="24"/>
      <c r="E926" s="25"/>
      <c r="F926" s="26"/>
      <c r="G926" s="27"/>
      <c r="H926" s="20"/>
      <c r="I926" s="21"/>
      <c r="J926" s="28"/>
      <c r="K926" s="19"/>
    </row>
    <row r="927" spans="1:11" ht="13.2">
      <c r="A927" s="22"/>
      <c r="B927" s="16"/>
      <c r="C927" s="23"/>
      <c r="D927" s="24"/>
      <c r="E927" s="25"/>
      <c r="F927" s="26"/>
      <c r="G927" s="27"/>
      <c r="H927" s="20"/>
      <c r="I927" s="21"/>
      <c r="J927" s="28"/>
      <c r="K927" s="19"/>
    </row>
    <row r="928" spans="1:11" ht="13.2">
      <c r="A928" s="22"/>
      <c r="B928" s="16"/>
      <c r="C928" s="23"/>
      <c r="D928" s="24"/>
      <c r="E928" s="25"/>
      <c r="F928" s="26"/>
      <c r="G928" s="27"/>
      <c r="H928" s="20"/>
      <c r="I928" s="21"/>
      <c r="J928" s="28"/>
      <c r="K928" s="19"/>
    </row>
    <row r="929" spans="1:11" ht="13.2">
      <c r="A929" s="22"/>
      <c r="B929" s="16"/>
      <c r="C929" s="23"/>
      <c r="D929" s="24"/>
      <c r="E929" s="25"/>
      <c r="F929" s="26"/>
      <c r="G929" s="27"/>
      <c r="H929" s="20"/>
      <c r="I929" s="21"/>
      <c r="J929" s="28"/>
      <c r="K929" s="19"/>
    </row>
    <row r="930" spans="1:11" ht="13.2">
      <c r="A930" s="22"/>
      <c r="B930" s="16"/>
      <c r="C930" s="23"/>
      <c r="D930" s="24"/>
      <c r="E930" s="25"/>
      <c r="F930" s="26"/>
      <c r="G930" s="27"/>
      <c r="H930" s="20"/>
      <c r="I930" s="21"/>
      <c r="J930" s="28"/>
      <c r="K930" s="19"/>
    </row>
    <row r="931" spans="1:11" ht="13.2">
      <c r="A931" s="22"/>
      <c r="B931" s="16"/>
      <c r="C931" s="23"/>
      <c r="D931" s="24"/>
      <c r="E931" s="25"/>
      <c r="F931" s="26"/>
      <c r="G931" s="27"/>
      <c r="H931" s="20"/>
      <c r="I931" s="21"/>
      <c r="J931" s="28"/>
      <c r="K931" s="19"/>
    </row>
    <row r="932" spans="1:11" ht="13.2">
      <c r="A932" s="22"/>
      <c r="B932" s="16"/>
      <c r="C932" s="23"/>
      <c r="D932" s="24"/>
      <c r="E932" s="25"/>
      <c r="F932" s="26"/>
      <c r="G932" s="27"/>
      <c r="H932" s="20"/>
      <c r="I932" s="21"/>
      <c r="J932" s="28"/>
      <c r="K932" s="19"/>
    </row>
    <row r="933" spans="1:11" ht="13.2">
      <c r="A933" s="22"/>
      <c r="B933" s="16"/>
      <c r="C933" s="23"/>
      <c r="D933" s="24"/>
      <c r="E933" s="25"/>
      <c r="F933" s="26"/>
      <c r="G933" s="27"/>
      <c r="H933" s="20"/>
      <c r="I933" s="21"/>
      <c r="J933" s="28"/>
      <c r="K933" s="19"/>
    </row>
    <row r="934" spans="1:11" ht="13.2">
      <c r="A934" s="22"/>
      <c r="B934" s="16"/>
      <c r="C934" s="23"/>
      <c r="D934" s="24"/>
      <c r="E934" s="25"/>
      <c r="F934" s="26"/>
      <c r="G934" s="27"/>
      <c r="H934" s="20"/>
      <c r="I934" s="21"/>
      <c r="J934" s="28"/>
      <c r="K934" s="19"/>
    </row>
    <row r="935" spans="1:11" ht="13.2">
      <c r="A935" s="22"/>
      <c r="B935" s="16"/>
      <c r="C935" s="23"/>
      <c r="D935" s="24"/>
      <c r="E935" s="25"/>
      <c r="F935" s="26"/>
      <c r="G935" s="27"/>
      <c r="H935" s="20"/>
      <c r="I935" s="21"/>
      <c r="J935" s="28"/>
      <c r="K935" s="19"/>
    </row>
    <row r="936" spans="1:11" ht="13.2">
      <c r="A936" s="22"/>
      <c r="B936" s="16"/>
      <c r="C936" s="23"/>
      <c r="D936" s="24"/>
      <c r="E936" s="25"/>
      <c r="F936" s="26"/>
      <c r="G936" s="27"/>
      <c r="H936" s="20"/>
      <c r="I936" s="21"/>
      <c r="J936" s="28"/>
      <c r="K936" s="19"/>
    </row>
    <row r="937" spans="1:11" ht="13.2">
      <c r="A937" s="22"/>
      <c r="B937" s="16"/>
      <c r="C937" s="23"/>
      <c r="D937" s="24"/>
      <c r="E937" s="25"/>
      <c r="F937" s="26"/>
      <c r="G937" s="27"/>
      <c r="H937" s="20"/>
      <c r="I937" s="21"/>
      <c r="J937" s="28"/>
      <c r="K937" s="19"/>
    </row>
    <row r="938" spans="1:11" ht="13.2">
      <c r="A938" s="22"/>
      <c r="B938" s="16"/>
      <c r="C938" s="23"/>
      <c r="D938" s="24"/>
      <c r="E938" s="25"/>
      <c r="F938" s="26"/>
      <c r="G938" s="27"/>
      <c r="H938" s="20"/>
      <c r="I938" s="21"/>
      <c r="J938" s="28"/>
      <c r="K938" s="19"/>
    </row>
    <row r="939" spans="1:11" ht="13.2">
      <c r="A939" s="22"/>
      <c r="B939" s="16"/>
      <c r="C939" s="23"/>
      <c r="D939" s="24"/>
      <c r="E939" s="25"/>
      <c r="F939" s="26"/>
      <c r="G939" s="27"/>
      <c r="H939" s="20"/>
      <c r="I939" s="21"/>
      <c r="J939" s="28"/>
      <c r="K939" s="19"/>
    </row>
    <row r="940" spans="1:11" ht="13.2">
      <c r="A940" s="22"/>
      <c r="B940" s="16"/>
      <c r="C940" s="23"/>
      <c r="D940" s="24"/>
      <c r="E940" s="25"/>
      <c r="F940" s="26"/>
      <c r="G940" s="27"/>
      <c r="H940" s="20"/>
      <c r="I940" s="21"/>
      <c r="J940" s="28"/>
      <c r="K940" s="19"/>
    </row>
    <row r="941" spans="1:11" ht="13.2">
      <c r="A941" s="22"/>
      <c r="B941" s="16"/>
      <c r="C941" s="23"/>
      <c r="D941" s="24"/>
      <c r="E941" s="25"/>
      <c r="F941" s="26"/>
      <c r="G941" s="27"/>
      <c r="H941" s="20"/>
      <c r="I941" s="21"/>
      <c r="J941" s="28"/>
      <c r="K941" s="19"/>
    </row>
    <row r="942" spans="1:11" ht="13.2">
      <c r="A942" s="22"/>
      <c r="B942" s="16"/>
      <c r="C942" s="23"/>
      <c r="D942" s="24"/>
      <c r="E942" s="25"/>
      <c r="F942" s="26"/>
      <c r="G942" s="27"/>
      <c r="H942" s="20"/>
      <c r="I942" s="21"/>
      <c r="J942" s="28"/>
      <c r="K942" s="19"/>
    </row>
    <row r="943" spans="1:11" ht="13.2">
      <c r="A943" s="22"/>
      <c r="B943" s="16"/>
      <c r="C943" s="23"/>
      <c r="D943" s="24"/>
      <c r="E943" s="25"/>
      <c r="F943" s="26"/>
      <c r="G943" s="27"/>
      <c r="H943" s="20"/>
      <c r="I943" s="21"/>
      <c r="J943" s="28"/>
      <c r="K943" s="19"/>
    </row>
    <row r="944" spans="1:11" ht="13.2">
      <c r="A944" s="22"/>
      <c r="B944" s="16"/>
      <c r="C944" s="23"/>
      <c r="D944" s="24"/>
      <c r="E944" s="25"/>
      <c r="F944" s="26"/>
      <c r="G944" s="27"/>
      <c r="H944" s="20"/>
      <c r="I944" s="21"/>
      <c r="J944" s="28"/>
      <c r="K944" s="19"/>
    </row>
    <row r="945" spans="1:11" ht="13.2">
      <c r="A945" s="22"/>
      <c r="B945" s="16"/>
      <c r="C945" s="23"/>
      <c r="D945" s="24"/>
      <c r="E945" s="25"/>
      <c r="F945" s="26"/>
      <c r="G945" s="27"/>
      <c r="H945" s="20"/>
      <c r="I945" s="21"/>
      <c r="J945" s="28"/>
      <c r="K945" s="19"/>
    </row>
    <row r="946" spans="1:11" ht="13.2">
      <c r="A946" s="22"/>
      <c r="B946" s="16"/>
      <c r="C946" s="23"/>
      <c r="D946" s="24"/>
      <c r="E946" s="25"/>
      <c r="F946" s="26"/>
      <c r="G946" s="27"/>
      <c r="H946" s="20"/>
      <c r="I946" s="21"/>
      <c r="J946" s="28"/>
      <c r="K946" s="19"/>
    </row>
    <row r="947" spans="1:11" ht="13.2">
      <c r="A947" s="22"/>
      <c r="B947" s="16"/>
      <c r="C947" s="23"/>
      <c r="D947" s="24"/>
      <c r="E947" s="25"/>
      <c r="F947" s="26"/>
      <c r="G947" s="27"/>
      <c r="H947" s="20"/>
      <c r="I947" s="21"/>
      <c r="J947" s="28"/>
      <c r="K947" s="19"/>
    </row>
    <row r="948" spans="1:11" ht="13.2">
      <c r="A948" s="22"/>
      <c r="B948" s="16"/>
      <c r="C948" s="23"/>
      <c r="D948" s="24"/>
      <c r="E948" s="25"/>
      <c r="F948" s="26"/>
      <c r="G948" s="27"/>
      <c r="H948" s="20"/>
      <c r="I948" s="21"/>
      <c r="J948" s="28"/>
      <c r="K948" s="19"/>
    </row>
    <row r="949" spans="1:11" ht="13.2">
      <c r="A949" s="22"/>
      <c r="B949" s="16"/>
      <c r="C949" s="23"/>
      <c r="D949" s="24"/>
      <c r="E949" s="25"/>
      <c r="F949" s="26"/>
      <c r="G949" s="27"/>
      <c r="H949" s="20"/>
      <c r="I949" s="21"/>
      <c r="J949" s="28"/>
      <c r="K949" s="19"/>
    </row>
    <row r="950" spans="1:11" ht="13.2">
      <c r="A950" s="22"/>
      <c r="B950" s="16"/>
      <c r="C950" s="23"/>
      <c r="D950" s="24"/>
      <c r="E950" s="25"/>
      <c r="F950" s="26"/>
      <c r="G950" s="27"/>
      <c r="H950" s="20"/>
      <c r="I950" s="21"/>
      <c r="J950" s="28"/>
      <c r="K950" s="19"/>
    </row>
    <row r="951" spans="1:11" ht="13.2">
      <c r="A951" s="22"/>
      <c r="B951" s="16"/>
      <c r="C951" s="23"/>
      <c r="D951" s="24"/>
      <c r="E951" s="25"/>
      <c r="F951" s="26"/>
      <c r="G951" s="27"/>
      <c r="H951" s="20"/>
      <c r="I951" s="21"/>
      <c r="J951" s="28"/>
      <c r="K951" s="19"/>
    </row>
    <row r="952" spans="1:11" ht="13.2">
      <c r="A952" s="22"/>
      <c r="B952" s="16"/>
      <c r="C952" s="23"/>
      <c r="D952" s="24"/>
      <c r="E952" s="25"/>
      <c r="F952" s="26"/>
      <c r="G952" s="27"/>
      <c r="H952" s="20"/>
      <c r="I952" s="21"/>
      <c r="J952" s="28"/>
      <c r="K952" s="19"/>
    </row>
    <row r="953" spans="1:11" ht="13.2">
      <c r="A953" s="22"/>
      <c r="B953" s="16"/>
      <c r="C953" s="23"/>
      <c r="D953" s="24"/>
      <c r="E953" s="25"/>
      <c r="F953" s="26"/>
      <c r="G953" s="27"/>
      <c r="H953" s="20"/>
      <c r="I953" s="21"/>
      <c r="J953" s="28"/>
      <c r="K953" s="19"/>
    </row>
    <row r="954" spans="1:11" ht="13.2">
      <c r="A954" s="22"/>
      <c r="B954" s="16"/>
      <c r="C954" s="23"/>
      <c r="D954" s="24"/>
      <c r="E954" s="25"/>
      <c r="F954" s="26"/>
      <c r="G954" s="27"/>
      <c r="H954" s="20"/>
      <c r="I954" s="21"/>
      <c r="J954" s="28"/>
      <c r="K954" s="19"/>
    </row>
    <row r="955" spans="1:11" ht="13.2">
      <c r="A955" s="22"/>
      <c r="B955" s="16"/>
      <c r="C955" s="23"/>
      <c r="D955" s="24"/>
      <c r="E955" s="25"/>
      <c r="F955" s="26"/>
      <c r="G955" s="27"/>
      <c r="H955" s="20"/>
      <c r="I955" s="21"/>
      <c r="J955" s="28"/>
      <c r="K955" s="19"/>
    </row>
    <row r="956" spans="1:11" ht="13.2">
      <c r="A956" s="22"/>
      <c r="B956" s="16"/>
      <c r="C956" s="23"/>
      <c r="D956" s="24"/>
      <c r="E956" s="25"/>
      <c r="F956" s="26"/>
      <c r="G956" s="27"/>
      <c r="H956" s="20"/>
      <c r="I956" s="21"/>
      <c r="J956" s="28"/>
      <c r="K956" s="19"/>
    </row>
    <row r="957" spans="1:11" ht="13.2">
      <c r="A957" s="22"/>
      <c r="B957" s="16"/>
      <c r="C957" s="23"/>
      <c r="D957" s="24"/>
      <c r="E957" s="25"/>
      <c r="F957" s="26"/>
      <c r="G957" s="27"/>
      <c r="H957" s="20"/>
      <c r="I957" s="21"/>
      <c r="J957" s="28"/>
      <c r="K957" s="19"/>
    </row>
    <row r="958" spans="1:11" ht="13.2">
      <c r="A958" s="22"/>
      <c r="B958" s="16"/>
      <c r="C958" s="23"/>
      <c r="D958" s="24"/>
      <c r="E958" s="25"/>
      <c r="F958" s="26"/>
      <c r="G958" s="27"/>
      <c r="H958" s="20"/>
      <c r="I958" s="21"/>
      <c r="J958" s="28"/>
      <c r="K958" s="19"/>
    </row>
    <row r="959" spans="1:11" ht="13.2">
      <c r="A959" s="22"/>
      <c r="B959" s="16"/>
      <c r="C959" s="23"/>
      <c r="D959" s="24"/>
      <c r="E959" s="25"/>
      <c r="F959" s="26"/>
      <c r="G959" s="27"/>
      <c r="H959" s="20"/>
      <c r="I959" s="21"/>
      <c r="J959" s="28"/>
      <c r="K959" s="19"/>
    </row>
    <row r="960" spans="1:11" ht="13.2">
      <c r="A960" s="22"/>
      <c r="B960" s="16"/>
      <c r="C960" s="23"/>
      <c r="D960" s="24"/>
      <c r="E960" s="25"/>
      <c r="F960" s="26"/>
      <c r="G960" s="27"/>
      <c r="H960" s="20"/>
      <c r="I960" s="21"/>
      <c r="J960" s="28"/>
      <c r="K960" s="19"/>
    </row>
    <row r="961" spans="1:11" ht="13.2">
      <c r="A961" s="22"/>
      <c r="B961" s="16"/>
      <c r="C961" s="23"/>
      <c r="D961" s="24"/>
      <c r="E961" s="25"/>
      <c r="F961" s="26"/>
      <c r="G961" s="27"/>
      <c r="H961" s="20"/>
      <c r="I961" s="21"/>
      <c r="J961" s="28"/>
      <c r="K961" s="19"/>
    </row>
    <row r="962" spans="1:11" ht="13.2">
      <c r="A962" s="22"/>
      <c r="B962" s="16"/>
      <c r="C962" s="23"/>
      <c r="D962" s="24"/>
      <c r="E962" s="25"/>
      <c r="F962" s="26"/>
      <c r="G962" s="27"/>
      <c r="H962" s="20"/>
      <c r="I962" s="21"/>
      <c r="J962" s="28"/>
      <c r="K962" s="19"/>
    </row>
    <row r="963" spans="1:11" ht="13.2">
      <c r="A963" s="22"/>
      <c r="B963" s="16"/>
      <c r="C963" s="23"/>
      <c r="D963" s="24"/>
      <c r="E963" s="25"/>
      <c r="F963" s="26"/>
      <c r="G963" s="27"/>
      <c r="H963" s="20"/>
      <c r="I963" s="21"/>
      <c r="J963" s="28"/>
      <c r="K963" s="19"/>
    </row>
    <row r="964" spans="1:11" ht="13.2">
      <c r="A964" s="22"/>
      <c r="B964" s="16"/>
      <c r="C964" s="23"/>
      <c r="D964" s="24"/>
      <c r="E964" s="25"/>
      <c r="F964" s="26"/>
      <c r="G964" s="27"/>
      <c r="H964" s="20"/>
      <c r="I964" s="21"/>
      <c r="J964" s="28"/>
      <c r="K964" s="19"/>
    </row>
    <row r="965" spans="1:11" ht="13.2">
      <c r="A965" s="22"/>
      <c r="B965" s="16"/>
      <c r="C965" s="23"/>
      <c r="D965" s="24"/>
      <c r="E965" s="25"/>
      <c r="F965" s="26"/>
      <c r="G965" s="27"/>
      <c r="H965" s="20"/>
      <c r="I965" s="21"/>
      <c r="J965" s="28"/>
      <c r="K965" s="19"/>
    </row>
    <row r="966" spans="1:11" ht="13.2">
      <c r="A966" s="22"/>
      <c r="B966" s="16"/>
      <c r="C966" s="23"/>
      <c r="D966" s="24"/>
      <c r="E966" s="25"/>
      <c r="F966" s="26"/>
      <c r="G966" s="27"/>
      <c r="H966" s="20"/>
      <c r="I966" s="21"/>
      <c r="J966" s="28"/>
      <c r="K966" s="19"/>
    </row>
    <row r="967" spans="1:11" ht="13.2">
      <c r="A967" s="22"/>
      <c r="B967" s="16"/>
      <c r="C967" s="23"/>
      <c r="D967" s="24"/>
      <c r="E967" s="25"/>
      <c r="F967" s="26"/>
      <c r="G967" s="27"/>
      <c r="H967" s="20"/>
      <c r="I967" s="21"/>
      <c r="J967" s="28"/>
      <c r="K967" s="19"/>
    </row>
    <row r="968" spans="1:11" ht="13.2">
      <c r="A968" s="22"/>
      <c r="B968" s="16"/>
      <c r="C968" s="23"/>
      <c r="D968" s="24"/>
      <c r="E968" s="25"/>
      <c r="F968" s="26"/>
      <c r="G968" s="27"/>
      <c r="H968" s="20"/>
      <c r="I968" s="21"/>
      <c r="J968" s="28"/>
      <c r="K968" s="19"/>
    </row>
    <row r="969" spans="1:11" ht="13.2">
      <c r="A969" s="22"/>
      <c r="B969" s="16"/>
      <c r="C969" s="23"/>
      <c r="D969" s="24"/>
      <c r="E969" s="25"/>
      <c r="F969" s="26"/>
      <c r="G969" s="27"/>
      <c r="H969" s="20"/>
      <c r="I969" s="21"/>
      <c r="J969" s="28"/>
      <c r="K969" s="19"/>
    </row>
    <row r="970" spans="1:11" ht="13.2">
      <c r="A970" s="22"/>
      <c r="B970" s="16"/>
      <c r="C970" s="23"/>
      <c r="D970" s="24"/>
      <c r="E970" s="25"/>
      <c r="F970" s="26"/>
      <c r="G970" s="27"/>
      <c r="H970" s="20"/>
      <c r="I970" s="21"/>
      <c r="J970" s="28"/>
      <c r="K970" s="19"/>
    </row>
    <row r="971" spans="1:11" ht="13.2">
      <c r="A971" s="22"/>
      <c r="B971" s="16"/>
      <c r="C971" s="23"/>
      <c r="D971" s="24"/>
      <c r="E971" s="25"/>
      <c r="F971" s="26"/>
      <c r="G971" s="27"/>
      <c r="H971" s="20"/>
      <c r="I971" s="21"/>
      <c r="J971" s="28"/>
      <c r="K971" s="19"/>
    </row>
    <row r="972" spans="1:11" ht="13.2">
      <c r="A972" s="22"/>
      <c r="B972" s="16"/>
      <c r="C972" s="23"/>
      <c r="D972" s="24"/>
      <c r="E972" s="25"/>
      <c r="F972" s="26"/>
      <c r="G972" s="27"/>
      <c r="H972" s="20"/>
      <c r="I972" s="21"/>
      <c r="J972" s="28"/>
      <c r="K972" s="19"/>
    </row>
    <row r="973" spans="1:11" ht="13.2">
      <c r="A973" s="22"/>
      <c r="B973" s="16"/>
      <c r="C973" s="23"/>
      <c r="D973" s="24"/>
      <c r="E973" s="25"/>
      <c r="F973" s="26"/>
      <c r="G973" s="27"/>
      <c r="H973" s="20"/>
      <c r="I973" s="21"/>
      <c r="J973" s="28"/>
      <c r="K973" s="19"/>
    </row>
    <row r="974" spans="1:11" ht="13.2">
      <c r="A974" s="22"/>
      <c r="B974" s="16"/>
      <c r="C974" s="23"/>
      <c r="D974" s="24"/>
      <c r="E974" s="25"/>
      <c r="F974" s="26"/>
      <c r="G974" s="27"/>
      <c r="H974" s="20"/>
      <c r="I974" s="21"/>
      <c r="J974" s="28"/>
      <c r="K974" s="19"/>
    </row>
    <row r="975" spans="1:11" ht="13.2">
      <c r="A975" s="22"/>
      <c r="B975" s="16"/>
      <c r="C975" s="23"/>
      <c r="D975" s="24"/>
      <c r="E975" s="25"/>
      <c r="F975" s="26"/>
      <c r="G975" s="27"/>
      <c r="H975" s="20"/>
      <c r="I975" s="21"/>
      <c r="J975" s="28"/>
      <c r="K975" s="19"/>
    </row>
    <row r="976" spans="1:11" ht="13.2">
      <c r="A976" s="22"/>
      <c r="B976" s="16"/>
      <c r="C976" s="23"/>
      <c r="D976" s="24"/>
      <c r="E976" s="25"/>
      <c r="F976" s="26"/>
      <c r="G976" s="27"/>
      <c r="H976" s="20"/>
      <c r="I976" s="21"/>
      <c r="J976" s="28"/>
      <c r="K976" s="19"/>
    </row>
    <row r="977" spans="1:11" ht="13.2">
      <c r="A977" s="22"/>
      <c r="B977" s="16"/>
      <c r="C977" s="23"/>
      <c r="D977" s="24"/>
      <c r="E977" s="25"/>
      <c r="F977" s="26"/>
      <c r="G977" s="27"/>
      <c r="H977" s="20"/>
      <c r="I977" s="21"/>
      <c r="J977" s="28"/>
      <c r="K977" s="19"/>
    </row>
    <row r="978" spans="1:11" ht="13.2">
      <c r="A978" s="22"/>
      <c r="B978" s="16"/>
      <c r="C978" s="23"/>
      <c r="D978" s="24"/>
      <c r="E978" s="25"/>
      <c r="F978" s="26"/>
      <c r="G978" s="27"/>
      <c r="H978" s="20"/>
      <c r="I978" s="21"/>
      <c r="J978" s="28"/>
      <c r="K978" s="19"/>
    </row>
    <row r="979" spans="1:11" ht="13.2">
      <c r="A979" s="22"/>
      <c r="B979" s="16"/>
      <c r="C979" s="23"/>
      <c r="D979" s="24"/>
      <c r="E979" s="25"/>
      <c r="F979" s="26"/>
      <c r="G979" s="27"/>
      <c r="H979" s="20"/>
      <c r="I979" s="21"/>
      <c r="J979" s="28"/>
      <c r="K979" s="19"/>
    </row>
    <row r="980" spans="1:11" ht="13.2">
      <c r="A980" s="22"/>
      <c r="B980" s="16"/>
      <c r="C980" s="23"/>
      <c r="D980" s="24"/>
      <c r="E980" s="25"/>
      <c r="F980" s="26"/>
      <c r="G980" s="27"/>
      <c r="H980" s="20"/>
      <c r="I980" s="21"/>
      <c r="J980" s="28"/>
      <c r="K980" s="19"/>
    </row>
    <row r="981" spans="1:11" ht="13.2">
      <c r="A981" s="22"/>
      <c r="B981" s="16"/>
      <c r="C981" s="23"/>
      <c r="D981" s="24"/>
      <c r="E981" s="25"/>
      <c r="F981" s="26"/>
      <c r="G981" s="27"/>
      <c r="H981" s="20"/>
      <c r="I981" s="21"/>
      <c r="J981" s="28"/>
      <c r="K981" s="19"/>
    </row>
    <row r="982" spans="1:11" ht="13.2">
      <c r="A982" s="22"/>
      <c r="B982" s="16"/>
      <c r="C982" s="23"/>
      <c r="D982" s="24"/>
      <c r="E982" s="25"/>
      <c r="F982" s="26"/>
      <c r="G982" s="27"/>
      <c r="H982" s="20"/>
      <c r="I982" s="21"/>
      <c r="J982" s="28"/>
      <c r="K982" s="19"/>
    </row>
    <row r="983" spans="1:11" ht="13.2">
      <c r="A983" s="22"/>
      <c r="B983" s="16"/>
      <c r="C983" s="23"/>
      <c r="D983" s="24"/>
      <c r="E983" s="25"/>
      <c r="F983" s="26"/>
      <c r="G983" s="27"/>
      <c r="H983" s="20"/>
      <c r="I983" s="21"/>
      <c r="J983" s="28"/>
      <c r="K983" s="19"/>
    </row>
    <row r="984" spans="1:11" ht="13.2">
      <c r="A984" s="22"/>
      <c r="B984" s="16"/>
      <c r="C984" s="23"/>
      <c r="D984" s="24"/>
      <c r="E984" s="25"/>
      <c r="F984" s="26"/>
      <c r="G984" s="27"/>
      <c r="H984" s="20"/>
      <c r="I984" s="21"/>
      <c r="J984" s="28"/>
      <c r="K984" s="19"/>
    </row>
    <row r="985" spans="1:11" ht="13.2">
      <c r="A985" s="22"/>
      <c r="B985" s="16"/>
      <c r="C985" s="23"/>
      <c r="D985" s="24"/>
      <c r="E985" s="25"/>
      <c r="F985" s="26"/>
      <c r="G985" s="27"/>
      <c r="H985" s="20"/>
      <c r="I985" s="21"/>
      <c r="J985" s="28"/>
      <c r="K985" s="19"/>
    </row>
    <row r="986" spans="1:11" ht="13.2">
      <c r="A986" s="22"/>
      <c r="B986" s="16"/>
      <c r="C986" s="23"/>
      <c r="D986" s="24"/>
      <c r="E986" s="25"/>
      <c r="F986" s="26"/>
      <c r="G986" s="27"/>
      <c r="H986" s="20"/>
      <c r="I986" s="21"/>
      <c r="J986" s="28"/>
      <c r="K986" s="19"/>
    </row>
    <row r="987" spans="1:11" ht="13.2">
      <c r="A987" s="22"/>
      <c r="B987" s="16"/>
      <c r="C987" s="23"/>
      <c r="D987" s="24"/>
      <c r="E987" s="25"/>
      <c r="F987" s="26"/>
      <c r="G987" s="27"/>
      <c r="H987" s="20"/>
      <c r="I987" s="21"/>
      <c r="J987" s="28"/>
      <c r="K987" s="19"/>
    </row>
    <row r="988" spans="1:11" ht="13.2">
      <c r="A988" s="22"/>
      <c r="B988" s="16"/>
      <c r="C988" s="23"/>
      <c r="D988" s="24"/>
      <c r="E988" s="25"/>
      <c r="F988" s="26"/>
      <c r="G988" s="27"/>
      <c r="H988" s="20"/>
      <c r="I988" s="21"/>
      <c r="J988" s="28"/>
      <c r="K988" s="19"/>
    </row>
    <row r="989" spans="1:11" ht="13.2">
      <c r="A989" s="22"/>
      <c r="B989" s="16"/>
      <c r="C989" s="23"/>
      <c r="D989" s="24"/>
      <c r="E989" s="25"/>
      <c r="F989" s="26"/>
      <c r="G989" s="27"/>
      <c r="H989" s="20"/>
      <c r="I989" s="21"/>
      <c r="J989" s="28"/>
      <c r="K989" s="19"/>
    </row>
    <row r="990" spans="1:11" ht="13.2">
      <c r="A990" s="22"/>
      <c r="B990" s="16"/>
      <c r="C990" s="23"/>
      <c r="D990" s="24"/>
      <c r="E990" s="25"/>
      <c r="F990" s="26"/>
      <c r="G990" s="27"/>
      <c r="H990" s="20"/>
      <c r="I990" s="21"/>
      <c r="J990" s="28"/>
      <c r="K990" s="19"/>
    </row>
    <row r="991" spans="1:11" ht="13.2">
      <c r="A991" s="22"/>
      <c r="B991" s="16"/>
      <c r="C991" s="23"/>
      <c r="D991" s="24"/>
      <c r="E991" s="25"/>
      <c r="F991" s="26"/>
      <c r="G991" s="27"/>
      <c r="H991" s="20"/>
      <c r="I991" s="21"/>
      <c r="J991" s="28"/>
      <c r="K991" s="19"/>
    </row>
    <row r="992" spans="1:11" ht="13.2">
      <c r="A992" s="22"/>
      <c r="B992" s="16"/>
      <c r="C992" s="23"/>
      <c r="D992" s="24"/>
      <c r="E992" s="25"/>
      <c r="F992" s="26"/>
      <c r="G992" s="27"/>
      <c r="H992" s="20"/>
      <c r="I992" s="21"/>
      <c r="J992" s="28"/>
      <c r="K992" s="19"/>
    </row>
    <row r="993" spans="1:11" ht="13.2">
      <c r="A993" s="22"/>
      <c r="B993" s="16"/>
      <c r="C993" s="23"/>
      <c r="D993" s="24"/>
      <c r="E993" s="25"/>
      <c r="F993" s="26"/>
      <c r="G993" s="27"/>
      <c r="H993" s="20"/>
      <c r="I993" s="21"/>
      <c r="J993" s="28"/>
      <c r="K993" s="19"/>
    </row>
    <row r="994" spans="1:11" ht="13.2">
      <c r="A994" s="22"/>
      <c r="B994" s="16"/>
      <c r="C994" s="23"/>
      <c r="D994" s="24"/>
      <c r="E994" s="25"/>
      <c r="F994" s="26"/>
      <c r="G994" s="27"/>
      <c r="H994" s="20"/>
      <c r="I994" s="21"/>
      <c r="J994" s="28"/>
      <c r="K994" s="19"/>
    </row>
    <row r="995" spans="1:11" ht="13.2">
      <c r="A995" s="22"/>
      <c r="B995" s="16"/>
      <c r="C995" s="23"/>
      <c r="D995" s="24"/>
      <c r="E995" s="25"/>
      <c r="F995" s="26"/>
      <c r="G995" s="27"/>
      <c r="H995" s="20"/>
      <c r="I995" s="21"/>
      <c r="J995" s="28"/>
      <c r="K995" s="19"/>
    </row>
    <row r="996" spans="1:11" ht="13.2">
      <c r="A996" s="22"/>
      <c r="B996" s="16"/>
      <c r="C996" s="23"/>
      <c r="D996" s="24"/>
      <c r="E996" s="25"/>
      <c r="F996" s="26"/>
      <c r="G996" s="27"/>
      <c r="H996" s="20"/>
      <c r="I996" s="21"/>
      <c r="J996" s="28"/>
      <c r="K996" s="19"/>
    </row>
    <row r="997" spans="1:11" ht="13.2">
      <c r="A997" s="22"/>
      <c r="B997" s="16"/>
      <c r="C997" s="23"/>
      <c r="D997" s="24"/>
      <c r="E997" s="25"/>
      <c r="F997" s="26"/>
      <c r="G997" s="27"/>
      <c r="H997" s="20"/>
      <c r="I997" s="21"/>
      <c r="J997" s="28"/>
      <c r="K997" s="19"/>
    </row>
    <row r="998" spans="1:11" ht="13.2">
      <c r="A998" s="22"/>
      <c r="B998" s="16"/>
      <c r="C998" s="23"/>
      <c r="D998" s="24"/>
      <c r="E998" s="25"/>
      <c r="F998" s="26"/>
      <c r="G998" s="27"/>
      <c r="H998" s="20"/>
      <c r="I998" s="21"/>
      <c r="J998" s="28"/>
      <c r="K998" s="19"/>
    </row>
    <row r="999" spans="1:11" ht="13.2">
      <c r="A999" s="22"/>
      <c r="B999" s="16"/>
      <c r="C999" s="23"/>
      <c r="D999" s="24"/>
      <c r="E999" s="25"/>
      <c r="F999" s="26"/>
      <c r="G999" s="27"/>
      <c r="H999" s="20"/>
      <c r="I999" s="21"/>
      <c r="J999" s="28"/>
      <c r="K999" s="19"/>
    </row>
    <row r="1000" spans="1:11" ht="13.2">
      <c r="A1000" s="22"/>
      <c r="B1000" s="16"/>
      <c r="C1000" s="23"/>
      <c r="D1000" s="24"/>
      <c r="E1000" s="25"/>
      <c r="F1000" s="26"/>
      <c r="G1000" s="27"/>
      <c r="H1000" s="20"/>
      <c r="I1000" s="21"/>
      <c r="J1000" s="28"/>
      <c r="K1000" s="19"/>
    </row>
    <row r="1001" spans="1:11" ht="13.2">
      <c r="A1001" s="22"/>
      <c r="B1001" s="16"/>
      <c r="C1001" s="23"/>
      <c r="D1001" s="24"/>
      <c r="E1001" s="25"/>
      <c r="F1001" s="26"/>
      <c r="G1001" s="27"/>
      <c r="H1001" s="20"/>
      <c r="I1001" s="21"/>
      <c r="J1001" s="28"/>
      <c r="K1001" s="19"/>
    </row>
    <row r="1002" spans="1:11" ht="13.2">
      <c r="A1002" s="22"/>
      <c r="B1002" s="16"/>
      <c r="C1002" s="23"/>
      <c r="D1002" s="24"/>
      <c r="E1002" s="25"/>
      <c r="F1002" s="26"/>
      <c r="G1002" s="27"/>
      <c r="H1002" s="20"/>
      <c r="I1002" s="21"/>
      <c r="J1002" s="28"/>
      <c r="K1002" s="19"/>
    </row>
    <row r="1003" spans="1:11" ht="13.2">
      <c r="A1003" s="22"/>
      <c r="B1003" s="16"/>
      <c r="C1003" s="23"/>
      <c r="D1003" s="24"/>
      <c r="E1003" s="25"/>
      <c r="F1003" s="26"/>
      <c r="G1003" s="27"/>
      <c r="H1003" s="20"/>
      <c r="I1003" s="21"/>
      <c r="J1003" s="28"/>
      <c r="K1003" s="19"/>
    </row>
    <row r="1004" spans="1:11" ht="13.2">
      <c r="A1004" s="22"/>
      <c r="B1004" s="16"/>
      <c r="C1004" s="23"/>
      <c r="D1004" s="24"/>
      <c r="E1004" s="25"/>
      <c r="F1004" s="26"/>
      <c r="G1004" s="27"/>
      <c r="H1004" s="20"/>
      <c r="I1004" s="21"/>
      <c r="J1004" s="28"/>
      <c r="K1004" s="19"/>
    </row>
    <row r="1005" spans="1:11" ht="13.2">
      <c r="A1005" s="22"/>
      <c r="B1005" s="16"/>
      <c r="C1005" s="23"/>
      <c r="D1005" s="24"/>
      <c r="E1005" s="25"/>
      <c r="F1005" s="26"/>
      <c r="G1005" s="27"/>
      <c r="H1005" s="20"/>
      <c r="I1005" s="21"/>
      <c r="J1005" s="28"/>
      <c r="K1005" s="19"/>
    </row>
    <row r="1006" spans="1:11" ht="13.2">
      <c r="A1006" s="22"/>
      <c r="B1006" s="16"/>
      <c r="C1006" s="23"/>
      <c r="D1006" s="24"/>
      <c r="E1006" s="25"/>
      <c r="F1006" s="26"/>
      <c r="G1006" s="27"/>
      <c r="H1006" s="20"/>
      <c r="I1006" s="21"/>
      <c r="J1006" s="28"/>
      <c r="K1006" s="19"/>
    </row>
    <row r="1007" spans="1:11" ht="13.2">
      <c r="A1007" s="22"/>
      <c r="B1007" s="16"/>
      <c r="C1007" s="23"/>
      <c r="D1007" s="24"/>
      <c r="E1007" s="25"/>
      <c r="F1007" s="26"/>
      <c r="G1007" s="27"/>
      <c r="H1007" s="20"/>
      <c r="I1007" s="21"/>
      <c r="J1007" s="28"/>
      <c r="K1007" s="19"/>
    </row>
    <row r="1008" spans="1:11" ht="13.2">
      <c r="A1008" s="22"/>
      <c r="B1008" s="16"/>
      <c r="C1008" s="23"/>
      <c r="D1008" s="24"/>
      <c r="E1008" s="25"/>
      <c r="F1008" s="26"/>
      <c r="G1008" s="27"/>
      <c r="H1008" s="20"/>
      <c r="I1008" s="21"/>
      <c r="J1008" s="28"/>
      <c r="K1008" s="19"/>
    </row>
    <row r="1009" spans="1:11" ht="13.2">
      <c r="A1009" s="22"/>
      <c r="B1009" s="16"/>
      <c r="C1009" s="23"/>
      <c r="D1009" s="24"/>
      <c r="E1009" s="25"/>
      <c r="F1009" s="26"/>
      <c r="G1009" s="27"/>
      <c r="H1009" s="20"/>
      <c r="I1009" s="21"/>
      <c r="J1009" s="28"/>
      <c r="K1009" s="19"/>
    </row>
    <row r="1010" spans="1:11" ht="13.2">
      <c r="A1010" s="22"/>
      <c r="B1010" s="16"/>
      <c r="C1010" s="23"/>
      <c r="D1010" s="24"/>
      <c r="E1010" s="25"/>
      <c r="F1010" s="26"/>
      <c r="G1010" s="27"/>
      <c r="H1010" s="20"/>
      <c r="I1010" s="21"/>
      <c r="J1010" s="28"/>
      <c r="K1010" s="19"/>
    </row>
    <row r="1011" spans="1:11" ht="13.2">
      <c r="A1011" s="22"/>
      <c r="B1011" s="16"/>
      <c r="C1011" s="23"/>
      <c r="D1011" s="24"/>
      <c r="E1011" s="25"/>
      <c r="F1011" s="26"/>
      <c r="G1011" s="27"/>
      <c r="H1011" s="20"/>
      <c r="I1011" s="21"/>
      <c r="J1011" s="28"/>
      <c r="K1011" s="19"/>
    </row>
    <row r="1012" spans="1:11" ht="13.2">
      <c r="A1012" s="22"/>
      <c r="B1012" s="16"/>
      <c r="C1012" s="23"/>
      <c r="D1012" s="24"/>
      <c r="E1012" s="25"/>
      <c r="F1012" s="26"/>
      <c r="G1012" s="27"/>
      <c r="H1012" s="20"/>
      <c r="I1012" s="21"/>
      <c r="J1012" s="28"/>
      <c r="K1012" s="19"/>
    </row>
    <row r="1013" spans="1:11" ht="13.2">
      <c r="A1013" s="22"/>
      <c r="B1013" s="16"/>
      <c r="C1013" s="23"/>
      <c r="D1013" s="24"/>
      <c r="E1013" s="25"/>
      <c r="F1013" s="26"/>
      <c r="G1013" s="27"/>
      <c r="H1013" s="20"/>
      <c r="I1013" s="21"/>
      <c r="J1013" s="28"/>
      <c r="K1013" s="19"/>
    </row>
    <row r="1014" spans="1:11" ht="13.2">
      <c r="A1014" s="22"/>
      <c r="B1014" s="16"/>
      <c r="C1014" s="23"/>
      <c r="D1014" s="24"/>
      <c r="E1014" s="25"/>
      <c r="F1014" s="26"/>
      <c r="G1014" s="27"/>
      <c r="H1014" s="20"/>
      <c r="I1014" s="21"/>
      <c r="J1014" s="28"/>
      <c r="K1014" s="19"/>
    </row>
    <row r="1015" spans="1:11" ht="13.2">
      <c r="A1015" s="22"/>
      <c r="B1015" s="16"/>
      <c r="C1015" s="23"/>
      <c r="D1015" s="24"/>
      <c r="E1015" s="25"/>
      <c r="F1015" s="26"/>
      <c r="G1015" s="27"/>
      <c r="H1015" s="20"/>
      <c r="I1015" s="21"/>
      <c r="J1015" s="28"/>
      <c r="K1015" s="19"/>
    </row>
    <row r="1016" spans="1:11" ht="13.2">
      <c r="A1016" s="22"/>
      <c r="B1016" s="16"/>
      <c r="C1016" s="23"/>
      <c r="D1016" s="24"/>
      <c r="E1016" s="25"/>
      <c r="F1016" s="26"/>
      <c r="G1016" s="27"/>
      <c r="H1016" s="20"/>
      <c r="I1016" s="21"/>
      <c r="J1016" s="28"/>
      <c r="K1016" s="19"/>
    </row>
    <row r="1017" spans="1:11" ht="13.2">
      <c r="A1017" s="22"/>
      <c r="B1017" s="16"/>
      <c r="C1017" s="23"/>
      <c r="D1017" s="24"/>
      <c r="E1017" s="25"/>
      <c r="F1017" s="26"/>
      <c r="G1017" s="27"/>
      <c r="H1017" s="20"/>
      <c r="I1017" s="21"/>
      <c r="J1017" s="28"/>
      <c r="K1017" s="19"/>
    </row>
    <row r="1018" spans="1:11" ht="13.2">
      <c r="A1018" s="22"/>
      <c r="B1018" s="16"/>
      <c r="C1018" s="23"/>
      <c r="D1018" s="24"/>
      <c r="E1018" s="25"/>
      <c r="F1018" s="26"/>
      <c r="G1018" s="27"/>
      <c r="H1018" s="20"/>
      <c r="I1018" s="21"/>
      <c r="J1018" s="28"/>
      <c r="K1018" s="19"/>
    </row>
    <row r="1019" spans="1:11" ht="13.2">
      <c r="A1019" s="22"/>
      <c r="B1019" s="16"/>
      <c r="C1019" s="23"/>
      <c r="D1019" s="24"/>
      <c r="E1019" s="25"/>
      <c r="F1019" s="26"/>
      <c r="G1019" s="27"/>
      <c r="H1019" s="20"/>
      <c r="I1019" s="21"/>
      <c r="J1019" s="28"/>
      <c r="K1019" s="19"/>
    </row>
    <row r="1020" spans="1:11" ht="13.2">
      <c r="A1020" s="22"/>
      <c r="B1020" s="16"/>
      <c r="C1020" s="23"/>
      <c r="D1020" s="24"/>
      <c r="E1020" s="25"/>
      <c r="F1020" s="26"/>
      <c r="G1020" s="27"/>
      <c r="H1020" s="20"/>
      <c r="I1020" s="21"/>
      <c r="J1020" s="28"/>
      <c r="K1020" s="19"/>
    </row>
    <row r="1021" spans="1:11" ht="13.2">
      <c r="A1021" s="22"/>
      <c r="B1021" s="16"/>
      <c r="C1021" s="23"/>
      <c r="D1021" s="24"/>
      <c r="E1021" s="25"/>
      <c r="F1021" s="26"/>
      <c r="G1021" s="27"/>
      <c r="H1021" s="20"/>
      <c r="I1021" s="21"/>
      <c r="J1021" s="28"/>
      <c r="K1021" s="19"/>
    </row>
    <row r="1022" spans="1:11" ht="13.2">
      <c r="A1022" s="22"/>
      <c r="B1022" s="16"/>
      <c r="C1022" s="23"/>
      <c r="D1022" s="24"/>
      <c r="E1022" s="25"/>
      <c r="F1022" s="26"/>
      <c r="G1022" s="27"/>
      <c r="H1022" s="20"/>
      <c r="I1022" s="21"/>
      <c r="J1022" s="28"/>
      <c r="K1022" s="19"/>
    </row>
    <row r="1023" spans="1:11" ht="13.2">
      <c r="A1023" s="22"/>
      <c r="B1023" s="16"/>
      <c r="C1023" s="23"/>
      <c r="D1023" s="24"/>
      <c r="E1023" s="25"/>
      <c r="F1023" s="26"/>
      <c r="G1023" s="27"/>
      <c r="H1023" s="20"/>
      <c r="I1023" s="21"/>
      <c r="J1023" s="28"/>
      <c r="K1023" s="19"/>
    </row>
    <row r="1024" spans="1:11" ht="13.2">
      <c r="A1024" s="22"/>
      <c r="B1024" s="16"/>
      <c r="C1024" s="23"/>
      <c r="D1024" s="24"/>
      <c r="E1024" s="25"/>
      <c r="F1024" s="26"/>
      <c r="G1024" s="27"/>
      <c r="H1024" s="20"/>
      <c r="I1024" s="21"/>
      <c r="J1024" s="28"/>
      <c r="K1024" s="19"/>
    </row>
    <row r="1025" spans="1:11" ht="13.2">
      <c r="A1025" s="22"/>
      <c r="B1025" s="16"/>
      <c r="C1025" s="23"/>
      <c r="D1025" s="24"/>
      <c r="E1025" s="25"/>
      <c r="F1025" s="26"/>
      <c r="G1025" s="27"/>
      <c r="H1025" s="20"/>
      <c r="I1025" s="21"/>
      <c r="J1025" s="28"/>
      <c r="K1025" s="19"/>
    </row>
    <row r="1026" spans="1:11" ht="13.2">
      <c r="A1026" s="22"/>
      <c r="B1026" s="16"/>
      <c r="C1026" s="23"/>
      <c r="D1026" s="24"/>
      <c r="E1026" s="25"/>
      <c r="F1026" s="26"/>
      <c r="G1026" s="27"/>
      <c r="H1026" s="20"/>
      <c r="I1026" s="21"/>
      <c r="J1026" s="28"/>
      <c r="K1026" s="19"/>
    </row>
    <row r="1027" spans="1:11" ht="13.2">
      <c r="A1027" s="22"/>
      <c r="B1027" s="16"/>
      <c r="C1027" s="23"/>
      <c r="D1027" s="24"/>
      <c r="E1027" s="25"/>
      <c r="F1027" s="26"/>
      <c r="G1027" s="27"/>
      <c r="H1027" s="20"/>
      <c r="I1027" s="21"/>
      <c r="J1027" s="28"/>
      <c r="K1027" s="19"/>
    </row>
    <row r="1028" spans="1:11" ht="13.2">
      <c r="A1028" s="22"/>
      <c r="B1028" s="16"/>
      <c r="C1028" s="23"/>
      <c r="D1028" s="24"/>
      <c r="E1028" s="25"/>
      <c r="F1028" s="26"/>
      <c r="G1028" s="27"/>
      <c r="H1028" s="20"/>
      <c r="I1028" s="21"/>
      <c r="J1028" s="28"/>
      <c r="K1028" s="19"/>
    </row>
    <row r="1029" spans="1:11" ht="13.2">
      <c r="A1029" s="22"/>
      <c r="B1029" s="16"/>
      <c r="C1029" s="23"/>
      <c r="D1029" s="24"/>
      <c r="E1029" s="25"/>
      <c r="F1029" s="26"/>
      <c r="G1029" s="27"/>
      <c r="H1029" s="20"/>
      <c r="I1029" s="21"/>
      <c r="J1029" s="28"/>
      <c r="K1029" s="19"/>
    </row>
    <row r="1030" spans="1:11" ht="13.2">
      <c r="A1030" s="22"/>
      <c r="B1030" s="16"/>
      <c r="C1030" s="23"/>
      <c r="D1030" s="24"/>
      <c r="E1030" s="25"/>
      <c r="F1030" s="26"/>
      <c r="G1030" s="27"/>
      <c r="H1030" s="20"/>
      <c r="I1030" s="21"/>
      <c r="J1030" s="28"/>
      <c r="K1030" s="19"/>
    </row>
    <row r="1031" spans="1:11" ht="13.2">
      <c r="A1031" s="22"/>
      <c r="B1031" s="16"/>
      <c r="C1031" s="23"/>
      <c r="D1031" s="24"/>
      <c r="E1031" s="25"/>
      <c r="F1031" s="26"/>
      <c r="G1031" s="27"/>
      <c r="H1031" s="20"/>
      <c r="I1031" s="21"/>
      <c r="J1031" s="28"/>
      <c r="K1031" s="19"/>
    </row>
    <row r="1032" spans="1:11" ht="13.2">
      <c r="A1032" s="22"/>
      <c r="B1032" s="16"/>
      <c r="C1032" s="23"/>
      <c r="D1032" s="24"/>
      <c r="E1032" s="25"/>
      <c r="F1032" s="26"/>
      <c r="G1032" s="27"/>
      <c r="H1032" s="20"/>
      <c r="I1032" s="21"/>
      <c r="J1032" s="28"/>
      <c r="K1032" s="19"/>
    </row>
    <row r="1033" spans="1:11" ht="13.2">
      <c r="A1033" s="22"/>
      <c r="B1033" s="16"/>
      <c r="C1033" s="23"/>
      <c r="D1033" s="24"/>
      <c r="E1033" s="25"/>
      <c r="F1033" s="26"/>
      <c r="G1033" s="27"/>
      <c r="H1033" s="20"/>
      <c r="I1033" s="21"/>
      <c r="J1033" s="28"/>
      <c r="K1033" s="19"/>
    </row>
    <row r="1034" spans="1:11" ht="13.2">
      <c r="A1034" s="22"/>
      <c r="B1034" s="16"/>
      <c r="C1034" s="23"/>
      <c r="D1034" s="24"/>
      <c r="E1034" s="25"/>
      <c r="F1034" s="26"/>
      <c r="G1034" s="27"/>
      <c r="H1034" s="20"/>
      <c r="I1034" s="21"/>
      <c r="J1034" s="28"/>
      <c r="K1034" s="19"/>
    </row>
    <row r="1035" spans="1:11" ht="13.2">
      <c r="A1035" s="22"/>
      <c r="B1035" s="16"/>
      <c r="C1035" s="23"/>
      <c r="D1035" s="24"/>
      <c r="E1035" s="25"/>
      <c r="F1035" s="26"/>
      <c r="G1035" s="27"/>
      <c r="H1035" s="20"/>
      <c r="I1035" s="21"/>
      <c r="J1035" s="28"/>
      <c r="K1035" s="19"/>
    </row>
    <row r="1036" spans="1:11" ht="13.2">
      <c r="A1036" s="22"/>
      <c r="B1036" s="16"/>
      <c r="C1036" s="23"/>
      <c r="D1036" s="24"/>
      <c r="E1036" s="25"/>
      <c r="F1036" s="26"/>
      <c r="G1036" s="27"/>
      <c r="H1036" s="20"/>
      <c r="I1036" s="21"/>
      <c r="J1036" s="28"/>
      <c r="K1036" s="19"/>
    </row>
    <row r="1037" spans="1:11" ht="13.2">
      <c r="A1037" s="22"/>
      <c r="B1037" s="16"/>
      <c r="C1037" s="23"/>
      <c r="D1037" s="24"/>
      <c r="E1037" s="25"/>
      <c r="F1037" s="26"/>
      <c r="G1037" s="27"/>
      <c r="H1037" s="20"/>
      <c r="I1037" s="21"/>
      <c r="J1037" s="28"/>
      <c r="K1037" s="19"/>
    </row>
    <row r="1038" spans="1:11" ht="13.2">
      <c r="A1038" s="22"/>
      <c r="B1038" s="16"/>
      <c r="C1038" s="23"/>
      <c r="D1038" s="24"/>
      <c r="E1038" s="25"/>
      <c r="F1038" s="26"/>
      <c r="G1038" s="27"/>
      <c r="H1038" s="20"/>
      <c r="I1038" s="21"/>
      <c r="J1038" s="28"/>
      <c r="K1038" s="19"/>
    </row>
    <row r="1039" spans="1:11" ht="13.2">
      <c r="A1039" s="22"/>
      <c r="B1039" s="16"/>
      <c r="C1039" s="23"/>
      <c r="D1039" s="24"/>
      <c r="E1039" s="25"/>
      <c r="F1039" s="26"/>
      <c r="G1039" s="27"/>
      <c r="H1039" s="20"/>
      <c r="I1039" s="21"/>
      <c r="J1039" s="28"/>
      <c r="K1039" s="19"/>
    </row>
    <row r="1040" spans="1:11" ht="13.2">
      <c r="A1040" s="22"/>
      <c r="B1040" s="16"/>
      <c r="C1040" s="23"/>
      <c r="D1040" s="24"/>
      <c r="E1040" s="25"/>
      <c r="F1040" s="26"/>
      <c r="G1040" s="27"/>
      <c r="H1040" s="20"/>
      <c r="I1040" s="21"/>
      <c r="J1040" s="28"/>
      <c r="K1040" s="19"/>
    </row>
    <row r="1041" spans="1:11" ht="13.2">
      <c r="A1041" s="22"/>
      <c r="B1041" s="16"/>
      <c r="C1041" s="23"/>
      <c r="D1041" s="24"/>
      <c r="E1041" s="25"/>
      <c r="F1041" s="26"/>
      <c r="G1041" s="27"/>
      <c r="H1041" s="20"/>
      <c r="I1041" s="21"/>
      <c r="J1041" s="28"/>
      <c r="K1041" s="19"/>
    </row>
    <row r="1042" spans="1:11" ht="13.2">
      <c r="A1042" s="22"/>
      <c r="B1042" s="16"/>
      <c r="C1042" s="23"/>
      <c r="D1042" s="24"/>
      <c r="E1042" s="25"/>
      <c r="F1042" s="26"/>
      <c r="G1042" s="27"/>
      <c r="H1042" s="20"/>
      <c r="I1042" s="21"/>
      <c r="J1042" s="28"/>
      <c r="K1042" s="19"/>
    </row>
    <row r="1043" spans="1:11" ht="13.2">
      <c r="A1043" s="22"/>
      <c r="B1043" s="16"/>
      <c r="C1043" s="23"/>
      <c r="D1043" s="24"/>
      <c r="E1043" s="25"/>
      <c r="F1043" s="26"/>
      <c r="G1043" s="27"/>
      <c r="H1043" s="20"/>
      <c r="I1043" s="21"/>
      <c r="J1043" s="28"/>
      <c r="K1043" s="19"/>
    </row>
    <row r="1044" spans="1:11" ht="13.2">
      <c r="A1044" s="22"/>
      <c r="B1044" s="16"/>
      <c r="C1044" s="23"/>
      <c r="D1044" s="24"/>
      <c r="E1044" s="25"/>
      <c r="F1044" s="26"/>
      <c r="G1044" s="27"/>
      <c r="H1044" s="20"/>
      <c r="I1044" s="21"/>
      <c r="J1044" s="28"/>
      <c r="K1044" s="19"/>
    </row>
    <row r="1045" spans="1:11" ht="13.2">
      <c r="A1045" s="22"/>
      <c r="B1045" s="16"/>
      <c r="C1045" s="23"/>
      <c r="D1045" s="24"/>
      <c r="E1045" s="25"/>
      <c r="F1045" s="26"/>
      <c r="G1045" s="27"/>
      <c r="H1045" s="20"/>
      <c r="I1045" s="21"/>
      <c r="J1045" s="28"/>
      <c r="K1045" s="19"/>
    </row>
    <row r="1046" spans="1:11" ht="13.2">
      <c r="A1046" s="22"/>
      <c r="B1046" s="16"/>
      <c r="C1046" s="23"/>
      <c r="D1046" s="24"/>
      <c r="E1046" s="25"/>
      <c r="F1046" s="26"/>
      <c r="G1046" s="27"/>
      <c r="H1046" s="20"/>
      <c r="I1046" s="21"/>
      <c r="J1046" s="28"/>
      <c r="K1046" s="19"/>
    </row>
    <row r="1047" spans="1:11" ht="13.2">
      <c r="A1047" s="22"/>
      <c r="B1047" s="16"/>
      <c r="C1047" s="23"/>
      <c r="D1047" s="24"/>
      <c r="E1047" s="25"/>
      <c r="F1047" s="26"/>
      <c r="G1047" s="27"/>
      <c r="H1047" s="20"/>
      <c r="I1047" s="21"/>
      <c r="J1047" s="28"/>
      <c r="K1047" s="19"/>
    </row>
    <row r="1048" spans="1:11" ht="13.2">
      <c r="A1048" s="22"/>
      <c r="B1048" s="16"/>
      <c r="C1048" s="23"/>
      <c r="D1048" s="24"/>
      <c r="E1048" s="25"/>
      <c r="F1048" s="26"/>
      <c r="G1048" s="27"/>
      <c r="H1048" s="20"/>
      <c r="I1048" s="21"/>
      <c r="J1048" s="28"/>
      <c r="K1048" s="19"/>
    </row>
    <row r="1049" spans="1:11" ht="13.2">
      <c r="A1049" s="22"/>
      <c r="B1049" s="16"/>
      <c r="C1049" s="23"/>
      <c r="D1049" s="24"/>
      <c r="E1049" s="25"/>
      <c r="F1049" s="26"/>
      <c r="G1049" s="27"/>
      <c r="H1049" s="20"/>
      <c r="I1049" s="21"/>
      <c r="J1049" s="28"/>
      <c r="K1049" s="19"/>
    </row>
    <row r="1050" spans="1:11" ht="13.2">
      <c r="A1050" s="22"/>
      <c r="B1050" s="16"/>
      <c r="C1050" s="23"/>
      <c r="D1050" s="24"/>
      <c r="E1050" s="25"/>
      <c r="F1050" s="26"/>
      <c r="G1050" s="27"/>
      <c r="H1050" s="20"/>
      <c r="I1050" s="21"/>
      <c r="J1050" s="28"/>
      <c r="K1050" s="19"/>
    </row>
    <row r="1051" spans="1:11" ht="13.2">
      <c r="A1051" s="22"/>
      <c r="B1051" s="16"/>
      <c r="C1051" s="23"/>
      <c r="D1051" s="24"/>
      <c r="E1051" s="25"/>
      <c r="F1051" s="26"/>
      <c r="G1051" s="27"/>
      <c r="H1051" s="20"/>
      <c r="I1051" s="21"/>
      <c r="J1051" s="28"/>
      <c r="K1051" s="19"/>
    </row>
    <row r="1052" spans="1:11" ht="13.2">
      <c r="A1052" s="22"/>
      <c r="B1052" s="16"/>
      <c r="C1052" s="23"/>
      <c r="D1052" s="24"/>
      <c r="E1052" s="25"/>
      <c r="F1052" s="26"/>
      <c r="G1052" s="27"/>
      <c r="H1052" s="20"/>
      <c r="I1052" s="21"/>
      <c r="J1052" s="28"/>
      <c r="K1052" s="19"/>
    </row>
    <row r="1053" spans="1:11" ht="13.2">
      <c r="A1053" s="22"/>
      <c r="B1053" s="16"/>
      <c r="C1053" s="23"/>
      <c r="D1053" s="24"/>
      <c r="E1053" s="25"/>
      <c r="F1053" s="26"/>
      <c r="G1053" s="27"/>
      <c r="H1053" s="20"/>
      <c r="I1053" s="21"/>
      <c r="J1053" s="28"/>
      <c r="K1053" s="19"/>
    </row>
    <row r="1054" spans="1:11" ht="13.2">
      <c r="A1054" s="22"/>
      <c r="B1054" s="16"/>
      <c r="C1054" s="23"/>
      <c r="D1054" s="24"/>
      <c r="E1054" s="25"/>
      <c r="F1054" s="26"/>
      <c r="G1054" s="27"/>
      <c r="H1054" s="20"/>
      <c r="I1054" s="21"/>
      <c r="J1054" s="28"/>
      <c r="K1054" s="19"/>
    </row>
    <row r="1055" spans="1:11" ht="13.2">
      <c r="A1055" s="22"/>
      <c r="B1055" s="16"/>
      <c r="C1055" s="23"/>
      <c r="D1055" s="24"/>
      <c r="E1055" s="25"/>
      <c r="F1055" s="26"/>
      <c r="G1055" s="27"/>
      <c r="H1055" s="20"/>
      <c r="I1055" s="21"/>
      <c r="J1055" s="28"/>
      <c r="K1055" s="19"/>
    </row>
    <row r="1056" spans="1:11" ht="13.2">
      <c r="A1056" s="22"/>
      <c r="B1056" s="16"/>
      <c r="C1056" s="23"/>
      <c r="D1056" s="24"/>
      <c r="E1056" s="25"/>
      <c r="F1056" s="26"/>
      <c r="G1056" s="27"/>
      <c r="H1056" s="20"/>
      <c r="I1056" s="21"/>
      <c r="J1056" s="28"/>
      <c r="K1056" s="19"/>
    </row>
    <row r="1057" spans="1:11" ht="13.2">
      <c r="A1057" s="22"/>
      <c r="B1057" s="16"/>
      <c r="C1057" s="23"/>
      <c r="D1057" s="24"/>
      <c r="E1057" s="25"/>
      <c r="F1057" s="26"/>
      <c r="G1057" s="27"/>
      <c r="H1057" s="20"/>
      <c r="I1057" s="21"/>
      <c r="J1057" s="28"/>
      <c r="K1057" s="19"/>
    </row>
    <row r="1058" spans="1:11" ht="13.2">
      <c r="A1058" s="22"/>
      <c r="B1058" s="16"/>
      <c r="C1058" s="23"/>
      <c r="D1058" s="24"/>
      <c r="E1058" s="25"/>
      <c r="F1058" s="26"/>
      <c r="G1058" s="27"/>
      <c r="H1058" s="20"/>
      <c r="I1058" s="21"/>
      <c r="J1058" s="28"/>
      <c r="K1058" s="19"/>
    </row>
    <row r="1059" spans="1:11" ht="13.2">
      <c r="A1059" s="22"/>
      <c r="B1059" s="16"/>
      <c r="C1059" s="23"/>
      <c r="D1059" s="24"/>
      <c r="E1059" s="25"/>
      <c r="F1059" s="26"/>
      <c r="G1059" s="27"/>
      <c r="H1059" s="20"/>
      <c r="I1059" s="21"/>
      <c r="J1059" s="28"/>
      <c r="K1059" s="19"/>
    </row>
    <row r="1060" spans="1:11" ht="13.2">
      <c r="A1060" s="22"/>
      <c r="B1060" s="16"/>
      <c r="C1060" s="23"/>
      <c r="D1060" s="24"/>
      <c r="E1060" s="25"/>
      <c r="F1060" s="26"/>
      <c r="G1060" s="27"/>
      <c r="H1060" s="20"/>
      <c r="I1060" s="21"/>
      <c r="J1060" s="28"/>
      <c r="K1060" s="19"/>
    </row>
    <row r="1061" spans="1:11" ht="13.2">
      <c r="A1061" s="22"/>
      <c r="B1061" s="16"/>
      <c r="C1061" s="23"/>
      <c r="D1061" s="24"/>
      <c r="E1061" s="25"/>
      <c r="F1061" s="26"/>
      <c r="G1061" s="27"/>
      <c r="H1061" s="20"/>
      <c r="I1061" s="21"/>
      <c r="J1061" s="28"/>
      <c r="K1061" s="19"/>
    </row>
    <row r="1062" spans="1:11" ht="13.2">
      <c r="A1062" s="22"/>
      <c r="B1062" s="16"/>
      <c r="C1062" s="23"/>
      <c r="D1062" s="24"/>
      <c r="E1062" s="25"/>
      <c r="F1062" s="26"/>
      <c r="G1062" s="27"/>
      <c r="H1062" s="20"/>
      <c r="I1062" s="21"/>
      <c r="J1062" s="28"/>
      <c r="K1062" s="19"/>
    </row>
    <row r="1063" spans="1:11" ht="13.2">
      <c r="A1063" s="22"/>
      <c r="B1063" s="16"/>
      <c r="C1063" s="23"/>
      <c r="D1063" s="24"/>
      <c r="E1063" s="25"/>
      <c r="F1063" s="26"/>
      <c r="G1063" s="27"/>
      <c r="H1063" s="20"/>
      <c r="I1063" s="21"/>
      <c r="J1063" s="28"/>
      <c r="K1063" s="19"/>
    </row>
    <row r="1064" spans="1:11" ht="13.2">
      <c r="A1064" s="22"/>
      <c r="B1064" s="16"/>
      <c r="C1064" s="23"/>
      <c r="D1064" s="24"/>
      <c r="E1064" s="25"/>
      <c r="F1064" s="26"/>
      <c r="G1064" s="27"/>
      <c r="H1064" s="20"/>
      <c r="I1064" s="21"/>
      <c r="J1064" s="28"/>
      <c r="K1064" s="19"/>
    </row>
    <row r="1065" spans="1:11" ht="13.2">
      <c r="A1065" s="22"/>
      <c r="B1065" s="16"/>
      <c r="C1065" s="23"/>
      <c r="D1065" s="24"/>
      <c r="E1065" s="25"/>
      <c r="F1065" s="26"/>
      <c r="G1065" s="27"/>
      <c r="H1065" s="20"/>
      <c r="I1065" s="21"/>
      <c r="J1065" s="28"/>
      <c r="K1065" s="19"/>
    </row>
    <row r="1066" spans="1:11" ht="13.2">
      <c r="A1066" s="22"/>
      <c r="B1066" s="16"/>
      <c r="C1066" s="23"/>
      <c r="D1066" s="24"/>
      <c r="E1066" s="25"/>
      <c r="F1066" s="26"/>
      <c r="G1066" s="27"/>
      <c r="H1066" s="20"/>
      <c r="I1066" s="21"/>
      <c r="J1066" s="28"/>
      <c r="K1066" s="19"/>
    </row>
    <row r="1067" spans="1:11" ht="13.2">
      <c r="A1067" s="22"/>
      <c r="B1067" s="16"/>
      <c r="C1067" s="23"/>
      <c r="D1067" s="24"/>
      <c r="E1067" s="25"/>
      <c r="F1067" s="26"/>
      <c r="G1067" s="27"/>
      <c r="H1067" s="20"/>
      <c r="I1067" s="21"/>
      <c r="J1067" s="28"/>
      <c r="K1067" s="19"/>
    </row>
    <row r="1068" spans="1:11" ht="13.2">
      <c r="A1068" s="22"/>
      <c r="B1068" s="16"/>
      <c r="C1068" s="23"/>
      <c r="D1068" s="24"/>
      <c r="E1068" s="25"/>
      <c r="F1068" s="26"/>
      <c r="G1068" s="27"/>
      <c r="H1068" s="20"/>
      <c r="I1068" s="21"/>
      <c r="J1068" s="28"/>
      <c r="K1068" s="19"/>
    </row>
    <row r="1069" spans="1:11" ht="13.2">
      <c r="A1069" s="22"/>
      <c r="B1069" s="16"/>
      <c r="C1069" s="23"/>
      <c r="D1069" s="24"/>
      <c r="E1069" s="25"/>
      <c r="F1069" s="26"/>
      <c r="G1069" s="27"/>
      <c r="H1069" s="20"/>
      <c r="I1069" s="21"/>
      <c r="J1069" s="28"/>
      <c r="K1069" s="19"/>
    </row>
    <row r="1070" spans="1:11" ht="13.2">
      <c r="A1070" s="22"/>
      <c r="B1070" s="16"/>
      <c r="C1070" s="23"/>
      <c r="D1070" s="24"/>
      <c r="E1070" s="25"/>
      <c r="F1070" s="26"/>
      <c r="G1070" s="27"/>
      <c r="H1070" s="20"/>
      <c r="I1070" s="21"/>
      <c r="J1070" s="28"/>
      <c r="K1070" s="19"/>
    </row>
    <row r="1071" spans="1:11" ht="13.2">
      <c r="A1071" s="22"/>
      <c r="B1071" s="16"/>
      <c r="C1071" s="23"/>
      <c r="D1071" s="24"/>
      <c r="E1071" s="25"/>
      <c r="F1071" s="26"/>
      <c r="G1071" s="27"/>
      <c r="H1071" s="20"/>
      <c r="I1071" s="21"/>
      <c r="J1071" s="28"/>
      <c r="K1071" s="19"/>
    </row>
    <row r="1072" spans="1:11" ht="13.2">
      <c r="A1072" s="22"/>
      <c r="B1072" s="16"/>
      <c r="C1072" s="23"/>
      <c r="D1072" s="24"/>
      <c r="E1072" s="25"/>
      <c r="F1072" s="26"/>
      <c r="G1072" s="27"/>
      <c r="H1072" s="20"/>
      <c r="I1072" s="21"/>
      <c r="J1072" s="28"/>
      <c r="K1072" s="19"/>
    </row>
    <row r="1073" spans="1:11" ht="13.2">
      <c r="A1073" s="22"/>
      <c r="B1073" s="16"/>
      <c r="C1073" s="23"/>
      <c r="D1073" s="24"/>
      <c r="E1073" s="25"/>
      <c r="F1073" s="26"/>
      <c r="G1073" s="27"/>
      <c r="H1073" s="20"/>
      <c r="I1073" s="21"/>
      <c r="J1073" s="28"/>
      <c r="K1073" s="19"/>
    </row>
    <row r="1074" spans="1:11" ht="13.2">
      <c r="A1074" s="22"/>
      <c r="B1074" s="16"/>
      <c r="C1074" s="23"/>
      <c r="D1074" s="24"/>
      <c r="E1074" s="25"/>
      <c r="F1074" s="26"/>
      <c r="G1074" s="27"/>
      <c r="H1074" s="20"/>
      <c r="I1074" s="21"/>
      <c r="J1074" s="28"/>
      <c r="K1074" s="19"/>
    </row>
    <row r="1075" spans="1:11" ht="13.2">
      <c r="A1075" s="22"/>
      <c r="B1075" s="16"/>
      <c r="C1075" s="23"/>
      <c r="D1075" s="24"/>
      <c r="E1075" s="25"/>
      <c r="F1075" s="26"/>
      <c r="G1075" s="27"/>
      <c r="H1075" s="20"/>
      <c r="I1075" s="21"/>
      <c r="J1075" s="28"/>
      <c r="K1075" s="19"/>
    </row>
    <row r="1076" spans="1:11" ht="13.2">
      <c r="A1076" s="22"/>
      <c r="B1076" s="16"/>
      <c r="C1076" s="23"/>
      <c r="D1076" s="24"/>
      <c r="E1076" s="25"/>
      <c r="F1076" s="26"/>
      <c r="G1076" s="27"/>
      <c r="H1076" s="20"/>
      <c r="I1076" s="21"/>
      <c r="J1076" s="28"/>
      <c r="K1076" s="19"/>
    </row>
    <row r="1077" spans="1:11" ht="13.2">
      <c r="A1077" s="22"/>
      <c r="B1077" s="16"/>
      <c r="C1077" s="23"/>
      <c r="D1077" s="24"/>
      <c r="E1077" s="25"/>
      <c r="F1077" s="26"/>
      <c r="G1077" s="27"/>
      <c r="H1077" s="20"/>
      <c r="I1077" s="21"/>
      <c r="J1077" s="28"/>
      <c r="K1077" s="19"/>
    </row>
    <row r="1078" spans="1:11" ht="13.2">
      <c r="A1078" s="22"/>
      <c r="B1078" s="16"/>
      <c r="C1078" s="23"/>
      <c r="D1078" s="24"/>
      <c r="E1078" s="25"/>
      <c r="F1078" s="26"/>
      <c r="G1078" s="27"/>
      <c r="H1078" s="20"/>
      <c r="I1078" s="21"/>
      <c r="J1078" s="28"/>
      <c r="K1078" s="19"/>
    </row>
    <row r="1079" spans="1:11" ht="13.2">
      <c r="A1079" s="22"/>
      <c r="B1079" s="16"/>
      <c r="C1079" s="23"/>
      <c r="D1079" s="24"/>
      <c r="E1079" s="25"/>
      <c r="F1079" s="26"/>
      <c r="G1079" s="27"/>
      <c r="H1079" s="20"/>
      <c r="I1079" s="21"/>
      <c r="J1079" s="28"/>
      <c r="K1079" s="19"/>
    </row>
    <row r="1080" spans="1:11" ht="13.2">
      <c r="A1080" s="22"/>
      <c r="B1080" s="16"/>
      <c r="C1080" s="23"/>
      <c r="D1080" s="24"/>
      <c r="E1080" s="25"/>
      <c r="F1080" s="26"/>
      <c r="G1080" s="27"/>
      <c r="H1080" s="20"/>
      <c r="I1080" s="21"/>
      <c r="J1080" s="28"/>
      <c r="K1080" s="19"/>
    </row>
    <row r="1081" spans="1:11" ht="13.2">
      <c r="A1081" s="22"/>
      <c r="B1081" s="16"/>
      <c r="C1081" s="23"/>
      <c r="D1081" s="24"/>
      <c r="E1081" s="25"/>
      <c r="F1081" s="26"/>
      <c r="G1081" s="27"/>
      <c r="H1081" s="20"/>
      <c r="I1081" s="21"/>
      <c r="J1081" s="28"/>
      <c r="K1081" s="19"/>
    </row>
    <row r="1082" spans="1:11" ht="13.2">
      <c r="A1082" s="22"/>
      <c r="B1082" s="16"/>
      <c r="C1082" s="23"/>
      <c r="D1082" s="24"/>
      <c r="E1082" s="25"/>
      <c r="F1082" s="26"/>
      <c r="G1082" s="27"/>
      <c r="H1082" s="20"/>
      <c r="I1082" s="21"/>
      <c r="J1082" s="28"/>
      <c r="K1082" s="19"/>
    </row>
    <row r="1083" spans="1:11" ht="13.2">
      <c r="A1083" s="22"/>
      <c r="B1083" s="16"/>
      <c r="C1083" s="23"/>
      <c r="D1083" s="24"/>
      <c r="E1083" s="25"/>
      <c r="F1083" s="26"/>
      <c r="G1083" s="27"/>
      <c r="H1083" s="20"/>
      <c r="I1083" s="21"/>
      <c r="J1083" s="28"/>
      <c r="K1083" s="19"/>
    </row>
    <row r="1084" spans="1:11" ht="13.2">
      <c r="A1084" s="22"/>
      <c r="B1084" s="16"/>
      <c r="C1084" s="23"/>
      <c r="D1084" s="24"/>
      <c r="E1084" s="25"/>
      <c r="F1084" s="26"/>
      <c r="G1084" s="27"/>
      <c r="H1084" s="20"/>
      <c r="I1084" s="21"/>
      <c r="J1084" s="28"/>
      <c r="K1084" s="19"/>
    </row>
    <row r="1085" spans="1:11" ht="13.2">
      <c r="A1085" s="22"/>
      <c r="B1085" s="16"/>
      <c r="C1085" s="23"/>
      <c r="D1085" s="24"/>
      <c r="E1085" s="25"/>
      <c r="F1085" s="26"/>
      <c r="G1085" s="27"/>
      <c r="H1085" s="20"/>
      <c r="I1085" s="21"/>
      <c r="J1085" s="28"/>
      <c r="K1085" s="19"/>
    </row>
    <row r="1086" spans="1:11" ht="13.2">
      <c r="A1086" s="22"/>
      <c r="B1086" s="16"/>
      <c r="C1086" s="23"/>
      <c r="D1086" s="24"/>
      <c r="E1086" s="25"/>
      <c r="F1086" s="26"/>
      <c r="G1086" s="27"/>
      <c r="H1086" s="20"/>
      <c r="I1086" s="21"/>
      <c r="J1086" s="28"/>
      <c r="K1086" s="19"/>
    </row>
    <row r="1087" spans="1:11" ht="13.2">
      <c r="A1087" s="22"/>
      <c r="B1087" s="16"/>
      <c r="C1087" s="23"/>
      <c r="D1087" s="24"/>
      <c r="E1087" s="25"/>
      <c r="F1087" s="26"/>
      <c r="G1087" s="27"/>
      <c r="H1087" s="20"/>
      <c r="I1087" s="21"/>
      <c r="J1087" s="28"/>
      <c r="K1087" s="19"/>
    </row>
    <row r="1088" spans="1:11" ht="13.2">
      <c r="A1088" s="22"/>
      <c r="B1088" s="16"/>
      <c r="C1088" s="23"/>
      <c r="D1088" s="24"/>
      <c r="E1088" s="25"/>
      <c r="F1088" s="26"/>
      <c r="G1088" s="27"/>
      <c r="H1088" s="20"/>
      <c r="I1088" s="21"/>
      <c r="J1088" s="28"/>
      <c r="K1088" s="19"/>
    </row>
    <row r="1089" spans="1:11" ht="13.2">
      <c r="A1089" s="22"/>
      <c r="B1089" s="16"/>
      <c r="C1089" s="23"/>
      <c r="D1089" s="24"/>
      <c r="E1089" s="25"/>
      <c r="F1089" s="26"/>
      <c r="G1089" s="27"/>
      <c r="H1089" s="20"/>
      <c r="I1089" s="21"/>
      <c r="J1089" s="28"/>
      <c r="K1089" s="19"/>
    </row>
    <row r="1090" spans="1:11" ht="13.2">
      <c r="A1090" s="22"/>
      <c r="B1090" s="16"/>
      <c r="C1090" s="23"/>
      <c r="D1090" s="24"/>
      <c r="E1090" s="25"/>
      <c r="F1090" s="26"/>
      <c r="G1090" s="27"/>
      <c r="H1090" s="20"/>
      <c r="I1090" s="21"/>
      <c r="J1090" s="28"/>
      <c r="K1090" s="19"/>
    </row>
    <row r="1091" spans="1:11" ht="13.2">
      <c r="A1091" s="22"/>
      <c r="B1091" s="16"/>
      <c r="C1091" s="23"/>
      <c r="D1091" s="24"/>
      <c r="E1091" s="25"/>
      <c r="F1091" s="26"/>
      <c r="G1091" s="27"/>
      <c r="H1091" s="20"/>
      <c r="I1091" s="21"/>
      <c r="J1091" s="28"/>
      <c r="K1091" s="19"/>
    </row>
    <row r="1092" spans="1:11" ht="13.2">
      <c r="A1092" s="22"/>
      <c r="B1092" s="16"/>
      <c r="C1092" s="23"/>
      <c r="D1092" s="24"/>
      <c r="E1092" s="25"/>
      <c r="F1092" s="26"/>
      <c r="G1092" s="27"/>
      <c r="H1092" s="20"/>
      <c r="I1092" s="21"/>
      <c r="J1092" s="28"/>
      <c r="K1092" s="19"/>
    </row>
    <row r="1093" spans="1:11" ht="13.2">
      <c r="A1093" s="22"/>
      <c r="B1093" s="16"/>
      <c r="C1093" s="23"/>
      <c r="D1093" s="24"/>
      <c r="E1093" s="25"/>
      <c r="F1093" s="26"/>
      <c r="G1093" s="27"/>
      <c r="H1093" s="20"/>
      <c r="I1093" s="21"/>
      <c r="J1093" s="28"/>
      <c r="K1093" s="19"/>
    </row>
    <row r="1094" spans="1:11" ht="13.2">
      <c r="A1094" s="22"/>
      <c r="B1094" s="16"/>
      <c r="C1094" s="23"/>
      <c r="D1094" s="24"/>
      <c r="E1094" s="25"/>
      <c r="F1094" s="26"/>
      <c r="G1094" s="27"/>
      <c r="H1094" s="20"/>
      <c r="I1094" s="21"/>
      <c r="J1094" s="28"/>
      <c r="K1094" s="19"/>
    </row>
    <row r="1095" spans="1:11" ht="13.2">
      <c r="A1095" s="22"/>
      <c r="B1095" s="16"/>
      <c r="C1095" s="23"/>
      <c r="D1095" s="24"/>
      <c r="E1095" s="25"/>
      <c r="F1095" s="26"/>
      <c r="G1095" s="27"/>
      <c r="H1095" s="20"/>
      <c r="I1095" s="21"/>
      <c r="J1095" s="28"/>
      <c r="K1095" s="19"/>
    </row>
    <row r="1096" spans="1:11" ht="13.2">
      <c r="A1096" s="22"/>
      <c r="B1096" s="16"/>
      <c r="C1096" s="23"/>
      <c r="D1096" s="24"/>
      <c r="E1096" s="25"/>
      <c r="F1096" s="26"/>
      <c r="G1096" s="27"/>
      <c r="H1096" s="20"/>
      <c r="I1096" s="21"/>
      <c r="J1096" s="28"/>
      <c r="K1096" s="19"/>
    </row>
    <row r="1097" spans="1:11" ht="13.2">
      <c r="A1097" s="22"/>
      <c r="B1097" s="16"/>
      <c r="C1097" s="23"/>
      <c r="D1097" s="24"/>
      <c r="E1097" s="25"/>
      <c r="F1097" s="26"/>
      <c r="G1097" s="27"/>
      <c r="H1097" s="20"/>
      <c r="I1097" s="21"/>
      <c r="J1097" s="28"/>
      <c r="K1097" s="19"/>
    </row>
    <row r="1098" spans="1:11" ht="13.2">
      <c r="A1098" s="22"/>
      <c r="B1098" s="16"/>
      <c r="C1098" s="23"/>
      <c r="D1098" s="24"/>
      <c r="E1098" s="25"/>
      <c r="F1098" s="26"/>
      <c r="G1098" s="27"/>
      <c r="H1098" s="20"/>
      <c r="I1098" s="21"/>
      <c r="J1098" s="28"/>
      <c r="K1098" s="19"/>
    </row>
    <row r="1099" spans="1:11" ht="13.2">
      <c r="A1099" s="22"/>
      <c r="B1099" s="16"/>
      <c r="C1099" s="23"/>
      <c r="D1099" s="24"/>
      <c r="E1099" s="25"/>
      <c r="F1099" s="26"/>
      <c r="G1099" s="27"/>
      <c r="H1099" s="20"/>
      <c r="I1099" s="21"/>
      <c r="J1099" s="28"/>
      <c r="K1099" s="19"/>
    </row>
    <row r="1100" spans="1:11" ht="13.2">
      <c r="A1100" s="22"/>
      <c r="B1100" s="16"/>
      <c r="C1100" s="23"/>
      <c r="D1100" s="24"/>
      <c r="E1100" s="25"/>
      <c r="F1100" s="26"/>
      <c r="G1100" s="27"/>
      <c r="H1100" s="20"/>
      <c r="I1100" s="21"/>
      <c r="J1100" s="28"/>
      <c r="K1100" s="19"/>
    </row>
    <row r="1101" spans="1:11" ht="13.2">
      <c r="A1101" s="22"/>
      <c r="B1101" s="16"/>
      <c r="C1101" s="23"/>
      <c r="D1101" s="24"/>
      <c r="E1101" s="25"/>
      <c r="F1101" s="26"/>
      <c r="G1101" s="27"/>
      <c r="H1101" s="20"/>
      <c r="I1101" s="21"/>
      <c r="J1101" s="28"/>
      <c r="K1101" s="19"/>
    </row>
    <row r="1102" spans="1:11" ht="13.2">
      <c r="A1102" s="22"/>
      <c r="B1102" s="16"/>
      <c r="C1102" s="23"/>
      <c r="D1102" s="24"/>
      <c r="E1102" s="25"/>
      <c r="F1102" s="26"/>
      <c r="G1102" s="27"/>
      <c r="H1102" s="20"/>
      <c r="I1102" s="21"/>
      <c r="J1102" s="28"/>
      <c r="K1102" s="19"/>
    </row>
    <row r="1103" spans="1:11" ht="13.2">
      <c r="A1103" s="22"/>
      <c r="B1103" s="16"/>
      <c r="C1103" s="23"/>
      <c r="D1103" s="24"/>
      <c r="E1103" s="25"/>
      <c r="F1103" s="26"/>
      <c r="G1103" s="27"/>
      <c r="H1103" s="20"/>
      <c r="I1103" s="21"/>
      <c r="J1103" s="28"/>
      <c r="K1103" s="19"/>
    </row>
    <row r="1104" spans="1:11" ht="13.2">
      <c r="A1104" s="22"/>
      <c r="B1104" s="16"/>
      <c r="C1104" s="23"/>
      <c r="D1104" s="24"/>
      <c r="E1104" s="25"/>
      <c r="F1104" s="26"/>
      <c r="G1104" s="27"/>
      <c r="H1104" s="20"/>
      <c r="I1104" s="21"/>
      <c r="J1104" s="28"/>
      <c r="K1104" s="19"/>
    </row>
    <row r="1105" spans="1:11" ht="13.2">
      <c r="A1105" s="22"/>
      <c r="B1105" s="16"/>
      <c r="C1105" s="23"/>
      <c r="D1105" s="24"/>
      <c r="E1105" s="25"/>
      <c r="F1105" s="26"/>
      <c r="G1105" s="27"/>
      <c r="H1105" s="20"/>
      <c r="I1105" s="21"/>
      <c r="J1105" s="28"/>
      <c r="K1105" s="19"/>
    </row>
    <row r="1106" spans="1:11" ht="13.2">
      <c r="A1106" s="22"/>
      <c r="B1106" s="16"/>
      <c r="C1106" s="23"/>
      <c r="D1106" s="24"/>
      <c r="E1106" s="25"/>
      <c r="F1106" s="26"/>
      <c r="G1106" s="27"/>
      <c r="H1106" s="20"/>
      <c r="I1106" s="21"/>
      <c r="J1106" s="28"/>
      <c r="K1106" s="19"/>
    </row>
    <row r="1107" spans="1:11" ht="13.2">
      <c r="A1107" s="22"/>
      <c r="B1107" s="16"/>
      <c r="C1107" s="23"/>
      <c r="D1107" s="24"/>
      <c r="E1107" s="25"/>
      <c r="F1107" s="26"/>
      <c r="G1107" s="27"/>
      <c r="H1107" s="20"/>
      <c r="I1107" s="21"/>
      <c r="J1107" s="28"/>
      <c r="K1107" s="19"/>
    </row>
    <row r="1108" spans="1:11" ht="13.2">
      <c r="A1108" s="22"/>
      <c r="B1108" s="16"/>
      <c r="C1108" s="23"/>
      <c r="D1108" s="24"/>
      <c r="E1108" s="25"/>
      <c r="F1108" s="26"/>
      <c r="G1108" s="27"/>
      <c r="H1108" s="20"/>
      <c r="I1108" s="21"/>
      <c r="J1108" s="28"/>
      <c r="K1108" s="19"/>
    </row>
    <row r="1109" spans="1:11" ht="13.2">
      <c r="A1109" s="22"/>
      <c r="B1109" s="16"/>
      <c r="C1109" s="23"/>
      <c r="D1109" s="24"/>
      <c r="E1109" s="25"/>
      <c r="F1109" s="26"/>
      <c r="G1109" s="27"/>
      <c r="H1109" s="20"/>
      <c r="I1109" s="21"/>
      <c r="J1109" s="28"/>
      <c r="K1109" s="19"/>
    </row>
    <row r="1110" spans="1:11" ht="13.2">
      <c r="A1110" s="22"/>
      <c r="B1110" s="16"/>
      <c r="C1110" s="23"/>
      <c r="D1110" s="24"/>
      <c r="E1110" s="25"/>
      <c r="F1110" s="26"/>
      <c r="G1110" s="27"/>
      <c r="H1110" s="20"/>
      <c r="I1110" s="21"/>
      <c r="J1110" s="28"/>
      <c r="K1110" s="19"/>
    </row>
    <row r="1111" spans="1:11" ht="13.2">
      <c r="A1111" s="22"/>
      <c r="B1111" s="16"/>
      <c r="C1111" s="23"/>
      <c r="D1111" s="24"/>
      <c r="E1111" s="25"/>
      <c r="F1111" s="26"/>
      <c r="G1111" s="27"/>
      <c r="H1111" s="20"/>
      <c r="I1111" s="21"/>
      <c r="J1111" s="28"/>
      <c r="K1111" s="19"/>
    </row>
    <row r="1112" spans="1:11" ht="13.2">
      <c r="A1112" s="22"/>
      <c r="B1112" s="16"/>
      <c r="C1112" s="23"/>
      <c r="D1112" s="24"/>
      <c r="E1112" s="25"/>
      <c r="F1112" s="26"/>
      <c r="G1112" s="27"/>
      <c r="H1112" s="20"/>
      <c r="I1112" s="21"/>
      <c r="J1112" s="28"/>
      <c r="K1112" s="19"/>
    </row>
    <row r="1113" spans="1:11" ht="13.2">
      <c r="A1113" s="22"/>
      <c r="B1113" s="16"/>
      <c r="C1113" s="23"/>
      <c r="D1113" s="24"/>
      <c r="E1113" s="25"/>
      <c r="F1113" s="26"/>
      <c r="G1113" s="27"/>
      <c r="H1113" s="20"/>
      <c r="I1113" s="21"/>
      <c r="J1113" s="28"/>
      <c r="K1113" s="19"/>
    </row>
    <row r="1114" spans="1:11" ht="13.2">
      <c r="A1114" s="22"/>
      <c r="B1114" s="16"/>
      <c r="C1114" s="23"/>
      <c r="D1114" s="24"/>
      <c r="E1114" s="25"/>
      <c r="F1114" s="26"/>
      <c r="G1114" s="27"/>
      <c r="H1114" s="20"/>
      <c r="I1114" s="21"/>
      <c r="J1114" s="28"/>
      <c r="K1114" s="19"/>
    </row>
    <row r="1115" spans="1:11" ht="13.2">
      <c r="A1115" s="22"/>
      <c r="B1115" s="16"/>
      <c r="C1115" s="23"/>
      <c r="D1115" s="24"/>
      <c r="E1115" s="25"/>
      <c r="F1115" s="26"/>
      <c r="G1115" s="27"/>
      <c r="H1115" s="20"/>
      <c r="I1115" s="21"/>
      <c r="J1115" s="28"/>
      <c r="K1115" s="19"/>
    </row>
    <row r="1116" spans="1:11" ht="13.2">
      <c r="A1116" s="22"/>
      <c r="B1116" s="16"/>
      <c r="C1116" s="23"/>
      <c r="D1116" s="24"/>
      <c r="E1116" s="25"/>
      <c r="F1116" s="26"/>
      <c r="G1116" s="27"/>
      <c r="H1116" s="20"/>
      <c r="I1116" s="21"/>
      <c r="J1116" s="28"/>
      <c r="K1116" s="19"/>
    </row>
    <row r="1117" spans="1:11" ht="13.2">
      <c r="A1117" s="22"/>
      <c r="B1117" s="16"/>
      <c r="C1117" s="23"/>
      <c r="D1117" s="24"/>
      <c r="E1117" s="25"/>
      <c r="F1117" s="26"/>
      <c r="G1117" s="27"/>
      <c r="H1117" s="20"/>
      <c r="I1117" s="21"/>
      <c r="J1117" s="28"/>
      <c r="K1117" s="19"/>
    </row>
    <row r="1118" spans="1:11" ht="13.2">
      <c r="A1118" s="22"/>
      <c r="B1118" s="16"/>
      <c r="C1118" s="23"/>
      <c r="D1118" s="24"/>
      <c r="E1118" s="25"/>
      <c r="F1118" s="26"/>
      <c r="G1118" s="27"/>
      <c r="H1118" s="20"/>
      <c r="I1118" s="21"/>
      <c r="J1118" s="28"/>
      <c r="K1118" s="19"/>
    </row>
    <row r="1119" spans="1:11" ht="13.2">
      <c r="A1119" s="22"/>
      <c r="B1119" s="16"/>
      <c r="C1119" s="23"/>
      <c r="D1119" s="24"/>
      <c r="E1119" s="25"/>
      <c r="F1119" s="26"/>
      <c r="G1119" s="27"/>
      <c r="H1119" s="20"/>
      <c r="I1119" s="21"/>
      <c r="J1119" s="28"/>
      <c r="K1119" s="19"/>
    </row>
    <row r="1120" spans="1:11" ht="13.2">
      <c r="A1120" s="22"/>
      <c r="B1120" s="16"/>
      <c r="C1120" s="23"/>
      <c r="D1120" s="24"/>
      <c r="E1120" s="25"/>
      <c r="F1120" s="26"/>
      <c r="G1120" s="27"/>
      <c r="H1120" s="20"/>
      <c r="I1120" s="21"/>
      <c r="J1120" s="28"/>
      <c r="K1120" s="19"/>
    </row>
    <row r="1121" spans="1:11" ht="13.2">
      <c r="A1121" s="22"/>
      <c r="B1121" s="16"/>
      <c r="C1121" s="23"/>
      <c r="D1121" s="24"/>
      <c r="E1121" s="25"/>
      <c r="F1121" s="26"/>
      <c r="G1121" s="27"/>
      <c r="H1121" s="20"/>
      <c r="I1121" s="21"/>
      <c r="J1121" s="28"/>
      <c r="K1121" s="19"/>
    </row>
    <row r="1122" spans="1:11" ht="13.2">
      <c r="A1122" s="22"/>
      <c r="B1122" s="16"/>
      <c r="C1122" s="23"/>
      <c r="D1122" s="24"/>
      <c r="E1122" s="25"/>
      <c r="F1122" s="26"/>
      <c r="G1122" s="27"/>
      <c r="H1122" s="20"/>
      <c r="I1122" s="21"/>
      <c r="J1122" s="28"/>
      <c r="K1122" s="19"/>
    </row>
    <row r="1123" spans="1:11" ht="13.2">
      <c r="A1123" s="22"/>
      <c r="B1123" s="16"/>
      <c r="C1123" s="23"/>
      <c r="D1123" s="24"/>
      <c r="E1123" s="25"/>
      <c r="F1123" s="26"/>
      <c r="G1123" s="27"/>
      <c r="H1123" s="20"/>
      <c r="I1123" s="21"/>
      <c r="J1123" s="28"/>
      <c r="K1123" s="19"/>
    </row>
    <row r="1124" spans="1:11" ht="13.2">
      <c r="A1124" s="22"/>
      <c r="B1124" s="16"/>
      <c r="C1124" s="23"/>
      <c r="D1124" s="24"/>
      <c r="E1124" s="25"/>
      <c r="F1124" s="26"/>
      <c r="G1124" s="27"/>
      <c r="H1124" s="20"/>
      <c r="I1124" s="21"/>
      <c r="J1124" s="28"/>
      <c r="K1124" s="19"/>
    </row>
    <row r="1125" spans="1:11" ht="13.2">
      <c r="A1125" s="22"/>
      <c r="B1125" s="16"/>
      <c r="C1125" s="23"/>
      <c r="D1125" s="24"/>
      <c r="E1125" s="25"/>
      <c r="F1125" s="26"/>
      <c r="G1125" s="27"/>
      <c r="H1125" s="20"/>
      <c r="I1125" s="21"/>
      <c r="J1125" s="28"/>
      <c r="K1125" s="19"/>
    </row>
    <row r="1126" spans="1:11" ht="13.2">
      <c r="A1126" s="22"/>
      <c r="B1126" s="16"/>
      <c r="C1126" s="23"/>
      <c r="D1126" s="24"/>
      <c r="E1126" s="25"/>
      <c r="F1126" s="26"/>
      <c r="G1126" s="27"/>
      <c r="H1126" s="20"/>
      <c r="I1126" s="21"/>
      <c r="J1126" s="28"/>
      <c r="K1126" s="19"/>
    </row>
    <row r="1127" spans="1:11" ht="13.2">
      <c r="A1127" s="22"/>
      <c r="B1127" s="16"/>
      <c r="C1127" s="23"/>
      <c r="D1127" s="24"/>
      <c r="E1127" s="25"/>
      <c r="F1127" s="26"/>
      <c r="G1127" s="27"/>
      <c r="H1127" s="20"/>
      <c r="I1127" s="21"/>
      <c r="J1127" s="28"/>
      <c r="K1127" s="19"/>
    </row>
    <row r="1128" spans="1:11" ht="13.2">
      <c r="A1128" s="22"/>
      <c r="B1128" s="16"/>
      <c r="C1128" s="23"/>
      <c r="D1128" s="24"/>
      <c r="E1128" s="25"/>
      <c r="F1128" s="26"/>
      <c r="G1128" s="27"/>
      <c r="H1128" s="20"/>
      <c r="I1128" s="21"/>
      <c r="J1128" s="28"/>
      <c r="K1128" s="19"/>
    </row>
    <row r="1129" spans="1:11" ht="13.2">
      <c r="A1129" s="22"/>
      <c r="B1129" s="16"/>
      <c r="C1129" s="23"/>
      <c r="D1129" s="24"/>
      <c r="E1129" s="25"/>
      <c r="F1129" s="26"/>
      <c r="G1129" s="27"/>
      <c r="H1129" s="20"/>
      <c r="I1129" s="21"/>
      <c r="J1129" s="28"/>
      <c r="K1129" s="19"/>
    </row>
    <row r="1130" spans="1:11" ht="13.2">
      <c r="A1130" s="22"/>
      <c r="B1130" s="16"/>
      <c r="C1130" s="23"/>
      <c r="D1130" s="24"/>
      <c r="E1130" s="25"/>
      <c r="F1130" s="26"/>
      <c r="G1130" s="27"/>
      <c r="H1130" s="20"/>
      <c r="I1130" s="21"/>
      <c r="J1130" s="28"/>
      <c r="K1130" s="19"/>
    </row>
    <row r="1131" spans="1:11" ht="13.2">
      <c r="A1131" s="22"/>
      <c r="B1131" s="16"/>
      <c r="C1131" s="23"/>
      <c r="D1131" s="24"/>
      <c r="E1131" s="25"/>
      <c r="F1131" s="26"/>
      <c r="G1131" s="27"/>
      <c r="H1131" s="20"/>
      <c r="I1131" s="21"/>
      <c r="J1131" s="28"/>
      <c r="K1131" s="19"/>
    </row>
    <row r="1132" spans="1:11" ht="13.2">
      <c r="A1132" s="22"/>
      <c r="B1132" s="16"/>
      <c r="C1132" s="23"/>
      <c r="D1132" s="24"/>
      <c r="E1132" s="25"/>
      <c r="F1132" s="26"/>
      <c r="G1132" s="27"/>
      <c r="H1132" s="20"/>
      <c r="I1132" s="21"/>
      <c r="J1132" s="28"/>
      <c r="K1132" s="19"/>
    </row>
    <row r="1133" spans="1:11" ht="13.2">
      <c r="A1133" s="22"/>
      <c r="B1133" s="16"/>
      <c r="C1133" s="23"/>
      <c r="D1133" s="24"/>
      <c r="E1133" s="25"/>
      <c r="F1133" s="26"/>
      <c r="G1133" s="27"/>
      <c r="H1133" s="20"/>
      <c r="I1133" s="21"/>
      <c r="J1133" s="28"/>
      <c r="K1133" s="19"/>
    </row>
    <row r="1134" spans="1:11" ht="13.2">
      <c r="A1134" s="22"/>
      <c r="B1134" s="16"/>
      <c r="C1134" s="23"/>
      <c r="D1134" s="24"/>
      <c r="E1134" s="25"/>
      <c r="F1134" s="26"/>
      <c r="G1134" s="27"/>
      <c r="H1134" s="20"/>
      <c r="I1134" s="21"/>
      <c r="J1134" s="28"/>
      <c r="K1134" s="19"/>
    </row>
    <row r="1135" spans="1:11" ht="13.2">
      <c r="A1135" s="22"/>
      <c r="B1135" s="16"/>
      <c r="C1135" s="23"/>
      <c r="D1135" s="24"/>
      <c r="E1135" s="25"/>
      <c r="F1135" s="26"/>
      <c r="G1135" s="27"/>
      <c r="H1135" s="20"/>
      <c r="I1135" s="21"/>
      <c r="J1135" s="28"/>
      <c r="K1135" s="19"/>
    </row>
    <row r="1136" spans="1:11" ht="13.2">
      <c r="A1136" s="22"/>
      <c r="B1136" s="16"/>
      <c r="C1136" s="23"/>
      <c r="D1136" s="24"/>
      <c r="E1136" s="25"/>
      <c r="F1136" s="26"/>
      <c r="G1136" s="27"/>
      <c r="H1136" s="20"/>
      <c r="I1136" s="21"/>
      <c r="J1136" s="28"/>
      <c r="K1136" s="19"/>
    </row>
    <row r="1137" spans="1:11" ht="13.2">
      <c r="A1137" s="22"/>
      <c r="B1137" s="16"/>
      <c r="C1137" s="23"/>
      <c r="D1137" s="24"/>
      <c r="E1137" s="25"/>
      <c r="F1137" s="26"/>
      <c r="G1137" s="27"/>
      <c r="H1137" s="20"/>
      <c r="I1137" s="21"/>
      <c r="J1137" s="28"/>
      <c r="K1137" s="19"/>
    </row>
    <row r="1138" spans="1:11" ht="13.2">
      <c r="A1138" s="22"/>
      <c r="B1138" s="16"/>
      <c r="C1138" s="23"/>
      <c r="D1138" s="24"/>
      <c r="E1138" s="25"/>
      <c r="F1138" s="26"/>
      <c r="G1138" s="27"/>
      <c r="H1138" s="20"/>
      <c r="I1138" s="21"/>
      <c r="J1138" s="28"/>
      <c r="K1138" s="19"/>
    </row>
    <row r="1139" spans="1:11" ht="13.2">
      <c r="A1139" s="22"/>
      <c r="B1139" s="16"/>
      <c r="C1139" s="23"/>
      <c r="D1139" s="24"/>
      <c r="E1139" s="25"/>
      <c r="F1139" s="26"/>
      <c r="G1139" s="27"/>
      <c r="H1139" s="20"/>
      <c r="I1139" s="21"/>
      <c r="J1139" s="28"/>
      <c r="K1139" s="19"/>
    </row>
    <row r="1140" spans="1:11" ht="13.2">
      <c r="A1140" s="22"/>
      <c r="B1140" s="16"/>
      <c r="C1140" s="23"/>
      <c r="D1140" s="24"/>
      <c r="E1140" s="25"/>
      <c r="F1140" s="26"/>
      <c r="G1140" s="27"/>
      <c r="H1140" s="20"/>
      <c r="I1140" s="21"/>
      <c r="J1140" s="28"/>
      <c r="K1140" s="19"/>
    </row>
    <row r="1141" spans="1:11" ht="13.2">
      <c r="A1141" s="22"/>
      <c r="B1141" s="16"/>
      <c r="C1141" s="23"/>
      <c r="D1141" s="24"/>
      <c r="E1141" s="25"/>
      <c r="F1141" s="26"/>
      <c r="G1141" s="27"/>
      <c r="H1141" s="20"/>
      <c r="I1141" s="21"/>
      <c r="J1141" s="28"/>
      <c r="K1141" s="19"/>
    </row>
    <row r="1142" spans="1:11" ht="13.2">
      <c r="A1142" s="22"/>
      <c r="B1142" s="16"/>
      <c r="C1142" s="23"/>
      <c r="D1142" s="24"/>
      <c r="E1142" s="25"/>
      <c r="F1142" s="26"/>
      <c r="G1142" s="27"/>
      <c r="H1142" s="20"/>
      <c r="I1142" s="21"/>
      <c r="J1142" s="28"/>
      <c r="K1142" s="19"/>
    </row>
    <row r="1143" spans="1:11" ht="13.2">
      <c r="A1143" s="22"/>
      <c r="B1143" s="16"/>
      <c r="C1143" s="23"/>
      <c r="D1143" s="24"/>
      <c r="E1143" s="25"/>
      <c r="F1143" s="26"/>
      <c r="G1143" s="27"/>
      <c r="H1143" s="20"/>
      <c r="I1143" s="21"/>
      <c r="J1143" s="28"/>
      <c r="K1143" s="19"/>
    </row>
    <row r="1144" spans="1:11" ht="13.2">
      <c r="A1144" s="22"/>
      <c r="B1144" s="16"/>
      <c r="C1144" s="23"/>
      <c r="D1144" s="24"/>
      <c r="E1144" s="25"/>
      <c r="F1144" s="26"/>
      <c r="G1144" s="27"/>
      <c r="H1144" s="20"/>
      <c r="I1144" s="21"/>
      <c r="J1144" s="28"/>
      <c r="K1144" s="19"/>
    </row>
    <row r="1145" spans="1:11" ht="13.2">
      <c r="A1145" s="22"/>
      <c r="B1145" s="16"/>
      <c r="C1145" s="23"/>
      <c r="D1145" s="24"/>
      <c r="E1145" s="25"/>
      <c r="F1145" s="26"/>
      <c r="G1145" s="27"/>
      <c r="H1145" s="20"/>
      <c r="I1145" s="21"/>
      <c r="J1145" s="28"/>
      <c r="K1145" s="19"/>
    </row>
    <row r="1146" spans="1:11" ht="13.2">
      <c r="A1146" s="22"/>
      <c r="B1146" s="16"/>
      <c r="C1146" s="23"/>
      <c r="D1146" s="24"/>
      <c r="E1146" s="25"/>
      <c r="F1146" s="26"/>
      <c r="G1146" s="27"/>
      <c r="H1146" s="20"/>
      <c r="I1146" s="21"/>
      <c r="J1146" s="28"/>
      <c r="K1146" s="19"/>
    </row>
    <row r="1147" spans="1:11" ht="13.2">
      <c r="A1147" s="22"/>
      <c r="B1147" s="16"/>
      <c r="C1147" s="23"/>
      <c r="D1147" s="24"/>
      <c r="E1147" s="25"/>
      <c r="F1147" s="26"/>
      <c r="G1147" s="27"/>
      <c r="H1147" s="20"/>
      <c r="I1147" s="21"/>
      <c r="J1147" s="28"/>
      <c r="K1147" s="19"/>
    </row>
    <row r="1148" spans="1:11" ht="13.2">
      <c r="A1148" s="22"/>
      <c r="B1148" s="16"/>
      <c r="C1148" s="23"/>
      <c r="D1148" s="24"/>
      <c r="E1148" s="25"/>
      <c r="F1148" s="26"/>
      <c r="G1148" s="27"/>
      <c r="H1148" s="20"/>
      <c r="I1148" s="21"/>
      <c r="J1148" s="28"/>
      <c r="K1148" s="19"/>
    </row>
    <row r="1149" spans="1:11" ht="13.2">
      <c r="A1149" s="22"/>
      <c r="B1149" s="16"/>
      <c r="C1149" s="23"/>
      <c r="D1149" s="24"/>
      <c r="E1149" s="25"/>
      <c r="F1149" s="26"/>
      <c r="G1149" s="27"/>
      <c r="H1149" s="20"/>
      <c r="I1149" s="21"/>
      <c r="J1149" s="28"/>
      <c r="K1149" s="19"/>
    </row>
    <row r="1150" spans="1:11" ht="13.2">
      <c r="A1150" s="22"/>
      <c r="B1150" s="16"/>
      <c r="C1150" s="23"/>
      <c r="D1150" s="24"/>
      <c r="E1150" s="25"/>
      <c r="F1150" s="26"/>
      <c r="G1150" s="27"/>
      <c r="H1150" s="20"/>
      <c r="I1150" s="21"/>
      <c r="J1150" s="28"/>
      <c r="K1150" s="19"/>
    </row>
    <row r="1151" spans="1:11" ht="13.2">
      <c r="A1151" s="22"/>
      <c r="B1151" s="16"/>
      <c r="C1151" s="23"/>
      <c r="D1151" s="24"/>
      <c r="E1151" s="25"/>
      <c r="F1151" s="26"/>
      <c r="G1151" s="27"/>
      <c r="H1151" s="20"/>
      <c r="I1151" s="21"/>
      <c r="J1151" s="28"/>
      <c r="K1151" s="19"/>
    </row>
    <row r="1152" spans="1:11" ht="13.2">
      <c r="A1152" s="22"/>
      <c r="B1152" s="16"/>
      <c r="C1152" s="23"/>
      <c r="D1152" s="24"/>
      <c r="E1152" s="25"/>
      <c r="F1152" s="26"/>
      <c r="G1152" s="27"/>
      <c r="H1152" s="20"/>
      <c r="I1152" s="21"/>
      <c r="J1152" s="28"/>
      <c r="K1152" s="19"/>
    </row>
    <row r="1153" spans="1:11" ht="13.2">
      <c r="A1153" s="22"/>
      <c r="B1153" s="16"/>
      <c r="C1153" s="23"/>
      <c r="D1153" s="24"/>
      <c r="E1153" s="25"/>
      <c r="F1153" s="26"/>
      <c r="G1153" s="27"/>
      <c r="H1153" s="20"/>
      <c r="I1153" s="21"/>
      <c r="J1153" s="28"/>
      <c r="K1153" s="19"/>
    </row>
    <row r="1154" spans="1:11" ht="13.2">
      <c r="A1154" s="22"/>
      <c r="B1154" s="16"/>
      <c r="C1154" s="23"/>
      <c r="D1154" s="24"/>
      <c r="E1154" s="25"/>
      <c r="F1154" s="26"/>
      <c r="G1154" s="27"/>
      <c r="H1154" s="20"/>
      <c r="I1154" s="21"/>
      <c r="J1154" s="28"/>
      <c r="K1154" s="19"/>
    </row>
    <row r="1155" spans="1:11" ht="13.2">
      <c r="A1155" s="22"/>
      <c r="B1155" s="16"/>
      <c r="C1155" s="23"/>
      <c r="D1155" s="24"/>
      <c r="E1155" s="25"/>
      <c r="F1155" s="26"/>
      <c r="G1155" s="27"/>
      <c r="H1155" s="20"/>
      <c r="I1155" s="21"/>
      <c r="J1155" s="28"/>
      <c r="K1155" s="19"/>
    </row>
    <row r="1156" spans="1:11" ht="13.2">
      <c r="A1156" s="22"/>
      <c r="B1156" s="16"/>
      <c r="C1156" s="23"/>
      <c r="D1156" s="24"/>
      <c r="E1156" s="25"/>
      <c r="F1156" s="26"/>
      <c r="G1156" s="27"/>
      <c r="H1156" s="20"/>
      <c r="I1156" s="21"/>
      <c r="J1156" s="28"/>
      <c r="K1156" s="19"/>
    </row>
    <row r="1157" spans="1:11" ht="13.2">
      <c r="A1157" s="22"/>
      <c r="B1157" s="16"/>
      <c r="C1157" s="23"/>
      <c r="D1157" s="24"/>
      <c r="E1157" s="25"/>
      <c r="F1157" s="26"/>
      <c r="G1157" s="27"/>
      <c r="H1157" s="20"/>
      <c r="I1157" s="21"/>
      <c r="J1157" s="28"/>
      <c r="K1157" s="19"/>
    </row>
    <row r="1158" spans="1:11" ht="13.2">
      <c r="A1158" s="22"/>
      <c r="B1158" s="16"/>
      <c r="C1158" s="23"/>
      <c r="D1158" s="24"/>
      <c r="E1158" s="25"/>
      <c r="F1158" s="26"/>
      <c r="G1158" s="27"/>
      <c r="H1158" s="20"/>
      <c r="I1158" s="21"/>
      <c r="J1158" s="28"/>
      <c r="K1158" s="19"/>
    </row>
    <row r="1159" spans="1:11" ht="13.2">
      <c r="A1159" s="22"/>
      <c r="B1159" s="16"/>
      <c r="C1159" s="23"/>
      <c r="D1159" s="24"/>
      <c r="E1159" s="25"/>
      <c r="F1159" s="26"/>
      <c r="G1159" s="27"/>
      <c r="H1159" s="20"/>
      <c r="I1159" s="21"/>
      <c r="J1159" s="28"/>
      <c r="K1159" s="19"/>
    </row>
    <row r="1160" spans="1:11" ht="13.2">
      <c r="A1160" s="22"/>
      <c r="B1160" s="16"/>
      <c r="C1160" s="23"/>
      <c r="D1160" s="24"/>
      <c r="E1160" s="25"/>
      <c r="F1160" s="26"/>
      <c r="G1160" s="27"/>
      <c r="H1160" s="20"/>
      <c r="I1160" s="21"/>
      <c r="J1160" s="28"/>
      <c r="K1160" s="19"/>
    </row>
    <row r="1161" spans="1:11" ht="13.2">
      <c r="A1161" s="22"/>
      <c r="B1161" s="16"/>
      <c r="C1161" s="23"/>
      <c r="D1161" s="24"/>
      <c r="E1161" s="25"/>
      <c r="F1161" s="26"/>
      <c r="G1161" s="27"/>
      <c r="H1161" s="20"/>
      <c r="I1161" s="21"/>
      <c r="J1161" s="28"/>
      <c r="K1161" s="19"/>
    </row>
    <row r="1162" spans="1:11" ht="13.2">
      <c r="A1162" s="22"/>
      <c r="B1162" s="16"/>
      <c r="C1162" s="23"/>
      <c r="D1162" s="24"/>
      <c r="E1162" s="25"/>
      <c r="F1162" s="26"/>
      <c r="G1162" s="27"/>
      <c r="H1162" s="20"/>
      <c r="I1162" s="21"/>
      <c r="J1162" s="28"/>
      <c r="K1162" s="19"/>
    </row>
    <row r="1163" spans="1:11" ht="13.2">
      <c r="A1163" s="22"/>
      <c r="B1163" s="16"/>
      <c r="C1163" s="23"/>
      <c r="D1163" s="24"/>
      <c r="E1163" s="25"/>
      <c r="F1163" s="26"/>
      <c r="G1163" s="27"/>
      <c r="H1163" s="20"/>
      <c r="I1163" s="21"/>
      <c r="J1163" s="28"/>
      <c r="K1163" s="19"/>
    </row>
    <row r="1164" spans="1:11" ht="13.2">
      <c r="A1164" s="22"/>
      <c r="B1164" s="16"/>
      <c r="C1164" s="23"/>
      <c r="D1164" s="24"/>
      <c r="E1164" s="25"/>
      <c r="F1164" s="26"/>
      <c r="G1164" s="27"/>
      <c r="H1164" s="20"/>
      <c r="I1164" s="21"/>
      <c r="J1164" s="28"/>
      <c r="K1164" s="19"/>
    </row>
    <row r="1165" spans="1:11" ht="13.2">
      <c r="A1165" s="22"/>
      <c r="B1165" s="16"/>
      <c r="C1165" s="23"/>
      <c r="D1165" s="24"/>
      <c r="E1165" s="25"/>
      <c r="F1165" s="26"/>
      <c r="G1165" s="27"/>
      <c r="H1165" s="20"/>
      <c r="I1165" s="21"/>
      <c r="J1165" s="28"/>
      <c r="K1165" s="19"/>
    </row>
    <row r="1166" spans="1:11" ht="13.2">
      <c r="A1166" s="22"/>
      <c r="B1166" s="16"/>
      <c r="C1166" s="23"/>
      <c r="D1166" s="24"/>
      <c r="E1166" s="25"/>
      <c r="F1166" s="26"/>
      <c r="G1166" s="27"/>
      <c r="H1166" s="20"/>
      <c r="I1166" s="21"/>
      <c r="J1166" s="28"/>
      <c r="K1166" s="19"/>
    </row>
    <row r="1167" spans="1:11" ht="13.2">
      <c r="A1167" s="22"/>
      <c r="B1167" s="16"/>
      <c r="C1167" s="23"/>
      <c r="D1167" s="24"/>
      <c r="E1167" s="25"/>
      <c r="F1167" s="26"/>
      <c r="G1167" s="27"/>
      <c r="H1167" s="20"/>
      <c r="I1167" s="21"/>
      <c r="J1167" s="28"/>
      <c r="K1167" s="19"/>
    </row>
    <row r="1168" spans="1:11" ht="13.2">
      <c r="A1168" s="22"/>
      <c r="B1168" s="16"/>
      <c r="C1168" s="23"/>
      <c r="D1168" s="24"/>
      <c r="E1168" s="25"/>
      <c r="F1168" s="26"/>
      <c r="G1168" s="27"/>
      <c r="H1168" s="20"/>
      <c r="I1168" s="21"/>
      <c r="J1168" s="28"/>
      <c r="K1168" s="19"/>
    </row>
    <row r="1169" spans="1:11" ht="13.2">
      <c r="A1169" s="22"/>
      <c r="B1169" s="16"/>
      <c r="C1169" s="23"/>
      <c r="D1169" s="24"/>
      <c r="E1169" s="25"/>
      <c r="F1169" s="26"/>
      <c r="G1169" s="27"/>
      <c r="H1169" s="20"/>
      <c r="I1169" s="21"/>
      <c r="J1169" s="28"/>
      <c r="K1169" s="19"/>
    </row>
    <row r="1170" spans="1:11" ht="13.2">
      <c r="A1170" s="22"/>
      <c r="B1170" s="16"/>
      <c r="C1170" s="23"/>
      <c r="D1170" s="24"/>
      <c r="E1170" s="25"/>
      <c r="F1170" s="26"/>
      <c r="G1170" s="27"/>
      <c r="H1170" s="20"/>
      <c r="I1170" s="21"/>
      <c r="J1170" s="28"/>
      <c r="K1170" s="19"/>
    </row>
    <row r="1171" spans="1:11" ht="13.2">
      <c r="A1171" s="22"/>
      <c r="B1171" s="16"/>
      <c r="C1171" s="23"/>
      <c r="D1171" s="24"/>
      <c r="E1171" s="25"/>
      <c r="F1171" s="26"/>
      <c r="G1171" s="27"/>
      <c r="H1171" s="20"/>
      <c r="I1171" s="21"/>
      <c r="J1171" s="28"/>
      <c r="K1171" s="19"/>
    </row>
    <row r="1172" spans="1:11" ht="13.2">
      <c r="A1172" s="22"/>
      <c r="B1172" s="16"/>
      <c r="C1172" s="23"/>
      <c r="D1172" s="24"/>
      <c r="E1172" s="25"/>
      <c r="F1172" s="26"/>
      <c r="G1172" s="27"/>
      <c r="H1172" s="20"/>
      <c r="I1172" s="21"/>
      <c r="J1172" s="28"/>
      <c r="K1172" s="19"/>
    </row>
    <row r="1173" spans="1:11" ht="13.2">
      <c r="A1173" s="22"/>
      <c r="B1173" s="16"/>
      <c r="C1173" s="23"/>
      <c r="D1173" s="24"/>
      <c r="E1173" s="25"/>
      <c r="F1173" s="26"/>
      <c r="G1173" s="27"/>
      <c r="H1173" s="20"/>
      <c r="I1173" s="21"/>
      <c r="J1173" s="28"/>
      <c r="K1173" s="19"/>
    </row>
    <row r="1174" spans="1:11" ht="13.2">
      <c r="A1174" s="22"/>
      <c r="B1174" s="16"/>
      <c r="C1174" s="23"/>
      <c r="D1174" s="24"/>
      <c r="E1174" s="25"/>
      <c r="F1174" s="26"/>
      <c r="G1174" s="27"/>
      <c r="H1174" s="20"/>
      <c r="I1174" s="21"/>
      <c r="J1174" s="28"/>
      <c r="K1174" s="19"/>
    </row>
    <row r="1175" spans="1:11" ht="13.2">
      <c r="A1175" s="22"/>
      <c r="B1175" s="16"/>
      <c r="C1175" s="23"/>
      <c r="D1175" s="24"/>
      <c r="E1175" s="25"/>
      <c r="F1175" s="26"/>
      <c r="G1175" s="27"/>
      <c r="H1175" s="20"/>
      <c r="I1175" s="21"/>
      <c r="J1175" s="28"/>
      <c r="K1175" s="19"/>
    </row>
    <row r="1176" spans="1:11" ht="13.2">
      <c r="A1176" s="22"/>
      <c r="B1176" s="16"/>
      <c r="C1176" s="23"/>
      <c r="D1176" s="24"/>
      <c r="E1176" s="25"/>
      <c r="F1176" s="26"/>
      <c r="G1176" s="27"/>
      <c r="H1176" s="20"/>
      <c r="I1176" s="21"/>
      <c r="J1176" s="28"/>
      <c r="K1176" s="19"/>
    </row>
    <row r="1177" spans="1:11" ht="13.2">
      <c r="A1177" s="22"/>
      <c r="B1177" s="16"/>
      <c r="C1177" s="23"/>
      <c r="D1177" s="24"/>
      <c r="E1177" s="25"/>
      <c r="F1177" s="26"/>
      <c r="G1177" s="27"/>
      <c r="H1177" s="20"/>
      <c r="I1177" s="21"/>
      <c r="J1177" s="28"/>
      <c r="K1177" s="19"/>
    </row>
    <row r="1178" spans="1:11" ht="13.2">
      <c r="A1178" s="22"/>
      <c r="B1178" s="16"/>
      <c r="C1178" s="23"/>
      <c r="D1178" s="24"/>
      <c r="E1178" s="25"/>
      <c r="F1178" s="26"/>
      <c r="G1178" s="27"/>
      <c r="H1178" s="20"/>
      <c r="I1178" s="21"/>
      <c r="J1178" s="28"/>
      <c r="K1178" s="19"/>
    </row>
    <row r="1179" spans="1:11" ht="13.2">
      <c r="A1179" s="22"/>
      <c r="B1179" s="16"/>
      <c r="C1179" s="23"/>
      <c r="D1179" s="24"/>
      <c r="E1179" s="25"/>
      <c r="F1179" s="26"/>
      <c r="G1179" s="27"/>
      <c r="H1179" s="20"/>
      <c r="I1179" s="21"/>
      <c r="J1179" s="28"/>
      <c r="K1179" s="19"/>
    </row>
    <row r="1180" spans="1:11" ht="13.2">
      <c r="A1180" s="22"/>
      <c r="B1180" s="16"/>
      <c r="C1180" s="23"/>
      <c r="D1180" s="24"/>
      <c r="E1180" s="25"/>
      <c r="F1180" s="26"/>
      <c r="G1180" s="27"/>
      <c r="H1180" s="20"/>
      <c r="I1180" s="21"/>
      <c r="J1180" s="28"/>
      <c r="K1180" s="19"/>
    </row>
    <row r="1181" spans="1:11" ht="13.2">
      <c r="A1181" s="22"/>
      <c r="B1181" s="16"/>
      <c r="C1181" s="23"/>
      <c r="D1181" s="24"/>
      <c r="E1181" s="25"/>
      <c r="F1181" s="26"/>
      <c r="G1181" s="27"/>
      <c r="H1181" s="20"/>
      <c r="I1181" s="21"/>
      <c r="J1181" s="28"/>
      <c r="K1181" s="19"/>
    </row>
    <row r="1182" spans="1:11" ht="13.2">
      <c r="A1182" s="22"/>
      <c r="B1182" s="16"/>
      <c r="C1182" s="23"/>
      <c r="D1182" s="24"/>
      <c r="E1182" s="25"/>
      <c r="F1182" s="26"/>
      <c r="G1182" s="27"/>
      <c r="H1182" s="20"/>
      <c r="I1182" s="21"/>
      <c r="J1182" s="28"/>
      <c r="K1182" s="19"/>
    </row>
    <row r="1183" spans="1:11" ht="13.2">
      <c r="A1183" s="22"/>
      <c r="B1183" s="16"/>
      <c r="C1183" s="23"/>
      <c r="D1183" s="24"/>
      <c r="E1183" s="25"/>
      <c r="F1183" s="26"/>
      <c r="G1183" s="27"/>
      <c r="H1183" s="20"/>
      <c r="I1183" s="21"/>
      <c r="J1183" s="28"/>
      <c r="K1183" s="19"/>
    </row>
    <row r="1184" spans="1:11" ht="13.2">
      <c r="A1184" s="22"/>
      <c r="B1184" s="16"/>
      <c r="C1184" s="23"/>
      <c r="D1184" s="24"/>
      <c r="E1184" s="25"/>
      <c r="F1184" s="26"/>
      <c r="G1184" s="27"/>
      <c r="H1184" s="20"/>
      <c r="I1184" s="21"/>
      <c r="J1184" s="28"/>
      <c r="K1184" s="19"/>
    </row>
    <row r="1185" spans="1:11" ht="13.2">
      <c r="A1185" s="22"/>
      <c r="B1185" s="16"/>
      <c r="C1185" s="23"/>
      <c r="D1185" s="24"/>
      <c r="E1185" s="25"/>
      <c r="F1185" s="26"/>
      <c r="G1185" s="27"/>
      <c r="H1185" s="20"/>
      <c r="I1185" s="21"/>
      <c r="J1185" s="28"/>
      <c r="K1185" s="19"/>
    </row>
    <row r="1186" spans="1:11" ht="13.2">
      <c r="A1186" s="22"/>
      <c r="B1186" s="16"/>
      <c r="C1186" s="23"/>
      <c r="D1186" s="24"/>
      <c r="E1186" s="25"/>
      <c r="F1186" s="26"/>
      <c r="G1186" s="27"/>
      <c r="H1186" s="20"/>
      <c r="I1186" s="21"/>
      <c r="J1186" s="28"/>
      <c r="K1186" s="19"/>
    </row>
    <row r="1187" spans="1:11" ht="13.2">
      <c r="A1187" s="22"/>
      <c r="B1187" s="16"/>
      <c r="C1187" s="23"/>
      <c r="D1187" s="24"/>
      <c r="E1187" s="25"/>
      <c r="F1187" s="26"/>
      <c r="G1187" s="27"/>
      <c r="H1187" s="20"/>
      <c r="I1187" s="21"/>
      <c r="J1187" s="28"/>
      <c r="K1187" s="19"/>
    </row>
    <row r="1188" spans="1:11" ht="13.2">
      <c r="A1188" s="22"/>
      <c r="B1188" s="16"/>
      <c r="C1188" s="23"/>
      <c r="D1188" s="24"/>
      <c r="E1188" s="25"/>
      <c r="F1188" s="26"/>
      <c r="G1188" s="27"/>
      <c r="H1188" s="20"/>
      <c r="I1188" s="21"/>
      <c r="J1188" s="28"/>
      <c r="K1188" s="19"/>
    </row>
    <row r="1189" spans="1:11" ht="13.2">
      <c r="A1189" s="22"/>
      <c r="B1189" s="16"/>
      <c r="C1189" s="23"/>
      <c r="D1189" s="24"/>
      <c r="E1189" s="25"/>
      <c r="F1189" s="26"/>
      <c r="G1189" s="27"/>
      <c r="H1189" s="20"/>
      <c r="I1189" s="21"/>
      <c r="J1189" s="28"/>
      <c r="K1189" s="19"/>
    </row>
    <row r="1190" spans="1:11" ht="13.2">
      <c r="A1190" s="22"/>
      <c r="B1190" s="16"/>
      <c r="C1190" s="23"/>
      <c r="D1190" s="24"/>
      <c r="E1190" s="25"/>
      <c r="F1190" s="26"/>
      <c r="G1190" s="27"/>
      <c r="H1190" s="20"/>
      <c r="I1190" s="21"/>
      <c r="J1190" s="28"/>
      <c r="K1190" s="19"/>
    </row>
    <row r="1191" spans="1:11" ht="13.2">
      <c r="A1191" s="22"/>
      <c r="B1191" s="16"/>
      <c r="C1191" s="23"/>
      <c r="D1191" s="24"/>
      <c r="E1191" s="25"/>
      <c r="F1191" s="26"/>
      <c r="G1191" s="27"/>
      <c r="H1191" s="20"/>
      <c r="I1191" s="21"/>
      <c r="J1191" s="28"/>
      <c r="K1191" s="19"/>
    </row>
    <row r="1192" spans="1:11" ht="13.2">
      <c r="A1192" s="22"/>
      <c r="B1192" s="16"/>
      <c r="C1192" s="23"/>
      <c r="D1192" s="24"/>
      <c r="E1192" s="25"/>
      <c r="F1192" s="26"/>
      <c r="G1192" s="27"/>
      <c r="H1192" s="20"/>
      <c r="I1192" s="21"/>
      <c r="J1192" s="28"/>
      <c r="K1192" s="19"/>
    </row>
    <row r="1193" spans="1:11" ht="13.2">
      <c r="A1193" s="22"/>
      <c r="B1193" s="16"/>
      <c r="C1193" s="23"/>
      <c r="D1193" s="24"/>
      <c r="E1193" s="25"/>
      <c r="F1193" s="26"/>
      <c r="G1193" s="27"/>
      <c r="H1193" s="20"/>
      <c r="I1193" s="21"/>
      <c r="J1193" s="28"/>
      <c r="K1193" s="19"/>
    </row>
    <row r="1194" spans="1:11" ht="13.2">
      <c r="A1194" s="22"/>
      <c r="B1194" s="16"/>
      <c r="C1194" s="23"/>
      <c r="D1194" s="24"/>
      <c r="E1194" s="25"/>
      <c r="F1194" s="26"/>
      <c r="G1194" s="27"/>
      <c r="H1194" s="20"/>
      <c r="I1194" s="21"/>
      <c r="J1194" s="28"/>
      <c r="K1194" s="19"/>
    </row>
    <row r="1195" spans="1:11" ht="13.2">
      <c r="A1195" s="22"/>
      <c r="B1195" s="16"/>
      <c r="C1195" s="23"/>
      <c r="D1195" s="24"/>
      <c r="E1195" s="25"/>
      <c r="F1195" s="26"/>
      <c r="G1195" s="27"/>
      <c r="H1195" s="20"/>
      <c r="I1195" s="21"/>
      <c r="J1195" s="28"/>
      <c r="K1195" s="19"/>
    </row>
    <row r="1196" spans="1:11" ht="13.2">
      <c r="A1196" s="22"/>
      <c r="B1196" s="16"/>
      <c r="C1196" s="23"/>
      <c r="D1196" s="24"/>
      <c r="E1196" s="25"/>
      <c r="F1196" s="26"/>
      <c r="G1196" s="27"/>
      <c r="H1196" s="20"/>
      <c r="I1196" s="21"/>
      <c r="J1196" s="28"/>
      <c r="K1196" s="19"/>
    </row>
    <row r="1197" spans="1:11" ht="13.2">
      <c r="A1197" s="22"/>
      <c r="B1197" s="16"/>
      <c r="C1197" s="23"/>
      <c r="D1197" s="24"/>
      <c r="E1197" s="25"/>
      <c r="F1197" s="26"/>
      <c r="G1197" s="27"/>
      <c r="H1197" s="20"/>
      <c r="I1197" s="21"/>
      <c r="J1197" s="28"/>
      <c r="K1197" s="19"/>
    </row>
    <row r="1198" spans="1:11" ht="13.2">
      <c r="A1198" s="22"/>
      <c r="B1198" s="16"/>
      <c r="C1198" s="23"/>
      <c r="D1198" s="24"/>
      <c r="E1198" s="25"/>
      <c r="F1198" s="26"/>
      <c r="G1198" s="27"/>
      <c r="H1198" s="20"/>
      <c r="I1198" s="21"/>
      <c r="J1198" s="28"/>
      <c r="K1198" s="19"/>
    </row>
    <row r="1199" spans="1:11" ht="13.2">
      <c r="A1199" s="22"/>
      <c r="B1199" s="16"/>
      <c r="C1199" s="23"/>
      <c r="D1199" s="24"/>
      <c r="E1199" s="25"/>
      <c r="F1199" s="26"/>
      <c r="G1199" s="27"/>
      <c r="H1199" s="20"/>
      <c r="I1199" s="21"/>
      <c r="J1199" s="28"/>
      <c r="K1199" s="19"/>
    </row>
    <row r="1200" spans="1:11" ht="13.2">
      <c r="A1200" s="22"/>
      <c r="B1200" s="16"/>
      <c r="C1200" s="23"/>
      <c r="D1200" s="24"/>
      <c r="E1200" s="25"/>
      <c r="F1200" s="26"/>
      <c r="G1200" s="27"/>
      <c r="H1200" s="20"/>
      <c r="I1200" s="21"/>
      <c r="J1200" s="28"/>
      <c r="K1200" s="19"/>
    </row>
    <row r="1201" spans="1:11" ht="13.2">
      <c r="A1201" s="22"/>
      <c r="B1201" s="16"/>
      <c r="C1201" s="23"/>
      <c r="D1201" s="24"/>
      <c r="E1201" s="25"/>
      <c r="F1201" s="26"/>
      <c r="G1201" s="27"/>
      <c r="H1201" s="20"/>
      <c r="I1201" s="21"/>
      <c r="J1201" s="28"/>
      <c r="K1201" s="19"/>
    </row>
    <row r="1202" spans="1:11" ht="13.2">
      <c r="A1202" s="22"/>
      <c r="B1202" s="16"/>
      <c r="C1202" s="23"/>
      <c r="D1202" s="24"/>
      <c r="E1202" s="25"/>
      <c r="F1202" s="26"/>
      <c r="G1202" s="27"/>
      <c r="H1202" s="20"/>
      <c r="I1202" s="21"/>
      <c r="J1202" s="28"/>
      <c r="K1202" s="19"/>
    </row>
    <row r="1203" spans="1:11" ht="13.2">
      <c r="A1203" s="22"/>
      <c r="B1203" s="16"/>
      <c r="C1203" s="23"/>
      <c r="D1203" s="24"/>
      <c r="E1203" s="25"/>
      <c r="F1203" s="26"/>
      <c r="G1203" s="27"/>
      <c r="H1203" s="20"/>
      <c r="I1203" s="21"/>
      <c r="J1203" s="28"/>
      <c r="K1203" s="19"/>
    </row>
    <row r="1204" spans="1:11" ht="13.2">
      <c r="A1204" s="22"/>
      <c r="B1204" s="16"/>
      <c r="C1204" s="23"/>
      <c r="D1204" s="24"/>
      <c r="E1204" s="25"/>
      <c r="F1204" s="26"/>
      <c r="G1204" s="27"/>
      <c r="H1204" s="20"/>
      <c r="I1204" s="21"/>
      <c r="J1204" s="28"/>
      <c r="K1204" s="19"/>
    </row>
    <row r="1205" spans="1:11" ht="13.2">
      <c r="A1205" s="22"/>
      <c r="B1205" s="16"/>
      <c r="C1205" s="23"/>
      <c r="D1205" s="24"/>
      <c r="E1205" s="25"/>
      <c r="F1205" s="26"/>
      <c r="G1205" s="27"/>
      <c r="H1205" s="20"/>
      <c r="I1205" s="21"/>
      <c r="J1205" s="28"/>
      <c r="K1205" s="19"/>
    </row>
    <row r="1206" spans="1:11" ht="13.2">
      <c r="A1206" s="22"/>
      <c r="B1206" s="16"/>
      <c r="C1206" s="23"/>
      <c r="D1206" s="24"/>
      <c r="E1206" s="25"/>
      <c r="F1206" s="26"/>
      <c r="G1206" s="27"/>
      <c r="H1206" s="20"/>
      <c r="I1206" s="21"/>
      <c r="J1206" s="28"/>
      <c r="K1206" s="19"/>
    </row>
    <row r="1207" spans="1:11" ht="13.2">
      <c r="A1207" s="22"/>
      <c r="B1207" s="16"/>
      <c r="C1207" s="23"/>
      <c r="D1207" s="24"/>
      <c r="E1207" s="25"/>
      <c r="F1207" s="26"/>
      <c r="G1207" s="27"/>
      <c r="H1207" s="20"/>
      <c r="I1207" s="21"/>
      <c r="J1207" s="28"/>
      <c r="K1207" s="19"/>
    </row>
    <row r="1208" spans="1:11" ht="13.2">
      <c r="A1208" s="22"/>
      <c r="B1208" s="16"/>
      <c r="C1208" s="23"/>
      <c r="D1208" s="24"/>
      <c r="E1208" s="25"/>
      <c r="F1208" s="26"/>
      <c r="G1208" s="27"/>
      <c r="H1208" s="20"/>
      <c r="I1208" s="21"/>
      <c r="J1208" s="28"/>
      <c r="K1208" s="19"/>
    </row>
    <row r="1209" spans="1:11" ht="13.2">
      <c r="A1209" s="22"/>
      <c r="B1209" s="16"/>
      <c r="C1209" s="23"/>
      <c r="D1209" s="24"/>
      <c r="E1209" s="25"/>
      <c r="F1209" s="26"/>
      <c r="G1209" s="27"/>
      <c r="H1209" s="20"/>
      <c r="I1209" s="21"/>
      <c r="J1209" s="28"/>
      <c r="K1209" s="19"/>
    </row>
    <row r="1210" spans="1:11" ht="13.2">
      <c r="A1210" s="22"/>
      <c r="B1210" s="16"/>
      <c r="C1210" s="23"/>
      <c r="D1210" s="24"/>
      <c r="E1210" s="25"/>
      <c r="F1210" s="26"/>
      <c r="G1210" s="27"/>
      <c r="H1210" s="20"/>
      <c r="I1210" s="21"/>
      <c r="J1210" s="28"/>
      <c r="K1210" s="19"/>
    </row>
    <row r="1211" spans="1:11" ht="13.2">
      <c r="A1211" s="22"/>
      <c r="B1211" s="16"/>
      <c r="C1211" s="23"/>
      <c r="D1211" s="24"/>
      <c r="E1211" s="25"/>
      <c r="F1211" s="26"/>
      <c r="G1211" s="27"/>
      <c r="H1211" s="20"/>
      <c r="I1211" s="21"/>
      <c r="J1211" s="28"/>
      <c r="K1211" s="19"/>
    </row>
    <row r="1212" spans="1:11" ht="13.2">
      <c r="A1212" s="22"/>
      <c r="B1212" s="16"/>
      <c r="C1212" s="23"/>
      <c r="D1212" s="24"/>
      <c r="E1212" s="25"/>
      <c r="F1212" s="26"/>
      <c r="G1212" s="27"/>
      <c r="H1212" s="20"/>
      <c r="I1212" s="21"/>
      <c r="J1212" s="28"/>
      <c r="K1212" s="19"/>
    </row>
    <row r="1213" spans="1:11" ht="13.2">
      <c r="A1213" s="22"/>
      <c r="B1213" s="16"/>
      <c r="C1213" s="23"/>
      <c r="D1213" s="24"/>
      <c r="E1213" s="25"/>
      <c r="F1213" s="26"/>
      <c r="G1213" s="27"/>
      <c r="H1213" s="20"/>
      <c r="I1213" s="21"/>
      <c r="J1213" s="28"/>
      <c r="K1213" s="19"/>
    </row>
    <row r="1214" spans="1:11" ht="13.2">
      <c r="A1214" s="22"/>
      <c r="B1214" s="16"/>
      <c r="C1214" s="23"/>
      <c r="D1214" s="24"/>
      <c r="E1214" s="25"/>
      <c r="F1214" s="26"/>
      <c r="G1214" s="27"/>
      <c r="H1214" s="20"/>
      <c r="I1214" s="21"/>
      <c r="J1214" s="28"/>
      <c r="K1214" s="19"/>
    </row>
    <row r="1215" spans="1:11" ht="13.2">
      <c r="A1215" s="22"/>
      <c r="B1215" s="16"/>
      <c r="C1215" s="23"/>
      <c r="D1215" s="24"/>
      <c r="E1215" s="25"/>
      <c r="F1215" s="26"/>
      <c r="G1215" s="27"/>
      <c r="H1215" s="20"/>
      <c r="I1215" s="21"/>
      <c r="J1215" s="28"/>
      <c r="K1215" s="19"/>
    </row>
    <row r="1216" spans="1:11" ht="13.2">
      <c r="A1216" s="22"/>
      <c r="B1216" s="16"/>
      <c r="C1216" s="23"/>
      <c r="D1216" s="24"/>
      <c r="E1216" s="25"/>
      <c r="F1216" s="26"/>
      <c r="G1216" s="27"/>
      <c r="H1216" s="20"/>
      <c r="I1216" s="21"/>
      <c r="J1216" s="28"/>
      <c r="K1216" s="19"/>
    </row>
    <row r="1217" spans="1:11" ht="13.2">
      <c r="A1217" s="22"/>
      <c r="B1217" s="16"/>
      <c r="C1217" s="23"/>
      <c r="D1217" s="24"/>
      <c r="E1217" s="25"/>
      <c r="F1217" s="26"/>
      <c r="G1217" s="27"/>
      <c r="H1217" s="20"/>
      <c r="I1217" s="21"/>
      <c r="J1217" s="28"/>
      <c r="K1217" s="19"/>
    </row>
    <row r="1218" spans="1:11" ht="13.2">
      <c r="A1218" s="22"/>
      <c r="B1218" s="16"/>
      <c r="C1218" s="23"/>
      <c r="D1218" s="24"/>
      <c r="E1218" s="25"/>
      <c r="F1218" s="26"/>
      <c r="G1218" s="27"/>
      <c r="H1218" s="20"/>
      <c r="I1218" s="21"/>
      <c r="J1218" s="28"/>
      <c r="K1218" s="19"/>
    </row>
    <row r="1219" spans="1:11" ht="13.2">
      <c r="A1219" s="22"/>
      <c r="B1219" s="16"/>
      <c r="C1219" s="23"/>
      <c r="D1219" s="24"/>
      <c r="E1219" s="25"/>
      <c r="F1219" s="26"/>
      <c r="G1219" s="27"/>
      <c r="H1219" s="20"/>
      <c r="I1219" s="21"/>
      <c r="J1219" s="28"/>
      <c r="K1219" s="19"/>
    </row>
    <row r="1220" spans="1:11" ht="13.2">
      <c r="A1220" s="22"/>
      <c r="B1220" s="16"/>
      <c r="C1220" s="23"/>
      <c r="D1220" s="24"/>
      <c r="E1220" s="25"/>
      <c r="F1220" s="26"/>
      <c r="G1220" s="27"/>
      <c r="H1220" s="20"/>
      <c r="I1220" s="21"/>
      <c r="J1220" s="28"/>
      <c r="K1220" s="19"/>
    </row>
    <row r="1221" spans="1:11" ht="13.2">
      <c r="A1221" s="22"/>
      <c r="B1221" s="16"/>
      <c r="C1221" s="23"/>
      <c r="D1221" s="24"/>
      <c r="E1221" s="25"/>
      <c r="F1221" s="26"/>
      <c r="G1221" s="27"/>
      <c r="H1221" s="20"/>
      <c r="I1221" s="21"/>
      <c r="J1221" s="28"/>
      <c r="K1221" s="19"/>
    </row>
    <row r="1222" spans="1:11" ht="13.2">
      <c r="A1222" s="22"/>
      <c r="B1222" s="16"/>
      <c r="C1222" s="23"/>
      <c r="D1222" s="24"/>
      <c r="E1222" s="25"/>
      <c r="F1222" s="26"/>
      <c r="G1222" s="27"/>
      <c r="H1222" s="20"/>
      <c r="I1222" s="21"/>
      <c r="J1222" s="28"/>
      <c r="K1222" s="19"/>
    </row>
    <row r="1223" spans="1:11" ht="13.2">
      <c r="A1223" s="22"/>
      <c r="B1223" s="16"/>
      <c r="C1223" s="23"/>
      <c r="D1223" s="24"/>
      <c r="E1223" s="25"/>
      <c r="F1223" s="26"/>
      <c r="G1223" s="27"/>
      <c r="H1223" s="20"/>
      <c r="I1223" s="21"/>
      <c r="J1223" s="28"/>
      <c r="K1223" s="19"/>
    </row>
    <row r="1224" spans="1:11" ht="13.2">
      <c r="A1224" s="22"/>
      <c r="B1224" s="16"/>
      <c r="C1224" s="23"/>
      <c r="D1224" s="24"/>
      <c r="E1224" s="25"/>
      <c r="F1224" s="26"/>
      <c r="G1224" s="27"/>
      <c r="H1224" s="20"/>
      <c r="I1224" s="21"/>
      <c r="J1224" s="28"/>
      <c r="K1224" s="19"/>
    </row>
    <row r="1225" spans="1:11" ht="13.2">
      <c r="A1225" s="22"/>
      <c r="B1225" s="16"/>
      <c r="C1225" s="23"/>
      <c r="D1225" s="24"/>
      <c r="E1225" s="25"/>
      <c r="F1225" s="26"/>
      <c r="G1225" s="27"/>
      <c r="H1225" s="20"/>
      <c r="I1225" s="21"/>
      <c r="J1225" s="28"/>
      <c r="K1225" s="19"/>
    </row>
    <row r="1226" spans="1:11" ht="13.2">
      <c r="A1226" s="22"/>
      <c r="B1226" s="16"/>
      <c r="C1226" s="23"/>
      <c r="D1226" s="24"/>
      <c r="E1226" s="25"/>
      <c r="F1226" s="26"/>
      <c r="G1226" s="27"/>
      <c r="H1226" s="20"/>
      <c r="I1226" s="21"/>
      <c r="J1226" s="28"/>
      <c r="K1226" s="19"/>
    </row>
    <row r="1227" spans="1:11" ht="13.2">
      <c r="A1227" s="22"/>
      <c r="B1227" s="16"/>
      <c r="C1227" s="23"/>
      <c r="D1227" s="24"/>
      <c r="E1227" s="25"/>
      <c r="F1227" s="26"/>
      <c r="G1227" s="27"/>
      <c r="H1227" s="20"/>
      <c r="I1227" s="21"/>
      <c r="J1227" s="28"/>
      <c r="K1227" s="19"/>
    </row>
    <row r="1228" spans="1:11" ht="13.2">
      <c r="A1228" s="22"/>
      <c r="B1228" s="16"/>
      <c r="C1228" s="23"/>
      <c r="D1228" s="24"/>
      <c r="E1228" s="25"/>
      <c r="F1228" s="26"/>
      <c r="G1228" s="27"/>
      <c r="H1228" s="20"/>
      <c r="I1228" s="21"/>
      <c r="J1228" s="28"/>
      <c r="K1228" s="19"/>
    </row>
    <row r="1229" spans="1:11" ht="13.2">
      <c r="A1229" s="22"/>
      <c r="B1229" s="16"/>
      <c r="C1229" s="23"/>
      <c r="D1229" s="24"/>
      <c r="E1229" s="25"/>
      <c r="F1229" s="26"/>
      <c r="G1229" s="27"/>
      <c r="H1229" s="20"/>
      <c r="I1229" s="21"/>
      <c r="J1229" s="28"/>
      <c r="K1229" s="19"/>
    </row>
    <row r="1230" spans="1:11" ht="13.2">
      <c r="A1230" s="22"/>
      <c r="B1230" s="16"/>
      <c r="C1230" s="23"/>
      <c r="D1230" s="24"/>
      <c r="E1230" s="25"/>
      <c r="F1230" s="26"/>
      <c r="G1230" s="27"/>
      <c r="H1230" s="20"/>
      <c r="I1230" s="21"/>
      <c r="J1230" s="28"/>
      <c r="K1230" s="19"/>
    </row>
    <row r="1231" spans="1:11" ht="13.2">
      <c r="A1231" s="22"/>
      <c r="B1231" s="16"/>
      <c r="C1231" s="23"/>
      <c r="D1231" s="24"/>
      <c r="E1231" s="25"/>
      <c r="F1231" s="26"/>
      <c r="G1231" s="27"/>
      <c r="H1231" s="20"/>
      <c r="I1231" s="21"/>
      <c r="J1231" s="28"/>
      <c r="K1231" s="19"/>
    </row>
    <row r="1232" spans="1:11" ht="13.2">
      <c r="A1232" s="22"/>
      <c r="B1232" s="16"/>
      <c r="C1232" s="23"/>
      <c r="D1232" s="24"/>
      <c r="E1232" s="25"/>
      <c r="F1232" s="26"/>
      <c r="G1232" s="27"/>
      <c r="H1232" s="20"/>
      <c r="I1232" s="21"/>
      <c r="J1232" s="28"/>
      <c r="K1232" s="19"/>
    </row>
    <row r="1233" spans="1:11" ht="13.2">
      <c r="A1233" s="22"/>
      <c r="B1233" s="16"/>
      <c r="C1233" s="23"/>
      <c r="D1233" s="24"/>
      <c r="E1233" s="25"/>
      <c r="F1233" s="26"/>
      <c r="G1233" s="27"/>
      <c r="H1233" s="20"/>
      <c r="I1233" s="21"/>
      <c r="J1233" s="28"/>
      <c r="K1233" s="19"/>
    </row>
    <row r="1234" spans="1:11" ht="13.2">
      <c r="A1234" s="22"/>
      <c r="B1234" s="16"/>
      <c r="C1234" s="23"/>
      <c r="D1234" s="24"/>
      <c r="E1234" s="25"/>
      <c r="F1234" s="26"/>
      <c r="G1234" s="27"/>
      <c r="H1234" s="20"/>
      <c r="I1234" s="21"/>
      <c r="J1234" s="28"/>
      <c r="K1234" s="19"/>
    </row>
    <row r="1235" spans="1:11" ht="13.2">
      <c r="A1235" s="22"/>
      <c r="B1235" s="16"/>
      <c r="C1235" s="23"/>
      <c r="D1235" s="24"/>
      <c r="E1235" s="25"/>
      <c r="F1235" s="26"/>
      <c r="G1235" s="27"/>
      <c r="H1235" s="20"/>
      <c r="I1235" s="21"/>
      <c r="J1235" s="28"/>
      <c r="K1235" s="19"/>
    </row>
    <row r="1236" spans="1:11" ht="13.2">
      <c r="A1236" s="22"/>
      <c r="B1236" s="16"/>
      <c r="C1236" s="23"/>
      <c r="D1236" s="24"/>
      <c r="E1236" s="25"/>
      <c r="F1236" s="26"/>
      <c r="G1236" s="27"/>
      <c r="H1236" s="20"/>
      <c r="I1236" s="21"/>
      <c r="J1236" s="28"/>
      <c r="K1236" s="19"/>
    </row>
    <row r="1237" spans="1:11" ht="13.2">
      <c r="A1237" s="22"/>
      <c r="B1237" s="16"/>
      <c r="C1237" s="23"/>
      <c r="D1237" s="24"/>
      <c r="E1237" s="25"/>
      <c r="F1237" s="26"/>
      <c r="G1237" s="27"/>
      <c r="H1237" s="20"/>
      <c r="I1237" s="21"/>
      <c r="J1237" s="28"/>
      <c r="K1237" s="19"/>
    </row>
    <row r="1238" spans="1:11" ht="13.2">
      <c r="A1238" s="22"/>
      <c r="B1238" s="16"/>
      <c r="C1238" s="23"/>
      <c r="D1238" s="24"/>
      <c r="E1238" s="25"/>
      <c r="F1238" s="26"/>
      <c r="G1238" s="27"/>
      <c r="H1238" s="20"/>
      <c r="I1238" s="21"/>
      <c r="J1238" s="28"/>
      <c r="K1238" s="19"/>
    </row>
    <row r="1239" spans="1:11" ht="13.2">
      <c r="A1239" s="22"/>
      <c r="B1239" s="16"/>
      <c r="C1239" s="23"/>
      <c r="D1239" s="24"/>
      <c r="E1239" s="25"/>
      <c r="F1239" s="26"/>
      <c r="G1239" s="27"/>
      <c r="H1239" s="20"/>
      <c r="I1239" s="21"/>
      <c r="J1239" s="28"/>
      <c r="K1239" s="19"/>
    </row>
    <row r="1240" spans="1:11" ht="13.2">
      <c r="A1240" s="22"/>
      <c r="B1240" s="16"/>
      <c r="C1240" s="23"/>
      <c r="D1240" s="24"/>
      <c r="E1240" s="25"/>
      <c r="F1240" s="26"/>
      <c r="G1240" s="27"/>
      <c r="H1240" s="20"/>
      <c r="I1240" s="21"/>
      <c r="J1240" s="28"/>
      <c r="K1240" s="19"/>
    </row>
    <row r="1241" spans="1:11" ht="13.2">
      <c r="A1241" s="22"/>
      <c r="B1241" s="16"/>
      <c r="C1241" s="23"/>
      <c r="D1241" s="24"/>
      <c r="E1241" s="25"/>
      <c r="F1241" s="26"/>
      <c r="G1241" s="27"/>
      <c r="H1241" s="20"/>
      <c r="I1241" s="21"/>
      <c r="J1241" s="28"/>
      <c r="K1241" s="19"/>
    </row>
    <row r="1242" spans="1:11" ht="13.2">
      <c r="A1242" s="22"/>
      <c r="B1242" s="16"/>
      <c r="C1242" s="23"/>
      <c r="D1242" s="24"/>
      <c r="E1242" s="25"/>
      <c r="F1242" s="26"/>
      <c r="G1242" s="27"/>
      <c r="H1242" s="20"/>
      <c r="I1242" s="21"/>
      <c r="J1242" s="28"/>
      <c r="K1242" s="19"/>
    </row>
    <row r="1243" spans="1:11" ht="13.2">
      <c r="A1243" s="22"/>
      <c r="B1243" s="16"/>
      <c r="C1243" s="23"/>
      <c r="D1243" s="24"/>
      <c r="E1243" s="25"/>
      <c r="F1243" s="26"/>
      <c r="G1243" s="27"/>
      <c r="H1243" s="20"/>
      <c r="I1243" s="21"/>
      <c r="J1243" s="28"/>
      <c r="K1243" s="19"/>
    </row>
    <row r="1244" spans="1:11" ht="13.2">
      <c r="A1244" s="22"/>
      <c r="B1244" s="16"/>
      <c r="C1244" s="23"/>
      <c r="D1244" s="24"/>
      <c r="E1244" s="25"/>
      <c r="F1244" s="26"/>
      <c r="G1244" s="27"/>
      <c r="H1244" s="20"/>
      <c r="I1244" s="21"/>
      <c r="J1244" s="28"/>
      <c r="K1244" s="19"/>
    </row>
    <row r="1245" spans="1:11" ht="13.2">
      <c r="A1245" s="22"/>
      <c r="B1245" s="16"/>
      <c r="C1245" s="23"/>
      <c r="D1245" s="24"/>
      <c r="E1245" s="25"/>
      <c r="F1245" s="26"/>
      <c r="G1245" s="27"/>
      <c r="H1245" s="20"/>
      <c r="I1245" s="21"/>
      <c r="J1245" s="28"/>
      <c r="K1245" s="19"/>
    </row>
    <row r="1246" spans="1:11" ht="13.2">
      <c r="A1246" s="22"/>
      <c r="B1246" s="16"/>
      <c r="C1246" s="23"/>
      <c r="D1246" s="24"/>
      <c r="E1246" s="25"/>
      <c r="F1246" s="26"/>
      <c r="G1246" s="27"/>
      <c r="H1246" s="20"/>
      <c r="I1246" s="21"/>
      <c r="J1246" s="28"/>
      <c r="K1246" s="19"/>
    </row>
    <row r="1247" spans="1:11" ht="13.2">
      <c r="A1247" s="22"/>
      <c r="B1247" s="16"/>
      <c r="C1247" s="23"/>
      <c r="D1247" s="24"/>
      <c r="E1247" s="25"/>
      <c r="F1247" s="26"/>
      <c r="G1247" s="27"/>
      <c r="H1247" s="20"/>
      <c r="I1247" s="21"/>
      <c r="J1247" s="28"/>
      <c r="K1247" s="19"/>
    </row>
    <row r="1248" spans="1:11" ht="13.2">
      <c r="A1248" s="22"/>
      <c r="B1248" s="16"/>
      <c r="C1248" s="23"/>
      <c r="D1248" s="24"/>
      <c r="E1248" s="25"/>
      <c r="F1248" s="26"/>
      <c r="G1248" s="27"/>
      <c r="H1248" s="20"/>
      <c r="I1248" s="21"/>
      <c r="J1248" s="28"/>
      <c r="K1248" s="19"/>
    </row>
    <row r="1249" spans="1:11" ht="13.2">
      <c r="A1249" s="22"/>
      <c r="B1249" s="16"/>
      <c r="C1249" s="23"/>
      <c r="D1249" s="24"/>
      <c r="E1249" s="25"/>
      <c r="F1249" s="26"/>
      <c r="G1249" s="27"/>
      <c r="H1249" s="20"/>
      <c r="I1249" s="21"/>
      <c r="J1249" s="28"/>
      <c r="K1249" s="19"/>
    </row>
    <row r="1250" spans="1:11" ht="13.2">
      <c r="A1250" s="22"/>
      <c r="B1250" s="16"/>
      <c r="C1250" s="23"/>
      <c r="D1250" s="24"/>
      <c r="E1250" s="25"/>
      <c r="F1250" s="26"/>
      <c r="G1250" s="27"/>
      <c r="H1250" s="20"/>
      <c r="I1250" s="21"/>
      <c r="J1250" s="28"/>
      <c r="K1250" s="19"/>
    </row>
    <row r="1251" spans="1:11" ht="13.2">
      <c r="A1251" s="22"/>
      <c r="B1251" s="16"/>
      <c r="C1251" s="23"/>
      <c r="D1251" s="24"/>
      <c r="E1251" s="25"/>
      <c r="F1251" s="26"/>
      <c r="G1251" s="27"/>
      <c r="H1251" s="20"/>
      <c r="I1251" s="21"/>
      <c r="J1251" s="28"/>
      <c r="K1251" s="19"/>
    </row>
    <row r="1252" spans="1:11" ht="13.2">
      <c r="A1252" s="22"/>
      <c r="B1252" s="16"/>
      <c r="C1252" s="23"/>
      <c r="D1252" s="24"/>
      <c r="E1252" s="25"/>
      <c r="F1252" s="26"/>
      <c r="G1252" s="27"/>
      <c r="H1252" s="20"/>
      <c r="I1252" s="21"/>
      <c r="J1252" s="28"/>
      <c r="K1252" s="19"/>
    </row>
    <row r="1253" spans="1:11" ht="13.2">
      <c r="A1253" s="22"/>
      <c r="B1253" s="16"/>
      <c r="C1253" s="23"/>
      <c r="D1253" s="24"/>
      <c r="E1253" s="25"/>
      <c r="F1253" s="26"/>
      <c r="G1253" s="27"/>
      <c r="H1253" s="20"/>
      <c r="I1253" s="21"/>
      <c r="J1253" s="28"/>
      <c r="K1253" s="19"/>
    </row>
    <row r="1254" spans="1:11" ht="13.2">
      <c r="A1254" s="22"/>
      <c r="B1254" s="16"/>
      <c r="C1254" s="23"/>
      <c r="D1254" s="24"/>
      <c r="E1254" s="25"/>
      <c r="F1254" s="26"/>
      <c r="G1254" s="27"/>
      <c r="H1254" s="20"/>
      <c r="I1254" s="21"/>
      <c r="J1254" s="28"/>
      <c r="K1254" s="19"/>
    </row>
    <row r="1255" spans="1:11" ht="13.2">
      <c r="A1255" s="22"/>
      <c r="B1255" s="16"/>
      <c r="C1255" s="23"/>
      <c r="D1255" s="24"/>
      <c r="E1255" s="25"/>
      <c r="F1255" s="26"/>
      <c r="G1255" s="27"/>
      <c r="H1255" s="20"/>
      <c r="I1255" s="21"/>
      <c r="J1255" s="28"/>
      <c r="K1255" s="19"/>
    </row>
    <row r="1256" spans="1:11" ht="13.2">
      <c r="A1256" s="22"/>
      <c r="B1256" s="16"/>
      <c r="C1256" s="23"/>
      <c r="D1256" s="24"/>
      <c r="E1256" s="25"/>
      <c r="F1256" s="26"/>
      <c r="G1256" s="27"/>
      <c r="H1256" s="20"/>
      <c r="I1256" s="21"/>
      <c r="J1256" s="28"/>
      <c r="K1256" s="19"/>
    </row>
    <row r="1257" spans="1:11" ht="13.2">
      <c r="A1257" s="22"/>
      <c r="B1257" s="16"/>
      <c r="C1257" s="23"/>
      <c r="D1257" s="24"/>
      <c r="E1257" s="25"/>
      <c r="F1257" s="26"/>
      <c r="G1257" s="27"/>
      <c r="H1257" s="20"/>
      <c r="I1257" s="21"/>
      <c r="J1257" s="28"/>
      <c r="K1257" s="19"/>
    </row>
    <row r="1258" spans="1:11" ht="13.2">
      <c r="A1258" s="22"/>
      <c r="B1258" s="16"/>
      <c r="C1258" s="23"/>
      <c r="D1258" s="24"/>
      <c r="E1258" s="25"/>
      <c r="F1258" s="26"/>
      <c r="G1258" s="27"/>
      <c r="H1258" s="20"/>
      <c r="I1258" s="21"/>
      <c r="J1258" s="28"/>
      <c r="K1258" s="19"/>
    </row>
    <row r="1259" spans="1:11" ht="13.2">
      <c r="A1259" s="22"/>
      <c r="B1259" s="16"/>
      <c r="C1259" s="23"/>
      <c r="D1259" s="24"/>
      <c r="E1259" s="25"/>
      <c r="F1259" s="26"/>
      <c r="G1259" s="27"/>
      <c r="H1259" s="20"/>
      <c r="I1259" s="21"/>
      <c r="J1259" s="28"/>
      <c r="K1259" s="19"/>
    </row>
    <row r="1260" spans="1:11" ht="13.2">
      <c r="A1260" s="22"/>
      <c r="B1260" s="16"/>
      <c r="C1260" s="23"/>
      <c r="D1260" s="24"/>
      <c r="E1260" s="25"/>
      <c r="F1260" s="26"/>
      <c r="G1260" s="27"/>
      <c r="H1260" s="20"/>
      <c r="I1260" s="21"/>
      <c r="J1260" s="28"/>
      <c r="K1260" s="19"/>
    </row>
    <row r="1261" spans="1:11" ht="13.2">
      <c r="A1261" s="22"/>
      <c r="B1261" s="16"/>
      <c r="C1261" s="23"/>
      <c r="D1261" s="24"/>
      <c r="E1261" s="25"/>
      <c r="F1261" s="26"/>
      <c r="G1261" s="27"/>
      <c r="H1261" s="20"/>
      <c r="I1261" s="21"/>
      <c r="J1261" s="28"/>
      <c r="K1261" s="19"/>
    </row>
    <row r="1262" spans="1:11" ht="13.2">
      <c r="A1262" s="22"/>
      <c r="B1262" s="16"/>
      <c r="C1262" s="23"/>
      <c r="D1262" s="24"/>
      <c r="E1262" s="25"/>
      <c r="F1262" s="26"/>
      <c r="G1262" s="27"/>
      <c r="H1262" s="20"/>
      <c r="I1262" s="21"/>
      <c r="J1262" s="28"/>
      <c r="K1262" s="19"/>
    </row>
    <row r="1263" spans="1:11" ht="13.2">
      <c r="A1263" s="22"/>
      <c r="B1263" s="16"/>
      <c r="C1263" s="23"/>
      <c r="D1263" s="24"/>
      <c r="E1263" s="25"/>
      <c r="F1263" s="26"/>
      <c r="G1263" s="27"/>
      <c r="H1263" s="20"/>
      <c r="I1263" s="21"/>
      <c r="J1263" s="28"/>
      <c r="K1263" s="19"/>
    </row>
    <row r="1264" spans="1:11" ht="13.2">
      <c r="A1264" s="22"/>
      <c r="B1264" s="16"/>
      <c r="C1264" s="23"/>
      <c r="D1264" s="24"/>
      <c r="E1264" s="25"/>
      <c r="F1264" s="26"/>
      <c r="G1264" s="27"/>
      <c r="H1264" s="20"/>
      <c r="I1264" s="21"/>
      <c r="J1264" s="28"/>
      <c r="K1264" s="19"/>
    </row>
    <row r="1265" spans="1:11" ht="13.2">
      <c r="A1265" s="22"/>
      <c r="B1265" s="16"/>
      <c r="C1265" s="23"/>
      <c r="D1265" s="24"/>
      <c r="E1265" s="25"/>
      <c r="F1265" s="26"/>
      <c r="G1265" s="27"/>
      <c r="H1265" s="20"/>
      <c r="I1265" s="21"/>
      <c r="J1265" s="28"/>
      <c r="K1265" s="19"/>
    </row>
    <row r="1266" spans="1:11" ht="13.2">
      <c r="A1266" s="22"/>
      <c r="B1266" s="16"/>
      <c r="C1266" s="23"/>
      <c r="D1266" s="24"/>
      <c r="E1266" s="25"/>
      <c r="F1266" s="26"/>
      <c r="G1266" s="27"/>
      <c r="H1266" s="20"/>
      <c r="I1266" s="21"/>
      <c r="J1266" s="28"/>
      <c r="K1266" s="19"/>
    </row>
    <row r="1267" spans="1:11" ht="13.2">
      <c r="A1267" s="22"/>
      <c r="B1267" s="16"/>
      <c r="C1267" s="23"/>
      <c r="D1267" s="24"/>
      <c r="E1267" s="25"/>
      <c r="F1267" s="26"/>
      <c r="G1267" s="27"/>
      <c r="H1267" s="20"/>
      <c r="I1267" s="21"/>
      <c r="J1267" s="28"/>
      <c r="K1267" s="19"/>
    </row>
    <row r="1268" spans="1:11" ht="13.2">
      <c r="A1268" s="22"/>
      <c r="B1268" s="16"/>
      <c r="C1268" s="23"/>
      <c r="D1268" s="24"/>
      <c r="E1268" s="25"/>
      <c r="F1268" s="26"/>
      <c r="G1268" s="27"/>
      <c r="H1268" s="20"/>
      <c r="I1268" s="21"/>
      <c r="J1268" s="28"/>
      <c r="K1268" s="19"/>
    </row>
    <row r="1269" spans="1:11" ht="13.2">
      <c r="A1269" s="22"/>
      <c r="B1269" s="16"/>
      <c r="C1269" s="23"/>
      <c r="D1269" s="24"/>
      <c r="E1269" s="25"/>
      <c r="F1269" s="26"/>
      <c r="G1269" s="27"/>
      <c r="H1269" s="20"/>
      <c r="I1269" s="21"/>
      <c r="J1269" s="28"/>
      <c r="K1269" s="19"/>
    </row>
    <row r="1270" spans="1:11" ht="13.2">
      <c r="A1270" s="22"/>
      <c r="B1270" s="16"/>
      <c r="C1270" s="23"/>
      <c r="D1270" s="24"/>
      <c r="E1270" s="25"/>
      <c r="F1270" s="26"/>
      <c r="G1270" s="27"/>
      <c r="H1270" s="20"/>
      <c r="I1270" s="21"/>
      <c r="J1270" s="28"/>
      <c r="K1270" s="19"/>
    </row>
    <row r="1271" spans="1:11" ht="13.2">
      <c r="A1271" s="22"/>
      <c r="B1271" s="16"/>
      <c r="C1271" s="23"/>
      <c r="D1271" s="24"/>
      <c r="E1271" s="25"/>
      <c r="F1271" s="26"/>
      <c r="G1271" s="27"/>
      <c r="H1271" s="20"/>
      <c r="I1271" s="21"/>
      <c r="J1271" s="28"/>
      <c r="K1271" s="19"/>
    </row>
    <row r="1272" spans="1:11" ht="13.2">
      <c r="A1272" s="22"/>
      <c r="B1272" s="16"/>
      <c r="C1272" s="23"/>
      <c r="D1272" s="24"/>
      <c r="E1272" s="25"/>
      <c r="F1272" s="26"/>
      <c r="G1272" s="27"/>
      <c r="H1272" s="20"/>
      <c r="I1272" s="21"/>
      <c r="J1272" s="28"/>
      <c r="K1272" s="19"/>
    </row>
    <row r="1273" spans="1:11" ht="13.2">
      <c r="A1273" s="22"/>
      <c r="B1273" s="16"/>
      <c r="C1273" s="23"/>
      <c r="D1273" s="24"/>
      <c r="E1273" s="25"/>
      <c r="F1273" s="26"/>
      <c r="G1273" s="27"/>
      <c r="H1273" s="20"/>
      <c r="I1273" s="21"/>
      <c r="J1273" s="28"/>
      <c r="K1273" s="19"/>
    </row>
    <row r="1274" spans="1:11" ht="13.2">
      <c r="A1274" s="22"/>
      <c r="B1274" s="16"/>
      <c r="C1274" s="23"/>
      <c r="D1274" s="24"/>
      <c r="E1274" s="25"/>
      <c r="F1274" s="26"/>
      <c r="G1274" s="27"/>
      <c r="H1274" s="20"/>
      <c r="I1274" s="21"/>
      <c r="J1274" s="28"/>
      <c r="K1274" s="19"/>
    </row>
    <row r="1275" spans="1:11" ht="13.2">
      <c r="A1275" s="22"/>
      <c r="B1275" s="16"/>
      <c r="C1275" s="23"/>
      <c r="D1275" s="24"/>
      <c r="E1275" s="25"/>
      <c r="F1275" s="26"/>
      <c r="G1275" s="27"/>
      <c r="H1275" s="20"/>
      <c r="I1275" s="21"/>
      <c r="J1275" s="28"/>
      <c r="K1275" s="19"/>
    </row>
    <row r="1276" spans="1:11" ht="13.2">
      <c r="A1276" s="22"/>
      <c r="B1276" s="16"/>
      <c r="C1276" s="23"/>
      <c r="D1276" s="24"/>
      <c r="E1276" s="25"/>
      <c r="F1276" s="26"/>
      <c r="G1276" s="27"/>
      <c r="H1276" s="20"/>
      <c r="I1276" s="21"/>
      <c r="J1276" s="28"/>
      <c r="K1276" s="19"/>
    </row>
    <row r="1277" spans="1:11" ht="13.2">
      <c r="A1277" s="22"/>
      <c r="B1277" s="16"/>
      <c r="C1277" s="23"/>
      <c r="D1277" s="24"/>
      <c r="E1277" s="25"/>
      <c r="F1277" s="26"/>
      <c r="G1277" s="27"/>
      <c r="H1277" s="20"/>
      <c r="I1277" s="21"/>
      <c r="J1277" s="28"/>
      <c r="K1277" s="19"/>
    </row>
    <row r="1278" spans="1:11" ht="13.2">
      <c r="A1278" s="22"/>
      <c r="B1278" s="16"/>
      <c r="C1278" s="23"/>
      <c r="D1278" s="24"/>
      <c r="E1278" s="25"/>
      <c r="F1278" s="26"/>
      <c r="G1278" s="27"/>
      <c r="H1278" s="20"/>
      <c r="I1278" s="21"/>
      <c r="J1278" s="28"/>
      <c r="K1278" s="19"/>
    </row>
    <row r="1279" spans="1:11" ht="13.2">
      <c r="A1279" s="22"/>
      <c r="B1279" s="16"/>
      <c r="C1279" s="23"/>
      <c r="D1279" s="24"/>
      <c r="E1279" s="25"/>
      <c r="F1279" s="26"/>
      <c r="G1279" s="27"/>
      <c r="H1279" s="20"/>
      <c r="I1279" s="21"/>
      <c r="J1279" s="28"/>
      <c r="K1279" s="19"/>
    </row>
    <row r="1280" spans="1:11" ht="13.2">
      <c r="A1280" s="22"/>
      <c r="B1280" s="16"/>
      <c r="C1280" s="23"/>
      <c r="D1280" s="24"/>
      <c r="E1280" s="25"/>
      <c r="F1280" s="26"/>
      <c r="G1280" s="27"/>
      <c r="H1280" s="20"/>
      <c r="I1280" s="21"/>
      <c r="J1280" s="28"/>
      <c r="K1280" s="19"/>
    </row>
    <row r="1281" spans="1:11" ht="13.2">
      <c r="A1281" s="22"/>
      <c r="B1281" s="16"/>
      <c r="C1281" s="23"/>
      <c r="D1281" s="24"/>
      <c r="E1281" s="25"/>
      <c r="F1281" s="26"/>
      <c r="G1281" s="27"/>
      <c r="H1281" s="20"/>
      <c r="I1281" s="21"/>
      <c r="J1281" s="28"/>
      <c r="K1281" s="19"/>
    </row>
    <row r="1282" spans="1:11" ht="13.2">
      <c r="A1282" s="22"/>
      <c r="B1282" s="16"/>
      <c r="C1282" s="23"/>
      <c r="D1282" s="24"/>
      <c r="E1282" s="25"/>
      <c r="F1282" s="26"/>
      <c r="G1282" s="27"/>
      <c r="H1282" s="20"/>
      <c r="I1282" s="21"/>
      <c r="J1282" s="28"/>
      <c r="K1282" s="19"/>
    </row>
    <row r="1283" spans="1:11" ht="13.2">
      <c r="A1283" s="22"/>
      <c r="B1283" s="16"/>
      <c r="C1283" s="23"/>
      <c r="D1283" s="24"/>
      <c r="E1283" s="25"/>
      <c r="F1283" s="26"/>
      <c r="G1283" s="27"/>
      <c r="H1283" s="20"/>
      <c r="I1283" s="21"/>
      <c r="J1283" s="28"/>
      <c r="K1283" s="19"/>
    </row>
    <row r="1284" spans="1:11" ht="13.2">
      <c r="A1284" s="22"/>
      <c r="B1284" s="16"/>
      <c r="C1284" s="23"/>
      <c r="D1284" s="24"/>
      <c r="E1284" s="25"/>
      <c r="F1284" s="26"/>
      <c r="G1284" s="27"/>
      <c r="H1284" s="20"/>
      <c r="I1284" s="21"/>
      <c r="J1284" s="28"/>
      <c r="K1284" s="19"/>
    </row>
    <row r="1285" spans="1:11" ht="13.2">
      <c r="A1285" s="22"/>
      <c r="B1285" s="16"/>
      <c r="C1285" s="23"/>
      <c r="D1285" s="24"/>
      <c r="E1285" s="25"/>
      <c r="F1285" s="26"/>
      <c r="G1285" s="27"/>
      <c r="H1285" s="20"/>
      <c r="I1285" s="21"/>
      <c r="J1285" s="28"/>
      <c r="K1285" s="19"/>
    </row>
    <row r="1286" spans="1:11" ht="13.2">
      <c r="A1286" s="22"/>
      <c r="B1286" s="16"/>
      <c r="C1286" s="23"/>
      <c r="D1286" s="24"/>
      <c r="E1286" s="25"/>
      <c r="F1286" s="26"/>
      <c r="G1286" s="27"/>
      <c r="H1286" s="20"/>
      <c r="I1286" s="21"/>
      <c r="J1286" s="28"/>
      <c r="K1286" s="19"/>
    </row>
    <row r="1287" spans="1:11" ht="13.2">
      <c r="A1287" s="22"/>
      <c r="B1287" s="16"/>
      <c r="C1287" s="23"/>
      <c r="D1287" s="24"/>
      <c r="E1287" s="25"/>
      <c r="F1287" s="26"/>
      <c r="G1287" s="27"/>
      <c r="H1287" s="20"/>
      <c r="I1287" s="21"/>
      <c r="J1287" s="28"/>
      <c r="K1287" s="19"/>
    </row>
    <row r="1288" spans="1:11" ht="13.2">
      <c r="A1288" s="22"/>
      <c r="B1288" s="16"/>
      <c r="C1288" s="23"/>
      <c r="D1288" s="24"/>
      <c r="E1288" s="25"/>
      <c r="F1288" s="26"/>
      <c r="G1288" s="27"/>
      <c r="H1288" s="20"/>
      <c r="I1288" s="21"/>
      <c r="J1288" s="28"/>
      <c r="K1288" s="19"/>
    </row>
    <row r="1289" spans="1:11" ht="13.2">
      <c r="A1289" s="22"/>
      <c r="B1289" s="16"/>
      <c r="C1289" s="23"/>
      <c r="D1289" s="24"/>
      <c r="E1289" s="25"/>
      <c r="F1289" s="26"/>
      <c r="G1289" s="27"/>
      <c r="H1289" s="20"/>
      <c r="I1289" s="21"/>
      <c r="J1289" s="28"/>
      <c r="K1289" s="19"/>
    </row>
    <row r="1290" spans="1:11" ht="13.2">
      <c r="A1290" s="22"/>
      <c r="B1290" s="16"/>
      <c r="C1290" s="23"/>
      <c r="D1290" s="24"/>
      <c r="E1290" s="25"/>
      <c r="F1290" s="26"/>
      <c r="G1290" s="27"/>
      <c r="H1290" s="20"/>
      <c r="I1290" s="21"/>
      <c r="J1290" s="28"/>
      <c r="K1290" s="19"/>
    </row>
    <row r="1291" spans="1:11" ht="13.2">
      <c r="A1291" s="22"/>
      <c r="B1291" s="16"/>
      <c r="C1291" s="23"/>
      <c r="D1291" s="24"/>
      <c r="E1291" s="25"/>
      <c r="F1291" s="26"/>
      <c r="G1291" s="27"/>
      <c r="H1291" s="20"/>
      <c r="I1291" s="21"/>
      <c r="J1291" s="28"/>
      <c r="K1291" s="19"/>
    </row>
    <row r="1292" spans="1:11" ht="13.2">
      <c r="A1292" s="22"/>
      <c r="B1292" s="16"/>
      <c r="C1292" s="23"/>
      <c r="D1292" s="24"/>
      <c r="E1292" s="25"/>
      <c r="F1292" s="26"/>
      <c r="G1292" s="27"/>
      <c r="H1292" s="20"/>
      <c r="I1292" s="21"/>
      <c r="J1292" s="28"/>
      <c r="K1292" s="19"/>
    </row>
    <row r="1293" spans="1:11" ht="13.2">
      <c r="A1293" s="22"/>
      <c r="B1293" s="16"/>
      <c r="C1293" s="23"/>
      <c r="D1293" s="24"/>
      <c r="E1293" s="25"/>
      <c r="F1293" s="26"/>
      <c r="G1293" s="27"/>
      <c r="H1293" s="20"/>
      <c r="I1293" s="21"/>
      <c r="J1293" s="28"/>
      <c r="K1293" s="19"/>
    </row>
    <row r="1294" spans="1:11" ht="13.2">
      <c r="A1294" s="22"/>
      <c r="B1294" s="16"/>
      <c r="C1294" s="23"/>
      <c r="D1294" s="24"/>
      <c r="E1294" s="25"/>
      <c r="F1294" s="26"/>
      <c r="G1294" s="27"/>
      <c r="H1294" s="20"/>
      <c r="I1294" s="21"/>
      <c r="J1294" s="28"/>
      <c r="K1294" s="19"/>
    </row>
    <row r="1295" spans="1:11" ht="13.2">
      <c r="A1295" s="22"/>
      <c r="B1295" s="16"/>
      <c r="C1295" s="23"/>
      <c r="D1295" s="24"/>
      <c r="E1295" s="25"/>
      <c r="F1295" s="26"/>
      <c r="G1295" s="27"/>
      <c r="H1295" s="20"/>
      <c r="I1295" s="21"/>
      <c r="J1295" s="28"/>
      <c r="K1295" s="19"/>
    </row>
    <row r="1296" spans="1:11" ht="13.2">
      <c r="A1296" s="22"/>
      <c r="B1296" s="16"/>
      <c r="C1296" s="23"/>
      <c r="D1296" s="24"/>
      <c r="E1296" s="25"/>
      <c r="F1296" s="26"/>
      <c r="G1296" s="27"/>
      <c r="H1296" s="20"/>
      <c r="I1296" s="21"/>
      <c r="J1296" s="28"/>
      <c r="K1296" s="19"/>
    </row>
    <row r="1297" spans="1:11" ht="13.2">
      <c r="A1297" s="22"/>
      <c r="B1297" s="16"/>
      <c r="C1297" s="23"/>
      <c r="D1297" s="24"/>
      <c r="E1297" s="25"/>
      <c r="F1297" s="26"/>
      <c r="G1297" s="27"/>
      <c r="H1297" s="20"/>
      <c r="I1297" s="21"/>
      <c r="J1297" s="28"/>
      <c r="K1297" s="19"/>
    </row>
    <row r="1298" spans="1:11" ht="13.2">
      <c r="A1298" s="22"/>
      <c r="B1298" s="16"/>
      <c r="C1298" s="23"/>
      <c r="D1298" s="24"/>
      <c r="E1298" s="25"/>
      <c r="F1298" s="26"/>
      <c r="G1298" s="27"/>
      <c r="H1298" s="20"/>
      <c r="I1298" s="21"/>
      <c r="J1298" s="28"/>
      <c r="K1298" s="19"/>
    </row>
    <row r="1299" spans="1:11" ht="13.2">
      <c r="A1299" s="22"/>
      <c r="B1299" s="16"/>
      <c r="C1299" s="23"/>
      <c r="D1299" s="24"/>
      <c r="E1299" s="25"/>
      <c r="F1299" s="26"/>
      <c r="G1299" s="27"/>
      <c r="H1299" s="20"/>
      <c r="I1299" s="21"/>
      <c r="J1299" s="28"/>
      <c r="K1299" s="19"/>
    </row>
    <row r="1300" spans="1:11" ht="13.2">
      <c r="A1300" s="22"/>
      <c r="B1300" s="16"/>
      <c r="C1300" s="23"/>
      <c r="D1300" s="24"/>
      <c r="E1300" s="25"/>
      <c r="F1300" s="26"/>
      <c r="G1300" s="27"/>
      <c r="H1300" s="20"/>
      <c r="I1300" s="21"/>
      <c r="J1300" s="28"/>
      <c r="K1300" s="19"/>
    </row>
    <row r="1301" spans="1:11" ht="13.2">
      <c r="A1301" s="22"/>
      <c r="B1301" s="16"/>
      <c r="C1301" s="23"/>
      <c r="D1301" s="24"/>
      <c r="E1301" s="25"/>
      <c r="F1301" s="26"/>
      <c r="G1301" s="27"/>
      <c r="H1301" s="20"/>
      <c r="I1301" s="21"/>
      <c r="J1301" s="28"/>
      <c r="K1301" s="19"/>
    </row>
    <row r="1302" spans="1:11" ht="13.2">
      <c r="A1302" s="22"/>
      <c r="B1302" s="16"/>
      <c r="C1302" s="23"/>
      <c r="D1302" s="24"/>
      <c r="E1302" s="25"/>
      <c r="F1302" s="26"/>
      <c r="G1302" s="27"/>
      <c r="H1302" s="20"/>
      <c r="I1302" s="21"/>
      <c r="J1302" s="28"/>
      <c r="K1302" s="19"/>
    </row>
    <row r="1303" spans="1:11" ht="13.2">
      <c r="A1303" s="22"/>
      <c r="B1303" s="16"/>
      <c r="C1303" s="23"/>
      <c r="D1303" s="24"/>
      <c r="E1303" s="25"/>
      <c r="F1303" s="26"/>
      <c r="G1303" s="27"/>
      <c r="H1303" s="20"/>
      <c r="I1303" s="21"/>
      <c r="J1303" s="28"/>
      <c r="K1303" s="19"/>
    </row>
    <row r="1304" spans="1:11" ht="13.2">
      <c r="A1304" s="22"/>
      <c r="B1304" s="16"/>
      <c r="C1304" s="23"/>
      <c r="D1304" s="24"/>
      <c r="E1304" s="25"/>
      <c r="F1304" s="26"/>
      <c r="G1304" s="27"/>
      <c r="H1304" s="20"/>
      <c r="I1304" s="21"/>
      <c r="J1304" s="28"/>
      <c r="K1304" s="19"/>
    </row>
    <row r="1305" spans="1:11" ht="13.2">
      <c r="A1305" s="22"/>
      <c r="B1305" s="16"/>
      <c r="C1305" s="23"/>
      <c r="D1305" s="24"/>
      <c r="E1305" s="25"/>
      <c r="F1305" s="26"/>
      <c r="G1305" s="27"/>
      <c r="H1305" s="20"/>
      <c r="I1305" s="21"/>
      <c r="J1305" s="28"/>
      <c r="K1305" s="19"/>
    </row>
    <row r="1306" spans="1:11" ht="13.2">
      <c r="A1306" s="22"/>
      <c r="B1306" s="16"/>
      <c r="C1306" s="23"/>
      <c r="D1306" s="24"/>
      <c r="E1306" s="25"/>
      <c r="F1306" s="26"/>
      <c r="G1306" s="27"/>
      <c r="H1306" s="20"/>
      <c r="I1306" s="21"/>
      <c r="J1306" s="28"/>
      <c r="K1306" s="19"/>
    </row>
    <row r="1307" spans="1:11" ht="13.2">
      <c r="A1307" s="22"/>
      <c r="B1307" s="16"/>
      <c r="C1307" s="23"/>
      <c r="D1307" s="24"/>
      <c r="E1307" s="25"/>
      <c r="F1307" s="26"/>
      <c r="G1307" s="27"/>
      <c r="H1307" s="20"/>
      <c r="I1307" s="21"/>
      <c r="J1307" s="28"/>
      <c r="K1307" s="19"/>
    </row>
    <row r="1308" spans="1:11" ht="13.2">
      <c r="A1308" s="22"/>
      <c r="B1308" s="16"/>
      <c r="C1308" s="23"/>
      <c r="D1308" s="24"/>
      <c r="E1308" s="25"/>
      <c r="F1308" s="26"/>
      <c r="G1308" s="27"/>
      <c r="H1308" s="20"/>
      <c r="I1308" s="21"/>
      <c r="J1308" s="28"/>
      <c r="K1308" s="19"/>
    </row>
    <row r="1309" spans="1:11" ht="13.2">
      <c r="A1309" s="22"/>
      <c r="B1309" s="16"/>
      <c r="C1309" s="23"/>
      <c r="D1309" s="24"/>
      <c r="E1309" s="25"/>
      <c r="F1309" s="26"/>
      <c r="G1309" s="27"/>
      <c r="H1309" s="20"/>
      <c r="I1309" s="21"/>
      <c r="J1309" s="28"/>
      <c r="K1309" s="19"/>
    </row>
    <row r="1310" spans="1:11" ht="13.2">
      <c r="A1310" s="22"/>
      <c r="B1310" s="16"/>
      <c r="C1310" s="23"/>
      <c r="D1310" s="24"/>
      <c r="E1310" s="25"/>
      <c r="F1310" s="26"/>
      <c r="G1310" s="27"/>
      <c r="H1310" s="20"/>
      <c r="I1310" s="21"/>
      <c r="J1310" s="28"/>
      <c r="K1310" s="19"/>
    </row>
    <row r="1311" spans="1:11" ht="13.2">
      <c r="A1311" s="22"/>
      <c r="B1311" s="16"/>
      <c r="C1311" s="23"/>
      <c r="D1311" s="24"/>
      <c r="E1311" s="25"/>
      <c r="F1311" s="26"/>
      <c r="G1311" s="27"/>
      <c r="H1311" s="20"/>
      <c r="I1311" s="21"/>
      <c r="J1311" s="28"/>
      <c r="K1311" s="19"/>
    </row>
    <row r="1312" spans="1:11" ht="13.2">
      <c r="A1312" s="22"/>
      <c r="B1312" s="16"/>
      <c r="C1312" s="23"/>
      <c r="D1312" s="24"/>
      <c r="E1312" s="25"/>
      <c r="F1312" s="26"/>
      <c r="G1312" s="27"/>
      <c r="H1312" s="20"/>
      <c r="I1312" s="21"/>
      <c r="J1312" s="28"/>
      <c r="K1312" s="19"/>
    </row>
    <row r="1313" spans="1:11" ht="13.2">
      <c r="A1313" s="22"/>
      <c r="B1313" s="16"/>
      <c r="C1313" s="23"/>
      <c r="D1313" s="24"/>
      <c r="E1313" s="25"/>
      <c r="F1313" s="26"/>
      <c r="G1313" s="27"/>
      <c r="H1313" s="20"/>
      <c r="I1313" s="21"/>
      <c r="J1313" s="28"/>
      <c r="K1313" s="19"/>
    </row>
    <row r="1314" spans="1:11" ht="13.2">
      <c r="A1314" s="22"/>
      <c r="B1314" s="16"/>
      <c r="C1314" s="23"/>
      <c r="D1314" s="24"/>
      <c r="E1314" s="25"/>
      <c r="F1314" s="26"/>
      <c r="G1314" s="27"/>
      <c r="H1314" s="20"/>
      <c r="I1314" s="21"/>
      <c r="J1314" s="28"/>
      <c r="K1314" s="19"/>
    </row>
    <row r="1315" spans="1:11" ht="13.2">
      <c r="A1315" s="22"/>
      <c r="B1315" s="16"/>
      <c r="C1315" s="23"/>
      <c r="D1315" s="24"/>
      <c r="E1315" s="25"/>
      <c r="F1315" s="26"/>
      <c r="G1315" s="27"/>
      <c r="H1315" s="20"/>
      <c r="I1315" s="21"/>
      <c r="J1315" s="28"/>
      <c r="K1315" s="19"/>
    </row>
    <row r="1316" spans="1:11" ht="13.2">
      <c r="A1316" s="22"/>
      <c r="B1316" s="16"/>
      <c r="C1316" s="23"/>
      <c r="D1316" s="24"/>
      <c r="E1316" s="25"/>
      <c r="F1316" s="26"/>
      <c r="G1316" s="27"/>
      <c r="H1316" s="20"/>
      <c r="I1316" s="21"/>
      <c r="J1316" s="28"/>
      <c r="K1316" s="19"/>
    </row>
    <row r="1317" spans="1:11" ht="13.2">
      <c r="A1317" s="22"/>
      <c r="B1317" s="16"/>
      <c r="C1317" s="23"/>
      <c r="D1317" s="24"/>
      <c r="E1317" s="25"/>
      <c r="F1317" s="26"/>
      <c r="G1317" s="27"/>
      <c r="H1317" s="20"/>
      <c r="I1317" s="21"/>
      <c r="J1317" s="28"/>
      <c r="K1317" s="19"/>
    </row>
    <row r="1318" spans="1:11" ht="13.2">
      <c r="A1318" s="22"/>
      <c r="B1318" s="16"/>
      <c r="C1318" s="23"/>
      <c r="D1318" s="24"/>
      <c r="E1318" s="25"/>
      <c r="F1318" s="26"/>
      <c r="G1318" s="27"/>
      <c r="H1318" s="20"/>
      <c r="I1318" s="21"/>
      <c r="J1318" s="28"/>
      <c r="K1318" s="19"/>
    </row>
    <row r="1319" spans="1:11" ht="13.2">
      <c r="A1319" s="22"/>
      <c r="B1319" s="16"/>
      <c r="C1319" s="23"/>
      <c r="D1319" s="24"/>
      <c r="E1319" s="25"/>
      <c r="F1319" s="26"/>
      <c r="G1319" s="27"/>
      <c r="H1319" s="20"/>
      <c r="I1319" s="21"/>
      <c r="J1319" s="28"/>
      <c r="K1319" s="19"/>
    </row>
    <row r="1320" spans="1:11" ht="13.2">
      <c r="A1320" s="22"/>
      <c r="B1320" s="16"/>
      <c r="C1320" s="23"/>
      <c r="D1320" s="24"/>
      <c r="E1320" s="25"/>
      <c r="F1320" s="26"/>
      <c r="G1320" s="27"/>
      <c r="H1320" s="20"/>
      <c r="I1320" s="21"/>
      <c r="J1320" s="28"/>
      <c r="K1320" s="19"/>
    </row>
    <row r="1321" spans="1:11" ht="13.2">
      <c r="A1321" s="22"/>
      <c r="B1321" s="16"/>
      <c r="C1321" s="23"/>
      <c r="D1321" s="24"/>
      <c r="E1321" s="25"/>
      <c r="F1321" s="26"/>
      <c r="G1321" s="27"/>
      <c r="H1321" s="20"/>
      <c r="I1321" s="21"/>
      <c r="J1321" s="28"/>
      <c r="K1321" s="19"/>
    </row>
    <row r="1322" spans="1:11" ht="13.2">
      <c r="A1322" s="22"/>
      <c r="B1322" s="16"/>
      <c r="C1322" s="23"/>
      <c r="D1322" s="24"/>
      <c r="E1322" s="25"/>
      <c r="F1322" s="26"/>
      <c r="G1322" s="27"/>
      <c r="H1322" s="20"/>
      <c r="I1322" s="21"/>
      <c r="J1322" s="28"/>
      <c r="K1322" s="19"/>
    </row>
    <row r="1323" spans="1:11" ht="13.2">
      <c r="A1323" s="22"/>
      <c r="B1323" s="16"/>
      <c r="C1323" s="23"/>
      <c r="D1323" s="24"/>
      <c r="E1323" s="25"/>
      <c r="F1323" s="26"/>
      <c r="G1323" s="27"/>
      <c r="H1323" s="20"/>
      <c r="I1323" s="21"/>
      <c r="J1323" s="28"/>
      <c r="K1323" s="19"/>
    </row>
    <row r="1324" spans="1:11" ht="13.2">
      <c r="A1324" s="22"/>
      <c r="B1324" s="16"/>
      <c r="C1324" s="23"/>
      <c r="D1324" s="24"/>
      <c r="E1324" s="25"/>
      <c r="F1324" s="26"/>
      <c r="G1324" s="27"/>
      <c r="H1324" s="20"/>
      <c r="I1324" s="21"/>
      <c r="J1324" s="28"/>
      <c r="K1324" s="19"/>
    </row>
    <row r="1325" spans="1:11" ht="13.2">
      <c r="A1325" s="22"/>
      <c r="B1325" s="16"/>
      <c r="C1325" s="23"/>
      <c r="D1325" s="24"/>
      <c r="E1325" s="25"/>
      <c r="F1325" s="26"/>
      <c r="G1325" s="27"/>
      <c r="H1325" s="20"/>
      <c r="I1325" s="21"/>
      <c r="J1325" s="28"/>
      <c r="K1325" s="19"/>
    </row>
    <row r="1326" spans="1:11" ht="13.2">
      <c r="A1326" s="22"/>
      <c r="B1326" s="16"/>
      <c r="C1326" s="23"/>
      <c r="D1326" s="24"/>
      <c r="E1326" s="25"/>
      <c r="F1326" s="26"/>
      <c r="G1326" s="27"/>
      <c r="H1326" s="20"/>
      <c r="I1326" s="21"/>
      <c r="J1326" s="28"/>
      <c r="K1326" s="19"/>
    </row>
    <row r="1327" spans="1:11" ht="13.2">
      <c r="A1327" s="22"/>
      <c r="B1327" s="16"/>
      <c r="C1327" s="23"/>
      <c r="D1327" s="24"/>
      <c r="E1327" s="25"/>
      <c r="F1327" s="26"/>
      <c r="G1327" s="27"/>
      <c r="H1327" s="20"/>
      <c r="I1327" s="21"/>
      <c r="J1327" s="28"/>
      <c r="K1327" s="19"/>
    </row>
    <row r="1328" spans="1:11" ht="13.2">
      <c r="A1328" s="22"/>
      <c r="B1328" s="16"/>
      <c r="C1328" s="23"/>
      <c r="D1328" s="24"/>
      <c r="E1328" s="25"/>
      <c r="F1328" s="26"/>
      <c r="G1328" s="27"/>
      <c r="H1328" s="20"/>
      <c r="I1328" s="21"/>
      <c r="J1328" s="28"/>
      <c r="K1328" s="19"/>
    </row>
    <row r="1329" spans="1:11" ht="13.2">
      <c r="A1329" s="22"/>
      <c r="B1329" s="16"/>
      <c r="C1329" s="23"/>
      <c r="D1329" s="24"/>
      <c r="E1329" s="25"/>
      <c r="F1329" s="26"/>
      <c r="G1329" s="27"/>
      <c r="H1329" s="20"/>
      <c r="I1329" s="21"/>
      <c r="J1329" s="28"/>
      <c r="K1329" s="19"/>
    </row>
    <row r="1330" spans="1:11" ht="13.2">
      <c r="A1330" s="22"/>
      <c r="B1330" s="16"/>
      <c r="C1330" s="23"/>
      <c r="D1330" s="24"/>
      <c r="E1330" s="25"/>
      <c r="F1330" s="26"/>
      <c r="G1330" s="27"/>
      <c r="H1330" s="20"/>
      <c r="I1330" s="21"/>
      <c r="J1330" s="28"/>
      <c r="K1330" s="19"/>
    </row>
    <row r="1331" spans="1:11" ht="13.2">
      <c r="A1331" s="22"/>
      <c r="B1331" s="16"/>
      <c r="C1331" s="23"/>
      <c r="D1331" s="24"/>
      <c r="E1331" s="25"/>
      <c r="F1331" s="26"/>
      <c r="G1331" s="27"/>
      <c r="H1331" s="20"/>
      <c r="I1331" s="21"/>
      <c r="J1331" s="28"/>
      <c r="K1331" s="19"/>
    </row>
    <row r="1332" spans="1:11" ht="13.2">
      <c r="A1332" s="22"/>
      <c r="B1332" s="16"/>
      <c r="C1332" s="23"/>
      <c r="D1332" s="24"/>
      <c r="E1332" s="25"/>
      <c r="F1332" s="26"/>
      <c r="G1332" s="27"/>
      <c r="H1332" s="20"/>
      <c r="I1332" s="21"/>
      <c r="J1332" s="28"/>
      <c r="K1332" s="19"/>
    </row>
    <row r="1333" spans="1:11" ht="13.2">
      <c r="A1333" s="22"/>
      <c r="B1333" s="16"/>
      <c r="C1333" s="23"/>
      <c r="D1333" s="24"/>
      <c r="E1333" s="25"/>
      <c r="F1333" s="26"/>
      <c r="G1333" s="27"/>
      <c r="H1333" s="20"/>
      <c r="I1333" s="21"/>
      <c r="J1333" s="28"/>
      <c r="K1333" s="19"/>
    </row>
    <row r="1334" spans="1:11" ht="13.2">
      <c r="A1334" s="22"/>
      <c r="B1334" s="16"/>
      <c r="C1334" s="23"/>
      <c r="D1334" s="24"/>
      <c r="E1334" s="25"/>
      <c r="F1334" s="26"/>
      <c r="G1334" s="27"/>
      <c r="H1334" s="20"/>
      <c r="I1334" s="21"/>
      <c r="J1334" s="28"/>
      <c r="K1334" s="19"/>
    </row>
    <row r="1335" spans="1:11" ht="13.2">
      <c r="A1335" s="22"/>
      <c r="B1335" s="16"/>
      <c r="C1335" s="23"/>
      <c r="D1335" s="24"/>
      <c r="E1335" s="25"/>
      <c r="F1335" s="26"/>
      <c r="G1335" s="27"/>
      <c r="H1335" s="20"/>
      <c r="I1335" s="21"/>
      <c r="J1335" s="28"/>
      <c r="K1335" s="19"/>
    </row>
    <row r="1336" spans="1:11" ht="13.2">
      <c r="A1336" s="22"/>
      <c r="B1336" s="16"/>
      <c r="C1336" s="23"/>
      <c r="D1336" s="24"/>
      <c r="E1336" s="25"/>
      <c r="F1336" s="26"/>
      <c r="G1336" s="27"/>
      <c r="H1336" s="20"/>
      <c r="I1336" s="21"/>
      <c r="J1336" s="28"/>
      <c r="K1336" s="19"/>
    </row>
    <row r="1337" spans="1:11" ht="13.2">
      <c r="A1337" s="22"/>
      <c r="B1337" s="16"/>
      <c r="C1337" s="23"/>
      <c r="D1337" s="24"/>
      <c r="E1337" s="25"/>
      <c r="F1337" s="26"/>
      <c r="G1337" s="27"/>
      <c r="H1337" s="20"/>
      <c r="I1337" s="21"/>
      <c r="J1337" s="28"/>
      <c r="K1337" s="19"/>
    </row>
    <row r="1338" spans="1:11" ht="13.2">
      <c r="A1338" s="22"/>
      <c r="B1338" s="16"/>
      <c r="C1338" s="23"/>
      <c r="D1338" s="24"/>
      <c r="E1338" s="25"/>
      <c r="F1338" s="26"/>
      <c r="G1338" s="27"/>
      <c r="H1338" s="20"/>
      <c r="I1338" s="21"/>
      <c r="J1338" s="28"/>
      <c r="K1338" s="19"/>
    </row>
    <row r="1339" spans="1:11" ht="13.2">
      <c r="A1339" s="22"/>
      <c r="B1339" s="16"/>
      <c r="C1339" s="23"/>
      <c r="D1339" s="24"/>
      <c r="E1339" s="25"/>
      <c r="F1339" s="26"/>
      <c r="G1339" s="27"/>
      <c r="H1339" s="20"/>
      <c r="I1339" s="21"/>
      <c r="J1339" s="28"/>
      <c r="K1339" s="19"/>
    </row>
    <row r="1340" spans="1:11" ht="13.2">
      <c r="A1340" s="22"/>
      <c r="B1340" s="16"/>
      <c r="C1340" s="23"/>
      <c r="D1340" s="24"/>
      <c r="E1340" s="25"/>
      <c r="F1340" s="26"/>
      <c r="G1340" s="27"/>
      <c r="H1340" s="20"/>
      <c r="I1340" s="21"/>
      <c r="J1340" s="28"/>
      <c r="K1340" s="19"/>
    </row>
    <row r="1341" spans="1:11" ht="13.2">
      <c r="A1341" s="22"/>
      <c r="B1341" s="16"/>
      <c r="C1341" s="23"/>
      <c r="D1341" s="24"/>
      <c r="E1341" s="25"/>
      <c r="F1341" s="26"/>
      <c r="G1341" s="27"/>
      <c r="H1341" s="20"/>
      <c r="I1341" s="21"/>
      <c r="J1341" s="28"/>
      <c r="K1341" s="19"/>
    </row>
    <row r="1342" spans="1:11" ht="13.2">
      <c r="A1342" s="22"/>
      <c r="B1342" s="16"/>
      <c r="C1342" s="23"/>
      <c r="D1342" s="24"/>
      <c r="E1342" s="25"/>
      <c r="F1342" s="26"/>
      <c r="G1342" s="27"/>
      <c r="H1342" s="20"/>
      <c r="I1342" s="21"/>
      <c r="J1342" s="28"/>
      <c r="K1342" s="19"/>
    </row>
    <row r="1343" spans="1:11" ht="13.2">
      <c r="A1343" s="22"/>
      <c r="B1343" s="16"/>
      <c r="C1343" s="23"/>
      <c r="D1343" s="24"/>
      <c r="E1343" s="25"/>
      <c r="F1343" s="26"/>
      <c r="G1343" s="27"/>
      <c r="H1343" s="20"/>
      <c r="I1343" s="21"/>
      <c r="J1343" s="28"/>
      <c r="K1343" s="19"/>
    </row>
    <row r="1344" spans="1:11" ht="13.2">
      <c r="A1344" s="22"/>
      <c r="B1344" s="16"/>
      <c r="C1344" s="23"/>
      <c r="D1344" s="24"/>
      <c r="E1344" s="25"/>
      <c r="F1344" s="26"/>
      <c r="G1344" s="27"/>
      <c r="H1344" s="20"/>
      <c r="I1344" s="21"/>
      <c r="J1344" s="28"/>
      <c r="K1344" s="19"/>
    </row>
    <row r="1345" spans="1:11" ht="13.2">
      <c r="A1345" s="22"/>
      <c r="B1345" s="16"/>
      <c r="C1345" s="23"/>
      <c r="D1345" s="24"/>
      <c r="E1345" s="25"/>
      <c r="F1345" s="26"/>
      <c r="G1345" s="27"/>
      <c r="H1345" s="20"/>
      <c r="I1345" s="21"/>
      <c r="J1345" s="28"/>
      <c r="K1345" s="19"/>
    </row>
    <row r="1346" spans="1:11" ht="13.2">
      <c r="A1346" s="22"/>
      <c r="B1346" s="16"/>
      <c r="C1346" s="23"/>
      <c r="D1346" s="24"/>
      <c r="E1346" s="25"/>
      <c r="F1346" s="26"/>
      <c r="G1346" s="27"/>
      <c r="H1346" s="20"/>
      <c r="I1346" s="21"/>
      <c r="J1346" s="28"/>
      <c r="K1346" s="19"/>
    </row>
    <row r="1347" spans="1:11" ht="13.2">
      <c r="A1347" s="22"/>
      <c r="B1347" s="16"/>
      <c r="C1347" s="23"/>
      <c r="D1347" s="24"/>
      <c r="E1347" s="25"/>
      <c r="F1347" s="26"/>
      <c r="G1347" s="27"/>
      <c r="H1347" s="20"/>
      <c r="I1347" s="21"/>
      <c r="J1347" s="28"/>
      <c r="K1347" s="19"/>
    </row>
    <row r="1348" spans="1:11" ht="13.2">
      <c r="A1348" s="22"/>
      <c r="B1348" s="16"/>
      <c r="C1348" s="23"/>
      <c r="D1348" s="24"/>
      <c r="E1348" s="25"/>
      <c r="F1348" s="26"/>
      <c r="G1348" s="27"/>
      <c r="H1348" s="20"/>
      <c r="I1348" s="21"/>
      <c r="J1348" s="28"/>
      <c r="K1348" s="19"/>
    </row>
    <row r="1349" spans="1:11" ht="13.2">
      <c r="A1349" s="22"/>
      <c r="B1349" s="16"/>
      <c r="C1349" s="23"/>
      <c r="D1349" s="24"/>
      <c r="E1349" s="25"/>
      <c r="F1349" s="26"/>
      <c r="G1349" s="27"/>
      <c r="H1349" s="20"/>
      <c r="I1349" s="21"/>
      <c r="J1349" s="28"/>
      <c r="K1349" s="19"/>
    </row>
    <row r="1350" spans="1:11" ht="13.2">
      <c r="A1350" s="22"/>
      <c r="B1350" s="16"/>
      <c r="C1350" s="23"/>
      <c r="D1350" s="24"/>
      <c r="E1350" s="25"/>
      <c r="F1350" s="26"/>
      <c r="G1350" s="27"/>
      <c r="H1350" s="20"/>
      <c r="I1350" s="21"/>
      <c r="J1350" s="28"/>
      <c r="K1350" s="19"/>
    </row>
    <row r="1351" spans="1:11" ht="13.2">
      <c r="A1351" s="22"/>
      <c r="B1351" s="16"/>
      <c r="C1351" s="23"/>
      <c r="D1351" s="24"/>
      <c r="E1351" s="25"/>
      <c r="F1351" s="26"/>
      <c r="G1351" s="27"/>
      <c r="H1351" s="20"/>
      <c r="I1351" s="21"/>
      <c r="J1351" s="28"/>
      <c r="K1351" s="19"/>
    </row>
    <row r="1352" spans="1:11" ht="13.2">
      <c r="A1352" s="22"/>
      <c r="B1352" s="16"/>
      <c r="C1352" s="23"/>
      <c r="D1352" s="24"/>
      <c r="E1352" s="25"/>
      <c r="F1352" s="26"/>
      <c r="G1352" s="27"/>
      <c r="H1352" s="20"/>
      <c r="I1352" s="21"/>
      <c r="J1352" s="28"/>
      <c r="K1352" s="19"/>
    </row>
    <row r="1353" spans="1:11" ht="13.2">
      <c r="A1353" s="22"/>
      <c r="B1353" s="16"/>
      <c r="C1353" s="23"/>
      <c r="D1353" s="24"/>
      <c r="E1353" s="25"/>
      <c r="F1353" s="26"/>
      <c r="G1353" s="27"/>
      <c r="H1353" s="20"/>
      <c r="I1353" s="21"/>
      <c r="J1353" s="28"/>
      <c r="K1353" s="19"/>
    </row>
    <row r="1354" spans="1:11" ht="13.2">
      <c r="A1354" s="22"/>
      <c r="B1354" s="16"/>
      <c r="C1354" s="23"/>
      <c r="D1354" s="24"/>
      <c r="E1354" s="25"/>
      <c r="F1354" s="26"/>
      <c r="G1354" s="27"/>
      <c r="H1354" s="20"/>
      <c r="I1354" s="21"/>
      <c r="J1354" s="28"/>
      <c r="K1354" s="19"/>
    </row>
    <row r="1355" spans="1:11" ht="13.2">
      <c r="A1355" s="22"/>
      <c r="B1355" s="16"/>
      <c r="C1355" s="23"/>
      <c r="D1355" s="24"/>
      <c r="E1355" s="25"/>
      <c r="F1355" s="26"/>
      <c r="G1355" s="27"/>
      <c r="H1355" s="20"/>
      <c r="I1355" s="21"/>
      <c r="J1355" s="28"/>
      <c r="K1355" s="19"/>
    </row>
    <row r="1356" spans="1:11" ht="13.2">
      <c r="A1356" s="22"/>
      <c r="B1356" s="16"/>
      <c r="C1356" s="23"/>
      <c r="D1356" s="24"/>
      <c r="E1356" s="25"/>
      <c r="F1356" s="26"/>
      <c r="G1356" s="27"/>
      <c r="H1356" s="20"/>
      <c r="I1356" s="21"/>
      <c r="J1356" s="28"/>
      <c r="K1356" s="19"/>
    </row>
    <row r="1357" spans="1:11" ht="13.2">
      <c r="A1357" s="22"/>
      <c r="B1357" s="16"/>
      <c r="C1357" s="23"/>
      <c r="D1357" s="24"/>
      <c r="E1357" s="25"/>
      <c r="F1357" s="26"/>
      <c r="G1357" s="27"/>
      <c r="H1357" s="20"/>
      <c r="I1357" s="21"/>
      <c r="J1357" s="28"/>
      <c r="K1357" s="19"/>
    </row>
    <row r="1358" spans="1:11" ht="13.2">
      <c r="A1358" s="22"/>
      <c r="B1358" s="16"/>
      <c r="C1358" s="23"/>
      <c r="D1358" s="24"/>
      <c r="E1358" s="25"/>
      <c r="F1358" s="26"/>
      <c r="G1358" s="27"/>
      <c r="H1358" s="20"/>
      <c r="I1358" s="21"/>
      <c r="J1358" s="28"/>
      <c r="K1358" s="19"/>
    </row>
    <row r="1359" spans="1:11" ht="13.2">
      <c r="A1359" s="22"/>
      <c r="B1359" s="16"/>
      <c r="C1359" s="23"/>
      <c r="D1359" s="24"/>
      <c r="E1359" s="25"/>
      <c r="F1359" s="26"/>
      <c r="G1359" s="27"/>
      <c r="H1359" s="20"/>
      <c r="I1359" s="21"/>
      <c r="J1359" s="28"/>
      <c r="K1359" s="19"/>
    </row>
    <row r="1360" spans="1:11" ht="13.2">
      <c r="A1360" s="22"/>
      <c r="B1360" s="16"/>
      <c r="C1360" s="23"/>
      <c r="D1360" s="24"/>
      <c r="E1360" s="25"/>
      <c r="F1360" s="26"/>
      <c r="G1360" s="27"/>
      <c r="H1360" s="20"/>
      <c r="I1360" s="21"/>
      <c r="J1360" s="28"/>
      <c r="K1360" s="19"/>
    </row>
    <row r="1361" spans="1:11" ht="13.2">
      <c r="A1361" s="22"/>
      <c r="B1361" s="16"/>
      <c r="C1361" s="23"/>
      <c r="D1361" s="24"/>
      <c r="E1361" s="25"/>
      <c r="F1361" s="26"/>
      <c r="G1361" s="27"/>
      <c r="H1361" s="20"/>
      <c r="I1361" s="21"/>
      <c r="J1361" s="28"/>
      <c r="K1361" s="19"/>
    </row>
    <row r="1362" spans="1:11" ht="13.2">
      <c r="A1362" s="22"/>
      <c r="B1362" s="16"/>
      <c r="C1362" s="23"/>
      <c r="D1362" s="24"/>
      <c r="E1362" s="25"/>
      <c r="F1362" s="26"/>
      <c r="G1362" s="27"/>
      <c r="H1362" s="20"/>
      <c r="I1362" s="21"/>
      <c r="J1362" s="28"/>
      <c r="K1362" s="19"/>
    </row>
    <row r="1363" spans="1:11" ht="13.2">
      <c r="A1363" s="22"/>
      <c r="B1363" s="16"/>
      <c r="C1363" s="23"/>
      <c r="D1363" s="24"/>
      <c r="E1363" s="25"/>
      <c r="F1363" s="26"/>
      <c r="G1363" s="27"/>
      <c r="H1363" s="20"/>
      <c r="I1363" s="21"/>
      <c r="J1363" s="28"/>
      <c r="K1363" s="19"/>
    </row>
    <row r="1364" spans="1:11" ht="13.2">
      <c r="A1364" s="22"/>
      <c r="B1364" s="16"/>
      <c r="C1364" s="23"/>
      <c r="D1364" s="24"/>
      <c r="E1364" s="25"/>
      <c r="F1364" s="26"/>
      <c r="G1364" s="27"/>
      <c r="H1364" s="20"/>
      <c r="I1364" s="21"/>
      <c r="J1364" s="28"/>
      <c r="K1364" s="19"/>
    </row>
    <row r="1365" spans="1:11" ht="13.2">
      <c r="A1365" s="22"/>
      <c r="B1365" s="16"/>
      <c r="C1365" s="23"/>
      <c r="D1365" s="24"/>
      <c r="E1365" s="25"/>
      <c r="F1365" s="26"/>
      <c r="G1365" s="27"/>
      <c r="H1365" s="20"/>
      <c r="I1365" s="21"/>
      <c r="J1365" s="28"/>
      <c r="K1365" s="19"/>
    </row>
    <row r="1366" spans="1:11" ht="13.2">
      <c r="A1366" s="22"/>
      <c r="B1366" s="16"/>
      <c r="C1366" s="23"/>
      <c r="D1366" s="24"/>
      <c r="E1366" s="25"/>
      <c r="F1366" s="26"/>
      <c r="G1366" s="27"/>
      <c r="H1366" s="20"/>
      <c r="I1366" s="21"/>
      <c r="J1366" s="28"/>
      <c r="K1366" s="19"/>
    </row>
    <row r="1367" spans="1:11" ht="13.2">
      <c r="A1367" s="22"/>
      <c r="B1367" s="16"/>
      <c r="C1367" s="23"/>
      <c r="D1367" s="24"/>
      <c r="E1367" s="25"/>
      <c r="F1367" s="26"/>
      <c r="G1367" s="27"/>
      <c r="H1367" s="20"/>
      <c r="I1367" s="21"/>
      <c r="J1367" s="28"/>
      <c r="K1367" s="19"/>
    </row>
    <row r="1368" spans="1:11" ht="13.2">
      <c r="A1368" s="22"/>
      <c r="B1368" s="16"/>
      <c r="C1368" s="23"/>
      <c r="D1368" s="24"/>
      <c r="E1368" s="25"/>
      <c r="F1368" s="26"/>
      <c r="G1368" s="27"/>
      <c r="H1368" s="20"/>
      <c r="I1368" s="21"/>
      <c r="J1368" s="28"/>
      <c r="K1368" s="19"/>
    </row>
    <row r="1369" spans="1:11" ht="13.2">
      <c r="A1369" s="22"/>
      <c r="B1369" s="16"/>
      <c r="C1369" s="23"/>
      <c r="D1369" s="24"/>
      <c r="E1369" s="25"/>
      <c r="F1369" s="26"/>
      <c r="G1369" s="27"/>
      <c r="H1369" s="20"/>
      <c r="I1369" s="21"/>
      <c r="J1369" s="28"/>
      <c r="K1369" s="19"/>
    </row>
    <row r="1370" spans="1:11" ht="13.2">
      <c r="A1370" s="22"/>
      <c r="B1370" s="16"/>
      <c r="C1370" s="23"/>
      <c r="D1370" s="24"/>
      <c r="E1370" s="25"/>
      <c r="F1370" s="26"/>
      <c r="G1370" s="27"/>
      <c r="H1370" s="20"/>
      <c r="I1370" s="21"/>
      <c r="J1370" s="28"/>
      <c r="K1370" s="19"/>
    </row>
    <row r="1371" spans="1:11" ht="13.2">
      <c r="A1371" s="22"/>
      <c r="B1371" s="16"/>
      <c r="C1371" s="23"/>
      <c r="D1371" s="24"/>
      <c r="E1371" s="25"/>
      <c r="F1371" s="26"/>
      <c r="G1371" s="27"/>
      <c r="H1371" s="20"/>
      <c r="I1371" s="21"/>
      <c r="J1371" s="28"/>
      <c r="K1371" s="19"/>
    </row>
    <row r="1372" spans="1:11" ht="13.2">
      <c r="A1372" s="22"/>
      <c r="B1372" s="16"/>
      <c r="C1372" s="23"/>
      <c r="D1372" s="24"/>
      <c r="E1372" s="25"/>
      <c r="F1372" s="26"/>
      <c r="G1372" s="27"/>
      <c r="H1372" s="20"/>
      <c r="I1372" s="21"/>
      <c r="J1372" s="28"/>
      <c r="K1372" s="19"/>
    </row>
    <row r="1373" spans="1:11" ht="13.2">
      <c r="A1373" s="22"/>
      <c r="B1373" s="16"/>
      <c r="C1373" s="23"/>
      <c r="D1373" s="24"/>
      <c r="E1373" s="25"/>
      <c r="F1373" s="26"/>
      <c r="G1373" s="27"/>
      <c r="H1373" s="20"/>
      <c r="I1373" s="21"/>
      <c r="J1373" s="28"/>
      <c r="K1373" s="19"/>
    </row>
    <row r="1374" spans="1:11" ht="13.2">
      <c r="A1374" s="22"/>
      <c r="B1374" s="16"/>
      <c r="C1374" s="23"/>
      <c r="D1374" s="24"/>
      <c r="E1374" s="25"/>
      <c r="F1374" s="26"/>
      <c r="G1374" s="27"/>
      <c r="H1374" s="20"/>
      <c r="I1374" s="21"/>
      <c r="J1374" s="28"/>
      <c r="K1374" s="19"/>
    </row>
    <row r="1375" spans="1:11" ht="13.2">
      <c r="A1375" s="22"/>
      <c r="B1375" s="16"/>
      <c r="C1375" s="23"/>
      <c r="D1375" s="24"/>
      <c r="E1375" s="25"/>
      <c r="F1375" s="26"/>
      <c r="G1375" s="27"/>
      <c r="H1375" s="20"/>
      <c r="I1375" s="21"/>
      <c r="J1375" s="28"/>
      <c r="K1375" s="19"/>
    </row>
    <row r="1376" spans="1:11" ht="13.2">
      <c r="A1376" s="22"/>
      <c r="B1376" s="16"/>
      <c r="C1376" s="23"/>
      <c r="D1376" s="24"/>
      <c r="E1376" s="25"/>
      <c r="F1376" s="26"/>
      <c r="G1376" s="27"/>
      <c r="H1376" s="20"/>
      <c r="I1376" s="21"/>
      <c r="J1376" s="28"/>
      <c r="K1376" s="19"/>
    </row>
    <row r="1377" spans="1:11" ht="13.2">
      <c r="A1377" s="22"/>
      <c r="B1377" s="16"/>
      <c r="C1377" s="23"/>
      <c r="D1377" s="24"/>
      <c r="E1377" s="25"/>
      <c r="F1377" s="26"/>
      <c r="G1377" s="27"/>
      <c r="H1377" s="20"/>
      <c r="I1377" s="21"/>
      <c r="J1377" s="28"/>
      <c r="K1377" s="19"/>
    </row>
    <row r="1378" spans="1:11" ht="13.2">
      <c r="A1378" s="22"/>
      <c r="B1378" s="16"/>
      <c r="C1378" s="23"/>
      <c r="D1378" s="24"/>
      <c r="E1378" s="25"/>
      <c r="F1378" s="26"/>
      <c r="G1378" s="27"/>
      <c r="H1378" s="20"/>
      <c r="I1378" s="21"/>
      <c r="J1378" s="28"/>
      <c r="K1378" s="19"/>
    </row>
    <row r="1379" spans="1:11" ht="13.2">
      <c r="A1379" s="22"/>
      <c r="B1379" s="16"/>
      <c r="C1379" s="23"/>
      <c r="D1379" s="24"/>
      <c r="E1379" s="25"/>
      <c r="F1379" s="26"/>
      <c r="G1379" s="27"/>
      <c r="H1379" s="20"/>
      <c r="I1379" s="21"/>
      <c r="J1379" s="28"/>
      <c r="K1379" s="19"/>
    </row>
    <row r="1380" spans="1:11" ht="13.2">
      <c r="A1380" s="22"/>
      <c r="B1380" s="16"/>
      <c r="C1380" s="23"/>
      <c r="D1380" s="24"/>
      <c r="E1380" s="25"/>
      <c r="F1380" s="26"/>
      <c r="G1380" s="27"/>
      <c r="H1380" s="20"/>
      <c r="I1380" s="21"/>
      <c r="J1380" s="28"/>
      <c r="K1380" s="19"/>
    </row>
    <row r="1381" spans="1:11" ht="13.2">
      <c r="A1381" s="22"/>
      <c r="B1381" s="16"/>
      <c r="C1381" s="23"/>
      <c r="D1381" s="24"/>
      <c r="E1381" s="25"/>
      <c r="F1381" s="26"/>
      <c r="G1381" s="27"/>
      <c r="H1381" s="20"/>
      <c r="I1381" s="21"/>
      <c r="J1381" s="28"/>
      <c r="K1381" s="19"/>
    </row>
    <row r="1382" spans="1:11" ht="13.2">
      <c r="A1382" s="22"/>
      <c r="B1382" s="16"/>
      <c r="C1382" s="23"/>
      <c r="D1382" s="24"/>
      <c r="E1382" s="25"/>
      <c r="F1382" s="26"/>
      <c r="G1382" s="27"/>
      <c r="H1382" s="20"/>
      <c r="I1382" s="21"/>
      <c r="J1382" s="28"/>
      <c r="K1382" s="19"/>
    </row>
    <row r="1383" spans="1:11" ht="13.2">
      <c r="A1383" s="22"/>
      <c r="B1383" s="16"/>
      <c r="C1383" s="23"/>
      <c r="D1383" s="24"/>
      <c r="E1383" s="25"/>
      <c r="F1383" s="26"/>
      <c r="G1383" s="27"/>
      <c r="H1383" s="20"/>
      <c r="I1383" s="21"/>
      <c r="J1383" s="28"/>
      <c r="K1383" s="19"/>
    </row>
    <row r="1384" spans="1:11" ht="13.2">
      <c r="A1384" s="22"/>
      <c r="B1384" s="16"/>
      <c r="C1384" s="23"/>
      <c r="D1384" s="24"/>
      <c r="E1384" s="25"/>
      <c r="F1384" s="26"/>
      <c r="G1384" s="27"/>
      <c r="H1384" s="20"/>
      <c r="I1384" s="21"/>
      <c r="J1384" s="28"/>
      <c r="K1384" s="19"/>
    </row>
    <row r="1385" spans="1:11" ht="13.2">
      <c r="A1385" s="22"/>
      <c r="B1385" s="16"/>
      <c r="C1385" s="23"/>
      <c r="D1385" s="24"/>
      <c r="E1385" s="25"/>
      <c r="F1385" s="26"/>
      <c r="G1385" s="27"/>
      <c r="H1385" s="20"/>
      <c r="I1385" s="21"/>
      <c r="J1385" s="28"/>
      <c r="K1385" s="19"/>
    </row>
    <row r="1386" spans="1:11" ht="13.2">
      <c r="A1386" s="22"/>
      <c r="B1386" s="16"/>
      <c r="C1386" s="23"/>
      <c r="D1386" s="24"/>
      <c r="E1386" s="25"/>
      <c r="F1386" s="26"/>
      <c r="G1386" s="27"/>
      <c r="H1386" s="20"/>
      <c r="I1386" s="21"/>
      <c r="J1386" s="28"/>
      <c r="K1386" s="19"/>
    </row>
    <row r="1387" spans="1:11" ht="13.2">
      <c r="A1387" s="22"/>
      <c r="B1387" s="16"/>
      <c r="C1387" s="23"/>
      <c r="D1387" s="24"/>
      <c r="E1387" s="25"/>
      <c r="F1387" s="26"/>
      <c r="G1387" s="27"/>
      <c r="H1387" s="20"/>
      <c r="I1387" s="21"/>
      <c r="J1387" s="28"/>
      <c r="K1387" s="19"/>
    </row>
    <row r="1388" spans="1:11" ht="13.2">
      <c r="A1388" s="22"/>
      <c r="B1388" s="16"/>
      <c r="C1388" s="23"/>
      <c r="D1388" s="24"/>
      <c r="E1388" s="25"/>
      <c r="F1388" s="26"/>
      <c r="G1388" s="27"/>
      <c r="H1388" s="20"/>
      <c r="I1388" s="21"/>
      <c r="J1388" s="28"/>
      <c r="K1388" s="19"/>
    </row>
    <row r="1389" spans="1:11" ht="13.2">
      <c r="A1389" s="22"/>
      <c r="B1389" s="16"/>
      <c r="C1389" s="23"/>
      <c r="D1389" s="24"/>
      <c r="E1389" s="25"/>
      <c r="F1389" s="26"/>
      <c r="G1389" s="27"/>
      <c r="H1389" s="20"/>
      <c r="I1389" s="21"/>
      <c r="J1389" s="28"/>
      <c r="K1389" s="19"/>
    </row>
    <row r="1390" spans="1:11" ht="13.2">
      <c r="A1390" s="22"/>
      <c r="B1390" s="16"/>
      <c r="C1390" s="23"/>
      <c r="D1390" s="24"/>
      <c r="E1390" s="25"/>
      <c r="F1390" s="26"/>
      <c r="G1390" s="27"/>
      <c r="H1390" s="20"/>
      <c r="I1390" s="21"/>
      <c r="J1390" s="28"/>
      <c r="K1390" s="19"/>
    </row>
    <row r="1391" spans="1:11" ht="13.2">
      <c r="A1391" s="22"/>
      <c r="B1391" s="16"/>
      <c r="C1391" s="23"/>
      <c r="D1391" s="24"/>
      <c r="E1391" s="25"/>
      <c r="F1391" s="26"/>
      <c r="G1391" s="27"/>
      <c r="H1391" s="20"/>
      <c r="I1391" s="21"/>
      <c r="J1391" s="28"/>
      <c r="K1391" s="19"/>
    </row>
    <row r="1392" spans="1:11" ht="13.2">
      <c r="A1392" s="22"/>
      <c r="B1392" s="16"/>
      <c r="C1392" s="23"/>
      <c r="D1392" s="24"/>
      <c r="E1392" s="25"/>
      <c r="F1392" s="26"/>
      <c r="G1392" s="27"/>
      <c r="H1392" s="20"/>
      <c r="I1392" s="21"/>
      <c r="J1392" s="28"/>
      <c r="K1392" s="19"/>
    </row>
    <row r="1393" spans="1:11" ht="13.2">
      <c r="A1393" s="22"/>
      <c r="B1393" s="16"/>
      <c r="C1393" s="23"/>
      <c r="D1393" s="24"/>
      <c r="E1393" s="25"/>
      <c r="F1393" s="26"/>
      <c r="G1393" s="27"/>
      <c r="H1393" s="20"/>
      <c r="I1393" s="21"/>
      <c r="J1393" s="28"/>
      <c r="K1393" s="19"/>
    </row>
    <row r="1394" spans="1:11" ht="13.2">
      <c r="A1394" s="22"/>
      <c r="B1394" s="16"/>
      <c r="C1394" s="23"/>
      <c r="D1394" s="24"/>
      <c r="E1394" s="25"/>
      <c r="F1394" s="26"/>
      <c r="G1394" s="27"/>
      <c r="H1394" s="20"/>
      <c r="I1394" s="21"/>
      <c r="J1394" s="28"/>
      <c r="K1394" s="19"/>
    </row>
    <row r="1395" spans="1:11" ht="13.2">
      <c r="A1395" s="22"/>
      <c r="B1395" s="16"/>
      <c r="C1395" s="23"/>
      <c r="D1395" s="24"/>
      <c r="E1395" s="25"/>
      <c r="F1395" s="26"/>
      <c r="G1395" s="27"/>
      <c r="H1395" s="20"/>
      <c r="I1395" s="21"/>
      <c r="J1395" s="28"/>
      <c r="K1395" s="19"/>
    </row>
    <row r="1396" spans="1:11" ht="13.2">
      <c r="A1396" s="22"/>
      <c r="B1396" s="16"/>
      <c r="C1396" s="23"/>
      <c r="D1396" s="24"/>
      <c r="E1396" s="25"/>
      <c r="F1396" s="26"/>
      <c r="G1396" s="27"/>
      <c r="H1396" s="20"/>
      <c r="I1396" s="21"/>
      <c r="J1396" s="28"/>
      <c r="K1396" s="19"/>
    </row>
    <row r="1397" spans="1:11" ht="13.2">
      <c r="A1397" s="22"/>
      <c r="B1397" s="16"/>
      <c r="C1397" s="23"/>
      <c r="D1397" s="24"/>
      <c r="E1397" s="25"/>
      <c r="F1397" s="26"/>
      <c r="G1397" s="27"/>
      <c r="H1397" s="20"/>
      <c r="I1397" s="21"/>
      <c r="J1397" s="28"/>
      <c r="K1397" s="19"/>
    </row>
    <row r="1398" spans="1:11" ht="13.2">
      <c r="A1398" s="22"/>
      <c r="B1398" s="16"/>
      <c r="C1398" s="23"/>
      <c r="D1398" s="24"/>
      <c r="E1398" s="25"/>
      <c r="F1398" s="26"/>
      <c r="G1398" s="27"/>
      <c r="H1398" s="20"/>
      <c r="I1398" s="21"/>
      <c r="J1398" s="28"/>
      <c r="K1398" s="19"/>
    </row>
    <row r="1399" spans="1:11" ht="13.2">
      <c r="A1399" s="22"/>
      <c r="B1399" s="16"/>
      <c r="C1399" s="23"/>
      <c r="D1399" s="24"/>
      <c r="E1399" s="25"/>
      <c r="F1399" s="26"/>
      <c r="G1399" s="27"/>
      <c r="H1399" s="20"/>
      <c r="I1399" s="21"/>
      <c r="J1399" s="28"/>
      <c r="K1399" s="19"/>
    </row>
    <row r="1400" spans="1:11" ht="13.2">
      <c r="A1400" s="22"/>
      <c r="B1400" s="16"/>
      <c r="C1400" s="23"/>
      <c r="D1400" s="24"/>
      <c r="E1400" s="25"/>
      <c r="F1400" s="26"/>
      <c r="G1400" s="27"/>
      <c r="H1400" s="20"/>
      <c r="I1400" s="21"/>
      <c r="J1400" s="28"/>
      <c r="K1400" s="19"/>
    </row>
    <row r="1401" spans="1:11" ht="13.2">
      <c r="A1401" s="22"/>
      <c r="B1401" s="16"/>
      <c r="C1401" s="23"/>
      <c r="D1401" s="24"/>
      <c r="E1401" s="25"/>
      <c r="F1401" s="26"/>
      <c r="G1401" s="27"/>
      <c r="H1401" s="20"/>
      <c r="I1401" s="21"/>
      <c r="J1401" s="28"/>
      <c r="K1401" s="19"/>
    </row>
    <row r="1402" spans="1:11" ht="13.2">
      <c r="A1402" s="22"/>
      <c r="B1402" s="16"/>
      <c r="C1402" s="23"/>
      <c r="D1402" s="24"/>
      <c r="E1402" s="25"/>
      <c r="F1402" s="26"/>
      <c r="G1402" s="27"/>
      <c r="H1402" s="20"/>
      <c r="I1402" s="21"/>
      <c r="J1402" s="28"/>
      <c r="K1402" s="19"/>
    </row>
    <row r="1403" spans="1:11" ht="13.2">
      <c r="A1403" s="22"/>
      <c r="B1403" s="16"/>
      <c r="C1403" s="23"/>
      <c r="D1403" s="24"/>
      <c r="E1403" s="25"/>
      <c r="F1403" s="26"/>
      <c r="G1403" s="27"/>
      <c r="H1403" s="20"/>
      <c r="I1403" s="21"/>
      <c r="J1403" s="28"/>
      <c r="K1403" s="19"/>
    </row>
    <row r="1404" spans="1:11" ht="13.2">
      <c r="A1404" s="22"/>
      <c r="B1404" s="16"/>
      <c r="C1404" s="23"/>
      <c r="D1404" s="24"/>
      <c r="E1404" s="25"/>
      <c r="F1404" s="26"/>
      <c r="G1404" s="27"/>
      <c r="H1404" s="20"/>
      <c r="I1404" s="21"/>
      <c r="J1404" s="28"/>
      <c r="K1404" s="19"/>
    </row>
    <row r="1405" spans="1:11" ht="13.2">
      <c r="A1405" s="22"/>
      <c r="B1405" s="16"/>
      <c r="C1405" s="23"/>
      <c r="D1405" s="24"/>
      <c r="E1405" s="25"/>
      <c r="F1405" s="26"/>
      <c r="G1405" s="27"/>
      <c r="H1405" s="20"/>
      <c r="I1405" s="21"/>
      <c r="J1405" s="28"/>
      <c r="K1405" s="19"/>
    </row>
    <row r="1406" spans="1:11" ht="13.2">
      <c r="A1406" s="22"/>
      <c r="B1406" s="16"/>
      <c r="C1406" s="23"/>
      <c r="D1406" s="24"/>
      <c r="E1406" s="25"/>
      <c r="F1406" s="26"/>
      <c r="G1406" s="27"/>
      <c r="H1406" s="20"/>
      <c r="I1406" s="21"/>
      <c r="J1406" s="28"/>
      <c r="K1406" s="19"/>
    </row>
    <row r="1407" spans="1:11" ht="13.2">
      <c r="A1407" s="22"/>
      <c r="B1407" s="16"/>
      <c r="C1407" s="23"/>
      <c r="D1407" s="24"/>
      <c r="E1407" s="25"/>
      <c r="F1407" s="26"/>
      <c r="G1407" s="27"/>
      <c r="H1407" s="20"/>
      <c r="I1407" s="21"/>
      <c r="J1407" s="28"/>
      <c r="K1407" s="19"/>
    </row>
    <row r="1408" spans="1:11" ht="13.2">
      <c r="A1408" s="22"/>
      <c r="B1408" s="16"/>
      <c r="C1408" s="23"/>
      <c r="D1408" s="24"/>
      <c r="E1408" s="25"/>
      <c r="F1408" s="26"/>
      <c r="G1408" s="27"/>
      <c r="H1408" s="20"/>
      <c r="I1408" s="21"/>
      <c r="J1408" s="28"/>
      <c r="K1408" s="19"/>
    </row>
    <row r="1409" spans="1:11" ht="13.2">
      <c r="A1409" s="22"/>
      <c r="B1409" s="16"/>
      <c r="C1409" s="23"/>
      <c r="D1409" s="24"/>
      <c r="E1409" s="25"/>
      <c r="F1409" s="26"/>
      <c r="G1409" s="27"/>
      <c r="H1409" s="20"/>
      <c r="I1409" s="21"/>
      <c r="J1409" s="28"/>
      <c r="K1409" s="19"/>
    </row>
    <row r="1410" spans="1:11" ht="13.2">
      <c r="A1410" s="22"/>
      <c r="B1410" s="16"/>
      <c r="C1410" s="23"/>
      <c r="D1410" s="24"/>
      <c r="E1410" s="25"/>
      <c r="F1410" s="26"/>
      <c r="G1410" s="27"/>
      <c r="H1410" s="20"/>
      <c r="I1410" s="21"/>
      <c r="J1410" s="28"/>
      <c r="K1410" s="19"/>
    </row>
    <row r="1411" spans="1:11" ht="13.2">
      <c r="A1411" s="22"/>
      <c r="B1411" s="16"/>
      <c r="C1411" s="23"/>
      <c r="D1411" s="24"/>
      <c r="E1411" s="25"/>
      <c r="F1411" s="26"/>
      <c r="G1411" s="27"/>
      <c r="H1411" s="20"/>
      <c r="I1411" s="21"/>
      <c r="J1411" s="28"/>
      <c r="K1411" s="19"/>
    </row>
    <row r="1412" spans="1:11" ht="13.2">
      <c r="A1412" s="22"/>
      <c r="B1412" s="16"/>
      <c r="C1412" s="23"/>
      <c r="D1412" s="24"/>
      <c r="E1412" s="25"/>
      <c r="F1412" s="26"/>
      <c r="G1412" s="27"/>
      <c r="H1412" s="20"/>
      <c r="I1412" s="21"/>
      <c r="J1412" s="28"/>
      <c r="K1412" s="19"/>
    </row>
    <row r="1413" spans="1:11" ht="13.2">
      <c r="A1413" s="22"/>
      <c r="B1413" s="16"/>
      <c r="C1413" s="23"/>
      <c r="D1413" s="24"/>
      <c r="E1413" s="25"/>
      <c r="F1413" s="26"/>
      <c r="G1413" s="27"/>
      <c r="H1413" s="20"/>
      <c r="I1413" s="21"/>
      <c r="J1413" s="28"/>
      <c r="K1413" s="19"/>
    </row>
    <row r="1414" spans="1:11" ht="13.2">
      <c r="A1414" s="22"/>
      <c r="B1414" s="16"/>
      <c r="C1414" s="23"/>
      <c r="D1414" s="24"/>
      <c r="E1414" s="25"/>
      <c r="F1414" s="26"/>
      <c r="G1414" s="27"/>
      <c r="H1414" s="20"/>
      <c r="I1414" s="21"/>
      <c r="J1414" s="28"/>
      <c r="K1414" s="19"/>
    </row>
    <row r="1415" spans="1:11" ht="13.2">
      <c r="A1415" s="22"/>
      <c r="B1415" s="16"/>
      <c r="C1415" s="23"/>
      <c r="D1415" s="24"/>
      <c r="E1415" s="25"/>
      <c r="F1415" s="26"/>
      <c r="G1415" s="27"/>
      <c r="H1415" s="20"/>
      <c r="I1415" s="21"/>
      <c r="J1415" s="28"/>
      <c r="K1415" s="19"/>
    </row>
    <row r="1416" spans="1:11" ht="13.2">
      <c r="A1416" s="22"/>
      <c r="B1416" s="16"/>
      <c r="C1416" s="23"/>
      <c r="D1416" s="24"/>
      <c r="E1416" s="25"/>
      <c r="F1416" s="26"/>
      <c r="G1416" s="27"/>
      <c r="H1416" s="20"/>
      <c r="I1416" s="21"/>
      <c r="J1416" s="28"/>
      <c r="K1416" s="19"/>
    </row>
    <row r="1417" spans="1:11" ht="13.2">
      <c r="A1417" s="22"/>
      <c r="B1417" s="16"/>
      <c r="C1417" s="23"/>
      <c r="D1417" s="24"/>
      <c r="E1417" s="25"/>
      <c r="F1417" s="26"/>
      <c r="G1417" s="27"/>
      <c r="H1417" s="20"/>
      <c r="I1417" s="21"/>
      <c r="J1417" s="28"/>
      <c r="K1417" s="19"/>
    </row>
    <row r="1418" spans="1:11" ht="13.2">
      <c r="A1418" s="22"/>
      <c r="B1418" s="16"/>
      <c r="C1418" s="23"/>
      <c r="D1418" s="24"/>
      <c r="E1418" s="25"/>
      <c r="F1418" s="26"/>
      <c r="G1418" s="27"/>
      <c r="H1418" s="20"/>
      <c r="I1418" s="21"/>
      <c r="J1418" s="28"/>
      <c r="K1418" s="19"/>
    </row>
    <row r="1419" spans="1:11" ht="13.2">
      <c r="A1419" s="22"/>
      <c r="B1419" s="16"/>
      <c r="C1419" s="23"/>
      <c r="D1419" s="24"/>
      <c r="E1419" s="25"/>
      <c r="F1419" s="26"/>
      <c r="G1419" s="27"/>
      <c r="H1419" s="20"/>
      <c r="I1419" s="21"/>
      <c r="J1419" s="28"/>
      <c r="K1419" s="19"/>
    </row>
    <row r="1420" spans="1:11" ht="13.2">
      <c r="A1420" s="22"/>
      <c r="B1420" s="16"/>
      <c r="C1420" s="23"/>
      <c r="D1420" s="24"/>
      <c r="E1420" s="25"/>
      <c r="F1420" s="26"/>
      <c r="G1420" s="27"/>
      <c r="H1420" s="20"/>
      <c r="I1420" s="21"/>
      <c r="J1420" s="28"/>
      <c r="K1420" s="19"/>
    </row>
    <row r="1421" spans="1:11" ht="13.2">
      <c r="A1421" s="22"/>
      <c r="B1421" s="16"/>
      <c r="C1421" s="23"/>
      <c r="D1421" s="24"/>
      <c r="E1421" s="25"/>
      <c r="F1421" s="26"/>
      <c r="G1421" s="27"/>
      <c r="H1421" s="20"/>
      <c r="I1421" s="21"/>
      <c r="J1421" s="28"/>
      <c r="K1421" s="19"/>
    </row>
    <row r="1422" spans="1:11" ht="13.2">
      <c r="A1422" s="22"/>
      <c r="B1422" s="16"/>
      <c r="C1422" s="23"/>
      <c r="D1422" s="24"/>
      <c r="E1422" s="25"/>
      <c r="F1422" s="26"/>
      <c r="G1422" s="27"/>
      <c r="H1422" s="20"/>
      <c r="I1422" s="21"/>
      <c r="J1422" s="28"/>
      <c r="K1422" s="19"/>
    </row>
    <row r="1423" spans="1:11" ht="13.2">
      <c r="A1423" s="22"/>
      <c r="B1423" s="16"/>
      <c r="C1423" s="23"/>
      <c r="D1423" s="24"/>
      <c r="E1423" s="25"/>
      <c r="F1423" s="26"/>
      <c r="G1423" s="27"/>
      <c r="H1423" s="20"/>
      <c r="I1423" s="21"/>
      <c r="J1423" s="28"/>
      <c r="K1423" s="19"/>
    </row>
    <row r="1424" spans="1:11" ht="13.2">
      <c r="A1424" s="22"/>
      <c r="B1424" s="16"/>
      <c r="C1424" s="23"/>
      <c r="D1424" s="24"/>
      <c r="E1424" s="25"/>
      <c r="F1424" s="26"/>
      <c r="G1424" s="27"/>
      <c r="H1424" s="20"/>
      <c r="I1424" s="21"/>
      <c r="J1424" s="28"/>
      <c r="K1424" s="19"/>
    </row>
    <row r="1425" spans="1:11" ht="13.2">
      <c r="A1425" s="22"/>
      <c r="B1425" s="16"/>
      <c r="C1425" s="23"/>
      <c r="D1425" s="24"/>
      <c r="E1425" s="25"/>
      <c r="F1425" s="26"/>
      <c r="G1425" s="27"/>
      <c r="H1425" s="20"/>
      <c r="I1425" s="21"/>
      <c r="J1425" s="28"/>
      <c r="K1425" s="19"/>
    </row>
    <row r="1426" spans="1:11" ht="13.2">
      <c r="A1426" s="22"/>
      <c r="B1426" s="16"/>
      <c r="C1426" s="23"/>
      <c r="D1426" s="24"/>
      <c r="E1426" s="25"/>
      <c r="F1426" s="26"/>
      <c r="G1426" s="27"/>
      <c r="H1426" s="20"/>
      <c r="I1426" s="21"/>
      <c r="J1426" s="28"/>
      <c r="K1426" s="19"/>
    </row>
    <row r="1427" spans="1:11" ht="13.2">
      <c r="A1427" s="22"/>
      <c r="B1427" s="16"/>
      <c r="C1427" s="23"/>
      <c r="D1427" s="24"/>
      <c r="E1427" s="25"/>
      <c r="F1427" s="26"/>
      <c r="G1427" s="27"/>
      <c r="H1427" s="20"/>
      <c r="I1427" s="21"/>
      <c r="J1427" s="28"/>
      <c r="K1427" s="19"/>
    </row>
    <row r="1428" spans="1:11" ht="13.2">
      <c r="A1428" s="22"/>
      <c r="B1428" s="16"/>
      <c r="C1428" s="23"/>
      <c r="D1428" s="24"/>
      <c r="E1428" s="25"/>
      <c r="F1428" s="26"/>
      <c r="G1428" s="27"/>
      <c r="H1428" s="20"/>
      <c r="I1428" s="21"/>
      <c r="J1428" s="28"/>
      <c r="K1428" s="19"/>
    </row>
    <row r="1429" spans="1:11" ht="13.2">
      <c r="A1429" s="22"/>
      <c r="B1429" s="16"/>
      <c r="C1429" s="23"/>
      <c r="D1429" s="24"/>
      <c r="E1429" s="25"/>
      <c r="F1429" s="26"/>
      <c r="G1429" s="27"/>
      <c r="H1429" s="20"/>
      <c r="I1429" s="21"/>
      <c r="J1429" s="28"/>
      <c r="K1429" s="19"/>
    </row>
    <row r="1430" spans="1:11" ht="13.2">
      <c r="A1430" s="22"/>
      <c r="B1430" s="16"/>
      <c r="C1430" s="23"/>
      <c r="D1430" s="24"/>
      <c r="E1430" s="25"/>
      <c r="F1430" s="26"/>
      <c r="G1430" s="27"/>
      <c r="H1430" s="20"/>
      <c r="I1430" s="21"/>
      <c r="J1430" s="28"/>
      <c r="K1430" s="19"/>
    </row>
    <row r="1431" spans="1:11" ht="13.2">
      <c r="A1431" s="22"/>
      <c r="B1431" s="16"/>
      <c r="C1431" s="23"/>
      <c r="D1431" s="24"/>
      <c r="E1431" s="25"/>
      <c r="F1431" s="26"/>
      <c r="G1431" s="27"/>
      <c r="H1431" s="20"/>
      <c r="I1431" s="21"/>
      <c r="J1431" s="28"/>
      <c r="K1431" s="19"/>
    </row>
    <row r="1432" spans="1:11" ht="13.2">
      <c r="A1432" s="22"/>
      <c r="B1432" s="16"/>
      <c r="C1432" s="23"/>
      <c r="D1432" s="24"/>
      <c r="E1432" s="25"/>
      <c r="F1432" s="26"/>
      <c r="G1432" s="27"/>
      <c r="H1432" s="20"/>
      <c r="I1432" s="21"/>
      <c r="J1432" s="28"/>
      <c r="K1432" s="19"/>
    </row>
    <row r="1433" spans="1:11" ht="13.2">
      <c r="A1433" s="22"/>
      <c r="B1433" s="16"/>
      <c r="C1433" s="23"/>
      <c r="D1433" s="24"/>
      <c r="E1433" s="25"/>
      <c r="F1433" s="26"/>
      <c r="G1433" s="27"/>
      <c r="H1433" s="20"/>
      <c r="I1433" s="21"/>
      <c r="J1433" s="28"/>
      <c r="K1433" s="19"/>
    </row>
    <row r="1434" spans="1:11" ht="13.2">
      <c r="A1434" s="22"/>
      <c r="B1434" s="16"/>
      <c r="C1434" s="23"/>
      <c r="D1434" s="24"/>
      <c r="E1434" s="25"/>
      <c r="F1434" s="26"/>
      <c r="G1434" s="27"/>
      <c r="H1434" s="20"/>
      <c r="I1434" s="21"/>
      <c r="J1434" s="28"/>
      <c r="K1434" s="19"/>
    </row>
    <row r="1435" spans="1:11" ht="13.2">
      <c r="A1435" s="22"/>
      <c r="B1435" s="16"/>
      <c r="C1435" s="23"/>
      <c r="D1435" s="24"/>
      <c r="E1435" s="25"/>
      <c r="F1435" s="26"/>
      <c r="G1435" s="27"/>
      <c r="H1435" s="20"/>
      <c r="I1435" s="21"/>
      <c r="J1435" s="28"/>
      <c r="K1435" s="19"/>
    </row>
    <row r="1436" spans="1:11" ht="13.2">
      <c r="A1436" s="22"/>
      <c r="B1436" s="16"/>
      <c r="C1436" s="23"/>
      <c r="D1436" s="24"/>
      <c r="E1436" s="25"/>
      <c r="F1436" s="26"/>
      <c r="G1436" s="27"/>
      <c r="H1436" s="20"/>
      <c r="I1436" s="21"/>
      <c r="J1436" s="28"/>
      <c r="K1436" s="19"/>
    </row>
    <row r="1437" spans="1:11" ht="13.2">
      <c r="A1437" s="22"/>
      <c r="B1437" s="16"/>
      <c r="C1437" s="23"/>
      <c r="D1437" s="24"/>
      <c r="E1437" s="25"/>
      <c r="F1437" s="26"/>
      <c r="G1437" s="27"/>
      <c r="H1437" s="20"/>
      <c r="I1437" s="21"/>
      <c r="J1437" s="28"/>
      <c r="K1437" s="19"/>
    </row>
    <row r="1438" spans="1:11" ht="13.2">
      <c r="A1438" s="22"/>
      <c r="B1438" s="16"/>
      <c r="C1438" s="23"/>
      <c r="D1438" s="24"/>
      <c r="E1438" s="25"/>
      <c r="F1438" s="26"/>
      <c r="G1438" s="27"/>
      <c r="H1438" s="20"/>
      <c r="I1438" s="21"/>
      <c r="J1438" s="28"/>
      <c r="K1438" s="19"/>
    </row>
    <row r="1439" spans="1:11" ht="13.2">
      <c r="A1439" s="22"/>
      <c r="B1439" s="16"/>
      <c r="C1439" s="23"/>
      <c r="D1439" s="24"/>
      <c r="E1439" s="25"/>
      <c r="F1439" s="26"/>
      <c r="G1439" s="27"/>
      <c r="H1439" s="20"/>
      <c r="I1439" s="21"/>
      <c r="J1439" s="28"/>
      <c r="K1439" s="19"/>
    </row>
    <row r="1440" spans="1:11" ht="13.2">
      <c r="A1440" s="22"/>
      <c r="B1440" s="16"/>
      <c r="C1440" s="23"/>
      <c r="D1440" s="24"/>
      <c r="E1440" s="25"/>
      <c r="F1440" s="26"/>
      <c r="G1440" s="27"/>
      <c r="H1440" s="20"/>
      <c r="I1440" s="21"/>
      <c r="J1440" s="28"/>
      <c r="K1440" s="19"/>
    </row>
    <row r="1441" spans="1:11" ht="13.2">
      <c r="A1441" s="22"/>
      <c r="B1441" s="16"/>
      <c r="C1441" s="23"/>
      <c r="D1441" s="24"/>
      <c r="E1441" s="25"/>
      <c r="F1441" s="26"/>
      <c r="G1441" s="27"/>
      <c r="H1441" s="20"/>
      <c r="I1441" s="21"/>
      <c r="J1441" s="28"/>
      <c r="K1441" s="19"/>
    </row>
    <row r="1442" spans="1:11" ht="13.2">
      <c r="A1442" s="22"/>
      <c r="B1442" s="16"/>
      <c r="C1442" s="23"/>
      <c r="D1442" s="24"/>
      <c r="E1442" s="25"/>
      <c r="F1442" s="26"/>
      <c r="G1442" s="27"/>
      <c r="H1442" s="20"/>
      <c r="I1442" s="21"/>
      <c r="J1442" s="28"/>
      <c r="K1442" s="19"/>
    </row>
    <row r="1443" spans="1:11" ht="13.2">
      <c r="A1443" s="22"/>
      <c r="B1443" s="16"/>
      <c r="C1443" s="23"/>
      <c r="D1443" s="24"/>
      <c r="E1443" s="25"/>
      <c r="F1443" s="26"/>
      <c r="G1443" s="27"/>
      <c r="H1443" s="20"/>
      <c r="I1443" s="21"/>
      <c r="J1443" s="28"/>
      <c r="K1443" s="19"/>
    </row>
    <row r="1444" spans="1:11" ht="13.2">
      <c r="A1444" s="22"/>
      <c r="B1444" s="16"/>
      <c r="C1444" s="23"/>
      <c r="D1444" s="24"/>
      <c r="E1444" s="25"/>
      <c r="F1444" s="26"/>
      <c r="G1444" s="27"/>
      <c r="H1444" s="20"/>
      <c r="I1444" s="21"/>
      <c r="J1444" s="28"/>
      <c r="K1444" s="19"/>
    </row>
    <row r="1445" spans="1:11" ht="13.2">
      <c r="A1445" s="22"/>
      <c r="B1445" s="16"/>
      <c r="C1445" s="23"/>
      <c r="D1445" s="24"/>
      <c r="E1445" s="25"/>
      <c r="F1445" s="26"/>
      <c r="G1445" s="27"/>
      <c r="H1445" s="20"/>
      <c r="I1445" s="21"/>
      <c r="J1445" s="28"/>
      <c r="K1445" s="19"/>
    </row>
    <row r="1446" spans="1:11" ht="13.2">
      <c r="A1446" s="22"/>
      <c r="B1446" s="16"/>
      <c r="C1446" s="23"/>
      <c r="D1446" s="24"/>
      <c r="E1446" s="25"/>
      <c r="F1446" s="26"/>
      <c r="G1446" s="27"/>
      <c r="H1446" s="20"/>
      <c r="I1446" s="21"/>
      <c r="J1446" s="28"/>
      <c r="K1446" s="19"/>
    </row>
    <row r="1447" spans="1:11" ht="13.2">
      <c r="A1447" s="22"/>
      <c r="B1447" s="16"/>
      <c r="C1447" s="23"/>
      <c r="D1447" s="24"/>
      <c r="E1447" s="25"/>
      <c r="F1447" s="26"/>
      <c r="G1447" s="27"/>
      <c r="H1447" s="20"/>
      <c r="I1447" s="21"/>
      <c r="J1447" s="28"/>
      <c r="K1447" s="19"/>
    </row>
    <row r="1448" spans="1:11" ht="13.2">
      <c r="A1448" s="22"/>
      <c r="B1448" s="16"/>
      <c r="C1448" s="23"/>
      <c r="D1448" s="24"/>
      <c r="E1448" s="25"/>
      <c r="F1448" s="26"/>
      <c r="G1448" s="27"/>
      <c r="H1448" s="20"/>
      <c r="I1448" s="21"/>
      <c r="J1448" s="28"/>
      <c r="K1448" s="19"/>
    </row>
    <row r="1449" spans="1:11" ht="13.2">
      <c r="A1449" s="22"/>
      <c r="B1449" s="16"/>
      <c r="C1449" s="23"/>
      <c r="D1449" s="24"/>
      <c r="E1449" s="25"/>
      <c r="F1449" s="26"/>
      <c r="G1449" s="27"/>
      <c r="H1449" s="20"/>
      <c r="I1449" s="21"/>
      <c r="J1449" s="28"/>
      <c r="K1449" s="19"/>
    </row>
    <row r="1450" spans="1:11" ht="13.2">
      <c r="A1450" s="22"/>
      <c r="B1450" s="16"/>
      <c r="C1450" s="23"/>
      <c r="D1450" s="24"/>
      <c r="E1450" s="25"/>
      <c r="F1450" s="26"/>
      <c r="G1450" s="27"/>
      <c r="H1450" s="20"/>
      <c r="I1450" s="21"/>
      <c r="J1450" s="28"/>
      <c r="K1450" s="19"/>
    </row>
    <row r="1451" spans="1:11" ht="13.2">
      <c r="A1451" s="22"/>
      <c r="B1451" s="16"/>
      <c r="C1451" s="23"/>
      <c r="D1451" s="24"/>
      <c r="E1451" s="25"/>
      <c r="F1451" s="26"/>
      <c r="G1451" s="27"/>
      <c r="H1451" s="20"/>
      <c r="I1451" s="21"/>
      <c r="J1451" s="28"/>
      <c r="K1451" s="19"/>
    </row>
    <row r="1452" spans="1:11" ht="13.2">
      <c r="A1452" s="22"/>
      <c r="B1452" s="16"/>
      <c r="C1452" s="23"/>
      <c r="D1452" s="24"/>
      <c r="E1452" s="25"/>
      <c r="F1452" s="26"/>
      <c r="G1452" s="27"/>
      <c r="H1452" s="20"/>
      <c r="I1452" s="21"/>
      <c r="J1452" s="28"/>
      <c r="K1452" s="19"/>
    </row>
    <row r="1453" spans="1:11" ht="13.2">
      <c r="A1453" s="22"/>
      <c r="B1453" s="16"/>
      <c r="C1453" s="23"/>
      <c r="D1453" s="24"/>
      <c r="E1453" s="25"/>
      <c r="F1453" s="26"/>
      <c r="G1453" s="27"/>
      <c r="H1453" s="20"/>
      <c r="I1453" s="21"/>
      <c r="J1453" s="28"/>
      <c r="K1453" s="19"/>
    </row>
    <row r="1454" spans="1:11" ht="13.2">
      <c r="A1454" s="22"/>
      <c r="B1454" s="16"/>
      <c r="C1454" s="23"/>
      <c r="D1454" s="24"/>
      <c r="E1454" s="25"/>
      <c r="F1454" s="26"/>
      <c r="G1454" s="27"/>
      <c r="H1454" s="20"/>
      <c r="I1454" s="21"/>
      <c r="J1454" s="28"/>
      <c r="K1454" s="19"/>
    </row>
    <row r="1455" spans="1:11" ht="13.2">
      <c r="A1455" s="22"/>
      <c r="B1455" s="16"/>
      <c r="C1455" s="23"/>
      <c r="D1455" s="24"/>
      <c r="E1455" s="25"/>
      <c r="F1455" s="26"/>
      <c r="G1455" s="27"/>
      <c r="H1455" s="20"/>
      <c r="I1455" s="21"/>
      <c r="J1455" s="28"/>
      <c r="K1455" s="19"/>
    </row>
    <row r="1456" spans="1:11" ht="13.2">
      <c r="A1456" s="22"/>
      <c r="B1456" s="16"/>
      <c r="C1456" s="23"/>
      <c r="D1456" s="24"/>
      <c r="E1456" s="25"/>
      <c r="F1456" s="26"/>
      <c r="G1456" s="27"/>
      <c r="H1456" s="20"/>
      <c r="I1456" s="21"/>
      <c r="J1456" s="28"/>
      <c r="K1456" s="19"/>
    </row>
    <row r="1457" spans="1:11" ht="13.2">
      <c r="A1457" s="22"/>
      <c r="B1457" s="16"/>
      <c r="C1457" s="23"/>
      <c r="D1457" s="24"/>
      <c r="E1457" s="25"/>
      <c r="F1457" s="26"/>
      <c r="G1457" s="27"/>
      <c r="H1457" s="20"/>
      <c r="I1457" s="21"/>
      <c r="J1457" s="28"/>
      <c r="K1457" s="19"/>
    </row>
    <row r="1458" spans="1:11" ht="13.2">
      <c r="A1458" s="22"/>
      <c r="B1458" s="16"/>
      <c r="C1458" s="23"/>
      <c r="D1458" s="24"/>
      <c r="E1458" s="25"/>
      <c r="F1458" s="26"/>
      <c r="G1458" s="27"/>
      <c r="H1458" s="20"/>
      <c r="I1458" s="21"/>
      <c r="J1458" s="28"/>
      <c r="K1458" s="19"/>
    </row>
    <row r="1459" spans="1:11" ht="13.2">
      <c r="A1459" s="22"/>
      <c r="B1459" s="16"/>
      <c r="C1459" s="23"/>
      <c r="D1459" s="24"/>
      <c r="E1459" s="25"/>
      <c r="F1459" s="26"/>
      <c r="G1459" s="27"/>
      <c r="H1459" s="20"/>
      <c r="I1459" s="21"/>
      <c r="J1459" s="28"/>
      <c r="K1459" s="19"/>
    </row>
    <row r="1460" spans="1:11" ht="13.2">
      <c r="A1460" s="22"/>
      <c r="B1460" s="16"/>
      <c r="C1460" s="23"/>
      <c r="D1460" s="24"/>
      <c r="E1460" s="25"/>
      <c r="F1460" s="26"/>
      <c r="G1460" s="27"/>
      <c r="H1460" s="20"/>
      <c r="I1460" s="21"/>
      <c r="J1460" s="28"/>
      <c r="K1460" s="19"/>
    </row>
    <row r="1461" spans="1:11" ht="13.2">
      <c r="A1461" s="22"/>
      <c r="B1461" s="16"/>
      <c r="C1461" s="23"/>
      <c r="D1461" s="24"/>
      <c r="E1461" s="25"/>
      <c r="F1461" s="26"/>
      <c r="G1461" s="27"/>
      <c r="H1461" s="20"/>
      <c r="I1461" s="21"/>
      <c r="J1461" s="28"/>
      <c r="K1461" s="19"/>
    </row>
    <row r="1462" spans="1:11" ht="13.2">
      <c r="A1462" s="22"/>
      <c r="B1462" s="16"/>
      <c r="C1462" s="23"/>
      <c r="D1462" s="24"/>
      <c r="E1462" s="25"/>
      <c r="F1462" s="26"/>
      <c r="G1462" s="27"/>
      <c r="H1462" s="20"/>
      <c r="I1462" s="21"/>
      <c r="J1462" s="28"/>
      <c r="K1462" s="19"/>
    </row>
    <row r="1463" spans="1:11" ht="13.2">
      <c r="A1463" s="22"/>
      <c r="B1463" s="16"/>
      <c r="C1463" s="23"/>
      <c r="D1463" s="24"/>
      <c r="E1463" s="25"/>
      <c r="F1463" s="26"/>
      <c r="G1463" s="27"/>
      <c r="H1463" s="20"/>
      <c r="I1463" s="21"/>
      <c r="J1463" s="28"/>
      <c r="K1463" s="19"/>
    </row>
    <row r="1464" spans="1:11" ht="13.2">
      <c r="A1464" s="22"/>
      <c r="B1464" s="16"/>
      <c r="C1464" s="23"/>
      <c r="D1464" s="24"/>
      <c r="E1464" s="25"/>
      <c r="F1464" s="26"/>
      <c r="G1464" s="27"/>
      <c r="H1464" s="20"/>
      <c r="I1464" s="21"/>
      <c r="J1464" s="28"/>
      <c r="K1464" s="19"/>
    </row>
    <row r="1465" spans="1:11" ht="13.2">
      <c r="A1465" s="22"/>
      <c r="B1465" s="16"/>
      <c r="C1465" s="23"/>
      <c r="D1465" s="24"/>
      <c r="E1465" s="25"/>
      <c r="F1465" s="26"/>
      <c r="G1465" s="27"/>
      <c r="H1465" s="20"/>
      <c r="I1465" s="21"/>
      <c r="J1465" s="28"/>
      <c r="K1465" s="19"/>
    </row>
    <row r="1466" spans="1:11" ht="13.2">
      <c r="A1466" s="22"/>
      <c r="B1466" s="16"/>
      <c r="C1466" s="23"/>
      <c r="D1466" s="24"/>
      <c r="E1466" s="25"/>
      <c r="F1466" s="26"/>
      <c r="G1466" s="27"/>
      <c r="H1466" s="20"/>
      <c r="I1466" s="21"/>
      <c r="J1466" s="28"/>
      <c r="K1466" s="19"/>
    </row>
    <row r="1467" spans="1:11" ht="13.2">
      <c r="A1467" s="22"/>
      <c r="B1467" s="16"/>
      <c r="C1467" s="23"/>
      <c r="D1467" s="24"/>
      <c r="E1467" s="25"/>
      <c r="F1467" s="26"/>
      <c r="G1467" s="27"/>
      <c r="H1467" s="20"/>
      <c r="I1467" s="21"/>
      <c r="J1467" s="28"/>
      <c r="K1467" s="19"/>
    </row>
    <row r="1468" spans="1:11" ht="13.2">
      <c r="A1468" s="22"/>
      <c r="B1468" s="16"/>
      <c r="C1468" s="23"/>
      <c r="D1468" s="24"/>
      <c r="E1468" s="25"/>
      <c r="F1468" s="26"/>
      <c r="G1468" s="27"/>
      <c r="H1468" s="20"/>
      <c r="I1468" s="21"/>
      <c r="J1468" s="28"/>
      <c r="K1468" s="19"/>
    </row>
    <row r="1469" spans="1:11" ht="13.2">
      <c r="A1469" s="22"/>
      <c r="B1469" s="16"/>
      <c r="C1469" s="23"/>
      <c r="D1469" s="24"/>
      <c r="E1469" s="25"/>
      <c r="F1469" s="26"/>
      <c r="G1469" s="27"/>
      <c r="H1469" s="20"/>
      <c r="I1469" s="21"/>
      <c r="J1469" s="28"/>
      <c r="K1469" s="19"/>
    </row>
    <row r="1470" spans="1:11" ht="13.2">
      <c r="A1470" s="22"/>
      <c r="B1470" s="16"/>
      <c r="C1470" s="23"/>
      <c r="D1470" s="24"/>
      <c r="E1470" s="25"/>
      <c r="F1470" s="26"/>
      <c r="G1470" s="27"/>
      <c r="H1470" s="20"/>
      <c r="I1470" s="21"/>
      <c r="J1470" s="28"/>
      <c r="K1470" s="19"/>
    </row>
    <row r="1471" spans="1:11" ht="13.2">
      <c r="A1471" s="22"/>
      <c r="B1471" s="16"/>
      <c r="C1471" s="23"/>
      <c r="D1471" s="24"/>
      <c r="E1471" s="25"/>
      <c r="F1471" s="26"/>
      <c r="G1471" s="27"/>
      <c r="H1471" s="20"/>
      <c r="I1471" s="21"/>
      <c r="J1471" s="28"/>
      <c r="K1471" s="19"/>
    </row>
    <row r="1472" spans="1:11" ht="13.2">
      <c r="A1472" s="22"/>
      <c r="B1472" s="16"/>
      <c r="C1472" s="23"/>
      <c r="D1472" s="24"/>
      <c r="E1472" s="25"/>
      <c r="F1472" s="26"/>
      <c r="G1472" s="27"/>
      <c r="H1472" s="20"/>
      <c r="I1472" s="21"/>
      <c r="J1472" s="28"/>
      <c r="K1472" s="19"/>
    </row>
    <row r="1473" spans="1:11" ht="13.2">
      <c r="A1473" s="22"/>
      <c r="B1473" s="16"/>
      <c r="C1473" s="23"/>
      <c r="D1473" s="24"/>
      <c r="E1473" s="25"/>
      <c r="F1473" s="26"/>
      <c r="G1473" s="27"/>
      <c r="H1473" s="20"/>
      <c r="I1473" s="21"/>
      <c r="J1473" s="28"/>
      <c r="K1473" s="19"/>
    </row>
    <row r="1474" spans="1:11" ht="13.2">
      <c r="A1474" s="22"/>
      <c r="B1474" s="16"/>
      <c r="C1474" s="23"/>
      <c r="D1474" s="24"/>
      <c r="E1474" s="25"/>
      <c r="F1474" s="26"/>
      <c r="G1474" s="27"/>
      <c r="H1474" s="20"/>
      <c r="I1474" s="21"/>
      <c r="J1474" s="28"/>
      <c r="K1474" s="19"/>
    </row>
    <row r="1475" spans="1:11" ht="13.2">
      <c r="A1475" s="22"/>
      <c r="B1475" s="16"/>
      <c r="C1475" s="23"/>
      <c r="D1475" s="24"/>
      <c r="E1475" s="25"/>
      <c r="F1475" s="26"/>
      <c r="G1475" s="27"/>
      <c r="H1475" s="20"/>
      <c r="I1475" s="21"/>
      <c r="J1475" s="28"/>
      <c r="K1475" s="19"/>
    </row>
    <row r="1476" spans="1:11" ht="13.2">
      <c r="A1476" s="22"/>
      <c r="B1476" s="16"/>
      <c r="C1476" s="23"/>
      <c r="D1476" s="24"/>
      <c r="E1476" s="25"/>
      <c r="F1476" s="26"/>
      <c r="G1476" s="27"/>
      <c r="H1476" s="20"/>
      <c r="I1476" s="21"/>
      <c r="J1476" s="28"/>
      <c r="K1476" s="19"/>
    </row>
    <row r="1477" spans="1:11" ht="13.2">
      <c r="A1477" s="22"/>
      <c r="B1477" s="16"/>
      <c r="C1477" s="23"/>
      <c r="D1477" s="24"/>
      <c r="E1477" s="25"/>
      <c r="F1477" s="26"/>
      <c r="G1477" s="27"/>
      <c r="H1477" s="20"/>
      <c r="I1477" s="21"/>
      <c r="J1477" s="28"/>
      <c r="K1477" s="19"/>
    </row>
    <row r="1478" spans="1:11" ht="13.2">
      <c r="A1478" s="22"/>
      <c r="B1478" s="16"/>
      <c r="C1478" s="23"/>
      <c r="D1478" s="24"/>
      <c r="E1478" s="25"/>
      <c r="F1478" s="26"/>
      <c r="G1478" s="27"/>
      <c r="H1478" s="20"/>
      <c r="I1478" s="21"/>
      <c r="J1478" s="28"/>
      <c r="K1478" s="19"/>
    </row>
    <row r="1479" spans="1:11" ht="13.2">
      <c r="A1479" s="22"/>
      <c r="B1479" s="16"/>
      <c r="C1479" s="23"/>
      <c r="D1479" s="24"/>
      <c r="E1479" s="25"/>
      <c r="F1479" s="26"/>
      <c r="G1479" s="27"/>
      <c r="H1479" s="20"/>
      <c r="I1479" s="21"/>
      <c r="J1479" s="28"/>
      <c r="K1479" s="19"/>
    </row>
    <row r="1480" spans="1:11" ht="13.2">
      <c r="A1480" s="22"/>
      <c r="B1480" s="16"/>
      <c r="C1480" s="23"/>
      <c r="D1480" s="24"/>
      <c r="E1480" s="25"/>
      <c r="F1480" s="26"/>
      <c r="G1480" s="27"/>
      <c r="H1480" s="20"/>
      <c r="I1480" s="21"/>
      <c r="J1480" s="28"/>
      <c r="K1480" s="19"/>
    </row>
    <row r="1481" spans="1:11" ht="13.2">
      <c r="A1481" s="22"/>
      <c r="B1481" s="16"/>
      <c r="C1481" s="23"/>
      <c r="D1481" s="24"/>
      <c r="E1481" s="25"/>
      <c r="F1481" s="26"/>
      <c r="G1481" s="27"/>
      <c r="H1481" s="20"/>
      <c r="I1481" s="21"/>
      <c r="J1481" s="28"/>
      <c r="K1481" s="19"/>
    </row>
    <row r="1482" spans="1:11" ht="13.2">
      <c r="A1482" s="22"/>
      <c r="B1482" s="16"/>
      <c r="C1482" s="23"/>
      <c r="D1482" s="24"/>
      <c r="E1482" s="25"/>
      <c r="F1482" s="26"/>
      <c r="G1482" s="27"/>
      <c r="H1482" s="20"/>
      <c r="I1482" s="21"/>
      <c r="J1482" s="28"/>
      <c r="K1482" s="19"/>
    </row>
    <row r="1483" spans="1:11" ht="13.2">
      <c r="A1483" s="22"/>
      <c r="B1483" s="16"/>
      <c r="C1483" s="23"/>
      <c r="D1483" s="24"/>
      <c r="E1483" s="25"/>
      <c r="F1483" s="26"/>
      <c r="G1483" s="27"/>
      <c r="H1483" s="20"/>
      <c r="I1483" s="21"/>
      <c r="J1483" s="28"/>
      <c r="K1483" s="19"/>
    </row>
    <row r="1484" spans="1:11" ht="13.2">
      <c r="A1484" s="22"/>
      <c r="B1484" s="16"/>
      <c r="C1484" s="23"/>
      <c r="D1484" s="24"/>
      <c r="E1484" s="25"/>
      <c r="F1484" s="26"/>
      <c r="G1484" s="27"/>
      <c r="H1484" s="20"/>
      <c r="I1484" s="21"/>
      <c r="J1484" s="28"/>
      <c r="K1484" s="19"/>
    </row>
    <row r="1485" spans="1:11" ht="13.2">
      <c r="A1485" s="22"/>
      <c r="B1485" s="16"/>
      <c r="C1485" s="23"/>
      <c r="D1485" s="24"/>
      <c r="E1485" s="25"/>
      <c r="F1485" s="26"/>
      <c r="G1485" s="27"/>
      <c r="H1485" s="20"/>
      <c r="I1485" s="21"/>
      <c r="J1485" s="28"/>
      <c r="K1485" s="19"/>
    </row>
    <row r="1486" spans="1:11" ht="13.2">
      <c r="A1486" s="22"/>
      <c r="B1486" s="16"/>
      <c r="C1486" s="23"/>
      <c r="D1486" s="24"/>
      <c r="E1486" s="25"/>
      <c r="F1486" s="26"/>
      <c r="G1486" s="27"/>
      <c r="H1486" s="20"/>
      <c r="I1486" s="21"/>
      <c r="J1486" s="28"/>
      <c r="K1486" s="19"/>
    </row>
    <row r="1487" spans="1:11" ht="13.2">
      <c r="A1487" s="22"/>
      <c r="B1487" s="16"/>
      <c r="C1487" s="23"/>
      <c r="D1487" s="24"/>
      <c r="E1487" s="25"/>
      <c r="F1487" s="26"/>
      <c r="G1487" s="27"/>
      <c r="H1487" s="20"/>
      <c r="I1487" s="21"/>
      <c r="J1487" s="28"/>
      <c r="K1487" s="19"/>
    </row>
    <row r="1488" spans="1:11" ht="13.2">
      <c r="A1488" s="22"/>
      <c r="B1488" s="16"/>
      <c r="C1488" s="23"/>
      <c r="D1488" s="24"/>
      <c r="E1488" s="25"/>
      <c r="F1488" s="26"/>
      <c r="G1488" s="27"/>
      <c r="H1488" s="20"/>
      <c r="I1488" s="21"/>
      <c r="J1488" s="28"/>
      <c r="K1488" s="19"/>
    </row>
    <row r="1489" spans="1:11" ht="13.2">
      <c r="A1489" s="22"/>
      <c r="B1489" s="16"/>
      <c r="C1489" s="23"/>
      <c r="D1489" s="24"/>
      <c r="E1489" s="25"/>
      <c r="F1489" s="26"/>
      <c r="G1489" s="27"/>
      <c r="H1489" s="20"/>
      <c r="I1489" s="21"/>
      <c r="J1489" s="28"/>
      <c r="K1489" s="19"/>
    </row>
    <row r="1490" spans="1:11" ht="13.2">
      <c r="A1490" s="22"/>
      <c r="B1490" s="16"/>
      <c r="C1490" s="23"/>
      <c r="D1490" s="24"/>
      <c r="E1490" s="25"/>
      <c r="F1490" s="26"/>
      <c r="G1490" s="27"/>
      <c r="H1490" s="20"/>
      <c r="I1490" s="21"/>
      <c r="J1490" s="28"/>
      <c r="K1490" s="19"/>
    </row>
    <row r="1491" spans="1:11" ht="13.2">
      <c r="A1491" s="22"/>
      <c r="B1491" s="16"/>
      <c r="C1491" s="23"/>
      <c r="D1491" s="24"/>
      <c r="E1491" s="25"/>
      <c r="F1491" s="26"/>
      <c r="G1491" s="27"/>
      <c r="H1491" s="20"/>
      <c r="I1491" s="21"/>
      <c r="J1491" s="28"/>
      <c r="K1491" s="19"/>
    </row>
    <row r="1492" spans="1:11" ht="13.2">
      <c r="A1492" s="22"/>
      <c r="B1492" s="16"/>
      <c r="C1492" s="23"/>
      <c r="D1492" s="24"/>
      <c r="E1492" s="25"/>
      <c r="F1492" s="26"/>
      <c r="G1492" s="27"/>
      <c r="H1492" s="20"/>
      <c r="I1492" s="21"/>
      <c r="J1492" s="28"/>
      <c r="K1492" s="19"/>
    </row>
    <row r="1493" spans="1:11" ht="13.2">
      <c r="A1493" s="22"/>
      <c r="B1493" s="16"/>
      <c r="C1493" s="23"/>
      <c r="D1493" s="24"/>
      <c r="E1493" s="25"/>
      <c r="F1493" s="26"/>
      <c r="G1493" s="27"/>
      <c r="H1493" s="20"/>
      <c r="I1493" s="21"/>
      <c r="J1493" s="28"/>
      <c r="K1493" s="19"/>
    </row>
    <row r="1494" spans="1:11" ht="13.2">
      <c r="A1494" s="22"/>
      <c r="B1494" s="16"/>
      <c r="C1494" s="23"/>
      <c r="D1494" s="24"/>
      <c r="E1494" s="25"/>
      <c r="F1494" s="26"/>
      <c r="G1494" s="27"/>
      <c r="H1494" s="20"/>
      <c r="I1494" s="21"/>
      <c r="J1494" s="28"/>
      <c r="K1494" s="19"/>
    </row>
    <row r="1495" spans="1:11" ht="13.2">
      <c r="A1495" s="22"/>
      <c r="B1495" s="16"/>
      <c r="C1495" s="23"/>
      <c r="D1495" s="24"/>
      <c r="E1495" s="25"/>
      <c r="F1495" s="26"/>
      <c r="G1495" s="27"/>
      <c r="H1495" s="20"/>
      <c r="I1495" s="21"/>
      <c r="J1495" s="28"/>
      <c r="K1495" s="19"/>
    </row>
    <row r="1496" spans="1:11" ht="13.2">
      <c r="A1496" s="22"/>
      <c r="B1496" s="16"/>
      <c r="C1496" s="23"/>
      <c r="D1496" s="24"/>
      <c r="E1496" s="25"/>
      <c r="F1496" s="26"/>
      <c r="G1496" s="27"/>
      <c r="H1496" s="20"/>
      <c r="I1496" s="21"/>
      <c r="J1496" s="28"/>
      <c r="K1496" s="19"/>
    </row>
    <row r="1497" spans="1:11" ht="13.2">
      <c r="A1497" s="22"/>
      <c r="B1497" s="16"/>
      <c r="C1497" s="23"/>
      <c r="D1497" s="24"/>
      <c r="E1497" s="25"/>
      <c r="F1497" s="26"/>
      <c r="G1497" s="27"/>
      <c r="H1497" s="20"/>
      <c r="I1497" s="21"/>
      <c r="J1497" s="28"/>
      <c r="K1497" s="19"/>
    </row>
    <row r="1498" spans="1:11" ht="13.2">
      <c r="A1498" s="22"/>
      <c r="B1498" s="16"/>
      <c r="C1498" s="23"/>
      <c r="D1498" s="24"/>
      <c r="E1498" s="25"/>
      <c r="F1498" s="26"/>
      <c r="G1498" s="27"/>
      <c r="H1498" s="20"/>
      <c r="I1498" s="21"/>
      <c r="J1498" s="28"/>
      <c r="K1498" s="19"/>
    </row>
    <row r="1499" spans="1:11" ht="13.2">
      <c r="A1499" s="22"/>
      <c r="B1499" s="16"/>
      <c r="C1499" s="23"/>
      <c r="D1499" s="24"/>
      <c r="E1499" s="25"/>
      <c r="F1499" s="26"/>
      <c r="G1499" s="27"/>
      <c r="H1499" s="20"/>
      <c r="I1499" s="21"/>
      <c r="J1499" s="28"/>
      <c r="K1499" s="19"/>
    </row>
  </sheetData>
  <autoFilter ref="A2:K160"/>
  <mergeCells count="1">
    <mergeCell ref="A1:K1"/>
  </mergeCells>
  <conditionalFormatting sqref="C3:C1499">
    <cfRule type="cellIs" dxfId="241" priority="1" stopIfTrue="1" operator="equal">
      <formula>"Farjana Apu"</formula>
    </cfRule>
  </conditionalFormatting>
  <conditionalFormatting sqref="C3:C1499">
    <cfRule type="cellIs" dxfId="240" priority="2" stopIfTrue="1" operator="equal">
      <formula>"Fiza Apu"</formula>
    </cfRule>
  </conditionalFormatting>
  <conditionalFormatting sqref="C3:C1499">
    <cfRule type="cellIs" dxfId="239" priority="3" stopIfTrue="1" operator="equal">
      <formula>"Nazmul Sir"</formula>
    </cfRule>
  </conditionalFormatting>
  <conditionalFormatting sqref="C3:C1499">
    <cfRule type="cellIs" dxfId="238" priority="4" stopIfTrue="1" operator="equal">
      <formula>"Rabby Vai"</formula>
    </cfRule>
  </conditionalFormatting>
  <conditionalFormatting sqref="C3:C1499">
    <cfRule type="cellIs" dxfId="237" priority="5" stopIfTrue="1" operator="equal">
      <formula>"Reba Apu"</formula>
    </cfRule>
  </conditionalFormatting>
  <conditionalFormatting sqref="C3:C1499">
    <cfRule type="cellIs" dxfId="236" priority="6" stopIfTrue="1" operator="equal">
      <formula>"Saema Apu"</formula>
    </cfRule>
  </conditionalFormatting>
  <conditionalFormatting sqref="C3:C1499">
    <cfRule type="cellIs" dxfId="235" priority="7" stopIfTrue="1" operator="equal">
      <formula>"Sharika Apu"</formula>
    </cfRule>
  </conditionalFormatting>
  <conditionalFormatting sqref="C3:C1499">
    <cfRule type="cellIs" dxfId="234" priority="8" stopIfTrue="1" operator="equal">
      <formula>"Sharmin Apu"</formula>
    </cfRule>
  </conditionalFormatting>
  <conditionalFormatting sqref="C3:C1499">
    <cfRule type="cellIs" dxfId="233" priority="9" stopIfTrue="1" operator="equal">
      <formula>"Mubassira Apu"</formula>
    </cfRule>
  </conditionalFormatting>
  <conditionalFormatting sqref="C3:C1499">
    <cfRule type="cellIs" dxfId="232" priority="10" stopIfTrue="1" operator="equal">
      <formula>"Mona Apu"</formula>
    </cfRule>
  </conditionalFormatting>
  <conditionalFormatting sqref="C3:C1499">
    <cfRule type="cellIs" dxfId="231" priority="11" stopIfTrue="1" operator="equal">
      <formula>"Rakib Vai"</formula>
    </cfRule>
  </conditionalFormatting>
  <conditionalFormatting sqref="C3:C1499">
    <cfRule type="cellIs" dxfId="230" priority="12" stopIfTrue="1" operator="equal">
      <formula>"Saifullah Vai"</formula>
    </cfRule>
  </conditionalFormatting>
  <conditionalFormatting sqref="C3:C1499">
    <cfRule type="cellIs" dxfId="229" priority="13" stopIfTrue="1" operator="equal">
      <formula>"Shamsul Sir"</formula>
    </cfRule>
  </conditionalFormatting>
  <conditionalFormatting sqref="C3:C1499">
    <cfRule type="cellIs" dxfId="228" priority="14" stopIfTrue="1" operator="equal">
      <formula>"Zahirul Vai"</formula>
    </cfRule>
  </conditionalFormatting>
  <conditionalFormatting sqref="E3:E1499">
    <cfRule type="cellIs" dxfId="227" priority="15" stopIfTrue="1" operator="equal">
      <formula>"ATC Box Output"</formula>
    </cfRule>
  </conditionalFormatting>
  <conditionalFormatting sqref="E3:E1499">
    <cfRule type="cellIs" dxfId="226" priority="16" stopIfTrue="1" operator="equal">
      <formula>"Black Cylinder Output"</formula>
    </cfRule>
  </conditionalFormatting>
  <conditionalFormatting sqref="E3:E1499">
    <cfRule type="cellIs" dxfId="225" priority="17" stopIfTrue="1" operator="equal">
      <formula>"Flyer/Brochure/Banner Output"</formula>
    </cfRule>
  </conditionalFormatting>
  <conditionalFormatting sqref="E3:E1499">
    <cfRule type="cellIs" dxfId="224" priority="18" stopIfTrue="1" operator="equal">
      <formula>"Full Cylinder Output"</formula>
    </cfRule>
  </conditionalFormatting>
  <conditionalFormatting sqref="E3:E1499">
    <cfRule type="cellIs" dxfId="223" priority="19" stopIfTrue="1" operator="equal">
      <formula>"Gravure Output #1"</formula>
    </cfRule>
  </conditionalFormatting>
  <conditionalFormatting sqref="E3:E1499">
    <cfRule type="cellIs" dxfId="222" priority="20" stopIfTrue="1" operator="equal">
      <formula>"Gravure Output #2"</formula>
    </cfRule>
  </conditionalFormatting>
  <conditionalFormatting sqref="E3:E1499">
    <cfRule type="cellIs" dxfId="221" priority="21" stopIfTrue="1" operator="equal">
      <formula>"JAR Label Sticker Output"</formula>
    </cfRule>
  </conditionalFormatting>
  <conditionalFormatting sqref="E3:E1499">
    <cfRule type="cellIs" dxfId="220" priority="22" stopIfTrue="1" operator="equal">
      <formula>"Leaflet/Poster Output"</formula>
    </cfRule>
  </conditionalFormatting>
  <conditionalFormatting sqref="E3:E1499">
    <cfRule type="cellIs" dxfId="219" priority="23" stopIfTrue="1" operator="equal">
      <formula>"Output Setup (Gravure/Offset)"</formula>
    </cfRule>
  </conditionalFormatting>
  <conditionalFormatting sqref="E3:E1499">
    <cfRule type="cellIs" dxfId="218" priority="24" stopIfTrue="1" operator="equal">
      <formula>"Carton Design"</formula>
    </cfRule>
  </conditionalFormatting>
  <conditionalFormatting sqref="E3:E1499">
    <cfRule type="cellIs" dxfId="217" priority="25" stopIfTrue="1" operator="equal">
      <formula>"Document Text Correction"</formula>
    </cfRule>
  </conditionalFormatting>
  <conditionalFormatting sqref="E3:E1499">
    <cfRule type="cellIs" dxfId="216" priority="26" stopIfTrue="1" operator="equal">
      <formula>"FOP Sticker Making"</formula>
    </cfRule>
  </conditionalFormatting>
  <conditionalFormatting sqref="E3:E1499">
    <cfRule type="cellIs" dxfId="215" priority="27" stopIfTrue="1" operator="equal">
      <formula>"Layout/Dieline Making"</formula>
    </cfRule>
  </conditionalFormatting>
  <conditionalFormatting sqref="E3:E1499">
    <cfRule type="cellIs" dxfId="214" priority="28" stopIfTrue="1" operator="equal">
      <formula>"Packaging Text Design #1"</formula>
    </cfRule>
  </conditionalFormatting>
  <conditionalFormatting sqref="E3:E1499">
    <cfRule type="cellIs" dxfId="213" priority="29" stopIfTrue="1" operator="equal">
      <formula>"Packaging Text Design #2"</formula>
    </cfRule>
  </conditionalFormatting>
  <conditionalFormatting sqref="E3:E1499">
    <cfRule type="cellIs" dxfId="212" priority="30" stopIfTrue="1" operator="equal">
      <formula>"Text Sticker Design #1"</formula>
    </cfRule>
  </conditionalFormatting>
  <conditionalFormatting sqref="E3:E1499">
    <cfRule type="cellIs" dxfId="211" priority="31" stopIfTrue="1" operator="equal">
      <formula>"Text Sticker Design #2"</formula>
    </cfRule>
  </conditionalFormatting>
  <conditionalFormatting sqref="E3:E1499">
    <cfRule type="cellIs" dxfId="210" priority="32" stopIfTrue="1" operator="equal">
      <formula>"ATC BOX"</formula>
    </cfRule>
  </conditionalFormatting>
  <conditionalFormatting sqref="E3:E1499">
    <cfRule type="cellIs" dxfId="209" priority="33" stopIfTrue="1" operator="equal">
      <formula>"Background Remove/Image Resize"</formula>
    </cfRule>
  </conditionalFormatting>
  <conditionalFormatting sqref="E3:E1499">
    <cfRule type="cellIs" dxfId="208" priority="34" stopIfTrue="1" operator="equal">
      <formula>"Branding"</formula>
    </cfRule>
  </conditionalFormatting>
  <conditionalFormatting sqref="E3:E1499">
    <cfRule type="cellIs" dxfId="207" priority="35" stopIfTrue="1" operator="equal">
      <formula>"Clipping Path"</formula>
    </cfRule>
  </conditionalFormatting>
  <conditionalFormatting sqref="E3:E1499">
    <cfRule type="cellIs" dxfId="206" priority="36" stopIfTrue="1" operator="equal">
      <formula>"Digital Static For Social Media"</formula>
    </cfRule>
  </conditionalFormatting>
  <conditionalFormatting sqref="E3:E1499">
    <cfRule type="cellIs" dxfId="205" priority="37" stopIfTrue="1" operator="equal">
      <formula>"Logo Design"</formula>
    </cfRule>
  </conditionalFormatting>
  <conditionalFormatting sqref="E3:E1499">
    <cfRule type="cellIs" dxfId="204" priority="38" stopIfTrue="1" operator="equal">
      <formula>"Outdoor/Event/Showroom Branding"</formula>
    </cfRule>
  </conditionalFormatting>
  <conditionalFormatting sqref="E3:E1499">
    <cfRule type="cellIs" dxfId="203" priority="39" stopIfTrue="1" operator="equal">
      <formula>"Packaging"</formula>
    </cfRule>
  </conditionalFormatting>
  <conditionalFormatting sqref="E3:E1499">
    <cfRule type="cellIs" dxfId="202" priority="40" stopIfTrue="1" operator="equal">
      <formula>"Visiting/ ID Card design"</formula>
    </cfRule>
  </conditionalFormatting>
  <conditionalFormatting sqref="E3:E1499">
    <cfRule type="cellIs" dxfId="201" priority="41" stopIfTrue="1" operator="equal">
      <formula>"Voice Over"</formula>
    </cfRule>
  </conditionalFormatting>
  <conditionalFormatting sqref="J3:J1499">
    <cfRule type="cellIs" dxfId="200" priority="42" stopIfTrue="1" operator="equal">
      <formula>"HoM Approved"</formula>
    </cfRule>
  </conditionalFormatting>
  <conditionalFormatting sqref="J3:J1499">
    <cfRule type="cellIs" dxfId="199" priority="43" stopIfTrue="1" operator="equal">
      <formula>"Brief Submitted"</formula>
    </cfRule>
  </conditionalFormatting>
  <conditionalFormatting sqref="J3:J1499">
    <cfRule type="cellIs" dxfId="198" priority="44" stopIfTrue="1" operator="equal">
      <formula>"In Review"</formula>
    </cfRule>
  </conditionalFormatting>
  <conditionalFormatting sqref="J3:J1499">
    <cfRule type="cellIs" dxfId="197" priority="45" stopIfTrue="1" operator="equal">
      <formula>"BM Approved"</formula>
    </cfRule>
  </conditionalFormatting>
  <conditionalFormatting sqref="J3:J1499">
    <cfRule type="cellIs" dxfId="196" priority="46" stopIfTrue="1" operator="equal">
      <formula>"Running"</formula>
    </cfRule>
  </conditionalFormatting>
  <conditionalFormatting sqref="C3:C1499">
    <cfRule type="expression" dxfId="195" priority="47" stopIfTrue="1">
      <formula>"=AND(=COUNTA($A3:$J3)&gt;0,$C3="")"</formula>
    </cfRule>
  </conditionalFormatting>
  <conditionalFormatting sqref="E3:I1499">
    <cfRule type="expression" dxfId="194" priority="48" stopIfTrue="1">
      <formula>"=AND(=COUNTA($A3:$J3)&gt;0,E3="")"</formula>
    </cfRule>
  </conditionalFormatting>
  <conditionalFormatting sqref="A3:K1499">
    <cfRule type="expression" dxfId="193" priority="49" stopIfTrue="1">
      <formula>COUNTA($A3:$K3)=0</formula>
    </cfRule>
  </conditionalFormatting>
  <dataValidations count="2">
    <dataValidation type="decimal" operator="greaterThan" allowBlank="1" showDropDown="1" showErrorMessage="1" sqref="G3:G1499">
      <formula1>0</formula1>
    </dataValidation>
    <dataValidation type="custom" allowBlank="1" showDropDown="1" showErrorMessage="1" sqref="H3:H1499">
      <formula1>OR(NOT(ISERROR(DATEVALUE(H3))), AND(ISNUMBER(H3), LEFT(CELL("format", H3))="D"))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Helper!$A$2:$A1499</xm:f>
          </x14:formula1>
          <xm:sqref>B3:B1499</xm:sqref>
        </x14:dataValidation>
        <x14:dataValidation type="list" allowBlank="1">
          <x14:formula1>
            <xm:f>Helper!$B$2:$B1499</xm:f>
          </x14:formula1>
          <xm:sqref>C3:C1499</xm:sqref>
        </x14:dataValidation>
        <x14:dataValidation type="list" allowBlank="1">
          <x14:formula1>
            <xm:f>Helper!$C$2:$C1499</xm:f>
          </x14:formula1>
          <xm:sqref>E3:E1499</xm:sqref>
        </x14:dataValidation>
        <x14:dataValidation type="list" allowBlank="1">
          <x14:formula1>
            <xm:f>Helper!$D$2:$D1499</xm:f>
          </x14:formula1>
          <xm:sqref>F3:F1499</xm:sqref>
        </x14:dataValidation>
        <x14:dataValidation type="list" allowBlank="1">
          <x14:formula1>
            <xm:f>Helper!$E$2:$E1499</xm:f>
          </x14:formula1>
          <xm:sqref>J3:J1499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B8A6"/>
    <outlinePr summaryBelow="0" summaryRight="0"/>
  </sheetPr>
  <dimension ref="A1:K15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28.88671875" customWidth="1"/>
    <col min="2" max="2" width="13.21875" customWidth="1"/>
    <col min="3" max="3" width="21.33203125" customWidth="1"/>
    <col min="4" max="4" width="17.6640625" customWidth="1"/>
    <col min="5" max="5" width="28.88671875" customWidth="1"/>
    <col min="6" max="6" width="13.21875" customWidth="1"/>
    <col min="7" max="7" width="9.44140625" customWidth="1"/>
    <col min="8" max="8" width="16.33203125" customWidth="1"/>
    <col min="9" max="9" width="18.88671875" customWidth="1"/>
    <col min="10" max="10" width="17" customWidth="1"/>
    <col min="11" max="11" width="12.6640625" customWidth="1"/>
  </cols>
  <sheetData>
    <row r="1" spans="1:11" ht="27" customHeight="1">
      <c r="A1" s="104" t="str">
        <f>HYPERLINK("https://docs.google.com/spreadsheets/d/1K9G-wDk_WFUTXFBEzHiTsPAPTkgmvY6ydUUckPlDbUM/edit?gid=2135007239#gid=2135007239","➜ Go to Dashboard")</f>
        <v>➜ Go to Dashboard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5.5" customHeight="1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" t="s">
        <v>10</v>
      </c>
    </row>
    <row r="3" spans="1:11" ht="13.2">
      <c r="A3" s="4" t="s">
        <v>443</v>
      </c>
      <c r="B3" s="5" t="s">
        <v>32</v>
      </c>
      <c r="C3" s="6" t="s">
        <v>166</v>
      </c>
      <c r="D3" s="7" t="s">
        <v>2865</v>
      </c>
      <c r="E3" s="8" t="s">
        <v>1687</v>
      </c>
      <c r="F3" s="9" t="s">
        <v>17</v>
      </c>
      <c r="G3" s="10">
        <v>1</v>
      </c>
      <c r="H3" s="11">
        <v>46109</v>
      </c>
      <c r="I3" s="12" t="s">
        <v>2866</v>
      </c>
      <c r="J3" s="13" t="s">
        <v>30</v>
      </c>
      <c r="K3" s="14" t="str">
        <f>HYPERLINK("http://mpro.prangroup.com:4000/CreativeWorks/Edit/28223","Open")</f>
        <v>Open</v>
      </c>
    </row>
    <row r="4" spans="1:11" ht="13.2">
      <c r="A4" s="4" t="s">
        <v>216</v>
      </c>
      <c r="B4" s="5" t="s">
        <v>217</v>
      </c>
      <c r="C4" s="6" t="s">
        <v>186</v>
      </c>
      <c r="D4" s="7" t="s">
        <v>218</v>
      </c>
      <c r="E4" s="8" t="s">
        <v>16</v>
      </c>
      <c r="F4" s="9" t="s">
        <v>17</v>
      </c>
      <c r="G4" s="10">
        <v>2</v>
      </c>
      <c r="H4" s="11">
        <v>46109</v>
      </c>
      <c r="I4" s="12" t="s">
        <v>2867</v>
      </c>
      <c r="J4" s="13" t="s">
        <v>30</v>
      </c>
      <c r="K4" s="14" t="str">
        <f>HYPERLINK("http://mpro.prangroup.com:4000/CreativeWorks/Edit/28230","Open")</f>
        <v>Open</v>
      </c>
    </row>
    <row r="5" spans="1:11" ht="13.2">
      <c r="A5" s="4" t="s">
        <v>220</v>
      </c>
      <c r="B5" s="5" t="s">
        <v>221</v>
      </c>
      <c r="C5" s="6" t="s">
        <v>222</v>
      </c>
      <c r="D5" s="7" t="s">
        <v>2868</v>
      </c>
      <c r="E5" s="8" t="s">
        <v>141</v>
      </c>
      <c r="F5" s="9" t="s">
        <v>17</v>
      </c>
      <c r="G5" s="10">
        <v>1</v>
      </c>
      <c r="H5" s="11">
        <v>46110</v>
      </c>
      <c r="I5" s="12" t="s">
        <v>2869</v>
      </c>
      <c r="J5" s="13" t="s">
        <v>30</v>
      </c>
      <c r="K5" s="14" t="str">
        <f>HYPERLINK("http://mpro.prangroup.com:4000/CreativeWorks/Edit/28315","Open")</f>
        <v>Open</v>
      </c>
    </row>
    <row r="6" spans="1:11" ht="13.2">
      <c r="A6" s="4" t="s">
        <v>220</v>
      </c>
      <c r="B6" s="5" t="s">
        <v>221</v>
      </c>
      <c r="C6" s="6" t="s">
        <v>222</v>
      </c>
      <c r="D6" s="7" t="s">
        <v>2868</v>
      </c>
      <c r="E6" s="8" t="s">
        <v>57</v>
      </c>
      <c r="F6" s="9" t="s">
        <v>17</v>
      </c>
      <c r="G6" s="10">
        <v>1</v>
      </c>
      <c r="H6" s="11">
        <v>46110</v>
      </c>
      <c r="I6" s="12" t="s">
        <v>2870</v>
      </c>
      <c r="J6" s="13" t="s">
        <v>30</v>
      </c>
      <c r="K6" s="14" t="str">
        <f>HYPERLINK("http://mpro.prangroup.com:4000/CreativeWorks/Edit/28323","Open")</f>
        <v>Open</v>
      </c>
    </row>
    <row r="7" spans="1:11" ht="13.2">
      <c r="A7" s="4" t="s">
        <v>216</v>
      </c>
      <c r="B7" s="5" t="s">
        <v>217</v>
      </c>
      <c r="C7" s="6" t="s">
        <v>186</v>
      </c>
      <c r="D7" s="7" t="s">
        <v>2871</v>
      </c>
      <c r="E7" s="8" t="s">
        <v>1687</v>
      </c>
      <c r="F7" s="9" t="s">
        <v>17</v>
      </c>
      <c r="G7" s="10">
        <v>5</v>
      </c>
      <c r="H7" s="11">
        <v>46111</v>
      </c>
      <c r="I7" s="12" t="s">
        <v>2872</v>
      </c>
      <c r="J7" s="13" t="s">
        <v>30</v>
      </c>
      <c r="K7" s="14" t="str">
        <f>HYPERLINK("http://mpro.prangroup.com:4000/CreativeWorks/Edit/28517","Open")</f>
        <v>Open</v>
      </c>
    </row>
    <row r="8" spans="1:11" ht="13.2">
      <c r="A8" s="4" t="s">
        <v>1041</v>
      </c>
      <c r="B8" s="5" t="s">
        <v>41</v>
      </c>
      <c r="C8" s="6" t="s">
        <v>186</v>
      </c>
      <c r="D8" s="7" t="s">
        <v>2873</v>
      </c>
      <c r="E8" s="8" t="s">
        <v>88</v>
      </c>
      <c r="F8" s="9" t="s">
        <v>17</v>
      </c>
      <c r="G8" s="10">
        <v>1</v>
      </c>
      <c r="H8" s="11">
        <v>46111</v>
      </c>
      <c r="I8" s="12" t="s">
        <v>2874</v>
      </c>
      <c r="J8" s="13" t="s">
        <v>30</v>
      </c>
      <c r="K8" s="14" t="str">
        <f>HYPERLINK("http://mpro.prangroup.com:4000/CreativeWorks/Edit/28404","Open")</f>
        <v>Open</v>
      </c>
    </row>
    <row r="9" spans="1:11" ht="13.2">
      <c r="A9" s="4" t="s">
        <v>395</v>
      </c>
      <c r="B9" s="5" t="s">
        <v>185</v>
      </c>
      <c r="C9" s="6" t="s">
        <v>166</v>
      </c>
      <c r="D9" s="7" t="s">
        <v>2875</v>
      </c>
      <c r="E9" s="8" t="s">
        <v>242</v>
      </c>
      <c r="F9" s="9" t="s">
        <v>17</v>
      </c>
      <c r="G9" s="10">
        <v>2</v>
      </c>
      <c r="H9" s="11">
        <v>46112</v>
      </c>
      <c r="I9" s="12" t="s">
        <v>2876</v>
      </c>
      <c r="J9" s="13" t="s">
        <v>30</v>
      </c>
      <c r="K9" s="14" t="str">
        <f>HYPERLINK("http://mpro.prangroup.com:4000/CreativeWorks/Edit/28789","Open")</f>
        <v>Open</v>
      </c>
    </row>
    <row r="10" spans="1:11" ht="13.2">
      <c r="A10" s="4" t="s">
        <v>1655</v>
      </c>
      <c r="B10" s="5" t="s">
        <v>873</v>
      </c>
      <c r="C10" s="6" t="s">
        <v>1656</v>
      </c>
      <c r="D10" s="7" t="s">
        <v>1657</v>
      </c>
      <c r="E10" s="8" t="s">
        <v>16</v>
      </c>
      <c r="F10" s="9" t="s">
        <v>17</v>
      </c>
      <c r="G10" s="10">
        <v>1</v>
      </c>
      <c r="H10" s="11">
        <v>46113</v>
      </c>
      <c r="I10" s="12" t="s">
        <v>2877</v>
      </c>
      <c r="J10" s="13" t="s">
        <v>19</v>
      </c>
      <c r="K10" s="14" t="str">
        <f>HYPERLINK("http://mpro.prangroup.com:4000/CreativeWorks/Edit/28946","Open")</f>
        <v>Open</v>
      </c>
    </row>
    <row r="11" spans="1:11" ht="13.2">
      <c r="A11" s="4" t="s">
        <v>2878</v>
      </c>
      <c r="B11" s="5" t="s">
        <v>217</v>
      </c>
      <c r="C11" s="6" t="s">
        <v>971</v>
      </c>
      <c r="D11" s="7" t="s">
        <v>2879</v>
      </c>
      <c r="E11" s="8" t="s">
        <v>242</v>
      </c>
      <c r="F11" s="9" t="s">
        <v>17</v>
      </c>
      <c r="G11" s="10">
        <v>1</v>
      </c>
      <c r="H11" s="11">
        <v>46114</v>
      </c>
      <c r="I11" s="12" t="s">
        <v>2880</v>
      </c>
      <c r="J11" s="13" t="s">
        <v>30</v>
      </c>
      <c r="K11" s="14" t="str">
        <f>HYPERLINK("http://mpro.prangroup.com:4000/CreativeWorks/Edit/29081","Open")</f>
        <v>Open</v>
      </c>
    </row>
    <row r="12" spans="1:11" ht="13.2">
      <c r="A12" s="4" t="s">
        <v>1088</v>
      </c>
      <c r="B12" s="5" t="s">
        <v>202</v>
      </c>
      <c r="C12" s="6" t="s">
        <v>501</v>
      </c>
      <c r="D12" s="7" t="s">
        <v>1089</v>
      </c>
      <c r="E12" s="8" t="s">
        <v>242</v>
      </c>
      <c r="F12" s="9" t="s">
        <v>17</v>
      </c>
      <c r="G12" s="10">
        <v>3</v>
      </c>
      <c r="H12" s="11">
        <v>46116</v>
      </c>
      <c r="I12" s="12" t="s">
        <v>2881</v>
      </c>
      <c r="J12" s="13" t="s">
        <v>30</v>
      </c>
      <c r="K12" s="14" t="str">
        <f>HYPERLINK("http://mpro.prangroup.com:4000/CreativeWorks/Edit/29136","Open")</f>
        <v>Open</v>
      </c>
    </row>
    <row r="13" spans="1:11" ht="13.2">
      <c r="A13" s="4" t="s">
        <v>235</v>
      </c>
      <c r="B13" s="5" t="s">
        <v>101</v>
      </c>
      <c r="C13" s="6" t="s">
        <v>186</v>
      </c>
      <c r="D13" s="7" t="s">
        <v>2882</v>
      </c>
      <c r="E13" s="8" t="s">
        <v>242</v>
      </c>
      <c r="F13" s="9" t="s">
        <v>17</v>
      </c>
      <c r="G13" s="10">
        <v>6</v>
      </c>
      <c r="H13" s="11">
        <v>46117</v>
      </c>
      <c r="I13" s="12" t="s">
        <v>2883</v>
      </c>
      <c r="J13" s="13" t="s">
        <v>30</v>
      </c>
      <c r="K13" s="14" t="str">
        <f>HYPERLINK("http://mpro.prangroup.com:4000/CreativeWorks/Edit/29214","Open")</f>
        <v>Open</v>
      </c>
    </row>
    <row r="14" spans="1:11" ht="13.2">
      <c r="A14" s="4" t="s">
        <v>201</v>
      </c>
      <c r="B14" s="5" t="s">
        <v>202</v>
      </c>
      <c r="C14" s="6" t="s">
        <v>203</v>
      </c>
      <c r="D14" s="7" t="s">
        <v>2884</v>
      </c>
      <c r="E14" s="8" t="s">
        <v>141</v>
      </c>
      <c r="F14" s="9" t="s">
        <v>17</v>
      </c>
      <c r="G14" s="10">
        <v>2</v>
      </c>
      <c r="H14" s="11">
        <v>46118</v>
      </c>
      <c r="I14" s="12" t="s">
        <v>2885</v>
      </c>
      <c r="J14" s="13" t="s">
        <v>30</v>
      </c>
      <c r="K14" s="14" t="str">
        <f>HYPERLINK("http://mpro.prangroup.com:4000/CreativeWorks/Edit/29318","Open")</f>
        <v>Open</v>
      </c>
    </row>
    <row r="15" spans="1:11" ht="13.2">
      <c r="A15" s="4" t="s">
        <v>220</v>
      </c>
      <c r="B15" s="5" t="s">
        <v>221</v>
      </c>
      <c r="C15" s="6" t="s">
        <v>222</v>
      </c>
      <c r="D15" s="7" t="s">
        <v>2886</v>
      </c>
      <c r="E15" s="8" t="s">
        <v>141</v>
      </c>
      <c r="F15" s="9" t="s">
        <v>17</v>
      </c>
      <c r="G15" s="10">
        <v>1</v>
      </c>
      <c r="H15" s="11">
        <v>46118</v>
      </c>
      <c r="I15" s="12" t="s">
        <v>2887</v>
      </c>
      <c r="J15" s="13" t="s">
        <v>30</v>
      </c>
      <c r="K15" s="14" t="str">
        <f>HYPERLINK("http://mpro.prangroup.com:4000/CreativeWorks/Edit/29321","Open")</f>
        <v>Open</v>
      </c>
    </row>
    <row r="16" spans="1:11" ht="13.2">
      <c r="A16" s="4" t="s">
        <v>244</v>
      </c>
      <c r="B16" s="5" t="s">
        <v>41</v>
      </c>
      <c r="C16" s="6" t="s">
        <v>773</v>
      </c>
      <c r="D16" s="7" t="s">
        <v>2888</v>
      </c>
      <c r="E16" s="8" t="s">
        <v>88</v>
      </c>
      <c r="F16" s="9" t="s">
        <v>17</v>
      </c>
      <c r="G16" s="10">
        <v>1</v>
      </c>
      <c r="H16" s="11">
        <v>46119</v>
      </c>
      <c r="I16" s="12" t="s">
        <v>2889</v>
      </c>
      <c r="J16" s="13" t="s">
        <v>30</v>
      </c>
      <c r="K16" s="14" t="str">
        <f>HYPERLINK("http://mpro.prangroup.com:4000/CreativeWorks/Edit/29467","Open")</f>
        <v>Open</v>
      </c>
    </row>
    <row r="17" spans="1:11" ht="13.2">
      <c r="A17" s="4" t="s">
        <v>353</v>
      </c>
      <c r="B17" s="5" t="s">
        <v>60</v>
      </c>
      <c r="C17" s="6" t="s">
        <v>186</v>
      </c>
      <c r="D17" s="7" t="s">
        <v>1136</v>
      </c>
      <c r="E17" s="8" t="s">
        <v>16</v>
      </c>
      <c r="F17" s="9" t="s">
        <v>17</v>
      </c>
      <c r="G17" s="10">
        <v>1</v>
      </c>
      <c r="H17" s="11">
        <v>46119</v>
      </c>
      <c r="I17" s="12" t="s">
        <v>2890</v>
      </c>
      <c r="J17" s="13" t="s">
        <v>30</v>
      </c>
      <c r="K17" s="14" t="str">
        <f t="shared" ref="K17:K19" si="0">HYPERLINK("http://mpro.prangroup.com:4000/CreativeWorks/Edit/29416","Open")</f>
        <v>Open</v>
      </c>
    </row>
    <row r="18" spans="1:11" ht="13.2">
      <c r="A18" s="4" t="s">
        <v>353</v>
      </c>
      <c r="B18" s="5" t="s">
        <v>60</v>
      </c>
      <c r="C18" s="6" t="s">
        <v>186</v>
      </c>
      <c r="D18" s="7" t="s">
        <v>1136</v>
      </c>
      <c r="E18" s="8" t="s">
        <v>88</v>
      </c>
      <c r="F18" s="9" t="s">
        <v>17</v>
      </c>
      <c r="G18" s="10">
        <v>1</v>
      </c>
      <c r="H18" s="11">
        <v>46119</v>
      </c>
      <c r="I18" s="12" t="s">
        <v>2890</v>
      </c>
      <c r="J18" s="13" t="s">
        <v>30</v>
      </c>
      <c r="K18" s="14" t="str">
        <f t="shared" si="0"/>
        <v>Open</v>
      </c>
    </row>
    <row r="19" spans="1:11" ht="13.2">
      <c r="A19" s="4" t="s">
        <v>353</v>
      </c>
      <c r="B19" s="5" t="s">
        <v>60</v>
      </c>
      <c r="C19" s="6" t="s">
        <v>186</v>
      </c>
      <c r="D19" s="7" t="s">
        <v>1136</v>
      </c>
      <c r="E19" s="8" t="s">
        <v>242</v>
      </c>
      <c r="F19" s="9" t="s">
        <v>17</v>
      </c>
      <c r="G19" s="10">
        <v>5</v>
      </c>
      <c r="H19" s="11">
        <v>46119</v>
      </c>
      <c r="I19" s="12" t="s">
        <v>2890</v>
      </c>
      <c r="J19" s="13" t="s">
        <v>30</v>
      </c>
      <c r="K19" s="14" t="str">
        <f t="shared" si="0"/>
        <v>Open</v>
      </c>
    </row>
    <row r="20" spans="1:11" ht="13.2">
      <c r="A20" s="4" t="s">
        <v>1010</v>
      </c>
      <c r="B20" s="5" t="s">
        <v>32</v>
      </c>
      <c r="C20" s="6" t="s">
        <v>689</v>
      </c>
      <c r="D20" s="7" t="s">
        <v>2891</v>
      </c>
      <c r="E20" s="8" t="s">
        <v>141</v>
      </c>
      <c r="F20" s="9" t="s">
        <v>17</v>
      </c>
      <c r="G20" s="10">
        <v>1</v>
      </c>
      <c r="H20" s="11">
        <v>46123</v>
      </c>
      <c r="I20" s="12" t="s">
        <v>2892</v>
      </c>
      <c r="J20" s="13" t="s">
        <v>30</v>
      </c>
      <c r="K20" s="14" t="str">
        <f>HYPERLINK("http://mpro.prangroup.com:4000/CreativeWorks/Edit/29785","Open")</f>
        <v>Open</v>
      </c>
    </row>
    <row r="21" spans="1:11" ht="13.2">
      <c r="A21" s="4" t="s">
        <v>1037</v>
      </c>
      <c r="B21" s="5" t="s">
        <v>123</v>
      </c>
      <c r="C21" s="6" t="s">
        <v>2582</v>
      </c>
      <c r="D21" s="7" t="s">
        <v>2893</v>
      </c>
      <c r="E21" s="8" t="s">
        <v>141</v>
      </c>
      <c r="F21" s="9" t="s">
        <v>17</v>
      </c>
      <c r="G21" s="10">
        <v>1</v>
      </c>
      <c r="H21" s="11">
        <v>46123</v>
      </c>
      <c r="I21" s="12" t="s">
        <v>2894</v>
      </c>
      <c r="J21" s="13" t="s">
        <v>30</v>
      </c>
      <c r="K21" s="14" t="str">
        <f>HYPERLINK("http://mpro.prangroup.com:4000/CreativeWorks/Edit/29765","Open")</f>
        <v>Open</v>
      </c>
    </row>
    <row r="22" spans="1:11" ht="13.2">
      <c r="A22" s="4" t="s">
        <v>1655</v>
      </c>
      <c r="B22" s="5" t="s">
        <v>873</v>
      </c>
      <c r="C22" s="6" t="s">
        <v>1656</v>
      </c>
      <c r="D22" s="7" t="s">
        <v>1697</v>
      </c>
      <c r="E22" s="8" t="s">
        <v>16</v>
      </c>
      <c r="F22" s="9" t="s">
        <v>17</v>
      </c>
      <c r="G22" s="10">
        <v>1</v>
      </c>
      <c r="H22" s="11">
        <v>46124</v>
      </c>
      <c r="I22" s="12" t="s">
        <v>2895</v>
      </c>
      <c r="J22" s="13" t="s">
        <v>30</v>
      </c>
      <c r="K22" s="14" t="str">
        <f>HYPERLINK("http://mpro.prangroup.com:4000/CreativeWorks/Edit/29883","Open")</f>
        <v>Open</v>
      </c>
    </row>
    <row r="23" spans="1:11" ht="13.2">
      <c r="A23" s="4" t="s">
        <v>1655</v>
      </c>
      <c r="B23" s="5" t="s">
        <v>873</v>
      </c>
      <c r="C23" s="6" t="s">
        <v>1656</v>
      </c>
      <c r="D23" s="7" t="s">
        <v>1697</v>
      </c>
      <c r="E23" s="8" t="s">
        <v>16</v>
      </c>
      <c r="F23" s="9" t="s">
        <v>17</v>
      </c>
      <c r="G23" s="10">
        <v>1</v>
      </c>
      <c r="H23" s="11">
        <v>46124</v>
      </c>
      <c r="I23" s="12" t="s">
        <v>2896</v>
      </c>
      <c r="J23" s="13" t="s">
        <v>19</v>
      </c>
      <c r="K23" s="14" t="str">
        <f>HYPERLINK("http://mpro.prangroup.com:4000/CreativeWorks/Edit/29912","Open")</f>
        <v>Open</v>
      </c>
    </row>
    <row r="24" spans="1:11" ht="13.2">
      <c r="A24" s="4" t="s">
        <v>1426</v>
      </c>
      <c r="B24" s="5" t="s">
        <v>139</v>
      </c>
      <c r="C24" s="6" t="s">
        <v>228</v>
      </c>
      <c r="D24" s="7" t="s">
        <v>2897</v>
      </c>
      <c r="E24" s="8" t="s">
        <v>242</v>
      </c>
      <c r="F24" s="9" t="s">
        <v>17</v>
      </c>
      <c r="G24" s="10">
        <v>1</v>
      </c>
      <c r="H24" s="11">
        <v>46124</v>
      </c>
      <c r="I24" s="12" t="s">
        <v>2898</v>
      </c>
      <c r="J24" s="13" t="s">
        <v>30</v>
      </c>
      <c r="K24" s="14" t="str">
        <f>HYPERLINK("http://mpro.prangroup.com:4000/CreativeWorks/Edit/29927","Open")</f>
        <v>Open</v>
      </c>
    </row>
    <row r="25" spans="1:11" ht="13.2">
      <c r="A25" s="4" t="s">
        <v>201</v>
      </c>
      <c r="B25" s="5" t="s">
        <v>202</v>
      </c>
      <c r="C25" s="6" t="s">
        <v>203</v>
      </c>
      <c r="D25" s="7" t="s">
        <v>2899</v>
      </c>
      <c r="E25" s="8" t="s">
        <v>141</v>
      </c>
      <c r="F25" s="9" t="s">
        <v>17</v>
      </c>
      <c r="G25" s="10">
        <v>1</v>
      </c>
      <c r="H25" s="11">
        <v>46124</v>
      </c>
      <c r="I25" s="12" t="s">
        <v>2900</v>
      </c>
      <c r="J25" s="13" t="s">
        <v>30</v>
      </c>
      <c r="K25" s="14" t="str">
        <f>HYPERLINK("http://mpro.prangroup.com:4000/CreativeWorks/Edit/29921","Open")</f>
        <v>Open</v>
      </c>
    </row>
    <row r="26" spans="1:11" ht="13.2">
      <c r="A26" s="4" t="s">
        <v>2878</v>
      </c>
      <c r="B26" s="5" t="s">
        <v>217</v>
      </c>
      <c r="C26" s="6" t="s">
        <v>2901</v>
      </c>
      <c r="D26" s="7" t="s">
        <v>2902</v>
      </c>
      <c r="E26" s="8" t="s">
        <v>141</v>
      </c>
      <c r="F26" s="9" t="s">
        <v>17</v>
      </c>
      <c r="G26" s="10">
        <v>1</v>
      </c>
      <c r="H26" s="11">
        <v>46125</v>
      </c>
      <c r="I26" s="12" t="s">
        <v>2903</v>
      </c>
      <c r="J26" s="13" t="s">
        <v>30</v>
      </c>
      <c r="K26" s="14" t="str">
        <f>HYPERLINK("http://mpro.prangroup.com:4000/CreativeWorks/Edit/30027","Open")</f>
        <v>Open</v>
      </c>
    </row>
    <row r="27" spans="1:11" ht="13.2">
      <c r="A27" s="4" t="s">
        <v>2276</v>
      </c>
      <c r="B27" s="5" t="s">
        <v>41</v>
      </c>
      <c r="C27" s="6" t="s">
        <v>42</v>
      </c>
      <c r="D27" s="7" t="s">
        <v>2904</v>
      </c>
      <c r="E27" s="8" t="s">
        <v>242</v>
      </c>
      <c r="F27" s="9" t="s">
        <v>17</v>
      </c>
      <c r="G27" s="10">
        <v>1</v>
      </c>
      <c r="H27" s="11">
        <v>46126</v>
      </c>
      <c r="I27" s="12" t="s">
        <v>2905</v>
      </c>
      <c r="J27" s="13" t="s">
        <v>30</v>
      </c>
      <c r="K27" s="14" t="str">
        <f>HYPERLINK("http://mpro.prangroup.com:4000/CreativeWorks/Edit/30067","Open")</f>
        <v>Open</v>
      </c>
    </row>
    <row r="28" spans="1:11" ht="13.2">
      <c r="A28" s="4" t="s">
        <v>385</v>
      </c>
      <c r="B28" s="5" t="s">
        <v>60</v>
      </c>
      <c r="C28" s="6" t="s">
        <v>228</v>
      </c>
      <c r="D28" s="7" t="s">
        <v>2906</v>
      </c>
      <c r="E28" s="8" t="s">
        <v>16</v>
      </c>
      <c r="F28" s="9" t="s">
        <v>17</v>
      </c>
      <c r="G28" s="10">
        <v>1</v>
      </c>
      <c r="H28" s="11">
        <v>46128</v>
      </c>
      <c r="I28" s="12" t="s">
        <v>2907</v>
      </c>
      <c r="J28" s="13" t="s">
        <v>30</v>
      </c>
      <c r="K28" s="14" t="str">
        <f>HYPERLINK("http://mpro.prangroup.com:4000/CreativeWorks/Edit/30264","Open")</f>
        <v>Open</v>
      </c>
    </row>
    <row r="29" spans="1:11" ht="13.2">
      <c r="A29" s="4" t="s">
        <v>334</v>
      </c>
      <c r="B29" s="5" t="s">
        <v>221</v>
      </c>
      <c r="C29" s="6" t="s">
        <v>335</v>
      </c>
      <c r="D29" s="7" t="s">
        <v>2908</v>
      </c>
      <c r="E29" s="8" t="s">
        <v>141</v>
      </c>
      <c r="F29" s="9" t="s">
        <v>17</v>
      </c>
      <c r="G29" s="10">
        <v>6</v>
      </c>
      <c r="H29" s="11">
        <v>46128</v>
      </c>
      <c r="I29" s="12" t="s">
        <v>2909</v>
      </c>
      <c r="J29" s="13" t="s">
        <v>30</v>
      </c>
      <c r="K29" s="14" t="str">
        <f>HYPERLINK("http://mpro.prangroup.com:4000/CreativeWorks/Edit/30296","Open")</f>
        <v>Open</v>
      </c>
    </row>
    <row r="30" spans="1:11" ht="13.2">
      <c r="A30" s="4" t="s">
        <v>2910</v>
      </c>
      <c r="B30" s="5" t="s">
        <v>32</v>
      </c>
      <c r="C30" s="6" t="s">
        <v>689</v>
      </c>
      <c r="D30" s="7" t="s">
        <v>2911</v>
      </c>
      <c r="E30" s="8" t="s">
        <v>16</v>
      </c>
      <c r="F30" s="9" t="s">
        <v>17</v>
      </c>
      <c r="G30" s="10">
        <v>1</v>
      </c>
      <c r="H30" s="11">
        <v>46130</v>
      </c>
      <c r="I30" s="12" t="s">
        <v>2912</v>
      </c>
      <c r="J30" s="13" t="s">
        <v>30</v>
      </c>
      <c r="K30" s="14" t="str">
        <f>HYPERLINK("http://mpro.prangroup.com:4000/CreativeWorks/Edit/30366","Open")</f>
        <v>Open</v>
      </c>
    </row>
    <row r="31" spans="1:11" ht="13.2">
      <c r="A31" s="4" t="s">
        <v>500</v>
      </c>
      <c r="B31" s="5" t="s">
        <v>202</v>
      </c>
      <c r="C31" s="6" t="s">
        <v>501</v>
      </c>
      <c r="D31" s="7" t="s">
        <v>2913</v>
      </c>
      <c r="E31" s="8" t="s">
        <v>141</v>
      </c>
      <c r="F31" s="9" t="s">
        <v>17</v>
      </c>
      <c r="G31" s="10">
        <v>1</v>
      </c>
      <c r="H31" s="11">
        <v>46130</v>
      </c>
      <c r="I31" s="12" t="s">
        <v>2914</v>
      </c>
      <c r="J31" s="13" t="s">
        <v>30</v>
      </c>
      <c r="K31" s="14" t="str">
        <f>HYPERLINK("http://mpro.prangroup.com:4000/CreativeWorks/Edit/30336","Open")</f>
        <v>Open</v>
      </c>
    </row>
    <row r="32" spans="1:11" ht="13.2">
      <c r="A32" s="4" t="s">
        <v>381</v>
      </c>
      <c r="B32" s="5" t="s">
        <v>32</v>
      </c>
      <c r="C32" s="6" t="s">
        <v>382</v>
      </c>
      <c r="D32" s="7" t="s">
        <v>2915</v>
      </c>
      <c r="E32" s="8" t="s">
        <v>16</v>
      </c>
      <c r="F32" s="9" t="s">
        <v>17</v>
      </c>
      <c r="G32" s="10">
        <v>3</v>
      </c>
      <c r="H32" s="11">
        <v>46131</v>
      </c>
      <c r="I32" s="12" t="s">
        <v>2916</v>
      </c>
      <c r="J32" s="13" t="s">
        <v>30</v>
      </c>
      <c r="K32" s="14" t="str">
        <f>HYPERLINK("http://mpro.prangroup.com:4000/CreativeWorks/Edit/30459","Open")</f>
        <v>Open</v>
      </c>
    </row>
    <row r="33" spans="1:11" ht="13.2">
      <c r="A33" s="4" t="s">
        <v>201</v>
      </c>
      <c r="B33" s="5" t="s">
        <v>202</v>
      </c>
      <c r="C33" s="6" t="s">
        <v>203</v>
      </c>
      <c r="D33" s="7" t="s">
        <v>2917</v>
      </c>
      <c r="E33" s="8" t="s">
        <v>141</v>
      </c>
      <c r="F33" s="9" t="s">
        <v>17</v>
      </c>
      <c r="G33" s="10">
        <v>2</v>
      </c>
      <c r="H33" s="11">
        <v>46132</v>
      </c>
      <c r="I33" s="12" t="s">
        <v>2918</v>
      </c>
      <c r="J33" s="13" t="s">
        <v>30</v>
      </c>
      <c r="K33" s="14" t="str">
        <f>HYPERLINK("http://mpro.prangroup.com:4000/CreativeWorks/Edit/30547","Open")</f>
        <v>Open</v>
      </c>
    </row>
    <row r="34" spans="1:11" ht="13.2">
      <c r="A34" s="4" t="s">
        <v>395</v>
      </c>
      <c r="B34" s="5" t="s">
        <v>185</v>
      </c>
      <c r="C34" s="6" t="s">
        <v>166</v>
      </c>
      <c r="D34" s="7" t="s">
        <v>2274</v>
      </c>
      <c r="E34" s="8" t="s">
        <v>242</v>
      </c>
      <c r="F34" s="9" t="s">
        <v>17</v>
      </c>
      <c r="G34" s="10">
        <v>3</v>
      </c>
      <c r="H34" s="11">
        <v>46133</v>
      </c>
      <c r="I34" s="12" t="s">
        <v>2919</v>
      </c>
      <c r="J34" s="13" t="s">
        <v>30</v>
      </c>
      <c r="K34" s="14" t="str">
        <f>HYPERLINK("http://mpro.prangroup.com:4000/CreativeWorks/Edit/30744","Open")</f>
        <v>Open</v>
      </c>
    </row>
    <row r="35" spans="1:11" ht="13.2">
      <c r="A35" s="4" t="s">
        <v>202</v>
      </c>
      <c r="B35" s="5" t="s">
        <v>202</v>
      </c>
      <c r="C35" s="6" t="s">
        <v>501</v>
      </c>
      <c r="D35" s="7" t="s">
        <v>2225</v>
      </c>
      <c r="E35" s="8" t="s">
        <v>88</v>
      </c>
      <c r="F35" s="9" t="s">
        <v>17</v>
      </c>
      <c r="G35" s="10">
        <v>1</v>
      </c>
      <c r="H35" s="11">
        <v>46133</v>
      </c>
      <c r="I35" s="12" t="s">
        <v>2920</v>
      </c>
      <c r="J35" s="13" t="s">
        <v>30</v>
      </c>
      <c r="K35" s="14" t="str">
        <f>HYPERLINK("http://mpro.prangroup.com:4000/CreativeWorks/Edit/30752","Open")</f>
        <v>Open</v>
      </c>
    </row>
    <row r="36" spans="1:11" ht="13.2">
      <c r="A36" s="4" t="s">
        <v>1049</v>
      </c>
      <c r="B36" s="5" t="s">
        <v>68</v>
      </c>
      <c r="C36" s="6" t="s">
        <v>1050</v>
      </c>
      <c r="D36" s="7" t="s">
        <v>2921</v>
      </c>
      <c r="E36" s="8" t="s">
        <v>16</v>
      </c>
      <c r="F36" s="9" t="s">
        <v>17</v>
      </c>
      <c r="G36" s="10">
        <v>1</v>
      </c>
      <c r="H36" s="11">
        <v>46134</v>
      </c>
      <c r="I36" s="12" t="s">
        <v>2922</v>
      </c>
      <c r="J36" s="13" t="s">
        <v>30</v>
      </c>
      <c r="K36" s="14" t="str">
        <f>HYPERLINK("http://mpro.prangroup.com:4000/CreativeWorks/Edit/30865","Open")</f>
        <v>Open</v>
      </c>
    </row>
    <row r="37" spans="1:11" ht="13.2">
      <c r="A37" s="4" t="s">
        <v>2611</v>
      </c>
      <c r="B37" s="5" t="s">
        <v>221</v>
      </c>
      <c r="C37" s="6" t="s">
        <v>2612</v>
      </c>
      <c r="D37" s="7" t="s">
        <v>2923</v>
      </c>
      <c r="E37" s="8" t="s">
        <v>141</v>
      </c>
      <c r="F37" s="9" t="s">
        <v>17</v>
      </c>
      <c r="G37" s="10">
        <v>3</v>
      </c>
      <c r="H37" s="11">
        <v>46135</v>
      </c>
      <c r="I37" s="12" t="s">
        <v>2924</v>
      </c>
      <c r="J37" s="13" t="s">
        <v>30</v>
      </c>
      <c r="K37" s="14" t="str">
        <f>HYPERLINK("http://mpro.prangroup.com:4000/CreativeWorks/Edit/31029","Open")</f>
        <v>Open</v>
      </c>
    </row>
    <row r="38" spans="1:11" ht="13.2">
      <c r="A38" s="4" t="s">
        <v>2611</v>
      </c>
      <c r="B38" s="5" t="s">
        <v>221</v>
      </c>
      <c r="C38" s="6" t="s">
        <v>2612</v>
      </c>
      <c r="D38" s="7" t="s">
        <v>2925</v>
      </c>
      <c r="E38" s="8" t="s">
        <v>141</v>
      </c>
      <c r="F38" s="9" t="s">
        <v>17</v>
      </c>
      <c r="G38" s="10">
        <v>1</v>
      </c>
      <c r="H38" s="11">
        <v>46137</v>
      </c>
      <c r="I38" s="12" t="s">
        <v>2926</v>
      </c>
      <c r="J38" s="13" t="s">
        <v>19</v>
      </c>
      <c r="K38" s="14" t="str">
        <f>HYPERLINK("http://mpro.prangroup.com:4000/CreativeWorks/Edit/31159","Open")</f>
        <v>Open</v>
      </c>
    </row>
    <row r="39" spans="1:11" ht="13.2">
      <c r="A39" s="4" t="s">
        <v>395</v>
      </c>
      <c r="B39" s="5" t="s">
        <v>185</v>
      </c>
      <c r="C39" s="6" t="s">
        <v>166</v>
      </c>
      <c r="D39" s="7" t="s">
        <v>2927</v>
      </c>
      <c r="E39" s="8" t="s">
        <v>16</v>
      </c>
      <c r="F39" s="9" t="s">
        <v>17</v>
      </c>
      <c r="G39" s="10">
        <v>1</v>
      </c>
      <c r="H39" s="11">
        <v>46137</v>
      </c>
      <c r="I39" s="12" t="s">
        <v>2928</v>
      </c>
      <c r="J39" s="13" t="s">
        <v>30</v>
      </c>
      <c r="K39" s="14" t="str">
        <f>HYPERLINK("http://mpro.prangroup.com:4000/CreativeWorks/Edit/31221","Open")</f>
        <v>Open</v>
      </c>
    </row>
    <row r="40" spans="1:11" ht="13.2">
      <c r="A40" s="22"/>
      <c r="B40" s="16"/>
      <c r="C40" s="23"/>
      <c r="D40" s="24"/>
      <c r="E40" s="25"/>
      <c r="F40" s="26"/>
      <c r="G40" s="27"/>
      <c r="H40" s="20"/>
      <c r="I40" s="21"/>
      <c r="J40" s="28"/>
      <c r="K40" s="19"/>
    </row>
    <row r="41" spans="1:11" ht="13.2">
      <c r="A41" s="22"/>
      <c r="B41" s="16"/>
      <c r="C41" s="23"/>
      <c r="D41" s="24"/>
      <c r="E41" s="25"/>
      <c r="F41" s="26"/>
      <c r="G41" s="27"/>
      <c r="H41" s="20"/>
      <c r="I41" s="21"/>
      <c r="J41" s="28"/>
      <c r="K41" s="19"/>
    </row>
    <row r="42" spans="1:11" ht="13.2">
      <c r="A42" s="22"/>
      <c r="B42" s="16"/>
      <c r="C42" s="23"/>
      <c r="D42" s="24"/>
      <c r="E42" s="25"/>
      <c r="F42" s="26"/>
      <c r="G42" s="27"/>
      <c r="H42" s="20"/>
      <c r="I42" s="21"/>
      <c r="J42" s="28"/>
      <c r="K42" s="19"/>
    </row>
    <row r="43" spans="1:11" ht="13.2">
      <c r="A43" s="22"/>
      <c r="B43" s="16"/>
      <c r="C43" s="23"/>
      <c r="D43" s="24"/>
      <c r="E43" s="25"/>
      <c r="F43" s="26"/>
      <c r="G43" s="27"/>
      <c r="H43" s="20"/>
      <c r="I43" s="21"/>
      <c r="J43" s="28"/>
      <c r="K43" s="19"/>
    </row>
    <row r="44" spans="1:11" ht="13.2">
      <c r="A44" s="22"/>
      <c r="B44" s="16"/>
      <c r="C44" s="23"/>
      <c r="D44" s="24"/>
      <c r="E44" s="25"/>
      <c r="F44" s="26"/>
      <c r="G44" s="27"/>
      <c r="H44" s="20"/>
      <c r="I44" s="21"/>
      <c r="J44" s="28"/>
      <c r="K44" s="19"/>
    </row>
    <row r="45" spans="1:11" ht="13.2">
      <c r="A45" s="22"/>
      <c r="B45" s="16"/>
      <c r="C45" s="23"/>
      <c r="D45" s="24"/>
      <c r="E45" s="25"/>
      <c r="F45" s="26"/>
      <c r="G45" s="27"/>
      <c r="H45" s="20"/>
      <c r="I45" s="21"/>
      <c r="J45" s="28"/>
      <c r="K45" s="19"/>
    </row>
    <row r="46" spans="1:11" ht="13.2">
      <c r="A46" s="22"/>
      <c r="B46" s="16"/>
      <c r="C46" s="23"/>
      <c r="D46" s="24"/>
      <c r="E46" s="25"/>
      <c r="F46" s="26"/>
      <c r="G46" s="27"/>
      <c r="H46" s="20"/>
      <c r="I46" s="21"/>
      <c r="J46" s="28"/>
      <c r="K46" s="19"/>
    </row>
    <row r="47" spans="1:11" ht="13.2">
      <c r="A47" s="22"/>
      <c r="B47" s="16"/>
      <c r="C47" s="23"/>
      <c r="D47" s="24"/>
      <c r="E47" s="25"/>
      <c r="F47" s="26"/>
      <c r="G47" s="27"/>
      <c r="H47" s="20"/>
      <c r="I47" s="21"/>
      <c r="J47" s="28"/>
      <c r="K47" s="19"/>
    </row>
    <row r="48" spans="1:11" ht="13.2">
      <c r="A48" s="22"/>
      <c r="B48" s="16"/>
      <c r="C48" s="23"/>
      <c r="D48" s="24"/>
      <c r="E48" s="25"/>
      <c r="F48" s="26"/>
      <c r="G48" s="27"/>
      <c r="H48" s="20"/>
      <c r="I48" s="21"/>
      <c r="J48" s="28"/>
      <c r="K48" s="19"/>
    </row>
    <row r="49" spans="1:11" ht="13.2">
      <c r="A49" s="22"/>
      <c r="B49" s="16"/>
      <c r="C49" s="23"/>
      <c r="D49" s="24"/>
      <c r="E49" s="25"/>
      <c r="F49" s="26"/>
      <c r="G49" s="27"/>
      <c r="H49" s="20"/>
      <c r="I49" s="21"/>
      <c r="J49" s="28"/>
      <c r="K49" s="19"/>
    </row>
    <row r="50" spans="1:11" ht="13.2">
      <c r="A50" s="22"/>
      <c r="B50" s="16"/>
      <c r="C50" s="23"/>
      <c r="D50" s="24"/>
      <c r="E50" s="25"/>
      <c r="F50" s="26"/>
      <c r="G50" s="27"/>
      <c r="H50" s="20"/>
      <c r="I50" s="21"/>
      <c r="J50" s="28"/>
      <c r="K50" s="19"/>
    </row>
    <row r="51" spans="1:11" ht="13.2">
      <c r="A51" s="22"/>
      <c r="B51" s="16"/>
      <c r="C51" s="23"/>
      <c r="D51" s="24"/>
      <c r="E51" s="25"/>
      <c r="F51" s="26"/>
      <c r="G51" s="27"/>
      <c r="H51" s="20"/>
      <c r="I51" s="21"/>
      <c r="J51" s="28"/>
      <c r="K51" s="19"/>
    </row>
    <row r="52" spans="1:11" ht="13.2">
      <c r="A52" s="22"/>
      <c r="B52" s="16"/>
      <c r="C52" s="23"/>
      <c r="D52" s="24"/>
      <c r="E52" s="25"/>
      <c r="F52" s="26"/>
      <c r="G52" s="27"/>
      <c r="H52" s="20"/>
      <c r="I52" s="21"/>
      <c r="J52" s="28"/>
      <c r="K52" s="19"/>
    </row>
    <row r="53" spans="1:11" ht="13.2">
      <c r="A53" s="22"/>
      <c r="B53" s="16"/>
      <c r="C53" s="23"/>
      <c r="D53" s="24"/>
      <c r="E53" s="25"/>
      <c r="F53" s="26"/>
      <c r="G53" s="27"/>
      <c r="H53" s="20"/>
      <c r="I53" s="21"/>
      <c r="J53" s="28"/>
      <c r="K53" s="19"/>
    </row>
    <row r="54" spans="1:11" ht="13.2">
      <c r="A54" s="22"/>
      <c r="B54" s="16"/>
      <c r="C54" s="23"/>
      <c r="D54" s="24"/>
      <c r="E54" s="25"/>
      <c r="F54" s="26"/>
      <c r="G54" s="27"/>
      <c r="H54" s="20"/>
      <c r="I54" s="21"/>
      <c r="J54" s="28"/>
      <c r="K54" s="19"/>
    </row>
    <row r="55" spans="1:11" ht="13.2">
      <c r="A55" s="22"/>
      <c r="B55" s="16"/>
      <c r="C55" s="23"/>
      <c r="D55" s="24"/>
      <c r="E55" s="25"/>
      <c r="F55" s="26"/>
      <c r="G55" s="27"/>
      <c r="H55" s="20"/>
      <c r="I55" s="21"/>
      <c r="J55" s="28"/>
      <c r="K55" s="19"/>
    </row>
    <row r="56" spans="1:11" ht="13.2">
      <c r="A56" s="22"/>
      <c r="B56" s="16"/>
      <c r="C56" s="23"/>
      <c r="D56" s="24"/>
      <c r="E56" s="25"/>
      <c r="F56" s="26"/>
      <c r="G56" s="27"/>
      <c r="H56" s="20"/>
      <c r="I56" s="21"/>
      <c r="J56" s="28"/>
      <c r="K56" s="19"/>
    </row>
    <row r="57" spans="1:11" ht="13.2">
      <c r="A57" s="22"/>
      <c r="B57" s="16"/>
      <c r="C57" s="23"/>
      <c r="D57" s="24"/>
      <c r="E57" s="25"/>
      <c r="F57" s="26"/>
      <c r="G57" s="27"/>
      <c r="H57" s="20"/>
      <c r="I57" s="21"/>
      <c r="J57" s="28"/>
      <c r="K57" s="19"/>
    </row>
    <row r="58" spans="1:11" ht="13.2">
      <c r="A58" s="22"/>
      <c r="B58" s="16"/>
      <c r="C58" s="23"/>
      <c r="D58" s="24"/>
      <c r="E58" s="25"/>
      <c r="F58" s="26"/>
      <c r="G58" s="27"/>
      <c r="H58" s="20"/>
      <c r="I58" s="21"/>
      <c r="J58" s="28"/>
      <c r="K58" s="19"/>
    </row>
    <row r="59" spans="1:11" ht="13.2">
      <c r="A59" s="22"/>
      <c r="B59" s="16"/>
      <c r="C59" s="23"/>
      <c r="D59" s="24"/>
      <c r="E59" s="25"/>
      <c r="F59" s="26"/>
      <c r="G59" s="27"/>
      <c r="H59" s="20"/>
      <c r="I59" s="21"/>
      <c r="J59" s="28"/>
      <c r="K59" s="19"/>
    </row>
    <row r="60" spans="1:11" ht="13.2">
      <c r="A60" s="22"/>
      <c r="B60" s="16"/>
      <c r="C60" s="23"/>
      <c r="D60" s="24"/>
      <c r="E60" s="25"/>
      <c r="F60" s="26"/>
      <c r="G60" s="27"/>
      <c r="H60" s="20"/>
      <c r="I60" s="21"/>
      <c r="J60" s="28"/>
      <c r="K60" s="19"/>
    </row>
    <row r="61" spans="1:11" ht="13.2">
      <c r="A61" s="22"/>
      <c r="B61" s="16"/>
      <c r="C61" s="23"/>
      <c r="D61" s="24"/>
      <c r="E61" s="25"/>
      <c r="F61" s="26"/>
      <c r="G61" s="27"/>
      <c r="H61" s="20"/>
      <c r="I61" s="21"/>
      <c r="J61" s="28"/>
      <c r="K61" s="19"/>
    </row>
    <row r="62" spans="1:11" ht="13.2">
      <c r="A62" s="22"/>
      <c r="B62" s="16"/>
      <c r="C62" s="23"/>
      <c r="D62" s="24"/>
      <c r="E62" s="25"/>
      <c r="F62" s="26"/>
      <c r="G62" s="27"/>
      <c r="H62" s="20"/>
      <c r="I62" s="21"/>
      <c r="J62" s="28"/>
      <c r="K62" s="19"/>
    </row>
    <row r="63" spans="1:11" ht="13.2">
      <c r="A63" s="22"/>
      <c r="B63" s="16"/>
      <c r="C63" s="23"/>
      <c r="D63" s="24"/>
      <c r="E63" s="25"/>
      <c r="F63" s="26"/>
      <c r="G63" s="27"/>
      <c r="H63" s="20"/>
      <c r="I63" s="21"/>
      <c r="J63" s="28"/>
      <c r="K63" s="19"/>
    </row>
    <row r="64" spans="1:11" ht="13.2">
      <c r="A64" s="22"/>
      <c r="B64" s="16"/>
      <c r="C64" s="23"/>
      <c r="D64" s="24"/>
      <c r="E64" s="25"/>
      <c r="F64" s="26"/>
      <c r="G64" s="27"/>
      <c r="H64" s="20"/>
      <c r="I64" s="21"/>
      <c r="J64" s="28"/>
      <c r="K64" s="19"/>
    </row>
    <row r="65" spans="1:11" ht="13.2">
      <c r="A65" s="22"/>
      <c r="B65" s="16"/>
      <c r="C65" s="23"/>
      <c r="D65" s="24"/>
      <c r="E65" s="25"/>
      <c r="F65" s="26"/>
      <c r="G65" s="27"/>
      <c r="H65" s="20"/>
      <c r="I65" s="21"/>
      <c r="J65" s="28"/>
      <c r="K65" s="19"/>
    </row>
    <row r="66" spans="1:11" ht="13.2">
      <c r="A66" s="22"/>
      <c r="B66" s="16"/>
      <c r="C66" s="23"/>
      <c r="D66" s="24"/>
      <c r="E66" s="25"/>
      <c r="F66" s="26"/>
      <c r="G66" s="27"/>
      <c r="H66" s="20"/>
      <c r="I66" s="21"/>
      <c r="J66" s="28"/>
      <c r="K66" s="19"/>
    </row>
    <row r="67" spans="1:11" ht="13.2">
      <c r="A67" s="22"/>
      <c r="B67" s="16"/>
      <c r="C67" s="23"/>
      <c r="D67" s="24"/>
      <c r="E67" s="25"/>
      <c r="F67" s="26"/>
      <c r="G67" s="27"/>
      <c r="H67" s="20"/>
      <c r="I67" s="21"/>
      <c r="J67" s="28"/>
      <c r="K67" s="19"/>
    </row>
    <row r="68" spans="1:11" ht="13.2">
      <c r="A68" s="22"/>
      <c r="B68" s="16"/>
      <c r="C68" s="23"/>
      <c r="D68" s="24"/>
      <c r="E68" s="25"/>
      <c r="F68" s="26"/>
      <c r="G68" s="27"/>
      <c r="H68" s="20"/>
      <c r="I68" s="21"/>
      <c r="J68" s="28"/>
      <c r="K68" s="19"/>
    </row>
    <row r="69" spans="1:11" ht="13.2">
      <c r="A69" s="22"/>
      <c r="B69" s="16"/>
      <c r="C69" s="23"/>
      <c r="D69" s="24"/>
      <c r="E69" s="25"/>
      <c r="F69" s="26"/>
      <c r="G69" s="27"/>
      <c r="H69" s="20"/>
      <c r="I69" s="21"/>
      <c r="J69" s="28"/>
      <c r="K69" s="19"/>
    </row>
    <row r="70" spans="1:11" ht="13.2">
      <c r="A70" s="22"/>
      <c r="B70" s="16"/>
      <c r="C70" s="23"/>
      <c r="D70" s="24"/>
      <c r="E70" s="25"/>
      <c r="F70" s="26"/>
      <c r="G70" s="27"/>
      <c r="H70" s="20"/>
      <c r="I70" s="21"/>
      <c r="J70" s="28"/>
      <c r="K70" s="19"/>
    </row>
    <row r="71" spans="1:11" ht="13.2">
      <c r="A71" s="22"/>
      <c r="B71" s="16"/>
      <c r="C71" s="23"/>
      <c r="D71" s="24"/>
      <c r="E71" s="25"/>
      <c r="F71" s="26"/>
      <c r="G71" s="27"/>
      <c r="H71" s="20"/>
      <c r="I71" s="21"/>
      <c r="J71" s="28"/>
      <c r="K71" s="19"/>
    </row>
    <row r="72" spans="1:11" ht="13.2">
      <c r="A72" s="22"/>
      <c r="B72" s="16"/>
      <c r="C72" s="23"/>
      <c r="D72" s="24"/>
      <c r="E72" s="25"/>
      <c r="F72" s="26"/>
      <c r="G72" s="27"/>
      <c r="H72" s="20"/>
      <c r="I72" s="21"/>
      <c r="J72" s="28"/>
      <c r="K72" s="19"/>
    </row>
    <row r="73" spans="1:11" ht="13.2">
      <c r="A73" s="22"/>
      <c r="B73" s="16"/>
      <c r="C73" s="23"/>
      <c r="D73" s="24"/>
      <c r="E73" s="25"/>
      <c r="F73" s="26"/>
      <c r="G73" s="27"/>
      <c r="H73" s="20"/>
      <c r="I73" s="21"/>
      <c r="J73" s="28"/>
      <c r="K73" s="19"/>
    </row>
    <row r="74" spans="1:11" ht="13.2">
      <c r="A74" s="22"/>
      <c r="B74" s="16"/>
      <c r="C74" s="23"/>
      <c r="D74" s="24"/>
      <c r="E74" s="25"/>
      <c r="F74" s="26"/>
      <c r="G74" s="27"/>
      <c r="H74" s="20"/>
      <c r="I74" s="21"/>
      <c r="J74" s="28"/>
      <c r="K74" s="19"/>
    </row>
    <row r="75" spans="1:11" ht="13.2">
      <c r="A75" s="22"/>
      <c r="B75" s="16"/>
      <c r="C75" s="23"/>
      <c r="D75" s="24"/>
      <c r="E75" s="25"/>
      <c r="F75" s="26"/>
      <c r="G75" s="27"/>
      <c r="H75" s="20"/>
      <c r="I75" s="21"/>
      <c r="J75" s="28"/>
      <c r="K75" s="19"/>
    </row>
    <row r="76" spans="1:11" ht="13.2">
      <c r="A76" s="22"/>
      <c r="B76" s="16"/>
      <c r="C76" s="23"/>
      <c r="D76" s="24"/>
      <c r="E76" s="25"/>
      <c r="F76" s="26"/>
      <c r="G76" s="27"/>
      <c r="H76" s="20"/>
      <c r="I76" s="21"/>
      <c r="J76" s="28"/>
      <c r="K76" s="19"/>
    </row>
    <row r="77" spans="1:11" ht="13.2">
      <c r="A77" s="22"/>
      <c r="B77" s="16"/>
      <c r="C77" s="23"/>
      <c r="D77" s="24"/>
      <c r="E77" s="25"/>
      <c r="F77" s="26"/>
      <c r="G77" s="27"/>
      <c r="H77" s="20"/>
      <c r="I77" s="21"/>
      <c r="J77" s="28"/>
      <c r="K77" s="19"/>
    </row>
    <row r="78" spans="1:11" ht="13.2">
      <c r="A78" s="22"/>
      <c r="B78" s="16"/>
      <c r="C78" s="23"/>
      <c r="D78" s="24"/>
      <c r="E78" s="25"/>
      <c r="F78" s="26"/>
      <c r="G78" s="27"/>
      <c r="H78" s="20"/>
      <c r="I78" s="21"/>
      <c r="J78" s="28"/>
      <c r="K78" s="19"/>
    </row>
    <row r="79" spans="1:11" ht="13.2">
      <c r="A79" s="22"/>
      <c r="B79" s="16"/>
      <c r="C79" s="23"/>
      <c r="D79" s="24"/>
      <c r="E79" s="25"/>
      <c r="F79" s="26"/>
      <c r="G79" s="27"/>
      <c r="H79" s="20"/>
      <c r="I79" s="21"/>
      <c r="J79" s="28"/>
      <c r="K79" s="19"/>
    </row>
    <row r="80" spans="1:11" ht="13.2">
      <c r="A80" s="22"/>
      <c r="B80" s="16"/>
      <c r="C80" s="23"/>
      <c r="D80" s="24"/>
      <c r="E80" s="25"/>
      <c r="F80" s="26"/>
      <c r="G80" s="27"/>
      <c r="H80" s="20"/>
      <c r="I80" s="21"/>
      <c r="J80" s="28"/>
      <c r="K80" s="19"/>
    </row>
    <row r="81" spans="1:11" ht="13.2">
      <c r="A81" s="22"/>
      <c r="B81" s="16"/>
      <c r="C81" s="23"/>
      <c r="D81" s="24"/>
      <c r="E81" s="25"/>
      <c r="F81" s="26"/>
      <c r="G81" s="27"/>
      <c r="H81" s="20"/>
      <c r="I81" s="21"/>
      <c r="J81" s="28"/>
      <c r="K81" s="19"/>
    </row>
    <row r="82" spans="1:11" ht="13.2">
      <c r="A82" s="22"/>
      <c r="B82" s="16"/>
      <c r="C82" s="23"/>
      <c r="D82" s="24"/>
      <c r="E82" s="25"/>
      <c r="F82" s="26"/>
      <c r="G82" s="27"/>
      <c r="H82" s="20"/>
      <c r="I82" s="21"/>
      <c r="J82" s="28"/>
      <c r="K82" s="19"/>
    </row>
    <row r="83" spans="1:11" ht="13.2">
      <c r="A83" s="22"/>
      <c r="B83" s="16"/>
      <c r="C83" s="23"/>
      <c r="D83" s="24"/>
      <c r="E83" s="25"/>
      <c r="F83" s="26"/>
      <c r="G83" s="27"/>
      <c r="H83" s="20"/>
      <c r="I83" s="21"/>
      <c r="J83" s="28"/>
      <c r="K83" s="19"/>
    </row>
    <row r="84" spans="1:11" ht="13.2">
      <c r="A84" s="22"/>
      <c r="B84" s="16"/>
      <c r="C84" s="23"/>
      <c r="D84" s="24"/>
      <c r="E84" s="25"/>
      <c r="F84" s="26"/>
      <c r="G84" s="27"/>
      <c r="H84" s="20"/>
      <c r="I84" s="21"/>
      <c r="J84" s="28"/>
      <c r="K84" s="19"/>
    </row>
    <row r="85" spans="1:11" ht="13.2">
      <c r="A85" s="22"/>
      <c r="B85" s="16"/>
      <c r="C85" s="23"/>
      <c r="D85" s="24"/>
      <c r="E85" s="25"/>
      <c r="F85" s="26"/>
      <c r="G85" s="27"/>
      <c r="H85" s="20"/>
      <c r="I85" s="21"/>
      <c r="J85" s="28"/>
      <c r="K85" s="19"/>
    </row>
    <row r="86" spans="1:11" ht="13.2">
      <c r="A86" s="22"/>
      <c r="B86" s="16"/>
      <c r="C86" s="23"/>
      <c r="D86" s="24"/>
      <c r="E86" s="25"/>
      <c r="F86" s="26"/>
      <c r="G86" s="27"/>
      <c r="H86" s="20"/>
      <c r="I86" s="21"/>
      <c r="J86" s="28"/>
      <c r="K86" s="19"/>
    </row>
    <row r="87" spans="1:11" ht="13.2">
      <c r="A87" s="22"/>
      <c r="B87" s="16"/>
      <c r="C87" s="23"/>
      <c r="D87" s="24"/>
      <c r="E87" s="25"/>
      <c r="F87" s="26"/>
      <c r="G87" s="27"/>
      <c r="H87" s="20"/>
      <c r="I87" s="21"/>
      <c r="J87" s="28"/>
      <c r="K87" s="19"/>
    </row>
    <row r="88" spans="1:11" ht="13.2">
      <c r="A88" s="22"/>
      <c r="B88" s="16"/>
      <c r="C88" s="23"/>
      <c r="D88" s="24"/>
      <c r="E88" s="25"/>
      <c r="F88" s="26"/>
      <c r="G88" s="27"/>
      <c r="H88" s="20"/>
      <c r="I88" s="21"/>
      <c r="J88" s="28"/>
      <c r="K88" s="19"/>
    </row>
    <row r="89" spans="1:11" ht="13.2">
      <c r="A89" s="22"/>
      <c r="B89" s="16"/>
      <c r="C89" s="23"/>
      <c r="D89" s="24"/>
      <c r="E89" s="25"/>
      <c r="F89" s="26"/>
      <c r="G89" s="27"/>
      <c r="H89" s="20"/>
      <c r="I89" s="21"/>
      <c r="J89" s="28"/>
      <c r="K89" s="19"/>
    </row>
    <row r="90" spans="1:11" ht="13.2">
      <c r="A90" s="22"/>
      <c r="B90" s="16"/>
      <c r="C90" s="23"/>
      <c r="D90" s="24"/>
      <c r="E90" s="25"/>
      <c r="F90" s="26"/>
      <c r="G90" s="27"/>
      <c r="H90" s="20"/>
      <c r="I90" s="21"/>
      <c r="J90" s="28"/>
      <c r="K90" s="19"/>
    </row>
    <row r="91" spans="1:11" ht="13.2">
      <c r="A91" s="22"/>
      <c r="B91" s="16"/>
      <c r="C91" s="23"/>
      <c r="D91" s="24"/>
      <c r="E91" s="25"/>
      <c r="F91" s="26"/>
      <c r="G91" s="27"/>
      <c r="H91" s="20"/>
      <c r="I91" s="21"/>
      <c r="J91" s="28"/>
      <c r="K91" s="19"/>
    </row>
    <row r="92" spans="1:11" ht="13.2">
      <c r="A92" s="22"/>
      <c r="B92" s="16"/>
      <c r="C92" s="23"/>
      <c r="D92" s="24"/>
      <c r="E92" s="25"/>
      <c r="F92" s="26"/>
      <c r="G92" s="27"/>
      <c r="H92" s="20"/>
      <c r="I92" s="21"/>
      <c r="J92" s="28"/>
      <c r="K92" s="19"/>
    </row>
    <row r="93" spans="1:11" ht="13.2">
      <c r="A93" s="22"/>
      <c r="B93" s="16"/>
      <c r="C93" s="23"/>
      <c r="D93" s="24"/>
      <c r="E93" s="25"/>
      <c r="F93" s="26"/>
      <c r="G93" s="27"/>
      <c r="H93" s="20"/>
      <c r="I93" s="21"/>
      <c r="J93" s="28"/>
      <c r="K93" s="19"/>
    </row>
    <row r="94" spans="1:11" ht="13.2">
      <c r="A94" s="22"/>
      <c r="B94" s="16"/>
      <c r="C94" s="23"/>
      <c r="D94" s="24"/>
      <c r="E94" s="25"/>
      <c r="F94" s="26"/>
      <c r="G94" s="27"/>
      <c r="H94" s="20"/>
      <c r="I94" s="21"/>
      <c r="J94" s="28"/>
      <c r="K94" s="19"/>
    </row>
    <row r="95" spans="1:11" ht="13.2">
      <c r="A95" s="22"/>
      <c r="B95" s="16"/>
      <c r="C95" s="23"/>
      <c r="D95" s="24"/>
      <c r="E95" s="25"/>
      <c r="F95" s="26"/>
      <c r="G95" s="27"/>
      <c r="H95" s="20"/>
      <c r="I95" s="21"/>
      <c r="J95" s="28"/>
      <c r="K95" s="19"/>
    </row>
    <row r="96" spans="1:11" ht="13.2">
      <c r="A96" s="22"/>
      <c r="B96" s="16"/>
      <c r="C96" s="23"/>
      <c r="D96" s="24"/>
      <c r="E96" s="25"/>
      <c r="F96" s="26"/>
      <c r="G96" s="27"/>
      <c r="H96" s="20"/>
      <c r="I96" s="21"/>
      <c r="J96" s="28"/>
      <c r="K96" s="19"/>
    </row>
    <row r="97" spans="1:11" ht="13.2">
      <c r="A97" s="22"/>
      <c r="B97" s="16"/>
      <c r="C97" s="23"/>
      <c r="D97" s="24"/>
      <c r="E97" s="25"/>
      <c r="F97" s="26"/>
      <c r="G97" s="27"/>
      <c r="H97" s="20"/>
      <c r="I97" s="21"/>
      <c r="J97" s="28"/>
      <c r="K97" s="19"/>
    </row>
    <row r="98" spans="1:11" ht="13.2">
      <c r="A98" s="22"/>
      <c r="B98" s="16"/>
      <c r="C98" s="23"/>
      <c r="D98" s="24"/>
      <c r="E98" s="25"/>
      <c r="F98" s="26"/>
      <c r="G98" s="27"/>
      <c r="H98" s="20"/>
      <c r="I98" s="21"/>
      <c r="J98" s="28"/>
      <c r="K98" s="19"/>
    </row>
    <row r="99" spans="1:11" ht="13.2">
      <c r="A99" s="22"/>
      <c r="B99" s="16"/>
      <c r="C99" s="23"/>
      <c r="D99" s="24"/>
      <c r="E99" s="25"/>
      <c r="F99" s="26"/>
      <c r="G99" s="27"/>
      <c r="H99" s="20"/>
      <c r="I99" s="21"/>
      <c r="J99" s="28"/>
      <c r="K99" s="19"/>
    </row>
    <row r="100" spans="1:11" ht="13.2">
      <c r="A100" s="22"/>
      <c r="B100" s="16"/>
      <c r="C100" s="23"/>
      <c r="D100" s="24"/>
      <c r="E100" s="25"/>
      <c r="F100" s="26"/>
      <c r="G100" s="27"/>
      <c r="H100" s="20"/>
      <c r="I100" s="21"/>
      <c r="J100" s="28"/>
      <c r="K100" s="19"/>
    </row>
    <row r="101" spans="1:11" ht="13.2">
      <c r="A101" s="22"/>
      <c r="B101" s="16"/>
      <c r="C101" s="23"/>
      <c r="D101" s="24"/>
      <c r="E101" s="25"/>
      <c r="F101" s="26"/>
      <c r="G101" s="27"/>
      <c r="H101" s="20"/>
      <c r="I101" s="21"/>
      <c r="J101" s="28"/>
      <c r="K101" s="19"/>
    </row>
    <row r="102" spans="1:11" ht="13.2">
      <c r="A102" s="22"/>
      <c r="B102" s="16"/>
      <c r="C102" s="23"/>
      <c r="D102" s="24"/>
      <c r="E102" s="25"/>
      <c r="F102" s="26"/>
      <c r="G102" s="27"/>
      <c r="H102" s="20"/>
      <c r="I102" s="21"/>
      <c r="J102" s="28"/>
      <c r="K102" s="19"/>
    </row>
    <row r="103" spans="1:11" ht="13.2">
      <c r="A103" s="22"/>
      <c r="B103" s="16"/>
      <c r="C103" s="23"/>
      <c r="D103" s="24"/>
      <c r="E103" s="25"/>
      <c r="F103" s="26"/>
      <c r="G103" s="27"/>
      <c r="H103" s="20"/>
      <c r="I103" s="21"/>
      <c r="J103" s="28"/>
      <c r="K103" s="19"/>
    </row>
    <row r="104" spans="1:11" ht="13.2">
      <c r="A104" s="22"/>
      <c r="B104" s="16"/>
      <c r="C104" s="23"/>
      <c r="D104" s="24"/>
      <c r="E104" s="25"/>
      <c r="F104" s="26"/>
      <c r="G104" s="27"/>
      <c r="H104" s="20"/>
      <c r="I104" s="21"/>
      <c r="J104" s="28"/>
      <c r="K104" s="19"/>
    </row>
    <row r="105" spans="1:11" ht="13.2">
      <c r="A105" s="22"/>
      <c r="B105" s="16"/>
      <c r="C105" s="23"/>
      <c r="D105" s="24"/>
      <c r="E105" s="25"/>
      <c r="F105" s="26"/>
      <c r="G105" s="27"/>
      <c r="H105" s="20"/>
      <c r="I105" s="21"/>
      <c r="J105" s="28"/>
      <c r="K105" s="19"/>
    </row>
    <row r="106" spans="1:11" ht="13.2">
      <c r="A106" s="22"/>
      <c r="B106" s="16"/>
      <c r="C106" s="23"/>
      <c r="D106" s="24"/>
      <c r="E106" s="25"/>
      <c r="F106" s="26"/>
      <c r="G106" s="27"/>
      <c r="H106" s="20"/>
      <c r="I106" s="21"/>
      <c r="J106" s="28"/>
      <c r="K106" s="19"/>
    </row>
    <row r="107" spans="1:11" ht="13.2">
      <c r="A107" s="22"/>
      <c r="B107" s="16"/>
      <c r="C107" s="23"/>
      <c r="D107" s="24"/>
      <c r="E107" s="25"/>
      <c r="F107" s="26"/>
      <c r="G107" s="27"/>
      <c r="H107" s="20"/>
      <c r="I107" s="21"/>
      <c r="J107" s="28"/>
      <c r="K107" s="19"/>
    </row>
    <row r="108" spans="1:11" ht="13.2">
      <c r="A108" s="22"/>
      <c r="B108" s="16"/>
      <c r="C108" s="23"/>
      <c r="D108" s="24"/>
      <c r="E108" s="25"/>
      <c r="F108" s="26"/>
      <c r="G108" s="27"/>
      <c r="H108" s="20"/>
      <c r="I108" s="21"/>
      <c r="J108" s="28"/>
      <c r="K108" s="19"/>
    </row>
    <row r="109" spans="1:11" ht="13.2">
      <c r="A109" s="22"/>
      <c r="B109" s="16"/>
      <c r="C109" s="23"/>
      <c r="D109" s="24"/>
      <c r="E109" s="25"/>
      <c r="F109" s="26"/>
      <c r="G109" s="27"/>
      <c r="H109" s="20"/>
      <c r="I109" s="21"/>
      <c r="J109" s="28"/>
      <c r="K109" s="19"/>
    </row>
    <row r="110" spans="1:11" ht="13.2">
      <c r="A110" s="22"/>
      <c r="B110" s="16"/>
      <c r="C110" s="23"/>
      <c r="D110" s="24"/>
      <c r="E110" s="25"/>
      <c r="F110" s="26"/>
      <c r="G110" s="27"/>
      <c r="H110" s="20"/>
      <c r="I110" s="21"/>
      <c r="J110" s="28"/>
      <c r="K110" s="19"/>
    </row>
    <row r="111" spans="1:11" ht="13.2">
      <c r="A111" s="22"/>
      <c r="B111" s="16"/>
      <c r="C111" s="23"/>
      <c r="D111" s="24"/>
      <c r="E111" s="25"/>
      <c r="F111" s="26"/>
      <c r="G111" s="27"/>
      <c r="H111" s="20"/>
      <c r="I111" s="21"/>
      <c r="J111" s="28"/>
      <c r="K111" s="19"/>
    </row>
    <row r="112" spans="1:11" ht="13.2">
      <c r="A112" s="22"/>
      <c r="B112" s="16"/>
      <c r="C112" s="23"/>
      <c r="D112" s="24"/>
      <c r="E112" s="25"/>
      <c r="F112" s="26"/>
      <c r="G112" s="27"/>
      <c r="H112" s="20"/>
      <c r="I112" s="21"/>
      <c r="J112" s="28"/>
      <c r="K112" s="19"/>
    </row>
    <row r="113" spans="1:11" ht="13.2">
      <c r="A113" s="22"/>
      <c r="B113" s="16"/>
      <c r="C113" s="23"/>
      <c r="D113" s="24"/>
      <c r="E113" s="25"/>
      <c r="F113" s="26"/>
      <c r="G113" s="27"/>
      <c r="H113" s="20"/>
      <c r="I113" s="21"/>
      <c r="J113" s="28"/>
      <c r="K113" s="19"/>
    </row>
    <row r="114" spans="1:11" ht="13.2">
      <c r="A114" s="22"/>
      <c r="B114" s="16"/>
      <c r="C114" s="23"/>
      <c r="D114" s="24"/>
      <c r="E114" s="25"/>
      <c r="F114" s="26"/>
      <c r="G114" s="27"/>
      <c r="H114" s="20"/>
      <c r="I114" s="21"/>
      <c r="J114" s="28"/>
      <c r="K114" s="19"/>
    </row>
    <row r="115" spans="1:11" ht="13.2">
      <c r="A115" s="22"/>
      <c r="B115" s="16"/>
      <c r="C115" s="23"/>
      <c r="D115" s="24"/>
      <c r="E115" s="25"/>
      <c r="F115" s="26"/>
      <c r="G115" s="27"/>
      <c r="H115" s="20"/>
      <c r="I115" s="21"/>
      <c r="J115" s="28"/>
      <c r="K115" s="19"/>
    </row>
    <row r="116" spans="1:11" ht="13.2">
      <c r="A116" s="22"/>
      <c r="B116" s="16"/>
      <c r="C116" s="23"/>
      <c r="D116" s="24"/>
      <c r="E116" s="25"/>
      <c r="F116" s="26"/>
      <c r="G116" s="27"/>
      <c r="H116" s="20"/>
      <c r="I116" s="21"/>
      <c r="J116" s="28"/>
      <c r="K116" s="19"/>
    </row>
    <row r="117" spans="1:11" ht="13.2">
      <c r="A117" s="22"/>
      <c r="B117" s="16"/>
      <c r="C117" s="23"/>
      <c r="D117" s="24"/>
      <c r="E117" s="25"/>
      <c r="F117" s="26"/>
      <c r="G117" s="27"/>
      <c r="H117" s="20"/>
      <c r="I117" s="21"/>
      <c r="J117" s="28"/>
      <c r="K117" s="19"/>
    </row>
    <row r="118" spans="1:11" ht="13.2">
      <c r="A118" s="22"/>
      <c r="B118" s="16"/>
      <c r="C118" s="23"/>
      <c r="D118" s="24"/>
      <c r="E118" s="25"/>
      <c r="F118" s="26"/>
      <c r="G118" s="27"/>
      <c r="H118" s="20"/>
      <c r="I118" s="21"/>
      <c r="J118" s="28"/>
      <c r="K118" s="19"/>
    </row>
    <row r="119" spans="1:11" ht="13.2">
      <c r="A119" s="22"/>
      <c r="B119" s="16"/>
      <c r="C119" s="23"/>
      <c r="D119" s="24"/>
      <c r="E119" s="25"/>
      <c r="F119" s="26"/>
      <c r="G119" s="27"/>
      <c r="H119" s="20"/>
      <c r="I119" s="21"/>
      <c r="J119" s="28"/>
      <c r="K119" s="19"/>
    </row>
    <row r="120" spans="1:11" ht="13.2">
      <c r="A120" s="22"/>
      <c r="B120" s="16"/>
      <c r="C120" s="23"/>
      <c r="D120" s="24"/>
      <c r="E120" s="25"/>
      <c r="F120" s="26"/>
      <c r="G120" s="27"/>
      <c r="H120" s="20"/>
      <c r="I120" s="21"/>
      <c r="J120" s="28"/>
      <c r="K120" s="19"/>
    </row>
    <row r="121" spans="1:11" ht="13.2">
      <c r="A121" s="22"/>
      <c r="B121" s="16"/>
      <c r="C121" s="23"/>
      <c r="D121" s="24"/>
      <c r="E121" s="25"/>
      <c r="F121" s="26"/>
      <c r="G121" s="27"/>
      <c r="H121" s="20"/>
      <c r="I121" s="21"/>
      <c r="J121" s="28"/>
      <c r="K121" s="19"/>
    </row>
    <row r="122" spans="1:11" ht="13.2">
      <c r="A122" s="22"/>
      <c r="B122" s="16"/>
      <c r="C122" s="23"/>
      <c r="D122" s="24"/>
      <c r="E122" s="25"/>
      <c r="F122" s="26"/>
      <c r="G122" s="27"/>
      <c r="H122" s="20"/>
      <c r="I122" s="21"/>
      <c r="J122" s="28"/>
      <c r="K122" s="19"/>
    </row>
    <row r="123" spans="1:11" ht="13.2">
      <c r="A123" s="22"/>
      <c r="B123" s="16"/>
      <c r="C123" s="23"/>
      <c r="D123" s="24"/>
      <c r="E123" s="25"/>
      <c r="F123" s="26"/>
      <c r="G123" s="27"/>
      <c r="H123" s="20"/>
      <c r="I123" s="21"/>
      <c r="J123" s="28"/>
      <c r="K123" s="19"/>
    </row>
    <row r="124" spans="1:11" ht="13.2">
      <c r="A124" s="22"/>
      <c r="B124" s="16"/>
      <c r="C124" s="23"/>
      <c r="D124" s="24"/>
      <c r="E124" s="25"/>
      <c r="F124" s="26"/>
      <c r="G124" s="27"/>
      <c r="H124" s="20"/>
      <c r="I124" s="21"/>
      <c r="J124" s="28"/>
      <c r="K124" s="19"/>
    </row>
    <row r="125" spans="1:11" ht="13.2">
      <c r="A125" s="22"/>
      <c r="B125" s="16"/>
      <c r="C125" s="23"/>
      <c r="D125" s="24"/>
      <c r="E125" s="25"/>
      <c r="F125" s="26"/>
      <c r="G125" s="27"/>
      <c r="H125" s="20"/>
      <c r="I125" s="21"/>
      <c r="J125" s="28"/>
      <c r="K125" s="19"/>
    </row>
    <row r="126" spans="1:11" ht="13.2">
      <c r="A126" s="22"/>
      <c r="B126" s="16"/>
      <c r="C126" s="23"/>
      <c r="D126" s="24"/>
      <c r="E126" s="25"/>
      <c r="F126" s="26"/>
      <c r="G126" s="27"/>
      <c r="H126" s="20"/>
      <c r="I126" s="21"/>
      <c r="J126" s="28"/>
      <c r="K126" s="19"/>
    </row>
    <row r="127" spans="1:11" ht="13.2">
      <c r="A127" s="22"/>
      <c r="B127" s="16"/>
      <c r="C127" s="23"/>
      <c r="D127" s="24"/>
      <c r="E127" s="25"/>
      <c r="F127" s="26"/>
      <c r="G127" s="27"/>
      <c r="H127" s="20"/>
      <c r="I127" s="21"/>
      <c r="J127" s="28"/>
      <c r="K127" s="19"/>
    </row>
    <row r="128" spans="1:11" ht="13.2">
      <c r="A128" s="22"/>
      <c r="B128" s="16"/>
      <c r="C128" s="23"/>
      <c r="D128" s="24"/>
      <c r="E128" s="25"/>
      <c r="F128" s="26"/>
      <c r="G128" s="27"/>
      <c r="H128" s="20"/>
      <c r="I128" s="21"/>
      <c r="J128" s="28"/>
      <c r="K128" s="19"/>
    </row>
    <row r="129" spans="1:11" ht="13.2">
      <c r="A129" s="22"/>
      <c r="B129" s="16"/>
      <c r="C129" s="23"/>
      <c r="D129" s="24"/>
      <c r="E129" s="25"/>
      <c r="F129" s="26"/>
      <c r="G129" s="27"/>
      <c r="H129" s="20"/>
      <c r="I129" s="21"/>
      <c r="J129" s="28"/>
      <c r="K129" s="19"/>
    </row>
    <row r="130" spans="1:11" ht="13.2">
      <c r="A130" s="22"/>
      <c r="B130" s="16"/>
      <c r="C130" s="23"/>
      <c r="D130" s="24"/>
      <c r="E130" s="25"/>
      <c r="F130" s="26"/>
      <c r="G130" s="27"/>
      <c r="H130" s="20"/>
      <c r="I130" s="21"/>
      <c r="J130" s="28"/>
      <c r="K130" s="19"/>
    </row>
    <row r="131" spans="1:11" ht="13.2">
      <c r="A131" s="22"/>
      <c r="B131" s="16"/>
      <c r="C131" s="23"/>
      <c r="D131" s="24"/>
      <c r="E131" s="25"/>
      <c r="F131" s="26"/>
      <c r="G131" s="27"/>
      <c r="H131" s="20"/>
      <c r="I131" s="21"/>
      <c r="J131" s="28"/>
      <c r="K131" s="19"/>
    </row>
    <row r="132" spans="1:11" ht="13.2">
      <c r="A132" s="22"/>
      <c r="B132" s="16"/>
      <c r="C132" s="23"/>
      <c r="D132" s="24"/>
      <c r="E132" s="25"/>
      <c r="F132" s="26"/>
      <c r="G132" s="27"/>
      <c r="H132" s="20"/>
      <c r="I132" s="21"/>
      <c r="J132" s="28"/>
      <c r="K132" s="19"/>
    </row>
    <row r="133" spans="1:11" ht="13.2">
      <c r="A133" s="22"/>
      <c r="B133" s="16"/>
      <c r="C133" s="23"/>
      <c r="D133" s="24"/>
      <c r="E133" s="25"/>
      <c r="F133" s="26"/>
      <c r="G133" s="27"/>
      <c r="H133" s="20"/>
      <c r="I133" s="21"/>
      <c r="J133" s="28"/>
      <c r="K133" s="19"/>
    </row>
    <row r="134" spans="1:11" ht="13.2">
      <c r="A134" s="22"/>
      <c r="B134" s="16"/>
      <c r="C134" s="23"/>
      <c r="D134" s="24"/>
      <c r="E134" s="25"/>
      <c r="F134" s="26"/>
      <c r="G134" s="27"/>
      <c r="H134" s="20"/>
      <c r="I134" s="21"/>
      <c r="J134" s="28"/>
      <c r="K134" s="19"/>
    </row>
    <row r="135" spans="1:11" ht="13.2">
      <c r="A135" s="22"/>
      <c r="B135" s="16"/>
      <c r="C135" s="23"/>
      <c r="D135" s="24"/>
      <c r="E135" s="25"/>
      <c r="F135" s="26"/>
      <c r="G135" s="27"/>
      <c r="H135" s="20"/>
      <c r="I135" s="21"/>
      <c r="J135" s="28"/>
      <c r="K135" s="19"/>
    </row>
    <row r="136" spans="1:11" ht="13.2">
      <c r="A136" s="22"/>
      <c r="B136" s="16"/>
      <c r="C136" s="23"/>
      <c r="D136" s="24"/>
      <c r="E136" s="25"/>
      <c r="F136" s="26"/>
      <c r="G136" s="27"/>
      <c r="H136" s="20"/>
      <c r="I136" s="21"/>
      <c r="J136" s="28"/>
      <c r="K136" s="19"/>
    </row>
    <row r="137" spans="1:11" ht="13.2">
      <c r="A137" s="22"/>
      <c r="B137" s="16"/>
      <c r="C137" s="23"/>
      <c r="D137" s="24"/>
      <c r="E137" s="25"/>
      <c r="F137" s="26"/>
      <c r="G137" s="27"/>
      <c r="H137" s="20"/>
      <c r="I137" s="21"/>
      <c r="J137" s="28"/>
      <c r="K137" s="19"/>
    </row>
    <row r="138" spans="1:11" ht="13.2">
      <c r="A138" s="22"/>
      <c r="B138" s="16"/>
      <c r="C138" s="23"/>
      <c r="D138" s="24"/>
      <c r="E138" s="25"/>
      <c r="F138" s="26"/>
      <c r="G138" s="27"/>
      <c r="H138" s="20"/>
      <c r="I138" s="21"/>
      <c r="J138" s="28"/>
      <c r="K138" s="19"/>
    </row>
    <row r="139" spans="1:11" ht="13.2">
      <c r="A139" s="22"/>
      <c r="B139" s="16"/>
      <c r="C139" s="23"/>
      <c r="D139" s="24"/>
      <c r="E139" s="25"/>
      <c r="F139" s="26"/>
      <c r="G139" s="27"/>
      <c r="H139" s="20"/>
      <c r="I139" s="21"/>
      <c r="J139" s="28"/>
      <c r="K139" s="19"/>
    </row>
    <row r="140" spans="1:11" ht="13.2">
      <c r="A140" s="22"/>
      <c r="B140" s="16"/>
      <c r="C140" s="23"/>
      <c r="D140" s="24"/>
      <c r="E140" s="25"/>
      <c r="F140" s="26"/>
      <c r="G140" s="27"/>
      <c r="H140" s="20"/>
      <c r="I140" s="21"/>
      <c r="J140" s="28"/>
      <c r="K140" s="19"/>
    </row>
    <row r="141" spans="1:11" ht="13.2">
      <c r="A141" s="22"/>
      <c r="B141" s="16"/>
      <c r="C141" s="23"/>
      <c r="D141" s="24"/>
      <c r="E141" s="25"/>
      <c r="F141" s="26"/>
      <c r="G141" s="27"/>
      <c r="H141" s="20"/>
      <c r="I141" s="21"/>
      <c r="J141" s="28"/>
      <c r="K141" s="19"/>
    </row>
    <row r="142" spans="1:11" ht="13.2">
      <c r="A142" s="22"/>
      <c r="B142" s="16"/>
      <c r="C142" s="23"/>
      <c r="D142" s="24"/>
      <c r="E142" s="25"/>
      <c r="F142" s="26"/>
      <c r="G142" s="27"/>
      <c r="H142" s="20"/>
      <c r="I142" s="21"/>
      <c r="J142" s="28"/>
      <c r="K142" s="19"/>
    </row>
    <row r="143" spans="1:11" ht="13.2">
      <c r="A143" s="22"/>
      <c r="B143" s="16"/>
      <c r="C143" s="23"/>
      <c r="D143" s="24"/>
      <c r="E143" s="25"/>
      <c r="F143" s="26"/>
      <c r="G143" s="27"/>
      <c r="H143" s="20"/>
      <c r="I143" s="21"/>
      <c r="J143" s="28"/>
      <c r="K143" s="19"/>
    </row>
    <row r="144" spans="1:11" ht="13.2">
      <c r="A144" s="22"/>
      <c r="B144" s="16"/>
      <c r="C144" s="23"/>
      <c r="D144" s="24"/>
      <c r="E144" s="25"/>
      <c r="F144" s="26"/>
      <c r="G144" s="27"/>
      <c r="H144" s="20"/>
      <c r="I144" s="21"/>
      <c r="J144" s="28"/>
      <c r="K144" s="19"/>
    </row>
    <row r="145" spans="1:11" ht="13.2">
      <c r="A145" s="22"/>
      <c r="B145" s="16"/>
      <c r="C145" s="23"/>
      <c r="D145" s="24"/>
      <c r="E145" s="25"/>
      <c r="F145" s="26"/>
      <c r="G145" s="27"/>
      <c r="H145" s="20"/>
      <c r="I145" s="21"/>
      <c r="J145" s="28"/>
      <c r="K145" s="19"/>
    </row>
    <row r="146" spans="1:11" ht="13.2">
      <c r="A146" s="22"/>
      <c r="B146" s="16"/>
      <c r="C146" s="23"/>
      <c r="D146" s="24"/>
      <c r="E146" s="25"/>
      <c r="F146" s="26"/>
      <c r="G146" s="27"/>
      <c r="H146" s="20"/>
      <c r="I146" s="21"/>
      <c r="J146" s="28"/>
      <c r="K146" s="19"/>
    </row>
    <row r="147" spans="1:11" ht="13.2">
      <c r="A147" s="22"/>
      <c r="B147" s="16"/>
      <c r="C147" s="23"/>
      <c r="D147" s="24"/>
      <c r="E147" s="25"/>
      <c r="F147" s="26"/>
      <c r="G147" s="27"/>
      <c r="H147" s="20"/>
      <c r="I147" s="21"/>
      <c r="J147" s="28"/>
      <c r="K147" s="19"/>
    </row>
    <row r="148" spans="1:11" ht="13.2">
      <c r="A148" s="22"/>
      <c r="B148" s="16"/>
      <c r="C148" s="23"/>
      <c r="D148" s="24"/>
      <c r="E148" s="25"/>
      <c r="F148" s="26"/>
      <c r="G148" s="27"/>
      <c r="H148" s="20"/>
      <c r="I148" s="21"/>
      <c r="J148" s="28"/>
      <c r="K148" s="19"/>
    </row>
    <row r="149" spans="1:11" ht="13.2">
      <c r="A149" s="22"/>
      <c r="B149" s="16"/>
      <c r="C149" s="23"/>
      <c r="D149" s="24"/>
      <c r="E149" s="25"/>
      <c r="F149" s="26"/>
      <c r="G149" s="27"/>
      <c r="H149" s="20"/>
      <c r="I149" s="21"/>
      <c r="J149" s="28"/>
      <c r="K149" s="19"/>
    </row>
    <row r="150" spans="1:11" ht="13.2">
      <c r="A150" s="22"/>
      <c r="B150" s="16"/>
      <c r="C150" s="23"/>
      <c r="D150" s="24"/>
      <c r="E150" s="25"/>
      <c r="F150" s="26"/>
      <c r="G150" s="27"/>
      <c r="H150" s="20"/>
      <c r="I150" s="21"/>
      <c r="J150" s="28"/>
      <c r="K150" s="19"/>
    </row>
    <row r="151" spans="1:11" ht="13.2">
      <c r="A151" s="22"/>
      <c r="B151" s="16"/>
      <c r="C151" s="23"/>
      <c r="D151" s="24"/>
      <c r="E151" s="25"/>
      <c r="F151" s="26"/>
      <c r="G151" s="27"/>
      <c r="H151" s="20"/>
      <c r="I151" s="21"/>
      <c r="J151" s="28"/>
      <c r="K151" s="19"/>
    </row>
    <row r="152" spans="1:11" ht="13.2">
      <c r="A152" s="22"/>
      <c r="B152" s="16"/>
      <c r="C152" s="23"/>
      <c r="D152" s="24"/>
      <c r="E152" s="25"/>
      <c r="F152" s="26"/>
      <c r="G152" s="27"/>
      <c r="H152" s="20"/>
      <c r="I152" s="21"/>
      <c r="J152" s="28"/>
      <c r="K152" s="19"/>
    </row>
    <row r="153" spans="1:11" ht="13.2">
      <c r="A153" s="22"/>
      <c r="B153" s="16"/>
      <c r="C153" s="23"/>
      <c r="D153" s="24"/>
      <c r="E153" s="25"/>
      <c r="F153" s="26"/>
      <c r="G153" s="27"/>
      <c r="H153" s="20"/>
      <c r="I153" s="21"/>
      <c r="J153" s="28"/>
      <c r="K153" s="19"/>
    </row>
    <row r="154" spans="1:11" ht="13.2">
      <c r="A154" s="22"/>
      <c r="B154" s="16"/>
      <c r="C154" s="23"/>
      <c r="D154" s="24"/>
      <c r="E154" s="25"/>
      <c r="F154" s="26"/>
      <c r="G154" s="27"/>
      <c r="H154" s="20"/>
      <c r="I154" s="21"/>
      <c r="J154" s="28"/>
      <c r="K154" s="19"/>
    </row>
    <row r="155" spans="1:11" ht="13.2">
      <c r="A155" s="22"/>
      <c r="B155" s="16"/>
      <c r="C155" s="23"/>
      <c r="D155" s="24"/>
      <c r="E155" s="25"/>
      <c r="F155" s="26"/>
      <c r="G155" s="27"/>
      <c r="H155" s="20"/>
      <c r="I155" s="21"/>
      <c r="J155" s="28"/>
      <c r="K155" s="19"/>
    </row>
    <row r="156" spans="1:11" ht="13.2">
      <c r="A156" s="22"/>
      <c r="B156" s="16"/>
      <c r="C156" s="23"/>
      <c r="D156" s="24"/>
      <c r="E156" s="25"/>
      <c r="F156" s="26"/>
      <c r="G156" s="27"/>
      <c r="H156" s="20"/>
      <c r="I156" s="21"/>
      <c r="J156" s="28"/>
      <c r="K156" s="19"/>
    </row>
    <row r="157" spans="1:11" ht="13.2">
      <c r="A157" s="22"/>
      <c r="B157" s="16"/>
      <c r="C157" s="23"/>
      <c r="D157" s="24"/>
      <c r="E157" s="25"/>
      <c r="F157" s="26"/>
      <c r="G157" s="27"/>
      <c r="H157" s="20"/>
      <c r="I157" s="21"/>
      <c r="J157" s="28"/>
      <c r="K157" s="19"/>
    </row>
    <row r="158" spans="1:11" ht="13.2">
      <c r="A158" s="22"/>
      <c r="B158" s="16"/>
      <c r="C158" s="23"/>
      <c r="D158" s="24"/>
      <c r="E158" s="25"/>
      <c r="F158" s="26"/>
      <c r="G158" s="27"/>
      <c r="H158" s="20"/>
      <c r="I158" s="21"/>
      <c r="J158" s="28"/>
      <c r="K158" s="19"/>
    </row>
    <row r="159" spans="1:11" ht="13.2">
      <c r="A159" s="22"/>
      <c r="B159" s="16"/>
      <c r="C159" s="23"/>
      <c r="D159" s="24"/>
      <c r="E159" s="25"/>
      <c r="F159" s="26"/>
      <c r="G159" s="27"/>
      <c r="H159" s="20"/>
      <c r="I159" s="21"/>
      <c r="J159" s="28"/>
      <c r="K159" s="19"/>
    </row>
    <row r="160" spans="1:11" ht="13.2">
      <c r="A160" s="22"/>
      <c r="B160" s="16"/>
      <c r="C160" s="23"/>
      <c r="D160" s="24"/>
      <c r="E160" s="25"/>
      <c r="F160" s="26"/>
      <c r="G160" s="27"/>
      <c r="H160" s="20"/>
      <c r="I160" s="21"/>
      <c r="J160" s="28"/>
      <c r="K160" s="19"/>
    </row>
    <row r="161" spans="1:11" ht="13.2">
      <c r="A161" s="22"/>
      <c r="B161" s="16"/>
      <c r="C161" s="23"/>
      <c r="D161" s="24"/>
      <c r="E161" s="25"/>
      <c r="F161" s="26"/>
      <c r="G161" s="27"/>
      <c r="H161" s="20"/>
      <c r="I161" s="21"/>
      <c r="J161" s="28"/>
      <c r="K161" s="19"/>
    </row>
    <row r="162" spans="1:11" ht="13.2">
      <c r="A162" s="22"/>
      <c r="B162" s="16"/>
      <c r="C162" s="23"/>
      <c r="D162" s="24"/>
      <c r="E162" s="25"/>
      <c r="F162" s="26"/>
      <c r="G162" s="27"/>
      <c r="H162" s="20"/>
      <c r="I162" s="21"/>
      <c r="J162" s="28"/>
      <c r="K162" s="19"/>
    </row>
    <row r="163" spans="1:11" ht="13.2">
      <c r="A163" s="22"/>
      <c r="B163" s="16"/>
      <c r="C163" s="23"/>
      <c r="D163" s="24"/>
      <c r="E163" s="25"/>
      <c r="F163" s="26"/>
      <c r="G163" s="27"/>
      <c r="H163" s="20"/>
      <c r="I163" s="21"/>
      <c r="J163" s="28"/>
      <c r="K163" s="19"/>
    </row>
    <row r="164" spans="1:11" ht="13.2">
      <c r="A164" s="22"/>
      <c r="B164" s="16"/>
      <c r="C164" s="23"/>
      <c r="D164" s="24"/>
      <c r="E164" s="25"/>
      <c r="F164" s="26"/>
      <c r="G164" s="27"/>
      <c r="H164" s="20"/>
      <c r="I164" s="21"/>
      <c r="J164" s="28"/>
      <c r="K164" s="19"/>
    </row>
    <row r="165" spans="1:11" ht="13.2">
      <c r="A165" s="22"/>
      <c r="B165" s="16"/>
      <c r="C165" s="23"/>
      <c r="D165" s="24"/>
      <c r="E165" s="25"/>
      <c r="F165" s="26"/>
      <c r="G165" s="27"/>
      <c r="H165" s="20"/>
      <c r="I165" s="21"/>
      <c r="J165" s="28"/>
      <c r="K165" s="19"/>
    </row>
    <row r="166" spans="1:11" ht="13.2">
      <c r="A166" s="22"/>
      <c r="B166" s="16"/>
      <c r="C166" s="23"/>
      <c r="D166" s="24"/>
      <c r="E166" s="25"/>
      <c r="F166" s="26"/>
      <c r="G166" s="27"/>
      <c r="H166" s="20"/>
      <c r="I166" s="21"/>
      <c r="J166" s="28"/>
      <c r="K166" s="19"/>
    </row>
    <row r="167" spans="1:11" ht="13.2">
      <c r="A167" s="22"/>
      <c r="B167" s="16"/>
      <c r="C167" s="23"/>
      <c r="D167" s="24"/>
      <c r="E167" s="25"/>
      <c r="F167" s="26"/>
      <c r="G167" s="27"/>
      <c r="H167" s="20"/>
      <c r="I167" s="21"/>
      <c r="J167" s="28"/>
      <c r="K167" s="19"/>
    </row>
    <row r="168" spans="1:11" ht="13.2">
      <c r="A168" s="22"/>
      <c r="B168" s="16"/>
      <c r="C168" s="23"/>
      <c r="D168" s="24"/>
      <c r="E168" s="25"/>
      <c r="F168" s="26"/>
      <c r="G168" s="27"/>
      <c r="H168" s="20"/>
      <c r="I168" s="21"/>
      <c r="J168" s="28"/>
      <c r="K168" s="19"/>
    </row>
    <row r="169" spans="1:11" ht="13.2">
      <c r="A169" s="22"/>
      <c r="B169" s="16"/>
      <c r="C169" s="23"/>
      <c r="D169" s="24"/>
      <c r="E169" s="25"/>
      <c r="F169" s="26"/>
      <c r="G169" s="27"/>
      <c r="H169" s="20"/>
      <c r="I169" s="21"/>
      <c r="J169" s="28"/>
      <c r="K169" s="19"/>
    </row>
    <row r="170" spans="1:11" ht="13.2">
      <c r="A170" s="22"/>
      <c r="B170" s="16"/>
      <c r="C170" s="23"/>
      <c r="D170" s="24"/>
      <c r="E170" s="25"/>
      <c r="F170" s="26"/>
      <c r="G170" s="27"/>
      <c r="H170" s="20"/>
      <c r="I170" s="21"/>
      <c r="J170" s="28"/>
      <c r="K170" s="19"/>
    </row>
    <row r="171" spans="1:11" ht="13.2">
      <c r="A171" s="22"/>
      <c r="B171" s="16"/>
      <c r="C171" s="23"/>
      <c r="D171" s="24"/>
      <c r="E171" s="25"/>
      <c r="F171" s="26"/>
      <c r="G171" s="27"/>
      <c r="H171" s="20"/>
      <c r="I171" s="21"/>
      <c r="J171" s="28"/>
      <c r="K171" s="19"/>
    </row>
    <row r="172" spans="1:11" ht="13.2">
      <c r="A172" s="22"/>
      <c r="B172" s="16"/>
      <c r="C172" s="23"/>
      <c r="D172" s="24"/>
      <c r="E172" s="25"/>
      <c r="F172" s="26"/>
      <c r="G172" s="27"/>
      <c r="H172" s="20"/>
      <c r="I172" s="21"/>
      <c r="J172" s="28"/>
      <c r="K172" s="19"/>
    </row>
    <row r="173" spans="1:11" ht="13.2">
      <c r="A173" s="22"/>
      <c r="B173" s="16"/>
      <c r="C173" s="23"/>
      <c r="D173" s="24"/>
      <c r="E173" s="25"/>
      <c r="F173" s="26"/>
      <c r="G173" s="27"/>
      <c r="H173" s="20"/>
      <c r="I173" s="21"/>
      <c r="J173" s="28"/>
      <c r="K173" s="19"/>
    </row>
    <row r="174" spans="1:11" ht="13.2">
      <c r="A174" s="22"/>
      <c r="B174" s="16"/>
      <c r="C174" s="23"/>
      <c r="D174" s="24"/>
      <c r="E174" s="25"/>
      <c r="F174" s="26"/>
      <c r="G174" s="27"/>
      <c r="H174" s="20"/>
      <c r="I174" s="21"/>
      <c r="J174" s="28"/>
      <c r="K174" s="19"/>
    </row>
    <row r="175" spans="1:11" ht="13.2">
      <c r="A175" s="22"/>
      <c r="B175" s="16"/>
      <c r="C175" s="23"/>
      <c r="D175" s="24"/>
      <c r="E175" s="25"/>
      <c r="F175" s="26"/>
      <c r="G175" s="27"/>
      <c r="H175" s="20"/>
      <c r="I175" s="21"/>
      <c r="J175" s="28"/>
      <c r="K175" s="19"/>
    </row>
    <row r="176" spans="1:11" ht="13.2">
      <c r="A176" s="22"/>
      <c r="B176" s="16"/>
      <c r="C176" s="23"/>
      <c r="D176" s="24"/>
      <c r="E176" s="25"/>
      <c r="F176" s="26"/>
      <c r="G176" s="27"/>
      <c r="H176" s="20"/>
      <c r="I176" s="21"/>
      <c r="J176" s="28"/>
      <c r="K176" s="19"/>
    </row>
    <row r="177" spans="1:11" ht="13.2">
      <c r="A177" s="22"/>
      <c r="B177" s="16"/>
      <c r="C177" s="23"/>
      <c r="D177" s="24"/>
      <c r="E177" s="25"/>
      <c r="F177" s="26"/>
      <c r="G177" s="27"/>
      <c r="H177" s="20"/>
      <c r="I177" s="21"/>
      <c r="J177" s="28"/>
      <c r="K177" s="19"/>
    </row>
    <row r="178" spans="1:11" ht="13.2">
      <c r="A178" s="22"/>
      <c r="B178" s="16"/>
      <c r="C178" s="23"/>
      <c r="D178" s="24"/>
      <c r="E178" s="25"/>
      <c r="F178" s="26"/>
      <c r="G178" s="27"/>
      <c r="H178" s="20"/>
      <c r="I178" s="21"/>
      <c r="J178" s="28"/>
      <c r="K178" s="19"/>
    </row>
    <row r="179" spans="1:11" ht="13.2">
      <c r="A179" s="22"/>
      <c r="B179" s="16"/>
      <c r="C179" s="23"/>
      <c r="D179" s="24"/>
      <c r="E179" s="25"/>
      <c r="F179" s="26"/>
      <c r="G179" s="27"/>
      <c r="H179" s="20"/>
      <c r="I179" s="21"/>
      <c r="J179" s="28"/>
      <c r="K179" s="19"/>
    </row>
    <row r="180" spans="1:11" ht="13.2">
      <c r="A180" s="22"/>
      <c r="B180" s="16"/>
      <c r="C180" s="23"/>
      <c r="D180" s="24"/>
      <c r="E180" s="25"/>
      <c r="F180" s="26"/>
      <c r="G180" s="27"/>
      <c r="H180" s="20"/>
      <c r="I180" s="21"/>
      <c r="J180" s="28"/>
      <c r="K180" s="19"/>
    </row>
    <row r="181" spans="1:11" ht="13.2">
      <c r="A181" s="22"/>
      <c r="B181" s="16"/>
      <c r="C181" s="23"/>
      <c r="D181" s="24"/>
      <c r="E181" s="25"/>
      <c r="F181" s="26"/>
      <c r="G181" s="27"/>
      <c r="H181" s="20"/>
      <c r="I181" s="21"/>
      <c r="J181" s="28"/>
      <c r="K181" s="19"/>
    </row>
    <row r="182" spans="1:11" ht="13.2">
      <c r="A182" s="22"/>
      <c r="B182" s="16"/>
      <c r="C182" s="23"/>
      <c r="D182" s="24"/>
      <c r="E182" s="25"/>
      <c r="F182" s="26"/>
      <c r="G182" s="27"/>
      <c r="H182" s="20"/>
      <c r="I182" s="21"/>
      <c r="J182" s="28"/>
      <c r="K182" s="19"/>
    </row>
    <row r="183" spans="1:11" ht="13.2">
      <c r="A183" s="22"/>
      <c r="B183" s="16"/>
      <c r="C183" s="23"/>
      <c r="D183" s="24"/>
      <c r="E183" s="25"/>
      <c r="F183" s="26"/>
      <c r="G183" s="27"/>
      <c r="H183" s="20"/>
      <c r="I183" s="21"/>
      <c r="J183" s="28"/>
      <c r="K183" s="19"/>
    </row>
    <row r="184" spans="1:11" ht="13.2">
      <c r="A184" s="22"/>
      <c r="B184" s="16"/>
      <c r="C184" s="23"/>
      <c r="D184" s="24"/>
      <c r="E184" s="25"/>
      <c r="F184" s="26"/>
      <c r="G184" s="27"/>
      <c r="H184" s="20"/>
      <c r="I184" s="21"/>
      <c r="J184" s="28"/>
      <c r="K184" s="19"/>
    </row>
    <row r="185" spans="1:11" ht="13.2">
      <c r="A185" s="22"/>
      <c r="B185" s="16"/>
      <c r="C185" s="23"/>
      <c r="D185" s="24"/>
      <c r="E185" s="25"/>
      <c r="F185" s="26"/>
      <c r="G185" s="27"/>
      <c r="H185" s="20"/>
      <c r="I185" s="21"/>
      <c r="J185" s="28"/>
      <c r="K185" s="19"/>
    </row>
    <row r="186" spans="1:11" ht="13.2">
      <c r="A186" s="22"/>
      <c r="B186" s="16"/>
      <c r="C186" s="23"/>
      <c r="D186" s="24"/>
      <c r="E186" s="25"/>
      <c r="F186" s="26"/>
      <c r="G186" s="27"/>
      <c r="H186" s="20"/>
      <c r="I186" s="21"/>
      <c r="J186" s="28"/>
      <c r="K186" s="19"/>
    </row>
    <row r="187" spans="1:11" ht="13.2">
      <c r="A187" s="22"/>
      <c r="B187" s="16"/>
      <c r="C187" s="23"/>
      <c r="D187" s="24"/>
      <c r="E187" s="25"/>
      <c r="F187" s="26"/>
      <c r="G187" s="27"/>
      <c r="H187" s="20"/>
      <c r="I187" s="21"/>
      <c r="J187" s="28"/>
      <c r="K187" s="19"/>
    </row>
    <row r="188" spans="1:11" ht="13.2">
      <c r="A188" s="22"/>
      <c r="B188" s="16"/>
      <c r="C188" s="23"/>
      <c r="D188" s="24"/>
      <c r="E188" s="25"/>
      <c r="F188" s="26"/>
      <c r="G188" s="27"/>
      <c r="H188" s="20"/>
      <c r="I188" s="21"/>
      <c r="J188" s="28"/>
      <c r="K188" s="19"/>
    </row>
    <row r="189" spans="1:11" ht="13.2">
      <c r="A189" s="22"/>
      <c r="B189" s="16"/>
      <c r="C189" s="23"/>
      <c r="D189" s="24"/>
      <c r="E189" s="25"/>
      <c r="F189" s="26"/>
      <c r="G189" s="27"/>
      <c r="H189" s="20"/>
      <c r="I189" s="21"/>
      <c r="J189" s="28"/>
      <c r="K189" s="19"/>
    </row>
    <row r="190" spans="1:11" ht="13.2">
      <c r="A190" s="22"/>
      <c r="B190" s="16"/>
      <c r="C190" s="23"/>
      <c r="D190" s="24"/>
      <c r="E190" s="25"/>
      <c r="F190" s="26"/>
      <c r="G190" s="27"/>
      <c r="H190" s="20"/>
      <c r="I190" s="21"/>
      <c r="J190" s="28"/>
      <c r="K190" s="19"/>
    </row>
    <row r="191" spans="1:11" ht="13.2">
      <c r="A191" s="22"/>
      <c r="B191" s="16"/>
      <c r="C191" s="23"/>
      <c r="D191" s="24"/>
      <c r="E191" s="25"/>
      <c r="F191" s="26"/>
      <c r="G191" s="27"/>
      <c r="H191" s="20"/>
      <c r="I191" s="21"/>
      <c r="J191" s="28"/>
      <c r="K191" s="19"/>
    </row>
    <row r="192" spans="1:11" ht="13.2">
      <c r="A192" s="22"/>
      <c r="B192" s="16"/>
      <c r="C192" s="23"/>
      <c r="D192" s="24"/>
      <c r="E192" s="25"/>
      <c r="F192" s="26"/>
      <c r="G192" s="27"/>
      <c r="H192" s="20"/>
      <c r="I192" s="21"/>
      <c r="J192" s="28"/>
      <c r="K192" s="19"/>
    </row>
    <row r="193" spans="1:11" ht="13.2">
      <c r="A193" s="22"/>
      <c r="B193" s="16"/>
      <c r="C193" s="23"/>
      <c r="D193" s="24"/>
      <c r="E193" s="25"/>
      <c r="F193" s="26"/>
      <c r="G193" s="27"/>
      <c r="H193" s="20"/>
      <c r="I193" s="21"/>
      <c r="J193" s="28"/>
      <c r="K193" s="19"/>
    </row>
    <row r="194" spans="1:11" ht="13.2">
      <c r="A194" s="22"/>
      <c r="B194" s="16"/>
      <c r="C194" s="23"/>
      <c r="D194" s="24"/>
      <c r="E194" s="25"/>
      <c r="F194" s="26"/>
      <c r="G194" s="27"/>
      <c r="H194" s="20"/>
      <c r="I194" s="21"/>
      <c r="J194" s="28"/>
      <c r="K194" s="19"/>
    </row>
    <row r="195" spans="1:11" ht="13.2">
      <c r="A195" s="22"/>
      <c r="B195" s="16"/>
      <c r="C195" s="23"/>
      <c r="D195" s="24"/>
      <c r="E195" s="25"/>
      <c r="F195" s="26"/>
      <c r="G195" s="27"/>
      <c r="H195" s="20"/>
      <c r="I195" s="21"/>
      <c r="J195" s="28"/>
      <c r="K195" s="19"/>
    </row>
    <row r="196" spans="1:11" ht="13.2">
      <c r="A196" s="22"/>
      <c r="B196" s="16"/>
      <c r="C196" s="23"/>
      <c r="D196" s="24"/>
      <c r="E196" s="25"/>
      <c r="F196" s="26"/>
      <c r="G196" s="27"/>
      <c r="H196" s="20"/>
      <c r="I196" s="21"/>
      <c r="J196" s="28"/>
      <c r="K196" s="19"/>
    </row>
    <row r="197" spans="1:11" ht="13.2">
      <c r="A197" s="22"/>
      <c r="B197" s="16"/>
      <c r="C197" s="23"/>
      <c r="D197" s="24"/>
      <c r="E197" s="25"/>
      <c r="F197" s="26"/>
      <c r="G197" s="27"/>
      <c r="H197" s="20"/>
      <c r="I197" s="21"/>
      <c r="J197" s="28"/>
      <c r="K197" s="19"/>
    </row>
    <row r="198" spans="1:11" ht="13.2">
      <c r="A198" s="22"/>
      <c r="B198" s="16"/>
      <c r="C198" s="23"/>
      <c r="D198" s="24"/>
      <c r="E198" s="25"/>
      <c r="F198" s="26"/>
      <c r="G198" s="27"/>
      <c r="H198" s="20"/>
      <c r="I198" s="21"/>
      <c r="J198" s="28"/>
      <c r="K198" s="19"/>
    </row>
    <row r="199" spans="1:11" ht="13.2">
      <c r="A199" s="22"/>
      <c r="B199" s="16"/>
      <c r="C199" s="23"/>
      <c r="D199" s="24"/>
      <c r="E199" s="25"/>
      <c r="F199" s="26"/>
      <c r="G199" s="27"/>
      <c r="H199" s="20"/>
      <c r="I199" s="21"/>
      <c r="J199" s="28"/>
      <c r="K199" s="19"/>
    </row>
    <row r="200" spans="1:11" ht="13.2">
      <c r="A200" s="22"/>
      <c r="B200" s="16"/>
      <c r="C200" s="23"/>
      <c r="D200" s="24"/>
      <c r="E200" s="25"/>
      <c r="F200" s="26"/>
      <c r="G200" s="27"/>
      <c r="H200" s="20"/>
      <c r="I200" s="21"/>
      <c r="J200" s="28"/>
      <c r="K200" s="19"/>
    </row>
    <row r="201" spans="1:11" ht="13.2">
      <c r="A201" s="22"/>
      <c r="B201" s="16"/>
      <c r="C201" s="23"/>
      <c r="D201" s="24"/>
      <c r="E201" s="25"/>
      <c r="F201" s="26"/>
      <c r="G201" s="27"/>
      <c r="H201" s="20"/>
      <c r="I201" s="21"/>
      <c r="J201" s="28"/>
      <c r="K201" s="19"/>
    </row>
    <row r="202" spans="1:11" ht="13.2">
      <c r="A202" s="22"/>
      <c r="B202" s="16"/>
      <c r="C202" s="23"/>
      <c r="D202" s="24"/>
      <c r="E202" s="25"/>
      <c r="F202" s="26"/>
      <c r="G202" s="27"/>
      <c r="H202" s="20"/>
      <c r="I202" s="21"/>
      <c r="J202" s="28"/>
      <c r="K202" s="19"/>
    </row>
    <row r="203" spans="1:11" ht="13.2">
      <c r="A203" s="22"/>
      <c r="B203" s="16"/>
      <c r="C203" s="23"/>
      <c r="D203" s="24"/>
      <c r="E203" s="25"/>
      <c r="F203" s="26"/>
      <c r="G203" s="27"/>
      <c r="H203" s="20"/>
      <c r="I203" s="21"/>
      <c r="J203" s="28"/>
      <c r="K203" s="19"/>
    </row>
    <row r="204" spans="1:11" ht="13.2">
      <c r="A204" s="22"/>
      <c r="B204" s="16"/>
      <c r="C204" s="23"/>
      <c r="D204" s="24"/>
      <c r="E204" s="25"/>
      <c r="F204" s="26"/>
      <c r="G204" s="27"/>
      <c r="H204" s="20"/>
      <c r="I204" s="21"/>
      <c r="J204" s="28"/>
      <c r="K204" s="19"/>
    </row>
    <row r="205" spans="1:11" ht="13.2">
      <c r="A205" s="22"/>
      <c r="B205" s="16"/>
      <c r="C205" s="23"/>
      <c r="D205" s="24"/>
      <c r="E205" s="25"/>
      <c r="F205" s="26"/>
      <c r="G205" s="27"/>
      <c r="H205" s="20"/>
      <c r="I205" s="21"/>
      <c r="J205" s="28"/>
      <c r="K205" s="19"/>
    </row>
    <row r="206" spans="1:11" ht="13.2">
      <c r="A206" s="22"/>
      <c r="B206" s="16"/>
      <c r="C206" s="23"/>
      <c r="D206" s="24"/>
      <c r="E206" s="25"/>
      <c r="F206" s="26"/>
      <c r="G206" s="27"/>
      <c r="H206" s="20"/>
      <c r="I206" s="21"/>
      <c r="J206" s="28"/>
      <c r="K206" s="19"/>
    </row>
    <row r="207" spans="1:11" ht="13.2">
      <c r="A207" s="22"/>
      <c r="B207" s="16"/>
      <c r="C207" s="23"/>
      <c r="D207" s="24"/>
      <c r="E207" s="25"/>
      <c r="F207" s="26"/>
      <c r="G207" s="27"/>
      <c r="H207" s="20"/>
      <c r="I207" s="21"/>
      <c r="J207" s="28"/>
      <c r="K207" s="19"/>
    </row>
    <row r="208" spans="1:11" ht="13.2">
      <c r="A208" s="22"/>
      <c r="B208" s="16"/>
      <c r="C208" s="23"/>
      <c r="D208" s="24"/>
      <c r="E208" s="25"/>
      <c r="F208" s="26"/>
      <c r="G208" s="27"/>
      <c r="H208" s="20"/>
      <c r="I208" s="21"/>
      <c r="J208" s="28"/>
      <c r="K208" s="19"/>
    </row>
    <row r="209" spans="1:11" ht="13.2">
      <c r="A209" s="22"/>
      <c r="B209" s="16"/>
      <c r="C209" s="23"/>
      <c r="D209" s="24"/>
      <c r="E209" s="25"/>
      <c r="F209" s="26"/>
      <c r="G209" s="27"/>
      <c r="H209" s="20"/>
      <c r="I209" s="21"/>
      <c r="J209" s="28"/>
      <c r="K209" s="19"/>
    </row>
    <row r="210" spans="1:11" ht="13.2">
      <c r="A210" s="22"/>
      <c r="B210" s="16"/>
      <c r="C210" s="23"/>
      <c r="D210" s="24"/>
      <c r="E210" s="25"/>
      <c r="F210" s="26"/>
      <c r="G210" s="27"/>
      <c r="H210" s="20"/>
      <c r="I210" s="21"/>
      <c r="J210" s="28"/>
      <c r="K210" s="19"/>
    </row>
    <row r="211" spans="1:11" ht="13.2">
      <c r="A211" s="22"/>
      <c r="B211" s="16"/>
      <c r="C211" s="23"/>
      <c r="D211" s="24"/>
      <c r="E211" s="25"/>
      <c r="F211" s="26"/>
      <c r="G211" s="27"/>
      <c r="H211" s="20"/>
      <c r="I211" s="21"/>
      <c r="J211" s="28"/>
      <c r="K211" s="19"/>
    </row>
    <row r="212" spans="1:11" ht="13.2">
      <c r="A212" s="22"/>
      <c r="B212" s="16"/>
      <c r="C212" s="23"/>
      <c r="D212" s="24"/>
      <c r="E212" s="25"/>
      <c r="F212" s="26"/>
      <c r="G212" s="27"/>
      <c r="H212" s="20"/>
      <c r="I212" s="21"/>
      <c r="J212" s="28"/>
      <c r="K212" s="19"/>
    </row>
    <row r="213" spans="1:11" ht="13.2">
      <c r="A213" s="22"/>
      <c r="B213" s="16"/>
      <c r="C213" s="23"/>
      <c r="D213" s="24"/>
      <c r="E213" s="25"/>
      <c r="F213" s="26"/>
      <c r="G213" s="27"/>
      <c r="H213" s="20"/>
      <c r="I213" s="21"/>
      <c r="J213" s="28"/>
      <c r="K213" s="19"/>
    </row>
    <row r="214" spans="1:11" ht="13.2">
      <c r="A214" s="22"/>
      <c r="B214" s="16"/>
      <c r="C214" s="23"/>
      <c r="D214" s="24"/>
      <c r="E214" s="25"/>
      <c r="F214" s="26"/>
      <c r="G214" s="27"/>
      <c r="H214" s="20"/>
      <c r="I214" s="21"/>
      <c r="J214" s="28"/>
      <c r="K214" s="19"/>
    </row>
    <row r="215" spans="1:11" ht="13.2">
      <c r="A215" s="22"/>
      <c r="B215" s="16"/>
      <c r="C215" s="23"/>
      <c r="D215" s="24"/>
      <c r="E215" s="25"/>
      <c r="F215" s="26"/>
      <c r="G215" s="27"/>
      <c r="H215" s="20"/>
      <c r="I215" s="21"/>
      <c r="J215" s="28"/>
      <c r="K215" s="19"/>
    </row>
    <row r="216" spans="1:11" ht="13.2">
      <c r="A216" s="22"/>
      <c r="B216" s="16"/>
      <c r="C216" s="23"/>
      <c r="D216" s="24"/>
      <c r="E216" s="25"/>
      <c r="F216" s="26"/>
      <c r="G216" s="27"/>
      <c r="H216" s="20"/>
      <c r="I216" s="21"/>
      <c r="J216" s="28"/>
      <c r="K216" s="19"/>
    </row>
    <row r="217" spans="1:11" ht="13.2">
      <c r="A217" s="22"/>
      <c r="B217" s="16"/>
      <c r="C217" s="23"/>
      <c r="D217" s="24"/>
      <c r="E217" s="25"/>
      <c r="F217" s="26"/>
      <c r="G217" s="27"/>
      <c r="H217" s="20"/>
      <c r="I217" s="21"/>
      <c r="J217" s="28"/>
      <c r="K217" s="19"/>
    </row>
    <row r="218" spans="1:11" ht="13.2">
      <c r="A218" s="22"/>
      <c r="B218" s="16"/>
      <c r="C218" s="23"/>
      <c r="D218" s="24"/>
      <c r="E218" s="25"/>
      <c r="F218" s="26"/>
      <c r="G218" s="27"/>
      <c r="H218" s="20"/>
      <c r="I218" s="21"/>
      <c r="J218" s="28"/>
      <c r="K218" s="19"/>
    </row>
    <row r="219" spans="1:11" ht="13.2">
      <c r="A219" s="22"/>
      <c r="B219" s="16"/>
      <c r="C219" s="23"/>
      <c r="D219" s="24"/>
      <c r="E219" s="25"/>
      <c r="F219" s="26"/>
      <c r="G219" s="27"/>
      <c r="H219" s="20"/>
      <c r="I219" s="21"/>
      <c r="J219" s="28"/>
      <c r="K219" s="19"/>
    </row>
    <row r="220" spans="1:11" ht="13.2">
      <c r="A220" s="22"/>
      <c r="B220" s="16"/>
      <c r="C220" s="23"/>
      <c r="D220" s="24"/>
      <c r="E220" s="25"/>
      <c r="F220" s="26"/>
      <c r="G220" s="27"/>
      <c r="H220" s="20"/>
      <c r="I220" s="21"/>
      <c r="J220" s="28"/>
      <c r="K220" s="19"/>
    </row>
    <row r="221" spans="1:11" ht="13.2">
      <c r="A221" s="22"/>
      <c r="B221" s="16"/>
      <c r="C221" s="23"/>
      <c r="D221" s="24"/>
      <c r="E221" s="25"/>
      <c r="F221" s="26"/>
      <c r="G221" s="27"/>
      <c r="H221" s="20"/>
      <c r="I221" s="21"/>
      <c r="J221" s="28"/>
      <c r="K221" s="19"/>
    </row>
    <row r="222" spans="1:11" ht="13.2">
      <c r="A222" s="22"/>
      <c r="B222" s="16"/>
      <c r="C222" s="23"/>
      <c r="D222" s="24"/>
      <c r="E222" s="25"/>
      <c r="F222" s="26"/>
      <c r="G222" s="27"/>
      <c r="H222" s="20"/>
      <c r="I222" s="21"/>
      <c r="J222" s="28"/>
      <c r="K222" s="19"/>
    </row>
    <row r="223" spans="1:11" ht="13.2">
      <c r="A223" s="22"/>
      <c r="B223" s="16"/>
      <c r="C223" s="23"/>
      <c r="D223" s="24"/>
      <c r="E223" s="25"/>
      <c r="F223" s="26"/>
      <c r="G223" s="27"/>
      <c r="H223" s="20"/>
      <c r="I223" s="21"/>
      <c r="J223" s="28"/>
      <c r="K223" s="19"/>
    </row>
    <row r="224" spans="1:11" ht="13.2">
      <c r="A224" s="22"/>
      <c r="B224" s="16"/>
      <c r="C224" s="23"/>
      <c r="D224" s="24"/>
      <c r="E224" s="25"/>
      <c r="F224" s="26"/>
      <c r="G224" s="27"/>
      <c r="H224" s="20"/>
      <c r="I224" s="21"/>
      <c r="J224" s="28"/>
      <c r="K224" s="19"/>
    </row>
    <row r="225" spans="1:11" ht="13.2">
      <c r="A225" s="22"/>
      <c r="B225" s="16"/>
      <c r="C225" s="23"/>
      <c r="D225" s="24"/>
      <c r="E225" s="25"/>
      <c r="F225" s="26"/>
      <c r="G225" s="27"/>
      <c r="H225" s="20"/>
      <c r="I225" s="21"/>
      <c r="J225" s="28"/>
      <c r="K225" s="19"/>
    </row>
    <row r="226" spans="1:11" ht="13.2">
      <c r="A226" s="22"/>
      <c r="B226" s="16"/>
      <c r="C226" s="23"/>
      <c r="D226" s="24"/>
      <c r="E226" s="25"/>
      <c r="F226" s="26"/>
      <c r="G226" s="27"/>
      <c r="H226" s="20"/>
      <c r="I226" s="21"/>
      <c r="J226" s="28"/>
      <c r="K226" s="19"/>
    </row>
    <row r="227" spans="1:11" ht="13.2">
      <c r="A227" s="22"/>
      <c r="B227" s="16"/>
      <c r="C227" s="23"/>
      <c r="D227" s="24"/>
      <c r="E227" s="25"/>
      <c r="F227" s="26"/>
      <c r="G227" s="27"/>
      <c r="H227" s="20"/>
      <c r="I227" s="21"/>
      <c r="J227" s="28"/>
      <c r="K227" s="19"/>
    </row>
    <row r="228" spans="1:11" ht="13.2">
      <c r="A228" s="22"/>
      <c r="B228" s="16"/>
      <c r="C228" s="23"/>
      <c r="D228" s="24"/>
      <c r="E228" s="25"/>
      <c r="F228" s="26"/>
      <c r="G228" s="27"/>
      <c r="H228" s="20"/>
      <c r="I228" s="21"/>
      <c r="J228" s="28"/>
      <c r="K228" s="19"/>
    </row>
    <row r="229" spans="1:11" ht="13.2">
      <c r="A229" s="22"/>
      <c r="B229" s="16"/>
      <c r="C229" s="23"/>
      <c r="D229" s="24"/>
      <c r="E229" s="25"/>
      <c r="F229" s="26"/>
      <c r="G229" s="27"/>
      <c r="H229" s="20"/>
      <c r="I229" s="21"/>
      <c r="J229" s="28"/>
      <c r="K229" s="19"/>
    </row>
    <row r="230" spans="1:11" ht="13.2">
      <c r="A230" s="22"/>
      <c r="B230" s="16"/>
      <c r="C230" s="23"/>
      <c r="D230" s="24"/>
      <c r="E230" s="25"/>
      <c r="F230" s="26"/>
      <c r="G230" s="27"/>
      <c r="H230" s="20"/>
      <c r="I230" s="21"/>
      <c r="J230" s="28"/>
      <c r="K230" s="19"/>
    </row>
    <row r="231" spans="1:11" ht="13.2">
      <c r="A231" s="22"/>
      <c r="B231" s="16"/>
      <c r="C231" s="23"/>
      <c r="D231" s="24"/>
      <c r="E231" s="25"/>
      <c r="F231" s="26"/>
      <c r="G231" s="27"/>
      <c r="H231" s="20"/>
      <c r="I231" s="21"/>
      <c r="J231" s="28"/>
      <c r="K231" s="19"/>
    </row>
    <row r="232" spans="1:11" ht="13.2">
      <c r="A232" s="22"/>
      <c r="B232" s="16"/>
      <c r="C232" s="23"/>
      <c r="D232" s="24"/>
      <c r="E232" s="25"/>
      <c r="F232" s="26"/>
      <c r="G232" s="27"/>
      <c r="H232" s="20"/>
      <c r="I232" s="21"/>
      <c r="J232" s="28"/>
      <c r="K232" s="19"/>
    </row>
    <row r="233" spans="1:11" ht="13.2">
      <c r="A233" s="22"/>
      <c r="B233" s="16"/>
      <c r="C233" s="23"/>
      <c r="D233" s="24"/>
      <c r="E233" s="25"/>
      <c r="F233" s="26"/>
      <c r="G233" s="27"/>
      <c r="H233" s="20"/>
      <c r="I233" s="21"/>
      <c r="J233" s="28"/>
      <c r="K233" s="19"/>
    </row>
    <row r="234" spans="1:11" ht="13.2">
      <c r="A234" s="22"/>
      <c r="B234" s="16"/>
      <c r="C234" s="23"/>
      <c r="D234" s="24"/>
      <c r="E234" s="25"/>
      <c r="F234" s="26"/>
      <c r="G234" s="27"/>
      <c r="H234" s="20"/>
      <c r="I234" s="21"/>
      <c r="J234" s="28"/>
      <c r="K234" s="19"/>
    </row>
    <row r="235" spans="1:11" ht="13.2">
      <c r="A235" s="22"/>
      <c r="B235" s="16"/>
      <c r="C235" s="23"/>
      <c r="D235" s="24"/>
      <c r="E235" s="25"/>
      <c r="F235" s="26"/>
      <c r="G235" s="27"/>
      <c r="H235" s="20"/>
      <c r="I235" s="21"/>
      <c r="J235" s="28"/>
      <c r="K235" s="19"/>
    </row>
    <row r="236" spans="1:11" ht="13.2">
      <c r="A236" s="22"/>
      <c r="B236" s="16"/>
      <c r="C236" s="23"/>
      <c r="D236" s="24"/>
      <c r="E236" s="25"/>
      <c r="F236" s="26"/>
      <c r="G236" s="27"/>
      <c r="H236" s="20"/>
      <c r="I236" s="21"/>
      <c r="J236" s="28"/>
      <c r="K236" s="19"/>
    </row>
    <row r="237" spans="1:11" ht="13.2">
      <c r="A237" s="22"/>
      <c r="B237" s="16"/>
      <c r="C237" s="23"/>
      <c r="D237" s="24"/>
      <c r="E237" s="25"/>
      <c r="F237" s="26"/>
      <c r="G237" s="27"/>
      <c r="H237" s="20"/>
      <c r="I237" s="21"/>
      <c r="J237" s="28"/>
      <c r="K237" s="19"/>
    </row>
    <row r="238" spans="1:11" ht="13.2">
      <c r="A238" s="22"/>
      <c r="B238" s="16"/>
      <c r="C238" s="23"/>
      <c r="D238" s="24"/>
      <c r="E238" s="25"/>
      <c r="F238" s="26"/>
      <c r="G238" s="27"/>
      <c r="H238" s="20"/>
      <c r="I238" s="21"/>
      <c r="J238" s="28"/>
      <c r="K238" s="19"/>
    </row>
    <row r="239" spans="1:11" ht="13.2">
      <c r="A239" s="22"/>
      <c r="B239" s="16"/>
      <c r="C239" s="23"/>
      <c r="D239" s="24"/>
      <c r="E239" s="25"/>
      <c r="F239" s="26"/>
      <c r="G239" s="27"/>
      <c r="H239" s="20"/>
      <c r="I239" s="21"/>
      <c r="J239" s="28"/>
      <c r="K239" s="19"/>
    </row>
    <row r="240" spans="1:11" ht="13.2">
      <c r="A240" s="22"/>
      <c r="B240" s="16"/>
      <c r="C240" s="23"/>
      <c r="D240" s="24"/>
      <c r="E240" s="25"/>
      <c r="F240" s="26"/>
      <c r="G240" s="27"/>
      <c r="H240" s="20"/>
      <c r="I240" s="21"/>
      <c r="J240" s="28"/>
      <c r="K240" s="19"/>
    </row>
    <row r="241" spans="1:11" ht="13.2">
      <c r="A241" s="22"/>
      <c r="B241" s="16"/>
      <c r="C241" s="23"/>
      <c r="D241" s="24"/>
      <c r="E241" s="25"/>
      <c r="F241" s="26"/>
      <c r="G241" s="27"/>
      <c r="H241" s="20"/>
      <c r="I241" s="21"/>
      <c r="J241" s="28"/>
      <c r="K241" s="19"/>
    </row>
    <row r="242" spans="1:11" ht="13.2">
      <c r="A242" s="22"/>
      <c r="B242" s="16"/>
      <c r="C242" s="23"/>
      <c r="D242" s="24"/>
      <c r="E242" s="25"/>
      <c r="F242" s="26"/>
      <c r="G242" s="27"/>
      <c r="H242" s="20"/>
      <c r="I242" s="21"/>
      <c r="J242" s="28"/>
      <c r="K242" s="19"/>
    </row>
    <row r="243" spans="1:11" ht="13.2">
      <c r="A243" s="22"/>
      <c r="B243" s="16"/>
      <c r="C243" s="23"/>
      <c r="D243" s="24"/>
      <c r="E243" s="25"/>
      <c r="F243" s="26"/>
      <c r="G243" s="27"/>
      <c r="H243" s="20"/>
      <c r="I243" s="21"/>
      <c r="J243" s="28"/>
      <c r="K243" s="19"/>
    </row>
    <row r="244" spans="1:11" ht="13.2">
      <c r="A244" s="22"/>
      <c r="B244" s="16"/>
      <c r="C244" s="23"/>
      <c r="D244" s="24"/>
      <c r="E244" s="25"/>
      <c r="F244" s="26"/>
      <c r="G244" s="27"/>
      <c r="H244" s="20"/>
      <c r="I244" s="21"/>
      <c r="J244" s="28"/>
      <c r="K244" s="19"/>
    </row>
    <row r="245" spans="1:11" ht="13.2">
      <c r="A245" s="22"/>
      <c r="B245" s="16"/>
      <c r="C245" s="23"/>
      <c r="D245" s="24"/>
      <c r="E245" s="25"/>
      <c r="F245" s="26"/>
      <c r="G245" s="27"/>
      <c r="H245" s="20"/>
      <c r="I245" s="21"/>
      <c r="J245" s="28"/>
      <c r="K245" s="19"/>
    </row>
    <row r="246" spans="1:11" ht="13.2">
      <c r="A246" s="22"/>
      <c r="B246" s="16"/>
      <c r="C246" s="23"/>
      <c r="D246" s="24"/>
      <c r="E246" s="25"/>
      <c r="F246" s="26"/>
      <c r="G246" s="27"/>
      <c r="H246" s="20"/>
      <c r="I246" s="21"/>
      <c r="J246" s="28"/>
      <c r="K246" s="19"/>
    </row>
    <row r="247" spans="1:11" ht="13.2">
      <c r="A247" s="22"/>
      <c r="B247" s="16"/>
      <c r="C247" s="23"/>
      <c r="D247" s="24"/>
      <c r="E247" s="25"/>
      <c r="F247" s="26"/>
      <c r="G247" s="27"/>
      <c r="H247" s="20"/>
      <c r="I247" s="21"/>
      <c r="J247" s="28"/>
      <c r="K247" s="19"/>
    </row>
    <row r="248" spans="1:11" ht="13.2">
      <c r="A248" s="22"/>
      <c r="B248" s="16"/>
      <c r="C248" s="23"/>
      <c r="D248" s="24"/>
      <c r="E248" s="25"/>
      <c r="F248" s="26"/>
      <c r="G248" s="27"/>
      <c r="H248" s="20"/>
      <c r="I248" s="21"/>
      <c r="J248" s="28"/>
      <c r="K248" s="19"/>
    </row>
    <row r="249" spans="1:11" ht="13.2">
      <c r="A249" s="22"/>
      <c r="B249" s="16"/>
      <c r="C249" s="23"/>
      <c r="D249" s="24"/>
      <c r="E249" s="25"/>
      <c r="F249" s="26"/>
      <c r="G249" s="27"/>
      <c r="H249" s="20"/>
      <c r="I249" s="21"/>
      <c r="J249" s="28"/>
      <c r="K249" s="19"/>
    </row>
    <row r="250" spans="1:11" ht="13.2">
      <c r="A250" s="22"/>
      <c r="B250" s="16"/>
      <c r="C250" s="23"/>
      <c r="D250" s="24"/>
      <c r="E250" s="25"/>
      <c r="F250" s="26"/>
      <c r="G250" s="27"/>
      <c r="H250" s="20"/>
      <c r="I250" s="21"/>
      <c r="J250" s="28"/>
      <c r="K250" s="19"/>
    </row>
    <row r="251" spans="1:11" ht="13.2">
      <c r="A251" s="22"/>
      <c r="B251" s="16"/>
      <c r="C251" s="23"/>
      <c r="D251" s="24"/>
      <c r="E251" s="25"/>
      <c r="F251" s="26"/>
      <c r="G251" s="27"/>
      <c r="H251" s="20"/>
      <c r="I251" s="21"/>
      <c r="J251" s="28"/>
      <c r="K251" s="19"/>
    </row>
    <row r="252" spans="1:11" ht="13.2">
      <c r="A252" s="22"/>
      <c r="B252" s="16"/>
      <c r="C252" s="23"/>
      <c r="D252" s="24"/>
      <c r="E252" s="25"/>
      <c r="F252" s="26"/>
      <c r="G252" s="27"/>
      <c r="H252" s="20"/>
      <c r="I252" s="21"/>
      <c r="J252" s="28"/>
      <c r="K252" s="19"/>
    </row>
    <row r="253" spans="1:11" ht="13.2">
      <c r="A253" s="22"/>
      <c r="B253" s="16"/>
      <c r="C253" s="23"/>
      <c r="D253" s="24"/>
      <c r="E253" s="25"/>
      <c r="F253" s="26"/>
      <c r="G253" s="27"/>
      <c r="H253" s="20"/>
      <c r="I253" s="21"/>
      <c r="J253" s="28"/>
      <c r="K253" s="19"/>
    </row>
    <row r="254" spans="1:11" ht="13.2">
      <c r="A254" s="22"/>
      <c r="B254" s="16"/>
      <c r="C254" s="23"/>
      <c r="D254" s="24"/>
      <c r="E254" s="25"/>
      <c r="F254" s="26"/>
      <c r="G254" s="27"/>
      <c r="H254" s="20"/>
      <c r="I254" s="21"/>
      <c r="J254" s="28"/>
      <c r="K254" s="19"/>
    </row>
    <row r="255" spans="1:11" ht="13.2">
      <c r="A255" s="22"/>
      <c r="B255" s="16"/>
      <c r="C255" s="23"/>
      <c r="D255" s="24"/>
      <c r="E255" s="25"/>
      <c r="F255" s="26"/>
      <c r="G255" s="27"/>
      <c r="H255" s="20"/>
      <c r="I255" s="21"/>
      <c r="J255" s="28"/>
      <c r="K255" s="19"/>
    </row>
    <row r="256" spans="1:11" ht="13.2">
      <c r="A256" s="22"/>
      <c r="B256" s="16"/>
      <c r="C256" s="23"/>
      <c r="D256" s="24"/>
      <c r="E256" s="25"/>
      <c r="F256" s="26"/>
      <c r="G256" s="27"/>
      <c r="H256" s="20"/>
      <c r="I256" s="21"/>
      <c r="J256" s="28"/>
      <c r="K256" s="19"/>
    </row>
    <row r="257" spans="1:11" ht="13.2">
      <c r="A257" s="22"/>
      <c r="B257" s="16"/>
      <c r="C257" s="23"/>
      <c r="D257" s="24"/>
      <c r="E257" s="25"/>
      <c r="F257" s="26"/>
      <c r="G257" s="27"/>
      <c r="H257" s="20"/>
      <c r="I257" s="21"/>
      <c r="J257" s="28"/>
      <c r="K257" s="19"/>
    </row>
    <row r="258" spans="1:11" ht="13.2">
      <c r="A258" s="22"/>
      <c r="B258" s="16"/>
      <c r="C258" s="23"/>
      <c r="D258" s="24"/>
      <c r="E258" s="25"/>
      <c r="F258" s="26"/>
      <c r="G258" s="27"/>
      <c r="H258" s="20"/>
      <c r="I258" s="21"/>
      <c r="J258" s="28"/>
      <c r="K258" s="19"/>
    </row>
    <row r="259" spans="1:11" ht="13.2">
      <c r="A259" s="22"/>
      <c r="B259" s="16"/>
      <c r="C259" s="23"/>
      <c r="D259" s="24"/>
      <c r="E259" s="25"/>
      <c r="F259" s="26"/>
      <c r="G259" s="27"/>
      <c r="H259" s="20"/>
      <c r="I259" s="21"/>
      <c r="J259" s="28"/>
      <c r="K259" s="19"/>
    </row>
    <row r="260" spans="1:11" ht="13.2">
      <c r="A260" s="22"/>
      <c r="B260" s="16"/>
      <c r="C260" s="23"/>
      <c r="D260" s="24"/>
      <c r="E260" s="25"/>
      <c r="F260" s="26"/>
      <c r="G260" s="27"/>
      <c r="H260" s="20"/>
      <c r="I260" s="21"/>
      <c r="J260" s="28"/>
      <c r="K260" s="19"/>
    </row>
    <row r="261" spans="1:11" ht="13.2">
      <c r="A261" s="22"/>
      <c r="B261" s="16"/>
      <c r="C261" s="23"/>
      <c r="D261" s="24"/>
      <c r="E261" s="25"/>
      <c r="F261" s="26"/>
      <c r="G261" s="27"/>
      <c r="H261" s="20"/>
      <c r="I261" s="21"/>
      <c r="J261" s="28"/>
      <c r="K261" s="19"/>
    </row>
    <row r="262" spans="1:11" ht="13.2">
      <c r="A262" s="22"/>
      <c r="B262" s="16"/>
      <c r="C262" s="23"/>
      <c r="D262" s="24"/>
      <c r="E262" s="25"/>
      <c r="F262" s="26"/>
      <c r="G262" s="27"/>
      <c r="H262" s="20"/>
      <c r="I262" s="21"/>
      <c r="J262" s="28"/>
      <c r="K262" s="19"/>
    </row>
    <row r="263" spans="1:11" ht="13.2">
      <c r="A263" s="22"/>
      <c r="B263" s="16"/>
      <c r="C263" s="23"/>
      <c r="D263" s="24"/>
      <c r="E263" s="25"/>
      <c r="F263" s="26"/>
      <c r="G263" s="27"/>
      <c r="H263" s="20"/>
      <c r="I263" s="21"/>
      <c r="J263" s="28"/>
      <c r="K263" s="19"/>
    </row>
    <row r="264" spans="1:11" ht="13.2">
      <c r="A264" s="22"/>
      <c r="B264" s="16"/>
      <c r="C264" s="23"/>
      <c r="D264" s="24"/>
      <c r="E264" s="25"/>
      <c r="F264" s="26"/>
      <c r="G264" s="27"/>
      <c r="H264" s="20"/>
      <c r="I264" s="21"/>
      <c r="J264" s="28"/>
      <c r="K264" s="19"/>
    </row>
    <row r="265" spans="1:11" ht="13.2">
      <c r="A265" s="22"/>
      <c r="B265" s="16"/>
      <c r="C265" s="23"/>
      <c r="D265" s="24"/>
      <c r="E265" s="25"/>
      <c r="F265" s="26"/>
      <c r="G265" s="27"/>
      <c r="H265" s="20"/>
      <c r="I265" s="21"/>
      <c r="J265" s="28"/>
      <c r="K265" s="19"/>
    </row>
    <row r="266" spans="1:11" ht="13.2">
      <c r="A266" s="22"/>
      <c r="B266" s="16"/>
      <c r="C266" s="23"/>
      <c r="D266" s="24"/>
      <c r="E266" s="25"/>
      <c r="F266" s="26"/>
      <c r="G266" s="27"/>
      <c r="H266" s="20"/>
      <c r="I266" s="21"/>
      <c r="J266" s="28"/>
      <c r="K266" s="19"/>
    </row>
    <row r="267" spans="1:11" ht="13.2">
      <c r="A267" s="22"/>
      <c r="B267" s="16"/>
      <c r="C267" s="23"/>
      <c r="D267" s="24"/>
      <c r="E267" s="25"/>
      <c r="F267" s="26"/>
      <c r="G267" s="27"/>
      <c r="H267" s="20"/>
      <c r="I267" s="21"/>
      <c r="J267" s="28"/>
      <c r="K267" s="19"/>
    </row>
    <row r="268" spans="1:11" ht="13.2">
      <c r="A268" s="22"/>
      <c r="B268" s="16"/>
      <c r="C268" s="23"/>
      <c r="D268" s="24"/>
      <c r="E268" s="25"/>
      <c r="F268" s="26"/>
      <c r="G268" s="27"/>
      <c r="H268" s="20"/>
      <c r="I268" s="21"/>
      <c r="J268" s="28"/>
      <c r="K268" s="19"/>
    </row>
    <row r="269" spans="1:11" ht="13.2">
      <c r="A269" s="22"/>
      <c r="B269" s="16"/>
      <c r="C269" s="23"/>
      <c r="D269" s="24"/>
      <c r="E269" s="25"/>
      <c r="F269" s="26"/>
      <c r="G269" s="27"/>
      <c r="H269" s="20"/>
      <c r="I269" s="21"/>
      <c r="J269" s="28"/>
      <c r="K269" s="19"/>
    </row>
    <row r="270" spans="1:11" ht="13.2">
      <c r="A270" s="22"/>
      <c r="B270" s="16"/>
      <c r="C270" s="23"/>
      <c r="D270" s="24"/>
      <c r="E270" s="25"/>
      <c r="F270" s="26"/>
      <c r="G270" s="27"/>
      <c r="H270" s="20"/>
      <c r="I270" s="21"/>
      <c r="J270" s="28"/>
      <c r="K270" s="19"/>
    </row>
    <row r="271" spans="1:11" ht="13.2">
      <c r="A271" s="22"/>
      <c r="B271" s="16"/>
      <c r="C271" s="23"/>
      <c r="D271" s="24"/>
      <c r="E271" s="25"/>
      <c r="F271" s="26"/>
      <c r="G271" s="27"/>
      <c r="H271" s="20"/>
      <c r="I271" s="21"/>
      <c r="J271" s="28"/>
      <c r="K271" s="19"/>
    </row>
    <row r="272" spans="1:11" ht="13.2">
      <c r="A272" s="22"/>
      <c r="B272" s="16"/>
      <c r="C272" s="23"/>
      <c r="D272" s="24"/>
      <c r="E272" s="25"/>
      <c r="F272" s="26"/>
      <c r="G272" s="27"/>
      <c r="H272" s="20"/>
      <c r="I272" s="21"/>
      <c r="J272" s="28"/>
      <c r="K272" s="19"/>
    </row>
    <row r="273" spans="1:11" ht="13.2">
      <c r="A273" s="22"/>
      <c r="B273" s="16"/>
      <c r="C273" s="23"/>
      <c r="D273" s="24"/>
      <c r="E273" s="25"/>
      <c r="F273" s="26"/>
      <c r="G273" s="27"/>
      <c r="H273" s="20"/>
      <c r="I273" s="21"/>
      <c r="J273" s="28"/>
      <c r="K273" s="19"/>
    </row>
    <row r="274" spans="1:11" ht="13.2">
      <c r="A274" s="22"/>
      <c r="B274" s="16"/>
      <c r="C274" s="23"/>
      <c r="D274" s="24"/>
      <c r="E274" s="25"/>
      <c r="F274" s="26"/>
      <c r="G274" s="27"/>
      <c r="H274" s="20"/>
      <c r="I274" s="21"/>
      <c r="J274" s="28"/>
      <c r="K274" s="19"/>
    </row>
    <row r="275" spans="1:11" ht="13.2">
      <c r="A275" s="22"/>
      <c r="B275" s="16"/>
      <c r="C275" s="23"/>
      <c r="D275" s="24"/>
      <c r="E275" s="25"/>
      <c r="F275" s="26"/>
      <c r="G275" s="27"/>
      <c r="H275" s="20"/>
      <c r="I275" s="21"/>
      <c r="J275" s="28"/>
      <c r="K275" s="19"/>
    </row>
    <row r="276" spans="1:11" ht="13.2">
      <c r="A276" s="22"/>
      <c r="B276" s="16"/>
      <c r="C276" s="23"/>
      <c r="D276" s="24"/>
      <c r="E276" s="25"/>
      <c r="F276" s="26"/>
      <c r="G276" s="27"/>
      <c r="H276" s="20"/>
      <c r="I276" s="21"/>
      <c r="J276" s="28"/>
      <c r="K276" s="19"/>
    </row>
    <row r="277" spans="1:11" ht="13.2">
      <c r="A277" s="22"/>
      <c r="B277" s="16"/>
      <c r="C277" s="23"/>
      <c r="D277" s="24"/>
      <c r="E277" s="25"/>
      <c r="F277" s="26"/>
      <c r="G277" s="27"/>
      <c r="H277" s="20"/>
      <c r="I277" s="21"/>
      <c r="J277" s="28"/>
      <c r="K277" s="19"/>
    </row>
    <row r="278" spans="1:11" ht="13.2">
      <c r="A278" s="22"/>
      <c r="B278" s="16"/>
      <c r="C278" s="23"/>
      <c r="D278" s="24"/>
      <c r="E278" s="25"/>
      <c r="F278" s="26"/>
      <c r="G278" s="27"/>
      <c r="H278" s="20"/>
      <c r="I278" s="21"/>
      <c r="J278" s="28"/>
      <c r="K278" s="19"/>
    </row>
    <row r="279" spans="1:11" ht="13.2">
      <c r="A279" s="22"/>
      <c r="B279" s="16"/>
      <c r="C279" s="23"/>
      <c r="D279" s="24"/>
      <c r="E279" s="25"/>
      <c r="F279" s="26"/>
      <c r="G279" s="27"/>
      <c r="H279" s="20"/>
      <c r="I279" s="21"/>
      <c r="J279" s="28"/>
      <c r="K279" s="19"/>
    </row>
    <row r="280" spans="1:11" ht="13.2">
      <c r="A280" s="22"/>
      <c r="B280" s="16"/>
      <c r="C280" s="23"/>
      <c r="D280" s="24"/>
      <c r="E280" s="25"/>
      <c r="F280" s="26"/>
      <c r="G280" s="27"/>
      <c r="H280" s="20"/>
      <c r="I280" s="21"/>
      <c r="J280" s="28"/>
      <c r="K280" s="19"/>
    </row>
    <row r="281" spans="1:11" ht="13.2">
      <c r="A281" s="22"/>
      <c r="B281" s="16"/>
      <c r="C281" s="23"/>
      <c r="D281" s="24"/>
      <c r="E281" s="25"/>
      <c r="F281" s="26"/>
      <c r="G281" s="27"/>
      <c r="H281" s="20"/>
      <c r="I281" s="21"/>
      <c r="J281" s="28"/>
      <c r="K281" s="19"/>
    </row>
    <row r="282" spans="1:11" ht="13.2">
      <c r="A282" s="22"/>
      <c r="B282" s="16"/>
      <c r="C282" s="23"/>
      <c r="D282" s="24"/>
      <c r="E282" s="25"/>
      <c r="F282" s="26"/>
      <c r="G282" s="27"/>
      <c r="H282" s="20"/>
      <c r="I282" s="21"/>
      <c r="J282" s="28"/>
      <c r="K282" s="19"/>
    </row>
    <row r="283" spans="1:11" ht="13.2">
      <c r="A283" s="22"/>
      <c r="B283" s="16"/>
      <c r="C283" s="23"/>
      <c r="D283" s="24"/>
      <c r="E283" s="25"/>
      <c r="F283" s="26"/>
      <c r="G283" s="27"/>
      <c r="H283" s="20"/>
      <c r="I283" s="21"/>
      <c r="J283" s="28"/>
      <c r="K283" s="19"/>
    </row>
    <row r="284" spans="1:11" ht="13.2">
      <c r="A284" s="22"/>
      <c r="B284" s="16"/>
      <c r="C284" s="23"/>
      <c r="D284" s="24"/>
      <c r="E284" s="25"/>
      <c r="F284" s="26"/>
      <c r="G284" s="27"/>
      <c r="H284" s="20"/>
      <c r="I284" s="21"/>
      <c r="J284" s="28"/>
      <c r="K284" s="19"/>
    </row>
    <row r="285" spans="1:11" ht="13.2">
      <c r="A285" s="22"/>
      <c r="B285" s="16"/>
      <c r="C285" s="23"/>
      <c r="D285" s="24"/>
      <c r="E285" s="25"/>
      <c r="F285" s="26"/>
      <c r="G285" s="27"/>
      <c r="H285" s="20"/>
      <c r="I285" s="21"/>
      <c r="J285" s="28"/>
      <c r="K285" s="19"/>
    </row>
    <row r="286" spans="1:11" ht="13.2">
      <c r="A286" s="22"/>
      <c r="B286" s="16"/>
      <c r="C286" s="23"/>
      <c r="D286" s="24"/>
      <c r="E286" s="25"/>
      <c r="F286" s="26"/>
      <c r="G286" s="27"/>
      <c r="H286" s="20"/>
      <c r="I286" s="21"/>
      <c r="J286" s="28"/>
      <c r="K286" s="19"/>
    </row>
    <row r="287" spans="1:11" ht="13.2">
      <c r="A287" s="22"/>
      <c r="B287" s="16"/>
      <c r="C287" s="23"/>
      <c r="D287" s="24"/>
      <c r="E287" s="25"/>
      <c r="F287" s="26"/>
      <c r="G287" s="27"/>
      <c r="H287" s="20"/>
      <c r="I287" s="21"/>
      <c r="J287" s="28"/>
      <c r="K287" s="19"/>
    </row>
    <row r="288" spans="1:11" ht="13.2">
      <c r="A288" s="22"/>
      <c r="B288" s="16"/>
      <c r="C288" s="23"/>
      <c r="D288" s="24"/>
      <c r="E288" s="25"/>
      <c r="F288" s="26"/>
      <c r="G288" s="27"/>
      <c r="H288" s="20"/>
      <c r="I288" s="21"/>
      <c r="J288" s="28"/>
      <c r="K288" s="19"/>
    </row>
    <row r="289" spans="1:11" ht="13.2">
      <c r="A289" s="22"/>
      <c r="B289" s="16"/>
      <c r="C289" s="23"/>
      <c r="D289" s="24"/>
      <c r="E289" s="25"/>
      <c r="F289" s="26"/>
      <c r="G289" s="27"/>
      <c r="H289" s="20"/>
      <c r="I289" s="21"/>
      <c r="J289" s="28"/>
      <c r="K289" s="19"/>
    </row>
    <row r="290" spans="1:11" ht="13.2">
      <c r="A290" s="22"/>
      <c r="B290" s="16"/>
      <c r="C290" s="23"/>
      <c r="D290" s="24"/>
      <c r="E290" s="25"/>
      <c r="F290" s="26"/>
      <c r="G290" s="27"/>
      <c r="H290" s="20"/>
      <c r="I290" s="21"/>
      <c r="J290" s="28"/>
      <c r="K290" s="19"/>
    </row>
    <row r="291" spans="1:11" ht="13.2">
      <c r="A291" s="22"/>
      <c r="B291" s="16"/>
      <c r="C291" s="23"/>
      <c r="D291" s="24"/>
      <c r="E291" s="25"/>
      <c r="F291" s="26"/>
      <c r="G291" s="27"/>
      <c r="H291" s="20"/>
      <c r="I291" s="21"/>
      <c r="J291" s="28"/>
      <c r="K291" s="19"/>
    </row>
    <row r="292" spans="1:11" ht="13.2">
      <c r="A292" s="22"/>
      <c r="B292" s="16"/>
      <c r="C292" s="23"/>
      <c r="D292" s="24"/>
      <c r="E292" s="25"/>
      <c r="F292" s="26"/>
      <c r="G292" s="27"/>
      <c r="H292" s="20"/>
      <c r="I292" s="21"/>
      <c r="J292" s="28"/>
      <c r="K292" s="19"/>
    </row>
    <row r="293" spans="1:11" ht="13.2">
      <c r="A293" s="22"/>
      <c r="B293" s="16"/>
      <c r="C293" s="23"/>
      <c r="D293" s="24"/>
      <c r="E293" s="25"/>
      <c r="F293" s="26"/>
      <c r="G293" s="27"/>
      <c r="H293" s="20"/>
      <c r="I293" s="21"/>
      <c r="J293" s="28"/>
      <c r="K293" s="19"/>
    </row>
    <row r="294" spans="1:11" ht="13.2">
      <c r="A294" s="22"/>
      <c r="B294" s="16"/>
      <c r="C294" s="23"/>
      <c r="D294" s="24"/>
      <c r="E294" s="25"/>
      <c r="F294" s="26"/>
      <c r="G294" s="27"/>
      <c r="H294" s="20"/>
      <c r="I294" s="21"/>
      <c r="J294" s="28"/>
      <c r="K294" s="19"/>
    </row>
    <row r="295" spans="1:11" ht="13.2">
      <c r="A295" s="22"/>
      <c r="B295" s="16"/>
      <c r="C295" s="23"/>
      <c r="D295" s="24"/>
      <c r="E295" s="25"/>
      <c r="F295" s="26"/>
      <c r="G295" s="27"/>
      <c r="H295" s="20"/>
      <c r="I295" s="21"/>
      <c r="J295" s="28"/>
      <c r="K295" s="19"/>
    </row>
    <row r="296" spans="1:11" ht="13.2">
      <c r="A296" s="22"/>
      <c r="B296" s="16"/>
      <c r="C296" s="23"/>
      <c r="D296" s="24"/>
      <c r="E296" s="25"/>
      <c r="F296" s="26"/>
      <c r="G296" s="27"/>
      <c r="H296" s="20"/>
      <c r="I296" s="21"/>
      <c r="J296" s="28"/>
      <c r="K296" s="19"/>
    </row>
    <row r="297" spans="1:11" ht="13.2">
      <c r="A297" s="22"/>
      <c r="B297" s="16"/>
      <c r="C297" s="23"/>
      <c r="D297" s="24"/>
      <c r="E297" s="25"/>
      <c r="F297" s="26"/>
      <c r="G297" s="27"/>
      <c r="H297" s="20"/>
      <c r="I297" s="21"/>
      <c r="J297" s="28"/>
      <c r="K297" s="19"/>
    </row>
    <row r="298" spans="1:11" ht="13.2">
      <c r="A298" s="22"/>
      <c r="B298" s="16"/>
      <c r="C298" s="23"/>
      <c r="D298" s="24"/>
      <c r="E298" s="25"/>
      <c r="F298" s="26"/>
      <c r="G298" s="27"/>
      <c r="H298" s="20"/>
      <c r="I298" s="21"/>
      <c r="J298" s="28"/>
      <c r="K298" s="19"/>
    </row>
    <row r="299" spans="1:11" ht="13.2">
      <c r="A299" s="22"/>
      <c r="B299" s="16"/>
      <c r="C299" s="23"/>
      <c r="D299" s="24"/>
      <c r="E299" s="25"/>
      <c r="F299" s="26"/>
      <c r="G299" s="27"/>
      <c r="H299" s="20"/>
      <c r="I299" s="21"/>
      <c r="J299" s="28"/>
      <c r="K299" s="19"/>
    </row>
    <row r="300" spans="1:11" ht="13.2">
      <c r="A300" s="22"/>
      <c r="B300" s="16"/>
      <c r="C300" s="23"/>
      <c r="D300" s="24"/>
      <c r="E300" s="25"/>
      <c r="F300" s="26"/>
      <c r="G300" s="27"/>
      <c r="H300" s="20"/>
      <c r="I300" s="21"/>
      <c r="J300" s="28"/>
      <c r="K300" s="19"/>
    </row>
    <row r="301" spans="1:11" ht="13.2">
      <c r="A301" s="22"/>
      <c r="B301" s="16"/>
      <c r="C301" s="23"/>
      <c r="D301" s="24"/>
      <c r="E301" s="25"/>
      <c r="F301" s="26"/>
      <c r="G301" s="27"/>
      <c r="H301" s="20"/>
      <c r="I301" s="21"/>
      <c r="J301" s="28"/>
      <c r="K301" s="19"/>
    </row>
    <row r="302" spans="1:11" ht="13.2">
      <c r="A302" s="22"/>
      <c r="B302" s="16"/>
      <c r="C302" s="23"/>
      <c r="D302" s="24"/>
      <c r="E302" s="25"/>
      <c r="F302" s="26"/>
      <c r="G302" s="27"/>
      <c r="H302" s="20"/>
      <c r="I302" s="21"/>
      <c r="J302" s="28"/>
      <c r="K302" s="19"/>
    </row>
    <row r="303" spans="1:11" ht="13.2">
      <c r="A303" s="22"/>
      <c r="B303" s="16"/>
      <c r="C303" s="23"/>
      <c r="D303" s="24"/>
      <c r="E303" s="25"/>
      <c r="F303" s="26"/>
      <c r="G303" s="27"/>
      <c r="H303" s="20"/>
      <c r="I303" s="21"/>
      <c r="J303" s="28"/>
      <c r="K303" s="19"/>
    </row>
    <row r="304" spans="1:11" ht="13.2">
      <c r="A304" s="22"/>
      <c r="B304" s="16"/>
      <c r="C304" s="23"/>
      <c r="D304" s="24"/>
      <c r="E304" s="25"/>
      <c r="F304" s="26"/>
      <c r="G304" s="27"/>
      <c r="H304" s="20"/>
      <c r="I304" s="21"/>
      <c r="J304" s="28"/>
      <c r="K304" s="19"/>
    </row>
    <row r="305" spans="1:11" ht="13.2">
      <c r="A305" s="22"/>
      <c r="B305" s="16"/>
      <c r="C305" s="23"/>
      <c r="D305" s="24"/>
      <c r="E305" s="25"/>
      <c r="F305" s="26"/>
      <c r="G305" s="27"/>
      <c r="H305" s="20"/>
      <c r="I305" s="21"/>
      <c r="J305" s="28"/>
      <c r="K305" s="19"/>
    </row>
    <row r="306" spans="1:11" ht="13.2">
      <c r="A306" s="22"/>
      <c r="B306" s="16"/>
      <c r="C306" s="23"/>
      <c r="D306" s="24"/>
      <c r="E306" s="25"/>
      <c r="F306" s="26"/>
      <c r="G306" s="27"/>
      <c r="H306" s="20"/>
      <c r="I306" s="21"/>
      <c r="J306" s="28"/>
      <c r="K306" s="19"/>
    </row>
    <row r="307" spans="1:11" ht="13.2">
      <c r="A307" s="22"/>
      <c r="B307" s="16"/>
      <c r="C307" s="23"/>
      <c r="D307" s="24"/>
      <c r="E307" s="25"/>
      <c r="F307" s="26"/>
      <c r="G307" s="27"/>
      <c r="H307" s="20"/>
      <c r="I307" s="21"/>
      <c r="J307" s="28"/>
      <c r="K307" s="19"/>
    </row>
    <row r="308" spans="1:11" ht="13.2">
      <c r="A308" s="22"/>
      <c r="B308" s="16"/>
      <c r="C308" s="23"/>
      <c r="D308" s="24"/>
      <c r="E308" s="25"/>
      <c r="F308" s="26"/>
      <c r="G308" s="27"/>
      <c r="H308" s="20"/>
      <c r="I308" s="21"/>
      <c r="J308" s="28"/>
      <c r="K308" s="19"/>
    </row>
    <row r="309" spans="1:11" ht="13.2">
      <c r="A309" s="22"/>
      <c r="B309" s="16"/>
      <c r="C309" s="23"/>
      <c r="D309" s="24"/>
      <c r="E309" s="25"/>
      <c r="F309" s="26"/>
      <c r="G309" s="27"/>
      <c r="H309" s="20"/>
      <c r="I309" s="21"/>
      <c r="J309" s="28"/>
      <c r="K309" s="19"/>
    </row>
    <row r="310" spans="1:11" ht="13.2">
      <c r="A310" s="22"/>
      <c r="B310" s="16"/>
      <c r="C310" s="23"/>
      <c r="D310" s="24"/>
      <c r="E310" s="25"/>
      <c r="F310" s="26"/>
      <c r="G310" s="27"/>
      <c r="H310" s="20"/>
      <c r="I310" s="21"/>
      <c r="J310" s="28"/>
      <c r="K310" s="19"/>
    </row>
    <row r="311" spans="1:11" ht="13.2">
      <c r="A311" s="22"/>
      <c r="B311" s="16"/>
      <c r="C311" s="23"/>
      <c r="D311" s="24"/>
      <c r="E311" s="25"/>
      <c r="F311" s="26"/>
      <c r="G311" s="27"/>
      <c r="H311" s="20"/>
      <c r="I311" s="21"/>
      <c r="J311" s="28"/>
      <c r="K311" s="19"/>
    </row>
    <row r="312" spans="1:11" ht="13.2">
      <c r="A312" s="22"/>
      <c r="B312" s="16"/>
      <c r="C312" s="23"/>
      <c r="D312" s="24"/>
      <c r="E312" s="25"/>
      <c r="F312" s="26"/>
      <c r="G312" s="27"/>
      <c r="H312" s="20"/>
      <c r="I312" s="21"/>
      <c r="J312" s="28"/>
      <c r="K312" s="19"/>
    </row>
    <row r="313" spans="1:11" ht="13.2">
      <c r="A313" s="22"/>
      <c r="B313" s="16"/>
      <c r="C313" s="23"/>
      <c r="D313" s="24"/>
      <c r="E313" s="25"/>
      <c r="F313" s="26"/>
      <c r="G313" s="27"/>
      <c r="H313" s="20"/>
      <c r="I313" s="21"/>
      <c r="J313" s="28"/>
      <c r="K313" s="19"/>
    </row>
    <row r="314" spans="1:11" ht="13.2">
      <c r="A314" s="22"/>
      <c r="B314" s="16"/>
      <c r="C314" s="23"/>
      <c r="D314" s="24"/>
      <c r="E314" s="25"/>
      <c r="F314" s="26"/>
      <c r="G314" s="27"/>
      <c r="H314" s="20"/>
      <c r="I314" s="21"/>
      <c r="J314" s="28"/>
      <c r="K314" s="19"/>
    </row>
    <row r="315" spans="1:11" ht="13.2">
      <c r="A315" s="22"/>
      <c r="B315" s="16"/>
      <c r="C315" s="23"/>
      <c r="D315" s="24"/>
      <c r="E315" s="25"/>
      <c r="F315" s="26"/>
      <c r="G315" s="27"/>
      <c r="H315" s="20"/>
      <c r="I315" s="21"/>
      <c r="J315" s="28"/>
      <c r="K315" s="19"/>
    </row>
    <row r="316" spans="1:11" ht="13.2">
      <c r="A316" s="22"/>
      <c r="B316" s="16"/>
      <c r="C316" s="23"/>
      <c r="D316" s="24"/>
      <c r="E316" s="25"/>
      <c r="F316" s="26"/>
      <c r="G316" s="27"/>
      <c r="H316" s="20"/>
      <c r="I316" s="21"/>
      <c r="J316" s="28"/>
      <c r="K316" s="19"/>
    </row>
    <row r="317" spans="1:11" ht="13.2">
      <c r="A317" s="22"/>
      <c r="B317" s="16"/>
      <c r="C317" s="23"/>
      <c r="D317" s="24"/>
      <c r="E317" s="25"/>
      <c r="F317" s="26"/>
      <c r="G317" s="27"/>
      <c r="H317" s="20"/>
      <c r="I317" s="21"/>
      <c r="J317" s="28"/>
      <c r="K317" s="19"/>
    </row>
    <row r="318" spans="1:11" ht="13.2">
      <c r="A318" s="22"/>
      <c r="B318" s="16"/>
      <c r="C318" s="23"/>
      <c r="D318" s="24"/>
      <c r="E318" s="25"/>
      <c r="F318" s="26"/>
      <c r="G318" s="27"/>
      <c r="H318" s="20"/>
      <c r="I318" s="21"/>
      <c r="J318" s="28"/>
      <c r="K318" s="19"/>
    </row>
    <row r="319" spans="1:11" ht="13.2">
      <c r="A319" s="22"/>
      <c r="B319" s="16"/>
      <c r="C319" s="23"/>
      <c r="D319" s="24"/>
      <c r="E319" s="25"/>
      <c r="F319" s="26"/>
      <c r="G319" s="27"/>
      <c r="H319" s="20"/>
      <c r="I319" s="21"/>
      <c r="J319" s="28"/>
      <c r="K319" s="19"/>
    </row>
    <row r="320" spans="1:11" ht="13.2">
      <c r="A320" s="22"/>
      <c r="B320" s="16"/>
      <c r="C320" s="23"/>
      <c r="D320" s="24"/>
      <c r="E320" s="25"/>
      <c r="F320" s="26"/>
      <c r="G320" s="27"/>
      <c r="H320" s="20"/>
      <c r="I320" s="21"/>
      <c r="J320" s="28"/>
      <c r="K320" s="19"/>
    </row>
    <row r="321" spans="1:11" ht="13.2">
      <c r="A321" s="22"/>
      <c r="B321" s="16"/>
      <c r="C321" s="23"/>
      <c r="D321" s="24"/>
      <c r="E321" s="25"/>
      <c r="F321" s="26"/>
      <c r="G321" s="27"/>
      <c r="H321" s="20"/>
      <c r="I321" s="21"/>
      <c r="J321" s="28"/>
      <c r="K321" s="19"/>
    </row>
    <row r="322" spans="1:11" ht="13.2">
      <c r="A322" s="22"/>
      <c r="B322" s="16"/>
      <c r="C322" s="23"/>
      <c r="D322" s="24"/>
      <c r="E322" s="25"/>
      <c r="F322" s="26"/>
      <c r="G322" s="27"/>
      <c r="H322" s="20"/>
      <c r="I322" s="21"/>
      <c r="J322" s="28"/>
      <c r="K322" s="19"/>
    </row>
    <row r="323" spans="1:11" ht="13.2">
      <c r="A323" s="22"/>
      <c r="B323" s="16"/>
      <c r="C323" s="23"/>
      <c r="D323" s="24"/>
      <c r="E323" s="25"/>
      <c r="F323" s="26"/>
      <c r="G323" s="27"/>
      <c r="H323" s="20"/>
      <c r="I323" s="21"/>
      <c r="J323" s="28"/>
      <c r="K323" s="19"/>
    </row>
    <row r="324" spans="1:11" ht="13.2">
      <c r="A324" s="22"/>
      <c r="B324" s="16"/>
      <c r="C324" s="23"/>
      <c r="D324" s="24"/>
      <c r="E324" s="25"/>
      <c r="F324" s="26"/>
      <c r="G324" s="27"/>
      <c r="H324" s="20"/>
      <c r="I324" s="21"/>
      <c r="J324" s="28"/>
      <c r="K324" s="19"/>
    </row>
    <row r="325" spans="1:11" ht="13.2">
      <c r="A325" s="22"/>
      <c r="B325" s="16"/>
      <c r="C325" s="23"/>
      <c r="D325" s="24"/>
      <c r="E325" s="25"/>
      <c r="F325" s="26"/>
      <c r="G325" s="27"/>
      <c r="H325" s="20"/>
      <c r="I325" s="21"/>
      <c r="J325" s="28"/>
      <c r="K325" s="19"/>
    </row>
    <row r="326" spans="1:11" ht="13.2">
      <c r="A326" s="22"/>
      <c r="B326" s="16"/>
      <c r="C326" s="23"/>
      <c r="D326" s="24"/>
      <c r="E326" s="25"/>
      <c r="F326" s="26"/>
      <c r="G326" s="27"/>
      <c r="H326" s="20"/>
      <c r="I326" s="21"/>
      <c r="J326" s="28"/>
      <c r="K326" s="19"/>
    </row>
    <row r="327" spans="1:11" ht="13.2">
      <c r="A327" s="22"/>
      <c r="B327" s="16"/>
      <c r="C327" s="23"/>
      <c r="D327" s="24"/>
      <c r="E327" s="25"/>
      <c r="F327" s="26"/>
      <c r="G327" s="27"/>
      <c r="H327" s="20"/>
      <c r="I327" s="21"/>
      <c r="J327" s="28"/>
      <c r="K327" s="19"/>
    </row>
    <row r="328" spans="1:11" ht="13.2">
      <c r="A328" s="22"/>
      <c r="B328" s="16"/>
      <c r="C328" s="23"/>
      <c r="D328" s="24"/>
      <c r="E328" s="25"/>
      <c r="F328" s="26"/>
      <c r="G328" s="27"/>
      <c r="H328" s="20"/>
      <c r="I328" s="21"/>
      <c r="J328" s="28"/>
      <c r="K328" s="19"/>
    </row>
    <row r="329" spans="1:11" ht="13.2">
      <c r="A329" s="22"/>
      <c r="B329" s="16"/>
      <c r="C329" s="23"/>
      <c r="D329" s="24"/>
      <c r="E329" s="25"/>
      <c r="F329" s="26"/>
      <c r="G329" s="27"/>
      <c r="H329" s="20"/>
      <c r="I329" s="21"/>
      <c r="J329" s="28"/>
      <c r="K329" s="19"/>
    </row>
    <row r="330" spans="1:11" ht="13.2">
      <c r="A330" s="22"/>
      <c r="B330" s="16"/>
      <c r="C330" s="23"/>
      <c r="D330" s="24"/>
      <c r="E330" s="25"/>
      <c r="F330" s="26"/>
      <c r="G330" s="27"/>
      <c r="H330" s="20"/>
      <c r="I330" s="21"/>
      <c r="J330" s="28"/>
      <c r="K330" s="19"/>
    </row>
    <row r="331" spans="1:11" ht="13.2">
      <c r="A331" s="22"/>
      <c r="B331" s="16"/>
      <c r="C331" s="23"/>
      <c r="D331" s="24"/>
      <c r="E331" s="25"/>
      <c r="F331" s="26"/>
      <c r="G331" s="27"/>
      <c r="H331" s="20"/>
      <c r="I331" s="21"/>
      <c r="J331" s="28"/>
      <c r="K331" s="19"/>
    </row>
    <row r="332" spans="1:11" ht="13.2">
      <c r="A332" s="22"/>
      <c r="B332" s="16"/>
      <c r="C332" s="23"/>
      <c r="D332" s="24"/>
      <c r="E332" s="25"/>
      <c r="F332" s="26"/>
      <c r="G332" s="27"/>
      <c r="H332" s="20"/>
      <c r="I332" s="21"/>
      <c r="J332" s="28"/>
      <c r="K332" s="19"/>
    </row>
    <row r="333" spans="1:11" ht="13.2">
      <c r="A333" s="22"/>
      <c r="B333" s="16"/>
      <c r="C333" s="23"/>
      <c r="D333" s="24"/>
      <c r="E333" s="25"/>
      <c r="F333" s="26"/>
      <c r="G333" s="27"/>
      <c r="H333" s="20"/>
      <c r="I333" s="21"/>
      <c r="J333" s="28"/>
      <c r="K333" s="19"/>
    </row>
    <row r="334" spans="1:11" ht="13.2">
      <c r="A334" s="22"/>
      <c r="B334" s="16"/>
      <c r="C334" s="23"/>
      <c r="D334" s="24"/>
      <c r="E334" s="25"/>
      <c r="F334" s="26"/>
      <c r="G334" s="27"/>
      <c r="H334" s="20"/>
      <c r="I334" s="21"/>
      <c r="J334" s="28"/>
      <c r="K334" s="19"/>
    </row>
    <row r="335" spans="1:11" ht="13.2">
      <c r="A335" s="22"/>
      <c r="B335" s="16"/>
      <c r="C335" s="23"/>
      <c r="D335" s="24"/>
      <c r="E335" s="25"/>
      <c r="F335" s="26"/>
      <c r="G335" s="27"/>
      <c r="H335" s="20"/>
      <c r="I335" s="21"/>
      <c r="J335" s="28"/>
      <c r="K335" s="19"/>
    </row>
    <row r="336" spans="1:11" ht="13.2">
      <c r="A336" s="22"/>
      <c r="B336" s="16"/>
      <c r="C336" s="23"/>
      <c r="D336" s="24"/>
      <c r="E336" s="25"/>
      <c r="F336" s="26"/>
      <c r="G336" s="27"/>
      <c r="H336" s="20"/>
      <c r="I336" s="21"/>
      <c r="J336" s="28"/>
      <c r="K336" s="19"/>
    </row>
    <row r="337" spans="1:11" ht="13.2">
      <c r="A337" s="22"/>
      <c r="B337" s="16"/>
      <c r="C337" s="23"/>
      <c r="D337" s="24"/>
      <c r="E337" s="25"/>
      <c r="F337" s="26"/>
      <c r="G337" s="27"/>
      <c r="H337" s="20"/>
      <c r="I337" s="21"/>
      <c r="J337" s="28"/>
      <c r="K337" s="19"/>
    </row>
    <row r="338" spans="1:11" ht="13.2">
      <c r="A338" s="22"/>
      <c r="B338" s="16"/>
      <c r="C338" s="23"/>
      <c r="D338" s="24"/>
      <c r="E338" s="25"/>
      <c r="F338" s="26"/>
      <c r="G338" s="27"/>
      <c r="H338" s="20"/>
      <c r="I338" s="21"/>
      <c r="J338" s="28"/>
      <c r="K338" s="19"/>
    </row>
    <row r="339" spans="1:11" ht="13.2">
      <c r="A339" s="22"/>
      <c r="B339" s="16"/>
      <c r="C339" s="23"/>
      <c r="D339" s="24"/>
      <c r="E339" s="25"/>
      <c r="F339" s="26"/>
      <c r="G339" s="27"/>
      <c r="H339" s="20"/>
      <c r="I339" s="21"/>
      <c r="J339" s="28"/>
      <c r="K339" s="19"/>
    </row>
    <row r="340" spans="1:11" ht="13.2">
      <c r="A340" s="22"/>
      <c r="B340" s="16"/>
      <c r="C340" s="23"/>
      <c r="D340" s="24"/>
      <c r="E340" s="25"/>
      <c r="F340" s="26"/>
      <c r="G340" s="27"/>
      <c r="H340" s="20"/>
      <c r="I340" s="21"/>
      <c r="J340" s="28"/>
      <c r="K340" s="19"/>
    </row>
    <row r="341" spans="1:11" ht="13.2">
      <c r="A341" s="22"/>
      <c r="B341" s="16"/>
      <c r="C341" s="23"/>
      <c r="D341" s="24"/>
      <c r="E341" s="25"/>
      <c r="F341" s="26"/>
      <c r="G341" s="27"/>
      <c r="H341" s="20"/>
      <c r="I341" s="21"/>
      <c r="J341" s="28"/>
      <c r="K341" s="19"/>
    </row>
    <row r="342" spans="1:11" ht="13.2">
      <c r="A342" s="22"/>
      <c r="B342" s="16"/>
      <c r="C342" s="23"/>
      <c r="D342" s="24"/>
      <c r="E342" s="25"/>
      <c r="F342" s="26"/>
      <c r="G342" s="27"/>
      <c r="H342" s="20"/>
      <c r="I342" s="21"/>
      <c r="J342" s="28"/>
      <c r="K342" s="19"/>
    </row>
    <row r="343" spans="1:11" ht="13.2">
      <c r="A343" s="22"/>
      <c r="B343" s="16"/>
      <c r="C343" s="23"/>
      <c r="D343" s="24"/>
      <c r="E343" s="25"/>
      <c r="F343" s="26"/>
      <c r="G343" s="27"/>
      <c r="H343" s="20"/>
      <c r="I343" s="21"/>
      <c r="J343" s="28"/>
      <c r="K343" s="19"/>
    </row>
    <row r="344" spans="1:11" ht="13.2">
      <c r="A344" s="22"/>
      <c r="B344" s="16"/>
      <c r="C344" s="23"/>
      <c r="D344" s="24"/>
      <c r="E344" s="25"/>
      <c r="F344" s="26"/>
      <c r="G344" s="27"/>
      <c r="H344" s="20"/>
      <c r="I344" s="21"/>
      <c r="J344" s="28"/>
      <c r="K344" s="19"/>
    </row>
    <row r="345" spans="1:11" ht="13.2">
      <c r="A345" s="22"/>
      <c r="B345" s="16"/>
      <c r="C345" s="23"/>
      <c r="D345" s="24"/>
      <c r="E345" s="25"/>
      <c r="F345" s="26"/>
      <c r="G345" s="27"/>
      <c r="H345" s="20"/>
      <c r="I345" s="21"/>
      <c r="J345" s="28"/>
      <c r="K345" s="19"/>
    </row>
    <row r="346" spans="1:11" ht="13.2">
      <c r="A346" s="22"/>
      <c r="B346" s="16"/>
      <c r="C346" s="23"/>
      <c r="D346" s="24"/>
      <c r="E346" s="25"/>
      <c r="F346" s="26"/>
      <c r="G346" s="27"/>
      <c r="H346" s="20"/>
      <c r="I346" s="21"/>
      <c r="J346" s="28"/>
      <c r="K346" s="19"/>
    </row>
    <row r="347" spans="1:11" ht="13.2">
      <c r="A347" s="22"/>
      <c r="B347" s="16"/>
      <c r="C347" s="23"/>
      <c r="D347" s="24"/>
      <c r="E347" s="25"/>
      <c r="F347" s="26"/>
      <c r="G347" s="27"/>
      <c r="H347" s="20"/>
      <c r="I347" s="21"/>
      <c r="J347" s="28"/>
      <c r="K347" s="19"/>
    </row>
    <row r="348" spans="1:11" ht="13.2">
      <c r="A348" s="22"/>
      <c r="B348" s="16"/>
      <c r="C348" s="23"/>
      <c r="D348" s="24"/>
      <c r="E348" s="25"/>
      <c r="F348" s="26"/>
      <c r="G348" s="27"/>
      <c r="H348" s="20"/>
      <c r="I348" s="21"/>
      <c r="J348" s="28"/>
      <c r="K348" s="19"/>
    </row>
    <row r="349" spans="1:11" ht="13.2">
      <c r="A349" s="22"/>
      <c r="B349" s="16"/>
      <c r="C349" s="23"/>
      <c r="D349" s="24"/>
      <c r="E349" s="25"/>
      <c r="F349" s="26"/>
      <c r="G349" s="27"/>
      <c r="H349" s="20"/>
      <c r="I349" s="21"/>
      <c r="J349" s="28"/>
      <c r="K349" s="19"/>
    </row>
    <row r="350" spans="1:11" ht="13.2">
      <c r="A350" s="22"/>
      <c r="B350" s="16"/>
      <c r="C350" s="23"/>
      <c r="D350" s="24"/>
      <c r="E350" s="25"/>
      <c r="F350" s="26"/>
      <c r="G350" s="27"/>
      <c r="H350" s="20"/>
      <c r="I350" s="21"/>
      <c r="J350" s="28"/>
      <c r="K350" s="19"/>
    </row>
    <row r="351" spans="1:11" ht="13.2">
      <c r="A351" s="22"/>
      <c r="B351" s="16"/>
      <c r="C351" s="23"/>
      <c r="D351" s="24"/>
      <c r="E351" s="25"/>
      <c r="F351" s="26"/>
      <c r="G351" s="27"/>
      <c r="H351" s="20"/>
      <c r="I351" s="21"/>
      <c r="J351" s="28"/>
      <c r="K351" s="19"/>
    </row>
    <row r="352" spans="1:11" ht="13.2">
      <c r="A352" s="22"/>
      <c r="B352" s="16"/>
      <c r="C352" s="23"/>
      <c r="D352" s="24"/>
      <c r="E352" s="25"/>
      <c r="F352" s="26"/>
      <c r="G352" s="27"/>
      <c r="H352" s="20"/>
      <c r="I352" s="21"/>
      <c r="J352" s="28"/>
      <c r="K352" s="19"/>
    </row>
    <row r="353" spans="1:11" ht="13.2">
      <c r="A353" s="22"/>
      <c r="B353" s="16"/>
      <c r="C353" s="23"/>
      <c r="D353" s="24"/>
      <c r="E353" s="25"/>
      <c r="F353" s="26"/>
      <c r="G353" s="27"/>
      <c r="H353" s="20"/>
      <c r="I353" s="21"/>
      <c r="J353" s="28"/>
      <c r="K353" s="19"/>
    </row>
    <row r="354" spans="1:11" ht="13.2">
      <c r="A354" s="22"/>
      <c r="B354" s="16"/>
      <c r="C354" s="23"/>
      <c r="D354" s="24"/>
      <c r="E354" s="25"/>
      <c r="F354" s="26"/>
      <c r="G354" s="27"/>
      <c r="H354" s="20"/>
      <c r="I354" s="21"/>
      <c r="J354" s="28"/>
      <c r="K354" s="19"/>
    </row>
    <row r="355" spans="1:11" ht="13.2">
      <c r="A355" s="22"/>
      <c r="B355" s="16"/>
      <c r="C355" s="23"/>
      <c r="D355" s="24"/>
      <c r="E355" s="25"/>
      <c r="F355" s="26"/>
      <c r="G355" s="27"/>
      <c r="H355" s="20"/>
      <c r="I355" s="21"/>
      <c r="J355" s="28"/>
      <c r="K355" s="19"/>
    </row>
    <row r="356" spans="1:11" ht="13.2">
      <c r="A356" s="22"/>
      <c r="B356" s="16"/>
      <c r="C356" s="23"/>
      <c r="D356" s="24"/>
      <c r="E356" s="25"/>
      <c r="F356" s="26"/>
      <c r="G356" s="27"/>
      <c r="H356" s="20"/>
      <c r="I356" s="21"/>
      <c r="J356" s="28"/>
      <c r="K356" s="19"/>
    </row>
    <row r="357" spans="1:11" ht="13.2">
      <c r="A357" s="22"/>
      <c r="B357" s="16"/>
      <c r="C357" s="23"/>
      <c r="D357" s="24"/>
      <c r="E357" s="25"/>
      <c r="F357" s="26"/>
      <c r="G357" s="27"/>
      <c r="H357" s="20"/>
      <c r="I357" s="21"/>
      <c r="J357" s="28"/>
      <c r="K357" s="19"/>
    </row>
    <row r="358" spans="1:11" ht="13.2">
      <c r="A358" s="22"/>
      <c r="B358" s="16"/>
      <c r="C358" s="23"/>
      <c r="D358" s="24"/>
      <c r="E358" s="25"/>
      <c r="F358" s="26"/>
      <c r="G358" s="27"/>
      <c r="H358" s="20"/>
      <c r="I358" s="21"/>
      <c r="J358" s="28"/>
      <c r="K358" s="19"/>
    </row>
    <row r="359" spans="1:11" ht="13.2">
      <c r="A359" s="22"/>
      <c r="B359" s="16"/>
      <c r="C359" s="23"/>
      <c r="D359" s="24"/>
      <c r="E359" s="25"/>
      <c r="F359" s="26"/>
      <c r="G359" s="27"/>
      <c r="H359" s="20"/>
      <c r="I359" s="21"/>
      <c r="J359" s="28"/>
      <c r="K359" s="19"/>
    </row>
    <row r="360" spans="1:11" ht="13.2">
      <c r="A360" s="22"/>
      <c r="B360" s="16"/>
      <c r="C360" s="23"/>
      <c r="D360" s="24"/>
      <c r="E360" s="25"/>
      <c r="F360" s="26"/>
      <c r="G360" s="27"/>
      <c r="H360" s="20"/>
      <c r="I360" s="21"/>
      <c r="J360" s="28"/>
      <c r="K360" s="19"/>
    </row>
    <row r="361" spans="1:11" ht="13.2">
      <c r="A361" s="22"/>
      <c r="B361" s="16"/>
      <c r="C361" s="23"/>
      <c r="D361" s="24"/>
      <c r="E361" s="25"/>
      <c r="F361" s="26"/>
      <c r="G361" s="27"/>
      <c r="H361" s="20"/>
      <c r="I361" s="21"/>
      <c r="J361" s="28"/>
      <c r="K361" s="19"/>
    </row>
    <row r="362" spans="1:11" ht="13.2">
      <c r="A362" s="22"/>
      <c r="B362" s="16"/>
      <c r="C362" s="23"/>
      <c r="D362" s="24"/>
      <c r="E362" s="25"/>
      <c r="F362" s="26"/>
      <c r="G362" s="27"/>
      <c r="H362" s="20"/>
      <c r="I362" s="21"/>
      <c r="J362" s="28"/>
      <c r="K362" s="19"/>
    </row>
    <row r="363" spans="1:11" ht="13.2">
      <c r="A363" s="22"/>
      <c r="B363" s="16"/>
      <c r="C363" s="23"/>
      <c r="D363" s="24"/>
      <c r="E363" s="25"/>
      <c r="F363" s="26"/>
      <c r="G363" s="27"/>
      <c r="H363" s="20"/>
      <c r="I363" s="21"/>
      <c r="J363" s="28"/>
      <c r="K363" s="19"/>
    </row>
    <row r="364" spans="1:11" ht="13.2">
      <c r="A364" s="22"/>
      <c r="B364" s="16"/>
      <c r="C364" s="23"/>
      <c r="D364" s="24"/>
      <c r="E364" s="25"/>
      <c r="F364" s="26"/>
      <c r="G364" s="27"/>
      <c r="H364" s="20"/>
      <c r="I364" s="21"/>
      <c r="J364" s="28"/>
      <c r="K364" s="19"/>
    </row>
    <row r="365" spans="1:11" ht="13.2">
      <c r="A365" s="22"/>
      <c r="B365" s="16"/>
      <c r="C365" s="23"/>
      <c r="D365" s="24"/>
      <c r="E365" s="25"/>
      <c r="F365" s="26"/>
      <c r="G365" s="27"/>
      <c r="H365" s="20"/>
      <c r="I365" s="21"/>
      <c r="J365" s="28"/>
      <c r="K365" s="19"/>
    </row>
    <row r="366" spans="1:11" ht="13.2">
      <c r="A366" s="22"/>
      <c r="B366" s="16"/>
      <c r="C366" s="23"/>
      <c r="D366" s="24"/>
      <c r="E366" s="25"/>
      <c r="F366" s="26"/>
      <c r="G366" s="27"/>
      <c r="H366" s="20"/>
      <c r="I366" s="21"/>
      <c r="J366" s="28"/>
      <c r="K366" s="19"/>
    </row>
    <row r="367" spans="1:11" ht="13.2">
      <c r="A367" s="22"/>
      <c r="B367" s="16"/>
      <c r="C367" s="23"/>
      <c r="D367" s="24"/>
      <c r="E367" s="25"/>
      <c r="F367" s="26"/>
      <c r="G367" s="27"/>
      <c r="H367" s="20"/>
      <c r="I367" s="21"/>
      <c r="J367" s="28"/>
      <c r="K367" s="19"/>
    </row>
    <row r="368" spans="1:11" ht="13.2">
      <c r="A368" s="22"/>
      <c r="B368" s="16"/>
      <c r="C368" s="23"/>
      <c r="D368" s="24"/>
      <c r="E368" s="25"/>
      <c r="F368" s="26"/>
      <c r="G368" s="27"/>
      <c r="H368" s="20"/>
      <c r="I368" s="21"/>
      <c r="J368" s="28"/>
      <c r="K368" s="19"/>
    </row>
    <row r="369" spans="1:11" ht="13.2">
      <c r="A369" s="22"/>
      <c r="B369" s="16"/>
      <c r="C369" s="23"/>
      <c r="D369" s="24"/>
      <c r="E369" s="25"/>
      <c r="F369" s="26"/>
      <c r="G369" s="27"/>
      <c r="H369" s="20"/>
      <c r="I369" s="21"/>
      <c r="J369" s="28"/>
      <c r="K369" s="19"/>
    </row>
    <row r="370" spans="1:11" ht="13.2">
      <c r="A370" s="22"/>
      <c r="B370" s="16"/>
      <c r="C370" s="23"/>
      <c r="D370" s="24"/>
      <c r="E370" s="25"/>
      <c r="F370" s="26"/>
      <c r="G370" s="27"/>
      <c r="H370" s="20"/>
      <c r="I370" s="21"/>
      <c r="J370" s="28"/>
      <c r="K370" s="19"/>
    </row>
    <row r="371" spans="1:11" ht="13.2">
      <c r="A371" s="22"/>
      <c r="B371" s="16"/>
      <c r="C371" s="23"/>
      <c r="D371" s="24"/>
      <c r="E371" s="25"/>
      <c r="F371" s="26"/>
      <c r="G371" s="27"/>
      <c r="H371" s="20"/>
      <c r="I371" s="21"/>
      <c r="J371" s="28"/>
      <c r="K371" s="19"/>
    </row>
    <row r="372" spans="1:11" ht="13.2">
      <c r="A372" s="22"/>
      <c r="B372" s="16"/>
      <c r="C372" s="23"/>
      <c r="D372" s="24"/>
      <c r="E372" s="25"/>
      <c r="F372" s="26"/>
      <c r="G372" s="27"/>
      <c r="H372" s="20"/>
      <c r="I372" s="21"/>
      <c r="J372" s="28"/>
      <c r="K372" s="19"/>
    </row>
    <row r="373" spans="1:11" ht="13.2">
      <c r="A373" s="22"/>
      <c r="B373" s="16"/>
      <c r="C373" s="23"/>
      <c r="D373" s="24"/>
      <c r="E373" s="25"/>
      <c r="F373" s="26"/>
      <c r="G373" s="27"/>
      <c r="H373" s="20"/>
      <c r="I373" s="21"/>
      <c r="J373" s="28"/>
      <c r="K373" s="19"/>
    </row>
    <row r="374" spans="1:11" ht="13.2">
      <c r="A374" s="22"/>
      <c r="B374" s="16"/>
      <c r="C374" s="23"/>
      <c r="D374" s="24"/>
      <c r="E374" s="25"/>
      <c r="F374" s="26"/>
      <c r="G374" s="27"/>
      <c r="H374" s="20"/>
      <c r="I374" s="21"/>
      <c r="J374" s="28"/>
      <c r="K374" s="19"/>
    </row>
    <row r="375" spans="1:11" ht="13.2">
      <c r="A375" s="22"/>
      <c r="B375" s="16"/>
      <c r="C375" s="23"/>
      <c r="D375" s="24"/>
      <c r="E375" s="25"/>
      <c r="F375" s="26"/>
      <c r="G375" s="27"/>
      <c r="H375" s="20"/>
      <c r="I375" s="21"/>
      <c r="J375" s="28"/>
      <c r="K375" s="19"/>
    </row>
    <row r="376" spans="1:11" ht="13.2">
      <c r="A376" s="22"/>
      <c r="B376" s="16"/>
      <c r="C376" s="23"/>
      <c r="D376" s="24"/>
      <c r="E376" s="25"/>
      <c r="F376" s="26"/>
      <c r="G376" s="27"/>
      <c r="H376" s="20"/>
      <c r="I376" s="21"/>
      <c r="J376" s="28"/>
      <c r="K376" s="19"/>
    </row>
    <row r="377" spans="1:11" ht="13.2">
      <c r="A377" s="22"/>
      <c r="B377" s="16"/>
      <c r="C377" s="23"/>
      <c r="D377" s="24"/>
      <c r="E377" s="25"/>
      <c r="F377" s="26"/>
      <c r="G377" s="27"/>
      <c r="H377" s="20"/>
      <c r="I377" s="21"/>
      <c r="J377" s="28"/>
      <c r="K377" s="19"/>
    </row>
    <row r="378" spans="1:11" ht="13.2">
      <c r="A378" s="22"/>
      <c r="B378" s="16"/>
      <c r="C378" s="23"/>
      <c r="D378" s="24"/>
      <c r="E378" s="25"/>
      <c r="F378" s="26"/>
      <c r="G378" s="27"/>
      <c r="H378" s="20"/>
      <c r="I378" s="21"/>
      <c r="J378" s="28"/>
      <c r="K378" s="19"/>
    </row>
    <row r="379" spans="1:11" ht="13.2">
      <c r="A379" s="22"/>
      <c r="B379" s="16"/>
      <c r="C379" s="23"/>
      <c r="D379" s="24"/>
      <c r="E379" s="25"/>
      <c r="F379" s="26"/>
      <c r="G379" s="27"/>
      <c r="H379" s="20"/>
      <c r="I379" s="21"/>
      <c r="J379" s="28"/>
      <c r="K379" s="19"/>
    </row>
    <row r="380" spans="1:11" ht="13.2">
      <c r="A380" s="22"/>
      <c r="B380" s="16"/>
      <c r="C380" s="23"/>
      <c r="D380" s="24"/>
      <c r="E380" s="25"/>
      <c r="F380" s="26"/>
      <c r="G380" s="27"/>
      <c r="H380" s="20"/>
      <c r="I380" s="21"/>
      <c r="J380" s="28"/>
      <c r="K380" s="19"/>
    </row>
    <row r="381" spans="1:11" ht="13.2">
      <c r="A381" s="22"/>
      <c r="B381" s="16"/>
      <c r="C381" s="23"/>
      <c r="D381" s="24"/>
      <c r="E381" s="25"/>
      <c r="F381" s="26"/>
      <c r="G381" s="27"/>
      <c r="H381" s="20"/>
      <c r="I381" s="21"/>
      <c r="J381" s="28"/>
      <c r="K381" s="19"/>
    </row>
    <row r="382" spans="1:11" ht="13.2">
      <c r="A382" s="22"/>
      <c r="B382" s="16"/>
      <c r="C382" s="23"/>
      <c r="D382" s="24"/>
      <c r="E382" s="25"/>
      <c r="F382" s="26"/>
      <c r="G382" s="27"/>
      <c r="H382" s="20"/>
      <c r="I382" s="21"/>
      <c r="J382" s="28"/>
      <c r="K382" s="19"/>
    </row>
    <row r="383" spans="1:11" ht="13.2">
      <c r="A383" s="22"/>
      <c r="B383" s="16"/>
      <c r="C383" s="23"/>
      <c r="D383" s="24"/>
      <c r="E383" s="25"/>
      <c r="F383" s="26"/>
      <c r="G383" s="27"/>
      <c r="H383" s="20"/>
      <c r="I383" s="21"/>
      <c r="J383" s="28"/>
      <c r="K383" s="19"/>
    </row>
    <row r="384" spans="1:11" ht="13.2">
      <c r="A384" s="22"/>
      <c r="B384" s="16"/>
      <c r="C384" s="23"/>
      <c r="D384" s="24"/>
      <c r="E384" s="25"/>
      <c r="F384" s="26"/>
      <c r="G384" s="27"/>
      <c r="H384" s="20"/>
      <c r="I384" s="21"/>
      <c r="J384" s="28"/>
      <c r="K384" s="19"/>
    </row>
    <row r="385" spans="1:11" ht="13.2">
      <c r="A385" s="22"/>
      <c r="B385" s="16"/>
      <c r="C385" s="23"/>
      <c r="D385" s="24"/>
      <c r="E385" s="25"/>
      <c r="F385" s="26"/>
      <c r="G385" s="27"/>
      <c r="H385" s="20"/>
      <c r="I385" s="21"/>
      <c r="J385" s="28"/>
      <c r="K385" s="19"/>
    </row>
    <row r="386" spans="1:11" ht="13.2">
      <c r="A386" s="22"/>
      <c r="B386" s="16"/>
      <c r="C386" s="23"/>
      <c r="D386" s="24"/>
      <c r="E386" s="25"/>
      <c r="F386" s="26"/>
      <c r="G386" s="27"/>
      <c r="H386" s="20"/>
      <c r="I386" s="21"/>
      <c r="J386" s="28"/>
      <c r="K386" s="19"/>
    </row>
    <row r="387" spans="1:11" ht="13.2">
      <c r="A387" s="22"/>
      <c r="B387" s="16"/>
      <c r="C387" s="23"/>
      <c r="D387" s="24"/>
      <c r="E387" s="25"/>
      <c r="F387" s="26"/>
      <c r="G387" s="27"/>
      <c r="H387" s="20"/>
      <c r="I387" s="21"/>
      <c r="J387" s="28"/>
      <c r="K387" s="19"/>
    </row>
    <row r="388" spans="1:11" ht="13.2">
      <c r="A388" s="22"/>
      <c r="B388" s="16"/>
      <c r="C388" s="23"/>
      <c r="D388" s="24"/>
      <c r="E388" s="25"/>
      <c r="F388" s="26"/>
      <c r="G388" s="27"/>
      <c r="H388" s="20"/>
      <c r="I388" s="21"/>
      <c r="J388" s="28"/>
      <c r="K388" s="19"/>
    </row>
    <row r="389" spans="1:11" ht="13.2">
      <c r="A389" s="22"/>
      <c r="B389" s="16"/>
      <c r="C389" s="23"/>
      <c r="D389" s="24"/>
      <c r="E389" s="25"/>
      <c r="F389" s="26"/>
      <c r="G389" s="27"/>
      <c r="H389" s="20"/>
      <c r="I389" s="21"/>
      <c r="J389" s="28"/>
      <c r="K389" s="19"/>
    </row>
    <row r="390" spans="1:11" ht="13.2">
      <c r="A390" s="22"/>
      <c r="B390" s="16"/>
      <c r="C390" s="23"/>
      <c r="D390" s="24"/>
      <c r="E390" s="25"/>
      <c r="F390" s="26"/>
      <c r="G390" s="27"/>
      <c r="H390" s="20"/>
      <c r="I390" s="21"/>
      <c r="J390" s="28"/>
      <c r="K390" s="19"/>
    </row>
    <row r="391" spans="1:11" ht="13.2">
      <c r="A391" s="22"/>
      <c r="B391" s="16"/>
      <c r="C391" s="23"/>
      <c r="D391" s="24"/>
      <c r="E391" s="25"/>
      <c r="F391" s="26"/>
      <c r="G391" s="27"/>
      <c r="H391" s="20"/>
      <c r="I391" s="21"/>
      <c r="J391" s="28"/>
      <c r="K391" s="19"/>
    </row>
    <row r="392" spans="1:11" ht="13.2">
      <c r="A392" s="22"/>
      <c r="B392" s="16"/>
      <c r="C392" s="23"/>
      <c r="D392" s="24"/>
      <c r="E392" s="25"/>
      <c r="F392" s="26"/>
      <c r="G392" s="27"/>
      <c r="H392" s="20"/>
      <c r="I392" s="21"/>
      <c r="J392" s="28"/>
      <c r="K392" s="19"/>
    </row>
    <row r="393" spans="1:11" ht="13.2">
      <c r="A393" s="22"/>
      <c r="B393" s="16"/>
      <c r="C393" s="23"/>
      <c r="D393" s="24"/>
      <c r="E393" s="25"/>
      <c r="F393" s="26"/>
      <c r="G393" s="27"/>
      <c r="H393" s="20"/>
      <c r="I393" s="21"/>
      <c r="J393" s="28"/>
      <c r="K393" s="19"/>
    </row>
    <row r="394" spans="1:11" ht="13.2">
      <c r="A394" s="22"/>
      <c r="B394" s="16"/>
      <c r="C394" s="23"/>
      <c r="D394" s="24"/>
      <c r="E394" s="25"/>
      <c r="F394" s="26"/>
      <c r="G394" s="27"/>
      <c r="H394" s="20"/>
      <c r="I394" s="21"/>
      <c r="J394" s="28"/>
      <c r="K394" s="19"/>
    </row>
    <row r="395" spans="1:11" ht="13.2">
      <c r="A395" s="22"/>
      <c r="B395" s="16"/>
      <c r="C395" s="23"/>
      <c r="D395" s="24"/>
      <c r="E395" s="25"/>
      <c r="F395" s="26"/>
      <c r="G395" s="27"/>
      <c r="H395" s="20"/>
      <c r="I395" s="21"/>
      <c r="J395" s="28"/>
      <c r="K395" s="19"/>
    </row>
    <row r="396" spans="1:11" ht="13.2">
      <c r="A396" s="22"/>
      <c r="B396" s="16"/>
      <c r="C396" s="23"/>
      <c r="D396" s="24"/>
      <c r="E396" s="25"/>
      <c r="F396" s="26"/>
      <c r="G396" s="27"/>
      <c r="H396" s="20"/>
      <c r="I396" s="21"/>
      <c r="J396" s="28"/>
      <c r="K396" s="19"/>
    </row>
    <row r="397" spans="1:11" ht="13.2">
      <c r="A397" s="22"/>
      <c r="B397" s="16"/>
      <c r="C397" s="23"/>
      <c r="D397" s="24"/>
      <c r="E397" s="25"/>
      <c r="F397" s="26"/>
      <c r="G397" s="27"/>
      <c r="H397" s="20"/>
      <c r="I397" s="21"/>
      <c r="J397" s="28"/>
      <c r="K397" s="19"/>
    </row>
    <row r="398" spans="1:11" ht="13.2">
      <c r="A398" s="22"/>
      <c r="B398" s="16"/>
      <c r="C398" s="23"/>
      <c r="D398" s="24"/>
      <c r="E398" s="25"/>
      <c r="F398" s="26"/>
      <c r="G398" s="27"/>
      <c r="H398" s="20"/>
      <c r="I398" s="21"/>
      <c r="J398" s="28"/>
      <c r="K398" s="19"/>
    </row>
    <row r="399" spans="1:11" ht="13.2">
      <c r="A399" s="22"/>
      <c r="B399" s="16"/>
      <c r="C399" s="23"/>
      <c r="D399" s="24"/>
      <c r="E399" s="25"/>
      <c r="F399" s="26"/>
      <c r="G399" s="27"/>
      <c r="H399" s="20"/>
      <c r="I399" s="21"/>
      <c r="J399" s="28"/>
      <c r="K399" s="19"/>
    </row>
    <row r="400" spans="1:11" ht="13.2">
      <c r="A400" s="22"/>
      <c r="B400" s="16"/>
      <c r="C400" s="23"/>
      <c r="D400" s="24"/>
      <c r="E400" s="25"/>
      <c r="F400" s="26"/>
      <c r="G400" s="27"/>
      <c r="H400" s="20"/>
      <c r="I400" s="21"/>
      <c r="J400" s="28"/>
      <c r="K400" s="19"/>
    </row>
    <row r="401" spans="1:11" ht="13.2">
      <c r="A401" s="22"/>
      <c r="B401" s="16"/>
      <c r="C401" s="23"/>
      <c r="D401" s="24"/>
      <c r="E401" s="25"/>
      <c r="F401" s="26"/>
      <c r="G401" s="27"/>
      <c r="H401" s="20"/>
      <c r="I401" s="21"/>
      <c r="J401" s="28"/>
      <c r="K401" s="19"/>
    </row>
    <row r="402" spans="1:11" ht="13.2">
      <c r="A402" s="22"/>
      <c r="B402" s="16"/>
      <c r="C402" s="23"/>
      <c r="D402" s="24"/>
      <c r="E402" s="25"/>
      <c r="F402" s="26"/>
      <c r="G402" s="27"/>
      <c r="H402" s="20"/>
      <c r="I402" s="21"/>
      <c r="J402" s="28"/>
      <c r="K402" s="19"/>
    </row>
    <row r="403" spans="1:11" ht="13.2">
      <c r="A403" s="22"/>
      <c r="B403" s="16"/>
      <c r="C403" s="23"/>
      <c r="D403" s="24"/>
      <c r="E403" s="25"/>
      <c r="F403" s="26"/>
      <c r="G403" s="27"/>
      <c r="H403" s="20"/>
      <c r="I403" s="21"/>
      <c r="J403" s="28"/>
      <c r="K403" s="19"/>
    </row>
    <row r="404" spans="1:11" ht="13.2">
      <c r="A404" s="22"/>
      <c r="B404" s="16"/>
      <c r="C404" s="23"/>
      <c r="D404" s="24"/>
      <c r="E404" s="25"/>
      <c r="F404" s="26"/>
      <c r="G404" s="27"/>
      <c r="H404" s="20"/>
      <c r="I404" s="21"/>
      <c r="J404" s="28"/>
      <c r="K404" s="19"/>
    </row>
    <row r="405" spans="1:11" ht="13.2">
      <c r="A405" s="22"/>
      <c r="B405" s="16"/>
      <c r="C405" s="23"/>
      <c r="D405" s="24"/>
      <c r="E405" s="25"/>
      <c r="F405" s="26"/>
      <c r="G405" s="27"/>
      <c r="H405" s="20"/>
      <c r="I405" s="21"/>
      <c r="J405" s="28"/>
      <c r="K405" s="19"/>
    </row>
    <row r="406" spans="1:11" ht="13.2">
      <c r="A406" s="22"/>
      <c r="B406" s="16"/>
      <c r="C406" s="23"/>
      <c r="D406" s="24"/>
      <c r="E406" s="25"/>
      <c r="F406" s="26"/>
      <c r="G406" s="27"/>
      <c r="H406" s="20"/>
      <c r="I406" s="21"/>
      <c r="J406" s="28"/>
      <c r="K406" s="19"/>
    </row>
    <row r="407" spans="1:11" ht="13.2">
      <c r="A407" s="22"/>
      <c r="B407" s="16"/>
      <c r="C407" s="23"/>
      <c r="D407" s="24"/>
      <c r="E407" s="25"/>
      <c r="F407" s="26"/>
      <c r="G407" s="27"/>
      <c r="H407" s="20"/>
      <c r="I407" s="21"/>
      <c r="J407" s="28"/>
      <c r="K407" s="19"/>
    </row>
    <row r="408" spans="1:11" ht="13.2">
      <c r="A408" s="22"/>
      <c r="B408" s="16"/>
      <c r="C408" s="23"/>
      <c r="D408" s="24"/>
      <c r="E408" s="25"/>
      <c r="F408" s="26"/>
      <c r="G408" s="27"/>
      <c r="H408" s="20"/>
      <c r="I408" s="21"/>
      <c r="J408" s="28"/>
      <c r="K408" s="19"/>
    </row>
    <row r="409" spans="1:11" ht="13.2">
      <c r="A409" s="22"/>
      <c r="B409" s="16"/>
      <c r="C409" s="23"/>
      <c r="D409" s="24"/>
      <c r="E409" s="25"/>
      <c r="F409" s="26"/>
      <c r="G409" s="27"/>
      <c r="H409" s="20"/>
      <c r="I409" s="21"/>
      <c r="J409" s="28"/>
      <c r="K409" s="19"/>
    </row>
    <row r="410" spans="1:11" ht="13.2">
      <c r="A410" s="22"/>
      <c r="B410" s="16"/>
      <c r="C410" s="23"/>
      <c r="D410" s="24"/>
      <c r="E410" s="25"/>
      <c r="F410" s="26"/>
      <c r="G410" s="27"/>
      <c r="H410" s="20"/>
      <c r="I410" s="21"/>
      <c r="J410" s="28"/>
      <c r="K410" s="19"/>
    </row>
    <row r="411" spans="1:11" ht="13.2">
      <c r="A411" s="22"/>
      <c r="B411" s="16"/>
      <c r="C411" s="23"/>
      <c r="D411" s="24"/>
      <c r="E411" s="25"/>
      <c r="F411" s="26"/>
      <c r="G411" s="27"/>
      <c r="H411" s="20"/>
      <c r="I411" s="21"/>
      <c r="J411" s="28"/>
      <c r="K411" s="19"/>
    </row>
    <row r="412" spans="1:11" ht="13.2">
      <c r="A412" s="22"/>
      <c r="B412" s="16"/>
      <c r="C412" s="23"/>
      <c r="D412" s="24"/>
      <c r="E412" s="25"/>
      <c r="F412" s="26"/>
      <c r="G412" s="27"/>
      <c r="H412" s="20"/>
      <c r="I412" s="21"/>
      <c r="J412" s="28"/>
      <c r="K412" s="19"/>
    </row>
    <row r="413" spans="1:11" ht="13.2">
      <c r="A413" s="22"/>
      <c r="B413" s="16"/>
      <c r="C413" s="23"/>
      <c r="D413" s="24"/>
      <c r="E413" s="25"/>
      <c r="F413" s="26"/>
      <c r="G413" s="27"/>
      <c r="H413" s="20"/>
      <c r="I413" s="21"/>
      <c r="J413" s="28"/>
      <c r="K413" s="19"/>
    </row>
    <row r="414" spans="1:11" ht="13.2">
      <c r="A414" s="22"/>
      <c r="B414" s="16"/>
      <c r="C414" s="23"/>
      <c r="D414" s="24"/>
      <c r="E414" s="25"/>
      <c r="F414" s="26"/>
      <c r="G414" s="27"/>
      <c r="H414" s="20"/>
      <c r="I414" s="21"/>
      <c r="J414" s="28"/>
      <c r="K414" s="19"/>
    </row>
    <row r="415" spans="1:11" ht="13.2">
      <c r="A415" s="22"/>
      <c r="B415" s="16"/>
      <c r="C415" s="23"/>
      <c r="D415" s="24"/>
      <c r="E415" s="25"/>
      <c r="F415" s="26"/>
      <c r="G415" s="27"/>
      <c r="H415" s="20"/>
      <c r="I415" s="21"/>
      <c r="J415" s="28"/>
      <c r="K415" s="19"/>
    </row>
    <row r="416" spans="1:11" ht="13.2">
      <c r="A416" s="22"/>
      <c r="B416" s="16"/>
      <c r="C416" s="23"/>
      <c r="D416" s="24"/>
      <c r="E416" s="25"/>
      <c r="F416" s="26"/>
      <c r="G416" s="27"/>
      <c r="H416" s="20"/>
      <c r="I416" s="21"/>
      <c r="J416" s="28"/>
      <c r="K416" s="19"/>
    </row>
    <row r="417" spans="1:11" ht="13.2">
      <c r="A417" s="22"/>
      <c r="B417" s="16"/>
      <c r="C417" s="23"/>
      <c r="D417" s="24"/>
      <c r="E417" s="25"/>
      <c r="F417" s="26"/>
      <c r="G417" s="27"/>
      <c r="H417" s="20"/>
      <c r="I417" s="21"/>
      <c r="J417" s="28"/>
      <c r="K417" s="19"/>
    </row>
    <row r="418" spans="1:11" ht="13.2">
      <c r="A418" s="22"/>
      <c r="B418" s="16"/>
      <c r="C418" s="23"/>
      <c r="D418" s="24"/>
      <c r="E418" s="25"/>
      <c r="F418" s="26"/>
      <c r="G418" s="27"/>
      <c r="H418" s="20"/>
      <c r="I418" s="21"/>
      <c r="J418" s="28"/>
      <c r="K418" s="19"/>
    </row>
    <row r="419" spans="1:11" ht="13.2">
      <c r="A419" s="22"/>
      <c r="B419" s="16"/>
      <c r="C419" s="23"/>
      <c r="D419" s="24"/>
      <c r="E419" s="25"/>
      <c r="F419" s="26"/>
      <c r="G419" s="27"/>
      <c r="H419" s="20"/>
      <c r="I419" s="21"/>
      <c r="J419" s="28"/>
      <c r="K419" s="19"/>
    </row>
    <row r="420" spans="1:11" ht="13.2">
      <c r="A420" s="22"/>
      <c r="B420" s="16"/>
      <c r="C420" s="23"/>
      <c r="D420" s="24"/>
      <c r="E420" s="25"/>
      <c r="F420" s="26"/>
      <c r="G420" s="27"/>
      <c r="H420" s="20"/>
      <c r="I420" s="21"/>
      <c r="J420" s="28"/>
      <c r="K420" s="19"/>
    </row>
    <row r="421" spans="1:11" ht="13.2">
      <c r="A421" s="22"/>
      <c r="B421" s="16"/>
      <c r="C421" s="23"/>
      <c r="D421" s="24"/>
      <c r="E421" s="25"/>
      <c r="F421" s="26"/>
      <c r="G421" s="27"/>
      <c r="H421" s="20"/>
      <c r="I421" s="21"/>
      <c r="J421" s="28"/>
      <c r="K421" s="19"/>
    </row>
    <row r="422" spans="1:11" ht="13.2">
      <c r="A422" s="22"/>
      <c r="B422" s="16"/>
      <c r="C422" s="23"/>
      <c r="D422" s="24"/>
      <c r="E422" s="25"/>
      <c r="F422" s="26"/>
      <c r="G422" s="27"/>
      <c r="H422" s="20"/>
      <c r="I422" s="21"/>
      <c r="J422" s="28"/>
      <c r="K422" s="19"/>
    </row>
    <row r="423" spans="1:11" ht="13.2">
      <c r="A423" s="22"/>
      <c r="B423" s="16"/>
      <c r="C423" s="23"/>
      <c r="D423" s="24"/>
      <c r="E423" s="25"/>
      <c r="F423" s="26"/>
      <c r="G423" s="27"/>
      <c r="H423" s="20"/>
      <c r="I423" s="21"/>
      <c r="J423" s="28"/>
      <c r="K423" s="19"/>
    </row>
    <row r="424" spans="1:11" ht="13.2">
      <c r="A424" s="22"/>
      <c r="B424" s="16"/>
      <c r="C424" s="23"/>
      <c r="D424" s="24"/>
      <c r="E424" s="25"/>
      <c r="F424" s="26"/>
      <c r="G424" s="27"/>
      <c r="H424" s="20"/>
      <c r="I424" s="21"/>
      <c r="J424" s="28"/>
      <c r="K424" s="19"/>
    </row>
    <row r="425" spans="1:11" ht="13.2">
      <c r="A425" s="22"/>
      <c r="B425" s="16"/>
      <c r="C425" s="23"/>
      <c r="D425" s="24"/>
      <c r="E425" s="25"/>
      <c r="F425" s="26"/>
      <c r="G425" s="27"/>
      <c r="H425" s="20"/>
      <c r="I425" s="21"/>
      <c r="J425" s="28"/>
      <c r="K425" s="19"/>
    </row>
    <row r="426" spans="1:11" ht="13.2">
      <c r="A426" s="22"/>
      <c r="B426" s="16"/>
      <c r="C426" s="23"/>
      <c r="D426" s="24"/>
      <c r="E426" s="25"/>
      <c r="F426" s="26"/>
      <c r="G426" s="27"/>
      <c r="H426" s="20"/>
      <c r="I426" s="21"/>
      <c r="J426" s="28"/>
      <c r="K426" s="19"/>
    </row>
    <row r="427" spans="1:11" ht="13.2">
      <c r="A427" s="22"/>
      <c r="B427" s="16"/>
      <c r="C427" s="23"/>
      <c r="D427" s="24"/>
      <c r="E427" s="25"/>
      <c r="F427" s="26"/>
      <c r="G427" s="27"/>
      <c r="H427" s="20"/>
      <c r="I427" s="21"/>
      <c r="J427" s="28"/>
      <c r="K427" s="19"/>
    </row>
    <row r="428" spans="1:11" ht="13.2">
      <c r="A428" s="22"/>
      <c r="B428" s="16"/>
      <c r="C428" s="23"/>
      <c r="D428" s="24"/>
      <c r="E428" s="25"/>
      <c r="F428" s="26"/>
      <c r="G428" s="27"/>
      <c r="H428" s="20"/>
      <c r="I428" s="21"/>
      <c r="J428" s="28"/>
      <c r="K428" s="19"/>
    </row>
    <row r="429" spans="1:11" ht="13.2">
      <c r="A429" s="22"/>
      <c r="B429" s="16"/>
      <c r="C429" s="23"/>
      <c r="D429" s="24"/>
      <c r="E429" s="25"/>
      <c r="F429" s="26"/>
      <c r="G429" s="27"/>
      <c r="H429" s="20"/>
      <c r="I429" s="21"/>
      <c r="J429" s="28"/>
      <c r="K429" s="19"/>
    </row>
    <row r="430" spans="1:11" ht="13.2">
      <c r="A430" s="22"/>
      <c r="B430" s="16"/>
      <c r="C430" s="23"/>
      <c r="D430" s="24"/>
      <c r="E430" s="25"/>
      <c r="F430" s="26"/>
      <c r="G430" s="27"/>
      <c r="H430" s="20"/>
      <c r="I430" s="21"/>
      <c r="J430" s="28"/>
      <c r="K430" s="19"/>
    </row>
    <row r="431" spans="1:11" ht="13.2">
      <c r="A431" s="22"/>
      <c r="B431" s="16"/>
      <c r="C431" s="23"/>
      <c r="D431" s="24"/>
      <c r="E431" s="25"/>
      <c r="F431" s="26"/>
      <c r="G431" s="27"/>
      <c r="H431" s="20"/>
      <c r="I431" s="21"/>
      <c r="J431" s="28"/>
      <c r="K431" s="19"/>
    </row>
    <row r="432" spans="1:11" ht="13.2">
      <c r="A432" s="22"/>
      <c r="B432" s="16"/>
      <c r="C432" s="23"/>
      <c r="D432" s="24"/>
      <c r="E432" s="25"/>
      <c r="F432" s="26"/>
      <c r="G432" s="27"/>
      <c r="H432" s="20"/>
      <c r="I432" s="21"/>
      <c r="J432" s="28"/>
      <c r="K432" s="19"/>
    </row>
    <row r="433" spans="1:11" ht="13.2">
      <c r="A433" s="22"/>
      <c r="B433" s="16"/>
      <c r="C433" s="23"/>
      <c r="D433" s="24"/>
      <c r="E433" s="25"/>
      <c r="F433" s="26"/>
      <c r="G433" s="27"/>
      <c r="H433" s="20"/>
      <c r="I433" s="21"/>
      <c r="J433" s="28"/>
      <c r="K433" s="19"/>
    </row>
    <row r="434" spans="1:11" ht="13.2">
      <c r="A434" s="22"/>
      <c r="B434" s="16"/>
      <c r="C434" s="23"/>
      <c r="D434" s="24"/>
      <c r="E434" s="25"/>
      <c r="F434" s="26"/>
      <c r="G434" s="27"/>
      <c r="H434" s="20"/>
      <c r="I434" s="21"/>
      <c r="J434" s="28"/>
      <c r="K434" s="19"/>
    </row>
    <row r="435" spans="1:11" ht="13.2">
      <c r="A435" s="22"/>
      <c r="B435" s="16"/>
      <c r="C435" s="23"/>
      <c r="D435" s="24"/>
      <c r="E435" s="25"/>
      <c r="F435" s="26"/>
      <c r="G435" s="27"/>
      <c r="H435" s="20"/>
      <c r="I435" s="21"/>
      <c r="J435" s="28"/>
      <c r="K435" s="19"/>
    </row>
    <row r="436" spans="1:11" ht="13.2">
      <c r="A436" s="22"/>
      <c r="B436" s="16"/>
      <c r="C436" s="23"/>
      <c r="D436" s="24"/>
      <c r="E436" s="25"/>
      <c r="F436" s="26"/>
      <c r="G436" s="27"/>
      <c r="H436" s="20"/>
      <c r="I436" s="21"/>
      <c r="J436" s="28"/>
      <c r="K436" s="19"/>
    </row>
    <row r="437" spans="1:11" ht="13.2">
      <c r="A437" s="22"/>
      <c r="B437" s="16"/>
      <c r="C437" s="23"/>
      <c r="D437" s="24"/>
      <c r="E437" s="25"/>
      <c r="F437" s="26"/>
      <c r="G437" s="27"/>
      <c r="H437" s="20"/>
      <c r="I437" s="21"/>
      <c r="J437" s="28"/>
      <c r="K437" s="19"/>
    </row>
    <row r="438" spans="1:11" ht="13.2">
      <c r="A438" s="22"/>
      <c r="B438" s="16"/>
      <c r="C438" s="23"/>
      <c r="D438" s="24"/>
      <c r="E438" s="25"/>
      <c r="F438" s="26"/>
      <c r="G438" s="27"/>
      <c r="H438" s="20"/>
      <c r="I438" s="21"/>
      <c r="J438" s="28"/>
      <c r="K438" s="19"/>
    </row>
    <row r="439" spans="1:11" ht="13.2">
      <c r="A439" s="22"/>
      <c r="B439" s="16"/>
      <c r="C439" s="23"/>
      <c r="D439" s="24"/>
      <c r="E439" s="25"/>
      <c r="F439" s="26"/>
      <c r="G439" s="27"/>
      <c r="H439" s="20"/>
      <c r="I439" s="21"/>
      <c r="J439" s="28"/>
      <c r="K439" s="19"/>
    </row>
    <row r="440" spans="1:11" ht="13.2">
      <c r="A440" s="22"/>
      <c r="B440" s="16"/>
      <c r="C440" s="23"/>
      <c r="D440" s="24"/>
      <c r="E440" s="25"/>
      <c r="F440" s="26"/>
      <c r="G440" s="27"/>
      <c r="H440" s="20"/>
      <c r="I440" s="21"/>
      <c r="J440" s="28"/>
      <c r="K440" s="19"/>
    </row>
    <row r="441" spans="1:11" ht="13.2">
      <c r="A441" s="22"/>
      <c r="B441" s="16"/>
      <c r="C441" s="23"/>
      <c r="D441" s="24"/>
      <c r="E441" s="25"/>
      <c r="F441" s="26"/>
      <c r="G441" s="27"/>
      <c r="H441" s="20"/>
      <c r="I441" s="21"/>
      <c r="J441" s="28"/>
      <c r="K441" s="19"/>
    </row>
    <row r="442" spans="1:11" ht="13.2">
      <c r="A442" s="22"/>
      <c r="B442" s="16"/>
      <c r="C442" s="23"/>
      <c r="D442" s="24"/>
      <c r="E442" s="25"/>
      <c r="F442" s="26"/>
      <c r="G442" s="27"/>
      <c r="H442" s="20"/>
      <c r="I442" s="21"/>
      <c r="J442" s="28"/>
      <c r="K442" s="19"/>
    </row>
    <row r="443" spans="1:11" ht="13.2">
      <c r="A443" s="22"/>
      <c r="B443" s="16"/>
      <c r="C443" s="23"/>
      <c r="D443" s="24"/>
      <c r="E443" s="25"/>
      <c r="F443" s="26"/>
      <c r="G443" s="27"/>
      <c r="H443" s="20"/>
      <c r="I443" s="21"/>
      <c r="J443" s="28"/>
      <c r="K443" s="19"/>
    </row>
    <row r="444" spans="1:11" ht="13.2">
      <c r="A444" s="22"/>
      <c r="B444" s="16"/>
      <c r="C444" s="23"/>
      <c r="D444" s="24"/>
      <c r="E444" s="25"/>
      <c r="F444" s="26"/>
      <c r="G444" s="27"/>
      <c r="H444" s="20"/>
      <c r="I444" s="21"/>
      <c r="J444" s="28"/>
      <c r="K444" s="19"/>
    </row>
    <row r="445" spans="1:11" ht="13.2">
      <c r="A445" s="22"/>
      <c r="B445" s="16"/>
      <c r="C445" s="23"/>
      <c r="D445" s="24"/>
      <c r="E445" s="25"/>
      <c r="F445" s="26"/>
      <c r="G445" s="27"/>
      <c r="H445" s="20"/>
      <c r="I445" s="21"/>
      <c r="J445" s="28"/>
      <c r="K445" s="19"/>
    </row>
    <row r="446" spans="1:11" ht="13.2">
      <c r="A446" s="22"/>
      <c r="B446" s="16"/>
      <c r="C446" s="23"/>
      <c r="D446" s="24"/>
      <c r="E446" s="25"/>
      <c r="F446" s="26"/>
      <c r="G446" s="27"/>
      <c r="H446" s="20"/>
      <c r="I446" s="21"/>
      <c r="J446" s="28"/>
      <c r="K446" s="19"/>
    </row>
    <row r="447" spans="1:11" ht="13.2">
      <c r="A447" s="22"/>
      <c r="B447" s="16"/>
      <c r="C447" s="23"/>
      <c r="D447" s="24"/>
      <c r="E447" s="25"/>
      <c r="F447" s="26"/>
      <c r="G447" s="27"/>
      <c r="H447" s="20"/>
      <c r="I447" s="21"/>
      <c r="J447" s="28"/>
      <c r="K447" s="19"/>
    </row>
    <row r="448" spans="1:11" ht="13.2">
      <c r="A448" s="22"/>
      <c r="B448" s="16"/>
      <c r="C448" s="23"/>
      <c r="D448" s="24"/>
      <c r="E448" s="25"/>
      <c r="F448" s="26"/>
      <c r="G448" s="27"/>
      <c r="H448" s="20"/>
      <c r="I448" s="21"/>
      <c r="J448" s="28"/>
      <c r="K448" s="19"/>
    </row>
    <row r="449" spans="1:11" ht="13.2">
      <c r="A449" s="22"/>
      <c r="B449" s="16"/>
      <c r="C449" s="23"/>
      <c r="D449" s="24"/>
      <c r="E449" s="25"/>
      <c r="F449" s="26"/>
      <c r="G449" s="27"/>
      <c r="H449" s="20"/>
      <c r="I449" s="21"/>
      <c r="J449" s="28"/>
      <c r="K449" s="19"/>
    </row>
    <row r="450" spans="1:11" ht="13.2">
      <c r="A450" s="22"/>
      <c r="B450" s="16"/>
      <c r="C450" s="23"/>
      <c r="D450" s="24"/>
      <c r="E450" s="25"/>
      <c r="F450" s="26"/>
      <c r="G450" s="27"/>
      <c r="H450" s="20"/>
      <c r="I450" s="21"/>
      <c r="J450" s="28"/>
      <c r="K450" s="19"/>
    </row>
    <row r="451" spans="1:11" ht="13.2">
      <c r="A451" s="22"/>
      <c r="B451" s="16"/>
      <c r="C451" s="23"/>
      <c r="D451" s="24"/>
      <c r="E451" s="25"/>
      <c r="F451" s="26"/>
      <c r="G451" s="27"/>
      <c r="H451" s="20"/>
      <c r="I451" s="21"/>
      <c r="J451" s="28"/>
      <c r="K451" s="19"/>
    </row>
    <row r="452" spans="1:11" ht="13.2">
      <c r="A452" s="22"/>
      <c r="B452" s="16"/>
      <c r="C452" s="23"/>
      <c r="D452" s="24"/>
      <c r="E452" s="25"/>
      <c r="F452" s="26"/>
      <c r="G452" s="27"/>
      <c r="H452" s="20"/>
      <c r="I452" s="21"/>
      <c r="J452" s="28"/>
      <c r="K452" s="19"/>
    </row>
    <row r="453" spans="1:11" ht="13.2">
      <c r="A453" s="22"/>
      <c r="B453" s="16"/>
      <c r="C453" s="23"/>
      <c r="D453" s="24"/>
      <c r="E453" s="25"/>
      <c r="F453" s="26"/>
      <c r="G453" s="27"/>
      <c r="H453" s="20"/>
      <c r="I453" s="21"/>
      <c r="J453" s="28"/>
      <c r="K453" s="19"/>
    </row>
    <row r="454" spans="1:11" ht="13.2">
      <c r="A454" s="22"/>
      <c r="B454" s="16"/>
      <c r="C454" s="23"/>
      <c r="D454" s="24"/>
      <c r="E454" s="25"/>
      <c r="F454" s="26"/>
      <c r="G454" s="27"/>
      <c r="H454" s="20"/>
      <c r="I454" s="21"/>
      <c r="J454" s="28"/>
      <c r="K454" s="19"/>
    </row>
    <row r="455" spans="1:11" ht="13.2">
      <c r="A455" s="22"/>
      <c r="B455" s="16"/>
      <c r="C455" s="23"/>
      <c r="D455" s="24"/>
      <c r="E455" s="25"/>
      <c r="F455" s="26"/>
      <c r="G455" s="27"/>
      <c r="H455" s="20"/>
      <c r="I455" s="21"/>
      <c r="J455" s="28"/>
      <c r="K455" s="19"/>
    </row>
    <row r="456" spans="1:11" ht="13.2">
      <c r="A456" s="22"/>
      <c r="B456" s="16"/>
      <c r="C456" s="23"/>
      <c r="D456" s="24"/>
      <c r="E456" s="25"/>
      <c r="F456" s="26"/>
      <c r="G456" s="27"/>
      <c r="H456" s="20"/>
      <c r="I456" s="21"/>
      <c r="J456" s="28"/>
      <c r="K456" s="19"/>
    </row>
    <row r="457" spans="1:11" ht="13.2">
      <c r="A457" s="22"/>
      <c r="B457" s="16"/>
      <c r="C457" s="23"/>
      <c r="D457" s="24"/>
      <c r="E457" s="25"/>
      <c r="F457" s="26"/>
      <c r="G457" s="27"/>
      <c r="H457" s="20"/>
      <c r="I457" s="21"/>
      <c r="J457" s="28"/>
      <c r="K457" s="19"/>
    </row>
    <row r="458" spans="1:11" ht="13.2">
      <c r="A458" s="22"/>
      <c r="B458" s="16"/>
      <c r="C458" s="23"/>
      <c r="D458" s="24"/>
      <c r="E458" s="25"/>
      <c r="F458" s="26"/>
      <c r="G458" s="27"/>
      <c r="H458" s="20"/>
      <c r="I458" s="21"/>
      <c r="J458" s="28"/>
      <c r="K458" s="19"/>
    </row>
    <row r="459" spans="1:11" ht="13.2">
      <c r="A459" s="22"/>
      <c r="B459" s="16"/>
      <c r="C459" s="23"/>
      <c r="D459" s="24"/>
      <c r="E459" s="25"/>
      <c r="F459" s="26"/>
      <c r="G459" s="27"/>
      <c r="H459" s="20"/>
      <c r="I459" s="21"/>
      <c r="J459" s="28"/>
      <c r="K459" s="19"/>
    </row>
    <row r="460" spans="1:11" ht="13.2">
      <c r="A460" s="22"/>
      <c r="B460" s="16"/>
      <c r="C460" s="23"/>
      <c r="D460" s="24"/>
      <c r="E460" s="25"/>
      <c r="F460" s="26"/>
      <c r="G460" s="27"/>
      <c r="H460" s="20"/>
      <c r="I460" s="21"/>
      <c r="J460" s="28"/>
      <c r="K460" s="19"/>
    </row>
    <row r="461" spans="1:11" ht="13.2">
      <c r="A461" s="22"/>
      <c r="B461" s="16"/>
      <c r="C461" s="23"/>
      <c r="D461" s="24"/>
      <c r="E461" s="25"/>
      <c r="F461" s="26"/>
      <c r="G461" s="27"/>
      <c r="H461" s="20"/>
      <c r="I461" s="21"/>
      <c r="J461" s="28"/>
      <c r="K461" s="19"/>
    </row>
    <row r="462" spans="1:11" ht="13.2">
      <c r="A462" s="22"/>
      <c r="B462" s="16"/>
      <c r="C462" s="23"/>
      <c r="D462" s="24"/>
      <c r="E462" s="25"/>
      <c r="F462" s="26"/>
      <c r="G462" s="27"/>
      <c r="H462" s="20"/>
      <c r="I462" s="21"/>
      <c r="J462" s="28"/>
      <c r="K462" s="19"/>
    </row>
    <row r="463" spans="1:11" ht="13.2">
      <c r="A463" s="22"/>
      <c r="B463" s="16"/>
      <c r="C463" s="23"/>
      <c r="D463" s="24"/>
      <c r="E463" s="25"/>
      <c r="F463" s="26"/>
      <c r="G463" s="27"/>
      <c r="H463" s="20"/>
      <c r="I463" s="21"/>
      <c r="J463" s="28"/>
      <c r="K463" s="19"/>
    </row>
    <row r="464" spans="1:11" ht="13.2">
      <c r="A464" s="22"/>
      <c r="B464" s="16"/>
      <c r="C464" s="23"/>
      <c r="D464" s="24"/>
      <c r="E464" s="25"/>
      <c r="F464" s="26"/>
      <c r="G464" s="27"/>
      <c r="H464" s="20"/>
      <c r="I464" s="21"/>
      <c r="J464" s="28"/>
      <c r="K464" s="19"/>
    </row>
    <row r="465" spans="1:11" ht="13.2">
      <c r="A465" s="22"/>
      <c r="B465" s="16"/>
      <c r="C465" s="23"/>
      <c r="D465" s="24"/>
      <c r="E465" s="25"/>
      <c r="F465" s="26"/>
      <c r="G465" s="27"/>
      <c r="H465" s="20"/>
      <c r="I465" s="21"/>
      <c r="J465" s="28"/>
      <c r="K465" s="19"/>
    </row>
    <row r="466" spans="1:11" ht="13.2">
      <c r="A466" s="22"/>
      <c r="B466" s="16"/>
      <c r="C466" s="23"/>
      <c r="D466" s="24"/>
      <c r="E466" s="25"/>
      <c r="F466" s="26"/>
      <c r="G466" s="27"/>
      <c r="H466" s="20"/>
      <c r="I466" s="21"/>
      <c r="J466" s="28"/>
      <c r="K466" s="19"/>
    </row>
    <row r="467" spans="1:11" ht="13.2">
      <c r="A467" s="22"/>
      <c r="B467" s="16"/>
      <c r="C467" s="23"/>
      <c r="D467" s="24"/>
      <c r="E467" s="25"/>
      <c r="F467" s="26"/>
      <c r="G467" s="27"/>
      <c r="H467" s="20"/>
      <c r="I467" s="21"/>
      <c r="J467" s="28"/>
      <c r="K467" s="19"/>
    </row>
    <row r="468" spans="1:11" ht="13.2">
      <c r="A468" s="22"/>
      <c r="B468" s="16"/>
      <c r="C468" s="23"/>
      <c r="D468" s="24"/>
      <c r="E468" s="25"/>
      <c r="F468" s="26"/>
      <c r="G468" s="27"/>
      <c r="H468" s="20"/>
      <c r="I468" s="21"/>
      <c r="J468" s="28"/>
      <c r="K468" s="19"/>
    </row>
    <row r="469" spans="1:11" ht="13.2">
      <c r="A469" s="22"/>
      <c r="B469" s="16"/>
      <c r="C469" s="23"/>
      <c r="D469" s="24"/>
      <c r="E469" s="25"/>
      <c r="F469" s="26"/>
      <c r="G469" s="27"/>
      <c r="H469" s="20"/>
      <c r="I469" s="21"/>
      <c r="J469" s="28"/>
      <c r="K469" s="19"/>
    </row>
    <row r="470" spans="1:11" ht="13.2">
      <c r="A470" s="22"/>
      <c r="B470" s="16"/>
      <c r="C470" s="23"/>
      <c r="D470" s="24"/>
      <c r="E470" s="25"/>
      <c r="F470" s="26"/>
      <c r="G470" s="27"/>
      <c r="H470" s="20"/>
      <c r="I470" s="21"/>
      <c r="J470" s="28"/>
      <c r="K470" s="19"/>
    </row>
    <row r="471" spans="1:11" ht="13.2">
      <c r="A471" s="22"/>
      <c r="B471" s="16"/>
      <c r="C471" s="23"/>
      <c r="D471" s="24"/>
      <c r="E471" s="25"/>
      <c r="F471" s="26"/>
      <c r="G471" s="27"/>
      <c r="H471" s="20"/>
      <c r="I471" s="21"/>
      <c r="J471" s="28"/>
      <c r="K471" s="19"/>
    </row>
    <row r="472" spans="1:11" ht="13.2">
      <c r="A472" s="22"/>
      <c r="B472" s="16"/>
      <c r="C472" s="23"/>
      <c r="D472" s="24"/>
      <c r="E472" s="25"/>
      <c r="F472" s="26"/>
      <c r="G472" s="27"/>
      <c r="H472" s="20"/>
      <c r="I472" s="21"/>
      <c r="J472" s="28"/>
      <c r="K472" s="19"/>
    </row>
    <row r="473" spans="1:11" ht="13.2">
      <c r="A473" s="22"/>
      <c r="B473" s="16"/>
      <c r="C473" s="23"/>
      <c r="D473" s="24"/>
      <c r="E473" s="25"/>
      <c r="F473" s="26"/>
      <c r="G473" s="27"/>
      <c r="H473" s="20"/>
      <c r="I473" s="21"/>
      <c r="J473" s="28"/>
      <c r="K473" s="19"/>
    </row>
    <row r="474" spans="1:11" ht="13.2">
      <c r="A474" s="22"/>
      <c r="B474" s="16"/>
      <c r="C474" s="23"/>
      <c r="D474" s="24"/>
      <c r="E474" s="25"/>
      <c r="F474" s="26"/>
      <c r="G474" s="27"/>
      <c r="H474" s="20"/>
      <c r="I474" s="21"/>
      <c r="J474" s="28"/>
      <c r="K474" s="19"/>
    </row>
    <row r="475" spans="1:11" ht="13.2">
      <c r="A475" s="22"/>
      <c r="B475" s="16"/>
      <c r="C475" s="23"/>
      <c r="D475" s="24"/>
      <c r="E475" s="25"/>
      <c r="F475" s="26"/>
      <c r="G475" s="27"/>
      <c r="H475" s="20"/>
      <c r="I475" s="21"/>
      <c r="J475" s="28"/>
      <c r="K475" s="19"/>
    </row>
    <row r="476" spans="1:11" ht="13.2">
      <c r="A476" s="22"/>
      <c r="B476" s="16"/>
      <c r="C476" s="23"/>
      <c r="D476" s="24"/>
      <c r="E476" s="25"/>
      <c r="F476" s="26"/>
      <c r="G476" s="27"/>
      <c r="H476" s="20"/>
      <c r="I476" s="21"/>
      <c r="J476" s="28"/>
      <c r="K476" s="19"/>
    </row>
    <row r="477" spans="1:11" ht="13.2">
      <c r="A477" s="22"/>
      <c r="B477" s="16"/>
      <c r="C477" s="23"/>
      <c r="D477" s="24"/>
      <c r="E477" s="25"/>
      <c r="F477" s="26"/>
      <c r="G477" s="27"/>
      <c r="H477" s="20"/>
      <c r="I477" s="21"/>
      <c r="J477" s="28"/>
      <c r="K477" s="19"/>
    </row>
    <row r="478" spans="1:11" ht="13.2">
      <c r="A478" s="22"/>
      <c r="B478" s="16"/>
      <c r="C478" s="23"/>
      <c r="D478" s="24"/>
      <c r="E478" s="25"/>
      <c r="F478" s="26"/>
      <c r="G478" s="27"/>
      <c r="H478" s="20"/>
      <c r="I478" s="21"/>
      <c r="J478" s="28"/>
      <c r="K478" s="19"/>
    </row>
    <row r="479" spans="1:11" ht="13.2">
      <c r="A479" s="22"/>
      <c r="B479" s="16"/>
      <c r="C479" s="23"/>
      <c r="D479" s="24"/>
      <c r="E479" s="25"/>
      <c r="F479" s="26"/>
      <c r="G479" s="27"/>
      <c r="H479" s="20"/>
      <c r="I479" s="21"/>
      <c r="J479" s="28"/>
      <c r="K479" s="19"/>
    </row>
    <row r="480" spans="1:11" ht="13.2">
      <c r="A480" s="22"/>
      <c r="B480" s="16"/>
      <c r="C480" s="23"/>
      <c r="D480" s="24"/>
      <c r="E480" s="25"/>
      <c r="F480" s="26"/>
      <c r="G480" s="27"/>
      <c r="H480" s="20"/>
      <c r="I480" s="21"/>
      <c r="J480" s="28"/>
      <c r="K480" s="19"/>
    </row>
    <row r="481" spans="1:11" ht="13.2">
      <c r="A481" s="22"/>
      <c r="B481" s="16"/>
      <c r="C481" s="23"/>
      <c r="D481" s="24"/>
      <c r="E481" s="25"/>
      <c r="F481" s="26"/>
      <c r="G481" s="27"/>
      <c r="H481" s="20"/>
      <c r="I481" s="21"/>
      <c r="J481" s="28"/>
      <c r="K481" s="19"/>
    </row>
    <row r="482" spans="1:11" ht="13.2">
      <c r="A482" s="22"/>
      <c r="B482" s="16"/>
      <c r="C482" s="23"/>
      <c r="D482" s="24"/>
      <c r="E482" s="25"/>
      <c r="F482" s="26"/>
      <c r="G482" s="27"/>
      <c r="H482" s="20"/>
      <c r="I482" s="21"/>
      <c r="J482" s="28"/>
      <c r="K482" s="19"/>
    </row>
    <row r="483" spans="1:11" ht="13.2">
      <c r="A483" s="22"/>
      <c r="B483" s="16"/>
      <c r="C483" s="23"/>
      <c r="D483" s="24"/>
      <c r="E483" s="25"/>
      <c r="F483" s="26"/>
      <c r="G483" s="27"/>
      <c r="H483" s="20"/>
      <c r="I483" s="21"/>
      <c r="J483" s="28"/>
      <c r="K483" s="19"/>
    </row>
    <row r="484" spans="1:11" ht="13.2">
      <c r="A484" s="22"/>
      <c r="B484" s="16"/>
      <c r="C484" s="23"/>
      <c r="D484" s="24"/>
      <c r="E484" s="25"/>
      <c r="F484" s="26"/>
      <c r="G484" s="27"/>
      <c r="H484" s="20"/>
      <c r="I484" s="21"/>
      <c r="J484" s="28"/>
      <c r="K484" s="19"/>
    </row>
    <row r="485" spans="1:11" ht="13.2">
      <c r="A485" s="22"/>
      <c r="B485" s="16"/>
      <c r="C485" s="23"/>
      <c r="D485" s="24"/>
      <c r="E485" s="25"/>
      <c r="F485" s="26"/>
      <c r="G485" s="27"/>
      <c r="H485" s="20"/>
      <c r="I485" s="21"/>
      <c r="J485" s="28"/>
      <c r="K485" s="19"/>
    </row>
    <row r="486" spans="1:11" ht="13.2">
      <c r="A486" s="22"/>
      <c r="B486" s="16"/>
      <c r="C486" s="23"/>
      <c r="D486" s="24"/>
      <c r="E486" s="25"/>
      <c r="F486" s="26"/>
      <c r="G486" s="27"/>
      <c r="H486" s="20"/>
      <c r="I486" s="21"/>
      <c r="J486" s="28"/>
      <c r="K486" s="19"/>
    </row>
    <row r="487" spans="1:11" ht="13.2">
      <c r="A487" s="22"/>
      <c r="B487" s="16"/>
      <c r="C487" s="23"/>
      <c r="D487" s="24"/>
      <c r="E487" s="25"/>
      <c r="F487" s="26"/>
      <c r="G487" s="27"/>
      <c r="H487" s="20"/>
      <c r="I487" s="21"/>
      <c r="J487" s="28"/>
      <c r="K487" s="19"/>
    </row>
    <row r="488" spans="1:11" ht="13.2">
      <c r="A488" s="22"/>
      <c r="B488" s="16"/>
      <c r="C488" s="23"/>
      <c r="D488" s="24"/>
      <c r="E488" s="25"/>
      <c r="F488" s="26"/>
      <c r="G488" s="27"/>
      <c r="H488" s="20"/>
      <c r="I488" s="21"/>
      <c r="J488" s="28"/>
      <c r="K488" s="19"/>
    </row>
    <row r="489" spans="1:11" ht="13.2">
      <c r="A489" s="22"/>
      <c r="B489" s="16"/>
      <c r="C489" s="23"/>
      <c r="D489" s="24"/>
      <c r="E489" s="25"/>
      <c r="F489" s="26"/>
      <c r="G489" s="27"/>
      <c r="H489" s="20"/>
      <c r="I489" s="21"/>
      <c r="J489" s="28"/>
      <c r="K489" s="19"/>
    </row>
    <row r="490" spans="1:11" ht="13.2">
      <c r="A490" s="22"/>
      <c r="B490" s="16"/>
      <c r="C490" s="23"/>
      <c r="D490" s="24"/>
      <c r="E490" s="25"/>
      <c r="F490" s="26"/>
      <c r="G490" s="27"/>
      <c r="H490" s="20"/>
      <c r="I490" s="21"/>
      <c r="J490" s="28"/>
      <c r="K490" s="19"/>
    </row>
    <row r="491" spans="1:11" ht="13.2">
      <c r="A491" s="22"/>
      <c r="B491" s="16"/>
      <c r="C491" s="23"/>
      <c r="D491" s="24"/>
      <c r="E491" s="25"/>
      <c r="F491" s="26"/>
      <c r="G491" s="27"/>
      <c r="H491" s="20"/>
      <c r="I491" s="21"/>
      <c r="J491" s="28"/>
      <c r="K491" s="19"/>
    </row>
    <row r="492" spans="1:11" ht="13.2">
      <c r="A492" s="22"/>
      <c r="B492" s="16"/>
      <c r="C492" s="23"/>
      <c r="D492" s="24"/>
      <c r="E492" s="25"/>
      <c r="F492" s="26"/>
      <c r="G492" s="27"/>
      <c r="H492" s="20"/>
      <c r="I492" s="21"/>
      <c r="J492" s="28"/>
      <c r="K492" s="19"/>
    </row>
    <row r="493" spans="1:11" ht="13.2">
      <c r="A493" s="22"/>
      <c r="B493" s="16"/>
      <c r="C493" s="23"/>
      <c r="D493" s="24"/>
      <c r="E493" s="25"/>
      <c r="F493" s="26"/>
      <c r="G493" s="27"/>
      <c r="H493" s="20"/>
      <c r="I493" s="21"/>
      <c r="J493" s="28"/>
      <c r="K493" s="19"/>
    </row>
    <row r="494" spans="1:11" ht="13.2">
      <c r="A494" s="22"/>
      <c r="B494" s="16"/>
      <c r="C494" s="23"/>
      <c r="D494" s="24"/>
      <c r="E494" s="25"/>
      <c r="F494" s="26"/>
      <c r="G494" s="27"/>
      <c r="H494" s="20"/>
      <c r="I494" s="21"/>
      <c r="J494" s="28"/>
      <c r="K494" s="19"/>
    </row>
    <row r="495" spans="1:11" ht="13.2">
      <c r="A495" s="22"/>
      <c r="B495" s="16"/>
      <c r="C495" s="23"/>
      <c r="D495" s="24"/>
      <c r="E495" s="25"/>
      <c r="F495" s="26"/>
      <c r="G495" s="27"/>
      <c r="H495" s="20"/>
      <c r="I495" s="21"/>
      <c r="J495" s="28"/>
      <c r="K495" s="19"/>
    </row>
    <row r="496" spans="1:11" ht="13.2">
      <c r="A496" s="22"/>
      <c r="B496" s="16"/>
      <c r="C496" s="23"/>
      <c r="D496" s="24"/>
      <c r="E496" s="25"/>
      <c r="F496" s="26"/>
      <c r="G496" s="27"/>
      <c r="H496" s="20"/>
      <c r="I496" s="21"/>
      <c r="J496" s="28"/>
      <c r="K496" s="19"/>
    </row>
    <row r="497" spans="1:11" ht="13.2">
      <c r="A497" s="22"/>
      <c r="B497" s="16"/>
      <c r="C497" s="23"/>
      <c r="D497" s="24"/>
      <c r="E497" s="25"/>
      <c r="F497" s="26"/>
      <c r="G497" s="27"/>
      <c r="H497" s="20"/>
      <c r="I497" s="21"/>
      <c r="J497" s="28"/>
      <c r="K497" s="19"/>
    </row>
    <row r="498" spans="1:11" ht="13.2">
      <c r="A498" s="22"/>
      <c r="B498" s="16"/>
      <c r="C498" s="23"/>
      <c r="D498" s="24"/>
      <c r="E498" s="25"/>
      <c r="F498" s="26"/>
      <c r="G498" s="27"/>
      <c r="H498" s="20"/>
      <c r="I498" s="21"/>
      <c r="J498" s="28"/>
      <c r="K498" s="19"/>
    </row>
    <row r="499" spans="1:11" ht="13.2">
      <c r="A499" s="22"/>
      <c r="B499" s="16"/>
      <c r="C499" s="23"/>
      <c r="D499" s="24"/>
      <c r="E499" s="25"/>
      <c r="F499" s="26"/>
      <c r="G499" s="27"/>
      <c r="H499" s="20"/>
      <c r="I499" s="21"/>
      <c r="J499" s="28"/>
      <c r="K499" s="19"/>
    </row>
    <row r="500" spans="1:11" ht="13.2">
      <c r="A500" s="22"/>
      <c r="B500" s="16"/>
      <c r="C500" s="23"/>
      <c r="D500" s="24"/>
      <c r="E500" s="25"/>
      <c r="F500" s="26"/>
      <c r="G500" s="27"/>
      <c r="H500" s="20"/>
      <c r="I500" s="21"/>
      <c r="J500" s="28"/>
      <c r="K500" s="19"/>
    </row>
    <row r="501" spans="1:11" ht="13.2">
      <c r="A501" s="22"/>
      <c r="B501" s="16"/>
      <c r="C501" s="23"/>
      <c r="D501" s="24"/>
      <c r="E501" s="25"/>
      <c r="F501" s="26"/>
      <c r="G501" s="27"/>
      <c r="H501" s="20"/>
      <c r="I501" s="21"/>
      <c r="J501" s="28"/>
      <c r="K501" s="19"/>
    </row>
    <row r="502" spans="1:11" ht="13.2">
      <c r="A502" s="22"/>
      <c r="B502" s="16"/>
      <c r="C502" s="23"/>
      <c r="D502" s="24"/>
      <c r="E502" s="25"/>
      <c r="F502" s="26"/>
      <c r="G502" s="27"/>
      <c r="H502" s="20"/>
      <c r="I502" s="21"/>
      <c r="J502" s="28"/>
      <c r="K502" s="19"/>
    </row>
    <row r="503" spans="1:11" ht="13.2">
      <c r="A503" s="22"/>
      <c r="B503" s="16"/>
      <c r="C503" s="23"/>
      <c r="D503" s="24"/>
      <c r="E503" s="25"/>
      <c r="F503" s="26"/>
      <c r="G503" s="27"/>
      <c r="H503" s="20"/>
      <c r="I503" s="21"/>
      <c r="J503" s="28"/>
      <c r="K503" s="19"/>
    </row>
    <row r="504" spans="1:11" ht="13.2">
      <c r="A504" s="22"/>
      <c r="B504" s="16"/>
      <c r="C504" s="23"/>
      <c r="D504" s="24"/>
      <c r="E504" s="25"/>
      <c r="F504" s="26"/>
      <c r="G504" s="27"/>
      <c r="H504" s="20"/>
      <c r="I504" s="21"/>
      <c r="J504" s="28"/>
      <c r="K504" s="19"/>
    </row>
    <row r="505" spans="1:11" ht="13.2">
      <c r="A505" s="22"/>
      <c r="B505" s="16"/>
      <c r="C505" s="23"/>
      <c r="D505" s="24"/>
      <c r="E505" s="25"/>
      <c r="F505" s="26"/>
      <c r="G505" s="27"/>
      <c r="H505" s="20"/>
      <c r="I505" s="21"/>
      <c r="J505" s="28"/>
      <c r="K505" s="19"/>
    </row>
    <row r="506" spans="1:11" ht="13.2">
      <c r="A506" s="22"/>
      <c r="B506" s="16"/>
      <c r="C506" s="23"/>
      <c r="D506" s="24"/>
      <c r="E506" s="25"/>
      <c r="F506" s="26"/>
      <c r="G506" s="27"/>
      <c r="H506" s="20"/>
      <c r="I506" s="21"/>
      <c r="J506" s="28"/>
      <c r="K506" s="19"/>
    </row>
    <row r="507" spans="1:11" ht="13.2">
      <c r="A507" s="22"/>
      <c r="B507" s="16"/>
      <c r="C507" s="23"/>
      <c r="D507" s="24"/>
      <c r="E507" s="25"/>
      <c r="F507" s="26"/>
      <c r="G507" s="27"/>
      <c r="H507" s="20"/>
      <c r="I507" s="21"/>
      <c r="J507" s="28"/>
      <c r="K507" s="19"/>
    </row>
    <row r="508" spans="1:11" ht="13.2">
      <c r="A508" s="22"/>
      <c r="B508" s="16"/>
      <c r="C508" s="23"/>
      <c r="D508" s="24"/>
      <c r="E508" s="25"/>
      <c r="F508" s="26"/>
      <c r="G508" s="27"/>
      <c r="H508" s="20"/>
      <c r="I508" s="21"/>
      <c r="J508" s="28"/>
      <c r="K508" s="19"/>
    </row>
    <row r="509" spans="1:11" ht="13.2">
      <c r="A509" s="22"/>
      <c r="B509" s="16"/>
      <c r="C509" s="23"/>
      <c r="D509" s="24"/>
      <c r="E509" s="25"/>
      <c r="F509" s="26"/>
      <c r="G509" s="27"/>
      <c r="H509" s="20"/>
      <c r="I509" s="21"/>
      <c r="J509" s="28"/>
      <c r="K509" s="19"/>
    </row>
    <row r="510" spans="1:11" ht="13.2">
      <c r="A510" s="22"/>
      <c r="B510" s="16"/>
      <c r="C510" s="23"/>
      <c r="D510" s="24"/>
      <c r="E510" s="25"/>
      <c r="F510" s="26"/>
      <c r="G510" s="27"/>
      <c r="H510" s="20"/>
      <c r="I510" s="21"/>
      <c r="J510" s="28"/>
      <c r="K510" s="19"/>
    </row>
    <row r="511" spans="1:11" ht="13.2">
      <c r="A511" s="22"/>
      <c r="B511" s="16"/>
      <c r="C511" s="23"/>
      <c r="D511" s="24"/>
      <c r="E511" s="25"/>
      <c r="F511" s="26"/>
      <c r="G511" s="27"/>
      <c r="H511" s="20"/>
      <c r="I511" s="21"/>
      <c r="J511" s="28"/>
      <c r="K511" s="19"/>
    </row>
    <row r="512" spans="1:11" ht="13.2">
      <c r="A512" s="22"/>
      <c r="B512" s="16"/>
      <c r="C512" s="23"/>
      <c r="D512" s="24"/>
      <c r="E512" s="25"/>
      <c r="F512" s="26"/>
      <c r="G512" s="27"/>
      <c r="H512" s="20"/>
      <c r="I512" s="21"/>
      <c r="J512" s="28"/>
      <c r="K512" s="19"/>
    </row>
    <row r="513" spans="1:11" ht="13.2">
      <c r="A513" s="22"/>
      <c r="B513" s="16"/>
      <c r="C513" s="23"/>
      <c r="D513" s="24"/>
      <c r="E513" s="25"/>
      <c r="F513" s="26"/>
      <c r="G513" s="27"/>
      <c r="H513" s="20"/>
      <c r="I513" s="21"/>
      <c r="J513" s="28"/>
      <c r="K513" s="19"/>
    </row>
    <row r="514" spans="1:11" ht="13.2">
      <c r="A514" s="22"/>
      <c r="B514" s="16"/>
      <c r="C514" s="23"/>
      <c r="D514" s="24"/>
      <c r="E514" s="25"/>
      <c r="F514" s="26"/>
      <c r="G514" s="27"/>
      <c r="H514" s="20"/>
      <c r="I514" s="21"/>
      <c r="J514" s="28"/>
      <c r="K514" s="19"/>
    </row>
    <row r="515" spans="1:11" ht="13.2">
      <c r="A515" s="22"/>
      <c r="B515" s="16"/>
      <c r="C515" s="23"/>
      <c r="D515" s="24"/>
      <c r="E515" s="25"/>
      <c r="F515" s="26"/>
      <c r="G515" s="27"/>
      <c r="H515" s="20"/>
      <c r="I515" s="21"/>
      <c r="J515" s="28"/>
      <c r="K515" s="19"/>
    </row>
    <row r="516" spans="1:11" ht="13.2">
      <c r="A516" s="22"/>
      <c r="B516" s="16"/>
      <c r="C516" s="23"/>
      <c r="D516" s="24"/>
      <c r="E516" s="25"/>
      <c r="F516" s="26"/>
      <c r="G516" s="27"/>
      <c r="H516" s="20"/>
      <c r="I516" s="21"/>
      <c r="J516" s="28"/>
      <c r="K516" s="19"/>
    </row>
    <row r="517" spans="1:11" ht="13.2">
      <c r="A517" s="22"/>
      <c r="B517" s="16"/>
      <c r="C517" s="23"/>
      <c r="D517" s="24"/>
      <c r="E517" s="25"/>
      <c r="F517" s="26"/>
      <c r="G517" s="27"/>
      <c r="H517" s="20"/>
      <c r="I517" s="21"/>
      <c r="J517" s="28"/>
      <c r="K517" s="19"/>
    </row>
    <row r="518" spans="1:11" ht="13.2">
      <c r="A518" s="22"/>
      <c r="B518" s="16"/>
      <c r="C518" s="23"/>
      <c r="D518" s="24"/>
      <c r="E518" s="25"/>
      <c r="F518" s="26"/>
      <c r="G518" s="27"/>
      <c r="H518" s="20"/>
      <c r="I518" s="21"/>
      <c r="J518" s="28"/>
      <c r="K518" s="19"/>
    </row>
    <row r="519" spans="1:11" ht="13.2">
      <c r="A519" s="22"/>
      <c r="B519" s="16"/>
      <c r="C519" s="23"/>
      <c r="D519" s="24"/>
      <c r="E519" s="25"/>
      <c r="F519" s="26"/>
      <c r="G519" s="27"/>
      <c r="H519" s="20"/>
      <c r="I519" s="21"/>
      <c r="J519" s="28"/>
      <c r="K519" s="19"/>
    </row>
    <row r="520" spans="1:11" ht="13.2">
      <c r="A520" s="22"/>
      <c r="B520" s="16"/>
      <c r="C520" s="23"/>
      <c r="D520" s="24"/>
      <c r="E520" s="25"/>
      <c r="F520" s="26"/>
      <c r="G520" s="27"/>
      <c r="H520" s="20"/>
      <c r="I520" s="21"/>
      <c r="J520" s="28"/>
      <c r="K520" s="19"/>
    </row>
    <row r="521" spans="1:11" ht="13.2">
      <c r="A521" s="22"/>
      <c r="B521" s="16"/>
      <c r="C521" s="23"/>
      <c r="D521" s="24"/>
      <c r="E521" s="25"/>
      <c r="F521" s="26"/>
      <c r="G521" s="27"/>
      <c r="H521" s="20"/>
      <c r="I521" s="21"/>
      <c r="J521" s="28"/>
      <c r="K521" s="19"/>
    </row>
    <row r="522" spans="1:11" ht="13.2">
      <c r="A522" s="22"/>
      <c r="B522" s="16"/>
      <c r="C522" s="23"/>
      <c r="D522" s="24"/>
      <c r="E522" s="25"/>
      <c r="F522" s="26"/>
      <c r="G522" s="27"/>
      <c r="H522" s="20"/>
      <c r="I522" s="21"/>
      <c r="J522" s="28"/>
      <c r="K522" s="19"/>
    </row>
    <row r="523" spans="1:11" ht="13.2">
      <c r="A523" s="22"/>
      <c r="B523" s="16"/>
      <c r="C523" s="23"/>
      <c r="D523" s="24"/>
      <c r="E523" s="25"/>
      <c r="F523" s="26"/>
      <c r="G523" s="27"/>
      <c r="H523" s="20"/>
      <c r="I523" s="21"/>
      <c r="J523" s="28"/>
      <c r="K523" s="19"/>
    </row>
    <row r="524" spans="1:11" ht="13.2">
      <c r="A524" s="22"/>
      <c r="B524" s="16"/>
      <c r="C524" s="23"/>
      <c r="D524" s="24"/>
      <c r="E524" s="25"/>
      <c r="F524" s="26"/>
      <c r="G524" s="27"/>
      <c r="H524" s="20"/>
      <c r="I524" s="21"/>
      <c r="J524" s="28"/>
      <c r="K524" s="19"/>
    </row>
    <row r="525" spans="1:11" ht="13.2">
      <c r="A525" s="22"/>
      <c r="B525" s="16"/>
      <c r="C525" s="23"/>
      <c r="D525" s="24"/>
      <c r="E525" s="25"/>
      <c r="F525" s="26"/>
      <c r="G525" s="27"/>
      <c r="H525" s="20"/>
      <c r="I525" s="21"/>
      <c r="J525" s="28"/>
      <c r="K525" s="19"/>
    </row>
    <row r="526" spans="1:11" ht="13.2">
      <c r="A526" s="22"/>
      <c r="B526" s="16"/>
      <c r="C526" s="23"/>
      <c r="D526" s="24"/>
      <c r="E526" s="25"/>
      <c r="F526" s="26"/>
      <c r="G526" s="27"/>
      <c r="H526" s="20"/>
      <c r="I526" s="21"/>
      <c r="J526" s="28"/>
      <c r="K526" s="19"/>
    </row>
    <row r="527" spans="1:11" ht="13.2">
      <c r="A527" s="22"/>
      <c r="B527" s="16"/>
      <c r="C527" s="23"/>
      <c r="D527" s="24"/>
      <c r="E527" s="25"/>
      <c r="F527" s="26"/>
      <c r="G527" s="27"/>
      <c r="H527" s="20"/>
      <c r="I527" s="21"/>
      <c r="J527" s="28"/>
      <c r="K527" s="19"/>
    </row>
    <row r="528" spans="1:11" ht="13.2">
      <c r="A528" s="22"/>
      <c r="B528" s="16"/>
      <c r="C528" s="23"/>
      <c r="D528" s="24"/>
      <c r="E528" s="25"/>
      <c r="F528" s="26"/>
      <c r="G528" s="27"/>
      <c r="H528" s="20"/>
      <c r="I528" s="21"/>
      <c r="J528" s="28"/>
      <c r="K528" s="19"/>
    </row>
    <row r="529" spans="1:11" ht="13.2">
      <c r="A529" s="22"/>
      <c r="B529" s="16"/>
      <c r="C529" s="23"/>
      <c r="D529" s="24"/>
      <c r="E529" s="25"/>
      <c r="F529" s="26"/>
      <c r="G529" s="27"/>
      <c r="H529" s="20"/>
      <c r="I529" s="21"/>
      <c r="J529" s="28"/>
      <c r="K529" s="19"/>
    </row>
    <row r="530" spans="1:11" ht="13.2">
      <c r="A530" s="22"/>
      <c r="B530" s="16"/>
      <c r="C530" s="23"/>
      <c r="D530" s="24"/>
      <c r="E530" s="25"/>
      <c r="F530" s="26"/>
      <c r="G530" s="27"/>
      <c r="H530" s="20"/>
      <c r="I530" s="21"/>
      <c r="J530" s="28"/>
      <c r="K530" s="19"/>
    </row>
    <row r="531" spans="1:11" ht="13.2">
      <c r="A531" s="22"/>
      <c r="B531" s="16"/>
      <c r="C531" s="23"/>
      <c r="D531" s="24"/>
      <c r="E531" s="25"/>
      <c r="F531" s="26"/>
      <c r="G531" s="27"/>
      <c r="H531" s="20"/>
      <c r="I531" s="21"/>
      <c r="J531" s="28"/>
      <c r="K531" s="19"/>
    </row>
    <row r="532" spans="1:11" ht="13.2">
      <c r="A532" s="22"/>
      <c r="B532" s="16"/>
      <c r="C532" s="23"/>
      <c r="D532" s="24"/>
      <c r="E532" s="25"/>
      <c r="F532" s="26"/>
      <c r="G532" s="27"/>
      <c r="H532" s="20"/>
      <c r="I532" s="21"/>
      <c r="J532" s="28"/>
      <c r="K532" s="19"/>
    </row>
    <row r="533" spans="1:11" ht="13.2">
      <c r="A533" s="22"/>
      <c r="B533" s="16"/>
      <c r="C533" s="23"/>
      <c r="D533" s="24"/>
      <c r="E533" s="25"/>
      <c r="F533" s="26"/>
      <c r="G533" s="27"/>
      <c r="H533" s="20"/>
      <c r="I533" s="21"/>
      <c r="J533" s="28"/>
      <c r="K533" s="19"/>
    </row>
    <row r="534" spans="1:11" ht="13.2">
      <c r="A534" s="22"/>
      <c r="B534" s="16"/>
      <c r="C534" s="23"/>
      <c r="D534" s="24"/>
      <c r="E534" s="25"/>
      <c r="F534" s="26"/>
      <c r="G534" s="27"/>
      <c r="H534" s="20"/>
      <c r="I534" s="21"/>
      <c r="J534" s="28"/>
      <c r="K534" s="19"/>
    </row>
    <row r="535" spans="1:11" ht="13.2">
      <c r="A535" s="22"/>
      <c r="B535" s="16"/>
      <c r="C535" s="23"/>
      <c r="D535" s="24"/>
      <c r="E535" s="25"/>
      <c r="F535" s="26"/>
      <c r="G535" s="27"/>
      <c r="H535" s="20"/>
      <c r="I535" s="21"/>
      <c r="J535" s="28"/>
      <c r="K535" s="19"/>
    </row>
    <row r="536" spans="1:11" ht="13.2">
      <c r="A536" s="22"/>
      <c r="B536" s="16"/>
      <c r="C536" s="23"/>
      <c r="D536" s="24"/>
      <c r="E536" s="25"/>
      <c r="F536" s="26"/>
      <c r="G536" s="27"/>
      <c r="H536" s="20"/>
      <c r="I536" s="21"/>
      <c r="J536" s="28"/>
      <c r="K536" s="19"/>
    </row>
    <row r="537" spans="1:11" ht="13.2">
      <c r="A537" s="22"/>
      <c r="B537" s="16"/>
      <c r="C537" s="23"/>
      <c r="D537" s="24"/>
      <c r="E537" s="25"/>
      <c r="F537" s="26"/>
      <c r="G537" s="27"/>
      <c r="H537" s="20"/>
      <c r="I537" s="21"/>
      <c r="J537" s="28"/>
      <c r="K537" s="19"/>
    </row>
    <row r="538" spans="1:11" ht="13.2">
      <c r="A538" s="22"/>
      <c r="B538" s="16"/>
      <c r="C538" s="23"/>
      <c r="D538" s="24"/>
      <c r="E538" s="25"/>
      <c r="F538" s="26"/>
      <c r="G538" s="27"/>
      <c r="H538" s="20"/>
      <c r="I538" s="21"/>
      <c r="J538" s="28"/>
      <c r="K538" s="19"/>
    </row>
    <row r="539" spans="1:11" ht="13.2">
      <c r="A539" s="22"/>
      <c r="B539" s="16"/>
      <c r="C539" s="23"/>
      <c r="D539" s="24"/>
      <c r="E539" s="25"/>
      <c r="F539" s="26"/>
      <c r="G539" s="27"/>
      <c r="H539" s="20"/>
      <c r="I539" s="21"/>
      <c r="J539" s="28"/>
      <c r="K539" s="19"/>
    </row>
    <row r="540" spans="1:11" ht="13.2">
      <c r="A540" s="22"/>
      <c r="B540" s="16"/>
      <c r="C540" s="23"/>
      <c r="D540" s="24"/>
      <c r="E540" s="25"/>
      <c r="F540" s="26"/>
      <c r="G540" s="27"/>
      <c r="H540" s="20"/>
      <c r="I540" s="21"/>
      <c r="J540" s="28"/>
      <c r="K540" s="19"/>
    </row>
    <row r="541" spans="1:11" ht="13.2">
      <c r="A541" s="22"/>
      <c r="B541" s="16"/>
      <c r="C541" s="23"/>
      <c r="D541" s="24"/>
      <c r="E541" s="25"/>
      <c r="F541" s="26"/>
      <c r="G541" s="27"/>
      <c r="H541" s="20"/>
      <c r="I541" s="21"/>
      <c r="J541" s="28"/>
      <c r="K541" s="19"/>
    </row>
    <row r="542" spans="1:11" ht="13.2">
      <c r="A542" s="22"/>
      <c r="B542" s="16"/>
      <c r="C542" s="23"/>
      <c r="D542" s="24"/>
      <c r="E542" s="25"/>
      <c r="F542" s="26"/>
      <c r="G542" s="27"/>
      <c r="H542" s="20"/>
      <c r="I542" s="21"/>
      <c r="J542" s="28"/>
      <c r="K542" s="19"/>
    </row>
    <row r="543" spans="1:11" ht="13.2">
      <c r="A543" s="22"/>
      <c r="B543" s="16"/>
      <c r="C543" s="23"/>
      <c r="D543" s="24"/>
      <c r="E543" s="25"/>
      <c r="F543" s="26"/>
      <c r="G543" s="27"/>
      <c r="H543" s="20"/>
      <c r="I543" s="21"/>
      <c r="J543" s="28"/>
      <c r="K543" s="19"/>
    </row>
    <row r="544" spans="1:11" ht="13.2">
      <c r="A544" s="22"/>
      <c r="B544" s="16"/>
      <c r="C544" s="23"/>
      <c r="D544" s="24"/>
      <c r="E544" s="25"/>
      <c r="F544" s="26"/>
      <c r="G544" s="27"/>
      <c r="H544" s="20"/>
      <c r="I544" s="21"/>
      <c r="J544" s="28"/>
      <c r="K544" s="19"/>
    </row>
    <row r="545" spans="1:11" ht="13.2">
      <c r="A545" s="22"/>
      <c r="B545" s="16"/>
      <c r="C545" s="23"/>
      <c r="D545" s="24"/>
      <c r="E545" s="25"/>
      <c r="F545" s="26"/>
      <c r="G545" s="27"/>
      <c r="H545" s="20"/>
      <c r="I545" s="21"/>
      <c r="J545" s="28"/>
      <c r="K545" s="19"/>
    </row>
    <row r="546" spans="1:11" ht="13.2">
      <c r="A546" s="22"/>
      <c r="B546" s="16"/>
      <c r="C546" s="23"/>
      <c r="D546" s="24"/>
      <c r="E546" s="25"/>
      <c r="F546" s="26"/>
      <c r="G546" s="27"/>
      <c r="H546" s="20"/>
      <c r="I546" s="21"/>
      <c r="J546" s="28"/>
      <c r="K546" s="19"/>
    </row>
    <row r="547" spans="1:11" ht="13.2">
      <c r="A547" s="22"/>
      <c r="B547" s="16"/>
      <c r="C547" s="23"/>
      <c r="D547" s="24"/>
      <c r="E547" s="25"/>
      <c r="F547" s="26"/>
      <c r="G547" s="27"/>
      <c r="H547" s="20"/>
      <c r="I547" s="21"/>
      <c r="J547" s="28"/>
      <c r="K547" s="19"/>
    </row>
    <row r="548" spans="1:11" ht="13.2">
      <c r="A548" s="22"/>
      <c r="B548" s="16"/>
      <c r="C548" s="23"/>
      <c r="D548" s="24"/>
      <c r="E548" s="25"/>
      <c r="F548" s="26"/>
      <c r="G548" s="27"/>
      <c r="H548" s="20"/>
      <c r="I548" s="21"/>
      <c r="J548" s="28"/>
      <c r="K548" s="19"/>
    </row>
    <row r="549" spans="1:11" ht="13.2">
      <c r="A549" s="22"/>
      <c r="B549" s="16"/>
      <c r="C549" s="23"/>
      <c r="D549" s="24"/>
      <c r="E549" s="25"/>
      <c r="F549" s="26"/>
      <c r="G549" s="27"/>
      <c r="H549" s="20"/>
      <c r="I549" s="21"/>
      <c r="J549" s="28"/>
      <c r="K549" s="19"/>
    </row>
    <row r="550" spans="1:11" ht="13.2">
      <c r="A550" s="22"/>
      <c r="B550" s="16"/>
      <c r="C550" s="23"/>
      <c r="D550" s="24"/>
      <c r="E550" s="25"/>
      <c r="F550" s="26"/>
      <c r="G550" s="27"/>
      <c r="H550" s="20"/>
      <c r="I550" s="21"/>
      <c r="J550" s="28"/>
      <c r="K550" s="19"/>
    </row>
    <row r="551" spans="1:11" ht="13.2">
      <c r="A551" s="22"/>
      <c r="B551" s="16"/>
      <c r="C551" s="23"/>
      <c r="D551" s="24"/>
      <c r="E551" s="25"/>
      <c r="F551" s="26"/>
      <c r="G551" s="27"/>
      <c r="H551" s="20"/>
      <c r="I551" s="21"/>
      <c r="J551" s="28"/>
      <c r="K551" s="19"/>
    </row>
    <row r="552" spans="1:11" ht="13.2">
      <c r="A552" s="22"/>
      <c r="B552" s="16"/>
      <c r="C552" s="23"/>
      <c r="D552" s="24"/>
      <c r="E552" s="25"/>
      <c r="F552" s="26"/>
      <c r="G552" s="27"/>
      <c r="H552" s="20"/>
      <c r="I552" s="21"/>
      <c r="J552" s="28"/>
      <c r="K552" s="19"/>
    </row>
    <row r="553" spans="1:11" ht="13.2">
      <c r="A553" s="22"/>
      <c r="B553" s="16"/>
      <c r="C553" s="23"/>
      <c r="D553" s="24"/>
      <c r="E553" s="25"/>
      <c r="F553" s="26"/>
      <c r="G553" s="27"/>
      <c r="H553" s="20"/>
      <c r="I553" s="21"/>
      <c r="J553" s="28"/>
      <c r="K553" s="19"/>
    </row>
    <row r="554" spans="1:11" ht="13.2">
      <c r="A554" s="22"/>
      <c r="B554" s="16"/>
      <c r="C554" s="23"/>
      <c r="D554" s="24"/>
      <c r="E554" s="25"/>
      <c r="F554" s="26"/>
      <c r="G554" s="27"/>
      <c r="H554" s="20"/>
      <c r="I554" s="21"/>
      <c r="J554" s="28"/>
      <c r="K554" s="19"/>
    </row>
    <row r="555" spans="1:11" ht="13.2">
      <c r="A555" s="22"/>
      <c r="B555" s="16"/>
      <c r="C555" s="23"/>
      <c r="D555" s="24"/>
      <c r="E555" s="25"/>
      <c r="F555" s="26"/>
      <c r="G555" s="27"/>
      <c r="H555" s="20"/>
      <c r="I555" s="21"/>
      <c r="J555" s="28"/>
      <c r="K555" s="19"/>
    </row>
    <row r="556" spans="1:11" ht="13.2">
      <c r="A556" s="22"/>
      <c r="B556" s="16"/>
      <c r="C556" s="23"/>
      <c r="D556" s="24"/>
      <c r="E556" s="25"/>
      <c r="F556" s="26"/>
      <c r="G556" s="27"/>
      <c r="H556" s="20"/>
      <c r="I556" s="21"/>
      <c r="J556" s="28"/>
      <c r="K556" s="19"/>
    </row>
    <row r="557" spans="1:11" ht="13.2">
      <c r="A557" s="22"/>
      <c r="B557" s="16"/>
      <c r="C557" s="23"/>
      <c r="D557" s="24"/>
      <c r="E557" s="25"/>
      <c r="F557" s="26"/>
      <c r="G557" s="27"/>
      <c r="H557" s="20"/>
      <c r="I557" s="21"/>
      <c r="J557" s="28"/>
      <c r="K557" s="19"/>
    </row>
    <row r="558" spans="1:11" ht="13.2">
      <c r="A558" s="22"/>
      <c r="B558" s="16"/>
      <c r="C558" s="23"/>
      <c r="D558" s="24"/>
      <c r="E558" s="25"/>
      <c r="F558" s="26"/>
      <c r="G558" s="27"/>
      <c r="H558" s="20"/>
      <c r="I558" s="21"/>
      <c r="J558" s="28"/>
      <c r="K558" s="19"/>
    </row>
    <row r="559" spans="1:11" ht="13.2">
      <c r="A559" s="22"/>
      <c r="B559" s="16"/>
      <c r="C559" s="23"/>
      <c r="D559" s="24"/>
      <c r="E559" s="25"/>
      <c r="F559" s="26"/>
      <c r="G559" s="27"/>
      <c r="H559" s="20"/>
      <c r="I559" s="21"/>
      <c r="J559" s="28"/>
      <c r="K559" s="19"/>
    </row>
    <row r="560" spans="1:11" ht="13.2">
      <c r="A560" s="22"/>
      <c r="B560" s="16"/>
      <c r="C560" s="23"/>
      <c r="D560" s="24"/>
      <c r="E560" s="25"/>
      <c r="F560" s="26"/>
      <c r="G560" s="27"/>
      <c r="H560" s="20"/>
      <c r="I560" s="21"/>
      <c r="J560" s="28"/>
      <c r="K560" s="19"/>
    </row>
    <row r="561" spans="1:11" ht="13.2">
      <c r="A561" s="22"/>
      <c r="B561" s="16"/>
      <c r="C561" s="23"/>
      <c r="D561" s="24"/>
      <c r="E561" s="25"/>
      <c r="F561" s="26"/>
      <c r="G561" s="27"/>
      <c r="H561" s="20"/>
      <c r="I561" s="21"/>
      <c r="J561" s="28"/>
      <c r="K561" s="19"/>
    </row>
    <row r="562" spans="1:11" ht="13.2">
      <c r="A562" s="22"/>
      <c r="B562" s="16"/>
      <c r="C562" s="23"/>
      <c r="D562" s="24"/>
      <c r="E562" s="25"/>
      <c r="F562" s="26"/>
      <c r="G562" s="27"/>
      <c r="H562" s="20"/>
      <c r="I562" s="21"/>
      <c r="J562" s="28"/>
      <c r="K562" s="19"/>
    </row>
    <row r="563" spans="1:11" ht="13.2">
      <c r="A563" s="22"/>
      <c r="B563" s="16"/>
      <c r="C563" s="23"/>
      <c r="D563" s="24"/>
      <c r="E563" s="25"/>
      <c r="F563" s="26"/>
      <c r="G563" s="27"/>
      <c r="H563" s="20"/>
      <c r="I563" s="21"/>
      <c r="J563" s="28"/>
      <c r="K563" s="19"/>
    </row>
    <row r="564" spans="1:11" ht="13.2">
      <c r="A564" s="22"/>
      <c r="B564" s="16"/>
      <c r="C564" s="23"/>
      <c r="D564" s="24"/>
      <c r="E564" s="25"/>
      <c r="F564" s="26"/>
      <c r="G564" s="27"/>
      <c r="H564" s="20"/>
      <c r="I564" s="21"/>
      <c r="J564" s="28"/>
      <c r="K564" s="19"/>
    </row>
    <row r="565" spans="1:11" ht="13.2">
      <c r="A565" s="22"/>
      <c r="B565" s="16"/>
      <c r="C565" s="23"/>
      <c r="D565" s="24"/>
      <c r="E565" s="25"/>
      <c r="F565" s="26"/>
      <c r="G565" s="27"/>
      <c r="H565" s="20"/>
      <c r="I565" s="21"/>
      <c r="J565" s="28"/>
      <c r="K565" s="19"/>
    </row>
    <row r="566" spans="1:11" ht="13.2">
      <c r="A566" s="22"/>
      <c r="B566" s="16"/>
      <c r="C566" s="23"/>
      <c r="D566" s="24"/>
      <c r="E566" s="25"/>
      <c r="F566" s="26"/>
      <c r="G566" s="27"/>
      <c r="H566" s="20"/>
      <c r="I566" s="21"/>
      <c r="J566" s="28"/>
      <c r="K566" s="19"/>
    </row>
    <row r="567" spans="1:11" ht="13.2">
      <c r="A567" s="22"/>
      <c r="B567" s="16"/>
      <c r="C567" s="23"/>
      <c r="D567" s="24"/>
      <c r="E567" s="25"/>
      <c r="F567" s="26"/>
      <c r="G567" s="27"/>
      <c r="H567" s="20"/>
      <c r="I567" s="21"/>
      <c r="J567" s="28"/>
      <c r="K567" s="19"/>
    </row>
    <row r="568" spans="1:11" ht="13.2">
      <c r="A568" s="22"/>
      <c r="B568" s="16"/>
      <c r="C568" s="23"/>
      <c r="D568" s="24"/>
      <c r="E568" s="25"/>
      <c r="F568" s="26"/>
      <c r="G568" s="27"/>
      <c r="H568" s="20"/>
      <c r="I568" s="21"/>
      <c r="J568" s="28"/>
      <c r="K568" s="19"/>
    </row>
    <row r="569" spans="1:11" ht="13.2">
      <c r="A569" s="22"/>
      <c r="B569" s="16"/>
      <c r="C569" s="23"/>
      <c r="D569" s="24"/>
      <c r="E569" s="25"/>
      <c r="F569" s="26"/>
      <c r="G569" s="27"/>
      <c r="H569" s="20"/>
      <c r="I569" s="21"/>
      <c r="J569" s="28"/>
      <c r="K569" s="19"/>
    </row>
    <row r="570" spans="1:11" ht="13.2">
      <c r="A570" s="22"/>
      <c r="B570" s="16"/>
      <c r="C570" s="23"/>
      <c r="D570" s="24"/>
      <c r="E570" s="25"/>
      <c r="F570" s="26"/>
      <c r="G570" s="27"/>
      <c r="H570" s="20"/>
      <c r="I570" s="21"/>
      <c r="J570" s="28"/>
      <c r="K570" s="19"/>
    </row>
    <row r="571" spans="1:11" ht="13.2">
      <c r="A571" s="22"/>
      <c r="B571" s="16"/>
      <c r="C571" s="23"/>
      <c r="D571" s="24"/>
      <c r="E571" s="25"/>
      <c r="F571" s="26"/>
      <c r="G571" s="27"/>
      <c r="H571" s="20"/>
      <c r="I571" s="21"/>
      <c r="J571" s="28"/>
      <c r="K571" s="19"/>
    </row>
    <row r="572" spans="1:11" ht="13.2">
      <c r="A572" s="22"/>
      <c r="B572" s="16"/>
      <c r="C572" s="23"/>
      <c r="D572" s="24"/>
      <c r="E572" s="25"/>
      <c r="F572" s="26"/>
      <c r="G572" s="27"/>
      <c r="H572" s="20"/>
      <c r="I572" s="21"/>
      <c r="J572" s="28"/>
      <c r="K572" s="19"/>
    </row>
    <row r="573" spans="1:11" ht="13.2">
      <c r="A573" s="22"/>
      <c r="B573" s="16"/>
      <c r="C573" s="23"/>
      <c r="D573" s="24"/>
      <c r="E573" s="25"/>
      <c r="F573" s="26"/>
      <c r="G573" s="27"/>
      <c r="H573" s="20"/>
      <c r="I573" s="21"/>
      <c r="J573" s="28"/>
      <c r="K573" s="19"/>
    </row>
    <row r="574" spans="1:11" ht="13.2">
      <c r="A574" s="22"/>
      <c r="B574" s="16"/>
      <c r="C574" s="23"/>
      <c r="D574" s="24"/>
      <c r="E574" s="25"/>
      <c r="F574" s="26"/>
      <c r="G574" s="27"/>
      <c r="H574" s="20"/>
      <c r="I574" s="21"/>
      <c r="J574" s="28"/>
      <c r="K574" s="19"/>
    </row>
    <row r="575" spans="1:11" ht="13.2">
      <c r="A575" s="22"/>
      <c r="B575" s="16"/>
      <c r="C575" s="23"/>
      <c r="D575" s="24"/>
      <c r="E575" s="25"/>
      <c r="F575" s="26"/>
      <c r="G575" s="27"/>
      <c r="H575" s="20"/>
      <c r="I575" s="21"/>
      <c r="J575" s="28"/>
      <c r="K575" s="19"/>
    </row>
    <row r="576" spans="1:11" ht="13.2">
      <c r="A576" s="22"/>
      <c r="B576" s="16"/>
      <c r="C576" s="23"/>
      <c r="D576" s="24"/>
      <c r="E576" s="25"/>
      <c r="F576" s="26"/>
      <c r="G576" s="27"/>
      <c r="H576" s="20"/>
      <c r="I576" s="21"/>
      <c r="J576" s="28"/>
      <c r="K576" s="19"/>
    </row>
    <row r="577" spans="1:11" ht="13.2">
      <c r="A577" s="22"/>
      <c r="B577" s="16"/>
      <c r="C577" s="23"/>
      <c r="D577" s="24"/>
      <c r="E577" s="25"/>
      <c r="F577" s="26"/>
      <c r="G577" s="27"/>
      <c r="H577" s="20"/>
      <c r="I577" s="21"/>
      <c r="J577" s="28"/>
      <c r="K577" s="19"/>
    </row>
    <row r="578" spans="1:11" ht="13.2">
      <c r="A578" s="22"/>
      <c r="B578" s="16"/>
      <c r="C578" s="23"/>
      <c r="D578" s="24"/>
      <c r="E578" s="25"/>
      <c r="F578" s="26"/>
      <c r="G578" s="27"/>
      <c r="H578" s="20"/>
      <c r="I578" s="21"/>
      <c r="J578" s="28"/>
      <c r="K578" s="19"/>
    </row>
    <row r="579" spans="1:11" ht="13.2">
      <c r="A579" s="22"/>
      <c r="B579" s="16"/>
      <c r="C579" s="23"/>
      <c r="D579" s="24"/>
      <c r="E579" s="25"/>
      <c r="F579" s="26"/>
      <c r="G579" s="27"/>
      <c r="H579" s="20"/>
      <c r="I579" s="21"/>
      <c r="J579" s="28"/>
      <c r="K579" s="19"/>
    </row>
    <row r="580" spans="1:11" ht="13.2">
      <c r="A580" s="22"/>
      <c r="B580" s="16"/>
      <c r="C580" s="23"/>
      <c r="D580" s="24"/>
      <c r="E580" s="25"/>
      <c r="F580" s="26"/>
      <c r="G580" s="27"/>
      <c r="H580" s="20"/>
      <c r="I580" s="21"/>
      <c r="J580" s="28"/>
      <c r="K580" s="19"/>
    </row>
    <row r="581" spans="1:11" ht="13.2">
      <c r="A581" s="22"/>
      <c r="B581" s="16"/>
      <c r="C581" s="23"/>
      <c r="D581" s="24"/>
      <c r="E581" s="25"/>
      <c r="F581" s="26"/>
      <c r="G581" s="27"/>
      <c r="H581" s="20"/>
      <c r="I581" s="21"/>
      <c r="J581" s="28"/>
      <c r="K581" s="19"/>
    </row>
    <row r="582" spans="1:11" ht="13.2">
      <c r="A582" s="22"/>
      <c r="B582" s="16"/>
      <c r="C582" s="23"/>
      <c r="D582" s="24"/>
      <c r="E582" s="25"/>
      <c r="F582" s="26"/>
      <c r="G582" s="27"/>
      <c r="H582" s="20"/>
      <c r="I582" s="21"/>
      <c r="J582" s="28"/>
      <c r="K582" s="19"/>
    </row>
    <row r="583" spans="1:11" ht="13.2">
      <c r="A583" s="22"/>
      <c r="B583" s="16"/>
      <c r="C583" s="23"/>
      <c r="D583" s="24"/>
      <c r="E583" s="25"/>
      <c r="F583" s="26"/>
      <c r="G583" s="27"/>
      <c r="H583" s="20"/>
      <c r="I583" s="21"/>
      <c r="J583" s="28"/>
      <c r="K583" s="19"/>
    </row>
    <row r="584" spans="1:11" ht="13.2">
      <c r="A584" s="22"/>
      <c r="B584" s="16"/>
      <c r="C584" s="23"/>
      <c r="D584" s="24"/>
      <c r="E584" s="25"/>
      <c r="F584" s="26"/>
      <c r="G584" s="27"/>
      <c r="H584" s="20"/>
      <c r="I584" s="21"/>
      <c r="J584" s="28"/>
      <c r="K584" s="19"/>
    </row>
    <row r="585" spans="1:11" ht="13.2">
      <c r="A585" s="22"/>
      <c r="B585" s="16"/>
      <c r="C585" s="23"/>
      <c r="D585" s="24"/>
      <c r="E585" s="25"/>
      <c r="F585" s="26"/>
      <c r="G585" s="27"/>
      <c r="H585" s="20"/>
      <c r="I585" s="21"/>
      <c r="J585" s="28"/>
      <c r="K585" s="19"/>
    </row>
    <row r="586" spans="1:11" ht="13.2">
      <c r="A586" s="22"/>
      <c r="B586" s="16"/>
      <c r="C586" s="23"/>
      <c r="D586" s="24"/>
      <c r="E586" s="25"/>
      <c r="F586" s="26"/>
      <c r="G586" s="27"/>
      <c r="H586" s="20"/>
      <c r="I586" s="21"/>
      <c r="J586" s="28"/>
      <c r="K586" s="19"/>
    </row>
    <row r="587" spans="1:11" ht="13.2">
      <c r="A587" s="22"/>
      <c r="B587" s="16"/>
      <c r="C587" s="23"/>
      <c r="D587" s="24"/>
      <c r="E587" s="25"/>
      <c r="F587" s="26"/>
      <c r="G587" s="27"/>
      <c r="H587" s="20"/>
      <c r="I587" s="21"/>
      <c r="J587" s="28"/>
      <c r="K587" s="19"/>
    </row>
    <row r="588" spans="1:11" ht="13.2">
      <c r="A588" s="22"/>
      <c r="B588" s="16"/>
      <c r="C588" s="23"/>
      <c r="D588" s="24"/>
      <c r="E588" s="25"/>
      <c r="F588" s="26"/>
      <c r="G588" s="27"/>
      <c r="H588" s="20"/>
      <c r="I588" s="21"/>
      <c r="J588" s="28"/>
      <c r="K588" s="19"/>
    </row>
    <row r="589" spans="1:11" ht="13.2">
      <c r="A589" s="22"/>
      <c r="B589" s="16"/>
      <c r="C589" s="23"/>
      <c r="D589" s="24"/>
      <c r="E589" s="25"/>
      <c r="F589" s="26"/>
      <c r="G589" s="27"/>
      <c r="H589" s="20"/>
      <c r="I589" s="21"/>
      <c r="J589" s="28"/>
      <c r="K589" s="19"/>
    </row>
    <row r="590" spans="1:11" ht="13.2">
      <c r="A590" s="22"/>
      <c r="B590" s="16"/>
      <c r="C590" s="23"/>
      <c r="D590" s="24"/>
      <c r="E590" s="25"/>
      <c r="F590" s="26"/>
      <c r="G590" s="27"/>
      <c r="H590" s="20"/>
      <c r="I590" s="21"/>
      <c r="J590" s="28"/>
      <c r="K590" s="19"/>
    </row>
    <row r="591" spans="1:11" ht="13.2">
      <c r="A591" s="22"/>
      <c r="B591" s="16"/>
      <c r="C591" s="23"/>
      <c r="D591" s="24"/>
      <c r="E591" s="25"/>
      <c r="F591" s="26"/>
      <c r="G591" s="27"/>
      <c r="H591" s="20"/>
      <c r="I591" s="21"/>
      <c r="J591" s="28"/>
      <c r="K591" s="19"/>
    </row>
    <row r="592" spans="1:11" ht="13.2">
      <c r="A592" s="22"/>
      <c r="B592" s="16"/>
      <c r="C592" s="23"/>
      <c r="D592" s="24"/>
      <c r="E592" s="25"/>
      <c r="F592" s="26"/>
      <c r="G592" s="27"/>
      <c r="H592" s="20"/>
      <c r="I592" s="21"/>
      <c r="J592" s="28"/>
      <c r="K592" s="19"/>
    </row>
    <row r="593" spans="1:11" ht="13.2">
      <c r="A593" s="22"/>
      <c r="B593" s="16"/>
      <c r="C593" s="23"/>
      <c r="D593" s="24"/>
      <c r="E593" s="25"/>
      <c r="F593" s="26"/>
      <c r="G593" s="27"/>
      <c r="H593" s="20"/>
      <c r="I593" s="21"/>
      <c r="J593" s="28"/>
      <c r="K593" s="19"/>
    </row>
    <row r="594" spans="1:11" ht="13.2">
      <c r="A594" s="22"/>
      <c r="B594" s="16"/>
      <c r="C594" s="23"/>
      <c r="D594" s="24"/>
      <c r="E594" s="25"/>
      <c r="F594" s="26"/>
      <c r="G594" s="27"/>
      <c r="H594" s="20"/>
      <c r="I594" s="21"/>
      <c r="J594" s="28"/>
      <c r="K594" s="19"/>
    </row>
    <row r="595" spans="1:11" ht="13.2">
      <c r="A595" s="22"/>
      <c r="B595" s="16"/>
      <c r="C595" s="23"/>
      <c r="D595" s="24"/>
      <c r="E595" s="25"/>
      <c r="F595" s="26"/>
      <c r="G595" s="27"/>
      <c r="H595" s="20"/>
      <c r="I595" s="21"/>
      <c r="J595" s="28"/>
      <c r="K595" s="19"/>
    </row>
    <row r="596" spans="1:11" ht="13.2">
      <c r="A596" s="22"/>
      <c r="B596" s="16"/>
      <c r="C596" s="23"/>
      <c r="D596" s="24"/>
      <c r="E596" s="25"/>
      <c r="F596" s="26"/>
      <c r="G596" s="27"/>
      <c r="H596" s="20"/>
      <c r="I596" s="21"/>
      <c r="J596" s="28"/>
      <c r="K596" s="19"/>
    </row>
    <row r="597" spans="1:11" ht="13.2">
      <c r="A597" s="22"/>
      <c r="B597" s="16"/>
      <c r="C597" s="23"/>
      <c r="D597" s="24"/>
      <c r="E597" s="25"/>
      <c r="F597" s="26"/>
      <c r="G597" s="27"/>
      <c r="H597" s="20"/>
      <c r="I597" s="21"/>
      <c r="J597" s="28"/>
      <c r="K597" s="19"/>
    </row>
    <row r="598" spans="1:11" ht="13.2">
      <c r="A598" s="22"/>
      <c r="B598" s="16"/>
      <c r="C598" s="23"/>
      <c r="D598" s="24"/>
      <c r="E598" s="25"/>
      <c r="F598" s="26"/>
      <c r="G598" s="27"/>
      <c r="H598" s="20"/>
      <c r="I598" s="21"/>
      <c r="J598" s="28"/>
      <c r="K598" s="19"/>
    </row>
    <row r="599" spans="1:11" ht="13.2">
      <c r="A599" s="22"/>
      <c r="B599" s="16"/>
      <c r="C599" s="23"/>
      <c r="D599" s="24"/>
      <c r="E599" s="25"/>
      <c r="F599" s="26"/>
      <c r="G599" s="27"/>
      <c r="H599" s="20"/>
      <c r="I599" s="21"/>
      <c r="J599" s="28"/>
      <c r="K599" s="19"/>
    </row>
    <row r="600" spans="1:11" ht="13.2">
      <c r="A600" s="22"/>
      <c r="B600" s="16"/>
      <c r="C600" s="23"/>
      <c r="D600" s="24"/>
      <c r="E600" s="25"/>
      <c r="F600" s="26"/>
      <c r="G600" s="27"/>
      <c r="H600" s="20"/>
      <c r="I600" s="21"/>
      <c r="J600" s="28"/>
      <c r="K600" s="19"/>
    </row>
    <row r="601" spans="1:11" ht="13.2">
      <c r="A601" s="22"/>
      <c r="B601" s="16"/>
      <c r="C601" s="23"/>
      <c r="D601" s="24"/>
      <c r="E601" s="25"/>
      <c r="F601" s="26"/>
      <c r="G601" s="27"/>
      <c r="H601" s="20"/>
      <c r="I601" s="21"/>
      <c r="J601" s="28"/>
      <c r="K601" s="19"/>
    </row>
    <row r="602" spans="1:11" ht="13.2">
      <c r="A602" s="22"/>
      <c r="B602" s="16"/>
      <c r="C602" s="23"/>
      <c r="D602" s="24"/>
      <c r="E602" s="25"/>
      <c r="F602" s="26"/>
      <c r="G602" s="27"/>
      <c r="H602" s="20"/>
      <c r="I602" s="21"/>
      <c r="J602" s="28"/>
      <c r="K602" s="19"/>
    </row>
    <row r="603" spans="1:11" ht="13.2">
      <c r="A603" s="22"/>
      <c r="B603" s="16"/>
      <c r="C603" s="23"/>
      <c r="D603" s="24"/>
      <c r="E603" s="25"/>
      <c r="F603" s="26"/>
      <c r="G603" s="27"/>
      <c r="H603" s="20"/>
      <c r="I603" s="21"/>
      <c r="J603" s="28"/>
      <c r="K603" s="19"/>
    </row>
    <row r="604" spans="1:11" ht="13.2">
      <c r="A604" s="22"/>
      <c r="B604" s="16"/>
      <c r="C604" s="23"/>
      <c r="D604" s="24"/>
      <c r="E604" s="25"/>
      <c r="F604" s="26"/>
      <c r="G604" s="27"/>
      <c r="H604" s="20"/>
      <c r="I604" s="21"/>
      <c r="J604" s="28"/>
      <c r="K604" s="19"/>
    </row>
    <row r="605" spans="1:11" ht="13.2">
      <c r="A605" s="22"/>
      <c r="B605" s="16"/>
      <c r="C605" s="23"/>
      <c r="D605" s="24"/>
      <c r="E605" s="25"/>
      <c r="F605" s="26"/>
      <c r="G605" s="27"/>
      <c r="H605" s="20"/>
      <c r="I605" s="21"/>
      <c r="J605" s="28"/>
      <c r="K605" s="19"/>
    </row>
    <row r="606" spans="1:11" ht="13.2">
      <c r="A606" s="22"/>
      <c r="B606" s="16"/>
      <c r="C606" s="23"/>
      <c r="D606" s="24"/>
      <c r="E606" s="25"/>
      <c r="F606" s="26"/>
      <c r="G606" s="27"/>
      <c r="H606" s="20"/>
      <c r="I606" s="21"/>
      <c r="J606" s="28"/>
      <c r="K606" s="19"/>
    </row>
    <row r="607" spans="1:11" ht="13.2">
      <c r="A607" s="22"/>
      <c r="B607" s="16"/>
      <c r="C607" s="23"/>
      <c r="D607" s="24"/>
      <c r="E607" s="25"/>
      <c r="F607" s="26"/>
      <c r="G607" s="27"/>
      <c r="H607" s="20"/>
      <c r="I607" s="21"/>
      <c r="J607" s="28"/>
      <c r="K607" s="19"/>
    </row>
    <row r="608" spans="1:11" ht="13.2">
      <c r="A608" s="22"/>
      <c r="B608" s="16"/>
      <c r="C608" s="23"/>
      <c r="D608" s="24"/>
      <c r="E608" s="25"/>
      <c r="F608" s="26"/>
      <c r="G608" s="27"/>
      <c r="H608" s="20"/>
      <c r="I608" s="21"/>
      <c r="J608" s="28"/>
      <c r="K608" s="19"/>
    </row>
    <row r="609" spans="1:11" ht="13.2">
      <c r="A609" s="22"/>
      <c r="B609" s="16"/>
      <c r="C609" s="23"/>
      <c r="D609" s="24"/>
      <c r="E609" s="25"/>
      <c r="F609" s="26"/>
      <c r="G609" s="27"/>
      <c r="H609" s="20"/>
      <c r="I609" s="21"/>
      <c r="J609" s="28"/>
      <c r="K609" s="19"/>
    </row>
    <row r="610" spans="1:11" ht="13.2">
      <c r="A610" s="22"/>
      <c r="B610" s="16"/>
      <c r="C610" s="23"/>
      <c r="D610" s="24"/>
      <c r="E610" s="25"/>
      <c r="F610" s="26"/>
      <c r="G610" s="27"/>
      <c r="H610" s="20"/>
      <c r="I610" s="21"/>
      <c r="J610" s="28"/>
      <c r="K610" s="19"/>
    </row>
    <row r="611" spans="1:11" ht="13.2">
      <c r="A611" s="22"/>
      <c r="B611" s="16"/>
      <c r="C611" s="23"/>
      <c r="D611" s="24"/>
      <c r="E611" s="25"/>
      <c r="F611" s="26"/>
      <c r="G611" s="27"/>
      <c r="H611" s="20"/>
      <c r="I611" s="21"/>
      <c r="J611" s="28"/>
      <c r="K611" s="19"/>
    </row>
    <row r="612" spans="1:11" ht="13.2">
      <c r="A612" s="22"/>
      <c r="B612" s="16"/>
      <c r="C612" s="23"/>
      <c r="D612" s="24"/>
      <c r="E612" s="25"/>
      <c r="F612" s="26"/>
      <c r="G612" s="27"/>
      <c r="H612" s="20"/>
      <c r="I612" s="21"/>
      <c r="J612" s="28"/>
      <c r="K612" s="19"/>
    </row>
    <row r="613" spans="1:11" ht="13.2">
      <c r="A613" s="22"/>
      <c r="B613" s="16"/>
      <c r="C613" s="23"/>
      <c r="D613" s="24"/>
      <c r="E613" s="25"/>
      <c r="F613" s="26"/>
      <c r="G613" s="27"/>
      <c r="H613" s="20"/>
      <c r="I613" s="21"/>
      <c r="J613" s="28"/>
      <c r="K613" s="19"/>
    </row>
    <row r="614" spans="1:11" ht="13.2">
      <c r="A614" s="22"/>
      <c r="B614" s="16"/>
      <c r="C614" s="23"/>
      <c r="D614" s="24"/>
      <c r="E614" s="25"/>
      <c r="F614" s="26"/>
      <c r="G614" s="27"/>
      <c r="H614" s="20"/>
      <c r="I614" s="21"/>
      <c r="J614" s="28"/>
      <c r="K614" s="19"/>
    </row>
    <row r="615" spans="1:11" ht="13.2">
      <c r="A615" s="22"/>
      <c r="B615" s="16"/>
      <c r="C615" s="23"/>
      <c r="D615" s="24"/>
      <c r="E615" s="25"/>
      <c r="F615" s="26"/>
      <c r="G615" s="27"/>
      <c r="H615" s="20"/>
      <c r="I615" s="21"/>
      <c r="J615" s="28"/>
      <c r="K615" s="19"/>
    </row>
    <row r="616" spans="1:11" ht="13.2">
      <c r="A616" s="22"/>
      <c r="B616" s="16"/>
      <c r="C616" s="23"/>
      <c r="D616" s="24"/>
      <c r="E616" s="25"/>
      <c r="F616" s="26"/>
      <c r="G616" s="27"/>
      <c r="H616" s="20"/>
      <c r="I616" s="21"/>
      <c r="J616" s="28"/>
      <c r="K616" s="19"/>
    </row>
    <row r="617" spans="1:11" ht="13.2">
      <c r="A617" s="22"/>
      <c r="B617" s="16"/>
      <c r="C617" s="23"/>
      <c r="D617" s="24"/>
      <c r="E617" s="25"/>
      <c r="F617" s="26"/>
      <c r="G617" s="27"/>
      <c r="H617" s="20"/>
      <c r="I617" s="21"/>
      <c r="J617" s="28"/>
      <c r="K617" s="19"/>
    </row>
    <row r="618" spans="1:11" ht="13.2">
      <c r="A618" s="22"/>
      <c r="B618" s="16"/>
      <c r="C618" s="23"/>
      <c r="D618" s="24"/>
      <c r="E618" s="25"/>
      <c r="F618" s="26"/>
      <c r="G618" s="27"/>
      <c r="H618" s="20"/>
      <c r="I618" s="21"/>
      <c r="J618" s="28"/>
      <c r="K618" s="19"/>
    </row>
    <row r="619" spans="1:11" ht="13.2">
      <c r="A619" s="22"/>
      <c r="B619" s="16"/>
      <c r="C619" s="23"/>
      <c r="D619" s="24"/>
      <c r="E619" s="25"/>
      <c r="F619" s="26"/>
      <c r="G619" s="27"/>
      <c r="H619" s="20"/>
      <c r="I619" s="21"/>
      <c r="J619" s="28"/>
      <c r="K619" s="19"/>
    </row>
    <row r="620" spans="1:11" ht="13.2">
      <c r="A620" s="22"/>
      <c r="B620" s="16"/>
      <c r="C620" s="23"/>
      <c r="D620" s="24"/>
      <c r="E620" s="25"/>
      <c r="F620" s="26"/>
      <c r="G620" s="27"/>
      <c r="H620" s="20"/>
      <c r="I620" s="21"/>
      <c r="J620" s="28"/>
      <c r="K620" s="19"/>
    </row>
    <row r="621" spans="1:11" ht="13.2">
      <c r="A621" s="22"/>
      <c r="B621" s="16"/>
      <c r="C621" s="23"/>
      <c r="D621" s="24"/>
      <c r="E621" s="25"/>
      <c r="F621" s="26"/>
      <c r="G621" s="27"/>
      <c r="H621" s="20"/>
      <c r="I621" s="21"/>
      <c r="J621" s="28"/>
      <c r="K621" s="19"/>
    </row>
    <row r="622" spans="1:11" ht="13.2">
      <c r="A622" s="22"/>
      <c r="B622" s="16"/>
      <c r="C622" s="23"/>
      <c r="D622" s="24"/>
      <c r="E622" s="25"/>
      <c r="F622" s="26"/>
      <c r="G622" s="27"/>
      <c r="H622" s="20"/>
      <c r="I622" s="21"/>
      <c r="J622" s="28"/>
      <c r="K622" s="19"/>
    </row>
    <row r="623" spans="1:11" ht="13.2">
      <c r="A623" s="22"/>
      <c r="B623" s="16"/>
      <c r="C623" s="23"/>
      <c r="D623" s="24"/>
      <c r="E623" s="25"/>
      <c r="F623" s="26"/>
      <c r="G623" s="27"/>
      <c r="H623" s="20"/>
      <c r="I623" s="21"/>
      <c r="J623" s="28"/>
      <c r="K623" s="19"/>
    </row>
    <row r="624" spans="1:11" ht="13.2">
      <c r="A624" s="22"/>
      <c r="B624" s="16"/>
      <c r="C624" s="23"/>
      <c r="D624" s="24"/>
      <c r="E624" s="25"/>
      <c r="F624" s="26"/>
      <c r="G624" s="27"/>
      <c r="H624" s="20"/>
      <c r="I624" s="21"/>
      <c r="J624" s="28"/>
      <c r="K624" s="19"/>
    </row>
    <row r="625" spans="1:11" ht="13.2">
      <c r="A625" s="22"/>
      <c r="B625" s="16"/>
      <c r="C625" s="23"/>
      <c r="D625" s="24"/>
      <c r="E625" s="25"/>
      <c r="F625" s="26"/>
      <c r="G625" s="27"/>
      <c r="H625" s="20"/>
      <c r="I625" s="21"/>
      <c r="J625" s="28"/>
      <c r="K625" s="19"/>
    </row>
    <row r="626" spans="1:11" ht="13.2">
      <c r="A626" s="22"/>
      <c r="B626" s="16"/>
      <c r="C626" s="23"/>
      <c r="D626" s="24"/>
      <c r="E626" s="25"/>
      <c r="F626" s="26"/>
      <c r="G626" s="27"/>
      <c r="H626" s="20"/>
      <c r="I626" s="21"/>
      <c r="J626" s="28"/>
      <c r="K626" s="19"/>
    </row>
    <row r="627" spans="1:11" ht="13.2">
      <c r="A627" s="22"/>
      <c r="B627" s="16"/>
      <c r="C627" s="23"/>
      <c r="D627" s="24"/>
      <c r="E627" s="25"/>
      <c r="F627" s="26"/>
      <c r="G627" s="27"/>
      <c r="H627" s="20"/>
      <c r="I627" s="21"/>
      <c r="J627" s="28"/>
      <c r="K627" s="19"/>
    </row>
    <row r="628" spans="1:11" ht="13.2">
      <c r="A628" s="22"/>
      <c r="B628" s="16"/>
      <c r="C628" s="23"/>
      <c r="D628" s="24"/>
      <c r="E628" s="25"/>
      <c r="F628" s="26"/>
      <c r="G628" s="27"/>
      <c r="H628" s="20"/>
      <c r="I628" s="21"/>
      <c r="J628" s="28"/>
      <c r="K628" s="19"/>
    </row>
    <row r="629" spans="1:11" ht="13.2">
      <c r="A629" s="22"/>
      <c r="B629" s="16"/>
      <c r="C629" s="23"/>
      <c r="D629" s="24"/>
      <c r="E629" s="25"/>
      <c r="F629" s="26"/>
      <c r="G629" s="27"/>
      <c r="H629" s="20"/>
      <c r="I629" s="21"/>
      <c r="J629" s="28"/>
      <c r="K629" s="19"/>
    </row>
    <row r="630" spans="1:11" ht="13.2">
      <c r="A630" s="22"/>
      <c r="B630" s="16"/>
      <c r="C630" s="23"/>
      <c r="D630" s="24"/>
      <c r="E630" s="25"/>
      <c r="F630" s="26"/>
      <c r="G630" s="27"/>
      <c r="H630" s="20"/>
      <c r="I630" s="21"/>
      <c r="J630" s="28"/>
      <c r="K630" s="19"/>
    </row>
    <row r="631" spans="1:11" ht="13.2">
      <c r="A631" s="22"/>
      <c r="B631" s="16"/>
      <c r="C631" s="23"/>
      <c r="D631" s="24"/>
      <c r="E631" s="25"/>
      <c r="F631" s="26"/>
      <c r="G631" s="27"/>
      <c r="H631" s="20"/>
      <c r="I631" s="21"/>
      <c r="J631" s="28"/>
      <c r="K631" s="19"/>
    </row>
    <row r="632" spans="1:11" ht="13.2">
      <c r="A632" s="22"/>
      <c r="B632" s="16"/>
      <c r="C632" s="23"/>
      <c r="D632" s="24"/>
      <c r="E632" s="25"/>
      <c r="F632" s="26"/>
      <c r="G632" s="27"/>
      <c r="H632" s="20"/>
      <c r="I632" s="21"/>
      <c r="J632" s="28"/>
      <c r="K632" s="19"/>
    </row>
    <row r="633" spans="1:11" ht="13.2">
      <c r="A633" s="22"/>
      <c r="B633" s="16"/>
      <c r="C633" s="23"/>
      <c r="D633" s="24"/>
      <c r="E633" s="25"/>
      <c r="F633" s="26"/>
      <c r="G633" s="27"/>
      <c r="H633" s="20"/>
      <c r="I633" s="21"/>
      <c r="J633" s="28"/>
      <c r="K633" s="19"/>
    </row>
    <row r="634" spans="1:11" ht="13.2">
      <c r="A634" s="22"/>
      <c r="B634" s="16"/>
      <c r="C634" s="23"/>
      <c r="D634" s="24"/>
      <c r="E634" s="25"/>
      <c r="F634" s="26"/>
      <c r="G634" s="27"/>
      <c r="H634" s="20"/>
      <c r="I634" s="21"/>
      <c r="J634" s="28"/>
      <c r="K634" s="19"/>
    </row>
    <row r="635" spans="1:11" ht="13.2">
      <c r="A635" s="22"/>
      <c r="B635" s="16"/>
      <c r="C635" s="23"/>
      <c r="D635" s="24"/>
      <c r="E635" s="25"/>
      <c r="F635" s="26"/>
      <c r="G635" s="27"/>
      <c r="H635" s="20"/>
      <c r="I635" s="21"/>
      <c r="J635" s="28"/>
      <c r="K635" s="19"/>
    </row>
    <row r="636" spans="1:11" ht="13.2">
      <c r="A636" s="22"/>
      <c r="B636" s="16"/>
      <c r="C636" s="23"/>
      <c r="D636" s="24"/>
      <c r="E636" s="25"/>
      <c r="F636" s="26"/>
      <c r="G636" s="27"/>
      <c r="H636" s="20"/>
      <c r="I636" s="21"/>
      <c r="J636" s="28"/>
      <c r="K636" s="19"/>
    </row>
    <row r="637" spans="1:11" ht="13.2">
      <c r="A637" s="22"/>
      <c r="B637" s="16"/>
      <c r="C637" s="23"/>
      <c r="D637" s="24"/>
      <c r="E637" s="25"/>
      <c r="F637" s="26"/>
      <c r="G637" s="27"/>
      <c r="H637" s="20"/>
      <c r="I637" s="21"/>
      <c r="J637" s="28"/>
      <c r="K637" s="19"/>
    </row>
    <row r="638" spans="1:11" ht="13.2">
      <c r="A638" s="22"/>
      <c r="B638" s="16"/>
      <c r="C638" s="23"/>
      <c r="D638" s="24"/>
      <c r="E638" s="25"/>
      <c r="F638" s="26"/>
      <c r="G638" s="27"/>
      <c r="H638" s="20"/>
      <c r="I638" s="21"/>
      <c r="J638" s="28"/>
      <c r="K638" s="19"/>
    </row>
    <row r="639" spans="1:11" ht="13.2">
      <c r="A639" s="22"/>
      <c r="B639" s="16"/>
      <c r="C639" s="23"/>
      <c r="D639" s="24"/>
      <c r="E639" s="25"/>
      <c r="F639" s="26"/>
      <c r="G639" s="27"/>
      <c r="H639" s="20"/>
      <c r="I639" s="21"/>
      <c r="J639" s="28"/>
      <c r="K639" s="19"/>
    </row>
    <row r="640" spans="1:11" ht="13.2">
      <c r="A640" s="22"/>
      <c r="B640" s="16"/>
      <c r="C640" s="23"/>
      <c r="D640" s="24"/>
      <c r="E640" s="25"/>
      <c r="F640" s="26"/>
      <c r="G640" s="27"/>
      <c r="H640" s="20"/>
      <c r="I640" s="21"/>
      <c r="J640" s="28"/>
      <c r="K640" s="19"/>
    </row>
    <row r="641" spans="1:11" ht="13.2">
      <c r="A641" s="22"/>
      <c r="B641" s="16"/>
      <c r="C641" s="23"/>
      <c r="D641" s="24"/>
      <c r="E641" s="25"/>
      <c r="F641" s="26"/>
      <c r="G641" s="27"/>
      <c r="H641" s="20"/>
      <c r="I641" s="21"/>
      <c r="J641" s="28"/>
      <c r="K641" s="19"/>
    </row>
    <row r="642" spans="1:11" ht="13.2">
      <c r="A642" s="22"/>
      <c r="B642" s="16"/>
      <c r="C642" s="23"/>
      <c r="D642" s="24"/>
      <c r="E642" s="25"/>
      <c r="F642" s="26"/>
      <c r="G642" s="27"/>
      <c r="H642" s="20"/>
      <c r="I642" s="21"/>
      <c r="J642" s="28"/>
      <c r="K642" s="19"/>
    </row>
    <row r="643" spans="1:11" ht="13.2">
      <c r="A643" s="22"/>
      <c r="B643" s="16"/>
      <c r="C643" s="23"/>
      <c r="D643" s="24"/>
      <c r="E643" s="25"/>
      <c r="F643" s="26"/>
      <c r="G643" s="27"/>
      <c r="H643" s="20"/>
      <c r="I643" s="21"/>
      <c r="J643" s="28"/>
      <c r="K643" s="19"/>
    </row>
    <row r="644" spans="1:11" ht="13.2">
      <c r="A644" s="22"/>
      <c r="B644" s="16"/>
      <c r="C644" s="23"/>
      <c r="D644" s="24"/>
      <c r="E644" s="25"/>
      <c r="F644" s="26"/>
      <c r="G644" s="27"/>
      <c r="H644" s="20"/>
      <c r="I644" s="21"/>
      <c r="J644" s="28"/>
      <c r="K644" s="19"/>
    </row>
    <row r="645" spans="1:11" ht="13.2">
      <c r="A645" s="22"/>
      <c r="B645" s="16"/>
      <c r="C645" s="23"/>
      <c r="D645" s="24"/>
      <c r="E645" s="25"/>
      <c r="F645" s="26"/>
      <c r="G645" s="27"/>
      <c r="H645" s="20"/>
      <c r="I645" s="21"/>
      <c r="J645" s="28"/>
      <c r="K645" s="19"/>
    </row>
    <row r="646" spans="1:11" ht="13.2">
      <c r="A646" s="22"/>
      <c r="B646" s="16"/>
      <c r="C646" s="23"/>
      <c r="D646" s="24"/>
      <c r="E646" s="25"/>
      <c r="F646" s="26"/>
      <c r="G646" s="27"/>
      <c r="H646" s="20"/>
      <c r="I646" s="21"/>
      <c r="J646" s="28"/>
      <c r="K646" s="19"/>
    </row>
    <row r="647" spans="1:11" ht="13.2">
      <c r="A647" s="22"/>
      <c r="B647" s="16"/>
      <c r="C647" s="23"/>
      <c r="D647" s="24"/>
      <c r="E647" s="25"/>
      <c r="F647" s="26"/>
      <c r="G647" s="27"/>
      <c r="H647" s="20"/>
      <c r="I647" s="21"/>
      <c r="J647" s="28"/>
      <c r="K647" s="19"/>
    </row>
    <row r="648" spans="1:11" ht="13.2">
      <c r="A648" s="22"/>
      <c r="B648" s="16"/>
      <c r="C648" s="23"/>
      <c r="D648" s="24"/>
      <c r="E648" s="25"/>
      <c r="F648" s="26"/>
      <c r="G648" s="27"/>
      <c r="H648" s="20"/>
      <c r="I648" s="21"/>
      <c r="J648" s="28"/>
      <c r="K648" s="19"/>
    </row>
    <row r="649" spans="1:11" ht="13.2">
      <c r="A649" s="22"/>
      <c r="B649" s="16"/>
      <c r="C649" s="23"/>
      <c r="D649" s="24"/>
      <c r="E649" s="25"/>
      <c r="F649" s="26"/>
      <c r="G649" s="27"/>
      <c r="H649" s="20"/>
      <c r="I649" s="21"/>
      <c r="J649" s="28"/>
      <c r="K649" s="19"/>
    </row>
    <row r="650" spans="1:11" ht="13.2">
      <c r="A650" s="22"/>
      <c r="B650" s="16"/>
      <c r="C650" s="23"/>
      <c r="D650" s="24"/>
      <c r="E650" s="25"/>
      <c r="F650" s="26"/>
      <c r="G650" s="27"/>
      <c r="H650" s="20"/>
      <c r="I650" s="21"/>
      <c r="J650" s="28"/>
      <c r="K650" s="19"/>
    </row>
    <row r="651" spans="1:11" ht="13.2">
      <c r="A651" s="22"/>
      <c r="B651" s="16"/>
      <c r="C651" s="23"/>
      <c r="D651" s="24"/>
      <c r="E651" s="25"/>
      <c r="F651" s="26"/>
      <c r="G651" s="27"/>
      <c r="H651" s="20"/>
      <c r="I651" s="21"/>
      <c r="J651" s="28"/>
      <c r="K651" s="19"/>
    </row>
    <row r="652" spans="1:11" ht="13.2">
      <c r="A652" s="22"/>
      <c r="B652" s="16"/>
      <c r="C652" s="23"/>
      <c r="D652" s="24"/>
      <c r="E652" s="25"/>
      <c r="F652" s="26"/>
      <c r="G652" s="27"/>
      <c r="H652" s="20"/>
      <c r="I652" s="21"/>
      <c r="J652" s="28"/>
      <c r="K652" s="19"/>
    </row>
    <row r="653" spans="1:11" ht="13.2">
      <c r="A653" s="22"/>
      <c r="B653" s="16"/>
      <c r="C653" s="23"/>
      <c r="D653" s="24"/>
      <c r="E653" s="25"/>
      <c r="F653" s="26"/>
      <c r="G653" s="27"/>
      <c r="H653" s="20"/>
      <c r="I653" s="21"/>
      <c r="J653" s="28"/>
      <c r="K653" s="19"/>
    </row>
    <row r="654" spans="1:11" ht="13.2">
      <c r="A654" s="22"/>
      <c r="B654" s="16"/>
      <c r="C654" s="23"/>
      <c r="D654" s="24"/>
      <c r="E654" s="25"/>
      <c r="F654" s="26"/>
      <c r="G654" s="27"/>
      <c r="H654" s="20"/>
      <c r="I654" s="21"/>
      <c r="J654" s="28"/>
      <c r="K654" s="19"/>
    </row>
    <row r="655" spans="1:11" ht="13.2">
      <c r="A655" s="22"/>
      <c r="B655" s="16"/>
      <c r="C655" s="23"/>
      <c r="D655" s="24"/>
      <c r="E655" s="25"/>
      <c r="F655" s="26"/>
      <c r="G655" s="27"/>
      <c r="H655" s="20"/>
      <c r="I655" s="21"/>
      <c r="J655" s="28"/>
      <c r="K655" s="19"/>
    </row>
    <row r="656" spans="1:11" ht="13.2">
      <c r="A656" s="22"/>
      <c r="B656" s="16"/>
      <c r="C656" s="23"/>
      <c r="D656" s="24"/>
      <c r="E656" s="25"/>
      <c r="F656" s="26"/>
      <c r="G656" s="27"/>
      <c r="H656" s="20"/>
      <c r="I656" s="21"/>
      <c r="J656" s="28"/>
      <c r="K656" s="19"/>
    </row>
    <row r="657" spans="1:11" ht="13.2">
      <c r="A657" s="22"/>
      <c r="B657" s="16"/>
      <c r="C657" s="23"/>
      <c r="D657" s="24"/>
      <c r="E657" s="25"/>
      <c r="F657" s="26"/>
      <c r="G657" s="27"/>
      <c r="H657" s="20"/>
      <c r="I657" s="21"/>
      <c r="J657" s="28"/>
      <c r="K657" s="19"/>
    </row>
    <row r="658" spans="1:11" ht="13.2">
      <c r="A658" s="22"/>
      <c r="B658" s="16"/>
      <c r="C658" s="23"/>
      <c r="D658" s="24"/>
      <c r="E658" s="25"/>
      <c r="F658" s="26"/>
      <c r="G658" s="27"/>
      <c r="H658" s="20"/>
      <c r="I658" s="21"/>
      <c r="J658" s="28"/>
      <c r="K658" s="19"/>
    </row>
    <row r="659" spans="1:11" ht="13.2">
      <c r="A659" s="22"/>
      <c r="B659" s="16"/>
      <c r="C659" s="23"/>
      <c r="D659" s="24"/>
      <c r="E659" s="25"/>
      <c r="F659" s="26"/>
      <c r="G659" s="27"/>
      <c r="H659" s="20"/>
      <c r="I659" s="21"/>
      <c r="J659" s="28"/>
      <c r="K659" s="19"/>
    </row>
    <row r="660" spans="1:11" ht="13.2">
      <c r="A660" s="22"/>
      <c r="B660" s="16"/>
      <c r="C660" s="23"/>
      <c r="D660" s="24"/>
      <c r="E660" s="25"/>
      <c r="F660" s="26"/>
      <c r="G660" s="27"/>
      <c r="H660" s="20"/>
      <c r="I660" s="21"/>
      <c r="J660" s="28"/>
      <c r="K660" s="19"/>
    </row>
    <row r="661" spans="1:11" ht="13.2">
      <c r="A661" s="22"/>
      <c r="B661" s="16"/>
      <c r="C661" s="23"/>
      <c r="D661" s="24"/>
      <c r="E661" s="25"/>
      <c r="F661" s="26"/>
      <c r="G661" s="27"/>
      <c r="H661" s="20"/>
      <c r="I661" s="21"/>
      <c r="J661" s="28"/>
      <c r="K661" s="19"/>
    </row>
    <row r="662" spans="1:11" ht="13.2">
      <c r="A662" s="22"/>
      <c r="B662" s="16"/>
      <c r="C662" s="23"/>
      <c r="D662" s="24"/>
      <c r="E662" s="25"/>
      <c r="F662" s="26"/>
      <c r="G662" s="27"/>
      <c r="H662" s="20"/>
      <c r="I662" s="21"/>
      <c r="J662" s="28"/>
      <c r="K662" s="19"/>
    </row>
    <row r="663" spans="1:11" ht="13.2">
      <c r="A663" s="22"/>
      <c r="B663" s="16"/>
      <c r="C663" s="23"/>
      <c r="D663" s="24"/>
      <c r="E663" s="25"/>
      <c r="F663" s="26"/>
      <c r="G663" s="27"/>
      <c r="H663" s="20"/>
      <c r="I663" s="21"/>
      <c r="J663" s="28"/>
      <c r="K663" s="19"/>
    </row>
    <row r="664" spans="1:11" ht="13.2">
      <c r="A664" s="22"/>
      <c r="B664" s="16"/>
      <c r="C664" s="23"/>
      <c r="D664" s="24"/>
      <c r="E664" s="25"/>
      <c r="F664" s="26"/>
      <c r="G664" s="27"/>
      <c r="H664" s="20"/>
      <c r="I664" s="21"/>
      <c r="J664" s="28"/>
      <c r="K664" s="19"/>
    </row>
    <row r="665" spans="1:11" ht="13.2">
      <c r="A665" s="22"/>
      <c r="B665" s="16"/>
      <c r="C665" s="23"/>
      <c r="D665" s="24"/>
      <c r="E665" s="25"/>
      <c r="F665" s="26"/>
      <c r="G665" s="27"/>
      <c r="H665" s="20"/>
      <c r="I665" s="21"/>
      <c r="J665" s="28"/>
      <c r="K665" s="19"/>
    </row>
    <row r="666" spans="1:11" ht="13.2">
      <c r="A666" s="22"/>
      <c r="B666" s="16"/>
      <c r="C666" s="23"/>
      <c r="D666" s="24"/>
      <c r="E666" s="25"/>
      <c r="F666" s="26"/>
      <c r="G666" s="27"/>
      <c r="H666" s="20"/>
      <c r="I666" s="21"/>
      <c r="J666" s="28"/>
      <c r="K666" s="19"/>
    </row>
    <row r="667" spans="1:11" ht="13.2">
      <c r="A667" s="22"/>
      <c r="B667" s="16"/>
      <c r="C667" s="23"/>
      <c r="D667" s="24"/>
      <c r="E667" s="25"/>
      <c r="F667" s="26"/>
      <c r="G667" s="27"/>
      <c r="H667" s="20"/>
      <c r="I667" s="21"/>
      <c r="J667" s="28"/>
      <c r="K667" s="19"/>
    </row>
    <row r="668" spans="1:11" ht="13.2">
      <c r="A668" s="22"/>
      <c r="B668" s="16"/>
      <c r="C668" s="23"/>
      <c r="D668" s="24"/>
      <c r="E668" s="25"/>
      <c r="F668" s="26"/>
      <c r="G668" s="27"/>
      <c r="H668" s="20"/>
      <c r="I668" s="21"/>
      <c r="J668" s="28"/>
      <c r="K668" s="19"/>
    </row>
    <row r="669" spans="1:11" ht="13.2">
      <c r="A669" s="22"/>
      <c r="B669" s="16"/>
      <c r="C669" s="23"/>
      <c r="D669" s="24"/>
      <c r="E669" s="25"/>
      <c r="F669" s="26"/>
      <c r="G669" s="27"/>
      <c r="H669" s="20"/>
      <c r="I669" s="21"/>
      <c r="J669" s="28"/>
      <c r="K669" s="19"/>
    </row>
    <row r="670" spans="1:11" ht="13.2">
      <c r="A670" s="22"/>
      <c r="B670" s="16"/>
      <c r="C670" s="23"/>
      <c r="D670" s="24"/>
      <c r="E670" s="25"/>
      <c r="F670" s="26"/>
      <c r="G670" s="27"/>
      <c r="H670" s="20"/>
      <c r="I670" s="21"/>
      <c r="J670" s="28"/>
      <c r="K670" s="19"/>
    </row>
    <row r="671" spans="1:11" ht="13.2">
      <c r="A671" s="22"/>
      <c r="B671" s="16"/>
      <c r="C671" s="23"/>
      <c r="D671" s="24"/>
      <c r="E671" s="25"/>
      <c r="F671" s="26"/>
      <c r="G671" s="27"/>
      <c r="H671" s="20"/>
      <c r="I671" s="21"/>
      <c r="J671" s="28"/>
      <c r="K671" s="19"/>
    </row>
    <row r="672" spans="1:11" ht="13.2">
      <c r="A672" s="22"/>
      <c r="B672" s="16"/>
      <c r="C672" s="23"/>
      <c r="D672" s="24"/>
      <c r="E672" s="25"/>
      <c r="F672" s="26"/>
      <c r="G672" s="27"/>
      <c r="H672" s="20"/>
      <c r="I672" s="21"/>
      <c r="J672" s="28"/>
      <c r="K672" s="19"/>
    </row>
    <row r="673" spans="1:11" ht="13.2">
      <c r="A673" s="22"/>
      <c r="B673" s="16"/>
      <c r="C673" s="23"/>
      <c r="D673" s="24"/>
      <c r="E673" s="25"/>
      <c r="F673" s="26"/>
      <c r="G673" s="27"/>
      <c r="H673" s="20"/>
      <c r="I673" s="21"/>
      <c r="J673" s="28"/>
      <c r="K673" s="19"/>
    </row>
    <row r="674" spans="1:11" ht="13.2">
      <c r="A674" s="22"/>
      <c r="B674" s="16"/>
      <c r="C674" s="23"/>
      <c r="D674" s="24"/>
      <c r="E674" s="25"/>
      <c r="F674" s="26"/>
      <c r="G674" s="27"/>
      <c r="H674" s="20"/>
      <c r="I674" s="21"/>
      <c r="J674" s="28"/>
      <c r="K674" s="19"/>
    </row>
    <row r="675" spans="1:11" ht="13.2">
      <c r="A675" s="22"/>
      <c r="B675" s="16"/>
      <c r="C675" s="23"/>
      <c r="D675" s="24"/>
      <c r="E675" s="25"/>
      <c r="F675" s="26"/>
      <c r="G675" s="27"/>
      <c r="H675" s="20"/>
      <c r="I675" s="21"/>
      <c r="J675" s="28"/>
      <c r="K675" s="19"/>
    </row>
    <row r="676" spans="1:11" ht="13.2">
      <c r="A676" s="22"/>
      <c r="B676" s="16"/>
      <c r="C676" s="23"/>
      <c r="D676" s="24"/>
      <c r="E676" s="25"/>
      <c r="F676" s="26"/>
      <c r="G676" s="27"/>
      <c r="H676" s="20"/>
      <c r="I676" s="21"/>
      <c r="J676" s="28"/>
      <c r="K676" s="19"/>
    </row>
    <row r="677" spans="1:11" ht="13.2">
      <c r="A677" s="22"/>
      <c r="B677" s="16"/>
      <c r="C677" s="23"/>
      <c r="D677" s="24"/>
      <c r="E677" s="25"/>
      <c r="F677" s="26"/>
      <c r="G677" s="27"/>
      <c r="H677" s="20"/>
      <c r="I677" s="21"/>
      <c r="J677" s="28"/>
      <c r="K677" s="19"/>
    </row>
    <row r="678" spans="1:11" ht="13.2">
      <c r="A678" s="22"/>
      <c r="B678" s="16"/>
      <c r="C678" s="23"/>
      <c r="D678" s="24"/>
      <c r="E678" s="25"/>
      <c r="F678" s="26"/>
      <c r="G678" s="27"/>
      <c r="H678" s="20"/>
      <c r="I678" s="21"/>
      <c r="J678" s="28"/>
      <c r="K678" s="19"/>
    </row>
    <row r="679" spans="1:11" ht="13.2">
      <c r="A679" s="22"/>
      <c r="B679" s="16"/>
      <c r="C679" s="23"/>
      <c r="D679" s="24"/>
      <c r="E679" s="25"/>
      <c r="F679" s="26"/>
      <c r="G679" s="27"/>
      <c r="H679" s="20"/>
      <c r="I679" s="21"/>
      <c r="J679" s="28"/>
      <c r="K679" s="19"/>
    </row>
    <row r="680" spans="1:11" ht="13.2">
      <c r="A680" s="22"/>
      <c r="B680" s="16"/>
      <c r="C680" s="23"/>
      <c r="D680" s="24"/>
      <c r="E680" s="25"/>
      <c r="F680" s="26"/>
      <c r="G680" s="27"/>
      <c r="H680" s="20"/>
      <c r="I680" s="21"/>
      <c r="J680" s="28"/>
      <c r="K680" s="19"/>
    </row>
    <row r="681" spans="1:11" ht="13.2">
      <c r="A681" s="22"/>
      <c r="B681" s="16"/>
      <c r="C681" s="23"/>
      <c r="D681" s="24"/>
      <c r="E681" s="25"/>
      <c r="F681" s="26"/>
      <c r="G681" s="27"/>
      <c r="H681" s="20"/>
      <c r="I681" s="21"/>
      <c r="J681" s="28"/>
      <c r="K681" s="19"/>
    </row>
    <row r="682" spans="1:11" ht="13.2">
      <c r="A682" s="22"/>
      <c r="B682" s="16"/>
      <c r="C682" s="23"/>
      <c r="D682" s="24"/>
      <c r="E682" s="25"/>
      <c r="F682" s="26"/>
      <c r="G682" s="27"/>
      <c r="H682" s="20"/>
      <c r="I682" s="21"/>
      <c r="J682" s="28"/>
      <c r="K682" s="19"/>
    </row>
    <row r="683" spans="1:11" ht="13.2">
      <c r="A683" s="22"/>
      <c r="B683" s="16"/>
      <c r="C683" s="23"/>
      <c r="D683" s="24"/>
      <c r="E683" s="25"/>
      <c r="F683" s="26"/>
      <c r="G683" s="27"/>
      <c r="H683" s="20"/>
      <c r="I683" s="21"/>
      <c r="J683" s="28"/>
      <c r="K683" s="19"/>
    </row>
    <row r="684" spans="1:11" ht="13.2">
      <c r="A684" s="22"/>
      <c r="B684" s="16"/>
      <c r="C684" s="23"/>
      <c r="D684" s="24"/>
      <c r="E684" s="25"/>
      <c r="F684" s="26"/>
      <c r="G684" s="27"/>
      <c r="H684" s="20"/>
      <c r="I684" s="21"/>
      <c r="J684" s="28"/>
      <c r="K684" s="19"/>
    </row>
    <row r="685" spans="1:11" ht="13.2">
      <c r="A685" s="22"/>
      <c r="B685" s="16"/>
      <c r="C685" s="23"/>
      <c r="D685" s="24"/>
      <c r="E685" s="25"/>
      <c r="F685" s="26"/>
      <c r="G685" s="27"/>
      <c r="H685" s="20"/>
      <c r="I685" s="21"/>
      <c r="J685" s="28"/>
      <c r="K685" s="19"/>
    </row>
    <row r="686" spans="1:11" ht="13.2">
      <c r="A686" s="22"/>
      <c r="B686" s="16"/>
      <c r="C686" s="23"/>
      <c r="D686" s="24"/>
      <c r="E686" s="25"/>
      <c r="F686" s="26"/>
      <c r="G686" s="27"/>
      <c r="H686" s="20"/>
      <c r="I686" s="21"/>
      <c r="J686" s="28"/>
      <c r="K686" s="19"/>
    </row>
    <row r="687" spans="1:11" ht="13.2">
      <c r="A687" s="22"/>
      <c r="B687" s="16"/>
      <c r="C687" s="23"/>
      <c r="D687" s="24"/>
      <c r="E687" s="25"/>
      <c r="F687" s="26"/>
      <c r="G687" s="27"/>
      <c r="H687" s="20"/>
      <c r="I687" s="21"/>
      <c r="J687" s="28"/>
      <c r="K687" s="19"/>
    </row>
    <row r="688" spans="1:11" ht="13.2">
      <c r="A688" s="22"/>
      <c r="B688" s="16"/>
      <c r="C688" s="23"/>
      <c r="D688" s="24"/>
      <c r="E688" s="25"/>
      <c r="F688" s="26"/>
      <c r="G688" s="27"/>
      <c r="H688" s="20"/>
      <c r="I688" s="21"/>
      <c r="J688" s="28"/>
      <c r="K688" s="19"/>
    </row>
    <row r="689" spans="1:11" ht="13.2">
      <c r="A689" s="22"/>
      <c r="B689" s="16"/>
      <c r="C689" s="23"/>
      <c r="D689" s="24"/>
      <c r="E689" s="25"/>
      <c r="F689" s="26"/>
      <c r="G689" s="27"/>
      <c r="H689" s="20"/>
      <c r="I689" s="21"/>
      <c r="J689" s="28"/>
      <c r="K689" s="19"/>
    </row>
    <row r="690" spans="1:11" ht="13.2">
      <c r="A690" s="22"/>
      <c r="B690" s="16"/>
      <c r="C690" s="23"/>
      <c r="D690" s="24"/>
      <c r="E690" s="25"/>
      <c r="F690" s="26"/>
      <c r="G690" s="27"/>
      <c r="H690" s="20"/>
      <c r="I690" s="21"/>
      <c r="J690" s="28"/>
      <c r="K690" s="19"/>
    </row>
    <row r="691" spans="1:11" ht="13.2">
      <c r="A691" s="22"/>
      <c r="B691" s="16"/>
      <c r="C691" s="23"/>
      <c r="D691" s="24"/>
      <c r="E691" s="25"/>
      <c r="F691" s="26"/>
      <c r="G691" s="27"/>
      <c r="H691" s="20"/>
      <c r="I691" s="21"/>
      <c r="J691" s="28"/>
      <c r="K691" s="19"/>
    </row>
    <row r="692" spans="1:11" ht="13.2">
      <c r="A692" s="22"/>
      <c r="B692" s="16"/>
      <c r="C692" s="23"/>
      <c r="D692" s="24"/>
      <c r="E692" s="25"/>
      <c r="F692" s="26"/>
      <c r="G692" s="27"/>
      <c r="H692" s="20"/>
      <c r="I692" s="21"/>
      <c r="J692" s="28"/>
      <c r="K692" s="19"/>
    </row>
    <row r="693" spans="1:11" ht="13.2">
      <c r="A693" s="22"/>
      <c r="B693" s="16"/>
      <c r="C693" s="23"/>
      <c r="D693" s="24"/>
      <c r="E693" s="25"/>
      <c r="F693" s="26"/>
      <c r="G693" s="27"/>
      <c r="H693" s="20"/>
      <c r="I693" s="21"/>
      <c r="J693" s="28"/>
      <c r="K693" s="19"/>
    </row>
    <row r="694" spans="1:11" ht="13.2">
      <c r="A694" s="22"/>
      <c r="B694" s="16"/>
      <c r="C694" s="23"/>
      <c r="D694" s="24"/>
      <c r="E694" s="25"/>
      <c r="F694" s="26"/>
      <c r="G694" s="27"/>
      <c r="H694" s="20"/>
      <c r="I694" s="21"/>
      <c r="J694" s="28"/>
      <c r="K694" s="19"/>
    </row>
    <row r="695" spans="1:11" ht="13.2">
      <c r="A695" s="22"/>
      <c r="B695" s="16"/>
      <c r="C695" s="23"/>
      <c r="D695" s="24"/>
      <c r="E695" s="25"/>
      <c r="F695" s="26"/>
      <c r="G695" s="27"/>
      <c r="H695" s="20"/>
      <c r="I695" s="21"/>
      <c r="J695" s="28"/>
      <c r="K695" s="19"/>
    </row>
    <row r="696" spans="1:11" ht="13.2">
      <c r="A696" s="22"/>
      <c r="B696" s="16"/>
      <c r="C696" s="23"/>
      <c r="D696" s="24"/>
      <c r="E696" s="25"/>
      <c r="F696" s="26"/>
      <c r="G696" s="27"/>
      <c r="H696" s="20"/>
      <c r="I696" s="21"/>
      <c r="J696" s="28"/>
      <c r="K696" s="19"/>
    </row>
    <row r="697" spans="1:11" ht="13.2">
      <c r="A697" s="22"/>
      <c r="B697" s="16"/>
      <c r="C697" s="23"/>
      <c r="D697" s="24"/>
      <c r="E697" s="25"/>
      <c r="F697" s="26"/>
      <c r="G697" s="27"/>
      <c r="H697" s="20"/>
      <c r="I697" s="21"/>
      <c r="J697" s="28"/>
      <c r="K697" s="19"/>
    </row>
    <row r="698" spans="1:11" ht="13.2">
      <c r="A698" s="22"/>
      <c r="B698" s="16"/>
      <c r="C698" s="23"/>
      <c r="D698" s="24"/>
      <c r="E698" s="25"/>
      <c r="F698" s="26"/>
      <c r="G698" s="27"/>
      <c r="H698" s="20"/>
      <c r="I698" s="21"/>
      <c r="J698" s="28"/>
      <c r="K698" s="19"/>
    </row>
    <row r="699" spans="1:11" ht="13.2">
      <c r="A699" s="22"/>
      <c r="B699" s="16"/>
      <c r="C699" s="23"/>
      <c r="D699" s="24"/>
      <c r="E699" s="25"/>
      <c r="F699" s="26"/>
      <c r="G699" s="27"/>
      <c r="H699" s="20"/>
      <c r="I699" s="21"/>
      <c r="J699" s="28"/>
      <c r="K699" s="19"/>
    </row>
    <row r="700" spans="1:11" ht="13.2">
      <c r="A700" s="22"/>
      <c r="B700" s="16"/>
      <c r="C700" s="23"/>
      <c r="D700" s="24"/>
      <c r="E700" s="25"/>
      <c r="F700" s="26"/>
      <c r="G700" s="27"/>
      <c r="H700" s="20"/>
      <c r="I700" s="21"/>
      <c r="J700" s="28"/>
      <c r="K700" s="19"/>
    </row>
    <row r="701" spans="1:11" ht="13.2">
      <c r="A701" s="22"/>
      <c r="B701" s="16"/>
      <c r="C701" s="23"/>
      <c r="D701" s="24"/>
      <c r="E701" s="25"/>
      <c r="F701" s="26"/>
      <c r="G701" s="27"/>
      <c r="H701" s="20"/>
      <c r="I701" s="21"/>
      <c r="J701" s="28"/>
      <c r="K701" s="19"/>
    </row>
    <row r="702" spans="1:11" ht="13.2">
      <c r="A702" s="22"/>
      <c r="B702" s="16"/>
      <c r="C702" s="23"/>
      <c r="D702" s="24"/>
      <c r="E702" s="25"/>
      <c r="F702" s="26"/>
      <c r="G702" s="27"/>
      <c r="H702" s="20"/>
      <c r="I702" s="21"/>
      <c r="J702" s="28"/>
      <c r="K702" s="19"/>
    </row>
    <row r="703" spans="1:11" ht="13.2">
      <c r="A703" s="22"/>
      <c r="B703" s="16"/>
      <c r="C703" s="23"/>
      <c r="D703" s="24"/>
      <c r="E703" s="25"/>
      <c r="F703" s="26"/>
      <c r="G703" s="27"/>
      <c r="H703" s="20"/>
      <c r="I703" s="21"/>
      <c r="J703" s="28"/>
      <c r="K703" s="19"/>
    </row>
    <row r="704" spans="1:11" ht="13.2">
      <c r="A704" s="22"/>
      <c r="B704" s="16"/>
      <c r="C704" s="23"/>
      <c r="D704" s="24"/>
      <c r="E704" s="25"/>
      <c r="F704" s="26"/>
      <c r="G704" s="27"/>
      <c r="H704" s="20"/>
      <c r="I704" s="21"/>
      <c r="J704" s="28"/>
      <c r="K704" s="19"/>
    </row>
    <row r="705" spans="1:11" ht="13.2">
      <c r="A705" s="22"/>
      <c r="B705" s="16"/>
      <c r="C705" s="23"/>
      <c r="D705" s="24"/>
      <c r="E705" s="25"/>
      <c r="F705" s="26"/>
      <c r="G705" s="27"/>
      <c r="H705" s="20"/>
      <c r="I705" s="21"/>
      <c r="J705" s="28"/>
      <c r="K705" s="19"/>
    </row>
    <row r="706" spans="1:11" ht="13.2">
      <c r="A706" s="22"/>
      <c r="B706" s="16"/>
      <c r="C706" s="23"/>
      <c r="D706" s="24"/>
      <c r="E706" s="25"/>
      <c r="F706" s="26"/>
      <c r="G706" s="27"/>
      <c r="H706" s="20"/>
      <c r="I706" s="21"/>
      <c r="J706" s="28"/>
      <c r="K706" s="19"/>
    </row>
    <row r="707" spans="1:11" ht="13.2">
      <c r="A707" s="22"/>
      <c r="B707" s="16"/>
      <c r="C707" s="23"/>
      <c r="D707" s="24"/>
      <c r="E707" s="25"/>
      <c r="F707" s="26"/>
      <c r="G707" s="27"/>
      <c r="H707" s="20"/>
      <c r="I707" s="21"/>
      <c r="J707" s="28"/>
      <c r="K707" s="19"/>
    </row>
    <row r="708" spans="1:11" ht="13.2">
      <c r="A708" s="22"/>
      <c r="B708" s="16"/>
      <c r="C708" s="23"/>
      <c r="D708" s="24"/>
      <c r="E708" s="25"/>
      <c r="F708" s="26"/>
      <c r="G708" s="27"/>
      <c r="H708" s="20"/>
      <c r="I708" s="21"/>
      <c r="J708" s="28"/>
      <c r="K708" s="19"/>
    </row>
    <row r="709" spans="1:11" ht="13.2">
      <c r="A709" s="22"/>
      <c r="B709" s="16"/>
      <c r="C709" s="23"/>
      <c r="D709" s="24"/>
      <c r="E709" s="25"/>
      <c r="F709" s="26"/>
      <c r="G709" s="27"/>
      <c r="H709" s="20"/>
      <c r="I709" s="21"/>
      <c r="J709" s="28"/>
      <c r="K709" s="19"/>
    </row>
    <row r="710" spans="1:11" ht="13.2">
      <c r="A710" s="22"/>
      <c r="B710" s="16"/>
      <c r="C710" s="23"/>
      <c r="D710" s="24"/>
      <c r="E710" s="25"/>
      <c r="F710" s="26"/>
      <c r="G710" s="27"/>
      <c r="H710" s="20"/>
      <c r="I710" s="21"/>
      <c r="J710" s="28"/>
      <c r="K710" s="19"/>
    </row>
    <row r="711" spans="1:11" ht="13.2">
      <c r="A711" s="22"/>
      <c r="B711" s="16"/>
      <c r="C711" s="23"/>
      <c r="D711" s="24"/>
      <c r="E711" s="25"/>
      <c r="F711" s="26"/>
      <c r="G711" s="27"/>
      <c r="H711" s="20"/>
      <c r="I711" s="21"/>
      <c r="J711" s="28"/>
      <c r="K711" s="19"/>
    </row>
    <row r="712" spans="1:11" ht="13.2">
      <c r="A712" s="22"/>
      <c r="B712" s="16"/>
      <c r="C712" s="23"/>
      <c r="D712" s="24"/>
      <c r="E712" s="25"/>
      <c r="F712" s="26"/>
      <c r="G712" s="27"/>
      <c r="H712" s="20"/>
      <c r="I712" s="21"/>
      <c r="J712" s="28"/>
      <c r="K712" s="19"/>
    </row>
    <row r="713" spans="1:11" ht="13.2">
      <c r="A713" s="22"/>
      <c r="B713" s="16"/>
      <c r="C713" s="23"/>
      <c r="D713" s="24"/>
      <c r="E713" s="25"/>
      <c r="F713" s="26"/>
      <c r="G713" s="27"/>
      <c r="H713" s="20"/>
      <c r="I713" s="21"/>
      <c r="J713" s="28"/>
      <c r="K713" s="19"/>
    </row>
    <row r="714" spans="1:11" ht="13.2">
      <c r="A714" s="22"/>
      <c r="B714" s="16"/>
      <c r="C714" s="23"/>
      <c r="D714" s="24"/>
      <c r="E714" s="25"/>
      <c r="F714" s="26"/>
      <c r="G714" s="27"/>
      <c r="H714" s="20"/>
      <c r="I714" s="21"/>
      <c r="J714" s="28"/>
      <c r="K714" s="19"/>
    </row>
    <row r="715" spans="1:11" ht="13.2">
      <c r="A715" s="22"/>
      <c r="B715" s="16"/>
      <c r="C715" s="23"/>
      <c r="D715" s="24"/>
      <c r="E715" s="25"/>
      <c r="F715" s="26"/>
      <c r="G715" s="27"/>
      <c r="H715" s="20"/>
      <c r="I715" s="21"/>
      <c r="J715" s="28"/>
      <c r="K715" s="19"/>
    </row>
    <row r="716" spans="1:11" ht="13.2">
      <c r="A716" s="22"/>
      <c r="B716" s="16"/>
      <c r="C716" s="23"/>
      <c r="D716" s="24"/>
      <c r="E716" s="25"/>
      <c r="F716" s="26"/>
      <c r="G716" s="27"/>
      <c r="H716" s="20"/>
      <c r="I716" s="21"/>
      <c r="J716" s="28"/>
      <c r="K716" s="19"/>
    </row>
    <row r="717" spans="1:11" ht="13.2">
      <c r="A717" s="22"/>
      <c r="B717" s="16"/>
      <c r="C717" s="23"/>
      <c r="D717" s="24"/>
      <c r="E717" s="25"/>
      <c r="F717" s="26"/>
      <c r="G717" s="27"/>
      <c r="H717" s="20"/>
      <c r="I717" s="21"/>
      <c r="J717" s="28"/>
      <c r="K717" s="19"/>
    </row>
    <row r="718" spans="1:11" ht="13.2">
      <c r="A718" s="22"/>
      <c r="B718" s="16"/>
      <c r="C718" s="23"/>
      <c r="D718" s="24"/>
      <c r="E718" s="25"/>
      <c r="F718" s="26"/>
      <c r="G718" s="27"/>
      <c r="H718" s="20"/>
      <c r="I718" s="21"/>
      <c r="J718" s="28"/>
      <c r="K718" s="19"/>
    </row>
    <row r="719" spans="1:11" ht="13.2">
      <c r="A719" s="22"/>
      <c r="B719" s="16"/>
      <c r="C719" s="23"/>
      <c r="D719" s="24"/>
      <c r="E719" s="25"/>
      <c r="F719" s="26"/>
      <c r="G719" s="27"/>
      <c r="H719" s="20"/>
      <c r="I719" s="21"/>
      <c r="J719" s="28"/>
      <c r="K719" s="19"/>
    </row>
    <row r="720" spans="1:11" ht="13.2">
      <c r="A720" s="22"/>
      <c r="B720" s="16"/>
      <c r="C720" s="23"/>
      <c r="D720" s="24"/>
      <c r="E720" s="25"/>
      <c r="F720" s="26"/>
      <c r="G720" s="27"/>
      <c r="H720" s="20"/>
      <c r="I720" s="21"/>
      <c r="J720" s="28"/>
      <c r="K720" s="19"/>
    </row>
    <row r="721" spans="1:11" ht="13.2">
      <c r="A721" s="22"/>
      <c r="B721" s="16"/>
      <c r="C721" s="23"/>
      <c r="D721" s="24"/>
      <c r="E721" s="25"/>
      <c r="F721" s="26"/>
      <c r="G721" s="27"/>
      <c r="H721" s="20"/>
      <c r="I721" s="21"/>
      <c r="J721" s="28"/>
      <c r="K721" s="19"/>
    </row>
    <row r="722" spans="1:11" ht="13.2">
      <c r="A722" s="22"/>
      <c r="B722" s="16"/>
      <c r="C722" s="23"/>
      <c r="D722" s="24"/>
      <c r="E722" s="25"/>
      <c r="F722" s="26"/>
      <c r="G722" s="27"/>
      <c r="H722" s="20"/>
      <c r="I722" s="21"/>
      <c r="J722" s="28"/>
      <c r="K722" s="19"/>
    </row>
    <row r="723" spans="1:11" ht="13.2">
      <c r="A723" s="22"/>
      <c r="B723" s="16"/>
      <c r="C723" s="23"/>
      <c r="D723" s="24"/>
      <c r="E723" s="25"/>
      <c r="F723" s="26"/>
      <c r="G723" s="27"/>
      <c r="H723" s="20"/>
      <c r="I723" s="21"/>
      <c r="J723" s="28"/>
      <c r="K723" s="19"/>
    </row>
    <row r="724" spans="1:11" ht="13.2">
      <c r="A724" s="22"/>
      <c r="B724" s="16"/>
      <c r="C724" s="23"/>
      <c r="D724" s="24"/>
      <c r="E724" s="25"/>
      <c r="F724" s="26"/>
      <c r="G724" s="27"/>
      <c r="H724" s="20"/>
      <c r="I724" s="21"/>
      <c r="J724" s="28"/>
      <c r="K724" s="19"/>
    </row>
    <row r="725" spans="1:11" ht="13.2">
      <c r="A725" s="22"/>
      <c r="B725" s="16"/>
      <c r="C725" s="23"/>
      <c r="D725" s="24"/>
      <c r="E725" s="25"/>
      <c r="F725" s="26"/>
      <c r="G725" s="27"/>
      <c r="H725" s="20"/>
      <c r="I725" s="21"/>
      <c r="J725" s="28"/>
      <c r="K725" s="19"/>
    </row>
    <row r="726" spans="1:11" ht="13.2">
      <c r="A726" s="22"/>
      <c r="B726" s="16"/>
      <c r="C726" s="23"/>
      <c r="D726" s="24"/>
      <c r="E726" s="25"/>
      <c r="F726" s="26"/>
      <c r="G726" s="27"/>
      <c r="H726" s="20"/>
      <c r="I726" s="21"/>
      <c r="J726" s="28"/>
      <c r="K726" s="19"/>
    </row>
    <row r="727" spans="1:11" ht="13.2">
      <c r="A727" s="22"/>
      <c r="B727" s="16"/>
      <c r="C727" s="23"/>
      <c r="D727" s="24"/>
      <c r="E727" s="25"/>
      <c r="F727" s="26"/>
      <c r="G727" s="27"/>
      <c r="H727" s="20"/>
      <c r="I727" s="21"/>
      <c r="J727" s="28"/>
      <c r="K727" s="19"/>
    </row>
    <row r="728" spans="1:11" ht="13.2">
      <c r="A728" s="22"/>
      <c r="B728" s="16"/>
      <c r="C728" s="23"/>
      <c r="D728" s="24"/>
      <c r="E728" s="25"/>
      <c r="F728" s="26"/>
      <c r="G728" s="27"/>
      <c r="H728" s="20"/>
      <c r="I728" s="21"/>
      <c r="J728" s="28"/>
      <c r="K728" s="19"/>
    </row>
    <row r="729" spans="1:11" ht="13.2">
      <c r="A729" s="22"/>
      <c r="B729" s="16"/>
      <c r="C729" s="23"/>
      <c r="D729" s="24"/>
      <c r="E729" s="25"/>
      <c r="F729" s="26"/>
      <c r="G729" s="27"/>
      <c r="H729" s="20"/>
      <c r="I729" s="21"/>
      <c r="J729" s="28"/>
      <c r="K729" s="19"/>
    </row>
    <row r="730" spans="1:11" ht="13.2">
      <c r="A730" s="22"/>
      <c r="B730" s="16"/>
      <c r="C730" s="23"/>
      <c r="D730" s="24"/>
      <c r="E730" s="25"/>
      <c r="F730" s="26"/>
      <c r="G730" s="27"/>
      <c r="H730" s="20"/>
      <c r="I730" s="21"/>
      <c r="J730" s="28"/>
      <c r="K730" s="19"/>
    </row>
    <row r="731" spans="1:11" ht="13.2">
      <c r="A731" s="22"/>
      <c r="B731" s="16"/>
      <c r="C731" s="23"/>
      <c r="D731" s="24"/>
      <c r="E731" s="25"/>
      <c r="F731" s="26"/>
      <c r="G731" s="27"/>
      <c r="H731" s="20"/>
      <c r="I731" s="21"/>
      <c r="J731" s="28"/>
      <c r="K731" s="19"/>
    </row>
    <row r="732" spans="1:11" ht="13.2">
      <c r="A732" s="22"/>
      <c r="B732" s="16"/>
      <c r="C732" s="23"/>
      <c r="D732" s="24"/>
      <c r="E732" s="25"/>
      <c r="F732" s="26"/>
      <c r="G732" s="27"/>
      <c r="H732" s="20"/>
      <c r="I732" s="21"/>
      <c r="J732" s="28"/>
      <c r="K732" s="19"/>
    </row>
    <row r="733" spans="1:11" ht="13.2">
      <c r="A733" s="22"/>
      <c r="B733" s="16"/>
      <c r="C733" s="23"/>
      <c r="D733" s="24"/>
      <c r="E733" s="25"/>
      <c r="F733" s="26"/>
      <c r="G733" s="27"/>
      <c r="H733" s="20"/>
      <c r="I733" s="21"/>
      <c r="J733" s="28"/>
      <c r="K733" s="19"/>
    </row>
    <row r="734" spans="1:11" ht="13.2">
      <c r="A734" s="22"/>
      <c r="B734" s="16"/>
      <c r="C734" s="23"/>
      <c r="D734" s="24"/>
      <c r="E734" s="25"/>
      <c r="F734" s="26"/>
      <c r="G734" s="27"/>
      <c r="H734" s="20"/>
      <c r="I734" s="21"/>
      <c r="J734" s="28"/>
      <c r="K734" s="19"/>
    </row>
    <row r="735" spans="1:11" ht="13.2">
      <c r="A735" s="22"/>
      <c r="B735" s="16"/>
      <c r="C735" s="23"/>
      <c r="D735" s="24"/>
      <c r="E735" s="25"/>
      <c r="F735" s="26"/>
      <c r="G735" s="27"/>
      <c r="H735" s="20"/>
      <c r="I735" s="21"/>
      <c r="J735" s="28"/>
      <c r="K735" s="19"/>
    </row>
    <row r="736" spans="1:11" ht="13.2">
      <c r="A736" s="22"/>
      <c r="B736" s="16"/>
      <c r="C736" s="23"/>
      <c r="D736" s="24"/>
      <c r="E736" s="25"/>
      <c r="F736" s="26"/>
      <c r="G736" s="27"/>
      <c r="H736" s="20"/>
      <c r="I736" s="21"/>
      <c r="J736" s="28"/>
      <c r="K736" s="19"/>
    </row>
    <row r="737" spans="1:11" ht="13.2">
      <c r="A737" s="22"/>
      <c r="B737" s="16"/>
      <c r="C737" s="23"/>
      <c r="D737" s="24"/>
      <c r="E737" s="25"/>
      <c r="F737" s="26"/>
      <c r="G737" s="27"/>
      <c r="H737" s="20"/>
      <c r="I737" s="21"/>
      <c r="J737" s="28"/>
      <c r="K737" s="19"/>
    </row>
    <row r="738" spans="1:11" ht="13.2">
      <c r="A738" s="22"/>
      <c r="B738" s="16"/>
      <c r="C738" s="23"/>
      <c r="D738" s="24"/>
      <c r="E738" s="25"/>
      <c r="F738" s="26"/>
      <c r="G738" s="27"/>
      <c r="H738" s="20"/>
      <c r="I738" s="21"/>
      <c r="J738" s="28"/>
      <c r="K738" s="19"/>
    </row>
    <row r="739" spans="1:11" ht="13.2">
      <c r="A739" s="22"/>
      <c r="B739" s="16"/>
      <c r="C739" s="23"/>
      <c r="D739" s="24"/>
      <c r="E739" s="25"/>
      <c r="F739" s="26"/>
      <c r="G739" s="27"/>
      <c r="H739" s="20"/>
      <c r="I739" s="21"/>
      <c r="J739" s="28"/>
      <c r="K739" s="19"/>
    </row>
    <row r="740" spans="1:11" ht="13.2">
      <c r="A740" s="22"/>
      <c r="B740" s="16"/>
      <c r="C740" s="23"/>
      <c r="D740" s="24"/>
      <c r="E740" s="25"/>
      <c r="F740" s="26"/>
      <c r="G740" s="27"/>
      <c r="H740" s="20"/>
      <c r="I740" s="21"/>
      <c r="J740" s="28"/>
      <c r="K740" s="19"/>
    </row>
    <row r="741" spans="1:11" ht="13.2">
      <c r="A741" s="22"/>
      <c r="B741" s="16"/>
      <c r="C741" s="23"/>
      <c r="D741" s="24"/>
      <c r="E741" s="25"/>
      <c r="F741" s="26"/>
      <c r="G741" s="27"/>
      <c r="H741" s="20"/>
      <c r="I741" s="21"/>
      <c r="J741" s="28"/>
      <c r="K741" s="19"/>
    </row>
    <row r="742" spans="1:11" ht="13.2">
      <c r="A742" s="22"/>
      <c r="B742" s="16"/>
      <c r="C742" s="23"/>
      <c r="D742" s="24"/>
      <c r="E742" s="25"/>
      <c r="F742" s="26"/>
      <c r="G742" s="27"/>
      <c r="H742" s="20"/>
      <c r="I742" s="21"/>
      <c r="J742" s="28"/>
      <c r="K742" s="19"/>
    </row>
    <row r="743" spans="1:11" ht="13.2">
      <c r="A743" s="22"/>
      <c r="B743" s="16"/>
      <c r="C743" s="23"/>
      <c r="D743" s="24"/>
      <c r="E743" s="25"/>
      <c r="F743" s="26"/>
      <c r="G743" s="27"/>
      <c r="H743" s="20"/>
      <c r="I743" s="21"/>
      <c r="J743" s="28"/>
      <c r="K743" s="19"/>
    </row>
    <row r="744" spans="1:11" ht="13.2">
      <c r="A744" s="22"/>
      <c r="B744" s="16"/>
      <c r="C744" s="23"/>
      <c r="D744" s="24"/>
      <c r="E744" s="25"/>
      <c r="F744" s="26"/>
      <c r="G744" s="27"/>
      <c r="H744" s="20"/>
      <c r="I744" s="21"/>
      <c r="J744" s="28"/>
      <c r="K744" s="19"/>
    </row>
    <row r="745" spans="1:11" ht="13.2">
      <c r="A745" s="22"/>
      <c r="B745" s="16"/>
      <c r="C745" s="23"/>
      <c r="D745" s="24"/>
      <c r="E745" s="25"/>
      <c r="F745" s="26"/>
      <c r="G745" s="27"/>
      <c r="H745" s="20"/>
      <c r="I745" s="21"/>
      <c r="J745" s="28"/>
      <c r="K745" s="19"/>
    </row>
    <row r="746" spans="1:11" ht="13.2">
      <c r="A746" s="22"/>
      <c r="B746" s="16"/>
      <c r="C746" s="23"/>
      <c r="D746" s="24"/>
      <c r="E746" s="25"/>
      <c r="F746" s="26"/>
      <c r="G746" s="27"/>
      <c r="H746" s="20"/>
      <c r="I746" s="21"/>
      <c r="J746" s="28"/>
      <c r="K746" s="19"/>
    </row>
    <row r="747" spans="1:11" ht="13.2">
      <c r="A747" s="22"/>
      <c r="B747" s="16"/>
      <c r="C747" s="23"/>
      <c r="D747" s="24"/>
      <c r="E747" s="25"/>
      <c r="F747" s="26"/>
      <c r="G747" s="27"/>
      <c r="H747" s="20"/>
      <c r="I747" s="21"/>
      <c r="J747" s="28"/>
      <c r="K747" s="19"/>
    </row>
    <row r="748" spans="1:11" ht="13.2">
      <c r="A748" s="22"/>
      <c r="B748" s="16"/>
      <c r="C748" s="23"/>
      <c r="D748" s="24"/>
      <c r="E748" s="25"/>
      <c r="F748" s="26"/>
      <c r="G748" s="27"/>
      <c r="H748" s="20"/>
      <c r="I748" s="21"/>
      <c r="J748" s="28"/>
      <c r="K748" s="19"/>
    </row>
    <row r="749" spans="1:11" ht="13.2">
      <c r="A749" s="22"/>
      <c r="B749" s="16"/>
      <c r="C749" s="23"/>
      <c r="D749" s="24"/>
      <c r="E749" s="25"/>
      <c r="F749" s="26"/>
      <c r="G749" s="27"/>
      <c r="H749" s="20"/>
      <c r="I749" s="21"/>
      <c r="J749" s="28"/>
      <c r="K749" s="19"/>
    </row>
    <row r="750" spans="1:11" ht="13.2">
      <c r="A750" s="22"/>
      <c r="B750" s="16"/>
      <c r="C750" s="23"/>
      <c r="D750" s="24"/>
      <c r="E750" s="25"/>
      <c r="F750" s="26"/>
      <c r="G750" s="27"/>
      <c r="H750" s="20"/>
      <c r="I750" s="21"/>
      <c r="J750" s="28"/>
      <c r="K750" s="19"/>
    </row>
    <row r="751" spans="1:11" ht="13.2">
      <c r="A751" s="22"/>
      <c r="B751" s="16"/>
      <c r="C751" s="23"/>
      <c r="D751" s="24"/>
      <c r="E751" s="25"/>
      <c r="F751" s="26"/>
      <c r="G751" s="27"/>
      <c r="H751" s="20"/>
      <c r="I751" s="21"/>
      <c r="J751" s="28"/>
      <c r="K751" s="19"/>
    </row>
    <row r="752" spans="1:11" ht="13.2">
      <c r="A752" s="22"/>
      <c r="B752" s="16"/>
      <c r="C752" s="23"/>
      <c r="D752" s="24"/>
      <c r="E752" s="25"/>
      <c r="F752" s="26"/>
      <c r="G752" s="27"/>
      <c r="H752" s="20"/>
      <c r="I752" s="21"/>
      <c r="J752" s="28"/>
      <c r="K752" s="19"/>
    </row>
    <row r="753" spans="1:11" ht="13.2">
      <c r="A753" s="22"/>
      <c r="B753" s="16"/>
      <c r="C753" s="23"/>
      <c r="D753" s="24"/>
      <c r="E753" s="25"/>
      <c r="F753" s="26"/>
      <c r="G753" s="27"/>
      <c r="H753" s="20"/>
      <c r="I753" s="21"/>
      <c r="J753" s="28"/>
      <c r="K753" s="19"/>
    </row>
    <row r="754" spans="1:11" ht="13.2">
      <c r="A754" s="22"/>
      <c r="B754" s="16"/>
      <c r="C754" s="23"/>
      <c r="D754" s="24"/>
      <c r="E754" s="25"/>
      <c r="F754" s="26"/>
      <c r="G754" s="27"/>
      <c r="H754" s="20"/>
      <c r="I754" s="21"/>
      <c r="J754" s="28"/>
      <c r="K754" s="19"/>
    </row>
    <row r="755" spans="1:11" ht="13.2">
      <c r="A755" s="22"/>
      <c r="B755" s="16"/>
      <c r="C755" s="23"/>
      <c r="D755" s="24"/>
      <c r="E755" s="25"/>
      <c r="F755" s="26"/>
      <c r="G755" s="27"/>
      <c r="H755" s="20"/>
      <c r="I755" s="21"/>
      <c r="J755" s="28"/>
      <c r="K755" s="19"/>
    </row>
    <row r="756" spans="1:11" ht="13.2">
      <c r="A756" s="22"/>
      <c r="B756" s="16"/>
      <c r="C756" s="23"/>
      <c r="D756" s="24"/>
      <c r="E756" s="25"/>
      <c r="F756" s="26"/>
      <c r="G756" s="27"/>
      <c r="H756" s="20"/>
      <c r="I756" s="21"/>
      <c r="J756" s="28"/>
      <c r="K756" s="19"/>
    </row>
    <row r="757" spans="1:11" ht="13.2">
      <c r="A757" s="22"/>
      <c r="B757" s="16"/>
      <c r="C757" s="23"/>
      <c r="D757" s="24"/>
      <c r="E757" s="25"/>
      <c r="F757" s="26"/>
      <c r="G757" s="27"/>
      <c r="H757" s="20"/>
      <c r="I757" s="21"/>
      <c r="J757" s="28"/>
      <c r="K757" s="19"/>
    </row>
    <row r="758" spans="1:11" ht="13.2">
      <c r="A758" s="22"/>
      <c r="B758" s="16"/>
      <c r="C758" s="23"/>
      <c r="D758" s="24"/>
      <c r="E758" s="25"/>
      <c r="F758" s="26"/>
      <c r="G758" s="27"/>
      <c r="H758" s="20"/>
      <c r="I758" s="21"/>
      <c r="J758" s="28"/>
      <c r="K758" s="19"/>
    </row>
    <row r="759" spans="1:11" ht="13.2">
      <c r="A759" s="22"/>
      <c r="B759" s="16"/>
      <c r="C759" s="23"/>
      <c r="D759" s="24"/>
      <c r="E759" s="25"/>
      <c r="F759" s="26"/>
      <c r="G759" s="27"/>
      <c r="H759" s="20"/>
      <c r="I759" s="21"/>
      <c r="J759" s="28"/>
      <c r="K759" s="19"/>
    </row>
    <row r="760" spans="1:11" ht="13.2">
      <c r="A760" s="22"/>
      <c r="B760" s="16"/>
      <c r="C760" s="23"/>
      <c r="D760" s="24"/>
      <c r="E760" s="25"/>
      <c r="F760" s="26"/>
      <c r="G760" s="27"/>
      <c r="H760" s="20"/>
      <c r="I760" s="21"/>
      <c r="J760" s="28"/>
      <c r="K760" s="19"/>
    </row>
    <row r="761" spans="1:11" ht="13.2">
      <c r="A761" s="22"/>
      <c r="B761" s="16"/>
      <c r="C761" s="23"/>
      <c r="D761" s="24"/>
      <c r="E761" s="25"/>
      <c r="F761" s="26"/>
      <c r="G761" s="27"/>
      <c r="H761" s="20"/>
      <c r="I761" s="21"/>
      <c r="J761" s="28"/>
      <c r="K761" s="19"/>
    </row>
    <row r="762" spans="1:11" ht="13.2">
      <c r="A762" s="22"/>
      <c r="B762" s="16"/>
      <c r="C762" s="23"/>
      <c r="D762" s="24"/>
      <c r="E762" s="25"/>
      <c r="F762" s="26"/>
      <c r="G762" s="27"/>
      <c r="H762" s="20"/>
      <c r="I762" s="21"/>
      <c r="J762" s="28"/>
      <c r="K762" s="19"/>
    </row>
    <row r="763" spans="1:11" ht="13.2">
      <c r="A763" s="22"/>
      <c r="B763" s="16"/>
      <c r="C763" s="23"/>
      <c r="D763" s="24"/>
      <c r="E763" s="25"/>
      <c r="F763" s="26"/>
      <c r="G763" s="27"/>
      <c r="H763" s="20"/>
      <c r="I763" s="21"/>
      <c r="J763" s="28"/>
      <c r="K763" s="19"/>
    </row>
    <row r="764" spans="1:11" ht="13.2">
      <c r="A764" s="22"/>
      <c r="B764" s="16"/>
      <c r="C764" s="23"/>
      <c r="D764" s="24"/>
      <c r="E764" s="25"/>
      <c r="F764" s="26"/>
      <c r="G764" s="27"/>
      <c r="H764" s="20"/>
      <c r="I764" s="21"/>
      <c r="J764" s="28"/>
      <c r="K764" s="19"/>
    </row>
    <row r="765" spans="1:11" ht="13.2">
      <c r="A765" s="22"/>
      <c r="B765" s="16"/>
      <c r="C765" s="23"/>
      <c r="D765" s="24"/>
      <c r="E765" s="25"/>
      <c r="F765" s="26"/>
      <c r="G765" s="27"/>
      <c r="H765" s="20"/>
      <c r="I765" s="21"/>
      <c r="J765" s="28"/>
      <c r="K765" s="19"/>
    </row>
    <row r="766" spans="1:11" ht="13.2">
      <c r="A766" s="22"/>
      <c r="B766" s="16"/>
      <c r="C766" s="23"/>
      <c r="D766" s="24"/>
      <c r="E766" s="25"/>
      <c r="F766" s="26"/>
      <c r="G766" s="27"/>
      <c r="H766" s="20"/>
      <c r="I766" s="21"/>
      <c r="J766" s="28"/>
      <c r="K766" s="19"/>
    </row>
    <row r="767" spans="1:11" ht="13.2">
      <c r="A767" s="22"/>
      <c r="B767" s="16"/>
      <c r="C767" s="23"/>
      <c r="D767" s="24"/>
      <c r="E767" s="25"/>
      <c r="F767" s="26"/>
      <c r="G767" s="27"/>
      <c r="H767" s="20"/>
      <c r="I767" s="21"/>
      <c r="J767" s="28"/>
      <c r="K767" s="19"/>
    </row>
    <row r="768" spans="1:11" ht="13.2">
      <c r="A768" s="22"/>
      <c r="B768" s="16"/>
      <c r="C768" s="23"/>
      <c r="D768" s="24"/>
      <c r="E768" s="25"/>
      <c r="F768" s="26"/>
      <c r="G768" s="27"/>
      <c r="H768" s="20"/>
      <c r="I768" s="21"/>
      <c r="J768" s="28"/>
      <c r="K768" s="19"/>
    </row>
    <row r="769" spans="1:11" ht="13.2">
      <c r="A769" s="22"/>
      <c r="B769" s="16"/>
      <c r="C769" s="23"/>
      <c r="D769" s="24"/>
      <c r="E769" s="25"/>
      <c r="F769" s="26"/>
      <c r="G769" s="27"/>
      <c r="H769" s="20"/>
      <c r="I769" s="21"/>
      <c r="J769" s="28"/>
      <c r="K769" s="19"/>
    </row>
    <row r="770" spans="1:11" ht="13.2">
      <c r="A770" s="22"/>
      <c r="B770" s="16"/>
      <c r="C770" s="23"/>
      <c r="D770" s="24"/>
      <c r="E770" s="25"/>
      <c r="F770" s="26"/>
      <c r="G770" s="27"/>
      <c r="H770" s="20"/>
      <c r="I770" s="21"/>
      <c r="J770" s="28"/>
      <c r="K770" s="19"/>
    </row>
    <row r="771" spans="1:11" ht="13.2">
      <c r="A771" s="22"/>
      <c r="B771" s="16"/>
      <c r="C771" s="23"/>
      <c r="D771" s="24"/>
      <c r="E771" s="25"/>
      <c r="F771" s="26"/>
      <c r="G771" s="27"/>
      <c r="H771" s="20"/>
      <c r="I771" s="21"/>
      <c r="J771" s="28"/>
      <c r="K771" s="19"/>
    </row>
    <row r="772" spans="1:11" ht="13.2">
      <c r="A772" s="22"/>
      <c r="B772" s="16"/>
      <c r="C772" s="23"/>
      <c r="D772" s="24"/>
      <c r="E772" s="25"/>
      <c r="F772" s="26"/>
      <c r="G772" s="27"/>
      <c r="H772" s="20"/>
      <c r="I772" s="21"/>
      <c r="J772" s="28"/>
      <c r="K772" s="19"/>
    </row>
    <row r="773" spans="1:11" ht="13.2">
      <c r="A773" s="22"/>
      <c r="B773" s="16"/>
      <c r="C773" s="23"/>
      <c r="D773" s="24"/>
      <c r="E773" s="25"/>
      <c r="F773" s="26"/>
      <c r="G773" s="27"/>
      <c r="H773" s="20"/>
      <c r="I773" s="21"/>
      <c r="J773" s="28"/>
      <c r="K773" s="19"/>
    </row>
    <row r="774" spans="1:11" ht="13.2">
      <c r="A774" s="22"/>
      <c r="B774" s="16"/>
      <c r="C774" s="23"/>
      <c r="D774" s="24"/>
      <c r="E774" s="25"/>
      <c r="F774" s="26"/>
      <c r="G774" s="27"/>
      <c r="H774" s="20"/>
      <c r="I774" s="21"/>
      <c r="J774" s="28"/>
      <c r="K774" s="19"/>
    </row>
    <row r="775" spans="1:11" ht="13.2">
      <c r="A775" s="22"/>
      <c r="B775" s="16"/>
      <c r="C775" s="23"/>
      <c r="D775" s="24"/>
      <c r="E775" s="25"/>
      <c r="F775" s="26"/>
      <c r="G775" s="27"/>
      <c r="H775" s="20"/>
      <c r="I775" s="21"/>
      <c r="J775" s="28"/>
      <c r="K775" s="19"/>
    </row>
    <row r="776" spans="1:11" ht="13.2">
      <c r="A776" s="22"/>
      <c r="B776" s="16"/>
      <c r="C776" s="23"/>
      <c r="D776" s="24"/>
      <c r="E776" s="25"/>
      <c r="F776" s="26"/>
      <c r="G776" s="27"/>
      <c r="H776" s="20"/>
      <c r="I776" s="21"/>
      <c r="J776" s="28"/>
      <c r="K776" s="19"/>
    </row>
    <row r="777" spans="1:11" ht="13.2">
      <c r="A777" s="22"/>
      <c r="B777" s="16"/>
      <c r="C777" s="23"/>
      <c r="D777" s="24"/>
      <c r="E777" s="25"/>
      <c r="F777" s="26"/>
      <c r="G777" s="27"/>
      <c r="H777" s="20"/>
      <c r="I777" s="21"/>
      <c r="J777" s="28"/>
      <c r="K777" s="19"/>
    </row>
    <row r="778" spans="1:11" ht="13.2">
      <c r="A778" s="22"/>
      <c r="B778" s="16"/>
      <c r="C778" s="23"/>
      <c r="D778" s="24"/>
      <c r="E778" s="25"/>
      <c r="F778" s="26"/>
      <c r="G778" s="27"/>
      <c r="H778" s="20"/>
      <c r="I778" s="21"/>
      <c r="J778" s="28"/>
      <c r="K778" s="19"/>
    </row>
    <row r="779" spans="1:11" ht="13.2">
      <c r="A779" s="22"/>
      <c r="B779" s="16"/>
      <c r="C779" s="23"/>
      <c r="D779" s="24"/>
      <c r="E779" s="25"/>
      <c r="F779" s="26"/>
      <c r="G779" s="27"/>
      <c r="H779" s="20"/>
      <c r="I779" s="21"/>
      <c r="J779" s="28"/>
      <c r="K779" s="19"/>
    </row>
    <row r="780" spans="1:11" ht="13.2">
      <c r="A780" s="22"/>
      <c r="B780" s="16"/>
      <c r="C780" s="23"/>
      <c r="D780" s="24"/>
      <c r="E780" s="25"/>
      <c r="F780" s="26"/>
      <c r="G780" s="27"/>
      <c r="H780" s="20"/>
      <c r="I780" s="21"/>
      <c r="J780" s="28"/>
      <c r="K780" s="19"/>
    </row>
    <row r="781" spans="1:11" ht="13.2">
      <c r="A781" s="22"/>
      <c r="B781" s="16"/>
      <c r="C781" s="23"/>
      <c r="D781" s="24"/>
      <c r="E781" s="25"/>
      <c r="F781" s="26"/>
      <c r="G781" s="27"/>
      <c r="H781" s="20"/>
      <c r="I781" s="21"/>
      <c r="J781" s="28"/>
      <c r="K781" s="19"/>
    </row>
    <row r="782" spans="1:11" ht="13.2">
      <c r="A782" s="22"/>
      <c r="B782" s="16"/>
      <c r="C782" s="23"/>
      <c r="D782" s="24"/>
      <c r="E782" s="25"/>
      <c r="F782" s="26"/>
      <c r="G782" s="27"/>
      <c r="H782" s="20"/>
      <c r="I782" s="21"/>
      <c r="J782" s="28"/>
      <c r="K782" s="19"/>
    </row>
    <row r="783" spans="1:11" ht="13.2">
      <c r="A783" s="22"/>
      <c r="B783" s="16"/>
      <c r="C783" s="23"/>
      <c r="D783" s="24"/>
      <c r="E783" s="25"/>
      <c r="F783" s="26"/>
      <c r="G783" s="27"/>
      <c r="H783" s="20"/>
      <c r="I783" s="21"/>
      <c r="J783" s="28"/>
      <c r="K783" s="19"/>
    </row>
    <row r="784" spans="1:11" ht="13.2">
      <c r="A784" s="22"/>
      <c r="B784" s="16"/>
      <c r="C784" s="23"/>
      <c r="D784" s="24"/>
      <c r="E784" s="25"/>
      <c r="F784" s="26"/>
      <c r="G784" s="27"/>
      <c r="H784" s="20"/>
      <c r="I784" s="21"/>
      <c r="J784" s="28"/>
      <c r="K784" s="19"/>
    </row>
    <row r="785" spans="1:11" ht="13.2">
      <c r="A785" s="22"/>
      <c r="B785" s="16"/>
      <c r="C785" s="23"/>
      <c r="D785" s="24"/>
      <c r="E785" s="25"/>
      <c r="F785" s="26"/>
      <c r="G785" s="27"/>
      <c r="H785" s="20"/>
      <c r="I785" s="21"/>
      <c r="J785" s="28"/>
      <c r="K785" s="19"/>
    </row>
    <row r="786" spans="1:11" ht="13.2">
      <c r="A786" s="22"/>
      <c r="B786" s="16"/>
      <c r="C786" s="23"/>
      <c r="D786" s="24"/>
      <c r="E786" s="25"/>
      <c r="F786" s="26"/>
      <c r="G786" s="27"/>
      <c r="H786" s="20"/>
      <c r="I786" s="21"/>
      <c r="J786" s="28"/>
      <c r="K786" s="19"/>
    </row>
    <row r="787" spans="1:11" ht="13.2">
      <c r="A787" s="22"/>
      <c r="B787" s="16"/>
      <c r="C787" s="23"/>
      <c r="D787" s="24"/>
      <c r="E787" s="25"/>
      <c r="F787" s="26"/>
      <c r="G787" s="27"/>
      <c r="H787" s="20"/>
      <c r="I787" s="21"/>
      <c r="J787" s="28"/>
      <c r="K787" s="19"/>
    </row>
    <row r="788" spans="1:11" ht="13.2">
      <c r="A788" s="22"/>
      <c r="B788" s="16"/>
      <c r="C788" s="23"/>
      <c r="D788" s="24"/>
      <c r="E788" s="25"/>
      <c r="F788" s="26"/>
      <c r="G788" s="27"/>
      <c r="H788" s="20"/>
      <c r="I788" s="21"/>
      <c r="J788" s="28"/>
      <c r="K788" s="19"/>
    </row>
    <row r="789" spans="1:11" ht="13.2">
      <c r="A789" s="22"/>
      <c r="B789" s="16"/>
      <c r="C789" s="23"/>
      <c r="D789" s="24"/>
      <c r="E789" s="25"/>
      <c r="F789" s="26"/>
      <c r="G789" s="27"/>
      <c r="H789" s="20"/>
      <c r="I789" s="21"/>
      <c r="J789" s="28"/>
      <c r="K789" s="19"/>
    </row>
    <row r="790" spans="1:11" ht="13.2">
      <c r="A790" s="22"/>
      <c r="B790" s="16"/>
      <c r="C790" s="23"/>
      <c r="D790" s="24"/>
      <c r="E790" s="25"/>
      <c r="F790" s="26"/>
      <c r="G790" s="27"/>
      <c r="H790" s="20"/>
      <c r="I790" s="21"/>
      <c r="J790" s="28"/>
      <c r="K790" s="19"/>
    </row>
    <row r="791" spans="1:11" ht="13.2">
      <c r="A791" s="22"/>
      <c r="B791" s="16"/>
      <c r="C791" s="23"/>
      <c r="D791" s="24"/>
      <c r="E791" s="25"/>
      <c r="F791" s="26"/>
      <c r="G791" s="27"/>
      <c r="H791" s="20"/>
      <c r="I791" s="21"/>
      <c r="J791" s="28"/>
      <c r="K791" s="19"/>
    </row>
    <row r="792" spans="1:11" ht="13.2">
      <c r="A792" s="22"/>
      <c r="B792" s="16"/>
      <c r="C792" s="23"/>
      <c r="D792" s="24"/>
      <c r="E792" s="25"/>
      <c r="F792" s="26"/>
      <c r="G792" s="27"/>
      <c r="H792" s="20"/>
      <c r="I792" s="21"/>
      <c r="J792" s="28"/>
      <c r="K792" s="19"/>
    </row>
    <row r="793" spans="1:11" ht="13.2">
      <c r="A793" s="22"/>
      <c r="B793" s="16"/>
      <c r="C793" s="23"/>
      <c r="D793" s="24"/>
      <c r="E793" s="25"/>
      <c r="F793" s="26"/>
      <c r="G793" s="27"/>
      <c r="H793" s="20"/>
      <c r="I793" s="21"/>
      <c r="J793" s="28"/>
      <c r="K793" s="19"/>
    </row>
    <row r="794" spans="1:11" ht="13.2">
      <c r="A794" s="22"/>
      <c r="B794" s="16"/>
      <c r="C794" s="23"/>
      <c r="D794" s="24"/>
      <c r="E794" s="25"/>
      <c r="F794" s="26"/>
      <c r="G794" s="27"/>
      <c r="H794" s="20"/>
      <c r="I794" s="21"/>
      <c r="J794" s="28"/>
      <c r="K794" s="19"/>
    </row>
    <row r="795" spans="1:11" ht="13.2">
      <c r="A795" s="22"/>
      <c r="B795" s="16"/>
      <c r="C795" s="23"/>
      <c r="D795" s="24"/>
      <c r="E795" s="25"/>
      <c r="F795" s="26"/>
      <c r="G795" s="27"/>
      <c r="H795" s="20"/>
      <c r="I795" s="21"/>
      <c r="J795" s="28"/>
      <c r="K795" s="19"/>
    </row>
    <row r="796" spans="1:11" ht="13.2">
      <c r="A796" s="22"/>
      <c r="B796" s="16"/>
      <c r="C796" s="23"/>
      <c r="D796" s="24"/>
      <c r="E796" s="25"/>
      <c r="F796" s="26"/>
      <c r="G796" s="27"/>
      <c r="H796" s="20"/>
      <c r="I796" s="21"/>
      <c r="J796" s="28"/>
      <c r="K796" s="19"/>
    </row>
    <row r="797" spans="1:11" ht="13.2">
      <c r="A797" s="22"/>
      <c r="B797" s="16"/>
      <c r="C797" s="23"/>
      <c r="D797" s="24"/>
      <c r="E797" s="25"/>
      <c r="F797" s="26"/>
      <c r="G797" s="27"/>
      <c r="H797" s="20"/>
      <c r="I797" s="21"/>
      <c r="J797" s="28"/>
      <c r="K797" s="19"/>
    </row>
    <row r="798" spans="1:11" ht="13.2">
      <c r="A798" s="22"/>
      <c r="B798" s="16"/>
      <c r="C798" s="23"/>
      <c r="D798" s="24"/>
      <c r="E798" s="25"/>
      <c r="F798" s="26"/>
      <c r="G798" s="27"/>
      <c r="H798" s="20"/>
      <c r="I798" s="21"/>
      <c r="J798" s="28"/>
      <c r="K798" s="19"/>
    </row>
    <row r="799" spans="1:11" ht="13.2">
      <c r="A799" s="22"/>
      <c r="B799" s="16"/>
      <c r="C799" s="23"/>
      <c r="D799" s="24"/>
      <c r="E799" s="25"/>
      <c r="F799" s="26"/>
      <c r="G799" s="27"/>
      <c r="H799" s="20"/>
      <c r="I799" s="21"/>
      <c r="J799" s="28"/>
      <c r="K799" s="19"/>
    </row>
    <row r="800" spans="1:11" ht="13.2">
      <c r="A800" s="22"/>
      <c r="B800" s="16"/>
      <c r="C800" s="23"/>
      <c r="D800" s="24"/>
      <c r="E800" s="25"/>
      <c r="F800" s="26"/>
      <c r="G800" s="27"/>
      <c r="H800" s="20"/>
      <c r="I800" s="21"/>
      <c r="J800" s="28"/>
      <c r="K800" s="19"/>
    </row>
    <row r="801" spans="1:11" ht="13.2">
      <c r="A801" s="22"/>
      <c r="B801" s="16"/>
      <c r="C801" s="23"/>
      <c r="D801" s="24"/>
      <c r="E801" s="25"/>
      <c r="F801" s="26"/>
      <c r="G801" s="27"/>
      <c r="H801" s="20"/>
      <c r="I801" s="21"/>
      <c r="J801" s="28"/>
      <c r="K801" s="19"/>
    </row>
    <row r="802" spans="1:11" ht="13.2">
      <c r="A802" s="22"/>
      <c r="B802" s="16"/>
      <c r="C802" s="23"/>
      <c r="D802" s="24"/>
      <c r="E802" s="25"/>
      <c r="F802" s="26"/>
      <c r="G802" s="27"/>
      <c r="H802" s="20"/>
      <c r="I802" s="21"/>
      <c r="J802" s="28"/>
      <c r="K802" s="19"/>
    </row>
    <row r="803" spans="1:11" ht="13.2">
      <c r="A803" s="22"/>
      <c r="B803" s="16"/>
      <c r="C803" s="23"/>
      <c r="D803" s="24"/>
      <c r="E803" s="25"/>
      <c r="F803" s="26"/>
      <c r="G803" s="27"/>
      <c r="H803" s="20"/>
      <c r="I803" s="21"/>
      <c r="J803" s="28"/>
      <c r="K803" s="19"/>
    </row>
    <row r="804" spans="1:11" ht="13.2">
      <c r="A804" s="22"/>
      <c r="B804" s="16"/>
      <c r="C804" s="23"/>
      <c r="D804" s="24"/>
      <c r="E804" s="25"/>
      <c r="F804" s="26"/>
      <c r="G804" s="27"/>
      <c r="H804" s="20"/>
      <c r="I804" s="21"/>
      <c r="J804" s="28"/>
      <c r="K804" s="19"/>
    </row>
    <row r="805" spans="1:11" ht="13.2">
      <c r="A805" s="22"/>
      <c r="B805" s="16"/>
      <c r="C805" s="23"/>
      <c r="D805" s="24"/>
      <c r="E805" s="25"/>
      <c r="F805" s="26"/>
      <c r="G805" s="27"/>
      <c r="H805" s="20"/>
      <c r="I805" s="21"/>
      <c r="J805" s="28"/>
      <c r="K805" s="19"/>
    </row>
    <row r="806" spans="1:11" ht="13.2">
      <c r="A806" s="22"/>
      <c r="B806" s="16"/>
      <c r="C806" s="23"/>
      <c r="D806" s="24"/>
      <c r="E806" s="25"/>
      <c r="F806" s="26"/>
      <c r="G806" s="27"/>
      <c r="H806" s="20"/>
      <c r="I806" s="21"/>
      <c r="J806" s="28"/>
      <c r="K806" s="19"/>
    </row>
    <row r="807" spans="1:11" ht="13.2">
      <c r="A807" s="22"/>
      <c r="B807" s="16"/>
      <c r="C807" s="23"/>
      <c r="D807" s="24"/>
      <c r="E807" s="25"/>
      <c r="F807" s="26"/>
      <c r="G807" s="27"/>
      <c r="H807" s="20"/>
      <c r="I807" s="21"/>
      <c r="J807" s="28"/>
      <c r="K807" s="19"/>
    </row>
    <row r="808" spans="1:11" ht="13.2">
      <c r="A808" s="22"/>
      <c r="B808" s="16"/>
      <c r="C808" s="23"/>
      <c r="D808" s="24"/>
      <c r="E808" s="25"/>
      <c r="F808" s="26"/>
      <c r="G808" s="27"/>
      <c r="H808" s="20"/>
      <c r="I808" s="21"/>
      <c r="J808" s="28"/>
      <c r="K808" s="19"/>
    </row>
    <row r="809" spans="1:11" ht="13.2">
      <c r="A809" s="22"/>
      <c r="B809" s="16"/>
      <c r="C809" s="23"/>
      <c r="D809" s="24"/>
      <c r="E809" s="25"/>
      <c r="F809" s="26"/>
      <c r="G809" s="27"/>
      <c r="H809" s="20"/>
      <c r="I809" s="21"/>
      <c r="J809" s="28"/>
      <c r="K809" s="19"/>
    </row>
    <row r="810" spans="1:11" ht="13.2">
      <c r="A810" s="22"/>
      <c r="B810" s="16"/>
      <c r="C810" s="23"/>
      <c r="D810" s="24"/>
      <c r="E810" s="25"/>
      <c r="F810" s="26"/>
      <c r="G810" s="27"/>
      <c r="H810" s="20"/>
      <c r="I810" s="21"/>
      <c r="J810" s="28"/>
      <c r="K810" s="19"/>
    </row>
    <row r="811" spans="1:11" ht="13.2">
      <c r="A811" s="22"/>
      <c r="B811" s="16"/>
      <c r="C811" s="23"/>
      <c r="D811" s="24"/>
      <c r="E811" s="25"/>
      <c r="F811" s="26"/>
      <c r="G811" s="27"/>
      <c r="H811" s="20"/>
      <c r="I811" s="21"/>
      <c r="J811" s="28"/>
      <c r="K811" s="19"/>
    </row>
    <row r="812" spans="1:11" ht="13.2">
      <c r="A812" s="22"/>
      <c r="B812" s="16"/>
      <c r="C812" s="23"/>
      <c r="D812" s="24"/>
      <c r="E812" s="25"/>
      <c r="F812" s="26"/>
      <c r="G812" s="27"/>
      <c r="H812" s="20"/>
      <c r="I812" s="21"/>
      <c r="J812" s="28"/>
      <c r="K812" s="19"/>
    </row>
    <row r="813" spans="1:11" ht="13.2">
      <c r="A813" s="22"/>
      <c r="B813" s="16"/>
      <c r="C813" s="23"/>
      <c r="D813" s="24"/>
      <c r="E813" s="25"/>
      <c r="F813" s="26"/>
      <c r="G813" s="27"/>
      <c r="H813" s="20"/>
      <c r="I813" s="21"/>
      <c r="J813" s="28"/>
      <c r="K813" s="19"/>
    </row>
    <row r="814" spans="1:11" ht="13.2">
      <c r="A814" s="22"/>
      <c r="B814" s="16"/>
      <c r="C814" s="23"/>
      <c r="D814" s="24"/>
      <c r="E814" s="25"/>
      <c r="F814" s="26"/>
      <c r="G814" s="27"/>
      <c r="H814" s="20"/>
      <c r="I814" s="21"/>
      <c r="J814" s="28"/>
      <c r="K814" s="19"/>
    </row>
    <row r="815" spans="1:11" ht="13.2">
      <c r="A815" s="22"/>
      <c r="B815" s="16"/>
      <c r="C815" s="23"/>
      <c r="D815" s="24"/>
      <c r="E815" s="25"/>
      <c r="F815" s="26"/>
      <c r="G815" s="27"/>
      <c r="H815" s="20"/>
      <c r="I815" s="21"/>
      <c r="J815" s="28"/>
      <c r="K815" s="19"/>
    </row>
    <row r="816" spans="1:11" ht="13.2">
      <c r="A816" s="22"/>
      <c r="B816" s="16"/>
      <c r="C816" s="23"/>
      <c r="D816" s="24"/>
      <c r="E816" s="25"/>
      <c r="F816" s="26"/>
      <c r="G816" s="27"/>
      <c r="H816" s="20"/>
      <c r="I816" s="21"/>
      <c r="J816" s="28"/>
      <c r="K816" s="19"/>
    </row>
    <row r="817" spans="1:11" ht="13.2">
      <c r="A817" s="22"/>
      <c r="B817" s="16"/>
      <c r="C817" s="23"/>
      <c r="D817" s="24"/>
      <c r="E817" s="25"/>
      <c r="F817" s="26"/>
      <c r="G817" s="27"/>
      <c r="H817" s="20"/>
      <c r="I817" s="21"/>
      <c r="J817" s="28"/>
      <c r="K817" s="19"/>
    </row>
    <row r="818" spans="1:11" ht="13.2">
      <c r="A818" s="22"/>
      <c r="B818" s="16"/>
      <c r="C818" s="23"/>
      <c r="D818" s="24"/>
      <c r="E818" s="25"/>
      <c r="F818" s="26"/>
      <c r="G818" s="27"/>
      <c r="H818" s="20"/>
      <c r="I818" s="21"/>
      <c r="J818" s="28"/>
      <c r="K818" s="19"/>
    </row>
    <row r="819" spans="1:11" ht="13.2">
      <c r="A819" s="22"/>
      <c r="B819" s="16"/>
      <c r="C819" s="23"/>
      <c r="D819" s="24"/>
      <c r="E819" s="25"/>
      <c r="F819" s="26"/>
      <c r="G819" s="27"/>
      <c r="H819" s="20"/>
      <c r="I819" s="21"/>
      <c r="J819" s="28"/>
      <c r="K819" s="19"/>
    </row>
    <row r="820" spans="1:11" ht="13.2">
      <c r="A820" s="22"/>
      <c r="B820" s="16"/>
      <c r="C820" s="23"/>
      <c r="D820" s="24"/>
      <c r="E820" s="25"/>
      <c r="F820" s="26"/>
      <c r="G820" s="27"/>
      <c r="H820" s="20"/>
      <c r="I820" s="21"/>
      <c r="J820" s="28"/>
      <c r="K820" s="19"/>
    </row>
    <row r="821" spans="1:11" ht="13.2">
      <c r="A821" s="22"/>
      <c r="B821" s="16"/>
      <c r="C821" s="23"/>
      <c r="D821" s="24"/>
      <c r="E821" s="25"/>
      <c r="F821" s="26"/>
      <c r="G821" s="27"/>
      <c r="H821" s="20"/>
      <c r="I821" s="21"/>
      <c r="J821" s="28"/>
      <c r="K821" s="19"/>
    </row>
    <row r="822" spans="1:11" ht="13.2">
      <c r="A822" s="22"/>
      <c r="B822" s="16"/>
      <c r="C822" s="23"/>
      <c r="D822" s="24"/>
      <c r="E822" s="25"/>
      <c r="F822" s="26"/>
      <c r="G822" s="27"/>
      <c r="H822" s="20"/>
      <c r="I822" s="21"/>
      <c r="J822" s="28"/>
      <c r="K822" s="19"/>
    </row>
    <row r="823" spans="1:11" ht="13.2">
      <c r="A823" s="22"/>
      <c r="B823" s="16"/>
      <c r="C823" s="23"/>
      <c r="D823" s="24"/>
      <c r="E823" s="25"/>
      <c r="F823" s="26"/>
      <c r="G823" s="27"/>
      <c r="H823" s="20"/>
      <c r="I823" s="21"/>
      <c r="J823" s="28"/>
      <c r="K823" s="19"/>
    </row>
    <row r="824" spans="1:11" ht="13.2">
      <c r="A824" s="22"/>
      <c r="B824" s="16"/>
      <c r="C824" s="23"/>
      <c r="D824" s="24"/>
      <c r="E824" s="25"/>
      <c r="F824" s="26"/>
      <c r="G824" s="27"/>
      <c r="H824" s="20"/>
      <c r="I824" s="21"/>
      <c r="J824" s="28"/>
      <c r="K824" s="19"/>
    </row>
    <row r="825" spans="1:11" ht="13.2">
      <c r="A825" s="22"/>
      <c r="B825" s="16"/>
      <c r="C825" s="23"/>
      <c r="D825" s="24"/>
      <c r="E825" s="25"/>
      <c r="F825" s="26"/>
      <c r="G825" s="27"/>
      <c r="H825" s="20"/>
      <c r="I825" s="21"/>
      <c r="J825" s="28"/>
      <c r="K825" s="19"/>
    </row>
    <row r="826" spans="1:11" ht="13.2">
      <c r="A826" s="22"/>
      <c r="B826" s="16"/>
      <c r="C826" s="23"/>
      <c r="D826" s="24"/>
      <c r="E826" s="25"/>
      <c r="F826" s="26"/>
      <c r="G826" s="27"/>
      <c r="H826" s="20"/>
      <c r="I826" s="21"/>
      <c r="J826" s="28"/>
      <c r="K826" s="19"/>
    </row>
    <row r="827" spans="1:11" ht="13.2">
      <c r="A827" s="22"/>
      <c r="B827" s="16"/>
      <c r="C827" s="23"/>
      <c r="D827" s="24"/>
      <c r="E827" s="25"/>
      <c r="F827" s="26"/>
      <c r="G827" s="27"/>
      <c r="H827" s="20"/>
      <c r="I827" s="21"/>
      <c r="J827" s="28"/>
      <c r="K827" s="19"/>
    </row>
    <row r="828" spans="1:11" ht="13.2">
      <c r="A828" s="22"/>
      <c r="B828" s="16"/>
      <c r="C828" s="23"/>
      <c r="D828" s="24"/>
      <c r="E828" s="25"/>
      <c r="F828" s="26"/>
      <c r="G828" s="27"/>
      <c r="H828" s="20"/>
      <c r="I828" s="21"/>
      <c r="J828" s="28"/>
      <c r="K828" s="19"/>
    </row>
    <row r="829" spans="1:11" ht="13.2">
      <c r="A829" s="22"/>
      <c r="B829" s="16"/>
      <c r="C829" s="23"/>
      <c r="D829" s="24"/>
      <c r="E829" s="25"/>
      <c r="F829" s="26"/>
      <c r="G829" s="27"/>
      <c r="H829" s="20"/>
      <c r="I829" s="21"/>
      <c r="J829" s="28"/>
      <c r="K829" s="19"/>
    </row>
    <row r="830" spans="1:11" ht="13.2">
      <c r="A830" s="22"/>
      <c r="B830" s="16"/>
      <c r="C830" s="23"/>
      <c r="D830" s="24"/>
      <c r="E830" s="25"/>
      <c r="F830" s="26"/>
      <c r="G830" s="27"/>
      <c r="H830" s="20"/>
      <c r="I830" s="21"/>
      <c r="J830" s="28"/>
      <c r="K830" s="19"/>
    </row>
    <row r="831" spans="1:11" ht="13.2">
      <c r="A831" s="22"/>
      <c r="B831" s="16"/>
      <c r="C831" s="23"/>
      <c r="D831" s="24"/>
      <c r="E831" s="25"/>
      <c r="F831" s="26"/>
      <c r="G831" s="27"/>
      <c r="H831" s="20"/>
      <c r="I831" s="21"/>
      <c r="J831" s="28"/>
      <c r="K831" s="19"/>
    </row>
    <row r="832" spans="1:11" ht="13.2">
      <c r="A832" s="22"/>
      <c r="B832" s="16"/>
      <c r="C832" s="23"/>
      <c r="D832" s="24"/>
      <c r="E832" s="25"/>
      <c r="F832" s="26"/>
      <c r="G832" s="27"/>
      <c r="H832" s="20"/>
      <c r="I832" s="21"/>
      <c r="J832" s="28"/>
      <c r="K832" s="19"/>
    </row>
    <row r="833" spans="1:11" ht="13.2">
      <c r="A833" s="22"/>
      <c r="B833" s="16"/>
      <c r="C833" s="23"/>
      <c r="D833" s="24"/>
      <c r="E833" s="25"/>
      <c r="F833" s="26"/>
      <c r="G833" s="27"/>
      <c r="H833" s="20"/>
      <c r="I833" s="21"/>
      <c r="J833" s="28"/>
      <c r="K833" s="19"/>
    </row>
    <row r="834" spans="1:11" ht="13.2">
      <c r="A834" s="22"/>
      <c r="B834" s="16"/>
      <c r="C834" s="23"/>
      <c r="D834" s="24"/>
      <c r="E834" s="25"/>
      <c r="F834" s="26"/>
      <c r="G834" s="27"/>
      <c r="H834" s="20"/>
      <c r="I834" s="21"/>
      <c r="J834" s="28"/>
      <c r="K834" s="19"/>
    </row>
    <row r="835" spans="1:11" ht="13.2">
      <c r="A835" s="22"/>
      <c r="B835" s="16"/>
      <c r="C835" s="23"/>
      <c r="D835" s="24"/>
      <c r="E835" s="25"/>
      <c r="F835" s="26"/>
      <c r="G835" s="27"/>
      <c r="H835" s="20"/>
      <c r="I835" s="21"/>
      <c r="J835" s="28"/>
      <c r="K835" s="19"/>
    </row>
    <row r="836" spans="1:11" ht="13.2">
      <c r="A836" s="22"/>
      <c r="B836" s="16"/>
      <c r="C836" s="23"/>
      <c r="D836" s="24"/>
      <c r="E836" s="25"/>
      <c r="F836" s="26"/>
      <c r="G836" s="27"/>
      <c r="H836" s="20"/>
      <c r="I836" s="21"/>
      <c r="J836" s="28"/>
      <c r="K836" s="19"/>
    </row>
    <row r="837" spans="1:11" ht="13.2">
      <c r="A837" s="22"/>
      <c r="B837" s="16"/>
      <c r="C837" s="23"/>
      <c r="D837" s="24"/>
      <c r="E837" s="25"/>
      <c r="F837" s="26"/>
      <c r="G837" s="27"/>
      <c r="H837" s="20"/>
      <c r="I837" s="21"/>
      <c r="J837" s="28"/>
      <c r="K837" s="19"/>
    </row>
    <row r="838" spans="1:11" ht="13.2">
      <c r="A838" s="22"/>
      <c r="B838" s="16"/>
      <c r="C838" s="23"/>
      <c r="D838" s="24"/>
      <c r="E838" s="25"/>
      <c r="F838" s="26"/>
      <c r="G838" s="27"/>
      <c r="H838" s="20"/>
      <c r="I838" s="21"/>
      <c r="J838" s="28"/>
      <c r="K838" s="19"/>
    </row>
    <row r="839" spans="1:11" ht="13.2">
      <c r="A839" s="22"/>
      <c r="B839" s="16"/>
      <c r="C839" s="23"/>
      <c r="D839" s="24"/>
      <c r="E839" s="25"/>
      <c r="F839" s="26"/>
      <c r="G839" s="27"/>
      <c r="H839" s="20"/>
      <c r="I839" s="21"/>
      <c r="J839" s="28"/>
      <c r="K839" s="19"/>
    </row>
    <row r="840" spans="1:11" ht="13.2">
      <c r="A840" s="22"/>
      <c r="B840" s="16"/>
      <c r="C840" s="23"/>
      <c r="D840" s="24"/>
      <c r="E840" s="25"/>
      <c r="F840" s="26"/>
      <c r="G840" s="27"/>
      <c r="H840" s="20"/>
      <c r="I840" s="21"/>
      <c r="J840" s="28"/>
      <c r="K840" s="19"/>
    </row>
    <row r="841" spans="1:11" ht="13.2">
      <c r="A841" s="22"/>
      <c r="B841" s="16"/>
      <c r="C841" s="23"/>
      <c r="D841" s="24"/>
      <c r="E841" s="25"/>
      <c r="F841" s="26"/>
      <c r="G841" s="27"/>
      <c r="H841" s="20"/>
      <c r="I841" s="21"/>
      <c r="J841" s="28"/>
      <c r="K841" s="19"/>
    </row>
    <row r="842" spans="1:11" ht="13.2">
      <c r="A842" s="22"/>
      <c r="B842" s="16"/>
      <c r="C842" s="23"/>
      <c r="D842" s="24"/>
      <c r="E842" s="25"/>
      <c r="F842" s="26"/>
      <c r="G842" s="27"/>
      <c r="H842" s="20"/>
      <c r="I842" s="21"/>
      <c r="J842" s="28"/>
      <c r="K842" s="19"/>
    </row>
    <row r="843" spans="1:11" ht="13.2">
      <c r="A843" s="22"/>
      <c r="B843" s="16"/>
      <c r="C843" s="23"/>
      <c r="D843" s="24"/>
      <c r="E843" s="25"/>
      <c r="F843" s="26"/>
      <c r="G843" s="27"/>
      <c r="H843" s="20"/>
      <c r="I843" s="21"/>
      <c r="J843" s="28"/>
      <c r="K843" s="19"/>
    </row>
    <row r="844" spans="1:11" ht="13.2">
      <c r="A844" s="22"/>
      <c r="B844" s="16"/>
      <c r="C844" s="23"/>
      <c r="D844" s="24"/>
      <c r="E844" s="25"/>
      <c r="F844" s="26"/>
      <c r="G844" s="27"/>
      <c r="H844" s="20"/>
      <c r="I844" s="21"/>
      <c r="J844" s="28"/>
      <c r="K844" s="19"/>
    </row>
    <row r="845" spans="1:11" ht="13.2">
      <c r="A845" s="22"/>
      <c r="B845" s="16"/>
      <c r="C845" s="23"/>
      <c r="D845" s="24"/>
      <c r="E845" s="25"/>
      <c r="F845" s="26"/>
      <c r="G845" s="27"/>
      <c r="H845" s="20"/>
      <c r="I845" s="21"/>
      <c r="J845" s="28"/>
      <c r="K845" s="19"/>
    </row>
    <row r="846" spans="1:11" ht="13.2">
      <c r="A846" s="22"/>
      <c r="B846" s="16"/>
      <c r="C846" s="23"/>
      <c r="D846" s="24"/>
      <c r="E846" s="25"/>
      <c r="F846" s="26"/>
      <c r="G846" s="27"/>
      <c r="H846" s="20"/>
      <c r="I846" s="21"/>
      <c r="J846" s="28"/>
      <c r="K846" s="19"/>
    </row>
    <row r="847" spans="1:11" ht="13.2">
      <c r="A847" s="22"/>
      <c r="B847" s="16"/>
      <c r="C847" s="23"/>
      <c r="D847" s="24"/>
      <c r="E847" s="25"/>
      <c r="F847" s="26"/>
      <c r="G847" s="27"/>
      <c r="H847" s="20"/>
      <c r="I847" s="21"/>
      <c r="J847" s="28"/>
      <c r="K847" s="19"/>
    </row>
    <row r="848" spans="1:11" ht="13.2">
      <c r="A848" s="22"/>
      <c r="B848" s="16"/>
      <c r="C848" s="23"/>
      <c r="D848" s="24"/>
      <c r="E848" s="25"/>
      <c r="F848" s="26"/>
      <c r="G848" s="27"/>
      <c r="H848" s="20"/>
      <c r="I848" s="21"/>
      <c r="J848" s="28"/>
      <c r="K848" s="19"/>
    </row>
    <row r="849" spans="1:11" ht="13.2">
      <c r="A849" s="22"/>
      <c r="B849" s="16"/>
      <c r="C849" s="23"/>
      <c r="D849" s="24"/>
      <c r="E849" s="25"/>
      <c r="F849" s="26"/>
      <c r="G849" s="27"/>
      <c r="H849" s="20"/>
      <c r="I849" s="21"/>
      <c r="J849" s="28"/>
      <c r="K849" s="19"/>
    </row>
    <row r="850" spans="1:11" ht="13.2">
      <c r="A850" s="22"/>
      <c r="B850" s="16"/>
      <c r="C850" s="23"/>
      <c r="D850" s="24"/>
      <c r="E850" s="25"/>
      <c r="F850" s="26"/>
      <c r="G850" s="27"/>
      <c r="H850" s="20"/>
      <c r="I850" s="21"/>
      <c r="J850" s="28"/>
      <c r="K850" s="19"/>
    </row>
    <row r="851" spans="1:11" ht="13.2">
      <c r="A851" s="22"/>
      <c r="B851" s="16"/>
      <c r="C851" s="23"/>
      <c r="D851" s="24"/>
      <c r="E851" s="25"/>
      <c r="F851" s="26"/>
      <c r="G851" s="27"/>
      <c r="H851" s="20"/>
      <c r="I851" s="21"/>
      <c r="J851" s="28"/>
      <c r="K851" s="19"/>
    </row>
    <row r="852" spans="1:11" ht="13.2">
      <c r="A852" s="22"/>
      <c r="B852" s="16"/>
      <c r="C852" s="23"/>
      <c r="D852" s="24"/>
      <c r="E852" s="25"/>
      <c r="F852" s="26"/>
      <c r="G852" s="27"/>
      <c r="H852" s="20"/>
      <c r="I852" s="21"/>
      <c r="J852" s="28"/>
      <c r="K852" s="19"/>
    </row>
    <row r="853" spans="1:11" ht="13.2">
      <c r="A853" s="22"/>
      <c r="B853" s="16"/>
      <c r="C853" s="23"/>
      <c r="D853" s="24"/>
      <c r="E853" s="25"/>
      <c r="F853" s="26"/>
      <c r="G853" s="27"/>
      <c r="H853" s="20"/>
      <c r="I853" s="21"/>
      <c r="J853" s="28"/>
      <c r="K853" s="19"/>
    </row>
    <row r="854" spans="1:11" ht="13.2">
      <c r="A854" s="22"/>
      <c r="B854" s="16"/>
      <c r="C854" s="23"/>
      <c r="D854" s="24"/>
      <c r="E854" s="25"/>
      <c r="F854" s="26"/>
      <c r="G854" s="27"/>
      <c r="H854" s="20"/>
      <c r="I854" s="21"/>
      <c r="J854" s="28"/>
      <c r="K854" s="19"/>
    </row>
    <row r="855" spans="1:11" ht="13.2">
      <c r="A855" s="22"/>
      <c r="B855" s="16"/>
      <c r="C855" s="23"/>
      <c r="D855" s="24"/>
      <c r="E855" s="25"/>
      <c r="F855" s="26"/>
      <c r="G855" s="27"/>
      <c r="H855" s="20"/>
      <c r="I855" s="21"/>
      <c r="J855" s="28"/>
      <c r="K855" s="19"/>
    </row>
    <row r="856" spans="1:11" ht="13.2">
      <c r="A856" s="22"/>
      <c r="B856" s="16"/>
      <c r="C856" s="23"/>
      <c r="D856" s="24"/>
      <c r="E856" s="25"/>
      <c r="F856" s="26"/>
      <c r="G856" s="27"/>
      <c r="H856" s="20"/>
      <c r="I856" s="21"/>
      <c r="J856" s="28"/>
      <c r="K856" s="19"/>
    </row>
    <row r="857" spans="1:11" ht="13.2">
      <c r="A857" s="22"/>
      <c r="B857" s="16"/>
      <c r="C857" s="23"/>
      <c r="D857" s="24"/>
      <c r="E857" s="25"/>
      <c r="F857" s="26"/>
      <c r="G857" s="27"/>
      <c r="H857" s="20"/>
      <c r="I857" s="21"/>
      <c r="J857" s="28"/>
      <c r="K857" s="19"/>
    </row>
    <row r="858" spans="1:11" ht="13.2">
      <c r="A858" s="22"/>
      <c r="B858" s="16"/>
      <c r="C858" s="23"/>
      <c r="D858" s="24"/>
      <c r="E858" s="25"/>
      <c r="F858" s="26"/>
      <c r="G858" s="27"/>
      <c r="H858" s="20"/>
      <c r="I858" s="21"/>
      <c r="J858" s="28"/>
      <c r="K858" s="19"/>
    </row>
    <row r="859" spans="1:11" ht="13.2">
      <c r="A859" s="22"/>
      <c r="B859" s="16"/>
      <c r="C859" s="23"/>
      <c r="D859" s="24"/>
      <c r="E859" s="25"/>
      <c r="F859" s="26"/>
      <c r="G859" s="27"/>
      <c r="H859" s="20"/>
      <c r="I859" s="21"/>
      <c r="J859" s="28"/>
      <c r="K859" s="19"/>
    </row>
    <row r="860" spans="1:11" ht="13.2">
      <c r="A860" s="22"/>
      <c r="B860" s="16"/>
      <c r="C860" s="23"/>
      <c r="D860" s="24"/>
      <c r="E860" s="25"/>
      <c r="F860" s="26"/>
      <c r="G860" s="27"/>
      <c r="H860" s="20"/>
      <c r="I860" s="21"/>
      <c r="J860" s="28"/>
      <c r="K860" s="19"/>
    </row>
    <row r="861" spans="1:11" ht="13.2">
      <c r="A861" s="22"/>
      <c r="B861" s="16"/>
      <c r="C861" s="23"/>
      <c r="D861" s="24"/>
      <c r="E861" s="25"/>
      <c r="F861" s="26"/>
      <c r="G861" s="27"/>
      <c r="H861" s="20"/>
      <c r="I861" s="21"/>
      <c r="J861" s="28"/>
      <c r="K861" s="19"/>
    </row>
    <row r="862" spans="1:11" ht="13.2">
      <c r="A862" s="22"/>
      <c r="B862" s="16"/>
      <c r="C862" s="23"/>
      <c r="D862" s="24"/>
      <c r="E862" s="25"/>
      <c r="F862" s="26"/>
      <c r="G862" s="27"/>
      <c r="H862" s="20"/>
      <c r="I862" s="21"/>
      <c r="J862" s="28"/>
      <c r="K862" s="19"/>
    </row>
    <row r="863" spans="1:11" ht="13.2">
      <c r="A863" s="22"/>
      <c r="B863" s="16"/>
      <c r="C863" s="23"/>
      <c r="D863" s="24"/>
      <c r="E863" s="25"/>
      <c r="F863" s="26"/>
      <c r="G863" s="27"/>
      <c r="H863" s="20"/>
      <c r="I863" s="21"/>
      <c r="J863" s="28"/>
      <c r="K863" s="19"/>
    </row>
    <row r="864" spans="1:11" ht="13.2">
      <c r="A864" s="22"/>
      <c r="B864" s="16"/>
      <c r="C864" s="23"/>
      <c r="D864" s="24"/>
      <c r="E864" s="25"/>
      <c r="F864" s="26"/>
      <c r="G864" s="27"/>
      <c r="H864" s="20"/>
      <c r="I864" s="21"/>
      <c r="J864" s="28"/>
      <c r="K864" s="19"/>
    </row>
    <row r="865" spans="1:11" ht="13.2">
      <c r="A865" s="22"/>
      <c r="B865" s="16"/>
      <c r="C865" s="23"/>
      <c r="D865" s="24"/>
      <c r="E865" s="25"/>
      <c r="F865" s="26"/>
      <c r="G865" s="27"/>
      <c r="H865" s="20"/>
      <c r="I865" s="21"/>
      <c r="J865" s="28"/>
      <c r="K865" s="19"/>
    </row>
    <row r="866" spans="1:11" ht="13.2">
      <c r="A866" s="22"/>
      <c r="B866" s="16"/>
      <c r="C866" s="23"/>
      <c r="D866" s="24"/>
      <c r="E866" s="25"/>
      <c r="F866" s="26"/>
      <c r="G866" s="27"/>
      <c r="H866" s="20"/>
      <c r="I866" s="21"/>
      <c r="J866" s="28"/>
      <c r="K866" s="19"/>
    </row>
    <row r="867" spans="1:11" ht="13.2">
      <c r="A867" s="22"/>
      <c r="B867" s="16"/>
      <c r="C867" s="23"/>
      <c r="D867" s="24"/>
      <c r="E867" s="25"/>
      <c r="F867" s="26"/>
      <c r="G867" s="27"/>
      <c r="H867" s="20"/>
      <c r="I867" s="21"/>
      <c r="J867" s="28"/>
      <c r="K867" s="19"/>
    </row>
    <row r="868" spans="1:11" ht="13.2">
      <c r="A868" s="22"/>
      <c r="B868" s="16"/>
      <c r="C868" s="23"/>
      <c r="D868" s="24"/>
      <c r="E868" s="25"/>
      <c r="F868" s="26"/>
      <c r="G868" s="27"/>
      <c r="H868" s="20"/>
      <c r="I868" s="21"/>
      <c r="J868" s="28"/>
      <c r="K868" s="19"/>
    </row>
    <row r="869" spans="1:11" ht="13.2">
      <c r="A869" s="22"/>
      <c r="B869" s="16"/>
      <c r="C869" s="23"/>
      <c r="D869" s="24"/>
      <c r="E869" s="25"/>
      <c r="F869" s="26"/>
      <c r="G869" s="27"/>
      <c r="H869" s="20"/>
      <c r="I869" s="21"/>
      <c r="J869" s="28"/>
      <c r="K869" s="19"/>
    </row>
    <row r="870" spans="1:11" ht="13.2">
      <c r="A870" s="22"/>
      <c r="B870" s="16"/>
      <c r="C870" s="23"/>
      <c r="D870" s="24"/>
      <c r="E870" s="25"/>
      <c r="F870" s="26"/>
      <c r="G870" s="27"/>
      <c r="H870" s="20"/>
      <c r="I870" s="21"/>
      <c r="J870" s="28"/>
      <c r="K870" s="19"/>
    </row>
    <row r="871" spans="1:11" ht="13.2">
      <c r="A871" s="22"/>
      <c r="B871" s="16"/>
      <c r="C871" s="23"/>
      <c r="D871" s="24"/>
      <c r="E871" s="25"/>
      <c r="F871" s="26"/>
      <c r="G871" s="27"/>
      <c r="H871" s="20"/>
      <c r="I871" s="21"/>
      <c r="J871" s="28"/>
      <c r="K871" s="19"/>
    </row>
    <row r="872" spans="1:11" ht="13.2">
      <c r="A872" s="22"/>
      <c r="B872" s="16"/>
      <c r="C872" s="23"/>
      <c r="D872" s="24"/>
      <c r="E872" s="25"/>
      <c r="F872" s="26"/>
      <c r="G872" s="27"/>
      <c r="H872" s="20"/>
      <c r="I872" s="21"/>
      <c r="J872" s="28"/>
      <c r="K872" s="19"/>
    </row>
    <row r="873" spans="1:11" ht="13.2">
      <c r="A873" s="22"/>
      <c r="B873" s="16"/>
      <c r="C873" s="23"/>
      <c r="D873" s="24"/>
      <c r="E873" s="25"/>
      <c r="F873" s="26"/>
      <c r="G873" s="27"/>
      <c r="H873" s="20"/>
      <c r="I873" s="21"/>
      <c r="J873" s="28"/>
      <c r="K873" s="19"/>
    </row>
    <row r="874" spans="1:11" ht="13.2">
      <c r="A874" s="22"/>
      <c r="B874" s="16"/>
      <c r="C874" s="23"/>
      <c r="D874" s="24"/>
      <c r="E874" s="25"/>
      <c r="F874" s="26"/>
      <c r="G874" s="27"/>
      <c r="H874" s="20"/>
      <c r="I874" s="21"/>
      <c r="J874" s="28"/>
      <c r="K874" s="19"/>
    </row>
    <row r="875" spans="1:11" ht="13.2">
      <c r="A875" s="22"/>
      <c r="B875" s="16"/>
      <c r="C875" s="23"/>
      <c r="D875" s="24"/>
      <c r="E875" s="25"/>
      <c r="F875" s="26"/>
      <c r="G875" s="27"/>
      <c r="H875" s="20"/>
      <c r="I875" s="21"/>
      <c r="J875" s="28"/>
      <c r="K875" s="19"/>
    </row>
    <row r="876" spans="1:11" ht="13.2">
      <c r="A876" s="22"/>
      <c r="B876" s="16"/>
      <c r="C876" s="23"/>
      <c r="D876" s="24"/>
      <c r="E876" s="25"/>
      <c r="F876" s="26"/>
      <c r="G876" s="27"/>
      <c r="H876" s="20"/>
      <c r="I876" s="21"/>
      <c r="J876" s="28"/>
      <c r="K876" s="19"/>
    </row>
    <row r="877" spans="1:11" ht="13.2">
      <c r="A877" s="22"/>
      <c r="B877" s="16"/>
      <c r="C877" s="23"/>
      <c r="D877" s="24"/>
      <c r="E877" s="25"/>
      <c r="F877" s="26"/>
      <c r="G877" s="27"/>
      <c r="H877" s="20"/>
      <c r="I877" s="21"/>
      <c r="J877" s="28"/>
      <c r="K877" s="19"/>
    </row>
    <row r="878" spans="1:11" ht="13.2">
      <c r="A878" s="22"/>
      <c r="B878" s="16"/>
      <c r="C878" s="23"/>
      <c r="D878" s="24"/>
      <c r="E878" s="25"/>
      <c r="F878" s="26"/>
      <c r="G878" s="27"/>
      <c r="H878" s="20"/>
      <c r="I878" s="21"/>
      <c r="J878" s="28"/>
      <c r="K878" s="19"/>
    </row>
    <row r="879" spans="1:11" ht="13.2">
      <c r="A879" s="22"/>
      <c r="B879" s="16"/>
      <c r="C879" s="23"/>
      <c r="D879" s="24"/>
      <c r="E879" s="25"/>
      <c r="F879" s="26"/>
      <c r="G879" s="27"/>
      <c r="H879" s="20"/>
      <c r="I879" s="21"/>
      <c r="J879" s="28"/>
      <c r="K879" s="19"/>
    </row>
    <row r="880" spans="1:11" ht="13.2">
      <c r="A880" s="22"/>
      <c r="B880" s="16"/>
      <c r="C880" s="23"/>
      <c r="D880" s="24"/>
      <c r="E880" s="25"/>
      <c r="F880" s="26"/>
      <c r="G880" s="27"/>
      <c r="H880" s="20"/>
      <c r="I880" s="21"/>
      <c r="J880" s="28"/>
      <c r="K880" s="19"/>
    </row>
    <row r="881" spans="1:11" ht="13.2">
      <c r="A881" s="22"/>
      <c r="B881" s="16"/>
      <c r="C881" s="23"/>
      <c r="D881" s="24"/>
      <c r="E881" s="25"/>
      <c r="F881" s="26"/>
      <c r="G881" s="27"/>
      <c r="H881" s="20"/>
      <c r="I881" s="21"/>
      <c r="J881" s="28"/>
      <c r="K881" s="19"/>
    </row>
    <row r="882" spans="1:11" ht="13.2">
      <c r="A882" s="22"/>
      <c r="B882" s="16"/>
      <c r="C882" s="23"/>
      <c r="D882" s="24"/>
      <c r="E882" s="25"/>
      <c r="F882" s="26"/>
      <c r="G882" s="27"/>
      <c r="H882" s="20"/>
      <c r="I882" s="21"/>
      <c r="J882" s="28"/>
      <c r="K882" s="19"/>
    </row>
    <row r="883" spans="1:11" ht="13.2">
      <c r="A883" s="22"/>
      <c r="B883" s="16"/>
      <c r="C883" s="23"/>
      <c r="D883" s="24"/>
      <c r="E883" s="25"/>
      <c r="F883" s="26"/>
      <c r="G883" s="27"/>
      <c r="H883" s="20"/>
      <c r="I883" s="21"/>
      <c r="J883" s="28"/>
      <c r="K883" s="19"/>
    </row>
    <row r="884" spans="1:11" ht="13.2">
      <c r="A884" s="22"/>
      <c r="B884" s="16"/>
      <c r="C884" s="23"/>
      <c r="D884" s="24"/>
      <c r="E884" s="25"/>
      <c r="F884" s="26"/>
      <c r="G884" s="27"/>
      <c r="H884" s="20"/>
      <c r="I884" s="21"/>
      <c r="J884" s="28"/>
      <c r="K884" s="19"/>
    </row>
    <row r="885" spans="1:11" ht="13.2">
      <c r="A885" s="22"/>
      <c r="B885" s="16"/>
      <c r="C885" s="23"/>
      <c r="D885" s="24"/>
      <c r="E885" s="25"/>
      <c r="F885" s="26"/>
      <c r="G885" s="27"/>
      <c r="H885" s="20"/>
      <c r="I885" s="21"/>
      <c r="J885" s="28"/>
      <c r="K885" s="19"/>
    </row>
    <row r="886" spans="1:11" ht="13.2">
      <c r="A886" s="22"/>
      <c r="B886" s="16"/>
      <c r="C886" s="23"/>
      <c r="D886" s="24"/>
      <c r="E886" s="25"/>
      <c r="F886" s="26"/>
      <c r="G886" s="27"/>
      <c r="H886" s="20"/>
      <c r="I886" s="21"/>
      <c r="J886" s="28"/>
      <c r="K886" s="19"/>
    </row>
    <row r="887" spans="1:11" ht="13.2">
      <c r="A887" s="22"/>
      <c r="B887" s="16"/>
      <c r="C887" s="23"/>
      <c r="D887" s="24"/>
      <c r="E887" s="25"/>
      <c r="F887" s="26"/>
      <c r="G887" s="27"/>
      <c r="H887" s="20"/>
      <c r="I887" s="21"/>
      <c r="J887" s="28"/>
      <c r="K887" s="19"/>
    </row>
    <row r="888" spans="1:11" ht="13.2">
      <c r="A888" s="22"/>
      <c r="B888" s="16"/>
      <c r="C888" s="23"/>
      <c r="D888" s="24"/>
      <c r="E888" s="25"/>
      <c r="F888" s="26"/>
      <c r="G888" s="27"/>
      <c r="H888" s="20"/>
      <c r="I888" s="21"/>
      <c r="J888" s="28"/>
      <c r="K888" s="19"/>
    </row>
    <row r="889" spans="1:11" ht="13.2">
      <c r="A889" s="22"/>
      <c r="B889" s="16"/>
      <c r="C889" s="23"/>
      <c r="D889" s="24"/>
      <c r="E889" s="25"/>
      <c r="F889" s="26"/>
      <c r="G889" s="27"/>
      <c r="H889" s="20"/>
      <c r="I889" s="21"/>
      <c r="J889" s="28"/>
      <c r="K889" s="19"/>
    </row>
    <row r="890" spans="1:11" ht="13.2">
      <c r="A890" s="22"/>
      <c r="B890" s="16"/>
      <c r="C890" s="23"/>
      <c r="D890" s="24"/>
      <c r="E890" s="25"/>
      <c r="F890" s="26"/>
      <c r="G890" s="27"/>
      <c r="H890" s="20"/>
      <c r="I890" s="21"/>
      <c r="J890" s="28"/>
      <c r="K890" s="19"/>
    </row>
    <row r="891" spans="1:11" ht="13.2">
      <c r="A891" s="22"/>
      <c r="B891" s="16"/>
      <c r="C891" s="23"/>
      <c r="D891" s="24"/>
      <c r="E891" s="25"/>
      <c r="F891" s="26"/>
      <c r="G891" s="27"/>
      <c r="H891" s="20"/>
      <c r="I891" s="21"/>
      <c r="J891" s="28"/>
      <c r="K891" s="19"/>
    </row>
    <row r="892" spans="1:11" ht="13.2">
      <c r="A892" s="22"/>
      <c r="B892" s="16"/>
      <c r="C892" s="23"/>
      <c r="D892" s="24"/>
      <c r="E892" s="25"/>
      <c r="F892" s="26"/>
      <c r="G892" s="27"/>
      <c r="H892" s="20"/>
      <c r="I892" s="21"/>
      <c r="J892" s="28"/>
      <c r="K892" s="19"/>
    </row>
    <row r="893" spans="1:11" ht="13.2">
      <c r="A893" s="22"/>
      <c r="B893" s="16"/>
      <c r="C893" s="23"/>
      <c r="D893" s="24"/>
      <c r="E893" s="25"/>
      <c r="F893" s="26"/>
      <c r="G893" s="27"/>
      <c r="H893" s="20"/>
      <c r="I893" s="21"/>
      <c r="J893" s="28"/>
      <c r="K893" s="19"/>
    </row>
    <row r="894" spans="1:11" ht="13.2">
      <c r="A894" s="22"/>
      <c r="B894" s="16"/>
      <c r="C894" s="23"/>
      <c r="D894" s="24"/>
      <c r="E894" s="25"/>
      <c r="F894" s="26"/>
      <c r="G894" s="27"/>
      <c r="H894" s="20"/>
      <c r="I894" s="21"/>
      <c r="J894" s="28"/>
      <c r="K894" s="19"/>
    </row>
    <row r="895" spans="1:11" ht="13.2">
      <c r="A895" s="22"/>
      <c r="B895" s="16"/>
      <c r="C895" s="23"/>
      <c r="D895" s="24"/>
      <c r="E895" s="25"/>
      <c r="F895" s="26"/>
      <c r="G895" s="27"/>
      <c r="H895" s="20"/>
      <c r="I895" s="21"/>
      <c r="J895" s="28"/>
      <c r="K895" s="19"/>
    </row>
    <row r="896" spans="1:11" ht="13.2">
      <c r="A896" s="22"/>
      <c r="B896" s="16"/>
      <c r="C896" s="23"/>
      <c r="D896" s="24"/>
      <c r="E896" s="25"/>
      <c r="F896" s="26"/>
      <c r="G896" s="27"/>
      <c r="H896" s="20"/>
      <c r="I896" s="21"/>
      <c r="J896" s="28"/>
      <c r="K896" s="19"/>
    </row>
    <row r="897" spans="1:11" ht="13.2">
      <c r="A897" s="22"/>
      <c r="B897" s="16"/>
      <c r="C897" s="23"/>
      <c r="D897" s="24"/>
      <c r="E897" s="25"/>
      <c r="F897" s="26"/>
      <c r="G897" s="27"/>
      <c r="H897" s="20"/>
      <c r="I897" s="21"/>
      <c r="J897" s="28"/>
      <c r="K897" s="19"/>
    </row>
    <row r="898" spans="1:11" ht="13.2">
      <c r="A898" s="22"/>
      <c r="B898" s="16"/>
      <c r="C898" s="23"/>
      <c r="D898" s="24"/>
      <c r="E898" s="25"/>
      <c r="F898" s="26"/>
      <c r="G898" s="27"/>
      <c r="H898" s="20"/>
      <c r="I898" s="21"/>
      <c r="J898" s="28"/>
      <c r="K898" s="19"/>
    </row>
    <row r="899" spans="1:11" ht="13.2">
      <c r="A899" s="22"/>
      <c r="B899" s="16"/>
      <c r="C899" s="23"/>
      <c r="D899" s="24"/>
      <c r="E899" s="25"/>
      <c r="F899" s="26"/>
      <c r="G899" s="27"/>
      <c r="H899" s="20"/>
      <c r="I899" s="21"/>
      <c r="J899" s="28"/>
      <c r="K899" s="19"/>
    </row>
    <row r="900" spans="1:11" ht="13.2">
      <c r="A900" s="22"/>
      <c r="B900" s="16"/>
      <c r="C900" s="23"/>
      <c r="D900" s="24"/>
      <c r="E900" s="25"/>
      <c r="F900" s="26"/>
      <c r="G900" s="27"/>
      <c r="H900" s="20"/>
      <c r="I900" s="21"/>
      <c r="J900" s="28"/>
      <c r="K900" s="19"/>
    </row>
    <row r="901" spans="1:11" ht="13.2">
      <c r="A901" s="22"/>
      <c r="B901" s="16"/>
      <c r="C901" s="23"/>
      <c r="D901" s="24"/>
      <c r="E901" s="25"/>
      <c r="F901" s="26"/>
      <c r="G901" s="27"/>
      <c r="H901" s="20"/>
      <c r="I901" s="21"/>
      <c r="J901" s="28"/>
      <c r="K901" s="19"/>
    </row>
    <row r="902" spans="1:11" ht="13.2">
      <c r="A902" s="22"/>
      <c r="B902" s="16"/>
      <c r="C902" s="23"/>
      <c r="D902" s="24"/>
      <c r="E902" s="25"/>
      <c r="F902" s="26"/>
      <c r="G902" s="27"/>
      <c r="H902" s="20"/>
      <c r="I902" s="21"/>
      <c r="J902" s="28"/>
      <c r="K902" s="19"/>
    </row>
    <row r="903" spans="1:11" ht="13.2">
      <c r="A903" s="22"/>
      <c r="B903" s="16"/>
      <c r="C903" s="23"/>
      <c r="D903" s="24"/>
      <c r="E903" s="25"/>
      <c r="F903" s="26"/>
      <c r="G903" s="27"/>
      <c r="H903" s="20"/>
      <c r="I903" s="21"/>
      <c r="J903" s="28"/>
      <c r="K903" s="19"/>
    </row>
    <row r="904" spans="1:11" ht="13.2">
      <c r="A904" s="22"/>
      <c r="B904" s="16"/>
      <c r="C904" s="23"/>
      <c r="D904" s="24"/>
      <c r="E904" s="25"/>
      <c r="F904" s="26"/>
      <c r="G904" s="27"/>
      <c r="H904" s="20"/>
      <c r="I904" s="21"/>
      <c r="J904" s="28"/>
      <c r="K904" s="19"/>
    </row>
    <row r="905" spans="1:11" ht="13.2">
      <c r="A905" s="22"/>
      <c r="B905" s="16"/>
      <c r="C905" s="23"/>
      <c r="D905" s="24"/>
      <c r="E905" s="25"/>
      <c r="F905" s="26"/>
      <c r="G905" s="27"/>
      <c r="H905" s="20"/>
      <c r="I905" s="21"/>
      <c r="J905" s="28"/>
      <c r="K905" s="19"/>
    </row>
    <row r="906" spans="1:11" ht="13.2">
      <c r="A906" s="22"/>
      <c r="B906" s="16"/>
      <c r="C906" s="23"/>
      <c r="D906" s="24"/>
      <c r="E906" s="25"/>
      <c r="F906" s="26"/>
      <c r="G906" s="27"/>
      <c r="H906" s="20"/>
      <c r="I906" s="21"/>
      <c r="J906" s="28"/>
      <c r="K906" s="19"/>
    </row>
    <row r="907" spans="1:11" ht="13.2">
      <c r="A907" s="22"/>
      <c r="B907" s="16"/>
      <c r="C907" s="23"/>
      <c r="D907" s="24"/>
      <c r="E907" s="25"/>
      <c r="F907" s="26"/>
      <c r="G907" s="27"/>
      <c r="H907" s="20"/>
      <c r="I907" s="21"/>
      <c r="J907" s="28"/>
      <c r="K907" s="19"/>
    </row>
    <row r="908" spans="1:11" ht="13.2">
      <c r="A908" s="22"/>
      <c r="B908" s="16"/>
      <c r="C908" s="23"/>
      <c r="D908" s="24"/>
      <c r="E908" s="25"/>
      <c r="F908" s="26"/>
      <c r="G908" s="27"/>
      <c r="H908" s="20"/>
      <c r="I908" s="21"/>
      <c r="J908" s="28"/>
      <c r="K908" s="19"/>
    </row>
    <row r="909" spans="1:11" ht="13.2">
      <c r="A909" s="22"/>
      <c r="B909" s="16"/>
      <c r="C909" s="23"/>
      <c r="D909" s="24"/>
      <c r="E909" s="25"/>
      <c r="F909" s="26"/>
      <c r="G909" s="27"/>
      <c r="H909" s="20"/>
      <c r="I909" s="21"/>
      <c r="J909" s="28"/>
      <c r="K909" s="19"/>
    </row>
    <row r="910" spans="1:11" ht="13.2">
      <c r="A910" s="22"/>
      <c r="B910" s="16"/>
      <c r="C910" s="23"/>
      <c r="D910" s="24"/>
      <c r="E910" s="25"/>
      <c r="F910" s="26"/>
      <c r="G910" s="27"/>
      <c r="H910" s="20"/>
      <c r="I910" s="21"/>
      <c r="J910" s="28"/>
      <c r="K910" s="19"/>
    </row>
    <row r="911" spans="1:11" ht="13.2">
      <c r="A911" s="22"/>
      <c r="B911" s="16"/>
      <c r="C911" s="23"/>
      <c r="D911" s="24"/>
      <c r="E911" s="25"/>
      <c r="F911" s="26"/>
      <c r="G911" s="27"/>
      <c r="H911" s="20"/>
      <c r="I911" s="21"/>
      <c r="J911" s="28"/>
      <c r="K911" s="19"/>
    </row>
    <row r="912" spans="1:11" ht="13.2">
      <c r="A912" s="22"/>
      <c r="B912" s="16"/>
      <c r="C912" s="23"/>
      <c r="D912" s="24"/>
      <c r="E912" s="25"/>
      <c r="F912" s="26"/>
      <c r="G912" s="27"/>
      <c r="H912" s="20"/>
      <c r="I912" s="21"/>
      <c r="J912" s="28"/>
      <c r="K912" s="19"/>
    </row>
    <row r="913" spans="1:11" ht="13.2">
      <c r="A913" s="22"/>
      <c r="B913" s="16"/>
      <c r="C913" s="23"/>
      <c r="D913" s="24"/>
      <c r="E913" s="25"/>
      <c r="F913" s="26"/>
      <c r="G913" s="27"/>
      <c r="H913" s="20"/>
      <c r="I913" s="21"/>
      <c r="J913" s="28"/>
      <c r="K913" s="19"/>
    </row>
    <row r="914" spans="1:11" ht="13.2">
      <c r="A914" s="22"/>
      <c r="B914" s="16"/>
      <c r="C914" s="23"/>
      <c r="D914" s="24"/>
      <c r="E914" s="25"/>
      <c r="F914" s="26"/>
      <c r="G914" s="27"/>
      <c r="H914" s="20"/>
      <c r="I914" s="21"/>
      <c r="J914" s="28"/>
      <c r="K914" s="19"/>
    </row>
    <row r="915" spans="1:11" ht="13.2">
      <c r="A915" s="22"/>
      <c r="B915" s="16"/>
      <c r="C915" s="23"/>
      <c r="D915" s="24"/>
      <c r="E915" s="25"/>
      <c r="F915" s="26"/>
      <c r="G915" s="27"/>
      <c r="H915" s="20"/>
      <c r="I915" s="21"/>
      <c r="J915" s="28"/>
      <c r="K915" s="19"/>
    </row>
    <row r="916" spans="1:11" ht="13.2">
      <c r="A916" s="22"/>
      <c r="B916" s="16"/>
      <c r="C916" s="23"/>
      <c r="D916" s="24"/>
      <c r="E916" s="25"/>
      <c r="F916" s="26"/>
      <c r="G916" s="27"/>
      <c r="H916" s="20"/>
      <c r="I916" s="21"/>
      <c r="J916" s="28"/>
      <c r="K916" s="19"/>
    </row>
    <row r="917" spans="1:11" ht="13.2">
      <c r="A917" s="22"/>
      <c r="B917" s="16"/>
      <c r="C917" s="23"/>
      <c r="D917" s="24"/>
      <c r="E917" s="25"/>
      <c r="F917" s="26"/>
      <c r="G917" s="27"/>
      <c r="H917" s="20"/>
      <c r="I917" s="21"/>
      <c r="J917" s="28"/>
      <c r="K917" s="19"/>
    </row>
    <row r="918" spans="1:11" ht="13.2">
      <c r="A918" s="22"/>
      <c r="B918" s="16"/>
      <c r="C918" s="23"/>
      <c r="D918" s="24"/>
      <c r="E918" s="25"/>
      <c r="F918" s="26"/>
      <c r="G918" s="27"/>
      <c r="H918" s="20"/>
      <c r="I918" s="21"/>
      <c r="J918" s="28"/>
      <c r="K918" s="19"/>
    </row>
    <row r="919" spans="1:11" ht="13.2">
      <c r="A919" s="22"/>
      <c r="B919" s="16"/>
      <c r="C919" s="23"/>
      <c r="D919" s="24"/>
      <c r="E919" s="25"/>
      <c r="F919" s="26"/>
      <c r="G919" s="27"/>
      <c r="H919" s="20"/>
      <c r="I919" s="21"/>
      <c r="J919" s="28"/>
      <c r="K919" s="19"/>
    </row>
    <row r="920" spans="1:11" ht="13.2">
      <c r="A920" s="22"/>
      <c r="B920" s="16"/>
      <c r="C920" s="23"/>
      <c r="D920" s="24"/>
      <c r="E920" s="25"/>
      <c r="F920" s="26"/>
      <c r="G920" s="27"/>
      <c r="H920" s="20"/>
      <c r="I920" s="21"/>
      <c r="J920" s="28"/>
      <c r="K920" s="19"/>
    </row>
    <row r="921" spans="1:11" ht="13.2">
      <c r="A921" s="22"/>
      <c r="B921" s="16"/>
      <c r="C921" s="23"/>
      <c r="D921" s="24"/>
      <c r="E921" s="25"/>
      <c r="F921" s="26"/>
      <c r="G921" s="27"/>
      <c r="H921" s="20"/>
      <c r="I921" s="21"/>
      <c r="J921" s="28"/>
      <c r="K921" s="19"/>
    </row>
    <row r="922" spans="1:11" ht="13.2">
      <c r="A922" s="22"/>
      <c r="B922" s="16"/>
      <c r="C922" s="23"/>
      <c r="D922" s="24"/>
      <c r="E922" s="25"/>
      <c r="F922" s="26"/>
      <c r="G922" s="27"/>
      <c r="H922" s="20"/>
      <c r="I922" s="21"/>
      <c r="J922" s="28"/>
      <c r="K922" s="19"/>
    </row>
    <row r="923" spans="1:11" ht="13.2">
      <c r="A923" s="22"/>
      <c r="B923" s="16"/>
      <c r="C923" s="23"/>
      <c r="D923" s="24"/>
      <c r="E923" s="25"/>
      <c r="F923" s="26"/>
      <c r="G923" s="27"/>
      <c r="H923" s="20"/>
      <c r="I923" s="21"/>
      <c r="J923" s="28"/>
      <c r="K923" s="19"/>
    </row>
    <row r="924" spans="1:11" ht="13.2">
      <c r="A924" s="22"/>
      <c r="B924" s="16"/>
      <c r="C924" s="23"/>
      <c r="D924" s="24"/>
      <c r="E924" s="25"/>
      <c r="F924" s="26"/>
      <c r="G924" s="27"/>
      <c r="H924" s="20"/>
      <c r="I924" s="21"/>
      <c r="J924" s="28"/>
      <c r="K924" s="19"/>
    </row>
    <row r="925" spans="1:11" ht="13.2">
      <c r="A925" s="22"/>
      <c r="B925" s="16"/>
      <c r="C925" s="23"/>
      <c r="D925" s="24"/>
      <c r="E925" s="25"/>
      <c r="F925" s="26"/>
      <c r="G925" s="27"/>
      <c r="H925" s="20"/>
      <c r="I925" s="21"/>
      <c r="J925" s="28"/>
      <c r="K925" s="19"/>
    </row>
    <row r="926" spans="1:11" ht="13.2">
      <c r="A926" s="22"/>
      <c r="B926" s="16"/>
      <c r="C926" s="23"/>
      <c r="D926" s="24"/>
      <c r="E926" s="25"/>
      <c r="F926" s="26"/>
      <c r="G926" s="27"/>
      <c r="H926" s="20"/>
      <c r="I926" s="21"/>
      <c r="J926" s="28"/>
      <c r="K926" s="19"/>
    </row>
    <row r="927" spans="1:11" ht="13.2">
      <c r="A927" s="22"/>
      <c r="B927" s="16"/>
      <c r="C927" s="23"/>
      <c r="D927" s="24"/>
      <c r="E927" s="25"/>
      <c r="F927" s="26"/>
      <c r="G927" s="27"/>
      <c r="H927" s="20"/>
      <c r="I927" s="21"/>
      <c r="J927" s="28"/>
      <c r="K927" s="19"/>
    </row>
    <row r="928" spans="1:11" ht="13.2">
      <c r="A928" s="22"/>
      <c r="B928" s="16"/>
      <c r="C928" s="23"/>
      <c r="D928" s="24"/>
      <c r="E928" s="25"/>
      <c r="F928" s="26"/>
      <c r="G928" s="27"/>
      <c r="H928" s="20"/>
      <c r="I928" s="21"/>
      <c r="J928" s="28"/>
      <c r="K928" s="19"/>
    </row>
    <row r="929" spans="1:11" ht="13.2">
      <c r="A929" s="22"/>
      <c r="B929" s="16"/>
      <c r="C929" s="23"/>
      <c r="D929" s="24"/>
      <c r="E929" s="25"/>
      <c r="F929" s="26"/>
      <c r="G929" s="27"/>
      <c r="H929" s="20"/>
      <c r="I929" s="21"/>
      <c r="J929" s="28"/>
      <c r="K929" s="19"/>
    </row>
    <row r="930" spans="1:11" ht="13.2">
      <c r="A930" s="22"/>
      <c r="B930" s="16"/>
      <c r="C930" s="23"/>
      <c r="D930" s="24"/>
      <c r="E930" s="25"/>
      <c r="F930" s="26"/>
      <c r="G930" s="27"/>
      <c r="H930" s="20"/>
      <c r="I930" s="21"/>
      <c r="J930" s="28"/>
      <c r="K930" s="19"/>
    </row>
    <row r="931" spans="1:11" ht="13.2">
      <c r="A931" s="22"/>
      <c r="B931" s="16"/>
      <c r="C931" s="23"/>
      <c r="D931" s="24"/>
      <c r="E931" s="25"/>
      <c r="F931" s="26"/>
      <c r="G931" s="27"/>
      <c r="H931" s="20"/>
      <c r="I931" s="21"/>
      <c r="J931" s="28"/>
      <c r="K931" s="19"/>
    </row>
    <row r="932" spans="1:11" ht="13.2">
      <c r="A932" s="22"/>
      <c r="B932" s="16"/>
      <c r="C932" s="23"/>
      <c r="D932" s="24"/>
      <c r="E932" s="25"/>
      <c r="F932" s="26"/>
      <c r="G932" s="27"/>
      <c r="H932" s="20"/>
      <c r="I932" s="21"/>
      <c r="J932" s="28"/>
      <c r="K932" s="19"/>
    </row>
    <row r="933" spans="1:11" ht="13.2">
      <c r="A933" s="22"/>
      <c r="B933" s="16"/>
      <c r="C933" s="23"/>
      <c r="D933" s="24"/>
      <c r="E933" s="25"/>
      <c r="F933" s="26"/>
      <c r="G933" s="27"/>
      <c r="H933" s="20"/>
      <c r="I933" s="21"/>
      <c r="J933" s="28"/>
      <c r="K933" s="19"/>
    </row>
    <row r="934" spans="1:11" ht="13.2">
      <c r="A934" s="22"/>
      <c r="B934" s="16"/>
      <c r="C934" s="23"/>
      <c r="D934" s="24"/>
      <c r="E934" s="25"/>
      <c r="F934" s="26"/>
      <c r="G934" s="27"/>
      <c r="H934" s="20"/>
      <c r="I934" s="21"/>
      <c r="J934" s="28"/>
      <c r="K934" s="19"/>
    </row>
    <row r="935" spans="1:11" ht="13.2">
      <c r="A935" s="22"/>
      <c r="B935" s="16"/>
      <c r="C935" s="23"/>
      <c r="D935" s="24"/>
      <c r="E935" s="25"/>
      <c r="F935" s="26"/>
      <c r="G935" s="27"/>
      <c r="H935" s="20"/>
      <c r="I935" s="21"/>
      <c r="J935" s="28"/>
      <c r="K935" s="19"/>
    </row>
    <row r="936" spans="1:11" ht="13.2">
      <c r="A936" s="22"/>
      <c r="B936" s="16"/>
      <c r="C936" s="23"/>
      <c r="D936" s="24"/>
      <c r="E936" s="25"/>
      <c r="F936" s="26"/>
      <c r="G936" s="27"/>
      <c r="H936" s="20"/>
      <c r="I936" s="21"/>
      <c r="J936" s="28"/>
      <c r="K936" s="19"/>
    </row>
    <row r="937" spans="1:11" ht="13.2">
      <c r="A937" s="22"/>
      <c r="B937" s="16"/>
      <c r="C937" s="23"/>
      <c r="D937" s="24"/>
      <c r="E937" s="25"/>
      <c r="F937" s="26"/>
      <c r="G937" s="27"/>
      <c r="H937" s="20"/>
      <c r="I937" s="21"/>
      <c r="J937" s="28"/>
      <c r="K937" s="19"/>
    </row>
    <row r="938" spans="1:11" ht="13.2">
      <c r="A938" s="22"/>
      <c r="B938" s="16"/>
      <c r="C938" s="23"/>
      <c r="D938" s="24"/>
      <c r="E938" s="25"/>
      <c r="F938" s="26"/>
      <c r="G938" s="27"/>
      <c r="H938" s="20"/>
      <c r="I938" s="21"/>
      <c r="J938" s="28"/>
      <c r="K938" s="19"/>
    </row>
    <row r="939" spans="1:11" ht="13.2">
      <c r="A939" s="22"/>
      <c r="B939" s="16"/>
      <c r="C939" s="23"/>
      <c r="D939" s="24"/>
      <c r="E939" s="25"/>
      <c r="F939" s="26"/>
      <c r="G939" s="27"/>
      <c r="H939" s="20"/>
      <c r="I939" s="21"/>
      <c r="J939" s="28"/>
      <c r="K939" s="19"/>
    </row>
    <row r="940" spans="1:11" ht="13.2">
      <c r="A940" s="22"/>
      <c r="B940" s="16"/>
      <c r="C940" s="23"/>
      <c r="D940" s="24"/>
      <c r="E940" s="25"/>
      <c r="F940" s="26"/>
      <c r="G940" s="27"/>
      <c r="H940" s="20"/>
      <c r="I940" s="21"/>
      <c r="J940" s="28"/>
      <c r="K940" s="19"/>
    </row>
    <row r="941" spans="1:11" ht="13.2">
      <c r="A941" s="22"/>
      <c r="B941" s="16"/>
      <c r="C941" s="23"/>
      <c r="D941" s="24"/>
      <c r="E941" s="25"/>
      <c r="F941" s="26"/>
      <c r="G941" s="27"/>
      <c r="H941" s="20"/>
      <c r="I941" s="21"/>
      <c r="J941" s="28"/>
      <c r="K941" s="19"/>
    </row>
    <row r="942" spans="1:11" ht="13.2">
      <c r="A942" s="22"/>
      <c r="B942" s="16"/>
      <c r="C942" s="23"/>
      <c r="D942" s="24"/>
      <c r="E942" s="25"/>
      <c r="F942" s="26"/>
      <c r="G942" s="27"/>
      <c r="H942" s="20"/>
      <c r="I942" s="21"/>
      <c r="J942" s="28"/>
      <c r="K942" s="19"/>
    </row>
    <row r="943" spans="1:11" ht="13.2">
      <c r="A943" s="22"/>
      <c r="B943" s="16"/>
      <c r="C943" s="23"/>
      <c r="D943" s="24"/>
      <c r="E943" s="25"/>
      <c r="F943" s="26"/>
      <c r="G943" s="27"/>
      <c r="H943" s="20"/>
      <c r="I943" s="21"/>
      <c r="J943" s="28"/>
      <c r="K943" s="19"/>
    </row>
    <row r="944" spans="1:11" ht="13.2">
      <c r="A944" s="22"/>
      <c r="B944" s="16"/>
      <c r="C944" s="23"/>
      <c r="D944" s="24"/>
      <c r="E944" s="25"/>
      <c r="F944" s="26"/>
      <c r="G944" s="27"/>
      <c r="H944" s="20"/>
      <c r="I944" s="21"/>
      <c r="J944" s="28"/>
      <c r="K944" s="19"/>
    </row>
    <row r="945" spans="1:11" ht="13.2">
      <c r="A945" s="22"/>
      <c r="B945" s="16"/>
      <c r="C945" s="23"/>
      <c r="D945" s="24"/>
      <c r="E945" s="25"/>
      <c r="F945" s="26"/>
      <c r="G945" s="27"/>
      <c r="H945" s="20"/>
      <c r="I945" s="21"/>
      <c r="J945" s="28"/>
      <c r="K945" s="19"/>
    </row>
    <row r="946" spans="1:11" ht="13.2">
      <c r="A946" s="22"/>
      <c r="B946" s="16"/>
      <c r="C946" s="23"/>
      <c r="D946" s="24"/>
      <c r="E946" s="25"/>
      <c r="F946" s="26"/>
      <c r="G946" s="27"/>
      <c r="H946" s="20"/>
      <c r="I946" s="21"/>
      <c r="J946" s="28"/>
      <c r="K946" s="19"/>
    </row>
    <row r="947" spans="1:11" ht="13.2">
      <c r="A947" s="22"/>
      <c r="B947" s="16"/>
      <c r="C947" s="23"/>
      <c r="D947" s="24"/>
      <c r="E947" s="25"/>
      <c r="F947" s="26"/>
      <c r="G947" s="27"/>
      <c r="H947" s="20"/>
      <c r="I947" s="21"/>
      <c r="J947" s="28"/>
      <c r="K947" s="19"/>
    </row>
    <row r="948" spans="1:11" ht="13.2">
      <c r="A948" s="22"/>
      <c r="B948" s="16"/>
      <c r="C948" s="23"/>
      <c r="D948" s="24"/>
      <c r="E948" s="25"/>
      <c r="F948" s="26"/>
      <c r="G948" s="27"/>
      <c r="H948" s="20"/>
      <c r="I948" s="21"/>
      <c r="J948" s="28"/>
      <c r="K948" s="19"/>
    </row>
    <row r="949" spans="1:11" ht="13.2">
      <c r="A949" s="22"/>
      <c r="B949" s="16"/>
      <c r="C949" s="23"/>
      <c r="D949" s="24"/>
      <c r="E949" s="25"/>
      <c r="F949" s="26"/>
      <c r="G949" s="27"/>
      <c r="H949" s="20"/>
      <c r="I949" s="21"/>
      <c r="J949" s="28"/>
      <c r="K949" s="19"/>
    </row>
    <row r="950" spans="1:11" ht="13.2">
      <c r="A950" s="22"/>
      <c r="B950" s="16"/>
      <c r="C950" s="23"/>
      <c r="D950" s="24"/>
      <c r="E950" s="25"/>
      <c r="F950" s="26"/>
      <c r="G950" s="27"/>
      <c r="H950" s="20"/>
      <c r="I950" s="21"/>
      <c r="J950" s="28"/>
      <c r="K950" s="19"/>
    </row>
    <row r="951" spans="1:11" ht="13.2">
      <c r="A951" s="22"/>
      <c r="B951" s="16"/>
      <c r="C951" s="23"/>
      <c r="D951" s="24"/>
      <c r="E951" s="25"/>
      <c r="F951" s="26"/>
      <c r="G951" s="27"/>
      <c r="H951" s="20"/>
      <c r="I951" s="21"/>
      <c r="J951" s="28"/>
      <c r="K951" s="19"/>
    </row>
    <row r="952" spans="1:11" ht="13.2">
      <c r="A952" s="22"/>
      <c r="B952" s="16"/>
      <c r="C952" s="23"/>
      <c r="D952" s="24"/>
      <c r="E952" s="25"/>
      <c r="F952" s="26"/>
      <c r="G952" s="27"/>
      <c r="H952" s="20"/>
      <c r="I952" s="21"/>
      <c r="J952" s="28"/>
      <c r="K952" s="19"/>
    </row>
    <row r="953" spans="1:11" ht="13.2">
      <c r="A953" s="22"/>
      <c r="B953" s="16"/>
      <c r="C953" s="23"/>
      <c r="D953" s="24"/>
      <c r="E953" s="25"/>
      <c r="F953" s="26"/>
      <c r="G953" s="27"/>
      <c r="H953" s="20"/>
      <c r="I953" s="21"/>
      <c r="J953" s="28"/>
      <c r="K953" s="19"/>
    </row>
    <row r="954" spans="1:11" ht="13.2">
      <c r="A954" s="22"/>
      <c r="B954" s="16"/>
      <c r="C954" s="23"/>
      <c r="D954" s="24"/>
      <c r="E954" s="25"/>
      <c r="F954" s="26"/>
      <c r="G954" s="27"/>
      <c r="H954" s="20"/>
      <c r="I954" s="21"/>
      <c r="J954" s="28"/>
      <c r="K954" s="19"/>
    </row>
    <row r="955" spans="1:11" ht="13.2">
      <c r="A955" s="22"/>
      <c r="B955" s="16"/>
      <c r="C955" s="23"/>
      <c r="D955" s="24"/>
      <c r="E955" s="25"/>
      <c r="F955" s="26"/>
      <c r="G955" s="27"/>
      <c r="H955" s="20"/>
      <c r="I955" s="21"/>
      <c r="J955" s="28"/>
      <c r="K955" s="19"/>
    </row>
    <row r="956" spans="1:11" ht="13.2">
      <c r="A956" s="22"/>
      <c r="B956" s="16"/>
      <c r="C956" s="23"/>
      <c r="D956" s="24"/>
      <c r="E956" s="25"/>
      <c r="F956" s="26"/>
      <c r="G956" s="27"/>
      <c r="H956" s="20"/>
      <c r="I956" s="21"/>
      <c r="J956" s="28"/>
      <c r="K956" s="19"/>
    </row>
    <row r="957" spans="1:11" ht="13.2">
      <c r="A957" s="22"/>
      <c r="B957" s="16"/>
      <c r="C957" s="23"/>
      <c r="D957" s="24"/>
      <c r="E957" s="25"/>
      <c r="F957" s="26"/>
      <c r="G957" s="27"/>
      <c r="H957" s="20"/>
      <c r="I957" s="21"/>
      <c r="J957" s="28"/>
      <c r="K957" s="19"/>
    </row>
    <row r="958" spans="1:11" ht="13.2">
      <c r="A958" s="22"/>
      <c r="B958" s="16"/>
      <c r="C958" s="23"/>
      <c r="D958" s="24"/>
      <c r="E958" s="25"/>
      <c r="F958" s="26"/>
      <c r="G958" s="27"/>
      <c r="H958" s="20"/>
      <c r="I958" s="21"/>
      <c r="J958" s="28"/>
      <c r="K958" s="19"/>
    </row>
    <row r="959" spans="1:11" ht="13.2">
      <c r="A959" s="22"/>
      <c r="B959" s="16"/>
      <c r="C959" s="23"/>
      <c r="D959" s="24"/>
      <c r="E959" s="25"/>
      <c r="F959" s="26"/>
      <c r="G959" s="27"/>
      <c r="H959" s="20"/>
      <c r="I959" s="21"/>
      <c r="J959" s="28"/>
      <c r="K959" s="19"/>
    </row>
    <row r="960" spans="1:11" ht="13.2">
      <c r="A960" s="22"/>
      <c r="B960" s="16"/>
      <c r="C960" s="23"/>
      <c r="D960" s="24"/>
      <c r="E960" s="25"/>
      <c r="F960" s="26"/>
      <c r="G960" s="27"/>
      <c r="H960" s="20"/>
      <c r="I960" s="21"/>
      <c r="J960" s="28"/>
      <c r="K960" s="19"/>
    </row>
    <row r="961" spans="1:11" ht="13.2">
      <c r="A961" s="22"/>
      <c r="B961" s="16"/>
      <c r="C961" s="23"/>
      <c r="D961" s="24"/>
      <c r="E961" s="25"/>
      <c r="F961" s="26"/>
      <c r="G961" s="27"/>
      <c r="H961" s="20"/>
      <c r="I961" s="21"/>
      <c r="J961" s="28"/>
      <c r="K961" s="19"/>
    </row>
    <row r="962" spans="1:11" ht="13.2">
      <c r="A962" s="22"/>
      <c r="B962" s="16"/>
      <c r="C962" s="23"/>
      <c r="D962" s="24"/>
      <c r="E962" s="25"/>
      <c r="F962" s="26"/>
      <c r="G962" s="27"/>
      <c r="H962" s="20"/>
      <c r="I962" s="21"/>
      <c r="J962" s="28"/>
      <c r="K962" s="19"/>
    </row>
    <row r="963" spans="1:11" ht="13.2">
      <c r="A963" s="22"/>
      <c r="B963" s="16"/>
      <c r="C963" s="23"/>
      <c r="D963" s="24"/>
      <c r="E963" s="25"/>
      <c r="F963" s="26"/>
      <c r="G963" s="27"/>
      <c r="H963" s="20"/>
      <c r="I963" s="21"/>
      <c r="J963" s="28"/>
      <c r="K963" s="19"/>
    </row>
    <row r="964" spans="1:11" ht="13.2">
      <c r="A964" s="22"/>
      <c r="B964" s="16"/>
      <c r="C964" s="23"/>
      <c r="D964" s="24"/>
      <c r="E964" s="25"/>
      <c r="F964" s="26"/>
      <c r="G964" s="27"/>
      <c r="H964" s="20"/>
      <c r="I964" s="21"/>
      <c r="J964" s="28"/>
      <c r="K964" s="19"/>
    </row>
    <row r="965" spans="1:11" ht="13.2">
      <c r="A965" s="22"/>
      <c r="B965" s="16"/>
      <c r="C965" s="23"/>
      <c r="D965" s="24"/>
      <c r="E965" s="25"/>
      <c r="F965" s="26"/>
      <c r="G965" s="27"/>
      <c r="H965" s="20"/>
      <c r="I965" s="21"/>
      <c r="J965" s="28"/>
      <c r="K965" s="19"/>
    </row>
    <row r="966" spans="1:11" ht="13.2">
      <c r="A966" s="22"/>
      <c r="B966" s="16"/>
      <c r="C966" s="23"/>
      <c r="D966" s="24"/>
      <c r="E966" s="25"/>
      <c r="F966" s="26"/>
      <c r="G966" s="27"/>
      <c r="H966" s="20"/>
      <c r="I966" s="21"/>
      <c r="J966" s="28"/>
      <c r="K966" s="19"/>
    </row>
    <row r="967" spans="1:11" ht="13.2">
      <c r="A967" s="22"/>
      <c r="B967" s="16"/>
      <c r="C967" s="23"/>
      <c r="D967" s="24"/>
      <c r="E967" s="25"/>
      <c r="F967" s="26"/>
      <c r="G967" s="27"/>
      <c r="H967" s="20"/>
      <c r="I967" s="21"/>
      <c r="J967" s="28"/>
      <c r="K967" s="19"/>
    </row>
    <row r="968" spans="1:11" ht="13.2">
      <c r="A968" s="22"/>
      <c r="B968" s="16"/>
      <c r="C968" s="23"/>
      <c r="D968" s="24"/>
      <c r="E968" s="25"/>
      <c r="F968" s="26"/>
      <c r="G968" s="27"/>
      <c r="H968" s="20"/>
      <c r="I968" s="21"/>
      <c r="J968" s="28"/>
      <c r="K968" s="19"/>
    </row>
    <row r="969" spans="1:11" ht="13.2">
      <c r="A969" s="22"/>
      <c r="B969" s="16"/>
      <c r="C969" s="23"/>
      <c r="D969" s="24"/>
      <c r="E969" s="25"/>
      <c r="F969" s="26"/>
      <c r="G969" s="27"/>
      <c r="H969" s="20"/>
      <c r="I969" s="21"/>
      <c r="J969" s="28"/>
      <c r="K969" s="19"/>
    </row>
    <row r="970" spans="1:11" ht="13.2">
      <c r="A970" s="22"/>
      <c r="B970" s="16"/>
      <c r="C970" s="23"/>
      <c r="D970" s="24"/>
      <c r="E970" s="25"/>
      <c r="F970" s="26"/>
      <c r="G970" s="27"/>
      <c r="H970" s="20"/>
      <c r="I970" s="21"/>
      <c r="J970" s="28"/>
      <c r="K970" s="19"/>
    </row>
    <row r="971" spans="1:11" ht="13.2">
      <c r="A971" s="22"/>
      <c r="B971" s="16"/>
      <c r="C971" s="23"/>
      <c r="D971" s="24"/>
      <c r="E971" s="25"/>
      <c r="F971" s="26"/>
      <c r="G971" s="27"/>
      <c r="H971" s="20"/>
      <c r="I971" s="21"/>
      <c r="J971" s="28"/>
      <c r="K971" s="19"/>
    </row>
    <row r="972" spans="1:11" ht="13.2">
      <c r="A972" s="22"/>
      <c r="B972" s="16"/>
      <c r="C972" s="23"/>
      <c r="D972" s="24"/>
      <c r="E972" s="25"/>
      <c r="F972" s="26"/>
      <c r="G972" s="27"/>
      <c r="H972" s="20"/>
      <c r="I972" s="21"/>
      <c r="J972" s="28"/>
      <c r="K972" s="19"/>
    </row>
    <row r="973" spans="1:11" ht="13.2">
      <c r="A973" s="22"/>
      <c r="B973" s="16"/>
      <c r="C973" s="23"/>
      <c r="D973" s="24"/>
      <c r="E973" s="25"/>
      <c r="F973" s="26"/>
      <c r="G973" s="27"/>
      <c r="H973" s="20"/>
      <c r="I973" s="21"/>
      <c r="J973" s="28"/>
      <c r="K973" s="19"/>
    </row>
    <row r="974" spans="1:11" ht="13.2">
      <c r="A974" s="22"/>
      <c r="B974" s="16"/>
      <c r="C974" s="23"/>
      <c r="D974" s="24"/>
      <c r="E974" s="25"/>
      <c r="F974" s="26"/>
      <c r="G974" s="27"/>
      <c r="H974" s="20"/>
      <c r="I974" s="21"/>
      <c r="J974" s="28"/>
      <c r="K974" s="19"/>
    </row>
    <row r="975" spans="1:11" ht="13.2">
      <c r="A975" s="22"/>
      <c r="B975" s="16"/>
      <c r="C975" s="23"/>
      <c r="D975" s="24"/>
      <c r="E975" s="25"/>
      <c r="F975" s="26"/>
      <c r="G975" s="27"/>
      <c r="H975" s="20"/>
      <c r="I975" s="21"/>
      <c r="J975" s="28"/>
      <c r="K975" s="19"/>
    </row>
    <row r="976" spans="1:11" ht="13.2">
      <c r="A976" s="22"/>
      <c r="B976" s="16"/>
      <c r="C976" s="23"/>
      <c r="D976" s="24"/>
      <c r="E976" s="25"/>
      <c r="F976" s="26"/>
      <c r="G976" s="27"/>
      <c r="H976" s="20"/>
      <c r="I976" s="21"/>
      <c r="J976" s="28"/>
      <c r="K976" s="19"/>
    </row>
    <row r="977" spans="1:11" ht="13.2">
      <c r="A977" s="22"/>
      <c r="B977" s="16"/>
      <c r="C977" s="23"/>
      <c r="D977" s="24"/>
      <c r="E977" s="25"/>
      <c r="F977" s="26"/>
      <c r="G977" s="27"/>
      <c r="H977" s="20"/>
      <c r="I977" s="21"/>
      <c r="J977" s="28"/>
      <c r="K977" s="19"/>
    </row>
    <row r="978" spans="1:11" ht="13.2">
      <c r="A978" s="22"/>
      <c r="B978" s="16"/>
      <c r="C978" s="23"/>
      <c r="D978" s="24"/>
      <c r="E978" s="25"/>
      <c r="F978" s="26"/>
      <c r="G978" s="27"/>
      <c r="H978" s="20"/>
      <c r="I978" s="21"/>
      <c r="J978" s="28"/>
      <c r="K978" s="19"/>
    </row>
    <row r="979" spans="1:11" ht="13.2">
      <c r="A979" s="22"/>
      <c r="B979" s="16"/>
      <c r="C979" s="23"/>
      <c r="D979" s="24"/>
      <c r="E979" s="25"/>
      <c r="F979" s="26"/>
      <c r="G979" s="27"/>
      <c r="H979" s="20"/>
      <c r="I979" s="21"/>
      <c r="J979" s="28"/>
      <c r="K979" s="19"/>
    </row>
    <row r="980" spans="1:11" ht="13.2">
      <c r="A980" s="22"/>
      <c r="B980" s="16"/>
      <c r="C980" s="23"/>
      <c r="D980" s="24"/>
      <c r="E980" s="25"/>
      <c r="F980" s="26"/>
      <c r="G980" s="27"/>
      <c r="H980" s="20"/>
      <c r="I980" s="21"/>
      <c r="J980" s="28"/>
      <c r="K980" s="19"/>
    </row>
    <row r="981" spans="1:11" ht="13.2">
      <c r="A981" s="22"/>
      <c r="B981" s="16"/>
      <c r="C981" s="23"/>
      <c r="D981" s="24"/>
      <c r="E981" s="25"/>
      <c r="F981" s="26"/>
      <c r="G981" s="27"/>
      <c r="H981" s="20"/>
      <c r="I981" s="21"/>
      <c r="J981" s="28"/>
      <c r="K981" s="19"/>
    </row>
    <row r="982" spans="1:11" ht="13.2">
      <c r="A982" s="22"/>
      <c r="B982" s="16"/>
      <c r="C982" s="23"/>
      <c r="D982" s="24"/>
      <c r="E982" s="25"/>
      <c r="F982" s="26"/>
      <c r="G982" s="27"/>
      <c r="H982" s="20"/>
      <c r="I982" s="21"/>
      <c r="J982" s="28"/>
      <c r="K982" s="19"/>
    </row>
    <row r="983" spans="1:11" ht="13.2">
      <c r="A983" s="22"/>
      <c r="B983" s="16"/>
      <c r="C983" s="23"/>
      <c r="D983" s="24"/>
      <c r="E983" s="25"/>
      <c r="F983" s="26"/>
      <c r="G983" s="27"/>
      <c r="H983" s="20"/>
      <c r="I983" s="21"/>
      <c r="J983" s="28"/>
      <c r="K983" s="19"/>
    </row>
    <row r="984" spans="1:11" ht="13.2">
      <c r="A984" s="22"/>
      <c r="B984" s="16"/>
      <c r="C984" s="23"/>
      <c r="D984" s="24"/>
      <c r="E984" s="25"/>
      <c r="F984" s="26"/>
      <c r="G984" s="27"/>
      <c r="H984" s="20"/>
      <c r="I984" s="21"/>
      <c r="J984" s="28"/>
      <c r="K984" s="19"/>
    </row>
    <row r="985" spans="1:11" ht="13.2">
      <c r="A985" s="22"/>
      <c r="B985" s="16"/>
      <c r="C985" s="23"/>
      <c r="D985" s="24"/>
      <c r="E985" s="25"/>
      <c r="F985" s="26"/>
      <c r="G985" s="27"/>
      <c r="H985" s="20"/>
      <c r="I985" s="21"/>
      <c r="J985" s="28"/>
      <c r="K985" s="19"/>
    </row>
    <row r="986" spans="1:11" ht="13.2">
      <c r="A986" s="22"/>
      <c r="B986" s="16"/>
      <c r="C986" s="23"/>
      <c r="D986" s="24"/>
      <c r="E986" s="25"/>
      <c r="F986" s="26"/>
      <c r="G986" s="27"/>
      <c r="H986" s="20"/>
      <c r="I986" s="21"/>
      <c r="J986" s="28"/>
      <c r="K986" s="19"/>
    </row>
    <row r="987" spans="1:11" ht="13.2">
      <c r="A987" s="22"/>
      <c r="B987" s="16"/>
      <c r="C987" s="23"/>
      <c r="D987" s="24"/>
      <c r="E987" s="25"/>
      <c r="F987" s="26"/>
      <c r="G987" s="27"/>
      <c r="H987" s="20"/>
      <c r="I987" s="21"/>
      <c r="J987" s="28"/>
      <c r="K987" s="19"/>
    </row>
    <row r="988" spans="1:11" ht="13.2">
      <c r="A988" s="22"/>
      <c r="B988" s="16"/>
      <c r="C988" s="23"/>
      <c r="D988" s="24"/>
      <c r="E988" s="25"/>
      <c r="F988" s="26"/>
      <c r="G988" s="27"/>
      <c r="H988" s="20"/>
      <c r="I988" s="21"/>
      <c r="J988" s="28"/>
      <c r="K988" s="19"/>
    </row>
    <row r="989" spans="1:11" ht="13.2">
      <c r="A989" s="22"/>
      <c r="B989" s="16"/>
      <c r="C989" s="23"/>
      <c r="D989" s="24"/>
      <c r="E989" s="25"/>
      <c r="F989" s="26"/>
      <c r="G989" s="27"/>
      <c r="H989" s="20"/>
      <c r="I989" s="21"/>
      <c r="J989" s="28"/>
      <c r="K989" s="19"/>
    </row>
    <row r="990" spans="1:11" ht="13.2">
      <c r="A990" s="22"/>
      <c r="B990" s="16"/>
      <c r="C990" s="23"/>
      <c r="D990" s="24"/>
      <c r="E990" s="25"/>
      <c r="F990" s="26"/>
      <c r="G990" s="27"/>
      <c r="H990" s="20"/>
      <c r="I990" s="21"/>
      <c r="J990" s="28"/>
      <c r="K990" s="19"/>
    </row>
    <row r="991" spans="1:11" ht="13.2">
      <c r="A991" s="22"/>
      <c r="B991" s="16"/>
      <c r="C991" s="23"/>
      <c r="D991" s="24"/>
      <c r="E991" s="25"/>
      <c r="F991" s="26"/>
      <c r="G991" s="27"/>
      <c r="H991" s="20"/>
      <c r="I991" s="21"/>
      <c r="J991" s="28"/>
      <c r="K991" s="19"/>
    </row>
    <row r="992" spans="1:11" ht="13.2">
      <c r="A992" s="22"/>
      <c r="B992" s="16"/>
      <c r="C992" s="23"/>
      <c r="D992" s="24"/>
      <c r="E992" s="25"/>
      <c r="F992" s="26"/>
      <c r="G992" s="27"/>
      <c r="H992" s="20"/>
      <c r="I992" s="21"/>
      <c r="J992" s="28"/>
      <c r="K992" s="19"/>
    </row>
    <row r="993" spans="1:11" ht="13.2">
      <c r="A993" s="22"/>
      <c r="B993" s="16"/>
      <c r="C993" s="23"/>
      <c r="D993" s="24"/>
      <c r="E993" s="25"/>
      <c r="F993" s="26"/>
      <c r="G993" s="27"/>
      <c r="H993" s="20"/>
      <c r="I993" s="21"/>
      <c r="J993" s="28"/>
      <c r="K993" s="19"/>
    </row>
    <row r="994" spans="1:11" ht="13.2">
      <c r="A994" s="22"/>
      <c r="B994" s="16"/>
      <c r="C994" s="23"/>
      <c r="D994" s="24"/>
      <c r="E994" s="25"/>
      <c r="F994" s="26"/>
      <c r="G994" s="27"/>
      <c r="H994" s="20"/>
      <c r="I994" s="21"/>
      <c r="J994" s="28"/>
      <c r="K994" s="19"/>
    </row>
    <row r="995" spans="1:11" ht="13.2">
      <c r="A995" s="22"/>
      <c r="B995" s="16"/>
      <c r="C995" s="23"/>
      <c r="D995" s="24"/>
      <c r="E995" s="25"/>
      <c r="F995" s="26"/>
      <c r="G995" s="27"/>
      <c r="H995" s="20"/>
      <c r="I995" s="21"/>
      <c r="J995" s="28"/>
      <c r="K995" s="19"/>
    </row>
    <row r="996" spans="1:11" ht="13.2">
      <c r="A996" s="22"/>
      <c r="B996" s="16"/>
      <c r="C996" s="23"/>
      <c r="D996" s="24"/>
      <c r="E996" s="25"/>
      <c r="F996" s="26"/>
      <c r="G996" s="27"/>
      <c r="H996" s="20"/>
      <c r="I996" s="21"/>
      <c r="J996" s="28"/>
      <c r="K996" s="19"/>
    </row>
    <row r="997" spans="1:11" ht="13.2">
      <c r="A997" s="22"/>
      <c r="B997" s="16"/>
      <c r="C997" s="23"/>
      <c r="D997" s="24"/>
      <c r="E997" s="25"/>
      <c r="F997" s="26"/>
      <c r="G997" s="27"/>
      <c r="H997" s="20"/>
      <c r="I997" s="21"/>
      <c r="J997" s="28"/>
      <c r="K997" s="19"/>
    </row>
    <row r="998" spans="1:11" ht="13.2">
      <c r="A998" s="22"/>
      <c r="B998" s="16"/>
      <c r="C998" s="23"/>
      <c r="D998" s="24"/>
      <c r="E998" s="25"/>
      <c r="F998" s="26"/>
      <c r="G998" s="27"/>
      <c r="H998" s="20"/>
      <c r="I998" s="21"/>
      <c r="J998" s="28"/>
      <c r="K998" s="19"/>
    </row>
    <row r="999" spans="1:11" ht="13.2">
      <c r="A999" s="22"/>
      <c r="B999" s="16"/>
      <c r="C999" s="23"/>
      <c r="D999" s="24"/>
      <c r="E999" s="25"/>
      <c r="F999" s="26"/>
      <c r="G999" s="27"/>
      <c r="H999" s="20"/>
      <c r="I999" s="21"/>
      <c r="J999" s="28"/>
      <c r="K999" s="19"/>
    </row>
    <row r="1000" spans="1:11" ht="13.2">
      <c r="A1000" s="22"/>
      <c r="B1000" s="16"/>
      <c r="C1000" s="23"/>
      <c r="D1000" s="24"/>
      <c r="E1000" s="25"/>
      <c r="F1000" s="26"/>
      <c r="G1000" s="27"/>
      <c r="H1000" s="20"/>
      <c r="I1000" s="21"/>
      <c r="J1000" s="28"/>
      <c r="K1000" s="19"/>
    </row>
    <row r="1001" spans="1:11" ht="13.2">
      <c r="A1001" s="22"/>
      <c r="B1001" s="16"/>
      <c r="C1001" s="23"/>
      <c r="D1001" s="24"/>
      <c r="E1001" s="25"/>
      <c r="F1001" s="26"/>
      <c r="G1001" s="27"/>
      <c r="H1001" s="20"/>
      <c r="I1001" s="21"/>
      <c r="J1001" s="28"/>
      <c r="K1001" s="19"/>
    </row>
    <row r="1002" spans="1:11" ht="13.2">
      <c r="A1002" s="22"/>
      <c r="B1002" s="16"/>
      <c r="C1002" s="23"/>
      <c r="D1002" s="24"/>
      <c r="E1002" s="25"/>
      <c r="F1002" s="26"/>
      <c r="G1002" s="27"/>
      <c r="H1002" s="20"/>
      <c r="I1002" s="21"/>
      <c r="J1002" s="28"/>
      <c r="K1002" s="19"/>
    </row>
    <row r="1003" spans="1:11" ht="13.2">
      <c r="A1003" s="22"/>
      <c r="B1003" s="16"/>
      <c r="C1003" s="23"/>
      <c r="D1003" s="24"/>
      <c r="E1003" s="25"/>
      <c r="F1003" s="26"/>
      <c r="G1003" s="27"/>
      <c r="H1003" s="20"/>
      <c r="I1003" s="21"/>
      <c r="J1003" s="28"/>
      <c r="K1003" s="19"/>
    </row>
    <row r="1004" spans="1:11" ht="13.2">
      <c r="A1004" s="22"/>
      <c r="B1004" s="16"/>
      <c r="C1004" s="23"/>
      <c r="D1004" s="24"/>
      <c r="E1004" s="25"/>
      <c r="F1004" s="26"/>
      <c r="G1004" s="27"/>
      <c r="H1004" s="20"/>
      <c r="I1004" s="21"/>
      <c r="J1004" s="28"/>
      <c r="K1004" s="19"/>
    </row>
    <row r="1005" spans="1:11" ht="13.2">
      <c r="A1005" s="22"/>
      <c r="B1005" s="16"/>
      <c r="C1005" s="23"/>
      <c r="D1005" s="24"/>
      <c r="E1005" s="25"/>
      <c r="F1005" s="26"/>
      <c r="G1005" s="27"/>
      <c r="H1005" s="20"/>
      <c r="I1005" s="21"/>
      <c r="J1005" s="28"/>
      <c r="K1005" s="19"/>
    </row>
    <row r="1006" spans="1:11" ht="13.2">
      <c r="A1006" s="22"/>
      <c r="B1006" s="16"/>
      <c r="C1006" s="23"/>
      <c r="D1006" s="24"/>
      <c r="E1006" s="25"/>
      <c r="F1006" s="26"/>
      <c r="G1006" s="27"/>
      <c r="H1006" s="20"/>
      <c r="I1006" s="21"/>
      <c r="J1006" s="28"/>
      <c r="K1006" s="19"/>
    </row>
    <row r="1007" spans="1:11" ht="13.2">
      <c r="A1007" s="22"/>
      <c r="B1007" s="16"/>
      <c r="C1007" s="23"/>
      <c r="D1007" s="24"/>
      <c r="E1007" s="25"/>
      <c r="F1007" s="26"/>
      <c r="G1007" s="27"/>
      <c r="H1007" s="20"/>
      <c r="I1007" s="21"/>
      <c r="J1007" s="28"/>
      <c r="K1007" s="19"/>
    </row>
    <row r="1008" spans="1:11" ht="13.2">
      <c r="A1008" s="22"/>
      <c r="B1008" s="16"/>
      <c r="C1008" s="23"/>
      <c r="D1008" s="24"/>
      <c r="E1008" s="25"/>
      <c r="F1008" s="26"/>
      <c r="G1008" s="27"/>
      <c r="H1008" s="20"/>
      <c r="I1008" s="21"/>
      <c r="J1008" s="28"/>
      <c r="K1008" s="19"/>
    </row>
    <row r="1009" spans="1:11" ht="13.2">
      <c r="A1009" s="22"/>
      <c r="B1009" s="16"/>
      <c r="C1009" s="23"/>
      <c r="D1009" s="24"/>
      <c r="E1009" s="25"/>
      <c r="F1009" s="26"/>
      <c r="G1009" s="27"/>
      <c r="H1009" s="20"/>
      <c r="I1009" s="21"/>
      <c r="J1009" s="28"/>
      <c r="K1009" s="19"/>
    </row>
    <row r="1010" spans="1:11" ht="13.2">
      <c r="A1010" s="22"/>
      <c r="B1010" s="16"/>
      <c r="C1010" s="23"/>
      <c r="D1010" s="24"/>
      <c r="E1010" s="25"/>
      <c r="F1010" s="26"/>
      <c r="G1010" s="27"/>
      <c r="H1010" s="20"/>
      <c r="I1010" s="21"/>
      <c r="J1010" s="28"/>
      <c r="K1010" s="19"/>
    </row>
    <row r="1011" spans="1:11" ht="13.2">
      <c r="A1011" s="22"/>
      <c r="B1011" s="16"/>
      <c r="C1011" s="23"/>
      <c r="D1011" s="24"/>
      <c r="E1011" s="25"/>
      <c r="F1011" s="26"/>
      <c r="G1011" s="27"/>
      <c r="H1011" s="20"/>
      <c r="I1011" s="21"/>
      <c r="J1011" s="28"/>
      <c r="K1011" s="19"/>
    </row>
    <row r="1012" spans="1:11" ht="13.2">
      <c r="A1012" s="22"/>
      <c r="B1012" s="16"/>
      <c r="C1012" s="23"/>
      <c r="D1012" s="24"/>
      <c r="E1012" s="25"/>
      <c r="F1012" s="26"/>
      <c r="G1012" s="27"/>
      <c r="H1012" s="20"/>
      <c r="I1012" s="21"/>
      <c r="J1012" s="28"/>
      <c r="K1012" s="19"/>
    </row>
    <row r="1013" spans="1:11" ht="13.2">
      <c r="A1013" s="22"/>
      <c r="B1013" s="16"/>
      <c r="C1013" s="23"/>
      <c r="D1013" s="24"/>
      <c r="E1013" s="25"/>
      <c r="F1013" s="26"/>
      <c r="G1013" s="27"/>
      <c r="H1013" s="20"/>
      <c r="I1013" s="21"/>
      <c r="J1013" s="28"/>
      <c r="K1013" s="19"/>
    </row>
    <row r="1014" spans="1:11" ht="13.2">
      <c r="A1014" s="22"/>
      <c r="B1014" s="16"/>
      <c r="C1014" s="23"/>
      <c r="D1014" s="24"/>
      <c r="E1014" s="25"/>
      <c r="F1014" s="26"/>
      <c r="G1014" s="27"/>
      <c r="H1014" s="20"/>
      <c r="I1014" s="21"/>
      <c r="J1014" s="28"/>
      <c r="K1014" s="19"/>
    </row>
    <row r="1015" spans="1:11" ht="13.2">
      <c r="A1015" s="22"/>
      <c r="B1015" s="16"/>
      <c r="C1015" s="23"/>
      <c r="D1015" s="24"/>
      <c r="E1015" s="25"/>
      <c r="F1015" s="26"/>
      <c r="G1015" s="27"/>
      <c r="H1015" s="20"/>
      <c r="I1015" s="21"/>
      <c r="J1015" s="28"/>
      <c r="K1015" s="19"/>
    </row>
    <row r="1016" spans="1:11" ht="13.2">
      <c r="A1016" s="22"/>
      <c r="B1016" s="16"/>
      <c r="C1016" s="23"/>
      <c r="D1016" s="24"/>
      <c r="E1016" s="25"/>
      <c r="F1016" s="26"/>
      <c r="G1016" s="27"/>
      <c r="H1016" s="20"/>
      <c r="I1016" s="21"/>
      <c r="J1016" s="28"/>
      <c r="K1016" s="19"/>
    </row>
    <row r="1017" spans="1:11" ht="13.2">
      <c r="A1017" s="22"/>
      <c r="B1017" s="16"/>
      <c r="C1017" s="23"/>
      <c r="D1017" s="24"/>
      <c r="E1017" s="25"/>
      <c r="F1017" s="26"/>
      <c r="G1017" s="27"/>
      <c r="H1017" s="20"/>
      <c r="I1017" s="21"/>
      <c r="J1017" s="28"/>
      <c r="K1017" s="19"/>
    </row>
    <row r="1018" spans="1:11" ht="13.2">
      <c r="A1018" s="22"/>
      <c r="B1018" s="16"/>
      <c r="C1018" s="23"/>
      <c r="D1018" s="24"/>
      <c r="E1018" s="25"/>
      <c r="F1018" s="26"/>
      <c r="G1018" s="27"/>
      <c r="H1018" s="20"/>
      <c r="I1018" s="21"/>
      <c r="J1018" s="28"/>
      <c r="K1018" s="19"/>
    </row>
    <row r="1019" spans="1:11" ht="13.2">
      <c r="A1019" s="22"/>
      <c r="B1019" s="16"/>
      <c r="C1019" s="23"/>
      <c r="D1019" s="24"/>
      <c r="E1019" s="25"/>
      <c r="F1019" s="26"/>
      <c r="G1019" s="27"/>
      <c r="H1019" s="20"/>
      <c r="I1019" s="21"/>
      <c r="J1019" s="28"/>
      <c r="K1019" s="19"/>
    </row>
    <row r="1020" spans="1:11" ht="13.2">
      <c r="A1020" s="22"/>
      <c r="B1020" s="16"/>
      <c r="C1020" s="23"/>
      <c r="D1020" s="24"/>
      <c r="E1020" s="25"/>
      <c r="F1020" s="26"/>
      <c r="G1020" s="27"/>
      <c r="H1020" s="20"/>
      <c r="I1020" s="21"/>
      <c r="J1020" s="28"/>
      <c r="K1020" s="19"/>
    </row>
    <row r="1021" spans="1:11" ht="13.2">
      <c r="A1021" s="22"/>
      <c r="B1021" s="16"/>
      <c r="C1021" s="23"/>
      <c r="D1021" s="24"/>
      <c r="E1021" s="25"/>
      <c r="F1021" s="26"/>
      <c r="G1021" s="27"/>
      <c r="H1021" s="20"/>
      <c r="I1021" s="21"/>
      <c r="J1021" s="28"/>
      <c r="K1021" s="19"/>
    </row>
    <row r="1022" spans="1:11" ht="13.2">
      <c r="A1022" s="22"/>
      <c r="B1022" s="16"/>
      <c r="C1022" s="23"/>
      <c r="D1022" s="24"/>
      <c r="E1022" s="25"/>
      <c r="F1022" s="26"/>
      <c r="G1022" s="27"/>
      <c r="H1022" s="20"/>
      <c r="I1022" s="21"/>
      <c r="J1022" s="28"/>
      <c r="K1022" s="19"/>
    </row>
    <row r="1023" spans="1:11" ht="13.2">
      <c r="A1023" s="22"/>
      <c r="B1023" s="16"/>
      <c r="C1023" s="23"/>
      <c r="D1023" s="24"/>
      <c r="E1023" s="25"/>
      <c r="F1023" s="26"/>
      <c r="G1023" s="27"/>
      <c r="H1023" s="20"/>
      <c r="I1023" s="21"/>
      <c r="J1023" s="28"/>
      <c r="K1023" s="19"/>
    </row>
    <row r="1024" spans="1:11" ht="13.2">
      <c r="A1024" s="22"/>
      <c r="B1024" s="16"/>
      <c r="C1024" s="23"/>
      <c r="D1024" s="24"/>
      <c r="E1024" s="25"/>
      <c r="F1024" s="26"/>
      <c r="G1024" s="27"/>
      <c r="H1024" s="20"/>
      <c r="I1024" s="21"/>
      <c r="J1024" s="28"/>
      <c r="K1024" s="19"/>
    </row>
    <row r="1025" spans="1:11" ht="13.2">
      <c r="A1025" s="22"/>
      <c r="B1025" s="16"/>
      <c r="C1025" s="23"/>
      <c r="D1025" s="24"/>
      <c r="E1025" s="25"/>
      <c r="F1025" s="26"/>
      <c r="G1025" s="27"/>
      <c r="H1025" s="20"/>
      <c r="I1025" s="21"/>
      <c r="J1025" s="28"/>
      <c r="K1025" s="19"/>
    </row>
    <row r="1026" spans="1:11" ht="13.2">
      <c r="A1026" s="22"/>
      <c r="B1026" s="16"/>
      <c r="C1026" s="23"/>
      <c r="D1026" s="24"/>
      <c r="E1026" s="25"/>
      <c r="F1026" s="26"/>
      <c r="G1026" s="27"/>
      <c r="H1026" s="20"/>
      <c r="I1026" s="21"/>
      <c r="J1026" s="28"/>
      <c r="K1026" s="19"/>
    </row>
    <row r="1027" spans="1:11" ht="13.2">
      <c r="A1027" s="22"/>
      <c r="B1027" s="16"/>
      <c r="C1027" s="23"/>
      <c r="D1027" s="24"/>
      <c r="E1027" s="25"/>
      <c r="F1027" s="26"/>
      <c r="G1027" s="27"/>
      <c r="H1027" s="20"/>
      <c r="I1027" s="21"/>
      <c r="J1027" s="28"/>
      <c r="K1027" s="19"/>
    </row>
    <row r="1028" spans="1:11" ht="13.2">
      <c r="A1028" s="22"/>
      <c r="B1028" s="16"/>
      <c r="C1028" s="23"/>
      <c r="D1028" s="24"/>
      <c r="E1028" s="25"/>
      <c r="F1028" s="26"/>
      <c r="G1028" s="27"/>
      <c r="H1028" s="20"/>
      <c r="I1028" s="21"/>
      <c r="J1028" s="28"/>
      <c r="K1028" s="19"/>
    </row>
    <row r="1029" spans="1:11" ht="13.2">
      <c r="A1029" s="22"/>
      <c r="B1029" s="16"/>
      <c r="C1029" s="23"/>
      <c r="D1029" s="24"/>
      <c r="E1029" s="25"/>
      <c r="F1029" s="26"/>
      <c r="G1029" s="27"/>
      <c r="H1029" s="20"/>
      <c r="I1029" s="21"/>
      <c r="J1029" s="28"/>
      <c r="K1029" s="19"/>
    </row>
    <row r="1030" spans="1:11" ht="13.2">
      <c r="A1030" s="22"/>
      <c r="B1030" s="16"/>
      <c r="C1030" s="23"/>
      <c r="D1030" s="24"/>
      <c r="E1030" s="25"/>
      <c r="F1030" s="26"/>
      <c r="G1030" s="27"/>
      <c r="H1030" s="20"/>
      <c r="I1030" s="21"/>
      <c r="J1030" s="28"/>
      <c r="K1030" s="19"/>
    </row>
    <row r="1031" spans="1:11" ht="13.2">
      <c r="A1031" s="22"/>
      <c r="B1031" s="16"/>
      <c r="C1031" s="23"/>
      <c r="D1031" s="24"/>
      <c r="E1031" s="25"/>
      <c r="F1031" s="26"/>
      <c r="G1031" s="27"/>
      <c r="H1031" s="20"/>
      <c r="I1031" s="21"/>
      <c r="J1031" s="28"/>
      <c r="K1031" s="19"/>
    </row>
    <row r="1032" spans="1:11" ht="13.2">
      <c r="A1032" s="22"/>
      <c r="B1032" s="16"/>
      <c r="C1032" s="23"/>
      <c r="D1032" s="24"/>
      <c r="E1032" s="25"/>
      <c r="F1032" s="26"/>
      <c r="G1032" s="27"/>
      <c r="H1032" s="20"/>
      <c r="I1032" s="21"/>
      <c r="J1032" s="28"/>
      <c r="K1032" s="19"/>
    </row>
    <row r="1033" spans="1:11" ht="13.2">
      <c r="A1033" s="22"/>
      <c r="B1033" s="16"/>
      <c r="C1033" s="23"/>
      <c r="D1033" s="24"/>
      <c r="E1033" s="25"/>
      <c r="F1033" s="26"/>
      <c r="G1033" s="27"/>
      <c r="H1033" s="20"/>
      <c r="I1033" s="21"/>
      <c r="J1033" s="28"/>
      <c r="K1033" s="19"/>
    </row>
    <row r="1034" spans="1:11" ht="13.2">
      <c r="A1034" s="22"/>
      <c r="B1034" s="16"/>
      <c r="C1034" s="23"/>
      <c r="D1034" s="24"/>
      <c r="E1034" s="25"/>
      <c r="F1034" s="26"/>
      <c r="G1034" s="27"/>
      <c r="H1034" s="20"/>
      <c r="I1034" s="21"/>
      <c r="J1034" s="28"/>
      <c r="K1034" s="19"/>
    </row>
    <row r="1035" spans="1:11" ht="13.2">
      <c r="A1035" s="22"/>
      <c r="B1035" s="16"/>
      <c r="C1035" s="23"/>
      <c r="D1035" s="24"/>
      <c r="E1035" s="25"/>
      <c r="F1035" s="26"/>
      <c r="G1035" s="27"/>
      <c r="H1035" s="20"/>
      <c r="I1035" s="21"/>
      <c r="J1035" s="28"/>
      <c r="K1035" s="19"/>
    </row>
    <row r="1036" spans="1:11" ht="13.2">
      <c r="A1036" s="22"/>
      <c r="B1036" s="16"/>
      <c r="C1036" s="23"/>
      <c r="D1036" s="24"/>
      <c r="E1036" s="25"/>
      <c r="F1036" s="26"/>
      <c r="G1036" s="27"/>
      <c r="H1036" s="20"/>
      <c r="I1036" s="21"/>
      <c r="J1036" s="28"/>
      <c r="K1036" s="19"/>
    </row>
    <row r="1037" spans="1:11" ht="13.2">
      <c r="A1037" s="22"/>
      <c r="B1037" s="16"/>
      <c r="C1037" s="23"/>
      <c r="D1037" s="24"/>
      <c r="E1037" s="25"/>
      <c r="F1037" s="26"/>
      <c r="G1037" s="27"/>
      <c r="H1037" s="20"/>
      <c r="I1037" s="21"/>
      <c r="J1037" s="28"/>
      <c r="K1037" s="19"/>
    </row>
    <row r="1038" spans="1:11" ht="13.2">
      <c r="A1038" s="22"/>
      <c r="B1038" s="16"/>
      <c r="C1038" s="23"/>
      <c r="D1038" s="24"/>
      <c r="E1038" s="25"/>
      <c r="F1038" s="26"/>
      <c r="G1038" s="27"/>
      <c r="H1038" s="20"/>
      <c r="I1038" s="21"/>
      <c r="J1038" s="28"/>
      <c r="K1038" s="19"/>
    </row>
    <row r="1039" spans="1:11" ht="13.2">
      <c r="A1039" s="22"/>
      <c r="B1039" s="16"/>
      <c r="C1039" s="23"/>
      <c r="D1039" s="24"/>
      <c r="E1039" s="25"/>
      <c r="F1039" s="26"/>
      <c r="G1039" s="27"/>
      <c r="H1039" s="20"/>
      <c r="I1039" s="21"/>
      <c r="J1039" s="28"/>
      <c r="K1039" s="19"/>
    </row>
    <row r="1040" spans="1:11" ht="13.2">
      <c r="A1040" s="22"/>
      <c r="B1040" s="16"/>
      <c r="C1040" s="23"/>
      <c r="D1040" s="24"/>
      <c r="E1040" s="25"/>
      <c r="F1040" s="26"/>
      <c r="G1040" s="27"/>
      <c r="H1040" s="20"/>
      <c r="I1040" s="21"/>
      <c r="J1040" s="28"/>
      <c r="K1040" s="19"/>
    </row>
    <row r="1041" spans="1:11" ht="13.2">
      <c r="A1041" s="22"/>
      <c r="B1041" s="16"/>
      <c r="C1041" s="23"/>
      <c r="D1041" s="24"/>
      <c r="E1041" s="25"/>
      <c r="F1041" s="26"/>
      <c r="G1041" s="27"/>
      <c r="H1041" s="20"/>
      <c r="I1041" s="21"/>
      <c r="J1041" s="28"/>
      <c r="K1041" s="19"/>
    </row>
    <row r="1042" spans="1:11" ht="13.2">
      <c r="A1042" s="22"/>
      <c r="B1042" s="16"/>
      <c r="C1042" s="23"/>
      <c r="D1042" s="24"/>
      <c r="E1042" s="25"/>
      <c r="F1042" s="26"/>
      <c r="G1042" s="27"/>
      <c r="H1042" s="20"/>
      <c r="I1042" s="21"/>
      <c r="J1042" s="28"/>
      <c r="K1042" s="19"/>
    </row>
    <row r="1043" spans="1:11" ht="13.2">
      <c r="A1043" s="22"/>
      <c r="B1043" s="16"/>
      <c r="C1043" s="23"/>
      <c r="D1043" s="24"/>
      <c r="E1043" s="25"/>
      <c r="F1043" s="26"/>
      <c r="G1043" s="27"/>
      <c r="H1043" s="20"/>
      <c r="I1043" s="21"/>
      <c r="J1043" s="28"/>
      <c r="K1043" s="19"/>
    </row>
    <row r="1044" spans="1:11" ht="13.2">
      <c r="A1044" s="22"/>
      <c r="B1044" s="16"/>
      <c r="C1044" s="23"/>
      <c r="D1044" s="24"/>
      <c r="E1044" s="25"/>
      <c r="F1044" s="26"/>
      <c r="G1044" s="27"/>
      <c r="H1044" s="20"/>
      <c r="I1044" s="21"/>
      <c r="J1044" s="28"/>
      <c r="K1044" s="19"/>
    </row>
    <row r="1045" spans="1:11" ht="13.2">
      <c r="A1045" s="22"/>
      <c r="B1045" s="16"/>
      <c r="C1045" s="23"/>
      <c r="D1045" s="24"/>
      <c r="E1045" s="25"/>
      <c r="F1045" s="26"/>
      <c r="G1045" s="27"/>
      <c r="H1045" s="20"/>
      <c r="I1045" s="21"/>
      <c r="J1045" s="28"/>
      <c r="K1045" s="19"/>
    </row>
    <row r="1046" spans="1:11" ht="13.2">
      <c r="A1046" s="22"/>
      <c r="B1046" s="16"/>
      <c r="C1046" s="23"/>
      <c r="D1046" s="24"/>
      <c r="E1046" s="25"/>
      <c r="F1046" s="26"/>
      <c r="G1046" s="27"/>
      <c r="H1046" s="20"/>
      <c r="I1046" s="21"/>
      <c r="J1046" s="28"/>
      <c r="K1046" s="19"/>
    </row>
    <row r="1047" spans="1:11" ht="13.2">
      <c r="A1047" s="22"/>
      <c r="B1047" s="16"/>
      <c r="C1047" s="23"/>
      <c r="D1047" s="24"/>
      <c r="E1047" s="25"/>
      <c r="F1047" s="26"/>
      <c r="G1047" s="27"/>
      <c r="H1047" s="20"/>
      <c r="I1047" s="21"/>
      <c r="J1047" s="28"/>
      <c r="K1047" s="19"/>
    </row>
    <row r="1048" spans="1:11" ht="13.2">
      <c r="A1048" s="22"/>
      <c r="B1048" s="16"/>
      <c r="C1048" s="23"/>
      <c r="D1048" s="24"/>
      <c r="E1048" s="25"/>
      <c r="F1048" s="26"/>
      <c r="G1048" s="27"/>
      <c r="H1048" s="20"/>
      <c r="I1048" s="21"/>
      <c r="J1048" s="28"/>
      <c r="K1048" s="19"/>
    </row>
    <row r="1049" spans="1:11" ht="13.2">
      <c r="A1049" s="22"/>
      <c r="B1049" s="16"/>
      <c r="C1049" s="23"/>
      <c r="D1049" s="24"/>
      <c r="E1049" s="25"/>
      <c r="F1049" s="26"/>
      <c r="G1049" s="27"/>
      <c r="H1049" s="20"/>
      <c r="I1049" s="21"/>
      <c r="J1049" s="28"/>
      <c r="K1049" s="19"/>
    </row>
    <row r="1050" spans="1:11" ht="13.2">
      <c r="A1050" s="22"/>
      <c r="B1050" s="16"/>
      <c r="C1050" s="23"/>
      <c r="D1050" s="24"/>
      <c r="E1050" s="25"/>
      <c r="F1050" s="26"/>
      <c r="G1050" s="27"/>
      <c r="H1050" s="20"/>
      <c r="I1050" s="21"/>
      <c r="J1050" s="28"/>
      <c r="K1050" s="19"/>
    </row>
    <row r="1051" spans="1:11" ht="13.2">
      <c r="A1051" s="22"/>
      <c r="B1051" s="16"/>
      <c r="C1051" s="23"/>
      <c r="D1051" s="24"/>
      <c r="E1051" s="25"/>
      <c r="F1051" s="26"/>
      <c r="G1051" s="27"/>
      <c r="H1051" s="20"/>
      <c r="I1051" s="21"/>
      <c r="J1051" s="28"/>
      <c r="K1051" s="19"/>
    </row>
    <row r="1052" spans="1:11" ht="13.2">
      <c r="A1052" s="22"/>
      <c r="B1052" s="16"/>
      <c r="C1052" s="23"/>
      <c r="D1052" s="24"/>
      <c r="E1052" s="25"/>
      <c r="F1052" s="26"/>
      <c r="G1052" s="27"/>
      <c r="H1052" s="20"/>
      <c r="I1052" s="21"/>
      <c r="J1052" s="28"/>
      <c r="K1052" s="19"/>
    </row>
    <row r="1053" spans="1:11" ht="13.2">
      <c r="A1053" s="22"/>
      <c r="B1053" s="16"/>
      <c r="C1053" s="23"/>
      <c r="D1053" s="24"/>
      <c r="E1053" s="25"/>
      <c r="F1053" s="26"/>
      <c r="G1053" s="27"/>
      <c r="H1053" s="20"/>
      <c r="I1053" s="21"/>
      <c r="J1053" s="28"/>
      <c r="K1053" s="19"/>
    </row>
    <row r="1054" spans="1:11" ht="13.2">
      <c r="A1054" s="22"/>
      <c r="B1054" s="16"/>
      <c r="C1054" s="23"/>
      <c r="D1054" s="24"/>
      <c r="E1054" s="25"/>
      <c r="F1054" s="26"/>
      <c r="G1054" s="27"/>
      <c r="H1054" s="20"/>
      <c r="I1054" s="21"/>
      <c r="J1054" s="28"/>
      <c r="K1054" s="19"/>
    </row>
    <row r="1055" spans="1:11" ht="13.2">
      <c r="A1055" s="22"/>
      <c r="B1055" s="16"/>
      <c r="C1055" s="23"/>
      <c r="D1055" s="24"/>
      <c r="E1055" s="25"/>
      <c r="F1055" s="26"/>
      <c r="G1055" s="27"/>
      <c r="H1055" s="20"/>
      <c r="I1055" s="21"/>
      <c r="J1055" s="28"/>
      <c r="K1055" s="19"/>
    </row>
    <row r="1056" spans="1:11" ht="13.2">
      <c r="A1056" s="22"/>
      <c r="B1056" s="16"/>
      <c r="C1056" s="23"/>
      <c r="D1056" s="24"/>
      <c r="E1056" s="25"/>
      <c r="F1056" s="26"/>
      <c r="G1056" s="27"/>
      <c r="H1056" s="20"/>
      <c r="I1056" s="21"/>
      <c r="J1056" s="28"/>
      <c r="K1056" s="19"/>
    </row>
    <row r="1057" spans="1:11" ht="13.2">
      <c r="A1057" s="22"/>
      <c r="B1057" s="16"/>
      <c r="C1057" s="23"/>
      <c r="D1057" s="24"/>
      <c r="E1057" s="25"/>
      <c r="F1057" s="26"/>
      <c r="G1057" s="27"/>
      <c r="H1057" s="20"/>
      <c r="I1057" s="21"/>
      <c r="J1057" s="28"/>
      <c r="K1057" s="19"/>
    </row>
    <row r="1058" spans="1:11" ht="13.2">
      <c r="A1058" s="22"/>
      <c r="B1058" s="16"/>
      <c r="C1058" s="23"/>
      <c r="D1058" s="24"/>
      <c r="E1058" s="25"/>
      <c r="F1058" s="26"/>
      <c r="G1058" s="27"/>
      <c r="H1058" s="20"/>
      <c r="I1058" s="21"/>
      <c r="J1058" s="28"/>
      <c r="K1058" s="19"/>
    </row>
    <row r="1059" spans="1:11" ht="13.2">
      <c r="A1059" s="22"/>
      <c r="B1059" s="16"/>
      <c r="C1059" s="23"/>
      <c r="D1059" s="24"/>
      <c r="E1059" s="25"/>
      <c r="F1059" s="26"/>
      <c r="G1059" s="27"/>
      <c r="H1059" s="20"/>
      <c r="I1059" s="21"/>
      <c r="J1059" s="28"/>
      <c r="K1059" s="19"/>
    </row>
    <row r="1060" spans="1:11" ht="13.2">
      <c r="A1060" s="22"/>
      <c r="B1060" s="16"/>
      <c r="C1060" s="23"/>
      <c r="D1060" s="24"/>
      <c r="E1060" s="25"/>
      <c r="F1060" s="26"/>
      <c r="G1060" s="27"/>
      <c r="H1060" s="20"/>
      <c r="I1060" s="21"/>
      <c r="J1060" s="28"/>
      <c r="K1060" s="19"/>
    </row>
    <row r="1061" spans="1:11" ht="13.2">
      <c r="A1061" s="22"/>
      <c r="B1061" s="16"/>
      <c r="C1061" s="23"/>
      <c r="D1061" s="24"/>
      <c r="E1061" s="25"/>
      <c r="F1061" s="26"/>
      <c r="G1061" s="27"/>
      <c r="H1061" s="20"/>
      <c r="I1061" s="21"/>
      <c r="J1061" s="28"/>
      <c r="K1061" s="19"/>
    </row>
    <row r="1062" spans="1:11" ht="13.2">
      <c r="A1062" s="22"/>
      <c r="B1062" s="16"/>
      <c r="C1062" s="23"/>
      <c r="D1062" s="24"/>
      <c r="E1062" s="25"/>
      <c r="F1062" s="26"/>
      <c r="G1062" s="27"/>
      <c r="H1062" s="20"/>
      <c r="I1062" s="21"/>
      <c r="J1062" s="28"/>
      <c r="K1062" s="19"/>
    </row>
    <row r="1063" spans="1:11" ht="13.2">
      <c r="A1063" s="22"/>
      <c r="B1063" s="16"/>
      <c r="C1063" s="23"/>
      <c r="D1063" s="24"/>
      <c r="E1063" s="25"/>
      <c r="F1063" s="26"/>
      <c r="G1063" s="27"/>
      <c r="H1063" s="20"/>
      <c r="I1063" s="21"/>
      <c r="J1063" s="28"/>
      <c r="K1063" s="19"/>
    </row>
    <row r="1064" spans="1:11" ht="13.2">
      <c r="A1064" s="22"/>
      <c r="B1064" s="16"/>
      <c r="C1064" s="23"/>
      <c r="D1064" s="24"/>
      <c r="E1064" s="25"/>
      <c r="F1064" s="26"/>
      <c r="G1064" s="27"/>
      <c r="H1064" s="20"/>
      <c r="I1064" s="21"/>
      <c r="J1064" s="28"/>
      <c r="K1064" s="19"/>
    </row>
    <row r="1065" spans="1:11" ht="13.2">
      <c r="A1065" s="22"/>
      <c r="B1065" s="16"/>
      <c r="C1065" s="23"/>
      <c r="D1065" s="24"/>
      <c r="E1065" s="25"/>
      <c r="F1065" s="26"/>
      <c r="G1065" s="27"/>
      <c r="H1065" s="20"/>
      <c r="I1065" s="21"/>
      <c r="J1065" s="28"/>
      <c r="K1065" s="19"/>
    </row>
    <row r="1066" spans="1:11" ht="13.2">
      <c r="A1066" s="22"/>
      <c r="B1066" s="16"/>
      <c r="C1066" s="23"/>
      <c r="D1066" s="24"/>
      <c r="E1066" s="25"/>
      <c r="F1066" s="26"/>
      <c r="G1066" s="27"/>
      <c r="H1066" s="20"/>
      <c r="I1066" s="21"/>
      <c r="J1066" s="28"/>
      <c r="K1066" s="19"/>
    </row>
    <row r="1067" spans="1:11" ht="13.2">
      <c r="A1067" s="22"/>
      <c r="B1067" s="16"/>
      <c r="C1067" s="23"/>
      <c r="D1067" s="24"/>
      <c r="E1067" s="25"/>
      <c r="F1067" s="26"/>
      <c r="G1067" s="27"/>
      <c r="H1067" s="20"/>
      <c r="I1067" s="21"/>
      <c r="J1067" s="28"/>
      <c r="K1067" s="19"/>
    </row>
    <row r="1068" spans="1:11" ht="13.2">
      <c r="A1068" s="22"/>
      <c r="B1068" s="16"/>
      <c r="C1068" s="23"/>
      <c r="D1068" s="24"/>
      <c r="E1068" s="25"/>
      <c r="F1068" s="26"/>
      <c r="G1068" s="27"/>
      <c r="H1068" s="20"/>
      <c r="I1068" s="21"/>
      <c r="J1068" s="28"/>
      <c r="K1068" s="19"/>
    </row>
    <row r="1069" spans="1:11" ht="13.2">
      <c r="A1069" s="22"/>
      <c r="B1069" s="16"/>
      <c r="C1069" s="23"/>
      <c r="D1069" s="24"/>
      <c r="E1069" s="25"/>
      <c r="F1069" s="26"/>
      <c r="G1069" s="27"/>
      <c r="H1069" s="20"/>
      <c r="I1069" s="21"/>
      <c r="J1069" s="28"/>
      <c r="K1069" s="19"/>
    </row>
    <row r="1070" spans="1:11" ht="13.2">
      <c r="A1070" s="22"/>
      <c r="B1070" s="16"/>
      <c r="C1070" s="23"/>
      <c r="D1070" s="24"/>
      <c r="E1070" s="25"/>
      <c r="F1070" s="26"/>
      <c r="G1070" s="27"/>
      <c r="H1070" s="20"/>
      <c r="I1070" s="21"/>
      <c r="J1070" s="28"/>
      <c r="K1070" s="19"/>
    </row>
    <row r="1071" spans="1:11" ht="13.2">
      <c r="A1071" s="22"/>
      <c r="B1071" s="16"/>
      <c r="C1071" s="23"/>
      <c r="D1071" s="24"/>
      <c r="E1071" s="25"/>
      <c r="F1071" s="26"/>
      <c r="G1071" s="27"/>
      <c r="H1071" s="20"/>
      <c r="I1071" s="21"/>
      <c r="J1071" s="28"/>
      <c r="K1071" s="19"/>
    </row>
    <row r="1072" spans="1:11" ht="13.2">
      <c r="A1072" s="22"/>
      <c r="B1072" s="16"/>
      <c r="C1072" s="23"/>
      <c r="D1072" s="24"/>
      <c r="E1072" s="25"/>
      <c r="F1072" s="26"/>
      <c r="G1072" s="27"/>
      <c r="H1072" s="20"/>
      <c r="I1072" s="21"/>
      <c r="J1072" s="28"/>
      <c r="K1072" s="19"/>
    </row>
    <row r="1073" spans="1:11" ht="13.2">
      <c r="A1073" s="22"/>
      <c r="B1073" s="16"/>
      <c r="C1073" s="23"/>
      <c r="D1073" s="24"/>
      <c r="E1073" s="25"/>
      <c r="F1073" s="26"/>
      <c r="G1073" s="27"/>
      <c r="H1073" s="20"/>
      <c r="I1073" s="21"/>
      <c r="J1073" s="28"/>
      <c r="K1073" s="19"/>
    </row>
    <row r="1074" spans="1:11" ht="13.2">
      <c r="A1074" s="22"/>
      <c r="B1074" s="16"/>
      <c r="C1074" s="23"/>
      <c r="D1074" s="24"/>
      <c r="E1074" s="25"/>
      <c r="F1074" s="26"/>
      <c r="G1074" s="27"/>
      <c r="H1074" s="20"/>
      <c r="I1074" s="21"/>
      <c r="J1074" s="28"/>
      <c r="K1074" s="19"/>
    </row>
    <row r="1075" spans="1:11" ht="13.2">
      <c r="A1075" s="22"/>
      <c r="B1075" s="16"/>
      <c r="C1075" s="23"/>
      <c r="D1075" s="24"/>
      <c r="E1075" s="25"/>
      <c r="F1075" s="26"/>
      <c r="G1075" s="27"/>
      <c r="H1075" s="20"/>
      <c r="I1075" s="21"/>
      <c r="J1075" s="28"/>
      <c r="K1075" s="19"/>
    </row>
    <row r="1076" spans="1:11" ht="13.2">
      <c r="A1076" s="22"/>
      <c r="B1076" s="16"/>
      <c r="C1076" s="23"/>
      <c r="D1076" s="24"/>
      <c r="E1076" s="25"/>
      <c r="F1076" s="26"/>
      <c r="G1076" s="27"/>
      <c r="H1076" s="20"/>
      <c r="I1076" s="21"/>
      <c r="J1076" s="28"/>
      <c r="K1076" s="19"/>
    </row>
    <row r="1077" spans="1:11" ht="13.2">
      <c r="A1077" s="22"/>
      <c r="B1077" s="16"/>
      <c r="C1077" s="23"/>
      <c r="D1077" s="24"/>
      <c r="E1077" s="25"/>
      <c r="F1077" s="26"/>
      <c r="G1077" s="27"/>
      <c r="H1077" s="20"/>
      <c r="I1077" s="21"/>
      <c r="J1077" s="28"/>
      <c r="K1077" s="19"/>
    </row>
    <row r="1078" spans="1:11" ht="13.2">
      <c r="A1078" s="22"/>
      <c r="B1078" s="16"/>
      <c r="C1078" s="23"/>
      <c r="D1078" s="24"/>
      <c r="E1078" s="25"/>
      <c r="F1078" s="26"/>
      <c r="G1078" s="27"/>
      <c r="H1078" s="20"/>
      <c r="I1078" s="21"/>
      <c r="J1078" s="28"/>
      <c r="K1078" s="19"/>
    </row>
    <row r="1079" spans="1:11" ht="13.2">
      <c r="A1079" s="22"/>
      <c r="B1079" s="16"/>
      <c r="C1079" s="23"/>
      <c r="D1079" s="24"/>
      <c r="E1079" s="25"/>
      <c r="F1079" s="26"/>
      <c r="G1079" s="27"/>
      <c r="H1079" s="20"/>
      <c r="I1079" s="21"/>
      <c r="J1079" s="28"/>
      <c r="K1079" s="19"/>
    </row>
    <row r="1080" spans="1:11" ht="13.2">
      <c r="A1080" s="22"/>
      <c r="B1080" s="16"/>
      <c r="C1080" s="23"/>
      <c r="D1080" s="24"/>
      <c r="E1080" s="25"/>
      <c r="F1080" s="26"/>
      <c r="G1080" s="27"/>
      <c r="H1080" s="20"/>
      <c r="I1080" s="21"/>
      <c r="J1080" s="28"/>
      <c r="K1080" s="19"/>
    </row>
    <row r="1081" spans="1:11" ht="13.2">
      <c r="A1081" s="22"/>
      <c r="B1081" s="16"/>
      <c r="C1081" s="23"/>
      <c r="D1081" s="24"/>
      <c r="E1081" s="25"/>
      <c r="F1081" s="26"/>
      <c r="G1081" s="27"/>
      <c r="H1081" s="20"/>
      <c r="I1081" s="21"/>
      <c r="J1081" s="28"/>
      <c r="K1081" s="19"/>
    </row>
    <row r="1082" spans="1:11" ht="13.2">
      <c r="A1082" s="22"/>
      <c r="B1082" s="16"/>
      <c r="C1082" s="23"/>
      <c r="D1082" s="24"/>
      <c r="E1082" s="25"/>
      <c r="F1082" s="26"/>
      <c r="G1082" s="27"/>
      <c r="H1082" s="20"/>
      <c r="I1082" s="21"/>
      <c r="J1082" s="28"/>
      <c r="K1082" s="19"/>
    </row>
    <row r="1083" spans="1:11" ht="13.2">
      <c r="A1083" s="22"/>
      <c r="B1083" s="16"/>
      <c r="C1083" s="23"/>
      <c r="D1083" s="24"/>
      <c r="E1083" s="25"/>
      <c r="F1083" s="26"/>
      <c r="G1083" s="27"/>
      <c r="H1083" s="20"/>
      <c r="I1083" s="21"/>
      <c r="J1083" s="28"/>
      <c r="K1083" s="19"/>
    </row>
    <row r="1084" spans="1:11" ht="13.2">
      <c r="A1084" s="22"/>
      <c r="B1084" s="16"/>
      <c r="C1084" s="23"/>
      <c r="D1084" s="24"/>
      <c r="E1084" s="25"/>
      <c r="F1084" s="26"/>
      <c r="G1084" s="27"/>
      <c r="H1084" s="20"/>
      <c r="I1084" s="21"/>
      <c r="J1084" s="28"/>
      <c r="K1084" s="19"/>
    </row>
    <row r="1085" spans="1:11" ht="13.2">
      <c r="A1085" s="22"/>
      <c r="B1085" s="16"/>
      <c r="C1085" s="23"/>
      <c r="D1085" s="24"/>
      <c r="E1085" s="25"/>
      <c r="F1085" s="26"/>
      <c r="G1085" s="27"/>
      <c r="H1085" s="20"/>
      <c r="I1085" s="21"/>
      <c r="J1085" s="28"/>
      <c r="K1085" s="19"/>
    </row>
    <row r="1086" spans="1:11" ht="13.2">
      <c r="A1086" s="22"/>
      <c r="B1086" s="16"/>
      <c r="C1086" s="23"/>
      <c r="D1086" s="24"/>
      <c r="E1086" s="25"/>
      <c r="F1086" s="26"/>
      <c r="G1086" s="27"/>
      <c r="H1086" s="20"/>
      <c r="I1086" s="21"/>
      <c r="J1086" s="28"/>
      <c r="K1086" s="19"/>
    </row>
    <row r="1087" spans="1:11" ht="13.2">
      <c r="A1087" s="22"/>
      <c r="B1087" s="16"/>
      <c r="C1087" s="23"/>
      <c r="D1087" s="24"/>
      <c r="E1087" s="25"/>
      <c r="F1087" s="26"/>
      <c r="G1087" s="27"/>
      <c r="H1087" s="20"/>
      <c r="I1087" s="21"/>
      <c r="J1087" s="28"/>
      <c r="K1087" s="19"/>
    </row>
    <row r="1088" spans="1:11" ht="13.2">
      <c r="A1088" s="22"/>
      <c r="B1088" s="16"/>
      <c r="C1088" s="23"/>
      <c r="D1088" s="24"/>
      <c r="E1088" s="25"/>
      <c r="F1088" s="26"/>
      <c r="G1088" s="27"/>
      <c r="H1088" s="20"/>
      <c r="I1088" s="21"/>
      <c r="J1088" s="28"/>
      <c r="K1088" s="19"/>
    </row>
    <row r="1089" spans="1:11" ht="13.2">
      <c r="A1089" s="22"/>
      <c r="B1089" s="16"/>
      <c r="C1089" s="23"/>
      <c r="D1089" s="24"/>
      <c r="E1089" s="25"/>
      <c r="F1089" s="26"/>
      <c r="G1089" s="27"/>
      <c r="H1089" s="20"/>
      <c r="I1089" s="21"/>
      <c r="J1089" s="28"/>
      <c r="K1089" s="19"/>
    </row>
    <row r="1090" spans="1:11" ht="13.2">
      <c r="A1090" s="22"/>
      <c r="B1090" s="16"/>
      <c r="C1090" s="23"/>
      <c r="D1090" s="24"/>
      <c r="E1090" s="25"/>
      <c r="F1090" s="26"/>
      <c r="G1090" s="27"/>
      <c r="H1090" s="20"/>
      <c r="I1090" s="21"/>
      <c r="J1090" s="28"/>
      <c r="K1090" s="19"/>
    </row>
    <row r="1091" spans="1:11" ht="13.2">
      <c r="A1091" s="22"/>
      <c r="B1091" s="16"/>
      <c r="C1091" s="23"/>
      <c r="D1091" s="24"/>
      <c r="E1091" s="25"/>
      <c r="F1091" s="26"/>
      <c r="G1091" s="27"/>
      <c r="H1091" s="20"/>
      <c r="I1091" s="21"/>
      <c r="J1091" s="28"/>
      <c r="K1091" s="19"/>
    </row>
    <row r="1092" spans="1:11" ht="13.2">
      <c r="A1092" s="22"/>
      <c r="B1092" s="16"/>
      <c r="C1092" s="23"/>
      <c r="D1092" s="24"/>
      <c r="E1092" s="25"/>
      <c r="F1092" s="26"/>
      <c r="G1092" s="27"/>
      <c r="H1092" s="20"/>
      <c r="I1092" s="21"/>
      <c r="J1092" s="28"/>
      <c r="K1092" s="19"/>
    </row>
    <row r="1093" spans="1:11" ht="13.2">
      <c r="A1093" s="22"/>
      <c r="B1093" s="16"/>
      <c r="C1093" s="23"/>
      <c r="D1093" s="24"/>
      <c r="E1093" s="25"/>
      <c r="F1093" s="26"/>
      <c r="G1093" s="27"/>
      <c r="H1093" s="20"/>
      <c r="I1093" s="21"/>
      <c r="J1093" s="28"/>
      <c r="K1093" s="19"/>
    </row>
    <row r="1094" spans="1:11" ht="13.2">
      <c r="A1094" s="22"/>
      <c r="B1094" s="16"/>
      <c r="C1094" s="23"/>
      <c r="D1094" s="24"/>
      <c r="E1094" s="25"/>
      <c r="F1094" s="26"/>
      <c r="G1094" s="27"/>
      <c r="H1094" s="20"/>
      <c r="I1094" s="21"/>
      <c r="J1094" s="28"/>
      <c r="K1094" s="19"/>
    </row>
    <row r="1095" spans="1:11" ht="13.2">
      <c r="A1095" s="22"/>
      <c r="B1095" s="16"/>
      <c r="C1095" s="23"/>
      <c r="D1095" s="24"/>
      <c r="E1095" s="25"/>
      <c r="F1095" s="26"/>
      <c r="G1095" s="27"/>
      <c r="H1095" s="20"/>
      <c r="I1095" s="21"/>
      <c r="J1095" s="28"/>
      <c r="K1095" s="19"/>
    </row>
    <row r="1096" spans="1:11" ht="13.2">
      <c r="A1096" s="22"/>
      <c r="B1096" s="16"/>
      <c r="C1096" s="23"/>
      <c r="D1096" s="24"/>
      <c r="E1096" s="25"/>
      <c r="F1096" s="26"/>
      <c r="G1096" s="27"/>
      <c r="H1096" s="20"/>
      <c r="I1096" s="21"/>
      <c r="J1096" s="28"/>
      <c r="K1096" s="19"/>
    </row>
    <row r="1097" spans="1:11" ht="13.2">
      <c r="A1097" s="22"/>
      <c r="B1097" s="16"/>
      <c r="C1097" s="23"/>
      <c r="D1097" s="24"/>
      <c r="E1097" s="25"/>
      <c r="F1097" s="26"/>
      <c r="G1097" s="27"/>
      <c r="H1097" s="20"/>
      <c r="I1097" s="21"/>
      <c r="J1097" s="28"/>
      <c r="K1097" s="19"/>
    </row>
    <row r="1098" spans="1:11" ht="13.2">
      <c r="A1098" s="22"/>
      <c r="B1098" s="16"/>
      <c r="C1098" s="23"/>
      <c r="D1098" s="24"/>
      <c r="E1098" s="25"/>
      <c r="F1098" s="26"/>
      <c r="G1098" s="27"/>
      <c r="H1098" s="20"/>
      <c r="I1098" s="21"/>
      <c r="J1098" s="28"/>
      <c r="K1098" s="19"/>
    </row>
    <row r="1099" spans="1:11" ht="13.2">
      <c r="A1099" s="22"/>
      <c r="B1099" s="16"/>
      <c r="C1099" s="23"/>
      <c r="D1099" s="24"/>
      <c r="E1099" s="25"/>
      <c r="F1099" s="26"/>
      <c r="G1099" s="27"/>
      <c r="H1099" s="20"/>
      <c r="I1099" s="21"/>
      <c r="J1099" s="28"/>
      <c r="K1099" s="19"/>
    </row>
    <row r="1100" spans="1:11" ht="13.2">
      <c r="A1100" s="22"/>
      <c r="B1100" s="16"/>
      <c r="C1100" s="23"/>
      <c r="D1100" s="24"/>
      <c r="E1100" s="25"/>
      <c r="F1100" s="26"/>
      <c r="G1100" s="27"/>
      <c r="H1100" s="20"/>
      <c r="I1100" s="21"/>
      <c r="J1100" s="28"/>
      <c r="K1100" s="19"/>
    </row>
    <row r="1101" spans="1:11" ht="13.2">
      <c r="A1101" s="22"/>
      <c r="B1101" s="16"/>
      <c r="C1101" s="23"/>
      <c r="D1101" s="24"/>
      <c r="E1101" s="25"/>
      <c r="F1101" s="26"/>
      <c r="G1101" s="27"/>
      <c r="H1101" s="20"/>
      <c r="I1101" s="21"/>
      <c r="J1101" s="28"/>
      <c r="K1101" s="19"/>
    </row>
    <row r="1102" spans="1:11" ht="13.2">
      <c r="A1102" s="22"/>
      <c r="B1102" s="16"/>
      <c r="C1102" s="23"/>
      <c r="D1102" s="24"/>
      <c r="E1102" s="25"/>
      <c r="F1102" s="26"/>
      <c r="G1102" s="27"/>
      <c r="H1102" s="20"/>
      <c r="I1102" s="21"/>
      <c r="J1102" s="28"/>
      <c r="K1102" s="19"/>
    </row>
    <row r="1103" spans="1:11" ht="13.2">
      <c r="A1103" s="22"/>
      <c r="B1103" s="16"/>
      <c r="C1103" s="23"/>
      <c r="D1103" s="24"/>
      <c r="E1103" s="25"/>
      <c r="F1103" s="26"/>
      <c r="G1103" s="27"/>
      <c r="H1103" s="20"/>
      <c r="I1103" s="21"/>
      <c r="J1103" s="28"/>
      <c r="K1103" s="19"/>
    </row>
    <row r="1104" spans="1:11" ht="13.2">
      <c r="A1104" s="22"/>
      <c r="B1104" s="16"/>
      <c r="C1104" s="23"/>
      <c r="D1104" s="24"/>
      <c r="E1104" s="25"/>
      <c r="F1104" s="26"/>
      <c r="G1104" s="27"/>
      <c r="H1104" s="20"/>
      <c r="I1104" s="21"/>
      <c r="J1104" s="28"/>
      <c r="K1104" s="19"/>
    </row>
    <row r="1105" spans="1:11" ht="13.2">
      <c r="A1105" s="22"/>
      <c r="B1105" s="16"/>
      <c r="C1105" s="23"/>
      <c r="D1105" s="24"/>
      <c r="E1105" s="25"/>
      <c r="F1105" s="26"/>
      <c r="G1105" s="27"/>
      <c r="H1105" s="20"/>
      <c r="I1105" s="21"/>
      <c r="J1105" s="28"/>
      <c r="K1105" s="19"/>
    </row>
    <row r="1106" spans="1:11" ht="13.2">
      <c r="A1106" s="22"/>
      <c r="B1106" s="16"/>
      <c r="C1106" s="23"/>
      <c r="D1106" s="24"/>
      <c r="E1106" s="25"/>
      <c r="F1106" s="26"/>
      <c r="G1106" s="27"/>
      <c r="H1106" s="20"/>
      <c r="I1106" s="21"/>
      <c r="J1106" s="28"/>
      <c r="K1106" s="19"/>
    </row>
    <row r="1107" spans="1:11" ht="13.2">
      <c r="A1107" s="22"/>
      <c r="B1107" s="16"/>
      <c r="C1107" s="23"/>
      <c r="D1107" s="24"/>
      <c r="E1107" s="25"/>
      <c r="F1107" s="26"/>
      <c r="G1107" s="27"/>
      <c r="H1107" s="20"/>
      <c r="I1107" s="21"/>
      <c r="J1107" s="28"/>
      <c r="K1107" s="19"/>
    </row>
    <row r="1108" spans="1:11" ht="13.2">
      <c r="A1108" s="22"/>
      <c r="B1108" s="16"/>
      <c r="C1108" s="23"/>
      <c r="D1108" s="24"/>
      <c r="E1108" s="25"/>
      <c r="F1108" s="26"/>
      <c r="G1108" s="27"/>
      <c r="H1108" s="20"/>
      <c r="I1108" s="21"/>
      <c r="J1108" s="28"/>
      <c r="K1108" s="19"/>
    </row>
    <row r="1109" spans="1:11" ht="13.2">
      <c r="A1109" s="22"/>
      <c r="B1109" s="16"/>
      <c r="C1109" s="23"/>
      <c r="D1109" s="24"/>
      <c r="E1109" s="25"/>
      <c r="F1109" s="26"/>
      <c r="G1109" s="27"/>
      <c r="H1109" s="20"/>
      <c r="I1109" s="21"/>
      <c r="J1109" s="28"/>
      <c r="K1109" s="19"/>
    </row>
    <row r="1110" spans="1:11" ht="13.2">
      <c r="A1110" s="22"/>
      <c r="B1110" s="16"/>
      <c r="C1110" s="23"/>
      <c r="D1110" s="24"/>
      <c r="E1110" s="25"/>
      <c r="F1110" s="26"/>
      <c r="G1110" s="27"/>
      <c r="H1110" s="20"/>
      <c r="I1110" s="21"/>
      <c r="J1110" s="28"/>
      <c r="K1110" s="19"/>
    </row>
    <row r="1111" spans="1:11" ht="13.2">
      <c r="A1111" s="22"/>
      <c r="B1111" s="16"/>
      <c r="C1111" s="23"/>
      <c r="D1111" s="24"/>
      <c r="E1111" s="25"/>
      <c r="F1111" s="26"/>
      <c r="G1111" s="27"/>
      <c r="H1111" s="20"/>
      <c r="I1111" s="21"/>
      <c r="J1111" s="28"/>
      <c r="K1111" s="19"/>
    </row>
    <row r="1112" spans="1:11" ht="13.2">
      <c r="A1112" s="22"/>
      <c r="B1112" s="16"/>
      <c r="C1112" s="23"/>
      <c r="D1112" s="24"/>
      <c r="E1112" s="25"/>
      <c r="F1112" s="26"/>
      <c r="G1112" s="27"/>
      <c r="H1112" s="20"/>
      <c r="I1112" s="21"/>
      <c r="J1112" s="28"/>
      <c r="K1112" s="19"/>
    </row>
    <row r="1113" spans="1:11" ht="13.2">
      <c r="A1113" s="22"/>
      <c r="B1113" s="16"/>
      <c r="C1113" s="23"/>
      <c r="D1113" s="24"/>
      <c r="E1113" s="25"/>
      <c r="F1113" s="26"/>
      <c r="G1113" s="27"/>
      <c r="H1113" s="20"/>
      <c r="I1113" s="21"/>
      <c r="J1113" s="28"/>
      <c r="K1113" s="19"/>
    </row>
    <row r="1114" spans="1:11" ht="13.2">
      <c r="A1114" s="22"/>
      <c r="B1114" s="16"/>
      <c r="C1114" s="23"/>
      <c r="D1114" s="24"/>
      <c r="E1114" s="25"/>
      <c r="F1114" s="26"/>
      <c r="G1114" s="27"/>
      <c r="H1114" s="20"/>
      <c r="I1114" s="21"/>
      <c r="J1114" s="28"/>
      <c r="K1114" s="19"/>
    </row>
    <row r="1115" spans="1:11" ht="13.2">
      <c r="A1115" s="22"/>
      <c r="B1115" s="16"/>
      <c r="C1115" s="23"/>
      <c r="D1115" s="24"/>
      <c r="E1115" s="25"/>
      <c r="F1115" s="26"/>
      <c r="G1115" s="27"/>
      <c r="H1115" s="20"/>
      <c r="I1115" s="21"/>
      <c r="J1115" s="28"/>
      <c r="K1115" s="19"/>
    </row>
    <row r="1116" spans="1:11" ht="13.2">
      <c r="A1116" s="22"/>
      <c r="B1116" s="16"/>
      <c r="C1116" s="23"/>
      <c r="D1116" s="24"/>
      <c r="E1116" s="25"/>
      <c r="F1116" s="26"/>
      <c r="G1116" s="27"/>
      <c r="H1116" s="20"/>
      <c r="I1116" s="21"/>
      <c r="J1116" s="28"/>
      <c r="K1116" s="19"/>
    </row>
    <row r="1117" spans="1:11" ht="13.2">
      <c r="A1117" s="22"/>
      <c r="B1117" s="16"/>
      <c r="C1117" s="23"/>
      <c r="D1117" s="24"/>
      <c r="E1117" s="25"/>
      <c r="F1117" s="26"/>
      <c r="G1117" s="27"/>
      <c r="H1117" s="20"/>
      <c r="I1117" s="21"/>
      <c r="J1117" s="28"/>
      <c r="K1117" s="19"/>
    </row>
    <row r="1118" spans="1:11" ht="13.2">
      <c r="A1118" s="22"/>
      <c r="B1118" s="16"/>
      <c r="C1118" s="23"/>
      <c r="D1118" s="24"/>
      <c r="E1118" s="25"/>
      <c r="F1118" s="26"/>
      <c r="G1118" s="27"/>
      <c r="H1118" s="20"/>
      <c r="I1118" s="21"/>
      <c r="J1118" s="28"/>
      <c r="K1118" s="19"/>
    </row>
    <row r="1119" spans="1:11" ht="13.2">
      <c r="A1119" s="22"/>
      <c r="B1119" s="16"/>
      <c r="C1119" s="23"/>
      <c r="D1119" s="24"/>
      <c r="E1119" s="25"/>
      <c r="F1119" s="26"/>
      <c r="G1119" s="27"/>
      <c r="H1119" s="20"/>
      <c r="I1119" s="21"/>
      <c r="J1119" s="28"/>
      <c r="K1119" s="19"/>
    </row>
    <row r="1120" spans="1:11" ht="13.2">
      <c r="A1120" s="22"/>
      <c r="B1120" s="16"/>
      <c r="C1120" s="23"/>
      <c r="D1120" s="24"/>
      <c r="E1120" s="25"/>
      <c r="F1120" s="26"/>
      <c r="G1120" s="27"/>
      <c r="H1120" s="20"/>
      <c r="I1120" s="21"/>
      <c r="J1120" s="28"/>
      <c r="K1120" s="19"/>
    </row>
    <row r="1121" spans="1:11" ht="13.2">
      <c r="A1121" s="22"/>
      <c r="B1121" s="16"/>
      <c r="C1121" s="23"/>
      <c r="D1121" s="24"/>
      <c r="E1121" s="25"/>
      <c r="F1121" s="26"/>
      <c r="G1121" s="27"/>
      <c r="H1121" s="20"/>
      <c r="I1121" s="21"/>
      <c r="J1121" s="28"/>
      <c r="K1121" s="19"/>
    </row>
    <row r="1122" spans="1:11" ht="13.2">
      <c r="A1122" s="22"/>
      <c r="B1122" s="16"/>
      <c r="C1122" s="23"/>
      <c r="D1122" s="24"/>
      <c r="E1122" s="25"/>
      <c r="F1122" s="26"/>
      <c r="G1122" s="27"/>
      <c r="H1122" s="20"/>
      <c r="I1122" s="21"/>
      <c r="J1122" s="28"/>
      <c r="K1122" s="19"/>
    </row>
    <row r="1123" spans="1:11" ht="13.2">
      <c r="A1123" s="22"/>
      <c r="B1123" s="16"/>
      <c r="C1123" s="23"/>
      <c r="D1123" s="24"/>
      <c r="E1123" s="25"/>
      <c r="F1123" s="26"/>
      <c r="G1123" s="27"/>
      <c r="H1123" s="20"/>
      <c r="I1123" s="21"/>
      <c r="J1123" s="28"/>
      <c r="K1123" s="19"/>
    </row>
    <row r="1124" spans="1:11" ht="13.2">
      <c r="A1124" s="22"/>
      <c r="B1124" s="16"/>
      <c r="C1124" s="23"/>
      <c r="D1124" s="24"/>
      <c r="E1124" s="25"/>
      <c r="F1124" s="26"/>
      <c r="G1124" s="27"/>
      <c r="H1124" s="20"/>
      <c r="I1124" s="21"/>
      <c r="J1124" s="28"/>
      <c r="K1124" s="19"/>
    </row>
    <row r="1125" spans="1:11" ht="13.2">
      <c r="A1125" s="22"/>
      <c r="B1125" s="16"/>
      <c r="C1125" s="23"/>
      <c r="D1125" s="24"/>
      <c r="E1125" s="25"/>
      <c r="F1125" s="26"/>
      <c r="G1125" s="27"/>
      <c r="H1125" s="20"/>
      <c r="I1125" s="21"/>
      <c r="J1125" s="28"/>
      <c r="K1125" s="19"/>
    </row>
    <row r="1126" spans="1:11" ht="13.2">
      <c r="A1126" s="22"/>
      <c r="B1126" s="16"/>
      <c r="C1126" s="23"/>
      <c r="D1126" s="24"/>
      <c r="E1126" s="25"/>
      <c r="F1126" s="26"/>
      <c r="G1126" s="27"/>
      <c r="H1126" s="20"/>
      <c r="I1126" s="21"/>
      <c r="J1126" s="28"/>
      <c r="K1126" s="19"/>
    </row>
    <row r="1127" spans="1:11" ht="13.2">
      <c r="A1127" s="22"/>
      <c r="B1127" s="16"/>
      <c r="C1127" s="23"/>
      <c r="D1127" s="24"/>
      <c r="E1127" s="25"/>
      <c r="F1127" s="26"/>
      <c r="G1127" s="27"/>
      <c r="H1127" s="20"/>
      <c r="I1127" s="21"/>
      <c r="J1127" s="28"/>
      <c r="K1127" s="19"/>
    </row>
    <row r="1128" spans="1:11" ht="13.2">
      <c r="A1128" s="22"/>
      <c r="B1128" s="16"/>
      <c r="C1128" s="23"/>
      <c r="D1128" s="24"/>
      <c r="E1128" s="25"/>
      <c r="F1128" s="26"/>
      <c r="G1128" s="27"/>
      <c r="H1128" s="20"/>
      <c r="I1128" s="21"/>
      <c r="J1128" s="28"/>
      <c r="K1128" s="19"/>
    </row>
    <row r="1129" spans="1:11" ht="13.2">
      <c r="A1129" s="22"/>
      <c r="B1129" s="16"/>
      <c r="C1129" s="23"/>
      <c r="D1129" s="24"/>
      <c r="E1129" s="25"/>
      <c r="F1129" s="26"/>
      <c r="G1129" s="27"/>
      <c r="H1129" s="20"/>
      <c r="I1129" s="21"/>
      <c r="J1129" s="28"/>
      <c r="K1129" s="19"/>
    </row>
    <row r="1130" spans="1:11" ht="13.2">
      <c r="A1130" s="22"/>
      <c r="B1130" s="16"/>
      <c r="C1130" s="23"/>
      <c r="D1130" s="24"/>
      <c r="E1130" s="25"/>
      <c r="F1130" s="26"/>
      <c r="G1130" s="27"/>
      <c r="H1130" s="20"/>
      <c r="I1130" s="21"/>
      <c r="J1130" s="28"/>
      <c r="K1130" s="19"/>
    </row>
    <row r="1131" spans="1:11" ht="13.2">
      <c r="A1131" s="22"/>
      <c r="B1131" s="16"/>
      <c r="C1131" s="23"/>
      <c r="D1131" s="24"/>
      <c r="E1131" s="25"/>
      <c r="F1131" s="26"/>
      <c r="G1131" s="27"/>
      <c r="H1131" s="20"/>
      <c r="I1131" s="21"/>
      <c r="J1131" s="28"/>
      <c r="K1131" s="19"/>
    </row>
    <row r="1132" spans="1:11" ht="13.2">
      <c r="A1132" s="22"/>
      <c r="B1132" s="16"/>
      <c r="C1132" s="23"/>
      <c r="D1132" s="24"/>
      <c r="E1132" s="25"/>
      <c r="F1132" s="26"/>
      <c r="G1132" s="27"/>
      <c r="H1132" s="20"/>
      <c r="I1132" s="21"/>
      <c r="J1132" s="28"/>
      <c r="K1132" s="19"/>
    </row>
    <row r="1133" spans="1:11" ht="13.2">
      <c r="A1133" s="22"/>
      <c r="B1133" s="16"/>
      <c r="C1133" s="23"/>
      <c r="D1133" s="24"/>
      <c r="E1133" s="25"/>
      <c r="F1133" s="26"/>
      <c r="G1133" s="27"/>
      <c r="H1133" s="20"/>
      <c r="I1133" s="21"/>
      <c r="J1133" s="28"/>
      <c r="K1133" s="19"/>
    </row>
    <row r="1134" spans="1:11" ht="13.2">
      <c r="A1134" s="22"/>
      <c r="B1134" s="16"/>
      <c r="C1134" s="23"/>
      <c r="D1134" s="24"/>
      <c r="E1134" s="25"/>
      <c r="F1134" s="26"/>
      <c r="G1134" s="27"/>
      <c r="H1134" s="20"/>
      <c r="I1134" s="21"/>
      <c r="J1134" s="28"/>
      <c r="K1134" s="19"/>
    </row>
    <row r="1135" spans="1:11" ht="13.2">
      <c r="A1135" s="22"/>
      <c r="B1135" s="16"/>
      <c r="C1135" s="23"/>
      <c r="D1135" s="24"/>
      <c r="E1135" s="25"/>
      <c r="F1135" s="26"/>
      <c r="G1135" s="27"/>
      <c r="H1135" s="20"/>
      <c r="I1135" s="21"/>
      <c r="J1135" s="28"/>
      <c r="K1135" s="19"/>
    </row>
    <row r="1136" spans="1:11" ht="13.2">
      <c r="A1136" s="22"/>
      <c r="B1136" s="16"/>
      <c r="C1136" s="23"/>
      <c r="D1136" s="24"/>
      <c r="E1136" s="25"/>
      <c r="F1136" s="26"/>
      <c r="G1136" s="27"/>
      <c r="H1136" s="20"/>
      <c r="I1136" s="21"/>
      <c r="J1136" s="28"/>
      <c r="K1136" s="19"/>
    </row>
    <row r="1137" spans="1:11" ht="13.2">
      <c r="A1137" s="22"/>
      <c r="B1137" s="16"/>
      <c r="C1137" s="23"/>
      <c r="D1137" s="24"/>
      <c r="E1137" s="25"/>
      <c r="F1137" s="26"/>
      <c r="G1137" s="27"/>
      <c r="H1137" s="20"/>
      <c r="I1137" s="21"/>
      <c r="J1137" s="28"/>
      <c r="K1137" s="19"/>
    </row>
    <row r="1138" spans="1:11" ht="13.2">
      <c r="A1138" s="22"/>
      <c r="B1138" s="16"/>
      <c r="C1138" s="23"/>
      <c r="D1138" s="24"/>
      <c r="E1138" s="25"/>
      <c r="F1138" s="26"/>
      <c r="G1138" s="27"/>
      <c r="H1138" s="20"/>
      <c r="I1138" s="21"/>
      <c r="J1138" s="28"/>
      <c r="K1138" s="19"/>
    </row>
    <row r="1139" spans="1:11" ht="13.2">
      <c r="A1139" s="22"/>
      <c r="B1139" s="16"/>
      <c r="C1139" s="23"/>
      <c r="D1139" s="24"/>
      <c r="E1139" s="25"/>
      <c r="F1139" s="26"/>
      <c r="G1139" s="27"/>
      <c r="H1139" s="20"/>
      <c r="I1139" s="21"/>
      <c r="J1139" s="28"/>
      <c r="K1139" s="19"/>
    </row>
    <row r="1140" spans="1:11" ht="13.2">
      <c r="A1140" s="22"/>
      <c r="B1140" s="16"/>
      <c r="C1140" s="23"/>
      <c r="D1140" s="24"/>
      <c r="E1140" s="25"/>
      <c r="F1140" s="26"/>
      <c r="G1140" s="27"/>
      <c r="H1140" s="20"/>
      <c r="I1140" s="21"/>
      <c r="J1140" s="28"/>
      <c r="K1140" s="19"/>
    </row>
    <row r="1141" spans="1:11" ht="13.2">
      <c r="A1141" s="22"/>
      <c r="B1141" s="16"/>
      <c r="C1141" s="23"/>
      <c r="D1141" s="24"/>
      <c r="E1141" s="25"/>
      <c r="F1141" s="26"/>
      <c r="G1141" s="27"/>
      <c r="H1141" s="20"/>
      <c r="I1141" s="21"/>
      <c r="J1141" s="28"/>
      <c r="K1141" s="19"/>
    </row>
    <row r="1142" spans="1:11" ht="13.2">
      <c r="A1142" s="22"/>
      <c r="B1142" s="16"/>
      <c r="C1142" s="23"/>
      <c r="D1142" s="24"/>
      <c r="E1142" s="25"/>
      <c r="F1142" s="26"/>
      <c r="G1142" s="27"/>
      <c r="H1142" s="20"/>
      <c r="I1142" s="21"/>
      <c r="J1142" s="28"/>
      <c r="K1142" s="19"/>
    </row>
    <row r="1143" spans="1:11" ht="13.2">
      <c r="A1143" s="22"/>
      <c r="B1143" s="16"/>
      <c r="C1143" s="23"/>
      <c r="D1143" s="24"/>
      <c r="E1143" s="25"/>
      <c r="F1143" s="26"/>
      <c r="G1143" s="27"/>
      <c r="H1143" s="20"/>
      <c r="I1143" s="21"/>
      <c r="J1143" s="28"/>
      <c r="K1143" s="19"/>
    </row>
    <row r="1144" spans="1:11" ht="13.2">
      <c r="A1144" s="22"/>
      <c r="B1144" s="16"/>
      <c r="C1144" s="23"/>
      <c r="D1144" s="24"/>
      <c r="E1144" s="25"/>
      <c r="F1144" s="26"/>
      <c r="G1144" s="27"/>
      <c r="H1144" s="20"/>
      <c r="I1144" s="21"/>
      <c r="J1144" s="28"/>
      <c r="K1144" s="19"/>
    </row>
    <row r="1145" spans="1:11" ht="13.2">
      <c r="A1145" s="22"/>
      <c r="B1145" s="16"/>
      <c r="C1145" s="23"/>
      <c r="D1145" s="24"/>
      <c r="E1145" s="25"/>
      <c r="F1145" s="26"/>
      <c r="G1145" s="27"/>
      <c r="H1145" s="20"/>
      <c r="I1145" s="21"/>
      <c r="J1145" s="28"/>
      <c r="K1145" s="19"/>
    </row>
    <row r="1146" spans="1:11" ht="13.2">
      <c r="A1146" s="22"/>
      <c r="B1146" s="16"/>
      <c r="C1146" s="23"/>
      <c r="D1146" s="24"/>
      <c r="E1146" s="25"/>
      <c r="F1146" s="26"/>
      <c r="G1146" s="27"/>
      <c r="H1146" s="20"/>
      <c r="I1146" s="21"/>
      <c r="J1146" s="28"/>
      <c r="K1146" s="19"/>
    </row>
    <row r="1147" spans="1:11" ht="13.2">
      <c r="A1147" s="22"/>
      <c r="B1147" s="16"/>
      <c r="C1147" s="23"/>
      <c r="D1147" s="24"/>
      <c r="E1147" s="25"/>
      <c r="F1147" s="26"/>
      <c r="G1147" s="27"/>
      <c r="H1147" s="20"/>
      <c r="I1147" s="21"/>
      <c r="J1147" s="28"/>
      <c r="K1147" s="19"/>
    </row>
    <row r="1148" spans="1:11" ht="13.2">
      <c r="A1148" s="22"/>
      <c r="B1148" s="16"/>
      <c r="C1148" s="23"/>
      <c r="D1148" s="24"/>
      <c r="E1148" s="25"/>
      <c r="F1148" s="26"/>
      <c r="G1148" s="27"/>
      <c r="H1148" s="20"/>
      <c r="I1148" s="21"/>
      <c r="J1148" s="28"/>
      <c r="K1148" s="19"/>
    </row>
    <row r="1149" spans="1:11" ht="13.2">
      <c r="A1149" s="22"/>
      <c r="B1149" s="16"/>
      <c r="C1149" s="23"/>
      <c r="D1149" s="24"/>
      <c r="E1149" s="25"/>
      <c r="F1149" s="26"/>
      <c r="G1149" s="27"/>
      <c r="H1149" s="20"/>
      <c r="I1149" s="21"/>
      <c r="J1149" s="28"/>
      <c r="K1149" s="19"/>
    </row>
    <row r="1150" spans="1:11" ht="13.2">
      <c r="A1150" s="22"/>
      <c r="B1150" s="16"/>
      <c r="C1150" s="23"/>
      <c r="D1150" s="24"/>
      <c r="E1150" s="25"/>
      <c r="F1150" s="26"/>
      <c r="G1150" s="27"/>
      <c r="H1150" s="20"/>
      <c r="I1150" s="21"/>
      <c r="J1150" s="28"/>
      <c r="K1150" s="19"/>
    </row>
    <row r="1151" spans="1:11" ht="13.2">
      <c r="A1151" s="22"/>
      <c r="B1151" s="16"/>
      <c r="C1151" s="23"/>
      <c r="D1151" s="24"/>
      <c r="E1151" s="25"/>
      <c r="F1151" s="26"/>
      <c r="G1151" s="27"/>
      <c r="H1151" s="20"/>
      <c r="I1151" s="21"/>
      <c r="J1151" s="28"/>
      <c r="K1151" s="19"/>
    </row>
    <row r="1152" spans="1:11" ht="13.2">
      <c r="A1152" s="22"/>
      <c r="B1152" s="16"/>
      <c r="C1152" s="23"/>
      <c r="D1152" s="24"/>
      <c r="E1152" s="25"/>
      <c r="F1152" s="26"/>
      <c r="G1152" s="27"/>
      <c r="H1152" s="20"/>
      <c r="I1152" s="21"/>
      <c r="J1152" s="28"/>
      <c r="K1152" s="19"/>
    </row>
    <row r="1153" spans="1:11" ht="13.2">
      <c r="A1153" s="22"/>
      <c r="B1153" s="16"/>
      <c r="C1153" s="23"/>
      <c r="D1153" s="24"/>
      <c r="E1153" s="25"/>
      <c r="F1153" s="26"/>
      <c r="G1153" s="27"/>
      <c r="H1153" s="20"/>
      <c r="I1153" s="21"/>
      <c r="J1153" s="28"/>
      <c r="K1153" s="19"/>
    </row>
    <row r="1154" spans="1:11" ht="13.2">
      <c r="A1154" s="22"/>
      <c r="B1154" s="16"/>
      <c r="C1154" s="23"/>
      <c r="D1154" s="24"/>
      <c r="E1154" s="25"/>
      <c r="F1154" s="26"/>
      <c r="G1154" s="27"/>
      <c r="H1154" s="20"/>
      <c r="I1154" s="21"/>
      <c r="J1154" s="28"/>
      <c r="K1154" s="19"/>
    </row>
    <row r="1155" spans="1:11" ht="13.2">
      <c r="A1155" s="22"/>
      <c r="B1155" s="16"/>
      <c r="C1155" s="23"/>
      <c r="D1155" s="24"/>
      <c r="E1155" s="25"/>
      <c r="F1155" s="26"/>
      <c r="G1155" s="27"/>
      <c r="H1155" s="20"/>
      <c r="I1155" s="21"/>
      <c r="J1155" s="28"/>
      <c r="K1155" s="19"/>
    </row>
    <row r="1156" spans="1:11" ht="13.2">
      <c r="A1156" s="22"/>
      <c r="B1156" s="16"/>
      <c r="C1156" s="23"/>
      <c r="D1156" s="24"/>
      <c r="E1156" s="25"/>
      <c r="F1156" s="26"/>
      <c r="G1156" s="27"/>
      <c r="H1156" s="20"/>
      <c r="I1156" s="21"/>
      <c r="J1156" s="28"/>
      <c r="K1156" s="19"/>
    </row>
    <row r="1157" spans="1:11" ht="13.2">
      <c r="A1157" s="22"/>
      <c r="B1157" s="16"/>
      <c r="C1157" s="23"/>
      <c r="D1157" s="24"/>
      <c r="E1157" s="25"/>
      <c r="F1157" s="26"/>
      <c r="G1157" s="27"/>
      <c r="H1157" s="20"/>
      <c r="I1157" s="21"/>
      <c r="J1157" s="28"/>
      <c r="K1157" s="19"/>
    </row>
    <row r="1158" spans="1:11" ht="13.2">
      <c r="A1158" s="22"/>
      <c r="B1158" s="16"/>
      <c r="C1158" s="23"/>
      <c r="D1158" s="24"/>
      <c r="E1158" s="25"/>
      <c r="F1158" s="26"/>
      <c r="G1158" s="27"/>
      <c r="H1158" s="20"/>
      <c r="I1158" s="21"/>
      <c r="J1158" s="28"/>
      <c r="K1158" s="19"/>
    </row>
    <row r="1159" spans="1:11" ht="13.2">
      <c r="A1159" s="22"/>
      <c r="B1159" s="16"/>
      <c r="C1159" s="23"/>
      <c r="D1159" s="24"/>
      <c r="E1159" s="25"/>
      <c r="F1159" s="26"/>
      <c r="G1159" s="27"/>
      <c r="H1159" s="20"/>
      <c r="I1159" s="21"/>
      <c r="J1159" s="28"/>
      <c r="K1159" s="19"/>
    </row>
    <row r="1160" spans="1:11" ht="13.2">
      <c r="A1160" s="22"/>
      <c r="B1160" s="16"/>
      <c r="C1160" s="23"/>
      <c r="D1160" s="24"/>
      <c r="E1160" s="25"/>
      <c r="F1160" s="26"/>
      <c r="G1160" s="27"/>
      <c r="H1160" s="20"/>
      <c r="I1160" s="21"/>
      <c r="J1160" s="28"/>
      <c r="K1160" s="19"/>
    </row>
    <row r="1161" spans="1:11" ht="13.2">
      <c r="A1161" s="22"/>
      <c r="B1161" s="16"/>
      <c r="C1161" s="23"/>
      <c r="D1161" s="24"/>
      <c r="E1161" s="25"/>
      <c r="F1161" s="26"/>
      <c r="G1161" s="27"/>
      <c r="H1161" s="20"/>
      <c r="I1161" s="21"/>
      <c r="J1161" s="28"/>
      <c r="K1161" s="19"/>
    </row>
    <row r="1162" spans="1:11" ht="13.2">
      <c r="A1162" s="22"/>
      <c r="B1162" s="16"/>
      <c r="C1162" s="23"/>
      <c r="D1162" s="24"/>
      <c r="E1162" s="25"/>
      <c r="F1162" s="26"/>
      <c r="G1162" s="27"/>
      <c r="H1162" s="20"/>
      <c r="I1162" s="21"/>
      <c r="J1162" s="28"/>
      <c r="K1162" s="19"/>
    </row>
    <row r="1163" spans="1:11" ht="13.2">
      <c r="A1163" s="22"/>
      <c r="B1163" s="16"/>
      <c r="C1163" s="23"/>
      <c r="D1163" s="24"/>
      <c r="E1163" s="25"/>
      <c r="F1163" s="26"/>
      <c r="G1163" s="27"/>
      <c r="H1163" s="20"/>
      <c r="I1163" s="21"/>
      <c r="J1163" s="28"/>
      <c r="K1163" s="19"/>
    </row>
    <row r="1164" spans="1:11" ht="13.2">
      <c r="A1164" s="22"/>
      <c r="B1164" s="16"/>
      <c r="C1164" s="23"/>
      <c r="D1164" s="24"/>
      <c r="E1164" s="25"/>
      <c r="F1164" s="26"/>
      <c r="G1164" s="27"/>
      <c r="H1164" s="20"/>
      <c r="I1164" s="21"/>
      <c r="J1164" s="28"/>
      <c r="K1164" s="19"/>
    </row>
    <row r="1165" spans="1:11" ht="13.2">
      <c r="A1165" s="22"/>
      <c r="B1165" s="16"/>
      <c r="C1165" s="23"/>
      <c r="D1165" s="24"/>
      <c r="E1165" s="25"/>
      <c r="F1165" s="26"/>
      <c r="G1165" s="27"/>
      <c r="H1165" s="20"/>
      <c r="I1165" s="21"/>
      <c r="J1165" s="28"/>
      <c r="K1165" s="19"/>
    </row>
    <row r="1166" spans="1:11" ht="13.2">
      <c r="A1166" s="22"/>
      <c r="B1166" s="16"/>
      <c r="C1166" s="23"/>
      <c r="D1166" s="24"/>
      <c r="E1166" s="25"/>
      <c r="F1166" s="26"/>
      <c r="G1166" s="27"/>
      <c r="H1166" s="20"/>
      <c r="I1166" s="21"/>
      <c r="J1166" s="28"/>
      <c r="K1166" s="19"/>
    </row>
    <row r="1167" spans="1:11" ht="13.2">
      <c r="A1167" s="22"/>
      <c r="B1167" s="16"/>
      <c r="C1167" s="23"/>
      <c r="D1167" s="24"/>
      <c r="E1167" s="25"/>
      <c r="F1167" s="26"/>
      <c r="G1167" s="27"/>
      <c r="H1167" s="20"/>
      <c r="I1167" s="21"/>
      <c r="J1167" s="28"/>
      <c r="K1167" s="19"/>
    </row>
    <row r="1168" spans="1:11" ht="13.2">
      <c r="A1168" s="22"/>
      <c r="B1168" s="16"/>
      <c r="C1168" s="23"/>
      <c r="D1168" s="24"/>
      <c r="E1168" s="25"/>
      <c r="F1168" s="26"/>
      <c r="G1168" s="27"/>
      <c r="H1168" s="20"/>
      <c r="I1168" s="21"/>
      <c r="J1168" s="28"/>
      <c r="K1168" s="19"/>
    </row>
    <row r="1169" spans="1:11" ht="13.2">
      <c r="A1169" s="22"/>
      <c r="B1169" s="16"/>
      <c r="C1169" s="23"/>
      <c r="D1169" s="24"/>
      <c r="E1169" s="25"/>
      <c r="F1169" s="26"/>
      <c r="G1169" s="27"/>
      <c r="H1169" s="20"/>
      <c r="I1169" s="21"/>
      <c r="J1169" s="28"/>
      <c r="K1169" s="19"/>
    </row>
    <row r="1170" spans="1:11" ht="13.2">
      <c r="A1170" s="22"/>
      <c r="B1170" s="16"/>
      <c r="C1170" s="23"/>
      <c r="D1170" s="24"/>
      <c r="E1170" s="25"/>
      <c r="F1170" s="26"/>
      <c r="G1170" s="27"/>
      <c r="H1170" s="20"/>
      <c r="I1170" s="21"/>
      <c r="J1170" s="28"/>
      <c r="K1170" s="19"/>
    </row>
    <row r="1171" spans="1:11" ht="13.2">
      <c r="A1171" s="22"/>
      <c r="B1171" s="16"/>
      <c r="C1171" s="23"/>
      <c r="D1171" s="24"/>
      <c r="E1171" s="25"/>
      <c r="F1171" s="26"/>
      <c r="G1171" s="27"/>
      <c r="H1171" s="20"/>
      <c r="I1171" s="21"/>
      <c r="J1171" s="28"/>
      <c r="K1171" s="19"/>
    </row>
    <row r="1172" spans="1:11" ht="13.2">
      <c r="A1172" s="22"/>
      <c r="B1172" s="16"/>
      <c r="C1172" s="23"/>
      <c r="D1172" s="24"/>
      <c r="E1172" s="25"/>
      <c r="F1172" s="26"/>
      <c r="G1172" s="27"/>
      <c r="H1172" s="20"/>
      <c r="I1172" s="21"/>
      <c r="J1172" s="28"/>
      <c r="K1172" s="19"/>
    </row>
    <row r="1173" spans="1:11" ht="13.2">
      <c r="A1173" s="22"/>
      <c r="B1173" s="16"/>
      <c r="C1173" s="23"/>
      <c r="D1173" s="24"/>
      <c r="E1173" s="25"/>
      <c r="F1173" s="26"/>
      <c r="G1173" s="27"/>
      <c r="H1173" s="20"/>
      <c r="I1173" s="21"/>
      <c r="J1173" s="28"/>
      <c r="K1173" s="19"/>
    </row>
    <row r="1174" spans="1:11" ht="13.2">
      <c r="A1174" s="22"/>
      <c r="B1174" s="16"/>
      <c r="C1174" s="23"/>
      <c r="D1174" s="24"/>
      <c r="E1174" s="25"/>
      <c r="F1174" s="26"/>
      <c r="G1174" s="27"/>
      <c r="H1174" s="20"/>
      <c r="I1174" s="21"/>
      <c r="J1174" s="28"/>
      <c r="K1174" s="19"/>
    </row>
    <row r="1175" spans="1:11" ht="13.2">
      <c r="A1175" s="22"/>
      <c r="B1175" s="16"/>
      <c r="C1175" s="23"/>
      <c r="D1175" s="24"/>
      <c r="E1175" s="25"/>
      <c r="F1175" s="26"/>
      <c r="G1175" s="27"/>
      <c r="H1175" s="20"/>
      <c r="I1175" s="21"/>
      <c r="J1175" s="28"/>
      <c r="K1175" s="19"/>
    </row>
    <row r="1176" spans="1:11" ht="13.2">
      <c r="A1176" s="22"/>
      <c r="B1176" s="16"/>
      <c r="C1176" s="23"/>
      <c r="D1176" s="24"/>
      <c r="E1176" s="25"/>
      <c r="F1176" s="26"/>
      <c r="G1176" s="27"/>
      <c r="H1176" s="20"/>
      <c r="I1176" s="21"/>
      <c r="J1176" s="28"/>
      <c r="K1176" s="19"/>
    </row>
    <row r="1177" spans="1:11" ht="13.2">
      <c r="A1177" s="22"/>
      <c r="B1177" s="16"/>
      <c r="C1177" s="23"/>
      <c r="D1177" s="24"/>
      <c r="E1177" s="25"/>
      <c r="F1177" s="26"/>
      <c r="G1177" s="27"/>
      <c r="H1177" s="20"/>
      <c r="I1177" s="21"/>
      <c r="J1177" s="28"/>
      <c r="K1177" s="19"/>
    </row>
    <row r="1178" spans="1:11" ht="13.2">
      <c r="A1178" s="22"/>
      <c r="B1178" s="16"/>
      <c r="C1178" s="23"/>
      <c r="D1178" s="24"/>
      <c r="E1178" s="25"/>
      <c r="F1178" s="26"/>
      <c r="G1178" s="27"/>
      <c r="H1178" s="20"/>
      <c r="I1178" s="21"/>
      <c r="J1178" s="28"/>
      <c r="K1178" s="19"/>
    </row>
    <row r="1179" spans="1:11" ht="13.2">
      <c r="A1179" s="22"/>
      <c r="B1179" s="16"/>
      <c r="C1179" s="23"/>
      <c r="D1179" s="24"/>
      <c r="E1179" s="25"/>
      <c r="F1179" s="26"/>
      <c r="G1179" s="27"/>
      <c r="H1179" s="20"/>
      <c r="I1179" s="21"/>
      <c r="J1179" s="28"/>
      <c r="K1179" s="19"/>
    </row>
    <row r="1180" spans="1:11" ht="13.2">
      <c r="A1180" s="22"/>
      <c r="B1180" s="16"/>
      <c r="C1180" s="23"/>
      <c r="D1180" s="24"/>
      <c r="E1180" s="25"/>
      <c r="F1180" s="26"/>
      <c r="G1180" s="27"/>
      <c r="H1180" s="20"/>
      <c r="I1180" s="21"/>
      <c r="J1180" s="28"/>
      <c r="K1180" s="19"/>
    </row>
    <row r="1181" spans="1:11" ht="13.2">
      <c r="A1181" s="22"/>
      <c r="B1181" s="16"/>
      <c r="C1181" s="23"/>
      <c r="D1181" s="24"/>
      <c r="E1181" s="25"/>
      <c r="F1181" s="26"/>
      <c r="G1181" s="27"/>
      <c r="H1181" s="20"/>
      <c r="I1181" s="21"/>
      <c r="J1181" s="28"/>
      <c r="K1181" s="19"/>
    </row>
    <row r="1182" spans="1:11" ht="13.2">
      <c r="A1182" s="22"/>
      <c r="B1182" s="16"/>
      <c r="C1182" s="23"/>
      <c r="D1182" s="24"/>
      <c r="E1182" s="25"/>
      <c r="F1182" s="26"/>
      <c r="G1182" s="27"/>
      <c r="H1182" s="20"/>
      <c r="I1182" s="21"/>
      <c r="J1182" s="28"/>
      <c r="K1182" s="19"/>
    </row>
    <row r="1183" spans="1:11" ht="13.2">
      <c r="A1183" s="22"/>
      <c r="B1183" s="16"/>
      <c r="C1183" s="23"/>
      <c r="D1183" s="24"/>
      <c r="E1183" s="25"/>
      <c r="F1183" s="26"/>
      <c r="G1183" s="27"/>
      <c r="H1183" s="20"/>
      <c r="I1183" s="21"/>
      <c r="J1183" s="28"/>
      <c r="K1183" s="19"/>
    </row>
    <row r="1184" spans="1:11" ht="13.2">
      <c r="A1184" s="22"/>
      <c r="B1184" s="16"/>
      <c r="C1184" s="23"/>
      <c r="D1184" s="24"/>
      <c r="E1184" s="25"/>
      <c r="F1184" s="26"/>
      <c r="G1184" s="27"/>
      <c r="H1184" s="20"/>
      <c r="I1184" s="21"/>
      <c r="J1184" s="28"/>
      <c r="K1184" s="19"/>
    </row>
    <row r="1185" spans="1:11" ht="13.2">
      <c r="A1185" s="22"/>
      <c r="B1185" s="16"/>
      <c r="C1185" s="23"/>
      <c r="D1185" s="24"/>
      <c r="E1185" s="25"/>
      <c r="F1185" s="26"/>
      <c r="G1185" s="27"/>
      <c r="H1185" s="20"/>
      <c r="I1185" s="21"/>
      <c r="J1185" s="28"/>
      <c r="K1185" s="19"/>
    </row>
    <row r="1186" spans="1:11" ht="13.2">
      <c r="A1186" s="22"/>
      <c r="B1186" s="16"/>
      <c r="C1186" s="23"/>
      <c r="D1186" s="24"/>
      <c r="E1186" s="25"/>
      <c r="F1186" s="26"/>
      <c r="G1186" s="27"/>
      <c r="H1186" s="20"/>
      <c r="I1186" s="21"/>
      <c r="J1186" s="28"/>
      <c r="K1186" s="19"/>
    </row>
    <row r="1187" spans="1:11" ht="13.2">
      <c r="A1187" s="22"/>
      <c r="B1187" s="16"/>
      <c r="C1187" s="23"/>
      <c r="D1187" s="24"/>
      <c r="E1187" s="25"/>
      <c r="F1187" s="26"/>
      <c r="G1187" s="27"/>
      <c r="H1187" s="20"/>
      <c r="I1187" s="21"/>
      <c r="J1187" s="28"/>
      <c r="K1187" s="19"/>
    </row>
    <row r="1188" spans="1:11" ht="13.2">
      <c r="A1188" s="22"/>
      <c r="B1188" s="16"/>
      <c r="C1188" s="23"/>
      <c r="D1188" s="24"/>
      <c r="E1188" s="25"/>
      <c r="F1188" s="26"/>
      <c r="G1188" s="27"/>
      <c r="H1188" s="20"/>
      <c r="I1188" s="21"/>
      <c r="J1188" s="28"/>
      <c r="K1188" s="19"/>
    </row>
    <row r="1189" spans="1:11" ht="13.2">
      <c r="A1189" s="22"/>
      <c r="B1189" s="16"/>
      <c r="C1189" s="23"/>
      <c r="D1189" s="24"/>
      <c r="E1189" s="25"/>
      <c r="F1189" s="26"/>
      <c r="G1189" s="27"/>
      <c r="H1189" s="20"/>
      <c r="I1189" s="21"/>
      <c r="J1189" s="28"/>
      <c r="K1189" s="19"/>
    </row>
    <row r="1190" spans="1:11" ht="13.2">
      <c r="A1190" s="22"/>
      <c r="B1190" s="16"/>
      <c r="C1190" s="23"/>
      <c r="D1190" s="24"/>
      <c r="E1190" s="25"/>
      <c r="F1190" s="26"/>
      <c r="G1190" s="27"/>
      <c r="H1190" s="20"/>
      <c r="I1190" s="21"/>
      <c r="J1190" s="28"/>
      <c r="K1190" s="19"/>
    </row>
    <row r="1191" spans="1:11" ht="13.2">
      <c r="A1191" s="22"/>
      <c r="B1191" s="16"/>
      <c r="C1191" s="23"/>
      <c r="D1191" s="24"/>
      <c r="E1191" s="25"/>
      <c r="F1191" s="26"/>
      <c r="G1191" s="27"/>
      <c r="H1191" s="20"/>
      <c r="I1191" s="21"/>
      <c r="J1191" s="28"/>
      <c r="K1191" s="19"/>
    </row>
    <row r="1192" spans="1:11" ht="13.2">
      <c r="A1192" s="22"/>
      <c r="B1192" s="16"/>
      <c r="C1192" s="23"/>
      <c r="D1192" s="24"/>
      <c r="E1192" s="25"/>
      <c r="F1192" s="26"/>
      <c r="G1192" s="27"/>
      <c r="H1192" s="20"/>
      <c r="I1192" s="21"/>
      <c r="J1192" s="28"/>
      <c r="K1192" s="19"/>
    </row>
    <row r="1193" spans="1:11" ht="13.2">
      <c r="A1193" s="22"/>
      <c r="B1193" s="16"/>
      <c r="C1193" s="23"/>
      <c r="D1193" s="24"/>
      <c r="E1193" s="25"/>
      <c r="F1193" s="26"/>
      <c r="G1193" s="27"/>
      <c r="H1193" s="20"/>
      <c r="I1193" s="21"/>
      <c r="J1193" s="28"/>
      <c r="K1193" s="19"/>
    </row>
    <row r="1194" spans="1:11" ht="13.2">
      <c r="A1194" s="22"/>
      <c r="B1194" s="16"/>
      <c r="C1194" s="23"/>
      <c r="D1194" s="24"/>
      <c r="E1194" s="25"/>
      <c r="F1194" s="26"/>
      <c r="G1194" s="27"/>
      <c r="H1194" s="20"/>
      <c r="I1194" s="21"/>
      <c r="J1194" s="28"/>
      <c r="K1194" s="19"/>
    </row>
    <row r="1195" spans="1:11" ht="13.2">
      <c r="A1195" s="22"/>
      <c r="B1195" s="16"/>
      <c r="C1195" s="23"/>
      <c r="D1195" s="24"/>
      <c r="E1195" s="25"/>
      <c r="F1195" s="26"/>
      <c r="G1195" s="27"/>
      <c r="H1195" s="20"/>
      <c r="I1195" s="21"/>
      <c r="J1195" s="28"/>
      <c r="K1195" s="19"/>
    </row>
    <row r="1196" spans="1:11" ht="13.2">
      <c r="A1196" s="22"/>
      <c r="B1196" s="16"/>
      <c r="C1196" s="23"/>
      <c r="D1196" s="24"/>
      <c r="E1196" s="25"/>
      <c r="F1196" s="26"/>
      <c r="G1196" s="27"/>
      <c r="H1196" s="20"/>
      <c r="I1196" s="21"/>
      <c r="J1196" s="28"/>
      <c r="K1196" s="19"/>
    </row>
    <row r="1197" spans="1:11" ht="13.2">
      <c r="A1197" s="22"/>
      <c r="B1197" s="16"/>
      <c r="C1197" s="23"/>
      <c r="D1197" s="24"/>
      <c r="E1197" s="25"/>
      <c r="F1197" s="26"/>
      <c r="G1197" s="27"/>
      <c r="H1197" s="20"/>
      <c r="I1197" s="21"/>
      <c r="J1197" s="28"/>
      <c r="K1197" s="19"/>
    </row>
    <row r="1198" spans="1:11" ht="13.2">
      <c r="A1198" s="22"/>
      <c r="B1198" s="16"/>
      <c r="C1198" s="23"/>
      <c r="D1198" s="24"/>
      <c r="E1198" s="25"/>
      <c r="F1198" s="26"/>
      <c r="G1198" s="27"/>
      <c r="H1198" s="20"/>
      <c r="I1198" s="21"/>
      <c r="J1198" s="28"/>
      <c r="K1198" s="19"/>
    </row>
    <row r="1199" spans="1:11" ht="13.2">
      <c r="A1199" s="22"/>
      <c r="B1199" s="16"/>
      <c r="C1199" s="23"/>
      <c r="D1199" s="24"/>
      <c r="E1199" s="25"/>
      <c r="F1199" s="26"/>
      <c r="G1199" s="27"/>
      <c r="H1199" s="20"/>
      <c r="I1199" s="21"/>
      <c r="J1199" s="28"/>
      <c r="K1199" s="19"/>
    </row>
    <row r="1200" spans="1:11" ht="13.2">
      <c r="A1200" s="22"/>
      <c r="B1200" s="16"/>
      <c r="C1200" s="23"/>
      <c r="D1200" s="24"/>
      <c r="E1200" s="25"/>
      <c r="F1200" s="26"/>
      <c r="G1200" s="27"/>
      <c r="H1200" s="20"/>
      <c r="I1200" s="21"/>
      <c r="J1200" s="28"/>
      <c r="K1200" s="19"/>
    </row>
    <row r="1201" spans="1:11" ht="13.2">
      <c r="A1201" s="22"/>
      <c r="B1201" s="16"/>
      <c r="C1201" s="23"/>
      <c r="D1201" s="24"/>
      <c r="E1201" s="25"/>
      <c r="F1201" s="26"/>
      <c r="G1201" s="27"/>
      <c r="H1201" s="20"/>
      <c r="I1201" s="21"/>
      <c r="J1201" s="28"/>
      <c r="K1201" s="19"/>
    </row>
    <row r="1202" spans="1:11" ht="13.2">
      <c r="A1202" s="22"/>
      <c r="B1202" s="16"/>
      <c r="C1202" s="23"/>
      <c r="D1202" s="24"/>
      <c r="E1202" s="25"/>
      <c r="F1202" s="26"/>
      <c r="G1202" s="27"/>
      <c r="H1202" s="20"/>
      <c r="I1202" s="21"/>
      <c r="J1202" s="28"/>
      <c r="K1202" s="19"/>
    </row>
    <row r="1203" spans="1:11" ht="13.2">
      <c r="A1203" s="22"/>
      <c r="B1203" s="16"/>
      <c r="C1203" s="23"/>
      <c r="D1203" s="24"/>
      <c r="E1203" s="25"/>
      <c r="F1203" s="26"/>
      <c r="G1203" s="27"/>
      <c r="H1203" s="20"/>
      <c r="I1203" s="21"/>
      <c r="J1203" s="28"/>
      <c r="K1203" s="19"/>
    </row>
    <row r="1204" spans="1:11" ht="13.2">
      <c r="A1204" s="22"/>
      <c r="B1204" s="16"/>
      <c r="C1204" s="23"/>
      <c r="D1204" s="24"/>
      <c r="E1204" s="25"/>
      <c r="F1204" s="26"/>
      <c r="G1204" s="27"/>
      <c r="H1204" s="20"/>
      <c r="I1204" s="21"/>
      <c r="J1204" s="28"/>
      <c r="K1204" s="19"/>
    </row>
    <row r="1205" spans="1:11" ht="13.2">
      <c r="A1205" s="22"/>
      <c r="B1205" s="16"/>
      <c r="C1205" s="23"/>
      <c r="D1205" s="24"/>
      <c r="E1205" s="25"/>
      <c r="F1205" s="26"/>
      <c r="G1205" s="27"/>
      <c r="H1205" s="20"/>
      <c r="I1205" s="21"/>
      <c r="J1205" s="28"/>
      <c r="K1205" s="19"/>
    </row>
    <row r="1206" spans="1:11" ht="13.2">
      <c r="A1206" s="22"/>
      <c r="B1206" s="16"/>
      <c r="C1206" s="23"/>
      <c r="D1206" s="24"/>
      <c r="E1206" s="25"/>
      <c r="F1206" s="26"/>
      <c r="G1206" s="27"/>
      <c r="H1206" s="20"/>
      <c r="I1206" s="21"/>
      <c r="J1206" s="28"/>
      <c r="K1206" s="19"/>
    </row>
    <row r="1207" spans="1:11" ht="13.2">
      <c r="A1207" s="22"/>
      <c r="B1207" s="16"/>
      <c r="C1207" s="23"/>
      <c r="D1207" s="24"/>
      <c r="E1207" s="25"/>
      <c r="F1207" s="26"/>
      <c r="G1207" s="27"/>
      <c r="H1207" s="20"/>
      <c r="I1207" s="21"/>
      <c r="J1207" s="28"/>
      <c r="K1207" s="19"/>
    </row>
    <row r="1208" spans="1:11" ht="13.2">
      <c r="A1208" s="22"/>
      <c r="B1208" s="16"/>
      <c r="C1208" s="23"/>
      <c r="D1208" s="24"/>
      <c r="E1208" s="25"/>
      <c r="F1208" s="26"/>
      <c r="G1208" s="27"/>
      <c r="H1208" s="20"/>
      <c r="I1208" s="21"/>
      <c r="J1208" s="28"/>
      <c r="K1208" s="19"/>
    </row>
    <row r="1209" spans="1:11" ht="13.2">
      <c r="A1209" s="22"/>
      <c r="B1209" s="16"/>
      <c r="C1209" s="23"/>
      <c r="D1209" s="24"/>
      <c r="E1209" s="25"/>
      <c r="F1209" s="26"/>
      <c r="G1209" s="27"/>
      <c r="H1209" s="20"/>
      <c r="I1209" s="21"/>
      <c r="J1209" s="28"/>
      <c r="K1209" s="19"/>
    </row>
    <row r="1210" spans="1:11" ht="13.2">
      <c r="A1210" s="22"/>
      <c r="B1210" s="16"/>
      <c r="C1210" s="23"/>
      <c r="D1210" s="24"/>
      <c r="E1210" s="25"/>
      <c r="F1210" s="26"/>
      <c r="G1210" s="27"/>
      <c r="H1210" s="20"/>
      <c r="I1210" s="21"/>
      <c r="J1210" s="28"/>
      <c r="K1210" s="19"/>
    </row>
    <row r="1211" spans="1:11" ht="13.2">
      <c r="A1211" s="22"/>
      <c r="B1211" s="16"/>
      <c r="C1211" s="23"/>
      <c r="D1211" s="24"/>
      <c r="E1211" s="25"/>
      <c r="F1211" s="26"/>
      <c r="G1211" s="27"/>
      <c r="H1211" s="20"/>
      <c r="I1211" s="21"/>
      <c r="J1211" s="28"/>
      <c r="K1211" s="19"/>
    </row>
    <row r="1212" spans="1:11" ht="13.2">
      <c r="A1212" s="22"/>
      <c r="B1212" s="16"/>
      <c r="C1212" s="23"/>
      <c r="D1212" s="24"/>
      <c r="E1212" s="25"/>
      <c r="F1212" s="26"/>
      <c r="G1212" s="27"/>
      <c r="H1212" s="20"/>
      <c r="I1212" s="21"/>
      <c r="J1212" s="28"/>
      <c r="K1212" s="19"/>
    </row>
    <row r="1213" spans="1:11" ht="13.2">
      <c r="A1213" s="22"/>
      <c r="B1213" s="16"/>
      <c r="C1213" s="23"/>
      <c r="D1213" s="24"/>
      <c r="E1213" s="25"/>
      <c r="F1213" s="26"/>
      <c r="G1213" s="27"/>
      <c r="H1213" s="20"/>
      <c r="I1213" s="21"/>
      <c r="J1213" s="28"/>
      <c r="K1213" s="19"/>
    </row>
    <row r="1214" spans="1:11" ht="13.2">
      <c r="A1214" s="22"/>
      <c r="B1214" s="16"/>
      <c r="C1214" s="23"/>
      <c r="D1214" s="24"/>
      <c r="E1214" s="25"/>
      <c r="F1214" s="26"/>
      <c r="G1214" s="27"/>
      <c r="H1214" s="20"/>
      <c r="I1214" s="21"/>
      <c r="J1214" s="28"/>
      <c r="K1214" s="19"/>
    </row>
    <row r="1215" spans="1:11" ht="13.2">
      <c r="A1215" s="22"/>
      <c r="B1215" s="16"/>
      <c r="C1215" s="23"/>
      <c r="D1215" s="24"/>
      <c r="E1215" s="25"/>
      <c r="F1215" s="26"/>
      <c r="G1215" s="27"/>
      <c r="H1215" s="20"/>
      <c r="I1215" s="21"/>
      <c r="J1215" s="28"/>
      <c r="K1215" s="19"/>
    </row>
    <row r="1216" spans="1:11" ht="13.2">
      <c r="A1216" s="22"/>
      <c r="B1216" s="16"/>
      <c r="C1216" s="23"/>
      <c r="D1216" s="24"/>
      <c r="E1216" s="25"/>
      <c r="F1216" s="26"/>
      <c r="G1216" s="27"/>
      <c r="H1216" s="20"/>
      <c r="I1216" s="21"/>
      <c r="J1216" s="28"/>
      <c r="K1216" s="19"/>
    </row>
    <row r="1217" spans="1:11" ht="13.2">
      <c r="A1217" s="22"/>
      <c r="B1217" s="16"/>
      <c r="C1217" s="23"/>
      <c r="D1217" s="24"/>
      <c r="E1217" s="25"/>
      <c r="F1217" s="26"/>
      <c r="G1217" s="27"/>
      <c r="H1217" s="20"/>
      <c r="I1217" s="21"/>
      <c r="J1217" s="28"/>
      <c r="K1217" s="19"/>
    </row>
    <row r="1218" spans="1:11" ht="13.2">
      <c r="A1218" s="22"/>
      <c r="B1218" s="16"/>
      <c r="C1218" s="23"/>
      <c r="D1218" s="24"/>
      <c r="E1218" s="25"/>
      <c r="F1218" s="26"/>
      <c r="G1218" s="27"/>
      <c r="H1218" s="20"/>
      <c r="I1218" s="21"/>
      <c r="J1218" s="28"/>
      <c r="K1218" s="19"/>
    </row>
    <row r="1219" spans="1:11" ht="13.2">
      <c r="A1219" s="22"/>
      <c r="B1219" s="16"/>
      <c r="C1219" s="23"/>
      <c r="D1219" s="24"/>
      <c r="E1219" s="25"/>
      <c r="F1219" s="26"/>
      <c r="G1219" s="27"/>
      <c r="H1219" s="20"/>
      <c r="I1219" s="21"/>
      <c r="J1219" s="28"/>
      <c r="K1219" s="19"/>
    </row>
    <row r="1220" spans="1:11" ht="13.2">
      <c r="A1220" s="22"/>
      <c r="B1220" s="16"/>
      <c r="C1220" s="23"/>
      <c r="D1220" s="24"/>
      <c r="E1220" s="25"/>
      <c r="F1220" s="26"/>
      <c r="G1220" s="27"/>
      <c r="H1220" s="20"/>
      <c r="I1220" s="21"/>
      <c r="J1220" s="28"/>
      <c r="K1220" s="19"/>
    </row>
    <row r="1221" spans="1:11" ht="13.2">
      <c r="A1221" s="22"/>
      <c r="B1221" s="16"/>
      <c r="C1221" s="23"/>
      <c r="D1221" s="24"/>
      <c r="E1221" s="25"/>
      <c r="F1221" s="26"/>
      <c r="G1221" s="27"/>
      <c r="H1221" s="20"/>
      <c r="I1221" s="21"/>
      <c r="J1221" s="28"/>
      <c r="K1221" s="19"/>
    </row>
    <row r="1222" spans="1:11" ht="13.2">
      <c r="A1222" s="22"/>
      <c r="B1222" s="16"/>
      <c r="C1222" s="23"/>
      <c r="D1222" s="24"/>
      <c r="E1222" s="25"/>
      <c r="F1222" s="26"/>
      <c r="G1222" s="27"/>
      <c r="H1222" s="20"/>
      <c r="I1222" s="21"/>
      <c r="J1222" s="28"/>
      <c r="K1222" s="19"/>
    </row>
    <row r="1223" spans="1:11" ht="13.2">
      <c r="A1223" s="22"/>
      <c r="B1223" s="16"/>
      <c r="C1223" s="23"/>
      <c r="D1223" s="24"/>
      <c r="E1223" s="25"/>
      <c r="F1223" s="26"/>
      <c r="G1223" s="27"/>
      <c r="H1223" s="20"/>
      <c r="I1223" s="21"/>
      <c r="J1223" s="28"/>
      <c r="K1223" s="19"/>
    </row>
    <row r="1224" spans="1:11" ht="13.2">
      <c r="A1224" s="22"/>
      <c r="B1224" s="16"/>
      <c r="C1224" s="23"/>
      <c r="D1224" s="24"/>
      <c r="E1224" s="25"/>
      <c r="F1224" s="26"/>
      <c r="G1224" s="27"/>
      <c r="H1224" s="20"/>
      <c r="I1224" s="21"/>
      <c r="J1224" s="28"/>
      <c r="K1224" s="19"/>
    </row>
    <row r="1225" spans="1:11" ht="13.2">
      <c r="A1225" s="22"/>
      <c r="B1225" s="16"/>
      <c r="C1225" s="23"/>
      <c r="D1225" s="24"/>
      <c r="E1225" s="25"/>
      <c r="F1225" s="26"/>
      <c r="G1225" s="27"/>
      <c r="H1225" s="20"/>
      <c r="I1225" s="21"/>
      <c r="J1225" s="28"/>
      <c r="K1225" s="19"/>
    </row>
    <row r="1226" spans="1:11" ht="13.2">
      <c r="A1226" s="22"/>
      <c r="B1226" s="16"/>
      <c r="C1226" s="23"/>
      <c r="D1226" s="24"/>
      <c r="E1226" s="25"/>
      <c r="F1226" s="26"/>
      <c r="G1226" s="27"/>
      <c r="H1226" s="20"/>
      <c r="I1226" s="21"/>
      <c r="J1226" s="28"/>
      <c r="K1226" s="19"/>
    </row>
    <row r="1227" spans="1:11" ht="13.2">
      <c r="A1227" s="22"/>
      <c r="B1227" s="16"/>
      <c r="C1227" s="23"/>
      <c r="D1227" s="24"/>
      <c r="E1227" s="25"/>
      <c r="F1227" s="26"/>
      <c r="G1227" s="27"/>
      <c r="H1227" s="20"/>
      <c r="I1227" s="21"/>
      <c r="J1227" s="28"/>
      <c r="K1227" s="19"/>
    </row>
    <row r="1228" spans="1:11" ht="13.2">
      <c r="A1228" s="22"/>
      <c r="B1228" s="16"/>
      <c r="C1228" s="23"/>
      <c r="D1228" s="24"/>
      <c r="E1228" s="25"/>
      <c r="F1228" s="26"/>
      <c r="G1228" s="27"/>
      <c r="H1228" s="20"/>
      <c r="I1228" s="21"/>
      <c r="J1228" s="28"/>
      <c r="K1228" s="19"/>
    </row>
    <row r="1229" spans="1:11" ht="13.2">
      <c r="A1229" s="22"/>
      <c r="B1229" s="16"/>
      <c r="C1229" s="23"/>
      <c r="D1229" s="24"/>
      <c r="E1229" s="25"/>
      <c r="F1229" s="26"/>
      <c r="G1229" s="27"/>
      <c r="H1229" s="20"/>
      <c r="I1229" s="21"/>
      <c r="J1229" s="28"/>
      <c r="K1229" s="19"/>
    </row>
    <row r="1230" spans="1:11" ht="13.2">
      <c r="A1230" s="22"/>
      <c r="B1230" s="16"/>
      <c r="C1230" s="23"/>
      <c r="D1230" s="24"/>
      <c r="E1230" s="25"/>
      <c r="F1230" s="26"/>
      <c r="G1230" s="27"/>
      <c r="H1230" s="20"/>
      <c r="I1230" s="21"/>
      <c r="J1230" s="28"/>
      <c r="K1230" s="19"/>
    </row>
    <row r="1231" spans="1:11" ht="13.2">
      <c r="A1231" s="22"/>
      <c r="B1231" s="16"/>
      <c r="C1231" s="23"/>
      <c r="D1231" s="24"/>
      <c r="E1231" s="25"/>
      <c r="F1231" s="26"/>
      <c r="G1231" s="27"/>
      <c r="H1231" s="20"/>
      <c r="I1231" s="21"/>
      <c r="J1231" s="28"/>
      <c r="K1231" s="19"/>
    </row>
    <row r="1232" spans="1:11" ht="13.2">
      <c r="A1232" s="22"/>
      <c r="B1232" s="16"/>
      <c r="C1232" s="23"/>
      <c r="D1232" s="24"/>
      <c r="E1232" s="25"/>
      <c r="F1232" s="26"/>
      <c r="G1232" s="27"/>
      <c r="H1232" s="20"/>
      <c r="I1232" s="21"/>
      <c r="J1232" s="28"/>
      <c r="K1232" s="19"/>
    </row>
    <row r="1233" spans="1:11" ht="13.2">
      <c r="A1233" s="22"/>
      <c r="B1233" s="16"/>
      <c r="C1233" s="23"/>
      <c r="D1233" s="24"/>
      <c r="E1233" s="25"/>
      <c r="F1233" s="26"/>
      <c r="G1233" s="27"/>
      <c r="H1233" s="20"/>
      <c r="I1233" s="21"/>
      <c r="J1233" s="28"/>
      <c r="K1233" s="19"/>
    </row>
    <row r="1234" spans="1:11" ht="13.2">
      <c r="A1234" s="22"/>
      <c r="B1234" s="16"/>
      <c r="C1234" s="23"/>
      <c r="D1234" s="24"/>
      <c r="E1234" s="25"/>
      <c r="F1234" s="26"/>
      <c r="G1234" s="27"/>
      <c r="H1234" s="20"/>
      <c r="I1234" s="21"/>
      <c r="J1234" s="28"/>
      <c r="K1234" s="19"/>
    </row>
    <row r="1235" spans="1:11" ht="13.2">
      <c r="A1235" s="22"/>
      <c r="B1235" s="16"/>
      <c r="C1235" s="23"/>
      <c r="D1235" s="24"/>
      <c r="E1235" s="25"/>
      <c r="F1235" s="26"/>
      <c r="G1235" s="27"/>
      <c r="H1235" s="20"/>
      <c r="I1235" s="21"/>
      <c r="J1235" s="28"/>
      <c r="K1235" s="19"/>
    </row>
    <row r="1236" spans="1:11" ht="13.2">
      <c r="A1236" s="22"/>
      <c r="B1236" s="16"/>
      <c r="C1236" s="23"/>
      <c r="D1236" s="24"/>
      <c r="E1236" s="25"/>
      <c r="F1236" s="26"/>
      <c r="G1236" s="27"/>
      <c r="H1236" s="20"/>
      <c r="I1236" s="21"/>
      <c r="J1236" s="28"/>
      <c r="K1236" s="19"/>
    </row>
    <row r="1237" spans="1:11" ht="13.2">
      <c r="A1237" s="22"/>
      <c r="B1237" s="16"/>
      <c r="C1237" s="23"/>
      <c r="D1237" s="24"/>
      <c r="E1237" s="25"/>
      <c r="F1237" s="26"/>
      <c r="G1237" s="27"/>
      <c r="H1237" s="20"/>
      <c r="I1237" s="21"/>
      <c r="J1237" s="28"/>
      <c r="K1237" s="19"/>
    </row>
    <row r="1238" spans="1:11" ht="13.2">
      <c r="A1238" s="22"/>
      <c r="B1238" s="16"/>
      <c r="C1238" s="23"/>
      <c r="D1238" s="24"/>
      <c r="E1238" s="25"/>
      <c r="F1238" s="26"/>
      <c r="G1238" s="27"/>
      <c r="H1238" s="20"/>
      <c r="I1238" s="21"/>
      <c r="J1238" s="28"/>
      <c r="K1238" s="19"/>
    </row>
    <row r="1239" spans="1:11" ht="13.2">
      <c r="A1239" s="22"/>
      <c r="B1239" s="16"/>
      <c r="C1239" s="23"/>
      <c r="D1239" s="24"/>
      <c r="E1239" s="25"/>
      <c r="F1239" s="26"/>
      <c r="G1239" s="27"/>
      <c r="H1239" s="20"/>
      <c r="I1239" s="21"/>
      <c r="J1239" s="28"/>
      <c r="K1239" s="19"/>
    </row>
    <row r="1240" spans="1:11" ht="13.2">
      <c r="A1240" s="22"/>
      <c r="B1240" s="16"/>
      <c r="C1240" s="23"/>
      <c r="D1240" s="24"/>
      <c r="E1240" s="25"/>
      <c r="F1240" s="26"/>
      <c r="G1240" s="27"/>
      <c r="H1240" s="20"/>
      <c r="I1240" s="21"/>
      <c r="J1240" s="28"/>
      <c r="K1240" s="19"/>
    </row>
    <row r="1241" spans="1:11" ht="13.2">
      <c r="A1241" s="22"/>
      <c r="B1241" s="16"/>
      <c r="C1241" s="23"/>
      <c r="D1241" s="24"/>
      <c r="E1241" s="25"/>
      <c r="F1241" s="26"/>
      <c r="G1241" s="27"/>
      <c r="H1241" s="20"/>
      <c r="I1241" s="21"/>
      <c r="J1241" s="28"/>
      <c r="K1241" s="19"/>
    </row>
    <row r="1242" spans="1:11" ht="13.2">
      <c r="A1242" s="22"/>
      <c r="B1242" s="16"/>
      <c r="C1242" s="23"/>
      <c r="D1242" s="24"/>
      <c r="E1242" s="25"/>
      <c r="F1242" s="26"/>
      <c r="G1242" s="27"/>
      <c r="H1242" s="20"/>
      <c r="I1242" s="21"/>
      <c r="J1242" s="28"/>
      <c r="K1242" s="19"/>
    </row>
    <row r="1243" spans="1:11" ht="13.2">
      <c r="A1243" s="22"/>
      <c r="B1243" s="16"/>
      <c r="C1243" s="23"/>
      <c r="D1243" s="24"/>
      <c r="E1243" s="25"/>
      <c r="F1243" s="26"/>
      <c r="G1243" s="27"/>
      <c r="H1243" s="20"/>
      <c r="I1243" s="21"/>
      <c r="J1243" s="28"/>
      <c r="K1243" s="19"/>
    </row>
    <row r="1244" spans="1:11" ht="13.2">
      <c r="A1244" s="22"/>
      <c r="B1244" s="16"/>
      <c r="C1244" s="23"/>
      <c r="D1244" s="24"/>
      <c r="E1244" s="25"/>
      <c r="F1244" s="26"/>
      <c r="G1244" s="27"/>
      <c r="H1244" s="20"/>
      <c r="I1244" s="21"/>
      <c r="J1244" s="28"/>
      <c r="K1244" s="19"/>
    </row>
    <row r="1245" spans="1:11" ht="13.2">
      <c r="A1245" s="22"/>
      <c r="B1245" s="16"/>
      <c r="C1245" s="23"/>
      <c r="D1245" s="24"/>
      <c r="E1245" s="25"/>
      <c r="F1245" s="26"/>
      <c r="G1245" s="27"/>
      <c r="H1245" s="20"/>
      <c r="I1245" s="21"/>
      <c r="J1245" s="28"/>
      <c r="K1245" s="19"/>
    </row>
    <row r="1246" spans="1:11" ht="13.2">
      <c r="A1246" s="22"/>
      <c r="B1246" s="16"/>
      <c r="C1246" s="23"/>
      <c r="D1246" s="24"/>
      <c r="E1246" s="25"/>
      <c r="F1246" s="26"/>
      <c r="G1246" s="27"/>
      <c r="H1246" s="20"/>
      <c r="I1246" s="21"/>
      <c r="J1246" s="28"/>
      <c r="K1246" s="19"/>
    </row>
    <row r="1247" spans="1:11" ht="13.2">
      <c r="A1247" s="22"/>
      <c r="B1247" s="16"/>
      <c r="C1247" s="23"/>
      <c r="D1247" s="24"/>
      <c r="E1247" s="25"/>
      <c r="F1247" s="26"/>
      <c r="G1247" s="27"/>
      <c r="H1247" s="20"/>
      <c r="I1247" s="21"/>
      <c r="J1247" s="28"/>
      <c r="K1247" s="19"/>
    </row>
    <row r="1248" spans="1:11" ht="13.2">
      <c r="A1248" s="22"/>
      <c r="B1248" s="16"/>
      <c r="C1248" s="23"/>
      <c r="D1248" s="24"/>
      <c r="E1248" s="25"/>
      <c r="F1248" s="26"/>
      <c r="G1248" s="27"/>
      <c r="H1248" s="20"/>
      <c r="I1248" s="21"/>
      <c r="J1248" s="28"/>
      <c r="K1248" s="19"/>
    </row>
    <row r="1249" spans="1:11" ht="13.2">
      <c r="A1249" s="22"/>
      <c r="B1249" s="16"/>
      <c r="C1249" s="23"/>
      <c r="D1249" s="24"/>
      <c r="E1249" s="25"/>
      <c r="F1249" s="26"/>
      <c r="G1249" s="27"/>
      <c r="H1249" s="20"/>
      <c r="I1249" s="21"/>
      <c r="J1249" s="28"/>
      <c r="K1249" s="19"/>
    </row>
    <row r="1250" spans="1:11" ht="13.2">
      <c r="A1250" s="22"/>
      <c r="B1250" s="16"/>
      <c r="C1250" s="23"/>
      <c r="D1250" s="24"/>
      <c r="E1250" s="25"/>
      <c r="F1250" s="26"/>
      <c r="G1250" s="27"/>
      <c r="H1250" s="20"/>
      <c r="I1250" s="21"/>
      <c r="J1250" s="28"/>
      <c r="K1250" s="19"/>
    </row>
    <row r="1251" spans="1:11" ht="13.2">
      <c r="A1251" s="22"/>
      <c r="B1251" s="16"/>
      <c r="C1251" s="23"/>
      <c r="D1251" s="24"/>
      <c r="E1251" s="25"/>
      <c r="F1251" s="26"/>
      <c r="G1251" s="27"/>
      <c r="H1251" s="20"/>
      <c r="I1251" s="21"/>
      <c r="J1251" s="28"/>
      <c r="K1251" s="19"/>
    </row>
    <row r="1252" spans="1:11" ht="13.2">
      <c r="A1252" s="22"/>
      <c r="B1252" s="16"/>
      <c r="C1252" s="23"/>
      <c r="D1252" s="24"/>
      <c r="E1252" s="25"/>
      <c r="F1252" s="26"/>
      <c r="G1252" s="27"/>
      <c r="H1252" s="20"/>
      <c r="I1252" s="21"/>
      <c r="J1252" s="28"/>
      <c r="K1252" s="19"/>
    </row>
    <row r="1253" spans="1:11" ht="13.2">
      <c r="A1253" s="22"/>
      <c r="B1253" s="16"/>
      <c r="C1253" s="23"/>
      <c r="D1253" s="24"/>
      <c r="E1253" s="25"/>
      <c r="F1253" s="26"/>
      <c r="G1253" s="27"/>
      <c r="H1253" s="20"/>
      <c r="I1253" s="21"/>
      <c r="J1253" s="28"/>
      <c r="K1253" s="19"/>
    </row>
    <row r="1254" spans="1:11" ht="13.2">
      <c r="A1254" s="22"/>
      <c r="B1254" s="16"/>
      <c r="C1254" s="23"/>
      <c r="D1254" s="24"/>
      <c r="E1254" s="25"/>
      <c r="F1254" s="26"/>
      <c r="G1254" s="27"/>
      <c r="H1254" s="20"/>
      <c r="I1254" s="21"/>
      <c r="J1254" s="28"/>
      <c r="K1254" s="19"/>
    </row>
    <row r="1255" spans="1:11" ht="13.2">
      <c r="A1255" s="22"/>
      <c r="B1255" s="16"/>
      <c r="C1255" s="23"/>
      <c r="D1255" s="24"/>
      <c r="E1255" s="25"/>
      <c r="F1255" s="26"/>
      <c r="G1255" s="27"/>
      <c r="H1255" s="20"/>
      <c r="I1255" s="21"/>
      <c r="J1255" s="28"/>
      <c r="K1255" s="19"/>
    </row>
    <row r="1256" spans="1:11" ht="13.2">
      <c r="A1256" s="22"/>
      <c r="B1256" s="16"/>
      <c r="C1256" s="23"/>
      <c r="D1256" s="24"/>
      <c r="E1256" s="25"/>
      <c r="F1256" s="26"/>
      <c r="G1256" s="27"/>
      <c r="H1256" s="20"/>
      <c r="I1256" s="21"/>
      <c r="J1256" s="28"/>
      <c r="K1256" s="19"/>
    </row>
    <row r="1257" spans="1:11" ht="13.2">
      <c r="A1257" s="22"/>
      <c r="B1257" s="16"/>
      <c r="C1257" s="23"/>
      <c r="D1257" s="24"/>
      <c r="E1257" s="25"/>
      <c r="F1257" s="26"/>
      <c r="G1257" s="27"/>
      <c r="H1257" s="20"/>
      <c r="I1257" s="21"/>
      <c r="J1257" s="28"/>
      <c r="K1257" s="19"/>
    </row>
    <row r="1258" spans="1:11" ht="13.2">
      <c r="A1258" s="22"/>
      <c r="B1258" s="16"/>
      <c r="C1258" s="23"/>
      <c r="D1258" s="24"/>
      <c r="E1258" s="25"/>
      <c r="F1258" s="26"/>
      <c r="G1258" s="27"/>
      <c r="H1258" s="20"/>
      <c r="I1258" s="21"/>
      <c r="J1258" s="28"/>
      <c r="K1258" s="19"/>
    </row>
    <row r="1259" spans="1:11" ht="13.2">
      <c r="A1259" s="22"/>
      <c r="B1259" s="16"/>
      <c r="C1259" s="23"/>
      <c r="D1259" s="24"/>
      <c r="E1259" s="25"/>
      <c r="F1259" s="26"/>
      <c r="G1259" s="27"/>
      <c r="H1259" s="20"/>
      <c r="I1259" s="21"/>
      <c r="J1259" s="28"/>
      <c r="K1259" s="19"/>
    </row>
    <row r="1260" spans="1:11" ht="13.2">
      <c r="A1260" s="22"/>
      <c r="B1260" s="16"/>
      <c r="C1260" s="23"/>
      <c r="D1260" s="24"/>
      <c r="E1260" s="25"/>
      <c r="F1260" s="26"/>
      <c r="G1260" s="27"/>
      <c r="H1260" s="20"/>
      <c r="I1260" s="21"/>
      <c r="J1260" s="28"/>
      <c r="K1260" s="19"/>
    </row>
    <row r="1261" spans="1:11" ht="13.2">
      <c r="A1261" s="22"/>
      <c r="B1261" s="16"/>
      <c r="C1261" s="23"/>
      <c r="D1261" s="24"/>
      <c r="E1261" s="25"/>
      <c r="F1261" s="26"/>
      <c r="G1261" s="27"/>
      <c r="H1261" s="20"/>
      <c r="I1261" s="21"/>
      <c r="J1261" s="28"/>
      <c r="K1261" s="19"/>
    </row>
    <row r="1262" spans="1:11" ht="13.2">
      <c r="A1262" s="22"/>
      <c r="B1262" s="16"/>
      <c r="C1262" s="23"/>
      <c r="D1262" s="24"/>
      <c r="E1262" s="25"/>
      <c r="F1262" s="26"/>
      <c r="G1262" s="27"/>
      <c r="H1262" s="20"/>
      <c r="I1262" s="21"/>
      <c r="J1262" s="28"/>
      <c r="K1262" s="19"/>
    </row>
    <row r="1263" spans="1:11" ht="13.2">
      <c r="A1263" s="22"/>
      <c r="B1263" s="16"/>
      <c r="C1263" s="23"/>
      <c r="D1263" s="24"/>
      <c r="E1263" s="25"/>
      <c r="F1263" s="26"/>
      <c r="G1263" s="27"/>
      <c r="H1263" s="20"/>
      <c r="I1263" s="21"/>
      <c r="J1263" s="28"/>
      <c r="K1263" s="19"/>
    </row>
    <row r="1264" spans="1:11" ht="13.2">
      <c r="A1264" s="22"/>
      <c r="B1264" s="16"/>
      <c r="C1264" s="23"/>
      <c r="D1264" s="24"/>
      <c r="E1264" s="25"/>
      <c r="F1264" s="26"/>
      <c r="G1264" s="27"/>
      <c r="H1264" s="20"/>
      <c r="I1264" s="21"/>
      <c r="J1264" s="28"/>
      <c r="K1264" s="19"/>
    </row>
    <row r="1265" spans="1:11" ht="13.2">
      <c r="A1265" s="22"/>
      <c r="B1265" s="16"/>
      <c r="C1265" s="23"/>
      <c r="D1265" s="24"/>
      <c r="E1265" s="25"/>
      <c r="F1265" s="26"/>
      <c r="G1265" s="27"/>
      <c r="H1265" s="20"/>
      <c r="I1265" s="21"/>
      <c r="J1265" s="28"/>
      <c r="K1265" s="19"/>
    </row>
    <row r="1266" spans="1:11" ht="13.2">
      <c r="A1266" s="22"/>
      <c r="B1266" s="16"/>
      <c r="C1266" s="23"/>
      <c r="D1266" s="24"/>
      <c r="E1266" s="25"/>
      <c r="F1266" s="26"/>
      <c r="G1266" s="27"/>
      <c r="H1266" s="20"/>
      <c r="I1266" s="21"/>
      <c r="J1266" s="28"/>
      <c r="K1266" s="19"/>
    </row>
    <row r="1267" spans="1:11" ht="13.2">
      <c r="A1267" s="22"/>
      <c r="B1267" s="16"/>
      <c r="C1267" s="23"/>
      <c r="D1267" s="24"/>
      <c r="E1267" s="25"/>
      <c r="F1267" s="26"/>
      <c r="G1267" s="27"/>
      <c r="H1267" s="20"/>
      <c r="I1267" s="21"/>
      <c r="J1267" s="28"/>
      <c r="K1267" s="19"/>
    </row>
    <row r="1268" spans="1:11" ht="13.2">
      <c r="A1268" s="22"/>
      <c r="B1268" s="16"/>
      <c r="C1268" s="23"/>
      <c r="D1268" s="24"/>
      <c r="E1268" s="25"/>
      <c r="F1268" s="26"/>
      <c r="G1268" s="27"/>
      <c r="H1268" s="20"/>
      <c r="I1268" s="21"/>
      <c r="J1268" s="28"/>
      <c r="K1268" s="19"/>
    </row>
    <row r="1269" spans="1:11" ht="13.2">
      <c r="A1269" s="22"/>
      <c r="B1269" s="16"/>
      <c r="C1269" s="23"/>
      <c r="D1269" s="24"/>
      <c r="E1269" s="25"/>
      <c r="F1269" s="26"/>
      <c r="G1269" s="27"/>
      <c r="H1269" s="20"/>
      <c r="I1269" s="21"/>
      <c r="J1269" s="28"/>
      <c r="K1269" s="19"/>
    </row>
    <row r="1270" spans="1:11" ht="13.2">
      <c r="A1270" s="22"/>
      <c r="B1270" s="16"/>
      <c r="C1270" s="23"/>
      <c r="D1270" s="24"/>
      <c r="E1270" s="25"/>
      <c r="F1270" s="26"/>
      <c r="G1270" s="27"/>
      <c r="H1270" s="20"/>
      <c r="I1270" s="21"/>
      <c r="J1270" s="28"/>
      <c r="K1270" s="19"/>
    </row>
    <row r="1271" spans="1:11" ht="13.2">
      <c r="A1271" s="22"/>
      <c r="B1271" s="16"/>
      <c r="C1271" s="23"/>
      <c r="D1271" s="24"/>
      <c r="E1271" s="25"/>
      <c r="F1271" s="26"/>
      <c r="G1271" s="27"/>
      <c r="H1271" s="20"/>
      <c r="I1271" s="21"/>
      <c r="J1271" s="28"/>
      <c r="K1271" s="19"/>
    </row>
    <row r="1272" spans="1:11" ht="13.2">
      <c r="A1272" s="22"/>
      <c r="B1272" s="16"/>
      <c r="C1272" s="23"/>
      <c r="D1272" s="24"/>
      <c r="E1272" s="25"/>
      <c r="F1272" s="26"/>
      <c r="G1272" s="27"/>
      <c r="H1272" s="20"/>
      <c r="I1272" s="21"/>
      <c r="J1272" s="28"/>
      <c r="K1272" s="19"/>
    </row>
    <row r="1273" spans="1:11" ht="13.2">
      <c r="A1273" s="22"/>
      <c r="B1273" s="16"/>
      <c r="C1273" s="23"/>
      <c r="D1273" s="24"/>
      <c r="E1273" s="25"/>
      <c r="F1273" s="26"/>
      <c r="G1273" s="27"/>
      <c r="H1273" s="20"/>
      <c r="I1273" s="21"/>
      <c r="J1273" s="28"/>
      <c r="K1273" s="19"/>
    </row>
    <row r="1274" spans="1:11" ht="13.2">
      <c r="A1274" s="22"/>
      <c r="B1274" s="16"/>
      <c r="C1274" s="23"/>
      <c r="D1274" s="24"/>
      <c r="E1274" s="25"/>
      <c r="F1274" s="26"/>
      <c r="G1274" s="27"/>
      <c r="H1274" s="20"/>
      <c r="I1274" s="21"/>
      <c r="J1274" s="28"/>
      <c r="K1274" s="19"/>
    </row>
    <row r="1275" spans="1:11" ht="13.2">
      <c r="A1275" s="22"/>
      <c r="B1275" s="16"/>
      <c r="C1275" s="23"/>
      <c r="D1275" s="24"/>
      <c r="E1275" s="25"/>
      <c r="F1275" s="26"/>
      <c r="G1275" s="27"/>
      <c r="H1275" s="20"/>
      <c r="I1275" s="21"/>
      <c r="J1275" s="28"/>
      <c r="K1275" s="19"/>
    </row>
    <row r="1276" spans="1:11" ht="13.2">
      <c r="A1276" s="22"/>
      <c r="B1276" s="16"/>
      <c r="C1276" s="23"/>
      <c r="D1276" s="24"/>
      <c r="E1276" s="25"/>
      <c r="F1276" s="26"/>
      <c r="G1276" s="27"/>
      <c r="H1276" s="20"/>
      <c r="I1276" s="21"/>
      <c r="J1276" s="28"/>
      <c r="K1276" s="19"/>
    </row>
    <row r="1277" spans="1:11" ht="13.2">
      <c r="A1277" s="22"/>
      <c r="B1277" s="16"/>
      <c r="C1277" s="23"/>
      <c r="D1277" s="24"/>
      <c r="E1277" s="25"/>
      <c r="F1277" s="26"/>
      <c r="G1277" s="27"/>
      <c r="H1277" s="20"/>
      <c r="I1277" s="21"/>
      <c r="J1277" s="28"/>
      <c r="K1277" s="19"/>
    </row>
    <row r="1278" spans="1:11" ht="13.2">
      <c r="A1278" s="22"/>
      <c r="B1278" s="16"/>
      <c r="C1278" s="23"/>
      <c r="D1278" s="24"/>
      <c r="E1278" s="25"/>
      <c r="F1278" s="26"/>
      <c r="G1278" s="27"/>
      <c r="H1278" s="20"/>
      <c r="I1278" s="21"/>
      <c r="J1278" s="28"/>
      <c r="K1278" s="19"/>
    </row>
    <row r="1279" spans="1:11" ht="13.2">
      <c r="A1279" s="22"/>
      <c r="B1279" s="16"/>
      <c r="C1279" s="23"/>
      <c r="D1279" s="24"/>
      <c r="E1279" s="25"/>
      <c r="F1279" s="26"/>
      <c r="G1279" s="27"/>
      <c r="H1279" s="20"/>
      <c r="I1279" s="21"/>
      <c r="J1279" s="28"/>
      <c r="K1279" s="19"/>
    </row>
    <row r="1280" spans="1:11" ht="13.2">
      <c r="A1280" s="22"/>
      <c r="B1280" s="16"/>
      <c r="C1280" s="23"/>
      <c r="D1280" s="24"/>
      <c r="E1280" s="25"/>
      <c r="F1280" s="26"/>
      <c r="G1280" s="27"/>
      <c r="H1280" s="20"/>
      <c r="I1280" s="21"/>
      <c r="J1280" s="28"/>
      <c r="K1280" s="19"/>
    </row>
    <row r="1281" spans="1:11" ht="13.2">
      <c r="A1281" s="22"/>
      <c r="B1281" s="16"/>
      <c r="C1281" s="23"/>
      <c r="D1281" s="24"/>
      <c r="E1281" s="25"/>
      <c r="F1281" s="26"/>
      <c r="G1281" s="27"/>
      <c r="H1281" s="20"/>
      <c r="I1281" s="21"/>
      <c r="J1281" s="28"/>
      <c r="K1281" s="19"/>
    </row>
    <row r="1282" spans="1:11" ht="13.2">
      <c r="A1282" s="22"/>
      <c r="B1282" s="16"/>
      <c r="C1282" s="23"/>
      <c r="D1282" s="24"/>
      <c r="E1282" s="25"/>
      <c r="F1282" s="26"/>
      <c r="G1282" s="27"/>
      <c r="H1282" s="20"/>
      <c r="I1282" s="21"/>
      <c r="J1282" s="28"/>
      <c r="K1282" s="19"/>
    </row>
    <row r="1283" spans="1:11" ht="13.2">
      <c r="A1283" s="22"/>
      <c r="B1283" s="16"/>
      <c r="C1283" s="23"/>
      <c r="D1283" s="24"/>
      <c r="E1283" s="25"/>
      <c r="F1283" s="26"/>
      <c r="G1283" s="27"/>
      <c r="H1283" s="20"/>
      <c r="I1283" s="21"/>
      <c r="J1283" s="28"/>
      <c r="K1283" s="19"/>
    </row>
    <row r="1284" spans="1:11" ht="13.2">
      <c r="A1284" s="22"/>
      <c r="B1284" s="16"/>
      <c r="C1284" s="23"/>
      <c r="D1284" s="24"/>
      <c r="E1284" s="25"/>
      <c r="F1284" s="26"/>
      <c r="G1284" s="27"/>
      <c r="H1284" s="20"/>
      <c r="I1284" s="21"/>
      <c r="J1284" s="28"/>
      <c r="K1284" s="19"/>
    </row>
    <row r="1285" spans="1:11" ht="13.2">
      <c r="A1285" s="22"/>
      <c r="B1285" s="16"/>
      <c r="C1285" s="23"/>
      <c r="D1285" s="24"/>
      <c r="E1285" s="25"/>
      <c r="F1285" s="26"/>
      <c r="G1285" s="27"/>
      <c r="H1285" s="20"/>
      <c r="I1285" s="21"/>
      <c r="J1285" s="28"/>
      <c r="K1285" s="19"/>
    </row>
    <row r="1286" spans="1:11" ht="13.2">
      <c r="A1286" s="22"/>
      <c r="B1286" s="16"/>
      <c r="C1286" s="23"/>
      <c r="D1286" s="24"/>
      <c r="E1286" s="25"/>
      <c r="F1286" s="26"/>
      <c r="G1286" s="27"/>
      <c r="H1286" s="20"/>
      <c r="I1286" s="21"/>
      <c r="J1286" s="28"/>
      <c r="K1286" s="19"/>
    </row>
    <row r="1287" spans="1:11" ht="13.2">
      <c r="A1287" s="22"/>
      <c r="B1287" s="16"/>
      <c r="C1287" s="23"/>
      <c r="D1287" s="24"/>
      <c r="E1287" s="25"/>
      <c r="F1287" s="26"/>
      <c r="G1287" s="27"/>
      <c r="H1287" s="20"/>
      <c r="I1287" s="21"/>
      <c r="J1287" s="28"/>
      <c r="K1287" s="19"/>
    </row>
    <row r="1288" spans="1:11" ht="13.2">
      <c r="A1288" s="22"/>
      <c r="B1288" s="16"/>
      <c r="C1288" s="23"/>
      <c r="D1288" s="24"/>
      <c r="E1288" s="25"/>
      <c r="F1288" s="26"/>
      <c r="G1288" s="27"/>
      <c r="H1288" s="20"/>
      <c r="I1288" s="21"/>
      <c r="J1288" s="28"/>
      <c r="K1288" s="19"/>
    </row>
    <row r="1289" spans="1:11" ht="13.2">
      <c r="A1289" s="22"/>
      <c r="B1289" s="16"/>
      <c r="C1289" s="23"/>
      <c r="D1289" s="24"/>
      <c r="E1289" s="25"/>
      <c r="F1289" s="26"/>
      <c r="G1289" s="27"/>
      <c r="H1289" s="20"/>
      <c r="I1289" s="21"/>
      <c r="J1289" s="28"/>
      <c r="K1289" s="19"/>
    </row>
    <row r="1290" spans="1:11" ht="13.2">
      <c r="A1290" s="22"/>
      <c r="B1290" s="16"/>
      <c r="C1290" s="23"/>
      <c r="D1290" s="24"/>
      <c r="E1290" s="25"/>
      <c r="F1290" s="26"/>
      <c r="G1290" s="27"/>
      <c r="H1290" s="20"/>
      <c r="I1290" s="21"/>
      <c r="J1290" s="28"/>
      <c r="K1290" s="19"/>
    </row>
    <row r="1291" spans="1:11" ht="13.2">
      <c r="A1291" s="22"/>
      <c r="B1291" s="16"/>
      <c r="C1291" s="23"/>
      <c r="D1291" s="24"/>
      <c r="E1291" s="25"/>
      <c r="F1291" s="26"/>
      <c r="G1291" s="27"/>
      <c r="H1291" s="20"/>
      <c r="I1291" s="21"/>
      <c r="J1291" s="28"/>
      <c r="K1291" s="19"/>
    </row>
    <row r="1292" spans="1:11" ht="13.2">
      <c r="A1292" s="22"/>
      <c r="B1292" s="16"/>
      <c r="C1292" s="23"/>
      <c r="D1292" s="24"/>
      <c r="E1292" s="25"/>
      <c r="F1292" s="26"/>
      <c r="G1292" s="27"/>
      <c r="H1292" s="20"/>
      <c r="I1292" s="21"/>
      <c r="J1292" s="28"/>
      <c r="K1292" s="19"/>
    </row>
    <row r="1293" spans="1:11" ht="13.2">
      <c r="A1293" s="22"/>
      <c r="B1293" s="16"/>
      <c r="C1293" s="23"/>
      <c r="D1293" s="24"/>
      <c r="E1293" s="25"/>
      <c r="F1293" s="26"/>
      <c r="G1293" s="27"/>
      <c r="H1293" s="20"/>
      <c r="I1293" s="21"/>
      <c r="J1293" s="28"/>
      <c r="K1293" s="19"/>
    </row>
    <row r="1294" spans="1:11" ht="13.2">
      <c r="A1294" s="22"/>
      <c r="B1294" s="16"/>
      <c r="C1294" s="23"/>
      <c r="D1294" s="24"/>
      <c r="E1294" s="25"/>
      <c r="F1294" s="26"/>
      <c r="G1294" s="27"/>
      <c r="H1294" s="20"/>
      <c r="I1294" s="21"/>
      <c r="J1294" s="28"/>
      <c r="K1294" s="19"/>
    </row>
    <row r="1295" spans="1:11" ht="13.2">
      <c r="A1295" s="22"/>
      <c r="B1295" s="16"/>
      <c r="C1295" s="23"/>
      <c r="D1295" s="24"/>
      <c r="E1295" s="25"/>
      <c r="F1295" s="26"/>
      <c r="G1295" s="27"/>
      <c r="H1295" s="20"/>
      <c r="I1295" s="21"/>
      <c r="J1295" s="28"/>
      <c r="K1295" s="19"/>
    </row>
    <row r="1296" spans="1:11" ht="13.2">
      <c r="A1296" s="22"/>
      <c r="B1296" s="16"/>
      <c r="C1296" s="23"/>
      <c r="D1296" s="24"/>
      <c r="E1296" s="25"/>
      <c r="F1296" s="26"/>
      <c r="G1296" s="27"/>
      <c r="H1296" s="20"/>
      <c r="I1296" s="21"/>
      <c r="J1296" s="28"/>
      <c r="K1296" s="19"/>
    </row>
    <row r="1297" spans="1:11" ht="13.2">
      <c r="A1297" s="22"/>
      <c r="B1297" s="16"/>
      <c r="C1297" s="23"/>
      <c r="D1297" s="24"/>
      <c r="E1297" s="25"/>
      <c r="F1297" s="26"/>
      <c r="G1297" s="27"/>
      <c r="H1297" s="20"/>
      <c r="I1297" s="21"/>
      <c r="J1297" s="28"/>
      <c r="K1297" s="19"/>
    </row>
    <row r="1298" spans="1:11" ht="13.2">
      <c r="A1298" s="22"/>
      <c r="B1298" s="16"/>
      <c r="C1298" s="23"/>
      <c r="D1298" s="24"/>
      <c r="E1298" s="25"/>
      <c r="F1298" s="26"/>
      <c r="G1298" s="27"/>
      <c r="H1298" s="20"/>
      <c r="I1298" s="21"/>
      <c r="J1298" s="28"/>
      <c r="K1298" s="19"/>
    </row>
    <row r="1299" spans="1:11" ht="13.2">
      <c r="A1299" s="22"/>
      <c r="B1299" s="16"/>
      <c r="C1299" s="23"/>
      <c r="D1299" s="24"/>
      <c r="E1299" s="25"/>
      <c r="F1299" s="26"/>
      <c r="G1299" s="27"/>
      <c r="H1299" s="20"/>
      <c r="I1299" s="21"/>
      <c r="J1299" s="28"/>
      <c r="K1299" s="19"/>
    </row>
    <row r="1300" spans="1:11" ht="13.2">
      <c r="A1300" s="22"/>
      <c r="B1300" s="16"/>
      <c r="C1300" s="23"/>
      <c r="D1300" s="24"/>
      <c r="E1300" s="25"/>
      <c r="F1300" s="26"/>
      <c r="G1300" s="27"/>
      <c r="H1300" s="20"/>
      <c r="I1300" s="21"/>
      <c r="J1300" s="28"/>
      <c r="K1300" s="19"/>
    </row>
    <row r="1301" spans="1:11" ht="13.2">
      <c r="A1301" s="22"/>
      <c r="B1301" s="16"/>
      <c r="C1301" s="23"/>
      <c r="D1301" s="24"/>
      <c r="E1301" s="25"/>
      <c r="F1301" s="26"/>
      <c r="G1301" s="27"/>
      <c r="H1301" s="20"/>
      <c r="I1301" s="21"/>
      <c r="J1301" s="28"/>
      <c r="K1301" s="19"/>
    </row>
    <row r="1302" spans="1:11" ht="13.2">
      <c r="A1302" s="22"/>
      <c r="B1302" s="16"/>
      <c r="C1302" s="23"/>
      <c r="D1302" s="24"/>
      <c r="E1302" s="25"/>
      <c r="F1302" s="26"/>
      <c r="G1302" s="27"/>
      <c r="H1302" s="20"/>
      <c r="I1302" s="21"/>
      <c r="J1302" s="28"/>
      <c r="K1302" s="19"/>
    </row>
    <row r="1303" spans="1:11" ht="13.2">
      <c r="A1303" s="22"/>
      <c r="B1303" s="16"/>
      <c r="C1303" s="23"/>
      <c r="D1303" s="24"/>
      <c r="E1303" s="25"/>
      <c r="F1303" s="26"/>
      <c r="G1303" s="27"/>
      <c r="H1303" s="20"/>
      <c r="I1303" s="21"/>
      <c r="J1303" s="28"/>
      <c r="K1303" s="19"/>
    </row>
    <row r="1304" spans="1:11" ht="13.2">
      <c r="A1304" s="22"/>
      <c r="B1304" s="16"/>
      <c r="C1304" s="23"/>
      <c r="D1304" s="24"/>
      <c r="E1304" s="25"/>
      <c r="F1304" s="26"/>
      <c r="G1304" s="27"/>
      <c r="H1304" s="20"/>
      <c r="I1304" s="21"/>
      <c r="J1304" s="28"/>
      <c r="K1304" s="19"/>
    </row>
    <row r="1305" spans="1:11" ht="13.2">
      <c r="A1305" s="22"/>
      <c r="B1305" s="16"/>
      <c r="C1305" s="23"/>
      <c r="D1305" s="24"/>
      <c r="E1305" s="25"/>
      <c r="F1305" s="26"/>
      <c r="G1305" s="27"/>
      <c r="H1305" s="20"/>
      <c r="I1305" s="21"/>
      <c r="J1305" s="28"/>
      <c r="K1305" s="19"/>
    </row>
    <row r="1306" spans="1:11" ht="13.2">
      <c r="A1306" s="22"/>
      <c r="B1306" s="16"/>
      <c r="C1306" s="23"/>
      <c r="D1306" s="24"/>
      <c r="E1306" s="25"/>
      <c r="F1306" s="26"/>
      <c r="G1306" s="27"/>
      <c r="H1306" s="20"/>
      <c r="I1306" s="21"/>
      <c r="J1306" s="28"/>
      <c r="K1306" s="19"/>
    </row>
    <row r="1307" spans="1:11" ht="13.2">
      <c r="A1307" s="22"/>
      <c r="B1307" s="16"/>
      <c r="C1307" s="23"/>
      <c r="D1307" s="24"/>
      <c r="E1307" s="25"/>
      <c r="F1307" s="26"/>
      <c r="G1307" s="27"/>
      <c r="H1307" s="20"/>
      <c r="I1307" s="21"/>
      <c r="J1307" s="28"/>
      <c r="K1307" s="19"/>
    </row>
    <row r="1308" spans="1:11" ht="13.2">
      <c r="A1308" s="22"/>
      <c r="B1308" s="16"/>
      <c r="C1308" s="23"/>
      <c r="D1308" s="24"/>
      <c r="E1308" s="25"/>
      <c r="F1308" s="26"/>
      <c r="G1308" s="27"/>
      <c r="H1308" s="20"/>
      <c r="I1308" s="21"/>
      <c r="J1308" s="28"/>
      <c r="K1308" s="19"/>
    </row>
    <row r="1309" spans="1:11" ht="13.2">
      <c r="A1309" s="22"/>
      <c r="B1309" s="16"/>
      <c r="C1309" s="23"/>
      <c r="D1309" s="24"/>
      <c r="E1309" s="25"/>
      <c r="F1309" s="26"/>
      <c r="G1309" s="27"/>
      <c r="H1309" s="20"/>
      <c r="I1309" s="21"/>
      <c r="J1309" s="28"/>
      <c r="K1309" s="19"/>
    </row>
    <row r="1310" spans="1:11" ht="13.2">
      <c r="A1310" s="22"/>
      <c r="B1310" s="16"/>
      <c r="C1310" s="23"/>
      <c r="D1310" s="24"/>
      <c r="E1310" s="25"/>
      <c r="F1310" s="26"/>
      <c r="G1310" s="27"/>
      <c r="H1310" s="20"/>
      <c r="I1310" s="21"/>
      <c r="J1310" s="28"/>
      <c r="K1310" s="19"/>
    </row>
    <row r="1311" spans="1:11" ht="13.2">
      <c r="A1311" s="22"/>
      <c r="B1311" s="16"/>
      <c r="C1311" s="23"/>
      <c r="D1311" s="24"/>
      <c r="E1311" s="25"/>
      <c r="F1311" s="26"/>
      <c r="G1311" s="27"/>
      <c r="H1311" s="20"/>
      <c r="I1311" s="21"/>
      <c r="J1311" s="28"/>
      <c r="K1311" s="19"/>
    </row>
    <row r="1312" spans="1:11" ht="13.2">
      <c r="A1312" s="22"/>
      <c r="B1312" s="16"/>
      <c r="C1312" s="23"/>
      <c r="D1312" s="24"/>
      <c r="E1312" s="25"/>
      <c r="F1312" s="26"/>
      <c r="G1312" s="27"/>
      <c r="H1312" s="20"/>
      <c r="I1312" s="21"/>
      <c r="J1312" s="28"/>
      <c r="K1312" s="19"/>
    </row>
    <row r="1313" spans="1:11" ht="13.2">
      <c r="A1313" s="22"/>
      <c r="B1313" s="16"/>
      <c r="C1313" s="23"/>
      <c r="D1313" s="24"/>
      <c r="E1313" s="25"/>
      <c r="F1313" s="26"/>
      <c r="G1313" s="27"/>
      <c r="H1313" s="20"/>
      <c r="I1313" s="21"/>
      <c r="J1313" s="28"/>
      <c r="K1313" s="19"/>
    </row>
    <row r="1314" spans="1:11" ht="13.2">
      <c r="A1314" s="22"/>
      <c r="B1314" s="16"/>
      <c r="C1314" s="23"/>
      <c r="D1314" s="24"/>
      <c r="E1314" s="25"/>
      <c r="F1314" s="26"/>
      <c r="G1314" s="27"/>
      <c r="H1314" s="20"/>
      <c r="I1314" s="21"/>
      <c r="J1314" s="28"/>
      <c r="K1314" s="19"/>
    </row>
    <row r="1315" spans="1:11" ht="13.2">
      <c r="A1315" s="22"/>
      <c r="B1315" s="16"/>
      <c r="C1315" s="23"/>
      <c r="D1315" s="24"/>
      <c r="E1315" s="25"/>
      <c r="F1315" s="26"/>
      <c r="G1315" s="27"/>
      <c r="H1315" s="20"/>
      <c r="I1315" s="21"/>
      <c r="J1315" s="28"/>
      <c r="K1315" s="19"/>
    </row>
    <row r="1316" spans="1:11" ht="13.2">
      <c r="A1316" s="22"/>
      <c r="B1316" s="16"/>
      <c r="C1316" s="23"/>
      <c r="D1316" s="24"/>
      <c r="E1316" s="25"/>
      <c r="F1316" s="26"/>
      <c r="G1316" s="27"/>
      <c r="H1316" s="20"/>
      <c r="I1316" s="21"/>
      <c r="J1316" s="28"/>
      <c r="K1316" s="19"/>
    </row>
    <row r="1317" spans="1:11" ht="13.2">
      <c r="A1317" s="22"/>
      <c r="B1317" s="16"/>
      <c r="C1317" s="23"/>
      <c r="D1317" s="24"/>
      <c r="E1317" s="25"/>
      <c r="F1317" s="26"/>
      <c r="G1317" s="27"/>
      <c r="H1317" s="20"/>
      <c r="I1317" s="21"/>
      <c r="J1317" s="28"/>
      <c r="K1317" s="19"/>
    </row>
    <row r="1318" spans="1:11" ht="13.2">
      <c r="A1318" s="22"/>
      <c r="B1318" s="16"/>
      <c r="C1318" s="23"/>
      <c r="D1318" s="24"/>
      <c r="E1318" s="25"/>
      <c r="F1318" s="26"/>
      <c r="G1318" s="27"/>
      <c r="H1318" s="20"/>
      <c r="I1318" s="21"/>
      <c r="J1318" s="28"/>
      <c r="K1318" s="19"/>
    </row>
    <row r="1319" spans="1:11" ht="13.2">
      <c r="A1319" s="22"/>
      <c r="B1319" s="16"/>
      <c r="C1319" s="23"/>
      <c r="D1319" s="24"/>
      <c r="E1319" s="25"/>
      <c r="F1319" s="26"/>
      <c r="G1319" s="27"/>
      <c r="H1319" s="20"/>
      <c r="I1319" s="21"/>
      <c r="J1319" s="28"/>
      <c r="K1319" s="19"/>
    </row>
    <row r="1320" spans="1:11" ht="13.2">
      <c r="A1320" s="22"/>
      <c r="B1320" s="16"/>
      <c r="C1320" s="23"/>
      <c r="D1320" s="24"/>
      <c r="E1320" s="25"/>
      <c r="F1320" s="26"/>
      <c r="G1320" s="27"/>
      <c r="H1320" s="20"/>
      <c r="I1320" s="21"/>
      <c r="J1320" s="28"/>
      <c r="K1320" s="19"/>
    </row>
    <row r="1321" spans="1:11" ht="13.2">
      <c r="A1321" s="22"/>
      <c r="B1321" s="16"/>
      <c r="C1321" s="23"/>
      <c r="D1321" s="24"/>
      <c r="E1321" s="25"/>
      <c r="F1321" s="26"/>
      <c r="G1321" s="27"/>
      <c r="H1321" s="20"/>
      <c r="I1321" s="21"/>
      <c r="J1321" s="28"/>
      <c r="K1321" s="19"/>
    </row>
    <row r="1322" spans="1:11" ht="13.2">
      <c r="A1322" s="22"/>
      <c r="B1322" s="16"/>
      <c r="C1322" s="23"/>
      <c r="D1322" s="24"/>
      <c r="E1322" s="25"/>
      <c r="F1322" s="26"/>
      <c r="G1322" s="27"/>
      <c r="H1322" s="20"/>
      <c r="I1322" s="21"/>
      <c r="J1322" s="28"/>
      <c r="K1322" s="19"/>
    </row>
    <row r="1323" spans="1:11" ht="13.2">
      <c r="A1323" s="22"/>
      <c r="B1323" s="16"/>
      <c r="C1323" s="23"/>
      <c r="D1323" s="24"/>
      <c r="E1323" s="25"/>
      <c r="F1323" s="26"/>
      <c r="G1323" s="27"/>
      <c r="H1323" s="20"/>
      <c r="I1323" s="21"/>
      <c r="J1323" s="28"/>
      <c r="K1323" s="19"/>
    </row>
    <row r="1324" spans="1:11" ht="13.2">
      <c r="A1324" s="22"/>
      <c r="B1324" s="16"/>
      <c r="C1324" s="23"/>
      <c r="D1324" s="24"/>
      <c r="E1324" s="25"/>
      <c r="F1324" s="26"/>
      <c r="G1324" s="27"/>
      <c r="H1324" s="20"/>
      <c r="I1324" s="21"/>
      <c r="J1324" s="28"/>
      <c r="K1324" s="19"/>
    </row>
    <row r="1325" spans="1:11" ht="13.2">
      <c r="A1325" s="22"/>
      <c r="B1325" s="16"/>
      <c r="C1325" s="23"/>
      <c r="D1325" s="24"/>
      <c r="E1325" s="25"/>
      <c r="F1325" s="26"/>
      <c r="G1325" s="27"/>
      <c r="H1325" s="20"/>
      <c r="I1325" s="21"/>
      <c r="J1325" s="28"/>
      <c r="K1325" s="19"/>
    </row>
    <row r="1326" spans="1:11" ht="13.2">
      <c r="A1326" s="22"/>
      <c r="B1326" s="16"/>
      <c r="C1326" s="23"/>
      <c r="D1326" s="24"/>
      <c r="E1326" s="25"/>
      <c r="F1326" s="26"/>
      <c r="G1326" s="27"/>
      <c r="H1326" s="20"/>
      <c r="I1326" s="21"/>
      <c r="J1326" s="28"/>
      <c r="K1326" s="19"/>
    </row>
    <row r="1327" spans="1:11" ht="13.2">
      <c r="A1327" s="22"/>
      <c r="B1327" s="16"/>
      <c r="C1327" s="23"/>
      <c r="D1327" s="24"/>
      <c r="E1327" s="25"/>
      <c r="F1327" s="26"/>
      <c r="G1327" s="27"/>
      <c r="H1327" s="20"/>
      <c r="I1327" s="21"/>
      <c r="J1327" s="28"/>
      <c r="K1327" s="19"/>
    </row>
    <row r="1328" spans="1:11" ht="13.2">
      <c r="A1328" s="22"/>
      <c r="B1328" s="16"/>
      <c r="C1328" s="23"/>
      <c r="D1328" s="24"/>
      <c r="E1328" s="25"/>
      <c r="F1328" s="26"/>
      <c r="G1328" s="27"/>
      <c r="H1328" s="20"/>
      <c r="I1328" s="21"/>
      <c r="J1328" s="28"/>
      <c r="K1328" s="19"/>
    </row>
    <row r="1329" spans="1:11" ht="13.2">
      <c r="A1329" s="22"/>
      <c r="B1329" s="16"/>
      <c r="C1329" s="23"/>
      <c r="D1329" s="24"/>
      <c r="E1329" s="25"/>
      <c r="F1329" s="26"/>
      <c r="G1329" s="27"/>
      <c r="H1329" s="20"/>
      <c r="I1329" s="21"/>
      <c r="J1329" s="28"/>
      <c r="K1329" s="19"/>
    </row>
    <row r="1330" spans="1:11" ht="13.2">
      <c r="A1330" s="22"/>
      <c r="B1330" s="16"/>
      <c r="C1330" s="23"/>
      <c r="D1330" s="24"/>
      <c r="E1330" s="25"/>
      <c r="F1330" s="26"/>
      <c r="G1330" s="27"/>
      <c r="H1330" s="20"/>
      <c r="I1330" s="21"/>
      <c r="J1330" s="28"/>
      <c r="K1330" s="19"/>
    </row>
    <row r="1331" spans="1:11" ht="13.2">
      <c r="A1331" s="22"/>
      <c r="B1331" s="16"/>
      <c r="C1331" s="23"/>
      <c r="D1331" s="24"/>
      <c r="E1331" s="25"/>
      <c r="F1331" s="26"/>
      <c r="G1331" s="27"/>
      <c r="H1331" s="20"/>
      <c r="I1331" s="21"/>
      <c r="J1331" s="28"/>
      <c r="K1331" s="19"/>
    </row>
    <row r="1332" spans="1:11" ht="13.2">
      <c r="A1332" s="22"/>
      <c r="B1332" s="16"/>
      <c r="C1332" s="23"/>
      <c r="D1332" s="24"/>
      <c r="E1332" s="25"/>
      <c r="F1332" s="26"/>
      <c r="G1332" s="27"/>
      <c r="H1332" s="20"/>
      <c r="I1332" s="21"/>
      <c r="J1332" s="28"/>
      <c r="K1332" s="19"/>
    </row>
    <row r="1333" spans="1:11" ht="13.2">
      <c r="A1333" s="22"/>
      <c r="B1333" s="16"/>
      <c r="C1333" s="23"/>
      <c r="D1333" s="24"/>
      <c r="E1333" s="25"/>
      <c r="F1333" s="26"/>
      <c r="G1333" s="27"/>
      <c r="H1333" s="20"/>
      <c r="I1333" s="21"/>
      <c r="J1333" s="28"/>
      <c r="K1333" s="19"/>
    </row>
    <row r="1334" spans="1:11" ht="13.2">
      <c r="A1334" s="22"/>
      <c r="B1334" s="16"/>
      <c r="C1334" s="23"/>
      <c r="D1334" s="24"/>
      <c r="E1334" s="25"/>
      <c r="F1334" s="26"/>
      <c r="G1334" s="27"/>
      <c r="H1334" s="20"/>
      <c r="I1334" s="21"/>
      <c r="J1334" s="28"/>
      <c r="K1334" s="19"/>
    </row>
    <row r="1335" spans="1:11" ht="13.2">
      <c r="A1335" s="22"/>
      <c r="B1335" s="16"/>
      <c r="C1335" s="23"/>
      <c r="D1335" s="24"/>
      <c r="E1335" s="25"/>
      <c r="F1335" s="26"/>
      <c r="G1335" s="27"/>
      <c r="H1335" s="20"/>
      <c r="I1335" s="21"/>
      <c r="J1335" s="28"/>
      <c r="K1335" s="19"/>
    </row>
    <row r="1336" spans="1:11" ht="13.2">
      <c r="A1336" s="22"/>
      <c r="B1336" s="16"/>
      <c r="C1336" s="23"/>
      <c r="D1336" s="24"/>
      <c r="E1336" s="25"/>
      <c r="F1336" s="26"/>
      <c r="G1336" s="27"/>
      <c r="H1336" s="20"/>
      <c r="I1336" s="21"/>
      <c r="J1336" s="28"/>
      <c r="K1336" s="19"/>
    </row>
    <row r="1337" spans="1:11" ht="13.2">
      <c r="A1337" s="22"/>
      <c r="B1337" s="16"/>
      <c r="C1337" s="23"/>
      <c r="D1337" s="24"/>
      <c r="E1337" s="25"/>
      <c r="F1337" s="26"/>
      <c r="G1337" s="27"/>
      <c r="H1337" s="20"/>
      <c r="I1337" s="21"/>
      <c r="J1337" s="28"/>
      <c r="K1337" s="19"/>
    </row>
    <row r="1338" spans="1:11" ht="13.2">
      <c r="A1338" s="22"/>
      <c r="B1338" s="16"/>
      <c r="C1338" s="23"/>
      <c r="D1338" s="24"/>
      <c r="E1338" s="25"/>
      <c r="F1338" s="26"/>
      <c r="G1338" s="27"/>
      <c r="H1338" s="20"/>
      <c r="I1338" s="21"/>
      <c r="J1338" s="28"/>
      <c r="K1338" s="19"/>
    </row>
    <row r="1339" spans="1:11" ht="13.2">
      <c r="A1339" s="22"/>
      <c r="B1339" s="16"/>
      <c r="C1339" s="23"/>
      <c r="D1339" s="24"/>
      <c r="E1339" s="25"/>
      <c r="F1339" s="26"/>
      <c r="G1339" s="27"/>
      <c r="H1339" s="20"/>
      <c r="I1339" s="21"/>
      <c r="J1339" s="28"/>
      <c r="K1339" s="19"/>
    </row>
    <row r="1340" spans="1:11" ht="13.2">
      <c r="A1340" s="22"/>
      <c r="B1340" s="16"/>
      <c r="C1340" s="23"/>
      <c r="D1340" s="24"/>
      <c r="E1340" s="25"/>
      <c r="F1340" s="26"/>
      <c r="G1340" s="27"/>
      <c r="H1340" s="20"/>
      <c r="I1340" s="21"/>
      <c r="J1340" s="28"/>
      <c r="K1340" s="19"/>
    </row>
    <row r="1341" spans="1:11" ht="13.2">
      <c r="A1341" s="22"/>
      <c r="B1341" s="16"/>
      <c r="C1341" s="23"/>
      <c r="D1341" s="24"/>
      <c r="E1341" s="25"/>
      <c r="F1341" s="26"/>
      <c r="G1341" s="27"/>
      <c r="H1341" s="20"/>
      <c r="I1341" s="21"/>
      <c r="J1341" s="28"/>
      <c r="K1341" s="19"/>
    </row>
    <row r="1342" spans="1:11" ht="13.2">
      <c r="A1342" s="22"/>
      <c r="B1342" s="16"/>
      <c r="C1342" s="23"/>
      <c r="D1342" s="24"/>
      <c r="E1342" s="25"/>
      <c r="F1342" s="26"/>
      <c r="G1342" s="27"/>
      <c r="H1342" s="20"/>
      <c r="I1342" s="21"/>
      <c r="J1342" s="28"/>
      <c r="K1342" s="19"/>
    </row>
    <row r="1343" spans="1:11" ht="13.2">
      <c r="A1343" s="22"/>
      <c r="B1343" s="16"/>
      <c r="C1343" s="23"/>
      <c r="D1343" s="24"/>
      <c r="E1343" s="25"/>
      <c r="F1343" s="26"/>
      <c r="G1343" s="27"/>
      <c r="H1343" s="20"/>
      <c r="I1343" s="21"/>
      <c r="J1343" s="28"/>
      <c r="K1343" s="19"/>
    </row>
    <row r="1344" spans="1:11" ht="13.2">
      <c r="A1344" s="22"/>
      <c r="B1344" s="16"/>
      <c r="C1344" s="23"/>
      <c r="D1344" s="24"/>
      <c r="E1344" s="25"/>
      <c r="F1344" s="26"/>
      <c r="G1344" s="27"/>
      <c r="H1344" s="20"/>
      <c r="I1344" s="21"/>
      <c r="J1344" s="28"/>
      <c r="K1344" s="19"/>
    </row>
    <row r="1345" spans="1:11" ht="13.2">
      <c r="A1345" s="22"/>
      <c r="B1345" s="16"/>
      <c r="C1345" s="23"/>
      <c r="D1345" s="24"/>
      <c r="E1345" s="25"/>
      <c r="F1345" s="26"/>
      <c r="G1345" s="27"/>
      <c r="H1345" s="20"/>
      <c r="I1345" s="21"/>
      <c r="J1345" s="28"/>
      <c r="K1345" s="19"/>
    </row>
    <row r="1346" spans="1:11" ht="13.2">
      <c r="A1346" s="22"/>
      <c r="B1346" s="16"/>
      <c r="C1346" s="23"/>
      <c r="D1346" s="24"/>
      <c r="E1346" s="25"/>
      <c r="F1346" s="26"/>
      <c r="G1346" s="27"/>
      <c r="H1346" s="20"/>
      <c r="I1346" s="21"/>
      <c r="J1346" s="28"/>
      <c r="K1346" s="19"/>
    </row>
    <row r="1347" spans="1:11" ht="13.2">
      <c r="A1347" s="22"/>
      <c r="B1347" s="16"/>
      <c r="C1347" s="23"/>
      <c r="D1347" s="24"/>
      <c r="E1347" s="25"/>
      <c r="F1347" s="26"/>
      <c r="G1347" s="27"/>
      <c r="H1347" s="20"/>
      <c r="I1347" s="21"/>
      <c r="J1347" s="28"/>
      <c r="K1347" s="19"/>
    </row>
    <row r="1348" spans="1:11" ht="13.2">
      <c r="A1348" s="22"/>
      <c r="B1348" s="16"/>
      <c r="C1348" s="23"/>
      <c r="D1348" s="24"/>
      <c r="E1348" s="25"/>
      <c r="F1348" s="26"/>
      <c r="G1348" s="27"/>
      <c r="H1348" s="20"/>
      <c r="I1348" s="21"/>
      <c r="J1348" s="28"/>
      <c r="K1348" s="19"/>
    </row>
    <row r="1349" spans="1:11" ht="13.2">
      <c r="A1349" s="22"/>
      <c r="B1349" s="16"/>
      <c r="C1349" s="23"/>
      <c r="D1349" s="24"/>
      <c r="E1349" s="25"/>
      <c r="F1349" s="26"/>
      <c r="G1349" s="27"/>
      <c r="H1349" s="20"/>
      <c r="I1349" s="21"/>
      <c r="J1349" s="28"/>
      <c r="K1349" s="19"/>
    </row>
    <row r="1350" spans="1:11" ht="13.2">
      <c r="A1350" s="22"/>
      <c r="B1350" s="16"/>
      <c r="C1350" s="23"/>
      <c r="D1350" s="24"/>
      <c r="E1350" s="25"/>
      <c r="F1350" s="26"/>
      <c r="G1350" s="27"/>
      <c r="H1350" s="20"/>
      <c r="I1350" s="21"/>
      <c r="J1350" s="28"/>
      <c r="K1350" s="19"/>
    </row>
    <row r="1351" spans="1:11" ht="13.2">
      <c r="A1351" s="22"/>
      <c r="B1351" s="16"/>
      <c r="C1351" s="23"/>
      <c r="D1351" s="24"/>
      <c r="E1351" s="25"/>
      <c r="F1351" s="26"/>
      <c r="G1351" s="27"/>
      <c r="H1351" s="20"/>
      <c r="I1351" s="21"/>
      <c r="J1351" s="28"/>
      <c r="K1351" s="19"/>
    </row>
    <row r="1352" spans="1:11" ht="13.2">
      <c r="A1352" s="22"/>
      <c r="B1352" s="16"/>
      <c r="C1352" s="23"/>
      <c r="D1352" s="24"/>
      <c r="E1352" s="25"/>
      <c r="F1352" s="26"/>
      <c r="G1352" s="27"/>
      <c r="H1352" s="20"/>
      <c r="I1352" s="21"/>
      <c r="J1352" s="28"/>
      <c r="K1352" s="19"/>
    </row>
    <row r="1353" spans="1:11" ht="13.2">
      <c r="A1353" s="22"/>
      <c r="B1353" s="16"/>
      <c r="C1353" s="23"/>
      <c r="D1353" s="24"/>
      <c r="E1353" s="25"/>
      <c r="F1353" s="26"/>
      <c r="G1353" s="27"/>
      <c r="H1353" s="20"/>
      <c r="I1353" s="21"/>
      <c r="J1353" s="28"/>
      <c r="K1353" s="19"/>
    </row>
    <row r="1354" spans="1:11" ht="13.2">
      <c r="A1354" s="22"/>
      <c r="B1354" s="16"/>
      <c r="C1354" s="23"/>
      <c r="D1354" s="24"/>
      <c r="E1354" s="25"/>
      <c r="F1354" s="26"/>
      <c r="G1354" s="27"/>
      <c r="H1354" s="20"/>
      <c r="I1354" s="21"/>
      <c r="J1354" s="28"/>
      <c r="K1354" s="19"/>
    </row>
    <row r="1355" spans="1:11" ht="13.2">
      <c r="A1355" s="22"/>
      <c r="B1355" s="16"/>
      <c r="C1355" s="23"/>
      <c r="D1355" s="24"/>
      <c r="E1355" s="25"/>
      <c r="F1355" s="26"/>
      <c r="G1355" s="27"/>
      <c r="H1355" s="20"/>
      <c r="I1355" s="21"/>
      <c r="J1355" s="28"/>
      <c r="K1355" s="19"/>
    </row>
    <row r="1356" spans="1:11" ht="13.2">
      <c r="A1356" s="22"/>
      <c r="B1356" s="16"/>
      <c r="C1356" s="23"/>
      <c r="D1356" s="24"/>
      <c r="E1356" s="25"/>
      <c r="F1356" s="26"/>
      <c r="G1356" s="27"/>
      <c r="H1356" s="20"/>
      <c r="I1356" s="21"/>
      <c r="J1356" s="28"/>
      <c r="K1356" s="19"/>
    </row>
    <row r="1357" spans="1:11" ht="13.2">
      <c r="A1357" s="22"/>
      <c r="B1357" s="16"/>
      <c r="C1357" s="23"/>
      <c r="D1357" s="24"/>
      <c r="E1357" s="25"/>
      <c r="F1357" s="26"/>
      <c r="G1357" s="27"/>
      <c r="H1357" s="20"/>
      <c r="I1357" s="21"/>
      <c r="J1357" s="28"/>
      <c r="K1357" s="19"/>
    </row>
    <row r="1358" spans="1:11" ht="13.2">
      <c r="A1358" s="22"/>
      <c r="B1358" s="16"/>
      <c r="C1358" s="23"/>
      <c r="D1358" s="24"/>
      <c r="E1358" s="25"/>
      <c r="F1358" s="26"/>
      <c r="G1358" s="27"/>
      <c r="H1358" s="20"/>
      <c r="I1358" s="21"/>
      <c r="J1358" s="28"/>
      <c r="K1358" s="19"/>
    </row>
    <row r="1359" spans="1:11" ht="13.2">
      <c r="A1359" s="22"/>
      <c r="B1359" s="16"/>
      <c r="C1359" s="23"/>
      <c r="D1359" s="24"/>
      <c r="E1359" s="25"/>
      <c r="F1359" s="26"/>
      <c r="G1359" s="27"/>
      <c r="H1359" s="20"/>
      <c r="I1359" s="21"/>
      <c r="J1359" s="28"/>
      <c r="K1359" s="19"/>
    </row>
    <row r="1360" spans="1:11" ht="13.2">
      <c r="A1360" s="22"/>
      <c r="B1360" s="16"/>
      <c r="C1360" s="23"/>
      <c r="D1360" s="24"/>
      <c r="E1360" s="25"/>
      <c r="F1360" s="26"/>
      <c r="G1360" s="27"/>
      <c r="H1360" s="20"/>
      <c r="I1360" s="21"/>
      <c r="J1360" s="28"/>
      <c r="K1360" s="19"/>
    </row>
    <row r="1361" spans="1:11" ht="13.2">
      <c r="A1361" s="22"/>
      <c r="B1361" s="16"/>
      <c r="C1361" s="23"/>
      <c r="D1361" s="24"/>
      <c r="E1361" s="25"/>
      <c r="F1361" s="26"/>
      <c r="G1361" s="27"/>
      <c r="H1361" s="20"/>
      <c r="I1361" s="21"/>
      <c r="J1361" s="28"/>
      <c r="K1361" s="19"/>
    </row>
    <row r="1362" spans="1:11" ht="13.2">
      <c r="A1362" s="22"/>
      <c r="B1362" s="16"/>
      <c r="C1362" s="23"/>
      <c r="D1362" s="24"/>
      <c r="E1362" s="25"/>
      <c r="F1362" s="26"/>
      <c r="G1362" s="27"/>
      <c r="H1362" s="20"/>
      <c r="I1362" s="21"/>
      <c r="J1362" s="28"/>
      <c r="K1362" s="19"/>
    </row>
    <row r="1363" spans="1:11" ht="13.2">
      <c r="A1363" s="22"/>
      <c r="B1363" s="16"/>
      <c r="C1363" s="23"/>
      <c r="D1363" s="24"/>
      <c r="E1363" s="25"/>
      <c r="F1363" s="26"/>
      <c r="G1363" s="27"/>
      <c r="H1363" s="20"/>
      <c r="I1363" s="21"/>
      <c r="J1363" s="28"/>
      <c r="K1363" s="19"/>
    </row>
    <row r="1364" spans="1:11" ht="13.2">
      <c r="A1364" s="22"/>
      <c r="B1364" s="16"/>
      <c r="C1364" s="23"/>
      <c r="D1364" s="24"/>
      <c r="E1364" s="25"/>
      <c r="F1364" s="26"/>
      <c r="G1364" s="27"/>
      <c r="H1364" s="20"/>
      <c r="I1364" s="21"/>
      <c r="J1364" s="28"/>
      <c r="K1364" s="19"/>
    </row>
    <row r="1365" spans="1:11" ht="13.2">
      <c r="A1365" s="22"/>
      <c r="B1365" s="16"/>
      <c r="C1365" s="23"/>
      <c r="D1365" s="24"/>
      <c r="E1365" s="25"/>
      <c r="F1365" s="26"/>
      <c r="G1365" s="27"/>
      <c r="H1365" s="20"/>
      <c r="I1365" s="21"/>
      <c r="J1365" s="28"/>
      <c r="K1365" s="19"/>
    </row>
    <row r="1366" spans="1:11" ht="13.2">
      <c r="A1366" s="22"/>
      <c r="B1366" s="16"/>
      <c r="C1366" s="23"/>
      <c r="D1366" s="24"/>
      <c r="E1366" s="25"/>
      <c r="F1366" s="26"/>
      <c r="G1366" s="27"/>
      <c r="H1366" s="20"/>
      <c r="I1366" s="21"/>
      <c r="J1366" s="28"/>
      <c r="K1366" s="19"/>
    </row>
    <row r="1367" spans="1:11" ht="13.2">
      <c r="A1367" s="22"/>
      <c r="B1367" s="16"/>
      <c r="C1367" s="23"/>
      <c r="D1367" s="24"/>
      <c r="E1367" s="25"/>
      <c r="F1367" s="26"/>
      <c r="G1367" s="27"/>
      <c r="H1367" s="20"/>
      <c r="I1367" s="21"/>
      <c r="J1367" s="28"/>
      <c r="K1367" s="19"/>
    </row>
    <row r="1368" spans="1:11" ht="13.2">
      <c r="A1368" s="22"/>
      <c r="B1368" s="16"/>
      <c r="C1368" s="23"/>
      <c r="D1368" s="24"/>
      <c r="E1368" s="25"/>
      <c r="F1368" s="26"/>
      <c r="G1368" s="27"/>
      <c r="H1368" s="20"/>
      <c r="I1368" s="21"/>
      <c r="J1368" s="28"/>
      <c r="K1368" s="19"/>
    </row>
    <row r="1369" spans="1:11" ht="13.2">
      <c r="A1369" s="22"/>
      <c r="B1369" s="16"/>
      <c r="C1369" s="23"/>
      <c r="D1369" s="24"/>
      <c r="E1369" s="25"/>
      <c r="F1369" s="26"/>
      <c r="G1369" s="27"/>
      <c r="H1369" s="20"/>
      <c r="I1369" s="21"/>
      <c r="J1369" s="28"/>
      <c r="K1369" s="19"/>
    </row>
    <row r="1370" spans="1:11" ht="13.2">
      <c r="A1370" s="22"/>
      <c r="B1370" s="16"/>
      <c r="C1370" s="23"/>
      <c r="D1370" s="24"/>
      <c r="E1370" s="25"/>
      <c r="F1370" s="26"/>
      <c r="G1370" s="27"/>
      <c r="H1370" s="20"/>
      <c r="I1370" s="21"/>
      <c r="J1370" s="28"/>
      <c r="K1370" s="19"/>
    </row>
    <row r="1371" spans="1:11" ht="13.2">
      <c r="A1371" s="22"/>
      <c r="B1371" s="16"/>
      <c r="C1371" s="23"/>
      <c r="D1371" s="24"/>
      <c r="E1371" s="25"/>
      <c r="F1371" s="26"/>
      <c r="G1371" s="27"/>
      <c r="H1371" s="20"/>
      <c r="I1371" s="21"/>
      <c r="J1371" s="28"/>
      <c r="K1371" s="19"/>
    </row>
    <row r="1372" spans="1:11" ht="13.2">
      <c r="A1372" s="22"/>
      <c r="B1372" s="16"/>
      <c r="C1372" s="23"/>
      <c r="D1372" s="24"/>
      <c r="E1372" s="25"/>
      <c r="F1372" s="26"/>
      <c r="G1372" s="27"/>
      <c r="H1372" s="20"/>
      <c r="I1372" s="21"/>
      <c r="J1372" s="28"/>
      <c r="K1372" s="19"/>
    </row>
    <row r="1373" spans="1:11" ht="13.2">
      <c r="A1373" s="22"/>
      <c r="B1373" s="16"/>
      <c r="C1373" s="23"/>
      <c r="D1373" s="24"/>
      <c r="E1373" s="25"/>
      <c r="F1373" s="26"/>
      <c r="G1373" s="27"/>
      <c r="H1373" s="20"/>
      <c r="I1373" s="21"/>
      <c r="J1373" s="28"/>
      <c r="K1373" s="19"/>
    </row>
    <row r="1374" spans="1:11" ht="13.2">
      <c r="A1374" s="22"/>
      <c r="B1374" s="16"/>
      <c r="C1374" s="23"/>
      <c r="D1374" s="24"/>
      <c r="E1374" s="25"/>
      <c r="F1374" s="26"/>
      <c r="G1374" s="27"/>
      <c r="H1374" s="20"/>
      <c r="I1374" s="21"/>
      <c r="J1374" s="28"/>
      <c r="K1374" s="19"/>
    </row>
    <row r="1375" spans="1:11" ht="13.2">
      <c r="A1375" s="22"/>
      <c r="B1375" s="16"/>
      <c r="C1375" s="23"/>
      <c r="D1375" s="24"/>
      <c r="E1375" s="25"/>
      <c r="F1375" s="26"/>
      <c r="G1375" s="27"/>
      <c r="H1375" s="20"/>
      <c r="I1375" s="21"/>
      <c r="J1375" s="28"/>
      <c r="K1375" s="19"/>
    </row>
    <row r="1376" spans="1:11" ht="13.2">
      <c r="A1376" s="22"/>
      <c r="B1376" s="16"/>
      <c r="C1376" s="23"/>
      <c r="D1376" s="24"/>
      <c r="E1376" s="25"/>
      <c r="F1376" s="26"/>
      <c r="G1376" s="27"/>
      <c r="H1376" s="20"/>
      <c r="I1376" s="21"/>
      <c r="J1376" s="28"/>
      <c r="K1376" s="19"/>
    </row>
    <row r="1377" spans="1:11" ht="13.2">
      <c r="A1377" s="22"/>
      <c r="B1377" s="16"/>
      <c r="C1377" s="23"/>
      <c r="D1377" s="24"/>
      <c r="E1377" s="25"/>
      <c r="F1377" s="26"/>
      <c r="G1377" s="27"/>
      <c r="H1377" s="20"/>
      <c r="I1377" s="21"/>
      <c r="J1377" s="28"/>
      <c r="K1377" s="19"/>
    </row>
    <row r="1378" spans="1:11" ht="13.2">
      <c r="A1378" s="22"/>
      <c r="B1378" s="16"/>
      <c r="C1378" s="23"/>
      <c r="D1378" s="24"/>
      <c r="E1378" s="25"/>
      <c r="F1378" s="26"/>
      <c r="G1378" s="27"/>
      <c r="H1378" s="20"/>
      <c r="I1378" s="21"/>
      <c r="J1378" s="28"/>
      <c r="K1378" s="19"/>
    </row>
    <row r="1379" spans="1:11" ht="13.2">
      <c r="A1379" s="22"/>
      <c r="B1379" s="16"/>
      <c r="C1379" s="23"/>
      <c r="D1379" s="24"/>
      <c r="E1379" s="25"/>
      <c r="F1379" s="26"/>
      <c r="G1379" s="27"/>
      <c r="H1379" s="20"/>
      <c r="I1379" s="21"/>
      <c r="J1379" s="28"/>
      <c r="K1379" s="19"/>
    </row>
    <row r="1380" spans="1:11" ht="13.2">
      <c r="A1380" s="22"/>
      <c r="B1380" s="16"/>
      <c r="C1380" s="23"/>
      <c r="D1380" s="24"/>
      <c r="E1380" s="25"/>
      <c r="F1380" s="26"/>
      <c r="G1380" s="27"/>
      <c r="H1380" s="20"/>
      <c r="I1380" s="21"/>
      <c r="J1380" s="28"/>
      <c r="K1380" s="19"/>
    </row>
    <row r="1381" spans="1:11" ht="13.2">
      <c r="A1381" s="22"/>
      <c r="B1381" s="16"/>
      <c r="C1381" s="23"/>
      <c r="D1381" s="24"/>
      <c r="E1381" s="25"/>
      <c r="F1381" s="26"/>
      <c r="G1381" s="27"/>
      <c r="H1381" s="20"/>
      <c r="I1381" s="21"/>
      <c r="J1381" s="28"/>
      <c r="K1381" s="19"/>
    </row>
    <row r="1382" spans="1:11" ht="13.2">
      <c r="A1382" s="22"/>
      <c r="B1382" s="16"/>
      <c r="C1382" s="23"/>
      <c r="D1382" s="24"/>
      <c r="E1382" s="25"/>
      <c r="F1382" s="26"/>
      <c r="G1382" s="27"/>
      <c r="H1382" s="20"/>
      <c r="I1382" s="21"/>
      <c r="J1382" s="28"/>
      <c r="K1382" s="19"/>
    </row>
    <row r="1383" spans="1:11" ht="13.2">
      <c r="A1383" s="22"/>
      <c r="B1383" s="16"/>
      <c r="C1383" s="23"/>
      <c r="D1383" s="24"/>
      <c r="E1383" s="25"/>
      <c r="F1383" s="26"/>
      <c r="G1383" s="27"/>
      <c r="H1383" s="20"/>
      <c r="I1383" s="21"/>
      <c r="J1383" s="28"/>
      <c r="K1383" s="19"/>
    </row>
    <row r="1384" spans="1:11" ht="13.2">
      <c r="A1384" s="22"/>
      <c r="B1384" s="16"/>
      <c r="C1384" s="23"/>
      <c r="D1384" s="24"/>
      <c r="E1384" s="25"/>
      <c r="F1384" s="26"/>
      <c r="G1384" s="27"/>
      <c r="H1384" s="20"/>
      <c r="I1384" s="21"/>
      <c r="J1384" s="28"/>
      <c r="K1384" s="19"/>
    </row>
    <row r="1385" spans="1:11" ht="13.2">
      <c r="A1385" s="22"/>
      <c r="B1385" s="16"/>
      <c r="C1385" s="23"/>
      <c r="D1385" s="24"/>
      <c r="E1385" s="25"/>
      <c r="F1385" s="26"/>
      <c r="G1385" s="27"/>
      <c r="H1385" s="20"/>
      <c r="I1385" s="21"/>
      <c r="J1385" s="28"/>
      <c r="K1385" s="19"/>
    </row>
    <row r="1386" spans="1:11" ht="13.2">
      <c r="A1386" s="22"/>
      <c r="B1386" s="16"/>
      <c r="C1386" s="23"/>
      <c r="D1386" s="24"/>
      <c r="E1386" s="25"/>
      <c r="F1386" s="26"/>
      <c r="G1386" s="27"/>
      <c r="H1386" s="20"/>
      <c r="I1386" s="21"/>
      <c r="J1386" s="28"/>
      <c r="K1386" s="19"/>
    </row>
    <row r="1387" spans="1:11" ht="13.2">
      <c r="A1387" s="22"/>
      <c r="B1387" s="16"/>
      <c r="C1387" s="23"/>
      <c r="D1387" s="24"/>
      <c r="E1387" s="25"/>
      <c r="F1387" s="26"/>
      <c r="G1387" s="27"/>
      <c r="H1387" s="20"/>
      <c r="I1387" s="21"/>
      <c r="J1387" s="28"/>
      <c r="K1387" s="19"/>
    </row>
    <row r="1388" spans="1:11" ht="13.2">
      <c r="A1388" s="22"/>
      <c r="B1388" s="16"/>
      <c r="C1388" s="23"/>
      <c r="D1388" s="24"/>
      <c r="E1388" s="25"/>
      <c r="F1388" s="26"/>
      <c r="G1388" s="27"/>
      <c r="H1388" s="20"/>
      <c r="I1388" s="21"/>
      <c r="J1388" s="28"/>
      <c r="K1388" s="19"/>
    </row>
    <row r="1389" spans="1:11" ht="13.2">
      <c r="A1389" s="22"/>
      <c r="B1389" s="16"/>
      <c r="C1389" s="23"/>
      <c r="D1389" s="24"/>
      <c r="E1389" s="25"/>
      <c r="F1389" s="26"/>
      <c r="G1389" s="27"/>
      <c r="H1389" s="20"/>
      <c r="I1389" s="21"/>
      <c r="J1389" s="28"/>
      <c r="K1389" s="19"/>
    </row>
    <row r="1390" spans="1:11" ht="13.2">
      <c r="A1390" s="22"/>
      <c r="B1390" s="16"/>
      <c r="C1390" s="23"/>
      <c r="D1390" s="24"/>
      <c r="E1390" s="25"/>
      <c r="F1390" s="26"/>
      <c r="G1390" s="27"/>
      <c r="H1390" s="20"/>
      <c r="I1390" s="21"/>
      <c r="J1390" s="28"/>
      <c r="K1390" s="19"/>
    </row>
    <row r="1391" spans="1:11" ht="13.2">
      <c r="A1391" s="22"/>
      <c r="B1391" s="16"/>
      <c r="C1391" s="23"/>
      <c r="D1391" s="24"/>
      <c r="E1391" s="25"/>
      <c r="F1391" s="26"/>
      <c r="G1391" s="27"/>
      <c r="H1391" s="20"/>
      <c r="I1391" s="21"/>
      <c r="J1391" s="28"/>
      <c r="K1391" s="19"/>
    </row>
    <row r="1392" spans="1:11" ht="13.2">
      <c r="A1392" s="22"/>
      <c r="B1392" s="16"/>
      <c r="C1392" s="23"/>
      <c r="D1392" s="24"/>
      <c r="E1392" s="25"/>
      <c r="F1392" s="26"/>
      <c r="G1392" s="27"/>
      <c r="H1392" s="20"/>
      <c r="I1392" s="21"/>
      <c r="J1392" s="28"/>
      <c r="K1392" s="19"/>
    </row>
    <row r="1393" spans="1:11" ht="13.2">
      <c r="A1393" s="22"/>
      <c r="B1393" s="16"/>
      <c r="C1393" s="23"/>
      <c r="D1393" s="24"/>
      <c r="E1393" s="25"/>
      <c r="F1393" s="26"/>
      <c r="G1393" s="27"/>
      <c r="H1393" s="20"/>
      <c r="I1393" s="21"/>
      <c r="J1393" s="28"/>
      <c r="K1393" s="19"/>
    </row>
    <row r="1394" spans="1:11" ht="13.2">
      <c r="A1394" s="22"/>
      <c r="B1394" s="16"/>
      <c r="C1394" s="23"/>
      <c r="D1394" s="24"/>
      <c r="E1394" s="25"/>
      <c r="F1394" s="26"/>
      <c r="G1394" s="27"/>
      <c r="H1394" s="20"/>
      <c r="I1394" s="21"/>
      <c r="J1394" s="28"/>
      <c r="K1394" s="19"/>
    </row>
    <row r="1395" spans="1:11" ht="13.2">
      <c r="A1395" s="22"/>
      <c r="B1395" s="16"/>
      <c r="C1395" s="23"/>
      <c r="D1395" s="24"/>
      <c r="E1395" s="25"/>
      <c r="F1395" s="26"/>
      <c r="G1395" s="27"/>
      <c r="H1395" s="20"/>
      <c r="I1395" s="21"/>
      <c r="J1395" s="28"/>
      <c r="K1395" s="19"/>
    </row>
    <row r="1396" spans="1:11" ht="13.2">
      <c r="A1396" s="22"/>
      <c r="B1396" s="16"/>
      <c r="C1396" s="23"/>
      <c r="D1396" s="24"/>
      <c r="E1396" s="25"/>
      <c r="F1396" s="26"/>
      <c r="G1396" s="27"/>
      <c r="H1396" s="20"/>
      <c r="I1396" s="21"/>
      <c r="J1396" s="28"/>
      <c r="K1396" s="19"/>
    </row>
    <row r="1397" spans="1:11" ht="13.2">
      <c r="A1397" s="22"/>
      <c r="B1397" s="16"/>
      <c r="C1397" s="23"/>
      <c r="D1397" s="24"/>
      <c r="E1397" s="25"/>
      <c r="F1397" s="26"/>
      <c r="G1397" s="27"/>
      <c r="H1397" s="20"/>
      <c r="I1397" s="21"/>
      <c r="J1397" s="28"/>
      <c r="K1397" s="19"/>
    </row>
    <row r="1398" spans="1:11" ht="13.2">
      <c r="A1398" s="22"/>
      <c r="B1398" s="16"/>
      <c r="C1398" s="23"/>
      <c r="D1398" s="24"/>
      <c r="E1398" s="25"/>
      <c r="F1398" s="26"/>
      <c r="G1398" s="27"/>
      <c r="H1398" s="20"/>
      <c r="I1398" s="21"/>
      <c r="J1398" s="28"/>
      <c r="K1398" s="19"/>
    </row>
    <row r="1399" spans="1:11" ht="13.2">
      <c r="A1399" s="22"/>
      <c r="B1399" s="16"/>
      <c r="C1399" s="23"/>
      <c r="D1399" s="24"/>
      <c r="E1399" s="25"/>
      <c r="F1399" s="26"/>
      <c r="G1399" s="27"/>
      <c r="H1399" s="20"/>
      <c r="I1399" s="21"/>
      <c r="J1399" s="28"/>
      <c r="K1399" s="19"/>
    </row>
    <row r="1400" spans="1:11" ht="13.2">
      <c r="A1400" s="22"/>
      <c r="B1400" s="16"/>
      <c r="C1400" s="23"/>
      <c r="D1400" s="24"/>
      <c r="E1400" s="25"/>
      <c r="F1400" s="26"/>
      <c r="G1400" s="27"/>
      <c r="H1400" s="20"/>
      <c r="I1400" s="21"/>
      <c r="J1400" s="28"/>
      <c r="K1400" s="19"/>
    </row>
    <row r="1401" spans="1:11" ht="13.2">
      <c r="A1401" s="22"/>
      <c r="B1401" s="16"/>
      <c r="C1401" s="23"/>
      <c r="D1401" s="24"/>
      <c r="E1401" s="25"/>
      <c r="F1401" s="26"/>
      <c r="G1401" s="27"/>
      <c r="H1401" s="20"/>
      <c r="I1401" s="21"/>
      <c r="J1401" s="28"/>
      <c r="K1401" s="19"/>
    </row>
    <row r="1402" spans="1:11" ht="13.2">
      <c r="A1402" s="22"/>
      <c r="B1402" s="16"/>
      <c r="C1402" s="23"/>
      <c r="D1402" s="24"/>
      <c r="E1402" s="25"/>
      <c r="F1402" s="26"/>
      <c r="G1402" s="27"/>
      <c r="H1402" s="20"/>
      <c r="I1402" s="21"/>
      <c r="J1402" s="28"/>
      <c r="K1402" s="19"/>
    </row>
    <row r="1403" spans="1:11" ht="13.2">
      <c r="A1403" s="22"/>
      <c r="B1403" s="16"/>
      <c r="C1403" s="23"/>
      <c r="D1403" s="24"/>
      <c r="E1403" s="25"/>
      <c r="F1403" s="26"/>
      <c r="G1403" s="27"/>
      <c r="H1403" s="20"/>
      <c r="I1403" s="21"/>
      <c r="J1403" s="28"/>
      <c r="K1403" s="19"/>
    </row>
    <row r="1404" spans="1:11" ht="13.2">
      <c r="A1404" s="22"/>
      <c r="B1404" s="16"/>
      <c r="C1404" s="23"/>
      <c r="D1404" s="24"/>
      <c r="E1404" s="25"/>
      <c r="F1404" s="26"/>
      <c r="G1404" s="27"/>
      <c r="H1404" s="20"/>
      <c r="I1404" s="21"/>
      <c r="J1404" s="28"/>
      <c r="K1404" s="19"/>
    </row>
    <row r="1405" spans="1:11" ht="13.2">
      <c r="A1405" s="22"/>
      <c r="B1405" s="16"/>
      <c r="C1405" s="23"/>
      <c r="D1405" s="24"/>
      <c r="E1405" s="25"/>
      <c r="F1405" s="26"/>
      <c r="G1405" s="27"/>
      <c r="H1405" s="20"/>
      <c r="I1405" s="21"/>
      <c r="J1405" s="28"/>
      <c r="K1405" s="19"/>
    </row>
    <row r="1406" spans="1:11" ht="13.2">
      <c r="A1406" s="22"/>
      <c r="B1406" s="16"/>
      <c r="C1406" s="23"/>
      <c r="D1406" s="24"/>
      <c r="E1406" s="25"/>
      <c r="F1406" s="26"/>
      <c r="G1406" s="27"/>
      <c r="H1406" s="20"/>
      <c r="I1406" s="21"/>
      <c r="J1406" s="28"/>
      <c r="K1406" s="19"/>
    </row>
    <row r="1407" spans="1:11" ht="13.2">
      <c r="A1407" s="22"/>
      <c r="B1407" s="16"/>
      <c r="C1407" s="23"/>
      <c r="D1407" s="24"/>
      <c r="E1407" s="25"/>
      <c r="F1407" s="26"/>
      <c r="G1407" s="27"/>
      <c r="H1407" s="20"/>
      <c r="I1407" s="21"/>
      <c r="J1407" s="28"/>
      <c r="K1407" s="19"/>
    </row>
    <row r="1408" spans="1:11" ht="13.2">
      <c r="A1408" s="22"/>
      <c r="B1408" s="16"/>
      <c r="C1408" s="23"/>
      <c r="D1408" s="24"/>
      <c r="E1408" s="25"/>
      <c r="F1408" s="26"/>
      <c r="G1408" s="27"/>
      <c r="H1408" s="20"/>
      <c r="I1408" s="21"/>
      <c r="J1408" s="28"/>
      <c r="K1408" s="19"/>
    </row>
    <row r="1409" spans="1:11" ht="13.2">
      <c r="A1409" s="22"/>
      <c r="B1409" s="16"/>
      <c r="C1409" s="23"/>
      <c r="D1409" s="24"/>
      <c r="E1409" s="25"/>
      <c r="F1409" s="26"/>
      <c r="G1409" s="27"/>
      <c r="H1409" s="20"/>
      <c r="I1409" s="21"/>
      <c r="J1409" s="28"/>
      <c r="K1409" s="19"/>
    </row>
    <row r="1410" spans="1:11" ht="13.2">
      <c r="A1410" s="22"/>
      <c r="B1410" s="16"/>
      <c r="C1410" s="23"/>
      <c r="D1410" s="24"/>
      <c r="E1410" s="25"/>
      <c r="F1410" s="26"/>
      <c r="G1410" s="27"/>
      <c r="H1410" s="20"/>
      <c r="I1410" s="21"/>
      <c r="J1410" s="28"/>
      <c r="K1410" s="19"/>
    </row>
    <row r="1411" spans="1:11" ht="13.2">
      <c r="A1411" s="22"/>
      <c r="B1411" s="16"/>
      <c r="C1411" s="23"/>
      <c r="D1411" s="24"/>
      <c r="E1411" s="25"/>
      <c r="F1411" s="26"/>
      <c r="G1411" s="27"/>
      <c r="H1411" s="20"/>
      <c r="I1411" s="21"/>
      <c r="J1411" s="28"/>
      <c r="K1411" s="19"/>
    </row>
    <row r="1412" spans="1:11" ht="13.2">
      <c r="A1412" s="22"/>
      <c r="B1412" s="16"/>
      <c r="C1412" s="23"/>
      <c r="D1412" s="24"/>
      <c r="E1412" s="25"/>
      <c r="F1412" s="26"/>
      <c r="G1412" s="27"/>
      <c r="H1412" s="20"/>
      <c r="I1412" s="21"/>
      <c r="J1412" s="28"/>
      <c r="K1412" s="19"/>
    </row>
    <row r="1413" spans="1:11" ht="13.2">
      <c r="A1413" s="22"/>
      <c r="B1413" s="16"/>
      <c r="C1413" s="23"/>
      <c r="D1413" s="24"/>
      <c r="E1413" s="25"/>
      <c r="F1413" s="26"/>
      <c r="G1413" s="27"/>
      <c r="H1413" s="20"/>
      <c r="I1413" s="21"/>
      <c r="J1413" s="28"/>
      <c r="K1413" s="19"/>
    </row>
    <row r="1414" spans="1:11" ht="13.2">
      <c r="A1414" s="22"/>
      <c r="B1414" s="16"/>
      <c r="C1414" s="23"/>
      <c r="D1414" s="24"/>
      <c r="E1414" s="25"/>
      <c r="F1414" s="26"/>
      <c r="G1414" s="27"/>
      <c r="H1414" s="20"/>
      <c r="I1414" s="21"/>
      <c r="J1414" s="28"/>
      <c r="K1414" s="19"/>
    </row>
    <row r="1415" spans="1:11" ht="13.2">
      <c r="A1415" s="22"/>
      <c r="B1415" s="16"/>
      <c r="C1415" s="23"/>
      <c r="D1415" s="24"/>
      <c r="E1415" s="25"/>
      <c r="F1415" s="26"/>
      <c r="G1415" s="27"/>
      <c r="H1415" s="20"/>
      <c r="I1415" s="21"/>
      <c r="J1415" s="28"/>
      <c r="K1415" s="19"/>
    </row>
    <row r="1416" spans="1:11" ht="13.2">
      <c r="A1416" s="22"/>
      <c r="B1416" s="16"/>
      <c r="C1416" s="23"/>
      <c r="D1416" s="24"/>
      <c r="E1416" s="25"/>
      <c r="F1416" s="26"/>
      <c r="G1416" s="27"/>
      <c r="H1416" s="20"/>
      <c r="I1416" s="21"/>
      <c r="J1416" s="28"/>
      <c r="K1416" s="19"/>
    </row>
    <row r="1417" spans="1:11" ht="13.2">
      <c r="A1417" s="22"/>
      <c r="B1417" s="16"/>
      <c r="C1417" s="23"/>
      <c r="D1417" s="24"/>
      <c r="E1417" s="25"/>
      <c r="F1417" s="26"/>
      <c r="G1417" s="27"/>
      <c r="H1417" s="20"/>
      <c r="I1417" s="21"/>
      <c r="J1417" s="28"/>
      <c r="K1417" s="19"/>
    </row>
    <row r="1418" spans="1:11" ht="13.2">
      <c r="A1418" s="22"/>
      <c r="B1418" s="16"/>
      <c r="C1418" s="23"/>
      <c r="D1418" s="24"/>
      <c r="E1418" s="25"/>
      <c r="F1418" s="26"/>
      <c r="G1418" s="27"/>
      <c r="H1418" s="20"/>
      <c r="I1418" s="21"/>
      <c r="J1418" s="28"/>
      <c r="K1418" s="19"/>
    </row>
    <row r="1419" spans="1:11" ht="13.2">
      <c r="A1419" s="22"/>
      <c r="B1419" s="16"/>
      <c r="C1419" s="23"/>
      <c r="D1419" s="24"/>
      <c r="E1419" s="25"/>
      <c r="F1419" s="26"/>
      <c r="G1419" s="27"/>
      <c r="H1419" s="20"/>
      <c r="I1419" s="21"/>
      <c r="J1419" s="28"/>
      <c r="K1419" s="19"/>
    </row>
    <row r="1420" spans="1:11" ht="13.2">
      <c r="A1420" s="22"/>
      <c r="B1420" s="16"/>
      <c r="C1420" s="23"/>
      <c r="D1420" s="24"/>
      <c r="E1420" s="25"/>
      <c r="F1420" s="26"/>
      <c r="G1420" s="27"/>
      <c r="H1420" s="20"/>
      <c r="I1420" s="21"/>
      <c r="J1420" s="28"/>
      <c r="K1420" s="19"/>
    </row>
    <row r="1421" spans="1:11" ht="13.2">
      <c r="A1421" s="22"/>
      <c r="B1421" s="16"/>
      <c r="C1421" s="23"/>
      <c r="D1421" s="24"/>
      <c r="E1421" s="25"/>
      <c r="F1421" s="26"/>
      <c r="G1421" s="27"/>
      <c r="H1421" s="20"/>
      <c r="I1421" s="21"/>
      <c r="J1421" s="28"/>
      <c r="K1421" s="19"/>
    </row>
    <row r="1422" spans="1:11" ht="13.2">
      <c r="A1422" s="22"/>
      <c r="B1422" s="16"/>
      <c r="C1422" s="23"/>
      <c r="D1422" s="24"/>
      <c r="E1422" s="25"/>
      <c r="F1422" s="26"/>
      <c r="G1422" s="27"/>
      <c r="H1422" s="20"/>
      <c r="I1422" s="21"/>
      <c r="J1422" s="28"/>
      <c r="K1422" s="19"/>
    </row>
    <row r="1423" spans="1:11" ht="13.2">
      <c r="A1423" s="22"/>
      <c r="B1423" s="16"/>
      <c r="C1423" s="23"/>
      <c r="D1423" s="24"/>
      <c r="E1423" s="25"/>
      <c r="F1423" s="26"/>
      <c r="G1423" s="27"/>
      <c r="H1423" s="20"/>
      <c r="I1423" s="21"/>
      <c r="J1423" s="28"/>
      <c r="K1423" s="19"/>
    </row>
    <row r="1424" spans="1:11" ht="13.2">
      <c r="A1424" s="22"/>
      <c r="B1424" s="16"/>
      <c r="C1424" s="23"/>
      <c r="D1424" s="24"/>
      <c r="E1424" s="25"/>
      <c r="F1424" s="26"/>
      <c r="G1424" s="27"/>
      <c r="H1424" s="20"/>
      <c r="I1424" s="21"/>
      <c r="J1424" s="28"/>
      <c r="K1424" s="19"/>
    </row>
    <row r="1425" spans="1:11" ht="13.2">
      <c r="A1425" s="22"/>
      <c r="B1425" s="16"/>
      <c r="C1425" s="23"/>
      <c r="D1425" s="24"/>
      <c r="E1425" s="25"/>
      <c r="F1425" s="26"/>
      <c r="G1425" s="27"/>
      <c r="H1425" s="20"/>
      <c r="I1425" s="21"/>
      <c r="J1425" s="28"/>
      <c r="K1425" s="19"/>
    </row>
    <row r="1426" spans="1:11" ht="13.2">
      <c r="A1426" s="22"/>
      <c r="B1426" s="16"/>
      <c r="C1426" s="23"/>
      <c r="D1426" s="24"/>
      <c r="E1426" s="25"/>
      <c r="F1426" s="26"/>
      <c r="G1426" s="27"/>
      <c r="H1426" s="20"/>
      <c r="I1426" s="21"/>
      <c r="J1426" s="28"/>
      <c r="K1426" s="19"/>
    </row>
    <row r="1427" spans="1:11" ht="13.2">
      <c r="A1427" s="22"/>
      <c r="B1427" s="16"/>
      <c r="C1427" s="23"/>
      <c r="D1427" s="24"/>
      <c r="E1427" s="25"/>
      <c r="F1427" s="26"/>
      <c r="G1427" s="27"/>
      <c r="H1427" s="20"/>
      <c r="I1427" s="21"/>
      <c r="J1427" s="28"/>
      <c r="K1427" s="19"/>
    </row>
    <row r="1428" spans="1:11" ht="13.2">
      <c r="A1428" s="22"/>
      <c r="B1428" s="16"/>
      <c r="C1428" s="23"/>
      <c r="D1428" s="24"/>
      <c r="E1428" s="25"/>
      <c r="F1428" s="26"/>
      <c r="G1428" s="27"/>
      <c r="H1428" s="20"/>
      <c r="I1428" s="21"/>
      <c r="J1428" s="28"/>
      <c r="K1428" s="19"/>
    </row>
    <row r="1429" spans="1:11" ht="13.2">
      <c r="A1429" s="22"/>
      <c r="B1429" s="16"/>
      <c r="C1429" s="23"/>
      <c r="D1429" s="24"/>
      <c r="E1429" s="25"/>
      <c r="F1429" s="26"/>
      <c r="G1429" s="27"/>
      <c r="H1429" s="20"/>
      <c r="I1429" s="21"/>
      <c r="J1429" s="28"/>
      <c r="K1429" s="19"/>
    </row>
    <row r="1430" spans="1:11" ht="13.2">
      <c r="A1430" s="22"/>
      <c r="B1430" s="16"/>
      <c r="C1430" s="23"/>
      <c r="D1430" s="24"/>
      <c r="E1430" s="25"/>
      <c r="F1430" s="26"/>
      <c r="G1430" s="27"/>
      <c r="H1430" s="20"/>
      <c r="I1430" s="21"/>
      <c r="J1430" s="28"/>
      <c r="K1430" s="19"/>
    </row>
    <row r="1431" spans="1:11" ht="13.2">
      <c r="A1431" s="22"/>
      <c r="B1431" s="16"/>
      <c r="C1431" s="23"/>
      <c r="D1431" s="24"/>
      <c r="E1431" s="25"/>
      <c r="F1431" s="26"/>
      <c r="G1431" s="27"/>
      <c r="H1431" s="20"/>
      <c r="I1431" s="21"/>
      <c r="J1431" s="28"/>
      <c r="K1431" s="19"/>
    </row>
    <row r="1432" spans="1:11" ht="13.2">
      <c r="A1432" s="22"/>
      <c r="B1432" s="16"/>
      <c r="C1432" s="23"/>
      <c r="D1432" s="24"/>
      <c r="E1432" s="25"/>
      <c r="F1432" s="26"/>
      <c r="G1432" s="27"/>
      <c r="H1432" s="20"/>
      <c r="I1432" s="21"/>
      <c r="J1432" s="28"/>
      <c r="K1432" s="19"/>
    </row>
    <row r="1433" spans="1:11" ht="13.2">
      <c r="A1433" s="22"/>
      <c r="B1433" s="16"/>
      <c r="C1433" s="23"/>
      <c r="D1433" s="24"/>
      <c r="E1433" s="25"/>
      <c r="F1433" s="26"/>
      <c r="G1433" s="27"/>
      <c r="H1433" s="20"/>
      <c r="I1433" s="21"/>
      <c r="J1433" s="28"/>
      <c r="K1433" s="19"/>
    </row>
    <row r="1434" spans="1:11" ht="13.2">
      <c r="A1434" s="22"/>
      <c r="B1434" s="16"/>
      <c r="C1434" s="23"/>
      <c r="D1434" s="24"/>
      <c r="E1434" s="25"/>
      <c r="F1434" s="26"/>
      <c r="G1434" s="27"/>
      <c r="H1434" s="20"/>
      <c r="I1434" s="21"/>
      <c r="J1434" s="28"/>
      <c r="K1434" s="19"/>
    </row>
    <row r="1435" spans="1:11" ht="13.2">
      <c r="A1435" s="22"/>
      <c r="B1435" s="16"/>
      <c r="C1435" s="23"/>
      <c r="D1435" s="24"/>
      <c r="E1435" s="25"/>
      <c r="F1435" s="26"/>
      <c r="G1435" s="27"/>
      <c r="H1435" s="20"/>
      <c r="I1435" s="21"/>
      <c r="J1435" s="28"/>
      <c r="K1435" s="19"/>
    </row>
    <row r="1436" spans="1:11" ht="13.2">
      <c r="A1436" s="22"/>
      <c r="B1436" s="16"/>
      <c r="C1436" s="23"/>
      <c r="D1436" s="24"/>
      <c r="E1436" s="25"/>
      <c r="F1436" s="26"/>
      <c r="G1436" s="27"/>
      <c r="H1436" s="20"/>
      <c r="I1436" s="21"/>
      <c r="J1436" s="28"/>
      <c r="K1436" s="19"/>
    </row>
    <row r="1437" spans="1:11" ht="13.2">
      <c r="A1437" s="22"/>
      <c r="B1437" s="16"/>
      <c r="C1437" s="23"/>
      <c r="D1437" s="24"/>
      <c r="E1437" s="25"/>
      <c r="F1437" s="26"/>
      <c r="G1437" s="27"/>
      <c r="H1437" s="20"/>
      <c r="I1437" s="21"/>
      <c r="J1437" s="28"/>
      <c r="K1437" s="19"/>
    </row>
    <row r="1438" spans="1:11" ht="13.2">
      <c r="A1438" s="22"/>
      <c r="B1438" s="16"/>
      <c r="C1438" s="23"/>
      <c r="D1438" s="24"/>
      <c r="E1438" s="25"/>
      <c r="F1438" s="26"/>
      <c r="G1438" s="27"/>
      <c r="H1438" s="20"/>
      <c r="I1438" s="21"/>
      <c r="J1438" s="28"/>
      <c r="K1438" s="19"/>
    </row>
    <row r="1439" spans="1:11" ht="13.2">
      <c r="A1439" s="22"/>
      <c r="B1439" s="16"/>
      <c r="C1439" s="23"/>
      <c r="D1439" s="24"/>
      <c r="E1439" s="25"/>
      <c r="F1439" s="26"/>
      <c r="G1439" s="27"/>
      <c r="H1439" s="20"/>
      <c r="I1439" s="21"/>
      <c r="J1439" s="28"/>
      <c r="K1439" s="19"/>
    </row>
    <row r="1440" spans="1:11" ht="13.2">
      <c r="A1440" s="22"/>
      <c r="B1440" s="16"/>
      <c r="C1440" s="23"/>
      <c r="D1440" s="24"/>
      <c r="E1440" s="25"/>
      <c r="F1440" s="26"/>
      <c r="G1440" s="27"/>
      <c r="H1440" s="20"/>
      <c r="I1440" s="21"/>
      <c r="J1440" s="28"/>
      <c r="K1440" s="19"/>
    </row>
    <row r="1441" spans="1:11" ht="13.2">
      <c r="A1441" s="22"/>
      <c r="B1441" s="16"/>
      <c r="C1441" s="23"/>
      <c r="D1441" s="24"/>
      <c r="E1441" s="25"/>
      <c r="F1441" s="26"/>
      <c r="G1441" s="27"/>
      <c r="H1441" s="20"/>
      <c r="I1441" s="21"/>
      <c r="J1441" s="28"/>
      <c r="K1441" s="19"/>
    </row>
    <row r="1442" spans="1:11" ht="13.2">
      <c r="A1442" s="22"/>
      <c r="B1442" s="16"/>
      <c r="C1442" s="23"/>
      <c r="D1442" s="24"/>
      <c r="E1442" s="25"/>
      <c r="F1442" s="26"/>
      <c r="G1442" s="27"/>
      <c r="H1442" s="20"/>
      <c r="I1442" s="21"/>
      <c r="J1442" s="28"/>
      <c r="K1442" s="19"/>
    </row>
    <row r="1443" spans="1:11" ht="13.2">
      <c r="A1443" s="22"/>
      <c r="B1443" s="16"/>
      <c r="C1443" s="23"/>
      <c r="D1443" s="24"/>
      <c r="E1443" s="25"/>
      <c r="F1443" s="26"/>
      <c r="G1443" s="27"/>
      <c r="H1443" s="20"/>
      <c r="I1443" s="21"/>
      <c r="J1443" s="28"/>
      <c r="K1443" s="19"/>
    </row>
    <row r="1444" spans="1:11" ht="13.2">
      <c r="A1444" s="22"/>
      <c r="B1444" s="16"/>
      <c r="C1444" s="23"/>
      <c r="D1444" s="24"/>
      <c r="E1444" s="25"/>
      <c r="F1444" s="26"/>
      <c r="G1444" s="27"/>
      <c r="H1444" s="20"/>
      <c r="I1444" s="21"/>
      <c r="J1444" s="28"/>
      <c r="K1444" s="19"/>
    </row>
    <row r="1445" spans="1:11" ht="13.2">
      <c r="A1445" s="22"/>
      <c r="B1445" s="16"/>
      <c r="C1445" s="23"/>
      <c r="D1445" s="24"/>
      <c r="E1445" s="25"/>
      <c r="F1445" s="26"/>
      <c r="G1445" s="27"/>
      <c r="H1445" s="20"/>
      <c r="I1445" s="21"/>
      <c r="J1445" s="28"/>
      <c r="K1445" s="19"/>
    </row>
    <row r="1446" spans="1:11" ht="13.2">
      <c r="A1446" s="22"/>
      <c r="B1446" s="16"/>
      <c r="C1446" s="23"/>
      <c r="D1446" s="24"/>
      <c r="E1446" s="25"/>
      <c r="F1446" s="26"/>
      <c r="G1446" s="27"/>
      <c r="H1446" s="20"/>
      <c r="I1446" s="21"/>
      <c r="J1446" s="28"/>
      <c r="K1446" s="19"/>
    </row>
    <row r="1447" spans="1:11" ht="13.2">
      <c r="A1447" s="22"/>
      <c r="B1447" s="16"/>
      <c r="C1447" s="23"/>
      <c r="D1447" s="24"/>
      <c r="E1447" s="25"/>
      <c r="F1447" s="26"/>
      <c r="G1447" s="27"/>
      <c r="H1447" s="20"/>
      <c r="I1447" s="21"/>
      <c r="J1447" s="28"/>
      <c r="K1447" s="19"/>
    </row>
    <row r="1448" spans="1:11" ht="13.2">
      <c r="A1448" s="22"/>
      <c r="B1448" s="16"/>
      <c r="C1448" s="23"/>
      <c r="D1448" s="24"/>
      <c r="E1448" s="25"/>
      <c r="F1448" s="26"/>
      <c r="G1448" s="27"/>
      <c r="H1448" s="20"/>
      <c r="I1448" s="21"/>
      <c r="J1448" s="28"/>
      <c r="K1448" s="19"/>
    </row>
    <row r="1449" spans="1:11" ht="13.2">
      <c r="A1449" s="22"/>
      <c r="B1449" s="16"/>
      <c r="C1449" s="23"/>
      <c r="D1449" s="24"/>
      <c r="E1449" s="25"/>
      <c r="F1449" s="26"/>
      <c r="G1449" s="27"/>
      <c r="H1449" s="20"/>
      <c r="I1449" s="21"/>
      <c r="J1449" s="28"/>
      <c r="K1449" s="19"/>
    </row>
    <row r="1450" spans="1:11" ht="13.2">
      <c r="A1450" s="22"/>
      <c r="B1450" s="16"/>
      <c r="C1450" s="23"/>
      <c r="D1450" s="24"/>
      <c r="E1450" s="25"/>
      <c r="F1450" s="26"/>
      <c r="G1450" s="27"/>
      <c r="H1450" s="20"/>
      <c r="I1450" s="21"/>
      <c r="J1450" s="28"/>
      <c r="K1450" s="19"/>
    </row>
    <row r="1451" spans="1:11" ht="13.2">
      <c r="A1451" s="22"/>
      <c r="B1451" s="16"/>
      <c r="C1451" s="23"/>
      <c r="D1451" s="24"/>
      <c r="E1451" s="25"/>
      <c r="F1451" s="26"/>
      <c r="G1451" s="27"/>
      <c r="H1451" s="20"/>
      <c r="I1451" s="21"/>
      <c r="J1451" s="28"/>
      <c r="K1451" s="19"/>
    </row>
    <row r="1452" spans="1:11" ht="13.2">
      <c r="A1452" s="22"/>
      <c r="B1452" s="16"/>
      <c r="C1452" s="23"/>
      <c r="D1452" s="24"/>
      <c r="E1452" s="25"/>
      <c r="F1452" s="26"/>
      <c r="G1452" s="27"/>
      <c r="H1452" s="20"/>
      <c r="I1452" s="21"/>
      <c r="J1452" s="28"/>
      <c r="K1452" s="19"/>
    </row>
    <row r="1453" spans="1:11" ht="13.2">
      <c r="A1453" s="22"/>
      <c r="B1453" s="16"/>
      <c r="C1453" s="23"/>
      <c r="D1453" s="24"/>
      <c r="E1453" s="25"/>
      <c r="F1453" s="26"/>
      <c r="G1453" s="27"/>
      <c r="H1453" s="20"/>
      <c r="I1453" s="21"/>
      <c r="J1453" s="28"/>
      <c r="K1453" s="19"/>
    </row>
    <row r="1454" spans="1:11" ht="13.2">
      <c r="A1454" s="22"/>
      <c r="B1454" s="16"/>
      <c r="C1454" s="23"/>
      <c r="D1454" s="24"/>
      <c r="E1454" s="25"/>
      <c r="F1454" s="26"/>
      <c r="G1454" s="27"/>
      <c r="H1454" s="20"/>
      <c r="I1454" s="21"/>
      <c r="J1454" s="28"/>
      <c r="K1454" s="19"/>
    </row>
    <row r="1455" spans="1:11" ht="13.2">
      <c r="A1455" s="22"/>
      <c r="B1455" s="16"/>
      <c r="C1455" s="23"/>
      <c r="D1455" s="24"/>
      <c r="E1455" s="25"/>
      <c r="F1455" s="26"/>
      <c r="G1455" s="27"/>
      <c r="H1455" s="20"/>
      <c r="I1455" s="21"/>
      <c r="J1455" s="28"/>
      <c r="K1455" s="19"/>
    </row>
    <row r="1456" spans="1:11" ht="13.2">
      <c r="A1456" s="22"/>
      <c r="B1456" s="16"/>
      <c r="C1456" s="23"/>
      <c r="D1456" s="24"/>
      <c r="E1456" s="25"/>
      <c r="F1456" s="26"/>
      <c r="G1456" s="27"/>
      <c r="H1456" s="20"/>
      <c r="I1456" s="21"/>
      <c r="J1456" s="28"/>
      <c r="K1456" s="19"/>
    </row>
    <row r="1457" spans="1:11" ht="13.2">
      <c r="A1457" s="22"/>
      <c r="B1457" s="16"/>
      <c r="C1457" s="23"/>
      <c r="D1457" s="24"/>
      <c r="E1457" s="25"/>
      <c r="F1457" s="26"/>
      <c r="G1457" s="27"/>
      <c r="H1457" s="20"/>
      <c r="I1457" s="21"/>
      <c r="J1457" s="28"/>
      <c r="K1457" s="19"/>
    </row>
    <row r="1458" spans="1:11" ht="13.2">
      <c r="A1458" s="22"/>
      <c r="B1458" s="16"/>
      <c r="C1458" s="23"/>
      <c r="D1458" s="24"/>
      <c r="E1458" s="25"/>
      <c r="F1458" s="26"/>
      <c r="G1458" s="27"/>
      <c r="H1458" s="20"/>
      <c r="I1458" s="21"/>
      <c r="J1458" s="28"/>
      <c r="K1458" s="19"/>
    </row>
    <row r="1459" spans="1:11" ht="13.2">
      <c r="A1459" s="22"/>
      <c r="B1459" s="16"/>
      <c r="C1459" s="23"/>
      <c r="D1459" s="24"/>
      <c r="E1459" s="25"/>
      <c r="F1459" s="26"/>
      <c r="G1459" s="27"/>
      <c r="H1459" s="20"/>
      <c r="I1459" s="21"/>
      <c r="J1459" s="28"/>
      <c r="K1459" s="19"/>
    </row>
    <row r="1460" spans="1:11" ht="13.2">
      <c r="A1460" s="22"/>
      <c r="B1460" s="16"/>
      <c r="C1460" s="23"/>
      <c r="D1460" s="24"/>
      <c r="E1460" s="25"/>
      <c r="F1460" s="26"/>
      <c r="G1460" s="27"/>
      <c r="H1460" s="20"/>
      <c r="I1460" s="21"/>
      <c r="J1460" s="28"/>
      <c r="K1460" s="19"/>
    </row>
    <row r="1461" spans="1:11" ht="13.2">
      <c r="A1461" s="22"/>
      <c r="B1461" s="16"/>
      <c r="C1461" s="23"/>
      <c r="D1461" s="24"/>
      <c r="E1461" s="25"/>
      <c r="F1461" s="26"/>
      <c r="G1461" s="27"/>
      <c r="H1461" s="20"/>
      <c r="I1461" s="21"/>
      <c r="J1461" s="28"/>
      <c r="K1461" s="19"/>
    </row>
    <row r="1462" spans="1:11" ht="13.2">
      <c r="A1462" s="22"/>
      <c r="B1462" s="16"/>
      <c r="C1462" s="23"/>
      <c r="D1462" s="24"/>
      <c r="E1462" s="25"/>
      <c r="F1462" s="26"/>
      <c r="G1462" s="27"/>
      <c r="H1462" s="20"/>
      <c r="I1462" s="21"/>
      <c r="J1462" s="28"/>
      <c r="K1462" s="19"/>
    </row>
    <row r="1463" spans="1:11" ht="13.2">
      <c r="A1463" s="22"/>
      <c r="B1463" s="16"/>
      <c r="C1463" s="23"/>
      <c r="D1463" s="24"/>
      <c r="E1463" s="25"/>
      <c r="F1463" s="26"/>
      <c r="G1463" s="27"/>
      <c r="H1463" s="20"/>
      <c r="I1463" s="21"/>
      <c r="J1463" s="28"/>
      <c r="K1463" s="19"/>
    </row>
    <row r="1464" spans="1:11" ht="13.2">
      <c r="A1464" s="22"/>
      <c r="B1464" s="16"/>
      <c r="C1464" s="23"/>
      <c r="D1464" s="24"/>
      <c r="E1464" s="25"/>
      <c r="F1464" s="26"/>
      <c r="G1464" s="27"/>
      <c r="H1464" s="20"/>
      <c r="I1464" s="21"/>
      <c r="J1464" s="28"/>
      <c r="K1464" s="19"/>
    </row>
    <row r="1465" spans="1:11" ht="13.2">
      <c r="A1465" s="22"/>
      <c r="B1465" s="16"/>
      <c r="C1465" s="23"/>
      <c r="D1465" s="24"/>
      <c r="E1465" s="25"/>
      <c r="F1465" s="26"/>
      <c r="G1465" s="27"/>
      <c r="H1465" s="20"/>
      <c r="I1465" s="21"/>
      <c r="J1465" s="28"/>
      <c r="K1465" s="19"/>
    </row>
    <row r="1466" spans="1:11" ht="13.2">
      <c r="A1466" s="22"/>
      <c r="B1466" s="16"/>
      <c r="C1466" s="23"/>
      <c r="D1466" s="24"/>
      <c r="E1466" s="25"/>
      <c r="F1466" s="26"/>
      <c r="G1466" s="27"/>
      <c r="H1466" s="20"/>
      <c r="I1466" s="21"/>
      <c r="J1466" s="28"/>
      <c r="K1466" s="19"/>
    </row>
    <row r="1467" spans="1:11" ht="13.2">
      <c r="A1467" s="22"/>
      <c r="B1467" s="16"/>
      <c r="C1467" s="23"/>
      <c r="D1467" s="24"/>
      <c r="E1467" s="25"/>
      <c r="F1467" s="26"/>
      <c r="G1467" s="27"/>
      <c r="H1467" s="20"/>
      <c r="I1467" s="21"/>
      <c r="J1467" s="28"/>
      <c r="K1467" s="19"/>
    </row>
    <row r="1468" spans="1:11" ht="13.2">
      <c r="A1468" s="22"/>
      <c r="B1468" s="16"/>
      <c r="C1468" s="23"/>
      <c r="D1468" s="24"/>
      <c r="E1468" s="25"/>
      <c r="F1468" s="26"/>
      <c r="G1468" s="27"/>
      <c r="H1468" s="20"/>
      <c r="I1468" s="21"/>
      <c r="J1468" s="28"/>
      <c r="K1468" s="19"/>
    </row>
    <row r="1469" spans="1:11" ht="13.2">
      <c r="A1469" s="22"/>
      <c r="B1469" s="16"/>
      <c r="C1469" s="23"/>
      <c r="D1469" s="24"/>
      <c r="E1469" s="25"/>
      <c r="F1469" s="26"/>
      <c r="G1469" s="27"/>
      <c r="H1469" s="20"/>
      <c r="I1469" s="21"/>
      <c r="J1469" s="28"/>
      <c r="K1469" s="19"/>
    </row>
    <row r="1470" spans="1:11" ht="13.2">
      <c r="A1470" s="22"/>
      <c r="B1470" s="16"/>
      <c r="C1470" s="23"/>
      <c r="D1470" s="24"/>
      <c r="E1470" s="25"/>
      <c r="F1470" s="26"/>
      <c r="G1470" s="27"/>
      <c r="H1470" s="20"/>
      <c r="I1470" s="21"/>
      <c r="J1470" s="28"/>
      <c r="K1470" s="19"/>
    </row>
    <row r="1471" spans="1:11" ht="13.2">
      <c r="A1471" s="22"/>
      <c r="B1471" s="16"/>
      <c r="C1471" s="23"/>
      <c r="D1471" s="24"/>
      <c r="E1471" s="25"/>
      <c r="F1471" s="26"/>
      <c r="G1471" s="27"/>
      <c r="H1471" s="20"/>
      <c r="I1471" s="21"/>
      <c r="J1471" s="28"/>
      <c r="K1471" s="19"/>
    </row>
    <row r="1472" spans="1:11" ht="13.2">
      <c r="A1472" s="22"/>
      <c r="B1472" s="16"/>
      <c r="C1472" s="23"/>
      <c r="D1472" s="24"/>
      <c r="E1472" s="25"/>
      <c r="F1472" s="26"/>
      <c r="G1472" s="27"/>
      <c r="H1472" s="20"/>
      <c r="I1472" s="21"/>
      <c r="J1472" s="28"/>
      <c r="K1472" s="19"/>
    </row>
    <row r="1473" spans="1:11" ht="13.2">
      <c r="A1473" s="22"/>
      <c r="B1473" s="16"/>
      <c r="C1473" s="23"/>
      <c r="D1473" s="24"/>
      <c r="E1473" s="25"/>
      <c r="F1473" s="26"/>
      <c r="G1473" s="27"/>
      <c r="H1473" s="20"/>
      <c r="I1473" s="21"/>
      <c r="J1473" s="28"/>
      <c r="K1473" s="19"/>
    </row>
    <row r="1474" spans="1:11" ht="13.2">
      <c r="A1474" s="22"/>
      <c r="B1474" s="16"/>
      <c r="C1474" s="23"/>
      <c r="D1474" s="24"/>
      <c r="E1474" s="25"/>
      <c r="F1474" s="26"/>
      <c r="G1474" s="27"/>
      <c r="H1474" s="20"/>
      <c r="I1474" s="21"/>
      <c r="J1474" s="28"/>
      <c r="K1474" s="19"/>
    </row>
    <row r="1475" spans="1:11" ht="13.2">
      <c r="A1475" s="22"/>
      <c r="B1475" s="16"/>
      <c r="C1475" s="23"/>
      <c r="D1475" s="24"/>
      <c r="E1475" s="25"/>
      <c r="F1475" s="26"/>
      <c r="G1475" s="27"/>
      <c r="H1475" s="20"/>
      <c r="I1475" s="21"/>
      <c r="J1475" s="28"/>
      <c r="K1475" s="19"/>
    </row>
    <row r="1476" spans="1:11" ht="13.2">
      <c r="A1476" s="22"/>
      <c r="B1476" s="16"/>
      <c r="C1476" s="23"/>
      <c r="D1476" s="24"/>
      <c r="E1476" s="25"/>
      <c r="F1476" s="26"/>
      <c r="G1476" s="27"/>
      <c r="H1476" s="20"/>
      <c r="I1476" s="21"/>
      <c r="J1476" s="28"/>
      <c r="K1476" s="19"/>
    </row>
    <row r="1477" spans="1:11" ht="13.2">
      <c r="A1477" s="22"/>
      <c r="B1477" s="16"/>
      <c r="C1477" s="23"/>
      <c r="D1477" s="24"/>
      <c r="E1477" s="25"/>
      <c r="F1477" s="26"/>
      <c r="G1477" s="27"/>
      <c r="H1477" s="20"/>
      <c r="I1477" s="21"/>
      <c r="J1477" s="28"/>
      <c r="K1477" s="19"/>
    </row>
    <row r="1478" spans="1:11" ht="13.2">
      <c r="A1478" s="22"/>
      <c r="B1478" s="16"/>
      <c r="C1478" s="23"/>
      <c r="D1478" s="24"/>
      <c r="E1478" s="25"/>
      <c r="F1478" s="26"/>
      <c r="G1478" s="27"/>
      <c r="H1478" s="20"/>
      <c r="I1478" s="21"/>
      <c r="J1478" s="28"/>
      <c r="K1478" s="19"/>
    </row>
    <row r="1479" spans="1:11" ht="13.2">
      <c r="A1479" s="22"/>
      <c r="B1479" s="16"/>
      <c r="C1479" s="23"/>
      <c r="D1479" s="24"/>
      <c r="E1479" s="25"/>
      <c r="F1479" s="26"/>
      <c r="G1479" s="27"/>
      <c r="H1479" s="20"/>
      <c r="I1479" s="21"/>
      <c r="J1479" s="28"/>
      <c r="K1479" s="19"/>
    </row>
    <row r="1480" spans="1:11" ht="13.2">
      <c r="A1480" s="22"/>
      <c r="B1480" s="16"/>
      <c r="C1480" s="23"/>
      <c r="D1480" s="24"/>
      <c r="E1480" s="25"/>
      <c r="F1480" s="26"/>
      <c r="G1480" s="27"/>
      <c r="H1480" s="20"/>
      <c r="I1480" s="21"/>
      <c r="J1480" s="28"/>
      <c r="K1480" s="19"/>
    </row>
    <row r="1481" spans="1:11" ht="13.2">
      <c r="A1481" s="22"/>
      <c r="B1481" s="16"/>
      <c r="C1481" s="23"/>
      <c r="D1481" s="24"/>
      <c r="E1481" s="25"/>
      <c r="F1481" s="26"/>
      <c r="G1481" s="27"/>
      <c r="H1481" s="20"/>
      <c r="I1481" s="21"/>
      <c r="J1481" s="28"/>
      <c r="K1481" s="19"/>
    </row>
    <row r="1482" spans="1:11" ht="13.2">
      <c r="A1482" s="22"/>
      <c r="B1482" s="16"/>
      <c r="C1482" s="23"/>
      <c r="D1482" s="24"/>
      <c r="E1482" s="25"/>
      <c r="F1482" s="26"/>
      <c r="G1482" s="27"/>
      <c r="H1482" s="20"/>
      <c r="I1482" s="21"/>
      <c r="J1482" s="28"/>
      <c r="K1482" s="19"/>
    </row>
    <row r="1483" spans="1:11" ht="13.2">
      <c r="A1483" s="22"/>
      <c r="B1483" s="16"/>
      <c r="C1483" s="23"/>
      <c r="D1483" s="24"/>
      <c r="E1483" s="25"/>
      <c r="F1483" s="26"/>
      <c r="G1483" s="27"/>
      <c r="H1483" s="20"/>
      <c r="I1483" s="21"/>
      <c r="J1483" s="28"/>
      <c r="K1483" s="19"/>
    </row>
    <row r="1484" spans="1:11" ht="13.2">
      <c r="A1484" s="22"/>
      <c r="B1484" s="16"/>
      <c r="C1484" s="23"/>
      <c r="D1484" s="24"/>
      <c r="E1484" s="25"/>
      <c r="F1484" s="26"/>
      <c r="G1484" s="27"/>
      <c r="H1484" s="20"/>
      <c r="I1484" s="21"/>
      <c r="J1484" s="28"/>
      <c r="K1484" s="19"/>
    </row>
    <row r="1485" spans="1:11" ht="13.2">
      <c r="A1485" s="22"/>
      <c r="B1485" s="16"/>
      <c r="C1485" s="23"/>
      <c r="D1485" s="24"/>
      <c r="E1485" s="25"/>
      <c r="F1485" s="26"/>
      <c r="G1485" s="27"/>
      <c r="H1485" s="20"/>
      <c r="I1485" s="21"/>
      <c r="J1485" s="28"/>
      <c r="K1485" s="19"/>
    </row>
    <row r="1486" spans="1:11" ht="13.2">
      <c r="A1486" s="22"/>
      <c r="B1486" s="16"/>
      <c r="C1486" s="23"/>
      <c r="D1486" s="24"/>
      <c r="E1486" s="25"/>
      <c r="F1486" s="26"/>
      <c r="G1486" s="27"/>
      <c r="H1486" s="20"/>
      <c r="I1486" s="21"/>
      <c r="J1486" s="28"/>
      <c r="K1486" s="19"/>
    </row>
    <row r="1487" spans="1:11" ht="13.2">
      <c r="A1487" s="22"/>
      <c r="B1487" s="16"/>
      <c r="C1487" s="23"/>
      <c r="D1487" s="24"/>
      <c r="E1487" s="25"/>
      <c r="F1487" s="26"/>
      <c r="G1487" s="27"/>
      <c r="H1487" s="20"/>
      <c r="I1487" s="21"/>
      <c r="J1487" s="28"/>
      <c r="K1487" s="19"/>
    </row>
    <row r="1488" spans="1:11" ht="13.2">
      <c r="A1488" s="22"/>
      <c r="B1488" s="16"/>
      <c r="C1488" s="23"/>
      <c r="D1488" s="24"/>
      <c r="E1488" s="25"/>
      <c r="F1488" s="26"/>
      <c r="G1488" s="27"/>
      <c r="H1488" s="20"/>
      <c r="I1488" s="21"/>
      <c r="J1488" s="28"/>
      <c r="K1488" s="19"/>
    </row>
    <row r="1489" spans="1:11" ht="13.2">
      <c r="A1489" s="22"/>
      <c r="B1489" s="16"/>
      <c r="C1489" s="23"/>
      <c r="D1489" s="24"/>
      <c r="E1489" s="25"/>
      <c r="F1489" s="26"/>
      <c r="G1489" s="27"/>
      <c r="H1489" s="20"/>
      <c r="I1489" s="21"/>
      <c r="J1489" s="28"/>
      <c r="K1489" s="19"/>
    </row>
    <row r="1490" spans="1:11" ht="13.2">
      <c r="A1490" s="22"/>
      <c r="B1490" s="16"/>
      <c r="C1490" s="23"/>
      <c r="D1490" s="24"/>
      <c r="E1490" s="25"/>
      <c r="F1490" s="26"/>
      <c r="G1490" s="27"/>
      <c r="H1490" s="20"/>
      <c r="I1490" s="21"/>
      <c r="J1490" s="28"/>
      <c r="K1490" s="19"/>
    </row>
    <row r="1491" spans="1:11" ht="13.2">
      <c r="A1491" s="22"/>
      <c r="B1491" s="16"/>
      <c r="C1491" s="23"/>
      <c r="D1491" s="24"/>
      <c r="E1491" s="25"/>
      <c r="F1491" s="26"/>
      <c r="G1491" s="27"/>
      <c r="H1491" s="20"/>
      <c r="I1491" s="21"/>
      <c r="J1491" s="28"/>
      <c r="K1491" s="19"/>
    </row>
    <row r="1492" spans="1:11" ht="13.2">
      <c r="A1492" s="22"/>
      <c r="B1492" s="16"/>
      <c r="C1492" s="23"/>
      <c r="D1492" s="24"/>
      <c r="E1492" s="25"/>
      <c r="F1492" s="26"/>
      <c r="G1492" s="27"/>
      <c r="H1492" s="20"/>
      <c r="I1492" s="21"/>
      <c r="J1492" s="28"/>
      <c r="K1492" s="19"/>
    </row>
    <row r="1493" spans="1:11" ht="13.2">
      <c r="A1493" s="22"/>
      <c r="B1493" s="16"/>
      <c r="C1493" s="23"/>
      <c r="D1493" s="24"/>
      <c r="E1493" s="25"/>
      <c r="F1493" s="26"/>
      <c r="G1493" s="27"/>
      <c r="H1493" s="20"/>
      <c r="I1493" s="21"/>
      <c r="J1493" s="28"/>
      <c r="K1493" s="19"/>
    </row>
    <row r="1494" spans="1:11" ht="13.2">
      <c r="A1494" s="22"/>
      <c r="B1494" s="16"/>
      <c r="C1494" s="23"/>
      <c r="D1494" s="24"/>
      <c r="E1494" s="25"/>
      <c r="F1494" s="26"/>
      <c r="G1494" s="27"/>
      <c r="H1494" s="20"/>
      <c r="I1494" s="21"/>
      <c r="J1494" s="28"/>
      <c r="K1494" s="19"/>
    </row>
    <row r="1495" spans="1:11" ht="13.2">
      <c r="A1495" s="22"/>
      <c r="B1495" s="16"/>
      <c r="C1495" s="23"/>
      <c r="D1495" s="24"/>
      <c r="E1495" s="25"/>
      <c r="F1495" s="26"/>
      <c r="G1495" s="27"/>
      <c r="H1495" s="20"/>
      <c r="I1495" s="21"/>
      <c r="J1495" s="28"/>
      <c r="K1495" s="19"/>
    </row>
    <row r="1496" spans="1:11" ht="13.2">
      <c r="A1496" s="22"/>
      <c r="B1496" s="16"/>
      <c r="C1496" s="23"/>
      <c r="D1496" s="24"/>
      <c r="E1496" s="25"/>
      <c r="F1496" s="26"/>
      <c r="G1496" s="27"/>
      <c r="H1496" s="20"/>
      <c r="I1496" s="21"/>
      <c r="J1496" s="28"/>
      <c r="K1496" s="19"/>
    </row>
    <row r="1497" spans="1:11" ht="13.2">
      <c r="A1497" s="22"/>
      <c r="B1497" s="16"/>
      <c r="C1497" s="23"/>
      <c r="D1497" s="24"/>
      <c r="E1497" s="25"/>
      <c r="F1497" s="26"/>
      <c r="G1497" s="27"/>
      <c r="H1497" s="20"/>
      <c r="I1497" s="21"/>
      <c r="J1497" s="28"/>
      <c r="K1497" s="19"/>
    </row>
    <row r="1498" spans="1:11" ht="13.2">
      <c r="A1498" s="22"/>
      <c r="B1498" s="16"/>
      <c r="C1498" s="23"/>
      <c r="D1498" s="24"/>
      <c r="E1498" s="25"/>
      <c r="F1498" s="26"/>
      <c r="G1498" s="27"/>
      <c r="H1498" s="20"/>
      <c r="I1498" s="21"/>
      <c r="J1498" s="28"/>
      <c r="K1498" s="19"/>
    </row>
    <row r="1499" spans="1:11" ht="13.2">
      <c r="A1499" s="22"/>
      <c r="B1499" s="16"/>
      <c r="C1499" s="23"/>
      <c r="D1499" s="24"/>
      <c r="E1499" s="25"/>
      <c r="F1499" s="26"/>
      <c r="G1499" s="27"/>
      <c r="H1499" s="20"/>
      <c r="I1499" s="21"/>
      <c r="J1499" s="28"/>
      <c r="K1499" s="19"/>
    </row>
    <row r="1500" spans="1:11" ht="13.2">
      <c r="A1500" s="22"/>
      <c r="B1500" s="16"/>
      <c r="C1500" s="23"/>
      <c r="D1500" s="24"/>
      <c r="E1500" s="25"/>
      <c r="F1500" s="26"/>
      <c r="G1500" s="27"/>
      <c r="H1500" s="20"/>
      <c r="I1500" s="21"/>
      <c r="J1500" s="28"/>
      <c r="K1500" s="19"/>
    </row>
  </sheetData>
  <autoFilter ref="A2:K39"/>
  <mergeCells count="1">
    <mergeCell ref="A1:K1"/>
  </mergeCells>
  <conditionalFormatting sqref="C3:C1500">
    <cfRule type="cellIs" dxfId="192" priority="1" stopIfTrue="1" operator="equal">
      <formula>"Farjana Apu"</formula>
    </cfRule>
  </conditionalFormatting>
  <conditionalFormatting sqref="C3:C1500">
    <cfRule type="cellIs" dxfId="191" priority="2" stopIfTrue="1" operator="equal">
      <formula>"Fiza Apu"</formula>
    </cfRule>
  </conditionalFormatting>
  <conditionalFormatting sqref="C3:C1500">
    <cfRule type="cellIs" dxfId="190" priority="3" stopIfTrue="1" operator="equal">
      <formula>"Nazmul Sir"</formula>
    </cfRule>
  </conditionalFormatting>
  <conditionalFormatting sqref="C3:C1500">
    <cfRule type="cellIs" dxfId="189" priority="4" stopIfTrue="1" operator="equal">
      <formula>"Rabby Vai"</formula>
    </cfRule>
  </conditionalFormatting>
  <conditionalFormatting sqref="C3:C1500">
    <cfRule type="cellIs" dxfId="188" priority="5" stopIfTrue="1" operator="equal">
      <formula>"Reba Apu"</formula>
    </cfRule>
  </conditionalFormatting>
  <conditionalFormatting sqref="C3:C1500">
    <cfRule type="cellIs" dxfId="187" priority="6" stopIfTrue="1" operator="equal">
      <formula>"Saema Apu"</formula>
    </cfRule>
  </conditionalFormatting>
  <conditionalFormatting sqref="C3:C1500">
    <cfRule type="cellIs" dxfId="186" priority="7" stopIfTrue="1" operator="equal">
      <formula>"Sharika Apu"</formula>
    </cfRule>
  </conditionalFormatting>
  <conditionalFormatting sqref="C3:C1500">
    <cfRule type="cellIs" dxfId="185" priority="8" stopIfTrue="1" operator="equal">
      <formula>"Sharmin Apu"</formula>
    </cfRule>
  </conditionalFormatting>
  <conditionalFormatting sqref="C3:C1500">
    <cfRule type="cellIs" dxfId="184" priority="9" stopIfTrue="1" operator="equal">
      <formula>"Mubassira Apu"</formula>
    </cfRule>
  </conditionalFormatting>
  <conditionalFormatting sqref="C3:C1500">
    <cfRule type="cellIs" dxfId="183" priority="10" stopIfTrue="1" operator="equal">
      <formula>"Mona Apu"</formula>
    </cfRule>
  </conditionalFormatting>
  <conditionalFormatting sqref="C3:C1500">
    <cfRule type="cellIs" dxfId="182" priority="11" stopIfTrue="1" operator="equal">
      <formula>"Rakib Vai"</formula>
    </cfRule>
  </conditionalFormatting>
  <conditionalFormatting sqref="C3:C1500">
    <cfRule type="cellIs" dxfId="181" priority="12" stopIfTrue="1" operator="equal">
      <formula>"Saifullah Vai"</formula>
    </cfRule>
  </conditionalFormatting>
  <conditionalFormatting sqref="C3:C1500">
    <cfRule type="cellIs" dxfId="180" priority="13" stopIfTrue="1" operator="equal">
      <formula>"Shamsul Sir"</formula>
    </cfRule>
  </conditionalFormatting>
  <conditionalFormatting sqref="C3:C1500">
    <cfRule type="cellIs" dxfId="179" priority="14" stopIfTrue="1" operator="equal">
      <formula>"Zahirul Vai"</formula>
    </cfRule>
  </conditionalFormatting>
  <conditionalFormatting sqref="E3:E1500">
    <cfRule type="cellIs" dxfId="178" priority="15" stopIfTrue="1" operator="equal">
      <formula>"ATC Box Output"</formula>
    </cfRule>
  </conditionalFormatting>
  <conditionalFormatting sqref="E3:E1500">
    <cfRule type="cellIs" dxfId="177" priority="16" stopIfTrue="1" operator="equal">
      <formula>"Black Cylinder Output"</formula>
    </cfRule>
  </conditionalFormatting>
  <conditionalFormatting sqref="E3:E1500">
    <cfRule type="cellIs" dxfId="176" priority="17" stopIfTrue="1" operator="equal">
      <formula>"Flyer/Brochure/Banner Output"</formula>
    </cfRule>
  </conditionalFormatting>
  <conditionalFormatting sqref="E3:E1500">
    <cfRule type="cellIs" dxfId="175" priority="18" stopIfTrue="1" operator="equal">
      <formula>"Full Cylinder Output"</formula>
    </cfRule>
  </conditionalFormatting>
  <conditionalFormatting sqref="E3:E1500">
    <cfRule type="cellIs" dxfId="174" priority="19" stopIfTrue="1" operator="equal">
      <formula>"Gravure Output #1"</formula>
    </cfRule>
  </conditionalFormatting>
  <conditionalFormatting sqref="E3:E1500">
    <cfRule type="cellIs" dxfId="173" priority="20" stopIfTrue="1" operator="equal">
      <formula>"Gravure Output #2"</formula>
    </cfRule>
  </conditionalFormatting>
  <conditionalFormatting sqref="E3:E1500">
    <cfRule type="cellIs" dxfId="172" priority="21" stopIfTrue="1" operator="equal">
      <formula>"JAR Label Sticker Output"</formula>
    </cfRule>
  </conditionalFormatting>
  <conditionalFormatting sqref="E3:E1500">
    <cfRule type="cellIs" dxfId="171" priority="22" stopIfTrue="1" operator="equal">
      <formula>"Leaflet/Poster Output"</formula>
    </cfRule>
  </conditionalFormatting>
  <conditionalFormatting sqref="E3:E1500">
    <cfRule type="cellIs" dxfId="170" priority="23" stopIfTrue="1" operator="equal">
      <formula>"Output Setup (Gravure/Offset)"</formula>
    </cfRule>
  </conditionalFormatting>
  <conditionalFormatting sqref="E3:E1500">
    <cfRule type="cellIs" dxfId="169" priority="24" stopIfTrue="1" operator="equal">
      <formula>"Carton Design"</formula>
    </cfRule>
  </conditionalFormatting>
  <conditionalFormatting sqref="E3:E1500">
    <cfRule type="cellIs" dxfId="168" priority="25" stopIfTrue="1" operator="equal">
      <formula>"Document Text Correction"</formula>
    </cfRule>
  </conditionalFormatting>
  <conditionalFormatting sqref="E3:E1500">
    <cfRule type="cellIs" dxfId="167" priority="26" stopIfTrue="1" operator="equal">
      <formula>"FOP Sticker Making"</formula>
    </cfRule>
  </conditionalFormatting>
  <conditionalFormatting sqref="E3:E1500">
    <cfRule type="cellIs" dxfId="166" priority="27" stopIfTrue="1" operator="equal">
      <formula>"Layout/Dieline Making"</formula>
    </cfRule>
  </conditionalFormatting>
  <conditionalFormatting sqref="E3:E1500">
    <cfRule type="cellIs" dxfId="165" priority="28" stopIfTrue="1" operator="equal">
      <formula>"Packaging Text Design #1"</formula>
    </cfRule>
  </conditionalFormatting>
  <conditionalFormatting sqref="E3:E1500">
    <cfRule type="cellIs" dxfId="164" priority="29" stopIfTrue="1" operator="equal">
      <formula>"Packaging Text Design #2"</formula>
    </cfRule>
  </conditionalFormatting>
  <conditionalFormatting sqref="E3:E1500">
    <cfRule type="cellIs" dxfId="163" priority="30" stopIfTrue="1" operator="equal">
      <formula>"Text Sticker Design #1"</formula>
    </cfRule>
  </conditionalFormatting>
  <conditionalFormatting sqref="E3:E1500">
    <cfRule type="cellIs" dxfId="162" priority="31" stopIfTrue="1" operator="equal">
      <formula>"Text Sticker Design #2"</formula>
    </cfRule>
  </conditionalFormatting>
  <conditionalFormatting sqref="E3:E1500">
    <cfRule type="cellIs" dxfId="161" priority="32" stopIfTrue="1" operator="equal">
      <formula>"ATC BOX"</formula>
    </cfRule>
  </conditionalFormatting>
  <conditionalFormatting sqref="E3:E1500">
    <cfRule type="cellIs" dxfId="160" priority="33" stopIfTrue="1" operator="equal">
      <formula>"Background Remove/Image Resize"</formula>
    </cfRule>
  </conditionalFormatting>
  <conditionalFormatting sqref="E3:E1500">
    <cfRule type="cellIs" dxfId="159" priority="34" stopIfTrue="1" operator="equal">
      <formula>"Branding"</formula>
    </cfRule>
  </conditionalFormatting>
  <conditionalFormatting sqref="E3:E1500">
    <cfRule type="cellIs" dxfId="158" priority="35" stopIfTrue="1" operator="equal">
      <formula>"Clipping Path"</formula>
    </cfRule>
  </conditionalFormatting>
  <conditionalFormatting sqref="E3:E1500">
    <cfRule type="cellIs" dxfId="157" priority="36" stopIfTrue="1" operator="equal">
      <formula>"Digital Static For Social Media"</formula>
    </cfRule>
  </conditionalFormatting>
  <conditionalFormatting sqref="E3:E1500">
    <cfRule type="cellIs" dxfId="156" priority="37" stopIfTrue="1" operator="equal">
      <formula>"Logo Design"</formula>
    </cfRule>
  </conditionalFormatting>
  <conditionalFormatting sqref="E3:E1500">
    <cfRule type="cellIs" dxfId="155" priority="38" stopIfTrue="1" operator="equal">
      <formula>"Outdoor/Event/Showroom Branding"</formula>
    </cfRule>
  </conditionalFormatting>
  <conditionalFormatting sqref="E3:E1500">
    <cfRule type="cellIs" dxfId="154" priority="39" stopIfTrue="1" operator="equal">
      <formula>"Packaging"</formula>
    </cfRule>
  </conditionalFormatting>
  <conditionalFormatting sqref="E3:E1500">
    <cfRule type="cellIs" dxfId="153" priority="40" stopIfTrue="1" operator="equal">
      <formula>"Visiting/ ID Card design"</formula>
    </cfRule>
  </conditionalFormatting>
  <conditionalFormatting sqref="E3:E1500">
    <cfRule type="cellIs" dxfId="152" priority="41" stopIfTrue="1" operator="equal">
      <formula>"Voice Over"</formula>
    </cfRule>
  </conditionalFormatting>
  <conditionalFormatting sqref="J3:J1500">
    <cfRule type="cellIs" dxfId="151" priority="42" stopIfTrue="1" operator="equal">
      <formula>"HoM Approved"</formula>
    </cfRule>
  </conditionalFormatting>
  <conditionalFormatting sqref="J3:J1500">
    <cfRule type="cellIs" dxfId="150" priority="43" stopIfTrue="1" operator="equal">
      <formula>"Brief Submitted"</formula>
    </cfRule>
  </conditionalFormatting>
  <conditionalFormatting sqref="J3:J1500">
    <cfRule type="cellIs" dxfId="149" priority="44" stopIfTrue="1" operator="equal">
      <formula>"In Review"</formula>
    </cfRule>
  </conditionalFormatting>
  <conditionalFormatting sqref="J3:J1500">
    <cfRule type="cellIs" dxfId="148" priority="45" stopIfTrue="1" operator="equal">
      <formula>"BM Approved"</formula>
    </cfRule>
  </conditionalFormatting>
  <conditionalFormatting sqref="J3:J1500">
    <cfRule type="cellIs" dxfId="147" priority="46" stopIfTrue="1" operator="equal">
      <formula>"Running"</formula>
    </cfRule>
  </conditionalFormatting>
  <conditionalFormatting sqref="C3:C1500">
    <cfRule type="expression" dxfId="146" priority="47" stopIfTrue="1">
      <formula>"=AND(=COUNTA($A3:$J3)&gt;0,$C3="")"</formula>
    </cfRule>
  </conditionalFormatting>
  <conditionalFormatting sqref="E3:I1500">
    <cfRule type="expression" dxfId="145" priority="48" stopIfTrue="1">
      <formula>"=AND(=COUNTA($A3:$J3)&gt;0,E3="")"</formula>
    </cfRule>
  </conditionalFormatting>
  <conditionalFormatting sqref="A3:K1500">
    <cfRule type="expression" dxfId="144" priority="49" stopIfTrue="1">
      <formula>COUNTA($A3:$K3)=0</formula>
    </cfRule>
  </conditionalFormatting>
  <dataValidations count="2">
    <dataValidation type="decimal" operator="greaterThan" allowBlank="1" showDropDown="1" showErrorMessage="1" sqref="G3:G1500">
      <formula1>0</formula1>
    </dataValidation>
    <dataValidation type="custom" allowBlank="1" showDropDown="1" showErrorMessage="1" sqref="H3:H1500">
      <formula1>OR(NOT(ISERROR(DATEVALUE(H3))), AND(ISNUMBER(H3), LEFT(CELL("format", H3))="D"))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Helper!$A$2:$A1500</xm:f>
          </x14:formula1>
          <xm:sqref>B3:B1500</xm:sqref>
        </x14:dataValidation>
        <x14:dataValidation type="list" allowBlank="1">
          <x14:formula1>
            <xm:f>Helper!$B$2:$B1500</xm:f>
          </x14:formula1>
          <xm:sqref>C3:C1500</xm:sqref>
        </x14:dataValidation>
        <x14:dataValidation type="list" allowBlank="1">
          <x14:formula1>
            <xm:f>Helper!$C$2:$C1500</xm:f>
          </x14:formula1>
          <xm:sqref>E3:E1500</xm:sqref>
        </x14:dataValidation>
        <x14:dataValidation type="list" allowBlank="1">
          <x14:formula1>
            <xm:f>Helper!$D$2:$D1500</xm:f>
          </x14:formula1>
          <xm:sqref>F3:F1500</xm:sqref>
        </x14:dataValidation>
        <x14:dataValidation type="list" allowBlank="1">
          <x14:formula1>
            <xm:f>Helper!$E$2:$E1500</xm:f>
          </x14:formula1>
          <xm:sqref>J3:J1500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  <outlinePr summaryBelow="0" summaryRight="0"/>
  </sheetPr>
  <dimension ref="A1:K15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28.88671875" customWidth="1"/>
    <col min="2" max="2" width="13.21875" customWidth="1"/>
    <col min="3" max="3" width="21.33203125" customWidth="1"/>
    <col min="4" max="4" width="17.6640625" customWidth="1"/>
    <col min="5" max="5" width="28.88671875" customWidth="1"/>
    <col min="6" max="6" width="13.21875" customWidth="1"/>
    <col min="7" max="7" width="9.44140625" customWidth="1"/>
    <col min="8" max="8" width="16.33203125" customWidth="1"/>
    <col min="9" max="9" width="18.88671875" customWidth="1"/>
    <col min="10" max="10" width="17" customWidth="1"/>
    <col min="11" max="11" width="12.6640625" customWidth="1"/>
  </cols>
  <sheetData>
    <row r="1" spans="1:11" ht="27" customHeight="1">
      <c r="A1" s="104" t="str">
        <f>HYPERLINK("https://docs.google.com/spreadsheets/d/1K9G-wDk_WFUTXFBEzHiTsPAPTkgmvY6ydUUckPlDbUM/edit?gid=2135007239#gid=2135007239","➜ Go to Dashboard")</f>
        <v>➜ Go to Dashboard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5.5" customHeight="1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" t="s">
        <v>10</v>
      </c>
    </row>
    <row r="3" spans="1:11" ht="13.2">
      <c r="A3" s="4" t="s">
        <v>1396</v>
      </c>
      <c r="B3" s="5" t="s">
        <v>916</v>
      </c>
      <c r="C3" s="6" t="s">
        <v>1421</v>
      </c>
      <c r="D3" s="7" t="s">
        <v>2929</v>
      </c>
      <c r="E3" s="8" t="s">
        <v>1355</v>
      </c>
      <c r="F3" s="9" t="s">
        <v>17</v>
      </c>
      <c r="G3" s="10">
        <v>7</v>
      </c>
      <c r="H3" s="11">
        <v>46118</v>
      </c>
      <c r="I3" s="12" t="s">
        <v>2930</v>
      </c>
      <c r="J3" s="13" t="s">
        <v>30</v>
      </c>
      <c r="K3" s="14" t="str">
        <f>HYPERLINK("http://mpro.prangroup.com:4000/CreativeWorks/Edit/29254","Open")</f>
        <v>Open</v>
      </c>
    </row>
    <row r="4" spans="1:11" ht="13.2">
      <c r="A4" s="4" t="s">
        <v>454</v>
      </c>
      <c r="B4" s="5" t="s">
        <v>32</v>
      </c>
      <c r="C4" s="6" t="s">
        <v>455</v>
      </c>
      <c r="D4" s="7" t="s">
        <v>2931</v>
      </c>
      <c r="E4" s="8" t="s">
        <v>63</v>
      </c>
      <c r="F4" s="9" t="s">
        <v>17</v>
      </c>
      <c r="G4" s="10">
        <v>2</v>
      </c>
      <c r="H4" s="11">
        <v>46118</v>
      </c>
      <c r="I4" s="12" t="s">
        <v>2932</v>
      </c>
      <c r="J4" s="13" t="s">
        <v>19</v>
      </c>
      <c r="K4" s="14" t="str">
        <f>HYPERLINK("http://mpro.prangroup.com:4000/CreativeWorks/Edit/29263","Open")</f>
        <v>Open</v>
      </c>
    </row>
    <row r="5" spans="1:11" ht="13.2">
      <c r="A5" s="4" t="s">
        <v>745</v>
      </c>
      <c r="B5" s="5" t="s">
        <v>41</v>
      </c>
      <c r="C5" s="6" t="s">
        <v>746</v>
      </c>
      <c r="D5" s="7" t="s">
        <v>2933</v>
      </c>
      <c r="E5" s="8" t="s">
        <v>63</v>
      </c>
      <c r="F5" s="9" t="s">
        <v>17</v>
      </c>
      <c r="G5" s="10">
        <v>1</v>
      </c>
      <c r="H5" s="11">
        <v>46120</v>
      </c>
      <c r="I5" s="12" t="s">
        <v>2934</v>
      </c>
      <c r="J5" s="13" t="s">
        <v>30</v>
      </c>
      <c r="K5" s="14" t="str">
        <f>HYPERLINK("http://mpro.prangroup.com:4000/CreativeWorks/Edit/29495","Open")</f>
        <v>Open</v>
      </c>
    </row>
    <row r="6" spans="1:11" ht="13.2">
      <c r="A6" s="4" t="s">
        <v>2935</v>
      </c>
      <c r="B6" s="5" t="s">
        <v>1243</v>
      </c>
      <c r="C6" s="6" t="s">
        <v>746</v>
      </c>
      <c r="D6" s="7" t="s">
        <v>2936</v>
      </c>
      <c r="E6" s="8" t="s">
        <v>63</v>
      </c>
      <c r="F6" s="9" t="s">
        <v>17</v>
      </c>
      <c r="G6" s="10">
        <v>1</v>
      </c>
      <c r="H6" s="11">
        <v>46120</v>
      </c>
      <c r="I6" s="12" t="s">
        <v>2937</v>
      </c>
      <c r="J6" s="13" t="s">
        <v>30</v>
      </c>
      <c r="K6" s="14" t="str">
        <f>HYPERLINK("http://mpro.prangroup.com:4000/CreativeWorks/Edit/29500","Open")</f>
        <v>Open</v>
      </c>
    </row>
    <row r="7" spans="1:11" ht="13.2">
      <c r="A7" s="4" t="s">
        <v>1640</v>
      </c>
      <c r="B7" s="5" t="s">
        <v>1243</v>
      </c>
      <c r="C7" s="6" t="s">
        <v>746</v>
      </c>
      <c r="D7" s="7" t="s">
        <v>2938</v>
      </c>
      <c r="E7" s="8" t="s">
        <v>63</v>
      </c>
      <c r="F7" s="9" t="s">
        <v>17</v>
      </c>
      <c r="G7" s="10">
        <v>1</v>
      </c>
      <c r="H7" s="11">
        <v>46120</v>
      </c>
      <c r="I7" s="12" t="s">
        <v>2939</v>
      </c>
      <c r="J7" s="13" t="s">
        <v>30</v>
      </c>
      <c r="K7" s="14" t="str">
        <f>HYPERLINK("http://mpro.prangroup.com:4000/CreativeWorks/Edit/29492","Open")</f>
        <v>Open</v>
      </c>
    </row>
    <row r="8" spans="1:11" ht="13.2">
      <c r="A8" s="4" t="s">
        <v>421</v>
      </c>
      <c r="B8" s="5" t="s">
        <v>101</v>
      </c>
      <c r="C8" s="6" t="s">
        <v>422</v>
      </c>
      <c r="D8" s="7" t="s">
        <v>1127</v>
      </c>
      <c r="E8" s="8" t="s">
        <v>302</v>
      </c>
      <c r="F8" s="9" t="s">
        <v>17</v>
      </c>
      <c r="G8" s="10">
        <v>1</v>
      </c>
      <c r="H8" s="11">
        <v>46120</v>
      </c>
      <c r="I8" s="12" t="s">
        <v>2940</v>
      </c>
      <c r="J8" s="13" t="s">
        <v>19</v>
      </c>
      <c r="K8" s="14" t="str">
        <f>HYPERLINK("http://mpro.prangroup.com:4000/CreativeWorks/Edit/29529","Open")</f>
        <v>Open</v>
      </c>
    </row>
    <row r="9" spans="1:11" ht="13.2">
      <c r="A9" s="4" t="s">
        <v>248</v>
      </c>
      <c r="B9" s="5" t="s">
        <v>123</v>
      </c>
      <c r="C9" s="6" t="s">
        <v>124</v>
      </c>
      <c r="D9" s="7" t="s">
        <v>2941</v>
      </c>
      <c r="E9" s="8" t="s">
        <v>302</v>
      </c>
      <c r="F9" s="9" t="s">
        <v>17</v>
      </c>
      <c r="G9" s="10">
        <v>1</v>
      </c>
      <c r="H9" s="11">
        <v>46120</v>
      </c>
      <c r="I9" s="12" t="s">
        <v>2942</v>
      </c>
      <c r="J9" s="13" t="s">
        <v>19</v>
      </c>
      <c r="K9" s="14" t="str">
        <f>HYPERLINK("http://mpro.prangroup.com:4000/CreativeWorks/Edit/29494","Open")</f>
        <v>Open</v>
      </c>
    </row>
    <row r="10" spans="1:11" ht="13.2">
      <c r="A10" s="4" t="s">
        <v>482</v>
      </c>
      <c r="B10" s="5" t="s">
        <v>41</v>
      </c>
      <c r="C10" s="6" t="s">
        <v>228</v>
      </c>
      <c r="D10" s="7" t="s">
        <v>2943</v>
      </c>
      <c r="E10" s="8" t="s">
        <v>1077</v>
      </c>
      <c r="F10" s="9" t="s">
        <v>17</v>
      </c>
      <c r="G10" s="10">
        <v>1</v>
      </c>
      <c r="H10" s="11">
        <v>46120</v>
      </c>
      <c r="I10" s="12" t="s">
        <v>2944</v>
      </c>
      <c r="J10" s="13" t="s">
        <v>30</v>
      </c>
      <c r="K10" s="14" t="str">
        <f>HYPERLINK("http://mpro.prangroup.com:4000/CreativeWorks/Edit/29509","Open")</f>
        <v>Open</v>
      </c>
    </row>
    <row r="11" spans="1:11" ht="13.2">
      <c r="A11" s="4" t="s">
        <v>235</v>
      </c>
      <c r="B11" s="5" t="s">
        <v>101</v>
      </c>
      <c r="C11" s="6" t="s">
        <v>1711</v>
      </c>
      <c r="D11" s="7" t="s">
        <v>2945</v>
      </c>
      <c r="E11" s="8" t="s">
        <v>302</v>
      </c>
      <c r="F11" s="9" t="s">
        <v>17</v>
      </c>
      <c r="G11" s="10">
        <v>1</v>
      </c>
      <c r="H11" s="11">
        <v>46120</v>
      </c>
      <c r="I11" s="12" t="s">
        <v>2946</v>
      </c>
      <c r="J11" s="13" t="s">
        <v>30</v>
      </c>
      <c r="K11" s="14" t="str">
        <f>HYPERLINK("http://mpro.prangroup.com:4000/CreativeWorks/Edit/29508","Open")</f>
        <v>Open</v>
      </c>
    </row>
    <row r="12" spans="1:11" ht="13.2">
      <c r="A12" s="4" t="s">
        <v>745</v>
      </c>
      <c r="B12" s="5" t="s">
        <v>41</v>
      </c>
      <c r="C12" s="6" t="s">
        <v>1711</v>
      </c>
      <c r="D12" s="7" t="s">
        <v>2947</v>
      </c>
      <c r="E12" s="8" t="s">
        <v>302</v>
      </c>
      <c r="F12" s="9" t="s">
        <v>17</v>
      </c>
      <c r="G12" s="10">
        <v>1</v>
      </c>
      <c r="H12" s="11">
        <v>46120</v>
      </c>
      <c r="I12" s="12" t="s">
        <v>2948</v>
      </c>
      <c r="J12" s="13" t="s">
        <v>30</v>
      </c>
      <c r="K12" s="14" t="str">
        <f>HYPERLINK("http://mpro.prangroup.com:4000/CreativeWorks/Edit/29504","Open")</f>
        <v>Open</v>
      </c>
    </row>
    <row r="13" spans="1:11" ht="13.2">
      <c r="A13" s="4" t="s">
        <v>235</v>
      </c>
      <c r="B13" s="5" t="s">
        <v>101</v>
      </c>
      <c r="C13" s="6" t="s">
        <v>1711</v>
      </c>
      <c r="D13" s="7" t="s">
        <v>2949</v>
      </c>
      <c r="E13" s="8" t="s">
        <v>302</v>
      </c>
      <c r="F13" s="9" t="s">
        <v>17</v>
      </c>
      <c r="G13" s="10">
        <v>1</v>
      </c>
      <c r="H13" s="11">
        <v>46120</v>
      </c>
      <c r="I13" s="12" t="s">
        <v>2950</v>
      </c>
      <c r="J13" s="13" t="s">
        <v>30</v>
      </c>
      <c r="K13" s="14" t="str">
        <f>HYPERLINK("http://mpro.prangroup.com:4000/CreativeWorks/Edit/29506","Open")</f>
        <v>Open</v>
      </c>
    </row>
    <row r="14" spans="1:11" ht="13.2">
      <c r="A14" s="4" t="s">
        <v>40</v>
      </c>
      <c r="B14" s="5" t="s">
        <v>185</v>
      </c>
      <c r="C14" s="6" t="s">
        <v>166</v>
      </c>
      <c r="D14" s="7" t="s">
        <v>2951</v>
      </c>
      <c r="E14" s="8" t="s">
        <v>302</v>
      </c>
      <c r="F14" s="9" t="s">
        <v>17</v>
      </c>
      <c r="G14" s="10">
        <v>2</v>
      </c>
      <c r="H14" s="11">
        <v>46120</v>
      </c>
      <c r="I14" s="12" t="s">
        <v>2952</v>
      </c>
      <c r="J14" s="13" t="s">
        <v>30</v>
      </c>
      <c r="K14" s="14" t="str">
        <f>HYPERLINK("http://mpro.prangroup.com:4000/CreativeWorks/Edit/29493","Open")</f>
        <v>Open</v>
      </c>
    </row>
    <row r="15" spans="1:11" ht="13.2">
      <c r="A15" s="4" t="s">
        <v>235</v>
      </c>
      <c r="B15" s="5" t="s">
        <v>101</v>
      </c>
      <c r="C15" s="6" t="s">
        <v>232</v>
      </c>
      <c r="D15" s="7" t="s">
        <v>1107</v>
      </c>
      <c r="E15" s="8" t="s">
        <v>302</v>
      </c>
      <c r="F15" s="9" t="s">
        <v>17</v>
      </c>
      <c r="G15" s="10">
        <v>15</v>
      </c>
      <c r="H15" s="11">
        <v>46120</v>
      </c>
      <c r="I15" s="12" t="s">
        <v>2953</v>
      </c>
      <c r="J15" s="13" t="s">
        <v>30</v>
      </c>
      <c r="K15" s="14" t="str">
        <f>HYPERLINK("http://mpro.prangroup.com:4000/CreativeWorks/Edit/29485","Open")</f>
        <v>Open</v>
      </c>
    </row>
    <row r="16" spans="1:11" ht="13.2">
      <c r="A16" s="4" t="s">
        <v>454</v>
      </c>
      <c r="B16" s="5" t="s">
        <v>32</v>
      </c>
      <c r="C16" s="6" t="s">
        <v>455</v>
      </c>
      <c r="D16" s="7" t="s">
        <v>456</v>
      </c>
      <c r="E16" s="8" t="s">
        <v>63</v>
      </c>
      <c r="F16" s="9" t="s">
        <v>17</v>
      </c>
      <c r="G16" s="10">
        <v>2</v>
      </c>
      <c r="H16" s="11">
        <v>46120</v>
      </c>
      <c r="I16" s="12" t="s">
        <v>2954</v>
      </c>
      <c r="J16" s="13" t="s">
        <v>19</v>
      </c>
      <c r="K16" s="14" t="str">
        <f>HYPERLINK("http://mpro.prangroup.com:4000/CreativeWorks/Edit/29541","Open")</f>
        <v>Open</v>
      </c>
    </row>
    <row r="17" spans="1:11" ht="13.2">
      <c r="A17" s="4" t="s">
        <v>40</v>
      </c>
      <c r="B17" s="5" t="s">
        <v>41</v>
      </c>
      <c r="C17" s="6" t="s">
        <v>186</v>
      </c>
      <c r="D17" s="7" t="s">
        <v>1109</v>
      </c>
      <c r="E17" s="8" t="s">
        <v>302</v>
      </c>
      <c r="F17" s="9" t="s">
        <v>17</v>
      </c>
      <c r="G17" s="10">
        <v>2</v>
      </c>
      <c r="H17" s="11">
        <v>46120</v>
      </c>
      <c r="I17" s="12" t="s">
        <v>2955</v>
      </c>
      <c r="J17" s="13" t="s">
        <v>30</v>
      </c>
      <c r="K17" s="14" t="str">
        <f>HYPERLINK("http://mpro.prangroup.com:4000/CreativeWorks/Edit/29523","Open")</f>
        <v>Open</v>
      </c>
    </row>
    <row r="18" spans="1:11" ht="13.2">
      <c r="A18" s="4" t="s">
        <v>235</v>
      </c>
      <c r="B18" s="5" t="s">
        <v>101</v>
      </c>
      <c r="C18" s="6" t="s">
        <v>186</v>
      </c>
      <c r="D18" s="7" t="s">
        <v>2882</v>
      </c>
      <c r="E18" s="8" t="s">
        <v>302</v>
      </c>
      <c r="F18" s="9" t="s">
        <v>17</v>
      </c>
      <c r="G18" s="10">
        <v>6</v>
      </c>
      <c r="H18" s="11">
        <v>46120</v>
      </c>
      <c r="I18" s="12" t="s">
        <v>2956</v>
      </c>
      <c r="J18" s="13" t="s">
        <v>30</v>
      </c>
      <c r="K18" s="14" t="str">
        <f>HYPERLINK("http://mpro.prangroup.com:4000/CreativeWorks/Edit/29489","Open")</f>
        <v>Open</v>
      </c>
    </row>
    <row r="19" spans="1:11" ht="13.2">
      <c r="A19" s="4" t="s">
        <v>1684</v>
      </c>
      <c r="B19" s="5" t="s">
        <v>41</v>
      </c>
      <c r="C19" s="6" t="s">
        <v>186</v>
      </c>
      <c r="D19" s="7" t="s">
        <v>2957</v>
      </c>
      <c r="E19" s="8" t="s">
        <v>302</v>
      </c>
      <c r="F19" s="9" t="s">
        <v>17</v>
      </c>
      <c r="G19" s="10">
        <v>5</v>
      </c>
      <c r="H19" s="11">
        <v>46120</v>
      </c>
      <c r="I19" s="12" t="s">
        <v>2958</v>
      </c>
      <c r="J19" s="13" t="s">
        <v>30</v>
      </c>
      <c r="K19" s="14" t="str">
        <f>HYPERLINK("http://mpro.prangroup.com:4000/CreativeWorks/Edit/29497","Open")</f>
        <v>Open</v>
      </c>
    </row>
    <row r="20" spans="1:11" ht="13.2">
      <c r="A20" s="4" t="s">
        <v>454</v>
      </c>
      <c r="B20" s="5" t="s">
        <v>32</v>
      </c>
      <c r="C20" s="6" t="s">
        <v>348</v>
      </c>
      <c r="D20" s="7" t="s">
        <v>2959</v>
      </c>
      <c r="E20" s="8" t="s">
        <v>302</v>
      </c>
      <c r="F20" s="9" t="s">
        <v>17</v>
      </c>
      <c r="G20" s="10">
        <v>1</v>
      </c>
      <c r="H20" s="11">
        <v>46121</v>
      </c>
      <c r="I20" s="12" t="s">
        <v>2960</v>
      </c>
      <c r="J20" s="13" t="s">
        <v>19</v>
      </c>
      <c r="K20" s="14" t="str">
        <f>HYPERLINK("http://mpro.prangroup.com:4000/CreativeWorks/Edit/29624","Open")</f>
        <v>Open</v>
      </c>
    </row>
    <row r="21" spans="1:11" ht="13.2">
      <c r="A21" s="4" t="s">
        <v>1100</v>
      </c>
      <c r="B21" s="5" t="s">
        <v>213</v>
      </c>
      <c r="C21" s="6" t="s">
        <v>186</v>
      </c>
      <c r="D21" s="7" t="s">
        <v>1101</v>
      </c>
      <c r="E21" s="8" t="s">
        <v>505</v>
      </c>
      <c r="F21" s="9" t="s">
        <v>457</v>
      </c>
      <c r="G21" s="10">
        <v>1</v>
      </c>
      <c r="H21" s="11">
        <v>46121</v>
      </c>
      <c r="I21" s="12" t="s">
        <v>2961</v>
      </c>
      <c r="J21" s="13" t="s">
        <v>30</v>
      </c>
      <c r="K21" s="14" t="str">
        <f>HYPERLINK("http://mpro.prangroup.com:4000/CreativeWorks/Edit/29576","Open")</f>
        <v>Open</v>
      </c>
    </row>
    <row r="22" spans="1:11" ht="13.2">
      <c r="A22" s="4" t="s">
        <v>398</v>
      </c>
      <c r="B22" s="5" t="s">
        <v>41</v>
      </c>
      <c r="C22" s="6" t="s">
        <v>186</v>
      </c>
      <c r="D22" s="7" t="s">
        <v>2962</v>
      </c>
      <c r="E22" s="8" t="s">
        <v>302</v>
      </c>
      <c r="F22" s="9" t="s">
        <v>17</v>
      </c>
      <c r="G22" s="10">
        <v>1</v>
      </c>
      <c r="H22" s="11">
        <v>46121</v>
      </c>
      <c r="I22" s="12" t="s">
        <v>2963</v>
      </c>
      <c r="J22" s="13" t="s">
        <v>30</v>
      </c>
      <c r="K22" s="14" t="str">
        <f>HYPERLINK("http://mpro.prangroup.com:4000/CreativeWorks/Edit/29575","Open")</f>
        <v>Open</v>
      </c>
    </row>
    <row r="23" spans="1:11" ht="13.2">
      <c r="A23" s="4" t="s">
        <v>2964</v>
      </c>
      <c r="B23" s="5" t="s">
        <v>144</v>
      </c>
      <c r="C23" s="6" t="s">
        <v>186</v>
      </c>
      <c r="D23" s="7" t="s">
        <v>2965</v>
      </c>
      <c r="E23" s="8" t="s">
        <v>302</v>
      </c>
      <c r="F23" s="9" t="s">
        <v>17</v>
      </c>
      <c r="G23" s="10">
        <v>4</v>
      </c>
      <c r="H23" s="11">
        <v>46121</v>
      </c>
      <c r="I23" s="12" t="s">
        <v>2966</v>
      </c>
      <c r="J23" s="13" t="s">
        <v>30</v>
      </c>
      <c r="K23" s="14" t="str">
        <f>HYPERLINK("http://mpro.prangroup.com:4000/CreativeWorks/Edit/29625","Open")</f>
        <v>Open</v>
      </c>
    </row>
    <row r="24" spans="1:11" ht="13.2">
      <c r="A24" s="4" t="s">
        <v>482</v>
      </c>
      <c r="B24" s="5" t="s">
        <v>41</v>
      </c>
      <c r="C24" s="6" t="s">
        <v>186</v>
      </c>
      <c r="D24" s="7" t="s">
        <v>2967</v>
      </c>
      <c r="E24" s="8" t="s">
        <v>302</v>
      </c>
      <c r="F24" s="9" t="s">
        <v>457</v>
      </c>
      <c r="G24" s="10">
        <v>5</v>
      </c>
      <c r="H24" s="11">
        <v>46124</v>
      </c>
      <c r="I24" s="12" t="s">
        <v>2968</v>
      </c>
      <c r="J24" s="13" t="s">
        <v>30</v>
      </c>
      <c r="K24" s="14" t="str">
        <f>HYPERLINK("http://mpro.prangroup.com:4000/CreativeWorks/Edit/29940","Open")</f>
        <v>Open</v>
      </c>
    </row>
    <row r="25" spans="1:11" ht="13.2">
      <c r="A25" s="4" t="s">
        <v>2571</v>
      </c>
      <c r="B25" s="5" t="s">
        <v>123</v>
      </c>
      <c r="C25" s="6" t="s">
        <v>232</v>
      </c>
      <c r="D25" s="7" t="s">
        <v>2589</v>
      </c>
      <c r="E25" s="8" t="s">
        <v>302</v>
      </c>
      <c r="F25" s="9" t="s">
        <v>17</v>
      </c>
      <c r="G25" s="10">
        <v>1</v>
      </c>
      <c r="H25" s="11">
        <v>46133</v>
      </c>
      <c r="I25" s="12" t="s">
        <v>2969</v>
      </c>
      <c r="J25" s="13" t="s">
        <v>30</v>
      </c>
      <c r="K25" s="14" t="str">
        <f>HYPERLINK("http://mpro.prangroup.com:4000/CreativeWorks/Edit/30730","Open")</f>
        <v>Open</v>
      </c>
    </row>
    <row r="26" spans="1:11" ht="13.2">
      <c r="A26" s="4" t="s">
        <v>388</v>
      </c>
      <c r="B26" s="5" t="s">
        <v>60</v>
      </c>
      <c r="C26" s="6" t="s">
        <v>389</v>
      </c>
      <c r="D26" s="7" t="s">
        <v>2970</v>
      </c>
      <c r="E26" s="8" t="s">
        <v>63</v>
      </c>
      <c r="F26" s="9" t="s">
        <v>457</v>
      </c>
      <c r="G26" s="10">
        <v>1</v>
      </c>
      <c r="H26" s="11">
        <v>46144</v>
      </c>
      <c r="I26" s="12" t="s">
        <v>2971</v>
      </c>
      <c r="J26" s="13" t="s">
        <v>19</v>
      </c>
      <c r="K26" s="14" t="str">
        <f>HYPERLINK("http://mpro.prangroup.com:4000/CreativeWorks/Edit/32137","Open")</f>
        <v>Open</v>
      </c>
    </row>
    <row r="27" spans="1:11" ht="13.2">
      <c r="A27" s="4" t="s">
        <v>897</v>
      </c>
      <c r="B27" s="5" t="s">
        <v>32</v>
      </c>
      <c r="C27" s="6" t="s">
        <v>689</v>
      </c>
      <c r="D27" s="7" t="s">
        <v>2972</v>
      </c>
      <c r="E27" s="8" t="s">
        <v>302</v>
      </c>
      <c r="F27" s="9" t="s">
        <v>17</v>
      </c>
      <c r="G27" s="10">
        <v>1</v>
      </c>
      <c r="H27" s="11">
        <v>46144</v>
      </c>
      <c r="I27" s="12" t="s">
        <v>2973</v>
      </c>
      <c r="J27" s="13" t="s">
        <v>30</v>
      </c>
      <c r="K27" s="14" t="str">
        <f>HYPERLINK("http://mpro.prangroup.com:4000/CreativeWorks/Edit/32127","Open")</f>
        <v>Open</v>
      </c>
    </row>
    <row r="28" spans="1:11" ht="13.2">
      <c r="A28" s="4" t="s">
        <v>2974</v>
      </c>
      <c r="B28" s="5" t="s">
        <v>41</v>
      </c>
      <c r="C28" s="6" t="s">
        <v>228</v>
      </c>
      <c r="D28" s="7" t="s">
        <v>2975</v>
      </c>
      <c r="E28" s="8" t="s">
        <v>302</v>
      </c>
      <c r="F28" s="9" t="s">
        <v>17</v>
      </c>
      <c r="G28" s="10">
        <v>2</v>
      </c>
      <c r="H28" s="11">
        <v>46144</v>
      </c>
      <c r="I28" s="12" t="s">
        <v>2976</v>
      </c>
      <c r="J28" s="13" t="s">
        <v>30</v>
      </c>
      <c r="K28" s="14" t="str">
        <f>HYPERLINK("http://mpro.prangroup.com:4000/CreativeWorks/Edit/32126","Open")</f>
        <v>Open</v>
      </c>
    </row>
    <row r="29" spans="1:11" ht="13.2">
      <c r="A29" s="4" t="s">
        <v>385</v>
      </c>
      <c r="B29" s="5" t="s">
        <v>60</v>
      </c>
      <c r="C29" s="6" t="s">
        <v>228</v>
      </c>
      <c r="D29" s="7" t="s">
        <v>2906</v>
      </c>
      <c r="E29" s="8" t="s">
        <v>302</v>
      </c>
      <c r="F29" s="9" t="s">
        <v>17</v>
      </c>
      <c r="G29" s="10">
        <v>1</v>
      </c>
      <c r="H29" s="11">
        <v>46144</v>
      </c>
      <c r="I29" s="12" t="s">
        <v>2977</v>
      </c>
      <c r="J29" s="13" t="s">
        <v>30</v>
      </c>
      <c r="K29" s="14" t="str">
        <f>HYPERLINK("http://mpro.prangroup.com:4000/CreativeWorks/Edit/32144","Open")</f>
        <v>Open</v>
      </c>
    </row>
    <row r="30" spans="1:11" ht="13.2">
      <c r="A30" s="4" t="s">
        <v>1684</v>
      </c>
      <c r="B30" s="5" t="s">
        <v>41</v>
      </c>
      <c r="C30" s="6" t="s">
        <v>232</v>
      </c>
      <c r="D30" s="7" t="s">
        <v>2609</v>
      </c>
      <c r="E30" s="8" t="s">
        <v>302</v>
      </c>
      <c r="F30" s="9" t="s">
        <v>17</v>
      </c>
      <c r="G30" s="10">
        <v>3</v>
      </c>
      <c r="H30" s="11">
        <v>46144</v>
      </c>
      <c r="I30" s="12" t="s">
        <v>2978</v>
      </c>
      <c r="J30" s="13" t="s">
        <v>30</v>
      </c>
      <c r="K30" s="14" t="str">
        <f>HYPERLINK("http://mpro.prangroup.com:4000/CreativeWorks/Edit/32147","Open")</f>
        <v>Open</v>
      </c>
    </row>
    <row r="31" spans="1:11" ht="13.2">
      <c r="A31" s="4" t="s">
        <v>286</v>
      </c>
      <c r="B31" s="5" t="s">
        <v>32</v>
      </c>
      <c r="C31" s="6" t="s">
        <v>186</v>
      </c>
      <c r="D31" s="7" t="s">
        <v>2979</v>
      </c>
      <c r="E31" s="8" t="s">
        <v>302</v>
      </c>
      <c r="F31" s="9" t="s">
        <v>457</v>
      </c>
      <c r="G31" s="10">
        <v>1</v>
      </c>
      <c r="H31" s="11">
        <v>46144</v>
      </c>
      <c r="I31" s="12" t="s">
        <v>2980</v>
      </c>
      <c r="J31" s="13" t="s">
        <v>30</v>
      </c>
      <c r="K31" s="14" t="str">
        <f>HYPERLINK("http://mpro.prangroup.com:4000/CreativeWorks/Edit/32149","Open")</f>
        <v>Open</v>
      </c>
    </row>
    <row r="32" spans="1:11" ht="13.2">
      <c r="A32" s="4" t="s">
        <v>216</v>
      </c>
      <c r="B32" s="5" t="s">
        <v>217</v>
      </c>
      <c r="C32" s="6" t="s">
        <v>186</v>
      </c>
      <c r="D32" s="7" t="s">
        <v>1146</v>
      </c>
      <c r="E32" s="8" t="s">
        <v>302</v>
      </c>
      <c r="F32" s="9" t="s">
        <v>17</v>
      </c>
      <c r="G32" s="10">
        <v>2</v>
      </c>
      <c r="H32" s="11">
        <v>46144</v>
      </c>
      <c r="I32" s="12" t="s">
        <v>2981</v>
      </c>
      <c r="J32" s="13" t="s">
        <v>30</v>
      </c>
      <c r="K32" s="14" t="str">
        <f>HYPERLINK("http://mpro.prangroup.com:4000/CreativeWorks/Edit/32139","Open")</f>
        <v>Open</v>
      </c>
    </row>
    <row r="33" spans="1:11" ht="13.2">
      <c r="A33" s="4" t="s">
        <v>286</v>
      </c>
      <c r="B33" s="5" t="s">
        <v>32</v>
      </c>
      <c r="C33" s="6" t="s">
        <v>186</v>
      </c>
      <c r="D33" s="7" t="s">
        <v>2979</v>
      </c>
      <c r="E33" s="8" t="s">
        <v>302</v>
      </c>
      <c r="F33" s="9" t="s">
        <v>17</v>
      </c>
      <c r="G33" s="10">
        <v>1</v>
      </c>
      <c r="H33" s="11">
        <v>46144</v>
      </c>
      <c r="I33" s="12" t="s">
        <v>2980</v>
      </c>
      <c r="J33" s="13" t="s">
        <v>30</v>
      </c>
      <c r="K33" s="14" t="str">
        <f>HYPERLINK("http://mpro.prangroup.com:4000/CreativeWorks/Edit/32149","Open")</f>
        <v>Open</v>
      </c>
    </row>
    <row r="34" spans="1:11" ht="13.2">
      <c r="A34" s="4" t="s">
        <v>532</v>
      </c>
      <c r="B34" s="5" t="s">
        <v>282</v>
      </c>
      <c r="C34" s="6" t="s">
        <v>283</v>
      </c>
      <c r="D34" s="7" t="s">
        <v>533</v>
      </c>
      <c r="E34" s="8" t="s">
        <v>302</v>
      </c>
      <c r="F34" s="9" t="s">
        <v>17</v>
      </c>
      <c r="G34" s="10">
        <v>2</v>
      </c>
      <c r="H34" s="11">
        <v>46147</v>
      </c>
      <c r="I34" s="12" t="s">
        <v>2982</v>
      </c>
      <c r="J34" s="13" t="s">
        <v>30</v>
      </c>
      <c r="K34" s="14" t="str">
        <f>HYPERLINK("http://mpro.prangroup.com:4000/CreativeWorks/Edit/32468","Open")</f>
        <v>Open</v>
      </c>
    </row>
    <row r="35" spans="1:11" ht="13.2">
      <c r="A35" s="4" t="s">
        <v>2983</v>
      </c>
      <c r="B35" s="5" t="s">
        <v>123</v>
      </c>
      <c r="C35" s="6" t="s">
        <v>186</v>
      </c>
      <c r="D35" s="7" t="s">
        <v>2984</v>
      </c>
      <c r="E35" s="8" t="s">
        <v>589</v>
      </c>
      <c r="F35" s="9" t="s">
        <v>17</v>
      </c>
      <c r="G35" s="10">
        <v>6</v>
      </c>
      <c r="H35" s="11">
        <v>46147</v>
      </c>
      <c r="I35" s="12" t="s">
        <v>2985</v>
      </c>
      <c r="J35" s="13" t="s">
        <v>30</v>
      </c>
      <c r="K35" s="14" t="str">
        <f>HYPERLINK("http://mpro.prangroup.com:4000/CreativeWorks/Edit/32469","Open")</f>
        <v>Open</v>
      </c>
    </row>
    <row r="36" spans="1:11" ht="13.2">
      <c r="A36" s="4" t="s">
        <v>1179</v>
      </c>
      <c r="B36" s="5" t="s">
        <v>41</v>
      </c>
      <c r="C36" s="6" t="s">
        <v>603</v>
      </c>
      <c r="D36" s="7" t="s">
        <v>2986</v>
      </c>
      <c r="E36" s="8" t="s">
        <v>302</v>
      </c>
      <c r="F36" s="9" t="s">
        <v>17</v>
      </c>
      <c r="G36" s="10">
        <v>2</v>
      </c>
      <c r="H36" s="11">
        <v>46148</v>
      </c>
      <c r="I36" s="12" t="s">
        <v>2987</v>
      </c>
      <c r="J36" s="13" t="s">
        <v>30</v>
      </c>
      <c r="K36" s="14" t="str">
        <f>HYPERLINK("http://mpro.prangroup.com:4000/CreativeWorks/Edit/32583","Open")</f>
        <v>Open</v>
      </c>
    </row>
    <row r="37" spans="1:11" ht="13.2">
      <c r="A37" s="4" t="s">
        <v>117</v>
      </c>
      <c r="B37" s="5" t="s">
        <v>32</v>
      </c>
      <c r="C37" s="6" t="s">
        <v>91</v>
      </c>
      <c r="D37" s="7" t="s">
        <v>2723</v>
      </c>
      <c r="E37" s="8" t="s">
        <v>302</v>
      </c>
      <c r="F37" s="9" t="s">
        <v>17</v>
      </c>
      <c r="G37" s="10">
        <v>1</v>
      </c>
      <c r="H37" s="11">
        <v>46149</v>
      </c>
      <c r="I37" s="12" t="s">
        <v>2988</v>
      </c>
      <c r="J37" s="13" t="s">
        <v>19</v>
      </c>
      <c r="K37" s="14" t="str">
        <f>HYPERLINK("http://mpro.prangroup.com:4000/CreativeWorks/Edit/32691","Open")</f>
        <v>Open</v>
      </c>
    </row>
    <row r="38" spans="1:11" ht="13.2">
      <c r="A38" s="4" t="s">
        <v>1396</v>
      </c>
      <c r="B38" s="5" t="s">
        <v>916</v>
      </c>
      <c r="C38" s="6" t="s">
        <v>746</v>
      </c>
      <c r="D38" s="7" t="s">
        <v>2989</v>
      </c>
      <c r="E38" s="8" t="s">
        <v>63</v>
      </c>
      <c r="F38" s="9" t="s">
        <v>17</v>
      </c>
      <c r="G38" s="10">
        <v>1</v>
      </c>
      <c r="H38" s="11">
        <v>46152</v>
      </c>
      <c r="I38" s="12" t="s">
        <v>2990</v>
      </c>
      <c r="J38" s="13" t="s">
        <v>30</v>
      </c>
      <c r="K38" s="14" t="str">
        <f>HYPERLINK("http://mpro.prangroup.com:4000/CreativeWorks/Edit/33032","Open")</f>
        <v>Open</v>
      </c>
    </row>
    <row r="39" spans="1:11" ht="13.2">
      <c r="A39" s="4" t="s">
        <v>90</v>
      </c>
      <c r="B39" s="5" t="s">
        <v>32</v>
      </c>
      <c r="C39" s="6" t="s">
        <v>186</v>
      </c>
      <c r="D39" s="7" t="s">
        <v>1186</v>
      </c>
      <c r="E39" s="8" t="s">
        <v>302</v>
      </c>
      <c r="F39" s="9" t="s">
        <v>17</v>
      </c>
      <c r="G39" s="10">
        <v>1</v>
      </c>
      <c r="H39" s="11">
        <v>46154</v>
      </c>
      <c r="I39" s="12" t="s">
        <v>2991</v>
      </c>
      <c r="J39" s="13" t="s">
        <v>30</v>
      </c>
      <c r="K39" s="14" t="str">
        <f>HYPERLINK("http://mpro.prangroup.com:4000/CreativeWorks/Edit/33251","Open")</f>
        <v>Open</v>
      </c>
    </row>
    <row r="40" spans="1:11" ht="13.2">
      <c r="A40" s="4" t="s">
        <v>248</v>
      </c>
      <c r="B40" s="5" t="s">
        <v>123</v>
      </c>
      <c r="C40" s="6" t="s">
        <v>124</v>
      </c>
      <c r="D40" s="7" t="s">
        <v>626</v>
      </c>
      <c r="E40" s="8" t="s">
        <v>302</v>
      </c>
      <c r="F40" s="9" t="s">
        <v>17</v>
      </c>
      <c r="G40" s="10">
        <v>1</v>
      </c>
      <c r="H40" s="11">
        <v>46156</v>
      </c>
      <c r="I40" s="12" t="s">
        <v>2992</v>
      </c>
      <c r="J40" s="13" t="s">
        <v>30</v>
      </c>
      <c r="K40" s="14" t="str">
        <f>HYPERLINK("http://mpro.prangroup.com:4000/CreativeWorks/Edit/33515","Open")</f>
        <v>Open</v>
      </c>
    </row>
    <row r="41" spans="1:11" ht="13.2">
      <c r="A41" s="4" t="s">
        <v>395</v>
      </c>
      <c r="B41" s="5" t="s">
        <v>185</v>
      </c>
      <c r="C41" s="6" t="s">
        <v>166</v>
      </c>
      <c r="D41" s="7" t="s">
        <v>552</v>
      </c>
      <c r="E41" s="8" t="s">
        <v>302</v>
      </c>
      <c r="F41" s="9" t="s">
        <v>17</v>
      </c>
      <c r="G41" s="10">
        <v>1</v>
      </c>
      <c r="H41" s="11">
        <v>46158</v>
      </c>
      <c r="I41" s="12" t="s">
        <v>2993</v>
      </c>
      <c r="J41" s="13" t="s">
        <v>30</v>
      </c>
      <c r="K41" s="14" t="str">
        <f>HYPERLINK("http://mpro.prangroup.com:4000/CreativeWorks/Edit/33616","Open")</f>
        <v>Open</v>
      </c>
    </row>
    <row r="42" spans="1:11" ht="13.2">
      <c r="A42" s="4" t="s">
        <v>2994</v>
      </c>
      <c r="B42" s="5" t="s">
        <v>41</v>
      </c>
      <c r="C42" s="6" t="s">
        <v>438</v>
      </c>
      <c r="D42" s="7" t="s">
        <v>2995</v>
      </c>
      <c r="E42" s="8" t="s">
        <v>302</v>
      </c>
      <c r="F42" s="9" t="s">
        <v>17</v>
      </c>
      <c r="G42" s="10">
        <v>1</v>
      </c>
      <c r="H42" s="11">
        <v>46159</v>
      </c>
      <c r="I42" s="12" t="s">
        <v>2996</v>
      </c>
      <c r="J42" s="13" t="s">
        <v>30</v>
      </c>
      <c r="K42" s="14" t="str">
        <f>HYPERLINK("http://mpro.prangroup.com:4000/CreativeWorks/Edit/33715","Open")</f>
        <v>Open</v>
      </c>
    </row>
    <row r="43" spans="1:11" ht="13.2">
      <c r="A43" s="4" t="s">
        <v>2997</v>
      </c>
      <c r="B43" s="5" t="s">
        <v>41</v>
      </c>
      <c r="C43" s="6" t="s">
        <v>438</v>
      </c>
      <c r="D43" s="7" t="s">
        <v>2998</v>
      </c>
      <c r="E43" s="8" t="s">
        <v>1373</v>
      </c>
      <c r="F43" s="9" t="s">
        <v>17</v>
      </c>
      <c r="G43" s="10">
        <v>4</v>
      </c>
      <c r="H43" s="11">
        <v>46159</v>
      </c>
      <c r="I43" s="12" t="s">
        <v>2999</v>
      </c>
      <c r="J43" s="13" t="s">
        <v>19</v>
      </c>
      <c r="K43" s="14" t="str">
        <f>HYPERLINK("http://mpro.prangroup.com:4000/CreativeWorks/Edit/33713","Open")</f>
        <v>Open</v>
      </c>
    </row>
    <row r="44" spans="1:11" ht="13.2">
      <c r="A44" s="4" t="s">
        <v>1037</v>
      </c>
      <c r="B44" s="5" t="s">
        <v>139</v>
      </c>
      <c r="C44" s="6" t="s">
        <v>1711</v>
      </c>
      <c r="D44" s="7" t="s">
        <v>1977</v>
      </c>
      <c r="E44" s="8" t="s">
        <v>748</v>
      </c>
      <c r="F44" s="9" t="s">
        <v>17</v>
      </c>
      <c r="G44" s="10">
        <v>1</v>
      </c>
      <c r="H44" s="11">
        <v>46159</v>
      </c>
      <c r="I44" s="12" t="s">
        <v>3000</v>
      </c>
      <c r="J44" s="13" t="s">
        <v>30</v>
      </c>
      <c r="K44" s="14" t="str">
        <f>HYPERLINK("http://mpro.prangroup.com:4000/CreativeWorks/Edit/33726","Open")</f>
        <v>Open</v>
      </c>
    </row>
    <row r="45" spans="1:11" ht="13.2">
      <c r="A45" s="4" t="s">
        <v>1037</v>
      </c>
      <c r="B45" s="5" t="s">
        <v>139</v>
      </c>
      <c r="C45" s="6" t="s">
        <v>1711</v>
      </c>
      <c r="D45" s="7" t="s">
        <v>1974</v>
      </c>
      <c r="E45" s="8" t="s">
        <v>748</v>
      </c>
      <c r="F45" s="9" t="s">
        <v>17</v>
      </c>
      <c r="G45" s="10">
        <v>1</v>
      </c>
      <c r="H45" s="11">
        <v>46159</v>
      </c>
      <c r="I45" s="12" t="s">
        <v>3001</v>
      </c>
      <c r="J45" s="13" t="s">
        <v>30</v>
      </c>
      <c r="K45" s="14" t="str">
        <f>HYPERLINK("http://mpro.prangroup.com:4000/CreativeWorks/Edit/33728","Open")</f>
        <v>Open</v>
      </c>
    </row>
    <row r="46" spans="1:11" ht="13.2">
      <c r="A46" s="4" t="s">
        <v>919</v>
      </c>
      <c r="B46" s="5" t="s">
        <v>32</v>
      </c>
      <c r="C46" s="6" t="s">
        <v>1711</v>
      </c>
      <c r="D46" s="7" t="s">
        <v>3002</v>
      </c>
      <c r="E46" s="8" t="s">
        <v>748</v>
      </c>
      <c r="F46" s="9" t="s">
        <v>17</v>
      </c>
      <c r="G46" s="10">
        <v>6</v>
      </c>
      <c r="H46" s="11">
        <v>46159</v>
      </c>
      <c r="I46" s="12" t="s">
        <v>3003</v>
      </c>
      <c r="J46" s="13" t="s">
        <v>30</v>
      </c>
      <c r="K46" s="14" t="str">
        <f>HYPERLINK("http://mpro.prangroup.com:4000/CreativeWorks/Edit/33722","Open")</f>
        <v>Open</v>
      </c>
    </row>
    <row r="47" spans="1:11" ht="13.2">
      <c r="A47" s="4" t="s">
        <v>1037</v>
      </c>
      <c r="B47" s="5" t="s">
        <v>139</v>
      </c>
      <c r="C47" s="6" t="s">
        <v>1711</v>
      </c>
      <c r="D47" s="7" t="s">
        <v>1971</v>
      </c>
      <c r="E47" s="8" t="s">
        <v>748</v>
      </c>
      <c r="F47" s="9" t="s">
        <v>17</v>
      </c>
      <c r="G47" s="10">
        <v>2</v>
      </c>
      <c r="H47" s="11">
        <v>46159</v>
      </c>
      <c r="I47" s="12" t="s">
        <v>3004</v>
      </c>
      <c r="J47" s="13" t="s">
        <v>30</v>
      </c>
      <c r="K47" s="14" t="str">
        <f>HYPERLINK("http://mpro.prangroup.com:4000/CreativeWorks/Edit/33730","Open")</f>
        <v>Open</v>
      </c>
    </row>
    <row r="48" spans="1:11" ht="13.2">
      <c r="A48" s="4" t="s">
        <v>105</v>
      </c>
      <c r="B48" s="5" t="s">
        <v>60</v>
      </c>
      <c r="C48" s="6" t="s">
        <v>78</v>
      </c>
      <c r="D48" s="7" t="s">
        <v>1184</v>
      </c>
      <c r="E48" s="8" t="s">
        <v>302</v>
      </c>
      <c r="F48" s="9" t="s">
        <v>17</v>
      </c>
      <c r="G48" s="10">
        <v>1</v>
      </c>
      <c r="H48" s="11">
        <v>46159</v>
      </c>
      <c r="I48" s="12" t="s">
        <v>3005</v>
      </c>
      <c r="J48" s="13" t="s">
        <v>30</v>
      </c>
      <c r="K48" s="14" t="str">
        <f>HYPERLINK("http://mpro.prangroup.com:4000/CreativeWorks/Edit/33700","Open")</f>
        <v>Open</v>
      </c>
    </row>
    <row r="49" spans="1:11" ht="13.2">
      <c r="A49" s="4" t="s">
        <v>1399</v>
      </c>
      <c r="B49" s="5" t="s">
        <v>916</v>
      </c>
      <c r="C49" s="6" t="s">
        <v>746</v>
      </c>
      <c r="D49" s="7" t="s">
        <v>3006</v>
      </c>
      <c r="E49" s="8" t="s">
        <v>748</v>
      </c>
      <c r="F49" s="9" t="s">
        <v>17</v>
      </c>
      <c r="G49" s="10">
        <v>1</v>
      </c>
      <c r="H49" s="11">
        <v>46160</v>
      </c>
      <c r="I49" s="12" t="s">
        <v>3007</v>
      </c>
      <c r="J49" s="13" t="s">
        <v>30</v>
      </c>
      <c r="K49" s="14" t="str">
        <f>HYPERLINK("http://mpro.prangroup.com:4000/CreativeWorks/Edit/33893","Open")</f>
        <v>Open</v>
      </c>
    </row>
    <row r="50" spans="1:11" ht="13.2">
      <c r="A50" s="4" t="s">
        <v>278</v>
      </c>
      <c r="B50" s="5" t="s">
        <v>101</v>
      </c>
      <c r="C50" s="6" t="s">
        <v>232</v>
      </c>
      <c r="D50" s="7" t="s">
        <v>3008</v>
      </c>
      <c r="E50" s="8" t="s">
        <v>302</v>
      </c>
      <c r="F50" s="9" t="s">
        <v>17</v>
      </c>
      <c r="G50" s="10">
        <v>1</v>
      </c>
      <c r="H50" s="11">
        <v>46160</v>
      </c>
      <c r="I50" s="12" t="s">
        <v>3009</v>
      </c>
      <c r="J50" s="13" t="s">
        <v>30</v>
      </c>
      <c r="K50" s="14" t="str">
        <f>HYPERLINK("http://mpro.prangroup.com:4000/CreativeWorks/Edit/33935","Open")</f>
        <v>Open</v>
      </c>
    </row>
    <row r="51" spans="1:11" ht="13.2">
      <c r="A51" s="4" t="s">
        <v>3010</v>
      </c>
      <c r="B51" s="5" t="s">
        <v>41</v>
      </c>
      <c r="C51" s="6" t="s">
        <v>438</v>
      </c>
      <c r="D51" s="7" t="s">
        <v>3011</v>
      </c>
      <c r="E51" s="8" t="s">
        <v>302</v>
      </c>
      <c r="F51" s="9" t="s">
        <v>17</v>
      </c>
      <c r="G51" s="10">
        <v>4</v>
      </c>
      <c r="H51" s="11">
        <v>46162</v>
      </c>
      <c r="I51" s="12" t="s">
        <v>3012</v>
      </c>
      <c r="J51" s="13" t="s">
        <v>19</v>
      </c>
      <c r="K51" s="14" t="str">
        <f>HYPERLINK("http://mpro.prangroup.com:4000/CreativeWorks/Edit/34189","Open")</f>
        <v>Open</v>
      </c>
    </row>
    <row r="52" spans="1:11" ht="13.2">
      <c r="A52" s="4" t="s">
        <v>1587</v>
      </c>
      <c r="B52" s="5" t="s">
        <v>916</v>
      </c>
      <c r="C52" s="6" t="s">
        <v>746</v>
      </c>
      <c r="D52" s="7" t="s">
        <v>3013</v>
      </c>
      <c r="E52" s="8" t="s">
        <v>748</v>
      </c>
      <c r="F52" s="9" t="s">
        <v>17</v>
      </c>
      <c r="G52" s="10">
        <v>1</v>
      </c>
      <c r="H52" s="11">
        <v>46163</v>
      </c>
      <c r="I52" s="12" t="s">
        <v>3014</v>
      </c>
      <c r="J52" s="13" t="s">
        <v>19</v>
      </c>
      <c r="K52" s="14" t="str">
        <f>HYPERLINK("http://mpro.prangroup.com:4000/CreativeWorks/Edit/34380","Open")</f>
        <v>Open</v>
      </c>
    </row>
    <row r="53" spans="1:11" ht="13.2">
      <c r="A53" s="4" t="s">
        <v>576</v>
      </c>
      <c r="B53" s="5" t="s">
        <v>32</v>
      </c>
      <c r="C53" s="6" t="s">
        <v>455</v>
      </c>
      <c r="D53" s="7" t="s">
        <v>577</v>
      </c>
      <c r="E53" s="8" t="s">
        <v>63</v>
      </c>
      <c r="F53" s="9" t="s">
        <v>17</v>
      </c>
      <c r="G53" s="10">
        <v>1</v>
      </c>
      <c r="H53" s="11">
        <v>46163</v>
      </c>
      <c r="I53" s="12" t="s">
        <v>3015</v>
      </c>
      <c r="J53" s="13" t="s">
        <v>30</v>
      </c>
      <c r="K53" s="14" t="str">
        <f>HYPERLINK("http://mpro.prangroup.com:4000/CreativeWorks/Edit/34360","Open")</f>
        <v>Open</v>
      </c>
    </row>
    <row r="54" spans="1:11" ht="13.2">
      <c r="A54" s="4" t="s">
        <v>363</v>
      </c>
      <c r="B54" s="5" t="s">
        <v>170</v>
      </c>
      <c r="C54" s="6" t="s">
        <v>186</v>
      </c>
      <c r="D54" s="7" t="s">
        <v>3016</v>
      </c>
      <c r="E54" s="8" t="s">
        <v>1687</v>
      </c>
      <c r="F54" s="9" t="s">
        <v>17</v>
      </c>
      <c r="G54" s="10">
        <v>7</v>
      </c>
      <c r="H54" s="11">
        <v>46163</v>
      </c>
      <c r="I54" s="12" t="s">
        <v>3017</v>
      </c>
      <c r="J54" s="13" t="s">
        <v>19</v>
      </c>
      <c r="K54" s="14" t="str">
        <f>HYPERLINK("http://mpro.prangroup.com:4000/CreativeWorks/Edit/34359","Open")</f>
        <v>Open</v>
      </c>
    </row>
    <row r="55" spans="1:11" ht="13.2">
      <c r="A55" s="4" t="s">
        <v>1399</v>
      </c>
      <c r="B55" s="5" t="s">
        <v>916</v>
      </c>
      <c r="C55" s="6" t="s">
        <v>746</v>
      </c>
      <c r="D55" s="7" t="s">
        <v>3018</v>
      </c>
      <c r="E55" s="8" t="s">
        <v>748</v>
      </c>
      <c r="F55" s="9" t="s">
        <v>17</v>
      </c>
      <c r="G55" s="10">
        <v>1</v>
      </c>
      <c r="H55" s="11">
        <v>46164</v>
      </c>
      <c r="I55" s="12" t="s">
        <v>3019</v>
      </c>
      <c r="J55" s="13" t="s">
        <v>19</v>
      </c>
      <c r="K55" s="14" t="str">
        <f>HYPERLINK("http://mpro.prangroup.com:4000/CreativeWorks/Edit/34492","Open")</f>
        <v>Open</v>
      </c>
    </row>
    <row r="56" spans="1:11" ht="13.2">
      <c r="A56" s="22"/>
      <c r="B56" s="16"/>
      <c r="C56" s="23"/>
      <c r="D56" s="24"/>
      <c r="E56" s="25"/>
      <c r="F56" s="26"/>
      <c r="G56" s="27"/>
      <c r="H56" s="20"/>
      <c r="I56" s="21"/>
      <c r="J56" s="28"/>
      <c r="K56" s="19"/>
    </row>
    <row r="57" spans="1:11" ht="13.2">
      <c r="A57" s="22"/>
      <c r="B57" s="16"/>
      <c r="C57" s="23"/>
      <c r="D57" s="24"/>
      <c r="E57" s="25"/>
      <c r="F57" s="26"/>
      <c r="G57" s="27"/>
      <c r="H57" s="20"/>
      <c r="I57" s="21"/>
      <c r="J57" s="28"/>
      <c r="K57" s="19"/>
    </row>
    <row r="58" spans="1:11" ht="13.2">
      <c r="A58" s="22"/>
      <c r="B58" s="16"/>
      <c r="C58" s="23"/>
      <c r="D58" s="24"/>
      <c r="E58" s="25"/>
      <c r="F58" s="26"/>
      <c r="G58" s="27"/>
      <c r="H58" s="20"/>
      <c r="I58" s="21"/>
      <c r="J58" s="28"/>
      <c r="K58" s="19"/>
    </row>
    <row r="59" spans="1:11" ht="13.2">
      <c r="A59" s="22"/>
      <c r="B59" s="16"/>
      <c r="C59" s="23"/>
      <c r="D59" s="24"/>
      <c r="E59" s="25"/>
      <c r="F59" s="26"/>
      <c r="G59" s="27"/>
      <c r="H59" s="20"/>
      <c r="I59" s="21"/>
      <c r="J59" s="28"/>
      <c r="K59" s="19"/>
    </row>
    <row r="60" spans="1:11" ht="13.2">
      <c r="A60" s="22"/>
      <c r="B60" s="16"/>
      <c r="C60" s="23"/>
      <c r="D60" s="24"/>
      <c r="E60" s="25"/>
      <c r="F60" s="26"/>
      <c r="G60" s="27"/>
      <c r="H60" s="20"/>
      <c r="I60" s="21"/>
      <c r="J60" s="28"/>
      <c r="K60" s="19"/>
    </row>
    <row r="61" spans="1:11" ht="13.2">
      <c r="A61" s="22"/>
      <c r="B61" s="16"/>
      <c r="C61" s="23"/>
      <c r="D61" s="24"/>
      <c r="E61" s="25"/>
      <c r="F61" s="26"/>
      <c r="G61" s="27"/>
      <c r="H61" s="20"/>
      <c r="I61" s="21"/>
      <c r="J61" s="28"/>
      <c r="K61" s="19"/>
    </row>
    <row r="62" spans="1:11" ht="13.2">
      <c r="A62" s="22"/>
      <c r="B62" s="16"/>
      <c r="C62" s="23"/>
      <c r="D62" s="24"/>
      <c r="E62" s="25"/>
      <c r="F62" s="26"/>
      <c r="G62" s="27"/>
      <c r="H62" s="20"/>
      <c r="I62" s="21"/>
      <c r="J62" s="28"/>
      <c r="K62" s="19"/>
    </row>
    <row r="63" spans="1:11" ht="13.2">
      <c r="A63" s="22"/>
      <c r="B63" s="16"/>
      <c r="C63" s="23"/>
      <c r="D63" s="24"/>
      <c r="E63" s="25"/>
      <c r="F63" s="26"/>
      <c r="G63" s="27"/>
      <c r="H63" s="20"/>
      <c r="I63" s="21"/>
      <c r="J63" s="28"/>
      <c r="K63" s="19"/>
    </row>
    <row r="64" spans="1:11" ht="13.2">
      <c r="A64" s="22"/>
      <c r="B64" s="16"/>
      <c r="C64" s="23"/>
      <c r="D64" s="24"/>
      <c r="E64" s="25"/>
      <c r="F64" s="26"/>
      <c r="G64" s="27"/>
      <c r="H64" s="20"/>
      <c r="I64" s="21"/>
      <c r="J64" s="28"/>
      <c r="K64" s="19"/>
    </row>
    <row r="65" spans="1:11" ht="13.2">
      <c r="A65" s="22"/>
      <c r="B65" s="16"/>
      <c r="C65" s="23"/>
      <c r="D65" s="24"/>
      <c r="E65" s="25"/>
      <c r="F65" s="26"/>
      <c r="G65" s="27"/>
      <c r="H65" s="20"/>
      <c r="I65" s="21"/>
      <c r="J65" s="28"/>
      <c r="K65" s="19"/>
    </row>
    <row r="66" spans="1:11" ht="13.2">
      <c r="A66" s="22"/>
      <c r="B66" s="16"/>
      <c r="C66" s="23"/>
      <c r="D66" s="24"/>
      <c r="E66" s="25"/>
      <c r="F66" s="26"/>
      <c r="G66" s="27"/>
      <c r="H66" s="20"/>
      <c r="I66" s="21"/>
      <c r="J66" s="28"/>
      <c r="K66" s="19"/>
    </row>
    <row r="67" spans="1:11" ht="13.2">
      <c r="A67" s="22"/>
      <c r="B67" s="16"/>
      <c r="C67" s="23"/>
      <c r="D67" s="24"/>
      <c r="E67" s="25"/>
      <c r="F67" s="26"/>
      <c r="G67" s="27"/>
      <c r="H67" s="20"/>
      <c r="I67" s="21"/>
      <c r="J67" s="28"/>
      <c r="K67" s="19"/>
    </row>
    <row r="68" spans="1:11" ht="13.2">
      <c r="A68" s="22"/>
      <c r="B68" s="16"/>
      <c r="C68" s="23"/>
      <c r="D68" s="24"/>
      <c r="E68" s="25"/>
      <c r="F68" s="26"/>
      <c r="G68" s="27"/>
      <c r="H68" s="20"/>
      <c r="I68" s="21"/>
      <c r="J68" s="28"/>
      <c r="K68" s="19"/>
    </row>
    <row r="69" spans="1:11" ht="13.2">
      <c r="A69" s="22"/>
      <c r="B69" s="16"/>
      <c r="C69" s="23"/>
      <c r="D69" s="24"/>
      <c r="E69" s="25"/>
      <c r="F69" s="26"/>
      <c r="G69" s="27"/>
      <c r="H69" s="20"/>
      <c r="I69" s="21"/>
      <c r="J69" s="28"/>
      <c r="K69" s="19"/>
    </row>
    <row r="70" spans="1:11" ht="13.2">
      <c r="A70" s="22"/>
      <c r="B70" s="16"/>
      <c r="C70" s="23"/>
      <c r="D70" s="24"/>
      <c r="E70" s="25"/>
      <c r="F70" s="26"/>
      <c r="G70" s="27"/>
      <c r="H70" s="20"/>
      <c r="I70" s="21"/>
      <c r="J70" s="28"/>
      <c r="K70" s="19"/>
    </row>
    <row r="71" spans="1:11" ht="13.2">
      <c r="A71" s="22"/>
      <c r="B71" s="16"/>
      <c r="C71" s="23"/>
      <c r="D71" s="24"/>
      <c r="E71" s="25"/>
      <c r="F71" s="26"/>
      <c r="G71" s="27"/>
      <c r="H71" s="20"/>
      <c r="I71" s="21"/>
      <c r="J71" s="28"/>
      <c r="K71" s="19"/>
    </row>
    <row r="72" spans="1:11" ht="13.2">
      <c r="A72" s="22"/>
      <c r="B72" s="16"/>
      <c r="C72" s="23"/>
      <c r="D72" s="24"/>
      <c r="E72" s="25"/>
      <c r="F72" s="26"/>
      <c r="G72" s="27"/>
      <c r="H72" s="20"/>
      <c r="I72" s="21"/>
      <c r="J72" s="28"/>
      <c r="K72" s="19"/>
    </row>
    <row r="73" spans="1:11" ht="13.2">
      <c r="A73" s="22"/>
      <c r="B73" s="16"/>
      <c r="C73" s="23"/>
      <c r="D73" s="24"/>
      <c r="E73" s="25"/>
      <c r="F73" s="26"/>
      <c r="G73" s="27"/>
      <c r="H73" s="20"/>
      <c r="I73" s="21"/>
      <c r="J73" s="28"/>
      <c r="K73" s="19"/>
    </row>
    <row r="74" spans="1:11" ht="13.2">
      <c r="A74" s="22"/>
      <c r="B74" s="16"/>
      <c r="C74" s="23"/>
      <c r="D74" s="24"/>
      <c r="E74" s="25"/>
      <c r="F74" s="26"/>
      <c r="G74" s="27"/>
      <c r="H74" s="20"/>
      <c r="I74" s="21"/>
      <c r="J74" s="28"/>
      <c r="K74" s="19"/>
    </row>
    <row r="75" spans="1:11" ht="13.2">
      <c r="A75" s="22"/>
      <c r="B75" s="16"/>
      <c r="C75" s="23"/>
      <c r="D75" s="24"/>
      <c r="E75" s="25"/>
      <c r="F75" s="26"/>
      <c r="G75" s="27"/>
      <c r="H75" s="20"/>
      <c r="I75" s="21"/>
      <c r="J75" s="28"/>
      <c r="K75" s="19"/>
    </row>
    <row r="76" spans="1:11" ht="13.2">
      <c r="A76" s="22"/>
      <c r="B76" s="16"/>
      <c r="C76" s="23"/>
      <c r="D76" s="24"/>
      <c r="E76" s="25"/>
      <c r="F76" s="26"/>
      <c r="G76" s="27"/>
      <c r="H76" s="20"/>
      <c r="I76" s="21"/>
      <c r="J76" s="28"/>
      <c r="K76" s="19"/>
    </row>
    <row r="77" spans="1:11" ht="13.2">
      <c r="A77" s="22"/>
      <c r="B77" s="16"/>
      <c r="C77" s="23"/>
      <c r="D77" s="24"/>
      <c r="E77" s="25"/>
      <c r="F77" s="26"/>
      <c r="G77" s="27"/>
      <c r="H77" s="20"/>
      <c r="I77" s="21"/>
      <c r="J77" s="28"/>
      <c r="K77" s="19"/>
    </row>
    <row r="78" spans="1:11" ht="13.2">
      <c r="A78" s="22"/>
      <c r="B78" s="16"/>
      <c r="C78" s="23"/>
      <c r="D78" s="24"/>
      <c r="E78" s="25"/>
      <c r="F78" s="26"/>
      <c r="G78" s="27"/>
      <c r="H78" s="20"/>
      <c r="I78" s="21"/>
      <c r="J78" s="28"/>
      <c r="K78" s="19"/>
    </row>
    <row r="79" spans="1:11" ht="13.2">
      <c r="A79" s="22"/>
      <c r="B79" s="16"/>
      <c r="C79" s="23"/>
      <c r="D79" s="24"/>
      <c r="E79" s="25"/>
      <c r="F79" s="26"/>
      <c r="G79" s="27"/>
      <c r="H79" s="20"/>
      <c r="I79" s="21"/>
      <c r="J79" s="28"/>
      <c r="K79" s="19"/>
    </row>
    <row r="80" spans="1:11" ht="13.2">
      <c r="A80" s="22"/>
      <c r="B80" s="16"/>
      <c r="C80" s="23"/>
      <c r="D80" s="24"/>
      <c r="E80" s="25"/>
      <c r="F80" s="26"/>
      <c r="G80" s="27"/>
      <c r="H80" s="20"/>
      <c r="I80" s="21"/>
      <c r="J80" s="28"/>
      <c r="K80" s="19"/>
    </row>
    <row r="81" spans="1:11" ht="13.2">
      <c r="A81" s="22"/>
      <c r="B81" s="16"/>
      <c r="C81" s="23"/>
      <c r="D81" s="24"/>
      <c r="E81" s="25"/>
      <c r="F81" s="26"/>
      <c r="G81" s="27"/>
      <c r="H81" s="20"/>
      <c r="I81" s="21"/>
      <c r="J81" s="28"/>
      <c r="K81" s="19"/>
    </row>
    <row r="82" spans="1:11" ht="13.2">
      <c r="A82" s="22"/>
      <c r="B82" s="16"/>
      <c r="C82" s="23"/>
      <c r="D82" s="24"/>
      <c r="E82" s="25"/>
      <c r="F82" s="26"/>
      <c r="G82" s="27"/>
      <c r="H82" s="20"/>
      <c r="I82" s="21"/>
      <c r="J82" s="28"/>
      <c r="K82" s="19"/>
    </row>
    <row r="83" spans="1:11" ht="13.2">
      <c r="A83" s="22"/>
      <c r="B83" s="16"/>
      <c r="C83" s="23"/>
      <c r="D83" s="24"/>
      <c r="E83" s="25"/>
      <c r="F83" s="26"/>
      <c r="G83" s="27"/>
      <c r="H83" s="20"/>
      <c r="I83" s="21"/>
      <c r="J83" s="28"/>
      <c r="K83" s="19"/>
    </row>
    <row r="84" spans="1:11" ht="13.2">
      <c r="A84" s="22"/>
      <c r="B84" s="16"/>
      <c r="C84" s="23"/>
      <c r="D84" s="24"/>
      <c r="E84" s="25"/>
      <c r="F84" s="26"/>
      <c r="G84" s="27"/>
      <c r="H84" s="20"/>
      <c r="I84" s="21"/>
      <c r="J84" s="28"/>
      <c r="K84" s="19"/>
    </row>
    <row r="85" spans="1:11" ht="13.2">
      <c r="A85" s="22"/>
      <c r="B85" s="16"/>
      <c r="C85" s="23"/>
      <c r="D85" s="24"/>
      <c r="E85" s="25"/>
      <c r="F85" s="26"/>
      <c r="G85" s="27"/>
      <c r="H85" s="20"/>
      <c r="I85" s="21"/>
      <c r="J85" s="28"/>
      <c r="K85" s="19"/>
    </row>
    <row r="86" spans="1:11" ht="13.2">
      <c r="A86" s="22"/>
      <c r="B86" s="16"/>
      <c r="C86" s="23"/>
      <c r="D86" s="24"/>
      <c r="E86" s="25"/>
      <c r="F86" s="26"/>
      <c r="G86" s="27"/>
      <c r="H86" s="20"/>
      <c r="I86" s="21"/>
      <c r="J86" s="28"/>
      <c r="K86" s="19"/>
    </row>
    <row r="87" spans="1:11" ht="13.2">
      <c r="A87" s="22"/>
      <c r="B87" s="16"/>
      <c r="C87" s="23"/>
      <c r="D87" s="24"/>
      <c r="E87" s="25"/>
      <c r="F87" s="26"/>
      <c r="G87" s="27"/>
      <c r="H87" s="20"/>
      <c r="I87" s="21"/>
      <c r="J87" s="28"/>
      <c r="K87" s="19"/>
    </row>
    <row r="88" spans="1:11" ht="13.2">
      <c r="A88" s="22"/>
      <c r="B88" s="16"/>
      <c r="C88" s="23"/>
      <c r="D88" s="24"/>
      <c r="E88" s="25"/>
      <c r="F88" s="26"/>
      <c r="G88" s="27"/>
      <c r="H88" s="20"/>
      <c r="I88" s="21"/>
      <c r="J88" s="28"/>
      <c r="K88" s="19"/>
    </row>
    <row r="89" spans="1:11" ht="13.2">
      <c r="A89" s="22"/>
      <c r="B89" s="16"/>
      <c r="C89" s="23"/>
      <c r="D89" s="24"/>
      <c r="E89" s="25"/>
      <c r="F89" s="26"/>
      <c r="G89" s="27"/>
      <c r="H89" s="20"/>
      <c r="I89" s="21"/>
      <c r="J89" s="28"/>
      <c r="K89" s="19"/>
    </row>
    <row r="90" spans="1:11" ht="13.2">
      <c r="A90" s="22"/>
      <c r="B90" s="16"/>
      <c r="C90" s="23"/>
      <c r="D90" s="24"/>
      <c r="E90" s="25"/>
      <c r="F90" s="26"/>
      <c r="G90" s="27"/>
      <c r="H90" s="20"/>
      <c r="I90" s="21"/>
      <c r="J90" s="28"/>
      <c r="K90" s="19"/>
    </row>
    <row r="91" spans="1:11" ht="13.2">
      <c r="A91" s="22"/>
      <c r="B91" s="16"/>
      <c r="C91" s="23"/>
      <c r="D91" s="24"/>
      <c r="E91" s="25"/>
      <c r="F91" s="26"/>
      <c r="G91" s="27"/>
      <c r="H91" s="20"/>
      <c r="I91" s="21"/>
      <c r="J91" s="28"/>
      <c r="K91" s="19"/>
    </row>
    <row r="92" spans="1:11" ht="13.2">
      <c r="A92" s="22"/>
      <c r="B92" s="16"/>
      <c r="C92" s="23"/>
      <c r="D92" s="24"/>
      <c r="E92" s="25"/>
      <c r="F92" s="26"/>
      <c r="G92" s="27"/>
      <c r="H92" s="20"/>
      <c r="I92" s="21"/>
      <c r="J92" s="28"/>
      <c r="K92" s="19"/>
    </row>
    <row r="93" spans="1:11" ht="13.2">
      <c r="A93" s="22"/>
      <c r="B93" s="16"/>
      <c r="C93" s="23"/>
      <c r="D93" s="24"/>
      <c r="E93" s="25"/>
      <c r="F93" s="26"/>
      <c r="G93" s="27"/>
      <c r="H93" s="20"/>
      <c r="I93" s="21"/>
      <c r="J93" s="28"/>
      <c r="K93" s="19"/>
    </row>
    <row r="94" spans="1:11" ht="13.2">
      <c r="A94" s="22"/>
      <c r="B94" s="16"/>
      <c r="C94" s="23"/>
      <c r="D94" s="24"/>
      <c r="E94" s="25"/>
      <c r="F94" s="26"/>
      <c r="G94" s="27"/>
      <c r="H94" s="20"/>
      <c r="I94" s="21"/>
      <c r="J94" s="28"/>
      <c r="K94" s="19"/>
    </row>
    <row r="95" spans="1:11" ht="13.2">
      <c r="A95" s="22"/>
      <c r="B95" s="16"/>
      <c r="C95" s="23"/>
      <c r="D95" s="24"/>
      <c r="E95" s="25"/>
      <c r="F95" s="26"/>
      <c r="G95" s="27"/>
      <c r="H95" s="20"/>
      <c r="I95" s="21"/>
      <c r="J95" s="28"/>
      <c r="K95" s="19"/>
    </row>
    <row r="96" spans="1:11" ht="13.2">
      <c r="A96" s="22"/>
      <c r="B96" s="16"/>
      <c r="C96" s="23"/>
      <c r="D96" s="24"/>
      <c r="E96" s="25"/>
      <c r="F96" s="26"/>
      <c r="G96" s="27"/>
      <c r="H96" s="20"/>
      <c r="I96" s="21"/>
      <c r="J96" s="28"/>
      <c r="K96" s="19"/>
    </row>
    <row r="97" spans="1:11" ht="13.2">
      <c r="A97" s="22"/>
      <c r="B97" s="16"/>
      <c r="C97" s="23"/>
      <c r="D97" s="24"/>
      <c r="E97" s="25"/>
      <c r="F97" s="26"/>
      <c r="G97" s="27"/>
      <c r="H97" s="20"/>
      <c r="I97" s="21"/>
      <c r="J97" s="28"/>
      <c r="K97" s="19"/>
    </row>
    <row r="98" spans="1:11" ht="13.2">
      <c r="A98" s="22"/>
      <c r="B98" s="16"/>
      <c r="C98" s="23"/>
      <c r="D98" s="24"/>
      <c r="E98" s="25"/>
      <c r="F98" s="26"/>
      <c r="G98" s="27"/>
      <c r="H98" s="20"/>
      <c r="I98" s="21"/>
      <c r="J98" s="28"/>
      <c r="K98" s="19"/>
    </row>
    <row r="99" spans="1:11" ht="13.2">
      <c r="A99" s="22"/>
      <c r="B99" s="16"/>
      <c r="C99" s="23"/>
      <c r="D99" s="24"/>
      <c r="E99" s="25"/>
      <c r="F99" s="26"/>
      <c r="G99" s="27"/>
      <c r="H99" s="20"/>
      <c r="I99" s="21"/>
      <c r="J99" s="28"/>
      <c r="K99" s="19"/>
    </row>
    <row r="100" spans="1:11" ht="13.2">
      <c r="A100" s="22"/>
      <c r="B100" s="16"/>
      <c r="C100" s="23"/>
      <c r="D100" s="24"/>
      <c r="E100" s="25"/>
      <c r="F100" s="26"/>
      <c r="G100" s="27"/>
      <c r="H100" s="20"/>
      <c r="I100" s="21"/>
      <c r="J100" s="28"/>
      <c r="K100" s="19"/>
    </row>
    <row r="101" spans="1:11" ht="13.2">
      <c r="A101" s="22"/>
      <c r="B101" s="16"/>
      <c r="C101" s="23"/>
      <c r="D101" s="24"/>
      <c r="E101" s="25"/>
      <c r="F101" s="26"/>
      <c r="G101" s="27"/>
      <c r="H101" s="20"/>
      <c r="I101" s="21"/>
      <c r="J101" s="28"/>
      <c r="K101" s="19"/>
    </row>
    <row r="102" spans="1:11" ht="13.2">
      <c r="A102" s="22"/>
      <c r="B102" s="16"/>
      <c r="C102" s="23"/>
      <c r="D102" s="24"/>
      <c r="E102" s="25"/>
      <c r="F102" s="26"/>
      <c r="G102" s="27"/>
      <c r="H102" s="20"/>
      <c r="I102" s="21"/>
      <c r="J102" s="28"/>
      <c r="K102" s="19"/>
    </row>
    <row r="103" spans="1:11" ht="13.2">
      <c r="A103" s="22"/>
      <c r="B103" s="16"/>
      <c r="C103" s="23"/>
      <c r="D103" s="24"/>
      <c r="E103" s="25"/>
      <c r="F103" s="26"/>
      <c r="G103" s="27"/>
      <c r="H103" s="20"/>
      <c r="I103" s="21"/>
      <c r="J103" s="28"/>
      <c r="K103" s="19"/>
    </row>
    <row r="104" spans="1:11" ht="13.2">
      <c r="A104" s="22"/>
      <c r="B104" s="16"/>
      <c r="C104" s="23"/>
      <c r="D104" s="24"/>
      <c r="E104" s="25"/>
      <c r="F104" s="26"/>
      <c r="G104" s="27"/>
      <c r="H104" s="20"/>
      <c r="I104" s="21"/>
      <c r="J104" s="28"/>
      <c r="K104" s="19"/>
    </row>
    <row r="105" spans="1:11" ht="13.2">
      <c r="A105" s="22"/>
      <c r="B105" s="16"/>
      <c r="C105" s="23"/>
      <c r="D105" s="24"/>
      <c r="E105" s="25"/>
      <c r="F105" s="26"/>
      <c r="G105" s="27"/>
      <c r="H105" s="20"/>
      <c r="I105" s="21"/>
      <c r="J105" s="28"/>
      <c r="K105" s="19"/>
    </row>
    <row r="106" spans="1:11" ht="13.2">
      <c r="A106" s="22"/>
      <c r="B106" s="16"/>
      <c r="C106" s="23"/>
      <c r="D106" s="24"/>
      <c r="E106" s="25"/>
      <c r="F106" s="26"/>
      <c r="G106" s="27"/>
      <c r="H106" s="20"/>
      <c r="I106" s="21"/>
      <c r="J106" s="28"/>
      <c r="K106" s="19"/>
    </row>
    <row r="107" spans="1:11" ht="13.2">
      <c r="A107" s="22"/>
      <c r="B107" s="16"/>
      <c r="C107" s="23"/>
      <c r="D107" s="24"/>
      <c r="E107" s="25"/>
      <c r="F107" s="26"/>
      <c r="G107" s="27"/>
      <c r="H107" s="20"/>
      <c r="I107" s="21"/>
      <c r="J107" s="28"/>
      <c r="K107" s="19"/>
    </row>
    <row r="108" spans="1:11" ht="13.2">
      <c r="A108" s="22"/>
      <c r="B108" s="16"/>
      <c r="C108" s="23"/>
      <c r="D108" s="24"/>
      <c r="E108" s="25"/>
      <c r="F108" s="26"/>
      <c r="G108" s="27"/>
      <c r="H108" s="20"/>
      <c r="I108" s="21"/>
      <c r="J108" s="28"/>
      <c r="K108" s="19"/>
    </row>
    <row r="109" spans="1:11" ht="13.2">
      <c r="A109" s="22"/>
      <c r="B109" s="16"/>
      <c r="C109" s="23"/>
      <c r="D109" s="24"/>
      <c r="E109" s="25"/>
      <c r="F109" s="26"/>
      <c r="G109" s="27"/>
      <c r="H109" s="20"/>
      <c r="I109" s="21"/>
      <c r="J109" s="28"/>
      <c r="K109" s="19"/>
    </row>
    <row r="110" spans="1:11" ht="13.2">
      <c r="A110" s="22"/>
      <c r="B110" s="16"/>
      <c r="C110" s="23"/>
      <c r="D110" s="24"/>
      <c r="E110" s="25"/>
      <c r="F110" s="26"/>
      <c r="G110" s="27"/>
      <c r="H110" s="20"/>
      <c r="I110" s="21"/>
      <c r="J110" s="28"/>
      <c r="K110" s="19"/>
    </row>
    <row r="111" spans="1:11" ht="13.2">
      <c r="A111" s="22"/>
      <c r="B111" s="16"/>
      <c r="C111" s="23"/>
      <c r="D111" s="24"/>
      <c r="E111" s="25"/>
      <c r="F111" s="26"/>
      <c r="G111" s="27"/>
      <c r="H111" s="20"/>
      <c r="I111" s="21"/>
      <c r="J111" s="28"/>
      <c r="K111" s="19"/>
    </row>
    <row r="112" spans="1:11" ht="13.2">
      <c r="A112" s="22"/>
      <c r="B112" s="16"/>
      <c r="C112" s="23"/>
      <c r="D112" s="24"/>
      <c r="E112" s="25"/>
      <c r="F112" s="26"/>
      <c r="G112" s="27"/>
      <c r="H112" s="20"/>
      <c r="I112" s="21"/>
      <c r="J112" s="28"/>
      <c r="K112" s="19"/>
    </row>
    <row r="113" spans="1:11" ht="13.2">
      <c r="A113" s="22"/>
      <c r="B113" s="16"/>
      <c r="C113" s="23"/>
      <c r="D113" s="24"/>
      <c r="E113" s="25"/>
      <c r="F113" s="26"/>
      <c r="G113" s="27"/>
      <c r="H113" s="20"/>
      <c r="I113" s="21"/>
      <c r="J113" s="28"/>
      <c r="K113" s="19"/>
    </row>
    <row r="114" spans="1:11" ht="13.2">
      <c r="A114" s="22"/>
      <c r="B114" s="16"/>
      <c r="C114" s="23"/>
      <c r="D114" s="24"/>
      <c r="E114" s="25"/>
      <c r="F114" s="26"/>
      <c r="G114" s="27"/>
      <c r="H114" s="20"/>
      <c r="I114" s="21"/>
      <c r="J114" s="28"/>
      <c r="K114" s="19"/>
    </row>
    <row r="115" spans="1:11" ht="13.2">
      <c r="A115" s="22"/>
      <c r="B115" s="16"/>
      <c r="C115" s="23"/>
      <c r="D115" s="24"/>
      <c r="E115" s="25"/>
      <c r="F115" s="26"/>
      <c r="G115" s="27"/>
      <c r="H115" s="20"/>
      <c r="I115" s="21"/>
      <c r="J115" s="28"/>
      <c r="K115" s="19"/>
    </row>
    <row r="116" spans="1:11" ht="13.2">
      <c r="A116" s="22"/>
      <c r="B116" s="16"/>
      <c r="C116" s="23"/>
      <c r="D116" s="24"/>
      <c r="E116" s="25"/>
      <c r="F116" s="26"/>
      <c r="G116" s="27"/>
      <c r="H116" s="20"/>
      <c r="I116" s="21"/>
      <c r="J116" s="28"/>
      <c r="K116" s="19"/>
    </row>
    <row r="117" spans="1:11" ht="13.2">
      <c r="A117" s="22"/>
      <c r="B117" s="16"/>
      <c r="C117" s="23"/>
      <c r="D117" s="24"/>
      <c r="E117" s="25"/>
      <c r="F117" s="26"/>
      <c r="G117" s="27"/>
      <c r="H117" s="20"/>
      <c r="I117" s="21"/>
      <c r="J117" s="28"/>
      <c r="K117" s="19"/>
    </row>
    <row r="118" spans="1:11" ht="13.2">
      <c r="A118" s="22"/>
      <c r="B118" s="16"/>
      <c r="C118" s="23"/>
      <c r="D118" s="24"/>
      <c r="E118" s="25"/>
      <c r="F118" s="26"/>
      <c r="G118" s="27"/>
      <c r="H118" s="20"/>
      <c r="I118" s="21"/>
      <c r="J118" s="28"/>
      <c r="K118" s="19"/>
    </row>
    <row r="119" spans="1:11" ht="13.2">
      <c r="A119" s="22"/>
      <c r="B119" s="16"/>
      <c r="C119" s="23"/>
      <c r="D119" s="24"/>
      <c r="E119" s="25"/>
      <c r="F119" s="26"/>
      <c r="G119" s="27"/>
      <c r="H119" s="20"/>
      <c r="I119" s="21"/>
      <c r="J119" s="28"/>
      <c r="K119" s="19"/>
    </row>
    <row r="120" spans="1:11" ht="13.2">
      <c r="A120" s="22"/>
      <c r="B120" s="16"/>
      <c r="C120" s="23"/>
      <c r="D120" s="24"/>
      <c r="E120" s="25"/>
      <c r="F120" s="26"/>
      <c r="G120" s="27"/>
      <c r="H120" s="20"/>
      <c r="I120" s="21"/>
      <c r="J120" s="28"/>
      <c r="K120" s="19"/>
    </row>
    <row r="121" spans="1:11" ht="13.2">
      <c r="A121" s="22"/>
      <c r="B121" s="16"/>
      <c r="C121" s="23"/>
      <c r="D121" s="24"/>
      <c r="E121" s="25"/>
      <c r="F121" s="26"/>
      <c r="G121" s="27"/>
      <c r="H121" s="20"/>
      <c r="I121" s="21"/>
      <c r="J121" s="28"/>
      <c r="K121" s="19"/>
    </row>
    <row r="122" spans="1:11" ht="13.2">
      <c r="A122" s="22"/>
      <c r="B122" s="16"/>
      <c r="C122" s="23"/>
      <c r="D122" s="24"/>
      <c r="E122" s="25"/>
      <c r="F122" s="26"/>
      <c r="G122" s="27"/>
      <c r="H122" s="20"/>
      <c r="I122" s="21"/>
      <c r="J122" s="28"/>
      <c r="K122" s="19"/>
    </row>
    <row r="123" spans="1:11" ht="13.2">
      <c r="A123" s="22"/>
      <c r="B123" s="16"/>
      <c r="C123" s="23"/>
      <c r="D123" s="24"/>
      <c r="E123" s="25"/>
      <c r="F123" s="26"/>
      <c r="G123" s="27"/>
      <c r="H123" s="20"/>
      <c r="I123" s="21"/>
      <c r="J123" s="28"/>
      <c r="K123" s="19"/>
    </row>
    <row r="124" spans="1:11" ht="13.2">
      <c r="A124" s="22"/>
      <c r="B124" s="16"/>
      <c r="C124" s="23"/>
      <c r="D124" s="24"/>
      <c r="E124" s="25"/>
      <c r="F124" s="26"/>
      <c r="G124" s="27"/>
      <c r="H124" s="20"/>
      <c r="I124" s="21"/>
      <c r="J124" s="28"/>
      <c r="K124" s="19"/>
    </row>
    <row r="125" spans="1:11" ht="13.2">
      <c r="A125" s="22"/>
      <c r="B125" s="16"/>
      <c r="C125" s="23"/>
      <c r="D125" s="24"/>
      <c r="E125" s="25"/>
      <c r="F125" s="26"/>
      <c r="G125" s="27"/>
      <c r="H125" s="20"/>
      <c r="I125" s="21"/>
      <c r="J125" s="28"/>
      <c r="K125" s="19"/>
    </row>
    <row r="126" spans="1:11" ht="13.2">
      <c r="A126" s="22"/>
      <c r="B126" s="16"/>
      <c r="C126" s="23"/>
      <c r="D126" s="24"/>
      <c r="E126" s="25"/>
      <c r="F126" s="26"/>
      <c r="G126" s="27"/>
      <c r="H126" s="20"/>
      <c r="I126" s="21"/>
      <c r="J126" s="28"/>
      <c r="K126" s="19"/>
    </row>
    <row r="127" spans="1:11" ht="13.2">
      <c r="A127" s="22"/>
      <c r="B127" s="16"/>
      <c r="C127" s="23"/>
      <c r="D127" s="24"/>
      <c r="E127" s="25"/>
      <c r="F127" s="26"/>
      <c r="G127" s="27"/>
      <c r="H127" s="20"/>
      <c r="I127" s="21"/>
      <c r="J127" s="28"/>
      <c r="K127" s="19"/>
    </row>
    <row r="128" spans="1:11" ht="13.2">
      <c r="A128" s="22"/>
      <c r="B128" s="16"/>
      <c r="C128" s="23"/>
      <c r="D128" s="24"/>
      <c r="E128" s="25"/>
      <c r="F128" s="26"/>
      <c r="G128" s="27"/>
      <c r="H128" s="20"/>
      <c r="I128" s="21"/>
      <c r="J128" s="28"/>
      <c r="K128" s="19"/>
    </row>
    <row r="129" spans="1:11" ht="13.2">
      <c r="A129" s="22"/>
      <c r="B129" s="16"/>
      <c r="C129" s="23"/>
      <c r="D129" s="24"/>
      <c r="E129" s="25"/>
      <c r="F129" s="26"/>
      <c r="G129" s="27"/>
      <c r="H129" s="20"/>
      <c r="I129" s="21"/>
      <c r="J129" s="28"/>
      <c r="K129" s="19"/>
    </row>
    <row r="130" spans="1:11" ht="13.2">
      <c r="A130" s="22"/>
      <c r="B130" s="16"/>
      <c r="C130" s="23"/>
      <c r="D130" s="24"/>
      <c r="E130" s="25"/>
      <c r="F130" s="26"/>
      <c r="G130" s="27"/>
      <c r="H130" s="20"/>
      <c r="I130" s="21"/>
      <c r="J130" s="28"/>
      <c r="K130" s="19"/>
    </row>
    <row r="131" spans="1:11" ht="13.2">
      <c r="A131" s="22"/>
      <c r="B131" s="16"/>
      <c r="C131" s="23"/>
      <c r="D131" s="24"/>
      <c r="E131" s="25"/>
      <c r="F131" s="26"/>
      <c r="G131" s="27"/>
      <c r="H131" s="20"/>
      <c r="I131" s="21"/>
      <c r="J131" s="28"/>
      <c r="K131" s="19"/>
    </row>
    <row r="132" spans="1:11" ht="13.2">
      <c r="A132" s="22"/>
      <c r="B132" s="16"/>
      <c r="C132" s="23"/>
      <c r="D132" s="24"/>
      <c r="E132" s="25"/>
      <c r="F132" s="26"/>
      <c r="G132" s="27"/>
      <c r="H132" s="20"/>
      <c r="I132" s="21"/>
      <c r="J132" s="28"/>
      <c r="K132" s="19"/>
    </row>
    <row r="133" spans="1:11" ht="13.2">
      <c r="A133" s="22"/>
      <c r="B133" s="16"/>
      <c r="C133" s="23"/>
      <c r="D133" s="24"/>
      <c r="E133" s="25"/>
      <c r="F133" s="26"/>
      <c r="G133" s="27"/>
      <c r="H133" s="20"/>
      <c r="I133" s="21"/>
      <c r="J133" s="28"/>
      <c r="K133" s="19"/>
    </row>
    <row r="134" spans="1:11" ht="13.2">
      <c r="A134" s="22"/>
      <c r="B134" s="16"/>
      <c r="C134" s="23"/>
      <c r="D134" s="24"/>
      <c r="E134" s="25"/>
      <c r="F134" s="26"/>
      <c r="G134" s="27"/>
      <c r="H134" s="20"/>
      <c r="I134" s="21"/>
      <c r="J134" s="28"/>
      <c r="K134" s="19"/>
    </row>
    <row r="135" spans="1:11" ht="13.2">
      <c r="A135" s="22"/>
      <c r="B135" s="16"/>
      <c r="C135" s="23"/>
      <c r="D135" s="24"/>
      <c r="E135" s="25"/>
      <c r="F135" s="26"/>
      <c r="G135" s="27"/>
      <c r="H135" s="20"/>
      <c r="I135" s="21"/>
      <c r="J135" s="28"/>
      <c r="K135" s="19"/>
    </row>
    <row r="136" spans="1:11" ht="13.2">
      <c r="A136" s="22"/>
      <c r="B136" s="16"/>
      <c r="C136" s="23"/>
      <c r="D136" s="24"/>
      <c r="E136" s="25"/>
      <c r="F136" s="26"/>
      <c r="G136" s="27"/>
      <c r="H136" s="20"/>
      <c r="I136" s="21"/>
      <c r="J136" s="28"/>
      <c r="K136" s="19"/>
    </row>
    <row r="137" spans="1:11" ht="13.2">
      <c r="A137" s="22"/>
      <c r="B137" s="16"/>
      <c r="C137" s="23"/>
      <c r="D137" s="24"/>
      <c r="E137" s="25"/>
      <c r="F137" s="26"/>
      <c r="G137" s="27"/>
      <c r="H137" s="20"/>
      <c r="I137" s="21"/>
      <c r="J137" s="28"/>
      <c r="K137" s="19"/>
    </row>
    <row r="138" spans="1:11" ht="13.2">
      <c r="A138" s="22"/>
      <c r="B138" s="16"/>
      <c r="C138" s="23"/>
      <c r="D138" s="24"/>
      <c r="E138" s="25"/>
      <c r="F138" s="26"/>
      <c r="G138" s="27"/>
      <c r="H138" s="20"/>
      <c r="I138" s="21"/>
      <c r="J138" s="28"/>
      <c r="K138" s="19"/>
    </row>
    <row r="139" spans="1:11" ht="13.2">
      <c r="A139" s="22"/>
      <c r="B139" s="16"/>
      <c r="C139" s="23"/>
      <c r="D139" s="24"/>
      <c r="E139" s="25"/>
      <c r="F139" s="26"/>
      <c r="G139" s="27"/>
      <c r="H139" s="20"/>
      <c r="I139" s="21"/>
      <c r="J139" s="28"/>
      <c r="K139" s="19"/>
    </row>
    <row r="140" spans="1:11" ht="13.2">
      <c r="A140" s="22"/>
      <c r="B140" s="16"/>
      <c r="C140" s="23"/>
      <c r="D140" s="24"/>
      <c r="E140" s="25"/>
      <c r="F140" s="26"/>
      <c r="G140" s="27"/>
      <c r="H140" s="20"/>
      <c r="I140" s="21"/>
      <c r="J140" s="28"/>
      <c r="K140" s="19"/>
    </row>
    <row r="141" spans="1:11" ht="13.2">
      <c r="A141" s="22"/>
      <c r="B141" s="16"/>
      <c r="C141" s="23"/>
      <c r="D141" s="24"/>
      <c r="E141" s="25"/>
      <c r="F141" s="26"/>
      <c r="G141" s="27"/>
      <c r="H141" s="20"/>
      <c r="I141" s="21"/>
      <c r="J141" s="28"/>
      <c r="K141" s="19"/>
    </row>
    <row r="142" spans="1:11" ht="13.2">
      <c r="A142" s="22"/>
      <c r="B142" s="16"/>
      <c r="C142" s="23"/>
      <c r="D142" s="24"/>
      <c r="E142" s="25"/>
      <c r="F142" s="26"/>
      <c r="G142" s="27"/>
      <c r="H142" s="20"/>
      <c r="I142" s="21"/>
      <c r="J142" s="28"/>
      <c r="K142" s="19"/>
    </row>
    <row r="143" spans="1:11" ht="13.2">
      <c r="A143" s="22"/>
      <c r="B143" s="16"/>
      <c r="C143" s="23"/>
      <c r="D143" s="24"/>
      <c r="E143" s="25"/>
      <c r="F143" s="26"/>
      <c r="G143" s="27"/>
      <c r="H143" s="20"/>
      <c r="I143" s="21"/>
      <c r="J143" s="28"/>
      <c r="K143" s="19"/>
    </row>
    <row r="144" spans="1:11" ht="13.2">
      <c r="A144" s="22"/>
      <c r="B144" s="16"/>
      <c r="C144" s="23"/>
      <c r="D144" s="24"/>
      <c r="E144" s="25"/>
      <c r="F144" s="26"/>
      <c r="G144" s="27"/>
      <c r="H144" s="20"/>
      <c r="I144" s="21"/>
      <c r="J144" s="28"/>
      <c r="K144" s="19"/>
    </row>
    <row r="145" spans="1:11" ht="13.2">
      <c r="A145" s="22"/>
      <c r="B145" s="16"/>
      <c r="C145" s="23"/>
      <c r="D145" s="24"/>
      <c r="E145" s="25"/>
      <c r="F145" s="26"/>
      <c r="G145" s="27"/>
      <c r="H145" s="20"/>
      <c r="I145" s="21"/>
      <c r="J145" s="28"/>
      <c r="K145" s="19"/>
    </row>
    <row r="146" spans="1:11" ht="13.2">
      <c r="A146" s="22"/>
      <c r="B146" s="16"/>
      <c r="C146" s="23"/>
      <c r="D146" s="24"/>
      <c r="E146" s="25"/>
      <c r="F146" s="26"/>
      <c r="G146" s="27"/>
      <c r="H146" s="20"/>
      <c r="I146" s="21"/>
      <c r="J146" s="28"/>
      <c r="K146" s="19"/>
    </row>
    <row r="147" spans="1:11" ht="13.2">
      <c r="A147" s="22"/>
      <c r="B147" s="16"/>
      <c r="C147" s="23"/>
      <c r="D147" s="24"/>
      <c r="E147" s="25"/>
      <c r="F147" s="26"/>
      <c r="G147" s="27"/>
      <c r="H147" s="20"/>
      <c r="I147" s="21"/>
      <c r="J147" s="28"/>
      <c r="K147" s="19"/>
    </row>
    <row r="148" spans="1:11" ht="13.2">
      <c r="A148" s="22"/>
      <c r="B148" s="16"/>
      <c r="C148" s="23"/>
      <c r="D148" s="24"/>
      <c r="E148" s="25"/>
      <c r="F148" s="26"/>
      <c r="G148" s="27"/>
      <c r="H148" s="20"/>
      <c r="I148" s="21"/>
      <c r="J148" s="28"/>
      <c r="K148" s="19"/>
    </row>
    <row r="149" spans="1:11" ht="13.2">
      <c r="A149" s="22"/>
      <c r="B149" s="16"/>
      <c r="C149" s="23"/>
      <c r="D149" s="24"/>
      <c r="E149" s="25"/>
      <c r="F149" s="26"/>
      <c r="G149" s="27"/>
      <c r="H149" s="20"/>
      <c r="I149" s="21"/>
      <c r="J149" s="28"/>
      <c r="K149" s="19"/>
    </row>
    <row r="150" spans="1:11" ht="13.2">
      <c r="A150" s="22"/>
      <c r="B150" s="16"/>
      <c r="C150" s="23"/>
      <c r="D150" s="24"/>
      <c r="E150" s="25"/>
      <c r="F150" s="26"/>
      <c r="G150" s="27"/>
      <c r="H150" s="20"/>
      <c r="I150" s="21"/>
      <c r="J150" s="28"/>
      <c r="K150" s="19"/>
    </row>
    <row r="151" spans="1:11" ht="13.2">
      <c r="A151" s="22"/>
      <c r="B151" s="16"/>
      <c r="C151" s="23"/>
      <c r="D151" s="24"/>
      <c r="E151" s="25"/>
      <c r="F151" s="26"/>
      <c r="G151" s="27"/>
      <c r="H151" s="20"/>
      <c r="I151" s="21"/>
      <c r="J151" s="28"/>
      <c r="K151" s="19"/>
    </row>
    <row r="152" spans="1:11" ht="13.2">
      <c r="A152" s="22"/>
      <c r="B152" s="16"/>
      <c r="C152" s="23"/>
      <c r="D152" s="24"/>
      <c r="E152" s="25"/>
      <c r="F152" s="26"/>
      <c r="G152" s="27"/>
      <c r="H152" s="20"/>
      <c r="I152" s="21"/>
      <c r="J152" s="28"/>
      <c r="K152" s="19"/>
    </row>
    <row r="153" spans="1:11" ht="13.2">
      <c r="A153" s="22"/>
      <c r="B153" s="16"/>
      <c r="C153" s="23"/>
      <c r="D153" s="24"/>
      <c r="E153" s="25"/>
      <c r="F153" s="26"/>
      <c r="G153" s="27"/>
      <c r="H153" s="20"/>
      <c r="I153" s="21"/>
      <c r="J153" s="28"/>
      <c r="K153" s="19"/>
    </row>
    <row r="154" spans="1:11" ht="13.2">
      <c r="A154" s="22"/>
      <c r="B154" s="16"/>
      <c r="C154" s="23"/>
      <c r="D154" s="24"/>
      <c r="E154" s="25"/>
      <c r="F154" s="26"/>
      <c r="G154" s="27"/>
      <c r="H154" s="20"/>
      <c r="I154" s="21"/>
      <c r="J154" s="28"/>
      <c r="K154" s="19"/>
    </row>
    <row r="155" spans="1:11" ht="13.2">
      <c r="A155" s="22"/>
      <c r="B155" s="16"/>
      <c r="C155" s="23"/>
      <c r="D155" s="24"/>
      <c r="E155" s="25"/>
      <c r="F155" s="26"/>
      <c r="G155" s="27"/>
      <c r="H155" s="20"/>
      <c r="I155" s="21"/>
      <c r="J155" s="28"/>
      <c r="K155" s="19"/>
    </row>
    <row r="156" spans="1:11" ht="13.2">
      <c r="A156" s="22"/>
      <c r="B156" s="16"/>
      <c r="C156" s="23"/>
      <c r="D156" s="24"/>
      <c r="E156" s="25"/>
      <c r="F156" s="26"/>
      <c r="G156" s="27"/>
      <c r="H156" s="20"/>
      <c r="I156" s="21"/>
      <c r="J156" s="28"/>
      <c r="K156" s="19"/>
    </row>
    <row r="157" spans="1:11" ht="13.2">
      <c r="A157" s="22"/>
      <c r="B157" s="16"/>
      <c r="C157" s="23"/>
      <c r="D157" s="24"/>
      <c r="E157" s="25"/>
      <c r="F157" s="26"/>
      <c r="G157" s="27"/>
      <c r="H157" s="20"/>
      <c r="I157" s="21"/>
      <c r="J157" s="28"/>
      <c r="K157" s="19"/>
    </row>
    <row r="158" spans="1:11" ht="13.2">
      <c r="A158" s="22"/>
      <c r="B158" s="16"/>
      <c r="C158" s="23"/>
      <c r="D158" s="24"/>
      <c r="E158" s="25"/>
      <c r="F158" s="26"/>
      <c r="G158" s="27"/>
      <c r="H158" s="20"/>
      <c r="I158" s="21"/>
      <c r="J158" s="28"/>
      <c r="K158" s="19"/>
    </row>
    <row r="159" spans="1:11" ht="13.2">
      <c r="A159" s="22"/>
      <c r="B159" s="16"/>
      <c r="C159" s="23"/>
      <c r="D159" s="24"/>
      <c r="E159" s="25"/>
      <c r="F159" s="26"/>
      <c r="G159" s="27"/>
      <c r="H159" s="20"/>
      <c r="I159" s="21"/>
      <c r="J159" s="28"/>
      <c r="K159" s="19"/>
    </row>
    <row r="160" spans="1:11" ht="13.2">
      <c r="A160" s="22"/>
      <c r="B160" s="16"/>
      <c r="C160" s="23"/>
      <c r="D160" s="24"/>
      <c r="E160" s="25"/>
      <c r="F160" s="26"/>
      <c r="G160" s="27"/>
      <c r="H160" s="20"/>
      <c r="I160" s="21"/>
      <c r="J160" s="28"/>
      <c r="K160" s="19"/>
    </row>
    <row r="161" spans="1:11" ht="13.2">
      <c r="A161" s="22"/>
      <c r="B161" s="16"/>
      <c r="C161" s="23"/>
      <c r="D161" s="24"/>
      <c r="E161" s="25"/>
      <c r="F161" s="26"/>
      <c r="G161" s="27"/>
      <c r="H161" s="20"/>
      <c r="I161" s="21"/>
      <c r="J161" s="28"/>
      <c r="K161" s="19"/>
    </row>
    <row r="162" spans="1:11" ht="13.2">
      <c r="A162" s="22"/>
      <c r="B162" s="16"/>
      <c r="C162" s="23"/>
      <c r="D162" s="24"/>
      <c r="E162" s="25"/>
      <c r="F162" s="26"/>
      <c r="G162" s="27"/>
      <c r="H162" s="20"/>
      <c r="I162" s="21"/>
      <c r="J162" s="28"/>
      <c r="K162" s="19"/>
    </row>
    <row r="163" spans="1:11" ht="13.2">
      <c r="A163" s="22"/>
      <c r="B163" s="16"/>
      <c r="C163" s="23"/>
      <c r="D163" s="24"/>
      <c r="E163" s="25"/>
      <c r="F163" s="26"/>
      <c r="G163" s="27"/>
      <c r="H163" s="20"/>
      <c r="I163" s="21"/>
      <c r="J163" s="28"/>
      <c r="K163" s="19"/>
    </row>
    <row r="164" spans="1:11" ht="13.2">
      <c r="A164" s="22"/>
      <c r="B164" s="16"/>
      <c r="C164" s="23"/>
      <c r="D164" s="24"/>
      <c r="E164" s="25"/>
      <c r="F164" s="26"/>
      <c r="G164" s="27"/>
      <c r="H164" s="20"/>
      <c r="I164" s="21"/>
      <c r="J164" s="28"/>
      <c r="K164" s="19"/>
    </row>
    <row r="165" spans="1:11" ht="13.2">
      <c r="A165" s="22"/>
      <c r="B165" s="16"/>
      <c r="C165" s="23"/>
      <c r="D165" s="24"/>
      <c r="E165" s="25"/>
      <c r="F165" s="26"/>
      <c r="G165" s="27"/>
      <c r="H165" s="20"/>
      <c r="I165" s="21"/>
      <c r="J165" s="28"/>
      <c r="K165" s="19"/>
    </row>
    <row r="166" spans="1:11" ht="13.2">
      <c r="A166" s="22"/>
      <c r="B166" s="16"/>
      <c r="C166" s="23"/>
      <c r="D166" s="24"/>
      <c r="E166" s="25"/>
      <c r="F166" s="26"/>
      <c r="G166" s="27"/>
      <c r="H166" s="20"/>
      <c r="I166" s="21"/>
      <c r="J166" s="28"/>
      <c r="K166" s="19"/>
    </row>
    <row r="167" spans="1:11" ht="13.2">
      <c r="A167" s="22"/>
      <c r="B167" s="16"/>
      <c r="C167" s="23"/>
      <c r="D167" s="24"/>
      <c r="E167" s="25"/>
      <c r="F167" s="26"/>
      <c r="G167" s="27"/>
      <c r="H167" s="20"/>
      <c r="I167" s="21"/>
      <c r="J167" s="28"/>
      <c r="K167" s="19"/>
    </row>
    <row r="168" spans="1:11" ht="13.2">
      <c r="A168" s="22"/>
      <c r="B168" s="16"/>
      <c r="C168" s="23"/>
      <c r="D168" s="24"/>
      <c r="E168" s="25"/>
      <c r="F168" s="26"/>
      <c r="G168" s="27"/>
      <c r="H168" s="20"/>
      <c r="I168" s="21"/>
      <c r="J168" s="28"/>
      <c r="K168" s="19"/>
    </row>
    <row r="169" spans="1:11" ht="13.2">
      <c r="A169" s="22"/>
      <c r="B169" s="16"/>
      <c r="C169" s="23"/>
      <c r="D169" s="24"/>
      <c r="E169" s="25"/>
      <c r="F169" s="26"/>
      <c r="G169" s="27"/>
      <c r="H169" s="20"/>
      <c r="I169" s="21"/>
      <c r="J169" s="28"/>
      <c r="K169" s="19"/>
    </row>
    <row r="170" spans="1:11" ht="13.2">
      <c r="A170" s="22"/>
      <c r="B170" s="16"/>
      <c r="C170" s="23"/>
      <c r="D170" s="24"/>
      <c r="E170" s="25"/>
      <c r="F170" s="26"/>
      <c r="G170" s="27"/>
      <c r="H170" s="20"/>
      <c r="I170" s="21"/>
      <c r="J170" s="28"/>
      <c r="K170" s="19"/>
    </row>
    <row r="171" spans="1:11" ht="13.2">
      <c r="A171" s="22"/>
      <c r="B171" s="16"/>
      <c r="C171" s="23"/>
      <c r="D171" s="24"/>
      <c r="E171" s="25"/>
      <c r="F171" s="26"/>
      <c r="G171" s="27"/>
      <c r="H171" s="20"/>
      <c r="I171" s="21"/>
      <c r="J171" s="28"/>
      <c r="K171" s="19"/>
    </row>
    <row r="172" spans="1:11" ht="13.2">
      <c r="A172" s="22"/>
      <c r="B172" s="16"/>
      <c r="C172" s="23"/>
      <c r="D172" s="24"/>
      <c r="E172" s="25"/>
      <c r="F172" s="26"/>
      <c r="G172" s="27"/>
      <c r="H172" s="20"/>
      <c r="I172" s="21"/>
      <c r="J172" s="28"/>
      <c r="K172" s="19"/>
    </row>
    <row r="173" spans="1:11" ht="13.2">
      <c r="A173" s="22"/>
      <c r="B173" s="16"/>
      <c r="C173" s="23"/>
      <c r="D173" s="24"/>
      <c r="E173" s="25"/>
      <c r="F173" s="26"/>
      <c r="G173" s="27"/>
      <c r="H173" s="20"/>
      <c r="I173" s="21"/>
      <c r="J173" s="28"/>
      <c r="K173" s="19"/>
    </row>
    <row r="174" spans="1:11" ht="13.2">
      <c r="A174" s="22"/>
      <c r="B174" s="16"/>
      <c r="C174" s="23"/>
      <c r="D174" s="24"/>
      <c r="E174" s="25"/>
      <c r="F174" s="26"/>
      <c r="G174" s="27"/>
      <c r="H174" s="20"/>
      <c r="I174" s="21"/>
      <c r="J174" s="28"/>
      <c r="K174" s="19"/>
    </row>
    <row r="175" spans="1:11" ht="13.2">
      <c r="A175" s="22"/>
      <c r="B175" s="16"/>
      <c r="C175" s="23"/>
      <c r="D175" s="24"/>
      <c r="E175" s="25"/>
      <c r="F175" s="26"/>
      <c r="G175" s="27"/>
      <c r="H175" s="20"/>
      <c r="I175" s="21"/>
      <c r="J175" s="28"/>
      <c r="K175" s="19"/>
    </row>
    <row r="176" spans="1:11" ht="13.2">
      <c r="A176" s="22"/>
      <c r="B176" s="16"/>
      <c r="C176" s="23"/>
      <c r="D176" s="24"/>
      <c r="E176" s="25"/>
      <c r="F176" s="26"/>
      <c r="G176" s="27"/>
      <c r="H176" s="20"/>
      <c r="I176" s="21"/>
      <c r="J176" s="28"/>
      <c r="K176" s="19"/>
    </row>
    <row r="177" spans="1:11" ht="13.2">
      <c r="A177" s="22"/>
      <c r="B177" s="16"/>
      <c r="C177" s="23"/>
      <c r="D177" s="24"/>
      <c r="E177" s="25"/>
      <c r="F177" s="26"/>
      <c r="G177" s="27"/>
      <c r="H177" s="20"/>
      <c r="I177" s="21"/>
      <c r="J177" s="28"/>
      <c r="K177" s="19"/>
    </row>
    <row r="178" spans="1:11" ht="13.2">
      <c r="A178" s="22"/>
      <c r="B178" s="16"/>
      <c r="C178" s="23"/>
      <c r="D178" s="24"/>
      <c r="E178" s="25"/>
      <c r="F178" s="26"/>
      <c r="G178" s="27"/>
      <c r="H178" s="20"/>
      <c r="I178" s="21"/>
      <c r="J178" s="28"/>
      <c r="K178" s="19"/>
    </row>
    <row r="179" spans="1:11" ht="13.2">
      <c r="A179" s="22"/>
      <c r="B179" s="16"/>
      <c r="C179" s="23"/>
      <c r="D179" s="24"/>
      <c r="E179" s="25"/>
      <c r="F179" s="26"/>
      <c r="G179" s="27"/>
      <c r="H179" s="20"/>
      <c r="I179" s="21"/>
      <c r="J179" s="28"/>
      <c r="K179" s="19"/>
    </row>
    <row r="180" spans="1:11" ht="13.2">
      <c r="A180" s="22"/>
      <c r="B180" s="16"/>
      <c r="C180" s="23"/>
      <c r="D180" s="24"/>
      <c r="E180" s="25"/>
      <c r="F180" s="26"/>
      <c r="G180" s="27"/>
      <c r="H180" s="20"/>
      <c r="I180" s="21"/>
      <c r="J180" s="28"/>
      <c r="K180" s="19"/>
    </row>
    <row r="181" spans="1:11" ht="13.2">
      <c r="A181" s="22"/>
      <c r="B181" s="16"/>
      <c r="C181" s="23"/>
      <c r="D181" s="24"/>
      <c r="E181" s="25"/>
      <c r="F181" s="26"/>
      <c r="G181" s="27"/>
      <c r="H181" s="20"/>
      <c r="I181" s="21"/>
      <c r="J181" s="28"/>
      <c r="K181" s="19"/>
    </row>
    <row r="182" spans="1:11" ht="13.2">
      <c r="A182" s="22"/>
      <c r="B182" s="16"/>
      <c r="C182" s="23"/>
      <c r="D182" s="24"/>
      <c r="E182" s="25"/>
      <c r="F182" s="26"/>
      <c r="G182" s="27"/>
      <c r="H182" s="20"/>
      <c r="I182" s="21"/>
      <c r="J182" s="28"/>
      <c r="K182" s="19"/>
    </row>
    <row r="183" spans="1:11" ht="13.2">
      <c r="A183" s="22"/>
      <c r="B183" s="16"/>
      <c r="C183" s="23"/>
      <c r="D183" s="24"/>
      <c r="E183" s="25"/>
      <c r="F183" s="26"/>
      <c r="G183" s="27"/>
      <c r="H183" s="20"/>
      <c r="I183" s="21"/>
      <c r="J183" s="28"/>
      <c r="K183" s="19"/>
    </row>
    <row r="184" spans="1:11" ht="13.2">
      <c r="A184" s="22"/>
      <c r="B184" s="16"/>
      <c r="C184" s="23"/>
      <c r="D184" s="24"/>
      <c r="E184" s="25"/>
      <c r="F184" s="26"/>
      <c r="G184" s="27"/>
      <c r="H184" s="20"/>
      <c r="I184" s="21"/>
      <c r="J184" s="28"/>
      <c r="K184" s="19"/>
    </row>
    <row r="185" spans="1:11" ht="13.2">
      <c r="A185" s="22"/>
      <c r="B185" s="16"/>
      <c r="C185" s="23"/>
      <c r="D185" s="24"/>
      <c r="E185" s="25"/>
      <c r="F185" s="26"/>
      <c r="G185" s="27"/>
      <c r="H185" s="20"/>
      <c r="I185" s="21"/>
      <c r="J185" s="28"/>
      <c r="K185" s="19"/>
    </row>
    <row r="186" spans="1:11" ht="13.2">
      <c r="A186" s="22"/>
      <c r="B186" s="16"/>
      <c r="C186" s="23"/>
      <c r="D186" s="24"/>
      <c r="E186" s="25"/>
      <c r="F186" s="26"/>
      <c r="G186" s="27"/>
      <c r="H186" s="20"/>
      <c r="I186" s="21"/>
      <c r="J186" s="28"/>
      <c r="K186" s="19"/>
    </row>
    <row r="187" spans="1:11" ht="13.2">
      <c r="A187" s="22"/>
      <c r="B187" s="16"/>
      <c r="C187" s="23"/>
      <c r="D187" s="24"/>
      <c r="E187" s="25"/>
      <c r="F187" s="26"/>
      <c r="G187" s="27"/>
      <c r="H187" s="20"/>
      <c r="I187" s="21"/>
      <c r="J187" s="28"/>
      <c r="K187" s="19"/>
    </row>
    <row r="188" spans="1:11" ht="13.2">
      <c r="A188" s="22"/>
      <c r="B188" s="16"/>
      <c r="C188" s="23"/>
      <c r="D188" s="24"/>
      <c r="E188" s="25"/>
      <c r="F188" s="26"/>
      <c r="G188" s="27"/>
      <c r="H188" s="20"/>
      <c r="I188" s="21"/>
      <c r="J188" s="28"/>
      <c r="K188" s="19"/>
    </row>
    <row r="189" spans="1:11" ht="13.2">
      <c r="A189" s="22"/>
      <c r="B189" s="16"/>
      <c r="C189" s="23"/>
      <c r="D189" s="24"/>
      <c r="E189" s="25"/>
      <c r="F189" s="26"/>
      <c r="G189" s="27"/>
      <c r="H189" s="20"/>
      <c r="I189" s="21"/>
      <c r="J189" s="28"/>
      <c r="K189" s="19"/>
    </row>
    <row r="190" spans="1:11" ht="13.2">
      <c r="A190" s="22"/>
      <c r="B190" s="16"/>
      <c r="C190" s="23"/>
      <c r="D190" s="24"/>
      <c r="E190" s="25"/>
      <c r="F190" s="26"/>
      <c r="G190" s="27"/>
      <c r="H190" s="20"/>
      <c r="I190" s="21"/>
      <c r="J190" s="28"/>
      <c r="K190" s="19"/>
    </row>
    <row r="191" spans="1:11" ht="13.2">
      <c r="A191" s="22"/>
      <c r="B191" s="16"/>
      <c r="C191" s="23"/>
      <c r="D191" s="24"/>
      <c r="E191" s="25"/>
      <c r="F191" s="26"/>
      <c r="G191" s="27"/>
      <c r="H191" s="20"/>
      <c r="I191" s="21"/>
      <c r="J191" s="28"/>
      <c r="K191" s="19"/>
    </row>
    <row r="192" spans="1:11" ht="13.2">
      <c r="A192" s="22"/>
      <c r="B192" s="16"/>
      <c r="C192" s="23"/>
      <c r="D192" s="24"/>
      <c r="E192" s="25"/>
      <c r="F192" s="26"/>
      <c r="G192" s="27"/>
      <c r="H192" s="20"/>
      <c r="I192" s="21"/>
      <c r="J192" s="28"/>
      <c r="K192" s="19"/>
    </row>
    <row r="193" spans="1:11" ht="13.2">
      <c r="A193" s="22"/>
      <c r="B193" s="16"/>
      <c r="C193" s="23"/>
      <c r="D193" s="24"/>
      <c r="E193" s="25"/>
      <c r="F193" s="26"/>
      <c r="G193" s="27"/>
      <c r="H193" s="20"/>
      <c r="I193" s="21"/>
      <c r="J193" s="28"/>
      <c r="K193" s="19"/>
    </row>
    <row r="194" spans="1:11" ht="13.2">
      <c r="A194" s="22"/>
      <c r="B194" s="16"/>
      <c r="C194" s="23"/>
      <c r="D194" s="24"/>
      <c r="E194" s="25"/>
      <c r="F194" s="26"/>
      <c r="G194" s="27"/>
      <c r="H194" s="20"/>
      <c r="I194" s="21"/>
      <c r="J194" s="28"/>
      <c r="K194" s="19"/>
    </row>
    <row r="195" spans="1:11" ht="13.2">
      <c r="A195" s="22"/>
      <c r="B195" s="16"/>
      <c r="C195" s="23"/>
      <c r="D195" s="24"/>
      <c r="E195" s="25"/>
      <c r="F195" s="26"/>
      <c r="G195" s="27"/>
      <c r="H195" s="20"/>
      <c r="I195" s="21"/>
      <c r="J195" s="28"/>
      <c r="K195" s="19"/>
    </row>
    <row r="196" spans="1:11" ht="13.2">
      <c r="A196" s="22"/>
      <c r="B196" s="16"/>
      <c r="C196" s="23"/>
      <c r="D196" s="24"/>
      <c r="E196" s="25"/>
      <c r="F196" s="26"/>
      <c r="G196" s="27"/>
      <c r="H196" s="20"/>
      <c r="I196" s="21"/>
      <c r="J196" s="28"/>
      <c r="K196" s="19"/>
    </row>
    <row r="197" spans="1:11" ht="13.2">
      <c r="A197" s="22"/>
      <c r="B197" s="16"/>
      <c r="C197" s="23"/>
      <c r="D197" s="24"/>
      <c r="E197" s="25"/>
      <c r="F197" s="26"/>
      <c r="G197" s="27"/>
      <c r="H197" s="20"/>
      <c r="I197" s="21"/>
      <c r="J197" s="28"/>
      <c r="K197" s="19"/>
    </row>
    <row r="198" spans="1:11" ht="13.2">
      <c r="A198" s="22"/>
      <c r="B198" s="16"/>
      <c r="C198" s="23"/>
      <c r="D198" s="24"/>
      <c r="E198" s="25"/>
      <c r="F198" s="26"/>
      <c r="G198" s="27"/>
      <c r="H198" s="20"/>
      <c r="I198" s="21"/>
      <c r="J198" s="28"/>
      <c r="K198" s="19"/>
    </row>
    <row r="199" spans="1:11" ht="13.2">
      <c r="A199" s="22"/>
      <c r="B199" s="16"/>
      <c r="C199" s="23"/>
      <c r="D199" s="24"/>
      <c r="E199" s="25"/>
      <c r="F199" s="26"/>
      <c r="G199" s="27"/>
      <c r="H199" s="20"/>
      <c r="I199" s="21"/>
      <c r="J199" s="28"/>
      <c r="K199" s="19"/>
    </row>
    <row r="200" spans="1:11" ht="13.2">
      <c r="A200" s="22"/>
      <c r="B200" s="16"/>
      <c r="C200" s="23"/>
      <c r="D200" s="24"/>
      <c r="E200" s="25"/>
      <c r="F200" s="26"/>
      <c r="G200" s="27"/>
      <c r="H200" s="20"/>
      <c r="I200" s="21"/>
      <c r="J200" s="28"/>
      <c r="K200" s="19"/>
    </row>
    <row r="201" spans="1:11" ht="13.2">
      <c r="A201" s="22"/>
      <c r="B201" s="16"/>
      <c r="C201" s="23"/>
      <c r="D201" s="24"/>
      <c r="E201" s="25"/>
      <c r="F201" s="26"/>
      <c r="G201" s="27"/>
      <c r="H201" s="20"/>
      <c r="I201" s="21"/>
      <c r="J201" s="28"/>
      <c r="K201" s="19"/>
    </row>
    <row r="202" spans="1:11" ht="13.2">
      <c r="A202" s="22"/>
      <c r="B202" s="16"/>
      <c r="C202" s="23"/>
      <c r="D202" s="24"/>
      <c r="E202" s="25"/>
      <c r="F202" s="26"/>
      <c r="G202" s="27"/>
      <c r="H202" s="20"/>
      <c r="I202" s="21"/>
      <c r="J202" s="28"/>
      <c r="K202" s="19"/>
    </row>
    <row r="203" spans="1:11" ht="13.2">
      <c r="A203" s="22"/>
      <c r="B203" s="16"/>
      <c r="C203" s="23"/>
      <c r="D203" s="24"/>
      <c r="E203" s="25"/>
      <c r="F203" s="26"/>
      <c r="G203" s="27"/>
      <c r="H203" s="20"/>
      <c r="I203" s="21"/>
      <c r="J203" s="28"/>
      <c r="K203" s="19"/>
    </row>
    <row r="204" spans="1:11" ht="13.2">
      <c r="A204" s="22"/>
      <c r="B204" s="16"/>
      <c r="C204" s="23"/>
      <c r="D204" s="24"/>
      <c r="E204" s="25"/>
      <c r="F204" s="26"/>
      <c r="G204" s="27"/>
      <c r="H204" s="20"/>
      <c r="I204" s="21"/>
      <c r="J204" s="28"/>
      <c r="K204" s="19"/>
    </row>
    <row r="205" spans="1:11" ht="13.2">
      <c r="A205" s="22"/>
      <c r="B205" s="16"/>
      <c r="C205" s="23"/>
      <c r="D205" s="24"/>
      <c r="E205" s="25"/>
      <c r="F205" s="26"/>
      <c r="G205" s="27"/>
      <c r="H205" s="20"/>
      <c r="I205" s="21"/>
      <c r="J205" s="28"/>
      <c r="K205" s="19"/>
    </row>
    <row r="206" spans="1:11" ht="13.2">
      <c r="A206" s="22"/>
      <c r="B206" s="16"/>
      <c r="C206" s="23"/>
      <c r="D206" s="24"/>
      <c r="E206" s="25"/>
      <c r="F206" s="26"/>
      <c r="G206" s="27"/>
      <c r="H206" s="20"/>
      <c r="I206" s="21"/>
      <c r="J206" s="28"/>
      <c r="K206" s="19"/>
    </row>
    <row r="207" spans="1:11" ht="13.2">
      <c r="A207" s="22"/>
      <c r="B207" s="16"/>
      <c r="C207" s="23"/>
      <c r="D207" s="24"/>
      <c r="E207" s="25"/>
      <c r="F207" s="26"/>
      <c r="G207" s="27"/>
      <c r="H207" s="20"/>
      <c r="I207" s="21"/>
      <c r="J207" s="28"/>
      <c r="K207" s="19"/>
    </row>
    <row r="208" spans="1:11" ht="13.2">
      <c r="A208" s="22"/>
      <c r="B208" s="16"/>
      <c r="C208" s="23"/>
      <c r="D208" s="24"/>
      <c r="E208" s="25"/>
      <c r="F208" s="26"/>
      <c r="G208" s="27"/>
      <c r="H208" s="20"/>
      <c r="I208" s="21"/>
      <c r="J208" s="28"/>
      <c r="K208" s="19"/>
    </row>
    <row r="209" spans="1:11" ht="13.2">
      <c r="A209" s="22"/>
      <c r="B209" s="16"/>
      <c r="C209" s="23"/>
      <c r="D209" s="24"/>
      <c r="E209" s="25"/>
      <c r="F209" s="26"/>
      <c r="G209" s="27"/>
      <c r="H209" s="20"/>
      <c r="I209" s="21"/>
      <c r="J209" s="28"/>
      <c r="K209" s="19"/>
    </row>
    <row r="210" spans="1:11" ht="13.2">
      <c r="A210" s="22"/>
      <c r="B210" s="16"/>
      <c r="C210" s="23"/>
      <c r="D210" s="24"/>
      <c r="E210" s="25"/>
      <c r="F210" s="26"/>
      <c r="G210" s="27"/>
      <c r="H210" s="20"/>
      <c r="I210" s="21"/>
      <c r="J210" s="28"/>
      <c r="K210" s="19"/>
    </row>
    <row r="211" spans="1:11" ht="13.2">
      <c r="A211" s="22"/>
      <c r="B211" s="16"/>
      <c r="C211" s="23"/>
      <c r="D211" s="24"/>
      <c r="E211" s="25"/>
      <c r="F211" s="26"/>
      <c r="G211" s="27"/>
      <c r="H211" s="20"/>
      <c r="I211" s="21"/>
      <c r="J211" s="28"/>
      <c r="K211" s="19"/>
    </row>
    <row r="212" spans="1:11" ht="13.2">
      <c r="A212" s="22"/>
      <c r="B212" s="16"/>
      <c r="C212" s="23"/>
      <c r="D212" s="24"/>
      <c r="E212" s="25"/>
      <c r="F212" s="26"/>
      <c r="G212" s="27"/>
      <c r="H212" s="20"/>
      <c r="I212" s="21"/>
      <c r="J212" s="28"/>
      <c r="K212" s="19"/>
    </row>
    <row r="213" spans="1:11" ht="13.2">
      <c r="A213" s="22"/>
      <c r="B213" s="16"/>
      <c r="C213" s="23"/>
      <c r="D213" s="24"/>
      <c r="E213" s="25"/>
      <c r="F213" s="26"/>
      <c r="G213" s="27"/>
      <c r="H213" s="20"/>
      <c r="I213" s="21"/>
      <c r="J213" s="28"/>
      <c r="K213" s="19"/>
    </row>
    <row r="214" spans="1:11" ht="13.2">
      <c r="A214" s="22"/>
      <c r="B214" s="16"/>
      <c r="C214" s="23"/>
      <c r="D214" s="24"/>
      <c r="E214" s="25"/>
      <c r="F214" s="26"/>
      <c r="G214" s="27"/>
      <c r="H214" s="20"/>
      <c r="I214" s="21"/>
      <c r="J214" s="28"/>
      <c r="K214" s="19"/>
    </row>
    <row r="215" spans="1:11" ht="13.2">
      <c r="A215" s="22"/>
      <c r="B215" s="16"/>
      <c r="C215" s="23"/>
      <c r="D215" s="24"/>
      <c r="E215" s="25"/>
      <c r="F215" s="26"/>
      <c r="G215" s="27"/>
      <c r="H215" s="20"/>
      <c r="I215" s="21"/>
      <c r="J215" s="28"/>
      <c r="K215" s="19"/>
    </row>
    <row r="216" spans="1:11" ht="13.2">
      <c r="A216" s="22"/>
      <c r="B216" s="16"/>
      <c r="C216" s="23"/>
      <c r="D216" s="24"/>
      <c r="E216" s="25"/>
      <c r="F216" s="26"/>
      <c r="G216" s="27"/>
      <c r="H216" s="20"/>
      <c r="I216" s="21"/>
      <c r="J216" s="28"/>
      <c r="K216" s="19"/>
    </row>
    <row r="217" spans="1:11" ht="13.2">
      <c r="A217" s="22"/>
      <c r="B217" s="16"/>
      <c r="C217" s="23"/>
      <c r="D217" s="24"/>
      <c r="E217" s="25"/>
      <c r="F217" s="26"/>
      <c r="G217" s="27"/>
      <c r="H217" s="20"/>
      <c r="I217" s="21"/>
      <c r="J217" s="28"/>
      <c r="K217" s="19"/>
    </row>
    <row r="218" spans="1:11" ht="13.2">
      <c r="A218" s="22"/>
      <c r="B218" s="16"/>
      <c r="C218" s="23"/>
      <c r="D218" s="24"/>
      <c r="E218" s="25"/>
      <c r="F218" s="26"/>
      <c r="G218" s="27"/>
      <c r="H218" s="20"/>
      <c r="I218" s="21"/>
      <c r="J218" s="28"/>
      <c r="K218" s="19"/>
    </row>
    <row r="219" spans="1:11" ht="13.2">
      <c r="A219" s="22"/>
      <c r="B219" s="16"/>
      <c r="C219" s="23"/>
      <c r="D219" s="24"/>
      <c r="E219" s="25"/>
      <c r="F219" s="26"/>
      <c r="G219" s="27"/>
      <c r="H219" s="20"/>
      <c r="I219" s="21"/>
      <c r="J219" s="28"/>
      <c r="K219" s="19"/>
    </row>
    <row r="220" spans="1:11" ht="13.2">
      <c r="A220" s="22"/>
      <c r="B220" s="16"/>
      <c r="C220" s="23"/>
      <c r="D220" s="24"/>
      <c r="E220" s="25"/>
      <c r="F220" s="26"/>
      <c r="G220" s="27"/>
      <c r="H220" s="20"/>
      <c r="I220" s="21"/>
      <c r="J220" s="28"/>
      <c r="K220" s="19"/>
    </row>
    <row r="221" spans="1:11" ht="13.2">
      <c r="A221" s="22"/>
      <c r="B221" s="16"/>
      <c r="C221" s="23"/>
      <c r="D221" s="24"/>
      <c r="E221" s="25"/>
      <c r="F221" s="26"/>
      <c r="G221" s="27"/>
      <c r="H221" s="20"/>
      <c r="I221" s="21"/>
      <c r="J221" s="28"/>
      <c r="K221" s="19"/>
    </row>
    <row r="222" spans="1:11" ht="13.2">
      <c r="A222" s="22"/>
      <c r="B222" s="16"/>
      <c r="C222" s="23"/>
      <c r="D222" s="24"/>
      <c r="E222" s="25"/>
      <c r="F222" s="26"/>
      <c r="G222" s="27"/>
      <c r="H222" s="20"/>
      <c r="I222" s="21"/>
      <c r="J222" s="28"/>
      <c r="K222" s="19"/>
    </row>
    <row r="223" spans="1:11" ht="13.2">
      <c r="A223" s="22"/>
      <c r="B223" s="16"/>
      <c r="C223" s="23"/>
      <c r="D223" s="24"/>
      <c r="E223" s="25"/>
      <c r="F223" s="26"/>
      <c r="G223" s="27"/>
      <c r="H223" s="20"/>
      <c r="I223" s="21"/>
      <c r="J223" s="28"/>
      <c r="K223" s="19"/>
    </row>
    <row r="224" spans="1:11" ht="13.2">
      <c r="A224" s="22"/>
      <c r="B224" s="16"/>
      <c r="C224" s="23"/>
      <c r="D224" s="24"/>
      <c r="E224" s="25"/>
      <c r="F224" s="26"/>
      <c r="G224" s="27"/>
      <c r="H224" s="20"/>
      <c r="I224" s="21"/>
      <c r="J224" s="28"/>
      <c r="K224" s="19"/>
    </row>
    <row r="225" spans="1:11" ht="13.2">
      <c r="A225" s="22"/>
      <c r="B225" s="16"/>
      <c r="C225" s="23"/>
      <c r="D225" s="24"/>
      <c r="E225" s="25"/>
      <c r="F225" s="26"/>
      <c r="G225" s="27"/>
      <c r="H225" s="20"/>
      <c r="I225" s="21"/>
      <c r="J225" s="28"/>
      <c r="K225" s="19"/>
    </row>
    <row r="226" spans="1:11" ht="13.2">
      <c r="A226" s="22"/>
      <c r="B226" s="16"/>
      <c r="C226" s="23"/>
      <c r="D226" s="24"/>
      <c r="E226" s="25"/>
      <c r="F226" s="26"/>
      <c r="G226" s="27"/>
      <c r="H226" s="20"/>
      <c r="I226" s="21"/>
      <c r="J226" s="28"/>
      <c r="K226" s="19"/>
    </row>
    <row r="227" spans="1:11" ht="13.2">
      <c r="A227" s="22"/>
      <c r="B227" s="16"/>
      <c r="C227" s="23"/>
      <c r="D227" s="24"/>
      <c r="E227" s="25"/>
      <c r="F227" s="26"/>
      <c r="G227" s="27"/>
      <c r="H227" s="20"/>
      <c r="I227" s="21"/>
      <c r="J227" s="28"/>
      <c r="K227" s="19"/>
    </row>
    <row r="228" spans="1:11" ht="13.2">
      <c r="A228" s="22"/>
      <c r="B228" s="16"/>
      <c r="C228" s="23"/>
      <c r="D228" s="24"/>
      <c r="E228" s="25"/>
      <c r="F228" s="26"/>
      <c r="G228" s="27"/>
      <c r="H228" s="20"/>
      <c r="I228" s="21"/>
      <c r="J228" s="28"/>
      <c r="K228" s="19"/>
    </row>
    <row r="229" spans="1:11" ht="13.2">
      <c r="A229" s="22"/>
      <c r="B229" s="16"/>
      <c r="C229" s="23"/>
      <c r="D229" s="24"/>
      <c r="E229" s="25"/>
      <c r="F229" s="26"/>
      <c r="G229" s="27"/>
      <c r="H229" s="20"/>
      <c r="I229" s="21"/>
      <c r="J229" s="28"/>
      <c r="K229" s="19"/>
    </row>
    <row r="230" spans="1:11" ht="13.2">
      <c r="A230" s="22"/>
      <c r="B230" s="16"/>
      <c r="C230" s="23"/>
      <c r="D230" s="24"/>
      <c r="E230" s="25"/>
      <c r="F230" s="26"/>
      <c r="G230" s="27"/>
      <c r="H230" s="20"/>
      <c r="I230" s="21"/>
      <c r="J230" s="28"/>
      <c r="K230" s="19"/>
    </row>
    <row r="231" spans="1:11" ht="13.2">
      <c r="A231" s="22"/>
      <c r="B231" s="16"/>
      <c r="C231" s="23"/>
      <c r="D231" s="24"/>
      <c r="E231" s="25"/>
      <c r="F231" s="26"/>
      <c r="G231" s="27"/>
      <c r="H231" s="20"/>
      <c r="I231" s="21"/>
      <c r="J231" s="28"/>
      <c r="K231" s="19"/>
    </row>
    <row r="232" spans="1:11" ht="13.2">
      <c r="A232" s="22"/>
      <c r="B232" s="16"/>
      <c r="C232" s="23"/>
      <c r="D232" s="24"/>
      <c r="E232" s="25"/>
      <c r="F232" s="26"/>
      <c r="G232" s="27"/>
      <c r="H232" s="20"/>
      <c r="I232" s="21"/>
      <c r="J232" s="28"/>
      <c r="K232" s="19"/>
    </row>
    <row r="233" spans="1:11" ht="13.2">
      <c r="A233" s="22"/>
      <c r="B233" s="16"/>
      <c r="C233" s="23"/>
      <c r="D233" s="24"/>
      <c r="E233" s="25"/>
      <c r="F233" s="26"/>
      <c r="G233" s="27"/>
      <c r="H233" s="20"/>
      <c r="I233" s="21"/>
      <c r="J233" s="28"/>
      <c r="K233" s="19"/>
    </row>
    <row r="234" spans="1:11" ht="13.2">
      <c r="A234" s="22"/>
      <c r="B234" s="16"/>
      <c r="C234" s="23"/>
      <c r="D234" s="24"/>
      <c r="E234" s="25"/>
      <c r="F234" s="26"/>
      <c r="G234" s="27"/>
      <c r="H234" s="20"/>
      <c r="I234" s="21"/>
      <c r="J234" s="28"/>
      <c r="K234" s="19"/>
    </row>
    <row r="235" spans="1:11" ht="13.2">
      <c r="A235" s="22"/>
      <c r="B235" s="16"/>
      <c r="C235" s="23"/>
      <c r="D235" s="24"/>
      <c r="E235" s="25"/>
      <c r="F235" s="26"/>
      <c r="G235" s="27"/>
      <c r="H235" s="20"/>
      <c r="I235" s="21"/>
      <c r="J235" s="28"/>
      <c r="K235" s="19"/>
    </row>
    <row r="236" spans="1:11" ht="13.2">
      <c r="A236" s="22"/>
      <c r="B236" s="16"/>
      <c r="C236" s="23"/>
      <c r="D236" s="24"/>
      <c r="E236" s="25"/>
      <c r="F236" s="26"/>
      <c r="G236" s="27"/>
      <c r="H236" s="20"/>
      <c r="I236" s="21"/>
      <c r="J236" s="28"/>
      <c r="K236" s="19"/>
    </row>
    <row r="237" spans="1:11" ht="13.2">
      <c r="A237" s="22"/>
      <c r="B237" s="16"/>
      <c r="C237" s="23"/>
      <c r="D237" s="24"/>
      <c r="E237" s="25"/>
      <c r="F237" s="26"/>
      <c r="G237" s="27"/>
      <c r="H237" s="20"/>
      <c r="I237" s="21"/>
      <c r="J237" s="28"/>
      <c r="K237" s="19"/>
    </row>
    <row r="238" spans="1:11" ht="13.2">
      <c r="A238" s="22"/>
      <c r="B238" s="16"/>
      <c r="C238" s="23"/>
      <c r="D238" s="24"/>
      <c r="E238" s="25"/>
      <c r="F238" s="26"/>
      <c r="G238" s="27"/>
      <c r="H238" s="20"/>
      <c r="I238" s="21"/>
      <c r="J238" s="28"/>
      <c r="K238" s="19"/>
    </row>
    <row r="239" spans="1:11" ht="13.2">
      <c r="A239" s="22"/>
      <c r="B239" s="16"/>
      <c r="C239" s="23"/>
      <c r="D239" s="24"/>
      <c r="E239" s="25"/>
      <c r="F239" s="26"/>
      <c r="G239" s="27"/>
      <c r="H239" s="20"/>
      <c r="I239" s="21"/>
      <c r="J239" s="28"/>
      <c r="K239" s="19"/>
    </row>
    <row r="240" spans="1:11" ht="13.2">
      <c r="A240" s="22"/>
      <c r="B240" s="16"/>
      <c r="C240" s="23"/>
      <c r="D240" s="24"/>
      <c r="E240" s="25"/>
      <c r="F240" s="26"/>
      <c r="G240" s="27"/>
      <c r="H240" s="20"/>
      <c r="I240" s="21"/>
      <c r="J240" s="28"/>
      <c r="K240" s="19"/>
    </row>
    <row r="241" spans="1:11" ht="13.2">
      <c r="A241" s="22"/>
      <c r="B241" s="16"/>
      <c r="C241" s="23"/>
      <c r="D241" s="24"/>
      <c r="E241" s="25"/>
      <c r="F241" s="26"/>
      <c r="G241" s="27"/>
      <c r="H241" s="20"/>
      <c r="I241" s="21"/>
      <c r="J241" s="28"/>
      <c r="K241" s="19"/>
    </row>
    <row r="242" spans="1:11" ht="13.2">
      <c r="A242" s="22"/>
      <c r="B242" s="16"/>
      <c r="C242" s="23"/>
      <c r="D242" s="24"/>
      <c r="E242" s="25"/>
      <c r="F242" s="26"/>
      <c r="G242" s="27"/>
      <c r="H242" s="20"/>
      <c r="I242" s="21"/>
      <c r="J242" s="28"/>
      <c r="K242" s="19"/>
    </row>
    <row r="243" spans="1:11" ht="13.2">
      <c r="A243" s="22"/>
      <c r="B243" s="16"/>
      <c r="C243" s="23"/>
      <c r="D243" s="24"/>
      <c r="E243" s="25"/>
      <c r="F243" s="26"/>
      <c r="G243" s="27"/>
      <c r="H243" s="20"/>
      <c r="I243" s="21"/>
      <c r="J243" s="28"/>
      <c r="K243" s="19"/>
    </row>
    <row r="244" spans="1:11" ht="13.2">
      <c r="A244" s="22"/>
      <c r="B244" s="16"/>
      <c r="C244" s="23"/>
      <c r="D244" s="24"/>
      <c r="E244" s="25"/>
      <c r="F244" s="26"/>
      <c r="G244" s="27"/>
      <c r="H244" s="20"/>
      <c r="I244" s="21"/>
      <c r="J244" s="28"/>
      <c r="K244" s="19"/>
    </row>
    <row r="245" spans="1:11" ht="13.2">
      <c r="A245" s="22"/>
      <c r="B245" s="16"/>
      <c r="C245" s="23"/>
      <c r="D245" s="24"/>
      <c r="E245" s="25"/>
      <c r="F245" s="26"/>
      <c r="G245" s="27"/>
      <c r="H245" s="20"/>
      <c r="I245" s="21"/>
      <c r="J245" s="28"/>
      <c r="K245" s="19"/>
    </row>
    <row r="246" spans="1:11" ht="13.2">
      <c r="A246" s="22"/>
      <c r="B246" s="16"/>
      <c r="C246" s="23"/>
      <c r="D246" s="24"/>
      <c r="E246" s="25"/>
      <c r="F246" s="26"/>
      <c r="G246" s="27"/>
      <c r="H246" s="20"/>
      <c r="I246" s="21"/>
      <c r="J246" s="28"/>
      <c r="K246" s="19"/>
    </row>
    <row r="247" spans="1:11" ht="13.2">
      <c r="A247" s="22"/>
      <c r="B247" s="16"/>
      <c r="C247" s="23"/>
      <c r="D247" s="24"/>
      <c r="E247" s="25"/>
      <c r="F247" s="26"/>
      <c r="G247" s="27"/>
      <c r="H247" s="20"/>
      <c r="I247" s="21"/>
      <c r="J247" s="28"/>
      <c r="K247" s="19"/>
    </row>
    <row r="248" spans="1:11" ht="13.2">
      <c r="A248" s="22"/>
      <c r="B248" s="16"/>
      <c r="C248" s="23"/>
      <c r="D248" s="24"/>
      <c r="E248" s="25"/>
      <c r="F248" s="26"/>
      <c r="G248" s="27"/>
      <c r="H248" s="20"/>
      <c r="I248" s="21"/>
      <c r="J248" s="28"/>
      <c r="K248" s="19"/>
    </row>
    <row r="249" spans="1:11" ht="13.2">
      <c r="A249" s="22"/>
      <c r="B249" s="16"/>
      <c r="C249" s="23"/>
      <c r="D249" s="24"/>
      <c r="E249" s="25"/>
      <c r="F249" s="26"/>
      <c r="G249" s="27"/>
      <c r="H249" s="20"/>
      <c r="I249" s="21"/>
      <c r="J249" s="28"/>
      <c r="K249" s="19"/>
    </row>
    <row r="250" spans="1:11" ht="13.2">
      <c r="A250" s="22"/>
      <c r="B250" s="16"/>
      <c r="C250" s="23"/>
      <c r="D250" s="24"/>
      <c r="E250" s="25"/>
      <c r="F250" s="26"/>
      <c r="G250" s="27"/>
      <c r="H250" s="20"/>
      <c r="I250" s="21"/>
      <c r="J250" s="28"/>
      <c r="K250" s="19"/>
    </row>
    <row r="251" spans="1:11" ht="13.2">
      <c r="A251" s="22"/>
      <c r="B251" s="16"/>
      <c r="C251" s="23"/>
      <c r="D251" s="24"/>
      <c r="E251" s="25"/>
      <c r="F251" s="26"/>
      <c r="G251" s="27"/>
      <c r="H251" s="20"/>
      <c r="I251" s="21"/>
      <c r="J251" s="28"/>
      <c r="K251" s="19"/>
    </row>
    <row r="252" spans="1:11" ht="13.2">
      <c r="A252" s="22"/>
      <c r="B252" s="16"/>
      <c r="C252" s="23"/>
      <c r="D252" s="24"/>
      <c r="E252" s="25"/>
      <c r="F252" s="26"/>
      <c r="G252" s="27"/>
      <c r="H252" s="20"/>
      <c r="I252" s="21"/>
      <c r="J252" s="28"/>
      <c r="K252" s="19"/>
    </row>
    <row r="253" spans="1:11" ht="13.2">
      <c r="A253" s="22"/>
      <c r="B253" s="16"/>
      <c r="C253" s="23"/>
      <c r="D253" s="24"/>
      <c r="E253" s="25"/>
      <c r="F253" s="26"/>
      <c r="G253" s="27"/>
      <c r="H253" s="20"/>
      <c r="I253" s="21"/>
      <c r="J253" s="28"/>
      <c r="K253" s="19"/>
    </row>
    <row r="254" spans="1:11" ht="13.2">
      <c r="A254" s="22"/>
      <c r="B254" s="16"/>
      <c r="C254" s="23"/>
      <c r="D254" s="24"/>
      <c r="E254" s="25"/>
      <c r="F254" s="26"/>
      <c r="G254" s="27"/>
      <c r="H254" s="20"/>
      <c r="I254" s="21"/>
      <c r="J254" s="28"/>
      <c r="K254" s="19"/>
    </row>
    <row r="255" spans="1:11" ht="13.2">
      <c r="A255" s="22"/>
      <c r="B255" s="16"/>
      <c r="C255" s="23"/>
      <c r="D255" s="24"/>
      <c r="E255" s="25"/>
      <c r="F255" s="26"/>
      <c r="G255" s="27"/>
      <c r="H255" s="20"/>
      <c r="I255" s="21"/>
      <c r="J255" s="28"/>
      <c r="K255" s="19"/>
    </row>
    <row r="256" spans="1:11" ht="13.2">
      <c r="A256" s="22"/>
      <c r="B256" s="16"/>
      <c r="C256" s="23"/>
      <c r="D256" s="24"/>
      <c r="E256" s="25"/>
      <c r="F256" s="26"/>
      <c r="G256" s="27"/>
      <c r="H256" s="20"/>
      <c r="I256" s="21"/>
      <c r="J256" s="28"/>
      <c r="K256" s="19"/>
    </row>
    <row r="257" spans="1:11" ht="13.2">
      <c r="A257" s="22"/>
      <c r="B257" s="16"/>
      <c r="C257" s="23"/>
      <c r="D257" s="24"/>
      <c r="E257" s="25"/>
      <c r="F257" s="26"/>
      <c r="G257" s="27"/>
      <c r="H257" s="20"/>
      <c r="I257" s="21"/>
      <c r="J257" s="28"/>
      <c r="K257" s="19"/>
    </row>
    <row r="258" spans="1:11" ht="13.2">
      <c r="A258" s="22"/>
      <c r="B258" s="16"/>
      <c r="C258" s="23"/>
      <c r="D258" s="24"/>
      <c r="E258" s="25"/>
      <c r="F258" s="26"/>
      <c r="G258" s="27"/>
      <c r="H258" s="20"/>
      <c r="I258" s="21"/>
      <c r="J258" s="28"/>
      <c r="K258" s="19"/>
    </row>
    <row r="259" spans="1:11" ht="13.2">
      <c r="A259" s="22"/>
      <c r="B259" s="16"/>
      <c r="C259" s="23"/>
      <c r="D259" s="24"/>
      <c r="E259" s="25"/>
      <c r="F259" s="26"/>
      <c r="G259" s="27"/>
      <c r="H259" s="20"/>
      <c r="I259" s="21"/>
      <c r="J259" s="28"/>
      <c r="K259" s="19"/>
    </row>
    <row r="260" spans="1:11" ht="13.2">
      <c r="A260" s="22"/>
      <c r="B260" s="16"/>
      <c r="C260" s="23"/>
      <c r="D260" s="24"/>
      <c r="E260" s="25"/>
      <c r="F260" s="26"/>
      <c r="G260" s="27"/>
      <c r="H260" s="20"/>
      <c r="I260" s="21"/>
      <c r="J260" s="28"/>
      <c r="K260" s="19"/>
    </row>
    <row r="261" spans="1:11" ht="13.2">
      <c r="A261" s="22"/>
      <c r="B261" s="16"/>
      <c r="C261" s="23"/>
      <c r="D261" s="24"/>
      <c r="E261" s="25"/>
      <c r="F261" s="26"/>
      <c r="G261" s="27"/>
      <c r="H261" s="20"/>
      <c r="I261" s="21"/>
      <c r="J261" s="28"/>
      <c r="K261" s="19"/>
    </row>
    <row r="262" spans="1:11" ht="13.2">
      <c r="A262" s="22"/>
      <c r="B262" s="16"/>
      <c r="C262" s="23"/>
      <c r="D262" s="24"/>
      <c r="E262" s="25"/>
      <c r="F262" s="26"/>
      <c r="G262" s="27"/>
      <c r="H262" s="20"/>
      <c r="I262" s="21"/>
      <c r="J262" s="28"/>
      <c r="K262" s="19"/>
    </row>
    <row r="263" spans="1:11" ht="13.2">
      <c r="A263" s="22"/>
      <c r="B263" s="16"/>
      <c r="C263" s="23"/>
      <c r="D263" s="24"/>
      <c r="E263" s="25"/>
      <c r="F263" s="26"/>
      <c r="G263" s="27"/>
      <c r="H263" s="20"/>
      <c r="I263" s="21"/>
      <c r="J263" s="28"/>
      <c r="K263" s="19"/>
    </row>
    <row r="264" spans="1:11" ht="13.2">
      <c r="A264" s="22"/>
      <c r="B264" s="16"/>
      <c r="C264" s="23"/>
      <c r="D264" s="24"/>
      <c r="E264" s="25"/>
      <c r="F264" s="26"/>
      <c r="G264" s="27"/>
      <c r="H264" s="20"/>
      <c r="I264" s="21"/>
      <c r="J264" s="28"/>
      <c r="K264" s="19"/>
    </row>
    <row r="265" spans="1:11" ht="13.2">
      <c r="A265" s="22"/>
      <c r="B265" s="16"/>
      <c r="C265" s="23"/>
      <c r="D265" s="24"/>
      <c r="E265" s="25"/>
      <c r="F265" s="26"/>
      <c r="G265" s="27"/>
      <c r="H265" s="20"/>
      <c r="I265" s="21"/>
      <c r="J265" s="28"/>
      <c r="K265" s="19"/>
    </row>
    <row r="266" spans="1:11" ht="13.2">
      <c r="A266" s="22"/>
      <c r="B266" s="16"/>
      <c r="C266" s="23"/>
      <c r="D266" s="24"/>
      <c r="E266" s="25"/>
      <c r="F266" s="26"/>
      <c r="G266" s="27"/>
      <c r="H266" s="20"/>
      <c r="I266" s="21"/>
      <c r="J266" s="28"/>
      <c r="K266" s="19"/>
    </row>
    <row r="267" spans="1:11" ht="13.2">
      <c r="A267" s="22"/>
      <c r="B267" s="16"/>
      <c r="C267" s="23"/>
      <c r="D267" s="24"/>
      <c r="E267" s="25"/>
      <c r="F267" s="26"/>
      <c r="G267" s="27"/>
      <c r="H267" s="20"/>
      <c r="I267" s="21"/>
      <c r="J267" s="28"/>
      <c r="K267" s="19"/>
    </row>
    <row r="268" spans="1:11" ht="13.2">
      <c r="A268" s="22"/>
      <c r="B268" s="16"/>
      <c r="C268" s="23"/>
      <c r="D268" s="24"/>
      <c r="E268" s="25"/>
      <c r="F268" s="26"/>
      <c r="G268" s="27"/>
      <c r="H268" s="20"/>
      <c r="I268" s="21"/>
      <c r="J268" s="28"/>
      <c r="K268" s="19"/>
    </row>
    <row r="269" spans="1:11" ht="13.2">
      <c r="A269" s="22"/>
      <c r="B269" s="16"/>
      <c r="C269" s="23"/>
      <c r="D269" s="24"/>
      <c r="E269" s="25"/>
      <c r="F269" s="26"/>
      <c r="G269" s="27"/>
      <c r="H269" s="20"/>
      <c r="I269" s="21"/>
      <c r="J269" s="28"/>
      <c r="K269" s="19"/>
    </row>
    <row r="270" spans="1:11" ht="13.2">
      <c r="A270" s="22"/>
      <c r="B270" s="16"/>
      <c r="C270" s="23"/>
      <c r="D270" s="24"/>
      <c r="E270" s="25"/>
      <c r="F270" s="26"/>
      <c r="G270" s="27"/>
      <c r="H270" s="20"/>
      <c r="I270" s="21"/>
      <c r="J270" s="28"/>
      <c r="K270" s="19"/>
    </row>
    <row r="271" spans="1:11" ht="13.2">
      <c r="A271" s="22"/>
      <c r="B271" s="16"/>
      <c r="C271" s="23"/>
      <c r="D271" s="24"/>
      <c r="E271" s="25"/>
      <c r="F271" s="26"/>
      <c r="G271" s="27"/>
      <c r="H271" s="20"/>
      <c r="I271" s="21"/>
      <c r="J271" s="28"/>
      <c r="K271" s="19"/>
    </row>
    <row r="272" spans="1:11" ht="13.2">
      <c r="A272" s="22"/>
      <c r="B272" s="16"/>
      <c r="C272" s="23"/>
      <c r="D272" s="24"/>
      <c r="E272" s="25"/>
      <c r="F272" s="26"/>
      <c r="G272" s="27"/>
      <c r="H272" s="20"/>
      <c r="I272" s="21"/>
      <c r="J272" s="28"/>
      <c r="K272" s="19"/>
    </row>
    <row r="273" spans="1:11" ht="13.2">
      <c r="A273" s="22"/>
      <c r="B273" s="16"/>
      <c r="C273" s="23"/>
      <c r="D273" s="24"/>
      <c r="E273" s="25"/>
      <c r="F273" s="26"/>
      <c r="G273" s="27"/>
      <c r="H273" s="20"/>
      <c r="I273" s="21"/>
      <c r="J273" s="28"/>
      <c r="K273" s="19"/>
    </row>
    <row r="274" spans="1:11" ht="13.2">
      <c r="A274" s="22"/>
      <c r="B274" s="16"/>
      <c r="C274" s="23"/>
      <c r="D274" s="24"/>
      <c r="E274" s="25"/>
      <c r="F274" s="26"/>
      <c r="G274" s="27"/>
      <c r="H274" s="20"/>
      <c r="I274" s="21"/>
      <c r="J274" s="28"/>
      <c r="K274" s="19"/>
    </row>
    <row r="275" spans="1:11" ht="13.2">
      <c r="A275" s="22"/>
      <c r="B275" s="16"/>
      <c r="C275" s="23"/>
      <c r="D275" s="24"/>
      <c r="E275" s="25"/>
      <c r="F275" s="26"/>
      <c r="G275" s="27"/>
      <c r="H275" s="20"/>
      <c r="I275" s="21"/>
      <c r="J275" s="28"/>
      <c r="K275" s="19"/>
    </row>
    <row r="276" spans="1:11" ht="13.2">
      <c r="A276" s="22"/>
      <c r="B276" s="16"/>
      <c r="C276" s="23"/>
      <c r="D276" s="24"/>
      <c r="E276" s="25"/>
      <c r="F276" s="26"/>
      <c r="G276" s="27"/>
      <c r="H276" s="20"/>
      <c r="I276" s="21"/>
      <c r="J276" s="28"/>
      <c r="K276" s="19"/>
    </row>
    <row r="277" spans="1:11" ht="13.2">
      <c r="A277" s="22"/>
      <c r="B277" s="16"/>
      <c r="C277" s="23"/>
      <c r="D277" s="24"/>
      <c r="E277" s="25"/>
      <c r="F277" s="26"/>
      <c r="G277" s="27"/>
      <c r="H277" s="20"/>
      <c r="I277" s="21"/>
      <c r="J277" s="28"/>
      <c r="K277" s="19"/>
    </row>
    <row r="278" spans="1:11" ht="13.2">
      <c r="A278" s="22"/>
      <c r="B278" s="16"/>
      <c r="C278" s="23"/>
      <c r="D278" s="24"/>
      <c r="E278" s="25"/>
      <c r="F278" s="26"/>
      <c r="G278" s="27"/>
      <c r="H278" s="20"/>
      <c r="I278" s="21"/>
      <c r="J278" s="28"/>
      <c r="K278" s="19"/>
    </row>
    <row r="279" spans="1:11" ht="13.2">
      <c r="A279" s="22"/>
      <c r="B279" s="16"/>
      <c r="C279" s="23"/>
      <c r="D279" s="24"/>
      <c r="E279" s="25"/>
      <c r="F279" s="26"/>
      <c r="G279" s="27"/>
      <c r="H279" s="20"/>
      <c r="I279" s="21"/>
      <c r="J279" s="28"/>
      <c r="K279" s="19"/>
    </row>
    <row r="280" spans="1:11" ht="13.2">
      <c r="A280" s="22"/>
      <c r="B280" s="16"/>
      <c r="C280" s="23"/>
      <c r="D280" s="24"/>
      <c r="E280" s="25"/>
      <c r="F280" s="26"/>
      <c r="G280" s="27"/>
      <c r="H280" s="20"/>
      <c r="I280" s="21"/>
      <c r="J280" s="28"/>
      <c r="K280" s="19"/>
    </row>
    <row r="281" spans="1:11" ht="13.2">
      <c r="A281" s="22"/>
      <c r="B281" s="16"/>
      <c r="C281" s="23"/>
      <c r="D281" s="24"/>
      <c r="E281" s="25"/>
      <c r="F281" s="26"/>
      <c r="G281" s="27"/>
      <c r="H281" s="20"/>
      <c r="I281" s="21"/>
      <c r="J281" s="28"/>
      <c r="K281" s="19"/>
    </row>
    <row r="282" spans="1:11" ht="13.2">
      <c r="A282" s="22"/>
      <c r="B282" s="16"/>
      <c r="C282" s="23"/>
      <c r="D282" s="24"/>
      <c r="E282" s="25"/>
      <c r="F282" s="26"/>
      <c r="G282" s="27"/>
      <c r="H282" s="20"/>
      <c r="I282" s="21"/>
      <c r="J282" s="28"/>
      <c r="K282" s="19"/>
    </row>
    <row r="283" spans="1:11" ht="13.2">
      <c r="A283" s="22"/>
      <c r="B283" s="16"/>
      <c r="C283" s="23"/>
      <c r="D283" s="24"/>
      <c r="E283" s="25"/>
      <c r="F283" s="26"/>
      <c r="G283" s="27"/>
      <c r="H283" s="20"/>
      <c r="I283" s="21"/>
      <c r="J283" s="28"/>
      <c r="K283" s="19"/>
    </row>
    <row r="284" spans="1:11" ht="13.2">
      <c r="A284" s="22"/>
      <c r="B284" s="16"/>
      <c r="C284" s="23"/>
      <c r="D284" s="24"/>
      <c r="E284" s="25"/>
      <c r="F284" s="26"/>
      <c r="G284" s="27"/>
      <c r="H284" s="20"/>
      <c r="I284" s="21"/>
      <c r="J284" s="28"/>
      <c r="K284" s="19"/>
    </row>
    <row r="285" spans="1:11" ht="13.2">
      <c r="A285" s="22"/>
      <c r="B285" s="16"/>
      <c r="C285" s="23"/>
      <c r="D285" s="24"/>
      <c r="E285" s="25"/>
      <c r="F285" s="26"/>
      <c r="G285" s="27"/>
      <c r="H285" s="20"/>
      <c r="I285" s="21"/>
      <c r="J285" s="28"/>
      <c r="K285" s="19"/>
    </row>
    <row r="286" spans="1:11" ht="13.2">
      <c r="A286" s="22"/>
      <c r="B286" s="16"/>
      <c r="C286" s="23"/>
      <c r="D286" s="24"/>
      <c r="E286" s="25"/>
      <c r="F286" s="26"/>
      <c r="G286" s="27"/>
      <c r="H286" s="20"/>
      <c r="I286" s="21"/>
      <c r="J286" s="28"/>
      <c r="K286" s="19"/>
    </row>
    <row r="287" spans="1:11" ht="13.2">
      <c r="A287" s="22"/>
      <c r="B287" s="16"/>
      <c r="C287" s="23"/>
      <c r="D287" s="24"/>
      <c r="E287" s="25"/>
      <c r="F287" s="26"/>
      <c r="G287" s="27"/>
      <c r="H287" s="20"/>
      <c r="I287" s="21"/>
      <c r="J287" s="28"/>
      <c r="K287" s="19"/>
    </row>
    <row r="288" spans="1:11" ht="13.2">
      <c r="A288" s="22"/>
      <c r="B288" s="16"/>
      <c r="C288" s="23"/>
      <c r="D288" s="24"/>
      <c r="E288" s="25"/>
      <c r="F288" s="26"/>
      <c r="G288" s="27"/>
      <c r="H288" s="20"/>
      <c r="I288" s="21"/>
      <c r="J288" s="28"/>
      <c r="K288" s="19"/>
    </row>
    <row r="289" spans="1:11" ht="13.2">
      <c r="A289" s="22"/>
      <c r="B289" s="16"/>
      <c r="C289" s="23"/>
      <c r="D289" s="24"/>
      <c r="E289" s="25"/>
      <c r="F289" s="26"/>
      <c r="G289" s="27"/>
      <c r="H289" s="20"/>
      <c r="I289" s="21"/>
      <c r="J289" s="28"/>
      <c r="K289" s="19"/>
    </row>
    <row r="290" spans="1:11" ht="13.2">
      <c r="A290" s="22"/>
      <c r="B290" s="16"/>
      <c r="C290" s="23"/>
      <c r="D290" s="24"/>
      <c r="E290" s="25"/>
      <c r="F290" s="26"/>
      <c r="G290" s="27"/>
      <c r="H290" s="20"/>
      <c r="I290" s="21"/>
      <c r="J290" s="28"/>
      <c r="K290" s="19"/>
    </row>
    <row r="291" spans="1:11" ht="13.2">
      <c r="A291" s="22"/>
      <c r="B291" s="16"/>
      <c r="C291" s="23"/>
      <c r="D291" s="24"/>
      <c r="E291" s="25"/>
      <c r="F291" s="26"/>
      <c r="G291" s="27"/>
      <c r="H291" s="20"/>
      <c r="I291" s="21"/>
      <c r="J291" s="28"/>
      <c r="K291" s="19"/>
    </row>
    <row r="292" spans="1:11" ht="13.2">
      <c r="A292" s="22"/>
      <c r="B292" s="16"/>
      <c r="C292" s="23"/>
      <c r="D292" s="24"/>
      <c r="E292" s="25"/>
      <c r="F292" s="26"/>
      <c r="G292" s="27"/>
      <c r="H292" s="20"/>
      <c r="I292" s="21"/>
      <c r="J292" s="28"/>
      <c r="K292" s="19"/>
    </row>
    <row r="293" spans="1:11" ht="13.2">
      <c r="A293" s="22"/>
      <c r="B293" s="16"/>
      <c r="C293" s="23"/>
      <c r="D293" s="24"/>
      <c r="E293" s="25"/>
      <c r="F293" s="26"/>
      <c r="G293" s="27"/>
      <c r="H293" s="20"/>
      <c r="I293" s="21"/>
      <c r="J293" s="28"/>
      <c r="K293" s="19"/>
    </row>
    <row r="294" spans="1:11" ht="13.2">
      <c r="A294" s="22"/>
      <c r="B294" s="16"/>
      <c r="C294" s="23"/>
      <c r="D294" s="24"/>
      <c r="E294" s="25"/>
      <c r="F294" s="26"/>
      <c r="G294" s="27"/>
      <c r="H294" s="20"/>
      <c r="I294" s="21"/>
      <c r="J294" s="28"/>
      <c r="K294" s="19"/>
    </row>
    <row r="295" spans="1:11" ht="13.2">
      <c r="A295" s="22"/>
      <c r="B295" s="16"/>
      <c r="C295" s="23"/>
      <c r="D295" s="24"/>
      <c r="E295" s="25"/>
      <c r="F295" s="26"/>
      <c r="G295" s="27"/>
      <c r="H295" s="20"/>
      <c r="I295" s="21"/>
      <c r="J295" s="28"/>
      <c r="K295" s="19"/>
    </row>
    <row r="296" spans="1:11" ht="13.2">
      <c r="A296" s="22"/>
      <c r="B296" s="16"/>
      <c r="C296" s="23"/>
      <c r="D296" s="24"/>
      <c r="E296" s="25"/>
      <c r="F296" s="26"/>
      <c r="G296" s="27"/>
      <c r="H296" s="20"/>
      <c r="I296" s="21"/>
      <c r="J296" s="28"/>
      <c r="K296" s="19"/>
    </row>
    <row r="297" spans="1:11" ht="13.2">
      <c r="A297" s="22"/>
      <c r="B297" s="16"/>
      <c r="C297" s="23"/>
      <c r="D297" s="24"/>
      <c r="E297" s="25"/>
      <c r="F297" s="26"/>
      <c r="G297" s="27"/>
      <c r="H297" s="20"/>
      <c r="I297" s="21"/>
      <c r="J297" s="28"/>
      <c r="K297" s="19"/>
    </row>
    <row r="298" spans="1:11" ht="13.2">
      <c r="A298" s="22"/>
      <c r="B298" s="16"/>
      <c r="C298" s="23"/>
      <c r="D298" s="24"/>
      <c r="E298" s="25"/>
      <c r="F298" s="26"/>
      <c r="G298" s="27"/>
      <c r="H298" s="20"/>
      <c r="I298" s="21"/>
      <c r="J298" s="28"/>
      <c r="K298" s="19"/>
    </row>
    <row r="299" spans="1:11" ht="13.2">
      <c r="A299" s="22"/>
      <c r="B299" s="16"/>
      <c r="C299" s="23"/>
      <c r="D299" s="24"/>
      <c r="E299" s="25"/>
      <c r="F299" s="26"/>
      <c r="G299" s="27"/>
      <c r="H299" s="20"/>
      <c r="I299" s="21"/>
      <c r="J299" s="28"/>
      <c r="K299" s="19"/>
    </row>
    <row r="300" spans="1:11" ht="13.2">
      <c r="A300" s="22"/>
      <c r="B300" s="16"/>
      <c r="C300" s="23"/>
      <c r="D300" s="24"/>
      <c r="E300" s="25"/>
      <c r="F300" s="26"/>
      <c r="G300" s="27"/>
      <c r="H300" s="20"/>
      <c r="I300" s="21"/>
      <c r="J300" s="28"/>
      <c r="K300" s="19"/>
    </row>
    <row r="301" spans="1:11" ht="13.2">
      <c r="A301" s="22"/>
      <c r="B301" s="16"/>
      <c r="C301" s="23"/>
      <c r="D301" s="24"/>
      <c r="E301" s="25"/>
      <c r="F301" s="26"/>
      <c r="G301" s="27"/>
      <c r="H301" s="20"/>
      <c r="I301" s="21"/>
      <c r="J301" s="28"/>
      <c r="K301" s="19"/>
    </row>
    <row r="302" spans="1:11" ht="13.2">
      <c r="A302" s="22"/>
      <c r="B302" s="16"/>
      <c r="C302" s="23"/>
      <c r="D302" s="24"/>
      <c r="E302" s="25"/>
      <c r="F302" s="26"/>
      <c r="G302" s="27"/>
      <c r="H302" s="20"/>
      <c r="I302" s="21"/>
      <c r="J302" s="28"/>
      <c r="K302" s="19"/>
    </row>
    <row r="303" spans="1:11" ht="13.2">
      <c r="A303" s="22"/>
      <c r="B303" s="16"/>
      <c r="C303" s="23"/>
      <c r="D303" s="24"/>
      <c r="E303" s="25"/>
      <c r="F303" s="26"/>
      <c r="G303" s="27"/>
      <c r="H303" s="20"/>
      <c r="I303" s="21"/>
      <c r="J303" s="28"/>
      <c r="K303" s="19"/>
    </row>
    <row r="304" spans="1:11" ht="13.2">
      <c r="A304" s="22"/>
      <c r="B304" s="16"/>
      <c r="C304" s="23"/>
      <c r="D304" s="24"/>
      <c r="E304" s="25"/>
      <c r="F304" s="26"/>
      <c r="G304" s="27"/>
      <c r="H304" s="20"/>
      <c r="I304" s="21"/>
      <c r="J304" s="28"/>
      <c r="K304" s="19"/>
    </row>
    <row r="305" spans="1:11" ht="13.2">
      <c r="A305" s="22"/>
      <c r="B305" s="16"/>
      <c r="C305" s="23"/>
      <c r="D305" s="24"/>
      <c r="E305" s="25"/>
      <c r="F305" s="26"/>
      <c r="G305" s="27"/>
      <c r="H305" s="20"/>
      <c r="I305" s="21"/>
      <c r="J305" s="28"/>
      <c r="K305" s="19"/>
    </row>
    <row r="306" spans="1:11" ht="13.2">
      <c r="A306" s="22"/>
      <c r="B306" s="16"/>
      <c r="C306" s="23"/>
      <c r="D306" s="24"/>
      <c r="E306" s="25"/>
      <c r="F306" s="26"/>
      <c r="G306" s="27"/>
      <c r="H306" s="20"/>
      <c r="I306" s="21"/>
      <c r="J306" s="28"/>
      <c r="K306" s="19"/>
    </row>
    <row r="307" spans="1:11" ht="13.2">
      <c r="A307" s="22"/>
      <c r="B307" s="16"/>
      <c r="C307" s="23"/>
      <c r="D307" s="24"/>
      <c r="E307" s="25"/>
      <c r="F307" s="26"/>
      <c r="G307" s="27"/>
      <c r="H307" s="20"/>
      <c r="I307" s="21"/>
      <c r="J307" s="28"/>
      <c r="K307" s="19"/>
    </row>
    <row r="308" spans="1:11" ht="13.2">
      <c r="A308" s="22"/>
      <c r="B308" s="16"/>
      <c r="C308" s="23"/>
      <c r="D308" s="24"/>
      <c r="E308" s="25"/>
      <c r="F308" s="26"/>
      <c r="G308" s="27"/>
      <c r="H308" s="20"/>
      <c r="I308" s="21"/>
      <c r="J308" s="28"/>
      <c r="K308" s="19"/>
    </row>
    <row r="309" spans="1:11" ht="13.2">
      <c r="A309" s="22"/>
      <c r="B309" s="16"/>
      <c r="C309" s="23"/>
      <c r="D309" s="24"/>
      <c r="E309" s="25"/>
      <c r="F309" s="26"/>
      <c r="G309" s="27"/>
      <c r="H309" s="20"/>
      <c r="I309" s="21"/>
      <c r="J309" s="28"/>
      <c r="K309" s="19"/>
    </row>
    <row r="310" spans="1:11" ht="13.2">
      <c r="A310" s="22"/>
      <c r="B310" s="16"/>
      <c r="C310" s="23"/>
      <c r="D310" s="24"/>
      <c r="E310" s="25"/>
      <c r="F310" s="26"/>
      <c r="G310" s="27"/>
      <c r="H310" s="20"/>
      <c r="I310" s="21"/>
      <c r="J310" s="28"/>
      <c r="K310" s="19"/>
    </row>
    <row r="311" spans="1:11" ht="13.2">
      <c r="A311" s="22"/>
      <c r="B311" s="16"/>
      <c r="C311" s="23"/>
      <c r="D311" s="24"/>
      <c r="E311" s="25"/>
      <c r="F311" s="26"/>
      <c r="G311" s="27"/>
      <c r="H311" s="20"/>
      <c r="I311" s="21"/>
      <c r="J311" s="28"/>
      <c r="K311" s="19"/>
    </row>
    <row r="312" spans="1:11" ht="13.2">
      <c r="A312" s="22"/>
      <c r="B312" s="16"/>
      <c r="C312" s="23"/>
      <c r="D312" s="24"/>
      <c r="E312" s="25"/>
      <c r="F312" s="26"/>
      <c r="G312" s="27"/>
      <c r="H312" s="20"/>
      <c r="I312" s="21"/>
      <c r="J312" s="28"/>
      <c r="K312" s="19"/>
    </row>
    <row r="313" spans="1:11" ht="13.2">
      <c r="A313" s="22"/>
      <c r="B313" s="16"/>
      <c r="C313" s="23"/>
      <c r="D313" s="24"/>
      <c r="E313" s="25"/>
      <c r="F313" s="26"/>
      <c r="G313" s="27"/>
      <c r="H313" s="20"/>
      <c r="I313" s="21"/>
      <c r="J313" s="28"/>
      <c r="K313" s="19"/>
    </row>
    <row r="314" spans="1:11" ht="13.2">
      <c r="A314" s="22"/>
      <c r="B314" s="16"/>
      <c r="C314" s="23"/>
      <c r="D314" s="24"/>
      <c r="E314" s="25"/>
      <c r="F314" s="26"/>
      <c r="G314" s="27"/>
      <c r="H314" s="20"/>
      <c r="I314" s="21"/>
      <c r="J314" s="28"/>
      <c r="K314" s="19"/>
    </row>
    <row r="315" spans="1:11" ht="13.2">
      <c r="A315" s="22"/>
      <c r="B315" s="16"/>
      <c r="C315" s="23"/>
      <c r="D315" s="24"/>
      <c r="E315" s="25"/>
      <c r="F315" s="26"/>
      <c r="G315" s="27"/>
      <c r="H315" s="20"/>
      <c r="I315" s="21"/>
      <c r="J315" s="28"/>
      <c r="K315" s="19"/>
    </row>
    <row r="316" spans="1:11" ht="13.2">
      <c r="A316" s="22"/>
      <c r="B316" s="16"/>
      <c r="C316" s="23"/>
      <c r="D316" s="24"/>
      <c r="E316" s="25"/>
      <c r="F316" s="26"/>
      <c r="G316" s="27"/>
      <c r="H316" s="20"/>
      <c r="I316" s="21"/>
      <c r="J316" s="28"/>
      <c r="K316" s="19"/>
    </row>
    <row r="317" spans="1:11" ht="13.2">
      <c r="A317" s="22"/>
      <c r="B317" s="16"/>
      <c r="C317" s="23"/>
      <c r="D317" s="24"/>
      <c r="E317" s="25"/>
      <c r="F317" s="26"/>
      <c r="G317" s="27"/>
      <c r="H317" s="20"/>
      <c r="I317" s="21"/>
      <c r="J317" s="28"/>
      <c r="K317" s="19"/>
    </row>
    <row r="318" spans="1:11" ht="13.2">
      <c r="A318" s="22"/>
      <c r="B318" s="16"/>
      <c r="C318" s="23"/>
      <c r="D318" s="24"/>
      <c r="E318" s="25"/>
      <c r="F318" s="26"/>
      <c r="G318" s="27"/>
      <c r="H318" s="20"/>
      <c r="I318" s="21"/>
      <c r="J318" s="28"/>
      <c r="K318" s="19"/>
    </row>
    <row r="319" spans="1:11" ht="13.2">
      <c r="A319" s="22"/>
      <c r="B319" s="16"/>
      <c r="C319" s="23"/>
      <c r="D319" s="24"/>
      <c r="E319" s="25"/>
      <c r="F319" s="26"/>
      <c r="G319" s="27"/>
      <c r="H319" s="20"/>
      <c r="I319" s="21"/>
      <c r="J319" s="28"/>
      <c r="K319" s="19"/>
    </row>
    <row r="320" spans="1:11" ht="13.2">
      <c r="A320" s="22"/>
      <c r="B320" s="16"/>
      <c r="C320" s="23"/>
      <c r="D320" s="24"/>
      <c r="E320" s="25"/>
      <c r="F320" s="26"/>
      <c r="G320" s="27"/>
      <c r="H320" s="20"/>
      <c r="I320" s="21"/>
      <c r="J320" s="28"/>
      <c r="K320" s="19"/>
    </row>
    <row r="321" spans="1:11" ht="13.2">
      <c r="A321" s="22"/>
      <c r="B321" s="16"/>
      <c r="C321" s="23"/>
      <c r="D321" s="24"/>
      <c r="E321" s="25"/>
      <c r="F321" s="26"/>
      <c r="G321" s="27"/>
      <c r="H321" s="20"/>
      <c r="I321" s="21"/>
      <c r="J321" s="28"/>
      <c r="K321" s="19"/>
    </row>
    <row r="322" spans="1:11" ht="13.2">
      <c r="A322" s="22"/>
      <c r="B322" s="16"/>
      <c r="C322" s="23"/>
      <c r="D322" s="24"/>
      <c r="E322" s="25"/>
      <c r="F322" s="26"/>
      <c r="G322" s="27"/>
      <c r="H322" s="20"/>
      <c r="I322" s="21"/>
      <c r="J322" s="28"/>
      <c r="K322" s="19"/>
    </row>
    <row r="323" spans="1:11" ht="13.2">
      <c r="A323" s="22"/>
      <c r="B323" s="16"/>
      <c r="C323" s="23"/>
      <c r="D323" s="24"/>
      <c r="E323" s="25"/>
      <c r="F323" s="26"/>
      <c r="G323" s="27"/>
      <c r="H323" s="20"/>
      <c r="I323" s="21"/>
      <c r="J323" s="28"/>
      <c r="K323" s="19"/>
    </row>
    <row r="324" spans="1:11" ht="13.2">
      <c r="A324" s="22"/>
      <c r="B324" s="16"/>
      <c r="C324" s="23"/>
      <c r="D324" s="24"/>
      <c r="E324" s="25"/>
      <c r="F324" s="26"/>
      <c r="G324" s="27"/>
      <c r="H324" s="20"/>
      <c r="I324" s="21"/>
      <c r="J324" s="28"/>
      <c r="K324" s="19"/>
    </row>
    <row r="325" spans="1:11" ht="13.2">
      <c r="A325" s="22"/>
      <c r="B325" s="16"/>
      <c r="C325" s="23"/>
      <c r="D325" s="24"/>
      <c r="E325" s="25"/>
      <c r="F325" s="26"/>
      <c r="G325" s="27"/>
      <c r="H325" s="20"/>
      <c r="I325" s="21"/>
      <c r="J325" s="28"/>
      <c r="K325" s="19"/>
    </row>
    <row r="326" spans="1:11" ht="13.2">
      <c r="A326" s="22"/>
      <c r="B326" s="16"/>
      <c r="C326" s="23"/>
      <c r="D326" s="24"/>
      <c r="E326" s="25"/>
      <c r="F326" s="26"/>
      <c r="G326" s="27"/>
      <c r="H326" s="20"/>
      <c r="I326" s="21"/>
      <c r="J326" s="28"/>
      <c r="K326" s="19"/>
    </row>
    <row r="327" spans="1:11" ht="13.2">
      <c r="A327" s="22"/>
      <c r="B327" s="16"/>
      <c r="C327" s="23"/>
      <c r="D327" s="24"/>
      <c r="E327" s="25"/>
      <c r="F327" s="26"/>
      <c r="G327" s="27"/>
      <c r="H327" s="20"/>
      <c r="I327" s="21"/>
      <c r="J327" s="28"/>
      <c r="K327" s="19"/>
    </row>
    <row r="328" spans="1:11" ht="13.2">
      <c r="A328" s="22"/>
      <c r="B328" s="16"/>
      <c r="C328" s="23"/>
      <c r="D328" s="24"/>
      <c r="E328" s="25"/>
      <c r="F328" s="26"/>
      <c r="G328" s="27"/>
      <c r="H328" s="20"/>
      <c r="I328" s="21"/>
      <c r="J328" s="28"/>
      <c r="K328" s="19"/>
    </row>
    <row r="329" spans="1:11" ht="13.2">
      <c r="A329" s="22"/>
      <c r="B329" s="16"/>
      <c r="C329" s="23"/>
      <c r="D329" s="24"/>
      <c r="E329" s="25"/>
      <c r="F329" s="26"/>
      <c r="G329" s="27"/>
      <c r="H329" s="20"/>
      <c r="I329" s="21"/>
      <c r="J329" s="28"/>
      <c r="K329" s="19"/>
    </row>
    <row r="330" spans="1:11" ht="13.2">
      <c r="A330" s="22"/>
      <c r="B330" s="16"/>
      <c r="C330" s="23"/>
      <c r="D330" s="24"/>
      <c r="E330" s="25"/>
      <c r="F330" s="26"/>
      <c r="G330" s="27"/>
      <c r="H330" s="20"/>
      <c r="I330" s="21"/>
      <c r="J330" s="28"/>
      <c r="K330" s="19"/>
    </row>
    <row r="331" spans="1:11" ht="13.2">
      <c r="A331" s="22"/>
      <c r="B331" s="16"/>
      <c r="C331" s="23"/>
      <c r="D331" s="24"/>
      <c r="E331" s="25"/>
      <c r="F331" s="26"/>
      <c r="G331" s="27"/>
      <c r="H331" s="20"/>
      <c r="I331" s="21"/>
      <c r="J331" s="28"/>
      <c r="K331" s="19"/>
    </row>
    <row r="332" spans="1:11" ht="13.2">
      <c r="A332" s="22"/>
      <c r="B332" s="16"/>
      <c r="C332" s="23"/>
      <c r="D332" s="24"/>
      <c r="E332" s="25"/>
      <c r="F332" s="26"/>
      <c r="G332" s="27"/>
      <c r="H332" s="20"/>
      <c r="I332" s="21"/>
      <c r="J332" s="28"/>
      <c r="K332" s="19"/>
    </row>
    <row r="333" spans="1:11" ht="13.2">
      <c r="A333" s="22"/>
      <c r="B333" s="16"/>
      <c r="C333" s="23"/>
      <c r="D333" s="24"/>
      <c r="E333" s="25"/>
      <c r="F333" s="26"/>
      <c r="G333" s="27"/>
      <c r="H333" s="20"/>
      <c r="I333" s="21"/>
      <c r="J333" s="28"/>
      <c r="K333" s="19"/>
    </row>
    <row r="334" spans="1:11" ht="13.2">
      <c r="A334" s="22"/>
      <c r="B334" s="16"/>
      <c r="C334" s="23"/>
      <c r="D334" s="24"/>
      <c r="E334" s="25"/>
      <c r="F334" s="26"/>
      <c r="G334" s="27"/>
      <c r="H334" s="20"/>
      <c r="I334" s="21"/>
      <c r="J334" s="28"/>
      <c r="K334" s="19"/>
    </row>
    <row r="335" spans="1:11" ht="13.2">
      <c r="A335" s="22"/>
      <c r="B335" s="16"/>
      <c r="C335" s="23"/>
      <c r="D335" s="24"/>
      <c r="E335" s="25"/>
      <c r="F335" s="26"/>
      <c r="G335" s="27"/>
      <c r="H335" s="20"/>
      <c r="I335" s="21"/>
      <c r="J335" s="28"/>
      <c r="K335" s="19"/>
    </row>
    <row r="336" spans="1:11" ht="13.2">
      <c r="A336" s="22"/>
      <c r="B336" s="16"/>
      <c r="C336" s="23"/>
      <c r="D336" s="24"/>
      <c r="E336" s="25"/>
      <c r="F336" s="26"/>
      <c r="G336" s="27"/>
      <c r="H336" s="20"/>
      <c r="I336" s="21"/>
      <c r="J336" s="28"/>
      <c r="K336" s="19"/>
    </row>
    <row r="337" spans="1:11" ht="13.2">
      <c r="A337" s="22"/>
      <c r="B337" s="16"/>
      <c r="C337" s="23"/>
      <c r="D337" s="24"/>
      <c r="E337" s="25"/>
      <c r="F337" s="26"/>
      <c r="G337" s="27"/>
      <c r="H337" s="20"/>
      <c r="I337" s="21"/>
      <c r="J337" s="28"/>
      <c r="K337" s="19"/>
    </row>
    <row r="338" spans="1:11" ht="13.2">
      <c r="A338" s="22"/>
      <c r="B338" s="16"/>
      <c r="C338" s="23"/>
      <c r="D338" s="24"/>
      <c r="E338" s="25"/>
      <c r="F338" s="26"/>
      <c r="G338" s="27"/>
      <c r="H338" s="20"/>
      <c r="I338" s="21"/>
      <c r="J338" s="28"/>
      <c r="K338" s="19"/>
    </row>
    <row r="339" spans="1:11" ht="13.2">
      <c r="A339" s="22"/>
      <c r="B339" s="16"/>
      <c r="C339" s="23"/>
      <c r="D339" s="24"/>
      <c r="E339" s="25"/>
      <c r="F339" s="26"/>
      <c r="G339" s="27"/>
      <c r="H339" s="20"/>
      <c r="I339" s="21"/>
      <c r="J339" s="28"/>
      <c r="K339" s="19"/>
    </row>
    <row r="340" spans="1:11" ht="13.2">
      <c r="A340" s="22"/>
      <c r="B340" s="16"/>
      <c r="C340" s="23"/>
      <c r="D340" s="24"/>
      <c r="E340" s="25"/>
      <c r="F340" s="26"/>
      <c r="G340" s="27"/>
      <c r="H340" s="20"/>
      <c r="I340" s="21"/>
      <c r="J340" s="28"/>
      <c r="K340" s="19"/>
    </row>
    <row r="341" spans="1:11" ht="13.2">
      <c r="A341" s="22"/>
      <c r="B341" s="16"/>
      <c r="C341" s="23"/>
      <c r="D341" s="24"/>
      <c r="E341" s="25"/>
      <c r="F341" s="26"/>
      <c r="G341" s="27"/>
      <c r="H341" s="20"/>
      <c r="I341" s="21"/>
      <c r="J341" s="28"/>
      <c r="K341" s="19"/>
    </row>
    <row r="342" spans="1:11" ht="13.2">
      <c r="A342" s="22"/>
      <c r="B342" s="16"/>
      <c r="C342" s="23"/>
      <c r="D342" s="24"/>
      <c r="E342" s="25"/>
      <c r="F342" s="26"/>
      <c r="G342" s="27"/>
      <c r="H342" s="20"/>
      <c r="I342" s="21"/>
      <c r="J342" s="28"/>
      <c r="K342" s="19"/>
    </row>
    <row r="343" spans="1:11" ht="13.2">
      <c r="A343" s="22"/>
      <c r="B343" s="16"/>
      <c r="C343" s="23"/>
      <c r="D343" s="24"/>
      <c r="E343" s="25"/>
      <c r="F343" s="26"/>
      <c r="G343" s="27"/>
      <c r="H343" s="20"/>
      <c r="I343" s="21"/>
      <c r="J343" s="28"/>
      <c r="K343" s="19"/>
    </row>
    <row r="344" spans="1:11" ht="13.2">
      <c r="A344" s="22"/>
      <c r="B344" s="16"/>
      <c r="C344" s="23"/>
      <c r="D344" s="24"/>
      <c r="E344" s="25"/>
      <c r="F344" s="26"/>
      <c r="G344" s="27"/>
      <c r="H344" s="20"/>
      <c r="I344" s="21"/>
      <c r="J344" s="28"/>
      <c r="K344" s="19"/>
    </row>
    <row r="345" spans="1:11" ht="13.2">
      <c r="A345" s="22"/>
      <c r="B345" s="16"/>
      <c r="C345" s="23"/>
      <c r="D345" s="24"/>
      <c r="E345" s="25"/>
      <c r="F345" s="26"/>
      <c r="G345" s="27"/>
      <c r="H345" s="20"/>
      <c r="I345" s="21"/>
      <c r="J345" s="28"/>
      <c r="K345" s="19"/>
    </row>
    <row r="346" spans="1:11" ht="13.2">
      <c r="A346" s="22"/>
      <c r="B346" s="16"/>
      <c r="C346" s="23"/>
      <c r="D346" s="24"/>
      <c r="E346" s="25"/>
      <c r="F346" s="26"/>
      <c r="G346" s="27"/>
      <c r="H346" s="20"/>
      <c r="I346" s="21"/>
      <c r="J346" s="28"/>
      <c r="K346" s="19"/>
    </row>
    <row r="347" spans="1:11" ht="13.2">
      <c r="A347" s="22"/>
      <c r="B347" s="16"/>
      <c r="C347" s="23"/>
      <c r="D347" s="24"/>
      <c r="E347" s="25"/>
      <c r="F347" s="26"/>
      <c r="G347" s="27"/>
      <c r="H347" s="20"/>
      <c r="I347" s="21"/>
      <c r="J347" s="28"/>
      <c r="K347" s="19"/>
    </row>
    <row r="348" spans="1:11" ht="13.2">
      <c r="A348" s="22"/>
      <c r="B348" s="16"/>
      <c r="C348" s="23"/>
      <c r="D348" s="24"/>
      <c r="E348" s="25"/>
      <c r="F348" s="26"/>
      <c r="G348" s="27"/>
      <c r="H348" s="20"/>
      <c r="I348" s="21"/>
      <c r="J348" s="28"/>
      <c r="K348" s="19"/>
    </row>
    <row r="349" spans="1:11" ht="13.2">
      <c r="A349" s="22"/>
      <c r="B349" s="16"/>
      <c r="C349" s="23"/>
      <c r="D349" s="24"/>
      <c r="E349" s="25"/>
      <c r="F349" s="26"/>
      <c r="G349" s="27"/>
      <c r="H349" s="20"/>
      <c r="I349" s="21"/>
      <c r="J349" s="28"/>
      <c r="K349" s="19"/>
    </row>
    <row r="350" spans="1:11" ht="13.2">
      <c r="A350" s="22"/>
      <c r="B350" s="16"/>
      <c r="C350" s="23"/>
      <c r="D350" s="24"/>
      <c r="E350" s="25"/>
      <c r="F350" s="26"/>
      <c r="G350" s="27"/>
      <c r="H350" s="20"/>
      <c r="I350" s="21"/>
      <c r="J350" s="28"/>
      <c r="K350" s="19"/>
    </row>
    <row r="351" spans="1:11" ht="13.2">
      <c r="A351" s="22"/>
      <c r="B351" s="16"/>
      <c r="C351" s="23"/>
      <c r="D351" s="24"/>
      <c r="E351" s="25"/>
      <c r="F351" s="26"/>
      <c r="G351" s="27"/>
      <c r="H351" s="20"/>
      <c r="I351" s="21"/>
      <c r="J351" s="28"/>
      <c r="K351" s="19"/>
    </row>
    <row r="352" spans="1:11" ht="13.2">
      <c r="A352" s="22"/>
      <c r="B352" s="16"/>
      <c r="C352" s="23"/>
      <c r="D352" s="24"/>
      <c r="E352" s="25"/>
      <c r="F352" s="26"/>
      <c r="G352" s="27"/>
      <c r="H352" s="20"/>
      <c r="I352" s="21"/>
      <c r="J352" s="28"/>
      <c r="K352" s="19"/>
    </row>
    <row r="353" spans="1:11" ht="13.2">
      <c r="A353" s="22"/>
      <c r="B353" s="16"/>
      <c r="C353" s="23"/>
      <c r="D353" s="24"/>
      <c r="E353" s="25"/>
      <c r="F353" s="26"/>
      <c r="G353" s="27"/>
      <c r="H353" s="20"/>
      <c r="I353" s="21"/>
      <c r="J353" s="28"/>
      <c r="K353" s="19"/>
    </row>
    <row r="354" spans="1:11" ht="13.2">
      <c r="A354" s="22"/>
      <c r="B354" s="16"/>
      <c r="C354" s="23"/>
      <c r="D354" s="24"/>
      <c r="E354" s="25"/>
      <c r="F354" s="26"/>
      <c r="G354" s="27"/>
      <c r="H354" s="20"/>
      <c r="I354" s="21"/>
      <c r="J354" s="28"/>
      <c r="K354" s="19"/>
    </row>
    <row r="355" spans="1:11" ht="13.2">
      <c r="A355" s="22"/>
      <c r="B355" s="16"/>
      <c r="C355" s="23"/>
      <c r="D355" s="24"/>
      <c r="E355" s="25"/>
      <c r="F355" s="26"/>
      <c r="G355" s="27"/>
      <c r="H355" s="20"/>
      <c r="I355" s="21"/>
      <c r="J355" s="28"/>
      <c r="K355" s="19"/>
    </row>
    <row r="356" spans="1:11" ht="13.2">
      <c r="A356" s="22"/>
      <c r="B356" s="16"/>
      <c r="C356" s="23"/>
      <c r="D356" s="24"/>
      <c r="E356" s="25"/>
      <c r="F356" s="26"/>
      <c r="G356" s="27"/>
      <c r="H356" s="20"/>
      <c r="I356" s="21"/>
      <c r="J356" s="28"/>
      <c r="K356" s="19"/>
    </row>
    <row r="357" spans="1:11" ht="13.2">
      <c r="A357" s="22"/>
      <c r="B357" s="16"/>
      <c r="C357" s="23"/>
      <c r="D357" s="24"/>
      <c r="E357" s="25"/>
      <c r="F357" s="26"/>
      <c r="G357" s="27"/>
      <c r="H357" s="20"/>
      <c r="I357" s="21"/>
      <c r="J357" s="28"/>
      <c r="K357" s="19"/>
    </row>
    <row r="358" spans="1:11" ht="13.2">
      <c r="A358" s="22"/>
      <c r="B358" s="16"/>
      <c r="C358" s="23"/>
      <c r="D358" s="24"/>
      <c r="E358" s="25"/>
      <c r="F358" s="26"/>
      <c r="G358" s="27"/>
      <c r="H358" s="20"/>
      <c r="I358" s="21"/>
      <c r="J358" s="28"/>
      <c r="K358" s="19"/>
    </row>
    <row r="359" spans="1:11" ht="13.2">
      <c r="A359" s="22"/>
      <c r="B359" s="16"/>
      <c r="C359" s="23"/>
      <c r="D359" s="24"/>
      <c r="E359" s="25"/>
      <c r="F359" s="26"/>
      <c r="G359" s="27"/>
      <c r="H359" s="20"/>
      <c r="I359" s="21"/>
      <c r="J359" s="28"/>
      <c r="K359" s="19"/>
    </row>
    <row r="360" spans="1:11" ht="13.2">
      <c r="A360" s="22"/>
      <c r="B360" s="16"/>
      <c r="C360" s="23"/>
      <c r="D360" s="24"/>
      <c r="E360" s="25"/>
      <c r="F360" s="26"/>
      <c r="G360" s="27"/>
      <c r="H360" s="20"/>
      <c r="I360" s="21"/>
      <c r="J360" s="28"/>
      <c r="K360" s="19"/>
    </row>
    <row r="361" spans="1:11" ht="13.2">
      <c r="A361" s="22"/>
      <c r="B361" s="16"/>
      <c r="C361" s="23"/>
      <c r="D361" s="24"/>
      <c r="E361" s="25"/>
      <c r="F361" s="26"/>
      <c r="G361" s="27"/>
      <c r="H361" s="20"/>
      <c r="I361" s="21"/>
      <c r="J361" s="28"/>
      <c r="K361" s="19"/>
    </row>
    <row r="362" spans="1:11" ht="13.2">
      <c r="A362" s="22"/>
      <c r="B362" s="16"/>
      <c r="C362" s="23"/>
      <c r="D362" s="24"/>
      <c r="E362" s="25"/>
      <c r="F362" s="26"/>
      <c r="G362" s="27"/>
      <c r="H362" s="20"/>
      <c r="I362" s="21"/>
      <c r="J362" s="28"/>
      <c r="K362" s="19"/>
    </row>
    <row r="363" spans="1:11" ht="13.2">
      <c r="A363" s="22"/>
      <c r="B363" s="16"/>
      <c r="C363" s="23"/>
      <c r="D363" s="24"/>
      <c r="E363" s="25"/>
      <c r="F363" s="26"/>
      <c r="G363" s="27"/>
      <c r="H363" s="20"/>
      <c r="I363" s="21"/>
      <c r="J363" s="28"/>
      <c r="K363" s="19"/>
    </row>
    <row r="364" spans="1:11" ht="13.2">
      <c r="A364" s="22"/>
      <c r="B364" s="16"/>
      <c r="C364" s="23"/>
      <c r="D364" s="24"/>
      <c r="E364" s="25"/>
      <c r="F364" s="26"/>
      <c r="G364" s="27"/>
      <c r="H364" s="20"/>
      <c r="I364" s="21"/>
      <c r="J364" s="28"/>
      <c r="K364" s="19"/>
    </row>
    <row r="365" spans="1:11" ht="13.2">
      <c r="A365" s="22"/>
      <c r="B365" s="16"/>
      <c r="C365" s="23"/>
      <c r="D365" s="24"/>
      <c r="E365" s="25"/>
      <c r="F365" s="26"/>
      <c r="G365" s="27"/>
      <c r="H365" s="20"/>
      <c r="I365" s="21"/>
      <c r="J365" s="28"/>
      <c r="K365" s="19"/>
    </row>
    <row r="366" spans="1:11" ht="13.2">
      <c r="A366" s="22"/>
      <c r="B366" s="16"/>
      <c r="C366" s="23"/>
      <c r="D366" s="24"/>
      <c r="E366" s="25"/>
      <c r="F366" s="26"/>
      <c r="G366" s="27"/>
      <c r="H366" s="20"/>
      <c r="I366" s="21"/>
      <c r="J366" s="28"/>
      <c r="K366" s="19"/>
    </row>
    <row r="367" spans="1:11" ht="13.2">
      <c r="A367" s="22"/>
      <c r="B367" s="16"/>
      <c r="C367" s="23"/>
      <c r="D367" s="24"/>
      <c r="E367" s="25"/>
      <c r="F367" s="26"/>
      <c r="G367" s="27"/>
      <c r="H367" s="20"/>
      <c r="I367" s="21"/>
      <c r="J367" s="28"/>
      <c r="K367" s="19"/>
    </row>
    <row r="368" spans="1:11" ht="13.2">
      <c r="A368" s="22"/>
      <c r="B368" s="16"/>
      <c r="C368" s="23"/>
      <c r="D368" s="24"/>
      <c r="E368" s="25"/>
      <c r="F368" s="26"/>
      <c r="G368" s="27"/>
      <c r="H368" s="20"/>
      <c r="I368" s="21"/>
      <c r="J368" s="28"/>
      <c r="K368" s="19"/>
    </row>
    <row r="369" spans="1:11" ht="13.2">
      <c r="A369" s="22"/>
      <c r="B369" s="16"/>
      <c r="C369" s="23"/>
      <c r="D369" s="24"/>
      <c r="E369" s="25"/>
      <c r="F369" s="26"/>
      <c r="G369" s="27"/>
      <c r="H369" s="20"/>
      <c r="I369" s="21"/>
      <c r="J369" s="28"/>
      <c r="K369" s="19"/>
    </row>
    <row r="370" spans="1:11" ht="13.2">
      <c r="A370" s="22"/>
      <c r="B370" s="16"/>
      <c r="C370" s="23"/>
      <c r="D370" s="24"/>
      <c r="E370" s="25"/>
      <c r="F370" s="26"/>
      <c r="G370" s="27"/>
      <c r="H370" s="20"/>
      <c r="I370" s="21"/>
      <c r="J370" s="28"/>
      <c r="K370" s="19"/>
    </row>
    <row r="371" spans="1:11" ht="13.2">
      <c r="A371" s="22"/>
      <c r="B371" s="16"/>
      <c r="C371" s="23"/>
      <c r="D371" s="24"/>
      <c r="E371" s="25"/>
      <c r="F371" s="26"/>
      <c r="G371" s="27"/>
      <c r="H371" s="20"/>
      <c r="I371" s="21"/>
      <c r="J371" s="28"/>
      <c r="K371" s="19"/>
    </row>
    <row r="372" spans="1:11" ht="13.2">
      <c r="A372" s="22"/>
      <c r="B372" s="16"/>
      <c r="C372" s="23"/>
      <c r="D372" s="24"/>
      <c r="E372" s="25"/>
      <c r="F372" s="26"/>
      <c r="G372" s="27"/>
      <c r="H372" s="20"/>
      <c r="I372" s="21"/>
      <c r="J372" s="28"/>
      <c r="K372" s="19"/>
    </row>
    <row r="373" spans="1:11" ht="13.2">
      <c r="A373" s="22"/>
      <c r="B373" s="16"/>
      <c r="C373" s="23"/>
      <c r="D373" s="24"/>
      <c r="E373" s="25"/>
      <c r="F373" s="26"/>
      <c r="G373" s="27"/>
      <c r="H373" s="20"/>
      <c r="I373" s="21"/>
      <c r="J373" s="28"/>
      <c r="K373" s="19"/>
    </row>
    <row r="374" spans="1:11" ht="13.2">
      <c r="A374" s="22"/>
      <c r="B374" s="16"/>
      <c r="C374" s="23"/>
      <c r="D374" s="24"/>
      <c r="E374" s="25"/>
      <c r="F374" s="26"/>
      <c r="G374" s="27"/>
      <c r="H374" s="20"/>
      <c r="I374" s="21"/>
      <c r="J374" s="28"/>
      <c r="K374" s="19"/>
    </row>
    <row r="375" spans="1:11" ht="13.2">
      <c r="A375" s="22"/>
      <c r="B375" s="16"/>
      <c r="C375" s="23"/>
      <c r="D375" s="24"/>
      <c r="E375" s="25"/>
      <c r="F375" s="26"/>
      <c r="G375" s="27"/>
      <c r="H375" s="20"/>
      <c r="I375" s="21"/>
      <c r="J375" s="28"/>
      <c r="K375" s="19"/>
    </row>
    <row r="376" spans="1:11" ht="13.2">
      <c r="A376" s="22"/>
      <c r="B376" s="16"/>
      <c r="C376" s="23"/>
      <c r="D376" s="24"/>
      <c r="E376" s="25"/>
      <c r="F376" s="26"/>
      <c r="G376" s="27"/>
      <c r="H376" s="20"/>
      <c r="I376" s="21"/>
      <c r="J376" s="28"/>
      <c r="K376" s="19"/>
    </row>
    <row r="377" spans="1:11" ht="13.2">
      <c r="A377" s="22"/>
      <c r="B377" s="16"/>
      <c r="C377" s="23"/>
      <c r="D377" s="24"/>
      <c r="E377" s="25"/>
      <c r="F377" s="26"/>
      <c r="G377" s="27"/>
      <c r="H377" s="20"/>
      <c r="I377" s="21"/>
      <c r="J377" s="28"/>
      <c r="K377" s="19"/>
    </row>
    <row r="378" spans="1:11" ht="13.2">
      <c r="A378" s="22"/>
      <c r="B378" s="16"/>
      <c r="C378" s="23"/>
      <c r="D378" s="24"/>
      <c r="E378" s="25"/>
      <c r="F378" s="26"/>
      <c r="G378" s="27"/>
      <c r="H378" s="20"/>
      <c r="I378" s="21"/>
      <c r="J378" s="28"/>
      <c r="K378" s="19"/>
    </row>
    <row r="379" spans="1:11" ht="13.2">
      <c r="A379" s="22"/>
      <c r="B379" s="16"/>
      <c r="C379" s="23"/>
      <c r="D379" s="24"/>
      <c r="E379" s="25"/>
      <c r="F379" s="26"/>
      <c r="G379" s="27"/>
      <c r="H379" s="20"/>
      <c r="I379" s="21"/>
      <c r="J379" s="28"/>
      <c r="K379" s="19"/>
    </row>
    <row r="380" spans="1:11" ht="13.2">
      <c r="A380" s="22"/>
      <c r="B380" s="16"/>
      <c r="C380" s="23"/>
      <c r="D380" s="24"/>
      <c r="E380" s="25"/>
      <c r="F380" s="26"/>
      <c r="G380" s="27"/>
      <c r="H380" s="20"/>
      <c r="I380" s="21"/>
      <c r="J380" s="28"/>
      <c r="K380" s="19"/>
    </row>
    <row r="381" spans="1:11" ht="13.2">
      <c r="A381" s="22"/>
      <c r="B381" s="16"/>
      <c r="C381" s="23"/>
      <c r="D381" s="24"/>
      <c r="E381" s="25"/>
      <c r="F381" s="26"/>
      <c r="G381" s="27"/>
      <c r="H381" s="20"/>
      <c r="I381" s="21"/>
      <c r="J381" s="28"/>
      <c r="K381" s="19"/>
    </row>
    <row r="382" spans="1:11" ht="13.2">
      <c r="A382" s="22"/>
      <c r="B382" s="16"/>
      <c r="C382" s="23"/>
      <c r="D382" s="24"/>
      <c r="E382" s="25"/>
      <c r="F382" s="26"/>
      <c r="G382" s="27"/>
      <c r="H382" s="20"/>
      <c r="I382" s="21"/>
      <c r="J382" s="28"/>
      <c r="K382" s="19"/>
    </row>
    <row r="383" spans="1:11" ht="13.2">
      <c r="A383" s="22"/>
      <c r="B383" s="16"/>
      <c r="C383" s="23"/>
      <c r="D383" s="24"/>
      <c r="E383" s="25"/>
      <c r="F383" s="26"/>
      <c r="G383" s="27"/>
      <c r="H383" s="20"/>
      <c r="I383" s="21"/>
      <c r="J383" s="28"/>
      <c r="K383" s="19"/>
    </row>
    <row r="384" spans="1:11" ht="13.2">
      <c r="A384" s="22"/>
      <c r="B384" s="16"/>
      <c r="C384" s="23"/>
      <c r="D384" s="24"/>
      <c r="E384" s="25"/>
      <c r="F384" s="26"/>
      <c r="G384" s="27"/>
      <c r="H384" s="20"/>
      <c r="I384" s="21"/>
      <c r="J384" s="28"/>
      <c r="K384" s="19"/>
    </row>
    <row r="385" spans="1:11" ht="13.2">
      <c r="A385" s="22"/>
      <c r="B385" s="16"/>
      <c r="C385" s="23"/>
      <c r="D385" s="24"/>
      <c r="E385" s="25"/>
      <c r="F385" s="26"/>
      <c r="G385" s="27"/>
      <c r="H385" s="20"/>
      <c r="I385" s="21"/>
      <c r="J385" s="28"/>
      <c r="K385" s="19"/>
    </row>
    <row r="386" spans="1:11" ht="13.2">
      <c r="A386" s="22"/>
      <c r="B386" s="16"/>
      <c r="C386" s="23"/>
      <c r="D386" s="24"/>
      <c r="E386" s="25"/>
      <c r="F386" s="26"/>
      <c r="G386" s="27"/>
      <c r="H386" s="20"/>
      <c r="I386" s="21"/>
      <c r="J386" s="28"/>
      <c r="K386" s="19"/>
    </row>
    <row r="387" spans="1:11" ht="13.2">
      <c r="A387" s="22"/>
      <c r="B387" s="16"/>
      <c r="C387" s="23"/>
      <c r="D387" s="24"/>
      <c r="E387" s="25"/>
      <c r="F387" s="26"/>
      <c r="G387" s="27"/>
      <c r="H387" s="20"/>
      <c r="I387" s="21"/>
      <c r="J387" s="28"/>
      <c r="K387" s="19"/>
    </row>
    <row r="388" spans="1:11" ht="13.2">
      <c r="A388" s="22"/>
      <c r="B388" s="16"/>
      <c r="C388" s="23"/>
      <c r="D388" s="24"/>
      <c r="E388" s="25"/>
      <c r="F388" s="26"/>
      <c r="G388" s="27"/>
      <c r="H388" s="20"/>
      <c r="I388" s="21"/>
      <c r="J388" s="28"/>
      <c r="K388" s="19"/>
    </row>
    <row r="389" spans="1:11" ht="13.2">
      <c r="A389" s="22"/>
      <c r="B389" s="16"/>
      <c r="C389" s="23"/>
      <c r="D389" s="24"/>
      <c r="E389" s="25"/>
      <c r="F389" s="26"/>
      <c r="G389" s="27"/>
      <c r="H389" s="20"/>
      <c r="I389" s="21"/>
      <c r="J389" s="28"/>
      <c r="K389" s="19"/>
    </row>
    <row r="390" spans="1:11" ht="13.2">
      <c r="A390" s="22"/>
      <c r="B390" s="16"/>
      <c r="C390" s="23"/>
      <c r="D390" s="24"/>
      <c r="E390" s="25"/>
      <c r="F390" s="26"/>
      <c r="G390" s="27"/>
      <c r="H390" s="20"/>
      <c r="I390" s="21"/>
      <c r="J390" s="28"/>
      <c r="K390" s="19"/>
    </row>
    <row r="391" spans="1:11" ht="13.2">
      <c r="A391" s="22"/>
      <c r="B391" s="16"/>
      <c r="C391" s="23"/>
      <c r="D391" s="24"/>
      <c r="E391" s="25"/>
      <c r="F391" s="26"/>
      <c r="G391" s="27"/>
      <c r="H391" s="20"/>
      <c r="I391" s="21"/>
      <c r="J391" s="28"/>
      <c r="K391" s="19"/>
    </row>
    <row r="392" spans="1:11" ht="13.2">
      <c r="A392" s="22"/>
      <c r="B392" s="16"/>
      <c r="C392" s="23"/>
      <c r="D392" s="24"/>
      <c r="E392" s="25"/>
      <c r="F392" s="26"/>
      <c r="G392" s="27"/>
      <c r="H392" s="20"/>
      <c r="I392" s="21"/>
      <c r="J392" s="28"/>
      <c r="K392" s="19"/>
    </row>
    <row r="393" spans="1:11" ht="13.2">
      <c r="A393" s="22"/>
      <c r="B393" s="16"/>
      <c r="C393" s="23"/>
      <c r="D393" s="24"/>
      <c r="E393" s="25"/>
      <c r="F393" s="26"/>
      <c r="G393" s="27"/>
      <c r="H393" s="20"/>
      <c r="I393" s="21"/>
      <c r="J393" s="28"/>
      <c r="K393" s="19"/>
    </row>
    <row r="394" spans="1:11" ht="13.2">
      <c r="A394" s="22"/>
      <c r="B394" s="16"/>
      <c r="C394" s="23"/>
      <c r="D394" s="24"/>
      <c r="E394" s="25"/>
      <c r="F394" s="26"/>
      <c r="G394" s="27"/>
      <c r="H394" s="20"/>
      <c r="I394" s="21"/>
      <c r="J394" s="28"/>
      <c r="K394" s="19"/>
    </row>
    <row r="395" spans="1:11" ht="13.2">
      <c r="A395" s="22"/>
      <c r="B395" s="16"/>
      <c r="C395" s="23"/>
      <c r="D395" s="24"/>
      <c r="E395" s="25"/>
      <c r="F395" s="26"/>
      <c r="G395" s="27"/>
      <c r="H395" s="20"/>
      <c r="I395" s="21"/>
      <c r="J395" s="28"/>
      <c r="K395" s="19"/>
    </row>
    <row r="396" spans="1:11" ht="13.2">
      <c r="A396" s="22"/>
      <c r="B396" s="16"/>
      <c r="C396" s="23"/>
      <c r="D396" s="24"/>
      <c r="E396" s="25"/>
      <c r="F396" s="26"/>
      <c r="G396" s="27"/>
      <c r="H396" s="20"/>
      <c r="I396" s="21"/>
      <c r="J396" s="28"/>
      <c r="K396" s="19"/>
    </row>
    <row r="397" spans="1:11" ht="13.2">
      <c r="A397" s="22"/>
      <c r="B397" s="16"/>
      <c r="C397" s="23"/>
      <c r="D397" s="24"/>
      <c r="E397" s="25"/>
      <c r="F397" s="26"/>
      <c r="G397" s="27"/>
      <c r="H397" s="20"/>
      <c r="I397" s="21"/>
      <c r="J397" s="28"/>
      <c r="K397" s="19"/>
    </row>
    <row r="398" spans="1:11" ht="13.2">
      <c r="A398" s="22"/>
      <c r="B398" s="16"/>
      <c r="C398" s="23"/>
      <c r="D398" s="24"/>
      <c r="E398" s="25"/>
      <c r="F398" s="26"/>
      <c r="G398" s="27"/>
      <c r="H398" s="20"/>
      <c r="I398" s="21"/>
      <c r="J398" s="28"/>
      <c r="K398" s="19"/>
    </row>
    <row r="399" spans="1:11" ht="13.2">
      <c r="A399" s="22"/>
      <c r="B399" s="16"/>
      <c r="C399" s="23"/>
      <c r="D399" s="24"/>
      <c r="E399" s="25"/>
      <c r="F399" s="26"/>
      <c r="G399" s="27"/>
      <c r="H399" s="20"/>
      <c r="I399" s="21"/>
      <c r="J399" s="28"/>
      <c r="K399" s="19"/>
    </row>
    <row r="400" spans="1:11" ht="13.2">
      <c r="A400" s="22"/>
      <c r="B400" s="16"/>
      <c r="C400" s="23"/>
      <c r="D400" s="24"/>
      <c r="E400" s="25"/>
      <c r="F400" s="26"/>
      <c r="G400" s="27"/>
      <c r="H400" s="20"/>
      <c r="I400" s="21"/>
      <c r="J400" s="28"/>
      <c r="K400" s="19"/>
    </row>
    <row r="401" spans="1:11" ht="13.2">
      <c r="A401" s="22"/>
      <c r="B401" s="16"/>
      <c r="C401" s="23"/>
      <c r="D401" s="24"/>
      <c r="E401" s="25"/>
      <c r="F401" s="26"/>
      <c r="G401" s="27"/>
      <c r="H401" s="20"/>
      <c r="I401" s="21"/>
      <c r="J401" s="28"/>
      <c r="K401" s="19"/>
    </row>
    <row r="402" spans="1:11" ht="13.2">
      <c r="A402" s="22"/>
      <c r="B402" s="16"/>
      <c r="C402" s="23"/>
      <c r="D402" s="24"/>
      <c r="E402" s="25"/>
      <c r="F402" s="26"/>
      <c r="G402" s="27"/>
      <c r="H402" s="20"/>
      <c r="I402" s="21"/>
      <c r="J402" s="28"/>
      <c r="K402" s="19"/>
    </row>
    <row r="403" spans="1:11" ht="13.2">
      <c r="A403" s="22"/>
      <c r="B403" s="16"/>
      <c r="C403" s="23"/>
      <c r="D403" s="24"/>
      <c r="E403" s="25"/>
      <c r="F403" s="26"/>
      <c r="G403" s="27"/>
      <c r="H403" s="20"/>
      <c r="I403" s="21"/>
      <c r="J403" s="28"/>
      <c r="K403" s="19"/>
    </row>
    <row r="404" spans="1:11" ht="13.2">
      <c r="A404" s="22"/>
      <c r="B404" s="16"/>
      <c r="C404" s="23"/>
      <c r="D404" s="24"/>
      <c r="E404" s="25"/>
      <c r="F404" s="26"/>
      <c r="G404" s="27"/>
      <c r="H404" s="20"/>
      <c r="I404" s="21"/>
      <c r="J404" s="28"/>
      <c r="K404" s="19"/>
    </row>
    <row r="405" spans="1:11" ht="13.2">
      <c r="A405" s="22"/>
      <c r="B405" s="16"/>
      <c r="C405" s="23"/>
      <c r="D405" s="24"/>
      <c r="E405" s="25"/>
      <c r="F405" s="26"/>
      <c r="G405" s="27"/>
      <c r="H405" s="20"/>
      <c r="I405" s="21"/>
      <c r="J405" s="28"/>
      <c r="K405" s="19"/>
    </row>
    <row r="406" spans="1:11" ht="13.2">
      <c r="A406" s="22"/>
      <c r="B406" s="16"/>
      <c r="C406" s="23"/>
      <c r="D406" s="24"/>
      <c r="E406" s="25"/>
      <c r="F406" s="26"/>
      <c r="G406" s="27"/>
      <c r="H406" s="20"/>
      <c r="I406" s="21"/>
      <c r="J406" s="28"/>
      <c r="K406" s="19"/>
    </row>
    <row r="407" spans="1:11" ht="13.2">
      <c r="A407" s="22"/>
      <c r="B407" s="16"/>
      <c r="C407" s="23"/>
      <c r="D407" s="24"/>
      <c r="E407" s="25"/>
      <c r="F407" s="26"/>
      <c r="G407" s="27"/>
      <c r="H407" s="20"/>
      <c r="I407" s="21"/>
      <c r="J407" s="28"/>
      <c r="K407" s="19"/>
    </row>
    <row r="408" spans="1:11" ht="13.2">
      <c r="A408" s="22"/>
      <c r="B408" s="16"/>
      <c r="C408" s="23"/>
      <c r="D408" s="24"/>
      <c r="E408" s="25"/>
      <c r="F408" s="26"/>
      <c r="G408" s="27"/>
      <c r="H408" s="20"/>
      <c r="I408" s="21"/>
      <c r="J408" s="28"/>
      <c r="K408" s="19"/>
    </row>
    <row r="409" spans="1:11" ht="13.2">
      <c r="A409" s="22"/>
      <c r="B409" s="16"/>
      <c r="C409" s="23"/>
      <c r="D409" s="24"/>
      <c r="E409" s="25"/>
      <c r="F409" s="26"/>
      <c r="G409" s="27"/>
      <c r="H409" s="20"/>
      <c r="I409" s="21"/>
      <c r="J409" s="28"/>
      <c r="K409" s="19"/>
    </row>
    <row r="410" spans="1:11" ht="13.2">
      <c r="A410" s="22"/>
      <c r="B410" s="16"/>
      <c r="C410" s="23"/>
      <c r="D410" s="24"/>
      <c r="E410" s="25"/>
      <c r="F410" s="26"/>
      <c r="G410" s="27"/>
      <c r="H410" s="20"/>
      <c r="I410" s="21"/>
      <c r="J410" s="28"/>
      <c r="K410" s="19"/>
    </row>
    <row r="411" spans="1:11" ht="13.2">
      <c r="A411" s="22"/>
      <c r="B411" s="16"/>
      <c r="C411" s="23"/>
      <c r="D411" s="24"/>
      <c r="E411" s="25"/>
      <c r="F411" s="26"/>
      <c r="G411" s="27"/>
      <c r="H411" s="20"/>
      <c r="I411" s="21"/>
      <c r="J411" s="28"/>
      <c r="K411" s="19"/>
    </row>
    <row r="412" spans="1:11" ht="13.2">
      <c r="A412" s="22"/>
      <c r="B412" s="16"/>
      <c r="C412" s="23"/>
      <c r="D412" s="24"/>
      <c r="E412" s="25"/>
      <c r="F412" s="26"/>
      <c r="G412" s="27"/>
      <c r="H412" s="20"/>
      <c r="I412" s="21"/>
      <c r="J412" s="28"/>
      <c r="K412" s="19"/>
    </row>
    <row r="413" spans="1:11" ht="13.2">
      <c r="A413" s="22"/>
      <c r="B413" s="16"/>
      <c r="C413" s="23"/>
      <c r="D413" s="24"/>
      <c r="E413" s="25"/>
      <c r="F413" s="26"/>
      <c r="G413" s="27"/>
      <c r="H413" s="20"/>
      <c r="I413" s="21"/>
      <c r="J413" s="28"/>
      <c r="K413" s="19"/>
    </row>
    <row r="414" spans="1:11" ht="13.2">
      <c r="A414" s="22"/>
      <c r="B414" s="16"/>
      <c r="C414" s="23"/>
      <c r="D414" s="24"/>
      <c r="E414" s="25"/>
      <c r="F414" s="26"/>
      <c r="G414" s="27"/>
      <c r="H414" s="20"/>
      <c r="I414" s="21"/>
      <c r="J414" s="28"/>
      <c r="K414" s="19"/>
    </row>
    <row r="415" spans="1:11" ht="13.2">
      <c r="A415" s="22"/>
      <c r="B415" s="16"/>
      <c r="C415" s="23"/>
      <c r="D415" s="24"/>
      <c r="E415" s="25"/>
      <c r="F415" s="26"/>
      <c r="G415" s="27"/>
      <c r="H415" s="20"/>
      <c r="I415" s="21"/>
      <c r="J415" s="28"/>
      <c r="K415" s="19"/>
    </row>
    <row r="416" spans="1:11" ht="13.2">
      <c r="A416" s="22"/>
      <c r="B416" s="16"/>
      <c r="C416" s="23"/>
      <c r="D416" s="24"/>
      <c r="E416" s="25"/>
      <c r="F416" s="26"/>
      <c r="G416" s="27"/>
      <c r="H416" s="20"/>
      <c r="I416" s="21"/>
      <c r="J416" s="28"/>
      <c r="K416" s="19"/>
    </row>
    <row r="417" spans="1:11" ht="13.2">
      <c r="A417" s="22"/>
      <c r="B417" s="16"/>
      <c r="C417" s="23"/>
      <c r="D417" s="24"/>
      <c r="E417" s="25"/>
      <c r="F417" s="26"/>
      <c r="G417" s="27"/>
      <c r="H417" s="20"/>
      <c r="I417" s="21"/>
      <c r="J417" s="28"/>
      <c r="K417" s="19"/>
    </row>
    <row r="418" spans="1:11" ht="13.2">
      <c r="A418" s="22"/>
      <c r="B418" s="16"/>
      <c r="C418" s="23"/>
      <c r="D418" s="24"/>
      <c r="E418" s="25"/>
      <c r="F418" s="26"/>
      <c r="G418" s="27"/>
      <c r="H418" s="20"/>
      <c r="I418" s="21"/>
      <c r="J418" s="28"/>
      <c r="K418" s="19"/>
    </row>
    <row r="419" spans="1:11" ht="13.2">
      <c r="A419" s="22"/>
      <c r="B419" s="16"/>
      <c r="C419" s="23"/>
      <c r="D419" s="24"/>
      <c r="E419" s="25"/>
      <c r="F419" s="26"/>
      <c r="G419" s="27"/>
      <c r="H419" s="20"/>
      <c r="I419" s="21"/>
      <c r="J419" s="28"/>
      <c r="K419" s="19"/>
    </row>
    <row r="420" spans="1:11" ht="13.2">
      <c r="A420" s="22"/>
      <c r="B420" s="16"/>
      <c r="C420" s="23"/>
      <c r="D420" s="24"/>
      <c r="E420" s="25"/>
      <c r="F420" s="26"/>
      <c r="G420" s="27"/>
      <c r="H420" s="20"/>
      <c r="I420" s="21"/>
      <c r="J420" s="28"/>
      <c r="K420" s="19"/>
    </row>
    <row r="421" spans="1:11" ht="13.2">
      <c r="A421" s="22"/>
      <c r="B421" s="16"/>
      <c r="C421" s="23"/>
      <c r="D421" s="24"/>
      <c r="E421" s="25"/>
      <c r="F421" s="26"/>
      <c r="G421" s="27"/>
      <c r="H421" s="20"/>
      <c r="I421" s="21"/>
      <c r="J421" s="28"/>
      <c r="K421" s="19"/>
    </row>
    <row r="422" spans="1:11" ht="13.2">
      <c r="A422" s="22"/>
      <c r="B422" s="16"/>
      <c r="C422" s="23"/>
      <c r="D422" s="24"/>
      <c r="E422" s="25"/>
      <c r="F422" s="26"/>
      <c r="G422" s="27"/>
      <c r="H422" s="20"/>
      <c r="I422" s="21"/>
      <c r="J422" s="28"/>
      <c r="K422" s="19"/>
    </row>
    <row r="423" spans="1:11" ht="13.2">
      <c r="A423" s="22"/>
      <c r="B423" s="16"/>
      <c r="C423" s="23"/>
      <c r="D423" s="24"/>
      <c r="E423" s="25"/>
      <c r="F423" s="26"/>
      <c r="G423" s="27"/>
      <c r="H423" s="20"/>
      <c r="I423" s="21"/>
      <c r="J423" s="28"/>
      <c r="K423" s="19"/>
    </row>
    <row r="424" spans="1:11" ht="13.2">
      <c r="A424" s="22"/>
      <c r="B424" s="16"/>
      <c r="C424" s="23"/>
      <c r="D424" s="24"/>
      <c r="E424" s="25"/>
      <c r="F424" s="26"/>
      <c r="G424" s="27"/>
      <c r="H424" s="20"/>
      <c r="I424" s="21"/>
      <c r="J424" s="28"/>
      <c r="K424" s="19"/>
    </row>
    <row r="425" spans="1:11" ht="13.2">
      <c r="A425" s="22"/>
      <c r="B425" s="16"/>
      <c r="C425" s="23"/>
      <c r="D425" s="24"/>
      <c r="E425" s="25"/>
      <c r="F425" s="26"/>
      <c r="G425" s="27"/>
      <c r="H425" s="20"/>
      <c r="I425" s="21"/>
      <c r="J425" s="28"/>
      <c r="K425" s="19"/>
    </row>
    <row r="426" spans="1:11" ht="13.2">
      <c r="A426" s="22"/>
      <c r="B426" s="16"/>
      <c r="C426" s="23"/>
      <c r="D426" s="24"/>
      <c r="E426" s="25"/>
      <c r="F426" s="26"/>
      <c r="G426" s="27"/>
      <c r="H426" s="20"/>
      <c r="I426" s="21"/>
      <c r="J426" s="28"/>
      <c r="K426" s="19"/>
    </row>
    <row r="427" spans="1:11" ht="13.2">
      <c r="A427" s="22"/>
      <c r="B427" s="16"/>
      <c r="C427" s="23"/>
      <c r="D427" s="24"/>
      <c r="E427" s="25"/>
      <c r="F427" s="26"/>
      <c r="G427" s="27"/>
      <c r="H427" s="20"/>
      <c r="I427" s="21"/>
      <c r="J427" s="28"/>
      <c r="K427" s="19"/>
    </row>
    <row r="428" spans="1:11" ht="13.2">
      <c r="A428" s="22"/>
      <c r="B428" s="16"/>
      <c r="C428" s="23"/>
      <c r="D428" s="24"/>
      <c r="E428" s="25"/>
      <c r="F428" s="26"/>
      <c r="G428" s="27"/>
      <c r="H428" s="20"/>
      <c r="I428" s="21"/>
      <c r="J428" s="28"/>
      <c r="K428" s="19"/>
    </row>
    <row r="429" spans="1:11" ht="13.2">
      <c r="A429" s="22"/>
      <c r="B429" s="16"/>
      <c r="C429" s="23"/>
      <c r="D429" s="24"/>
      <c r="E429" s="25"/>
      <c r="F429" s="26"/>
      <c r="G429" s="27"/>
      <c r="H429" s="20"/>
      <c r="I429" s="21"/>
      <c r="J429" s="28"/>
      <c r="K429" s="19"/>
    </row>
    <row r="430" spans="1:11" ht="13.2">
      <c r="A430" s="22"/>
      <c r="B430" s="16"/>
      <c r="C430" s="23"/>
      <c r="D430" s="24"/>
      <c r="E430" s="25"/>
      <c r="F430" s="26"/>
      <c r="G430" s="27"/>
      <c r="H430" s="20"/>
      <c r="I430" s="21"/>
      <c r="J430" s="28"/>
      <c r="K430" s="19"/>
    </row>
    <row r="431" spans="1:11" ht="13.2">
      <c r="A431" s="22"/>
      <c r="B431" s="16"/>
      <c r="C431" s="23"/>
      <c r="D431" s="24"/>
      <c r="E431" s="25"/>
      <c r="F431" s="26"/>
      <c r="G431" s="27"/>
      <c r="H431" s="20"/>
      <c r="I431" s="21"/>
      <c r="J431" s="28"/>
      <c r="K431" s="19"/>
    </row>
    <row r="432" spans="1:11" ht="13.2">
      <c r="A432" s="22"/>
      <c r="B432" s="16"/>
      <c r="C432" s="23"/>
      <c r="D432" s="24"/>
      <c r="E432" s="25"/>
      <c r="F432" s="26"/>
      <c r="G432" s="27"/>
      <c r="H432" s="20"/>
      <c r="I432" s="21"/>
      <c r="J432" s="28"/>
      <c r="K432" s="19"/>
    </row>
    <row r="433" spans="1:11" ht="13.2">
      <c r="A433" s="22"/>
      <c r="B433" s="16"/>
      <c r="C433" s="23"/>
      <c r="D433" s="24"/>
      <c r="E433" s="25"/>
      <c r="F433" s="26"/>
      <c r="G433" s="27"/>
      <c r="H433" s="20"/>
      <c r="I433" s="21"/>
      <c r="J433" s="28"/>
      <c r="K433" s="19"/>
    </row>
    <row r="434" spans="1:11" ht="13.2">
      <c r="A434" s="22"/>
      <c r="B434" s="16"/>
      <c r="C434" s="23"/>
      <c r="D434" s="24"/>
      <c r="E434" s="25"/>
      <c r="F434" s="26"/>
      <c r="G434" s="27"/>
      <c r="H434" s="20"/>
      <c r="I434" s="21"/>
      <c r="J434" s="28"/>
      <c r="K434" s="19"/>
    </row>
    <row r="435" spans="1:11" ht="13.2">
      <c r="A435" s="22"/>
      <c r="B435" s="16"/>
      <c r="C435" s="23"/>
      <c r="D435" s="24"/>
      <c r="E435" s="25"/>
      <c r="F435" s="26"/>
      <c r="G435" s="27"/>
      <c r="H435" s="20"/>
      <c r="I435" s="21"/>
      <c r="J435" s="28"/>
      <c r="K435" s="19"/>
    </row>
    <row r="436" spans="1:11" ht="13.2">
      <c r="A436" s="22"/>
      <c r="B436" s="16"/>
      <c r="C436" s="23"/>
      <c r="D436" s="24"/>
      <c r="E436" s="25"/>
      <c r="F436" s="26"/>
      <c r="G436" s="27"/>
      <c r="H436" s="20"/>
      <c r="I436" s="21"/>
      <c r="J436" s="28"/>
      <c r="K436" s="19"/>
    </row>
    <row r="437" spans="1:11" ht="13.2">
      <c r="A437" s="22"/>
      <c r="B437" s="16"/>
      <c r="C437" s="23"/>
      <c r="D437" s="24"/>
      <c r="E437" s="25"/>
      <c r="F437" s="26"/>
      <c r="G437" s="27"/>
      <c r="H437" s="20"/>
      <c r="I437" s="21"/>
      <c r="J437" s="28"/>
      <c r="K437" s="19"/>
    </row>
    <row r="438" spans="1:11" ht="13.2">
      <c r="A438" s="22"/>
      <c r="B438" s="16"/>
      <c r="C438" s="23"/>
      <c r="D438" s="24"/>
      <c r="E438" s="25"/>
      <c r="F438" s="26"/>
      <c r="G438" s="27"/>
      <c r="H438" s="20"/>
      <c r="I438" s="21"/>
      <c r="J438" s="28"/>
      <c r="K438" s="19"/>
    </row>
    <row r="439" spans="1:11" ht="13.2">
      <c r="A439" s="22"/>
      <c r="B439" s="16"/>
      <c r="C439" s="23"/>
      <c r="D439" s="24"/>
      <c r="E439" s="25"/>
      <c r="F439" s="26"/>
      <c r="G439" s="27"/>
      <c r="H439" s="20"/>
      <c r="I439" s="21"/>
      <c r="J439" s="28"/>
      <c r="K439" s="19"/>
    </row>
    <row r="440" spans="1:11" ht="13.2">
      <c r="A440" s="22"/>
      <c r="B440" s="16"/>
      <c r="C440" s="23"/>
      <c r="D440" s="24"/>
      <c r="E440" s="25"/>
      <c r="F440" s="26"/>
      <c r="G440" s="27"/>
      <c r="H440" s="20"/>
      <c r="I440" s="21"/>
      <c r="J440" s="28"/>
      <c r="K440" s="19"/>
    </row>
    <row r="441" spans="1:11" ht="13.2">
      <c r="A441" s="22"/>
      <c r="B441" s="16"/>
      <c r="C441" s="23"/>
      <c r="D441" s="24"/>
      <c r="E441" s="25"/>
      <c r="F441" s="26"/>
      <c r="G441" s="27"/>
      <c r="H441" s="20"/>
      <c r="I441" s="21"/>
      <c r="J441" s="28"/>
      <c r="K441" s="19"/>
    </row>
    <row r="442" spans="1:11" ht="13.2">
      <c r="A442" s="22"/>
      <c r="B442" s="16"/>
      <c r="C442" s="23"/>
      <c r="D442" s="24"/>
      <c r="E442" s="25"/>
      <c r="F442" s="26"/>
      <c r="G442" s="27"/>
      <c r="H442" s="20"/>
      <c r="I442" s="21"/>
      <c r="J442" s="28"/>
      <c r="K442" s="19"/>
    </row>
    <row r="443" spans="1:11" ht="13.2">
      <c r="A443" s="22"/>
      <c r="B443" s="16"/>
      <c r="C443" s="23"/>
      <c r="D443" s="24"/>
      <c r="E443" s="25"/>
      <c r="F443" s="26"/>
      <c r="G443" s="27"/>
      <c r="H443" s="20"/>
      <c r="I443" s="21"/>
      <c r="J443" s="28"/>
      <c r="K443" s="19"/>
    </row>
    <row r="444" spans="1:11" ht="13.2">
      <c r="A444" s="22"/>
      <c r="B444" s="16"/>
      <c r="C444" s="23"/>
      <c r="D444" s="24"/>
      <c r="E444" s="25"/>
      <c r="F444" s="26"/>
      <c r="G444" s="27"/>
      <c r="H444" s="20"/>
      <c r="I444" s="21"/>
      <c r="J444" s="28"/>
      <c r="K444" s="19"/>
    </row>
    <row r="445" spans="1:11" ht="13.2">
      <c r="A445" s="22"/>
      <c r="B445" s="16"/>
      <c r="C445" s="23"/>
      <c r="D445" s="24"/>
      <c r="E445" s="25"/>
      <c r="F445" s="26"/>
      <c r="G445" s="27"/>
      <c r="H445" s="20"/>
      <c r="I445" s="21"/>
      <c r="J445" s="28"/>
      <c r="K445" s="19"/>
    </row>
    <row r="446" spans="1:11" ht="13.2">
      <c r="A446" s="22"/>
      <c r="B446" s="16"/>
      <c r="C446" s="23"/>
      <c r="D446" s="24"/>
      <c r="E446" s="25"/>
      <c r="F446" s="26"/>
      <c r="G446" s="27"/>
      <c r="H446" s="20"/>
      <c r="I446" s="21"/>
      <c r="J446" s="28"/>
      <c r="K446" s="19"/>
    </row>
    <row r="447" spans="1:11" ht="13.2">
      <c r="A447" s="22"/>
      <c r="B447" s="16"/>
      <c r="C447" s="23"/>
      <c r="D447" s="24"/>
      <c r="E447" s="25"/>
      <c r="F447" s="26"/>
      <c r="G447" s="27"/>
      <c r="H447" s="20"/>
      <c r="I447" s="21"/>
      <c r="J447" s="28"/>
      <c r="K447" s="19"/>
    </row>
    <row r="448" spans="1:11" ht="13.2">
      <c r="A448" s="22"/>
      <c r="B448" s="16"/>
      <c r="C448" s="23"/>
      <c r="D448" s="24"/>
      <c r="E448" s="25"/>
      <c r="F448" s="26"/>
      <c r="G448" s="27"/>
      <c r="H448" s="20"/>
      <c r="I448" s="21"/>
      <c r="J448" s="28"/>
      <c r="K448" s="19"/>
    </row>
    <row r="449" spans="1:11" ht="13.2">
      <c r="A449" s="22"/>
      <c r="B449" s="16"/>
      <c r="C449" s="23"/>
      <c r="D449" s="24"/>
      <c r="E449" s="25"/>
      <c r="F449" s="26"/>
      <c r="G449" s="27"/>
      <c r="H449" s="20"/>
      <c r="I449" s="21"/>
      <c r="J449" s="28"/>
      <c r="K449" s="19"/>
    </row>
    <row r="450" spans="1:11" ht="13.2">
      <c r="A450" s="22"/>
      <c r="B450" s="16"/>
      <c r="C450" s="23"/>
      <c r="D450" s="24"/>
      <c r="E450" s="25"/>
      <c r="F450" s="26"/>
      <c r="G450" s="27"/>
      <c r="H450" s="20"/>
      <c r="I450" s="21"/>
      <c r="J450" s="28"/>
      <c r="K450" s="19"/>
    </row>
    <row r="451" spans="1:11" ht="13.2">
      <c r="A451" s="22"/>
      <c r="B451" s="16"/>
      <c r="C451" s="23"/>
      <c r="D451" s="24"/>
      <c r="E451" s="25"/>
      <c r="F451" s="26"/>
      <c r="G451" s="27"/>
      <c r="H451" s="20"/>
      <c r="I451" s="21"/>
      <c r="J451" s="28"/>
      <c r="K451" s="19"/>
    </row>
    <row r="452" spans="1:11" ht="13.2">
      <c r="A452" s="22"/>
      <c r="B452" s="16"/>
      <c r="C452" s="23"/>
      <c r="D452" s="24"/>
      <c r="E452" s="25"/>
      <c r="F452" s="26"/>
      <c r="G452" s="27"/>
      <c r="H452" s="20"/>
      <c r="I452" s="21"/>
      <c r="J452" s="28"/>
      <c r="K452" s="19"/>
    </row>
    <row r="453" spans="1:11" ht="13.2">
      <c r="A453" s="22"/>
      <c r="B453" s="16"/>
      <c r="C453" s="23"/>
      <c r="D453" s="24"/>
      <c r="E453" s="25"/>
      <c r="F453" s="26"/>
      <c r="G453" s="27"/>
      <c r="H453" s="20"/>
      <c r="I453" s="21"/>
      <c r="J453" s="28"/>
      <c r="K453" s="19"/>
    </row>
    <row r="454" spans="1:11" ht="13.2">
      <c r="A454" s="22"/>
      <c r="B454" s="16"/>
      <c r="C454" s="23"/>
      <c r="D454" s="24"/>
      <c r="E454" s="25"/>
      <c r="F454" s="26"/>
      <c r="G454" s="27"/>
      <c r="H454" s="20"/>
      <c r="I454" s="21"/>
      <c r="J454" s="28"/>
      <c r="K454" s="19"/>
    </row>
    <row r="455" spans="1:11" ht="13.2">
      <c r="A455" s="22"/>
      <c r="B455" s="16"/>
      <c r="C455" s="23"/>
      <c r="D455" s="24"/>
      <c r="E455" s="25"/>
      <c r="F455" s="26"/>
      <c r="G455" s="27"/>
      <c r="H455" s="20"/>
      <c r="I455" s="21"/>
      <c r="J455" s="28"/>
      <c r="K455" s="19"/>
    </row>
    <row r="456" spans="1:11" ht="13.2">
      <c r="A456" s="22"/>
      <c r="B456" s="16"/>
      <c r="C456" s="23"/>
      <c r="D456" s="24"/>
      <c r="E456" s="25"/>
      <c r="F456" s="26"/>
      <c r="G456" s="27"/>
      <c r="H456" s="20"/>
      <c r="I456" s="21"/>
      <c r="J456" s="28"/>
      <c r="K456" s="19"/>
    </row>
    <row r="457" spans="1:11" ht="13.2">
      <c r="A457" s="22"/>
      <c r="B457" s="16"/>
      <c r="C457" s="23"/>
      <c r="D457" s="24"/>
      <c r="E457" s="25"/>
      <c r="F457" s="26"/>
      <c r="G457" s="27"/>
      <c r="H457" s="20"/>
      <c r="I457" s="21"/>
      <c r="J457" s="28"/>
      <c r="K457" s="19"/>
    </row>
    <row r="458" spans="1:11" ht="13.2">
      <c r="A458" s="22"/>
      <c r="B458" s="16"/>
      <c r="C458" s="23"/>
      <c r="D458" s="24"/>
      <c r="E458" s="25"/>
      <c r="F458" s="26"/>
      <c r="G458" s="27"/>
      <c r="H458" s="20"/>
      <c r="I458" s="21"/>
      <c r="J458" s="28"/>
      <c r="K458" s="19"/>
    </row>
    <row r="459" spans="1:11" ht="13.2">
      <c r="A459" s="22"/>
      <c r="B459" s="16"/>
      <c r="C459" s="23"/>
      <c r="D459" s="24"/>
      <c r="E459" s="25"/>
      <c r="F459" s="26"/>
      <c r="G459" s="27"/>
      <c r="H459" s="20"/>
      <c r="I459" s="21"/>
      <c r="J459" s="28"/>
      <c r="K459" s="19"/>
    </row>
    <row r="460" spans="1:11" ht="13.2">
      <c r="A460" s="22"/>
      <c r="B460" s="16"/>
      <c r="C460" s="23"/>
      <c r="D460" s="24"/>
      <c r="E460" s="25"/>
      <c r="F460" s="26"/>
      <c r="G460" s="27"/>
      <c r="H460" s="20"/>
      <c r="I460" s="21"/>
      <c r="J460" s="28"/>
      <c r="K460" s="19"/>
    </row>
    <row r="461" spans="1:11" ht="13.2">
      <c r="A461" s="22"/>
      <c r="B461" s="16"/>
      <c r="C461" s="23"/>
      <c r="D461" s="24"/>
      <c r="E461" s="25"/>
      <c r="F461" s="26"/>
      <c r="G461" s="27"/>
      <c r="H461" s="20"/>
      <c r="I461" s="21"/>
      <c r="J461" s="28"/>
      <c r="K461" s="19"/>
    </row>
    <row r="462" spans="1:11" ht="13.2">
      <c r="A462" s="22"/>
      <c r="B462" s="16"/>
      <c r="C462" s="23"/>
      <c r="D462" s="24"/>
      <c r="E462" s="25"/>
      <c r="F462" s="26"/>
      <c r="G462" s="27"/>
      <c r="H462" s="20"/>
      <c r="I462" s="21"/>
      <c r="J462" s="28"/>
      <c r="K462" s="19"/>
    </row>
    <row r="463" spans="1:11" ht="13.2">
      <c r="A463" s="22"/>
      <c r="B463" s="16"/>
      <c r="C463" s="23"/>
      <c r="D463" s="24"/>
      <c r="E463" s="25"/>
      <c r="F463" s="26"/>
      <c r="G463" s="27"/>
      <c r="H463" s="20"/>
      <c r="I463" s="21"/>
      <c r="J463" s="28"/>
      <c r="K463" s="19"/>
    </row>
    <row r="464" spans="1:11" ht="13.2">
      <c r="A464" s="22"/>
      <c r="B464" s="16"/>
      <c r="C464" s="23"/>
      <c r="D464" s="24"/>
      <c r="E464" s="25"/>
      <c r="F464" s="26"/>
      <c r="G464" s="27"/>
      <c r="H464" s="20"/>
      <c r="I464" s="21"/>
      <c r="J464" s="28"/>
      <c r="K464" s="19"/>
    </row>
    <row r="465" spans="1:11" ht="13.2">
      <c r="A465" s="22"/>
      <c r="B465" s="16"/>
      <c r="C465" s="23"/>
      <c r="D465" s="24"/>
      <c r="E465" s="25"/>
      <c r="F465" s="26"/>
      <c r="G465" s="27"/>
      <c r="H465" s="20"/>
      <c r="I465" s="21"/>
      <c r="J465" s="28"/>
      <c r="K465" s="19"/>
    </row>
    <row r="466" spans="1:11" ht="13.2">
      <c r="A466" s="22"/>
      <c r="B466" s="16"/>
      <c r="C466" s="23"/>
      <c r="D466" s="24"/>
      <c r="E466" s="25"/>
      <c r="F466" s="26"/>
      <c r="G466" s="27"/>
      <c r="H466" s="20"/>
      <c r="I466" s="21"/>
      <c r="J466" s="28"/>
      <c r="K466" s="19"/>
    </row>
    <row r="467" spans="1:11" ht="13.2">
      <c r="A467" s="22"/>
      <c r="B467" s="16"/>
      <c r="C467" s="23"/>
      <c r="D467" s="24"/>
      <c r="E467" s="25"/>
      <c r="F467" s="26"/>
      <c r="G467" s="27"/>
      <c r="H467" s="20"/>
      <c r="I467" s="21"/>
      <c r="J467" s="28"/>
      <c r="K467" s="19"/>
    </row>
    <row r="468" spans="1:11" ht="13.2">
      <c r="A468" s="22"/>
      <c r="B468" s="16"/>
      <c r="C468" s="23"/>
      <c r="D468" s="24"/>
      <c r="E468" s="25"/>
      <c r="F468" s="26"/>
      <c r="G468" s="27"/>
      <c r="H468" s="20"/>
      <c r="I468" s="21"/>
      <c r="J468" s="28"/>
      <c r="K468" s="19"/>
    </row>
    <row r="469" spans="1:11" ht="13.2">
      <c r="A469" s="22"/>
      <c r="B469" s="16"/>
      <c r="C469" s="23"/>
      <c r="D469" s="24"/>
      <c r="E469" s="25"/>
      <c r="F469" s="26"/>
      <c r="G469" s="27"/>
      <c r="H469" s="20"/>
      <c r="I469" s="21"/>
      <c r="J469" s="28"/>
      <c r="K469" s="19"/>
    </row>
    <row r="470" spans="1:11" ht="13.2">
      <c r="A470" s="22"/>
      <c r="B470" s="16"/>
      <c r="C470" s="23"/>
      <c r="D470" s="24"/>
      <c r="E470" s="25"/>
      <c r="F470" s="26"/>
      <c r="G470" s="27"/>
      <c r="H470" s="20"/>
      <c r="I470" s="21"/>
      <c r="J470" s="28"/>
      <c r="K470" s="19"/>
    </row>
    <row r="471" spans="1:11" ht="13.2">
      <c r="A471" s="22"/>
      <c r="B471" s="16"/>
      <c r="C471" s="23"/>
      <c r="D471" s="24"/>
      <c r="E471" s="25"/>
      <c r="F471" s="26"/>
      <c r="G471" s="27"/>
      <c r="H471" s="20"/>
      <c r="I471" s="21"/>
      <c r="J471" s="28"/>
      <c r="K471" s="19"/>
    </row>
    <row r="472" spans="1:11" ht="13.2">
      <c r="A472" s="22"/>
      <c r="B472" s="16"/>
      <c r="C472" s="23"/>
      <c r="D472" s="24"/>
      <c r="E472" s="25"/>
      <c r="F472" s="26"/>
      <c r="G472" s="27"/>
      <c r="H472" s="20"/>
      <c r="I472" s="21"/>
      <c r="J472" s="28"/>
      <c r="K472" s="19"/>
    </row>
    <row r="473" spans="1:11" ht="13.2">
      <c r="A473" s="22"/>
      <c r="B473" s="16"/>
      <c r="C473" s="23"/>
      <c r="D473" s="24"/>
      <c r="E473" s="25"/>
      <c r="F473" s="26"/>
      <c r="G473" s="27"/>
      <c r="H473" s="20"/>
      <c r="I473" s="21"/>
      <c r="J473" s="28"/>
      <c r="K473" s="19"/>
    </row>
    <row r="474" spans="1:11" ht="13.2">
      <c r="A474" s="22"/>
      <c r="B474" s="16"/>
      <c r="C474" s="23"/>
      <c r="D474" s="24"/>
      <c r="E474" s="25"/>
      <c r="F474" s="26"/>
      <c r="G474" s="27"/>
      <c r="H474" s="20"/>
      <c r="I474" s="21"/>
      <c r="J474" s="28"/>
      <c r="K474" s="19"/>
    </row>
    <row r="475" spans="1:11" ht="13.2">
      <c r="A475" s="22"/>
      <c r="B475" s="16"/>
      <c r="C475" s="23"/>
      <c r="D475" s="24"/>
      <c r="E475" s="25"/>
      <c r="F475" s="26"/>
      <c r="G475" s="27"/>
      <c r="H475" s="20"/>
      <c r="I475" s="21"/>
      <c r="J475" s="28"/>
      <c r="K475" s="19"/>
    </row>
    <row r="476" spans="1:11" ht="13.2">
      <c r="A476" s="22"/>
      <c r="B476" s="16"/>
      <c r="C476" s="23"/>
      <c r="D476" s="24"/>
      <c r="E476" s="25"/>
      <c r="F476" s="26"/>
      <c r="G476" s="27"/>
      <c r="H476" s="20"/>
      <c r="I476" s="21"/>
      <c r="J476" s="28"/>
      <c r="K476" s="19"/>
    </row>
    <row r="477" spans="1:11" ht="13.2">
      <c r="A477" s="22"/>
      <c r="B477" s="16"/>
      <c r="C477" s="23"/>
      <c r="D477" s="24"/>
      <c r="E477" s="25"/>
      <c r="F477" s="26"/>
      <c r="G477" s="27"/>
      <c r="H477" s="20"/>
      <c r="I477" s="21"/>
      <c r="J477" s="28"/>
      <c r="K477" s="19"/>
    </row>
    <row r="478" spans="1:11" ht="13.2">
      <c r="A478" s="22"/>
      <c r="B478" s="16"/>
      <c r="C478" s="23"/>
      <c r="D478" s="24"/>
      <c r="E478" s="25"/>
      <c r="F478" s="26"/>
      <c r="G478" s="27"/>
      <c r="H478" s="20"/>
      <c r="I478" s="21"/>
      <c r="J478" s="28"/>
      <c r="K478" s="19"/>
    </row>
    <row r="479" spans="1:11" ht="13.2">
      <c r="A479" s="22"/>
      <c r="B479" s="16"/>
      <c r="C479" s="23"/>
      <c r="D479" s="24"/>
      <c r="E479" s="25"/>
      <c r="F479" s="26"/>
      <c r="G479" s="27"/>
      <c r="H479" s="20"/>
      <c r="I479" s="21"/>
      <c r="J479" s="28"/>
      <c r="K479" s="19"/>
    </row>
    <row r="480" spans="1:11" ht="13.2">
      <c r="A480" s="22"/>
      <c r="B480" s="16"/>
      <c r="C480" s="23"/>
      <c r="D480" s="24"/>
      <c r="E480" s="25"/>
      <c r="F480" s="26"/>
      <c r="G480" s="27"/>
      <c r="H480" s="20"/>
      <c r="I480" s="21"/>
      <c r="J480" s="28"/>
      <c r="K480" s="19"/>
    </row>
    <row r="481" spans="1:11" ht="13.2">
      <c r="A481" s="22"/>
      <c r="B481" s="16"/>
      <c r="C481" s="23"/>
      <c r="D481" s="24"/>
      <c r="E481" s="25"/>
      <c r="F481" s="26"/>
      <c r="G481" s="27"/>
      <c r="H481" s="20"/>
      <c r="I481" s="21"/>
      <c r="J481" s="28"/>
      <c r="K481" s="19"/>
    </row>
    <row r="482" spans="1:11" ht="13.2">
      <c r="A482" s="22"/>
      <c r="B482" s="16"/>
      <c r="C482" s="23"/>
      <c r="D482" s="24"/>
      <c r="E482" s="25"/>
      <c r="F482" s="26"/>
      <c r="G482" s="27"/>
      <c r="H482" s="20"/>
      <c r="I482" s="21"/>
      <c r="J482" s="28"/>
      <c r="K482" s="19"/>
    </row>
    <row r="483" spans="1:11" ht="13.2">
      <c r="A483" s="22"/>
      <c r="B483" s="16"/>
      <c r="C483" s="23"/>
      <c r="D483" s="24"/>
      <c r="E483" s="25"/>
      <c r="F483" s="26"/>
      <c r="G483" s="27"/>
      <c r="H483" s="20"/>
      <c r="I483" s="21"/>
      <c r="J483" s="28"/>
      <c r="K483" s="19"/>
    </row>
    <row r="484" spans="1:11" ht="13.2">
      <c r="A484" s="22"/>
      <c r="B484" s="16"/>
      <c r="C484" s="23"/>
      <c r="D484" s="24"/>
      <c r="E484" s="25"/>
      <c r="F484" s="26"/>
      <c r="G484" s="27"/>
      <c r="H484" s="20"/>
      <c r="I484" s="21"/>
      <c r="J484" s="28"/>
      <c r="K484" s="19"/>
    </row>
    <row r="485" spans="1:11" ht="13.2">
      <c r="A485" s="22"/>
      <c r="B485" s="16"/>
      <c r="C485" s="23"/>
      <c r="D485" s="24"/>
      <c r="E485" s="25"/>
      <c r="F485" s="26"/>
      <c r="G485" s="27"/>
      <c r="H485" s="20"/>
      <c r="I485" s="21"/>
      <c r="J485" s="28"/>
      <c r="K485" s="19"/>
    </row>
    <row r="486" spans="1:11" ht="13.2">
      <c r="A486" s="22"/>
      <c r="B486" s="16"/>
      <c r="C486" s="23"/>
      <c r="D486" s="24"/>
      <c r="E486" s="25"/>
      <c r="F486" s="26"/>
      <c r="G486" s="27"/>
      <c r="H486" s="20"/>
      <c r="I486" s="21"/>
      <c r="J486" s="28"/>
      <c r="K486" s="19"/>
    </row>
    <row r="487" spans="1:11" ht="13.2">
      <c r="A487" s="22"/>
      <c r="B487" s="16"/>
      <c r="C487" s="23"/>
      <c r="D487" s="24"/>
      <c r="E487" s="25"/>
      <c r="F487" s="26"/>
      <c r="G487" s="27"/>
      <c r="H487" s="20"/>
      <c r="I487" s="21"/>
      <c r="J487" s="28"/>
      <c r="K487" s="19"/>
    </row>
    <row r="488" spans="1:11" ht="13.2">
      <c r="A488" s="22"/>
      <c r="B488" s="16"/>
      <c r="C488" s="23"/>
      <c r="D488" s="24"/>
      <c r="E488" s="25"/>
      <c r="F488" s="26"/>
      <c r="G488" s="27"/>
      <c r="H488" s="20"/>
      <c r="I488" s="21"/>
      <c r="J488" s="28"/>
      <c r="K488" s="19"/>
    </row>
    <row r="489" spans="1:11" ht="13.2">
      <c r="A489" s="22"/>
      <c r="B489" s="16"/>
      <c r="C489" s="23"/>
      <c r="D489" s="24"/>
      <c r="E489" s="25"/>
      <c r="F489" s="26"/>
      <c r="G489" s="27"/>
      <c r="H489" s="20"/>
      <c r="I489" s="21"/>
      <c r="J489" s="28"/>
      <c r="K489" s="19"/>
    </row>
    <row r="490" spans="1:11" ht="13.2">
      <c r="A490" s="22"/>
      <c r="B490" s="16"/>
      <c r="C490" s="23"/>
      <c r="D490" s="24"/>
      <c r="E490" s="25"/>
      <c r="F490" s="26"/>
      <c r="G490" s="27"/>
      <c r="H490" s="20"/>
      <c r="I490" s="21"/>
      <c r="J490" s="28"/>
      <c r="K490" s="19"/>
    </row>
    <row r="491" spans="1:11" ht="13.2">
      <c r="A491" s="22"/>
      <c r="B491" s="16"/>
      <c r="C491" s="23"/>
      <c r="D491" s="24"/>
      <c r="E491" s="25"/>
      <c r="F491" s="26"/>
      <c r="G491" s="27"/>
      <c r="H491" s="20"/>
      <c r="I491" s="21"/>
      <c r="J491" s="28"/>
      <c r="K491" s="19"/>
    </row>
    <row r="492" spans="1:11" ht="13.2">
      <c r="A492" s="22"/>
      <c r="B492" s="16"/>
      <c r="C492" s="23"/>
      <c r="D492" s="24"/>
      <c r="E492" s="25"/>
      <c r="F492" s="26"/>
      <c r="G492" s="27"/>
      <c r="H492" s="20"/>
      <c r="I492" s="21"/>
      <c r="J492" s="28"/>
      <c r="K492" s="19"/>
    </row>
    <row r="493" spans="1:11" ht="13.2">
      <c r="A493" s="22"/>
      <c r="B493" s="16"/>
      <c r="C493" s="23"/>
      <c r="D493" s="24"/>
      <c r="E493" s="25"/>
      <c r="F493" s="26"/>
      <c r="G493" s="27"/>
      <c r="H493" s="20"/>
      <c r="I493" s="21"/>
      <c r="J493" s="28"/>
      <c r="K493" s="19"/>
    </row>
    <row r="494" spans="1:11" ht="13.2">
      <c r="A494" s="22"/>
      <c r="B494" s="16"/>
      <c r="C494" s="23"/>
      <c r="D494" s="24"/>
      <c r="E494" s="25"/>
      <c r="F494" s="26"/>
      <c r="G494" s="27"/>
      <c r="H494" s="20"/>
      <c r="I494" s="21"/>
      <c r="J494" s="28"/>
      <c r="K494" s="19"/>
    </row>
    <row r="495" spans="1:11" ht="13.2">
      <c r="A495" s="22"/>
      <c r="B495" s="16"/>
      <c r="C495" s="23"/>
      <c r="D495" s="24"/>
      <c r="E495" s="25"/>
      <c r="F495" s="26"/>
      <c r="G495" s="27"/>
      <c r="H495" s="20"/>
      <c r="I495" s="21"/>
      <c r="J495" s="28"/>
      <c r="K495" s="19"/>
    </row>
    <row r="496" spans="1:11" ht="13.2">
      <c r="A496" s="22"/>
      <c r="B496" s="16"/>
      <c r="C496" s="23"/>
      <c r="D496" s="24"/>
      <c r="E496" s="25"/>
      <c r="F496" s="26"/>
      <c r="G496" s="27"/>
      <c r="H496" s="20"/>
      <c r="I496" s="21"/>
      <c r="J496" s="28"/>
      <c r="K496" s="19"/>
    </row>
    <row r="497" spans="1:11" ht="13.2">
      <c r="A497" s="22"/>
      <c r="B497" s="16"/>
      <c r="C497" s="23"/>
      <c r="D497" s="24"/>
      <c r="E497" s="25"/>
      <c r="F497" s="26"/>
      <c r="G497" s="27"/>
      <c r="H497" s="20"/>
      <c r="I497" s="21"/>
      <c r="J497" s="28"/>
      <c r="K497" s="19"/>
    </row>
    <row r="498" spans="1:11" ht="13.2">
      <c r="A498" s="22"/>
      <c r="B498" s="16"/>
      <c r="C498" s="23"/>
      <c r="D498" s="24"/>
      <c r="E498" s="25"/>
      <c r="F498" s="26"/>
      <c r="G498" s="27"/>
      <c r="H498" s="20"/>
      <c r="I498" s="21"/>
      <c r="J498" s="28"/>
      <c r="K498" s="19"/>
    </row>
    <row r="499" spans="1:11" ht="13.2">
      <c r="A499" s="22"/>
      <c r="B499" s="16"/>
      <c r="C499" s="23"/>
      <c r="D499" s="24"/>
      <c r="E499" s="25"/>
      <c r="F499" s="26"/>
      <c r="G499" s="27"/>
      <c r="H499" s="20"/>
      <c r="I499" s="21"/>
      <c r="J499" s="28"/>
      <c r="K499" s="19"/>
    </row>
    <row r="500" spans="1:11" ht="13.2">
      <c r="A500" s="22"/>
      <c r="B500" s="16"/>
      <c r="C500" s="23"/>
      <c r="D500" s="24"/>
      <c r="E500" s="25"/>
      <c r="F500" s="26"/>
      <c r="G500" s="27"/>
      <c r="H500" s="20"/>
      <c r="I500" s="21"/>
      <c r="J500" s="28"/>
      <c r="K500" s="19"/>
    </row>
    <row r="501" spans="1:11" ht="13.2">
      <c r="A501" s="22"/>
      <c r="B501" s="16"/>
      <c r="C501" s="23"/>
      <c r="D501" s="24"/>
      <c r="E501" s="25"/>
      <c r="F501" s="26"/>
      <c r="G501" s="27"/>
      <c r="H501" s="20"/>
      <c r="I501" s="21"/>
      <c r="J501" s="28"/>
      <c r="K501" s="19"/>
    </row>
    <row r="502" spans="1:11" ht="13.2">
      <c r="A502" s="22"/>
      <c r="B502" s="16"/>
      <c r="C502" s="23"/>
      <c r="D502" s="24"/>
      <c r="E502" s="25"/>
      <c r="F502" s="26"/>
      <c r="G502" s="27"/>
      <c r="H502" s="20"/>
      <c r="I502" s="21"/>
      <c r="J502" s="28"/>
      <c r="K502" s="19"/>
    </row>
    <row r="503" spans="1:11" ht="13.2">
      <c r="A503" s="22"/>
      <c r="B503" s="16"/>
      <c r="C503" s="23"/>
      <c r="D503" s="24"/>
      <c r="E503" s="25"/>
      <c r="F503" s="26"/>
      <c r="G503" s="27"/>
      <c r="H503" s="20"/>
      <c r="I503" s="21"/>
      <c r="J503" s="28"/>
      <c r="K503" s="19"/>
    </row>
    <row r="504" spans="1:11" ht="13.2">
      <c r="A504" s="22"/>
      <c r="B504" s="16"/>
      <c r="C504" s="23"/>
      <c r="D504" s="24"/>
      <c r="E504" s="25"/>
      <c r="F504" s="26"/>
      <c r="G504" s="27"/>
      <c r="H504" s="20"/>
      <c r="I504" s="21"/>
      <c r="J504" s="28"/>
      <c r="K504" s="19"/>
    </row>
    <row r="505" spans="1:11" ht="13.2">
      <c r="A505" s="22"/>
      <c r="B505" s="16"/>
      <c r="C505" s="23"/>
      <c r="D505" s="24"/>
      <c r="E505" s="25"/>
      <c r="F505" s="26"/>
      <c r="G505" s="27"/>
      <c r="H505" s="20"/>
      <c r="I505" s="21"/>
      <c r="J505" s="28"/>
      <c r="K505" s="19"/>
    </row>
    <row r="506" spans="1:11" ht="13.2">
      <c r="A506" s="22"/>
      <c r="B506" s="16"/>
      <c r="C506" s="23"/>
      <c r="D506" s="24"/>
      <c r="E506" s="25"/>
      <c r="F506" s="26"/>
      <c r="G506" s="27"/>
      <c r="H506" s="20"/>
      <c r="I506" s="21"/>
      <c r="J506" s="28"/>
      <c r="K506" s="19"/>
    </row>
    <row r="507" spans="1:11" ht="13.2">
      <c r="A507" s="22"/>
      <c r="B507" s="16"/>
      <c r="C507" s="23"/>
      <c r="D507" s="24"/>
      <c r="E507" s="25"/>
      <c r="F507" s="26"/>
      <c r="G507" s="27"/>
      <c r="H507" s="20"/>
      <c r="I507" s="21"/>
      <c r="J507" s="28"/>
      <c r="K507" s="19"/>
    </row>
    <row r="508" spans="1:11" ht="13.2">
      <c r="A508" s="22"/>
      <c r="B508" s="16"/>
      <c r="C508" s="23"/>
      <c r="D508" s="24"/>
      <c r="E508" s="25"/>
      <c r="F508" s="26"/>
      <c r="G508" s="27"/>
      <c r="H508" s="20"/>
      <c r="I508" s="21"/>
      <c r="J508" s="28"/>
      <c r="K508" s="19"/>
    </row>
    <row r="509" spans="1:11" ht="13.2">
      <c r="A509" s="22"/>
      <c r="B509" s="16"/>
      <c r="C509" s="23"/>
      <c r="D509" s="24"/>
      <c r="E509" s="25"/>
      <c r="F509" s="26"/>
      <c r="G509" s="27"/>
      <c r="H509" s="20"/>
      <c r="I509" s="21"/>
      <c r="J509" s="28"/>
      <c r="K509" s="19"/>
    </row>
    <row r="510" spans="1:11" ht="13.2">
      <c r="A510" s="22"/>
      <c r="B510" s="16"/>
      <c r="C510" s="23"/>
      <c r="D510" s="24"/>
      <c r="E510" s="25"/>
      <c r="F510" s="26"/>
      <c r="G510" s="27"/>
      <c r="H510" s="20"/>
      <c r="I510" s="21"/>
      <c r="J510" s="28"/>
      <c r="K510" s="19"/>
    </row>
    <row r="511" spans="1:11" ht="13.2">
      <c r="A511" s="22"/>
      <c r="B511" s="16"/>
      <c r="C511" s="23"/>
      <c r="D511" s="24"/>
      <c r="E511" s="25"/>
      <c r="F511" s="26"/>
      <c r="G511" s="27"/>
      <c r="H511" s="20"/>
      <c r="I511" s="21"/>
      <c r="J511" s="28"/>
      <c r="K511" s="19"/>
    </row>
    <row r="512" spans="1:11" ht="13.2">
      <c r="A512" s="22"/>
      <c r="B512" s="16"/>
      <c r="C512" s="23"/>
      <c r="D512" s="24"/>
      <c r="E512" s="25"/>
      <c r="F512" s="26"/>
      <c r="G512" s="27"/>
      <c r="H512" s="20"/>
      <c r="I512" s="21"/>
      <c r="J512" s="28"/>
      <c r="K512" s="19"/>
    </row>
    <row r="513" spans="1:11" ht="13.2">
      <c r="A513" s="22"/>
      <c r="B513" s="16"/>
      <c r="C513" s="23"/>
      <c r="D513" s="24"/>
      <c r="E513" s="25"/>
      <c r="F513" s="26"/>
      <c r="G513" s="27"/>
      <c r="H513" s="20"/>
      <c r="I513" s="21"/>
      <c r="J513" s="28"/>
      <c r="K513" s="19"/>
    </row>
    <row r="514" spans="1:11" ht="13.2">
      <c r="A514" s="22"/>
      <c r="B514" s="16"/>
      <c r="C514" s="23"/>
      <c r="D514" s="24"/>
      <c r="E514" s="25"/>
      <c r="F514" s="26"/>
      <c r="G514" s="27"/>
      <c r="H514" s="20"/>
      <c r="I514" s="21"/>
      <c r="J514" s="28"/>
      <c r="K514" s="19"/>
    </row>
    <row r="515" spans="1:11" ht="13.2">
      <c r="A515" s="22"/>
      <c r="B515" s="16"/>
      <c r="C515" s="23"/>
      <c r="D515" s="24"/>
      <c r="E515" s="25"/>
      <c r="F515" s="26"/>
      <c r="G515" s="27"/>
      <c r="H515" s="20"/>
      <c r="I515" s="21"/>
      <c r="J515" s="28"/>
      <c r="K515" s="19"/>
    </row>
    <row r="516" spans="1:11" ht="13.2">
      <c r="A516" s="22"/>
      <c r="B516" s="16"/>
      <c r="C516" s="23"/>
      <c r="D516" s="24"/>
      <c r="E516" s="25"/>
      <c r="F516" s="26"/>
      <c r="G516" s="27"/>
      <c r="H516" s="20"/>
      <c r="I516" s="21"/>
      <c r="J516" s="28"/>
      <c r="K516" s="19"/>
    </row>
    <row r="517" spans="1:11" ht="13.2">
      <c r="A517" s="22"/>
      <c r="B517" s="16"/>
      <c r="C517" s="23"/>
      <c r="D517" s="24"/>
      <c r="E517" s="25"/>
      <c r="F517" s="26"/>
      <c r="G517" s="27"/>
      <c r="H517" s="20"/>
      <c r="I517" s="21"/>
      <c r="J517" s="28"/>
      <c r="K517" s="19"/>
    </row>
    <row r="518" spans="1:11" ht="13.2">
      <c r="A518" s="22"/>
      <c r="B518" s="16"/>
      <c r="C518" s="23"/>
      <c r="D518" s="24"/>
      <c r="E518" s="25"/>
      <c r="F518" s="26"/>
      <c r="G518" s="27"/>
      <c r="H518" s="20"/>
      <c r="I518" s="21"/>
      <c r="J518" s="28"/>
      <c r="K518" s="19"/>
    </row>
    <row r="519" spans="1:11" ht="13.2">
      <c r="A519" s="22"/>
      <c r="B519" s="16"/>
      <c r="C519" s="23"/>
      <c r="D519" s="24"/>
      <c r="E519" s="25"/>
      <c r="F519" s="26"/>
      <c r="G519" s="27"/>
      <c r="H519" s="20"/>
      <c r="I519" s="21"/>
      <c r="J519" s="28"/>
      <c r="K519" s="19"/>
    </row>
    <row r="520" spans="1:11" ht="13.2">
      <c r="A520" s="22"/>
      <c r="B520" s="16"/>
      <c r="C520" s="23"/>
      <c r="D520" s="24"/>
      <c r="E520" s="25"/>
      <c r="F520" s="26"/>
      <c r="G520" s="27"/>
      <c r="H520" s="20"/>
      <c r="I520" s="21"/>
      <c r="J520" s="28"/>
      <c r="K520" s="19"/>
    </row>
    <row r="521" spans="1:11" ht="13.2">
      <c r="A521" s="22"/>
      <c r="B521" s="16"/>
      <c r="C521" s="23"/>
      <c r="D521" s="24"/>
      <c r="E521" s="25"/>
      <c r="F521" s="26"/>
      <c r="G521" s="27"/>
      <c r="H521" s="20"/>
      <c r="I521" s="21"/>
      <c r="J521" s="28"/>
      <c r="K521" s="19"/>
    </row>
    <row r="522" spans="1:11" ht="13.2">
      <c r="A522" s="22"/>
      <c r="B522" s="16"/>
      <c r="C522" s="23"/>
      <c r="D522" s="24"/>
      <c r="E522" s="25"/>
      <c r="F522" s="26"/>
      <c r="G522" s="27"/>
      <c r="H522" s="20"/>
      <c r="I522" s="21"/>
      <c r="J522" s="28"/>
      <c r="K522" s="19"/>
    </row>
    <row r="523" spans="1:11" ht="13.2">
      <c r="A523" s="22"/>
      <c r="B523" s="16"/>
      <c r="C523" s="23"/>
      <c r="D523" s="24"/>
      <c r="E523" s="25"/>
      <c r="F523" s="26"/>
      <c r="G523" s="27"/>
      <c r="H523" s="20"/>
      <c r="I523" s="21"/>
      <c r="J523" s="28"/>
      <c r="K523" s="19"/>
    </row>
    <row r="524" spans="1:11" ht="13.2">
      <c r="A524" s="22"/>
      <c r="B524" s="16"/>
      <c r="C524" s="23"/>
      <c r="D524" s="24"/>
      <c r="E524" s="25"/>
      <c r="F524" s="26"/>
      <c r="G524" s="27"/>
      <c r="H524" s="20"/>
      <c r="I524" s="21"/>
      <c r="J524" s="28"/>
      <c r="K524" s="19"/>
    </row>
    <row r="525" spans="1:11" ht="13.2">
      <c r="A525" s="22"/>
      <c r="B525" s="16"/>
      <c r="C525" s="23"/>
      <c r="D525" s="24"/>
      <c r="E525" s="25"/>
      <c r="F525" s="26"/>
      <c r="G525" s="27"/>
      <c r="H525" s="20"/>
      <c r="I525" s="21"/>
      <c r="J525" s="28"/>
      <c r="K525" s="19"/>
    </row>
    <row r="526" spans="1:11" ht="13.2">
      <c r="A526" s="22"/>
      <c r="B526" s="16"/>
      <c r="C526" s="23"/>
      <c r="D526" s="24"/>
      <c r="E526" s="25"/>
      <c r="F526" s="26"/>
      <c r="G526" s="27"/>
      <c r="H526" s="20"/>
      <c r="I526" s="21"/>
      <c r="J526" s="28"/>
      <c r="K526" s="19"/>
    </row>
    <row r="527" spans="1:11" ht="13.2">
      <c r="A527" s="22"/>
      <c r="B527" s="16"/>
      <c r="C527" s="23"/>
      <c r="D527" s="24"/>
      <c r="E527" s="25"/>
      <c r="F527" s="26"/>
      <c r="G527" s="27"/>
      <c r="H527" s="20"/>
      <c r="I527" s="21"/>
      <c r="J527" s="28"/>
      <c r="K527" s="19"/>
    </row>
    <row r="528" spans="1:11" ht="13.2">
      <c r="A528" s="22"/>
      <c r="B528" s="16"/>
      <c r="C528" s="23"/>
      <c r="D528" s="24"/>
      <c r="E528" s="25"/>
      <c r="F528" s="26"/>
      <c r="G528" s="27"/>
      <c r="H528" s="20"/>
      <c r="I528" s="21"/>
      <c r="J528" s="28"/>
      <c r="K528" s="19"/>
    </row>
    <row r="529" spans="1:11" ht="13.2">
      <c r="A529" s="22"/>
      <c r="B529" s="16"/>
      <c r="C529" s="23"/>
      <c r="D529" s="24"/>
      <c r="E529" s="25"/>
      <c r="F529" s="26"/>
      <c r="G529" s="27"/>
      <c r="H529" s="20"/>
      <c r="I529" s="21"/>
      <c r="J529" s="28"/>
      <c r="K529" s="19"/>
    </row>
    <row r="530" spans="1:11" ht="13.2">
      <c r="A530" s="22"/>
      <c r="B530" s="16"/>
      <c r="C530" s="23"/>
      <c r="D530" s="24"/>
      <c r="E530" s="25"/>
      <c r="F530" s="26"/>
      <c r="G530" s="27"/>
      <c r="H530" s="20"/>
      <c r="I530" s="21"/>
      <c r="J530" s="28"/>
      <c r="K530" s="19"/>
    </row>
    <row r="531" spans="1:11" ht="13.2">
      <c r="A531" s="22"/>
      <c r="B531" s="16"/>
      <c r="C531" s="23"/>
      <c r="D531" s="24"/>
      <c r="E531" s="25"/>
      <c r="F531" s="26"/>
      <c r="G531" s="27"/>
      <c r="H531" s="20"/>
      <c r="I531" s="21"/>
      <c r="J531" s="28"/>
      <c r="K531" s="19"/>
    </row>
    <row r="532" spans="1:11" ht="13.2">
      <c r="A532" s="22"/>
      <c r="B532" s="16"/>
      <c r="C532" s="23"/>
      <c r="D532" s="24"/>
      <c r="E532" s="25"/>
      <c r="F532" s="26"/>
      <c r="G532" s="27"/>
      <c r="H532" s="20"/>
      <c r="I532" s="21"/>
      <c r="J532" s="28"/>
      <c r="K532" s="19"/>
    </row>
    <row r="533" spans="1:11" ht="13.2">
      <c r="A533" s="22"/>
      <c r="B533" s="16"/>
      <c r="C533" s="23"/>
      <c r="D533" s="24"/>
      <c r="E533" s="25"/>
      <c r="F533" s="26"/>
      <c r="G533" s="27"/>
      <c r="H533" s="20"/>
      <c r="I533" s="21"/>
      <c r="J533" s="28"/>
      <c r="K533" s="19"/>
    </row>
    <row r="534" spans="1:11" ht="13.2">
      <c r="A534" s="22"/>
      <c r="B534" s="16"/>
      <c r="C534" s="23"/>
      <c r="D534" s="24"/>
      <c r="E534" s="25"/>
      <c r="F534" s="26"/>
      <c r="G534" s="27"/>
      <c r="H534" s="20"/>
      <c r="I534" s="21"/>
      <c r="J534" s="28"/>
      <c r="K534" s="19"/>
    </row>
    <row r="535" spans="1:11" ht="13.2">
      <c r="A535" s="22"/>
      <c r="B535" s="16"/>
      <c r="C535" s="23"/>
      <c r="D535" s="24"/>
      <c r="E535" s="25"/>
      <c r="F535" s="26"/>
      <c r="G535" s="27"/>
      <c r="H535" s="20"/>
      <c r="I535" s="21"/>
      <c r="J535" s="28"/>
      <c r="K535" s="19"/>
    </row>
    <row r="536" spans="1:11" ht="13.2">
      <c r="A536" s="22"/>
      <c r="B536" s="16"/>
      <c r="C536" s="23"/>
      <c r="D536" s="24"/>
      <c r="E536" s="25"/>
      <c r="F536" s="26"/>
      <c r="G536" s="27"/>
      <c r="H536" s="20"/>
      <c r="I536" s="21"/>
      <c r="J536" s="28"/>
      <c r="K536" s="19"/>
    </row>
    <row r="537" spans="1:11" ht="13.2">
      <c r="A537" s="22"/>
      <c r="B537" s="16"/>
      <c r="C537" s="23"/>
      <c r="D537" s="24"/>
      <c r="E537" s="25"/>
      <c r="F537" s="26"/>
      <c r="G537" s="27"/>
      <c r="H537" s="20"/>
      <c r="I537" s="21"/>
      <c r="J537" s="28"/>
      <c r="K537" s="19"/>
    </row>
    <row r="538" spans="1:11" ht="13.2">
      <c r="A538" s="22"/>
      <c r="B538" s="16"/>
      <c r="C538" s="23"/>
      <c r="D538" s="24"/>
      <c r="E538" s="25"/>
      <c r="F538" s="26"/>
      <c r="G538" s="27"/>
      <c r="H538" s="20"/>
      <c r="I538" s="21"/>
      <c r="J538" s="28"/>
      <c r="K538" s="19"/>
    </row>
    <row r="539" spans="1:11" ht="13.2">
      <c r="A539" s="22"/>
      <c r="B539" s="16"/>
      <c r="C539" s="23"/>
      <c r="D539" s="24"/>
      <c r="E539" s="25"/>
      <c r="F539" s="26"/>
      <c r="G539" s="27"/>
      <c r="H539" s="20"/>
      <c r="I539" s="21"/>
      <c r="J539" s="28"/>
      <c r="K539" s="19"/>
    </row>
    <row r="540" spans="1:11" ht="13.2">
      <c r="A540" s="22"/>
      <c r="B540" s="16"/>
      <c r="C540" s="23"/>
      <c r="D540" s="24"/>
      <c r="E540" s="25"/>
      <c r="F540" s="26"/>
      <c r="G540" s="27"/>
      <c r="H540" s="20"/>
      <c r="I540" s="21"/>
      <c r="J540" s="28"/>
      <c r="K540" s="19"/>
    </row>
    <row r="541" spans="1:11" ht="13.2">
      <c r="A541" s="22"/>
      <c r="B541" s="16"/>
      <c r="C541" s="23"/>
      <c r="D541" s="24"/>
      <c r="E541" s="25"/>
      <c r="F541" s="26"/>
      <c r="G541" s="27"/>
      <c r="H541" s="20"/>
      <c r="I541" s="21"/>
      <c r="J541" s="28"/>
      <c r="K541" s="19"/>
    </row>
    <row r="542" spans="1:11" ht="13.2">
      <c r="A542" s="22"/>
      <c r="B542" s="16"/>
      <c r="C542" s="23"/>
      <c r="D542" s="24"/>
      <c r="E542" s="25"/>
      <c r="F542" s="26"/>
      <c r="G542" s="27"/>
      <c r="H542" s="20"/>
      <c r="I542" s="21"/>
      <c r="J542" s="28"/>
      <c r="K542" s="19"/>
    </row>
    <row r="543" spans="1:11" ht="13.2">
      <c r="A543" s="22"/>
      <c r="B543" s="16"/>
      <c r="C543" s="23"/>
      <c r="D543" s="24"/>
      <c r="E543" s="25"/>
      <c r="F543" s="26"/>
      <c r="G543" s="27"/>
      <c r="H543" s="20"/>
      <c r="I543" s="21"/>
      <c r="J543" s="28"/>
      <c r="K543" s="19"/>
    </row>
    <row r="544" spans="1:11" ht="13.2">
      <c r="A544" s="22"/>
      <c r="B544" s="16"/>
      <c r="C544" s="23"/>
      <c r="D544" s="24"/>
      <c r="E544" s="25"/>
      <c r="F544" s="26"/>
      <c r="G544" s="27"/>
      <c r="H544" s="20"/>
      <c r="I544" s="21"/>
      <c r="J544" s="28"/>
      <c r="K544" s="19"/>
    </row>
    <row r="545" spans="1:11" ht="13.2">
      <c r="A545" s="22"/>
      <c r="B545" s="16"/>
      <c r="C545" s="23"/>
      <c r="D545" s="24"/>
      <c r="E545" s="25"/>
      <c r="F545" s="26"/>
      <c r="G545" s="27"/>
      <c r="H545" s="20"/>
      <c r="I545" s="21"/>
      <c r="J545" s="28"/>
      <c r="K545" s="19"/>
    </row>
    <row r="546" spans="1:11" ht="13.2">
      <c r="A546" s="22"/>
      <c r="B546" s="16"/>
      <c r="C546" s="23"/>
      <c r="D546" s="24"/>
      <c r="E546" s="25"/>
      <c r="F546" s="26"/>
      <c r="G546" s="27"/>
      <c r="H546" s="20"/>
      <c r="I546" s="21"/>
      <c r="J546" s="28"/>
      <c r="K546" s="19"/>
    </row>
    <row r="547" spans="1:11" ht="13.2">
      <c r="A547" s="22"/>
      <c r="B547" s="16"/>
      <c r="C547" s="23"/>
      <c r="D547" s="24"/>
      <c r="E547" s="25"/>
      <c r="F547" s="26"/>
      <c r="G547" s="27"/>
      <c r="H547" s="20"/>
      <c r="I547" s="21"/>
      <c r="J547" s="28"/>
      <c r="K547" s="19"/>
    </row>
    <row r="548" spans="1:11" ht="13.2">
      <c r="A548" s="22"/>
      <c r="B548" s="16"/>
      <c r="C548" s="23"/>
      <c r="D548" s="24"/>
      <c r="E548" s="25"/>
      <c r="F548" s="26"/>
      <c r="G548" s="27"/>
      <c r="H548" s="20"/>
      <c r="I548" s="21"/>
      <c r="J548" s="28"/>
      <c r="K548" s="19"/>
    </row>
    <row r="549" spans="1:11" ht="13.2">
      <c r="A549" s="22"/>
      <c r="B549" s="16"/>
      <c r="C549" s="23"/>
      <c r="D549" s="24"/>
      <c r="E549" s="25"/>
      <c r="F549" s="26"/>
      <c r="G549" s="27"/>
      <c r="H549" s="20"/>
      <c r="I549" s="21"/>
      <c r="J549" s="28"/>
      <c r="K549" s="19"/>
    </row>
    <row r="550" spans="1:11" ht="13.2">
      <c r="A550" s="22"/>
      <c r="B550" s="16"/>
      <c r="C550" s="23"/>
      <c r="D550" s="24"/>
      <c r="E550" s="25"/>
      <c r="F550" s="26"/>
      <c r="G550" s="27"/>
      <c r="H550" s="20"/>
      <c r="I550" s="21"/>
      <c r="J550" s="28"/>
      <c r="K550" s="19"/>
    </row>
    <row r="551" spans="1:11" ht="13.2">
      <c r="A551" s="22"/>
      <c r="B551" s="16"/>
      <c r="C551" s="23"/>
      <c r="D551" s="24"/>
      <c r="E551" s="25"/>
      <c r="F551" s="26"/>
      <c r="G551" s="27"/>
      <c r="H551" s="20"/>
      <c r="I551" s="21"/>
      <c r="J551" s="28"/>
      <c r="K551" s="19"/>
    </row>
    <row r="552" spans="1:11" ht="13.2">
      <c r="A552" s="22"/>
      <c r="B552" s="16"/>
      <c r="C552" s="23"/>
      <c r="D552" s="24"/>
      <c r="E552" s="25"/>
      <c r="F552" s="26"/>
      <c r="G552" s="27"/>
      <c r="H552" s="20"/>
      <c r="I552" s="21"/>
      <c r="J552" s="28"/>
      <c r="K552" s="19"/>
    </row>
    <row r="553" spans="1:11" ht="13.2">
      <c r="A553" s="22"/>
      <c r="B553" s="16"/>
      <c r="C553" s="23"/>
      <c r="D553" s="24"/>
      <c r="E553" s="25"/>
      <c r="F553" s="26"/>
      <c r="G553" s="27"/>
      <c r="H553" s="20"/>
      <c r="I553" s="21"/>
      <c r="J553" s="28"/>
      <c r="K553" s="19"/>
    </row>
    <row r="554" spans="1:11" ht="13.2">
      <c r="A554" s="22"/>
      <c r="B554" s="16"/>
      <c r="C554" s="23"/>
      <c r="D554" s="24"/>
      <c r="E554" s="25"/>
      <c r="F554" s="26"/>
      <c r="G554" s="27"/>
      <c r="H554" s="20"/>
      <c r="I554" s="21"/>
      <c r="J554" s="28"/>
      <c r="K554" s="19"/>
    </row>
    <row r="555" spans="1:11" ht="13.2">
      <c r="A555" s="22"/>
      <c r="B555" s="16"/>
      <c r="C555" s="23"/>
      <c r="D555" s="24"/>
      <c r="E555" s="25"/>
      <c r="F555" s="26"/>
      <c r="G555" s="27"/>
      <c r="H555" s="20"/>
      <c r="I555" s="21"/>
      <c r="J555" s="28"/>
      <c r="K555" s="19"/>
    </row>
    <row r="556" spans="1:11" ht="13.2">
      <c r="A556" s="22"/>
      <c r="B556" s="16"/>
      <c r="C556" s="23"/>
      <c r="D556" s="24"/>
      <c r="E556" s="25"/>
      <c r="F556" s="26"/>
      <c r="G556" s="27"/>
      <c r="H556" s="20"/>
      <c r="I556" s="21"/>
      <c r="J556" s="28"/>
      <c r="K556" s="19"/>
    </row>
    <row r="557" spans="1:11" ht="13.2">
      <c r="A557" s="22"/>
      <c r="B557" s="16"/>
      <c r="C557" s="23"/>
      <c r="D557" s="24"/>
      <c r="E557" s="25"/>
      <c r="F557" s="26"/>
      <c r="G557" s="27"/>
      <c r="H557" s="20"/>
      <c r="I557" s="21"/>
      <c r="J557" s="28"/>
      <c r="K557" s="19"/>
    </row>
    <row r="558" spans="1:11" ht="13.2">
      <c r="A558" s="22"/>
      <c r="B558" s="16"/>
      <c r="C558" s="23"/>
      <c r="D558" s="24"/>
      <c r="E558" s="25"/>
      <c r="F558" s="26"/>
      <c r="G558" s="27"/>
      <c r="H558" s="20"/>
      <c r="I558" s="21"/>
      <c r="J558" s="28"/>
      <c r="K558" s="19"/>
    </row>
    <row r="559" spans="1:11" ht="13.2">
      <c r="A559" s="22"/>
      <c r="B559" s="16"/>
      <c r="C559" s="23"/>
      <c r="D559" s="24"/>
      <c r="E559" s="25"/>
      <c r="F559" s="26"/>
      <c r="G559" s="27"/>
      <c r="H559" s="20"/>
      <c r="I559" s="21"/>
      <c r="J559" s="28"/>
      <c r="K559" s="19"/>
    </row>
    <row r="560" spans="1:11" ht="13.2">
      <c r="A560" s="22"/>
      <c r="B560" s="16"/>
      <c r="C560" s="23"/>
      <c r="D560" s="24"/>
      <c r="E560" s="25"/>
      <c r="F560" s="26"/>
      <c r="G560" s="27"/>
      <c r="H560" s="20"/>
      <c r="I560" s="21"/>
      <c r="J560" s="28"/>
      <c r="K560" s="19"/>
    </row>
    <row r="561" spans="1:11" ht="13.2">
      <c r="A561" s="22"/>
      <c r="B561" s="16"/>
      <c r="C561" s="23"/>
      <c r="D561" s="24"/>
      <c r="E561" s="25"/>
      <c r="F561" s="26"/>
      <c r="G561" s="27"/>
      <c r="H561" s="20"/>
      <c r="I561" s="21"/>
      <c r="J561" s="28"/>
      <c r="K561" s="19"/>
    </row>
    <row r="562" spans="1:11" ht="13.2">
      <c r="A562" s="22"/>
      <c r="B562" s="16"/>
      <c r="C562" s="23"/>
      <c r="D562" s="24"/>
      <c r="E562" s="25"/>
      <c r="F562" s="26"/>
      <c r="G562" s="27"/>
      <c r="H562" s="20"/>
      <c r="I562" s="21"/>
      <c r="J562" s="28"/>
      <c r="K562" s="19"/>
    </row>
    <row r="563" spans="1:11" ht="13.2">
      <c r="A563" s="22"/>
      <c r="B563" s="16"/>
      <c r="C563" s="23"/>
      <c r="D563" s="24"/>
      <c r="E563" s="25"/>
      <c r="F563" s="26"/>
      <c r="G563" s="27"/>
      <c r="H563" s="20"/>
      <c r="I563" s="21"/>
      <c r="J563" s="28"/>
      <c r="K563" s="19"/>
    </row>
    <row r="564" spans="1:11" ht="13.2">
      <c r="A564" s="22"/>
      <c r="B564" s="16"/>
      <c r="C564" s="23"/>
      <c r="D564" s="24"/>
      <c r="E564" s="25"/>
      <c r="F564" s="26"/>
      <c r="G564" s="27"/>
      <c r="H564" s="20"/>
      <c r="I564" s="21"/>
      <c r="J564" s="28"/>
      <c r="K564" s="19"/>
    </row>
    <row r="565" spans="1:11" ht="13.2">
      <c r="A565" s="22"/>
      <c r="B565" s="16"/>
      <c r="C565" s="23"/>
      <c r="D565" s="24"/>
      <c r="E565" s="25"/>
      <c r="F565" s="26"/>
      <c r="G565" s="27"/>
      <c r="H565" s="20"/>
      <c r="I565" s="21"/>
      <c r="J565" s="28"/>
      <c r="K565" s="19"/>
    </row>
    <row r="566" spans="1:11" ht="13.2">
      <c r="A566" s="22"/>
      <c r="B566" s="16"/>
      <c r="C566" s="23"/>
      <c r="D566" s="24"/>
      <c r="E566" s="25"/>
      <c r="F566" s="26"/>
      <c r="G566" s="27"/>
      <c r="H566" s="20"/>
      <c r="I566" s="21"/>
      <c r="J566" s="28"/>
      <c r="K566" s="19"/>
    </row>
    <row r="567" spans="1:11" ht="13.2">
      <c r="A567" s="22"/>
      <c r="B567" s="16"/>
      <c r="C567" s="23"/>
      <c r="D567" s="24"/>
      <c r="E567" s="25"/>
      <c r="F567" s="26"/>
      <c r="G567" s="27"/>
      <c r="H567" s="20"/>
      <c r="I567" s="21"/>
      <c r="J567" s="28"/>
      <c r="K567" s="19"/>
    </row>
    <row r="568" spans="1:11" ht="13.2">
      <c r="A568" s="22"/>
      <c r="B568" s="16"/>
      <c r="C568" s="23"/>
      <c r="D568" s="24"/>
      <c r="E568" s="25"/>
      <c r="F568" s="26"/>
      <c r="G568" s="27"/>
      <c r="H568" s="20"/>
      <c r="I568" s="21"/>
      <c r="J568" s="28"/>
      <c r="K568" s="19"/>
    </row>
    <row r="569" spans="1:11" ht="13.2">
      <c r="A569" s="22"/>
      <c r="B569" s="16"/>
      <c r="C569" s="23"/>
      <c r="D569" s="24"/>
      <c r="E569" s="25"/>
      <c r="F569" s="26"/>
      <c r="G569" s="27"/>
      <c r="H569" s="20"/>
      <c r="I569" s="21"/>
      <c r="J569" s="28"/>
      <c r="K569" s="19"/>
    </row>
    <row r="570" spans="1:11" ht="13.2">
      <c r="A570" s="22"/>
      <c r="B570" s="16"/>
      <c r="C570" s="23"/>
      <c r="D570" s="24"/>
      <c r="E570" s="25"/>
      <c r="F570" s="26"/>
      <c r="G570" s="27"/>
      <c r="H570" s="20"/>
      <c r="I570" s="21"/>
      <c r="J570" s="28"/>
      <c r="K570" s="19"/>
    </row>
    <row r="571" spans="1:11" ht="13.2">
      <c r="A571" s="22"/>
      <c r="B571" s="16"/>
      <c r="C571" s="23"/>
      <c r="D571" s="24"/>
      <c r="E571" s="25"/>
      <c r="F571" s="26"/>
      <c r="G571" s="27"/>
      <c r="H571" s="20"/>
      <c r="I571" s="21"/>
      <c r="J571" s="28"/>
      <c r="K571" s="19"/>
    </row>
    <row r="572" spans="1:11" ht="13.2">
      <c r="A572" s="22"/>
      <c r="B572" s="16"/>
      <c r="C572" s="23"/>
      <c r="D572" s="24"/>
      <c r="E572" s="25"/>
      <c r="F572" s="26"/>
      <c r="G572" s="27"/>
      <c r="H572" s="20"/>
      <c r="I572" s="21"/>
      <c r="J572" s="28"/>
      <c r="K572" s="19"/>
    </row>
    <row r="573" spans="1:11" ht="13.2">
      <c r="A573" s="22"/>
      <c r="B573" s="16"/>
      <c r="C573" s="23"/>
      <c r="D573" s="24"/>
      <c r="E573" s="25"/>
      <c r="F573" s="26"/>
      <c r="G573" s="27"/>
      <c r="H573" s="20"/>
      <c r="I573" s="21"/>
      <c r="J573" s="28"/>
      <c r="K573" s="19"/>
    </row>
    <row r="574" spans="1:11" ht="13.2">
      <c r="A574" s="22"/>
      <c r="B574" s="16"/>
      <c r="C574" s="23"/>
      <c r="D574" s="24"/>
      <c r="E574" s="25"/>
      <c r="F574" s="26"/>
      <c r="G574" s="27"/>
      <c r="H574" s="20"/>
      <c r="I574" s="21"/>
      <c r="J574" s="28"/>
      <c r="K574" s="19"/>
    </row>
    <row r="575" spans="1:11" ht="13.2">
      <c r="A575" s="22"/>
      <c r="B575" s="16"/>
      <c r="C575" s="23"/>
      <c r="D575" s="24"/>
      <c r="E575" s="25"/>
      <c r="F575" s="26"/>
      <c r="G575" s="27"/>
      <c r="H575" s="20"/>
      <c r="I575" s="21"/>
      <c r="J575" s="28"/>
      <c r="K575" s="19"/>
    </row>
    <row r="576" spans="1:11" ht="13.2">
      <c r="A576" s="22"/>
      <c r="B576" s="16"/>
      <c r="C576" s="23"/>
      <c r="D576" s="24"/>
      <c r="E576" s="25"/>
      <c r="F576" s="26"/>
      <c r="G576" s="27"/>
      <c r="H576" s="20"/>
      <c r="I576" s="21"/>
      <c r="J576" s="28"/>
      <c r="K576" s="19"/>
    </row>
    <row r="577" spans="1:11" ht="13.2">
      <c r="A577" s="22"/>
      <c r="B577" s="16"/>
      <c r="C577" s="23"/>
      <c r="D577" s="24"/>
      <c r="E577" s="25"/>
      <c r="F577" s="26"/>
      <c r="G577" s="27"/>
      <c r="H577" s="20"/>
      <c r="I577" s="21"/>
      <c r="J577" s="28"/>
      <c r="K577" s="19"/>
    </row>
    <row r="578" spans="1:11" ht="13.2">
      <c r="A578" s="22"/>
      <c r="B578" s="16"/>
      <c r="C578" s="23"/>
      <c r="D578" s="24"/>
      <c r="E578" s="25"/>
      <c r="F578" s="26"/>
      <c r="G578" s="27"/>
      <c r="H578" s="20"/>
      <c r="I578" s="21"/>
      <c r="J578" s="28"/>
      <c r="K578" s="19"/>
    </row>
    <row r="579" spans="1:11" ht="13.2">
      <c r="A579" s="22"/>
      <c r="B579" s="16"/>
      <c r="C579" s="23"/>
      <c r="D579" s="24"/>
      <c r="E579" s="25"/>
      <c r="F579" s="26"/>
      <c r="G579" s="27"/>
      <c r="H579" s="20"/>
      <c r="I579" s="21"/>
      <c r="J579" s="28"/>
      <c r="K579" s="19"/>
    </row>
    <row r="580" spans="1:11" ht="13.2">
      <c r="A580" s="22"/>
      <c r="B580" s="16"/>
      <c r="C580" s="23"/>
      <c r="D580" s="24"/>
      <c r="E580" s="25"/>
      <c r="F580" s="26"/>
      <c r="G580" s="27"/>
      <c r="H580" s="20"/>
      <c r="I580" s="21"/>
      <c r="J580" s="28"/>
      <c r="K580" s="19"/>
    </row>
    <row r="581" spans="1:11" ht="13.2">
      <c r="A581" s="22"/>
      <c r="B581" s="16"/>
      <c r="C581" s="23"/>
      <c r="D581" s="24"/>
      <c r="E581" s="25"/>
      <c r="F581" s="26"/>
      <c r="G581" s="27"/>
      <c r="H581" s="20"/>
      <c r="I581" s="21"/>
      <c r="J581" s="28"/>
      <c r="K581" s="19"/>
    </row>
    <row r="582" spans="1:11" ht="13.2">
      <c r="A582" s="22"/>
      <c r="B582" s="16"/>
      <c r="C582" s="23"/>
      <c r="D582" s="24"/>
      <c r="E582" s="25"/>
      <c r="F582" s="26"/>
      <c r="G582" s="27"/>
      <c r="H582" s="20"/>
      <c r="I582" s="21"/>
      <c r="J582" s="28"/>
      <c r="K582" s="19"/>
    </row>
    <row r="583" spans="1:11" ht="13.2">
      <c r="A583" s="22"/>
      <c r="B583" s="16"/>
      <c r="C583" s="23"/>
      <c r="D583" s="24"/>
      <c r="E583" s="25"/>
      <c r="F583" s="26"/>
      <c r="G583" s="27"/>
      <c r="H583" s="20"/>
      <c r="I583" s="21"/>
      <c r="J583" s="28"/>
      <c r="K583" s="19"/>
    </row>
    <row r="584" spans="1:11" ht="13.2">
      <c r="A584" s="22"/>
      <c r="B584" s="16"/>
      <c r="C584" s="23"/>
      <c r="D584" s="24"/>
      <c r="E584" s="25"/>
      <c r="F584" s="26"/>
      <c r="G584" s="27"/>
      <c r="H584" s="20"/>
      <c r="I584" s="21"/>
      <c r="J584" s="28"/>
      <c r="K584" s="19"/>
    </row>
    <row r="585" spans="1:11" ht="13.2">
      <c r="A585" s="22"/>
      <c r="B585" s="16"/>
      <c r="C585" s="23"/>
      <c r="D585" s="24"/>
      <c r="E585" s="25"/>
      <c r="F585" s="26"/>
      <c r="G585" s="27"/>
      <c r="H585" s="20"/>
      <c r="I585" s="21"/>
      <c r="J585" s="28"/>
      <c r="K585" s="19"/>
    </row>
    <row r="586" spans="1:11" ht="13.2">
      <c r="A586" s="22"/>
      <c r="B586" s="16"/>
      <c r="C586" s="23"/>
      <c r="D586" s="24"/>
      <c r="E586" s="25"/>
      <c r="F586" s="26"/>
      <c r="G586" s="27"/>
      <c r="H586" s="20"/>
      <c r="I586" s="21"/>
      <c r="J586" s="28"/>
      <c r="K586" s="19"/>
    </row>
    <row r="587" spans="1:11" ht="13.2">
      <c r="A587" s="22"/>
      <c r="B587" s="16"/>
      <c r="C587" s="23"/>
      <c r="D587" s="24"/>
      <c r="E587" s="25"/>
      <c r="F587" s="26"/>
      <c r="G587" s="27"/>
      <c r="H587" s="20"/>
      <c r="I587" s="21"/>
      <c r="J587" s="28"/>
      <c r="K587" s="19"/>
    </row>
    <row r="588" spans="1:11" ht="13.2">
      <c r="A588" s="22"/>
      <c r="B588" s="16"/>
      <c r="C588" s="23"/>
      <c r="D588" s="24"/>
      <c r="E588" s="25"/>
      <c r="F588" s="26"/>
      <c r="G588" s="27"/>
      <c r="H588" s="20"/>
      <c r="I588" s="21"/>
      <c r="J588" s="28"/>
      <c r="K588" s="19"/>
    </row>
    <row r="589" spans="1:11" ht="13.2">
      <c r="A589" s="22"/>
      <c r="B589" s="16"/>
      <c r="C589" s="23"/>
      <c r="D589" s="24"/>
      <c r="E589" s="25"/>
      <c r="F589" s="26"/>
      <c r="G589" s="27"/>
      <c r="H589" s="20"/>
      <c r="I589" s="21"/>
      <c r="J589" s="28"/>
      <c r="K589" s="19"/>
    </row>
    <row r="590" spans="1:11" ht="13.2">
      <c r="A590" s="22"/>
      <c r="B590" s="16"/>
      <c r="C590" s="23"/>
      <c r="D590" s="24"/>
      <c r="E590" s="25"/>
      <c r="F590" s="26"/>
      <c r="G590" s="27"/>
      <c r="H590" s="20"/>
      <c r="I590" s="21"/>
      <c r="J590" s="28"/>
      <c r="K590" s="19"/>
    </row>
    <row r="591" spans="1:11" ht="13.2">
      <c r="A591" s="22"/>
      <c r="B591" s="16"/>
      <c r="C591" s="23"/>
      <c r="D591" s="24"/>
      <c r="E591" s="25"/>
      <c r="F591" s="26"/>
      <c r="G591" s="27"/>
      <c r="H591" s="20"/>
      <c r="I591" s="21"/>
      <c r="J591" s="28"/>
      <c r="K591" s="19"/>
    </row>
    <row r="592" spans="1:11" ht="13.2">
      <c r="A592" s="22"/>
      <c r="B592" s="16"/>
      <c r="C592" s="23"/>
      <c r="D592" s="24"/>
      <c r="E592" s="25"/>
      <c r="F592" s="26"/>
      <c r="G592" s="27"/>
      <c r="H592" s="20"/>
      <c r="I592" s="21"/>
      <c r="J592" s="28"/>
      <c r="K592" s="19"/>
    </row>
    <row r="593" spans="1:11" ht="13.2">
      <c r="A593" s="22"/>
      <c r="B593" s="16"/>
      <c r="C593" s="23"/>
      <c r="D593" s="24"/>
      <c r="E593" s="25"/>
      <c r="F593" s="26"/>
      <c r="G593" s="27"/>
      <c r="H593" s="20"/>
      <c r="I593" s="21"/>
      <c r="J593" s="28"/>
      <c r="K593" s="19"/>
    </row>
    <row r="594" spans="1:11" ht="13.2">
      <c r="A594" s="22"/>
      <c r="B594" s="16"/>
      <c r="C594" s="23"/>
      <c r="D594" s="24"/>
      <c r="E594" s="25"/>
      <c r="F594" s="26"/>
      <c r="G594" s="27"/>
      <c r="H594" s="20"/>
      <c r="I594" s="21"/>
      <c r="J594" s="28"/>
      <c r="K594" s="19"/>
    </row>
    <row r="595" spans="1:11" ht="13.2">
      <c r="A595" s="22"/>
      <c r="B595" s="16"/>
      <c r="C595" s="23"/>
      <c r="D595" s="24"/>
      <c r="E595" s="25"/>
      <c r="F595" s="26"/>
      <c r="G595" s="27"/>
      <c r="H595" s="20"/>
      <c r="I595" s="21"/>
      <c r="J595" s="28"/>
      <c r="K595" s="19"/>
    </row>
    <row r="596" spans="1:11" ht="13.2">
      <c r="A596" s="22"/>
      <c r="B596" s="16"/>
      <c r="C596" s="23"/>
      <c r="D596" s="24"/>
      <c r="E596" s="25"/>
      <c r="F596" s="26"/>
      <c r="G596" s="27"/>
      <c r="H596" s="20"/>
      <c r="I596" s="21"/>
      <c r="J596" s="28"/>
      <c r="K596" s="19"/>
    </row>
    <row r="597" spans="1:11" ht="13.2">
      <c r="A597" s="22"/>
      <c r="B597" s="16"/>
      <c r="C597" s="23"/>
      <c r="D597" s="24"/>
      <c r="E597" s="25"/>
      <c r="F597" s="26"/>
      <c r="G597" s="27"/>
      <c r="H597" s="20"/>
      <c r="I597" s="21"/>
      <c r="J597" s="28"/>
      <c r="K597" s="19"/>
    </row>
    <row r="598" spans="1:11" ht="13.2">
      <c r="A598" s="22"/>
      <c r="B598" s="16"/>
      <c r="C598" s="23"/>
      <c r="D598" s="24"/>
      <c r="E598" s="25"/>
      <c r="F598" s="26"/>
      <c r="G598" s="27"/>
      <c r="H598" s="20"/>
      <c r="I598" s="21"/>
      <c r="J598" s="28"/>
      <c r="K598" s="19"/>
    </row>
    <row r="599" spans="1:11" ht="13.2">
      <c r="A599" s="22"/>
      <c r="B599" s="16"/>
      <c r="C599" s="23"/>
      <c r="D599" s="24"/>
      <c r="E599" s="25"/>
      <c r="F599" s="26"/>
      <c r="G599" s="27"/>
      <c r="H599" s="20"/>
      <c r="I599" s="21"/>
      <c r="J599" s="28"/>
      <c r="K599" s="19"/>
    </row>
    <row r="600" spans="1:11" ht="13.2">
      <c r="A600" s="22"/>
      <c r="B600" s="16"/>
      <c r="C600" s="23"/>
      <c r="D600" s="24"/>
      <c r="E600" s="25"/>
      <c r="F600" s="26"/>
      <c r="G600" s="27"/>
      <c r="H600" s="20"/>
      <c r="I600" s="21"/>
      <c r="J600" s="28"/>
      <c r="K600" s="19"/>
    </row>
    <row r="601" spans="1:11" ht="13.2">
      <c r="A601" s="22"/>
      <c r="B601" s="16"/>
      <c r="C601" s="23"/>
      <c r="D601" s="24"/>
      <c r="E601" s="25"/>
      <c r="F601" s="26"/>
      <c r="G601" s="27"/>
      <c r="H601" s="20"/>
      <c r="I601" s="21"/>
      <c r="J601" s="28"/>
      <c r="K601" s="19"/>
    </row>
    <row r="602" spans="1:11" ht="13.2">
      <c r="A602" s="22"/>
      <c r="B602" s="16"/>
      <c r="C602" s="23"/>
      <c r="D602" s="24"/>
      <c r="E602" s="25"/>
      <c r="F602" s="26"/>
      <c r="G602" s="27"/>
      <c r="H602" s="20"/>
      <c r="I602" s="21"/>
      <c r="J602" s="28"/>
      <c r="K602" s="19"/>
    </row>
    <row r="603" spans="1:11" ht="13.2">
      <c r="A603" s="22"/>
      <c r="B603" s="16"/>
      <c r="C603" s="23"/>
      <c r="D603" s="24"/>
      <c r="E603" s="25"/>
      <c r="F603" s="26"/>
      <c r="G603" s="27"/>
      <c r="H603" s="20"/>
      <c r="I603" s="21"/>
      <c r="J603" s="28"/>
      <c r="K603" s="19"/>
    </row>
    <row r="604" spans="1:11" ht="13.2">
      <c r="A604" s="22"/>
      <c r="B604" s="16"/>
      <c r="C604" s="23"/>
      <c r="D604" s="24"/>
      <c r="E604" s="25"/>
      <c r="F604" s="26"/>
      <c r="G604" s="27"/>
      <c r="H604" s="20"/>
      <c r="I604" s="21"/>
      <c r="J604" s="28"/>
      <c r="K604" s="19"/>
    </row>
    <row r="605" spans="1:11" ht="13.2">
      <c r="A605" s="22"/>
      <c r="B605" s="16"/>
      <c r="C605" s="23"/>
      <c r="D605" s="24"/>
      <c r="E605" s="25"/>
      <c r="F605" s="26"/>
      <c r="G605" s="27"/>
      <c r="H605" s="20"/>
      <c r="I605" s="21"/>
      <c r="J605" s="28"/>
      <c r="K605" s="19"/>
    </row>
    <row r="606" spans="1:11" ht="13.2">
      <c r="A606" s="22"/>
      <c r="B606" s="16"/>
      <c r="C606" s="23"/>
      <c r="D606" s="24"/>
      <c r="E606" s="25"/>
      <c r="F606" s="26"/>
      <c r="G606" s="27"/>
      <c r="H606" s="20"/>
      <c r="I606" s="21"/>
      <c r="J606" s="28"/>
      <c r="K606" s="19"/>
    </row>
    <row r="607" spans="1:11" ht="13.2">
      <c r="A607" s="22"/>
      <c r="B607" s="16"/>
      <c r="C607" s="23"/>
      <c r="D607" s="24"/>
      <c r="E607" s="25"/>
      <c r="F607" s="26"/>
      <c r="G607" s="27"/>
      <c r="H607" s="20"/>
      <c r="I607" s="21"/>
      <c r="J607" s="28"/>
      <c r="K607" s="19"/>
    </row>
    <row r="608" spans="1:11" ht="13.2">
      <c r="A608" s="22"/>
      <c r="B608" s="16"/>
      <c r="C608" s="23"/>
      <c r="D608" s="24"/>
      <c r="E608" s="25"/>
      <c r="F608" s="26"/>
      <c r="G608" s="27"/>
      <c r="H608" s="20"/>
      <c r="I608" s="21"/>
      <c r="J608" s="28"/>
      <c r="K608" s="19"/>
    </row>
    <row r="609" spans="1:11" ht="13.2">
      <c r="A609" s="22"/>
      <c r="B609" s="16"/>
      <c r="C609" s="23"/>
      <c r="D609" s="24"/>
      <c r="E609" s="25"/>
      <c r="F609" s="26"/>
      <c r="G609" s="27"/>
      <c r="H609" s="20"/>
      <c r="I609" s="21"/>
      <c r="J609" s="28"/>
      <c r="K609" s="19"/>
    </row>
    <row r="610" spans="1:11" ht="13.2">
      <c r="A610" s="22"/>
      <c r="B610" s="16"/>
      <c r="C610" s="23"/>
      <c r="D610" s="24"/>
      <c r="E610" s="25"/>
      <c r="F610" s="26"/>
      <c r="G610" s="27"/>
      <c r="H610" s="20"/>
      <c r="I610" s="21"/>
      <c r="J610" s="28"/>
      <c r="K610" s="19"/>
    </row>
    <row r="611" spans="1:11" ht="13.2">
      <c r="A611" s="22"/>
      <c r="B611" s="16"/>
      <c r="C611" s="23"/>
      <c r="D611" s="24"/>
      <c r="E611" s="25"/>
      <c r="F611" s="26"/>
      <c r="G611" s="27"/>
      <c r="H611" s="20"/>
      <c r="I611" s="21"/>
      <c r="J611" s="28"/>
      <c r="K611" s="19"/>
    </row>
    <row r="612" spans="1:11" ht="13.2">
      <c r="A612" s="22"/>
      <c r="B612" s="16"/>
      <c r="C612" s="23"/>
      <c r="D612" s="24"/>
      <c r="E612" s="25"/>
      <c r="F612" s="26"/>
      <c r="G612" s="27"/>
      <c r="H612" s="20"/>
      <c r="I612" s="21"/>
      <c r="J612" s="28"/>
      <c r="K612" s="19"/>
    </row>
    <row r="613" spans="1:11" ht="13.2">
      <c r="A613" s="22"/>
      <c r="B613" s="16"/>
      <c r="C613" s="23"/>
      <c r="D613" s="24"/>
      <c r="E613" s="25"/>
      <c r="F613" s="26"/>
      <c r="G613" s="27"/>
      <c r="H613" s="20"/>
      <c r="I613" s="21"/>
      <c r="J613" s="28"/>
      <c r="K613" s="19"/>
    </row>
    <row r="614" spans="1:11" ht="13.2">
      <c r="A614" s="22"/>
      <c r="B614" s="16"/>
      <c r="C614" s="23"/>
      <c r="D614" s="24"/>
      <c r="E614" s="25"/>
      <c r="F614" s="26"/>
      <c r="G614" s="27"/>
      <c r="H614" s="20"/>
      <c r="I614" s="21"/>
      <c r="J614" s="28"/>
      <c r="K614" s="19"/>
    </row>
    <row r="615" spans="1:11" ht="13.2">
      <c r="A615" s="22"/>
      <c r="B615" s="16"/>
      <c r="C615" s="23"/>
      <c r="D615" s="24"/>
      <c r="E615" s="25"/>
      <c r="F615" s="26"/>
      <c r="G615" s="27"/>
      <c r="H615" s="20"/>
      <c r="I615" s="21"/>
      <c r="J615" s="28"/>
      <c r="K615" s="19"/>
    </row>
    <row r="616" spans="1:11" ht="13.2">
      <c r="A616" s="22"/>
      <c r="B616" s="16"/>
      <c r="C616" s="23"/>
      <c r="D616" s="24"/>
      <c r="E616" s="25"/>
      <c r="F616" s="26"/>
      <c r="G616" s="27"/>
      <c r="H616" s="20"/>
      <c r="I616" s="21"/>
      <c r="J616" s="28"/>
      <c r="K616" s="19"/>
    </row>
    <row r="617" spans="1:11" ht="13.2">
      <c r="A617" s="22"/>
      <c r="B617" s="16"/>
      <c r="C617" s="23"/>
      <c r="D617" s="24"/>
      <c r="E617" s="25"/>
      <c r="F617" s="26"/>
      <c r="G617" s="27"/>
      <c r="H617" s="20"/>
      <c r="I617" s="21"/>
      <c r="J617" s="28"/>
      <c r="K617" s="19"/>
    </row>
    <row r="618" spans="1:11" ht="13.2">
      <c r="A618" s="22"/>
      <c r="B618" s="16"/>
      <c r="C618" s="23"/>
      <c r="D618" s="24"/>
      <c r="E618" s="25"/>
      <c r="F618" s="26"/>
      <c r="G618" s="27"/>
      <c r="H618" s="20"/>
      <c r="I618" s="21"/>
      <c r="J618" s="28"/>
      <c r="K618" s="19"/>
    </row>
    <row r="619" spans="1:11" ht="13.2">
      <c r="A619" s="22"/>
      <c r="B619" s="16"/>
      <c r="C619" s="23"/>
      <c r="D619" s="24"/>
      <c r="E619" s="25"/>
      <c r="F619" s="26"/>
      <c r="G619" s="27"/>
      <c r="H619" s="20"/>
      <c r="I619" s="21"/>
      <c r="J619" s="28"/>
      <c r="K619" s="19"/>
    </row>
    <row r="620" spans="1:11" ht="13.2">
      <c r="A620" s="22"/>
      <c r="B620" s="16"/>
      <c r="C620" s="23"/>
      <c r="D620" s="24"/>
      <c r="E620" s="25"/>
      <c r="F620" s="26"/>
      <c r="G620" s="27"/>
      <c r="H620" s="20"/>
      <c r="I620" s="21"/>
      <c r="J620" s="28"/>
      <c r="K620" s="19"/>
    </row>
    <row r="621" spans="1:11" ht="13.2">
      <c r="A621" s="22"/>
      <c r="B621" s="16"/>
      <c r="C621" s="23"/>
      <c r="D621" s="24"/>
      <c r="E621" s="25"/>
      <c r="F621" s="26"/>
      <c r="G621" s="27"/>
      <c r="H621" s="20"/>
      <c r="I621" s="21"/>
      <c r="J621" s="28"/>
      <c r="K621" s="19"/>
    </row>
    <row r="622" spans="1:11" ht="13.2">
      <c r="A622" s="22"/>
      <c r="B622" s="16"/>
      <c r="C622" s="23"/>
      <c r="D622" s="24"/>
      <c r="E622" s="25"/>
      <c r="F622" s="26"/>
      <c r="G622" s="27"/>
      <c r="H622" s="20"/>
      <c r="I622" s="21"/>
      <c r="J622" s="28"/>
      <c r="K622" s="19"/>
    </row>
    <row r="623" spans="1:11" ht="13.2">
      <c r="A623" s="22"/>
      <c r="B623" s="16"/>
      <c r="C623" s="23"/>
      <c r="D623" s="24"/>
      <c r="E623" s="25"/>
      <c r="F623" s="26"/>
      <c r="G623" s="27"/>
      <c r="H623" s="20"/>
      <c r="I623" s="21"/>
      <c r="J623" s="28"/>
      <c r="K623" s="19"/>
    </row>
    <row r="624" spans="1:11" ht="13.2">
      <c r="A624" s="22"/>
      <c r="B624" s="16"/>
      <c r="C624" s="23"/>
      <c r="D624" s="24"/>
      <c r="E624" s="25"/>
      <c r="F624" s="26"/>
      <c r="G624" s="27"/>
      <c r="H624" s="20"/>
      <c r="I624" s="21"/>
      <c r="J624" s="28"/>
      <c r="K624" s="19"/>
    </row>
    <row r="625" spans="1:11" ht="13.2">
      <c r="A625" s="22"/>
      <c r="B625" s="16"/>
      <c r="C625" s="23"/>
      <c r="D625" s="24"/>
      <c r="E625" s="25"/>
      <c r="F625" s="26"/>
      <c r="G625" s="27"/>
      <c r="H625" s="20"/>
      <c r="I625" s="21"/>
      <c r="J625" s="28"/>
      <c r="K625" s="19"/>
    </row>
    <row r="626" spans="1:11" ht="13.2">
      <c r="A626" s="22"/>
      <c r="B626" s="16"/>
      <c r="C626" s="23"/>
      <c r="D626" s="24"/>
      <c r="E626" s="25"/>
      <c r="F626" s="26"/>
      <c r="G626" s="27"/>
      <c r="H626" s="20"/>
      <c r="I626" s="21"/>
      <c r="J626" s="28"/>
      <c r="K626" s="19"/>
    </row>
    <row r="627" spans="1:11" ht="13.2">
      <c r="A627" s="22"/>
      <c r="B627" s="16"/>
      <c r="C627" s="23"/>
      <c r="D627" s="24"/>
      <c r="E627" s="25"/>
      <c r="F627" s="26"/>
      <c r="G627" s="27"/>
      <c r="H627" s="20"/>
      <c r="I627" s="21"/>
      <c r="J627" s="28"/>
      <c r="K627" s="19"/>
    </row>
    <row r="628" spans="1:11" ht="13.2">
      <c r="A628" s="22"/>
      <c r="B628" s="16"/>
      <c r="C628" s="23"/>
      <c r="D628" s="24"/>
      <c r="E628" s="25"/>
      <c r="F628" s="26"/>
      <c r="G628" s="27"/>
      <c r="H628" s="20"/>
      <c r="I628" s="21"/>
      <c r="J628" s="28"/>
      <c r="K628" s="19"/>
    </row>
    <row r="629" spans="1:11" ht="13.2">
      <c r="A629" s="22"/>
      <c r="B629" s="16"/>
      <c r="C629" s="23"/>
      <c r="D629" s="24"/>
      <c r="E629" s="25"/>
      <c r="F629" s="26"/>
      <c r="G629" s="27"/>
      <c r="H629" s="20"/>
      <c r="I629" s="21"/>
      <c r="J629" s="28"/>
      <c r="K629" s="19"/>
    </row>
    <row r="630" spans="1:11" ht="13.2">
      <c r="A630" s="22"/>
      <c r="B630" s="16"/>
      <c r="C630" s="23"/>
      <c r="D630" s="24"/>
      <c r="E630" s="25"/>
      <c r="F630" s="26"/>
      <c r="G630" s="27"/>
      <c r="H630" s="20"/>
      <c r="I630" s="21"/>
      <c r="J630" s="28"/>
      <c r="K630" s="19"/>
    </row>
    <row r="631" spans="1:11" ht="13.2">
      <c r="A631" s="22"/>
      <c r="B631" s="16"/>
      <c r="C631" s="23"/>
      <c r="D631" s="24"/>
      <c r="E631" s="25"/>
      <c r="F631" s="26"/>
      <c r="G631" s="27"/>
      <c r="H631" s="20"/>
      <c r="I631" s="21"/>
      <c r="J631" s="28"/>
      <c r="K631" s="19"/>
    </row>
    <row r="632" spans="1:11" ht="13.2">
      <c r="A632" s="22"/>
      <c r="B632" s="16"/>
      <c r="C632" s="23"/>
      <c r="D632" s="24"/>
      <c r="E632" s="25"/>
      <c r="F632" s="26"/>
      <c r="G632" s="27"/>
      <c r="H632" s="20"/>
      <c r="I632" s="21"/>
      <c r="J632" s="28"/>
      <c r="K632" s="19"/>
    </row>
    <row r="633" spans="1:11" ht="13.2">
      <c r="A633" s="22"/>
      <c r="B633" s="16"/>
      <c r="C633" s="23"/>
      <c r="D633" s="24"/>
      <c r="E633" s="25"/>
      <c r="F633" s="26"/>
      <c r="G633" s="27"/>
      <c r="H633" s="20"/>
      <c r="I633" s="21"/>
      <c r="J633" s="28"/>
      <c r="K633" s="19"/>
    </row>
    <row r="634" spans="1:11" ht="13.2">
      <c r="A634" s="22"/>
      <c r="B634" s="16"/>
      <c r="C634" s="23"/>
      <c r="D634" s="24"/>
      <c r="E634" s="25"/>
      <c r="F634" s="26"/>
      <c r="G634" s="27"/>
      <c r="H634" s="20"/>
      <c r="I634" s="21"/>
      <c r="J634" s="28"/>
      <c r="K634" s="19"/>
    </row>
    <row r="635" spans="1:11" ht="13.2">
      <c r="A635" s="22"/>
      <c r="B635" s="16"/>
      <c r="C635" s="23"/>
      <c r="D635" s="24"/>
      <c r="E635" s="25"/>
      <c r="F635" s="26"/>
      <c r="G635" s="27"/>
      <c r="H635" s="20"/>
      <c r="I635" s="21"/>
      <c r="J635" s="28"/>
      <c r="K635" s="19"/>
    </row>
    <row r="636" spans="1:11" ht="13.2">
      <c r="A636" s="22"/>
      <c r="B636" s="16"/>
      <c r="C636" s="23"/>
      <c r="D636" s="24"/>
      <c r="E636" s="25"/>
      <c r="F636" s="26"/>
      <c r="G636" s="27"/>
      <c r="H636" s="20"/>
      <c r="I636" s="21"/>
      <c r="J636" s="28"/>
      <c r="K636" s="19"/>
    </row>
    <row r="637" spans="1:11" ht="13.2">
      <c r="A637" s="22"/>
      <c r="B637" s="16"/>
      <c r="C637" s="23"/>
      <c r="D637" s="24"/>
      <c r="E637" s="25"/>
      <c r="F637" s="26"/>
      <c r="G637" s="27"/>
      <c r="H637" s="20"/>
      <c r="I637" s="21"/>
      <c r="J637" s="28"/>
      <c r="K637" s="19"/>
    </row>
    <row r="638" spans="1:11" ht="13.2">
      <c r="A638" s="22"/>
      <c r="B638" s="16"/>
      <c r="C638" s="23"/>
      <c r="D638" s="24"/>
      <c r="E638" s="25"/>
      <c r="F638" s="26"/>
      <c r="G638" s="27"/>
      <c r="H638" s="20"/>
      <c r="I638" s="21"/>
      <c r="J638" s="28"/>
      <c r="K638" s="19"/>
    </row>
    <row r="639" spans="1:11" ht="13.2">
      <c r="A639" s="22"/>
      <c r="B639" s="16"/>
      <c r="C639" s="23"/>
      <c r="D639" s="24"/>
      <c r="E639" s="25"/>
      <c r="F639" s="26"/>
      <c r="G639" s="27"/>
      <c r="H639" s="20"/>
      <c r="I639" s="21"/>
      <c r="J639" s="28"/>
      <c r="K639" s="19"/>
    </row>
    <row r="640" spans="1:11" ht="13.2">
      <c r="A640" s="22"/>
      <c r="B640" s="16"/>
      <c r="C640" s="23"/>
      <c r="D640" s="24"/>
      <c r="E640" s="25"/>
      <c r="F640" s="26"/>
      <c r="G640" s="27"/>
      <c r="H640" s="20"/>
      <c r="I640" s="21"/>
      <c r="J640" s="28"/>
      <c r="K640" s="19"/>
    </row>
    <row r="641" spans="1:11" ht="13.2">
      <c r="A641" s="22"/>
      <c r="B641" s="16"/>
      <c r="C641" s="23"/>
      <c r="D641" s="24"/>
      <c r="E641" s="25"/>
      <c r="F641" s="26"/>
      <c r="G641" s="27"/>
      <c r="H641" s="20"/>
      <c r="I641" s="21"/>
      <c r="J641" s="28"/>
      <c r="K641" s="19"/>
    </row>
    <row r="642" spans="1:11" ht="13.2">
      <c r="A642" s="22"/>
      <c r="B642" s="16"/>
      <c r="C642" s="23"/>
      <c r="D642" s="24"/>
      <c r="E642" s="25"/>
      <c r="F642" s="26"/>
      <c r="G642" s="27"/>
      <c r="H642" s="20"/>
      <c r="I642" s="21"/>
      <c r="J642" s="28"/>
      <c r="K642" s="19"/>
    </row>
    <row r="643" spans="1:11" ht="13.2">
      <c r="A643" s="22"/>
      <c r="B643" s="16"/>
      <c r="C643" s="23"/>
      <c r="D643" s="24"/>
      <c r="E643" s="25"/>
      <c r="F643" s="26"/>
      <c r="G643" s="27"/>
      <c r="H643" s="20"/>
      <c r="I643" s="21"/>
      <c r="J643" s="28"/>
      <c r="K643" s="19"/>
    </row>
    <row r="644" spans="1:11" ht="13.2">
      <c r="A644" s="22"/>
      <c r="B644" s="16"/>
      <c r="C644" s="23"/>
      <c r="D644" s="24"/>
      <c r="E644" s="25"/>
      <c r="F644" s="26"/>
      <c r="G644" s="27"/>
      <c r="H644" s="20"/>
      <c r="I644" s="21"/>
      <c r="J644" s="28"/>
      <c r="K644" s="19"/>
    </row>
    <row r="645" spans="1:11" ht="13.2">
      <c r="A645" s="22"/>
      <c r="B645" s="16"/>
      <c r="C645" s="23"/>
      <c r="D645" s="24"/>
      <c r="E645" s="25"/>
      <c r="F645" s="26"/>
      <c r="G645" s="27"/>
      <c r="H645" s="20"/>
      <c r="I645" s="21"/>
      <c r="J645" s="28"/>
      <c r="K645" s="19"/>
    </row>
    <row r="646" spans="1:11" ht="13.2">
      <c r="A646" s="22"/>
      <c r="B646" s="16"/>
      <c r="C646" s="23"/>
      <c r="D646" s="24"/>
      <c r="E646" s="25"/>
      <c r="F646" s="26"/>
      <c r="G646" s="27"/>
      <c r="H646" s="20"/>
      <c r="I646" s="21"/>
      <c r="J646" s="28"/>
      <c r="K646" s="19"/>
    </row>
    <row r="647" spans="1:11" ht="13.2">
      <c r="A647" s="22"/>
      <c r="B647" s="16"/>
      <c r="C647" s="23"/>
      <c r="D647" s="24"/>
      <c r="E647" s="25"/>
      <c r="F647" s="26"/>
      <c r="G647" s="27"/>
      <c r="H647" s="20"/>
      <c r="I647" s="21"/>
      <c r="J647" s="28"/>
      <c r="K647" s="19"/>
    </row>
    <row r="648" spans="1:11" ht="13.2">
      <c r="A648" s="22"/>
      <c r="B648" s="16"/>
      <c r="C648" s="23"/>
      <c r="D648" s="24"/>
      <c r="E648" s="25"/>
      <c r="F648" s="26"/>
      <c r="G648" s="27"/>
      <c r="H648" s="20"/>
      <c r="I648" s="21"/>
      <c r="J648" s="28"/>
      <c r="K648" s="19"/>
    </row>
    <row r="649" spans="1:11" ht="13.2">
      <c r="A649" s="22"/>
      <c r="B649" s="16"/>
      <c r="C649" s="23"/>
      <c r="D649" s="24"/>
      <c r="E649" s="25"/>
      <c r="F649" s="26"/>
      <c r="G649" s="27"/>
      <c r="H649" s="20"/>
      <c r="I649" s="21"/>
      <c r="J649" s="28"/>
      <c r="K649" s="19"/>
    </row>
    <row r="650" spans="1:11" ht="13.2">
      <c r="A650" s="22"/>
      <c r="B650" s="16"/>
      <c r="C650" s="23"/>
      <c r="D650" s="24"/>
      <c r="E650" s="25"/>
      <c r="F650" s="26"/>
      <c r="G650" s="27"/>
      <c r="H650" s="20"/>
      <c r="I650" s="21"/>
      <c r="J650" s="28"/>
      <c r="K650" s="19"/>
    </row>
    <row r="651" spans="1:11" ht="13.2">
      <c r="A651" s="22"/>
      <c r="B651" s="16"/>
      <c r="C651" s="23"/>
      <c r="D651" s="24"/>
      <c r="E651" s="25"/>
      <c r="F651" s="26"/>
      <c r="G651" s="27"/>
      <c r="H651" s="20"/>
      <c r="I651" s="21"/>
      <c r="J651" s="28"/>
      <c r="K651" s="19"/>
    </row>
    <row r="652" spans="1:11" ht="13.2">
      <c r="A652" s="22"/>
      <c r="B652" s="16"/>
      <c r="C652" s="23"/>
      <c r="D652" s="24"/>
      <c r="E652" s="25"/>
      <c r="F652" s="26"/>
      <c r="G652" s="27"/>
      <c r="H652" s="20"/>
      <c r="I652" s="21"/>
      <c r="J652" s="28"/>
      <c r="K652" s="19"/>
    </row>
    <row r="653" spans="1:11" ht="13.2">
      <c r="A653" s="22"/>
      <c r="B653" s="16"/>
      <c r="C653" s="23"/>
      <c r="D653" s="24"/>
      <c r="E653" s="25"/>
      <c r="F653" s="26"/>
      <c r="G653" s="27"/>
      <c r="H653" s="20"/>
      <c r="I653" s="21"/>
      <c r="J653" s="28"/>
      <c r="K653" s="19"/>
    </row>
    <row r="654" spans="1:11" ht="13.2">
      <c r="A654" s="22"/>
      <c r="B654" s="16"/>
      <c r="C654" s="23"/>
      <c r="D654" s="24"/>
      <c r="E654" s="25"/>
      <c r="F654" s="26"/>
      <c r="G654" s="27"/>
      <c r="H654" s="20"/>
      <c r="I654" s="21"/>
      <c r="J654" s="28"/>
      <c r="K654" s="19"/>
    </row>
    <row r="655" spans="1:11" ht="13.2">
      <c r="A655" s="22"/>
      <c r="B655" s="16"/>
      <c r="C655" s="23"/>
      <c r="D655" s="24"/>
      <c r="E655" s="25"/>
      <c r="F655" s="26"/>
      <c r="G655" s="27"/>
      <c r="H655" s="20"/>
      <c r="I655" s="21"/>
      <c r="J655" s="28"/>
      <c r="K655" s="19"/>
    </row>
    <row r="656" spans="1:11" ht="13.2">
      <c r="A656" s="22"/>
      <c r="B656" s="16"/>
      <c r="C656" s="23"/>
      <c r="D656" s="24"/>
      <c r="E656" s="25"/>
      <c r="F656" s="26"/>
      <c r="G656" s="27"/>
      <c r="H656" s="20"/>
      <c r="I656" s="21"/>
      <c r="J656" s="28"/>
      <c r="K656" s="19"/>
    </row>
    <row r="657" spans="1:11" ht="13.2">
      <c r="A657" s="22"/>
      <c r="B657" s="16"/>
      <c r="C657" s="23"/>
      <c r="D657" s="24"/>
      <c r="E657" s="25"/>
      <c r="F657" s="26"/>
      <c r="G657" s="27"/>
      <c r="H657" s="20"/>
      <c r="I657" s="21"/>
      <c r="J657" s="28"/>
      <c r="K657" s="19"/>
    </row>
    <row r="658" spans="1:11" ht="13.2">
      <c r="A658" s="22"/>
      <c r="B658" s="16"/>
      <c r="C658" s="23"/>
      <c r="D658" s="24"/>
      <c r="E658" s="25"/>
      <c r="F658" s="26"/>
      <c r="G658" s="27"/>
      <c r="H658" s="20"/>
      <c r="I658" s="21"/>
      <c r="J658" s="28"/>
      <c r="K658" s="19"/>
    </row>
    <row r="659" spans="1:11" ht="13.2">
      <c r="A659" s="22"/>
      <c r="B659" s="16"/>
      <c r="C659" s="23"/>
      <c r="D659" s="24"/>
      <c r="E659" s="25"/>
      <c r="F659" s="26"/>
      <c r="G659" s="27"/>
      <c r="H659" s="20"/>
      <c r="I659" s="21"/>
      <c r="J659" s="28"/>
      <c r="K659" s="19"/>
    </row>
    <row r="660" spans="1:11" ht="13.2">
      <c r="A660" s="22"/>
      <c r="B660" s="16"/>
      <c r="C660" s="23"/>
      <c r="D660" s="24"/>
      <c r="E660" s="25"/>
      <c r="F660" s="26"/>
      <c r="G660" s="27"/>
      <c r="H660" s="20"/>
      <c r="I660" s="21"/>
      <c r="J660" s="28"/>
      <c r="K660" s="19"/>
    </row>
    <row r="661" spans="1:11" ht="13.2">
      <c r="A661" s="22"/>
      <c r="B661" s="16"/>
      <c r="C661" s="23"/>
      <c r="D661" s="24"/>
      <c r="E661" s="25"/>
      <c r="F661" s="26"/>
      <c r="G661" s="27"/>
      <c r="H661" s="20"/>
      <c r="I661" s="21"/>
      <c r="J661" s="28"/>
      <c r="K661" s="19"/>
    </row>
    <row r="662" spans="1:11" ht="13.2">
      <c r="A662" s="22"/>
      <c r="B662" s="16"/>
      <c r="C662" s="23"/>
      <c r="D662" s="24"/>
      <c r="E662" s="25"/>
      <c r="F662" s="26"/>
      <c r="G662" s="27"/>
      <c r="H662" s="20"/>
      <c r="I662" s="21"/>
      <c r="J662" s="28"/>
      <c r="K662" s="19"/>
    </row>
    <row r="663" spans="1:11" ht="13.2">
      <c r="A663" s="22"/>
      <c r="B663" s="16"/>
      <c r="C663" s="23"/>
      <c r="D663" s="24"/>
      <c r="E663" s="25"/>
      <c r="F663" s="26"/>
      <c r="G663" s="27"/>
      <c r="H663" s="20"/>
      <c r="I663" s="21"/>
      <c r="J663" s="28"/>
      <c r="K663" s="19"/>
    </row>
    <row r="664" spans="1:11" ht="13.2">
      <c r="A664" s="22"/>
      <c r="B664" s="16"/>
      <c r="C664" s="23"/>
      <c r="D664" s="24"/>
      <c r="E664" s="25"/>
      <c r="F664" s="26"/>
      <c r="G664" s="27"/>
      <c r="H664" s="20"/>
      <c r="I664" s="21"/>
      <c r="J664" s="28"/>
      <c r="K664" s="19"/>
    </row>
    <row r="665" spans="1:11" ht="13.2">
      <c r="A665" s="22"/>
      <c r="B665" s="16"/>
      <c r="C665" s="23"/>
      <c r="D665" s="24"/>
      <c r="E665" s="25"/>
      <c r="F665" s="26"/>
      <c r="G665" s="27"/>
      <c r="H665" s="20"/>
      <c r="I665" s="21"/>
      <c r="J665" s="28"/>
      <c r="K665" s="19"/>
    </row>
    <row r="666" spans="1:11" ht="13.2">
      <c r="A666" s="22"/>
      <c r="B666" s="16"/>
      <c r="C666" s="23"/>
      <c r="D666" s="24"/>
      <c r="E666" s="25"/>
      <c r="F666" s="26"/>
      <c r="G666" s="27"/>
      <c r="H666" s="20"/>
      <c r="I666" s="21"/>
      <c r="J666" s="28"/>
      <c r="K666" s="19"/>
    </row>
    <row r="667" spans="1:11" ht="13.2">
      <c r="A667" s="22"/>
      <c r="B667" s="16"/>
      <c r="C667" s="23"/>
      <c r="D667" s="24"/>
      <c r="E667" s="25"/>
      <c r="F667" s="26"/>
      <c r="G667" s="27"/>
      <c r="H667" s="20"/>
      <c r="I667" s="21"/>
      <c r="J667" s="28"/>
      <c r="K667" s="19"/>
    </row>
    <row r="668" spans="1:11" ht="13.2">
      <c r="A668" s="22"/>
      <c r="B668" s="16"/>
      <c r="C668" s="23"/>
      <c r="D668" s="24"/>
      <c r="E668" s="25"/>
      <c r="F668" s="26"/>
      <c r="G668" s="27"/>
      <c r="H668" s="20"/>
      <c r="I668" s="21"/>
      <c r="J668" s="28"/>
      <c r="K668" s="19"/>
    </row>
    <row r="669" spans="1:11" ht="13.2">
      <c r="A669" s="22"/>
      <c r="B669" s="16"/>
      <c r="C669" s="23"/>
      <c r="D669" s="24"/>
      <c r="E669" s="25"/>
      <c r="F669" s="26"/>
      <c r="G669" s="27"/>
      <c r="H669" s="20"/>
      <c r="I669" s="21"/>
      <c r="J669" s="28"/>
      <c r="K669" s="19"/>
    </row>
    <row r="670" spans="1:11" ht="13.2">
      <c r="A670" s="22"/>
      <c r="B670" s="16"/>
      <c r="C670" s="23"/>
      <c r="D670" s="24"/>
      <c r="E670" s="25"/>
      <c r="F670" s="26"/>
      <c r="G670" s="27"/>
      <c r="H670" s="20"/>
      <c r="I670" s="21"/>
      <c r="J670" s="28"/>
      <c r="K670" s="19"/>
    </row>
    <row r="671" spans="1:11" ht="13.2">
      <c r="A671" s="22"/>
      <c r="B671" s="16"/>
      <c r="C671" s="23"/>
      <c r="D671" s="24"/>
      <c r="E671" s="25"/>
      <c r="F671" s="26"/>
      <c r="G671" s="27"/>
      <c r="H671" s="20"/>
      <c r="I671" s="21"/>
      <c r="J671" s="28"/>
      <c r="K671" s="19"/>
    </row>
    <row r="672" spans="1:11" ht="13.2">
      <c r="A672" s="22"/>
      <c r="B672" s="16"/>
      <c r="C672" s="23"/>
      <c r="D672" s="24"/>
      <c r="E672" s="25"/>
      <c r="F672" s="26"/>
      <c r="G672" s="27"/>
      <c r="H672" s="20"/>
      <c r="I672" s="21"/>
      <c r="J672" s="28"/>
      <c r="K672" s="19"/>
    </row>
    <row r="673" spans="1:11" ht="13.2">
      <c r="A673" s="22"/>
      <c r="B673" s="16"/>
      <c r="C673" s="23"/>
      <c r="D673" s="24"/>
      <c r="E673" s="25"/>
      <c r="F673" s="26"/>
      <c r="G673" s="27"/>
      <c r="H673" s="20"/>
      <c r="I673" s="21"/>
      <c r="J673" s="28"/>
      <c r="K673" s="19"/>
    </row>
    <row r="674" spans="1:11" ht="13.2">
      <c r="A674" s="22"/>
      <c r="B674" s="16"/>
      <c r="C674" s="23"/>
      <c r="D674" s="24"/>
      <c r="E674" s="25"/>
      <c r="F674" s="26"/>
      <c r="G674" s="27"/>
      <c r="H674" s="20"/>
      <c r="I674" s="21"/>
      <c r="J674" s="28"/>
      <c r="K674" s="19"/>
    </row>
    <row r="675" spans="1:11" ht="13.2">
      <c r="A675" s="22"/>
      <c r="B675" s="16"/>
      <c r="C675" s="23"/>
      <c r="D675" s="24"/>
      <c r="E675" s="25"/>
      <c r="F675" s="26"/>
      <c r="G675" s="27"/>
      <c r="H675" s="20"/>
      <c r="I675" s="21"/>
      <c r="J675" s="28"/>
      <c r="K675" s="19"/>
    </row>
    <row r="676" spans="1:11" ht="13.2">
      <c r="A676" s="22"/>
      <c r="B676" s="16"/>
      <c r="C676" s="23"/>
      <c r="D676" s="24"/>
      <c r="E676" s="25"/>
      <c r="F676" s="26"/>
      <c r="G676" s="27"/>
      <c r="H676" s="20"/>
      <c r="I676" s="21"/>
      <c r="J676" s="28"/>
      <c r="K676" s="19"/>
    </row>
    <row r="677" spans="1:11" ht="13.2">
      <c r="A677" s="22"/>
      <c r="B677" s="16"/>
      <c r="C677" s="23"/>
      <c r="D677" s="24"/>
      <c r="E677" s="25"/>
      <c r="F677" s="26"/>
      <c r="G677" s="27"/>
      <c r="H677" s="20"/>
      <c r="I677" s="21"/>
      <c r="J677" s="28"/>
      <c r="K677" s="19"/>
    </row>
    <row r="678" spans="1:11" ht="13.2">
      <c r="A678" s="22"/>
      <c r="B678" s="16"/>
      <c r="C678" s="23"/>
      <c r="D678" s="24"/>
      <c r="E678" s="25"/>
      <c r="F678" s="26"/>
      <c r="G678" s="27"/>
      <c r="H678" s="20"/>
      <c r="I678" s="21"/>
      <c r="J678" s="28"/>
      <c r="K678" s="19"/>
    </row>
    <row r="679" spans="1:11" ht="13.2">
      <c r="A679" s="22"/>
      <c r="B679" s="16"/>
      <c r="C679" s="23"/>
      <c r="D679" s="24"/>
      <c r="E679" s="25"/>
      <c r="F679" s="26"/>
      <c r="G679" s="27"/>
      <c r="H679" s="20"/>
      <c r="I679" s="21"/>
      <c r="J679" s="28"/>
      <c r="K679" s="19"/>
    </row>
    <row r="680" spans="1:11" ht="13.2">
      <c r="A680" s="22"/>
      <c r="B680" s="16"/>
      <c r="C680" s="23"/>
      <c r="D680" s="24"/>
      <c r="E680" s="25"/>
      <c r="F680" s="26"/>
      <c r="G680" s="27"/>
      <c r="H680" s="20"/>
      <c r="I680" s="21"/>
      <c r="J680" s="28"/>
      <c r="K680" s="19"/>
    </row>
    <row r="681" spans="1:11" ht="13.2">
      <c r="A681" s="22"/>
      <c r="B681" s="16"/>
      <c r="C681" s="23"/>
      <c r="D681" s="24"/>
      <c r="E681" s="25"/>
      <c r="F681" s="26"/>
      <c r="G681" s="27"/>
      <c r="H681" s="20"/>
      <c r="I681" s="21"/>
      <c r="J681" s="28"/>
      <c r="K681" s="19"/>
    </row>
    <row r="682" spans="1:11" ht="13.2">
      <c r="A682" s="22"/>
      <c r="B682" s="16"/>
      <c r="C682" s="23"/>
      <c r="D682" s="24"/>
      <c r="E682" s="25"/>
      <c r="F682" s="26"/>
      <c r="G682" s="27"/>
      <c r="H682" s="20"/>
      <c r="I682" s="21"/>
      <c r="J682" s="28"/>
      <c r="K682" s="19"/>
    </row>
    <row r="683" spans="1:11" ht="13.2">
      <c r="A683" s="22"/>
      <c r="B683" s="16"/>
      <c r="C683" s="23"/>
      <c r="D683" s="24"/>
      <c r="E683" s="25"/>
      <c r="F683" s="26"/>
      <c r="G683" s="27"/>
      <c r="H683" s="20"/>
      <c r="I683" s="21"/>
      <c r="J683" s="28"/>
      <c r="K683" s="19"/>
    </row>
    <row r="684" spans="1:11" ht="13.2">
      <c r="A684" s="22"/>
      <c r="B684" s="16"/>
      <c r="C684" s="23"/>
      <c r="D684" s="24"/>
      <c r="E684" s="25"/>
      <c r="F684" s="26"/>
      <c r="G684" s="27"/>
      <c r="H684" s="20"/>
      <c r="I684" s="21"/>
      <c r="J684" s="28"/>
      <c r="K684" s="19"/>
    </row>
    <row r="685" spans="1:11" ht="13.2">
      <c r="A685" s="22"/>
      <c r="B685" s="16"/>
      <c r="C685" s="23"/>
      <c r="D685" s="24"/>
      <c r="E685" s="25"/>
      <c r="F685" s="26"/>
      <c r="G685" s="27"/>
      <c r="H685" s="20"/>
      <c r="I685" s="21"/>
      <c r="J685" s="28"/>
      <c r="K685" s="19"/>
    </row>
    <row r="686" spans="1:11" ht="13.2">
      <c r="A686" s="22"/>
      <c r="B686" s="16"/>
      <c r="C686" s="23"/>
      <c r="D686" s="24"/>
      <c r="E686" s="25"/>
      <c r="F686" s="26"/>
      <c r="G686" s="27"/>
      <c r="H686" s="20"/>
      <c r="I686" s="21"/>
      <c r="J686" s="28"/>
      <c r="K686" s="19"/>
    </row>
    <row r="687" spans="1:11" ht="13.2">
      <c r="A687" s="22"/>
      <c r="B687" s="16"/>
      <c r="C687" s="23"/>
      <c r="D687" s="24"/>
      <c r="E687" s="25"/>
      <c r="F687" s="26"/>
      <c r="G687" s="27"/>
      <c r="H687" s="20"/>
      <c r="I687" s="21"/>
      <c r="J687" s="28"/>
      <c r="K687" s="19"/>
    </row>
    <row r="688" spans="1:11" ht="13.2">
      <c r="A688" s="22"/>
      <c r="B688" s="16"/>
      <c r="C688" s="23"/>
      <c r="D688" s="24"/>
      <c r="E688" s="25"/>
      <c r="F688" s="26"/>
      <c r="G688" s="27"/>
      <c r="H688" s="20"/>
      <c r="I688" s="21"/>
      <c r="J688" s="28"/>
      <c r="K688" s="19"/>
    </row>
    <row r="689" spans="1:11" ht="13.2">
      <c r="A689" s="22"/>
      <c r="B689" s="16"/>
      <c r="C689" s="23"/>
      <c r="D689" s="24"/>
      <c r="E689" s="25"/>
      <c r="F689" s="26"/>
      <c r="G689" s="27"/>
      <c r="H689" s="20"/>
      <c r="I689" s="21"/>
      <c r="J689" s="28"/>
      <c r="K689" s="19"/>
    </row>
    <row r="690" spans="1:11" ht="13.2">
      <c r="A690" s="22"/>
      <c r="B690" s="16"/>
      <c r="C690" s="23"/>
      <c r="D690" s="24"/>
      <c r="E690" s="25"/>
      <c r="F690" s="26"/>
      <c r="G690" s="27"/>
      <c r="H690" s="20"/>
      <c r="I690" s="21"/>
      <c r="J690" s="28"/>
      <c r="K690" s="19"/>
    </row>
    <row r="691" spans="1:11" ht="13.2">
      <c r="A691" s="22"/>
      <c r="B691" s="16"/>
      <c r="C691" s="23"/>
      <c r="D691" s="24"/>
      <c r="E691" s="25"/>
      <c r="F691" s="26"/>
      <c r="G691" s="27"/>
      <c r="H691" s="20"/>
      <c r="I691" s="21"/>
      <c r="J691" s="28"/>
      <c r="K691" s="19"/>
    </row>
    <row r="692" spans="1:11" ht="13.2">
      <c r="A692" s="22"/>
      <c r="B692" s="16"/>
      <c r="C692" s="23"/>
      <c r="D692" s="24"/>
      <c r="E692" s="25"/>
      <c r="F692" s="26"/>
      <c r="G692" s="27"/>
      <c r="H692" s="20"/>
      <c r="I692" s="21"/>
      <c r="J692" s="28"/>
      <c r="K692" s="19"/>
    </row>
    <row r="693" spans="1:11" ht="13.2">
      <c r="A693" s="22"/>
      <c r="B693" s="16"/>
      <c r="C693" s="23"/>
      <c r="D693" s="24"/>
      <c r="E693" s="25"/>
      <c r="F693" s="26"/>
      <c r="G693" s="27"/>
      <c r="H693" s="20"/>
      <c r="I693" s="21"/>
      <c r="J693" s="28"/>
      <c r="K693" s="19"/>
    </row>
    <row r="694" spans="1:11" ht="13.2">
      <c r="A694" s="22"/>
      <c r="B694" s="16"/>
      <c r="C694" s="23"/>
      <c r="D694" s="24"/>
      <c r="E694" s="25"/>
      <c r="F694" s="26"/>
      <c r="G694" s="27"/>
      <c r="H694" s="20"/>
      <c r="I694" s="21"/>
      <c r="J694" s="28"/>
      <c r="K694" s="19"/>
    </row>
    <row r="695" spans="1:11" ht="13.2">
      <c r="A695" s="22"/>
      <c r="B695" s="16"/>
      <c r="C695" s="23"/>
      <c r="D695" s="24"/>
      <c r="E695" s="25"/>
      <c r="F695" s="26"/>
      <c r="G695" s="27"/>
      <c r="H695" s="20"/>
      <c r="I695" s="21"/>
      <c r="J695" s="28"/>
      <c r="K695" s="19"/>
    </row>
    <row r="696" spans="1:11" ht="13.2">
      <c r="A696" s="22"/>
      <c r="B696" s="16"/>
      <c r="C696" s="23"/>
      <c r="D696" s="24"/>
      <c r="E696" s="25"/>
      <c r="F696" s="26"/>
      <c r="G696" s="27"/>
      <c r="H696" s="20"/>
      <c r="I696" s="21"/>
      <c r="J696" s="28"/>
      <c r="K696" s="19"/>
    </row>
    <row r="697" spans="1:11" ht="13.2">
      <c r="A697" s="22"/>
      <c r="B697" s="16"/>
      <c r="C697" s="23"/>
      <c r="D697" s="24"/>
      <c r="E697" s="25"/>
      <c r="F697" s="26"/>
      <c r="G697" s="27"/>
      <c r="H697" s="20"/>
      <c r="I697" s="21"/>
      <c r="J697" s="28"/>
      <c r="K697" s="19"/>
    </row>
    <row r="698" spans="1:11" ht="13.2">
      <c r="A698" s="22"/>
      <c r="B698" s="16"/>
      <c r="C698" s="23"/>
      <c r="D698" s="24"/>
      <c r="E698" s="25"/>
      <c r="F698" s="26"/>
      <c r="G698" s="27"/>
      <c r="H698" s="20"/>
      <c r="I698" s="21"/>
      <c r="J698" s="28"/>
      <c r="K698" s="19"/>
    </row>
    <row r="699" spans="1:11" ht="13.2">
      <c r="A699" s="22"/>
      <c r="B699" s="16"/>
      <c r="C699" s="23"/>
      <c r="D699" s="24"/>
      <c r="E699" s="25"/>
      <c r="F699" s="26"/>
      <c r="G699" s="27"/>
      <c r="H699" s="20"/>
      <c r="I699" s="21"/>
      <c r="J699" s="28"/>
      <c r="K699" s="19"/>
    </row>
    <row r="700" spans="1:11" ht="13.2">
      <c r="A700" s="22"/>
      <c r="B700" s="16"/>
      <c r="C700" s="23"/>
      <c r="D700" s="24"/>
      <c r="E700" s="25"/>
      <c r="F700" s="26"/>
      <c r="G700" s="27"/>
      <c r="H700" s="20"/>
      <c r="I700" s="21"/>
      <c r="J700" s="28"/>
      <c r="K700" s="19"/>
    </row>
    <row r="701" spans="1:11" ht="13.2">
      <c r="A701" s="22"/>
      <c r="B701" s="16"/>
      <c r="C701" s="23"/>
      <c r="D701" s="24"/>
      <c r="E701" s="25"/>
      <c r="F701" s="26"/>
      <c r="G701" s="27"/>
      <c r="H701" s="20"/>
      <c r="I701" s="21"/>
      <c r="J701" s="28"/>
      <c r="K701" s="19"/>
    </row>
    <row r="702" spans="1:11" ht="13.2">
      <c r="A702" s="22"/>
      <c r="B702" s="16"/>
      <c r="C702" s="23"/>
      <c r="D702" s="24"/>
      <c r="E702" s="25"/>
      <c r="F702" s="26"/>
      <c r="G702" s="27"/>
      <c r="H702" s="20"/>
      <c r="I702" s="21"/>
      <c r="J702" s="28"/>
      <c r="K702" s="19"/>
    </row>
    <row r="703" spans="1:11" ht="13.2">
      <c r="A703" s="22"/>
      <c r="B703" s="16"/>
      <c r="C703" s="23"/>
      <c r="D703" s="24"/>
      <c r="E703" s="25"/>
      <c r="F703" s="26"/>
      <c r="G703" s="27"/>
      <c r="H703" s="20"/>
      <c r="I703" s="21"/>
      <c r="J703" s="28"/>
      <c r="K703" s="19"/>
    </row>
    <row r="704" spans="1:11" ht="13.2">
      <c r="A704" s="22"/>
      <c r="B704" s="16"/>
      <c r="C704" s="23"/>
      <c r="D704" s="24"/>
      <c r="E704" s="25"/>
      <c r="F704" s="26"/>
      <c r="G704" s="27"/>
      <c r="H704" s="20"/>
      <c r="I704" s="21"/>
      <c r="J704" s="28"/>
      <c r="K704" s="19"/>
    </row>
    <row r="705" spans="1:11" ht="13.2">
      <c r="A705" s="22"/>
      <c r="B705" s="16"/>
      <c r="C705" s="23"/>
      <c r="D705" s="24"/>
      <c r="E705" s="25"/>
      <c r="F705" s="26"/>
      <c r="G705" s="27"/>
      <c r="H705" s="20"/>
      <c r="I705" s="21"/>
      <c r="J705" s="28"/>
      <c r="K705" s="19"/>
    </row>
    <row r="706" spans="1:11" ht="13.2">
      <c r="A706" s="22"/>
      <c r="B706" s="16"/>
      <c r="C706" s="23"/>
      <c r="D706" s="24"/>
      <c r="E706" s="25"/>
      <c r="F706" s="26"/>
      <c r="G706" s="27"/>
      <c r="H706" s="20"/>
      <c r="I706" s="21"/>
      <c r="J706" s="28"/>
      <c r="K706" s="19"/>
    </row>
    <row r="707" spans="1:11" ht="13.2">
      <c r="A707" s="22"/>
      <c r="B707" s="16"/>
      <c r="C707" s="23"/>
      <c r="D707" s="24"/>
      <c r="E707" s="25"/>
      <c r="F707" s="26"/>
      <c r="G707" s="27"/>
      <c r="H707" s="20"/>
      <c r="I707" s="21"/>
      <c r="J707" s="28"/>
      <c r="K707" s="19"/>
    </row>
    <row r="708" spans="1:11" ht="13.2">
      <c r="A708" s="22"/>
      <c r="B708" s="16"/>
      <c r="C708" s="23"/>
      <c r="D708" s="24"/>
      <c r="E708" s="25"/>
      <c r="F708" s="26"/>
      <c r="G708" s="27"/>
      <c r="H708" s="20"/>
      <c r="I708" s="21"/>
      <c r="J708" s="28"/>
      <c r="K708" s="19"/>
    </row>
    <row r="709" spans="1:11" ht="13.2">
      <c r="A709" s="22"/>
      <c r="B709" s="16"/>
      <c r="C709" s="23"/>
      <c r="D709" s="24"/>
      <c r="E709" s="25"/>
      <c r="F709" s="26"/>
      <c r="G709" s="27"/>
      <c r="H709" s="20"/>
      <c r="I709" s="21"/>
      <c r="J709" s="28"/>
      <c r="K709" s="19"/>
    </row>
    <row r="710" spans="1:11" ht="13.2">
      <c r="A710" s="22"/>
      <c r="B710" s="16"/>
      <c r="C710" s="23"/>
      <c r="D710" s="24"/>
      <c r="E710" s="25"/>
      <c r="F710" s="26"/>
      <c r="G710" s="27"/>
      <c r="H710" s="20"/>
      <c r="I710" s="21"/>
      <c r="J710" s="28"/>
      <c r="K710" s="19"/>
    </row>
    <row r="711" spans="1:11" ht="13.2">
      <c r="A711" s="22"/>
      <c r="B711" s="16"/>
      <c r="C711" s="23"/>
      <c r="D711" s="24"/>
      <c r="E711" s="25"/>
      <c r="F711" s="26"/>
      <c r="G711" s="27"/>
      <c r="H711" s="20"/>
      <c r="I711" s="21"/>
      <c r="J711" s="28"/>
      <c r="K711" s="19"/>
    </row>
    <row r="712" spans="1:11" ht="13.2">
      <c r="A712" s="22"/>
      <c r="B712" s="16"/>
      <c r="C712" s="23"/>
      <c r="D712" s="24"/>
      <c r="E712" s="25"/>
      <c r="F712" s="26"/>
      <c r="G712" s="27"/>
      <c r="H712" s="20"/>
      <c r="I712" s="21"/>
      <c r="J712" s="28"/>
      <c r="K712" s="19"/>
    </row>
    <row r="713" spans="1:11" ht="13.2">
      <c r="A713" s="22"/>
      <c r="B713" s="16"/>
      <c r="C713" s="23"/>
      <c r="D713" s="24"/>
      <c r="E713" s="25"/>
      <c r="F713" s="26"/>
      <c r="G713" s="27"/>
      <c r="H713" s="20"/>
      <c r="I713" s="21"/>
      <c r="J713" s="28"/>
      <c r="K713" s="19"/>
    </row>
    <row r="714" spans="1:11" ht="13.2">
      <c r="A714" s="22"/>
      <c r="B714" s="16"/>
      <c r="C714" s="23"/>
      <c r="D714" s="24"/>
      <c r="E714" s="25"/>
      <c r="F714" s="26"/>
      <c r="G714" s="27"/>
      <c r="H714" s="20"/>
      <c r="I714" s="21"/>
      <c r="J714" s="28"/>
      <c r="K714" s="19"/>
    </row>
    <row r="715" spans="1:11" ht="13.2">
      <c r="A715" s="22"/>
      <c r="B715" s="16"/>
      <c r="C715" s="23"/>
      <c r="D715" s="24"/>
      <c r="E715" s="25"/>
      <c r="F715" s="26"/>
      <c r="G715" s="27"/>
      <c r="H715" s="20"/>
      <c r="I715" s="21"/>
      <c r="J715" s="28"/>
      <c r="K715" s="19"/>
    </row>
    <row r="716" spans="1:11" ht="13.2">
      <c r="A716" s="22"/>
      <c r="B716" s="16"/>
      <c r="C716" s="23"/>
      <c r="D716" s="24"/>
      <c r="E716" s="25"/>
      <c r="F716" s="26"/>
      <c r="G716" s="27"/>
      <c r="H716" s="20"/>
      <c r="I716" s="21"/>
      <c r="J716" s="28"/>
      <c r="K716" s="19"/>
    </row>
    <row r="717" spans="1:11" ht="13.2">
      <c r="A717" s="22"/>
      <c r="B717" s="16"/>
      <c r="C717" s="23"/>
      <c r="D717" s="24"/>
      <c r="E717" s="25"/>
      <c r="F717" s="26"/>
      <c r="G717" s="27"/>
      <c r="H717" s="20"/>
      <c r="I717" s="21"/>
      <c r="J717" s="28"/>
      <c r="K717" s="19"/>
    </row>
    <row r="718" spans="1:11" ht="13.2">
      <c r="A718" s="22"/>
      <c r="B718" s="16"/>
      <c r="C718" s="23"/>
      <c r="D718" s="24"/>
      <c r="E718" s="25"/>
      <c r="F718" s="26"/>
      <c r="G718" s="27"/>
      <c r="H718" s="20"/>
      <c r="I718" s="21"/>
      <c r="J718" s="28"/>
      <c r="K718" s="19"/>
    </row>
    <row r="719" spans="1:11" ht="13.2">
      <c r="A719" s="22"/>
      <c r="B719" s="16"/>
      <c r="C719" s="23"/>
      <c r="D719" s="24"/>
      <c r="E719" s="25"/>
      <c r="F719" s="26"/>
      <c r="G719" s="27"/>
      <c r="H719" s="20"/>
      <c r="I719" s="21"/>
      <c r="J719" s="28"/>
      <c r="K719" s="19"/>
    </row>
    <row r="720" spans="1:11" ht="13.2">
      <c r="A720" s="22"/>
      <c r="B720" s="16"/>
      <c r="C720" s="23"/>
      <c r="D720" s="24"/>
      <c r="E720" s="25"/>
      <c r="F720" s="26"/>
      <c r="G720" s="27"/>
      <c r="H720" s="20"/>
      <c r="I720" s="21"/>
      <c r="J720" s="28"/>
      <c r="K720" s="19"/>
    </row>
    <row r="721" spans="1:11" ht="13.2">
      <c r="A721" s="22"/>
      <c r="B721" s="16"/>
      <c r="C721" s="23"/>
      <c r="D721" s="24"/>
      <c r="E721" s="25"/>
      <c r="F721" s="26"/>
      <c r="G721" s="27"/>
      <c r="H721" s="20"/>
      <c r="I721" s="21"/>
      <c r="J721" s="28"/>
      <c r="K721" s="19"/>
    </row>
    <row r="722" spans="1:11" ht="13.2">
      <c r="A722" s="22"/>
      <c r="B722" s="16"/>
      <c r="C722" s="23"/>
      <c r="D722" s="24"/>
      <c r="E722" s="25"/>
      <c r="F722" s="26"/>
      <c r="G722" s="27"/>
      <c r="H722" s="20"/>
      <c r="I722" s="21"/>
      <c r="J722" s="28"/>
      <c r="K722" s="19"/>
    </row>
    <row r="723" spans="1:11" ht="13.2">
      <c r="A723" s="22"/>
      <c r="B723" s="16"/>
      <c r="C723" s="23"/>
      <c r="D723" s="24"/>
      <c r="E723" s="25"/>
      <c r="F723" s="26"/>
      <c r="G723" s="27"/>
      <c r="H723" s="20"/>
      <c r="I723" s="21"/>
      <c r="J723" s="28"/>
      <c r="K723" s="19"/>
    </row>
    <row r="724" spans="1:11" ht="13.2">
      <c r="A724" s="22"/>
      <c r="B724" s="16"/>
      <c r="C724" s="23"/>
      <c r="D724" s="24"/>
      <c r="E724" s="25"/>
      <c r="F724" s="26"/>
      <c r="G724" s="27"/>
      <c r="H724" s="20"/>
      <c r="I724" s="21"/>
      <c r="J724" s="28"/>
      <c r="K724" s="19"/>
    </row>
    <row r="725" spans="1:11" ht="13.2">
      <c r="A725" s="22"/>
      <c r="B725" s="16"/>
      <c r="C725" s="23"/>
      <c r="D725" s="24"/>
      <c r="E725" s="25"/>
      <c r="F725" s="26"/>
      <c r="G725" s="27"/>
      <c r="H725" s="20"/>
      <c r="I725" s="21"/>
      <c r="J725" s="28"/>
      <c r="K725" s="19"/>
    </row>
    <row r="726" spans="1:11" ht="13.2">
      <c r="A726" s="22"/>
      <c r="B726" s="16"/>
      <c r="C726" s="23"/>
      <c r="D726" s="24"/>
      <c r="E726" s="25"/>
      <c r="F726" s="26"/>
      <c r="G726" s="27"/>
      <c r="H726" s="20"/>
      <c r="I726" s="21"/>
      <c r="J726" s="28"/>
      <c r="K726" s="19"/>
    </row>
    <row r="727" spans="1:11" ht="13.2">
      <c r="A727" s="22"/>
      <c r="B727" s="16"/>
      <c r="C727" s="23"/>
      <c r="D727" s="24"/>
      <c r="E727" s="25"/>
      <c r="F727" s="26"/>
      <c r="G727" s="27"/>
      <c r="H727" s="20"/>
      <c r="I727" s="21"/>
      <c r="J727" s="28"/>
      <c r="K727" s="19"/>
    </row>
    <row r="728" spans="1:11" ht="13.2">
      <c r="A728" s="22"/>
      <c r="B728" s="16"/>
      <c r="C728" s="23"/>
      <c r="D728" s="24"/>
      <c r="E728" s="25"/>
      <c r="F728" s="26"/>
      <c r="G728" s="27"/>
      <c r="H728" s="20"/>
      <c r="I728" s="21"/>
      <c r="J728" s="28"/>
      <c r="K728" s="19"/>
    </row>
    <row r="729" spans="1:11" ht="13.2">
      <c r="A729" s="22"/>
      <c r="B729" s="16"/>
      <c r="C729" s="23"/>
      <c r="D729" s="24"/>
      <c r="E729" s="25"/>
      <c r="F729" s="26"/>
      <c r="G729" s="27"/>
      <c r="H729" s="20"/>
      <c r="I729" s="21"/>
      <c r="J729" s="28"/>
      <c r="K729" s="19"/>
    </row>
    <row r="730" spans="1:11" ht="13.2">
      <c r="A730" s="22"/>
      <c r="B730" s="16"/>
      <c r="C730" s="23"/>
      <c r="D730" s="24"/>
      <c r="E730" s="25"/>
      <c r="F730" s="26"/>
      <c r="G730" s="27"/>
      <c r="H730" s="20"/>
      <c r="I730" s="21"/>
      <c r="J730" s="28"/>
      <c r="K730" s="19"/>
    </row>
    <row r="731" spans="1:11" ht="13.2">
      <c r="A731" s="22"/>
      <c r="B731" s="16"/>
      <c r="C731" s="23"/>
      <c r="D731" s="24"/>
      <c r="E731" s="25"/>
      <c r="F731" s="26"/>
      <c r="G731" s="27"/>
      <c r="H731" s="20"/>
      <c r="I731" s="21"/>
      <c r="J731" s="28"/>
      <c r="K731" s="19"/>
    </row>
    <row r="732" spans="1:11" ht="13.2">
      <c r="A732" s="22"/>
      <c r="B732" s="16"/>
      <c r="C732" s="23"/>
      <c r="D732" s="24"/>
      <c r="E732" s="25"/>
      <c r="F732" s="26"/>
      <c r="G732" s="27"/>
      <c r="H732" s="20"/>
      <c r="I732" s="21"/>
      <c r="J732" s="28"/>
      <c r="K732" s="19"/>
    </row>
    <row r="733" spans="1:11" ht="13.2">
      <c r="A733" s="22"/>
      <c r="B733" s="16"/>
      <c r="C733" s="23"/>
      <c r="D733" s="24"/>
      <c r="E733" s="25"/>
      <c r="F733" s="26"/>
      <c r="G733" s="27"/>
      <c r="H733" s="20"/>
      <c r="I733" s="21"/>
      <c r="J733" s="28"/>
      <c r="K733" s="19"/>
    </row>
    <row r="734" spans="1:11" ht="13.2">
      <c r="A734" s="22"/>
      <c r="B734" s="16"/>
      <c r="C734" s="23"/>
      <c r="D734" s="24"/>
      <c r="E734" s="25"/>
      <c r="F734" s="26"/>
      <c r="G734" s="27"/>
      <c r="H734" s="20"/>
      <c r="I734" s="21"/>
      <c r="J734" s="28"/>
      <c r="K734" s="19"/>
    </row>
    <row r="735" spans="1:11" ht="13.2">
      <c r="A735" s="22"/>
      <c r="B735" s="16"/>
      <c r="C735" s="23"/>
      <c r="D735" s="24"/>
      <c r="E735" s="25"/>
      <c r="F735" s="26"/>
      <c r="G735" s="27"/>
      <c r="H735" s="20"/>
      <c r="I735" s="21"/>
      <c r="J735" s="28"/>
      <c r="K735" s="19"/>
    </row>
    <row r="736" spans="1:11" ht="13.2">
      <c r="A736" s="22"/>
      <c r="B736" s="16"/>
      <c r="C736" s="23"/>
      <c r="D736" s="24"/>
      <c r="E736" s="25"/>
      <c r="F736" s="26"/>
      <c r="G736" s="27"/>
      <c r="H736" s="20"/>
      <c r="I736" s="21"/>
      <c r="J736" s="28"/>
      <c r="K736" s="19"/>
    </row>
    <row r="737" spans="1:11" ht="13.2">
      <c r="A737" s="22"/>
      <c r="B737" s="16"/>
      <c r="C737" s="23"/>
      <c r="D737" s="24"/>
      <c r="E737" s="25"/>
      <c r="F737" s="26"/>
      <c r="G737" s="27"/>
      <c r="H737" s="20"/>
      <c r="I737" s="21"/>
      <c r="J737" s="28"/>
      <c r="K737" s="19"/>
    </row>
    <row r="738" spans="1:11" ht="13.2">
      <c r="A738" s="22"/>
      <c r="B738" s="16"/>
      <c r="C738" s="23"/>
      <c r="D738" s="24"/>
      <c r="E738" s="25"/>
      <c r="F738" s="26"/>
      <c r="G738" s="27"/>
      <c r="H738" s="20"/>
      <c r="I738" s="21"/>
      <c r="J738" s="28"/>
      <c r="K738" s="19"/>
    </row>
    <row r="739" spans="1:11" ht="13.2">
      <c r="A739" s="22"/>
      <c r="B739" s="16"/>
      <c r="C739" s="23"/>
      <c r="D739" s="24"/>
      <c r="E739" s="25"/>
      <c r="F739" s="26"/>
      <c r="G739" s="27"/>
      <c r="H739" s="20"/>
      <c r="I739" s="21"/>
      <c r="J739" s="28"/>
      <c r="K739" s="19"/>
    </row>
    <row r="740" spans="1:11" ht="13.2">
      <c r="A740" s="22"/>
      <c r="B740" s="16"/>
      <c r="C740" s="23"/>
      <c r="D740" s="24"/>
      <c r="E740" s="25"/>
      <c r="F740" s="26"/>
      <c r="G740" s="27"/>
      <c r="H740" s="20"/>
      <c r="I740" s="21"/>
      <c r="J740" s="28"/>
      <c r="K740" s="19"/>
    </row>
    <row r="741" spans="1:11" ht="13.2">
      <c r="A741" s="22"/>
      <c r="B741" s="16"/>
      <c r="C741" s="23"/>
      <c r="D741" s="24"/>
      <c r="E741" s="25"/>
      <c r="F741" s="26"/>
      <c r="G741" s="27"/>
      <c r="H741" s="20"/>
      <c r="I741" s="21"/>
      <c r="J741" s="28"/>
      <c r="K741" s="19"/>
    </row>
    <row r="742" spans="1:11" ht="13.2">
      <c r="A742" s="22"/>
      <c r="B742" s="16"/>
      <c r="C742" s="23"/>
      <c r="D742" s="24"/>
      <c r="E742" s="25"/>
      <c r="F742" s="26"/>
      <c r="G742" s="27"/>
      <c r="H742" s="20"/>
      <c r="I742" s="21"/>
      <c r="J742" s="28"/>
      <c r="K742" s="19"/>
    </row>
    <row r="743" spans="1:11" ht="13.2">
      <c r="A743" s="22"/>
      <c r="B743" s="16"/>
      <c r="C743" s="23"/>
      <c r="D743" s="24"/>
      <c r="E743" s="25"/>
      <c r="F743" s="26"/>
      <c r="G743" s="27"/>
      <c r="H743" s="20"/>
      <c r="I743" s="21"/>
      <c r="J743" s="28"/>
      <c r="K743" s="19"/>
    </row>
    <row r="744" spans="1:11" ht="13.2">
      <c r="A744" s="22"/>
      <c r="B744" s="16"/>
      <c r="C744" s="23"/>
      <c r="D744" s="24"/>
      <c r="E744" s="25"/>
      <c r="F744" s="26"/>
      <c r="G744" s="27"/>
      <c r="H744" s="20"/>
      <c r="I744" s="21"/>
      <c r="J744" s="28"/>
      <c r="K744" s="19"/>
    </row>
    <row r="745" spans="1:11" ht="13.2">
      <c r="A745" s="22"/>
      <c r="B745" s="16"/>
      <c r="C745" s="23"/>
      <c r="D745" s="24"/>
      <c r="E745" s="25"/>
      <c r="F745" s="26"/>
      <c r="G745" s="27"/>
      <c r="H745" s="20"/>
      <c r="I745" s="21"/>
      <c r="J745" s="28"/>
      <c r="K745" s="19"/>
    </row>
    <row r="746" spans="1:11" ht="13.2">
      <c r="A746" s="22"/>
      <c r="B746" s="16"/>
      <c r="C746" s="23"/>
      <c r="D746" s="24"/>
      <c r="E746" s="25"/>
      <c r="F746" s="26"/>
      <c r="G746" s="27"/>
      <c r="H746" s="20"/>
      <c r="I746" s="21"/>
      <c r="J746" s="28"/>
      <c r="K746" s="19"/>
    </row>
    <row r="747" spans="1:11" ht="13.2">
      <c r="A747" s="22"/>
      <c r="B747" s="16"/>
      <c r="C747" s="23"/>
      <c r="D747" s="24"/>
      <c r="E747" s="25"/>
      <c r="F747" s="26"/>
      <c r="G747" s="27"/>
      <c r="H747" s="20"/>
      <c r="I747" s="21"/>
      <c r="J747" s="28"/>
      <c r="K747" s="19"/>
    </row>
    <row r="748" spans="1:11" ht="13.2">
      <c r="A748" s="22"/>
      <c r="B748" s="16"/>
      <c r="C748" s="23"/>
      <c r="D748" s="24"/>
      <c r="E748" s="25"/>
      <c r="F748" s="26"/>
      <c r="G748" s="27"/>
      <c r="H748" s="20"/>
      <c r="I748" s="21"/>
      <c r="J748" s="28"/>
      <c r="K748" s="19"/>
    </row>
    <row r="749" spans="1:11" ht="13.2">
      <c r="A749" s="22"/>
      <c r="B749" s="16"/>
      <c r="C749" s="23"/>
      <c r="D749" s="24"/>
      <c r="E749" s="25"/>
      <c r="F749" s="26"/>
      <c r="G749" s="27"/>
      <c r="H749" s="20"/>
      <c r="I749" s="21"/>
      <c r="J749" s="28"/>
      <c r="K749" s="19"/>
    </row>
    <row r="750" spans="1:11" ht="13.2">
      <c r="A750" s="22"/>
      <c r="B750" s="16"/>
      <c r="C750" s="23"/>
      <c r="D750" s="24"/>
      <c r="E750" s="25"/>
      <c r="F750" s="26"/>
      <c r="G750" s="27"/>
      <c r="H750" s="20"/>
      <c r="I750" s="21"/>
      <c r="J750" s="28"/>
      <c r="K750" s="19"/>
    </row>
    <row r="751" spans="1:11" ht="13.2">
      <c r="A751" s="22"/>
      <c r="B751" s="16"/>
      <c r="C751" s="23"/>
      <c r="D751" s="24"/>
      <c r="E751" s="25"/>
      <c r="F751" s="26"/>
      <c r="G751" s="27"/>
      <c r="H751" s="20"/>
      <c r="I751" s="21"/>
      <c r="J751" s="28"/>
      <c r="K751" s="19"/>
    </row>
    <row r="752" spans="1:11" ht="13.2">
      <c r="A752" s="22"/>
      <c r="B752" s="16"/>
      <c r="C752" s="23"/>
      <c r="D752" s="24"/>
      <c r="E752" s="25"/>
      <c r="F752" s="26"/>
      <c r="G752" s="27"/>
      <c r="H752" s="20"/>
      <c r="I752" s="21"/>
      <c r="J752" s="28"/>
      <c r="K752" s="19"/>
    </row>
    <row r="753" spans="1:11" ht="13.2">
      <c r="A753" s="22"/>
      <c r="B753" s="16"/>
      <c r="C753" s="23"/>
      <c r="D753" s="24"/>
      <c r="E753" s="25"/>
      <c r="F753" s="26"/>
      <c r="G753" s="27"/>
      <c r="H753" s="20"/>
      <c r="I753" s="21"/>
      <c r="J753" s="28"/>
      <c r="K753" s="19"/>
    </row>
    <row r="754" spans="1:11" ht="13.2">
      <c r="A754" s="22"/>
      <c r="B754" s="16"/>
      <c r="C754" s="23"/>
      <c r="D754" s="24"/>
      <c r="E754" s="25"/>
      <c r="F754" s="26"/>
      <c r="G754" s="27"/>
      <c r="H754" s="20"/>
      <c r="I754" s="21"/>
      <c r="J754" s="28"/>
      <c r="K754" s="19"/>
    </row>
    <row r="755" spans="1:11" ht="13.2">
      <c r="A755" s="22"/>
      <c r="B755" s="16"/>
      <c r="C755" s="23"/>
      <c r="D755" s="24"/>
      <c r="E755" s="25"/>
      <c r="F755" s="26"/>
      <c r="G755" s="27"/>
      <c r="H755" s="20"/>
      <c r="I755" s="21"/>
      <c r="J755" s="28"/>
      <c r="K755" s="19"/>
    </row>
    <row r="756" spans="1:11" ht="13.2">
      <c r="A756" s="22"/>
      <c r="B756" s="16"/>
      <c r="C756" s="23"/>
      <c r="D756" s="24"/>
      <c r="E756" s="25"/>
      <c r="F756" s="26"/>
      <c r="G756" s="27"/>
      <c r="H756" s="20"/>
      <c r="I756" s="21"/>
      <c r="J756" s="28"/>
      <c r="K756" s="19"/>
    </row>
    <row r="757" spans="1:11" ht="13.2">
      <c r="A757" s="22"/>
      <c r="B757" s="16"/>
      <c r="C757" s="23"/>
      <c r="D757" s="24"/>
      <c r="E757" s="25"/>
      <c r="F757" s="26"/>
      <c r="G757" s="27"/>
      <c r="H757" s="20"/>
      <c r="I757" s="21"/>
      <c r="J757" s="28"/>
      <c r="K757" s="19"/>
    </row>
    <row r="758" spans="1:11" ht="13.2">
      <c r="A758" s="22"/>
      <c r="B758" s="16"/>
      <c r="C758" s="23"/>
      <c r="D758" s="24"/>
      <c r="E758" s="25"/>
      <c r="F758" s="26"/>
      <c r="G758" s="27"/>
      <c r="H758" s="20"/>
      <c r="I758" s="21"/>
      <c r="J758" s="28"/>
      <c r="K758" s="19"/>
    </row>
    <row r="759" spans="1:11" ht="13.2">
      <c r="A759" s="22"/>
      <c r="B759" s="16"/>
      <c r="C759" s="23"/>
      <c r="D759" s="24"/>
      <c r="E759" s="25"/>
      <c r="F759" s="26"/>
      <c r="G759" s="27"/>
      <c r="H759" s="20"/>
      <c r="I759" s="21"/>
      <c r="J759" s="28"/>
      <c r="K759" s="19"/>
    </row>
    <row r="760" spans="1:11" ht="13.2">
      <c r="A760" s="22"/>
      <c r="B760" s="16"/>
      <c r="C760" s="23"/>
      <c r="D760" s="24"/>
      <c r="E760" s="25"/>
      <c r="F760" s="26"/>
      <c r="G760" s="27"/>
      <c r="H760" s="20"/>
      <c r="I760" s="21"/>
      <c r="J760" s="28"/>
      <c r="K760" s="19"/>
    </row>
    <row r="761" spans="1:11" ht="13.2">
      <c r="A761" s="22"/>
      <c r="B761" s="16"/>
      <c r="C761" s="23"/>
      <c r="D761" s="24"/>
      <c r="E761" s="25"/>
      <c r="F761" s="26"/>
      <c r="G761" s="27"/>
      <c r="H761" s="20"/>
      <c r="I761" s="21"/>
      <c r="J761" s="28"/>
      <c r="K761" s="19"/>
    </row>
    <row r="762" spans="1:11" ht="13.2">
      <c r="A762" s="22"/>
      <c r="B762" s="16"/>
      <c r="C762" s="23"/>
      <c r="D762" s="24"/>
      <c r="E762" s="25"/>
      <c r="F762" s="26"/>
      <c r="G762" s="27"/>
      <c r="H762" s="20"/>
      <c r="I762" s="21"/>
      <c r="J762" s="28"/>
      <c r="K762" s="19"/>
    </row>
    <row r="763" spans="1:11" ht="13.2">
      <c r="A763" s="22"/>
      <c r="B763" s="16"/>
      <c r="C763" s="23"/>
      <c r="D763" s="24"/>
      <c r="E763" s="25"/>
      <c r="F763" s="26"/>
      <c r="G763" s="27"/>
      <c r="H763" s="20"/>
      <c r="I763" s="21"/>
      <c r="J763" s="28"/>
      <c r="K763" s="19"/>
    </row>
    <row r="764" spans="1:11" ht="13.2">
      <c r="A764" s="22"/>
      <c r="B764" s="16"/>
      <c r="C764" s="23"/>
      <c r="D764" s="24"/>
      <c r="E764" s="25"/>
      <c r="F764" s="26"/>
      <c r="G764" s="27"/>
      <c r="H764" s="20"/>
      <c r="I764" s="21"/>
      <c r="J764" s="28"/>
      <c r="K764" s="19"/>
    </row>
    <row r="765" spans="1:11" ht="13.2">
      <c r="A765" s="22"/>
      <c r="B765" s="16"/>
      <c r="C765" s="23"/>
      <c r="D765" s="24"/>
      <c r="E765" s="25"/>
      <c r="F765" s="26"/>
      <c r="G765" s="27"/>
      <c r="H765" s="20"/>
      <c r="I765" s="21"/>
      <c r="J765" s="28"/>
      <c r="K765" s="19"/>
    </row>
    <row r="766" spans="1:11" ht="13.2">
      <c r="A766" s="22"/>
      <c r="B766" s="16"/>
      <c r="C766" s="23"/>
      <c r="D766" s="24"/>
      <c r="E766" s="25"/>
      <c r="F766" s="26"/>
      <c r="G766" s="27"/>
      <c r="H766" s="20"/>
      <c r="I766" s="21"/>
      <c r="J766" s="28"/>
      <c r="K766" s="19"/>
    </row>
    <row r="767" spans="1:11" ht="13.2">
      <c r="A767" s="22"/>
      <c r="B767" s="16"/>
      <c r="C767" s="23"/>
      <c r="D767" s="24"/>
      <c r="E767" s="25"/>
      <c r="F767" s="26"/>
      <c r="G767" s="27"/>
      <c r="H767" s="20"/>
      <c r="I767" s="21"/>
      <c r="J767" s="28"/>
      <c r="K767" s="19"/>
    </row>
    <row r="768" spans="1:11" ht="13.2">
      <c r="A768" s="22"/>
      <c r="B768" s="16"/>
      <c r="C768" s="23"/>
      <c r="D768" s="24"/>
      <c r="E768" s="25"/>
      <c r="F768" s="26"/>
      <c r="G768" s="27"/>
      <c r="H768" s="20"/>
      <c r="I768" s="21"/>
      <c r="J768" s="28"/>
      <c r="K768" s="19"/>
    </row>
    <row r="769" spans="1:11" ht="13.2">
      <c r="A769" s="22"/>
      <c r="B769" s="16"/>
      <c r="C769" s="23"/>
      <c r="D769" s="24"/>
      <c r="E769" s="25"/>
      <c r="F769" s="26"/>
      <c r="G769" s="27"/>
      <c r="H769" s="20"/>
      <c r="I769" s="21"/>
      <c r="J769" s="28"/>
      <c r="K769" s="19"/>
    </row>
    <row r="770" spans="1:11" ht="13.2">
      <c r="A770" s="22"/>
      <c r="B770" s="16"/>
      <c r="C770" s="23"/>
      <c r="D770" s="24"/>
      <c r="E770" s="25"/>
      <c r="F770" s="26"/>
      <c r="G770" s="27"/>
      <c r="H770" s="20"/>
      <c r="I770" s="21"/>
      <c r="J770" s="28"/>
      <c r="K770" s="19"/>
    </row>
    <row r="771" spans="1:11" ht="13.2">
      <c r="A771" s="22"/>
      <c r="B771" s="16"/>
      <c r="C771" s="23"/>
      <c r="D771" s="24"/>
      <c r="E771" s="25"/>
      <c r="F771" s="26"/>
      <c r="G771" s="27"/>
      <c r="H771" s="20"/>
      <c r="I771" s="21"/>
      <c r="J771" s="28"/>
      <c r="K771" s="19"/>
    </row>
    <row r="772" spans="1:11" ht="13.2">
      <c r="A772" s="22"/>
      <c r="B772" s="16"/>
      <c r="C772" s="23"/>
      <c r="D772" s="24"/>
      <c r="E772" s="25"/>
      <c r="F772" s="26"/>
      <c r="G772" s="27"/>
      <c r="H772" s="20"/>
      <c r="I772" s="21"/>
      <c r="J772" s="28"/>
      <c r="K772" s="19"/>
    </row>
    <row r="773" spans="1:11" ht="13.2">
      <c r="A773" s="22"/>
      <c r="B773" s="16"/>
      <c r="C773" s="23"/>
      <c r="D773" s="24"/>
      <c r="E773" s="25"/>
      <c r="F773" s="26"/>
      <c r="G773" s="27"/>
      <c r="H773" s="20"/>
      <c r="I773" s="21"/>
      <c r="J773" s="28"/>
      <c r="K773" s="19"/>
    </row>
    <row r="774" spans="1:11" ht="13.2">
      <c r="A774" s="22"/>
      <c r="B774" s="16"/>
      <c r="C774" s="23"/>
      <c r="D774" s="24"/>
      <c r="E774" s="25"/>
      <c r="F774" s="26"/>
      <c r="G774" s="27"/>
      <c r="H774" s="20"/>
      <c r="I774" s="21"/>
      <c r="J774" s="28"/>
      <c r="K774" s="19"/>
    </row>
    <row r="775" spans="1:11" ht="13.2">
      <c r="A775" s="22"/>
      <c r="B775" s="16"/>
      <c r="C775" s="23"/>
      <c r="D775" s="24"/>
      <c r="E775" s="25"/>
      <c r="F775" s="26"/>
      <c r="G775" s="27"/>
      <c r="H775" s="20"/>
      <c r="I775" s="21"/>
      <c r="J775" s="28"/>
      <c r="K775" s="19"/>
    </row>
    <row r="776" spans="1:11" ht="13.2">
      <c r="A776" s="22"/>
      <c r="B776" s="16"/>
      <c r="C776" s="23"/>
      <c r="D776" s="24"/>
      <c r="E776" s="25"/>
      <c r="F776" s="26"/>
      <c r="G776" s="27"/>
      <c r="H776" s="20"/>
      <c r="I776" s="21"/>
      <c r="J776" s="28"/>
      <c r="K776" s="19"/>
    </row>
    <row r="777" spans="1:11" ht="13.2">
      <c r="A777" s="22"/>
      <c r="B777" s="16"/>
      <c r="C777" s="23"/>
      <c r="D777" s="24"/>
      <c r="E777" s="25"/>
      <c r="F777" s="26"/>
      <c r="G777" s="27"/>
      <c r="H777" s="20"/>
      <c r="I777" s="21"/>
      <c r="J777" s="28"/>
      <c r="K777" s="19"/>
    </row>
    <row r="778" spans="1:11" ht="13.2">
      <c r="A778" s="22"/>
      <c r="B778" s="16"/>
      <c r="C778" s="23"/>
      <c r="D778" s="24"/>
      <c r="E778" s="25"/>
      <c r="F778" s="26"/>
      <c r="G778" s="27"/>
      <c r="H778" s="20"/>
      <c r="I778" s="21"/>
      <c r="J778" s="28"/>
      <c r="K778" s="19"/>
    </row>
    <row r="779" spans="1:11" ht="13.2">
      <c r="A779" s="22"/>
      <c r="B779" s="16"/>
      <c r="C779" s="23"/>
      <c r="D779" s="24"/>
      <c r="E779" s="25"/>
      <c r="F779" s="26"/>
      <c r="G779" s="27"/>
      <c r="H779" s="20"/>
      <c r="I779" s="21"/>
      <c r="J779" s="28"/>
      <c r="K779" s="19"/>
    </row>
    <row r="780" spans="1:11" ht="13.2">
      <c r="A780" s="22"/>
      <c r="B780" s="16"/>
      <c r="C780" s="23"/>
      <c r="D780" s="24"/>
      <c r="E780" s="25"/>
      <c r="F780" s="26"/>
      <c r="G780" s="27"/>
      <c r="H780" s="20"/>
      <c r="I780" s="21"/>
      <c r="J780" s="28"/>
      <c r="K780" s="19"/>
    </row>
    <row r="781" spans="1:11" ht="13.2">
      <c r="A781" s="22"/>
      <c r="B781" s="16"/>
      <c r="C781" s="23"/>
      <c r="D781" s="24"/>
      <c r="E781" s="25"/>
      <c r="F781" s="26"/>
      <c r="G781" s="27"/>
      <c r="H781" s="20"/>
      <c r="I781" s="21"/>
      <c r="J781" s="28"/>
      <c r="K781" s="19"/>
    </row>
    <row r="782" spans="1:11" ht="13.2">
      <c r="A782" s="22"/>
      <c r="B782" s="16"/>
      <c r="C782" s="23"/>
      <c r="D782" s="24"/>
      <c r="E782" s="25"/>
      <c r="F782" s="26"/>
      <c r="G782" s="27"/>
      <c r="H782" s="20"/>
      <c r="I782" s="21"/>
      <c r="J782" s="28"/>
      <c r="K782" s="19"/>
    </row>
    <row r="783" spans="1:11" ht="13.2">
      <c r="A783" s="22"/>
      <c r="B783" s="16"/>
      <c r="C783" s="23"/>
      <c r="D783" s="24"/>
      <c r="E783" s="25"/>
      <c r="F783" s="26"/>
      <c r="G783" s="27"/>
      <c r="H783" s="20"/>
      <c r="I783" s="21"/>
      <c r="J783" s="28"/>
      <c r="K783" s="19"/>
    </row>
    <row r="784" spans="1:11" ht="13.2">
      <c r="A784" s="22"/>
      <c r="B784" s="16"/>
      <c r="C784" s="23"/>
      <c r="D784" s="24"/>
      <c r="E784" s="25"/>
      <c r="F784" s="26"/>
      <c r="G784" s="27"/>
      <c r="H784" s="20"/>
      <c r="I784" s="21"/>
      <c r="J784" s="28"/>
      <c r="K784" s="19"/>
    </row>
    <row r="785" spans="1:11" ht="13.2">
      <c r="A785" s="22"/>
      <c r="B785" s="16"/>
      <c r="C785" s="23"/>
      <c r="D785" s="24"/>
      <c r="E785" s="25"/>
      <c r="F785" s="26"/>
      <c r="G785" s="27"/>
      <c r="H785" s="20"/>
      <c r="I785" s="21"/>
      <c r="J785" s="28"/>
      <c r="K785" s="19"/>
    </row>
    <row r="786" spans="1:11" ht="13.2">
      <c r="A786" s="22"/>
      <c r="B786" s="16"/>
      <c r="C786" s="23"/>
      <c r="D786" s="24"/>
      <c r="E786" s="25"/>
      <c r="F786" s="26"/>
      <c r="G786" s="27"/>
      <c r="H786" s="20"/>
      <c r="I786" s="21"/>
      <c r="J786" s="28"/>
      <c r="K786" s="19"/>
    </row>
    <row r="787" spans="1:11" ht="13.2">
      <c r="A787" s="22"/>
      <c r="B787" s="16"/>
      <c r="C787" s="23"/>
      <c r="D787" s="24"/>
      <c r="E787" s="25"/>
      <c r="F787" s="26"/>
      <c r="G787" s="27"/>
      <c r="H787" s="20"/>
      <c r="I787" s="21"/>
      <c r="J787" s="28"/>
      <c r="K787" s="19"/>
    </row>
    <row r="788" spans="1:11" ht="13.2">
      <c r="A788" s="22"/>
      <c r="B788" s="16"/>
      <c r="C788" s="23"/>
      <c r="D788" s="24"/>
      <c r="E788" s="25"/>
      <c r="F788" s="26"/>
      <c r="G788" s="27"/>
      <c r="H788" s="20"/>
      <c r="I788" s="21"/>
      <c r="J788" s="28"/>
      <c r="K788" s="19"/>
    </row>
    <row r="789" spans="1:11" ht="13.2">
      <c r="A789" s="22"/>
      <c r="B789" s="16"/>
      <c r="C789" s="23"/>
      <c r="D789" s="24"/>
      <c r="E789" s="25"/>
      <c r="F789" s="26"/>
      <c r="G789" s="27"/>
      <c r="H789" s="20"/>
      <c r="I789" s="21"/>
      <c r="J789" s="28"/>
      <c r="K789" s="19"/>
    </row>
    <row r="790" spans="1:11" ht="13.2">
      <c r="A790" s="22"/>
      <c r="B790" s="16"/>
      <c r="C790" s="23"/>
      <c r="D790" s="24"/>
      <c r="E790" s="25"/>
      <c r="F790" s="26"/>
      <c r="G790" s="27"/>
      <c r="H790" s="20"/>
      <c r="I790" s="21"/>
      <c r="J790" s="28"/>
      <c r="K790" s="19"/>
    </row>
    <row r="791" spans="1:11" ht="13.2">
      <c r="A791" s="22"/>
      <c r="B791" s="16"/>
      <c r="C791" s="23"/>
      <c r="D791" s="24"/>
      <c r="E791" s="25"/>
      <c r="F791" s="26"/>
      <c r="G791" s="27"/>
      <c r="H791" s="20"/>
      <c r="I791" s="21"/>
      <c r="J791" s="28"/>
      <c r="K791" s="19"/>
    </row>
    <row r="792" spans="1:11" ht="13.2">
      <c r="A792" s="22"/>
      <c r="B792" s="16"/>
      <c r="C792" s="23"/>
      <c r="D792" s="24"/>
      <c r="E792" s="25"/>
      <c r="F792" s="26"/>
      <c r="G792" s="27"/>
      <c r="H792" s="20"/>
      <c r="I792" s="21"/>
      <c r="J792" s="28"/>
      <c r="K792" s="19"/>
    </row>
    <row r="793" spans="1:11" ht="13.2">
      <c r="A793" s="22"/>
      <c r="B793" s="16"/>
      <c r="C793" s="23"/>
      <c r="D793" s="24"/>
      <c r="E793" s="25"/>
      <c r="F793" s="26"/>
      <c r="G793" s="27"/>
      <c r="H793" s="20"/>
      <c r="I793" s="21"/>
      <c r="J793" s="28"/>
      <c r="K793" s="19"/>
    </row>
    <row r="794" spans="1:11" ht="13.2">
      <c r="A794" s="22"/>
      <c r="B794" s="16"/>
      <c r="C794" s="23"/>
      <c r="D794" s="24"/>
      <c r="E794" s="25"/>
      <c r="F794" s="26"/>
      <c r="G794" s="27"/>
      <c r="H794" s="20"/>
      <c r="I794" s="21"/>
      <c r="J794" s="28"/>
      <c r="K794" s="19"/>
    </row>
    <row r="795" spans="1:11" ht="13.2">
      <c r="A795" s="22"/>
      <c r="B795" s="16"/>
      <c r="C795" s="23"/>
      <c r="D795" s="24"/>
      <c r="E795" s="25"/>
      <c r="F795" s="26"/>
      <c r="G795" s="27"/>
      <c r="H795" s="20"/>
      <c r="I795" s="21"/>
      <c r="J795" s="28"/>
      <c r="K795" s="19"/>
    </row>
    <row r="796" spans="1:11" ht="13.2">
      <c r="A796" s="22"/>
      <c r="B796" s="16"/>
      <c r="C796" s="23"/>
      <c r="D796" s="24"/>
      <c r="E796" s="25"/>
      <c r="F796" s="26"/>
      <c r="G796" s="27"/>
      <c r="H796" s="20"/>
      <c r="I796" s="21"/>
      <c r="J796" s="28"/>
      <c r="K796" s="19"/>
    </row>
    <row r="797" spans="1:11" ht="13.2">
      <c r="A797" s="22"/>
      <c r="B797" s="16"/>
      <c r="C797" s="23"/>
      <c r="D797" s="24"/>
      <c r="E797" s="25"/>
      <c r="F797" s="26"/>
      <c r="G797" s="27"/>
      <c r="H797" s="20"/>
      <c r="I797" s="21"/>
      <c r="J797" s="28"/>
      <c r="K797" s="19"/>
    </row>
    <row r="798" spans="1:11" ht="13.2">
      <c r="A798" s="22"/>
      <c r="B798" s="16"/>
      <c r="C798" s="23"/>
      <c r="D798" s="24"/>
      <c r="E798" s="25"/>
      <c r="F798" s="26"/>
      <c r="G798" s="27"/>
      <c r="H798" s="20"/>
      <c r="I798" s="21"/>
      <c r="J798" s="28"/>
      <c r="K798" s="19"/>
    </row>
    <row r="799" spans="1:11" ht="13.2">
      <c r="A799" s="22"/>
      <c r="B799" s="16"/>
      <c r="C799" s="23"/>
      <c r="D799" s="24"/>
      <c r="E799" s="25"/>
      <c r="F799" s="26"/>
      <c r="G799" s="27"/>
      <c r="H799" s="20"/>
      <c r="I799" s="21"/>
      <c r="J799" s="28"/>
      <c r="K799" s="19"/>
    </row>
    <row r="800" spans="1:11" ht="13.2">
      <c r="A800" s="22"/>
      <c r="B800" s="16"/>
      <c r="C800" s="23"/>
      <c r="D800" s="24"/>
      <c r="E800" s="25"/>
      <c r="F800" s="26"/>
      <c r="G800" s="27"/>
      <c r="H800" s="20"/>
      <c r="I800" s="21"/>
      <c r="J800" s="28"/>
      <c r="K800" s="19"/>
    </row>
    <row r="801" spans="1:11" ht="13.2">
      <c r="A801" s="22"/>
      <c r="B801" s="16"/>
      <c r="C801" s="23"/>
      <c r="D801" s="24"/>
      <c r="E801" s="25"/>
      <c r="F801" s="26"/>
      <c r="G801" s="27"/>
      <c r="H801" s="20"/>
      <c r="I801" s="21"/>
      <c r="J801" s="28"/>
      <c r="K801" s="19"/>
    </row>
    <row r="802" spans="1:11" ht="13.2">
      <c r="A802" s="22"/>
      <c r="B802" s="16"/>
      <c r="C802" s="23"/>
      <c r="D802" s="24"/>
      <c r="E802" s="25"/>
      <c r="F802" s="26"/>
      <c r="G802" s="27"/>
      <c r="H802" s="20"/>
      <c r="I802" s="21"/>
      <c r="J802" s="28"/>
      <c r="K802" s="19"/>
    </row>
    <row r="803" spans="1:11" ht="13.2">
      <c r="A803" s="22"/>
      <c r="B803" s="16"/>
      <c r="C803" s="23"/>
      <c r="D803" s="24"/>
      <c r="E803" s="25"/>
      <c r="F803" s="26"/>
      <c r="G803" s="27"/>
      <c r="H803" s="20"/>
      <c r="I803" s="21"/>
      <c r="J803" s="28"/>
      <c r="K803" s="19"/>
    </row>
    <row r="804" spans="1:11" ht="13.2">
      <c r="A804" s="22"/>
      <c r="B804" s="16"/>
      <c r="C804" s="23"/>
      <c r="D804" s="24"/>
      <c r="E804" s="25"/>
      <c r="F804" s="26"/>
      <c r="G804" s="27"/>
      <c r="H804" s="20"/>
      <c r="I804" s="21"/>
      <c r="J804" s="28"/>
      <c r="K804" s="19"/>
    </row>
    <row r="805" spans="1:11" ht="13.2">
      <c r="A805" s="22"/>
      <c r="B805" s="16"/>
      <c r="C805" s="23"/>
      <c r="D805" s="24"/>
      <c r="E805" s="25"/>
      <c r="F805" s="26"/>
      <c r="G805" s="27"/>
      <c r="H805" s="20"/>
      <c r="I805" s="21"/>
      <c r="J805" s="28"/>
      <c r="K805" s="19"/>
    </row>
    <row r="806" spans="1:11" ht="13.2">
      <c r="A806" s="22"/>
      <c r="B806" s="16"/>
      <c r="C806" s="23"/>
      <c r="D806" s="24"/>
      <c r="E806" s="25"/>
      <c r="F806" s="26"/>
      <c r="G806" s="27"/>
      <c r="H806" s="20"/>
      <c r="I806" s="21"/>
      <c r="J806" s="28"/>
      <c r="K806" s="19"/>
    </row>
    <row r="807" spans="1:11" ht="13.2">
      <c r="A807" s="22"/>
      <c r="B807" s="16"/>
      <c r="C807" s="23"/>
      <c r="D807" s="24"/>
      <c r="E807" s="25"/>
      <c r="F807" s="26"/>
      <c r="G807" s="27"/>
      <c r="H807" s="20"/>
      <c r="I807" s="21"/>
      <c r="J807" s="28"/>
      <c r="K807" s="19"/>
    </row>
    <row r="808" spans="1:11" ht="13.2">
      <c r="A808" s="22"/>
      <c r="B808" s="16"/>
      <c r="C808" s="23"/>
      <c r="D808" s="24"/>
      <c r="E808" s="25"/>
      <c r="F808" s="26"/>
      <c r="G808" s="27"/>
      <c r="H808" s="20"/>
      <c r="I808" s="21"/>
      <c r="J808" s="28"/>
      <c r="K808" s="19"/>
    </row>
    <row r="809" spans="1:11" ht="13.2">
      <c r="A809" s="22"/>
      <c r="B809" s="16"/>
      <c r="C809" s="23"/>
      <c r="D809" s="24"/>
      <c r="E809" s="25"/>
      <c r="F809" s="26"/>
      <c r="G809" s="27"/>
      <c r="H809" s="20"/>
      <c r="I809" s="21"/>
      <c r="J809" s="28"/>
      <c r="K809" s="19"/>
    </row>
    <row r="810" spans="1:11" ht="13.2">
      <c r="A810" s="22"/>
      <c r="B810" s="16"/>
      <c r="C810" s="23"/>
      <c r="D810" s="24"/>
      <c r="E810" s="25"/>
      <c r="F810" s="26"/>
      <c r="G810" s="27"/>
      <c r="H810" s="20"/>
      <c r="I810" s="21"/>
      <c r="J810" s="28"/>
      <c r="K810" s="19"/>
    </row>
    <row r="811" spans="1:11" ht="13.2">
      <c r="A811" s="22"/>
      <c r="B811" s="16"/>
      <c r="C811" s="23"/>
      <c r="D811" s="24"/>
      <c r="E811" s="25"/>
      <c r="F811" s="26"/>
      <c r="G811" s="27"/>
      <c r="H811" s="20"/>
      <c r="I811" s="21"/>
      <c r="J811" s="28"/>
      <c r="K811" s="19"/>
    </row>
    <row r="812" spans="1:11" ht="13.2">
      <c r="A812" s="22"/>
      <c r="B812" s="16"/>
      <c r="C812" s="23"/>
      <c r="D812" s="24"/>
      <c r="E812" s="25"/>
      <c r="F812" s="26"/>
      <c r="G812" s="27"/>
      <c r="H812" s="20"/>
      <c r="I812" s="21"/>
      <c r="J812" s="28"/>
      <c r="K812" s="19"/>
    </row>
    <row r="813" spans="1:11" ht="13.2">
      <c r="A813" s="22"/>
      <c r="B813" s="16"/>
      <c r="C813" s="23"/>
      <c r="D813" s="24"/>
      <c r="E813" s="25"/>
      <c r="F813" s="26"/>
      <c r="G813" s="27"/>
      <c r="H813" s="20"/>
      <c r="I813" s="21"/>
      <c r="J813" s="28"/>
      <c r="K813" s="19"/>
    </row>
    <row r="814" spans="1:11" ht="13.2">
      <c r="A814" s="22"/>
      <c r="B814" s="16"/>
      <c r="C814" s="23"/>
      <c r="D814" s="24"/>
      <c r="E814" s="25"/>
      <c r="F814" s="26"/>
      <c r="G814" s="27"/>
      <c r="H814" s="20"/>
      <c r="I814" s="21"/>
      <c r="J814" s="28"/>
      <c r="K814" s="19"/>
    </row>
    <row r="815" spans="1:11" ht="13.2">
      <c r="A815" s="22"/>
      <c r="B815" s="16"/>
      <c r="C815" s="23"/>
      <c r="D815" s="24"/>
      <c r="E815" s="25"/>
      <c r="F815" s="26"/>
      <c r="G815" s="27"/>
      <c r="H815" s="20"/>
      <c r="I815" s="21"/>
      <c r="J815" s="28"/>
      <c r="K815" s="19"/>
    </row>
    <row r="816" spans="1:11" ht="13.2">
      <c r="A816" s="22"/>
      <c r="B816" s="16"/>
      <c r="C816" s="23"/>
      <c r="D816" s="24"/>
      <c r="E816" s="25"/>
      <c r="F816" s="26"/>
      <c r="G816" s="27"/>
      <c r="H816" s="20"/>
      <c r="I816" s="21"/>
      <c r="J816" s="28"/>
      <c r="K816" s="19"/>
    </row>
    <row r="817" spans="1:11" ht="13.2">
      <c r="A817" s="22"/>
      <c r="B817" s="16"/>
      <c r="C817" s="23"/>
      <c r="D817" s="24"/>
      <c r="E817" s="25"/>
      <c r="F817" s="26"/>
      <c r="G817" s="27"/>
      <c r="H817" s="20"/>
      <c r="I817" s="21"/>
      <c r="J817" s="28"/>
      <c r="K817" s="19"/>
    </row>
    <row r="818" spans="1:11" ht="13.2">
      <c r="A818" s="22"/>
      <c r="B818" s="16"/>
      <c r="C818" s="23"/>
      <c r="D818" s="24"/>
      <c r="E818" s="25"/>
      <c r="F818" s="26"/>
      <c r="G818" s="27"/>
      <c r="H818" s="20"/>
      <c r="I818" s="21"/>
      <c r="J818" s="28"/>
      <c r="K818" s="19"/>
    </row>
    <row r="819" spans="1:11" ht="13.2">
      <c r="A819" s="22"/>
      <c r="B819" s="16"/>
      <c r="C819" s="23"/>
      <c r="D819" s="24"/>
      <c r="E819" s="25"/>
      <c r="F819" s="26"/>
      <c r="G819" s="27"/>
      <c r="H819" s="20"/>
      <c r="I819" s="21"/>
      <c r="J819" s="28"/>
      <c r="K819" s="19"/>
    </row>
    <row r="820" spans="1:11" ht="13.2">
      <c r="A820" s="22"/>
      <c r="B820" s="16"/>
      <c r="C820" s="23"/>
      <c r="D820" s="24"/>
      <c r="E820" s="25"/>
      <c r="F820" s="26"/>
      <c r="G820" s="27"/>
      <c r="H820" s="20"/>
      <c r="I820" s="21"/>
      <c r="J820" s="28"/>
      <c r="K820" s="19"/>
    </row>
    <row r="821" spans="1:11" ht="13.2">
      <c r="A821" s="22"/>
      <c r="B821" s="16"/>
      <c r="C821" s="23"/>
      <c r="D821" s="24"/>
      <c r="E821" s="25"/>
      <c r="F821" s="26"/>
      <c r="G821" s="27"/>
      <c r="H821" s="20"/>
      <c r="I821" s="21"/>
      <c r="J821" s="28"/>
      <c r="K821" s="19"/>
    </row>
    <row r="822" spans="1:11" ht="13.2">
      <c r="A822" s="22"/>
      <c r="B822" s="16"/>
      <c r="C822" s="23"/>
      <c r="D822" s="24"/>
      <c r="E822" s="25"/>
      <c r="F822" s="26"/>
      <c r="G822" s="27"/>
      <c r="H822" s="20"/>
      <c r="I822" s="21"/>
      <c r="J822" s="28"/>
      <c r="K822" s="19"/>
    </row>
    <row r="823" spans="1:11" ht="13.2">
      <c r="A823" s="22"/>
      <c r="B823" s="16"/>
      <c r="C823" s="23"/>
      <c r="D823" s="24"/>
      <c r="E823" s="25"/>
      <c r="F823" s="26"/>
      <c r="G823" s="27"/>
      <c r="H823" s="20"/>
      <c r="I823" s="21"/>
      <c r="J823" s="28"/>
      <c r="K823" s="19"/>
    </row>
    <row r="824" spans="1:11" ht="13.2">
      <c r="A824" s="22"/>
      <c r="B824" s="16"/>
      <c r="C824" s="23"/>
      <c r="D824" s="24"/>
      <c r="E824" s="25"/>
      <c r="F824" s="26"/>
      <c r="G824" s="27"/>
      <c r="H824" s="20"/>
      <c r="I824" s="21"/>
      <c r="J824" s="28"/>
      <c r="K824" s="19"/>
    </row>
    <row r="825" spans="1:11" ht="13.2">
      <c r="A825" s="22"/>
      <c r="B825" s="16"/>
      <c r="C825" s="23"/>
      <c r="D825" s="24"/>
      <c r="E825" s="25"/>
      <c r="F825" s="26"/>
      <c r="G825" s="27"/>
      <c r="H825" s="20"/>
      <c r="I825" s="21"/>
      <c r="J825" s="28"/>
      <c r="K825" s="19"/>
    </row>
    <row r="826" spans="1:11" ht="13.2">
      <c r="A826" s="22"/>
      <c r="B826" s="16"/>
      <c r="C826" s="23"/>
      <c r="D826" s="24"/>
      <c r="E826" s="25"/>
      <c r="F826" s="26"/>
      <c r="G826" s="27"/>
      <c r="H826" s="20"/>
      <c r="I826" s="21"/>
      <c r="J826" s="28"/>
      <c r="K826" s="19"/>
    </row>
    <row r="827" spans="1:11" ht="13.2">
      <c r="A827" s="22"/>
      <c r="B827" s="16"/>
      <c r="C827" s="23"/>
      <c r="D827" s="24"/>
      <c r="E827" s="25"/>
      <c r="F827" s="26"/>
      <c r="G827" s="27"/>
      <c r="H827" s="20"/>
      <c r="I827" s="21"/>
      <c r="J827" s="28"/>
      <c r="K827" s="19"/>
    </row>
    <row r="828" spans="1:11" ht="13.2">
      <c r="A828" s="22"/>
      <c r="B828" s="16"/>
      <c r="C828" s="23"/>
      <c r="D828" s="24"/>
      <c r="E828" s="25"/>
      <c r="F828" s="26"/>
      <c r="G828" s="27"/>
      <c r="H828" s="20"/>
      <c r="I828" s="21"/>
      <c r="J828" s="28"/>
      <c r="K828" s="19"/>
    </row>
    <row r="829" spans="1:11" ht="13.2">
      <c r="A829" s="22"/>
      <c r="B829" s="16"/>
      <c r="C829" s="23"/>
      <c r="D829" s="24"/>
      <c r="E829" s="25"/>
      <c r="F829" s="26"/>
      <c r="G829" s="27"/>
      <c r="H829" s="20"/>
      <c r="I829" s="21"/>
      <c r="J829" s="28"/>
      <c r="K829" s="19"/>
    </row>
    <row r="830" spans="1:11" ht="13.2">
      <c r="A830" s="22"/>
      <c r="B830" s="16"/>
      <c r="C830" s="23"/>
      <c r="D830" s="24"/>
      <c r="E830" s="25"/>
      <c r="F830" s="26"/>
      <c r="G830" s="27"/>
      <c r="H830" s="20"/>
      <c r="I830" s="21"/>
      <c r="J830" s="28"/>
      <c r="K830" s="19"/>
    </row>
    <row r="831" spans="1:11" ht="13.2">
      <c r="A831" s="22"/>
      <c r="B831" s="16"/>
      <c r="C831" s="23"/>
      <c r="D831" s="24"/>
      <c r="E831" s="25"/>
      <c r="F831" s="26"/>
      <c r="G831" s="27"/>
      <c r="H831" s="20"/>
      <c r="I831" s="21"/>
      <c r="J831" s="28"/>
      <c r="K831" s="19"/>
    </row>
    <row r="832" spans="1:11" ht="13.2">
      <c r="A832" s="22"/>
      <c r="B832" s="16"/>
      <c r="C832" s="23"/>
      <c r="D832" s="24"/>
      <c r="E832" s="25"/>
      <c r="F832" s="26"/>
      <c r="G832" s="27"/>
      <c r="H832" s="20"/>
      <c r="I832" s="21"/>
      <c r="J832" s="28"/>
      <c r="K832" s="19"/>
    </row>
    <row r="833" spans="1:11" ht="13.2">
      <c r="A833" s="22"/>
      <c r="B833" s="16"/>
      <c r="C833" s="23"/>
      <c r="D833" s="24"/>
      <c r="E833" s="25"/>
      <c r="F833" s="26"/>
      <c r="G833" s="27"/>
      <c r="H833" s="20"/>
      <c r="I833" s="21"/>
      <c r="J833" s="28"/>
      <c r="K833" s="19"/>
    </row>
    <row r="834" spans="1:11" ht="13.2">
      <c r="A834" s="22"/>
      <c r="B834" s="16"/>
      <c r="C834" s="23"/>
      <c r="D834" s="24"/>
      <c r="E834" s="25"/>
      <c r="F834" s="26"/>
      <c r="G834" s="27"/>
      <c r="H834" s="20"/>
      <c r="I834" s="21"/>
      <c r="J834" s="28"/>
      <c r="K834" s="19"/>
    </row>
    <row r="835" spans="1:11" ht="13.2">
      <c r="A835" s="22"/>
      <c r="B835" s="16"/>
      <c r="C835" s="23"/>
      <c r="D835" s="24"/>
      <c r="E835" s="25"/>
      <c r="F835" s="26"/>
      <c r="G835" s="27"/>
      <c r="H835" s="20"/>
      <c r="I835" s="21"/>
      <c r="J835" s="28"/>
      <c r="K835" s="19"/>
    </row>
    <row r="836" spans="1:11" ht="13.2">
      <c r="A836" s="22"/>
      <c r="B836" s="16"/>
      <c r="C836" s="23"/>
      <c r="D836" s="24"/>
      <c r="E836" s="25"/>
      <c r="F836" s="26"/>
      <c r="G836" s="27"/>
      <c r="H836" s="20"/>
      <c r="I836" s="21"/>
      <c r="J836" s="28"/>
      <c r="K836" s="19"/>
    </row>
    <row r="837" spans="1:11" ht="13.2">
      <c r="A837" s="22"/>
      <c r="B837" s="16"/>
      <c r="C837" s="23"/>
      <c r="D837" s="24"/>
      <c r="E837" s="25"/>
      <c r="F837" s="26"/>
      <c r="G837" s="27"/>
      <c r="H837" s="20"/>
      <c r="I837" s="21"/>
      <c r="J837" s="28"/>
      <c r="K837" s="19"/>
    </row>
    <row r="838" spans="1:11" ht="13.2">
      <c r="A838" s="22"/>
      <c r="B838" s="16"/>
      <c r="C838" s="23"/>
      <c r="D838" s="24"/>
      <c r="E838" s="25"/>
      <c r="F838" s="26"/>
      <c r="G838" s="27"/>
      <c r="H838" s="20"/>
      <c r="I838" s="21"/>
      <c r="J838" s="28"/>
      <c r="K838" s="19"/>
    </row>
    <row r="839" spans="1:11" ht="13.2">
      <c r="A839" s="22"/>
      <c r="B839" s="16"/>
      <c r="C839" s="23"/>
      <c r="D839" s="24"/>
      <c r="E839" s="25"/>
      <c r="F839" s="26"/>
      <c r="G839" s="27"/>
      <c r="H839" s="20"/>
      <c r="I839" s="21"/>
      <c r="J839" s="28"/>
      <c r="K839" s="19"/>
    </row>
    <row r="840" spans="1:11" ht="13.2">
      <c r="A840" s="22"/>
      <c r="B840" s="16"/>
      <c r="C840" s="23"/>
      <c r="D840" s="24"/>
      <c r="E840" s="25"/>
      <c r="F840" s="26"/>
      <c r="G840" s="27"/>
      <c r="H840" s="20"/>
      <c r="I840" s="21"/>
      <c r="J840" s="28"/>
      <c r="K840" s="19"/>
    </row>
    <row r="841" spans="1:11" ht="13.2">
      <c r="A841" s="22"/>
      <c r="B841" s="16"/>
      <c r="C841" s="23"/>
      <c r="D841" s="24"/>
      <c r="E841" s="25"/>
      <c r="F841" s="26"/>
      <c r="G841" s="27"/>
      <c r="H841" s="20"/>
      <c r="I841" s="21"/>
      <c r="J841" s="28"/>
      <c r="K841" s="19"/>
    </row>
    <row r="842" spans="1:11" ht="13.2">
      <c r="A842" s="22"/>
      <c r="B842" s="16"/>
      <c r="C842" s="23"/>
      <c r="D842" s="24"/>
      <c r="E842" s="25"/>
      <c r="F842" s="26"/>
      <c r="G842" s="27"/>
      <c r="H842" s="20"/>
      <c r="I842" s="21"/>
      <c r="J842" s="28"/>
      <c r="K842" s="19"/>
    </row>
    <row r="843" spans="1:11" ht="13.2">
      <c r="A843" s="22"/>
      <c r="B843" s="16"/>
      <c r="C843" s="23"/>
      <c r="D843" s="24"/>
      <c r="E843" s="25"/>
      <c r="F843" s="26"/>
      <c r="G843" s="27"/>
      <c r="H843" s="20"/>
      <c r="I843" s="21"/>
      <c r="J843" s="28"/>
      <c r="K843" s="19"/>
    </row>
    <row r="844" spans="1:11" ht="13.2">
      <c r="A844" s="22"/>
      <c r="B844" s="16"/>
      <c r="C844" s="23"/>
      <c r="D844" s="24"/>
      <c r="E844" s="25"/>
      <c r="F844" s="26"/>
      <c r="G844" s="27"/>
      <c r="H844" s="20"/>
      <c r="I844" s="21"/>
      <c r="J844" s="28"/>
      <c r="K844" s="19"/>
    </row>
    <row r="845" spans="1:11" ht="13.2">
      <c r="A845" s="22"/>
      <c r="B845" s="16"/>
      <c r="C845" s="23"/>
      <c r="D845" s="24"/>
      <c r="E845" s="25"/>
      <c r="F845" s="26"/>
      <c r="G845" s="27"/>
      <c r="H845" s="20"/>
      <c r="I845" s="21"/>
      <c r="J845" s="28"/>
      <c r="K845" s="19"/>
    </row>
    <row r="846" spans="1:11" ht="13.2">
      <c r="A846" s="22"/>
      <c r="B846" s="16"/>
      <c r="C846" s="23"/>
      <c r="D846" s="24"/>
      <c r="E846" s="25"/>
      <c r="F846" s="26"/>
      <c r="G846" s="27"/>
      <c r="H846" s="20"/>
      <c r="I846" s="21"/>
      <c r="J846" s="28"/>
      <c r="K846" s="19"/>
    </row>
    <row r="847" spans="1:11" ht="13.2">
      <c r="A847" s="22"/>
      <c r="B847" s="16"/>
      <c r="C847" s="23"/>
      <c r="D847" s="24"/>
      <c r="E847" s="25"/>
      <c r="F847" s="26"/>
      <c r="G847" s="27"/>
      <c r="H847" s="20"/>
      <c r="I847" s="21"/>
      <c r="J847" s="28"/>
      <c r="K847" s="19"/>
    </row>
    <row r="848" spans="1:11" ht="13.2">
      <c r="A848" s="22"/>
      <c r="B848" s="16"/>
      <c r="C848" s="23"/>
      <c r="D848" s="24"/>
      <c r="E848" s="25"/>
      <c r="F848" s="26"/>
      <c r="G848" s="27"/>
      <c r="H848" s="20"/>
      <c r="I848" s="21"/>
      <c r="J848" s="28"/>
      <c r="K848" s="19"/>
    </row>
    <row r="849" spans="1:11" ht="13.2">
      <c r="A849" s="22"/>
      <c r="B849" s="16"/>
      <c r="C849" s="23"/>
      <c r="D849" s="24"/>
      <c r="E849" s="25"/>
      <c r="F849" s="26"/>
      <c r="G849" s="27"/>
      <c r="H849" s="20"/>
      <c r="I849" s="21"/>
      <c r="J849" s="28"/>
      <c r="K849" s="19"/>
    </row>
    <row r="850" spans="1:11" ht="13.2">
      <c r="A850" s="22"/>
      <c r="B850" s="16"/>
      <c r="C850" s="23"/>
      <c r="D850" s="24"/>
      <c r="E850" s="25"/>
      <c r="F850" s="26"/>
      <c r="G850" s="27"/>
      <c r="H850" s="20"/>
      <c r="I850" s="21"/>
      <c r="J850" s="28"/>
      <c r="K850" s="19"/>
    </row>
    <row r="851" spans="1:11" ht="13.2">
      <c r="A851" s="22"/>
      <c r="B851" s="16"/>
      <c r="C851" s="23"/>
      <c r="D851" s="24"/>
      <c r="E851" s="25"/>
      <c r="F851" s="26"/>
      <c r="G851" s="27"/>
      <c r="H851" s="20"/>
      <c r="I851" s="21"/>
      <c r="J851" s="28"/>
      <c r="K851" s="19"/>
    </row>
    <row r="852" spans="1:11" ht="13.2">
      <c r="A852" s="22"/>
      <c r="B852" s="16"/>
      <c r="C852" s="23"/>
      <c r="D852" s="24"/>
      <c r="E852" s="25"/>
      <c r="F852" s="26"/>
      <c r="G852" s="27"/>
      <c r="H852" s="20"/>
      <c r="I852" s="21"/>
      <c r="J852" s="28"/>
      <c r="K852" s="19"/>
    </row>
    <row r="853" spans="1:11" ht="13.2">
      <c r="A853" s="22"/>
      <c r="B853" s="16"/>
      <c r="C853" s="23"/>
      <c r="D853" s="24"/>
      <c r="E853" s="25"/>
      <c r="F853" s="26"/>
      <c r="G853" s="27"/>
      <c r="H853" s="20"/>
      <c r="I853" s="21"/>
      <c r="J853" s="28"/>
      <c r="K853" s="19"/>
    </row>
    <row r="854" spans="1:11" ht="13.2">
      <c r="A854" s="22"/>
      <c r="B854" s="16"/>
      <c r="C854" s="23"/>
      <c r="D854" s="24"/>
      <c r="E854" s="25"/>
      <c r="F854" s="26"/>
      <c r="G854" s="27"/>
      <c r="H854" s="20"/>
      <c r="I854" s="21"/>
      <c r="J854" s="28"/>
      <c r="K854" s="19"/>
    </row>
    <row r="855" spans="1:11" ht="13.2">
      <c r="A855" s="22"/>
      <c r="B855" s="16"/>
      <c r="C855" s="23"/>
      <c r="D855" s="24"/>
      <c r="E855" s="25"/>
      <c r="F855" s="26"/>
      <c r="G855" s="27"/>
      <c r="H855" s="20"/>
      <c r="I855" s="21"/>
      <c r="J855" s="28"/>
      <c r="K855" s="19"/>
    </row>
    <row r="856" spans="1:11" ht="13.2">
      <c r="A856" s="22"/>
      <c r="B856" s="16"/>
      <c r="C856" s="23"/>
      <c r="D856" s="24"/>
      <c r="E856" s="25"/>
      <c r="F856" s="26"/>
      <c r="G856" s="27"/>
      <c r="H856" s="20"/>
      <c r="I856" s="21"/>
      <c r="J856" s="28"/>
      <c r="K856" s="19"/>
    </row>
    <row r="857" spans="1:11" ht="13.2">
      <c r="A857" s="22"/>
      <c r="B857" s="16"/>
      <c r="C857" s="23"/>
      <c r="D857" s="24"/>
      <c r="E857" s="25"/>
      <c r="F857" s="26"/>
      <c r="G857" s="27"/>
      <c r="H857" s="20"/>
      <c r="I857" s="21"/>
      <c r="J857" s="28"/>
      <c r="K857" s="19"/>
    </row>
    <row r="858" spans="1:11" ht="13.2">
      <c r="A858" s="22"/>
      <c r="B858" s="16"/>
      <c r="C858" s="23"/>
      <c r="D858" s="24"/>
      <c r="E858" s="25"/>
      <c r="F858" s="26"/>
      <c r="G858" s="27"/>
      <c r="H858" s="20"/>
      <c r="I858" s="21"/>
      <c r="J858" s="28"/>
      <c r="K858" s="19"/>
    </row>
    <row r="859" spans="1:11" ht="13.2">
      <c r="A859" s="22"/>
      <c r="B859" s="16"/>
      <c r="C859" s="23"/>
      <c r="D859" s="24"/>
      <c r="E859" s="25"/>
      <c r="F859" s="26"/>
      <c r="G859" s="27"/>
      <c r="H859" s="20"/>
      <c r="I859" s="21"/>
      <c r="J859" s="28"/>
      <c r="K859" s="19"/>
    </row>
    <row r="860" spans="1:11" ht="13.2">
      <c r="A860" s="22"/>
      <c r="B860" s="16"/>
      <c r="C860" s="23"/>
      <c r="D860" s="24"/>
      <c r="E860" s="25"/>
      <c r="F860" s="26"/>
      <c r="G860" s="27"/>
      <c r="H860" s="20"/>
      <c r="I860" s="21"/>
      <c r="J860" s="28"/>
      <c r="K860" s="19"/>
    </row>
    <row r="861" spans="1:11" ht="13.2">
      <c r="A861" s="22"/>
      <c r="B861" s="16"/>
      <c r="C861" s="23"/>
      <c r="D861" s="24"/>
      <c r="E861" s="25"/>
      <c r="F861" s="26"/>
      <c r="G861" s="27"/>
      <c r="H861" s="20"/>
      <c r="I861" s="21"/>
      <c r="J861" s="28"/>
      <c r="K861" s="19"/>
    </row>
    <row r="862" spans="1:11" ht="13.2">
      <c r="A862" s="22"/>
      <c r="B862" s="16"/>
      <c r="C862" s="23"/>
      <c r="D862" s="24"/>
      <c r="E862" s="25"/>
      <c r="F862" s="26"/>
      <c r="G862" s="27"/>
      <c r="H862" s="20"/>
      <c r="I862" s="21"/>
      <c r="J862" s="28"/>
      <c r="K862" s="19"/>
    </row>
    <row r="863" spans="1:11" ht="13.2">
      <c r="A863" s="22"/>
      <c r="B863" s="16"/>
      <c r="C863" s="23"/>
      <c r="D863" s="24"/>
      <c r="E863" s="25"/>
      <c r="F863" s="26"/>
      <c r="G863" s="27"/>
      <c r="H863" s="20"/>
      <c r="I863" s="21"/>
      <c r="J863" s="28"/>
      <c r="K863" s="19"/>
    </row>
    <row r="864" spans="1:11" ht="13.2">
      <c r="A864" s="22"/>
      <c r="B864" s="16"/>
      <c r="C864" s="23"/>
      <c r="D864" s="24"/>
      <c r="E864" s="25"/>
      <c r="F864" s="26"/>
      <c r="G864" s="27"/>
      <c r="H864" s="20"/>
      <c r="I864" s="21"/>
      <c r="J864" s="28"/>
      <c r="K864" s="19"/>
    </row>
    <row r="865" spans="1:11" ht="13.2">
      <c r="A865" s="22"/>
      <c r="B865" s="16"/>
      <c r="C865" s="23"/>
      <c r="D865" s="24"/>
      <c r="E865" s="25"/>
      <c r="F865" s="26"/>
      <c r="G865" s="27"/>
      <c r="H865" s="20"/>
      <c r="I865" s="21"/>
      <c r="J865" s="28"/>
      <c r="K865" s="19"/>
    </row>
    <row r="866" spans="1:11" ht="13.2">
      <c r="A866" s="22"/>
      <c r="B866" s="16"/>
      <c r="C866" s="23"/>
      <c r="D866" s="24"/>
      <c r="E866" s="25"/>
      <c r="F866" s="26"/>
      <c r="G866" s="27"/>
      <c r="H866" s="20"/>
      <c r="I866" s="21"/>
      <c r="J866" s="28"/>
      <c r="K866" s="19"/>
    </row>
    <row r="867" spans="1:11" ht="13.2">
      <c r="A867" s="22"/>
      <c r="B867" s="16"/>
      <c r="C867" s="23"/>
      <c r="D867" s="24"/>
      <c r="E867" s="25"/>
      <c r="F867" s="26"/>
      <c r="G867" s="27"/>
      <c r="H867" s="20"/>
      <c r="I867" s="21"/>
      <c r="J867" s="28"/>
      <c r="K867" s="19"/>
    </row>
    <row r="868" spans="1:11" ht="13.2">
      <c r="A868" s="22"/>
      <c r="B868" s="16"/>
      <c r="C868" s="23"/>
      <c r="D868" s="24"/>
      <c r="E868" s="25"/>
      <c r="F868" s="26"/>
      <c r="G868" s="27"/>
      <c r="H868" s="20"/>
      <c r="I868" s="21"/>
      <c r="J868" s="28"/>
      <c r="K868" s="19"/>
    </row>
    <row r="869" spans="1:11" ht="13.2">
      <c r="A869" s="22"/>
      <c r="B869" s="16"/>
      <c r="C869" s="23"/>
      <c r="D869" s="24"/>
      <c r="E869" s="25"/>
      <c r="F869" s="26"/>
      <c r="G869" s="27"/>
      <c r="H869" s="20"/>
      <c r="I869" s="21"/>
      <c r="J869" s="28"/>
      <c r="K869" s="19"/>
    </row>
    <row r="870" spans="1:11" ht="13.2">
      <c r="A870" s="22"/>
      <c r="B870" s="16"/>
      <c r="C870" s="23"/>
      <c r="D870" s="24"/>
      <c r="E870" s="25"/>
      <c r="F870" s="26"/>
      <c r="G870" s="27"/>
      <c r="H870" s="20"/>
      <c r="I870" s="21"/>
      <c r="J870" s="28"/>
      <c r="K870" s="19"/>
    </row>
    <row r="871" spans="1:11" ht="13.2">
      <c r="A871" s="22"/>
      <c r="B871" s="16"/>
      <c r="C871" s="23"/>
      <c r="D871" s="24"/>
      <c r="E871" s="25"/>
      <c r="F871" s="26"/>
      <c r="G871" s="27"/>
      <c r="H871" s="20"/>
      <c r="I871" s="21"/>
      <c r="J871" s="28"/>
      <c r="K871" s="19"/>
    </row>
    <row r="872" spans="1:11" ht="13.2">
      <c r="A872" s="22"/>
      <c r="B872" s="16"/>
      <c r="C872" s="23"/>
      <c r="D872" s="24"/>
      <c r="E872" s="25"/>
      <c r="F872" s="26"/>
      <c r="G872" s="27"/>
      <c r="H872" s="20"/>
      <c r="I872" s="21"/>
      <c r="J872" s="28"/>
      <c r="K872" s="19"/>
    </row>
    <row r="873" spans="1:11" ht="13.2">
      <c r="A873" s="22"/>
      <c r="B873" s="16"/>
      <c r="C873" s="23"/>
      <c r="D873" s="24"/>
      <c r="E873" s="25"/>
      <c r="F873" s="26"/>
      <c r="G873" s="27"/>
      <c r="H873" s="20"/>
      <c r="I873" s="21"/>
      <c r="J873" s="28"/>
      <c r="K873" s="19"/>
    </row>
    <row r="874" spans="1:11" ht="13.2">
      <c r="A874" s="22"/>
      <c r="B874" s="16"/>
      <c r="C874" s="23"/>
      <c r="D874" s="24"/>
      <c r="E874" s="25"/>
      <c r="F874" s="26"/>
      <c r="G874" s="27"/>
      <c r="H874" s="20"/>
      <c r="I874" s="21"/>
      <c r="J874" s="28"/>
      <c r="K874" s="19"/>
    </row>
    <row r="875" spans="1:11" ht="13.2">
      <c r="A875" s="22"/>
      <c r="B875" s="16"/>
      <c r="C875" s="23"/>
      <c r="D875" s="24"/>
      <c r="E875" s="25"/>
      <c r="F875" s="26"/>
      <c r="G875" s="27"/>
      <c r="H875" s="20"/>
      <c r="I875" s="21"/>
      <c r="J875" s="28"/>
      <c r="K875" s="19"/>
    </row>
    <row r="876" spans="1:11" ht="13.2">
      <c r="A876" s="22"/>
      <c r="B876" s="16"/>
      <c r="C876" s="23"/>
      <c r="D876" s="24"/>
      <c r="E876" s="25"/>
      <c r="F876" s="26"/>
      <c r="G876" s="27"/>
      <c r="H876" s="20"/>
      <c r="I876" s="21"/>
      <c r="J876" s="28"/>
      <c r="K876" s="19"/>
    </row>
    <row r="877" spans="1:11" ht="13.2">
      <c r="A877" s="22"/>
      <c r="B877" s="16"/>
      <c r="C877" s="23"/>
      <c r="D877" s="24"/>
      <c r="E877" s="25"/>
      <c r="F877" s="26"/>
      <c r="G877" s="27"/>
      <c r="H877" s="20"/>
      <c r="I877" s="21"/>
      <c r="J877" s="28"/>
      <c r="K877" s="19"/>
    </row>
    <row r="878" spans="1:11" ht="13.2">
      <c r="A878" s="22"/>
      <c r="B878" s="16"/>
      <c r="C878" s="23"/>
      <c r="D878" s="24"/>
      <c r="E878" s="25"/>
      <c r="F878" s="26"/>
      <c r="G878" s="27"/>
      <c r="H878" s="20"/>
      <c r="I878" s="21"/>
      <c r="J878" s="28"/>
      <c r="K878" s="19"/>
    </row>
    <row r="879" spans="1:11" ht="13.2">
      <c r="A879" s="22"/>
      <c r="B879" s="16"/>
      <c r="C879" s="23"/>
      <c r="D879" s="24"/>
      <c r="E879" s="25"/>
      <c r="F879" s="26"/>
      <c r="G879" s="27"/>
      <c r="H879" s="20"/>
      <c r="I879" s="21"/>
      <c r="J879" s="28"/>
      <c r="K879" s="19"/>
    </row>
    <row r="880" spans="1:11" ht="13.2">
      <c r="A880" s="22"/>
      <c r="B880" s="16"/>
      <c r="C880" s="23"/>
      <c r="D880" s="24"/>
      <c r="E880" s="25"/>
      <c r="F880" s="26"/>
      <c r="G880" s="27"/>
      <c r="H880" s="20"/>
      <c r="I880" s="21"/>
      <c r="J880" s="28"/>
      <c r="K880" s="19"/>
    </row>
    <row r="881" spans="1:11" ht="13.2">
      <c r="A881" s="22"/>
      <c r="B881" s="16"/>
      <c r="C881" s="23"/>
      <c r="D881" s="24"/>
      <c r="E881" s="25"/>
      <c r="F881" s="26"/>
      <c r="G881" s="27"/>
      <c r="H881" s="20"/>
      <c r="I881" s="21"/>
      <c r="J881" s="28"/>
      <c r="K881" s="19"/>
    </row>
    <row r="882" spans="1:11" ht="13.2">
      <c r="A882" s="22"/>
      <c r="B882" s="16"/>
      <c r="C882" s="23"/>
      <c r="D882" s="24"/>
      <c r="E882" s="25"/>
      <c r="F882" s="26"/>
      <c r="G882" s="27"/>
      <c r="H882" s="20"/>
      <c r="I882" s="21"/>
      <c r="J882" s="28"/>
      <c r="K882" s="19"/>
    </row>
    <row r="883" spans="1:11" ht="13.2">
      <c r="A883" s="22"/>
      <c r="B883" s="16"/>
      <c r="C883" s="23"/>
      <c r="D883" s="24"/>
      <c r="E883" s="25"/>
      <c r="F883" s="26"/>
      <c r="G883" s="27"/>
      <c r="H883" s="20"/>
      <c r="I883" s="21"/>
      <c r="J883" s="28"/>
      <c r="K883" s="19"/>
    </row>
    <row r="884" spans="1:11" ht="13.2">
      <c r="A884" s="22"/>
      <c r="B884" s="16"/>
      <c r="C884" s="23"/>
      <c r="D884" s="24"/>
      <c r="E884" s="25"/>
      <c r="F884" s="26"/>
      <c r="G884" s="27"/>
      <c r="H884" s="20"/>
      <c r="I884" s="21"/>
      <c r="J884" s="28"/>
      <c r="K884" s="19"/>
    </row>
    <row r="885" spans="1:11" ht="13.2">
      <c r="A885" s="22"/>
      <c r="B885" s="16"/>
      <c r="C885" s="23"/>
      <c r="D885" s="24"/>
      <c r="E885" s="25"/>
      <c r="F885" s="26"/>
      <c r="G885" s="27"/>
      <c r="H885" s="20"/>
      <c r="I885" s="21"/>
      <c r="J885" s="28"/>
      <c r="K885" s="19"/>
    </row>
    <row r="886" spans="1:11" ht="13.2">
      <c r="A886" s="22"/>
      <c r="B886" s="16"/>
      <c r="C886" s="23"/>
      <c r="D886" s="24"/>
      <c r="E886" s="25"/>
      <c r="F886" s="26"/>
      <c r="G886" s="27"/>
      <c r="H886" s="20"/>
      <c r="I886" s="21"/>
      <c r="J886" s="28"/>
      <c r="K886" s="19"/>
    </row>
    <row r="887" spans="1:11" ht="13.2">
      <c r="A887" s="22"/>
      <c r="B887" s="16"/>
      <c r="C887" s="23"/>
      <c r="D887" s="24"/>
      <c r="E887" s="25"/>
      <c r="F887" s="26"/>
      <c r="G887" s="27"/>
      <c r="H887" s="20"/>
      <c r="I887" s="21"/>
      <c r="J887" s="28"/>
      <c r="K887" s="19"/>
    </row>
    <row r="888" spans="1:11" ht="13.2">
      <c r="A888" s="22"/>
      <c r="B888" s="16"/>
      <c r="C888" s="23"/>
      <c r="D888" s="24"/>
      <c r="E888" s="25"/>
      <c r="F888" s="26"/>
      <c r="G888" s="27"/>
      <c r="H888" s="20"/>
      <c r="I888" s="21"/>
      <c r="J888" s="28"/>
      <c r="K888" s="19"/>
    </row>
    <row r="889" spans="1:11" ht="13.2">
      <c r="A889" s="22"/>
      <c r="B889" s="16"/>
      <c r="C889" s="23"/>
      <c r="D889" s="24"/>
      <c r="E889" s="25"/>
      <c r="F889" s="26"/>
      <c r="G889" s="27"/>
      <c r="H889" s="20"/>
      <c r="I889" s="21"/>
      <c r="J889" s="28"/>
      <c r="K889" s="19"/>
    </row>
    <row r="890" spans="1:11" ht="13.2">
      <c r="A890" s="22"/>
      <c r="B890" s="16"/>
      <c r="C890" s="23"/>
      <c r="D890" s="24"/>
      <c r="E890" s="25"/>
      <c r="F890" s="26"/>
      <c r="G890" s="27"/>
      <c r="H890" s="20"/>
      <c r="I890" s="21"/>
      <c r="J890" s="28"/>
      <c r="K890" s="19"/>
    </row>
    <row r="891" spans="1:11" ht="13.2">
      <c r="A891" s="22"/>
      <c r="B891" s="16"/>
      <c r="C891" s="23"/>
      <c r="D891" s="24"/>
      <c r="E891" s="25"/>
      <c r="F891" s="26"/>
      <c r="G891" s="27"/>
      <c r="H891" s="20"/>
      <c r="I891" s="21"/>
      <c r="J891" s="28"/>
      <c r="K891" s="19"/>
    </row>
    <row r="892" spans="1:11" ht="13.2">
      <c r="A892" s="22"/>
      <c r="B892" s="16"/>
      <c r="C892" s="23"/>
      <c r="D892" s="24"/>
      <c r="E892" s="25"/>
      <c r="F892" s="26"/>
      <c r="G892" s="27"/>
      <c r="H892" s="20"/>
      <c r="I892" s="21"/>
      <c r="J892" s="28"/>
      <c r="K892" s="19"/>
    </row>
    <row r="893" spans="1:11" ht="13.2">
      <c r="A893" s="22"/>
      <c r="B893" s="16"/>
      <c r="C893" s="23"/>
      <c r="D893" s="24"/>
      <c r="E893" s="25"/>
      <c r="F893" s="26"/>
      <c r="G893" s="27"/>
      <c r="H893" s="20"/>
      <c r="I893" s="21"/>
      <c r="J893" s="28"/>
      <c r="K893" s="19"/>
    </row>
    <row r="894" spans="1:11" ht="13.2">
      <c r="A894" s="22"/>
      <c r="B894" s="16"/>
      <c r="C894" s="23"/>
      <c r="D894" s="24"/>
      <c r="E894" s="25"/>
      <c r="F894" s="26"/>
      <c r="G894" s="27"/>
      <c r="H894" s="20"/>
      <c r="I894" s="21"/>
      <c r="J894" s="28"/>
      <c r="K894" s="19"/>
    </row>
    <row r="895" spans="1:11" ht="13.2">
      <c r="A895" s="22"/>
      <c r="B895" s="16"/>
      <c r="C895" s="23"/>
      <c r="D895" s="24"/>
      <c r="E895" s="25"/>
      <c r="F895" s="26"/>
      <c r="G895" s="27"/>
      <c r="H895" s="20"/>
      <c r="I895" s="21"/>
      <c r="J895" s="28"/>
      <c r="K895" s="19"/>
    </row>
    <row r="896" spans="1:11" ht="13.2">
      <c r="A896" s="22"/>
      <c r="B896" s="16"/>
      <c r="C896" s="23"/>
      <c r="D896" s="24"/>
      <c r="E896" s="25"/>
      <c r="F896" s="26"/>
      <c r="G896" s="27"/>
      <c r="H896" s="20"/>
      <c r="I896" s="21"/>
      <c r="J896" s="28"/>
      <c r="K896" s="19"/>
    </row>
    <row r="897" spans="1:11" ht="13.2">
      <c r="A897" s="22"/>
      <c r="B897" s="16"/>
      <c r="C897" s="23"/>
      <c r="D897" s="24"/>
      <c r="E897" s="25"/>
      <c r="F897" s="26"/>
      <c r="G897" s="27"/>
      <c r="H897" s="20"/>
      <c r="I897" s="21"/>
      <c r="J897" s="28"/>
      <c r="K897" s="19"/>
    </row>
    <row r="898" spans="1:11" ht="13.2">
      <c r="A898" s="22"/>
      <c r="B898" s="16"/>
      <c r="C898" s="23"/>
      <c r="D898" s="24"/>
      <c r="E898" s="25"/>
      <c r="F898" s="26"/>
      <c r="G898" s="27"/>
      <c r="H898" s="20"/>
      <c r="I898" s="21"/>
      <c r="J898" s="28"/>
      <c r="K898" s="19"/>
    </row>
    <row r="899" spans="1:11" ht="13.2">
      <c r="A899" s="22"/>
      <c r="B899" s="16"/>
      <c r="C899" s="23"/>
      <c r="D899" s="24"/>
      <c r="E899" s="25"/>
      <c r="F899" s="26"/>
      <c r="G899" s="27"/>
      <c r="H899" s="20"/>
      <c r="I899" s="21"/>
      <c r="J899" s="28"/>
      <c r="K899" s="19"/>
    </row>
    <row r="900" spans="1:11" ht="13.2">
      <c r="A900" s="22"/>
      <c r="B900" s="16"/>
      <c r="C900" s="23"/>
      <c r="D900" s="24"/>
      <c r="E900" s="25"/>
      <c r="F900" s="26"/>
      <c r="G900" s="27"/>
      <c r="H900" s="20"/>
      <c r="I900" s="21"/>
      <c r="J900" s="28"/>
      <c r="K900" s="19"/>
    </row>
    <row r="901" spans="1:11" ht="13.2">
      <c r="A901" s="22"/>
      <c r="B901" s="16"/>
      <c r="C901" s="23"/>
      <c r="D901" s="24"/>
      <c r="E901" s="25"/>
      <c r="F901" s="26"/>
      <c r="G901" s="27"/>
      <c r="H901" s="20"/>
      <c r="I901" s="21"/>
      <c r="J901" s="28"/>
      <c r="K901" s="19"/>
    </row>
    <row r="902" spans="1:11" ht="13.2">
      <c r="A902" s="22"/>
      <c r="B902" s="16"/>
      <c r="C902" s="23"/>
      <c r="D902" s="24"/>
      <c r="E902" s="25"/>
      <c r="F902" s="26"/>
      <c r="G902" s="27"/>
      <c r="H902" s="20"/>
      <c r="I902" s="21"/>
      <c r="J902" s="28"/>
      <c r="K902" s="19"/>
    </row>
    <row r="903" spans="1:11" ht="13.2">
      <c r="A903" s="22"/>
      <c r="B903" s="16"/>
      <c r="C903" s="23"/>
      <c r="D903" s="24"/>
      <c r="E903" s="25"/>
      <c r="F903" s="26"/>
      <c r="G903" s="27"/>
      <c r="H903" s="20"/>
      <c r="I903" s="21"/>
      <c r="J903" s="28"/>
      <c r="K903" s="19"/>
    </row>
    <row r="904" spans="1:11" ht="13.2">
      <c r="A904" s="22"/>
      <c r="B904" s="16"/>
      <c r="C904" s="23"/>
      <c r="D904" s="24"/>
      <c r="E904" s="25"/>
      <c r="F904" s="26"/>
      <c r="G904" s="27"/>
      <c r="H904" s="20"/>
      <c r="I904" s="21"/>
      <c r="J904" s="28"/>
      <c r="K904" s="19"/>
    </row>
    <row r="905" spans="1:11" ht="13.2">
      <c r="A905" s="22"/>
      <c r="B905" s="16"/>
      <c r="C905" s="23"/>
      <c r="D905" s="24"/>
      <c r="E905" s="25"/>
      <c r="F905" s="26"/>
      <c r="G905" s="27"/>
      <c r="H905" s="20"/>
      <c r="I905" s="21"/>
      <c r="J905" s="28"/>
      <c r="K905" s="19"/>
    </row>
    <row r="906" spans="1:11" ht="13.2">
      <c r="A906" s="22"/>
      <c r="B906" s="16"/>
      <c r="C906" s="23"/>
      <c r="D906" s="24"/>
      <c r="E906" s="25"/>
      <c r="F906" s="26"/>
      <c r="G906" s="27"/>
      <c r="H906" s="20"/>
      <c r="I906" s="21"/>
      <c r="J906" s="28"/>
      <c r="K906" s="19"/>
    </row>
    <row r="907" spans="1:11" ht="13.2">
      <c r="A907" s="22"/>
      <c r="B907" s="16"/>
      <c r="C907" s="23"/>
      <c r="D907" s="24"/>
      <c r="E907" s="25"/>
      <c r="F907" s="26"/>
      <c r="G907" s="27"/>
      <c r="H907" s="20"/>
      <c r="I907" s="21"/>
      <c r="J907" s="28"/>
      <c r="K907" s="19"/>
    </row>
    <row r="908" spans="1:11" ht="13.2">
      <c r="A908" s="22"/>
      <c r="B908" s="16"/>
      <c r="C908" s="23"/>
      <c r="D908" s="24"/>
      <c r="E908" s="25"/>
      <c r="F908" s="26"/>
      <c r="G908" s="27"/>
      <c r="H908" s="20"/>
      <c r="I908" s="21"/>
      <c r="J908" s="28"/>
      <c r="K908" s="19"/>
    </row>
    <row r="909" spans="1:11" ht="13.2">
      <c r="A909" s="22"/>
      <c r="B909" s="16"/>
      <c r="C909" s="23"/>
      <c r="D909" s="24"/>
      <c r="E909" s="25"/>
      <c r="F909" s="26"/>
      <c r="G909" s="27"/>
      <c r="H909" s="20"/>
      <c r="I909" s="21"/>
      <c r="J909" s="28"/>
      <c r="K909" s="19"/>
    </row>
    <row r="910" spans="1:11" ht="13.2">
      <c r="A910" s="22"/>
      <c r="B910" s="16"/>
      <c r="C910" s="23"/>
      <c r="D910" s="24"/>
      <c r="E910" s="25"/>
      <c r="F910" s="26"/>
      <c r="G910" s="27"/>
      <c r="H910" s="20"/>
      <c r="I910" s="21"/>
      <c r="J910" s="28"/>
      <c r="K910" s="19"/>
    </row>
    <row r="911" spans="1:11" ht="13.2">
      <c r="A911" s="22"/>
      <c r="B911" s="16"/>
      <c r="C911" s="23"/>
      <c r="D911" s="24"/>
      <c r="E911" s="25"/>
      <c r="F911" s="26"/>
      <c r="G911" s="27"/>
      <c r="H911" s="20"/>
      <c r="I911" s="21"/>
      <c r="J911" s="28"/>
      <c r="K911" s="19"/>
    </row>
    <row r="912" spans="1:11" ht="13.2">
      <c r="A912" s="22"/>
      <c r="B912" s="16"/>
      <c r="C912" s="23"/>
      <c r="D912" s="24"/>
      <c r="E912" s="25"/>
      <c r="F912" s="26"/>
      <c r="G912" s="27"/>
      <c r="H912" s="20"/>
      <c r="I912" s="21"/>
      <c r="J912" s="28"/>
      <c r="K912" s="19"/>
    </row>
    <row r="913" spans="1:11" ht="13.2">
      <c r="A913" s="22"/>
      <c r="B913" s="16"/>
      <c r="C913" s="23"/>
      <c r="D913" s="24"/>
      <c r="E913" s="25"/>
      <c r="F913" s="26"/>
      <c r="G913" s="27"/>
      <c r="H913" s="20"/>
      <c r="I913" s="21"/>
      <c r="J913" s="28"/>
      <c r="K913" s="19"/>
    </row>
    <row r="914" spans="1:11" ht="13.2">
      <c r="A914" s="22"/>
      <c r="B914" s="16"/>
      <c r="C914" s="23"/>
      <c r="D914" s="24"/>
      <c r="E914" s="25"/>
      <c r="F914" s="26"/>
      <c r="G914" s="27"/>
      <c r="H914" s="20"/>
      <c r="I914" s="21"/>
      <c r="J914" s="28"/>
      <c r="K914" s="19"/>
    </row>
    <row r="915" spans="1:11" ht="13.2">
      <c r="A915" s="22"/>
      <c r="B915" s="16"/>
      <c r="C915" s="23"/>
      <c r="D915" s="24"/>
      <c r="E915" s="25"/>
      <c r="F915" s="26"/>
      <c r="G915" s="27"/>
      <c r="H915" s="20"/>
      <c r="I915" s="21"/>
      <c r="J915" s="28"/>
      <c r="K915" s="19"/>
    </row>
    <row r="916" spans="1:11" ht="13.2">
      <c r="A916" s="22"/>
      <c r="B916" s="16"/>
      <c r="C916" s="23"/>
      <c r="D916" s="24"/>
      <c r="E916" s="25"/>
      <c r="F916" s="26"/>
      <c r="G916" s="27"/>
      <c r="H916" s="20"/>
      <c r="I916" s="21"/>
      <c r="J916" s="28"/>
      <c r="K916" s="19"/>
    </row>
    <row r="917" spans="1:11" ht="13.2">
      <c r="A917" s="22"/>
      <c r="B917" s="16"/>
      <c r="C917" s="23"/>
      <c r="D917" s="24"/>
      <c r="E917" s="25"/>
      <c r="F917" s="26"/>
      <c r="G917" s="27"/>
      <c r="H917" s="20"/>
      <c r="I917" s="21"/>
      <c r="J917" s="28"/>
      <c r="K917" s="19"/>
    </row>
    <row r="918" spans="1:11" ht="13.2">
      <c r="A918" s="22"/>
      <c r="B918" s="16"/>
      <c r="C918" s="23"/>
      <c r="D918" s="24"/>
      <c r="E918" s="25"/>
      <c r="F918" s="26"/>
      <c r="G918" s="27"/>
      <c r="H918" s="20"/>
      <c r="I918" s="21"/>
      <c r="J918" s="28"/>
      <c r="K918" s="19"/>
    </row>
    <row r="919" spans="1:11" ht="13.2">
      <c r="A919" s="22"/>
      <c r="B919" s="16"/>
      <c r="C919" s="23"/>
      <c r="D919" s="24"/>
      <c r="E919" s="25"/>
      <c r="F919" s="26"/>
      <c r="G919" s="27"/>
      <c r="H919" s="20"/>
      <c r="I919" s="21"/>
      <c r="J919" s="28"/>
      <c r="K919" s="19"/>
    </row>
    <row r="920" spans="1:11" ht="13.2">
      <c r="A920" s="22"/>
      <c r="B920" s="16"/>
      <c r="C920" s="23"/>
      <c r="D920" s="24"/>
      <c r="E920" s="25"/>
      <c r="F920" s="26"/>
      <c r="G920" s="27"/>
      <c r="H920" s="20"/>
      <c r="I920" s="21"/>
      <c r="J920" s="28"/>
      <c r="K920" s="19"/>
    </row>
    <row r="921" spans="1:11" ht="13.2">
      <c r="A921" s="22"/>
      <c r="B921" s="16"/>
      <c r="C921" s="23"/>
      <c r="D921" s="24"/>
      <c r="E921" s="25"/>
      <c r="F921" s="26"/>
      <c r="G921" s="27"/>
      <c r="H921" s="20"/>
      <c r="I921" s="21"/>
      <c r="J921" s="28"/>
      <c r="K921" s="19"/>
    </row>
    <row r="922" spans="1:11" ht="13.2">
      <c r="A922" s="22"/>
      <c r="B922" s="16"/>
      <c r="C922" s="23"/>
      <c r="D922" s="24"/>
      <c r="E922" s="25"/>
      <c r="F922" s="26"/>
      <c r="G922" s="27"/>
      <c r="H922" s="20"/>
      <c r="I922" s="21"/>
      <c r="J922" s="28"/>
      <c r="K922" s="19"/>
    </row>
    <row r="923" spans="1:11" ht="13.2">
      <c r="A923" s="22"/>
      <c r="B923" s="16"/>
      <c r="C923" s="23"/>
      <c r="D923" s="24"/>
      <c r="E923" s="25"/>
      <c r="F923" s="26"/>
      <c r="G923" s="27"/>
      <c r="H923" s="20"/>
      <c r="I923" s="21"/>
      <c r="J923" s="28"/>
      <c r="K923" s="19"/>
    </row>
    <row r="924" spans="1:11" ht="13.2">
      <c r="A924" s="22"/>
      <c r="B924" s="16"/>
      <c r="C924" s="23"/>
      <c r="D924" s="24"/>
      <c r="E924" s="25"/>
      <c r="F924" s="26"/>
      <c r="G924" s="27"/>
      <c r="H924" s="20"/>
      <c r="I924" s="21"/>
      <c r="J924" s="28"/>
      <c r="K924" s="19"/>
    </row>
    <row r="925" spans="1:11" ht="13.2">
      <c r="A925" s="22"/>
      <c r="B925" s="16"/>
      <c r="C925" s="23"/>
      <c r="D925" s="24"/>
      <c r="E925" s="25"/>
      <c r="F925" s="26"/>
      <c r="G925" s="27"/>
      <c r="H925" s="20"/>
      <c r="I925" s="21"/>
      <c r="J925" s="28"/>
      <c r="K925" s="19"/>
    </row>
    <row r="926" spans="1:11" ht="13.2">
      <c r="A926" s="22"/>
      <c r="B926" s="16"/>
      <c r="C926" s="23"/>
      <c r="D926" s="24"/>
      <c r="E926" s="25"/>
      <c r="F926" s="26"/>
      <c r="G926" s="27"/>
      <c r="H926" s="20"/>
      <c r="I926" s="21"/>
      <c r="J926" s="28"/>
      <c r="K926" s="19"/>
    </row>
    <row r="927" spans="1:11" ht="13.2">
      <c r="A927" s="22"/>
      <c r="B927" s="16"/>
      <c r="C927" s="23"/>
      <c r="D927" s="24"/>
      <c r="E927" s="25"/>
      <c r="F927" s="26"/>
      <c r="G927" s="27"/>
      <c r="H927" s="20"/>
      <c r="I927" s="21"/>
      <c r="J927" s="28"/>
      <c r="K927" s="19"/>
    </row>
    <row r="928" spans="1:11" ht="13.2">
      <c r="A928" s="22"/>
      <c r="B928" s="16"/>
      <c r="C928" s="23"/>
      <c r="D928" s="24"/>
      <c r="E928" s="25"/>
      <c r="F928" s="26"/>
      <c r="G928" s="27"/>
      <c r="H928" s="20"/>
      <c r="I928" s="21"/>
      <c r="J928" s="28"/>
      <c r="K928" s="19"/>
    </row>
    <row r="929" spans="1:11" ht="13.2">
      <c r="A929" s="22"/>
      <c r="B929" s="16"/>
      <c r="C929" s="23"/>
      <c r="D929" s="24"/>
      <c r="E929" s="25"/>
      <c r="F929" s="26"/>
      <c r="G929" s="27"/>
      <c r="H929" s="20"/>
      <c r="I929" s="21"/>
      <c r="J929" s="28"/>
      <c r="K929" s="19"/>
    </row>
    <row r="930" spans="1:11" ht="13.2">
      <c r="A930" s="22"/>
      <c r="B930" s="16"/>
      <c r="C930" s="23"/>
      <c r="D930" s="24"/>
      <c r="E930" s="25"/>
      <c r="F930" s="26"/>
      <c r="G930" s="27"/>
      <c r="H930" s="20"/>
      <c r="I930" s="21"/>
      <c r="J930" s="28"/>
      <c r="K930" s="19"/>
    </row>
    <row r="931" spans="1:11" ht="13.2">
      <c r="A931" s="22"/>
      <c r="B931" s="16"/>
      <c r="C931" s="23"/>
      <c r="D931" s="24"/>
      <c r="E931" s="25"/>
      <c r="F931" s="26"/>
      <c r="G931" s="27"/>
      <c r="H931" s="20"/>
      <c r="I931" s="21"/>
      <c r="J931" s="28"/>
      <c r="K931" s="19"/>
    </row>
    <row r="932" spans="1:11" ht="13.2">
      <c r="A932" s="22"/>
      <c r="B932" s="16"/>
      <c r="C932" s="23"/>
      <c r="D932" s="24"/>
      <c r="E932" s="25"/>
      <c r="F932" s="26"/>
      <c r="G932" s="27"/>
      <c r="H932" s="20"/>
      <c r="I932" s="21"/>
      <c r="J932" s="28"/>
      <c r="K932" s="19"/>
    </row>
    <row r="933" spans="1:11" ht="13.2">
      <c r="A933" s="22"/>
      <c r="B933" s="16"/>
      <c r="C933" s="23"/>
      <c r="D933" s="24"/>
      <c r="E933" s="25"/>
      <c r="F933" s="26"/>
      <c r="G933" s="27"/>
      <c r="H933" s="20"/>
      <c r="I933" s="21"/>
      <c r="J933" s="28"/>
      <c r="K933" s="19"/>
    </row>
    <row r="934" spans="1:11" ht="13.2">
      <c r="A934" s="22"/>
      <c r="B934" s="16"/>
      <c r="C934" s="23"/>
      <c r="D934" s="24"/>
      <c r="E934" s="25"/>
      <c r="F934" s="26"/>
      <c r="G934" s="27"/>
      <c r="H934" s="20"/>
      <c r="I934" s="21"/>
      <c r="J934" s="28"/>
      <c r="K934" s="19"/>
    </row>
    <row r="935" spans="1:11" ht="13.2">
      <c r="A935" s="22"/>
      <c r="B935" s="16"/>
      <c r="C935" s="23"/>
      <c r="D935" s="24"/>
      <c r="E935" s="25"/>
      <c r="F935" s="26"/>
      <c r="G935" s="27"/>
      <c r="H935" s="20"/>
      <c r="I935" s="21"/>
      <c r="J935" s="28"/>
      <c r="K935" s="19"/>
    </row>
    <row r="936" spans="1:11" ht="13.2">
      <c r="A936" s="22"/>
      <c r="B936" s="16"/>
      <c r="C936" s="23"/>
      <c r="D936" s="24"/>
      <c r="E936" s="25"/>
      <c r="F936" s="26"/>
      <c r="G936" s="27"/>
      <c r="H936" s="20"/>
      <c r="I936" s="21"/>
      <c r="J936" s="28"/>
      <c r="K936" s="19"/>
    </row>
    <row r="937" spans="1:11" ht="13.2">
      <c r="A937" s="22"/>
      <c r="B937" s="16"/>
      <c r="C937" s="23"/>
      <c r="D937" s="24"/>
      <c r="E937" s="25"/>
      <c r="F937" s="26"/>
      <c r="G937" s="27"/>
      <c r="H937" s="20"/>
      <c r="I937" s="21"/>
      <c r="J937" s="28"/>
      <c r="K937" s="19"/>
    </row>
    <row r="938" spans="1:11" ht="13.2">
      <c r="A938" s="22"/>
      <c r="B938" s="16"/>
      <c r="C938" s="23"/>
      <c r="D938" s="24"/>
      <c r="E938" s="25"/>
      <c r="F938" s="26"/>
      <c r="G938" s="27"/>
      <c r="H938" s="20"/>
      <c r="I938" s="21"/>
      <c r="J938" s="28"/>
      <c r="K938" s="19"/>
    </row>
    <row r="939" spans="1:11" ht="13.2">
      <c r="A939" s="22"/>
      <c r="B939" s="16"/>
      <c r="C939" s="23"/>
      <c r="D939" s="24"/>
      <c r="E939" s="25"/>
      <c r="F939" s="26"/>
      <c r="G939" s="27"/>
      <c r="H939" s="20"/>
      <c r="I939" s="21"/>
      <c r="J939" s="28"/>
      <c r="K939" s="19"/>
    </row>
    <row r="940" spans="1:11" ht="13.2">
      <c r="A940" s="22"/>
      <c r="B940" s="16"/>
      <c r="C940" s="23"/>
      <c r="D940" s="24"/>
      <c r="E940" s="25"/>
      <c r="F940" s="26"/>
      <c r="G940" s="27"/>
      <c r="H940" s="20"/>
      <c r="I940" s="21"/>
      <c r="J940" s="28"/>
      <c r="K940" s="19"/>
    </row>
    <row r="941" spans="1:11" ht="13.2">
      <c r="A941" s="22"/>
      <c r="B941" s="16"/>
      <c r="C941" s="23"/>
      <c r="D941" s="24"/>
      <c r="E941" s="25"/>
      <c r="F941" s="26"/>
      <c r="G941" s="27"/>
      <c r="H941" s="20"/>
      <c r="I941" s="21"/>
      <c r="J941" s="28"/>
      <c r="K941" s="19"/>
    </row>
    <row r="942" spans="1:11" ht="13.2">
      <c r="A942" s="22"/>
      <c r="B942" s="16"/>
      <c r="C942" s="23"/>
      <c r="D942" s="24"/>
      <c r="E942" s="25"/>
      <c r="F942" s="26"/>
      <c r="G942" s="27"/>
      <c r="H942" s="20"/>
      <c r="I942" s="21"/>
      <c r="J942" s="28"/>
      <c r="K942" s="19"/>
    </row>
    <row r="943" spans="1:11" ht="13.2">
      <c r="A943" s="22"/>
      <c r="B943" s="16"/>
      <c r="C943" s="23"/>
      <c r="D943" s="24"/>
      <c r="E943" s="25"/>
      <c r="F943" s="26"/>
      <c r="G943" s="27"/>
      <c r="H943" s="20"/>
      <c r="I943" s="21"/>
      <c r="J943" s="28"/>
      <c r="K943" s="19"/>
    </row>
    <row r="944" spans="1:11" ht="13.2">
      <c r="A944" s="22"/>
      <c r="B944" s="16"/>
      <c r="C944" s="23"/>
      <c r="D944" s="24"/>
      <c r="E944" s="25"/>
      <c r="F944" s="26"/>
      <c r="G944" s="27"/>
      <c r="H944" s="20"/>
      <c r="I944" s="21"/>
      <c r="J944" s="28"/>
      <c r="K944" s="19"/>
    </row>
    <row r="945" spans="1:11" ht="13.2">
      <c r="A945" s="22"/>
      <c r="B945" s="16"/>
      <c r="C945" s="23"/>
      <c r="D945" s="24"/>
      <c r="E945" s="25"/>
      <c r="F945" s="26"/>
      <c r="G945" s="27"/>
      <c r="H945" s="20"/>
      <c r="I945" s="21"/>
      <c r="J945" s="28"/>
      <c r="K945" s="19"/>
    </row>
    <row r="946" spans="1:11" ht="13.2">
      <c r="A946" s="22"/>
      <c r="B946" s="16"/>
      <c r="C946" s="23"/>
      <c r="D946" s="24"/>
      <c r="E946" s="25"/>
      <c r="F946" s="26"/>
      <c r="G946" s="27"/>
      <c r="H946" s="20"/>
      <c r="I946" s="21"/>
      <c r="J946" s="28"/>
      <c r="K946" s="19"/>
    </row>
    <row r="947" spans="1:11" ht="13.2">
      <c r="A947" s="22"/>
      <c r="B947" s="16"/>
      <c r="C947" s="23"/>
      <c r="D947" s="24"/>
      <c r="E947" s="25"/>
      <c r="F947" s="26"/>
      <c r="G947" s="27"/>
      <c r="H947" s="20"/>
      <c r="I947" s="21"/>
      <c r="J947" s="28"/>
      <c r="K947" s="19"/>
    </row>
    <row r="948" spans="1:11" ht="13.2">
      <c r="A948" s="22"/>
      <c r="B948" s="16"/>
      <c r="C948" s="23"/>
      <c r="D948" s="24"/>
      <c r="E948" s="25"/>
      <c r="F948" s="26"/>
      <c r="G948" s="27"/>
      <c r="H948" s="20"/>
      <c r="I948" s="21"/>
      <c r="J948" s="28"/>
      <c r="K948" s="19"/>
    </row>
    <row r="949" spans="1:11" ht="13.2">
      <c r="A949" s="22"/>
      <c r="B949" s="16"/>
      <c r="C949" s="23"/>
      <c r="D949" s="24"/>
      <c r="E949" s="25"/>
      <c r="F949" s="26"/>
      <c r="G949" s="27"/>
      <c r="H949" s="20"/>
      <c r="I949" s="21"/>
      <c r="J949" s="28"/>
      <c r="K949" s="19"/>
    </row>
    <row r="950" spans="1:11" ht="13.2">
      <c r="A950" s="22"/>
      <c r="B950" s="16"/>
      <c r="C950" s="23"/>
      <c r="D950" s="24"/>
      <c r="E950" s="25"/>
      <c r="F950" s="26"/>
      <c r="G950" s="27"/>
      <c r="H950" s="20"/>
      <c r="I950" s="21"/>
      <c r="J950" s="28"/>
      <c r="K950" s="19"/>
    </row>
    <row r="951" spans="1:11" ht="13.2">
      <c r="A951" s="22"/>
      <c r="B951" s="16"/>
      <c r="C951" s="23"/>
      <c r="D951" s="24"/>
      <c r="E951" s="25"/>
      <c r="F951" s="26"/>
      <c r="G951" s="27"/>
      <c r="H951" s="20"/>
      <c r="I951" s="21"/>
      <c r="J951" s="28"/>
      <c r="K951" s="19"/>
    </row>
    <row r="952" spans="1:11" ht="13.2">
      <c r="A952" s="22"/>
      <c r="B952" s="16"/>
      <c r="C952" s="23"/>
      <c r="D952" s="24"/>
      <c r="E952" s="25"/>
      <c r="F952" s="26"/>
      <c r="G952" s="27"/>
      <c r="H952" s="20"/>
      <c r="I952" s="21"/>
      <c r="J952" s="28"/>
      <c r="K952" s="19"/>
    </row>
    <row r="953" spans="1:11" ht="13.2">
      <c r="A953" s="22"/>
      <c r="B953" s="16"/>
      <c r="C953" s="23"/>
      <c r="D953" s="24"/>
      <c r="E953" s="25"/>
      <c r="F953" s="26"/>
      <c r="G953" s="27"/>
      <c r="H953" s="20"/>
      <c r="I953" s="21"/>
      <c r="J953" s="28"/>
      <c r="K953" s="19"/>
    </row>
    <row r="954" spans="1:11" ht="13.2">
      <c r="A954" s="22"/>
      <c r="B954" s="16"/>
      <c r="C954" s="23"/>
      <c r="D954" s="24"/>
      <c r="E954" s="25"/>
      <c r="F954" s="26"/>
      <c r="G954" s="27"/>
      <c r="H954" s="20"/>
      <c r="I954" s="21"/>
      <c r="J954" s="28"/>
      <c r="K954" s="19"/>
    </row>
    <row r="955" spans="1:11" ht="13.2">
      <c r="A955" s="22"/>
      <c r="B955" s="16"/>
      <c r="C955" s="23"/>
      <c r="D955" s="24"/>
      <c r="E955" s="25"/>
      <c r="F955" s="26"/>
      <c r="G955" s="27"/>
      <c r="H955" s="20"/>
      <c r="I955" s="21"/>
      <c r="J955" s="28"/>
      <c r="K955" s="19"/>
    </row>
    <row r="956" spans="1:11" ht="13.2">
      <c r="A956" s="22"/>
      <c r="B956" s="16"/>
      <c r="C956" s="23"/>
      <c r="D956" s="24"/>
      <c r="E956" s="25"/>
      <c r="F956" s="26"/>
      <c r="G956" s="27"/>
      <c r="H956" s="20"/>
      <c r="I956" s="21"/>
      <c r="J956" s="28"/>
      <c r="K956" s="19"/>
    </row>
    <row r="957" spans="1:11" ht="13.2">
      <c r="A957" s="22"/>
      <c r="B957" s="16"/>
      <c r="C957" s="23"/>
      <c r="D957" s="24"/>
      <c r="E957" s="25"/>
      <c r="F957" s="26"/>
      <c r="G957" s="27"/>
      <c r="H957" s="20"/>
      <c r="I957" s="21"/>
      <c r="J957" s="28"/>
      <c r="K957" s="19"/>
    </row>
    <row r="958" spans="1:11" ht="13.2">
      <c r="A958" s="22"/>
      <c r="B958" s="16"/>
      <c r="C958" s="23"/>
      <c r="D958" s="24"/>
      <c r="E958" s="25"/>
      <c r="F958" s="26"/>
      <c r="G958" s="27"/>
      <c r="H958" s="20"/>
      <c r="I958" s="21"/>
      <c r="J958" s="28"/>
      <c r="K958" s="19"/>
    </row>
    <row r="959" spans="1:11" ht="13.2">
      <c r="A959" s="22"/>
      <c r="B959" s="16"/>
      <c r="C959" s="23"/>
      <c r="D959" s="24"/>
      <c r="E959" s="25"/>
      <c r="F959" s="26"/>
      <c r="G959" s="27"/>
      <c r="H959" s="20"/>
      <c r="I959" s="21"/>
      <c r="J959" s="28"/>
      <c r="K959" s="19"/>
    </row>
    <row r="960" spans="1:11" ht="13.2">
      <c r="A960" s="22"/>
      <c r="B960" s="16"/>
      <c r="C960" s="23"/>
      <c r="D960" s="24"/>
      <c r="E960" s="25"/>
      <c r="F960" s="26"/>
      <c r="G960" s="27"/>
      <c r="H960" s="20"/>
      <c r="I960" s="21"/>
      <c r="J960" s="28"/>
      <c r="K960" s="19"/>
    </row>
    <row r="961" spans="1:11" ht="13.2">
      <c r="A961" s="22"/>
      <c r="B961" s="16"/>
      <c r="C961" s="23"/>
      <c r="D961" s="24"/>
      <c r="E961" s="25"/>
      <c r="F961" s="26"/>
      <c r="G961" s="27"/>
      <c r="H961" s="20"/>
      <c r="I961" s="21"/>
      <c r="J961" s="28"/>
      <c r="K961" s="19"/>
    </row>
    <row r="962" spans="1:11" ht="13.2">
      <c r="A962" s="22"/>
      <c r="B962" s="16"/>
      <c r="C962" s="23"/>
      <c r="D962" s="24"/>
      <c r="E962" s="25"/>
      <c r="F962" s="26"/>
      <c r="G962" s="27"/>
      <c r="H962" s="20"/>
      <c r="I962" s="21"/>
      <c r="J962" s="28"/>
      <c r="K962" s="19"/>
    </row>
    <row r="963" spans="1:11" ht="13.2">
      <c r="A963" s="22"/>
      <c r="B963" s="16"/>
      <c r="C963" s="23"/>
      <c r="D963" s="24"/>
      <c r="E963" s="25"/>
      <c r="F963" s="26"/>
      <c r="G963" s="27"/>
      <c r="H963" s="20"/>
      <c r="I963" s="21"/>
      <c r="J963" s="28"/>
      <c r="K963" s="19"/>
    </row>
    <row r="964" spans="1:11" ht="13.2">
      <c r="A964" s="22"/>
      <c r="B964" s="16"/>
      <c r="C964" s="23"/>
      <c r="D964" s="24"/>
      <c r="E964" s="25"/>
      <c r="F964" s="26"/>
      <c r="G964" s="27"/>
      <c r="H964" s="20"/>
      <c r="I964" s="21"/>
      <c r="J964" s="28"/>
      <c r="K964" s="19"/>
    </row>
    <row r="965" spans="1:11" ht="13.2">
      <c r="A965" s="22"/>
      <c r="B965" s="16"/>
      <c r="C965" s="23"/>
      <c r="D965" s="24"/>
      <c r="E965" s="25"/>
      <c r="F965" s="26"/>
      <c r="G965" s="27"/>
      <c r="H965" s="20"/>
      <c r="I965" s="21"/>
      <c r="J965" s="28"/>
      <c r="K965" s="19"/>
    </row>
    <row r="966" spans="1:11" ht="13.2">
      <c r="A966" s="22"/>
      <c r="B966" s="16"/>
      <c r="C966" s="23"/>
      <c r="D966" s="24"/>
      <c r="E966" s="25"/>
      <c r="F966" s="26"/>
      <c r="G966" s="27"/>
      <c r="H966" s="20"/>
      <c r="I966" s="21"/>
      <c r="J966" s="28"/>
      <c r="K966" s="19"/>
    </row>
    <row r="967" spans="1:11" ht="13.2">
      <c r="A967" s="22"/>
      <c r="B967" s="16"/>
      <c r="C967" s="23"/>
      <c r="D967" s="24"/>
      <c r="E967" s="25"/>
      <c r="F967" s="26"/>
      <c r="G967" s="27"/>
      <c r="H967" s="20"/>
      <c r="I967" s="21"/>
      <c r="J967" s="28"/>
      <c r="K967" s="19"/>
    </row>
    <row r="968" spans="1:11" ht="13.2">
      <c r="A968" s="22"/>
      <c r="B968" s="16"/>
      <c r="C968" s="23"/>
      <c r="D968" s="24"/>
      <c r="E968" s="25"/>
      <c r="F968" s="26"/>
      <c r="G968" s="27"/>
      <c r="H968" s="20"/>
      <c r="I968" s="21"/>
      <c r="J968" s="28"/>
      <c r="K968" s="19"/>
    </row>
    <row r="969" spans="1:11" ht="13.2">
      <c r="A969" s="22"/>
      <c r="B969" s="16"/>
      <c r="C969" s="23"/>
      <c r="D969" s="24"/>
      <c r="E969" s="25"/>
      <c r="F969" s="26"/>
      <c r="G969" s="27"/>
      <c r="H969" s="20"/>
      <c r="I969" s="21"/>
      <c r="J969" s="28"/>
      <c r="K969" s="19"/>
    </row>
    <row r="970" spans="1:11" ht="13.2">
      <c r="A970" s="22"/>
      <c r="B970" s="16"/>
      <c r="C970" s="23"/>
      <c r="D970" s="24"/>
      <c r="E970" s="25"/>
      <c r="F970" s="26"/>
      <c r="G970" s="27"/>
      <c r="H970" s="20"/>
      <c r="I970" s="21"/>
      <c r="J970" s="28"/>
      <c r="K970" s="19"/>
    </row>
    <row r="971" spans="1:11" ht="13.2">
      <c r="A971" s="22"/>
      <c r="B971" s="16"/>
      <c r="C971" s="23"/>
      <c r="D971" s="24"/>
      <c r="E971" s="25"/>
      <c r="F971" s="26"/>
      <c r="G971" s="27"/>
      <c r="H971" s="20"/>
      <c r="I971" s="21"/>
      <c r="J971" s="28"/>
      <c r="K971" s="19"/>
    </row>
    <row r="972" spans="1:11" ht="13.2">
      <c r="A972" s="22"/>
      <c r="B972" s="16"/>
      <c r="C972" s="23"/>
      <c r="D972" s="24"/>
      <c r="E972" s="25"/>
      <c r="F972" s="26"/>
      <c r="G972" s="27"/>
      <c r="H972" s="20"/>
      <c r="I972" s="21"/>
      <c r="J972" s="28"/>
      <c r="K972" s="19"/>
    </row>
    <row r="973" spans="1:11" ht="13.2">
      <c r="A973" s="22"/>
      <c r="B973" s="16"/>
      <c r="C973" s="23"/>
      <c r="D973" s="24"/>
      <c r="E973" s="25"/>
      <c r="F973" s="26"/>
      <c r="G973" s="27"/>
      <c r="H973" s="20"/>
      <c r="I973" s="21"/>
      <c r="J973" s="28"/>
      <c r="K973" s="19"/>
    </row>
    <row r="974" spans="1:11" ht="13.2">
      <c r="A974" s="22"/>
      <c r="B974" s="16"/>
      <c r="C974" s="23"/>
      <c r="D974" s="24"/>
      <c r="E974" s="25"/>
      <c r="F974" s="26"/>
      <c r="G974" s="27"/>
      <c r="H974" s="20"/>
      <c r="I974" s="21"/>
      <c r="J974" s="28"/>
      <c r="K974" s="19"/>
    </row>
    <row r="975" spans="1:11" ht="13.2">
      <c r="A975" s="22"/>
      <c r="B975" s="16"/>
      <c r="C975" s="23"/>
      <c r="D975" s="24"/>
      <c r="E975" s="25"/>
      <c r="F975" s="26"/>
      <c r="G975" s="27"/>
      <c r="H975" s="20"/>
      <c r="I975" s="21"/>
      <c r="J975" s="28"/>
      <c r="K975" s="19"/>
    </row>
    <row r="976" spans="1:11" ht="13.2">
      <c r="A976" s="22"/>
      <c r="B976" s="16"/>
      <c r="C976" s="23"/>
      <c r="D976" s="24"/>
      <c r="E976" s="25"/>
      <c r="F976" s="26"/>
      <c r="G976" s="27"/>
      <c r="H976" s="20"/>
      <c r="I976" s="21"/>
      <c r="J976" s="28"/>
      <c r="K976" s="19"/>
    </row>
    <row r="977" spans="1:11" ht="13.2">
      <c r="A977" s="22"/>
      <c r="B977" s="16"/>
      <c r="C977" s="23"/>
      <c r="D977" s="24"/>
      <c r="E977" s="25"/>
      <c r="F977" s="26"/>
      <c r="G977" s="27"/>
      <c r="H977" s="20"/>
      <c r="I977" s="21"/>
      <c r="J977" s="28"/>
      <c r="K977" s="19"/>
    </row>
    <row r="978" spans="1:11" ht="13.2">
      <c r="A978" s="22"/>
      <c r="B978" s="16"/>
      <c r="C978" s="23"/>
      <c r="D978" s="24"/>
      <c r="E978" s="25"/>
      <c r="F978" s="26"/>
      <c r="G978" s="27"/>
      <c r="H978" s="20"/>
      <c r="I978" s="21"/>
      <c r="J978" s="28"/>
      <c r="K978" s="19"/>
    </row>
    <row r="979" spans="1:11" ht="13.2">
      <c r="A979" s="22"/>
      <c r="B979" s="16"/>
      <c r="C979" s="23"/>
      <c r="D979" s="24"/>
      <c r="E979" s="25"/>
      <c r="F979" s="26"/>
      <c r="G979" s="27"/>
      <c r="H979" s="20"/>
      <c r="I979" s="21"/>
      <c r="J979" s="28"/>
      <c r="K979" s="19"/>
    </row>
    <row r="980" spans="1:11" ht="13.2">
      <c r="A980" s="22"/>
      <c r="B980" s="16"/>
      <c r="C980" s="23"/>
      <c r="D980" s="24"/>
      <c r="E980" s="25"/>
      <c r="F980" s="26"/>
      <c r="G980" s="27"/>
      <c r="H980" s="20"/>
      <c r="I980" s="21"/>
      <c r="J980" s="28"/>
      <c r="K980" s="19"/>
    </row>
    <row r="981" spans="1:11" ht="13.2">
      <c r="A981" s="22"/>
      <c r="B981" s="16"/>
      <c r="C981" s="23"/>
      <c r="D981" s="24"/>
      <c r="E981" s="25"/>
      <c r="F981" s="26"/>
      <c r="G981" s="27"/>
      <c r="H981" s="20"/>
      <c r="I981" s="21"/>
      <c r="J981" s="28"/>
      <c r="K981" s="19"/>
    </row>
    <row r="982" spans="1:11" ht="13.2">
      <c r="A982" s="22"/>
      <c r="B982" s="16"/>
      <c r="C982" s="23"/>
      <c r="D982" s="24"/>
      <c r="E982" s="25"/>
      <c r="F982" s="26"/>
      <c r="G982" s="27"/>
      <c r="H982" s="20"/>
      <c r="I982" s="21"/>
      <c r="J982" s="28"/>
      <c r="K982" s="19"/>
    </row>
    <row r="983" spans="1:11" ht="13.2">
      <c r="A983" s="22"/>
      <c r="B983" s="16"/>
      <c r="C983" s="23"/>
      <c r="D983" s="24"/>
      <c r="E983" s="25"/>
      <c r="F983" s="26"/>
      <c r="G983" s="27"/>
      <c r="H983" s="20"/>
      <c r="I983" s="21"/>
      <c r="J983" s="28"/>
      <c r="K983" s="19"/>
    </row>
    <row r="984" spans="1:11" ht="13.2">
      <c r="A984" s="22"/>
      <c r="B984" s="16"/>
      <c r="C984" s="23"/>
      <c r="D984" s="24"/>
      <c r="E984" s="25"/>
      <c r="F984" s="26"/>
      <c r="G984" s="27"/>
      <c r="H984" s="20"/>
      <c r="I984" s="21"/>
      <c r="J984" s="28"/>
      <c r="K984" s="19"/>
    </row>
    <row r="985" spans="1:11" ht="13.2">
      <c r="A985" s="22"/>
      <c r="B985" s="16"/>
      <c r="C985" s="23"/>
      <c r="D985" s="24"/>
      <c r="E985" s="25"/>
      <c r="F985" s="26"/>
      <c r="G985" s="27"/>
      <c r="H985" s="20"/>
      <c r="I985" s="21"/>
      <c r="J985" s="28"/>
      <c r="K985" s="19"/>
    </row>
    <row r="986" spans="1:11" ht="13.2">
      <c r="A986" s="22"/>
      <c r="B986" s="16"/>
      <c r="C986" s="23"/>
      <c r="D986" s="24"/>
      <c r="E986" s="25"/>
      <c r="F986" s="26"/>
      <c r="G986" s="27"/>
      <c r="H986" s="20"/>
      <c r="I986" s="21"/>
      <c r="J986" s="28"/>
      <c r="K986" s="19"/>
    </row>
    <row r="987" spans="1:11" ht="13.2">
      <c r="A987" s="22"/>
      <c r="B987" s="16"/>
      <c r="C987" s="23"/>
      <c r="D987" s="24"/>
      <c r="E987" s="25"/>
      <c r="F987" s="26"/>
      <c r="G987" s="27"/>
      <c r="H987" s="20"/>
      <c r="I987" s="21"/>
      <c r="J987" s="28"/>
      <c r="K987" s="19"/>
    </row>
    <row r="988" spans="1:11" ht="13.2">
      <c r="A988" s="22"/>
      <c r="B988" s="16"/>
      <c r="C988" s="23"/>
      <c r="D988" s="24"/>
      <c r="E988" s="25"/>
      <c r="F988" s="26"/>
      <c r="G988" s="27"/>
      <c r="H988" s="20"/>
      <c r="I988" s="21"/>
      <c r="J988" s="28"/>
      <c r="K988" s="19"/>
    </row>
    <row r="989" spans="1:11" ht="13.2">
      <c r="A989" s="22"/>
      <c r="B989" s="16"/>
      <c r="C989" s="23"/>
      <c r="D989" s="24"/>
      <c r="E989" s="25"/>
      <c r="F989" s="26"/>
      <c r="G989" s="27"/>
      <c r="H989" s="20"/>
      <c r="I989" s="21"/>
      <c r="J989" s="28"/>
      <c r="K989" s="19"/>
    </row>
    <row r="990" spans="1:11" ht="13.2">
      <c r="A990" s="22"/>
      <c r="B990" s="16"/>
      <c r="C990" s="23"/>
      <c r="D990" s="24"/>
      <c r="E990" s="25"/>
      <c r="F990" s="26"/>
      <c r="G990" s="27"/>
      <c r="H990" s="20"/>
      <c r="I990" s="21"/>
      <c r="J990" s="28"/>
      <c r="K990" s="19"/>
    </row>
    <row r="991" spans="1:11" ht="13.2">
      <c r="A991" s="22"/>
      <c r="B991" s="16"/>
      <c r="C991" s="23"/>
      <c r="D991" s="24"/>
      <c r="E991" s="25"/>
      <c r="F991" s="26"/>
      <c r="G991" s="27"/>
      <c r="H991" s="20"/>
      <c r="I991" s="21"/>
      <c r="J991" s="28"/>
      <c r="K991" s="19"/>
    </row>
    <row r="992" spans="1:11" ht="13.2">
      <c r="A992" s="22"/>
      <c r="B992" s="16"/>
      <c r="C992" s="23"/>
      <c r="D992" s="24"/>
      <c r="E992" s="25"/>
      <c r="F992" s="26"/>
      <c r="G992" s="27"/>
      <c r="H992" s="20"/>
      <c r="I992" s="21"/>
      <c r="J992" s="28"/>
      <c r="K992" s="19"/>
    </row>
    <row r="993" spans="1:11" ht="13.2">
      <c r="A993" s="22"/>
      <c r="B993" s="16"/>
      <c r="C993" s="23"/>
      <c r="D993" s="24"/>
      <c r="E993" s="25"/>
      <c r="F993" s="26"/>
      <c r="G993" s="27"/>
      <c r="H993" s="20"/>
      <c r="I993" s="21"/>
      <c r="J993" s="28"/>
      <c r="K993" s="19"/>
    </row>
    <row r="994" spans="1:11" ht="13.2">
      <c r="A994" s="22"/>
      <c r="B994" s="16"/>
      <c r="C994" s="23"/>
      <c r="D994" s="24"/>
      <c r="E994" s="25"/>
      <c r="F994" s="26"/>
      <c r="G994" s="27"/>
      <c r="H994" s="20"/>
      <c r="I994" s="21"/>
      <c r="J994" s="28"/>
      <c r="K994" s="19"/>
    </row>
    <row r="995" spans="1:11" ht="13.2">
      <c r="A995" s="22"/>
      <c r="B995" s="16"/>
      <c r="C995" s="23"/>
      <c r="D995" s="24"/>
      <c r="E995" s="25"/>
      <c r="F995" s="26"/>
      <c r="G995" s="27"/>
      <c r="H995" s="20"/>
      <c r="I995" s="21"/>
      <c r="J995" s="28"/>
      <c r="K995" s="19"/>
    </row>
    <row r="996" spans="1:11" ht="13.2">
      <c r="A996" s="22"/>
      <c r="B996" s="16"/>
      <c r="C996" s="23"/>
      <c r="D996" s="24"/>
      <c r="E996" s="25"/>
      <c r="F996" s="26"/>
      <c r="G996" s="27"/>
      <c r="H996" s="20"/>
      <c r="I996" s="21"/>
      <c r="J996" s="28"/>
      <c r="K996" s="19"/>
    </row>
    <row r="997" spans="1:11" ht="13.2">
      <c r="A997" s="22"/>
      <c r="B997" s="16"/>
      <c r="C997" s="23"/>
      <c r="D997" s="24"/>
      <c r="E997" s="25"/>
      <c r="F997" s="26"/>
      <c r="G997" s="27"/>
      <c r="H997" s="20"/>
      <c r="I997" s="21"/>
      <c r="J997" s="28"/>
      <c r="K997" s="19"/>
    </row>
    <row r="998" spans="1:11" ht="13.2">
      <c r="A998" s="22"/>
      <c r="B998" s="16"/>
      <c r="C998" s="23"/>
      <c r="D998" s="24"/>
      <c r="E998" s="25"/>
      <c r="F998" s="26"/>
      <c r="G998" s="27"/>
      <c r="H998" s="20"/>
      <c r="I998" s="21"/>
      <c r="J998" s="28"/>
      <c r="K998" s="19"/>
    </row>
    <row r="999" spans="1:11" ht="13.2">
      <c r="A999" s="22"/>
      <c r="B999" s="16"/>
      <c r="C999" s="23"/>
      <c r="D999" s="24"/>
      <c r="E999" s="25"/>
      <c r="F999" s="26"/>
      <c r="G999" s="27"/>
      <c r="H999" s="20"/>
      <c r="I999" s="21"/>
      <c r="J999" s="28"/>
      <c r="K999" s="19"/>
    </row>
    <row r="1000" spans="1:11" ht="13.2">
      <c r="A1000" s="22"/>
      <c r="B1000" s="16"/>
      <c r="C1000" s="23"/>
      <c r="D1000" s="24"/>
      <c r="E1000" s="25"/>
      <c r="F1000" s="26"/>
      <c r="G1000" s="27"/>
      <c r="H1000" s="20"/>
      <c r="I1000" s="21"/>
      <c r="J1000" s="28"/>
      <c r="K1000" s="19"/>
    </row>
    <row r="1001" spans="1:11" ht="13.2">
      <c r="A1001" s="22"/>
      <c r="B1001" s="16"/>
      <c r="C1001" s="23"/>
      <c r="D1001" s="24"/>
      <c r="E1001" s="25"/>
      <c r="F1001" s="26"/>
      <c r="G1001" s="27"/>
      <c r="H1001" s="20"/>
      <c r="I1001" s="21"/>
      <c r="J1001" s="28"/>
      <c r="K1001" s="19"/>
    </row>
    <row r="1002" spans="1:11" ht="13.2">
      <c r="A1002" s="22"/>
      <c r="B1002" s="16"/>
      <c r="C1002" s="23"/>
      <c r="D1002" s="24"/>
      <c r="E1002" s="25"/>
      <c r="F1002" s="26"/>
      <c r="G1002" s="27"/>
      <c r="H1002" s="20"/>
      <c r="I1002" s="21"/>
      <c r="J1002" s="28"/>
      <c r="K1002" s="19"/>
    </row>
    <row r="1003" spans="1:11" ht="13.2">
      <c r="A1003" s="22"/>
      <c r="B1003" s="16"/>
      <c r="C1003" s="23"/>
      <c r="D1003" s="24"/>
      <c r="E1003" s="25"/>
      <c r="F1003" s="26"/>
      <c r="G1003" s="27"/>
      <c r="H1003" s="20"/>
      <c r="I1003" s="21"/>
      <c r="J1003" s="28"/>
      <c r="K1003" s="19"/>
    </row>
    <row r="1004" spans="1:11" ht="13.2">
      <c r="A1004" s="22"/>
      <c r="B1004" s="16"/>
      <c r="C1004" s="23"/>
      <c r="D1004" s="24"/>
      <c r="E1004" s="25"/>
      <c r="F1004" s="26"/>
      <c r="G1004" s="27"/>
      <c r="H1004" s="20"/>
      <c r="I1004" s="21"/>
      <c r="J1004" s="28"/>
      <c r="K1004" s="19"/>
    </row>
    <row r="1005" spans="1:11" ht="13.2">
      <c r="A1005" s="22"/>
      <c r="B1005" s="16"/>
      <c r="C1005" s="23"/>
      <c r="D1005" s="24"/>
      <c r="E1005" s="25"/>
      <c r="F1005" s="26"/>
      <c r="G1005" s="27"/>
      <c r="H1005" s="20"/>
      <c r="I1005" s="21"/>
      <c r="J1005" s="28"/>
      <c r="K1005" s="19"/>
    </row>
    <row r="1006" spans="1:11" ht="13.2">
      <c r="A1006" s="22"/>
      <c r="B1006" s="16"/>
      <c r="C1006" s="23"/>
      <c r="D1006" s="24"/>
      <c r="E1006" s="25"/>
      <c r="F1006" s="26"/>
      <c r="G1006" s="27"/>
      <c r="H1006" s="20"/>
      <c r="I1006" s="21"/>
      <c r="J1006" s="28"/>
      <c r="K1006" s="19"/>
    </row>
    <row r="1007" spans="1:11" ht="13.2">
      <c r="A1007" s="22"/>
      <c r="B1007" s="16"/>
      <c r="C1007" s="23"/>
      <c r="D1007" s="24"/>
      <c r="E1007" s="25"/>
      <c r="F1007" s="26"/>
      <c r="G1007" s="27"/>
      <c r="H1007" s="20"/>
      <c r="I1007" s="21"/>
      <c r="J1007" s="28"/>
      <c r="K1007" s="19"/>
    </row>
    <row r="1008" spans="1:11" ht="13.2">
      <c r="A1008" s="22"/>
      <c r="B1008" s="16"/>
      <c r="C1008" s="23"/>
      <c r="D1008" s="24"/>
      <c r="E1008" s="25"/>
      <c r="F1008" s="26"/>
      <c r="G1008" s="27"/>
      <c r="H1008" s="20"/>
      <c r="I1008" s="21"/>
      <c r="J1008" s="28"/>
      <c r="K1008" s="19"/>
    </row>
    <row r="1009" spans="1:11" ht="13.2">
      <c r="A1009" s="22"/>
      <c r="B1009" s="16"/>
      <c r="C1009" s="23"/>
      <c r="D1009" s="24"/>
      <c r="E1009" s="25"/>
      <c r="F1009" s="26"/>
      <c r="G1009" s="27"/>
      <c r="H1009" s="20"/>
      <c r="I1009" s="21"/>
      <c r="J1009" s="28"/>
      <c r="K1009" s="19"/>
    </row>
    <row r="1010" spans="1:11" ht="13.2">
      <c r="A1010" s="22"/>
      <c r="B1010" s="16"/>
      <c r="C1010" s="23"/>
      <c r="D1010" s="24"/>
      <c r="E1010" s="25"/>
      <c r="F1010" s="26"/>
      <c r="G1010" s="27"/>
      <c r="H1010" s="20"/>
      <c r="I1010" s="21"/>
      <c r="J1010" s="28"/>
      <c r="K1010" s="19"/>
    </row>
    <row r="1011" spans="1:11" ht="13.2">
      <c r="A1011" s="22"/>
      <c r="B1011" s="16"/>
      <c r="C1011" s="23"/>
      <c r="D1011" s="24"/>
      <c r="E1011" s="25"/>
      <c r="F1011" s="26"/>
      <c r="G1011" s="27"/>
      <c r="H1011" s="20"/>
      <c r="I1011" s="21"/>
      <c r="J1011" s="28"/>
      <c r="K1011" s="19"/>
    </row>
    <row r="1012" spans="1:11" ht="13.2">
      <c r="A1012" s="22"/>
      <c r="B1012" s="16"/>
      <c r="C1012" s="23"/>
      <c r="D1012" s="24"/>
      <c r="E1012" s="25"/>
      <c r="F1012" s="26"/>
      <c r="G1012" s="27"/>
      <c r="H1012" s="20"/>
      <c r="I1012" s="21"/>
      <c r="J1012" s="28"/>
      <c r="K1012" s="19"/>
    </row>
    <row r="1013" spans="1:11" ht="13.2">
      <c r="A1013" s="22"/>
      <c r="B1013" s="16"/>
      <c r="C1013" s="23"/>
      <c r="D1013" s="24"/>
      <c r="E1013" s="25"/>
      <c r="F1013" s="26"/>
      <c r="G1013" s="27"/>
      <c r="H1013" s="20"/>
      <c r="I1013" s="21"/>
      <c r="J1013" s="28"/>
      <c r="K1013" s="19"/>
    </row>
    <row r="1014" spans="1:11" ht="13.2">
      <c r="A1014" s="22"/>
      <c r="B1014" s="16"/>
      <c r="C1014" s="23"/>
      <c r="D1014" s="24"/>
      <c r="E1014" s="25"/>
      <c r="F1014" s="26"/>
      <c r="G1014" s="27"/>
      <c r="H1014" s="20"/>
      <c r="I1014" s="21"/>
      <c r="J1014" s="28"/>
      <c r="K1014" s="19"/>
    </row>
    <row r="1015" spans="1:11" ht="13.2">
      <c r="A1015" s="22"/>
      <c r="B1015" s="16"/>
      <c r="C1015" s="23"/>
      <c r="D1015" s="24"/>
      <c r="E1015" s="25"/>
      <c r="F1015" s="26"/>
      <c r="G1015" s="27"/>
      <c r="H1015" s="20"/>
      <c r="I1015" s="21"/>
      <c r="J1015" s="28"/>
      <c r="K1015" s="19"/>
    </row>
    <row r="1016" spans="1:11" ht="13.2">
      <c r="A1016" s="22"/>
      <c r="B1016" s="16"/>
      <c r="C1016" s="23"/>
      <c r="D1016" s="24"/>
      <c r="E1016" s="25"/>
      <c r="F1016" s="26"/>
      <c r="G1016" s="27"/>
      <c r="H1016" s="20"/>
      <c r="I1016" s="21"/>
      <c r="J1016" s="28"/>
      <c r="K1016" s="19"/>
    </row>
    <row r="1017" spans="1:11" ht="13.2">
      <c r="A1017" s="22"/>
      <c r="B1017" s="16"/>
      <c r="C1017" s="23"/>
      <c r="D1017" s="24"/>
      <c r="E1017" s="25"/>
      <c r="F1017" s="26"/>
      <c r="G1017" s="27"/>
      <c r="H1017" s="20"/>
      <c r="I1017" s="21"/>
      <c r="J1017" s="28"/>
      <c r="K1017" s="19"/>
    </row>
    <row r="1018" spans="1:11" ht="13.2">
      <c r="A1018" s="22"/>
      <c r="B1018" s="16"/>
      <c r="C1018" s="23"/>
      <c r="D1018" s="24"/>
      <c r="E1018" s="25"/>
      <c r="F1018" s="26"/>
      <c r="G1018" s="27"/>
      <c r="H1018" s="20"/>
      <c r="I1018" s="21"/>
      <c r="J1018" s="28"/>
      <c r="K1018" s="19"/>
    </row>
    <row r="1019" spans="1:11" ht="13.2">
      <c r="A1019" s="22"/>
      <c r="B1019" s="16"/>
      <c r="C1019" s="23"/>
      <c r="D1019" s="24"/>
      <c r="E1019" s="25"/>
      <c r="F1019" s="26"/>
      <c r="G1019" s="27"/>
      <c r="H1019" s="20"/>
      <c r="I1019" s="21"/>
      <c r="J1019" s="28"/>
      <c r="K1019" s="19"/>
    </row>
    <row r="1020" spans="1:11" ht="13.2">
      <c r="A1020" s="22"/>
      <c r="B1020" s="16"/>
      <c r="C1020" s="23"/>
      <c r="D1020" s="24"/>
      <c r="E1020" s="25"/>
      <c r="F1020" s="26"/>
      <c r="G1020" s="27"/>
      <c r="H1020" s="20"/>
      <c r="I1020" s="21"/>
      <c r="J1020" s="28"/>
      <c r="K1020" s="19"/>
    </row>
    <row r="1021" spans="1:11" ht="13.2">
      <c r="A1021" s="22"/>
      <c r="B1021" s="16"/>
      <c r="C1021" s="23"/>
      <c r="D1021" s="24"/>
      <c r="E1021" s="25"/>
      <c r="F1021" s="26"/>
      <c r="G1021" s="27"/>
      <c r="H1021" s="20"/>
      <c r="I1021" s="21"/>
      <c r="J1021" s="28"/>
      <c r="K1021" s="19"/>
    </row>
    <row r="1022" spans="1:11" ht="13.2">
      <c r="A1022" s="22"/>
      <c r="B1022" s="16"/>
      <c r="C1022" s="23"/>
      <c r="D1022" s="24"/>
      <c r="E1022" s="25"/>
      <c r="F1022" s="26"/>
      <c r="G1022" s="27"/>
      <c r="H1022" s="20"/>
      <c r="I1022" s="21"/>
      <c r="J1022" s="28"/>
      <c r="K1022" s="19"/>
    </row>
    <row r="1023" spans="1:11" ht="13.2">
      <c r="A1023" s="22"/>
      <c r="B1023" s="16"/>
      <c r="C1023" s="23"/>
      <c r="D1023" s="24"/>
      <c r="E1023" s="25"/>
      <c r="F1023" s="26"/>
      <c r="G1023" s="27"/>
      <c r="H1023" s="20"/>
      <c r="I1023" s="21"/>
      <c r="J1023" s="28"/>
      <c r="K1023" s="19"/>
    </row>
    <row r="1024" spans="1:11" ht="13.2">
      <c r="A1024" s="22"/>
      <c r="B1024" s="16"/>
      <c r="C1024" s="23"/>
      <c r="D1024" s="24"/>
      <c r="E1024" s="25"/>
      <c r="F1024" s="26"/>
      <c r="G1024" s="27"/>
      <c r="H1024" s="20"/>
      <c r="I1024" s="21"/>
      <c r="J1024" s="28"/>
      <c r="K1024" s="19"/>
    </row>
    <row r="1025" spans="1:11" ht="13.2">
      <c r="A1025" s="22"/>
      <c r="B1025" s="16"/>
      <c r="C1025" s="23"/>
      <c r="D1025" s="24"/>
      <c r="E1025" s="25"/>
      <c r="F1025" s="26"/>
      <c r="G1025" s="27"/>
      <c r="H1025" s="20"/>
      <c r="I1025" s="21"/>
      <c r="J1025" s="28"/>
      <c r="K1025" s="19"/>
    </row>
    <row r="1026" spans="1:11" ht="13.2">
      <c r="A1026" s="22"/>
      <c r="B1026" s="16"/>
      <c r="C1026" s="23"/>
      <c r="D1026" s="24"/>
      <c r="E1026" s="25"/>
      <c r="F1026" s="26"/>
      <c r="G1026" s="27"/>
      <c r="H1026" s="20"/>
      <c r="I1026" s="21"/>
      <c r="J1026" s="28"/>
      <c r="K1026" s="19"/>
    </row>
    <row r="1027" spans="1:11" ht="13.2">
      <c r="A1027" s="22"/>
      <c r="B1027" s="16"/>
      <c r="C1027" s="23"/>
      <c r="D1027" s="24"/>
      <c r="E1027" s="25"/>
      <c r="F1027" s="26"/>
      <c r="G1027" s="27"/>
      <c r="H1027" s="20"/>
      <c r="I1027" s="21"/>
      <c r="J1027" s="28"/>
      <c r="K1027" s="19"/>
    </row>
    <row r="1028" spans="1:11" ht="13.2">
      <c r="A1028" s="22"/>
      <c r="B1028" s="16"/>
      <c r="C1028" s="23"/>
      <c r="D1028" s="24"/>
      <c r="E1028" s="25"/>
      <c r="F1028" s="26"/>
      <c r="G1028" s="27"/>
      <c r="H1028" s="20"/>
      <c r="I1028" s="21"/>
      <c r="J1028" s="28"/>
      <c r="K1028" s="19"/>
    </row>
    <row r="1029" spans="1:11" ht="13.2">
      <c r="A1029" s="22"/>
      <c r="B1029" s="16"/>
      <c r="C1029" s="23"/>
      <c r="D1029" s="24"/>
      <c r="E1029" s="25"/>
      <c r="F1029" s="26"/>
      <c r="G1029" s="27"/>
      <c r="H1029" s="20"/>
      <c r="I1029" s="21"/>
      <c r="J1029" s="28"/>
      <c r="K1029" s="19"/>
    </row>
    <row r="1030" spans="1:11" ht="13.2">
      <c r="A1030" s="22"/>
      <c r="B1030" s="16"/>
      <c r="C1030" s="23"/>
      <c r="D1030" s="24"/>
      <c r="E1030" s="25"/>
      <c r="F1030" s="26"/>
      <c r="G1030" s="27"/>
      <c r="H1030" s="20"/>
      <c r="I1030" s="21"/>
      <c r="J1030" s="28"/>
      <c r="K1030" s="19"/>
    </row>
    <row r="1031" spans="1:11" ht="13.2">
      <c r="A1031" s="22"/>
      <c r="B1031" s="16"/>
      <c r="C1031" s="23"/>
      <c r="D1031" s="24"/>
      <c r="E1031" s="25"/>
      <c r="F1031" s="26"/>
      <c r="G1031" s="27"/>
      <c r="H1031" s="20"/>
      <c r="I1031" s="21"/>
      <c r="J1031" s="28"/>
      <c r="K1031" s="19"/>
    </row>
    <row r="1032" spans="1:11" ht="13.2">
      <c r="A1032" s="22"/>
      <c r="B1032" s="16"/>
      <c r="C1032" s="23"/>
      <c r="D1032" s="24"/>
      <c r="E1032" s="25"/>
      <c r="F1032" s="26"/>
      <c r="G1032" s="27"/>
      <c r="H1032" s="20"/>
      <c r="I1032" s="21"/>
      <c r="J1032" s="28"/>
      <c r="K1032" s="19"/>
    </row>
    <row r="1033" spans="1:11" ht="13.2">
      <c r="A1033" s="22"/>
      <c r="B1033" s="16"/>
      <c r="C1033" s="23"/>
      <c r="D1033" s="24"/>
      <c r="E1033" s="25"/>
      <c r="F1033" s="26"/>
      <c r="G1033" s="27"/>
      <c r="H1033" s="20"/>
      <c r="I1033" s="21"/>
      <c r="J1033" s="28"/>
      <c r="K1033" s="19"/>
    </row>
    <row r="1034" spans="1:11" ht="13.2">
      <c r="A1034" s="22"/>
      <c r="B1034" s="16"/>
      <c r="C1034" s="23"/>
      <c r="D1034" s="24"/>
      <c r="E1034" s="25"/>
      <c r="F1034" s="26"/>
      <c r="G1034" s="27"/>
      <c r="H1034" s="20"/>
      <c r="I1034" s="21"/>
      <c r="J1034" s="28"/>
      <c r="K1034" s="19"/>
    </row>
    <row r="1035" spans="1:11" ht="13.2">
      <c r="A1035" s="22"/>
      <c r="B1035" s="16"/>
      <c r="C1035" s="23"/>
      <c r="D1035" s="24"/>
      <c r="E1035" s="25"/>
      <c r="F1035" s="26"/>
      <c r="G1035" s="27"/>
      <c r="H1035" s="20"/>
      <c r="I1035" s="21"/>
      <c r="J1035" s="28"/>
      <c r="K1035" s="19"/>
    </row>
    <row r="1036" spans="1:11" ht="13.2">
      <c r="A1036" s="22"/>
      <c r="B1036" s="16"/>
      <c r="C1036" s="23"/>
      <c r="D1036" s="24"/>
      <c r="E1036" s="25"/>
      <c r="F1036" s="26"/>
      <c r="G1036" s="27"/>
      <c r="H1036" s="20"/>
      <c r="I1036" s="21"/>
      <c r="J1036" s="28"/>
      <c r="K1036" s="19"/>
    </row>
    <row r="1037" spans="1:11" ht="13.2">
      <c r="A1037" s="22"/>
      <c r="B1037" s="16"/>
      <c r="C1037" s="23"/>
      <c r="D1037" s="24"/>
      <c r="E1037" s="25"/>
      <c r="F1037" s="26"/>
      <c r="G1037" s="27"/>
      <c r="H1037" s="20"/>
      <c r="I1037" s="21"/>
      <c r="J1037" s="28"/>
      <c r="K1037" s="19"/>
    </row>
    <row r="1038" spans="1:11" ht="13.2">
      <c r="A1038" s="22"/>
      <c r="B1038" s="16"/>
      <c r="C1038" s="23"/>
      <c r="D1038" s="24"/>
      <c r="E1038" s="25"/>
      <c r="F1038" s="26"/>
      <c r="G1038" s="27"/>
      <c r="H1038" s="20"/>
      <c r="I1038" s="21"/>
      <c r="J1038" s="28"/>
      <c r="K1038" s="19"/>
    </row>
    <row r="1039" spans="1:11" ht="13.2">
      <c r="A1039" s="22"/>
      <c r="B1039" s="16"/>
      <c r="C1039" s="23"/>
      <c r="D1039" s="24"/>
      <c r="E1039" s="25"/>
      <c r="F1039" s="26"/>
      <c r="G1039" s="27"/>
      <c r="H1039" s="20"/>
      <c r="I1039" s="21"/>
      <c r="J1039" s="28"/>
      <c r="K1039" s="19"/>
    </row>
    <row r="1040" spans="1:11" ht="13.2">
      <c r="A1040" s="22"/>
      <c r="B1040" s="16"/>
      <c r="C1040" s="23"/>
      <c r="D1040" s="24"/>
      <c r="E1040" s="25"/>
      <c r="F1040" s="26"/>
      <c r="G1040" s="27"/>
      <c r="H1040" s="20"/>
      <c r="I1040" s="21"/>
      <c r="J1040" s="28"/>
      <c r="K1040" s="19"/>
    </row>
    <row r="1041" spans="1:11" ht="13.2">
      <c r="A1041" s="22"/>
      <c r="B1041" s="16"/>
      <c r="C1041" s="23"/>
      <c r="D1041" s="24"/>
      <c r="E1041" s="25"/>
      <c r="F1041" s="26"/>
      <c r="G1041" s="27"/>
      <c r="H1041" s="20"/>
      <c r="I1041" s="21"/>
      <c r="J1041" s="28"/>
      <c r="K1041" s="19"/>
    </row>
    <row r="1042" spans="1:11" ht="13.2">
      <c r="A1042" s="22"/>
      <c r="B1042" s="16"/>
      <c r="C1042" s="23"/>
      <c r="D1042" s="24"/>
      <c r="E1042" s="25"/>
      <c r="F1042" s="26"/>
      <c r="G1042" s="27"/>
      <c r="H1042" s="20"/>
      <c r="I1042" s="21"/>
      <c r="J1042" s="28"/>
      <c r="K1042" s="19"/>
    </row>
    <row r="1043" spans="1:11" ht="13.2">
      <c r="A1043" s="22"/>
      <c r="B1043" s="16"/>
      <c r="C1043" s="23"/>
      <c r="D1043" s="24"/>
      <c r="E1043" s="25"/>
      <c r="F1043" s="26"/>
      <c r="G1043" s="27"/>
      <c r="H1043" s="20"/>
      <c r="I1043" s="21"/>
      <c r="J1043" s="28"/>
      <c r="K1043" s="19"/>
    </row>
    <row r="1044" spans="1:11" ht="13.2">
      <c r="A1044" s="22"/>
      <c r="B1044" s="16"/>
      <c r="C1044" s="23"/>
      <c r="D1044" s="24"/>
      <c r="E1044" s="25"/>
      <c r="F1044" s="26"/>
      <c r="G1044" s="27"/>
      <c r="H1044" s="20"/>
      <c r="I1044" s="21"/>
      <c r="J1044" s="28"/>
      <c r="K1044" s="19"/>
    </row>
    <row r="1045" spans="1:11" ht="13.2">
      <c r="A1045" s="22"/>
      <c r="B1045" s="16"/>
      <c r="C1045" s="23"/>
      <c r="D1045" s="24"/>
      <c r="E1045" s="25"/>
      <c r="F1045" s="26"/>
      <c r="G1045" s="27"/>
      <c r="H1045" s="20"/>
      <c r="I1045" s="21"/>
      <c r="J1045" s="28"/>
      <c r="K1045" s="19"/>
    </row>
    <row r="1046" spans="1:11" ht="13.2">
      <c r="A1046" s="22"/>
      <c r="B1046" s="16"/>
      <c r="C1046" s="23"/>
      <c r="D1046" s="24"/>
      <c r="E1046" s="25"/>
      <c r="F1046" s="26"/>
      <c r="G1046" s="27"/>
      <c r="H1046" s="20"/>
      <c r="I1046" s="21"/>
      <c r="J1046" s="28"/>
      <c r="K1046" s="19"/>
    </row>
    <row r="1047" spans="1:11" ht="13.2">
      <c r="A1047" s="22"/>
      <c r="B1047" s="16"/>
      <c r="C1047" s="23"/>
      <c r="D1047" s="24"/>
      <c r="E1047" s="25"/>
      <c r="F1047" s="26"/>
      <c r="G1047" s="27"/>
      <c r="H1047" s="20"/>
      <c r="I1047" s="21"/>
      <c r="J1047" s="28"/>
      <c r="K1047" s="19"/>
    </row>
    <row r="1048" spans="1:11" ht="13.2">
      <c r="A1048" s="22"/>
      <c r="B1048" s="16"/>
      <c r="C1048" s="23"/>
      <c r="D1048" s="24"/>
      <c r="E1048" s="25"/>
      <c r="F1048" s="26"/>
      <c r="G1048" s="27"/>
      <c r="H1048" s="20"/>
      <c r="I1048" s="21"/>
      <c r="J1048" s="28"/>
      <c r="K1048" s="19"/>
    </row>
    <row r="1049" spans="1:11" ht="13.2">
      <c r="A1049" s="22"/>
      <c r="B1049" s="16"/>
      <c r="C1049" s="23"/>
      <c r="D1049" s="24"/>
      <c r="E1049" s="25"/>
      <c r="F1049" s="26"/>
      <c r="G1049" s="27"/>
      <c r="H1049" s="20"/>
      <c r="I1049" s="21"/>
      <c r="J1049" s="28"/>
      <c r="K1049" s="19"/>
    </row>
    <row r="1050" spans="1:11" ht="13.2">
      <c r="A1050" s="22"/>
      <c r="B1050" s="16"/>
      <c r="C1050" s="23"/>
      <c r="D1050" s="24"/>
      <c r="E1050" s="25"/>
      <c r="F1050" s="26"/>
      <c r="G1050" s="27"/>
      <c r="H1050" s="20"/>
      <c r="I1050" s="21"/>
      <c r="J1050" s="28"/>
      <c r="K1050" s="19"/>
    </row>
    <row r="1051" spans="1:11" ht="13.2">
      <c r="A1051" s="22"/>
      <c r="B1051" s="16"/>
      <c r="C1051" s="23"/>
      <c r="D1051" s="24"/>
      <c r="E1051" s="25"/>
      <c r="F1051" s="26"/>
      <c r="G1051" s="27"/>
      <c r="H1051" s="20"/>
      <c r="I1051" s="21"/>
      <c r="J1051" s="28"/>
      <c r="K1051" s="19"/>
    </row>
    <row r="1052" spans="1:11" ht="13.2">
      <c r="A1052" s="22"/>
      <c r="B1052" s="16"/>
      <c r="C1052" s="23"/>
      <c r="D1052" s="24"/>
      <c r="E1052" s="25"/>
      <c r="F1052" s="26"/>
      <c r="G1052" s="27"/>
      <c r="H1052" s="20"/>
      <c r="I1052" s="21"/>
      <c r="J1052" s="28"/>
      <c r="K1052" s="19"/>
    </row>
    <row r="1053" spans="1:11" ht="13.2">
      <c r="A1053" s="22"/>
      <c r="B1053" s="16"/>
      <c r="C1053" s="23"/>
      <c r="D1053" s="24"/>
      <c r="E1053" s="25"/>
      <c r="F1053" s="26"/>
      <c r="G1053" s="27"/>
      <c r="H1053" s="20"/>
      <c r="I1053" s="21"/>
      <c r="J1053" s="28"/>
      <c r="K1053" s="19"/>
    </row>
    <row r="1054" spans="1:11" ht="13.2">
      <c r="A1054" s="22"/>
      <c r="B1054" s="16"/>
      <c r="C1054" s="23"/>
      <c r="D1054" s="24"/>
      <c r="E1054" s="25"/>
      <c r="F1054" s="26"/>
      <c r="G1054" s="27"/>
      <c r="H1054" s="20"/>
      <c r="I1054" s="21"/>
      <c r="J1054" s="28"/>
      <c r="K1054" s="19"/>
    </row>
    <row r="1055" spans="1:11" ht="13.2">
      <c r="A1055" s="22"/>
      <c r="B1055" s="16"/>
      <c r="C1055" s="23"/>
      <c r="D1055" s="24"/>
      <c r="E1055" s="25"/>
      <c r="F1055" s="26"/>
      <c r="G1055" s="27"/>
      <c r="H1055" s="20"/>
      <c r="I1055" s="21"/>
      <c r="J1055" s="28"/>
      <c r="K1055" s="19"/>
    </row>
    <row r="1056" spans="1:11" ht="13.2">
      <c r="A1056" s="22"/>
      <c r="B1056" s="16"/>
      <c r="C1056" s="23"/>
      <c r="D1056" s="24"/>
      <c r="E1056" s="25"/>
      <c r="F1056" s="26"/>
      <c r="G1056" s="27"/>
      <c r="H1056" s="20"/>
      <c r="I1056" s="21"/>
      <c r="J1056" s="28"/>
      <c r="K1056" s="19"/>
    </row>
    <row r="1057" spans="1:11" ht="13.2">
      <c r="A1057" s="22"/>
      <c r="B1057" s="16"/>
      <c r="C1057" s="23"/>
      <c r="D1057" s="24"/>
      <c r="E1057" s="25"/>
      <c r="F1057" s="26"/>
      <c r="G1057" s="27"/>
      <c r="H1057" s="20"/>
      <c r="I1057" s="21"/>
      <c r="J1057" s="28"/>
      <c r="K1057" s="19"/>
    </row>
    <row r="1058" spans="1:11" ht="13.2">
      <c r="A1058" s="22"/>
      <c r="B1058" s="16"/>
      <c r="C1058" s="23"/>
      <c r="D1058" s="24"/>
      <c r="E1058" s="25"/>
      <c r="F1058" s="26"/>
      <c r="G1058" s="27"/>
      <c r="H1058" s="20"/>
      <c r="I1058" s="21"/>
      <c r="J1058" s="28"/>
      <c r="K1058" s="19"/>
    </row>
    <row r="1059" spans="1:11" ht="13.2">
      <c r="A1059" s="22"/>
      <c r="B1059" s="16"/>
      <c r="C1059" s="23"/>
      <c r="D1059" s="24"/>
      <c r="E1059" s="25"/>
      <c r="F1059" s="26"/>
      <c r="G1059" s="27"/>
      <c r="H1059" s="20"/>
      <c r="I1059" s="21"/>
      <c r="J1059" s="28"/>
      <c r="K1059" s="19"/>
    </row>
    <row r="1060" spans="1:11" ht="13.2">
      <c r="A1060" s="22"/>
      <c r="B1060" s="16"/>
      <c r="C1060" s="23"/>
      <c r="D1060" s="24"/>
      <c r="E1060" s="25"/>
      <c r="F1060" s="26"/>
      <c r="G1060" s="27"/>
      <c r="H1060" s="20"/>
      <c r="I1060" s="21"/>
      <c r="J1060" s="28"/>
      <c r="K1060" s="19"/>
    </row>
    <row r="1061" spans="1:11" ht="13.2">
      <c r="A1061" s="22"/>
      <c r="B1061" s="16"/>
      <c r="C1061" s="23"/>
      <c r="D1061" s="24"/>
      <c r="E1061" s="25"/>
      <c r="F1061" s="26"/>
      <c r="G1061" s="27"/>
      <c r="H1061" s="20"/>
      <c r="I1061" s="21"/>
      <c r="J1061" s="28"/>
      <c r="K1061" s="19"/>
    </row>
    <row r="1062" spans="1:11" ht="13.2">
      <c r="A1062" s="22"/>
      <c r="B1062" s="16"/>
      <c r="C1062" s="23"/>
      <c r="D1062" s="24"/>
      <c r="E1062" s="25"/>
      <c r="F1062" s="26"/>
      <c r="G1062" s="27"/>
      <c r="H1062" s="20"/>
      <c r="I1062" s="21"/>
      <c r="J1062" s="28"/>
      <c r="K1062" s="19"/>
    </row>
    <row r="1063" spans="1:11" ht="13.2">
      <c r="A1063" s="22"/>
      <c r="B1063" s="16"/>
      <c r="C1063" s="23"/>
      <c r="D1063" s="24"/>
      <c r="E1063" s="25"/>
      <c r="F1063" s="26"/>
      <c r="G1063" s="27"/>
      <c r="H1063" s="20"/>
      <c r="I1063" s="21"/>
      <c r="J1063" s="28"/>
      <c r="K1063" s="19"/>
    </row>
    <row r="1064" spans="1:11" ht="13.2">
      <c r="A1064" s="22"/>
      <c r="B1064" s="16"/>
      <c r="C1064" s="23"/>
      <c r="D1064" s="24"/>
      <c r="E1064" s="25"/>
      <c r="F1064" s="26"/>
      <c r="G1064" s="27"/>
      <c r="H1064" s="20"/>
      <c r="I1064" s="21"/>
      <c r="J1064" s="28"/>
      <c r="K1064" s="19"/>
    </row>
    <row r="1065" spans="1:11" ht="13.2">
      <c r="A1065" s="22"/>
      <c r="B1065" s="16"/>
      <c r="C1065" s="23"/>
      <c r="D1065" s="24"/>
      <c r="E1065" s="25"/>
      <c r="F1065" s="26"/>
      <c r="G1065" s="27"/>
      <c r="H1065" s="20"/>
      <c r="I1065" s="21"/>
      <c r="J1065" s="28"/>
      <c r="K1065" s="19"/>
    </row>
    <row r="1066" spans="1:11" ht="13.2">
      <c r="A1066" s="22"/>
      <c r="B1066" s="16"/>
      <c r="C1066" s="23"/>
      <c r="D1066" s="24"/>
      <c r="E1066" s="25"/>
      <c r="F1066" s="26"/>
      <c r="G1066" s="27"/>
      <c r="H1066" s="20"/>
      <c r="I1066" s="21"/>
      <c r="J1066" s="28"/>
      <c r="K1066" s="19"/>
    </row>
    <row r="1067" spans="1:11" ht="13.2">
      <c r="A1067" s="22"/>
      <c r="B1067" s="16"/>
      <c r="C1067" s="23"/>
      <c r="D1067" s="24"/>
      <c r="E1067" s="25"/>
      <c r="F1067" s="26"/>
      <c r="G1067" s="27"/>
      <c r="H1067" s="20"/>
      <c r="I1067" s="21"/>
      <c r="J1067" s="28"/>
      <c r="K1067" s="19"/>
    </row>
    <row r="1068" spans="1:11" ht="13.2">
      <c r="A1068" s="22"/>
      <c r="B1068" s="16"/>
      <c r="C1068" s="23"/>
      <c r="D1068" s="24"/>
      <c r="E1068" s="25"/>
      <c r="F1068" s="26"/>
      <c r="G1068" s="27"/>
      <c r="H1068" s="20"/>
      <c r="I1068" s="21"/>
      <c r="J1068" s="28"/>
      <c r="K1068" s="19"/>
    </row>
    <row r="1069" spans="1:11" ht="13.2">
      <c r="A1069" s="22"/>
      <c r="B1069" s="16"/>
      <c r="C1069" s="23"/>
      <c r="D1069" s="24"/>
      <c r="E1069" s="25"/>
      <c r="F1069" s="26"/>
      <c r="G1069" s="27"/>
      <c r="H1069" s="20"/>
      <c r="I1069" s="21"/>
      <c r="J1069" s="28"/>
      <c r="K1069" s="19"/>
    </row>
    <row r="1070" spans="1:11" ht="13.2">
      <c r="A1070" s="22"/>
      <c r="B1070" s="16"/>
      <c r="C1070" s="23"/>
      <c r="D1070" s="24"/>
      <c r="E1070" s="25"/>
      <c r="F1070" s="26"/>
      <c r="G1070" s="27"/>
      <c r="H1070" s="20"/>
      <c r="I1070" s="21"/>
      <c r="J1070" s="28"/>
      <c r="K1070" s="19"/>
    </row>
    <row r="1071" spans="1:11" ht="13.2">
      <c r="A1071" s="22"/>
      <c r="B1071" s="16"/>
      <c r="C1071" s="23"/>
      <c r="D1071" s="24"/>
      <c r="E1071" s="25"/>
      <c r="F1071" s="26"/>
      <c r="G1071" s="27"/>
      <c r="H1071" s="20"/>
      <c r="I1071" s="21"/>
      <c r="J1071" s="28"/>
      <c r="K1071" s="19"/>
    </row>
    <row r="1072" spans="1:11" ht="13.2">
      <c r="A1072" s="22"/>
      <c r="B1072" s="16"/>
      <c r="C1072" s="23"/>
      <c r="D1072" s="24"/>
      <c r="E1072" s="25"/>
      <c r="F1072" s="26"/>
      <c r="G1072" s="27"/>
      <c r="H1072" s="20"/>
      <c r="I1072" s="21"/>
      <c r="J1072" s="28"/>
      <c r="K1072" s="19"/>
    </row>
    <row r="1073" spans="1:11" ht="13.2">
      <c r="A1073" s="22"/>
      <c r="B1073" s="16"/>
      <c r="C1073" s="23"/>
      <c r="D1073" s="24"/>
      <c r="E1073" s="25"/>
      <c r="F1073" s="26"/>
      <c r="G1073" s="27"/>
      <c r="H1073" s="20"/>
      <c r="I1073" s="21"/>
      <c r="J1073" s="28"/>
      <c r="K1073" s="19"/>
    </row>
    <row r="1074" spans="1:11" ht="13.2">
      <c r="A1074" s="22"/>
      <c r="B1074" s="16"/>
      <c r="C1074" s="23"/>
      <c r="D1074" s="24"/>
      <c r="E1074" s="25"/>
      <c r="F1074" s="26"/>
      <c r="G1074" s="27"/>
      <c r="H1074" s="20"/>
      <c r="I1074" s="21"/>
      <c r="J1074" s="28"/>
      <c r="K1074" s="19"/>
    </row>
    <row r="1075" spans="1:11" ht="13.2">
      <c r="A1075" s="22"/>
      <c r="B1075" s="16"/>
      <c r="C1075" s="23"/>
      <c r="D1075" s="24"/>
      <c r="E1075" s="25"/>
      <c r="F1075" s="26"/>
      <c r="G1075" s="27"/>
      <c r="H1075" s="20"/>
      <c r="I1075" s="21"/>
      <c r="J1075" s="28"/>
      <c r="K1075" s="19"/>
    </row>
    <row r="1076" spans="1:11" ht="13.2">
      <c r="A1076" s="22"/>
      <c r="B1076" s="16"/>
      <c r="C1076" s="23"/>
      <c r="D1076" s="24"/>
      <c r="E1076" s="25"/>
      <c r="F1076" s="26"/>
      <c r="G1076" s="27"/>
      <c r="H1076" s="20"/>
      <c r="I1076" s="21"/>
      <c r="J1076" s="28"/>
      <c r="K1076" s="19"/>
    </row>
    <row r="1077" spans="1:11" ht="13.2">
      <c r="A1077" s="22"/>
      <c r="B1077" s="16"/>
      <c r="C1077" s="23"/>
      <c r="D1077" s="24"/>
      <c r="E1077" s="25"/>
      <c r="F1077" s="26"/>
      <c r="G1077" s="27"/>
      <c r="H1077" s="20"/>
      <c r="I1077" s="21"/>
      <c r="J1077" s="28"/>
      <c r="K1077" s="19"/>
    </row>
    <row r="1078" spans="1:11" ht="13.2">
      <c r="A1078" s="22"/>
      <c r="B1078" s="16"/>
      <c r="C1078" s="23"/>
      <c r="D1078" s="24"/>
      <c r="E1078" s="25"/>
      <c r="F1078" s="26"/>
      <c r="G1078" s="27"/>
      <c r="H1078" s="20"/>
      <c r="I1078" s="21"/>
      <c r="J1078" s="28"/>
      <c r="K1078" s="19"/>
    </row>
    <row r="1079" spans="1:11" ht="13.2">
      <c r="A1079" s="22"/>
      <c r="B1079" s="16"/>
      <c r="C1079" s="23"/>
      <c r="D1079" s="24"/>
      <c r="E1079" s="25"/>
      <c r="F1079" s="26"/>
      <c r="G1079" s="27"/>
      <c r="H1079" s="20"/>
      <c r="I1079" s="21"/>
      <c r="J1079" s="28"/>
      <c r="K1079" s="19"/>
    </row>
    <row r="1080" spans="1:11" ht="13.2">
      <c r="A1080" s="22"/>
      <c r="B1080" s="16"/>
      <c r="C1080" s="23"/>
      <c r="D1080" s="24"/>
      <c r="E1080" s="25"/>
      <c r="F1080" s="26"/>
      <c r="G1080" s="27"/>
      <c r="H1080" s="20"/>
      <c r="I1080" s="21"/>
      <c r="J1080" s="28"/>
      <c r="K1080" s="19"/>
    </row>
    <row r="1081" spans="1:11" ht="13.2">
      <c r="A1081" s="22"/>
      <c r="B1081" s="16"/>
      <c r="C1081" s="23"/>
      <c r="D1081" s="24"/>
      <c r="E1081" s="25"/>
      <c r="F1081" s="26"/>
      <c r="G1081" s="27"/>
      <c r="H1081" s="20"/>
      <c r="I1081" s="21"/>
      <c r="J1081" s="28"/>
      <c r="K1081" s="19"/>
    </row>
    <row r="1082" spans="1:11" ht="13.2">
      <c r="A1082" s="22"/>
      <c r="B1082" s="16"/>
      <c r="C1082" s="23"/>
      <c r="D1082" s="24"/>
      <c r="E1082" s="25"/>
      <c r="F1082" s="26"/>
      <c r="G1082" s="27"/>
      <c r="H1082" s="20"/>
      <c r="I1082" s="21"/>
      <c r="J1082" s="28"/>
      <c r="K1082" s="19"/>
    </row>
    <row r="1083" spans="1:11" ht="13.2">
      <c r="A1083" s="22"/>
      <c r="B1083" s="16"/>
      <c r="C1083" s="23"/>
      <c r="D1083" s="24"/>
      <c r="E1083" s="25"/>
      <c r="F1083" s="26"/>
      <c r="G1083" s="27"/>
      <c r="H1083" s="20"/>
      <c r="I1083" s="21"/>
      <c r="J1083" s="28"/>
      <c r="K1083" s="19"/>
    </row>
    <row r="1084" spans="1:11" ht="13.2">
      <c r="A1084" s="22"/>
      <c r="B1084" s="16"/>
      <c r="C1084" s="23"/>
      <c r="D1084" s="24"/>
      <c r="E1084" s="25"/>
      <c r="F1084" s="26"/>
      <c r="G1084" s="27"/>
      <c r="H1084" s="20"/>
      <c r="I1084" s="21"/>
      <c r="J1084" s="28"/>
      <c r="K1084" s="19"/>
    </row>
    <row r="1085" spans="1:11" ht="13.2">
      <c r="A1085" s="22"/>
      <c r="B1085" s="16"/>
      <c r="C1085" s="23"/>
      <c r="D1085" s="24"/>
      <c r="E1085" s="25"/>
      <c r="F1085" s="26"/>
      <c r="G1085" s="27"/>
      <c r="H1085" s="20"/>
      <c r="I1085" s="21"/>
      <c r="J1085" s="28"/>
      <c r="K1085" s="19"/>
    </row>
    <row r="1086" spans="1:11" ht="13.2">
      <c r="A1086" s="22"/>
      <c r="B1086" s="16"/>
      <c r="C1086" s="23"/>
      <c r="D1086" s="24"/>
      <c r="E1086" s="25"/>
      <c r="F1086" s="26"/>
      <c r="G1086" s="27"/>
      <c r="H1086" s="20"/>
      <c r="I1086" s="21"/>
      <c r="J1086" s="28"/>
      <c r="K1086" s="19"/>
    </row>
    <row r="1087" spans="1:11" ht="13.2">
      <c r="A1087" s="22"/>
      <c r="B1087" s="16"/>
      <c r="C1087" s="23"/>
      <c r="D1087" s="24"/>
      <c r="E1087" s="25"/>
      <c r="F1087" s="26"/>
      <c r="G1087" s="27"/>
      <c r="H1087" s="20"/>
      <c r="I1087" s="21"/>
      <c r="J1087" s="28"/>
      <c r="K1087" s="19"/>
    </row>
    <row r="1088" spans="1:11" ht="13.2">
      <c r="A1088" s="22"/>
      <c r="B1088" s="16"/>
      <c r="C1088" s="23"/>
      <c r="D1088" s="24"/>
      <c r="E1088" s="25"/>
      <c r="F1088" s="26"/>
      <c r="G1088" s="27"/>
      <c r="H1088" s="20"/>
      <c r="I1088" s="21"/>
      <c r="J1088" s="28"/>
      <c r="K1088" s="19"/>
    </row>
    <row r="1089" spans="1:11" ht="13.2">
      <c r="A1089" s="22"/>
      <c r="B1089" s="16"/>
      <c r="C1089" s="23"/>
      <c r="D1089" s="24"/>
      <c r="E1089" s="25"/>
      <c r="F1089" s="26"/>
      <c r="G1089" s="27"/>
      <c r="H1089" s="20"/>
      <c r="I1089" s="21"/>
      <c r="J1089" s="28"/>
      <c r="K1089" s="19"/>
    </row>
    <row r="1090" spans="1:11" ht="13.2">
      <c r="A1090" s="22"/>
      <c r="B1090" s="16"/>
      <c r="C1090" s="23"/>
      <c r="D1090" s="24"/>
      <c r="E1090" s="25"/>
      <c r="F1090" s="26"/>
      <c r="G1090" s="27"/>
      <c r="H1090" s="20"/>
      <c r="I1090" s="21"/>
      <c r="J1090" s="28"/>
      <c r="K1090" s="19"/>
    </row>
    <row r="1091" spans="1:11" ht="13.2">
      <c r="A1091" s="22"/>
      <c r="B1091" s="16"/>
      <c r="C1091" s="23"/>
      <c r="D1091" s="24"/>
      <c r="E1091" s="25"/>
      <c r="F1091" s="26"/>
      <c r="G1091" s="27"/>
      <c r="H1091" s="20"/>
      <c r="I1091" s="21"/>
      <c r="J1091" s="28"/>
      <c r="K1091" s="19"/>
    </row>
    <row r="1092" spans="1:11" ht="13.2">
      <c r="A1092" s="22"/>
      <c r="B1092" s="16"/>
      <c r="C1092" s="23"/>
      <c r="D1092" s="24"/>
      <c r="E1092" s="25"/>
      <c r="F1092" s="26"/>
      <c r="G1092" s="27"/>
      <c r="H1092" s="20"/>
      <c r="I1092" s="21"/>
      <c r="J1092" s="28"/>
      <c r="K1092" s="19"/>
    </row>
    <row r="1093" spans="1:11" ht="13.2">
      <c r="A1093" s="22"/>
      <c r="B1093" s="16"/>
      <c r="C1093" s="23"/>
      <c r="D1093" s="24"/>
      <c r="E1093" s="25"/>
      <c r="F1093" s="26"/>
      <c r="G1093" s="27"/>
      <c r="H1093" s="20"/>
      <c r="I1093" s="21"/>
      <c r="J1093" s="28"/>
      <c r="K1093" s="19"/>
    </row>
    <row r="1094" spans="1:11" ht="13.2">
      <c r="A1094" s="22"/>
      <c r="B1094" s="16"/>
      <c r="C1094" s="23"/>
      <c r="D1094" s="24"/>
      <c r="E1094" s="25"/>
      <c r="F1094" s="26"/>
      <c r="G1094" s="27"/>
      <c r="H1094" s="20"/>
      <c r="I1094" s="21"/>
      <c r="J1094" s="28"/>
      <c r="K1094" s="19"/>
    </row>
    <row r="1095" spans="1:11" ht="13.2">
      <c r="A1095" s="22"/>
      <c r="B1095" s="16"/>
      <c r="C1095" s="23"/>
      <c r="D1095" s="24"/>
      <c r="E1095" s="25"/>
      <c r="F1095" s="26"/>
      <c r="G1095" s="27"/>
      <c r="H1095" s="20"/>
      <c r="I1095" s="21"/>
      <c r="J1095" s="28"/>
      <c r="K1095" s="19"/>
    </row>
    <row r="1096" spans="1:11" ht="13.2">
      <c r="A1096" s="22"/>
      <c r="B1096" s="16"/>
      <c r="C1096" s="23"/>
      <c r="D1096" s="24"/>
      <c r="E1096" s="25"/>
      <c r="F1096" s="26"/>
      <c r="G1096" s="27"/>
      <c r="H1096" s="20"/>
      <c r="I1096" s="21"/>
      <c r="J1096" s="28"/>
      <c r="K1096" s="19"/>
    </row>
    <row r="1097" spans="1:11" ht="13.2">
      <c r="A1097" s="22"/>
      <c r="B1097" s="16"/>
      <c r="C1097" s="23"/>
      <c r="D1097" s="24"/>
      <c r="E1097" s="25"/>
      <c r="F1097" s="26"/>
      <c r="G1097" s="27"/>
      <c r="H1097" s="20"/>
      <c r="I1097" s="21"/>
      <c r="J1097" s="28"/>
      <c r="K1097" s="19"/>
    </row>
    <row r="1098" spans="1:11" ht="13.2">
      <c r="A1098" s="22"/>
      <c r="B1098" s="16"/>
      <c r="C1098" s="23"/>
      <c r="D1098" s="24"/>
      <c r="E1098" s="25"/>
      <c r="F1098" s="26"/>
      <c r="G1098" s="27"/>
      <c r="H1098" s="20"/>
      <c r="I1098" s="21"/>
      <c r="J1098" s="28"/>
      <c r="K1098" s="19"/>
    </row>
    <row r="1099" spans="1:11" ht="13.2">
      <c r="A1099" s="22"/>
      <c r="B1099" s="16"/>
      <c r="C1099" s="23"/>
      <c r="D1099" s="24"/>
      <c r="E1099" s="25"/>
      <c r="F1099" s="26"/>
      <c r="G1099" s="27"/>
      <c r="H1099" s="20"/>
      <c r="I1099" s="21"/>
      <c r="J1099" s="28"/>
      <c r="K1099" s="19"/>
    </row>
    <row r="1100" spans="1:11" ht="13.2">
      <c r="A1100" s="22"/>
      <c r="B1100" s="16"/>
      <c r="C1100" s="23"/>
      <c r="D1100" s="24"/>
      <c r="E1100" s="25"/>
      <c r="F1100" s="26"/>
      <c r="G1100" s="27"/>
      <c r="H1100" s="20"/>
      <c r="I1100" s="21"/>
      <c r="J1100" s="28"/>
      <c r="K1100" s="19"/>
    </row>
    <row r="1101" spans="1:11" ht="13.2">
      <c r="A1101" s="22"/>
      <c r="B1101" s="16"/>
      <c r="C1101" s="23"/>
      <c r="D1101" s="24"/>
      <c r="E1101" s="25"/>
      <c r="F1101" s="26"/>
      <c r="G1101" s="27"/>
      <c r="H1101" s="20"/>
      <c r="I1101" s="21"/>
      <c r="J1101" s="28"/>
      <c r="K1101" s="19"/>
    </row>
    <row r="1102" spans="1:11" ht="13.2">
      <c r="A1102" s="22"/>
      <c r="B1102" s="16"/>
      <c r="C1102" s="23"/>
      <c r="D1102" s="24"/>
      <c r="E1102" s="25"/>
      <c r="F1102" s="26"/>
      <c r="G1102" s="27"/>
      <c r="H1102" s="20"/>
      <c r="I1102" s="21"/>
      <c r="J1102" s="28"/>
      <c r="K1102" s="19"/>
    </row>
    <row r="1103" spans="1:11" ht="13.2">
      <c r="A1103" s="22"/>
      <c r="B1103" s="16"/>
      <c r="C1103" s="23"/>
      <c r="D1103" s="24"/>
      <c r="E1103" s="25"/>
      <c r="F1103" s="26"/>
      <c r="G1103" s="27"/>
      <c r="H1103" s="20"/>
      <c r="I1103" s="21"/>
      <c r="J1103" s="28"/>
      <c r="K1103" s="19"/>
    </row>
    <row r="1104" spans="1:11" ht="13.2">
      <c r="A1104" s="22"/>
      <c r="B1104" s="16"/>
      <c r="C1104" s="23"/>
      <c r="D1104" s="24"/>
      <c r="E1104" s="25"/>
      <c r="F1104" s="26"/>
      <c r="G1104" s="27"/>
      <c r="H1104" s="20"/>
      <c r="I1104" s="21"/>
      <c r="J1104" s="28"/>
      <c r="K1104" s="19"/>
    </row>
    <row r="1105" spans="1:11" ht="13.2">
      <c r="A1105" s="22"/>
      <c r="B1105" s="16"/>
      <c r="C1105" s="23"/>
      <c r="D1105" s="24"/>
      <c r="E1105" s="25"/>
      <c r="F1105" s="26"/>
      <c r="G1105" s="27"/>
      <c r="H1105" s="20"/>
      <c r="I1105" s="21"/>
      <c r="J1105" s="28"/>
      <c r="K1105" s="19"/>
    </row>
    <row r="1106" spans="1:11" ht="13.2">
      <c r="A1106" s="22"/>
      <c r="B1106" s="16"/>
      <c r="C1106" s="23"/>
      <c r="D1106" s="24"/>
      <c r="E1106" s="25"/>
      <c r="F1106" s="26"/>
      <c r="G1106" s="27"/>
      <c r="H1106" s="20"/>
      <c r="I1106" s="21"/>
      <c r="J1106" s="28"/>
      <c r="K1106" s="19"/>
    </row>
    <row r="1107" spans="1:11" ht="13.2">
      <c r="A1107" s="22"/>
      <c r="B1107" s="16"/>
      <c r="C1107" s="23"/>
      <c r="D1107" s="24"/>
      <c r="E1107" s="25"/>
      <c r="F1107" s="26"/>
      <c r="G1107" s="27"/>
      <c r="H1107" s="20"/>
      <c r="I1107" s="21"/>
      <c r="J1107" s="28"/>
      <c r="K1107" s="19"/>
    </row>
    <row r="1108" spans="1:11" ht="13.2">
      <c r="A1108" s="22"/>
      <c r="B1108" s="16"/>
      <c r="C1108" s="23"/>
      <c r="D1108" s="24"/>
      <c r="E1108" s="25"/>
      <c r="F1108" s="26"/>
      <c r="G1108" s="27"/>
      <c r="H1108" s="20"/>
      <c r="I1108" s="21"/>
      <c r="J1108" s="28"/>
      <c r="K1108" s="19"/>
    </row>
    <row r="1109" spans="1:11" ht="13.2">
      <c r="A1109" s="22"/>
      <c r="B1109" s="16"/>
      <c r="C1109" s="23"/>
      <c r="D1109" s="24"/>
      <c r="E1109" s="25"/>
      <c r="F1109" s="26"/>
      <c r="G1109" s="27"/>
      <c r="H1109" s="20"/>
      <c r="I1109" s="21"/>
      <c r="J1109" s="28"/>
      <c r="K1109" s="19"/>
    </row>
    <row r="1110" spans="1:11" ht="13.2">
      <c r="A1110" s="22"/>
      <c r="B1110" s="16"/>
      <c r="C1110" s="23"/>
      <c r="D1110" s="24"/>
      <c r="E1110" s="25"/>
      <c r="F1110" s="26"/>
      <c r="G1110" s="27"/>
      <c r="H1110" s="20"/>
      <c r="I1110" s="21"/>
      <c r="J1110" s="28"/>
      <c r="K1110" s="19"/>
    </row>
    <row r="1111" spans="1:11" ht="13.2">
      <c r="A1111" s="22"/>
      <c r="B1111" s="16"/>
      <c r="C1111" s="23"/>
      <c r="D1111" s="24"/>
      <c r="E1111" s="25"/>
      <c r="F1111" s="26"/>
      <c r="G1111" s="27"/>
      <c r="H1111" s="20"/>
      <c r="I1111" s="21"/>
      <c r="J1111" s="28"/>
      <c r="K1111" s="19"/>
    </row>
    <row r="1112" spans="1:11" ht="13.2">
      <c r="A1112" s="22"/>
      <c r="B1112" s="16"/>
      <c r="C1112" s="23"/>
      <c r="D1112" s="24"/>
      <c r="E1112" s="25"/>
      <c r="F1112" s="26"/>
      <c r="G1112" s="27"/>
      <c r="H1112" s="20"/>
      <c r="I1112" s="21"/>
      <c r="J1112" s="28"/>
      <c r="K1112" s="19"/>
    </row>
    <row r="1113" spans="1:11" ht="13.2">
      <c r="A1113" s="22"/>
      <c r="B1113" s="16"/>
      <c r="C1113" s="23"/>
      <c r="D1113" s="24"/>
      <c r="E1113" s="25"/>
      <c r="F1113" s="26"/>
      <c r="G1113" s="27"/>
      <c r="H1113" s="20"/>
      <c r="I1113" s="21"/>
      <c r="J1113" s="28"/>
      <c r="K1113" s="19"/>
    </row>
    <row r="1114" spans="1:11" ht="13.2">
      <c r="A1114" s="22"/>
      <c r="B1114" s="16"/>
      <c r="C1114" s="23"/>
      <c r="D1114" s="24"/>
      <c r="E1114" s="25"/>
      <c r="F1114" s="26"/>
      <c r="G1114" s="27"/>
      <c r="H1114" s="20"/>
      <c r="I1114" s="21"/>
      <c r="J1114" s="28"/>
      <c r="K1114" s="19"/>
    </row>
    <row r="1115" spans="1:11" ht="13.2">
      <c r="A1115" s="22"/>
      <c r="B1115" s="16"/>
      <c r="C1115" s="23"/>
      <c r="D1115" s="24"/>
      <c r="E1115" s="25"/>
      <c r="F1115" s="26"/>
      <c r="G1115" s="27"/>
      <c r="H1115" s="20"/>
      <c r="I1115" s="21"/>
      <c r="J1115" s="28"/>
      <c r="K1115" s="19"/>
    </row>
    <row r="1116" spans="1:11" ht="13.2">
      <c r="A1116" s="22"/>
      <c r="B1116" s="16"/>
      <c r="C1116" s="23"/>
      <c r="D1116" s="24"/>
      <c r="E1116" s="25"/>
      <c r="F1116" s="26"/>
      <c r="G1116" s="27"/>
      <c r="H1116" s="20"/>
      <c r="I1116" s="21"/>
      <c r="J1116" s="28"/>
      <c r="K1116" s="19"/>
    </row>
    <row r="1117" spans="1:11" ht="13.2">
      <c r="A1117" s="22"/>
      <c r="B1117" s="16"/>
      <c r="C1117" s="23"/>
      <c r="D1117" s="24"/>
      <c r="E1117" s="25"/>
      <c r="F1117" s="26"/>
      <c r="G1117" s="27"/>
      <c r="H1117" s="20"/>
      <c r="I1117" s="21"/>
      <c r="J1117" s="28"/>
      <c r="K1117" s="19"/>
    </row>
    <row r="1118" spans="1:11" ht="13.2">
      <c r="A1118" s="22"/>
      <c r="B1118" s="16"/>
      <c r="C1118" s="23"/>
      <c r="D1118" s="24"/>
      <c r="E1118" s="25"/>
      <c r="F1118" s="26"/>
      <c r="G1118" s="27"/>
      <c r="H1118" s="20"/>
      <c r="I1118" s="21"/>
      <c r="J1118" s="28"/>
      <c r="K1118" s="19"/>
    </row>
    <row r="1119" spans="1:11" ht="13.2">
      <c r="A1119" s="22"/>
      <c r="B1119" s="16"/>
      <c r="C1119" s="23"/>
      <c r="D1119" s="24"/>
      <c r="E1119" s="25"/>
      <c r="F1119" s="26"/>
      <c r="G1119" s="27"/>
      <c r="H1119" s="20"/>
      <c r="I1119" s="21"/>
      <c r="J1119" s="28"/>
      <c r="K1119" s="19"/>
    </row>
    <row r="1120" spans="1:11" ht="13.2">
      <c r="A1120" s="22"/>
      <c r="B1120" s="16"/>
      <c r="C1120" s="23"/>
      <c r="D1120" s="24"/>
      <c r="E1120" s="25"/>
      <c r="F1120" s="26"/>
      <c r="G1120" s="27"/>
      <c r="H1120" s="20"/>
      <c r="I1120" s="21"/>
      <c r="J1120" s="28"/>
      <c r="K1120" s="19"/>
    </row>
    <row r="1121" spans="1:11" ht="13.2">
      <c r="A1121" s="22"/>
      <c r="B1121" s="16"/>
      <c r="C1121" s="23"/>
      <c r="D1121" s="24"/>
      <c r="E1121" s="25"/>
      <c r="F1121" s="26"/>
      <c r="G1121" s="27"/>
      <c r="H1121" s="20"/>
      <c r="I1121" s="21"/>
      <c r="J1121" s="28"/>
      <c r="K1121" s="19"/>
    </row>
    <row r="1122" spans="1:11" ht="13.2">
      <c r="A1122" s="22"/>
      <c r="B1122" s="16"/>
      <c r="C1122" s="23"/>
      <c r="D1122" s="24"/>
      <c r="E1122" s="25"/>
      <c r="F1122" s="26"/>
      <c r="G1122" s="27"/>
      <c r="H1122" s="20"/>
      <c r="I1122" s="21"/>
      <c r="J1122" s="28"/>
      <c r="K1122" s="19"/>
    </row>
    <row r="1123" spans="1:11" ht="13.2">
      <c r="A1123" s="22"/>
      <c r="B1123" s="16"/>
      <c r="C1123" s="23"/>
      <c r="D1123" s="24"/>
      <c r="E1123" s="25"/>
      <c r="F1123" s="26"/>
      <c r="G1123" s="27"/>
      <c r="H1123" s="20"/>
      <c r="I1123" s="21"/>
      <c r="J1123" s="28"/>
      <c r="K1123" s="19"/>
    </row>
    <row r="1124" spans="1:11" ht="13.2">
      <c r="A1124" s="22"/>
      <c r="B1124" s="16"/>
      <c r="C1124" s="23"/>
      <c r="D1124" s="24"/>
      <c r="E1124" s="25"/>
      <c r="F1124" s="26"/>
      <c r="G1124" s="27"/>
      <c r="H1124" s="20"/>
      <c r="I1124" s="21"/>
      <c r="J1124" s="28"/>
      <c r="K1124" s="19"/>
    </row>
    <row r="1125" spans="1:11" ht="13.2">
      <c r="A1125" s="22"/>
      <c r="B1125" s="16"/>
      <c r="C1125" s="23"/>
      <c r="D1125" s="24"/>
      <c r="E1125" s="25"/>
      <c r="F1125" s="26"/>
      <c r="G1125" s="27"/>
      <c r="H1125" s="20"/>
      <c r="I1125" s="21"/>
      <c r="J1125" s="28"/>
      <c r="K1125" s="19"/>
    </row>
    <row r="1126" spans="1:11" ht="13.2">
      <c r="A1126" s="22"/>
      <c r="B1126" s="16"/>
      <c r="C1126" s="23"/>
      <c r="D1126" s="24"/>
      <c r="E1126" s="25"/>
      <c r="F1126" s="26"/>
      <c r="G1126" s="27"/>
      <c r="H1126" s="20"/>
      <c r="I1126" s="21"/>
      <c r="J1126" s="28"/>
      <c r="K1126" s="19"/>
    </row>
    <row r="1127" spans="1:11" ht="13.2">
      <c r="A1127" s="22"/>
      <c r="B1127" s="16"/>
      <c r="C1127" s="23"/>
      <c r="D1127" s="24"/>
      <c r="E1127" s="25"/>
      <c r="F1127" s="26"/>
      <c r="G1127" s="27"/>
      <c r="H1127" s="20"/>
      <c r="I1127" s="21"/>
      <c r="J1127" s="28"/>
      <c r="K1127" s="19"/>
    </row>
    <row r="1128" spans="1:11" ht="13.2">
      <c r="A1128" s="22"/>
      <c r="B1128" s="16"/>
      <c r="C1128" s="23"/>
      <c r="D1128" s="24"/>
      <c r="E1128" s="25"/>
      <c r="F1128" s="26"/>
      <c r="G1128" s="27"/>
      <c r="H1128" s="20"/>
      <c r="I1128" s="21"/>
      <c r="J1128" s="28"/>
      <c r="K1128" s="19"/>
    </row>
    <row r="1129" spans="1:11" ht="13.2">
      <c r="A1129" s="22"/>
      <c r="B1129" s="16"/>
      <c r="C1129" s="23"/>
      <c r="D1129" s="24"/>
      <c r="E1129" s="25"/>
      <c r="F1129" s="26"/>
      <c r="G1129" s="27"/>
      <c r="H1129" s="20"/>
      <c r="I1129" s="21"/>
      <c r="J1129" s="28"/>
      <c r="K1129" s="19"/>
    </row>
    <row r="1130" spans="1:11" ht="13.2">
      <c r="A1130" s="22"/>
      <c r="B1130" s="16"/>
      <c r="C1130" s="23"/>
      <c r="D1130" s="24"/>
      <c r="E1130" s="25"/>
      <c r="F1130" s="26"/>
      <c r="G1130" s="27"/>
      <c r="H1130" s="20"/>
      <c r="I1130" s="21"/>
      <c r="J1130" s="28"/>
      <c r="K1130" s="19"/>
    </row>
    <row r="1131" spans="1:11" ht="13.2">
      <c r="A1131" s="22"/>
      <c r="B1131" s="16"/>
      <c r="C1131" s="23"/>
      <c r="D1131" s="24"/>
      <c r="E1131" s="25"/>
      <c r="F1131" s="26"/>
      <c r="G1131" s="27"/>
      <c r="H1131" s="20"/>
      <c r="I1131" s="21"/>
      <c r="J1131" s="28"/>
      <c r="K1131" s="19"/>
    </row>
    <row r="1132" spans="1:11" ht="13.2">
      <c r="A1132" s="22"/>
      <c r="B1132" s="16"/>
      <c r="C1132" s="23"/>
      <c r="D1132" s="24"/>
      <c r="E1132" s="25"/>
      <c r="F1132" s="26"/>
      <c r="G1132" s="27"/>
      <c r="H1132" s="20"/>
      <c r="I1132" s="21"/>
      <c r="J1132" s="28"/>
      <c r="K1132" s="19"/>
    </row>
    <row r="1133" spans="1:11" ht="13.2">
      <c r="A1133" s="22"/>
      <c r="B1133" s="16"/>
      <c r="C1133" s="23"/>
      <c r="D1133" s="24"/>
      <c r="E1133" s="25"/>
      <c r="F1133" s="26"/>
      <c r="G1133" s="27"/>
      <c r="H1133" s="20"/>
      <c r="I1133" s="21"/>
      <c r="J1133" s="28"/>
      <c r="K1133" s="19"/>
    </row>
    <row r="1134" spans="1:11" ht="13.2">
      <c r="A1134" s="22"/>
      <c r="B1134" s="16"/>
      <c r="C1134" s="23"/>
      <c r="D1134" s="24"/>
      <c r="E1134" s="25"/>
      <c r="F1134" s="26"/>
      <c r="G1134" s="27"/>
      <c r="H1134" s="20"/>
      <c r="I1134" s="21"/>
      <c r="J1134" s="28"/>
      <c r="K1134" s="19"/>
    </row>
    <row r="1135" spans="1:11" ht="13.2">
      <c r="A1135" s="22"/>
      <c r="B1135" s="16"/>
      <c r="C1135" s="23"/>
      <c r="D1135" s="24"/>
      <c r="E1135" s="25"/>
      <c r="F1135" s="26"/>
      <c r="G1135" s="27"/>
      <c r="H1135" s="20"/>
      <c r="I1135" s="21"/>
      <c r="J1135" s="28"/>
      <c r="K1135" s="19"/>
    </row>
    <row r="1136" spans="1:11" ht="13.2">
      <c r="A1136" s="22"/>
      <c r="B1136" s="16"/>
      <c r="C1136" s="23"/>
      <c r="D1136" s="24"/>
      <c r="E1136" s="25"/>
      <c r="F1136" s="26"/>
      <c r="G1136" s="27"/>
      <c r="H1136" s="20"/>
      <c r="I1136" s="21"/>
      <c r="J1136" s="28"/>
      <c r="K1136" s="19"/>
    </row>
    <row r="1137" spans="1:11" ht="13.2">
      <c r="A1137" s="22"/>
      <c r="B1137" s="16"/>
      <c r="C1137" s="23"/>
      <c r="D1137" s="24"/>
      <c r="E1137" s="25"/>
      <c r="F1137" s="26"/>
      <c r="G1137" s="27"/>
      <c r="H1137" s="20"/>
      <c r="I1137" s="21"/>
      <c r="J1137" s="28"/>
      <c r="K1137" s="19"/>
    </row>
    <row r="1138" spans="1:11" ht="13.2">
      <c r="A1138" s="22"/>
      <c r="B1138" s="16"/>
      <c r="C1138" s="23"/>
      <c r="D1138" s="24"/>
      <c r="E1138" s="25"/>
      <c r="F1138" s="26"/>
      <c r="G1138" s="27"/>
      <c r="H1138" s="20"/>
      <c r="I1138" s="21"/>
      <c r="J1138" s="28"/>
      <c r="K1138" s="19"/>
    </row>
    <row r="1139" spans="1:11" ht="13.2">
      <c r="A1139" s="22"/>
      <c r="B1139" s="16"/>
      <c r="C1139" s="23"/>
      <c r="D1139" s="24"/>
      <c r="E1139" s="25"/>
      <c r="F1139" s="26"/>
      <c r="G1139" s="27"/>
      <c r="H1139" s="20"/>
      <c r="I1139" s="21"/>
      <c r="J1139" s="28"/>
      <c r="K1139" s="19"/>
    </row>
    <row r="1140" spans="1:11" ht="13.2">
      <c r="A1140" s="22"/>
      <c r="B1140" s="16"/>
      <c r="C1140" s="23"/>
      <c r="D1140" s="24"/>
      <c r="E1140" s="25"/>
      <c r="F1140" s="26"/>
      <c r="G1140" s="27"/>
      <c r="H1140" s="20"/>
      <c r="I1140" s="21"/>
      <c r="J1140" s="28"/>
      <c r="K1140" s="19"/>
    </row>
    <row r="1141" spans="1:11" ht="13.2">
      <c r="A1141" s="22"/>
      <c r="B1141" s="16"/>
      <c r="C1141" s="23"/>
      <c r="D1141" s="24"/>
      <c r="E1141" s="25"/>
      <c r="F1141" s="26"/>
      <c r="G1141" s="27"/>
      <c r="H1141" s="20"/>
      <c r="I1141" s="21"/>
      <c r="J1141" s="28"/>
      <c r="K1141" s="19"/>
    </row>
    <row r="1142" spans="1:11" ht="13.2">
      <c r="A1142" s="22"/>
      <c r="B1142" s="16"/>
      <c r="C1142" s="23"/>
      <c r="D1142" s="24"/>
      <c r="E1142" s="25"/>
      <c r="F1142" s="26"/>
      <c r="G1142" s="27"/>
      <c r="H1142" s="20"/>
      <c r="I1142" s="21"/>
      <c r="J1142" s="28"/>
      <c r="K1142" s="19"/>
    </row>
    <row r="1143" spans="1:11" ht="13.2">
      <c r="A1143" s="22"/>
      <c r="B1143" s="16"/>
      <c r="C1143" s="23"/>
      <c r="D1143" s="24"/>
      <c r="E1143" s="25"/>
      <c r="F1143" s="26"/>
      <c r="G1143" s="27"/>
      <c r="H1143" s="20"/>
      <c r="I1143" s="21"/>
      <c r="J1143" s="28"/>
      <c r="K1143" s="19"/>
    </row>
    <row r="1144" spans="1:11" ht="13.2">
      <c r="A1144" s="22"/>
      <c r="B1144" s="16"/>
      <c r="C1144" s="23"/>
      <c r="D1144" s="24"/>
      <c r="E1144" s="25"/>
      <c r="F1144" s="26"/>
      <c r="G1144" s="27"/>
      <c r="H1144" s="20"/>
      <c r="I1144" s="21"/>
      <c r="J1144" s="28"/>
      <c r="K1144" s="19"/>
    </row>
    <row r="1145" spans="1:11" ht="13.2">
      <c r="A1145" s="22"/>
      <c r="B1145" s="16"/>
      <c r="C1145" s="23"/>
      <c r="D1145" s="24"/>
      <c r="E1145" s="25"/>
      <c r="F1145" s="26"/>
      <c r="G1145" s="27"/>
      <c r="H1145" s="20"/>
      <c r="I1145" s="21"/>
      <c r="J1145" s="28"/>
      <c r="K1145" s="19"/>
    </row>
    <row r="1146" spans="1:11" ht="13.2">
      <c r="A1146" s="22"/>
      <c r="B1146" s="16"/>
      <c r="C1146" s="23"/>
      <c r="D1146" s="24"/>
      <c r="E1146" s="25"/>
      <c r="F1146" s="26"/>
      <c r="G1146" s="27"/>
      <c r="H1146" s="20"/>
      <c r="I1146" s="21"/>
      <c r="J1146" s="28"/>
      <c r="K1146" s="19"/>
    </row>
    <row r="1147" spans="1:11" ht="13.2">
      <c r="A1147" s="22"/>
      <c r="B1147" s="16"/>
      <c r="C1147" s="23"/>
      <c r="D1147" s="24"/>
      <c r="E1147" s="25"/>
      <c r="F1147" s="26"/>
      <c r="G1147" s="27"/>
      <c r="H1147" s="20"/>
      <c r="I1147" s="21"/>
      <c r="J1147" s="28"/>
      <c r="K1147" s="19"/>
    </row>
    <row r="1148" spans="1:11" ht="13.2">
      <c r="A1148" s="22"/>
      <c r="B1148" s="16"/>
      <c r="C1148" s="23"/>
      <c r="D1148" s="24"/>
      <c r="E1148" s="25"/>
      <c r="F1148" s="26"/>
      <c r="G1148" s="27"/>
      <c r="H1148" s="20"/>
      <c r="I1148" s="21"/>
      <c r="J1148" s="28"/>
      <c r="K1148" s="19"/>
    </row>
    <row r="1149" spans="1:11" ht="13.2">
      <c r="A1149" s="22"/>
      <c r="B1149" s="16"/>
      <c r="C1149" s="23"/>
      <c r="D1149" s="24"/>
      <c r="E1149" s="25"/>
      <c r="F1149" s="26"/>
      <c r="G1149" s="27"/>
      <c r="H1149" s="20"/>
      <c r="I1149" s="21"/>
      <c r="J1149" s="28"/>
      <c r="K1149" s="19"/>
    </row>
    <row r="1150" spans="1:11" ht="13.2">
      <c r="A1150" s="22"/>
      <c r="B1150" s="16"/>
      <c r="C1150" s="23"/>
      <c r="D1150" s="24"/>
      <c r="E1150" s="25"/>
      <c r="F1150" s="26"/>
      <c r="G1150" s="27"/>
      <c r="H1150" s="20"/>
      <c r="I1150" s="21"/>
      <c r="J1150" s="28"/>
      <c r="K1150" s="19"/>
    </row>
    <row r="1151" spans="1:11" ht="13.2">
      <c r="A1151" s="22"/>
      <c r="B1151" s="16"/>
      <c r="C1151" s="23"/>
      <c r="D1151" s="24"/>
      <c r="E1151" s="25"/>
      <c r="F1151" s="26"/>
      <c r="G1151" s="27"/>
      <c r="H1151" s="20"/>
      <c r="I1151" s="21"/>
      <c r="J1151" s="28"/>
      <c r="K1151" s="19"/>
    </row>
    <row r="1152" spans="1:11" ht="13.2">
      <c r="A1152" s="22"/>
      <c r="B1152" s="16"/>
      <c r="C1152" s="23"/>
      <c r="D1152" s="24"/>
      <c r="E1152" s="25"/>
      <c r="F1152" s="26"/>
      <c r="G1152" s="27"/>
      <c r="H1152" s="20"/>
      <c r="I1152" s="21"/>
      <c r="J1152" s="28"/>
      <c r="K1152" s="19"/>
    </row>
    <row r="1153" spans="1:11" ht="13.2">
      <c r="A1153" s="22"/>
      <c r="B1153" s="16"/>
      <c r="C1153" s="23"/>
      <c r="D1153" s="24"/>
      <c r="E1153" s="25"/>
      <c r="F1153" s="26"/>
      <c r="G1153" s="27"/>
      <c r="H1153" s="20"/>
      <c r="I1153" s="21"/>
      <c r="J1153" s="28"/>
      <c r="K1153" s="19"/>
    </row>
    <row r="1154" spans="1:11" ht="13.2">
      <c r="A1154" s="22"/>
      <c r="B1154" s="16"/>
      <c r="C1154" s="23"/>
      <c r="D1154" s="24"/>
      <c r="E1154" s="25"/>
      <c r="F1154" s="26"/>
      <c r="G1154" s="27"/>
      <c r="H1154" s="20"/>
      <c r="I1154" s="21"/>
      <c r="J1154" s="28"/>
      <c r="K1154" s="19"/>
    </row>
    <row r="1155" spans="1:11" ht="13.2">
      <c r="A1155" s="22"/>
      <c r="B1155" s="16"/>
      <c r="C1155" s="23"/>
      <c r="D1155" s="24"/>
      <c r="E1155" s="25"/>
      <c r="F1155" s="26"/>
      <c r="G1155" s="27"/>
      <c r="H1155" s="20"/>
      <c r="I1155" s="21"/>
      <c r="J1155" s="28"/>
      <c r="K1155" s="19"/>
    </row>
    <row r="1156" spans="1:11" ht="13.2">
      <c r="A1156" s="22"/>
      <c r="B1156" s="16"/>
      <c r="C1156" s="23"/>
      <c r="D1156" s="24"/>
      <c r="E1156" s="25"/>
      <c r="F1156" s="26"/>
      <c r="G1156" s="27"/>
      <c r="H1156" s="20"/>
      <c r="I1156" s="21"/>
      <c r="J1156" s="28"/>
      <c r="K1156" s="19"/>
    </row>
    <row r="1157" spans="1:11" ht="13.2">
      <c r="A1157" s="22"/>
      <c r="B1157" s="16"/>
      <c r="C1157" s="23"/>
      <c r="D1157" s="24"/>
      <c r="E1157" s="25"/>
      <c r="F1157" s="26"/>
      <c r="G1157" s="27"/>
      <c r="H1157" s="20"/>
      <c r="I1157" s="21"/>
      <c r="J1157" s="28"/>
      <c r="K1157" s="19"/>
    </row>
    <row r="1158" spans="1:11" ht="13.2">
      <c r="A1158" s="22"/>
      <c r="B1158" s="16"/>
      <c r="C1158" s="23"/>
      <c r="D1158" s="24"/>
      <c r="E1158" s="25"/>
      <c r="F1158" s="26"/>
      <c r="G1158" s="27"/>
      <c r="H1158" s="20"/>
      <c r="I1158" s="21"/>
      <c r="J1158" s="28"/>
      <c r="K1158" s="19"/>
    </row>
    <row r="1159" spans="1:11" ht="13.2">
      <c r="A1159" s="22"/>
      <c r="B1159" s="16"/>
      <c r="C1159" s="23"/>
      <c r="D1159" s="24"/>
      <c r="E1159" s="25"/>
      <c r="F1159" s="26"/>
      <c r="G1159" s="27"/>
      <c r="H1159" s="20"/>
      <c r="I1159" s="21"/>
      <c r="J1159" s="28"/>
      <c r="K1159" s="19"/>
    </row>
    <row r="1160" spans="1:11" ht="13.2">
      <c r="A1160" s="22"/>
      <c r="B1160" s="16"/>
      <c r="C1160" s="23"/>
      <c r="D1160" s="24"/>
      <c r="E1160" s="25"/>
      <c r="F1160" s="26"/>
      <c r="G1160" s="27"/>
      <c r="H1160" s="20"/>
      <c r="I1160" s="21"/>
      <c r="J1160" s="28"/>
      <c r="K1160" s="19"/>
    </row>
    <row r="1161" spans="1:11" ht="13.2">
      <c r="A1161" s="22"/>
      <c r="B1161" s="16"/>
      <c r="C1161" s="23"/>
      <c r="D1161" s="24"/>
      <c r="E1161" s="25"/>
      <c r="F1161" s="26"/>
      <c r="G1161" s="27"/>
      <c r="H1161" s="20"/>
      <c r="I1161" s="21"/>
      <c r="J1161" s="28"/>
      <c r="K1161" s="19"/>
    </row>
    <row r="1162" spans="1:11" ht="13.2">
      <c r="A1162" s="22"/>
      <c r="B1162" s="16"/>
      <c r="C1162" s="23"/>
      <c r="D1162" s="24"/>
      <c r="E1162" s="25"/>
      <c r="F1162" s="26"/>
      <c r="G1162" s="27"/>
      <c r="H1162" s="20"/>
      <c r="I1162" s="21"/>
      <c r="J1162" s="28"/>
      <c r="K1162" s="19"/>
    </row>
    <row r="1163" spans="1:11" ht="13.2">
      <c r="A1163" s="22"/>
      <c r="B1163" s="16"/>
      <c r="C1163" s="23"/>
      <c r="D1163" s="24"/>
      <c r="E1163" s="25"/>
      <c r="F1163" s="26"/>
      <c r="G1163" s="27"/>
      <c r="H1163" s="20"/>
      <c r="I1163" s="21"/>
      <c r="J1163" s="28"/>
      <c r="K1163" s="19"/>
    </row>
    <row r="1164" spans="1:11" ht="13.2">
      <c r="A1164" s="22"/>
      <c r="B1164" s="16"/>
      <c r="C1164" s="23"/>
      <c r="D1164" s="24"/>
      <c r="E1164" s="25"/>
      <c r="F1164" s="26"/>
      <c r="G1164" s="27"/>
      <c r="H1164" s="20"/>
      <c r="I1164" s="21"/>
      <c r="J1164" s="28"/>
      <c r="K1164" s="19"/>
    </row>
    <row r="1165" spans="1:11" ht="13.2">
      <c r="A1165" s="22"/>
      <c r="B1165" s="16"/>
      <c r="C1165" s="23"/>
      <c r="D1165" s="24"/>
      <c r="E1165" s="25"/>
      <c r="F1165" s="26"/>
      <c r="G1165" s="27"/>
      <c r="H1165" s="20"/>
      <c r="I1165" s="21"/>
      <c r="J1165" s="28"/>
      <c r="K1165" s="19"/>
    </row>
    <row r="1166" spans="1:11" ht="13.2">
      <c r="A1166" s="22"/>
      <c r="B1166" s="16"/>
      <c r="C1166" s="23"/>
      <c r="D1166" s="24"/>
      <c r="E1166" s="25"/>
      <c r="F1166" s="26"/>
      <c r="G1166" s="27"/>
      <c r="H1166" s="20"/>
      <c r="I1166" s="21"/>
      <c r="J1166" s="28"/>
      <c r="K1166" s="19"/>
    </row>
    <row r="1167" spans="1:11" ht="13.2">
      <c r="A1167" s="22"/>
      <c r="B1167" s="16"/>
      <c r="C1167" s="23"/>
      <c r="D1167" s="24"/>
      <c r="E1167" s="25"/>
      <c r="F1167" s="26"/>
      <c r="G1167" s="27"/>
      <c r="H1167" s="20"/>
      <c r="I1167" s="21"/>
      <c r="J1167" s="28"/>
      <c r="K1167" s="19"/>
    </row>
    <row r="1168" spans="1:11" ht="13.2">
      <c r="A1168" s="22"/>
      <c r="B1168" s="16"/>
      <c r="C1168" s="23"/>
      <c r="D1168" s="24"/>
      <c r="E1168" s="25"/>
      <c r="F1168" s="26"/>
      <c r="G1168" s="27"/>
      <c r="H1168" s="20"/>
      <c r="I1168" s="21"/>
      <c r="J1168" s="28"/>
      <c r="K1168" s="19"/>
    </row>
    <row r="1169" spans="1:11" ht="13.2">
      <c r="A1169" s="22"/>
      <c r="B1169" s="16"/>
      <c r="C1169" s="23"/>
      <c r="D1169" s="24"/>
      <c r="E1169" s="25"/>
      <c r="F1169" s="26"/>
      <c r="G1169" s="27"/>
      <c r="H1169" s="20"/>
      <c r="I1169" s="21"/>
      <c r="J1169" s="28"/>
      <c r="K1169" s="19"/>
    </row>
    <row r="1170" spans="1:11" ht="13.2">
      <c r="A1170" s="22"/>
      <c r="B1170" s="16"/>
      <c r="C1170" s="23"/>
      <c r="D1170" s="24"/>
      <c r="E1170" s="25"/>
      <c r="F1170" s="26"/>
      <c r="G1170" s="27"/>
      <c r="H1170" s="20"/>
      <c r="I1170" s="21"/>
      <c r="J1170" s="28"/>
      <c r="K1170" s="19"/>
    </row>
    <row r="1171" spans="1:11" ht="13.2">
      <c r="A1171" s="22"/>
      <c r="B1171" s="16"/>
      <c r="C1171" s="23"/>
      <c r="D1171" s="24"/>
      <c r="E1171" s="25"/>
      <c r="F1171" s="26"/>
      <c r="G1171" s="27"/>
      <c r="H1171" s="20"/>
      <c r="I1171" s="21"/>
      <c r="J1171" s="28"/>
      <c r="K1171" s="19"/>
    </row>
    <row r="1172" spans="1:11" ht="13.2">
      <c r="A1172" s="22"/>
      <c r="B1172" s="16"/>
      <c r="C1172" s="23"/>
      <c r="D1172" s="24"/>
      <c r="E1172" s="25"/>
      <c r="F1172" s="26"/>
      <c r="G1172" s="27"/>
      <c r="H1172" s="20"/>
      <c r="I1172" s="21"/>
      <c r="J1172" s="28"/>
      <c r="K1172" s="19"/>
    </row>
    <row r="1173" spans="1:11" ht="13.2">
      <c r="A1173" s="22"/>
      <c r="B1173" s="16"/>
      <c r="C1173" s="23"/>
      <c r="D1173" s="24"/>
      <c r="E1173" s="25"/>
      <c r="F1173" s="26"/>
      <c r="G1173" s="27"/>
      <c r="H1173" s="20"/>
      <c r="I1173" s="21"/>
      <c r="J1173" s="28"/>
      <c r="K1173" s="19"/>
    </row>
    <row r="1174" spans="1:11" ht="13.2">
      <c r="A1174" s="22"/>
      <c r="B1174" s="16"/>
      <c r="C1174" s="23"/>
      <c r="D1174" s="24"/>
      <c r="E1174" s="25"/>
      <c r="F1174" s="26"/>
      <c r="G1174" s="27"/>
      <c r="H1174" s="20"/>
      <c r="I1174" s="21"/>
      <c r="J1174" s="28"/>
      <c r="K1174" s="19"/>
    </row>
    <row r="1175" spans="1:11" ht="13.2">
      <c r="A1175" s="22"/>
      <c r="B1175" s="16"/>
      <c r="C1175" s="23"/>
      <c r="D1175" s="24"/>
      <c r="E1175" s="25"/>
      <c r="F1175" s="26"/>
      <c r="G1175" s="27"/>
      <c r="H1175" s="20"/>
      <c r="I1175" s="21"/>
      <c r="J1175" s="28"/>
      <c r="K1175" s="19"/>
    </row>
    <row r="1176" spans="1:11" ht="13.2">
      <c r="A1176" s="22"/>
      <c r="B1176" s="16"/>
      <c r="C1176" s="23"/>
      <c r="D1176" s="24"/>
      <c r="E1176" s="25"/>
      <c r="F1176" s="26"/>
      <c r="G1176" s="27"/>
      <c r="H1176" s="20"/>
      <c r="I1176" s="21"/>
      <c r="J1176" s="28"/>
      <c r="K1176" s="19"/>
    </row>
    <row r="1177" spans="1:11" ht="13.2">
      <c r="A1177" s="22"/>
      <c r="B1177" s="16"/>
      <c r="C1177" s="23"/>
      <c r="D1177" s="24"/>
      <c r="E1177" s="25"/>
      <c r="F1177" s="26"/>
      <c r="G1177" s="27"/>
      <c r="H1177" s="20"/>
      <c r="I1177" s="21"/>
      <c r="J1177" s="28"/>
      <c r="K1177" s="19"/>
    </row>
    <row r="1178" spans="1:11" ht="13.2">
      <c r="A1178" s="22"/>
      <c r="B1178" s="16"/>
      <c r="C1178" s="23"/>
      <c r="D1178" s="24"/>
      <c r="E1178" s="25"/>
      <c r="F1178" s="26"/>
      <c r="G1178" s="27"/>
      <c r="H1178" s="20"/>
      <c r="I1178" s="21"/>
      <c r="J1178" s="28"/>
      <c r="K1178" s="19"/>
    </row>
    <row r="1179" spans="1:11" ht="13.2">
      <c r="A1179" s="22"/>
      <c r="B1179" s="16"/>
      <c r="C1179" s="23"/>
      <c r="D1179" s="24"/>
      <c r="E1179" s="25"/>
      <c r="F1179" s="26"/>
      <c r="G1179" s="27"/>
      <c r="H1179" s="20"/>
      <c r="I1179" s="21"/>
      <c r="J1179" s="28"/>
      <c r="K1179" s="19"/>
    </row>
    <row r="1180" spans="1:11" ht="13.2">
      <c r="A1180" s="22"/>
      <c r="B1180" s="16"/>
      <c r="C1180" s="23"/>
      <c r="D1180" s="24"/>
      <c r="E1180" s="25"/>
      <c r="F1180" s="26"/>
      <c r="G1180" s="27"/>
      <c r="H1180" s="20"/>
      <c r="I1180" s="21"/>
      <c r="J1180" s="28"/>
      <c r="K1180" s="19"/>
    </row>
    <row r="1181" spans="1:11" ht="13.2">
      <c r="A1181" s="22"/>
      <c r="B1181" s="16"/>
      <c r="C1181" s="23"/>
      <c r="D1181" s="24"/>
      <c r="E1181" s="25"/>
      <c r="F1181" s="26"/>
      <c r="G1181" s="27"/>
      <c r="H1181" s="20"/>
      <c r="I1181" s="21"/>
      <c r="J1181" s="28"/>
      <c r="K1181" s="19"/>
    </row>
    <row r="1182" spans="1:11" ht="13.2">
      <c r="A1182" s="22"/>
      <c r="B1182" s="16"/>
      <c r="C1182" s="23"/>
      <c r="D1182" s="24"/>
      <c r="E1182" s="25"/>
      <c r="F1182" s="26"/>
      <c r="G1182" s="27"/>
      <c r="H1182" s="20"/>
      <c r="I1182" s="21"/>
      <c r="J1182" s="28"/>
      <c r="K1182" s="19"/>
    </row>
    <row r="1183" spans="1:11" ht="13.2">
      <c r="A1183" s="22"/>
      <c r="B1183" s="16"/>
      <c r="C1183" s="23"/>
      <c r="D1183" s="24"/>
      <c r="E1183" s="25"/>
      <c r="F1183" s="26"/>
      <c r="G1183" s="27"/>
      <c r="H1183" s="20"/>
      <c r="I1183" s="21"/>
      <c r="J1183" s="28"/>
      <c r="K1183" s="19"/>
    </row>
    <row r="1184" spans="1:11" ht="13.2">
      <c r="A1184" s="22"/>
      <c r="B1184" s="16"/>
      <c r="C1184" s="23"/>
      <c r="D1184" s="24"/>
      <c r="E1184" s="25"/>
      <c r="F1184" s="26"/>
      <c r="G1184" s="27"/>
      <c r="H1184" s="20"/>
      <c r="I1184" s="21"/>
      <c r="J1184" s="28"/>
      <c r="K1184" s="19"/>
    </row>
    <row r="1185" spans="1:11" ht="13.2">
      <c r="A1185" s="22"/>
      <c r="B1185" s="16"/>
      <c r="C1185" s="23"/>
      <c r="D1185" s="24"/>
      <c r="E1185" s="25"/>
      <c r="F1185" s="26"/>
      <c r="G1185" s="27"/>
      <c r="H1185" s="20"/>
      <c r="I1185" s="21"/>
      <c r="J1185" s="28"/>
      <c r="K1185" s="19"/>
    </row>
    <row r="1186" spans="1:11" ht="13.2">
      <c r="A1186" s="22"/>
      <c r="B1186" s="16"/>
      <c r="C1186" s="23"/>
      <c r="D1186" s="24"/>
      <c r="E1186" s="25"/>
      <c r="F1186" s="26"/>
      <c r="G1186" s="27"/>
      <c r="H1186" s="20"/>
      <c r="I1186" s="21"/>
      <c r="J1186" s="28"/>
      <c r="K1186" s="19"/>
    </row>
    <row r="1187" spans="1:11" ht="13.2">
      <c r="A1187" s="22"/>
      <c r="B1187" s="16"/>
      <c r="C1187" s="23"/>
      <c r="D1187" s="24"/>
      <c r="E1187" s="25"/>
      <c r="F1187" s="26"/>
      <c r="G1187" s="27"/>
      <c r="H1187" s="20"/>
      <c r="I1187" s="21"/>
      <c r="J1187" s="28"/>
      <c r="K1187" s="19"/>
    </row>
    <row r="1188" spans="1:11" ht="13.2">
      <c r="A1188" s="22"/>
      <c r="B1188" s="16"/>
      <c r="C1188" s="23"/>
      <c r="D1188" s="24"/>
      <c r="E1188" s="25"/>
      <c r="F1188" s="26"/>
      <c r="G1188" s="27"/>
      <c r="H1188" s="20"/>
      <c r="I1188" s="21"/>
      <c r="J1188" s="28"/>
      <c r="K1188" s="19"/>
    </row>
    <row r="1189" spans="1:11" ht="13.2">
      <c r="A1189" s="22"/>
      <c r="B1189" s="16"/>
      <c r="C1189" s="23"/>
      <c r="D1189" s="24"/>
      <c r="E1189" s="25"/>
      <c r="F1189" s="26"/>
      <c r="G1189" s="27"/>
      <c r="H1189" s="20"/>
      <c r="I1189" s="21"/>
      <c r="J1189" s="28"/>
      <c r="K1189" s="19"/>
    </row>
    <row r="1190" spans="1:11" ht="13.2">
      <c r="A1190" s="22"/>
      <c r="B1190" s="16"/>
      <c r="C1190" s="23"/>
      <c r="D1190" s="24"/>
      <c r="E1190" s="25"/>
      <c r="F1190" s="26"/>
      <c r="G1190" s="27"/>
      <c r="H1190" s="20"/>
      <c r="I1190" s="21"/>
      <c r="J1190" s="28"/>
      <c r="K1190" s="19"/>
    </row>
    <row r="1191" spans="1:11" ht="13.2">
      <c r="A1191" s="22"/>
      <c r="B1191" s="16"/>
      <c r="C1191" s="23"/>
      <c r="D1191" s="24"/>
      <c r="E1191" s="25"/>
      <c r="F1191" s="26"/>
      <c r="G1191" s="27"/>
      <c r="H1191" s="20"/>
      <c r="I1191" s="21"/>
      <c r="J1191" s="28"/>
      <c r="K1191" s="19"/>
    </row>
    <row r="1192" spans="1:11" ht="13.2">
      <c r="A1192" s="22"/>
      <c r="B1192" s="16"/>
      <c r="C1192" s="23"/>
      <c r="D1192" s="24"/>
      <c r="E1192" s="25"/>
      <c r="F1192" s="26"/>
      <c r="G1192" s="27"/>
      <c r="H1192" s="20"/>
      <c r="I1192" s="21"/>
      <c r="J1192" s="28"/>
      <c r="K1192" s="19"/>
    </row>
    <row r="1193" spans="1:11" ht="13.2">
      <c r="A1193" s="22"/>
      <c r="B1193" s="16"/>
      <c r="C1193" s="23"/>
      <c r="D1193" s="24"/>
      <c r="E1193" s="25"/>
      <c r="F1193" s="26"/>
      <c r="G1193" s="27"/>
      <c r="H1193" s="20"/>
      <c r="I1193" s="21"/>
      <c r="J1193" s="28"/>
      <c r="K1193" s="19"/>
    </row>
    <row r="1194" spans="1:11" ht="13.2">
      <c r="A1194" s="22"/>
      <c r="B1194" s="16"/>
      <c r="C1194" s="23"/>
      <c r="D1194" s="24"/>
      <c r="E1194" s="25"/>
      <c r="F1194" s="26"/>
      <c r="G1194" s="27"/>
      <c r="H1194" s="20"/>
      <c r="I1194" s="21"/>
      <c r="J1194" s="28"/>
      <c r="K1194" s="19"/>
    </row>
    <row r="1195" spans="1:11" ht="13.2">
      <c r="A1195" s="22"/>
      <c r="B1195" s="16"/>
      <c r="C1195" s="23"/>
      <c r="D1195" s="24"/>
      <c r="E1195" s="25"/>
      <c r="F1195" s="26"/>
      <c r="G1195" s="27"/>
      <c r="H1195" s="20"/>
      <c r="I1195" s="21"/>
      <c r="J1195" s="28"/>
      <c r="K1195" s="19"/>
    </row>
    <row r="1196" spans="1:11" ht="13.2">
      <c r="A1196" s="22"/>
      <c r="B1196" s="16"/>
      <c r="C1196" s="23"/>
      <c r="D1196" s="24"/>
      <c r="E1196" s="25"/>
      <c r="F1196" s="26"/>
      <c r="G1196" s="27"/>
      <c r="H1196" s="20"/>
      <c r="I1196" s="21"/>
      <c r="J1196" s="28"/>
      <c r="K1196" s="19"/>
    </row>
    <row r="1197" spans="1:11" ht="13.2">
      <c r="A1197" s="22"/>
      <c r="B1197" s="16"/>
      <c r="C1197" s="23"/>
      <c r="D1197" s="24"/>
      <c r="E1197" s="25"/>
      <c r="F1197" s="26"/>
      <c r="G1197" s="27"/>
      <c r="H1197" s="20"/>
      <c r="I1197" s="21"/>
      <c r="J1197" s="28"/>
      <c r="K1197" s="19"/>
    </row>
    <row r="1198" spans="1:11" ht="13.2">
      <c r="A1198" s="22"/>
      <c r="B1198" s="16"/>
      <c r="C1198" s="23"/>
      <c r="D1198" s="24"/>
      <c r="E1198" s="25"/>
      <c r="F1198" s="26"/>
      <c r="G1198" s="27"/>
      <c r="H1198" s="20"/>
      <c r="I1198" s="21"/>
      <c r="J1198" s="28"/>
      <c r="K1198" s="19"/>
    </row>
    <row r="1199" spans="1:11" ht="13.2">
      <c r="A1199" s="22"/>
      <c r="B1199" s="16"/>
      <c r="C1199" s="23"/>
      <c r="D1199" s="24"/>
      <c r="E1199" s="25"/>
      <c r="F1199" s="26"/>
      <c r="G1199" s="27"/>
      <c r="H1199" s="20"/>
      <c r="I1199" s="21"/>
      <c r="J1199" s="28"/>
      <c r="K1199" s="19"/>
    </row>
    <row r="1200" spans="1:11" ht="13.2">
      <c r="A1200" s="22"/>
      <c r="B1200" s="16"/>
      <c r="C1200" s="23"/>
      <c r="D1200" s="24"/>
      <c r="E1200" s="25"/>
      <c r="F1200" s="26"/>
      <c r="G1200" s="27"/>
      <c r="H1200" s="20"/>
      <c r="I1200" s="21"/>
      <c r="J1200" s="28"/>
      <c r="K1200" s="19"/>
    </row>
    <row r="1201" spans="1:11" ht="13.2">
      <c r="A1201" s="22"/>
      <c r="B1201" s="16"/>
      <c r="C1201" s="23"/>
      <c r="D1201" s="24"/>
      <c r="E1201" s="25"/>
      <c r="F1201" s="26"/>
      <c r="G1201" s="27"/>
      <c r="H1201" s="20"/>
      <c r="I1201" s="21"/>
      <c r="J1201" s="28"/>
      <c r="K1201" s="19"/>
    </row>
    <row r="1202" spans="1:11" ht="13.2">
      <c r="A1202" s="22"/>
      <c r="B1202" s="16"/>
      <c r="C1202" s="23"/>
      <c r="D1202" s="24"/>
      <c r="E1202" s="25"/>
      <c r="F1202" s="26"/>
      <c r="G1202" s="27"/>
      <c r="H1202" s="20"/>
      <c r="I1202" s="21"/>
      <c r="J1202" s="28"/>
      <c r="K1202" s="19"/>
    </row>
    <row r="1203" spans="1:11" ht="13.2">
      <c r="A1203" s="22"/>
      <c r="B1203" s="16"/>
      <c r="C1203" s="23"/>
      <c r="D1203" s="24"/>
      <c r="E1203" s="25"/>
      <c r="F1203" s="26"/>
      <c r="G1203" s="27"/>
      <c r="H1203" s="20"/>
      <c r="I1203" s="21"/>
      <c r="J1203" s="28"/>
      <c r="K1203" s="19"/>
    </row>
    <row r="1204" spans="1:11" ht="13.2">
      <c r="A1204" s="22"/>
      <c r="B1204" s="16"/>
      <c r="C1204" s="23"/>
      <c r="D1204" s="24"/>
      <c r="E1204" s="25"/>
      <c r="F1204" s="26"/>
      <c r="G1204" s="27"/>
      <c r="H1204" s="20"/>
      <c r="I1204" s="21"/>
      <c r="J1204" s="28"/>
      <c r="K1204" s="19"/>
    </row>
    <row r="1205" spans="1:11" ht="13.2">
      <c r="A1205" s="22"/>
      <c r="B1205" s="16"/>
      <c r="C1205" s="23"/>
      <c r="D1205" s="24"/>
      <c r="E1205" s="25"/>
      <c r="F1205" s="26"/>
      <c r="G1205" s="27"/>
      <c r="H1205" s="20"/>
      <c r="I1205" s="21"/>
      <c r="J1205" s="28"/>
      <c r="K1205" s="19"/>
    </row>
    <row r="1206" spans="1:11" ht="13.2">
      <c r="A1206" s="22"/>
      <c r="B1206" s="16"/>
      <c r="C1206" s="23"/>
      <c r="D1206" s="24"/>
      <c r="E1206" s="25"/>
      <c r="F1206" s="26"/>
      <c r="G1206" s="27"/>
      <c r="H1206" s="20"/>
      <c r="I1206" s="21"/>
      <c r="J1206" s="28"/>
      <c r="K1206" s="19"/>
    </row>
    <row r="1207" spans="1:11" ht="13.2">
      <c r="A1207" s="22"/>
      <c r="B1207" s="16"/>
      <c r="C1207" s="23"/>
      <c r="D1207" s="24"/>
      <c r="E1207" s="25"/>
      <c r="F1207" s="26"/>
      <c r="G1207" s="27"/>
      <c r="H1207" s="20"/>
      <c r="I1207" s="21"/>
      <c r="J1207" s="28"/>
      <c r="K1207" s="19"/>
    </row>
    <row r="1208" spans="1:11" ht="13.2">
      <c r="A1208" s="22"/>
      <c r="B1208" s="16"/>
      <c r="C1208" s="23"/>
      <c r="D1208" s="24"/>
      <c r="E1208" s="25"/>
      <c r="F1208" s="26"/>
      <c r="G1208" s="27"/>
      <c r="H1208" s="20"/>
      <c r="I1208" s="21"/>
      <c r="J1208" s="28"/>
      <c r="K1208" s="19"/>
    </row>
    <row r="1209" spans="1:11" ht="13.2">
      <c r="A1209" s="22"/>
      <c r="B1209" s="16"/>
      <c r="C1209" s="23"/>
      <c r="D1209" s="24"/>
      <c r="E1209" s="25"/>
      <c r="F1209" s="26"/>
      <c r="G1209" s="27"/>
      <c r="H1209" s="20"/>
      <c r="I1209" s="21"/>
      <c r="J1209" s="28"/>
      <c r="K1209" s="19"/>
    </row>
    <row r="1210" spans="1:11" ht="13.2">
      <c r="A1210" s="22"/>
      <c r="B1210" s="16"/>
      <c r="C1210" s="23"/>
      <c r="D1210" s="24"/>
      <c r="E1210" s="25"/>
      <c r="F1210" s="26"/>
      <c r="G1210" s="27"/>
      <c r="H1210" s="20"/>
      <c r="I1210" s="21"/>
      <c r="J1210" s="28"/>
      <c r="K1210" s="19"/>
    </row>
    <row r="1211" spans="1:11" ht="13.2">
      <c r="A1211" s="22"/>
      <c r="B1211" s="16"/>
      <c r="C1211" s="23"/>
      <c r="D1211" s="24"/>
      <c r="E1211" s="25"/>
      <c r="F1211" s="26"/>
      <c r="G1211" s="27"/>
      <c r="H1211" s="20"/>
      <c r="I1211" s="21"/>
      <c r="J1211" s="28"/>
      <c r="K1211" s="19"/>
    </row>
    <row r="1212" spans="1:11" ht="13.2">
      <c r="A1212" s="22"/>
      <c r="B1212" s="16"/>
      <c r="C1212" s="23"/>
      <c r="D1212" s="24"/>
      <c r="E1212" s="25"/>
      <c r="F1212" s="26"/>
      <c r="G1212" s="27"/>
      <c r="H1212" s="20"/>
      <c r="I1212" s="21"/>
      <c r="J1212" s="28"/>
      <c r="K1212" s="19"/>
    </row>
    <row r="1213" spans="1:11" ht="13.2">
      <c r="A1213" s="22"/>
      <c r="B1213" s="16"/>
      <c r="C1213" s="23"/>
      <c r="D1213" s="24"/>
      <c r="E1213" s="25"/>
      <c r="F1213" s="26"/>
      <c r="G1213" s="27"/>
      <c r="H1213" s="20"/>
      <c r="I1213" s="21"/>
      <c r="J1213" s="28"/>
      <c r="K1213" s="19"/>
    </row>
    <row r="1214" spans="1:11" ht="13.2">
      <c r="A1214" s="22"/>
      <c r="B1214" s="16"/>
      <c r="C1214" s="23"/>
      <c r="D1214" s="24"/>
      <c r="E1214" s="25"/>
      <c r="F1214" s="26"/>
      <c r="G1214" s="27"/>
      <c r="H1214" s="20"/>
      <c r="I1214" s="21"/>
      <c r="J1214" s="28"/>
      <c r="K1214" s="19"/>
    </row>
    <row r="1215" spans="1:11" ht="13.2">
      <c r="A1215" s="22"/>
      <c r="B1215" s="16"/>
      <c r="C1215" s="23"/>
      <c r="D1215" s="24"/>
      <c r="E1215" s="25"/>
      <c r="F1215" s="26"/>
      <c r="G1215" s="27"/>
      <c r="H1215" s="20"/>
      <c r="I1215" s="21"/>
      <c r="J1215" s="28"/>
      <c r="K1215" s="19"/>
    </row>
    <row r="1216" spans="1:11" ht="13.2">
      <c r="A1216" s="22"/>
      <c r="B1216" s="16"/>
      <c r="C1216" s="23"/>
      <c r="D1216" s="24"/>
      <c r="E1216" s="25"/>
      <c r="F1216" s="26"/>
      <c r="G1216" s="27"/>
      <c r="H1216" s="20"/>
      <c r="I1216" s="21"/>
      <c r="J1216" s="28"/>
      <c r="K1216" s="19"/>
    </row>
    <row r="1217" spans="1:11" ht="13.2">
      <c r="A1217" s="22"/>
      <c r="B1217" s="16"/>
      <c r="C1217" s="23"/>
      <c r="D1217" s="24"/>
      <c r="E1217" s="25"/>
      <c r="F1217" s="26"/>
      <c r="G1217" s="27"/>
      <c r="H1217" s="20"/>
      <c r="I1217" s="21"/>
      <c r="J1217" s="28"/>
      <c r="K1217" s="19"/>
    </row>
    <row r="1218" spans="1:11" ht="13.2">
      <c r="A1218" s="22"/>
      <c r="B1218" s="16"/>
      <c r="C1218" s="23"/>
      <c r="D1218" s="24"/>
      <c r="E1218" s="25"/>
      <c r="F1218" s="26"/>
      <c r="G1218" s="27"/>
      <c r="H1218" s="20"/>
      <c r="I1218" s="21"/>
      <c r="J1218" s="28"/>
      <c r="K1218" s="19"/>
    </row>
    <row r="1219" spans="1:11" ht="13.2">
      <c r="A1219" s="22"/>
      <c r="B1219" s="16"/>
      <c r="C1219" s="23"/>
      <c r="D1219" s="24"/>
      <c r="E1219" s="25"/>
      <c r="F1219" s="26"/>
      <c r="G1219" s="27"/>
      <c r="H1219" s="20"/>
      <c r="I1219" s="21"/>
      <c r="J1219" s="28"/>
      <c r="K1219" s="19"/>
    </row>
    <row r="1220" spans="1:11" ht="13.2">
      <c r="A1220" s="22"/>
      <c r="B1220" s="16"/>
      <c r="C1220" s="23"/>
      <c r="D1220" s="24"/>
      <c r="E1220" s="25"/>
      <c r="F1220" s="26"/>
      <c r="G1220" s="27"/>
      <c r="H1220" s="20"/>
      <c r="I1220" s="21"/>
      <c r="J1220" s="28"/>
      <c r="K1220" s="19"/>
    </row>
    <row r="1221" spans="1:11" ht="13.2">
      <c r="A1221" s="22"/>
      <c r="B1221" s="16"/>
      <c r="C1221" s="23"/>
      <c r="D1221" s="24"/>
      <c r="E1221" s="25"/>
      <c r="F1221" s="26"/>
      <c r="G1221" s="27"/>
      <c r="H1221" s="20"/>
      <c r="I1221" s="21"/>
      <c r="J1221" s="28"/>
      <c r="K1221" s="19"/>
    </row>
    <row r="1222" spans="1:11" ht="13.2">
      <c r="A1222" s="22"/>
      <c r="B1222" s="16"/>
      <c r="C1222" s="23"/>
      <c r="D1222" s="24"/>
      <c r="E1222" s="25"/>
      <c r="F1222" s="26"/>
      <c r="G1222" s="27"/>
      <c r="H1222" s="20"/>
      <c r="I1222" s="21"/>
      <c r="J1222" s="28"/>
      <c r="K1222" s="19"/>
    </row>
    <row r="1223" spans="1:11" ht="13.2">
      <c r="A1223" s="22"/>
      <c r="B1223" s="16"/>
      <c r="C1223" s="23"/>
      <c r="D1223" s="24"/>
      <c r="E1223" s="25"/>
      <c r="F1223" s="26"/>
      <c r="G1223" s="27"/>
      <c r="H1223" s="20"/>
      <c r="I1223" s="21"/>
      <c r="J1223" s="28"/>
      <c r="K1223" s="19"/>
    </row>
    <row r="1224" spans="1:11" ht="13.2">
      <c r="A1224" s="22"/>
      <c r="B1224" s="16"/>
      <c r="C1224" s="23"/>
      <c r="D1224" s="24"/>
      <c r="E1224" s="25"/>
      <c r="F1224" s="26"/>
      <c r="G1224" s="27"/>
      <c r="H1224" s="20"/>
      <c r="I1224" s="21"/>
      <c r="J1224" s="28"/>
      <c r="K1224" s="19"/>
    </row>
    <row r="1225" spans="1:11" ht="13.2">
      <c r="A1225" s="22"/>
      <c r="B1225" s="16"/>
      <c r="C1225" s="23"/>
      <c r="D1225" s="24"/>
      <c r="E1225" s="25"/>
      <c r="F1225" s="26"/>
      <c r="G1225" s="27"/>
      <c r="H1225" s="20"/>
      <c r="I1225" s="21"/>
      <c r="J1225" s="28"/>
      <c r="K1225" s="19"/>
    </row>
    <row r="1226" spans="1:11" ht="13.2">
      <c r="A1226" s="22"/>
      <c r="B1226" s="16"/>
      <c r="C1226" s="23"/>
      <c r="D1226" s="24"/>
      <c r="E1226" s="25"/>
      <c r="F1226" s="26"/>
      <c r="G1226" s="27"/>
      <c r="H1226" s="20"/>
      <c r="I1226" s="21"/>
      <c r="J1226" s="28"/>
      <c r="K1226" s="19"/>
    </row>
    <row r="1227" spans="1:11" ht="13.2">
      <c r="A1227" s="22"/>
      <c r="B1227" s="16"/>
      <c r="C1227" s="23"/>
      <c r="D1227" s="24"/>
      <c r="E1227" s="25"/>
      <c r="F1227" s="26"/>
      <c r="G1227" s="27"/>
      <c r="H1227" s="20"/>
      <c r="I1227" s="21"/>
      <c r="J1227" s="28"/>
      <c r="K1227" s="19"/>
    </row>
    <row r="1228" spans="1:11" ht="13.2">
      <c r="A1228" s="22"/>
      <c r="B1228" s="16"/>
      <c r="C1228" s="23"/>
      <c r="D1228" s="24"/>
      <c r="E1228" s="25"/>
      <c r="F1228" s="26"/>
      <c r="G1228" s="27"/>
      <c r="H1228" s="20"/>
      <c r="I1228" s="21"/>
      <c r="J1228" s="28"/>
      <c r="K1228" s="19"/>
    </row>
    <row r="1229" spans="1:11" ht="13.2">
      <c r="A1229" s="22"/>
      <c r="B1229" s="16"/>
      <c r="C1229" s="23"/>
      <c r="D1229" s="24"/>
      <c r="E1229" s="25"/>
      <c r="F1229" s="26"/>
      <c r="G1229" s="27"/>
      <c r="H1229" s="20"/>
      <c r="I1229" s="21"/>
      <c r="J1229" s="28"/>
      <c r="K1229" s="19"/>
    </row>
    <row r="1230" spans="1:11" ht="13.2">
      <c r="A1230" s="22"/>
      <c r="B1230" s="16"/>
      <c r="C1230" s="23"/>
      <c r="D1230" s="24"/>
      <c r="E1230" s="25"/>
      <c r="F1230" s="26"/>
      <c r="G1230" s="27"/>
      <c r="H1230" s="20"/>
      <c r="I1230" s="21"/>
      <c r="J1230" s="28"/>
      <c r="K1230" s="19"/>
    </row>
    <row r="1231" spans="1:11" ht="13.2">
      <c r="A1231" s="22"/>
      <c r="B1231" s="16"/>
      <c r="C1231" s="23"/>
      <c r="D1231" s="24"/>
      <c r="E1231" s="25"/>
      <c r="F1231" s="26"/>
      <c r="G1231" s="27"/>
      <c r="H1231" s="20"/>
      <c r="I1231" s="21"/>
      <c r="J1231" s="28"/>
      <c r="K1231" s="19"/>
    </row>
    <row r="1232" spans="1:11" ht="13.2">
      <c r="A1232" s="22"/>
      <c r="B1232" s="16"/>
      <c r="C1232" s="23"/>
      <c r="D1232" s="24"/>
      <c r="E1232" s="25"/>
      <c r="F1232" s="26"/>
      <c r="G1232" s="27"/>
      <c r="H1232" s="20"/>
      <c r="I1232" s="21"/>
      <c r="J1232" s="28"/>
      <c r="K1232" s="19"/>
    </row>
    <row r="1233" spans="1:11" ht="13.2">
      <c r="A1233" s="22"/>
      <c r="B1233" s="16"/>
      <c r="C1233" s="23"/>
      <c r="D1233" s="24"/>
      <c r="E1233" s="25"/>
      <c r="F1233" s="26"/>
      <c r="G1233" s="27"/>
      <c r="H1233" s="20"/>
      <c r="I1233" s="21"/>
      <c r="J1233" s="28"/>
      <c r="K1233" s="19"/>
    </row>
    <row r="1234" spans="1:11" ht="13.2">
      <c r="A1234" s="22"/>
      <c r="B1234" s="16"/>
      <c r="C1234" s="23"/>
      <c r="D1234" s="24"/>
      <c r="E1234" s="25"/>
      <c r="F1234" s="26"/>
      <c r="G1234" s="27"/>
      <c r="H1234" s="20"/>
      <c r="I1234" s="21"/>
      <c r="J1234" s="28"/>
      <c r="K1234" s="19"/>
    </row>
    <row r="1235" spans="1:11" ht="13.2">
      <c r="A1235" s="22"/>
      <c r="B1235" s="16"/>
      <c r="C1235" s="23"/>
      <c r="D1235" s="24"/>
      <c r="E1235" s="25"/>
      <c r="F1235" s="26"/>
      <c r="G1235" s="27"/>
      <c r="H1235" s="20"/>
      <c r="I1235" s="21"/>
      <c r="J1235" s="28"/>
      <c r="K1235" s="19"/>
    </row>
    <row r="1236" spans="1:11" ht="13.2">
      <c r="A1236" s="22"/>
      <c r="B1236" s="16"/>
      <c r="C1236" s="23"/>
      <c r="D1236" s="24"/>
      <c r="E1236" s="25"/>
      <c r="F1236" s="26"/>
      <c r="G1236" s="27"/>
      <c r="H1236" s="20"/>
      <c r="I1236" s="21"/>
      <c r="J1236" s="28"/>
      <c r="K1236" s="19"/>
    </row>
    <row r="1237" spans="1:11" ht="13.2">
      <c r="A1237" s="22"/>
      <c r="B1237" s="16"/>
      <c r="C1237" s="23"/>
      <c r="D1237" s="24"/>
      <c r="E1237" s="25"/>
      <c r="F1237" s="26"/>
      <c r="G1237" s="27"/>
      <c r="H1237" s="20"/>
      <c r="I1237" s="21"/>
      <c r="J1237" s="28"/>
      <c r="K1237" s="19"/>
    </row>
    <row r="1238" spans="1:11" ht="13.2">
      <c r="A1238" s="22"/>
      <c r="B1238" s="16"/>
      <c r="C1238" s="23"/>
      <c r="D1238" s="24"/>
      <c r="E1238" s="25"/>
      <c r="F1238" s="26"/>
      <c r="G1238" s="27"/>
      <c r="H1238" s="20"/>
      <c r="I1238" s="21"/>
      <c r="J1238" s="28"/>
      <c r="K1238" s="19"/>
    </row>
    <row r="1239" spans="1:11" ht="13.2">
      <c r="A1239" s="22"/>
      <c r="B1239" s="16"/>
      <c r="C1239" s="23"/>
      <c r="D1239" s="24"/>
      <c r="E1239" s="25"/>
      <c r="F1239" s="26"/>
      <c r="G1239" s="27"/>
      <c r="H1239" s="20"/>
      <c r="I1239" s="21"/>
      <c r="J1239" s="28"/>
      <c r="K1239" s="19"/>
    </row>
    <row r="1240" spans="1:11" ht="13.2">
      <c r="A1240" s="22"/>
      <c r="B1240" s="16"/>
      <c r="C1240" s="23"/>
      <c r="D1240" s="24"/>
      <c r="E1240" s="25"/>
      <c r="F1240" s="26"/>
      <c r="G1240" s="27"/>
      <c r="H1240" s="20"/>
      <c r="I1240" s="21"/>
      <c r="J1240" s="28"/>
      <c r="K1240" s="19"/>
    </row>
    <row r="1241" spans="1:11" ht="13.2">
      <c r="A1241" s="22"/>
      <c r="B1241" s="16"/>
      <c r="C1241" s="23"/>
      <c r="D1241" s="24"/>
      <c r="E1241" s="25"/>
      <c r="F1241" s="26"/>
      <c r="G1241" s="27"/>
      <c r="H1241" s="20"/>
      <c r="I1241" s="21"/>
      <c r="J1241" s="28"/>
      <c r="K1241" s="19"/>
    </row>
    <row r="1242" spans="1:11" ht="13.2">
      <c r="A1242" s="22"/>
      <c r="B1242" s="16"/>
      <c r="C1242" s="23"/>
      <c r="D1242" s="24"/>
      <c r="E1242" s="25"/>
      <c r="F1242" s="26"/>
      <c r="G1242" s="27"/>
      <c r="H1242" s="20"/>
      <c r="I1242" s="21"/>
      <c r="J1242" s="28"/>
      <c r="K1242" s="19"/>
    </row>
    <row r="1243" spans="1:11" ht="13.2">
      <c r="A1243" s="22"/>
      <c r="B1243" s="16"/>
      <c r="C1243" s="23"/>
      <c r="D1243" s="24"/>
      <c r="E1243" s="25"/>
      <c r="F1243" s="26"/>
      <c r="G1243" s="27"/>
      <c r="H1243" s="20"/>
      <c r="I1243" s="21"/>
      <c r="J1243" s="28"/>
      <c r="K1243" s="19"/>
    </row>
    <row r="1244" spans="1:11" ht="13.2">
      <c r="A1244" s="22"/>
      <c r="B1244" s="16"/>
      <c r="C1244" s="23"/>
      <c r="D1244" s="24"/>
      <c r="E1244" s="25"/>
      <c r="F1244" s="26"/>
      <c r="G1244" s="27"/>
      <c r="H1244" s="20"/>
      <c r="I1244" s="21"/>
      <c r="J1244" s="28"/>
      <c r="K1244" s="19"/>
    </row>
    <row r="1245" spans="1:11" ht="13.2">
      <c r="A1245" s="22"/>
      <c r="B1245" s="16"/>
      <c r="C1245" s="23"/>
      <c r="D1245" s="24"/>
      <c r="E1245" s="25"/>
      <c r="F1245" s="26"/>
      <c r="G1245" s="27"/>
      <c r="H1245" s="20"/>
      <c r="I1245" s="21"/>
      <c r="J1245" s="28"/>
      <c r="K1245" s="19"/>
    </row>
    <row r="1246" spans="1:11" ht="13.2">
      <c r="A1246" s="22"/>
      <c r="B1246" s="16"/>
      <c r="C1246" s="23"/>
      <c r="D1246" s="24"/>
      <c r="E1246" s="25"/>
      <c r="F1246" s="26"/>
      <c r="G1246" s="27"/>
      <c r="H1246" s="20"/>
      <c r="I1246" s="21"/>
      <c r="J1246" s="28"/>
      <c r="K1246" s="19"/>
    </row>
    <row r="1247" spans="1:11" ht="13.2">
      <c r="A1247" s="22"/>
      <c r="B1247" s="16"/>
      <c r="C1247" s="23"/>
      <c r="D1247" s="24"/>
      <c r="E1247" s="25"/>
      <c r="F1247" s="26"/>
      <c r="G1247" s="27"/>
      <c r="H1247" s="20"/>
      <c r="I1247" s="21"/>
      <c r="J1247" s="28"/>
      <c r="K1247" s="19"/>
    </row>
    <row r="1248" spans="1:11" ht="13.2">
      <c r="A1248" s="22"/>
      <c r="B1248" s="16"/>
      <c r="C1248" s="23"/>
      <c r="D1248" s="24"/>
      <c r="E1248" s="25"/>
      <c r="F1248" s="26"/>
      <c r="G1248" s="27"/>
      <c r="H1248" s="20"/>
      <c r="I1248" s="21"/>
      <c r="J1248" s="28"/>
      <c r="K1248" s="19"/>
    </row>
    <row r="1249" spans="1:11" ht="13.2">
      <c r="A1249" s="22"/>
      <c r="B1249" s="16"/>
      <c r="C1249" s="23"/>
      <c r="D1249" s="24"/>
      <c r="E1249" s="25"/>
      <c r="F1249" s="26"/>
      <c r="G1249" s="27"/>
      <c r="H1249" s="20"/>
      <c r="I1249" s="21"/>
      <c r="J1249" s="28"/>
      <c r="K1249" s="19"/>
    </row>
    <row r="1250" spans="1:11" ht="13.2">
      <c r="A1250" s="22"/>
      <c r="B1250" s="16"/>
      <c r="C1250" s="23"/>
      <c r="D1250" s="24"/>
      <c r="E1250" s="25"/>
      <c r="F1250" s="26"/>
      <c r="G1250" s="27"/>
      <c r="H1250" s="20"/>
      <c r="I1250" s="21"/>
      <c r="J1250" s="28"/>
      <c r="K1250" s="19"/>
    </row>
    <row r="1251" spans="1:11" ht="13.2">
      <c r="A1251" s="22"/>
      <c r="B1251" s="16"/>
      <c r="C1251" s="23"/>
      <c r="D1251" s="24"/>
      <c r="E1251" s="25"/>
      <c r="F1251" s="26"/>
      <c r="G1251" s="27"/>
      <c r="H1251" s="20"/>
      <c r="I1251" s="21"/>
      <c r="J1251" s="28"/>
      <c r="K1251" s="19"/>
    </row>
    <row r="1252" spans="1:11" ht="13.2">
      <c r="A1252" s="22"/>
      <c r="B1252" s="16"/>
      <c r="C1252" s="23"/>
      <c r="D1252" s="24"/>
      <c r="E1252" s="25"/>
      <c r="F1252" s="26"/>
      <c r="G1252" s="27"/>
      <c r="H1252" s="20"/>
      <c r="I1252" s="21"/>
      <c r="J1252" s="28"/>
      <c r="K1252" s="19"/>
    </row>
    <row r="1253" spans="1:11" ht="13.2">
      <c r="A1253" s="22"/>
      <c r="B1253" s="16"/>
      <c r="C1253" s="23"/>
      <c r="D1253" s="24"/>
      <c r="E1253" s="25"/>
      <c r="F1253" s="26"/>
      <c r="G1253" s="27"/>
      <c r="H1253" s="20"/>
      <c r="I1253" s="21"/>
      <c r="J1253" s="28"/>
      <c r="K1253" s="19"/>
    </row>
    <row r="1254" spans="1:11" ht="13.2">
      <c r="A1254" s="22"/>
      <c r="B1254" s="16"/>
      <c r="C1254" s="23"/>
      <c r="D1254" s="24"/>
      <c r="E1254" s="25"/>
      <c r="F1254" s="26"/>
      <c r="G1254" s="27"/>
      <c r="H1254" s="20"/>
      <c r="I1254" s="21"/>
      <c r="J1254" s="28"/>
      <c r="K1254" s="19"/>
    </row>
    <row r="1255" spans="1:11" ht="13.2">
      <c r="A1255" s="22"/>
      <c r="B1255" s="16"/>
      <c r="C1255" s="23"/>
      <c r="D1255" s="24"/>
      <c r="E1255" s="25"/>
      <c r="F1255" s="26"/>
      <c r="G1255" s="27"/>
      <c r="H1255" s="20"/>
      <c r="I1255" s="21"/>
      <c r="J1255" s="28"/>
      <c r="K1255" s="19"/>
    </row>
    <row r="1256" spans="1:11" ht="13.2">
      <c r="A1256" s="22"/>
      <c r="B1256" s="16"/>
      <c r="C1256" s="23"/>
      <c r="D1256" s="24"/>
      <c r="E1256" s="25"/>
      <c r="F1256" s="26"/>
      <c r="G1256" s="27"/>
      <c r="H1256" s="20"/>
      <c r="I1256" s="21"/>
      <c r="J1256" s="28"/>
      <c r="K1256" s="19"/>
    </row>
    <row r="1257" spans="1:11" ht="13.2">
      <c r="A1257" s="22"/>
      <c r="B1257" s="16"/>
      <c r="C1257" s="23"/>
      <c r="D1257" s="24"/>
      <c r="E1257" s="25"/>
      <c r="F1257" s="26"/>
      <c r="G1257" s="27"/>
      <c r="H1257" s="20"/>
      <c r="I1257" s="21"/>
      <c r="J1257" s="28"/>
      <c r="K1257" s="19"/>
    </row>
    <row r="1258" spans="1:11" ht="13.2">
      <c r="A1258" s="22"/>
      <c r="B1258" s="16"/>
      <c r="C1258" s="23"/>
      <c r="D1258" s="24"/>
      <c r="E1258" s="25"/>
      <c r="F1258" s="26"/>
      <c r="G1258" s="27"/>
      <c r="H1258" s="20"/>
      <c r="I1258" s="21"/>
      <c r="J1258" s="28"/>
      <c r="K1258" s="19"/>
    </row>
    <row r="1259" spans="1:11" ht="13.2">
      <c r="A1259" s="22"/>
      <c r="B1259" s="16"/>
      <c r="C1259" s="23"/>
      <c r="D1259" s="24"/>
      <c r="E1259" s="25"/>
      <c r="F1259" s="26"/>
      <c r="G1259" s="27"/>
      <c r="H1259" s="20"/>
      <c r="I1259" s="21"/>
      <c r="J1259" s="28"/>
      <c r="K1259" s="19"/>
    </row>
    <row r="1260" spans="1:11" ht="13.2">
      <c r="A1260" s="22"/>
      <c r="B1260" s="16"/>
      <c r="C1260" s="23"/>
      <c r="D1260" s="24"/>
      <c r="E1260" s="25"/>
      <c r="F1260" s="26"/>
      <c r="G1260" s="27"/>
      <c r="H1260" s="20"/>
      <c r="I1260" s="21"/>
      <c r="J1260" s="28"/>
      <c r="K1260" s="19"/>
    </row>
    <row r="1261" spans="1:11" ht="13.2">
      <c r="A1261" s="22"/>
      <c r="B1261" s="16"/>
      <c r="C1261" s="23"/>
      <c r="D1261" s="24"/>
      <c r="E1261" s="25"/>
      <c r="F1261" s="26"/>
      <c r="G1261" s="27"/>
      <c r="H1261" s="20"/>
      <c r="I1261" s="21"/>
      <c r="J1261" s="28"/>
      <c r="K1261" s="19"/>
    </row>
    <row r="1262" spans="1:11" ht="13.2">
      <c r="A1262" s="22"/>
      <c r="B1262" s="16"/>
      <c r="C1262" s="23"/>
      <c r="D1262" s="24"/>
      <c r="E1262" s="25"/>
      <c r="F1262" s="26"/>
      <c r="G1262" s="27"/>
      <c r="H1262" s="20"/>
      <c r="I1262" s="21"/>
      <c r="J1262" s="28"/>
      <c r="K1262" s="19"/>
    </row>
    <row r="1263" spans="1:11" ht="13.2">
      <c r="A1263" s="22"/>
      <c r="B1263" s="16"/>
      <c r="C1263" s="23"/>
      <c r="D1263" s="24"/>
      <c r="E1263" s="25"/>
      <c r="F1263" s="26"/>
      <c r="G1263" s="27"/>
      <c r="H1263" s="20"/>
      <c r="I1263" s="21"/>
      <c r="J1263" s="28"/>
      <c r="K1263" s="19"/>
    </row>
    <row r="1264" spans="1:11" ht="13.2">
      <c r="A1264" s="22"/>
      <c r="B1264" s="16"/>
      <c r="C1264" s="23"/>
      <c r="D1264" s="24"/>
      <c r="E1264" s="25"/>
      <c r="F1264" s="26"/>
      <c r="G1264" s="27"/>
      <c r="H1264" s="20"/>
      <c r="I1264" s="21"/>
      <c r="J1264" s="28"/>
      <c r="K1264" s="19"/>
    </row>
    <row r="1265" spans="1:11" ht="13.2">
      <c r="A1265" s="22"/>
      <c r="B1265" s="16"/>
      <c r="C1265" s="23"/>
      <c r="D1265" s="24"/>
      <c r="E1265" s="25"/>
      <c r="F1265" s="26"/>
      <c r="G1265" s="27"/>
      <c r="H1265" s="20"/>
      <c r="I1265" s="21"/>
      <c r="J1265" s="28"/>
      <c r="K1265" s="19"/>
    </row>
    <row r="1266" spans="1:11" ht="13.2">
      <c r="A1266" s="22"/>
      <c r="B1266" s="16"/>
      <c r="C1266" s="23"/>
      <c r="D1266" s="24"/>
      <c r="E1266" s="25"/>
      <c r="F1266" s="26"/>
      <c r="G1266" s="27"/>
      <c r="H1266" s="20"/>
      <c r="I1266" s="21"/>
      <c r="J1266" s="28"/>
      <c r="K1266" s="19"/>
    </row>
    <row r="1267" spans="1:11" ht="13.2">
      <c r="A1267" s="22"/>
      <c r="B1267" s="16"/>
      <c r="C1267" s="23"/>
      <c r="D1267" s="24"/>
      <c r="E1267" s="25"/>
      <c r="F1267" s="26"/>
      <c r="G1267" s="27"/>
      <c r="H1267" s="20"/>
      <c r="I1267" s="21"/>
      <c r="J1267" s="28"/>
      <c r="K1267" s="19"/>
    </row>
    <row r="1268" spans="1:11" ht="13.2">
      <c r="A1268" s="22"/>
      <c r="B1268" s="16"/>
      <c r="C1268" s="23"/>
      <c r="D1268" s="24"/>
      <c r="E1268" s="25"/>
      <c r="F1268" s="26"/>
      <c r="G1268" s="27"/>
      <c r="H1268" s="20"/>
      <c r="I1268" s="21"/>
      <c r="J1268" s="28"/>
      <c r="K1268" s="19"/>
    </row>
    <row r="1269" spans="1:11" ht="13.2">
      <c r="A1269" s="22"/>
      <c r="B1269" s="16"/>
      <c r="C1269" s="23"/>
      <c r="D1269" s="24"/>
      <c r="E1269" s="25"/>
      <c r="F1269" s="26"/>
      <c r="G1269" s="27"/>
      <c r="H1269" s="20"/>
      <c r="I1269" s="21"/>
      <c r="J1269" s="28"/>
      <c r="K1269" s="19"/>
    </row>
    <row r="1270" spans="1:11" ht="13.2">
      <c r="A1270" s="22"/>
      <c r="B1270" s="16"/>
      <c r="C1270" s="23"/>
      <c r="D1270" s="24"/>
      <c r="E1270" s="25"/>
      <c r="F1270" s="26"/>
      <c r="G1270" s="27"/>
      <c r="H1270" s="20"/>
      <c r="I1270" s="21"/>
      <c r="J1270" s="28"/>
      <c r="K1270" s="19"/>
    </row>
    <row r="1271" spans="1:11" ht="13.2">
      <c r="A1271" s="22"/>
      <c r="B1271" s="16"/>
      <c r="C1271" s="23"/>
      <c r="D1271" s="24"/>
      <c r="E1271" s="25"/>
      <c r="F1271" s="26"/>
      <c r="G1271" s="27"/>
      <c r="H1271" s="20"/>
      <c r="I1271" s="21"/>
      <c r="J1271" s="28"/>
      <c r="K1271" s="19"/>
    </row>
    <row r="1272" spans="1:11" ht="13.2">
      <c r="A1272" s="22"/>
      <c r="B1272" s="16"/>
      <c r="C1272" s="23"/>
      <c r="D1272" s="24"/>
      <c r="E1272" s="25"/>
      <c r="F1272" s="26"/>
      <c r="G1272" s="27"/>
      <c r="H1272" s="20"/>
      <c r="I1272" s="21"/>
      <c r="J1272" s="28"/>
      <c r="K1272" s="19"/>
    </row>
    <row r="1273" spans="1:11" ht="13.2">
      <c r="A1273" s="22"/>
      <c r="B1273" s="16"/>
      <c r="C1273" s="23"/>
      <c r="D1273" s="24"/>
      <c r="E1273" s="25"/>
      <c r="F1273" s="26"/>
      <c r="G1273" s="27"/>
      <c r="H1273" s="20"/>
      <c r="I1273" s="21"/>
      <c r="J1273" s="28"/>
      <c r="K1273" s="19"/>
    </row>
    <row r="1274" spans="1:11" ht="13.2">
      <c r="A1274" s="22"/>
      <c r="B1274" s="16"/>
      <c r="C1274" s="23"/>
      <c r="D1274" s="24"/>
      <c r="E1274" s="25"/>
      <c r="F1274" s="26"/>
      <c r="G1274" s="27"/>
      <c r="H1274" s="20"/>
      <c r="I1274" s="21"/>
      <c r="J1274" s="28"/>
      <c r="K1274" s="19"/>
    </row>
    <row r="1275" spans="1:11" ht="13.2">
      <c r="A1275" s="22"/>
      <c r="B1275" s="16"/>
      <c r="C1275" s="23"/>
      <c r="D1275" s="24"/>
      <c r="E1275" s="25"/>
      <c r="F1275" s="26"/>
      <c r="G1275" s="27"/>
      <c r="H1275" s="20"/>
      <c r="I1275" s="21"/>
      <c r="J1275" s="28"/>
      <c r="K1275" s="19"/>
    </row>
    <row r="1276" spans="1:11" ht="13.2">
      <c r="A1276" s="22"/>
      <c r="B1276" s="16"/>
      <c r="C1276" s="23"/>
      <c r="D1276" s="24"/>
      <c r="E1276" s="25"/>
      <c r="F1276" s="26"/>
      <c r="G1276" s="27"/>
      <c r="H1276" s="20"/>
      <c r="I1276" s="21"/>
      <c r="J1276" s="28"/>
      <c r="K1276" s="19"/>
    </row>
    <row r="1277" spans="1:11" ht="13.2">
      <c r="A1277" s="22"/>
      <c r="B1277" s="16"/>
      <c r="C1277" s="23"/>
      <c r="D1277" s="24"/>
      <c r="E1277" s="25"/>
      <c r="F1277" s="26"/>
      <c r="G1277" s="27"/>
      <c r="H1277" s="20"/>
      <c r="I1277" s="21"/>
      <c r="J1277" s="28"/>
      <c r="K1277" s="19"/>
    </row>
    <row r="1278" spans="1:11" ht="13.2">
      <c r="A1278" s="22"/>
      <c r="B1278" s="16"/>
      <c r="C1278" s="23"/>
      <c r="D1278" s="24"/>
      <c r="E1278" s="25"/>
      <c r="F1278" s="26"/>
      <c r="G1278" s="27"/>
      <c r="H1278" s="20"/>
      <c r="I1278" s="21"/>
      <c r="J1278" s="28"/>
      <c r="K1278" s="19"/>
    </row>
    <row r="1279" spans="1:11" ht="13.2">
      <c r="A1279" s="22"/>
      <c r="B1279" s="16"/>
      <c r="C1279" s="23"/>
      <c r="D1279" s="24"/>
      <c r="E1279" s="25"/>
      <c r="F1279" s="26"/>
      <c r="G1279" s="27"/>
      <c r="H1279" s="20"/>
      <c r="I1279" s="21"/>
      <c r="J1279" s="28"/>
      <c r="K1279" s="19"/>
    </row>
    <row r="1280" spans="1:11" ht="13.2">
      <c r="A1280" s="22"/>
      <c r="B1280" s="16"/>
      <c r="C1280" s="23"/>
      <c r="D1280" s="24"/>
      <c r="E1280" s="25"/>
      <c r="F1280" s="26"/>
      <c r="G1280" s="27"/>
      <c r="H1280" s="20"/>
      <c r="I1280" s="21"/>
      <c r="J1280" s="28"/>
      <c r="K1280" s="19"/>
    </row>
    <row r="1281" spans="1:11" ht="13.2">
      <c r="A1281" s="22"/>
      <c r="B1281" s="16"/>
      <c r="C1281" s="23"/>
      <c r="D1281" s="24"/>
      <c r="E1281" s="25"/>
      <c r="F1281" s="26"/>
      <c r="G1281" s="27"/>
      <c r="H1281" s="20"/>
      <c r="I1281" s="21"/>
      <c r="J1281" s="28"/>
      <c r="K1281" s="19"/>
    </row>
    <row r="1282" spans="1:11" ht="13.2">
      <c r="A1282" s="22"/>
      <c r="B1282" s="16"/>
      <c r="C1282" s="23"/>
      <c r="D1282" s="24"/>
      <c r="E1282" s="25"/>
      <c r="F1282" s="26"/>
      <c r="G1282" s="27"/>
      <c r="H1282" s="20"/>
      <c r="I1282" s="21"/>
      <c r="J1282" s="28"/>
      <c r="K1282" s="19"/>
    </row>
    <row r="1283" spans="1:11" ht="13.2">
      <c r="A1283" s="22"/>
      <c r="B1283" s="16"/>
      <c r="C1283" s="23"/>
      <c r="D1283" s="24"/>
      <c r="E1283" s="25"/>
      <c r="F1283" s="26"/>
      <c r="G1283" s="27"/>
      <c r="H1283" s="20"/>
      <c r="I1283" s="21"/>
      <c r="J1283" s="28"/>
      <c r="K1283" s="19"/>
    </row>
    <row r="1284" spans="1:11" ht="13.2">
      <c r="A1284" s="22"/>
      <c r="B1284" s="16"/>
      <c r="C1284" s="23"/>
      <c r="D1284" s="24"/>
      <c r="E1284" s="25"/>
      <c r="F1284" s="26"/>
      <c r="G1284" s="27"/>
      <c r="H1284" s="20"/>
      <c r="I1284" s="21"/>
      <c r="J1284" s="28"/>
      <c r="K1284" s="19"/>
    </row>
    <row r="1285" spans="1:11" ht="13.2">
      <c r="A1285" s="22"/>
      <c r="B1285" s="16"/>
      <c r="C1285" s="23"/>
      <c r="D1285" s="24"/>
      <c r="E1285" s="25"/>
      <c r="F1285" s="26"/>
      <c r="G1285" s="27"/>
      <c r="H1285" s="20"/>
      <c r="I1285" s="21"/>
      <c r="J1285" s="28"/>
      <c r="K1285" s="19"/>
    </row>
    <row r="1286" spans="1:11" ht="13.2">
      <c r="A1286" s="22"/>
      <c r="B1286" s="16"/>
      <c r="C1286" s="23"/>
      <c r="D1286" s="24"/>
      <c r="E1286" s="25"/>
      <c r="F1286" s="26"/>
      <c r="G1286" s="27"/>
      <c r="H1286" s="20"/>
      <c r="I1286" s="21"/>
      <c r="J1286" s="28"/>
      <c r="K1286" s="19"/>
    </row>
    <row r="1287" spans="1:11" ht="13.2">
      <c r="A1287" s="22"/>
      <c r="B1287" s="16"/>
      <c r="C1287" s="23"/>
      <c r="D1287" s="24"/>
      <c r="E1287" s="25"/>
      <c r="F1287" s="26"/>
      <c r="G1287" s="27"/>
      <c r="H1287" s="20"/>
      <c r="I1287" s="21"/>
      <c r="J1287" s="28"/>
      <c r="K1287" s="19"/>
    </row>
    <row r="1288" spans="1:11" ht="13.2">
      <c r="A1288" s="22"/>
      <c r="B1288" s="16"/>
      <c r="C1288" s="23"/>
      <c r="D1288" s="24"/>
      <c r="E1288" s="25"/>
      <c r="F1288" s="26"/>
      <c r="G1288" s="27"/>
      <c r="H1288" s="20"/>
      <c r="I1288" s="21"/>
      <c r="J1288" s="28"/>
      <c r="K1288" s="19"/>
    </row>
    <row r="1289" spans="1:11" ht="13.2">
      <c r="A1289" s="22"/>
      <c r="B1289" s="16"/>
      <c r="C1289" s="23"/>
      <c r="D1289" s="24"/>
      <c r="E1289" s="25"/>
      <c r="F1289" s="26"/>
      <c r="G1289" s="27"/>
      <c r="H1289" s="20"/>
      <c r="I1289" s="21"/>
      <c r="J1289" s="28"/>
      <c r="K1289" s="19"/>
    </row>
    <row r="1290" spans="1:11" ht="13.2">
      <c r="A1290" s="22"/>
      <c r="B1290" s="16"/>
      <c r="C1290" s="23"/>
      <c r="D1290" s="24"/>
      <c r="E1290" s="25"/>
      <c r="F1290" s="26"/>
      <c r="G1290" s="27"/>
      <c r="H1290" s="20"/>
      <c r="I1290" s="21"/>
      <c r="J1290" s="28"/>
      <c r="K1290" s="19"/>
    </row>
    <row r="1291" spans="1:11" ht="13.2">
      <c r="A1291" s="22"/>
      <c r="B1291" s="16"/>
      <c r="C1291" s="23"/>
      <c r="D1291" s="24"/>
      <c r="E1291" s="25"/>
      <c r="F1291" s="26"/>
      <c r="G1291" s="27"/>
      <c r="H1291" s="20"/>
      <c r="I1291" s="21"/>
      <c r="J1291" s="28"/>
      <c r="K1291" s="19"/>
    </row>
    <row r="1292" spans="1:11" ht="13.2">
      <c r="A1292" s="22"/>
      <c r="B1292" s="16"/>
      <c r="C1292" s="23"/>
      <c r="D1292" s="24"/>
      <c r="E1292" s="25"/>
      <c r="F1292" s="26"/>
      <c r="G1292" s="27"/>
      <c r="H1292" s="20"/>
      <c r="I1292" s="21"/>
      <c r="J1292" s="28"/>
      <c r="K1292" s="19"/>
    </row>
    <row r="1293" spans="1:11" ht="13.2">
      <c r="A1293" s="22"/>
      <c r="B1293" s="16"/>
      <c r="C1293" s="23"/>
      <c r="D1293" s="24"/>
      <c r="E1293" s="25"/>
      <c r="F1293" s="26"/>
      <c r="G1293" s="27"/>
      <c r="H1293" s="20"/>
      <c r="I1293" s="21"/>
      <c r="J1293" s="28"/>
      <c r="K1293" s="19"/>
    </row>
    <row r="1294" spans="1:11" ht="13.2">
      <c r="A1294" s="22"/>
      <c r="B1294" s="16"/>
      <c r="C1294" s="23"/>
      <c r="D1294" s="24"/>
      <c r="E1294" s="25"/>
      <c r="F1294" s="26"/>
      <c r="G1294" s="27"/>
      <c r="H1294" s="20"/>
      <c r="I1294" s="21"/>
      <c r="J1294" s="28"/>
      <c r="K1294" s="19"/>
    </row>
    <row r="1295" spans="1:11" ht="13.2">
      <c r="A1295" s="22"/>
      <c r="B1295" s="16"/>
      <c r="C1295" s="23"/>
      <c r="D1295" s="24"/>
      <c r="E1295" s="25"/>
      <c r="F1295" s="26"/>
      <c r="G1295" s="27"/>
      <c r="H1295" s="20"/>
      <c r="I1295" s="21"/>
      <c r="J1295" s="28"/>
      <c r="K1295" s="19"/>
    </row>
    <row r="1296" spans="1:11" ht="13.2">
      <c r="A1296" s="22"/>
      <c r="B1296" s="16"/>
      <c r="C1296" s="23"/>
      <c r="D1296" s="24"/>
      <c r="E1296" s="25"/>
      <c r="F1296" s="26"/>
      <c r="G1296" s="27"/>
      <c r="H1296" s="20"/>
      <c r="I1296" s="21"/>
      <c r="J1296" s="28"/>
      <c r="K1296" s="19"/>
    </row>
    <row r="1297" spans="1:11" ht="13.2">
      <c r="A1297" s="22"/>
      <c r="B1297" s="16"/>
      <c r="C1297" s="23"/>
      <c r="D1297" s="24"/>
      <c r="E1297" s="25"/>
      <c r="F1297" s="26"/>
      <c r="G1297" s="27"/>
      <c r="H1297" s="20"/>
      <c r="I1297" s="21"/>
      <c r="J1297" s="28"/>
      <c r="K1297" s="19"/>
    </row>
    <row r="1298" spans="1:11" ht="13.2">
      <c r="A1298" s="22"/>
      <c r="B1298" s="16"/>
      <c r="C1298" s="23"/>
      <c r="D1298" s="24"/>
      <c r="E1298" s="25"/>
      <c r="F1298" s="26"/>
      <c r="G1298" s="27"/>
      <c r="H1298" s="20"/>
      <c r="I1298" s="21"/>
      <c r="J1298" s="28"/>
      <c r="K1298" s="19"/>
    </row>
    <row r="1299" spans="1:11" ht="13.2">
      <c r="A1299" s="22"/>
      <c r="B1299" s="16"/>
      <c r="C1299" s="23"/>
      <c r="D1299" s="24"/>
      <c r="E1299" s="25"/>
      <c r="F1299" s="26"/>
      <c r="G1299" s="27"/>
      <c r="H1299" s="20"/>
      <c r="I1299" s="21"/>
      <c r="J1299" s="28"/>
      <c r="K1299" s="19"/>
    </row>
    <row r="1300" spans="1:11" ht="13.2">
      <c r="A1300" s="22"/>
      <c r="B1300" s="16"/>
      <c r="C1300" s="23"/>
      <c r="D1300" s="24"/>
      <c r="E1300" s="25"/>
      <c r="F1300" s="26"/>
      <c r="G1300" s="27"/>
      <c r="H1300" s="20"/>
      <c r="I1300" s="21"/>
      <c r="J1300" s="28"/>
      <c r="K1300" s="19"/>
    </row>
    <row r="1301" spans="1:11" ht="13.2">
      <c r="A1301" s="22"/>
      <c r="B1301" s="16"/>
      <c r="C1301" s="23"/>
      <c r="D1301" s="24"/>
      <c r="E1301" s="25"/>
      <c r="F1301" s="26"/>
      <c r="G1301" s="27"/>
      <c r="H1301" s="20"/>
      <c r="I1301" s="21"/>
      <c r="J1301" s="28"/>
      <c r="K1301" s="19"/>
    </row>
    <row r="1302" spans="1:11" ht="13.2">
      <c r="A1302" s="22"/>
      <c r="B1302" s="16"/>
      <c r="C1302" s="23"/>
      <c r="D1302" s="24"/>
      <c r="E1302" s="25"/>
      <c r="F1302" s="26"/>
      <c r="G1302" s="27"/>
      <c r="H1302" s="20"/>
      <c r="I1302" s="21"/>
      <c r="J1302" s="28"/>
      <c r="K1302" s="19"/>
    </row>
    <row r="1303" spans="1:11" ht="13.2">
      <c r="A1303" s="22"/>
      <c r="B1303" s="16"/>
      <c r="C1303" s="23"/>
      <c r="D1303" s="24"/>
      <c r="E1303" s="25"/>
      <c r="F1303" s="26"/>
      <c r="G1303" s="27"/>
      <c r="H1303" s="20"/>
      <c r="I1303" s="21"/>
      <c r="J1303" s="28"/>
      <c r="K1303" s="19"/>
    </row>
    <row r="1304" spans="1:11" ht="13.2">
      <c r="A1304" s="22"/>
      <c r="B1304" s="16"/>
      <c r="C1304" s="23"/>
      <c r="D1304" s="24"/>
      <c r="E1304" s="25"/>
      <c r="F1304" s="26"/>
      <c r="G1304" s="27"/>
      <c r="H1304" s="20"/>
      <c r="I1304" s="21"/>
      <c r="J1304" s="28"/>
      <c r="K1304" s="19"/>
    </row>
    <row r="1305" spans="1:11" ht="13.2">
      <c r="A1305" s="22"/>
      <c r="B1305" s="16"/>
      <c r="C1305" s="23"/>
      <c r="D1305" s="24"/>
      <c r="E1305" s="25"/>
      <c r="F1305" s="26"/>
      <c r="G1305" s="27"/>
      <c r="H1305" s="20"/>
      <c r="I1305" s="21"/>
      <c r="J1305" s="28"/>
      <c r="K1305" s="19"/>
    </row>
    <row r="1306" spans="1:11" ht="13.2">
      <c r="A1306" s="22"/>
      <c r="B1306" s="16"/>
      <c r="C1306" s="23"/>
      <c r="D1306" s="24"/>
      <c r="E1306" s="25"/>
      <c r="F1306" s="26"/>
      <c r="G1306" s="27"/>
      <c r="H1306" s="20"/>
      <c r="I1306" s="21"/>
      <c r="J1306" s="28"/>
      <c r="K1306" s="19"/>
    </row>
    <row r="1307" spans="1:11" ht="13.2">
      <c r="A1307" s="22"/>
      <c r="B1307" s="16"/>
      <c r="C1307" s="23"/>
      <c r="D1307" s="24"/>
      <c r="E1307" s="25"/>
      <c r="F1307" s="26"/>
      <c r="G1307" s="27"/>
      <c r="H1307" s="20"/>
      <c r="I1307" s="21"/>
      <c r="J1307" s="28"/>
      <c r="K1307" s="19"/>
    </row>
    <row r="1308" spans="1:11" ht="13.2">
      <c r="A1308" s="22"/>
      <c r="B1308" s="16"/>
      <c r="C1308" s="23"/>
      <c r="D1308" s="24"/>
      <c r="E1308" s="25"/>
      <c r="F1308" s="26"/>
      <c r="G1308" s="27"/>
      <c r="H1308" s="20"/>
      <c r="I1308" s="21"/>
      <c r="J1308" s="28"/>
      <c r="K1308" s="19"/>
    </row>
    <row r="1309" spans="1:11" ht="13.2">
      <c r="A1309" s="22"/>
      <c r="B1309" s="16"/>
      <c r="C1309" s="23"/>
      <c r="D1309" s="24"/>
      <c r="E1309" s="25"/>
      <c r="F1309" s="26"/>
      <c r="G1309" s="27"/>
      <c r="H1309" s="20"/>
      <c r="I1309" s="21"/>
      <c r="J1309" s="28"/>
      <c r="K1309" s="19"/>
    </row>
    <row r="1310" spans="1:11" ht="13.2">
      <c r="A1310" s="22"/>
      <c r="B1310" s="16"/>
      <c r="C1310" s="23"/>
      <c r="D1310" s="24"/>
      <c r="E1310" s="25"/>
      <c r="F1310" s="26"/>
      <c r="G1310" s="27"/>
      <c r="H1310" s="20"/>
      <c r="I1310" s="21"/>
      <c r="J1310" s="28"/>
      <c r="K1310" s="19"/>
    </row>
    <row r="1311" spans="1:11" ht="13.2">
      <c r="A1311" s="22"/>
      <c r="B1311" s="16"/>
      <c r="C1311" s="23"/>
      <c r="D1311" s="24"/>
      <c r="E1311" s="25"/>
      <c r="F1311" s="26"/>
      <c r="G1311" s="27"/>
      <c r="H1311" s="20"/>
      <c r="I1311" s="21"/>
      <c r="J1311" s="28"/>
      <c r="K1311" s="19"/>
    </row>
    <row r="1312" spans="1:11" ht="13.2">
      <c r="A1312" s="22"/>
      <c r="B1312" s="16"/>
      <c r="C1312" s="23"/>
      <c r="D1312" s="24"/>
      <c r="E1312" s="25"/>
      <c r="F1312" s="26"/>
      <c r="G1312" s="27"/>
      <c r="H1312" s="20"/>
      <c r="I1312" s="21"/>
      <c r="J1312" s="28"/>
      <c r="K1312" s="19"/>
    </row>
    <row r="1313" spans="1:11" ht="13.2">
      <c r="A1313" s="22"/>
      <c r="B1313" s="16"/>
      <c r="C1313" s="23"/>
      <c r="D1313" s="24"/>
      <c r="E1313" s="25"/>
      <c r="F1313" s="26"/>
      <c r="G1313" s="27"/>
      <c r="H1313" s="20"/>
      <c r="I1313" s="21"/>
      <c r="J1313" s="28"/>
      <c r="K1313" s="19"/>
    </row>
    <row r="1314" spans="1:11" ht="13.2">
      <c r="A1314" s="22"/>
      <c r="B1314" s="16"/>
      <c r="C1314" s="23"/>
      <c r="D1314" s="24"/>
      <c r="E1314" s="25"/>
      <c r="F1314" s="26"/>
      <c r="G1314" s="27"/>
      <c r="H1314" s="20"/>
      <c r="I1314" s="21"/>
      <c r="J1314" s="28"/>
      <c r="K1314" s="19"/>
    </row>
    <row r="1315" spans="1:11" ht="13.2">
      <c r="A1315" s="22"/>
      <c r="B1315" s="16"/>
      <c r="C1315" s="23"/>
      <c r="D1315" s="24"/>
      <c r="E1315" s="25"/>
      <c r="F1315" s="26"/>
      <c r="G1315" s="27"/>
      <c r="H1315" s="20"/>
      <c r="I1315" s="21"/>
      <c r="J1315" s="28"/>
      <c r="K1315" s="19"/>
    </row>
    <row r="1316" spans="1:11" ht="13.2">
      <c r="A1316" s="22"/>
      <c r="B1316" s="16"/>
      <c r="C1316" s="23"/>
      <c r="D1316" s="24"/>
      <c r="E1316" s="25"/>
      <c r="F1316" s="26"/>
      <c r="G1316" s="27"/>
      <c r="H1316" s="20"/>
      <c r="I1316" s="21"/>
      <c r="J1316" s="28"/>
      <c r="K1316" s="19"/>
    </row>
    <row r="1317" spans="1:11" ht="13.2">
      <c r="A1317" s="22"/>
      <c r="B1317" s="16"/>
      <c r="C1317" s="23"/>
      <c r="D1317" s="24"/>
      <c r="E1317" s="25"/>
      <c r="F1317" s="26"/>
      <c r="G1317" s="27"/>
      <c r="H1317" s="20"/>
      <c r="I1317" s="21"/>
      <c r="J1317" s="28"/>
      <c r="K1317" s="19"/>
    </row>
    <row r="1318" spans="1:11" ht="13.2">
      <c r="A1318" s="22"/>
      <c r="B1318" s="16"/>
      <c r="C1318" s="23"/>
      <c r="D1318" s="24"/>
      <c r="E1318" s="25"/>
      <c r="F1318" s="26"/>
      <c r="G1318" s="27"/>
      <c r="H1318" s="20"/>
      <c r="I1318" s="21"/>
      <c r="J1318" s="28"/>
      <c r="K1318" s="19"/>
    </row>
    <row r="1319" spans="1:11" ht="13.2">
      <c r="A1319" s="22"/>
      <c r="B1319" s="16"/>
      <c r="C1319" s="23"/>
      <c r="D1319" s="24"/>
      <c r="E1319" s="25"/>
      <c r="F1319" s="26"/>
      <c r="G1319" s="27"/>
      <c r="H1319" s="20"/>
      <c r="I1319" s="21"/>
      <c r="J1319" s="28"/>
      <c r="K1319" s="19"/>
    </row>
    <row r="1320" spans="1:11" ht="13.2">
      <c r="A1320" s="22"/>
      <c r="B1320" s="16"/>
      <c r="C1320" s="23"/>
      <c r="D1320" s="24"/>
      <c r="E1320" s="25"/>
      <c r="F1320" s="26"/>
      <c r="G1320" s="27"/>
      <c r="H1320" s="20"/>
      <c r="I1320" s="21"/>
      <c r="J1320" s="28"/>
      <c r="K1320" s="19"/>
    </row>
    <row r="1321" spans="1:11" ht="13.2">
      <c r="A1321" s="22"/>
      <c r="B1321" s="16"/>
      <c r="C1321" s="23"/>
      <c r="D1321" s="24"/>
      <c r="E1321" s="25"/>
      <c r="F1321" s="26"/>
      <c r="G1321" s="27"/>
      <c r="H1321" s="20"/>
      <c r="I1321" s="21"/>
      <c r="J1321" s="28"/>
      <c r="K1321" s="19"/>
    </row>
    <row r="1322" spans="1:11" ht="13.2">
      <c r="A1322" s="22"/>
      <c r="B1322" s="16"/>
      <c r="C1322" s="23"/>
      <c r="D1322" s="24"/>
      <c r="E1322" s="25"/>
      <c r="F1322" s="26"/>
      <c r="G1322" s="27"/>
      <c r="H1322" s="20"/>
      <c r="I1322" s="21"/>
      <c r="J1322" s="28"/>
      <c r="K1322" s="19"/>
    </row>
    <row r="1323" spans="1:11" ht="13.2">
      <c r="A1323" s="22"/>
      <c r="B1323" s="16"/>
      <c r="C1323" s="23"/>
      <c r="D1323" s="24"/>
      <c r="E1323" s="25"/>
      <c r="F1323" s="26"/>
      <c r="G1323" s="27"/>
      <c r="H1323" s="20"/>
      <c r="I1323" s="21"/>
      <c r="J1323" s="28"/>
      <c r="K1323" s="19"/>
    </row>
    <row r="1324" spans="1:11" ht="13.2">
      <c r="A1324" s="22"/>
      <c r="B1324" s="16"/>
      <c r="C1324" s="23"/>
      <c r="D1324" s="24"/>
      <c r="E1324" s="25"/>
      <c r="F1324" s="26"/>
      <c r="G1324" s="27"/>
      <c r="H1324" s="20"/>
      <c r="I1324" s="21"/>
      <c r="J1324" s="28"/>
      <c r="K1324" s="19"/>
    </row>
    <row r="1325" spans="1:11" ht="13.2">
      <c r="A1325" s="22"/>
      <c r="B1325" s="16"/>
      <c r="C1325" s="23"/>
      <c r="D1325" s="24"/>
      <c r="E1325" s="25"/>
      <c r="F1325" s="26"/>
      <c r="G1325" s="27"/>
      <c r="H1325" s="20"/>
      <c r="I1325" s="21"/>
      <c r="J1325" s="28"/>
      <c r="K1325" s="19"/>
    </row>
    <row r="1326" spans="1:11" ht="13.2">
      <c r="A1326" s="22"/>
      <c r="B1326" s="16"/>
      <c r="C1326" s="23"/>
      <c r="D1326" s="24"/>
      <c r="E1326" s="25"/>
      <c r="F1326" s="26"/>
      <c r="G1326" s="27"/>
      <c r="H1326" s="20"/>
      <c r="I1326" s="21"/>
      <c r="J1326" s="28"/>
      <c r="K1326" s="19"/>
    </row>
    <row r="1327" spans="1:11" ht="13.2">
      <c r="A1327" s="22"/>
      <c r="B1327" s="16"/>
      <c r="C1327" s="23"/>
      <c r="D1327" s="24"/>
      <c r="E1327" s="25"/>
      <c r="F1327" s="26"/>
      <c r="G1327" s="27"/>
      <c r="H1327" s="20"/>
      <c r="I1327" s="21"/>
      <c r="J1327" s="28"/>
      <c r="K1327" s="19"/>
    </row>
    <row r="1328" spans="1:11" ht="13.2">
      <c r="A1328" s="22"/>
      <c r="B1328" s="16"/>
      <c r="C1328" s="23"/>
      <c r="D1328" s="24"/>
      <c r="E1328" s="25"/>
      <c r="F1328" s="26"/>
      <c r="G1328" s="27"/>
      <c r="H1328" s="20"/>
      <c r="I1328" s="21"/>
      <c r="J1328" s="28"/>
      <c r="K1328" s="19"/>
    </row>
    <row r="1329" spans="1:11" ht="13.2">
      <c r="A1329" s="22"/>
      <c r="B1329" s="16"/>
      <c r="C1329" s="23"/>
      <c r="D1329" s="24"/>
      <c r="E1329" s="25"/>
      <c r="F1329" s="26"/>
      <c r="G1329" s="27"/>
      <c r="H1329" s="20"/>
      <c r="I1329" s="21"/>
      <c r="J1329" s="28"/>
      <c r="K1329" s="19"/>
    </row>
    <row r="1330" spans="1:11" ht="13.2">
      <c r="A1330" s="22"/>
      <c r="B1330" s="16"/>
      <c r="C1330" s="23"/>
      <c r="D1330" s="24"/>
      <c r="E1330" s="25"/>
      <c r="F1330" s="26"/>
      <c r="G1330" s="27"/>
      <c r="H1330" s="20"/>
      <c r="I1330" s="21"/>
      <c r="J1330" s="28"/>
      <c r="K1330" s="19"/>
    </row>
    <row r="1331" spans="1:11" ht="13.2">
      <c r="A1331" s="22"/>
      <c r="B1331" s="16"/>
      <c r="C1331" s="23"/>
      <c r="D1331" s="24"/>
      <c r="E1331" s="25"/>
      <c r="F1331" s="26"/>
      <c r="G1331" s="27"/>
      <c r="H1331" s="20"/>
      <c r="I1331" s="21"/>
      <c r="J1331" s="28"/>
      <c r="K1331" s="19"/>
    </row>
    <row r="1332" spans="1:11" ht="13.2">
      <c r="A1332" s="22"/>
      <c r="B1332" s="16"/>
      <c r="C1332" s="23"/>
      <c r="D1332" s="24"/>
      <c r="E1332" s="25"/>
      <c r="F1332" s="26"/>
      <c r="G1332" s="27"/>
      <c r="H1332" s="20"/>
      <c r="I1332" s="21"/>
      <c r="J1332" s="28"/>
      <c r="K1332" s="19"/>
    </row>
    <row r="1333" spans="1:11" ht="13.2">
      <c r="A1333" s="22"/>
      <c r="B1333" s="16"/>
      <c r="C1333" s="23"/>
      <c r="D1333" s="24"/>
      <c r="E1333" s="25"/>
      <c r="F1333" s="26"/>
      <c r="G1333" s="27"/>
      <c r="H1333" s="20"/>
      <c r="I1333" s="21"/>
      <c r="J1333" s="28"/>
      <c r="K1333" s="19"/>
    </row>
    <row r="1334" spans="1:11" ht="13.2">
      <c r="A1334" s="22"/>
      <c r="B1334" s="16"/>
      <c r="C1334" s="23"/>
      <c r="D1334" s="24"/>
      <c r="E1334" s="25"/>
      <c r="F1334" s="26"/>
      <c r="G1334" s="27"/>
      <c r="H1334" s="20"/>
      <c r="I1334" s="21"/>
      <c r="J1334" s="28"/>
      <c r="K1334" s="19"/>
    </row>
    <row r="1335" spans="1:11" ht="13.2">
      <c r="A1335" s="22"/>
      <c r="B1335" s="16"/>
      <c r="C1335" s="23"/>
      <c r="D1335" s="24"/>
      <c r="E1335" s="25"/>
      <c r="F1335" s="26"/>
      <c r="G1335" s="27"/>
      <c r="H1335" s="20"/>
      <c r="I1335" s="21"/>
      <c r="J1335" s="28"/>
      <c r="K1335" s="19"/>
    </row>
    <row r="1336" spans="1:11" ht="13.2">
      <c r="A1336" s="22"/>
      <c r="B1336" s="16"/>
      <c r="C1336" s="23"/>
      <c r="D1336" s="24"/>
      <c r="E1336" s="25"/>
      <c r="F1336" s="26"/>
      <c r="G1336" s="27"/>
      <c r="H1336" s="20"/>
      <c r="I1336" s="21"/>
      <c r="J1336" s="28"/>
      <c r="K1336" s="19"/>
    </row>
    <row r="1337" spans="1:11" ht="13.2">
      <c r="A1337" s="22"/>
      <c r="B1337" s="16"/>
      <c r="C1337" s="23"/>
      <c r="D1337" s="24"/>
      <c r="E1337" s="25"/>
      <c r="F1337" s="26"/>
      <c r="G1337" s="27"/>
      <c r="H1337" s="20"/>
      <c r="I1337" s="21"/>
      <c r="J1337" s="28"/>
      <c r="K1337" s="19"/>
    </row>
    <row r="1338" spans="1:11" ht="13.2">
      <c r="A1338" s="22"/>
      <c r="B1338" s="16"/>
      <c r="C1338" s="23"/>
      <c r="D1338" s="24"/>
      <c r="E1338" s="25"/>
      <c r="F1338" s="26"/>
      <c r="G1338" s="27"/>
      <c r="H1338" s="20"/>
      <c r="I1338" s="21"/>
      <c r="J1338" s="28"/>
      <c r="K1338" s="19"/>
    </row>
    <row r="1339" spans="1:11" ht="13.2">
      <c r="A1339" s="22"/>
      <c r="B1339" s="16"/>
      <c r="C1339" s="23"/>
      <c r="D1339" s="24"/>
      <c r="E1339" s="25"/>
      <c r="F1339" s="26"/>
      <c r="G1339" s="27"/>
      <c r="H1339" s="20"/>
      <c r="I1339" s="21"/>
      <c r="J1339" s="28"/>
      <c r="K1339" s="19"/>
    </row>
    <row r="1340" spans="1:11" ht="13.2">
      <c r="A1340" s="22"/>
      <c r="B1340" s="16"/>
      <c r="C1340" s="23"/>
      <c r="D1340" s="24"/>
      <c r="E1340" s="25"/>
      <c r="F1340" s="26"/>
      <c r="G1340" s="27"/>
      <c r="H1340" s="20"/>
      <c r="I1340" s="21"/>
      <c r="J1340" s="28"/>
      <c r="K1340" s="19"/>
    </row>
    <row r="1341" spans="1:11" ht="13.2">
      <c r="A1341" s="22"/>
      <c r="B1341" s="16"/>
      <c r="C1341" s="23"/>
      <c r="D1341" s="24"/>
      <c r="E1341" s="25"/>
      <c r="F1341" s="26"/>
      <c r="G1341" s="27"/>
      <c r="H1341" s="20"/>
      <c r="I1341" s="21"/>
      <c r="J1341" s="28"/>
      <c r="K1341" s="19"/>
    </row>
    <row r="1342" spans="1:11" ht="13.2">
      <c r="A1342" s="22"/>
      <c r="B1342" s="16"/>
      <c r="C1342" s="23"/>
      <c r="D1342" s="24"/>
      <c r="E1342" s="25"/>
      <c r="F1342" s="26"/>
      <c r="G1342" s="27"/>
      <c r="H1342" s="20"/>
      <c r="I1342" s="21"/>
      <c r="J1342" s="28"/>
      <c r="K1342" s="19"/>
    </row>
    <row r="1343" spans="1:11" ht="13.2">
      <c r="A1343" s="22"/>
      <c r="B1343" s="16"/>
      <c r="C1343" s="23"/>
      <c r="D1343" s="24"/>
      <c r="E1343" s="25"/>
      <c r="F1343" s="26"/>
      <c r="G1343" s="27"/>
      <c r="H1343" s="20"/>
      <c r="I1343" s="21"/>
      <c r="J1343" s="28"/>
      <c r="K1343" s="19"/>
    </row>
    <row r="1344" spans="1:11" ht="13.2">
      <c r="A1344" s="22"/>
      <c r="B1344" s="16"/>
      <c r="C1344" s="23"/>
      <c r="D1344" s="24"/>
      <c r="E1344" s="25"/>
      <c r="F1344" s="26"/>
      <c r="G1344" s="27"/>
      <c r="H1344" s="20"/>
      <c r="I1344" s="21"/>
      <c r="J1344" s="28"/>
      <c r="K1344" s="19"/>
    </row>
    <row r="1345" spans="1:11" ht="13.2">
      <c r="A1345" s="22"/>
      <c r="B1345" s="16"/>
      <c r="C1345" s="23"/>
      <c r="D1345" s="24"/>
      <c r="E1345" s="25"/>
      <c r="F1345" s="26"/>
      <c r="G1345" s="27"/>
      <c r="H1345" s="20"/>
      <c r="I1345" s="21"/>
      <c r="J1345" s="28"/>
      <c r="K1345" s="19"/>
    </row>
    <row r="1346" spans="1:11" ht="13.2">
      <c r="A1346" s="22"/>
      <c r="B1346" s="16"/>
      <c r="C1346" s="23"/>
      <c r="D1346" s="24"/>
      <c r="E1346" s="25"/>
      <c r="F1346" s="26"/>
      <c r="G1346" s="27"/>
      <c r="H1346" s="20"/>
      <c r="I1346" s="21"/>
      <c r="J1346" s="28"/>
      <c r="K1346" s="19"/>
    </row>
    <row r="1347" spans="1:11" ht="13.2">
      <c r="A1347" s="22"/>
      <c r="B1347" s="16"/>
      <c r="C1347" s="23"/>
      <c r="D1347" s="24"/>
      <c r="E1347" s="25"/>
      <c r="F1347" s="26"/>
      <c r="G1347" s="27"/>
      <c r="H1347" s="20"/>
      <c r="I1347" s="21"/>
      <c r="J1347" s="28"/>
      <c r="K1347" s="19"/>
    </row>
    <row r="1348" spans="1:11" ht="13.2">
      <c r="A1348" s="22"/>
      <c r="B1348" s="16"/>
      <c r="C1348" s="23"/>
      <c r="D1348" s="24"/>
      <c r="E1348" s="25"/>
      <c r="F1348" s="26"/>
      <c r="G1348" s="27"/>
      <c r="H1348" s="20"/>
      <c r="I1348" s="21"/>
      <c r="J1348" s="28"/>
      <c r="K1348" s="19"/>
    </row>
    <row r="1349" spans="1:11" ht="13.2">
      <c r="A1349" s="22"/>
      <c r="B1349" s="16"/>
      <c r="C1349" s="23"/>
      <c r="D1349" s="24"/>
      <c r="E1349" s="25"/>
      <c r="F1349" s="26"/>
      <c r="G1349" s="27"/>
      <c r="H1349" s="20"/>
      <c r="I1349" s="21"/>
      <c r="J1349" s="28"/>
      <c r="K1349" s="19"/>
    </row>
    <row r="1350" spans="1:11" ht="13.2">
      <c r="A1350" s="22"/>
      <c r="B1350" s="16"/>
      <c r="C1350" s="23"/>
      <c r="D1350" s="24"/>
      <c r="E1350" s="25"/>
      <c r="F1350" s="26"/>
      <c r="G1350" s="27"/>
      <c r="H1350" s="20"/>
      <c r="I1350" s="21"/>
      <c r="J1350" s="28"/>
      <c r="K1350" s="19"/>
    </row>
    <row r="1351" spans="1:11" ht="13.2">
      <c r="A1351" s="22"/>
      <c r="B1351" s="16"/>
      <c r="C1351" s="23"/>
      <c r="D1351" s="24"/>
      <c r="E1351" s="25"/>
      <c r="F1351" s="26"/>
      <c r="G1351" s="27"/>
      <c r="H1351" s="20"/>
      <c r="I1351" s="21"/>
      <c r="J1351" s="28"/>
      <c r="K1351" s="19"/>
    </row>
    <row r="1352" spans="1:11" ht="13.2">
      <c r="A1352" s="22"/>
      <c r="B1352" s="16"/>
      <c r="C1352" s="23"/>
      <c r="D1352" s="24"/>
      <c r="E1352" s="25"/>
      <c r="F1352" s="26"/>
      <c r="G1352" s="27"/>
      <c r="H1352" s="20"/>
      <c r="I1352" s="21"/>
      <c r="J1352" s="28"/>
      <c r="K1352" s="19"/>
    </row>
    <row r="1353" spans="1:11" ht="13.2">
      <c r="A1353" s="22"/>
      <c r="B1353" s="16"/>
      <c r="C1353" s="23"/>
      <c r="D1353" s="24"/>
      <c r="E1353" s="25"/>
      <c r="F1353" s="26"/>
      <c r="G1353" s="27"/>
      <c r="H1353" s="20"/>
      <c r="I1353" s="21"/>
      <c r="J1353" s="28"/>
      <c r="K1353" s="19"/>
    </row>
    <row r="1354" spans="1:11" ht="13.2">
      <c r="A1354" s="22"/>
      <c r="B1354" s="16"/>
      <c r="C1354" s="23"/>
      <c r="D1354" s="24"/>
      <c r="E1354" s="25"/>
      <c r="F1354" s="26"/>
      <c r="G1354" s="27"/>
      <c r="H1354" s="20"/>
      <c r="I1354" s="21"/>
      <c r="J1354" s="28"/>
      <c r="K1354" s="19"/>
    </row>
    <row r="1355" spans="1:11" ht="13.2">
      <c r="A1355" s="22"/>
      <c r="B1355" s="16"/>
      <c r="C1355" s="23"/>
      <c r="D1355" s="24"/>
      <c r="E1355" s="25"/>
      <c r="F1355" s="26"/>
      <c r="G1355" s="27"/>
      <c r="H1355" s="20"/>
      <c r="I1355" s="21"/>
      <c r="J1355" s="28"/>
      <c r="K1355" s="19"/>
    </row>
    <row r="1356" spans="1:11" ht="13.2">
      <c r="A1356" s="22"/>
      <c r="B1356" s="16"/>
      <c r="C1356" s="23"/>
      <c r="D1356" s="24"/>
      <c r="E1356" s="25"/>
      <c r="F1356" s="26"/>
      <c r="G1356" s="27"/>
      <c r="H1356" s="20"/>
      <c r="I1356" s="21"/>
      <c r="J1356" s="28"/>
      <c r="K1356" s="19"/>
    </row>
    <row r="1357" spans="1:11" ht="13.2">
      <c r="A1357" s="22"/>
      <c r="B1357" s="16"/>
      <c r="C1357" s="23"/>
      <c r="D1357" s="24"/>
      <c r="E1357" s="25"/>
      <c r="F1357" s="26"/>
      <c r="G1357" s="27"/>
      <c r="H1357" s="20"/>
      <c r="I1357" s="21"/>
      <c r="J1357" s="28"/>
      <c r="K1357" s="19"/>
    </row>
    <row r="1358" spans="1:11" ht="13.2">
      <c r="A1358" s="22"/>
      <c r="B1358" s="16"/>
      <c r="C1358" s="23"/>
      <c r="D1358" s="24"/>
      <c r="E1358" s="25"/>
      <c r="F1358" s="26"/>
      <c r="G1358" s="27"/>
      <c r="H1358" s="20"/>
      <c r="I1358" s="21"/>
      <c r="J1358" s="28"/>
      <c r="K1358" s="19"/>
    </row>
    <row r="1359" spans="1:11" ht="13.2">
      <c r="A1359" s="22"/>
      <c r="B1359" s="16"/>
      <c r="C1359" s="23"/>
      <c r="D1359" s="24"/>
      <c r="E1359" s="25"/>
      <c r="F1359" s="26"/>
      <c r="G1359" s="27"/>
      <c r="H1359" s="20"/>
      <c r="I1359" s="21"/>
      <c r="J1359" s="28"/>
      <c r="K1359" s="19"/>
    </row>
    <row r="1360" spans="1:11" ht="13.2">
      <c r="A1360" s="22"/>
      <c r="B1360" s="16"/>
      <c r="C1360" s="23"/>
      <c r="D1360" s="24"/>
      <c r="E1360" s="25"/>
      <c r="F1360" s="26"/>
      <c r="G1360" s="27"/>
      <c r="H1360" s="20"/>
      <c r="I1360" s="21"/>
      <c r="J1360" s="28"/>
      <c r="K1360" s="19"/>
    </row>
    <row r="1361" spans="1:11" ht="13.2">
      <c r="A1361" s="22"/>
      <c r="B1361" s="16"/>
      <c r="C1361" s="23"/>
      <c r="D1361" s="24"/>
      <c r="E1361" s="25"/>
      <c r="F1361" s="26"/>
      <c r="G1361" s="27"/>
      <c r="H1361" s="20"/>
      <c r="I1361" s="21"/>
      <c r="J1361" s="28"/>
      <c r="K1361" s="19"/>
    </row>
    <row r="1362" spans="1:11" ht="13.2">
      <c r="A1362" s="22"/>
      <c r="B1362" s="16"/>
      <c r="C1362" s="23"/>
      <c r="D1362" s="24"/>
      <c r="E1362" s="25"/>
      <c r="F1362" s="26"/>
      <c r="G1362" s="27"/>
      <c r="H1362" s="20"/>
      <c r="I1362" s="21"/>
      <c r="J1362" s="28"/>
      <c r="K1362" s="19"/>
    </row>
    <row r="1363" spans="1:11" ht="13.2">
      <c r="A1363" s="22"/>
      <c r="B1363" s="16"/>
      <c r="C1363" s="23"/>
      <c r="D1363" s="24"/>
      <c r="E1363" s="25"/>
      <c r="F1363" s="26"/>
      <c r="G1363" s="27"/>
      <c r="H1363" s="20"/>
      <c r="I1363" s="21"/>
      <c r="J1363" s="28"/>
      <c r="K1363" s="19"/>
    </row>
    <row r="1364" spans="1:11" ht="13.2">
      <c r="A1364" s="22"/>
      <c r="B1364" s="16"/>
      <c r="C1364" s="23"/>
      <c r="D1364" s="24"/>
      <c r="E1364" s="25"/>
      <c r="F1364" s="26"/>
      <c r="G1364" s="27"/>
      <c r="H1364" s="20"/>
      <c r="I1364" s="21"/>
      <c r="J1364" s="28"/>
      <c r="K1364" s="19"/>
    </row>
    <row r="1365" spans="1:11" ht="13.2">
      <c r="A1365" s="22"/>
      <c r="B1365" s="16"/>
      <c r="C1365" s="23"/>
      <c r="D1365" s="24"/>
      <c r="E1365" s="25"/>
      <c r="F1365" s="26"/>
      <c r="G1365" s="27"/>
      <c r="H1365" s="20"/>
      <c r="I1365" s="21"/>
      <c r="J1365" s="28"/>
      <c r="K1365" s="19"/>
    </row>
    <row r="1366" spans="1:11" ht="13.2">
      <c r="A1366" s="22"/>
      <c r="B1366" s="16"/>
      <c r="C1366" s="23"/>
      <c r="D1366" s="24"/>
      <c r="E1366" s="25"/>
      <c r="F1366" s="26"/>
      <c r="G1366" s="27"/>
      <c r="H1366" s="20"/>
      <c r="I1366" s="21"/>
      <c r="J1366" s="28"/>
      <c r="K1366" s="19"/>
    </row>
    <row r="1367" spans="1:11" ht="13.2">
      <c r="A1367" s="22"/>
      <c r="B1367" s="16"/>
      <c r="C1367" s="23"/>
      <c r="D1367" s="24"/>
      <c r="E1367" s="25"/>
      <c r="F1367" s="26"/>
      <c r="G1367" s="27"/>
      <c r="H1367" s="20"/>
      <c r="I1367" s="21"/>
      <c r="J1367" s="28"/>
      <c r="K1367" s="19"/>
    </row>
    <row r="1368" spans="1:11" ht="13.2">
      <c r="A1368" s="22"/>
      <c r="B1368" s="16"/>
      <c r="C1368" s="23"/>
      <c r="D1368" s="24"/>
      <c r="E1368" s="25"/>
      <c r="F1368" s="26"/>
      <c r="G1368" s="27"/>
      <c r="H1368" s="20"/>
      <c r="I1368" s="21"/>
      <c r="J1368" s="28"/>
      <c r="K1368" s="19"/>
    </row>
    <row r="1369" spans="1:11" ht="13.2">
      <c r="A1369" s="22"/>
      <c r="B1369" s="16"/>
      <c r="C1369" s="23"/>
      <c r="D1369" s="24"/>
      <c r="E1369" s="25"/>
      <c r="F1369" s="26"/>
      <c r="G1369" s="27"/>
      <c r="H1369" s="20"/>
      <c r="I1369" s="21"/>
      <c r="J1369" s="28"/>
      <c r="K1369" s="19"/>
    </row>
    <row r="1370" spans="1:11" ht="13.2">
      <c r="A1370" s="22"/>
      <c r="B1370" s="16"/>
      <c r="C1370" s="23"/>
      <c r="D1370" s="24"/>
      <c r="E1370" s="25"/>
      <c r="F1370" s="26"/>
      <c r="G1370" s="27"/>
      <c r="H1370" s="20"/>
      <c r="I1370" s="21"/>
      <c r="J1370" s="28"/>
      <c r="K1370" s="19"/>
    </row>
    <row r="1371" spans="1:11" ht="13.2">
      <c r="A1371" s="22"/>
      <c r="B1371" s="16"/>
      <c r="C1371" s="23"/>
      <c r="D1371" s="24"/>
      <c r="E1371" s="25"/>
      <c r="F1371" s="26"/>
      <c r="G1371" s="27"/>
      <c r="H1371" s="20"/>
      <c r="I1371" s="21"/>
      <c r="J1371" s="28"/>
      <c r="K1371" s="19"/>
    </row>
    <row r="1372" spans="1:11" ht="13.2">
      <c r="A1372" s="22"/>
      <c r="B1372" s="16"/>
      <c r="C1372" s="23"/>
      <c r="D1372" s="24"/>
      <c r="E1372" s="25"/>
      <c r="F1372" s="26"/>
      <c r="G1372" s="27"/>
      <c r="H1372" s="20"/>
      <c r="I1372" s="21"/>
      <c r="J1372" s="28"/>
      <c r="K1372" s="19"/>
    </row>
    <row r="1373" spans="1:11" ht="13.2">
      <c r="A1373" s="22"/>
      <c r="B1373" s="16"/>
      <c r="C1373" s="23"/>
      <c r="D1373" s="24"/>
      <c r="E1373" s="25"/>
      <c r="F1373" s="26"/>
      <c r="G1373" s="27"/>
      <c r="H1373" s="20"/>
      <c r="I1373" s="21"/>
      <c r="J1373" s="28"/>
      <c r="K1373" s="19"/>
    </row>
    <row r="1374" spans="1:11" ht="13.2">
      <c r="A1374" s="22"/>
      <c r="B1374" s="16"/>
      <c r="C1374" s="23"/>
      <c r="D1374" s="24"/>
      <c r="E1374" s="25"/>
      <c r="F1374" s="26"/>
      <c r="G1374" s="27"/>
      <c r="H1374" s="20"/>
      <c r="I1374" s="21"/>
      <c r="J1374" s="28"/>
      <c r="K1374" s="19"/>
    </row>
    <row r="1375" spans="1:11" ht="13.2">
      <c r="A1375" s="22"/>
      <c r="B1375" s="16"/>
      <c r="C1375" s="23"/>
      <c r="D1375" s="24"/>
      <c r="E1375" s="25"/>
      <c r="F1375" s="26"/>
      <c r="G1375" s="27"/>
      <c r="H1375" s="20"/>
      <c r="I1375" s="21"/>
      <c r="J1375" s="28"/>
      <c r="K1375" s="19"/>
    </row>
    <row r="1376" spans="1:11" ht="13.2">
      <c r="A1376" s="22"/>
      <c r="B1376" s="16"/>
      <c r="C1376" s="23"/>
      <c r="D1376" s="24"/>
      <c r="E1376" s="25"/>
      <c r="F1376" s="26"/>
      <c r="G1376" s="27"/>
      <c r="H1376" s="20"/>
      <c r="I1376" s="21"/>
      <c r="J1376" s="28"/>
      <c r="K1376" s="19"/>
    </row>
    <row r="1377" spans="1:11" ht="13.2">
      <c r="A1377" s="22"/>
      <c r="B1377" s="16"/>
      <c r="C1377" s="23"/>
      <c r="D1377" s="24"/>
      <c r="E1377" s="25"/>
      <c r="F1377" s="26"/>
      <c r="G1377" s="27"/>
      <c r="H1377" s="20"/>
      <c r="I1377" s="21"/>
      <c r="J1377" s="28"/>
      <c r="K1377" s="19"/>
    </row>
    <row r="1378" spans="1:11" ht="13.2">
      <c r="A1378" s="22"/>
      <c r="B1378" s="16"/>
      <c r="C1378" s="23"/>
      <c r="D1378" s="24"/>
      <c r="E1378" s="25"/>
      <c r="F1378" s="26"/>
      <c r="G1378" s="27"/>
      <c r="H1378" s="20"/>
      <c r="I1378" s="21"/>
      <c r="J1378" s="28"/>
      <c r="K1378" s="19"/>
    </row>
    <row r="1379" spans="1:11" ht="13.2">
      <c r="A1379" s="22"/>
      <c r="B1379" s="16"/>
      <c r="C1379" s="23"/>
      <c r="D1379" s="24"/>
      <c r="E1379" s="25"/>
      <c r="F1379" s="26"/>
      <c r="G1379" s="27"/>
      <c r="H1379" s="20"/>
      <c r="I1379" s="21"/>
      <c r="J1379" s="28"/>
      <c r="K1379" s="19"/>
    </row>
    <row r="1380" spans="1:11" ht="13.2">
      <c r="A1380" s="22"/>
      <c r="B1380" s="16"/>
      <c r="C1380" s="23"/>
      <c r="D1380" s="24"/>
      <c r="E1380" s="25"/>
      <c r="F1380" s="26"/>
      <c r="G1380" s="27"/>
      <c r="H1380" s="20"/>
      <c r="I1380" s="21"/>
      <c r="J1380" s="28"/>
      <c r="K1380" s="19"/>
    </row>
    <row r="1381" spans="1:11" ht="13.2">
      <c r="A1381" s="22"/>
      <c r="B1381" s="16"/>
      <c r="C1381" s="23"/>
      <c r="D1381" s="24"/>
      <c r="E1381" s="25"/>
      <c r="F1381" s="26"/>
      <c r="G1381" s="27"/>
      <c r="H1381" s="20"/>
      <c r="I1381" s="21"/>
      <c r="J1381" s="28"/>
      <c r="K1381" s="19"/>
    </row>
    <row r="1382" spans="1:11" ht="13.2">
      <c r="A1382" s="22"/>
      <c r="B1382" s="16"/>
      <c r="C1382" s="23"/>
      <c r="D1382" s="24"/>
      <c r="E1382" s="25"/>
      <c r="F1382" s="26"/>
      <c r="G1382" s="27"/>
      <c r="H1382" s="20"/>
      <c r="I1382" s="21"/>
      <c r="J1382" s="28"/>
      <c r="K1382" s="19"/>
    </row>
    <row r="1383" spans="1:11" ht="13.2">
      <c r="A1383" s="22"/>
      <c r="B1383" s="16"/>
      <c r="C1383" s="23"/>
      <c r="D1383" s="24"/>
      <c r="E1383" s="25"/>
      <c r="F1383" s="26"/>
      <c r="G1383" s="27"/>
      <c r="H1383" s="20"/>
      <c r="I1383" s="21"/>
      <c r="J1383" s="28"/>
      <c r="K1383" s="19"/>
    </row>
    <row r="1384" spans="1:11" ht="13.2">
      <c r="A1384" s="22"/>
      <c r="B1384" s="16"/>
      <c r="C1384" s="23"/>
      <c r="D1384" s="24"/>
      <c r="E1384" s="25"/>
      <c r="F1384" s="26"/>
      <c r="G1384" s="27"/>
      <c r="H1384" s="20"/>
      <c r="I1384" s="21"/>
      <c r="J1384" s="28"/>
      <c r="K1384" s="19"/>
    </row>
    <row r="1385" spans="1:11" ht="13.2">
      <c r="A1385" s="22"/>
      <c r="B1385" s="16"/>
      <c r="C1385" s="23"/>
      <c r="D1385" s="24"/>
      <c r="E1385" s="25"/>
      <c r="F1385" s="26"/>
      <c r="G1385" s="27"/>
      <c r="H1385" s="20"/>
      <c r="I1385" s="21"/>
      <c r="J1385" s="28"/>
      <c r="K1385" s="19"/>
    </row>
    <row r="1386" spans="1:11" ht="13.2">
      <c r="A1386" s="22"/>
      <c r="B1386" s="16"/>
      <c r="C1386" s="23"/>
      <c r="D1386" s="24"/>
      <c r="E1386" s="25"/>
      <c r="F1386" s="26"/>
      <c r="G1386" s="27"/>
      <c r="H1386" s="20"/>
      <c r="I1386" s="21"/>
      <c r="J1386" s="28"/>
      <c r="K1386" s="19"/>
    </row>
    <row r="1387" spans="1:11" ht="13.2">
      <c r="A1387" s="22"/>
      <c r="B1387" s="16"/>
      <c r="C1387" s="23"/>
      <c r="D1387" s="24"/>
      <c r="E1387" s="25"/>
      <c r="F1387" s="26"/>
      <c r="G1387" s="27"/>
      <c r="H1387" s="20"/>
      <c r="I1387" s="21"/>
      <c r="J1387" s="28"/>
      <c r="K1387" s="19"/>
    </row>
    <row r="1388" spans="1:11" ht="13.2">
      <c r="A1388" s="22"/>
      <c r="B1388" s="16"/>
      <c r="C1388" s="23"/>
      <c r="D1388" s="24"/>
      <c r="E1388" s="25"/>
      <c r="F1388" s="26"/>
      <c r="G1388" s="27"/>
      <c r="H1388" s="20"/>
      <c r="I1388" s="21"/>
      <c r="J1388" s="28"/>
      <c r="K1388" s="19"/>
    </row>
    <row r="1389" spans="1:11" ht="13.2">
      <c r="A1389" s="22"/>
      <c r="B1389" s="16"/>
      <c r="C1389" s="23"/>
      <c r="D1389" s="24"/>
      <c r="E1389" s="25"/>
      <c r="F1389" s="26"/>
      <c r="G1389" s="27"/>
      <c r="H1389" s="20"/>
      <c r="I1389" s="21"/>
      <c r="J1389" s="28"/>
      <c r="K1389" s="19"/>
    </row>
    <row r="1390" spans="1:11" ht="13.2">
      <c r="A1390" s="22"/>
      <c r="B1390" s="16"/>
      <c r="C1390" s="23"/>
      <c r="D1390" s="24"/>
      <c r="E1390" s="25"/>
      <c r="F1390" s="26"/>
      <c r="G1390" s="27"/>
      <c r="H1390" s="20"/>
      <c r="I1390" s="21"/>
      <c r="J1390" s="28"/>
      <c r="K1390" s="19"/>
    </row>
    <row r="1391" spans="1:11" ht="13.2">
      <c r="A1391" s="22"/>
      <c r="B1391" s="16"/>
      <c r="C1391" s="23"/>
      <c r="D1391" s="24"/>
      <c r="E1391" s="25"/>
      <c r="F1391" s="26"/>
      <c r="G1391" s="27"/>
      <c r="H1391" s="20"/>
      <c r="I1391" s="21"/>
      <c r="J1391" s="28"/>
      <c r="K1391" s="19"/>
    </row>
    <row r="1392" spans="1:11" ht="13.2">
      <c r="A1392" s="22"/>
      <c r="B1392" s="16"/>
      <c r="C1392" s="23"/>
      <c r="D1392" s="24"/>
      <c r="E1392" s="25"/>
      <c r="F1392" s="26"/>
      <c r="G1392" s="27"/>
      <c r="H1392" s="20"/>
      <c r="I1392" s="21"/>
      <c r="J1392" s="28"/>
      <c r="K1392" s="19"/>
    </row>
    <row r="1393" spans="1:11" ht="13.2">
      <c r="A1393" s="22"/>
      <c r="B1393" s="16"/>
      <c r="C1393" s="23"/>
      <c r="D1393" s="24"/>
      <c r="E1393" s="25"/>
      <c r="F1393" s="26"/>
      <c r="G1393" s="27"/>
      <c r="H1393" s="20"/>
      <c r="I1393" s="21"/>
      <c r="J1393" s="28"/>
      <c r="K1393" s="19"/>
    </row>
    <row r="1394" spans="1:11" ht="13.2">
      <c r="A1394" s="22"/>
      <c r="B1394" s="16"/>
      <c r="C1394" s="23"/>
      <c r="D1394" s="24"/>
      <c r="E1394" s="25"/>
      <c r="F1394" s="26"/>
      <c r="G1394" s="27"/>
      <c r="H1394" s="20"/>
      <c r="I1394" s="21"/>
      <c r="J1394" s="28"/>
      <c r="K1394" s="19"/>
    </row>
    <row r="1395" spans="1:11" ht="13.2">
      <c r="A1395" s="22"/>
      <c r="B1395" s="16"/>
      <c r="C1395" s="23"/>
      <c r="D1395" s="24"/>
      <c r="E1395" s="25"/>
      <c r="F1395" s="26"/>
      <c r="G1395" s="27"/>
      <c r="H1395" s="20"/>
      <c r="I1395" s="21"/>
      <c r="J1395" s="28"/>
      <c r="K1395" s="19"/>
    </row>
    <row r="1396" spans="1:11" ht="13.2">
      <c r="A1396" s="22"/>
      <c r="B1396" s="16"/>
      <c r="C1396" s="23"/>
      <c r="D1396" s="24"/>
      <c r="E1396" s="25"/>
      <c r="F1396" s="26"/>
      <c r="G1396" s="27"/>
      <c r="H1396" s="20"/>
      <c r="I1396" s="21"/>
      <c r="J1396" s="28"/>
      <c r="K1396" s="19"/>
    </row>
    <row r="1397" spans="1:11" ht="13.2">
      <c r="A1397" s="22"/>
      <c r="B1397" s="16"/>
      <c r="C1397" s="23"/>
      <c r="D1397" s="24"/>
      <c r="E1397" s="25"/>
      <c r="F1397" s="26"/>
      <c r="G1397" s="27"/>
      <c r="H1397" s="20"/>
      <c r="I1397" s="21"/>
      <c r="J1397" s="28"/>
      <c r="K1397" s="19"/>
    </row>
    <row r="1398" spans="1:11" ht="13.2">
      <c r="A1398" s="22"/>
      <c r="B1398" s="16"/>
      <c r="C1398" s="23"/>
      <c r="D1398" s="24"/>
      <c r="E1398" s="25"/>
      <c r="F1398" s="26"/>
      <c r="G1398" s="27"/>
      <c r="H1398" s="20"/>
      <c r="I1398" s="21"/>
      <c r="J1398" s="28"/>
      <c r="K1398" s="19"/>
    </row>
    <row r="1399" spans="1:11" ht="13.2">
      <c r="A1399" s="22"/>
      <c r="B1399" s="16"/>
      <c r="C1399" s="23"/>
      <c r="D1399" s="24"/>
      <c r="E1399" s="25"/>
      <c r="F1399" s="26"/>
      <c r="G1399" s="27"/>
      <c r="H1399" s="20"/>
      <c r="I1399" s="21"/>
      <c r="J1399" s="28"/>
      <c r="K1399" s="19"/>
    </row>
    <row r="1400" spans="1:11" ht="13.2">
      <c r="A1400" s="22"/>
      <c r="B1400" s="16"/>
      <c r="C1400" s="23"/>
      <c r="D1400" s="24"/>
      <c r="E1400" s="25"/>
      <c r="F1400" s="26"/>
      <c r="G1400" s="27"/>
      <c r="H1400" s="20"/>
      <c r="I1400" s="21"/>
      <c r="J1400" s="28"/>
      <c r="K1400" s="19"/>
    </row>
    <row r="1401" spans="1:11" ht="13.2">
      <c r="A1401" s="22"/>
      <c r="B1401" s="16"/>
      <c r="C1401" s="23"/>
      <c r="D1401" s="24"/>
      <c r="E1401" s="25"/>
      <c r="F1401" s="26"/>
      <c r="G1401" s="27"/>
      <c r="H1401" s="20"/>
      <c r="I1401" s="21"/>
      <c r="J1401" s="28"/>
      <c r="K1401" s="19"/>
    </row>
    <row r="1402" spans="1:11" ht="13.2">
      <c r="A1402" s="22"/>
      <c r="B1402" s="16"/>
      <c r="C1402" s="23"/>
      <c r="D1402" s="24"/>
      <c r="E1402" s="25"/>
      <c r="F1402" s="26"/>
      <c r="G1402" s="27"/>
      <c r="H1402" s="20"/>
      <c r="I1402" s="21"/>
      <c r="J1402" s="28"/>
      <c r="K1402" s="19"/>
    </row>
    <row r="1403" spans="1:11" ht="13.2">
      <c r="A1403" s="22"/>
      <c r="B1403" s="16"/>
      <c r="C1403" s="23"/>
      <c r="D1403" s="24"/>
      <c r="E1403" s="25"/>
      <c r="F1403" s="26"/>
      <c r="G1403" s="27"/>
      <c r="H1403" s="20"/>
      <c r="I1403" s="21"/>
      <c r="J1403" s="28"/>
      <c r="K1403" s="19"/>
    </row>
    <row r="1404" spans="1:11" ht="13.2">
      <c r="A1404" s="22"/>
      <c r="B1404" s="16"/>
      <c r="C1404" s="23"/>
      <c r="D1404" s="24"/>
      <c r="E1404" s="25"/>
      <c r="F1404" s="26"/>
      <c r="G1404" s="27"/>
      <c r="H1404" s="20"/>
      <c r="I1404" s="21"/>
      <c r="J1404" s="28"/>
      <c r="K1404" s="19"/>
    </row>
    <row r="1405" spans="1:11" ht="13.2">
      <c r="A1405" s="22"/>
      <c r="B1405" s="16"/>
      <c r="C1405" s="23"/>
      <c r="D1405" s="24"/>
      <c r="E1405" s="25"/>
      <c r="F1405" s="26"/>
      <c r="G1405" s="27"/>
      <c r="H1405" s="20"/>
      <c r="I1405" s="21"/>
      <c r="J1405" s="28"/>
      <c r="K1405" s="19"/>
    </row>
    <row r="1406" spans="1:11" ht="13.2">
      <c r="A1406" s="22"/>
      <c r="B1406" s="16"/>
      <c r="C1406" s="23"/>
      <c r="D1406" s="24"/>
      <c r="E1406" s="25"/>
      <c r="F1406" s="26"/>
      <c r="G1406" s="27"/>
      <c r="H1406" s="20"/>
      <c r="I1406" s="21"/>
      <c r="J1406" s="28"/>
      <c r="K1406" s="19"/>
    </row>
    <row r="1407" spans="1:11" ht="13.2">
      <c r="A1407" s="22"/>
      <c r="B1407" s="16"/>
      <c r="C1407" s="23"/>
      <c r="D1407" s="24"/>
      <c r="E1407" s="25"/>
      <c r="F1407" s="26"/>
      <c r="G1407" s="27"/>
      <c r="H1407" s="20"/>
      <c r="I1407" s="21"/>
      <c r="J1407" s="28"/>
      <c r="K1407" s="19"/>
    </row>
    <row r="1408" spans="1:11" ht="13.2">
      <c r="A1408" s="22"/>
      <c r="B1408" s="16"/>
      <c r="C1408" s="23"/>
      <c r="D1408" s="24"/>
      <c r="E1408" s="25"/>
      <c r="F1408" s="26"/>
      <c r="G1408" s="27"/>
      <c r="H1408" s="20"/>
      <c r="I1408" s="21"/>
      <c r="J1408" s="28"/>
      <c r="K1408" s="19"/>
    </row>
    <row r="1409" spans="1:11" ht="13.2">
      <c r="A1409" s="22"/>
      <c r="B1409" s="16"/>
      <c r="C1409" s="23"/>
      <c r="D1409" s="24"/>
      <c r="E1409" s="25"/>
      <c r="F1409" s="26"/>
      <c r="G1409" s="27"/>
      <c r="H1409" s="20"/>
      <c r="I1409" s="21"/>
      <c r="J1409" s="28"/>
      <c r="K1409" s="19"/>
    </row>
    <row r="1410" spans="1:11" ht="13.2">
      <c r="A1410" s="22"/>
      <c r="B1410" s="16"/>
      <c r="C1410" s="23"/>
      <c r="D1410" s="24"/>
      <c r="E1410" s="25"/>
      <c r="F1410" s="26"/>
      <c r="G1410" s="27"/>
      <c r="H1410" s="20"/>
      <c r="I1410" s="21"/>
      <c r="J1410" s="28"/>
      <c r="K1410" s="19"/>
    </row>
    <row r="1411" spans="1:11" ht="13.2">
      <c r="A1411" s="22"/>
      <c r="B1411" s="16"/>
      <c r="C1411" s="23"/>
      <c r="D1411" s="24"/>
      <c r="E1411" s="25"/>
      <c r="F1411" s="26"/>
      <c r="G1411" s="27"/>
      <c r="H1411" s="20"/>
      <c r="I1411" s="21"/>
      <c r="J1411" s="28"/>
      <c r="K1411" s="19"/>
    </row>
    <row r="1412" spans="1:11" ht="13.2">
      <c r="A1412" s="22"/>
      <c r="B1412" s="16"/>
      <c r="C1412" s="23"/>
      <c r="D1412" s="24"/>
      <c r="E1412" s="25"/>
      <c r="F1412" s="26"/>
      <c r="G1412" s="27"/>
      <c r="H1412" s="20"/>
      <c r="I1412" s="21"/>
      <c r="J1412" s="28"/>
      <c r="K1412" s="19"/>
    </row>
    <row r="1413" spans="1:11" ht="13.2">
      <c r="A1413" s="22"/>
      <c r="B1413" s="16"/>
      <c r="C1413" s="23"/>
      <c r="D1413" s="24"/>
      <c r="E1413" s="25"/>
      <c r="F1413" s="26"/>
      <c r="G1413" s="27"/>
      <c r="H1413" s="20"/>
      <c r="I1413" s="21"/>
      <c r="J1413" s="28"/>
      <c r="K1413" s="19"/>
    </row>
    <row r="1414" spans="1:11" ht="13.2">
      <c r="A1414" s="22"/>
      <c r="B1414" s="16"/>
      <c r="C1414" s="23"/>
      <c r="D1414" s="24"/>
      <c r="E1414" s="25"/>
      <c r="F1414" s="26"/>
      <c r="G1414" s="27"/>
      <c r="H1414" s="20"/>
      <c r="I1414" s="21"/>
      <c r="J1414" s="28"/>
      <c r="K1414" s="19"/>
    </row>
    <row r="1415" spans="1:11" ht="13.2">
      <c r="A1415" s="22"/>
      <c r="B1415" s="16"/>
      <c r="C1415" s="23"/>
      <c r="D1415" s="24"/>
      <c r="E1415" s="25"/>
      <c r="F1415" s="26"/>
      <c r="G1415" s="27"/>
      <c r="H1415" s="20"/>
      <c r="I1415" s="21"/>
      <c r="J1415" s="28"/>
      <c r="K1415" s="19"/>
    </row>
    <row r="1416" spans="1:11" ht="13.2">
      <c r="A1416" s="22"/>
      <c r="B1416" s="16"/>
      <c r="C1416" s="23"/>
      <c r="D1416" s="24"/>
      <c r="E1416" s="25"/>
      <c r="F1416" s="26"/>
      <c r="G1416" s="27"/>
      <c r="H1416" s="20"/>
      <c r="I1416" s="21"/>
      <c r="J1416" s="28"/>
      <c r="K1416" s="19"/>
    </row>
    <row r="1417" spans="1:11" ht="13.2">
      <c r="A1417" s="22"/>
      <c r="B1417" s="16"/>
      <c r="C1417" s="23"/>
      <c r="D1417" s="24"/>
      <c r="E1417" s="25"/>
      <c r="F1417" s="26"/>
      <c r="G1417" s="27"/>
      <c r="H1417" s="20"/>
      <c r="I1417" s="21"/>
      <c r="J1417" s="28"/>
      <c r="K1417" s="19"/>
    </row>
    <row r="1418" spans="1:11" ht="13.2">
      <c r="A1418" s="22"/>
      <c r="B1418" s="16"/>
      <c r="C1418" s="23"/>
      <c r="D1418" s="24"/>
      <c r="E1418" s="25"/>
      <c r="F1418" s="26"/>
      <c r="G1418" s="27"/>
      <c r="H1418" s="20"/>
      <c r="I1418" s="21"/>
      <c r="J1418" s="28"/>
      <c r="K1418" s="19"/>
    </row>
    <row r="1419" spans="1:11" ht="13.2">
      <c r="A1419" s="22"/>
      <c r="B1419" s="16"/>
      <c r="C1419" s="23"/>
      <c r="D1419" s="24"/>
      <c r="E1419" s="25"/>
      <c r="F1419" s="26"/>
      <c r="G1419" s="27"/>
      <c r="H1419" s="20"/>
      <c r="I1419" s="21"/>
      <c r="J1419" s="28"/>
      <c r="K1419" s="19"/>
    </row>
    <row r="1420" spans="1:11" ht="13.2">
      <c r="A1420" s="22"/>
      <c r="B1420" s="16"/>
      <c r="C1420" s="23"/>
      <c r="D1420" s="24"/>
      <c r="E1420" s="25"/>
      <c r="F1420" s="26"/>
      <c r="G1420" s="27"/>
      <c r="H1420" s="20"/>
      <c r="I1420" s="21"/>
      <c r="J1420" s="28"/>
      <c r="K1420" s="19"/>
    </row>
    <row r="1421" spans="1:11" ht="13.2">
      <c r="A1421" s="22"/>
      <c r="B1421" s="16"/>
      <c r="C1421" s="23"/>
      <c r="D1421" s="24"/>
      <c r="E1421" s="25"/>
      <c r="F1421" s="26"/>
      <c r="G1421" s="27"/>
      <c r="H1421" s="20"/>
      <c r="I1421" s="21"/>
      <c r="J1421" s="28"/>
      <c r="K1421" s="19"/>
    </row>
    <row r="1422" spans="1:11" ht="13.2">
      <c r="A1422" s="22"/>
      <c r="B1422" s="16"/>
      <c r="C1422" s="23"/>
      <c r="D1422" s="24"/>
      <c r="E1422" s="25"/>
      <c r="F1422" s="26"/>
      <c r="G1422" s="27"/>
      <c r="H1422" s="20"/>
      <c r="I1422" s="21"/>
      <c r="J1422" s="28"/>
      <c r="K1422" s="19"/>
    </row>
    <row r="1423" spans="1:11" ht="13.2">
      <c r="A1423" s="22"/>
      <c r="B1423" s="16"/>
      <c r="C1423" s="23"/>
      <c r="D1423" s="24"/>
      <c r="E1423" s="25"/>
      <c r="F1423" s="26"/>
      <c r="G1423" s="27"/>
      <c r="H1423" s="20"/>
      <c r="I1423" s="21"/>
      <c r="J1423" s="28"/>
      <c r="K1423" s="19"/>
    </row>
    <row r="1424" spans="1:11" ht="13.2">
      <c r="A1424" s="22"/>
      <c r="B1424" s="16"/>
      <c r="C1424" s="23"/>
      <c r="D1424" s="24"/>
      <c r="E1424" s="25"/>
      <c r="F1424" s="26"/>
      <c r="G1424" s="27"/>
      <c r="H1424" s="20"/>
      <c r="I1424" s="21"/>
      <c r="J1424" s="28"/>
      <c r="K1424" s="19"/>
    </row>
    <row r="1425" spans="1:11" ht="13.2">
      <c r="A1425" s="22"/>
      <c r="B1425" s="16"/>
      <c r="C1425" s="23"/>
      <c r="D1425" s="24"/>
      <c r="E1425" s="25"/>
      <c r="F1425" s="26"/>
      <c r="G1425" s="27"/>
      <c r="H1425" s="20"/>
      <c r="I1425" s="21"/>
      <c r="J1425" s="28"/>
      <c r="K1425" s="19"/>
    </row>
    <row r="1426" spans="1:11" ht="13.2">
      <c r="A1426" s="22"/>
      <c r="B1426" s="16"/>
      <c r="C1426" s="23"/>
      <c r="D1426" s="24"/>
      <c r="E1426" s="25"/>
      <c r="F1426" s="26"/>
      <c r="G1426" s="27"/>
      <c r="H1426" s="20"/>
      <c r="I1426" s="21"/>
      <c r="J1426" s="28"/>
      <c r="K1426" s="19"/>
    </row>
    <row r="1427" spans="1:11" ht="13.2">
      <c r="A1427" s="22"/>
      <c r="B1427" s="16"/>
      <c r="C1427" s="23"/>
      <c r="D1427" s="24"/>
      <c r="E1427" s="25"/>
      <c r="F1427" s="26"/>
      <c r="G1427" s="27"/>
      <c r="H1427" s="20"/>
      <c r="I1427" s="21"/>
      <c r="J1427" s="28"/>
      <c r="K1427" s="19"/>
    </row>
    <row r="1428" spans="1:11" ht="13.2">
      <c r="A1428" s="22"/>
      <c r="B1428" s="16"/>
      <c r="C1428" s="23"/>
      <c r="D1428" s="24"/>
      <c r="E1428" s="25"/>
      <c r="F1428" s="26"/>
      <c r="G1428" s="27"/>
      <c r="H1428" s="20"/>
      <c r="I1428" s="21"/>
      <c r="J1428" s="28"/>
      <c r="K1428" s="19"/>
    </row>
    <row r="1429" spans="1:11" ht="13.2">
      <c r="A1429" s="22"/>
      <c r="B1429" s="16"/>
      <c r="C1429" s="23"/>
      <c r="D1429" s="24"/>
      <c r="E1429" s="25"/>
      <c r="F1429" s="26"/>
      <c r="G1429" s="27"/>
      <c r="H1429" s="20"/>
      <c r="I1429" s="21"/>
      <c r="J1429" s="28"/>
      <c r="K1429" s="19"/>
    </row>
    <row r="1430" spans="1:11" ht="13.2">
      <c r="A1430" s="22"/>
      <c r="B1430" s="16"/>
      <c r="C1430" s="23"/>
      <c r="D1430" s="24"/>
      <c r="E1430" s="25"/>
      <c r="F1430" s="26"/>
      <c r="G1430" s="27"/>
      <c r="H1430" s="20"/>
      <c r="I1430" s="21"/>
      <c r="J1430" s="28"/>
      <c r="K1430" s="19"/>
    </row>
    <row r="1431" spans="1:11" ht="13.2">
      <c r="A1431" s="22"/>
      <c r="B1431" s="16"/>
      <c r="C1431" s="23"/>
      <c r="D1431" s="24"/>
      <c r="E1431" s="25"/>
      <c r="F1431" s="26"/>
      <c r="G1431" s="27"/>
      <c r="H1431" s="20"/>
      <c r="I1431" s="21"/>
      <c r="J1431" s="28"/>
      <c r="K1431" s="19"/>
    </row>
    <row r="1432" spans="1:11" ht="13.2">
      <c r="A1432" s="22"/>
      <c r="B1432" s="16"/>
      <c r="C1432" s="23"/>
      <c r="D1432" s="24"/>
      <c r="E1432" s="25"/>
      <c r="F1432" s="26"/>
      <c r="G1432" s="27"/>
      <c r="H1432" s="20"/>
      <c r="I1432" s="21"/>
      <c r="J1432" s="28"/>
      <c r="K1432" s="19"/>
    </row>
    <row r="1433" spans="1:11" ht="13.2">
      <c r="A1433" s="22"/>
      <c r="B1433" s="16"/>
      <c r="C1433" s="23"/>
      <c r="D1433" s="24"/>
      <c r="E1433" s="25"/>
      <c r="F1433" s="26"/>
      <c r="G1433" s="27"/>
      <c r="H1433" s="20"/>
      <c r="I1433" s="21"/>
      <c r="J1433" s="28"/>
      <c r="K1433" s="19"/>
    </row>
    <row r="1434" spans="1:11" ht="13.2">
      <c r="A1434" s="22"/>
      <c r="B1434" s="16"/>
      <c r="C1434" s="23"/>
      <c r="D1434" s="24"/>
      <c r="E1434" s="25"/>
      <c r="F1434" s="26"/>
      <c r="G1434" s="27"/>
      <c r="H1434" s="20"/>
      <c r="I1434" s="21"/>
      <c r="J1434" s="28"/>
      <c r="K1434" s="19"/>
    </row>
    <row r="1435" spans="1:11" ht="13.2">
      <c r="A1435" s="22"/>
      <c r="B1435" s="16"/>
      <c r="C1435" s="23"/>
      <c r="D1435" s="24"/>
      <c r="E1435" s="25"/>
      <c r="F1435" s="26"/>
      <c r="G1435" s="27"/>
      <c r="H1435" s="20"/>
      <c r="I1435" s="21"/>
      <c r="J1435" s="28"/>
      <c r="K1435" s="19"/>
    </row>
    <row r="1436" spans="1:11" ht="13.2">
      <c r="A1436" s="22"/>
      <c r="B1436" s="16"/>
      <c r="C1436" s="23"/>
      <c r="D1436" s="24"/>
      <c r="E1436" s="25"/>
      <c r="F1436" s="26"/>
      <c r="G1436" s="27"/>
      <c r="H1436" s="20"/>
      <c r="I1436" s="21"/>
      <c r="J1436" s="28"/>
      <c r="K1436" s="19"/>
    </row>
    <row r="1437" spans="1:11" ht="13.2">
      <c r="A1437" s="22"/>
      <c r="B1437" s="16"/>
      <c r="C1437" s="23"/>
      <c r="D1437" s="24"/>
      <c r="E1437" s="25"/>
      <c r="F1437" s="26"/>
      <c r="G1437" s="27"/>
      <c r="H1437" s="20"/>
      <c r="I1437" s="21"/>
      <c r="J1437" s="28"/>
      <c r="K1437" s="19"/>
    </row>
    <row r="1438" spans="1:11" ht="13.2">
      <c r="A1438" s="22"/>
      <c r="B1438" s="16"/>
      <c r="C1438" s="23"/>
      <c r="D1438" s="24"/>
      <c r="E1438" s="25"/>
      <c r="F1438" s="26"/>
      <c r="G1438" s="27"/>
      <c r="H1438" s="20"/>
      <c r="I1438" s="21"/>
      <c r="J1438" s="28"/>
      <c r="K1438" s="19"/>
    </row>
    <row r="1439" spans="1:11" ht="13.2">
      <c r="A1439" s="22"/>
      <c r="B1439" s="16"/>
      <c r="C1439" s="23"/>
      <c r="D1439" s="24"/>
      <c r="E1439" s="25"/>
      <c r="F1439" s="26"/>
      <c r="G1439" s="27"/>
      <c r="H1439" s="20"/>
      <c r="I1439" s="21"/>
      <c r="J1439" s="28"/>
      <c r="K1439" s="19"/>
    </row>
    <row r="1440" spans="1:11" ht="13.2">
      <c r="A1440" s="22"/>
      <c r="B1440" s="16"/>
      <c r="C1440" s="23"/>
      <c r="D1440" s="24"/>
      <c r="E1440" s="25"/>
      <c r="F1440" s="26"/>
      <c r="G1440" s="27"/>
      <c r="H1440" s="20"/>
      <c r="I1440" s="21"/>
      <c r="J1440" s="28"/>
      <c r="K1440" s="19"/>
    </row>
    <row r="1441" spans="1:11" ht="13.2">
      <c r="A1441" s="22"/>
      <c r="B1441" s="16"/>
      <c r="C1441" s="23"/>
      <c r="D1441" s="24"/>
      <c r="E1441" s="25"/>
      <c r="F1441" s="26"/>
      <c r="G1441" s="27"/>
      <c r="H1441" s="20"/>
      <c r="I1441" s="21"/>
      <c r="J1441" s="28"/>
      <c r="K1441" s="19"/>
    </row>
    <row r="1442" spans="1:11" ht="13.2">
      <c r="A1442" s="22"/>
      <c r="B1442" s="16"/>
      <c r="C1442" s="23"/>
      <c r="D1442" s="24"/>
      <c r="E1442" s="25"/>
      <c r="F1442" s="26"/>
      <c r="G1442" s="27"/>
      <c r="H1442" s="20"/>
      <c r="I1442" s="21"/>
      <c r="J1442" s="28"/>
      <c r="K1442" s="19"/>
    </row>
    <row r="1443" spans="1:11" ht="13.2">
      <c r="A1443" s="22"/>
      <c r="B1443" s="16"/>
      <c r="C1443" s="23"/>
      <c r="D1443" s="24"/>
      <c r="E1443" s="25"/>
      <c r="F1443" s="26"/>
      <c r="G1443" s="27"/>
      <c r="H1443" s="20"/>
      <c r="I1443" s="21"/>
      <c r="J1443" s="28"/>
      <c r="K1443" s="19"/>
    </row>
    <row r="1444" spans="1:11" ht="13.2">
      <c r="A1444" s="22"/>
      <c r="B1444" s="16"/>
      <c r="C1444" s="23"/>
      <c r="D1444" s="24"/>
      <c r="E1444" s="25"/>
      <c r="F1444" s="26"/>
      <c r="G1444" s="27"/>
      <c r="H1444" s="20"/>
      <c r="I1444" s="21"/>
      <c r="J1444" s="28"/>
      <c r="K1444" s="19"/>
    </row>
    <row r="1445" spans="1:11" ht="13.2">
      <c r="A1445" s="22"/>
      <c r="B1445" s="16"/>
      <c r="C1445" s="23"/>
      <c r="D1445" s="24"/>
      <c r="E1445" s="25"/>
      <c r="F1445" s="26"/>
      <c r="G1445" s="27"/>
      <c r="H1445" s="20"/>
      <c r="I1445" s="21"/>
      <c r="J1445" s="28"/>
      <c r="K1445" s="19"/>
    </row>
    <row r="1446" spans="1:11" ht="13.2">
      <c r="A1446" s="22"/>
      <c r="B1446" s="16"/>
      <c r="C1446" s="23"/>
      <c r="D1446" s="24"/>
      <c r="E1446" s="25"/>
      <c r="F1446" s="26"/>
      <c r="G1446" s="27"/>
      <c r="H1446" s="20"/>
      <c r="I1446" s="21"/>
      <c r="J1446" s="28"/>
      <c r="K1446" s="19"/>
    </row>
    <row r="1447" spans="1:11" ht="13.2">
      <c r="A1447" s="22"/>
      <c r="B1447" s="16"/>
      <c r="C1447" s="23"/>
      <c r="D1447" s="24"/>
      <c r="E1447" s="25"/>
      <c r="F1447" s="26"/>
      <c r="G1447" s="27"/>
      <c r="H1447" s="20"/>
      <c r="I1447" s="21"/>
      <c r="J1447" s="28"/>
      <c r="K1447" s="19"/>
    </row>
    <row r="1448" spans="1:11" ht="13.2">
      <c r="A1448" s="22"/>
      <c r="B1448" s="16"/>
      <c r="C1448" s="23"/>
      <c r="D1448" s="24"/>
      <c r="E1448" s="25"/>
      <c r="F1448" s="26"/>
      <c r="G1448" s="27"/>
      <c r="H1448" s="20"/>
      <c r="I1448" s="21"/>
      <c r="J1448" s="28"/>
      <c r="K1448" s="19"/>
    </row>
    <row r="1449" spans="1:11" ht="13.2">
      <c r="A1449" s="22"/>
      <c r="B1449" s="16"/>
      <c r="C1449" s="23"/>
      <c r="D1449" s="24"/>
      <c r="E1449" s="25"/>
      <c r="F1449" s="26"/>
      <c r="G1449" s="27"/>
      <c r="H1449" s="20"/>
      <c r="I1449" s="21"/>
      <c r="J1449" s="28"/>
      <c r="K1449" s="19"/>
    </row>
    <row r="1450" spans="1:11" ht="13.2">
      <c r="A1450" s="22"/>
      <c r="B1450" s="16"/>
      <c r="C1450" s="23"/>
      <c r="D1450" s="24"/>
      <c r="E1450" s="25"/>
      <c r="F1450" s="26"/>
      <c r="G1450" s="27"/>
      <c r="H1450" s="20"/>
      <c r="I1450" s="21"/>
      <c r="J1450" s="28"/>
      <c r="K1450" s="19"/>
    </row>
    <row r="1451" spans="1:11" ht="13.2">
      <c r="A1451" s="22"/>
      <c r="B1451" s="16"/>
      <c r="C1451" s="23"/>
      <c r="D1451" s="24"/>
      <c r="E1451" s="25"/>
      <c r="F1451" s="26"/>
      <c r="G1451" s="27"/>
      <c r="H1451" s="20"/>
      <c r="I1451" s="21"/>
      <c r="J1451" s="28"/>
      <c r="K1451" s="19"/>
    </row>
    <row r="1452" spans="1:11" ht="13.2">
      <c r="A1452" s="22"/>
      <c r="B1452" s="16"/>
      <c r="C1452" s="23"/>
      <c r="D1452" s="24"/>
      <c r="E1452" s="25"/>
      <c r="F1452" s="26"/>
      <c r="G1452" s="27"/>
      <c r="H1452" s="20"/>
      <c r="I1452" s="21"/>
      <c r="J1452" s="28"/>
      <c r="K1452" s="19"/>
    </row>
    <row r="1453" spans="1:11" ht="13.2">
      <c r="A1453" s="22"/>
      <c r="B1453" s="16"/>
      <c r="C1453" s="23"/>
      <c r="D1453" s="24"/>
      <c r="E1453" s="25"/>
      <c r="F1453" s="26"/>
      <c r="G1453" s="27"/>
      <c r="H1453" s="20"/>
      <c r="I1453" s="21"/>
      <c r="J1453" s="28"/>
      <c r="K1453" s="19"/>
    </row>
    <row r="1454" spans="1:11" ht="13.2">
      <c r="A1454" s="22"/>
      <c r="B1454" s="16"/>
      <c r="C1454" s="23"/>
      <c r="D1454" s="24"/>
      <c r="E1454" s="25"/>
      <c r="F1454" s="26"/>
      <c r="G1454" s="27"/>
      <c r="H1454" s="20"/>
      <c r="I1454" s="21"/>
      <c r="J1454" s="28"/>
      <c r="K1454" s="19"/>
    </row>
    <row r="1455" spans="1:11" ht="13.2">
      <c r="A1455" s="22"/>
      <c r="B1455" s="16"/>
      <c r="C1455" s="23"/>
      <c r="D1455" s="24"/>
      <c r="E1455" s="25"/>
      <c r="F1455" s="26"/>
      <c r="G1455" s="27"/>
      <c r="H1455" s="20"/>
      <c r="I1455" s="21"/>
      <c r="J1455" s="28"/>
      <c r="K1455" s="19"/>
    </row>
    <row r="1456" spans="1:11" ht="13.2">
      <c r="A1456" s="22"/>
      <c r="B1456" s="16"/>
      <c r="C1456" s="23"/>
      <c r="D1456" s="24"/>
      <c r="E1456" s="25"/>
      <c r="F1456" s="26"/>
      <c r="G1456" s="27"/>
      <c r="H1456" s="20"/>
      <c r="I1456" s="21"/>
      <c r="J1456" s="28"/>
      <c r="K1456" s="19"/>
    </row>
    <row r="1457" spans="1:11" ht="13.2">
      <c r="A1457" s="22"/>
      <c r="B1457" s="16"/>
      <c r="C1457" s="23"/>
      <c r="D1457" s="24"/>
      <c r="E1457" s="25"/>
      <c r="F1457" s="26"/>
      <c r="G1457" s="27"/>
      <c r="H1457" s="20"/>
      <c r="I1457" s="21"/>
      <c r="J1457" s="28"/>
      <c r="K1457" s="19"/>
    </row>
    <row r="1458" spans="1:11" ht="13.2">
      <c r="A1458" s="22"/>
      <c r="B1458" s="16"/>
      <c r="C1458" s="23"/>
      <c r="D1458" s="24"/>
      <c r="E1458" s="25"/>
      <c r="F1458" s="26"/>
      <c r="G1458" s="27"/>
      <c r="H1458" s="20"/>
      <c r="I1458" s="21"/>
      <c r="J1458" s="28"/>
      <c r="K1458" s="19"/>
    </row>
    <row r="1459" spans="1:11" ht="13.2">
      <c r="A1459" s="22"/>
      <c r="B1459" s="16"/>
      <c r="C1459" s="23"/>
      <c r="D1459" s="24"/>
      <c r="E1459" s="25"/>
      <c r="F1459" s="26"/>
      <c r="G1459" s="27"/>
      <c r="H1459" s="20"/>
      <c r="I1459" s="21"/>
      <c r="J1459" s="28"/>
      <c r="K1459" s="19"/>
    </row>
    <row r="1460" spans="1:11" ht="13.2">
      <c r="A1460" s="22"/>
      <c r="B1460" s="16"/>
      <c r="C1460" s="23"/>
      <c r="D1460" s="24"/>
      <c r="E1460" s="25"/>
      <c r="F1460" s="26"/>
      <c r="G1460" s="27"/>
      <c r="H1460" s="20"/>
      <c r="I1460" s="21"/>
      <c r="J1460" s="28"/>
      <c r="K1460" s="19"/>
    </row>
    <row r="1461" spans="1:11" ht="13.2">
      <c r="A1461" s="22"/>
      <c r="B1461" s="16"/>
      <c r="C1461" s="23"/>
      <c r="D1461" s="24"/>
      <c r="E1461" s="25"/>
      <c r="F1461" s="26"/>
      <c r="G1461" s="27"/>
      <c r="H1461" s="20"/>
      <c r="I1461" s="21"/>
      <c r="J1461" s="28"/>
      <c r="K1461" s="19"/>
    </row>
    <row r="1462" spans="1:11" ht="13.2">
      <c r="A1462" s="22"/>
      <c r="B1462" s="16"/>
      <c r="C1462" s="23"/>
      <c r="D1462" s="24"/>
      <c r="E1462" s="25"/>
      <c r="F1462" s="26"/>
      <c r="G1462" s="27"/>
      <c r="H1462" s="20"/>
      <c r="I1462" s="21"/>
      <c r="J1462" s="28"/>
      <c r="K1462" s="19"/>
    </row>
    <row r="1463" spans="1:11" ht="13.2">
      <c r="A1463" s="22"/>
      <c r="B1463" s="16"/>
      <c r="C1463" s="23"/>
      <c r="D1463" s="24"/>
      <c r="E1463" s="25"/>
      <c r="F1463" s="26"/>
      <c r="G1463" s="27"/>
      <c r="H1463" s="20"/>
      <c r="I1463" s="21"/>
      <c r="J1463" s="28"/>
      <c r="K1463" s="19"/>
    </row>
    <row r="1464" spans="1:11" ht="13.2">
      <c r="A1464" s="22"/>
      <c r="B1464" s="16"/>
      <c r="C1464" s="23"/>
      <c r="D1464" s="24"/>
      <c r="E1464" s="25"/>
      <c r="F1464" s="26"/>
      <c r="G1464" s="27"/>
      <c r="H1464" s="20"/>
      <c r="I1464" s="21"/>
      <c r="J1464" s="28"/>
      <c r="K1464" s="19"/>
    </row>
    <row r="1465" spans="1:11" ht="13.2">
      <c r="A1465" s="22"/>
      <c r="B1465" s="16"/>
      <c r="C1465" s="23"/>
      <c r="D1465" s="24"/>
      <c r="E1465" s="25"/>
      <c r="F1465" s="26"/>
      <c r="G1465" s="27"/>
      <c r="H1465" s="20"/>
      <c r="I1465" s="21"/>
      <c r="J1465" s="28"/>
      <c r="K1465" s="19"/>
    </row>
    <row r="1466" spans="1:11" ht="13.2">
      <c r="A1466" s="22"/>
      <c r="B1466" s="16"/>
      <c r="C1466" s="23"/>
      <c r="D1466" s="24"/>
      <c r="E1466" s="25"/>
      <c r="F1466" s="26"/>
      <c r="G1466" s="27"/>
      <c r="H1466" s="20"/>
      <c r="I1466" s="21"/>
      <c r="J1466" s="28"/>
      <c r="K1466" s="19"/>
    </row>
    <row r="1467" spans="1:11" ht="13.2">
      <c r="A1467" s="22"/>
      <c r="B1467" s="16"/>
      <c r="C1467" s="23"/>
      <c r="D1467" s="24"/>
      <c r="E1467" s="25"/>
      <c r="F1467" s="26"/>
      <c r="G1467" s="27"/>
      <c r="H1467" s="20"/>
      <c r="I1467" s="21"/>
      <c r="J1467" s="28"/>
      <c r="K1467" s="19"/>
    </row>
    <row r="1468" spans="1:11" ht="13.2">
      <c r="A1468" s="22"/>
      <c r="B1468" s="16"/>
      <c r="C1468" s="23"/>
      <c r="D1468" s="24"/>
      <c r="E1468" s="25"/>
      <c r="F1468" s="26"/>
      <c r="G1468" s="27"/>
      <c r="H1468" s="20"/>
      <c r="I1468" s="21"/>
      <c r="J1468" s="28"/>
      <c r="K1468" s="19"/>
    </row>
    <row r="1469" spans="1:11" ht="13.2">
      <c r="A1469" s="22"/>
      <c r="B1469" s="16"/>
      <c r="C1469" s="23"/>
      <c r="D1469" s="24"/>
      <c r="E1469" s="25"/>
      <c r="F1469" s="26"/>
      <c r="G1469" s="27"/>
      <c r="H1469" s="20"/>
      <c r="I1469" s="21"/>
      <c r="J1469" s="28"/>
      <c r="K1469" s="19"/>
    </row>
    <row r="1470" spans="1:11" ht="13.2">
      <c r="A1470" s="22"/>
      <c r="B1470" s="16"/>
      <c r="C1470" s="23"/>
      <c r="D1470" s="24"/>
      <c r="E1470" s="25"/>
      <c r="F1470" s="26"/>
      <c r="G1470" s="27"/>
      <c r="H1470" s="20"/>
      <c r="I1470" s="21"/>
      <c r="J1470" s="28"/>
      <c r="K1470" s="19"/>
    </row>
    <row r="1471" spans="1:11" ht="13.2">
      <c r="A1471" s="22"/>
      <c r="B1471" s="16"/>
      <c r="C1471" s="23"/>
      <c r="D1471" s="24"/>
      <c r="E1471" s="25"/>
      <c r="F1471" s="26"/>
      <c r="G1471" s="27"/>
      <c r="H1471" s="20"/>
      <c r="I1471" s="21"/>
      <c r="J1471" s="28"/>
      <c r="K1471" s="19"/>
    </row>
    <row r="1472" spans="1:11" ht="13.2">
      <c r="A1472" s="22"/>
      <c r="B1472" s="16"/>
      <c r="C1472" s="23"/>
      <c r="D1472" s="24"/>
      <c r="E1472" s="25"/>
      <c r="F1472" s="26"/>
      <c r="G1472" s="27"/>
      <c r="H1472" s="20"/>
      <c r="I1472" s="21"/>
      <c r="J1472" s="28"/>
      <c r="K1472" s="19"/>
    </row>
    <row r="1473" spans="1:11" ht="13.2">
      <c r="A1473" s="22"/>
      <c r="B1473" s="16"/>
      <c r="C1473" s="23"/>
      <c r="D1473" s="24"/>
      <c r="E1473" s="25"/>
      <c r="F1473" s="26"/>
      <c r="G1473" s="27"/>
      <c r="H1473" s="20"/>
      <c r="I1473" s="21"/>
      <c r="J1473" s="28"/>
      <c r="K1473" s="19"/>
    </row>
    <row r="1474" spans="1:11" ht="13.2">
      <c r="A1474" s="22"/>
      <c r="B1474" s="16"/>
      <c r="C1474" s="23"/>
      <c r="D1474" s="24"/>
      <c r="E1474" s="25"/>
      <c r="F1474" s="26"/>
      <c r="G1474" s="27"/>
      <c r="H1474" s="20"/>
      <c r="I1474" s="21"/>
      <c r="J1474" s="28"/>
      <c r="K1474" s="19"/>
    </row>
    <row r="1475" spans="1:11" ht="13.2">
      <c r="A1475" s="22"/>
      <c r="B1475" s="16"/>
      <c r="C1475" s="23"/>
      <c r="D1475" s="24"/>
      <c r="E1475" s="25"/>
      <c r="F1475" s="26"/>
      <c r="G1475" s="27"/>
      <c r="H1475" s="20"/>
      <c r="I1475" s="21"/>
      <c r="J1475" s="28"/>
      <c r="K1475" s="19"/>
    </row>
    <row r="1476" spans="1:11" ht="13.2">
      <c r="A1476" s="22"/>
      <c r="B1476" s="16"/>
      <c r="C1476" s="23"/>
      <c r="D1476" s="24"/>
      <c r="E1476" s="25"/>
      <c r="F1476" s="26"/>
      <c r="G1476" s="27"/>
      <c r="H1476" s="20"/>
      <c r="I1476" s="21"/>
      <c r="J1476" s="28"/>
      <c r="K1476" s="19"/>
    </row>
    <row r="1477" spans="1:11" ht="13.2">
      <c r="A1477" s="22"/>
      <c r="B1477" s="16"/>
      <c r="C1477" s="23"/>
      <c r="D1477" s="24"/>
      <c r="E1477" s="25"/>
      <c r="F1477" s="26"/>
      <c r="G1477" s="27"/>
      <c r="H1477" s="20"/>
      <c r="I1477" s="21"/>
      <c r="J1477" s="28"/>
      <c r="K1477" s="19"/>
    </row>
    <row r="1478" spans="1:11" ht="13.2">
      <c r="A1478" s="22"/>
      <c r="B1478" s="16"/>
      <c r="C1478" s="23"/>
      <c r="D1478" s="24"/>
      <c r="E1478" s="25"/>
      <c r="F1478" s="26"/>
      <c r="G1478" s="27"/>
      <c r="H1478" s="20"/>
      <c r="I1478" s="21"/>
      <c r="J1478" s="28"/>
      <c r="K1478" s="19"/>
    </row>
    <row r="1479" spans="1:11" ht="13.2">
      <c r="A1479" s="22"/>
      <c r="B1479" s="16"/>
      <c r="C1479" s="23"/>
      <c r="D1479" s="24"/>
      <c r="E1479" s="25"/>
      <c r="F1479" s="26"/>
      <c r="G1479" s="27"/>
      <c r="H1479" s="20"/>
      <c r="I1479" s="21"/>
      <c r="J1479" s="28"/>
      <c r="K1479" s="19"/>
    </row>
    <row r="1480" spans="1:11" ht="13.2">
      <c r="A1480" s="22"/>
      <c r="B1480" s="16"/>
      <c r="C1480" s="23"/>
      <c r="D1480" s="24"/>
      <c r="E1480" s="25"/>
      <c r="F1480" s="26"/>
      <c r="G1480" s="27"/>
      <c r="H1480" s="20"/>
      <c r="I1480" s="21"/>
      <c r="J1480" s="28"/>
      <c r="K1480" s="19"/>
    </row>
    <row r="1481" spans="1:11" ht="13.2">
      <c r="A1481" s="22"/>
      <c r="B1481" s="16"/>
      <c r="C1481" s="23"/>
      <c r="D1481" s="24"/>
      <c r="E1481" s="25"/>
      <c r="F1481" s="26"/>
      <c r="G1481" s="27"/>
      <c r="H1481" s="20"/>
      <c r="I1481" s="21"/>
      <c r="J1481" s="28"/>
      <c r="K1481" s="19"/>
    </row>
    <row r="1482" spans="1:11" ht="13.2">
      <c r="A1482" s="22"/>
      <c r="B1482" s="16"/>
      <c r="C1482" s="23"/>
      <c r="D1482" s="24"/>
      <c r="E1482" s="25"/>
      <c r="F1482" s="26"/>
      <c r="G1482" s="27"/>
      <c r="H1482" s="20"/>
      <c r="I1482" s="21"/>
      <c r="J1482" s="28"/>
      <c r="K1482" s="19"/>
    </row>
    <row r="1483" spans="1:11" ht="13.2">
      <c r="A1483" s="22"/>
      <c r="B1483" s="16"/>
      <c r="C1483" s="23"/>
      <c r="D1483" s="24"/>
      <c r="E1483" s="25"/>
      <c r="F1483" s="26"/>
      <c r="G1483" s="27"/>
      <c r="H1483" s="20"/>
      <c r="I1483" s="21"/>
      <c r="J1483" s="28"/>
      <c r="K1483" s="19"/>
    </row>
    <row r="1484" spans="1:11" ht="13.2">
      <c r="A1484" s="22"/>
      <c r="B1484" s="16"/>
      <c r="C1484" s="23"/>
      <c r="D1484" s="24"/>
      <c r="E1484" s="25"/>
      <c r="F1484" s="26"/>
      <c r="G1484" s="27"/>
      <c r="H1484" s="20"/>
      <c r="I1484" s="21"/>
      <c r="J1484" s="28"/>
      <c r="K1484" s="19"/>
    </row>
    <row r="1485" spans="1:11" ht="13.2">
      <c r="A1485" s="22"/>
      <c r="B1485" s="16"/>
      <c r="C1485" s="23"/>
      <c r="D1485" s="24"/>
      <c r="E1485" s="25"/>
      <c r="F1485" s="26"/>
      <c r="G1485" s="27"/>
      <c r="H1485" s="20"/>
      <c r="I1485" s="21"/>
      <c r="J1485" s="28"/>
      <c r="K1485" s="19"/>
    </row>
    <row r="1486" spans="1:11" ht="13.2">
      <c r="A1486" s="22"/>
      <c r="B1486" s="16"/>
      <c r="C1486" s="23"/>
      <c r="D1486" s="24"/>
      <c r="E1486" s="25"/>
      <c r="F1486" s="26"/>
      <c r="G1486" s="27"/>
      <c r="H1486" s="20"/>
      <c r="I1486" s="21"/>
      <c r="J1486" s="28"/>
      <c r="K1486" s="19"/>
    </row>
    <row r="1487" spans="1:11" ht="13.2">
      <c r="A1487" s="22"/>
      <c r="B1487" s="16"/>
      <c r="C1487" s="23"/>
      <c r="D1487" s="24"/>
      <c r="E1487" s="25"/>
      <c r="F1487" s="26"/>
      <c r="G1487" s="27"/>
      <c r="H1487" s="20"/>
      <c r="I1487" s="21"/>
      <c r="J1487" s="28"/>
      <c r="K1487" s="19"/>
    </row>
    <row r="1488" spans="1:11" ht="13.2">
      <c r="A1488" s="22"/>
      <c r="B1488" s="16"/>
      <c r="C1488" s="23"/>
      <c r="D1488" s="24"/>
      <c r="E1488" s="25"/>
      <c r="F1488" s="26"/>
      <c r="G1488" s="27"/>
      <c r="H1488" s="20"/>
      <c r="I1488" s="21"/>
      <c r="J1488" s="28"/>
      <c r="K1488" s="19"/>
    </row>
    <row r="1489" spans="1:11" ht="13.2">
      <c r="A1489" s="22"/>
      <c r="B1489" s="16"/>
      <c r="C1489" s="23"/>
      <c r="D1489" s="24"/>
      <c r="E1489" s="25"/>
      <c r="F1489" s="26"/>
      <c r="G1489" s="27"/>
      <c r="H1489" s="20"/>
      <c r="I1489" s="21"/>
      <c r="J1489" s="28"/>
      <c r="K1489" s="19"/>
    </row>
    <row r="1490" spans="1:11" ht="13.2">
      <c r="A1490" s="22"/>
      <c r="B1490" s="16"/>
      <c r="C1490" s="23"/>
      <c r="D1490" s="24"/>
      <c r="E1490" s="25"/>
      <c r="F1490" s="26"/>
      <c r="G1490" s="27"/>
      <c r="H1490" s="20"/>
      <c r="I1490" s="21"/>
      <c r="J1490" s="28"/>
      <c r="K1490" s="19"/>
    </row>
    <row r="1491" spans="1:11" ht="13.2">
      <c r="A1491" s="22"/>
      <c r="B1491" s="16"/>
      <c r="C1491" s="23"/>
      <c r="D1491" s="24"/>
      <c r="E1491" s="25"/>
      <c r="F1491" s="26"/>
      <c r="G1491" s="27"/>
      <c r="H1491" s="20"/>
      <c r="I1491" s="21"/>
      <c r="J1491" s="28"/>
      <c r="K1491" s="19"/>
    </row>
    <row r="1492" spans="1:11" ht="13.2">
      <c r="A1492" s="22"/>
      <c r="B1492" s="16"/>
      <c r="C1492" s="23"/>
      <c r="D1492" s="24"/>
      <c r="E1492" s="25"/>
      <c r="F1492" s="26"/>
      <c r="G1492" s="27"/>
      <c r="H1492" s="20"/>
      <c r="I1492" s="21"/>
      <c r="J1492" s="28"/>
      <c r="K1492" s="19"/>
    </row>
    <row r="1493" spans="1:11" ht="13.2">
      <c r="A1493" s="22"/>
      <c r="B1493" s="16"/>
      <c r="C1493" s="23"/>
      <c r="D1493" s="24"/>
      <c r="E1493" s="25"/>
      <c r="F1493" s="26"/>
      <c r="G1493" s="27"/>
      <c r="H1493" s="20"/>
      <c r="I1493" s="21"/>
      <c r="J1493" s="28"/>
      <c r="K1493" s="19"/>
    </row>
    <row r="1494" spans="1:11" ht="13.2">
      <c r="A1494" s="22"/>
      <c r="B1494" s="16"/>
      <c r="C1494" s="23"/>
      <c r="D1494" s="24"/>
      <c r="E1494" s="25"/>
      <c r="F1494" s="26"/>
      <c r="G1494" s="27"/>
      <c r="H1494" s="20"/>
      <c r="I1494" s="21"/>
      <c r="J1494" s="28"/>
      <c r="K1494" s="19"/>
    </row>
    <row r="1495" spans="1:11" ht="13.2">
      <c r="A1495" s="22"/>
      <c r="B1495" s="16"/>
      <c r="C1495" s="23"/>
      <c r="D1495" s="24"/>
      <c r="E1495" s="25"/>
      <c r="F1495" s="26"/>
      <c r="G1495" s="27"/>
      <c r="H1495" s="20"/>
      <c r="I1495" s="21"/>
      <c r="J1495" s="28"/>
      <c r="K1495" s="19"/>
    </row>
    <row r="1496" spans="1:11" ht="13.2">
      <c r="A1496" s="22"/>
      <c r="B1496" s="16"/>
      <c r="C1496" s="23"/>
      <c r="D1496" s="24"/>
      <c r="E1496" s="25"/>
      <c r="F1496" s="26"/>
      <c r="G1496" s="27"/>
      <c r="H1496" s="20"/>
      <c r="I1496" s="21"/>
      <c r="J1496" s="28"/>
      <c r="K1496" s="19"/>
    </row>
    <row r="1497" spans="1:11" ht="13.2">
      <c r="A1497" s="22"/>
      <c r="B1497" s="16"/>
      <c r="C1497" s="23"/>
      <c r="D1497" s="24"/>
      <c r="E1497" s="25"/>
      <c r="F1497" s="26"/>
      <c r="G1497" s="27"/>
      <c r="H1497" s="20"/>
      <c r="I1497" s="21"/>
      <c r="J1497" s="28"/>
      <c r="K1497" s="19"/>
    </row>
    <row r="1498" spans="1:11" ht="13.2">
      <c r="A1498" s="22"/>
      <c r="B1498" s="16"/>
      <c r="C1498" s="23"/>
      <c r="D1498" s="24"/>
      <c r="E1498" s="25"/>
      <c r="F1498" s="26"/>
      <c r="G1498" s="27"/>
      <c r="H1498" s="20"/>
      <c r="I1498" s="21"/>
      <c r="J1498" s="28"/>
      <c r="K1498" s="19"/>
    </row>
    <row r="1499" spans="1:11" ht="13.2">
      <c r="A1499" s="22"/>
      <c r="B1499" s="16"/>
      <c r="C1499" s="23"/>
      <c r="D1499" s="24"/>
      <c r="E1499" s="25"/>
      <c r="F1499" s="26"/>
      <c r="G1499" s="27"/>
      <c r="H1499" s="20"/>
      <c r="I1499" s="21"/>
      <c r="J1499" s="28"/>
      <c r="K1499" s="19"/>
    </row>
    <row r="1500" spans="1:11" ht="13.2">
      <c r="A1500" s="22"/>
      <c r="B1500" s="16"/>
      <c r="C1500" s="23"/>
      <c r="D1500" s="24"/>
      <c r="E1500" s="25"/>
      <c r="F1500" s="26"/>
      <c r="G1500" s="27"/>
      <c r="H1500" s="20"/>
      <c r="I1500" s="21"/>
      <c r="J1500" s="28"/>
      <c r="K1500" s="19"/>
    </row>
  </sheetData>
  <autoFilter ref="A2:K55"/>
  <mergeCells count="1">
    <mergeCell ref="A1:K1"/>
  </mergeCells>
  <conditionalFormatting sqref="C3:C1500">
    <cfRule type="cellIs" dxfId="143" priority="1" stopIfTrue="1" operator="equal">
      <formula>"Farjana Apu"</formula>
    </cfRule>
  </conditionalFormatting>
  <conditionalFormatting sqref="C3:C1500">
    <cfRule type="cellIs" dxfId="142" priority="2" stopIfTrue="1" operator="equal">
      <formula>"Fiza Apu"</formula>
    </cfRule>
  </conditionalFormatting>
  <conditionalFormatting sqref="C3:C1500">
    <cfRule type="cellIs" dxfId="141" priority="3" stopIfTrue="1" operator="equal">
      <formula>"Nazmul Sir"</formula>
    </cfRule>
  </conditionalFormatting>
  <conditionalFormatting sqref="C3:C1500">
    <cfRule type="cellIs" dxfId="140" priority="4" stopIfTrue="1" operator="equal">
      <formula>"Rabby Vai"</formula>
    </cfRule>
  </conditionalFormatting>
  <conditionalFormatting sqref="C3:C1500">
    <cfRule type="cellIs" dxfId="139" priority="5" stopIfTrue="1" operator="equal">
      <formula>"Reba Apu"</formula>
    </cfRule>
  </conditionalFormatting>
  <conditionalFormatting sqref="C3:C1500">
    <cfRule type="cellIs" dxfId="138" priority="6" stopIfTrue="1" operator="equal">
      <formula>"Saema Apu"</formula>
    </cfRule>
  </conditionalFormatting>
  <conditionalFormatting sqref="C3:C1500">
    <cfRule type="cellIs" dxfId="137" priority="7" stopIfTrue="1" operator="equal">
      <formula>"Sharika Apu"</formula>
    </cfRule>
  </conditionalFormatting>
  <conditionalFormatting sqref="C3:C1500">
    <cfRule type="cellIs" dxfId="136" priority="8" stopIfTrue="1" operator="equal">
      <formula>"Sharmin Apu"</formula>
    </cfRule>
  </conditionalFormatting>
  <conditionalFormatting sqref="C3:C1500">
    <cfRule type="cellIs" dxfId="135" priority="9" stopIfTrue="1" operator="equal">
      <formula>"Mubassira Apu"</formula>
    </cfRule>
  </conditionalFormatting>
  <conditionalFormatting sqref="C3:C1500">
    <cfRule type="cellIs" dxfId="134" priority="10" stopIfTrue="1" operator="equal">
      <formula>"Mona Apu"</formula>
    </cfRule>
  </conditionalFormatting>
  <conditionalFormatting sqref="C3:C1500">
    <cfRule type="cellIs" dxfId="133" priority="11" stopIfTrue="1" operator="equal">
      <formula>"Rakib Vai"</formula>
    </cfRule>
  </conditionalFormatting>
  <conditionalFormatting sqref="C3:C1500">
    <cfRule type="cellIs" dxfId="132" priority="12" stopIfTrue="1" operator="equal">
      <formula>"Saifullah Vai"</formula>
    </cfRule>
  </conditionalFormatting>
  <conditionalFormatting sqref="C3:C1500">
    <cfRule type="cellIs" dxfId="131" priority="13" stopIfTrue="1" operator="equal">
      <formula>"Shamsul Sir"</formula>
    </cfRule>
  </conditionalFormatting>
  <conditionalFormatting sqref="C3:C1500">
    <cfRule type="cellIs" dxfId="130" priority="14" stopIfTrue="1" operator="equal">
      <formula>"Zahirul Vai"</formula>
    </cfRule>
  </conditionalFormatting>
  <conditionalFormatting sqref="E3:E1500">
    <cfRule type="cellIs" dxfId="129" priority="15" stopIfTrue="1" operator="equal">
      <formula>"ATC Box Output"</formula>
    </cfRule>
  </conditionalFormatting>
  <conditionalFormatting sqref="E3:E1500">
    <cfRule type="cellIs" dxfId="128" priority="16" stopIfTrue="1" operator="equal">
      <formula>"Black Cylinder Output"</formula>
    </cfRule>
  </conditionalFormatting>
  <conditionalFormatting sqref="E3:E1500">
    <cfRule type="cellIs" dxfId="127" priority="17" stopIfTrue="1" operator="equal">
      <formula>"Flyer/Brochure/Banner Output"</formula>
    </cfRule>
  </conditionalFormatting>
  <conditionalFormatting sqref="E3:E1500">
    <cfRule type="cellIs" dxfId="126" priority="18" stopIfTrue="1" operator="equal">
      <formula>"Full Cylinder Output"</formula>
    </cfRule>
  </conditionalFormatting>
  <conditionalFormatting sqref="E3:E1500">
    <cfRule type="cellIs" dxfId="125" priority="19" stopIfTrue="1" operator="equal">
      <formula>"Gravure Output #1"</formula>
    </cfRule>
  </conditionalFormatting>
  <conditionalFormatting sqref="E3:E1500">
    <cfRule type="cellIs" dxfId="124" priority="20" stopIfTrue="1" operator="equal">
      <formula>"Gravure Output #2"</formula>
    </cfRule>
  </conditionalFormatting>
  <conditionalFormatting sqref="E3:E1500">
    <cfRule type="cellIs" dxfId="123" priority="21" stopIfTrue="1" operator="equal">
      <formula>"JAR Label Sticker Output"</formula>
    </cfRule>
  </conditionalFormatting>
  <conditionalFormatting sqref="E3:E1500">
    <cfRule type="cellIs" dxfId="122" priority="22" stopIfTrue="1" operator="equal">
      <formula>"Leaflet/Poster Output"</formula>
    </cfRule>
  </conditionalFormatting>
  <conditionalFormatting sqref="E3:E1500">
    <cfRule type="cellIs" dxfId="121" priority="23" stopIfTrue="1" operator="equal">
      <formula>"Output Setup (Gravure/Offset)"</formula>
    </cfRule>
  </conditionalFormatting>
  <conditionalFormatting sqref="E3:E1500">
    <cfRule type="cellIs" dxfId="120" priority="24" stopIfTrue="1" operator="equal">
      <formula>"Carton Design"</formula>
    </cfRule>
  </conditionalFormatting>
  <conditionalFormatting sqref="E3:E1500">
    <cfRule type="cellIs" dxfId="119" priority="25" stopIfTrue="1" operator="equal">
      <formula>"Document Text Correction"</formula>
    </cfRule>
  </conditionalFormatting>
  <conditionalFormatting sqref="E3:E1500">
    <cfRule type="cellIs" dxfId="118" priority="26" stopIfTrue="1" operator="equal">
      <formula>"FOP Sticker Making"</formula>
    </cfRule>
  </conditionalFormatting>
  <conditionalFormatting sqref="E3:E1500">
    <cfRule type="cellIs" dxfId="117" priority="27" stopIfTrue="1" operator="equal">
      <formula>"Layout/Dieline Making"</formula>
    </cfRule>
  </conditionalFormatting>
  <conditionalFormatting sqref="E3:E1500">
    <cfRule type="cellIs" dxfId="116" priority="28" stopIfTrue="1" operator="equal">
      <formula>"Packaging Text Design #1"</formula>
    </cfRule>
  </conditionalFormatting>
  <conditionalFormatting sqref="E3:E1500">
    <cfRule type="cellIs" dxfId="115" priority="29" stopIfTrue="1" operator="equal">
      <formula>"Packaging Text Design #2"</formula>
    </cfRule>
  </conditionalFormatting>
  <conditionalFormatting sqref="E3:E1500">
    <cfRule type="cellIs" dxfId="114" priority="30" stopIfTrue="1" operator="equal">
      <formula>"Text Sticker Design #1"</formula>
    </cfRule>
  </conditionalFormatting>
  <conditionalFormatting sqref="E3:E1500">
    <cfRule type="cellIs" dxfId="113" priority="31" stopIfTrue="1" operator="equal">
      <formula>"Text Sticker Design #2"</formula>
    </cfRule>
  </conditionalFormatting>
  <conditionalFormatting sqref="E3:E1500">
    <cfRule type="cellIs" dxfId="112" priority="32" stopIfTrue="1" operator="equal">
      <formula>"ATC BOX"</formula>
    </cfRule>
  </conditionalFormatting>
  <conditionalFormatting sqref="E3:E1500">
    <cfRule type="cellIs" dxfId="111" priority="33" stopIfTrue="1" operator="equal">
      <formula>"Background Remove/Image Resize"</formula>
    </cfRule>
  </conditionalFormatting>
  <conditionalFormatting sqref="E3:E1500">
    <cfRule type="cellIs" dxfId="110" priority="34" stopIfTrue="1" operator="equal">
      <formula>"Branding"</formula>
    </cfRule>
  </conditionalFormatting>
  <conditionalFormatting sqref="E3:E1500">
    <cfRule type="cellIs" dxfId="109" priority="35" stopIfTrue="1" operator="equal">
      <formula>"Clipping Path"</formula>
    </cfRule>
  </conditionalFormatting>
  <conditionalFormatting sqref="E3:E1500">
    <cfRule type="cellIs" dxfId="108" priority="36" stopIfTrue="1" operator="equal">
      <formula>"Digital Static For Social Media"</formula>
    </cfRule>
  </conditionalFormatting>
  <conditionalFormatting sqref="E3:E1500">
    <cfRule type="cellIs" dxfId="107" priority="37" stopIfTrue="1" operator="equal">
      <formula>"Logo Design"</formula>
    </cfRule>
  </conditionalFormatting>
  <conditionalFormatting sqref="E3:E1500">
    <cfRule type="cellIs" dxfId="106" priority="38" stopIfTrue="1" operator="equal">
      <formula>"Outdoor/Event/Showroom Branding"</formula>
    </cfRule>
  </conditionalFormatting>
  <conditionalFormatting sqref="E3:E1500">
    <cfRule type="cellIs" dxfId="105" priority="39" stopIfTrue="1" operator="equal">
      <formula>"Packaging"</formula>
    </cfRule>
  </conditionalFormatting>
  <conditionalFormatting sqref="E3:E1500">
    <cfRule type="cellIs" dxfId="104" priority="40" stopIfTrue="1" operator="equal">
      <formula>"Visiting/ ID Card design"</formula>
    </cfRule>
  </conditionalFormatting>
  <conditionalFormatting sqref="E3:E1500">
    <cfRule type="cellIs" dxfId="103" priority="41" stopIfTrue="1" operator="equal">
      <formula>"Voice Over"</formula>
    </cfRule>
  </conditionalFormatting>
  <conditionalFormatting sqref="J3:J1500">
    <cfRule type="cellIs" dxfId="102" priority="42" stopIfTrue="1" operator="equal">
      <formula>"HoM Approved"</formula>
    </cfRule>
  </conditionalFormatting>
  <conditionalFormatting sqref="J3:J1500">
    <cfRule type="cellIs" dxfId="101" priority="43" stopIfTrue="1" operator="equal">
      <formula>"Brief Submitted"</formula>
    </cfRule>
  </conditionalFormatting>
  <conditionalFormatting sqref="J3:J1500">
    <cfRule type="cellIs" dxfId="100" priority="44" stopIfTrue="1" operator="equal">
      <formula>"In Review"</formula>
    </cfRule>
  </conditionalFormatting>
  <conditionalFormatting sqref="J3:J1500">
    <cfRule type="cellIs" dxfId="99" priority="45" stopIfTrue="1" operator="equal">
      <formula>"BM Approved"</formula>
    </cfRule>
  </conditionalFormatting>
  <conditionalFormatting sqref="J3:J1500">
    <cfRule type="cellIs" dxfId="98" priority="46" stopIfTrue="1" operator="equal">
      <formula>"Running"</formula>
    </cfRule>
  </conditionalFormatting>
  <conditionalFormatting sqref="C3:C1500">
    <cfRule type="expression" dxfId="97" priority="47" stopIfTrue="1">
      <formula>"=AND(=COUNTA($A3:$J3)&gt;0,$C3="")"</formula>
    </cfRule>
  </conditionalFormatting>
  <conditionalFormatting sqref="E3:I1500">
    <cfRule type="expression" dxfId="96" priority="48" stopIfTrue="1">
      <formula>"=AND(=COUNTA($A3:$J3)&gt;0,E3="")"</formula>
    </cfRule>
  </conditionalFormatting>
  <conditionalFormatting sqref="A3:K1500">
    <cfRule type="expression" dxfId="95" priority="49" stopIfTrue="1">
      <formula>COUNTA($A3:$K3)=0</formula>
    </cfRule>
  </conditionalFormatting>
  <dataValidations count="2">
    <dataValidation type="decimal" operator="greaterThan" allowBlank="1" showDropDown="1" showErrorMessage="1" sqref="G3:G1500">
      <formula1>0</formula1>
    </dataValidation>
    <dataValidation type="custom" allowBlank="1" showDropDown="1" showErrorMessage="1" sqref="H3:H1500">
      <formula1>OR(NOT(ISERROR(DATEVALUE(H3))), AND(ISNUMBER(H3), LEFT(CELL("format", H3))="D"))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Helper!$A$2:$A1500</xm:f>
          </x14:formula1>
          <xm:sqref>B3:B1500</xm:sqref>
        </x14:dataValidation>
        <x14:dataValidation type="list" allowBlank="1">
          <x14:formula1>
            <xm:f>Helper!$B$2:$B1500</xm:f>
          </x14:formula1>
          <xm:sqref>C3:C1500</xm:sqref>
        </x14:dataValidation>
        <x14:dataValidation type="list" allowBlank="1">
          <x14:formula1>
            <xm:f>Helper!$C$2:$C1500</xm:f>
          </x14:formula1>
          <xm:sqref>E3:E1500</xm:sqref>
        </x14:dataValidation>
        <x14:dataValidation type="list" allowBlank="1">
          <x14:formula1>
            <xm:f>Helper!$D$2:$D1500</xm:f>
          </x14:formula1>
          <xm:sqref>F3:F1500</xm:sqref>
        </x14:dataValidation>
        <x14:dataValidation type="list" allowBlank="1">
          <x14:formula1>
            <xm:f>Helper!$E$2:$E1500</xm:f>
          </x14:formula1>
          <xm:sqref>J3:J1500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outlinePr summaryBelow="0" summaryRight="0"/>
  </sheetPr>
  <dimension ref="A1:I1501"/>
  <sheetViews>
    <sheetView tabSelected="1" workbookViewId="0">
      <pane ySplit="1" topLeftCell="A2" activePane="bottomLeft" state="frozen"/>
      <selection pane="bottomLeft" activeCell="F14" sqref="F14"/>
    </sheetView>
  </sheetViews>
  <sheetFormatPr defaultColWidth="12.6640625" defaultRowHeight="15.75" customHeight="1"/>
  <cols>
    <col min="1" max="1" width="12.6640625" customWidth="1"/>
    <col min="2" max="2" width="12.77734375" customWidth="1"/>
    <col min="3" max="3" width="26.77734375" customWidth="1"/>
    <col min="4" max="4" width="7.109375" customWidth="1"/>
    <col min="5" max="5" width="12.109375" customWidth="1"/>
    <col min="6" max="6" width="17.6640625" customWidth="1"/>
    <col min="7" max="7" width="27.21875" customWidth="1"/>
  </cols>
  <sheetData>
    <row r="1" spans="1:9">
      <c r="A1" s="82" t="s">
        <v>1</v>
      </c>
      <c r="B1" s="82" t="s">
        <v>3020</v>
      </c>
      <c r="C1" s="82" t="s">
        <v>3021</v>
      </c>
      <c r="D1" s="82" t="s">
        <v>3022</v>
      </c>
      <c r="E1" s="82" t="s">
        <v>9</v>
      </c>
      <c r="F1" s="82" t="s">
        <v>3023</v>
      </c>
      <c r="G1" s="82" t="s">
        <v>3024</v>
      </c>
    </row>
    <row r="2" spans="1:9">
      <c r="A2" s="83" t="s">
        <v>753</v>
      </c>
      <c r="B2" s="3" t="s">
        <v>730</v>
      </c>
      <c r="C2" s="83" t="s">
        <v>3025</v>
      </c>
      <c r="D2" s="83" t="s">
        <v>17</v>
      </c>
      <c r="E2" s="83" t="s">
        <v>48</v>
      </c>
      <c r="F2" s="83" t="s">
        <v>3026</v>
      </c>
      <c r="G2" s="83" t="s">
        <v>3027</v>
      </c>
    </row>
    <row r="3" spans="1:9">
      <c r="A3" s="83" t="s">
        <v>123</v>
      </c>
      <c r="B3" s="3" t="s">
        <v>91</v>
      </c>
      <c r="C3" s="83" t="s">
        <v>16</v>
      </c>
      <c r="D3" s="83" t="s">
        <v>457</v>
      </c>
      <c r="E3" s="83" t="s">
        <v>19</v>
      </c>
      <c r="F3" s="83" t="s">
        <v>3028</v>
      </c>
      <c r="G3" s="83" t="s">
        <v>3029</v>
      </c>
      <c r="I3" s="3"/>
    </row>
    <row r="4" spans="1:9">
      <c r="A4" s="83" t="s">
        <v>109</v>
      </c>
      <c r="B4" s="3" t="s">
        <v>746</v>
      </c>
      <c r="C4" s="83" t="s">
        <v>3030</v>
      </c>
      <c r="D4" s="84"/>
      <c r="E4" s="83" t="s">
        <v>30</v>
      </c>
      <c r="F4" s="83" t="s">
        <v>3031</v>
      </c>
      <c r="G4" s="83" t="s">
        <v>3032</v>
      </c>
    </row>
    <row r="5" spans="1:9">
      <c r="A5" s="83" t="s">
        <v>209</v>
      </c>
      <c r="B5" s="3" t="s">
        <v>78</v>
      </c>
      <c r="C5" s="83" t="s">
        <v>505</v>
      </c>
      <c r="D5" s="84"/>
      <c r="E5" s="83" t="s">
        <v>590</v>
      </c>
      <c r="F5" s="83" t="s">
        <v>3033</v>
      </c>
      <c r="G5" s="83" t="s">
        <v>3034</v>
      </c>
    </row>
    <row r="6" spans="1:9">
      <c r="A6" s="83" t="s">
        <v>32</v>
      </c>
      <c r="B6" s="3" t="s">
        <v>124</v>
      </c>
      <c r="C6" s="83" t="s">
        <v>3035</v>
      </c>
      <c r="D6" s="84"/>
      <c r="E6" s="83" t="s">
        <v>1948</v>
      </c>
      <c r="F6" s="83" t="s">
        <v>3036</v>
      </c>
      <c r="G6" s="83" t="s">
        <v>3037</v>
      </c>
    </row>
    <row r="7" spans="1:9">
      <c r="A7" s="83" t="s">
        <v>1243</v>
      </c>
      <c r="B7" s="3" t="s">
        <v>129</v>
      </c>
      <c r="C7" s="83" t="s">
        <v>1077</v>
      </c>
      <c r="D7" s="84"/>
      <c r="E7" s="83" t="s">
        <v>3038</v>
      </c>
      <c r="F7" s="83" t="s">
        <v>3039</v>
      </c>
      <c r="G7" s="83" t="s">
        <v>3040</v>
      </c>
    </row>
    <row r="8" spans="1:9">
      <c r="A8" s="83" t="s">
        <v>158</v>
      </c>
      <c r="B8" s="3" t="s">
        <v>86</v>
      </c>
      <c r="C8" s="83" t="s">
        <v>3041</v>
      </c>
      <c r="D8" s="84"/>
      <c r="E8" s="83" t="s">
        <v>457</v>
      </c>
      <c r="F8" s="83" t="s">
        <v>3042</v>
      </c>
      <c r="G8" s="83" t="s">
        <v>3043</v>
      </c>
    </row>
    <row r="9" spans="1:9">
      <c r="A9" s="83" t="s">
        <v>620</v>
      </c>
      <c r="B9" s="3" t="s">
        <v>74</v>
      </c>
      <c r="C9" s="83" t="s">
        <v>490</v>
      </c>
      <c r="D9" s="84"/>
      <c r="E9" s="84"/>
      <c r="F9" s="84"/>
      <c r="G9" s="84"/>
    </row>
    <row r="10" spans="1:9">
      <c r="A10" s="83" t="s">
        <v>3044</v>
      </c>
      <c r="B10" s="3" t="s">
        <v>773</v>
      </c>
      <c r="C10" s="83" t="s">
        <v>748</v>
      </c>
      <c r="D10" s="84"/>
      <c r="E10" s="84"/>
      <c r="F10" s="84"/>
      <c r="G10" s="84"/>
    </row>
    <row r="11" spans="1:9">
      <c r="A11" s="83" t="s">
        <v>153</v>
      </c>
      <c r="B11" s="3" t="s">
        <v>186</v>
      </c>
      <c r="C11" s="83" t="s">
        <v>1687</v>
      </c>
      <c r="D11" s="84"/>
      <c r="E11" s="84"/>
      <c r="F11" s="84"/>
      <c r="G11" s="84"/>
    </row>
    <row r="12" spans="1:9">
      <c r="A12" s="83" t="s">
        <v>178</v>
      </c>
      <c r="B12" s="3" t="s">
        <v>293</v>
      </c>
      <c r="C12" s="83" t="s">
        <v>141</v>
      </c>
      <c r="D12" s="84"/>
      <c r="E12" s="84"/>
      <c r="F12" s="84"/>
      <c r="G12" s="84"/>
    </row>
    <row r="13" spans="1:9">
      <c r="A13" s="83" t="s">
        <v>54</v>
      </c>
      <c r="B13" s="107" t="s">
        <v>228</v>
      </c>
      <c r="C13" s="83" t="s">
        <v>1504</v>
      </c>
      <c r="D13" s="84"/>
      <c r="E13" s="84"/>
      <c r="F13" s="84"/>
      <c r="G13" s="84"/>
    </row>
    <row r="14" spans="1:9">
      <c r="A14" s="83" t="s">
        <v>545</v>
      </c>
      <c r="B14" s="3" t="s">
        <v>275</v>
      </c>
      <c r="C14" s="83" t="s">
        <v>346</v>
      </c>
      <c r="D14" s="84"/>
      <c r="E14" s="84"/>
      <c r="F14" s="84"/>
      <c r="G14" s="84"/>
    </row>
    <row r="15" spans="1:9">
      <c r="A15" s="83" t="s">
        <v>3045</v>
      </c>
      <c r="B15" s="3" t="s">
        <v>198</v>
      </c>
      <c r="C15" s="83" t="s">
        <v>88</v>
      </c>
      <c r="D15" s="84"/>
      <c r="E15" s="84"/>
      <c r="F15" s="84"/>
      <c r="G15" s="84"/>
    </row>
    <row r="16" spans="1:9">
      <c r="A16" s="83" t="s">
        <v>139</v>
      </c>
      <c r="B16" s="3" t="s">
        <v>171</v>
      </c>
      <c r="C16" s="83" t="s">
        <v>242</v>
      </c>
      <c r="D16" s="84"/>
      <c r="E16" s="84"/>
      <c r="F16" s="84"/>
      <c r="G16" s="84"/>
    </row>
    <row r="17" spans="1:7">
      <c r="A17" s="83" t="s">
        <v>213</v>
      </c>
      <c r="B17" s="3" t="s">
        <v>803</v>
      </c>
      <c r="C17" s="83" t="s">
        <v>589</v>
      </c>
      <c r="D17" s="84"/>
      <c r="E17" s="84"/>
      <c r="F17" s="84"/>
      <c r="G17" s="84"/>
    </row>
    <row r="18" spans="1:7">
      <c r="A18" s="83" t="s">
        <v>850</v>
      </c>
      <c r="B18" s="3" t="s">
        <v>232</v>
      </c>
      <c r="C18" s="83" t="s">
        <v>57</v>
      </c>
      <c r="D18" s="84"/>
      <c r="E18" s="84"/>
      <c r="F18" s="84"/>
      <c r="G18" s="84"/>
    </row>
    <row r="19" spans="1:7">
      <c r="A19" s="83" t="s">
        <v>68</v>
      </c>
      <c r="B19" s="3" t="s">
        <v>33</v>
      </c>
      <c r="C19" s="83" t="s">
        <v>726</v>
      </c>
      <c r="D19" s="84"/>
      <c r="E19" s="84"/>
      <c r="F19" s="84"/>
      <c r="G19" s="84"/>
    </row>
    <row r="20" spans="1:7">
      <c r="A20" s="83" t="s">
        <v>170</v>
      </c>
      <c r="B20" s="3" t="s">
        <v>828</v>
      </c>
      <c r="C20" s="83" t="s">
        <v>71</v>
      </c>
      <c r="D20" s="84"/>
      <c r="E20" s="84"/>
      <c r="F20" s="84"/>
      <c r="G20" s="84"/>
    </row>
    <row r="21" spans="1:7">
      <c r="A21" s="83" t="s">
        <v>101</v>
      </c>
      <c r="B21" s="3" t="s">
        <v>283</v>
      </c>
      <c r="C21" s="83" t="s">
        <v>23</v>
      </c>
      <c r="D21" s="84"/>
      <c r="E21" s="84"/>
      <c r="F21" s="84"/>
      <c r="G21" s="84"/>
    </row>
    <row r="22" spans="1:7">
      <c r="A22" s="83" t="s">
        <v>41</v>
      </c>
      <c r="B22" s="3" t="s">
        <v>245</v>
      </c>
      <c r="C22" s="83" t="s">
        <v>150</v>
      </c>
      <c r="D22" s="84"/>
      <c r="E22" s="84"/>
      <c r="F22" s="84"/>
      <c r="G22" s="84"/>
    </row>
    <row r="23" spans="1:7">
      <c r="A23" s="83" t="s">
        <v>144</v>
      </c>
      <c r="B23" s="3" t="s">
        <v>389</v>
      </c>
      <c r="C23" s="83" t="s">
        <v>63</v>
      </c>
      <c r="D23" s="84"/>
      <c r="E23" s="84"/>
      <c r="F23" s="84"/>
      <c r="G23" s="84"/>
    </row>
    <row r="24" spans="1:7">
      <c r="A24" s="83" t="s">
        <v>60</v>
      </c>
      <c r="B24" s="3" t="s">
        <v>847</v>
      </c>
      <c r="C24" s="83" t="s">
        <v>302</v>
      </c>
      <c r="D24" s="84"/>
      <c r="E24" s="84"/>
      <c r="F24" s="84"/>
      <c r="G24" s="84"/>
    </row>
    <row r="25" spans="1:7">
      <c r="A25" s="83" t="s">
        <v>1832</v>
      </c>
      <c r="B25" s="3" t="s">
        <v>268</v>
      </c>
      <c r="C25" s="83" t="s">
        <v>1355</v>
      </c>
      <c r="D25" s="84"/>
      <c r="E25" s="84"/>
      <c r="F25" s="84"/>
      <c r="G25" s="84"/>
    </row>
    <row r="26" spans="1:7">
      <c r="A26" s="83" t="s">
        <v>217</v>
      </c>
      <c r="B26" s="3" t="s">
        <v>114</v>
      </c>
      <c r="C26" s="83" t="s">
        <v>1373</v>
      </c>
      <c r="D26" s="84"/>
      <c r="E26" s="84"/>
      <c r="F26" s="84"/>
      <c r="G26" s="84"/>
    </row>
    <row r="27" spans="1:7">
      <c r="A27" s="83" t="s">
        <v>282</v>
      </c>
      <c r="B27" s="107" t="s">
        <v>166</v>
      </c>
      <c r="C27" s="83" t="s">
        <v>2311</v>
      </c>
      <c r="D27" s="84"/>
      <c r="E27" s="84"/>
      <c r="F27" s="84"/>
      <c r="G27" s="84"/>
    </row>
    <row r="28" spans="1:7">
      <c r="A28" s="83" t="s">
        <v>1054</v>
      </c>
      <c r="B28" s="3" t="s">
        <v>461</v>
      </c>
      <c r="C28" s="83" t="s">
        <v>3046</v>
      </c>
      <c r="D28" s="84"/>
      <c r="E28" s="84"/>
      <c r="F28" s="84"/>
      <c r="G28" s="84"/>
    </row>
    <row r="29" spans="1:7">
      <c r="A29" s="83" t="s">
        <v>916</v>
      </c>
      <c r="B29" s="3" t="s">
        <v>874</v>
      </c>
      <c r="C29" s="83" t="s">
        <v>3047</v>
      </c>
      <c r="D29" s="84"/>
      <c r="E29" s="84"/>
      <c r="F29" s="84"/>
      <c r="G29" s="84"/>
    </row>
    <row r="30" spans="1:7">
      <c r="A30" s="83" t="s">
        <v>13</v>
      </c>
      <c r="B30" s="3" t="s">
        <v>179</v>
      </c>
      <c r="C30" s="84"/>
      <c r="D30" s="84"/>
      <c r="E30" s="84"/>
      <c r="F30" s="84"/>
      <c r="G30" s="84"/>
    </row>
    <row r="31" spans="1:7">
      <c r="A31" s="83" t="s">
        <v>984</v>
      </c>
      <c r="B31" s="3" t="s">
        <v>689</v>
      </c>
      <c r="C31" s="84"/>
      <c r="D31" s="84"/>
      <c r="E31" s="84"/>
      <c r="F31" s="84"/>
      <c r="G31" s="84"/>
    </row>
    <row r="32" spans="1:7">
      <c r="A32" s="83" t="s">
        <v>26</v>
      </c>
      <c r="B32" s="3" t="s">
        <v>486</v>
      </c>
      <c r="C32" s="84"/>
      <c r="D32" s="84"/>
      <c r="E32" s="84"/>
      <c r="F32" s="84"/>
      <c r="G32" s="84"/>
    </row>
    <row r="33" spans="1:7">
      <c r="A33" s="83" t="s">
        <v>1230</v>
      </c>
      <c r="B33" s="3" t="s">
        <v>455</v>
      </c>
      <c r="C33" s="84"/>
      <c r="D33" s="84"/>
      <c r="E33" s="84"/>
      <c r="F33" s="84"/>
      <c r="G33" s="84"/>
    </row>
    <row r="34" spans="1:7">
      <c r="A34" s="83" t="s">
        <v>3048</v>
      </c>
      <c r="B34" s="3" t="s">
        <v>920</v>
      </c>
      <c r="C34" s="84"/>
      <c r="D34" s="84"/>
      <c r="E34" s="84"/>
      <c r="F34" s="84"/>
      <c r="G34" s="84"/>
    </row>
    <row r="35" spans="1:7">
      <c r="A35" s="83" t="s">
        <v>478</v>
      </c>
      <c r="B35" s="3" t="s">
        <v>368</v>
      </c>
      <c r="C35" s="84"/>
      <c r="D35" s="84"/>
      <c r="E35" s="84"/>
      <c r="F35" s="84"/>
      <c r="G35" s="84"/>
    </row>
    <row r="36" spans="1:7">
      <c r="A36" s="83" t="s">
        <v>873</v>
      </c>
      <c r="B36" s="3" t="s">
        <v>938</v>
      </c>
      <c r="C36" s="84"/>
      <c r="D36" s="84"/>
      <c r="E36" s="84"/>
      <c r="F36" s="84"/>
      <c r="G36" s="84"/>
    </row>
    <row r="37" spans="1:7">
      <c r="A37" s="83" t="s">
        <v>221</v>
      </c>
      <c r="B37" s="3" t="s">
        <v>953</v>
      </c>
      <c r="C37" s="84"/>
      <c r="D37" s="84"/>
      <c r="E37" s="84"/>
      <c r="F37" s="84"/>
      <c r="G37" s="84"/>
    </row>
    <row r="38" spans="1:7">
      <c r="A38" s="83" t="s">
        <v>3049</v>
      </c>
      <c r="B38" s="3" t="s">
        <v>957</v>
      </c>
      <c r="C38" s="84"/>
      <c r="D38" s="84"/>
      <c r="E38" s="84"/>
      <c r="F38" s="84"/>
      <c r="G38" s="84"/>
    </row>
    <row r="39" spans="1:7">
      <c r="A39" s="83" t="s">
        <v>202</v>
      </c>
      <c r="B39" s="3" t="s">
        <v>348</v>
      </c>
      <c r="C39" s="84"/>
      <c r="D39" s="84"/>
      <c r="E39" s="84"/>
      <c r="F39" s="84"/>
      <c r="G39" s="84"/>
    </row>
    <row r="40" spans="1:7">
      <c r="A40" s="83" t="s">
        <v>729</v>
      </c>
      <c r="B40" s="3" t="s">
        <v>416</v>
      </c>
      <c r="C40" s="84"/>
      <c r="D40" s="84"/>
      <c r="E40" s="84"/>
      <c r="F40" s="84"/>
      <c r="G40" s="84"/>
    </row>
    <row r="41" spans="1:7">
      <c r="A41" s="83" t="s">
        <v>3050</v>
      </c>
      <c r="B41" s="3" t="s">
        <v>971</v>
      </c>
      <c r="C41" s="84"/>
      <c r="D41" s="84"/>
      <c r="E41" s="84"/>
      <c r="F41" s="84"/>
      <c r="G41" s="84"/>
    </row>
    <row r="42" spans="1:7">
      <c r="A42" s="83" t="s">
        <v>185</v>
      </c>
      <c r="B42" s="3" t="s">
        <v>517</v>
      </c>
      <c r="C42" s="84"/>
      <c r="D42" s="84"/>
      <c r="E42" s="84"/>
      <c r="F42" s="84"/>
      <c r="G42" s="84"/>
    </row>
    <row r="43" spans="1:7">
      <c r="A43" s="83" t="s">
        <v>197</v>
      </c>
      <c r="B43" s="3" t="s">
        <v>479</v>
      </c>
      <c r="C43" s="84"/>
      <c r="D43" s="84"/>
      <c r="E43" s="84"/>
      <c r="F43" s="84"/>
      <c r="G43" s="84"/>
    </row>
    <row r="44" spans="1:7">
      <c r="A44" s="83" t="s">
        <v>516</v>
      </c>
      <c r="B44" s="3" t="s">
        <v>1004</v>
      </c>
      <c r="C44" s="84"/>
      <c r="D44" s="84"/>
      <c r="E44" s="84"/>
      <c r="F44" s="84"/>
      <c r="G44" s="84"/>
    </row>
    <row r="45" spans="1:7">
      <c r="A45" s="83" t="s">
        <v>975</v>
      </c>
      <c r="B45" s="3" t="s">
        <v>422</v>
      </c>
      <c r="C45" s="84"/>
      <c r="D45" s="84"/>
      <c r="E45" s="84"/>
      <c r="F45" s="84"/>
      <c r="G45" s="84"/>
    </row>
    <row r="46" spans="1:7">
      <c r="A46" s="83" t="s">
        <v>1159</v>
      </c>
      <c r="B46" s="3" t="s">
        <v>145</v>
      </c>
      <c r="C46" s="84"/>
      <c r="D46" s="84"/>
      <c r="E46" s="84"/>
      <c r="F46" s="84"/>
      <c r="G46" s="84"/>
    </row>
    <row r="47" spans="1:7">
      <c r="A47" s="85" t="s">
        <v>599</v>
      </c>
      <c r="B47" s="3" t="s">
        <v>42</v>
      </c>
      <c r="C47" s="84"/>
      <c r="D47" s="84"/>
      <c r="E47" s="84"/>
      <c r="F47" s="84"/>
      <c r="G47" s="84"/>
    </row>
    <row r="48" spans="1:7">
      <c r="A48" s="85" t="s">
        <v>3051</v>
      </c>
      <c r="B48" s="3" t="s">
        <v>1038</v>
      </c>
      <c r="C48" s="84"/>
      <c r="D48" s="84"/>
      <c r="E48" s="84"/>
      <c r="F48" s="84"/>
      <c r="G48" s="84"/>
    </row>
    <row r="49" spans="2:7">
      <c r="B49" s="3" t="s">
        <v>1050</v>
      </c>
      <c r="C49" s="84"/>
      <c r="D49" s="84"/>
      <c r="E49" s="84"/>
      <c r="F49" s="84"/>
      <c r="G49" s="84"/>
    </row>
    <row r="50" spans="2:7">
      <c r="B50" s="107" t="s">
        <v>1075</v>
      </c>
      <c r="C50" s="84"/>
      <c r="D50" s="84"/>
      <c r="E50" s="84"/>
      <c r="F50" s="84"/>
      <c r="G50" s="84"/>
    </row>
    <row r="51" spans="2:7">
      <c r="B51" s="3" t="s">
        <v>501</v>
      </c>
      <c r="C51" s="84"/>
      <c r="D51" s="84"/>
      <c r="E51" s="84"/>
      <c r="F51" s="84"/>
      <c r="G51" s="84"/>
    </row>
    <row r="52" spans="2:7">
      <c r="B52" s="107" t="s">
        <v>1093</v>
      </c>
      <c r="C52" s="84"/>
      <c r="D52" s="84"/>
      <c r="E52" s="84"/>
      <c r="F52" s="84"/>
      <c r="G52" s="84"/>
    </row>
    <row r="53" spans="2:7">
      <c r="B53" s="3" t="s">
        <v>102</v>
      </c>
      <c r="C53" s="84"/>
      <c r="D53" s="84"/>
      <c r="E53" s="84"/>
      <c r="F53" s="84"/>
      <c r="G53" s="84"/>
    </row>
    <row r="54" spans="2:7">
      <c r="B54" s="3" t="s">
        <v>1115</v>
      </c>
      <c r="C54" s="84"/>
      <c r="D54" s="84"/>
      <c r="E54" s="84"/>
      <c r="F54" s="84"/>
      <c r="G54" s="84"/>
    </row>
    <row r="55" spans="2:7">
      <c r="B55" s="3" t="s">
        <v>14</v>
      </c>
      <c r="C55" s="84"/>
      <c r="D55" s="84"/>
      <c r="E55" s="84"/>
      <c r="F55" s="84"/>
      <c r="G55" s="84"/>
    </row>
    <row r="56" spans="2:7">
      <c r="B56" s="3" t="s">
        <v>1124</v>
      </c>
      <c r="C56" s="84"/>
      <c r="D56" s="84"/>
      <c r="E56" s="84"/>
      <c r="F56" s="84"/>
      <c r="G56" s="84"/>
    </row>
    <row r="57" spans="2:7">
      <c r="B57" s="3" t="s">
        <v>1139</v>
      </c>
      <c r="C57" s="84"/>
      <c r="D57" s="84"/>
      <c r="E57" s="84"/>
      <c r="F57" s="84"/>
      <c r="G57" s="84"/>
    </row>
    <row r="58" spans="2:7">
      <c r="B58" s="3" t="s">
        <v>539</v>
      </c>
      <c r="C58" s="84"/>
      <c r="D58" s="84"/>
      <c r="E58" s="84"/>
      <c r="F58" s="84"/>
      <c r="G58" s="84"/>
    </row>
    <row r="59" spans="2:7">
      <c r="B59" s="3" t="s">
        <v>1153</v>
      </c>
      <c r="C59" s="84"/>
      <c r="D59" s="84"/>
      <c r="E59" s="84"/>
      <c r="F59" s="84"/>
      <c r="G59" s="84"/>
    </row>
    <row r="60" spans="2:7">
      <c r="B60" s="3" t="s">
        <v>1160</v>
      </c>
      <c r="C60" s="84"/>
      <c r="D60" s="84"/>
      <c r="E60" s="84"/>
      <c r="F60" s="84"/>
      <c r="G60" s="84"/>
    </row>
    <row r="61" spans="2:7">
      <c r="B61" s="102" t="s">
        <v>579</v>
      </c>
      <c r="C61" s="84"/>
      <c r="D61" s="84"/>
      <c r="E61" s="84"/>
      <c r="F61" s="84"/>
      <c r="G61" s="84"/>
    </row>
    <row r="62" spans="2:7">
      <c r="B62" s="3" t="s">
        <v>154</v>
      </c>
      <c r="C62" s="84"/>
      <c r="D62" s="84"/>
      <c r="E62" s="84"/>
      <c r="F62" s="84"/>
      <c r="G62" s="84"/>
    </row>
    <row r="63" spans="2:7">
      <c r="B63" s="3" t="s">
        <v>603</v>
      </c>
      <c r="C63" s="84"/>
      <c r="D63" s="84"/>
      <c r="E63" s="84"/>
      <c r="F63" s="84"/>
      <c r="G63" s="84"/>
    </row>
    <row r="64" spans="2:7">
      <c r="B64" s="3" t="s">
        <v>546</v>
      </c>
      <c r="C64" s="84"/>
      <c r="D64" s="84"/>
      <c r="E64" s="84"/>
      <c r="F64" s="84"/>
      <c r="G64" s="84"/>
    </row>
    <row r="65" spans="2:7">
      <c r="B65" s="3" t="s">
        <v>203</v>
      </c>
      <c r="C65" s="84"/>
      <c r="D65" s="84"/>
      <c r="E65" s="84"/>
      <c r="F65" s="84"/>
      <c r="G65" s="84"/>
    </row>
    <row r="66" spans="2:7">
      <c r="B66" s="3" t="s">
        <v>527</v>
      </c>
      <c r="C66" s="84"/>
      <c r="D66" s="84"/>
      <c r="E66" s="84"/>
      <c r="F66" s="84"/>
      <c r="G66" s="84"/>
    </row>
    <row r="67" spans="2:7">
      <c r="B67" s="86" t="s">
        <v>110</v>
      </c>
      <c r="C67" s="84"/>
      <c r="D67" s="84"/>
      <c r="E67" s="84"/>
      <c r="F67" s="84"/>
      <c r="G67" s="84"/>
    </row>
    <row r="68" spans="2:7">
      <c r="B68" s="86" t="s">
        <v>3052</v>
      </c>
      <c r="C68" s="84"/>
      <c r="D68" s="84"/>
      <c r="E68" s="84"/>
      <c r="F68" s="84"/>
      <c r="G68" s="84"/>
    </row>
    <row r="69" spans="2:7">
      <c r="B69" s="86" t="s">
        <v>61</v>
      </c>
      <c r="C69" s="84"/>
      <c r="D69" s="84"/>
      <c r="E69" s="84"/>
      <c r="F69" s="84"/>
      <c r="G69" s="84"/>
    </row>
    <row r="70" spans="2:7">
      <c r="B70" s="86" t="s">
        <v>3053</v>
      </c>
      <c r="C70" s="84"/>
      <c r="D70" s="84"/>
      <c r="E70" s="84"/>
      <c r="F70" s="84"/>
      <c r="G70" s="84"/>
    </row>
    <row r="71" spans="2:7">
      <c r="B71" s="86" t="s">
        <v>3054</v>
      </c>
      <c r="C71" s="84"/>
      <c r="D71" s="84"/>
      <c r="E71" s="84"/>
      <c r="F71" s="84"/>
      <c r="G71" s="84"/>
    </row>
    <row r="72" spans="2:7">
      <c r="B72" s="86" t="s">
        <v>382</v>
      </c>
      <c r="C72" s="84"/>
      <c r="D72" s="84"/>
      <c r="E72" s="84"/>
      <c r="F72" s="84"/>
      <c r="G72" s="84"/>
    </row>
    <row r="73" spans="2:7">
      <c r="B73" s="86" t="s">
        <v>1732</v>
      </c>
      <c r="C73" s="84"/>
      <c r="D73" s="84"/>
      <c r="E73" s="84"/>
      <c r="F73" s="84"/>
      <c r="G73" s="84"/>
    </row>
    <row r="74" spans="2:7">
      <c r="B74" s="86" t="s">
        <v>3055</v>
      </c>
      <c r="C74" s="84"/>
      <c r="D74" s="84"/>
      <c r="E74" s="84"/>
      <c r="F74" s="84"/>
      <c r="G74" s="84"/>
    </row>
    <row r="75" spans="2:7">
      <c r="B75" s="86" t="s">
        <v>3056</v>
      </c>
      <c r="C75" s="84"/>
      <c r="D75" s="84"/>
      <c r="E75" s="84"/>
      <c r="F75" s="84"/>
      <c r="G75" s="84"/>
    </row>
    <row r="76" spans="2:7">
      <c r="B76" s="86" t="s">
        <v>438</v>
      </c>
      <c r="C76" s="84"/>
      <c r="D76" s="84"/>
      <c r="E76" s="84"/>
      <c r="F76" s="84"/>
      <c r="G76" s="84"/>
    </row>
    <row r="77" spans="2:7">
      <c r="B77" s="86" t="s">
        <v>3057</v>
      </c>
      <c r="C77" s="84"/>
      <c r="D77" s="84"/>
      <c r="E77" s="84"/>
      <c r="F77" s="84"/>
      <c r="G77" s="84"/>
    </row>
    <row r="78" spans="2:7">
      <c r="B78" s="86" t="s">
        <v>287</v>
      </c>
      <c r="C78" s="84"/>
      <c r="D78" s="84"/>
      <c r="E78" s="84"/>
      <c r="F78" s="84"/>
      <c r="G78" s="84"/>
    </row>
    <row r="79" spans="2:7">
      <c r="B79" s="86" t="s">
        <v>592</v>
      </c>
      <c r="C79" s="84"/>
      <c r="D79" s="84"/>
      <c r="E79" s="84"/>
      <c r="F79" s="84"/>
      <c r="G79" s="84"/>
    </row>
    <row r="80" spans="2:7">
      <c r="B80" s="86" t="s">
        <v>3058</v>
      </c>
      <c r="C80" s="84"/>
      <c r="D80" s="84"/>
      <c r="E80" s="84"/>
      <c r="F80" s="84"/>
      <c r="G80" s="84"/>
    </row>
    <row r="81" spans="2:7">
      <c r="B81" s="86" t="s">
        <v>3059</v>
      </c>
      <c r="C81" s="84"/>
      <c r="D81" s="84"/>
      <c r="E81" s="84"/>
      <c r="F81" s="84"/>
      <c r="G81" s="84"/>
    </row>
    <row r="82" spans="2:7">
      <c r="B82" s="86" t="s">
        <v>50</v>
      </c>
      <c r="C82" s="84"/>
      <c r="D82" s="84"/>
      <c r="E82" s="84"/>
      <c r="F82" s="84"/>
      <c r="G82" s="84"/>
    </row>
    <row r="83" spans="2:7">
      <c r="B83" s="86" t="s">
        <v>335</v>
      </c>
      <c r="C83" s="84"/>
      <c r="D83" s="84"/>
      <c r="E83" s="84"/>
      <c r="F83" s="84"/>
      <c r="G83" s="84"/>
    </row>
    <row r="84" spans="2:7">
      <c r="B84" s="86" t="s">
        <v>3060</v>
      </c>
      <c r="C84" s="84"/>
      <c r="D84" s="84"/>
      <c r="E84" s="84"/>
      <c r="F84" s="84"/>
      <c r="G84" s="84"/>
    </row>
    <row r="85" spans="2:7">
      <c r="B85" s="86" t="s">
        <v>82</v>
      </c>
      <c r="C85" s="84"/>
      <c r="D85" s="84"/>
      <c r="E85" s="84"/>
      <c r="F85" s="84"/>
      <c r="G85" s="84"/>
    </row>
    <row r="86" spans="2:7">
      <c r="B86" s="86" t="s">
        <v>3061</v>
      </c>
      <c r="C86" s="84"/>
      <c r="D86" s="84"/>
      <c r="E86" s="84"/>
      <c r="F86" s="84"/>
      <c r="G86" s="84"/>
    </row>
    <row r="87" spans="2:7">
      <c r="B87" s="86" t="s">
        <v>21</v>
      </c>
      <c r="C87" s="84"/>
      <c r="D87" s="84"/>
      <c r="E87" s="84"/>
      <c r="F87" s="84"/>
      <c r="G87" s="84"/>
    </row>
    <row r="88" spans="2:7">
      <c r="B88" s="86" t="s">
        <v>474</v>
      </c>
      <c r="C88" s="84"/>
      <c r="D88" s="84"/>
      <c r="E88" s="84"/>
      <c r="F88" s="84"/>
      <c r="G88" s="84"/>
    </row>
    <row r="89" spans="2:7">
      <c r="B89" s="86" t="s">
        <v>3062</v>
      </c>
      <c r="C89" s="84"/>
      <c r="D89" s="84"/>
      <c r="E89" s="84"/>
      <c r="F89" s="84"/>
      <c r="G89" s="84"/>
    </row>
    <row r="90" spans="2:7">
      <c r="B90" s="86" t="s">
        <v>55</v>
      </c>
      <c r="C90" s="84"/>
      <c r="D90" s="84"/>
      <c r="E90" s="84"/>
      <c r="F90" s="84"/>
      <c r="G90" s="84"/>
    </row>
    <row r="91" spans="2:7">
      <c r="B91" s="86" t="s">
        <v>3063</v>
      </c>
      <c r="C91" s="84"/>
      <c r="D91" s="84"/>
      <c r="E91" s="84"/>
      <c r="F91" s="84"/>
      <c r="G91" s="84"/>
    </row>
    <row r="92" spans="2:7">
      <c r="B92" s="86" t="s">
        <v>27</v>
      </c>
      <c r="C92" s="84"/>
      <c r="D92" s="84"/>
      <c r="E92" s="84"/>
      <c r="F92" s="84"/>
      <c r="G92" s="84"/>
    </row>
    <row r="93" spans="2:7">
      <c r="B93" s="86" t="s">
        <v>1421</v>
      </c>
      <c r="C93" s="84"/>
      <c r="D93" s="84"/>
      <c r="E93" s="84"/>
      <c r="F93" s="84"/>
      <c r="G93" s="84"/>
    </row>
    <row r="94" spans="2:7">
      <c r="B94" s="103" t="s">
        <v>2800</v>
      </c>
      <c r="C94" s="84"/>
      <c r="D94" s="84"/>
      <c r="E94" s="84"/>
      <c r="F94" s="84"/>
      <c r="G94" s="84"/>
    </row>
    <row r="95" spans="2:7">
      <c r="B95" s="86" t="s">
        <v>257</v>
      </c>
      <c r="C95" s="84"/>
      <c r="D95" s="84"/>
      <c r="E95" s="84"/>
      <c r="F95" s="84"/>
      <c r="G95" s="84"/>
    </row>
    <row r="96" spans="2:7">
      <c r="B96" s="86" t="s">
        <v>3064</v>
      </c>
      <c r="C96" s="84"/>
      <c r="D96" s="84"/>
      <c r="E96" s="84"/>
      <c r="F96" s="84"/>
      <c r="G96" s="84"/>
    </row>
    <row r="97" spans="2:7">
      <c r="B97" s="86" t="s">
        <v>3065</v>
      </c>
      <c r="C97" s="84"/>
      <c r="D97" s="84"/>
      <c r="E97" s="84"/>
      <c r="F97" s="84"/>
      <c r="G97" s="84"/>
    </row>
    <row r="98" spans="2:7">
      <c r="B98" s="86" t="s">
        <v>1711</v>
      </c>
      <c r="C98" s="84"/>
      <c r="D98" s="84"/>
      <c r="E98" s="84"/>
      <c r="F98" s="84"/>
      <c r="G98" s="84"/>
    </row>
    <row r="99" spans="2:7">
      <c r="B99" s="86" t="s">
        <v>37</v>
      </c>
      <c r="C99" s="84"/>
      <c r="D99" s="84"/>
      <c r="E99" s="84"/>
      <c r="F99" s="84"/>
      <c r="G99" s="84"/>
    </row>
    <row r="100" spans="2:7">
      <c r="B100" s="86" t="s">
        <v>3066</v>
      </c>
      <c r="C100" s="84"/>
      <c r="D100" s="84"/>
      <c r="E100" s="84"/>
      <c r="F100" s="84"/>
      <c r="G100" s="84"/>
    </row>
    <row r="101" spans="2:7">
      <c r="B101" s="86" t="s">
        <v>2240</v>
      </c>
      <c r="C101" s="84"/>
      <c r="D101" s="84"/>
      <c r="E101" s="84"/>
      <c r="F101" s="84"/>
      <c r="G101" s="84"/>
    </row>
    <row r="102" spans="2:7">
      <c r="B102" s="86" t="s">
        <v>2575</v>
      </c>
      <c r="C102" s="84"/>
      <c r="D102" s="84"/>
      <c r="E102" s="84"/>
      <c r="F102" s="84"/>
      <c r="G102" s="84"/>
    </row>
    <row r="103" spans="2:7">
      <c r="B103" s="86" t="s">
        <v>2692</v>
      </c>
      <c r="C103" s="84"/>
      <c r="D103" s="84"/>
      <c r="E103" s="84"/>
      <c r="F103" s="84"/>
      <c r="G103" s="84"/>
    </row>
    <row r="104" spans="2:7">
      <c r="B104" s="86" t="s">
        <v>2030</v>
      </c>
      <c r="C104" s="84"/>
      <c r="D104" s="84"/>
      <c r="E104" s="84"/>
      <c r="F104" s="84"/>
      <c r="G104" s="84"/>
    </row>
    <row r="105" spans="2:7">
      <c r="B105" s="86" t="s">
        <v>1685</v>
      </c>
      <c r="C105" s="84"/>
      <c r="D105" s="84"/>
      <c r="E105" s="84"/>
      <c r="F105" s="84"/>
      <c r="G105" s="84"/>
    </row>
    <row r="106" spans="2:7">
      <c r="B106" s="86" t="s">
        <v>3067</v>
      </c>
      <c r="C106" s="84"/>
      <c r="D106" s="84"/>
      <c r="E106" s="84"/>
      <c r="F106" s="84"/>
      <c r="G106" s="84"/>
    </row>
    <row r="107" spans="2:7">
      <c r="B107" s="86" t="s">
        <v>3068</v>
      </c>
      <c r="C107" s="84"/>
      <c r="D107" s="84"/>
      <c r="E107" s="84"/>
      <c r="F107" s="84"/>
      <c r="G107" s="84"/>
    </row>
    <row r="108" spans="2:7">
      <c r="B108" s="86" t="s">
        <v>3069</v>
      </c>
      <c r="C108" s="84"/>
      <c r="D108" s="84"/>
      <c r="E108" s="84"/>
      <c r="F108" s="84"/>
      <c r="G108" s="84"/>
    </row>
    <row r="109" spans="2:7">
      <c r="B109" s="86" t="s">
        <v>69</v>
      </c>
      <c r="C109" s="84"/>
      <c r="D109" s="84"/>
      <c r="E109" s="84"/>
      <c r="F109" s="84"/>
      <c r="G109" s="84"/>
    </row>
    <row r="110" spans="2:7">
      <c r="B110" s="86" t="s">
        <v>222</v>
      </c>
      <c r="C110" s="84"/>
      <c r="D110" s="84"/>
      <c r="E110" s="84"/>
      <c r="F110" s="84"/>
      <c r="G110" s="84"/>
    </row>
    <row r="111" spans="2:7">
      <c r="B111" s="86" t="s">
        <v>2901</v>
      </c>
      <c r="C111" s="84"/>
      <c r="D111" s="84"/>
      <c r="E111" s="84"/>
      <c r="F111" s="84"/>
      <c r="G111" s="84"/>
    </row>
    <row r="112" spans="2:7">
      <c r="B112" s="86" t="s">
        <v>2344</v>
      </c>
      <c r="C112" s="84"/>
      <c r="D112" s="84"/>
      <c r="E112" s="84"/>
      <c r="F112" s="84"/>
      <c r="G112" s="84"/>
    </row>
    <row r="113" spans="2:7">
      <c r="B113" s="86" t="s">
        <v>2858</v>
      </c>
      <c r="C113" s="84"/>
      <c r="D113" s="84"/>
      <c r="E113" s="84"/>
      <c r="F113" s="84"/>
      <c r="G113" s="84"/>
    </row>
    <row r="114" spans="2:7">
      <c r="B114" s="86" t="s">
        <v>3070</v>
      </c>
      <c r="C114" s="84"/>
      <c r="D114" s="84"/>
      <c r="E114" s="84"/>
      <c r="F114" s="84"/>
      <c r="G114" s="84"/>
    </row>
    <row r="115" spans="2:7">
      <c r="B115" s="86" t="s">
        <v>2838</v>
      </c>
      <c r="C115" s="84"/>
      <c r="D115" s="84"/>
      <c r="E115" s="84"/>
      <c r="F115" s="84"/>
      <c r="G115" s="84"/>
    </row>
    <row r="116" spans="2:7">
      <c r="B116" s="86" t="s">
        <v>1656</v>
      </c>
      <c r="C116" s="84"/>
      <c r="D116" s="84"/>
      <c r="E116" s="84"/>
      <c r="F116" s="84"/>
      <c r="G116" s="84"/>
    </row>
    <row r="117" spans="2:7">
      <c r="B117" s="83" t="s">
        <v>159</v>
      </c>
      <c r="C117" s="84"/>
      <c r="D117" s="84"/>
      <c r="E117" s="84"/>
      <c r="F117" s="84"/>
      <c r="G117" s="84"/>
    </row>
    <row r="118" spans="2:7">
      <c r="B118" s="3" t="s">
        <v>495</v>
      </c>
      <c r="C118" s="84"/>
      <c r="D118" s="84"/>
      <c r="E118" s="84"/>
      <c r="F118" s="84"/>
      <c r="G118" s="84"/>
    </row>
    <row r="119" spans="2:7">
      <c r="B119" s="3" t="s">
        <v>521</v>
      </c>
      <c r="C119" s="84"/>
      <c r="D119" s="84"/>
      <c r="E119" s="84"/>
      <c r="F119" s="84"/>
      <c r="G119" s="84"/>
    </row>
    <row r="120" spans="2:7">
      <c r="B120" s="3" t="s">
        <v>1725</v>
      </c>
      <c r="C120" s="84"/>
      <c r="D120" s="84"/>
      <c r="E120" s="84"/>
      <c r="F120" s="84"/>
      <c r="G120" s="84"/>
    </row>
    <row r="121" spans="2:7">
      <c r="C121" s="84"/>
      <c r="D121" s="84"/>
      <c r="E121" s="84"/>
      <c r="F121" s="84"/>
      <c r="G121" s="84"/>
    </row>
    <row r="122" spans="2:7">
      <c r="C122" s="84"/>
      <c r="D122" s="84"/>
      <c r="E122" s="84"/>
      <c r="F122" s="84"/>
      <c r="G122" s="84"/>
    </row>
    <row r="123" spans="2:7">
      <c r="C123" s="84"/>
      <c r="D123" s="84"/>
      <c r="E123" s="84"/>
      <c r="F123" s="84"/>
      <c r="G123" s="84"/>
    </row>
    <row r="124" spans="2:7">
      <c r="C124" s="84"/>
      <c r="D124" s="84"/>
      <c r="E124" s="84"/>
      <c r="F124" s="84"/>
      <c r="G124" s="84"/>
    </row>
    <row r="125" spans="2:7">
      <c r="C125" s="84"/>
      <c r="D125" s="84"/>
      <c r="E125" s="84"/>
      <c r="F125" s="84"/>
      <c r="G125" s="84"/>
    </row>
    <row r="126" spans="2:7">
      <c r="C126" s="84"/>
      <c r="D126" s="84"/>
      <c r="E126" s="84"/>
      <c r="F126" s="84"/>
      <c r="G126" s="84"/>
    </row>
    <row r="127" spans="2:7">
      <c r="C127" s="84"/>
      <c r="D127" s="84"/>
      <c r="E127" s="84"/>
      <c r="F127" s="84"/>
      <c r="G127" s="84"/>
    </row>
    <row r="128" spans="2:7">
      <c r="C128" s="84"/>
      <c r="D128" s="84"/>
      <c r="E128" s="84"/>
      <c r="F128" s="84"/>
      <c r="G128" s="84"/>
    </row>
    <row r="129" spans="3:7">
      <c r="C129" s="84"/>
      <c r="D129" s="84"/>
      <c r="E129" s="84"/>
      <c r="F129" s="84"/>
      <c r="G129" s="84"/>
    </row>
    <row r="130" spans="3:7">
      <c r="C130" s="84"/>
      <c r="D130" s="84"/>
      <c r="E130" s="84"/>
      <c r="F130" s="84"/>
      <c r="G130" s="84"/>
    </row>
    <row r="131" spans="3:7">
      <c r="C131" s="84"/>
      <c r="D131" s="84"/>
      <c r="E131" s="84"/>
      <c r="F131" s="84"/>
      <c r="G131" s="84"/>
    </row>
    <row r="132" spans="3:7">
      <c r="C132" s="84"/>
      <c r="D132" s="84"/>
      <c r="E132" s="84"/>
      <c r="F132" s="84"/>
      <c r="G132" s="84"/>
    </row>
    <row r="133" spans="3:7">
      <c r="C133" s="84"/>
      <c r="D133" s="84"/>
      <c r="E133" s="84"/>
      <c r="F133" s="84"/>
      <c r="G133" s="84"/>
    </row>
    <row r="134" spans="3:7">
      <c r="C134" s="84"/>
      <c r="D134" s="84"/>
      <c r="E134" s="84"/>
      <c r="F134" s="84"/>
      <c r="G134" s="84"/>
    </row>
    <row r="135" spans="3:7">
      <c r="C135" s="84"/>
      <c r="D135" s="84"/>
      <c r="E135" s="84"/>
      <c r="F135" s="84"/>
      <c r="G135" s="84"/>
    </row>
    <row r="136" spans="3:7">
      <c r="C136" s="84"/>
      <c r="D136" s="84"/>
      <c r="E136" s="84"/>
      <c r="F136" s="84"/>
      <c r="G136" s="84"/>
    </row>
    <row r="137" spans="3:7">
      <c r="C137" s="84"/>
      <c r="D137" s="84"/>
      <c r="E137" s="84"/>
      <c r="F137" s="84"/>
      <c r="G137" s="84"/>
    </row>
    <row r="138" spans="3:7">
      <c r="C138" s="84"/>
      <c r="D138" s="84"/>
      <c r="E138" s="84"/>
      <c r="F138" s="84"/>
      <c r="G138" s="84"/>
    </row>
    <row r="139" spans="3:7">
      <c r="C139" s="84"/>
      <c r="D139" s="84"/>
      <c r="E139" s="84"/>
      <c r="F139" s="84"/>
      <c r="G139" s="84"/>
    </row>
    <row r="140" spans="3:7">
      <c r="C140" s="84"/>
      <c r="D140" s="84"/>
      <c r="E140" s="84"/>
      <c r="F140" s="84"/>
      <c r="G140" s="84"/>
    </row>
    <row r="141" spans="3:7">
      <c r="C141" s="84"/>
      <c r="D141" s="84"/>
      <c r="E141" s="84"/>
      <c r="F141" s="84"/>
      <c r="G141" s="84"/>
    </row>
    <row r="142" spans="3:7">
      <c r="C142" s="84"/>
      <c r="D142" s="84"/>
      <c r="E142" s="84"/>
      <c r="F142" s="84"/>
      <c r="G142" s="84"/>
    </row>
    <row r="143" spans="3:7">
      <c r="C143" s="84"/>
      <c r="D143" s="84"/>
      <c r="E143" s="84"/>
      <c r="F143" s="84"/>
      <c r="G143" s="84"/>
    </row>
    <row r="144" spans="3:7">
      <c r="C144" s="84"/>
      <c r="D144" s="84"/>
      <c r="E144" s="84"/>
      <c r="F144" s="84"/>
      <c r="G144" s="84"/>
    </row>
    <row r="145" spans="3:7">
      <c r="C145" s="84"/>
      <c r="D145" s="84"/>
      <c r="E145" s="84"/>
      <c r="F145" s="84"/>
      <c r="G145" s="84"/>
    </row>
    <row r="146" spans="3:7">
      <c r="C146" s="84"/>
      <c r="D146" s="84"/>
      <c r="E146" s="84"/>
      <c r="F146" s="84"/>
      <c r="G146" s="84"/>
    </row>
    <row r="147" spans="3:7">
      <c r="C147" s="84"/>
      <c r="D147" s="84"/>
      <c r="E147" s="84"/>
      <c r="F147" s="84"/>
      <c r="G147" s="84"/>
    </row>
    <row r="148" spans="3:7">
      <c r="C148" s="84"/>
      <c r="D148" s="84"/>
      <c r="E148" s="84"/>
      <c r="F148" s="84"/>
      <c r="G148" s="84"/>
    </row>
    <row r="149" spans="3:7">
      <c r="C149" s="84"/>
      <c r="D149" s="84"/>
      <c r="E149" s="84"/>
      <c r="F149" s="84"/>
      <c r="G149" s="84"/>
    </row>
    <row r="150" spans="3:7">
      <c r="C150" s="84"/>
      <c r="D150" s="84"/>
      <c r="E150" s="84"/>
      <c r="F150" s="84"/>
      <c r="G150" s="84"/>
    </row>
    <row r="151" spans="3:7">
      <c r="C151" s="84"/>
      <c r="D151" s="84"/>
      <c r="E151" s="84"/>
      <c r="F151" s="84"/>
      <c r="G151" s="84"/>
    </row>
    <row r="152" spans="3:7">
      <c r="C152" s="84"/>
      <c r="D152" s="84"/>
      <c r="E152" s="84"/>
      <c r="F152" s="84"/>
      <c r="G152" s="84"/>
    </row>
    <row r="153" spans="3:7">
      <c r="C153" s="84"/>
      <c r="D153" s="84"/>
      <c r="E153" s="84"/>
      <c r="F153" s="84"/>
      <c r="G153" s="84"/>
    </row>
    <row r="154" spans="3:7">
      <c r="C154" s="84"/>
      <c r="D154" s="84"/>
      <c r="E154" s="84"/>
      <c r="F154" s="84"/>
      <c r="G154" s="84"/>
    </row>
    <row r="155" spans="3:7">
      <c r="C155" s="84"/>
      <c r="D155" s="84"/>
      <c r="E155" s="84"/>
      <c r="F155" s="84"/>
      <c r="G155" s="84"/>
    </row>
    <row r="156" spans="3:7">
      <c r="C156" s="84"/>
      <c r="D156" s="84"/>
      <c r="E156" s="84"/>
      <c r="F156" s="84"/>
      <c r="G156" s="84"/>
    </row>
    <row r="157" spans="3:7">
      <c r="C157" s="84"/>
      <c r="D157" s="84"/>
      <c r="E157" s="84"/>
      <c r="F157" s="84"/>
      <c r="G157" s="84"/>
    </row>
    <row r="158" spans="3:7">
      <c r="C158" s="84"/>
      <c r="D158" s="84"/>
      <c r="E158" s="84"/>
      <c r="F158" s="84"/>
      <c r="G158" s="84"/>
    </row>
    <row r="159" spans="3:7">
      <c r="C159" s="84"/>
      <c r="D159" s="84"/>
      <c r="E159" s="84"/>
      <c r="F159" s="84"/>
      <c r="G159" s="84"/>
    </row>
    <row r="160" spans="3:7">
      <c r="C160" s="84"/>
      <c r="D160" s="84"/>
      <c r="E160" s="84"/>
      <c r="F160" s="84"/>
      <c r="G160" s="84"/>
    </row>
    <row r="161" spans="3:7">
      <c r="C161" s="84"/>
      <c r="D161" s="84"/>
      <c r="E161" s="84"/>
      <c r="F161" s="84"/>
      <c r="G161" s="84"/>
    </row>
    <row r="162" spans="3:7">
      <c r="C162" s="84"/>
      <c r="D162" s="84"/>
      <c r="E162" s="84"/>
      <c r="F162" s="84"/>
      <c r="G162" s="84"/>
    </row>
    <row r="163" spans="3:7">
      <c r="C163" s="84"/>
      <c r="D163" s="84"/>
      <c r="E163" s="84"/>
      <c r="F163" s="84"/>
      <c r="G163" s="84"/>
    </row>
    <row r="164" spans="3:7">
      <c r="C164" s="84"/>
      <c r="D164" s="84"/>
      <c r="E164" s="84"/>
      <c r="F164" s="84"/>
      <c r="G164" s="84"/>
    </row>
    <row r="165" spans="3:7">
      <c r="C165" s="84"/>
      <c r="D165" s="84"/>
      <c r="E165" s="84"/>
      <c r="F165" s="84"/>
      <c r="G165" s="84"/>
    </row>
    <row r="166" spans="3:7">
      <c r="C166" s="84"/>
      <c r="D166" s="84"/>
      <c r="E166" s="84"/>
      <c r="F166" s="84"/>
      <c r="G166" s="84"/>
    </row>
    <row r="167" spans="3:7">
      <c r="C167" s="84"/>
      <c r="D167" s="84"/>
      <c r="E167" s="84"/>
      <c r="F167" s="84"/>
      <c r="G167" s="84"/>
    </row>
    <row r="168" spans="3:7">
      <c r="C168" s="84"/>
      <c r="D168" s="84"/>
      <c r="E168" s="84"/>
      <c r="F168" s="84"/>
      <c r="G168" s="84"/>
    </row>
    <row r="169" spans="3:7">
      <c r="C169" s="84"/>
      <c r="D169" s="84"/>
      <c r="E169" s="84"/>
      <c r="F169" s="84"/>
      <c r="G169" s="84"/>
    </row>
    <row r="170" spans="3:7">
      <c r="C170" s="84"/>
      <c r="D170" s="84"/>
      <c r="E170" s="84"/>
      <c r="F170" s="84"/>
      <c r="G170" s="84"/>
    </row>
    <row r="171" spans="3:7">
      <c r="C171" s="84"/>
      <c r="D171" s="84"/>
      <c r="E171" s="84"/>
      <c r="F171" s="84"/>
      <c r="G171" s="84"/>
    </row>
    <row r="172" spans="3:7">
      <c r="C172" s="84"/>
      <c r="D172" s="84"/>
      <c r="E172" s="84"/>
      <c r="F172" s="84"/>
      <c r="G172" s="84"/>
    </row>
    <row r="173" spans="3:7">
      <c r="C173" s="84"/>
      <c r="D173" s="84"/>
      <c r="E173" s="84"/>
      <c r="F173" s="84"/>
      <c r="G173" s="84"/>
    </row>
    <row r="174" spans="3:7">
      <c r="C174" s="84"/>
      <c r="D174" s="84"/>
      <c r="E174" s="84"/>
      <c r="F174" s="84"/>
      <c r="G174" s="84"/>
    </row>
    <row r="175" spans="3:7">
      <c r="C175" s="84"/>
      <c r="D175" s="84"/>
      <c r="E175" s="84"/>
      <c r="F175" s="84"/>
      <c r="G175" s="84"/>
    </row>
    <row r="176" spans="3:7">
      <c r="C176" s="84"/>
      <c r="D176" s="84"/>
      <c r="E176" s="84"/>
      <c r="F176" s="84"/>
      <c r="G176" s="84"/>
    </row>
    <row r="177" spans="3:7">
      <c r="C177" s="84"/>
      <c r="D177" s="84"/>
      <c r="E177" s="84"/>
      <c r="F177" s="84"/>
      <c r="G177" s="84"/>
    </row>
    <row r="178" spans="3:7">
      <c r="C178" s="84"/>
      <c r="D178" s="84"/>
      <c r="E178" s="84"/>
      <c r="F178" s="84"/>
      <c r="G178" s="84"/>
    </row>
    <row r="179" spans="3:7">
      <c r="C179" s="84"/>
      <c r="D179" s="84"/>
      <c r="E179" s="84"/>
      <c r="F179" s="84"/>
      <c r="G179" s="84"/>
    </row>
    <row r="180" spans="3:7">
      <c r="C180" s="84"/>
      <c r="D180" s="84"/>
      <c r="E180" s="84"/>
      <c r="F180" s="84"/>
      <c r="G180" s="84"/>
    </row>
    <row r="181" spans="3:7">
      <c r="C181" s="84"/>
      <c r="D181" s="84"/>
      <c r="E181" s="84"/>
      <c r="F181" s="84"/>
      <c r="G181" s="84"/>
    </row>
    <row r="182" spans="3:7">
      <c r="C182" s="84"/>
      <c r="D182" s="84"/>
      <c r="E182" s="84"/>
      <c r="F182" s="84"/>
      <c r="G182" s="84"/>
    </row>
    <row r="183" spans="3:7">
      <c r="C183" s="84"/>
      <c r="D183" s="84"/>
      <c r="E183" s="84"/>
      <c r="F183" s="84"/>
      <c r="G183" s="84"/>
    </row>
    <row r="184" spans="3:7">
      <c r="C184" s="84"/>
      <c r="D184" s="84"/>
      <c r="E184" s="84"/>
      <c r="F184" s="84"/>
      <c r="G184" s="84"/>
    </row>
    <row r="185" spans="3:7">
      <c r="C185" s="84"/>
      <c r="D185" s="84"/>
      <c r="E185" s="84"/>
      <c r="F185" s="84"/>
      <c r="G185" s="84"/>
    </row>
    <row r="186" spans="3:7">
      <c r="C186" s="84"/>
      <c r="D186" s="84"/>
      <c r="E186" s="84"/>
      <c r="F186" s="84"/>
      <c r="G186" s="84"/>
    </row>
    <row r="187" spans="3:7">
      <c r="C187" s="84"/>
      <c r="D187" s="84"/>
      <c r="E187" s="84"/>
      <c r="F187" s="84"/>
      <c r="G187" s="84"/>
    </row>
    <row r="188" spans="3:7">
      <c r="C188" s="84"/>
      <c r="D188" s="84"/>
      <c r="E188" s="84"/>
      <c r="F188" s="84"/>
      <c r="G188" s="84"/>
    </row>
    <row r="189" spans="3:7">
      <c r="C189" s="84"/>
      <c r="D189" s="84"/>
      <c r="E189" s="84"/>
      <c r="F189" s="84"/>
      <c r="G189" s="84"/>
    </row>
    <row r="190" spans="3:7">
      <c r="C190" s="84"/>
      <c r="D190" s="84"/>
      <c r="E190" s="84"/>
      <c r="F190" s="84"/>
      <c r="G190" s="84"/>
    </row>
    <row r="191" spans="3:7">
      <c r="C191" s="84"/>
      <c r="D191" s="84"/>
      <c r="E191" s="84"/>
      <c r="F191" s="84"/>
      <c r="G191" s="84"/>
    </row>
    <row r="192" spans="3:7">
      <c r="C192" s="84"/>
      <c r="D192" s="84"/>
      <c r="E192" s="84"/>
      <c r="F192" s="84"/>
      <c r="G192" s="84"/>
    </row>
    <row r="193" spans="3:7">
      <c r="C193" s="84"/>
      <c r="D193" s="84"/>
      <c r="E193" s="84"/>
      <c r="F193" s="84"/>
      <c r="G193" s="84"/>
    </row>
    <row r="194" spans="3:7">
      <c r="C194" s="84"/>
      <c r="D194" s="84"/>
      <c r="E194" s="84"/>
      <c r="F194" s="84"/>
      <c r="G194" s="84"/>
    </row>
    <row r="195" spans="3:7">
      <c r="C195" s="84"/>
      <c r="D195" s="84"/>
      <c r="E195" s="84"/>
      <c r="F195" s="84"/>
      <c r="G195" s="84"/>
    </row>
    <row r="196" spans="3:7">
      <c r="C196" s="84"/>
      <c r="D196" s="84"/>
      <c r="E196" s="84"/>
      <c r="F196" s="84"/>
      <c r="G196" s="84"/>
    </row>
    <row r="197" spans="3:7">
      <c r="C197" s="84"/>
      <c r="D197" s="84"/>
      <c r="E197" s="84"/>
      <c r="F197" s="84"/>
      <c r="G197" s="84"/>
    </row>
    <row r="198" spans="3:7">
      <c r="C198" s="84"/>
      <c r="D198" s="84"/>
      <c r="E198" s="84"/>
      <c r="F198" s="84"/>
      <c r="G198" s="84"/>
    </row>
    <row r="199" spans="3:7">
      <c r="C199" s="84"/>
      <c r="D199" s="84"/>
      <c r="E199" s="84"/>
      <c r="F199" s="84"/>
      <c r="G199" s="84"/>
    </row>
    <row r="200" spans="3:7">
      <c r="C200" s="84"/>
      <c r="D200" s="84"/>
      <c r="E200" s="84"/>
      <c r="F200" s="84"/>
      <c r="G200" s="84"/>
    </row>
    <row r="201" spans="3:7">
      <c r="C201" s="84"/>
      <c r="D201" s="84"/>
      <c r="E201" s="84"/>
      <c r="F201" s="84"/>
      <c r="G201" s="84"/>
    </row>
    <row r="202" spans="3:7">
      <c r="C202" s="84"/>
      <c r="D202" s="84"/>
      <c r="E202" s="84"/>
      <c r="F202" s="84"/>
      <c r="G202" s="84"/>
    </row>
    <row r="203" spans="3:7">
      <c r="C203" s="84"/>
      <c r="D203" s="84"/>
      <c r="E203" s="84"/>
      <c r="F203" s="84"/>
      <c r="G203" s="84"/>
    </row>
    <row r="204" spans="3:7">
      <c r="C204" s="84"/>
      <c r="D204" s="84"/>
      <c r="E204" s="84"/>
      <c r="F204" s="84"/>
      <c r="G204" s="84"/>
    </row>
    <row r="205" spans="3:7">
      <c r="C205" s="84"/>
      <c r="D205" s="84"/>
      <c r="E205" s="84"/>
      <c r="F205" s="84"/>
      <c r="G205" s="84"/>
    </row>
    <row r="206" spans="3:7">
      <c r="C206" s="84"/>
      <c r="D206" s="84"/>
      <c r="E206" s="84"/>
      <c r="F206" s="84"/>
      <c r="G206" s="84"/>
    </row>
    <row r="207" spans="3:7">
      <c r="C207" s="84"/>
      <c r="D207" s="84"/>
      <c r="E207" s="84"/>
      <c r="F207" s="84"/>
      <c r="G207" s="84"/>
    </row>
    <row r="208" spans="3:7">
      <c r="C208" s="84"/>
      <c r="D208" s="84"/>
      <c r="E208" s="84"/>
      <c r="F208" s="84"/>
      <c r="G208" s="84"/>
    </row>
    <row r="209" spans="3:7">
      <c r="C209" s="84"/>
      <c r="D209" s="84"/>
      <c r="E209" s="84"/>
      <c r="F209" s="84"/>
      <c r="G209" s="84"/>
    </row>
    <row r="210" spans="3:7">
      <c r="C210" s="84"/>
      <c r="D210" s="84"/>
      <c r="E210" s="84"/>
      <c r="F210" s="84"/>
      <c r="G210" s="84"/>
    </row>
    <row r="211" spans="3:7">
      <c r="C211" s="84"/>
      <c r="D211" s="84"/>
      <c r="E211" s="84"/>
      <c r="F211" s="84"/>
      <c r="G211" s="84"/>
    </row>
    <row r="212" spans="3:7">
      <c r="C212" s="84"/>
      <c r="D212" s="84"/>
      <c r="E212" s="84"/>
      <c r="F212" s="84"/>
      <c r="G212" s="84"/>
    </row>
    <row r="213" spans="3:7">
      <c r="C213" s="84"/>
      <c r="D213" s="84"/>
      <c r="E213" s="84"/>
      <c r="F213" s="84"/>
      <c r="G213" s="84"/>
    </row>
    <row r="214" spans="3:7">
      <c r="C214" s="84"/>
      <c r="D214" s="84"/>
      <c r="E214" s="84"/>
      <c r="F214" s="84"/>
      <c r="G214" s="84"/>
    </row>
    <row r="215" spans="3:7">
      <c r="C215" s="84"/>
      <c r="D215" s="84"/>
      <c r="E215" s="84"/>
      <c r="F215" s="84"/>
      <c r="G215" s="84"/>
    </row>
    <row r="216" spans="3:7">
      <c r="C216" s="84"/>
      <c r="D216" s="84"/>
      <c r="E216" s="84"/>
      <c r="F216" s="84"/>
      <c r="G216" s="84"/>
    </row>
    <row r="217" spans="3:7">
      <c r="C217" s="84"/>
      <c r="D217" s="84"/>
      <c r="E217" s="84"/>
      <c r="F217" s="84"/>
      <c r="G217" s="84"/>
    </row>
    <row r="218" spans="3:7">
      <c r="C218" s="84"/>
      <c r="D218" s="84"/>
      <c r="E218" s="84"/>
      <c r="F218" s="84"/>
      <c r="G218" s="84"/>
    </row>
    <row r="219" spans="3:7">
      <c r="C219" s="84"/>
      <c r="D219" s="84"/>
      <c r="E219" s="84"/>
      <c r="F219" s="84"/>
      <c r="G219" s="84"/>
    </row>
    <row r="220" spans="3:7">
      <c r="C220" s="84"/>
      <c r="D220" s="84"/>
      <c r="E220" s="84"/>
      <c r="F220" s="84"/>
      <c r="G220" s="84"/>
    </row>
    <row r="221" spans="3:7">
      <c r="C221" s="84"/>
      <c r="D221" s="84"/>
      <c r="E221" s="84"/>
      <c r="F221" s="84"/>
      <c r="G221" s="84"/>
    </row>
    <row r="222" spans="3:7">
      <c r="C222" s="84"/>
      <c r="D222" s="84"/>
      <c r="E222" s="84"/>
      <c r="F222" s="84"/>
      <c r="G222" s="84"/>
    </row>
    <row r="223" spans="3:7">
      <c r="C223" s="84"/>
      <c r="D223" s="84"/>
      <c r="E223" s="84"/>
      <c r="F223" s="84"/>
      <c r="G223" s="84"/>
    </row>
    <row r="224" spans="3:7">
      <c r="C224" s="84"/>
      <c r="D224" s="84"/>
      <c r="E224" s="84"/>
      <c r="F224" s="84"/>
      <c r="G224" s="84"/>
    </row>
    <row r="225" spans="3:7">
      <c r="C225" s="84"/>
      <c r="D225" s="84"/>
      <c r="E225" s="84"/>
      <c r="F225" s="84"/>
      <c r="G225" s="84"/>
    </row>
    <row r="226" spans="3:7">
      <c r="C226" s="84"/>
      <c r="D226" s="84"/>
      <c r="E226" s="84"/>
      <c r="F226" s="84"/>
      <c r="G226" s="84"/>
    </row>
    <row r="227" spans="3:7">
      <c r="C227" s="84"/>
      <c r="D227" s="84"/>
      <c r="E227" s="84"/>
      <c r="F227" s="84"/>
      <c r="G227" s="84"/>
    </row>
    <row r="228" spans="3:7">
      <c r="C228" s="84"/>
      <c r="D228" s="84"/>
      <c r="E228" s="84"/>
      <c r="F228" s="84"/>
      <c r="G228" s="84"/>
    </row>
    <row r="229" spans="3:7">
      <c r="C229" s="84"/>
      <c r="D229" s="84"/>
      <c r="E229" s="84"/>
      <c r="F229" s="84"/>
      <c r="G229" s="84"/>
    </row>
    <row r="230" spans="3:7">
      <c r="C230" s="84"/>
      <c r="D230" s="84"/>
      <c r="E230" s="84"/>
      <c r="F230" s="84"/>
      <c r="G230" s="84"/>
    </row>
    <row r="231" spans="3:7">
      <c r="C231" s="84"/>
      <c r="D231" s="84"/>
      <c r="E231" s="84"/>
      <c r="F231" s="84"/>
      <c r="G231" s="84"/>
    </row>
    <row r="232" spans="3:7">
      <c r="C232" s="84"/>
      <c r="D232" s="84"/>
      <c r="E232" s="84"/>
      <c r="F232" s="84"/>
      <c r="G232" s="84"/>
    </row>
    <row r="233" spans="3:7">
      <c r="C233" s="84"/>
      <c r="D233" s="84"/>
      <c r="E233" s="84"/>
      <c r="F233" s="84"/>
      <c r="G233" s="84"/>
    </row>
    <row r="234" spans="3:7">
      <c r="C234" s="84"/>
      <c r="D234" s="84"/>
      <c r="E234" s="84"/>
      <c r="F234" s="84"/>
      <c r="G234" s="84"/>
    </row>
    <row r="235" spans="3:7">
      <c r="C235" s="84"/>
      <c r="D235" s="84"/>
      <c r="E235" s="84"/>
      <c r="F235" s="84"/>
      <c r="G235" s="84"/>
    </row>
    <row r="236" spans="3:7">
      <c r="C236" s="84"/>
      <c r="D236" s="84"/>
      <c r="E236" s="84"/>
      <c r="F236" s="84"/>
      <c r="G236" s="84"/>
    </row>
    <row r="237" spans="3:7">
      <c r="C237" s="84"/>
      <c r="D237" s="84"/>
      <c r="E237" s="84"/>
      <c r="F237" s="84"/>
      <c r="G237" s="84"/>
    </row>
    <row r="238" spans="3:7">
      <c r="C238" s="84"/>
      <c r="D238" s="84"/>
      <c r="E238" s="84"/>
      <c r="F238" s="84"/>
      <c r="G238" s="84"/>
    </row>
    <row r="239" spans="3:7">
      <c r="C239" s="84"/>
      <c r="D239" s="84"/>
      <c r="E239" s="84"/>
      <c r="F239" s="84"/>
      <c r="G239" s="84"/>
    </row>
    <row r="240" spans="3:7">
      <c r="C240" s="84"/>
      <c r="D240" s="84"/>
      <c r="E240" s="84"/>
      <c r="F240" s="84"/>
      <c r="G240" s="84"/>
    </row>
    <row r="241" spans="3:7">
      <c r="C241" s="84"/>
      <c r="D241" s="84"/>
      <c r="E241" s="84"/>
      <c r="F241" s="84"/>
      <c r="G241" s="84"/>
    </row>
    <row r="242" spans="3:7">
      <c r="C242" s="84"/>
      <c r="D242" s="84"/>
      <c r="E242" s="84"/>
      <c r="F242" s="84"/>
      <c r="G242" s="84"/>
    </row>
    <row r="243" spans="3:7">
      <c r="C243" s="84"/>
      <c r="D243" s="84"/>
      <c r="E243" s="84"/>
      <c r="F243" s="84"/>
      <c r="G243" s="84"/>
    </row>
    <row r="244" spans="3:7">
      <c r="C244" s="84"/>
      <c r="D244" s="84"/>
      <c r="E244" s="84"/>
      <c r="F244" s="84"/>
      <c r="G244" s="84"/>
    </row>
    <row r="245" spans="3:7">
      <c r="C245" s="84"/>
      <c r="D245" s="84"/>
      <c r="E245" s="84"/>
      <c r="F245" s="84"/>
      <c r="G245" s="84"/>
    </row>
    <row r="246" spans="3:7">
      <c r="C246" s="84"/>
      <c r="D246" s="84"/>
      <c r="E246" s="84"/>
      <c r="F246" s="84"/>
      <c r="G246" s="84"/>
    </row>
    <row r="247" spans="3:7">
      <c r="C247" s="84"/>
      <c r="D247" s="84"/>
      <c r="E247" s="84"/>
      <c r="F247" s="84"/>
      <c r="G247" s="84"/>
    </row>
    <row r="248" spans="3:7">
      <c r="C248" s="84"/>
      <c r="D248" s="84"/>
      <c r="E248" s="84"/>
      <c r="F248" s="84"/>
      <c r="G248" s="84"/>
    </row>
    <row r="249" spans="3:7">
      <c r="C249" s="84"/>
      <c r="D249" s="84"/>
      <c r="E249" s="84"/>
      <c r="F249" s="84"/>
      <c r="G249" s="84"/>
    </row>
    <row r="250" spans="3:7">
      <c r="C250" s="84"/>
      <c r="D250" s="84"/>
      <c r="E250" s="84"/>
      <c r="F250" s="84"/>
      <c r="G250" s="84"/>
    </row>
    <row r="251" spans="3:7">
      <c r="C251" s="84"/>
      <c r="D251" s="84"/>
      <c r="E251" s="84"/>
      <c r="F251" s="84"/>
      <c r="G251" s="84"/>
    </row>
    <row r="252" spans="3:7">
      <c r="C252" s="84"/>
      <c r="D252" s="84"/>
      <c r="E252" s="84"/>
      <c r="F252" s="84"/>
      <c r="G252" s="84"/>
    </row>
    <row r="253" spans="3:7">
      <c r="C253" s="84"/>
      <c r="D253" s="84"/>
      <c r="E253" s="84"/>
      <c r="F253" s="84"/>
      <c r="G253" s="84"/>
    </row>
    <row r="254" spans="3:7">
      <c r="C254" s="84"/>
      <c r="D254" s="84"/>
      <c r="E254" s="84"/>
      <c r="F254" s="84"/>
      <c r="G254" s="84"/>
    </row>
    <row r="255" spans="3:7">
      <c r="C255" s="84"/>
      <c r="D255" s="84"/>
      <c r="E255" s="84"/>
      <c r="F255" s="84"/>
      <c r="G255" s="84"/>
    </row>
    <row r="256" spans="3:7">
      <c r="C256" s="84"/>
      <c r="D256" s="84"/>
      <c r="E256" s="84"/>
      <c r="F256" s="84"/>
      <c r="G256" s="84"/>
    </row>
    <row r="257" spans="3:7">
      <c r="C257" s="84"/>
      <c r="D257" s="84"/>
      <c r="E257" s="84"/>
      <c r="F257" s="84"/>
      <c r="G257" s="84"/>
    </row>
    <row r="258" spans="3:7">
      <c r="C258" s="84"/>
      <c r="D258" s="84"/>
      <c r="E258" s="84"/>
      <c r="F258" s="84"/>
      <c r="G258" s="84"/>
    </row>
    <row r="259" spans="3:7">
      <c r="C259" s="84"/>
      <c r="D259" s="84"/>
      <c r="E259" s="84"/>
      <c r="F259" s="84"/>
      <c r="G259" s="84"/>
    </row>
    <row r="260" spans="3:7">
      <c r="C260" s="84"/>
      <c r="D260" s="84"/>
      <c r="E260" s="84"/>
      <c r="F260" s="84"/>
      <c r="G260" s="84"/>
    </row>
    <row r="261" spans="3:7">
      <c r="C261" s="84"/>
      <c r="D261" s="84"/>
      <c r="E261" s="84"/>
      <c r="F261" s="84"/>
      <c r="G261" s="84"/>
    </row>
    <row r="262" spans="3:7">
      <c r="C262" s="84"/>
      <c r="D262" s="84"/>
      <c r="E262" s="84"/>
      <c r="F262" s="84"/>
      <c r="G262" s="84"/>
    </row>
    <row r="263" spans="3:7">
      <c r="C263" s="84"/>
      <c r="D263" s="84"/>
      <c r="E263" s="84"/>
      <c r="F263" s="84"/>
      <c r="G263" s="84"/>
    </row>
    <row r="264" spans="3:7">
      <c r="C264" s="84"/>
      <c r="D264" s="84"/>
      <c r="E264" s="84"/>
      <c r="F264" s="84"/>
      <c r="G264" s="84"/>
    </row>
    <row r="265" spans="3:7">
      <c r="C265" s="84"/>
      <c r="D265" s="84"/>
      <c r="E265" s="84"/>
      <c r="F265" s="84"/>
      <c r="G265" s="84"/>
    </row>
    <row r="266" spans="3:7">
      <c r="C266" s="84"/>
      <c r="D266" s="84"/>
      <c r="E266" s="84"/>
      <c r="F266" s="84"/>
      <c r="G266" s="84"/>
    </row>
    <row r="267" spans="3:7">
      <c r="C267" s="84"/>
      <c r="D267" s="84"/>
      <c r="E267" s="84"/>
      <c r="F267" s="84"/>
      <c r="G267" s="84"/>
    </row>
    <row r="268" spans="3:7">
      <c r="C268" s="84"/>
      <c r="D268" s="84"/>
      <c r="E268" s="84"/>
      <c r="F268" s="84"/>
      <c r="G268" s="84"/>
    </row>
    <row r="269" spans="3:7">
      <c r="C269" s="84"/>
      <c r="D269" s="84"/>
      <c r="E269" s="84"/>
      <c r="F269" s="84"/>
      <c r="G269" s="84"/>
    </row>
    <row r="270" spans="3:7">
      <c r="C270" s="84"/>
      <c r="D270" s="84"/>
      <c r="E270" s="84"/>
      <c r="F270" s="84"/>
      <c r="G270" s="84"/>
    </row>
    <row r="271" spans="3:7">
      <c r="C271" s="84"/>
      <c r="D271" s="84"/>
      <c r="E271" s="84"/>
      <c r="F271" s="84"/>
      <c r="G271" s="84"/>
    </row>
    <row r="272" spans="3:7">
      <c r="C272" s="84"/>
      <c r="D272" s="84"/>
      <c r="E272" s="84"/>
      <c r="F272" s="84"/>
      <c r="G272" s="84"/>
    </row>
    <row r="273" spans="3:7">
      <c r="C273" s="84"/>
      <c r="D273" s="84"/>
      <c r="E273" s="84"/>
      <c r="F273" s="84"/>
      <c r="G273" s="84"/>
    </row>
    <row r="274" spans="3:7">
      <c r="C274" s="84"/>
      <c r="D274" s="84"/>
      <c r="E274" s="84"/>
      <c r="F274" s="84"/>
      <c r="G274" s="84"/>
    </row>
    <row r="275" spans="3:7">
      <c r="C275" s="84"/>
      <c r="D275" s="84"/>
      <c r="E275" s="84"/>
      <c r="F275" s="84"/>
      <c r="G275" s="84"/>
    </row>
    <row r="276" spans="3:7">
      <c r="C276" s="84"/>
      <c r="D276" s="84"/>
      <c r="E276" s="84"/>
      <c r="F276" s="84"/>
      <c r="G276" s="84"/>
    </row>
    <row r="277" spans="3:7">
      <c r="C277" s="84"/>
      <c r="D277" s="84"/>
      <c r="E277" s="84"/>
      <c r="F277" s="84"/>
      <c r="G277" s="84"/>
    </row>
    <row r="278" spans="3:7">
      <c r="C278" s="84"/>
      <c r="D278" s="84"/>
      <c r="E278" s="84"/>
      <c r="F278" s="84"/>
      <c r="G278" s="84"/>
    </row>
    <row r="279" spans="3:7">
      <c r="C279" s="84"/>
      <c r="D279" s="84"/>
      <c r="E279" s="84"/>
      <c r="F279" s="84"/>
      <c r="G279" s="84"/>
    </row>
    <row r="280" spans="3:7">
      <c r="C280" s="84"/>
      <c r="D280" s="84"/>
      <c r="E280" s="84"/>
      <c r="F280" s="84"/>
      <c r="G280" s="84"/>
    </row>
    <row r="281" spans="3:7">
      <c r="C281" s="84"/>
      <c r="D281" s="84"/>
      <c r="E281" s="84"/>
      <c r="F281" s="84"/>
      <c r="G281" s="84"/>
    </row>
    <row r="282" spans="3:7">
      <c r="C282" s="84"/>
      <c r="D282" s="84"/>
      <c r="E282" s="84"/>
      <c r="F282" s="84"/>
      <c r="G282" s="84"/>
    </row>
    <row r="283" spans="3:7">
      <c r="C283" s="84"/>
      <c r="D283" s="84"/>
      <c r="E283" s="84"/>
      <c r="F283" s="84"/>
      <c r="G283" s="84"/>
    </row>
    <row r="284" spans="3:7">
      <c r="C284" s="84"/>
      <c r="D284" s="84"/>
      <c r="E284" s="84"/>
      <c r="F284" s="84"/>
      <c r="G284" s="84"/>
    </row>
    <row r="285" spans="3:7">
      <c r="C285" s="84"/>
      <c r="D285" s="84"/>
      <c r="E285" s="84"/>
      <c r="F285" s="84"/>
      <c r="G285" s="84"/>
    </row>
    <row r="286" spans="3:7">
      <c r="C286" s="84"/>
      <c r="D286" s="84"/>
      <c r="E286" s="84"/>
      <c r="F286" s="84"/>
      <c r="G286" s="84"/>
    </row>
    <row r="287" spans="3:7">
      <c r="C287" s="84"/>
      <c r="D287" s="84"/>
      <c r="E287" s="84"/>
      <c r="F287" s="84"/>
      <c r="G287" s="84"/>
    </row>
    <row r="288" spans="3:7">
      <c r="C288" s="84"/>
      <c r="D288" s="84"/>
      <c r="E288" s="84"/>
      <c r="F288" s="84"/>
      <c r="G288" s="84"/>
    </row>
    <row r="289" spans="3:7">
      <c r="C289" s="84"/>
      <c r="D289" s="84"/>
      <c r="E289" s="84"/>
      <c r="F289" s="84"/>
      <c r="G289" s="84"/>
    </row>
    <row r="290" spans="3:7">
      <c r="C290" s="84"/>
      <c r="D290" s="84"/>
      <c r="E290" s="84"/>
      <c r="F290" s="84"/>
      <c r="G290" s="84"/>
    </row>
    <row r="291" spans="3:7">
      <c r="C291" s="84"/>
      <c r="D291" s="84"/>
      <c r="E291" s="84"/>
      <c r="F291" s="84"/>
      <c r="G291" s="84"/>
    </row>
    <row r="292" spans="3:7">
      <c r="C292" s="84"/>
      <c r="D292" s="84"/>
      <c r="E292" s="84"/>
      <c r="F292" s="84"/>
      <c r="G292" s="84"/>
    </row>
    <row r="293" spans="3:7">
      <c r="C293" s="84"/>
      <c r="D293" s="84"/>
      <c r="E293" s="84"/>
      <c r="F293" s="84"/>
      <c r="G293" s="84"/>
    </row>
    <row r="294" spans="3:7">
      <c r="C294" s="84"/>
      <c r="D294" s="84"/>
      <c r="E294" s="84"/>
      <c r="F294" s="84"/>
      <c r="G294" s="84"/>
    </row>
    <row r="295" spans="3:7">
      <c r="C295" s="84"/>
      <c r="D295" s="84"/>
      <c r="E295" s="84"/>
      <c r="F295" s="84"/>
      <c r="G295" s="84"/>
    </row>
    <row r="296" spans="3:7">
      <c r="C296" s="84"/>
      <c r="D296" s="84"/>
      <c r="E296" s="84"/>
      <c r="F296" s="84"/>
      <c r="G296" s="84"/>
    </row>
    <row r="297" spans="3:7">
      <c r="C297" s="84"/>
      <c r="D297" s="84"/>
      <c r="E297" s="84"/>
      <c r="F297" s="84"/>
      <c r="G297" s="84"/>
    </row>
    <row r="298" spans="3:7">
      <c r="C298" s="84"/>
      <c r="D298" s="84"/>
      <c r="E298" s="84"/>
      <c r="F298" s="84"/>
      <c r="G298" s="84"/>
    </row>
    <row r="299" spans="3:7">
      <c r="C299" s="84"/>
      <c r="D299" s="84"/>
      <c r="E299" s="84"/>
      <c r="F299" s="84"/>
      <c r="G299" s="84"/>
    </row>
    <row r="300" spans="3:7">
      <c r="C300" s="84"/>
      <c r="D300" s="84"/>
      <c r="E300" s="84"/>
      <c r="F300" s="84"/>
      <c r="G300" s="84"/>
    </row>
    <row r="301" spans="3:7">
      <c r="C301" s="84"/>
      <c r="D301" s="84"/>
      <c r="E301" s="84"/>
      <c r="F301" s="84"/>
      <c r="G301" s="84"/>
    </row>
    <row r="302" spans="3:7">
      <c r="C302" s="84"/>
      <c r="D302" s="84"/>
      <c r="E302" s="84"/>
      <c r="F302" s="84"/>
      <c r="G302" s="84"/>
    </row>
    <row r="303" spans="3:7">
      <c r="C303" s="84"/>
      <c r="D303" s="84"/>
      <c r="E303" s="84"/>
      <c r="F303" s="84"/>
      <c r="G303" s="84"/>
    </row>
    <row r="304" spans="3:7">
      <c r="C304" s="84"/>
      <c r="D304" s="84"/>
      <c r="E304" s="84"/>
      <c r="F304" s="84"/>
      <c r="G304" s="84"/>
    </row>
    <row r="305" spans="3:7">
      <c r="C305" s="84"/>
      <c r="D305" s="84"/>
      <c r="E305" s="84"/>
      <c r="F305" s="84"/>
      <c r="G305" s="84"/>
    </row>
    <row r="306" spans="3:7">
      <c r="C306" s="84"/>
      <c r="D306" s="84"/>
      <c r="E306" s="84"/>
      <c r="F306" s="84"/>
      <c r="G306" s="84"/>
    </row>
    <row r="307" spans="3:7">
      <c r="C307" s="84"/>
      <c r="D307" s="84"/>
      <c r="E307" s="84"/>
      <c r="F307" s="84"/>
      <c r="G307" s="84"/>
    </row>
    <row r="308" spans="3:7">
      <c r="C308" s="84"/>
      <c r="D308" s="84"/>
      <c r="E308" s="84"/>
      <c r="F308" s="84"/>
      <c r="G308" s="84"/>
    </row>
    <row r="309" spans="3:7">
      <c r="C309" s="84"/>
      <c r="D309" s="84"/>
      <c r="E309" s="84"/>
      <c r="F309" s="84"/>
      <c r="G309" s="84"/>
    </row>
    <row r="310" spans="3:7">
      <c r="C310" s="84"/>
      <c r="D310" s="84"/>
      <c r="E310" s="84"/>
      <c r="F310" s="84"/>
      <c r="G310" s="84"/>
    </row>
    <row r="311" spans="3:7">
      <c r="C311" s="84"/>
      <c r="D311" s="84"/>
      <c r="E311" s="84"/>
      <c r="F311" s="84"/>
      <c r="G311" s="84"/>
    </row>
    <row r="312" spans="3:7">
      <c r="C312" s="84"/>
      <c r="D312" s="84"/>
      <c r="E312" s="84"/>
      <c r="F312" s="84"/>
      <c r="G312" s="84"/>
    </row>
    <row r="313" spans="3:7">
      <c r="C313" s="84"/>
      <c r="D313" s="84"/>
      <c r="E313" s="84"/>
      <c r="F313" s="84"/>
      <c r="G313" s="84"/>
    </row>
    <row r="314" spans="3:7">
      <c r="C314" s="84"/>
      <c r="D314" s="84"/>
      <c r="E314" s="84"/>
      <c r="F314" s="84"/>
      <c r="G314" s="84"/>
    </row>
    <row r="315" spans="3:7">
      <c r="C315" s="84"/>
      <c r="D315" s="84"/>
      <c r="E315" s="84"/>
      <c r="F315" s="84"/>
      <c r="G315" s="84"/>
    </row>
    <row r="316" spans="3:7">
      <c r="C316" s="84"/>
      <c r="D316" s="84"/>
      <c r="E316" s="84"/>
      <c r="F316" s="84"/>
      <c r="G316" s="84"/>
    </row>
    <row r="317" spans="3:7">
      <c r="C317" s="84"/>
      <c r="D317" s="84"/>
      <c r="E317" s="84"/>
      <c r="F317" s="84"/>
      <c r="G317" s="84"/>
    </row>
    <row r="318" spans="3:7">
      <c r="C318" s="84"/>
      <c r="D318" s="84"/>
      <c r="E318" s="84"/>
      <c r="F318" s="84"/>
      <c r="G318" s="84"/>
    </row>
    <row r="319" spans="3:7">
      <c r="C319" s="84"/>
      <c r="D319" s="84"/>
      <c r="E319" s="84"/>
      <c r="F319" s="84"/>
      <c r="G319" s="84"/>
    </row>
    <row r="320" spans="3:7">
      <c r="C320" s="84"/>
      <c r="D320" s="84"/>
      <c r="E320" s="84"/>
      <c r="F320" s="84"/>
      <c r="G320" s="84"/>
    </row>
    <row r="321" spans="3:7">
      <c r="C321" s="84"/>
      <c r="D321" s="84"/>
      <c r="E321" s="84"/>
      <c r="F321" s="84"/>
      <c r="G321" s="84"/>
    </row>
    <row r="322" spans="3:7">
      <c r="C322" s="84"/>
      <c r="D322" s="84"/>
      <c r="E322" s="84"/>
      <c r="F322" s="84"/>
      <c r="G322" s="84"/>
    </row>
    <row r="323" spans="3:7">
      <c r="C323" s="84"/>
      <c r="D323" s="84"/>
      <c r="E323" s="84"/>
      <c r="F323" s="84"/>
      <c r="G323" s="84"/>
    </row>
    <row r="324" spans="3:7">
      <c r="C324" s="84"/>
      <c r="D324" s="84"/>
      <c r="E324" s="84"/>
      <c r="F324" s="84"/>
      <c r="G324" s="84"/>
    </row>
    <row r="325" spans="3:7">
      <c r="C325" s="84"/>
      <c r="D325" s="84"/>
      <c r="E325" s="84"/>
      <c r="F325" s="84"/>
      <c r="G325" s="84"/>
    </row>
    <row r="326" spans="3:7">
      <c r="C326" s="84"/>
      <c r="D326" s="84"/>
      <c r="E326" s="84"/>
      <c r="F326" s="84"/>
      <c r="G326" s="84"/>
    </row>
    <row r="327" spans="3:7">
      <c r="C327" s="84"/>
      <c r="D327" s="84"/>
      <c r="E327" s="84"/>
      <c r="F327" s="84"/>
      <c r="G327" s="84"/>
    </row>
    <row r="328" spans="3:7">
      <c r="C328" s="84"/>
      <c r="D328" s="84"/>
      <c r="E328" s="84"/>
      <c r="F328" s="84"/>
      <c r="G328" s="84"/>
    </row>
    <row r="329" spans="3:7">
      <c r="C329" s="84"/>
      <c r="D329" s="84"/>
      <c r="E329" s="84"/>
      <c r="F329" s="84"/>
      <c r="G329" s="84"/>
    </row>
    <row r="330" spans="3:7">
      <c r="C330" s="84"/>
      <c r="D330" s="84"/>
      <c r="E330" s="84"/>
      <c r="F330" s="84"/>
      <c r="G330" s="84"/>
    </row>
    <row r="331" spans="3:7">
      <c r="C331" s="84"/>
      <c r="D331" s="84"/>
      <c r="E331" s="84"/>
      <c r="F331" s="84"/>
      <c r="G331" s="84"/>
    </row>
    <row r="332" spans="3:7">
      <c r="C332" s="84"/>
      <c r="D332" s="84"/>
      <c r="E332" s="84"/>
      <c r="F332" s="84"/>
      <c r="G332" s="84"/>
    </row>
    <row r="333" spans="3:7">
      <c r="C333" s="84"/>
      <c r="D333" s="84"/>
      <c r="E333" s="84"/>
      <c r="F333" s="84"/>
      <c r="G333" s="84"/>
    </row>
    <row r="334" spans="3:7">
      <c r="C334" s="84"/>
      <c r="D334" s="84"/>
      <c r="E334" s="84"/>
      <c r="F334" s="84"/>
      <c r="G334" s="84"/>
    </row>
    <row r="335" spans="3:7">
      <c r="C335" s="84"/>
      <c r="D335" s="84"/>
      <c r="E335" s="84"/>
      <c r="F335" s="84"/>
      <c r="G335" s="84"/>
    </row>
    <row r="336" spans="3:7">
      <c r="C336" s="84"/>
      <c r="D336" s="84"/>
      <c r="E336" s="84"/>
      <c r="F336" s="84"/>
      <c r="G336" s="84"/>
    </row>
    <row r="337" spans="3:7">
      <c r="C337" s="84"/>
      <c r="D337" s="84"/>
      <c r="E337" s="84"/>
      <c r="F337" s="84"/>
      <c r="G337" s="84"/>
    </row>
    <row r="338" spans="3:7">
      <c r="C338" s="84"/>
      <c r="D338" s="84"/>
      <c r="E338" s="84"/>
      <c r="F338" s="84"/>
      <c r="G338" s="84"/>
    </row>
    <row r="339" spans="3:7">
      <c r="C339" s="84"/>
      <c r="D339" s="84"/>
      <c r="E339" s="84"/>
      <c r="F339" s="84"/>
      <c r="G339" s="84"/>
    </row>
    <row r="340" spans="3:7">
      <c r="C340" s="84"/>
      <c r="D340" s="84"/>
      <c r="E340" s="84"/>
      <c r="F340" s="84"/>
      <c r="G340" s="84"/>
    </row>
    <row r="341" spans="3:7">
      <c r="C341" s="84"/>
      <c r="D341" s="84"/>
      <c r="E341" s="84"/>
      <c r="F341" s="84"/>
      <c r="G341" s="84"/>
    </row>
    <row r="342" spans="3:7">
      <c r="C342" s="84"/>
      <c r="D342" s="84"/>
      <c r="E342" s="84"/>
      <c r="F342" s="84"/>
      <c r="G342" s="84"/>
    </row>
    <row r="343" spans="3:7">
      <c r="C343" s="84"/>
      <c r="D343" s="84"/>
      <c r="E343" s="84"/>
      <c r="F343" s="84"/>
      <c r="G343" s="84"/>
    </row>
    <row r="344" spans="3:7">
      <c r="C344" s="84"/>
      <c r="D344" s="84"/>
      <c r="E344" s="84"/>
      <c r="F344" s="84"/>
      <c r="G344" s="84"/>
    </row>
    <row r="345" spans="3:7">
      <c r="C345" s="84"/>
      <c r="D345" s="84"/>
      <c r="E345" s="84"/>
      <c r="F345" s="84"/>
      <c r="G345" s="84"/>
    </row>
    <row r="346" spans="3:7">
      <c r="C346" s="84"/>
      <c r="D346" s="84"/>
      <c r="E346" s="84"/>
      <c r="F346" s="84"/>
      <c r="G346" s="84"/>
    </row>
    <row r="347" spans="3:7">
      <c r="C347" s="84"/>
      <c r="D347" s="84"/>
      <c r="E347" s="84"/>
      <c r="F347" s="84"/>
      <c r="G347" s="84"/>
    </row>
    <row r="348" spans="3:7">
      <c r="C348" s="84"/>
      <c r="D348" s="84"/>
      <c r="E348" s="84"/>
      <c r="F348" s="84"/>
      <c r="G348" s="84"/>
    </row>
    <row r="349" spans="3:7">
      <c r="C349" s="84"/>
      <c r="D349" s="84"/>
      <c r="E349" s="84"/>
      <c r="F349" s="84"/>
      <c r="G349" s="84"/>
    </row>
    <row r="350" spans="3:7">
      <c r="C350" s="84"/>
      <c r="D350" s="84"/>
      <c r="E350" s="84"/>
      <c r="F350" s="84"/>
      <c r="G350" s="84"/>
    </row>
    <row r="351" spans="3:7">
      <c r="C351" s="84"/>
      <c r="D351" s="84"/>
      <c r="E351" s="84"/>
      <c r="F351" s="84"/>
      <c r="G351" s="84"/>
    </row>
    <row r="352" spans="3:7">
      <c r="C352" s="84"/>
      <c r="D352" s="84"/>
      <c r="E352" s="84"/>
      <c r="F352" s="84"/>
      <c r="G352" s="84"/>
    </row>
    <row r="353" spans="3:7">
      <c r="C353" s="84"/>
      <c r="D353" s="84"/>
      <c r="E353" s="84"/>
      <c r="F353" s="84"/>
      <c r="G353" s="84"/>
    </row>
    <row r="354" spans="3:7">
      <c r="C354" s="84"/>
      <c r="D354" s="84"/>
      <c r="E354" s="84"/>
      <c r="F354" s="84"/>
      <c r="G354" s="84"/>
    </row>
    <row r="355" spans="3:7">
      <c r="C355" s="84"/>
      <c r="D355" s="84"/>
      <c r="E355" s="84"/>
      <c r="F355" s="84"/>
      <c r="G355" s="84"/>
    </row>
    <row r="356" spans="3:7">
      <c r="C356" s="84"/>
      <c r="D356" s="84"/>
      <c r="E356" s="84"/>
      <c r="F356" s="84"/>
      <c r="G356" s="84"/>
    </row>
    <row r="357" spans="3:7">
      <c r="C357" s="84"/>
      <c r="D357" s="84"/>
      <c r="E357" s="84"/>
      <c r="F357" s="84"/>
      <c r="G357" s="84"/>
    </row>
    <row r="358" spans="3:7">
      <c r="C358" s="84"/>
      <c r="D358" s="84"/>
      <c r="E358" s="84"/>
      <c r="F358" s="84"/>
      <c r="G358" s="84"/>
    </row>
    <row r="359" spans="3:7">
      <c r="C359" s="84"/>
      <c r="D359" s="84"/>
      <c r="E359" s="84"/>
      <c r="F359" s="84"/>
      <c r="G359" s="84"/>
    </row>
    <row r="360" spans="3:7">
      <c r="C360" s="84"/>
      <c r="D360" s="84"/>
      <c r="E360" s="84"/>
      <c r="F360" s="84"/>
      <c r="G360" s="84"/>
    </row>
    <row r="361" spans="3:7">
      <c r="C361" s="84"/>
      <c r="D361" s="84"/>
      <c r="E361" s="84"/>
      <c r="F361" s="84"/>
      <c r="G361" s="84"/>
    </row>
    <row r="362" spans="3:7">
      <c r="C362" s="84"/>
      <c r="D362" s="84"/>
      <c r="E362" s="84"/>
      <c r="F362" s="84"/>
      <c r="G362" s="84"/>
    </row>
    <row r="363" spans="3:7">
      <c r="C363" s="84"/>
      <c r="D363" s="84"/>
      <c r="E363" s="84"/>
      <c r="F363" s="84"/>
      <c r="G363" s="84"/>
    </row>
    <row r="364" spans="3:7">
      <c r="C364" s="84"/>
      <c r="D364" s="84"/>
      <c r="E364" s="84"/>
      <c r="F364" s="84"/>
      <c r="G364" s="84"/>
    </row>
    <row r="365" spans="3:7">
      <c r="C365" s="84"/>
      <c r="D365" s="84"/>
      <c r="E365" s="84"/>
      <c r="F365" s="84"/>
      <c r="G365" s="84"/>
    </row>
    <row r="366" spans="3:7">
      <c r="C366" s="84"/>
      <c r="D366" s="84"/>
      <c r="E366" s="84"/>
      <c r="F366" s="84"/>
      <c r="G366" s="84"/>
    </row>
    <row r="367" spans="3:7">
      <c r="C367" s="84"/>
      <c r="D367" s="84"/>
      <c r="E367" s="84"/>
      <c r="F367" s="84"/>
      <c r="G367" s="84"/>
    </row>
    <row r="368" spans="3:7">
      <c r="C368" s="84"/>
      <c r="D368" s="84"/>
      <c r="E368" s="84"/>
      <c r="F368" s="84"/>
      <c r="G368" s="84"/>
    </row>
    <row r="369" spans="3:7">
      <c r="C369" s="84"/>
      <c r="D369" s="84"/>
      <c r="E369" s="84"/>
      <c r="F369" s="84"/>
      <c r="G369" s="84"/>
    </row>
    <row r="370" spans="3:7">
      <c r="C370" s="84"/>
      <c r="D370" s="84"/>
      <c r="E370" s="84"/>
      <c r="F370" s="84"/>
      <c r="G370" s="84"/>
    </row>
    <row r="371" spans="3:7">
      <c r="C371" s="84"/>
      <c r="D371" s="84"/>
      <c r="E371" s="84"/>
      <c r="F371" s="84"/>
      <c r="G371" s="84"/>
    </row>
    <row r="372" spans="3:7">
      <c r="C372" s="84"/>
      <c r="D372" s="84"/>
      <c r="E372" s="84"/>
      <c r="F372" s="84"/>
      <c r="G372" s="84"/>
    </row>
    <row r="373" spans="3:7">
      <c r="C373" s="84"/>
      <c r="D373" s="84"/>
      <c r="E373" s="84"/>
      <c r="F373" s="84"/>
      <c r="G373" s="84"/>
    </row>
    <row r="374" spans="3:7">
      <c r="C374" s="84"/>
      <c r="D374" s="84"/>
      <c r="E374" s="84"/>
      <c r="F374" s="84"/>
      <c r="G374" s="84"/>
    </row>
    <row r="375" spans="3:7">
      <c r="C375" s="84"/>
      <c r="D375" s="84"/>
      <c r="E375" s="84"/>
      <c r="F375" s="84"/>
      <c r="G375" s="84"/>
    </row>
    <row r="376" spans="3:7">
      <c r="C376" s="84"/>
      <c r="D376" s="84"/>
      <c r="E376" s="84"/>
      <c r="F376" s="84"/>
      <c r="G376" s="84"/>
    </row>
    <row r="377" spans="3:7">
      <c r="C377" s="84"/>
      <c r="D377" s="84"/>
      <c r="E377" s="84"/>
      <c r="F377" s="84"/>
      <c r="G377" s="84"/>
    </row>
    <row r="378" spans="3:7">
      <c r="C378" s="84"/>
      <c r="D378" s="84"/>
      <c r="E378" s="84"/>
      <c r="F378" s="84"/>
      <c r="G378" s="84"/>
    </row>
    <row r="379" spans="3:7">
      <c r="C379" s="84"/>
      <c r="D379" s="84"/>
      <c r="E379" s="84"/>
      <c r="F379" s="84"/>
      <c r="G379" s="84"/>
    </row>
    <row r="380" spans="3:7">
      <c r="C380" s="84"/>
      <c r="D380" s="84"/>
      <c r="E380" s="84"/>
      <c r="F380" s="84"/>
      <c r="G380" s="84"/>
    </row>
    <row r="381" spans="3:7">
      <c r="C381" s="84"/>
      <c r="D381" s="84"/>
      <c r="E381" s="84"/>
      <c r="F381" s="84"/>
      <c r="G381" s="84"/>
    </row>
    <row r="382" spans="3:7">
      <c r="C382" s="84"/>
      <c r="D382" s="84"/>
      <c r="E382" s="84"/>
      <c r="F382" s="84"/>
      <c r="G382" s="84"/>
    </row>
    <row r="383" spans="3:7">
      <c r="C383" s="84"/>
      <c r="D383" s="84"/>
      <c r="E383" s="84"/>
      <c r="F383" s="84"/>
      <c r="G383" s="84"/>
    </row>
    <row r="384" spans="3:7">
      <c r="C384" s="84"/>
      <c r="D384" s="84"/>
      <c r="E384" s="84"/>
      <c r="F384" s="84"/>
      <c r="G384" s="84"/>
    </row>
    <row r="385" spans="3:7">
      <c r="C385" s="84"/>
      <c r="D385" s="84"/>
      <c r="E385" s="84"/>
      <c r="F385" s="84"/>
      <c r="G385" s="84"/>
    </row>
    <row r="386" spans="3:7">
      <c r="C386" s="84"/>
      <c r="D386" s="84"/>
      <c r="E386" s="84"/>
      <c r="F386" s="84"/>
      <c r="G386" s="84"/>
    </row>
    <row r="387" spans="3:7">
      <c r="C387" s="84"/>
      <c r="D387" s="84"/>
      <c r="E387" s="84"/>
      <c r="F387" s="84"/>
      <c r="G387" s="84"/>
    </row>
    <row r="388" spans="3:7">
      <c r="C388" s="84"/>
      <c r="D388" s="84"/>
      <c r="E388" s="84"/>
      <c r="F388" s="84"/>
      <c r="G388" s="84"/>
    </row>
    <row r="389" spans="3:7">
      <c r="C389" s="84"/>
      <c r="D389" s="84"/>
      <c r="E389" s="84"/>
      <c r="F389" s="84"/>
      <c r="G389" s="84"/>
    </row>
    <row r="390" spans="3:7">
      <c r="C390" s="84"/>
      <c r="D390" s="84"/>
      <c r="E390" s="84"/>
      <c r="F390" s="84"/>
      <c r="G390" s="84"/>
    </row>
    <row r="391" spans="3:7">
      <c r="C391" s="84"/>
      <c r="D391" s="84"/>
      <c r="E391" s="84"/>
      <c r="F391" s="84"/>
      <c r="G391" s="84"/>
    </row>
    <row r="392" spans="3:7">
      <c r="C392" s="84"/>
      <c r="D392" s="84"/>
      <c r="E392" s="84"/>
      <c r="F392" s="84"/>
      <c r="G392" s="84"/>
    </row>
    <row r="393" spans="3:7">
      <c r="C393" s="84"/>
      <c r="D393" s="84"/>
      <c r="E393" s="84"/>
      <c r="F393" s="84"/>
      <c r="G393" s="84"/>
    </row>
    <row r="394" spans="3:7">
      <c r="C394" s="84"/>
      <c r="D394" s="84"/>
      <c r="E394" s="84"/>
      <c r="F394" s="84"/>
      <c r="G394" s="84"/>
    </row>
    <row r="395" spans="3:7">
      <c r="C395" s="84"/>
      <c r="D395" s="84"/>
      <c r="E395" s="84"/>
      <c r="F395" s="84"/>
      <c r="G395" s="84"/>
    </row>
    <row r="396" spans="3:7">
      <c r="C396" s="84"/>
      <c r="D396" s="84"/>
      <c r="E396" s="84"/>
      <c r="F396" s="84"/>
      <c r="G396" s="84"/>
    </row>
    <row r="397" spans="3:7">
      <c r="C397" s="84"/>
      <c r="D397" s="84"/>
      <c r="E397" s="84"/>
      <c r="F397" s="84"/>
      <c r="G397" s="84"/>
    </row>
    <row r="398" spans="3:7">
      <c r="C398" s="84"/>
      <c r="D398" s="84"/>
      <c r="E398" s="84"/>
      <c r="F398" s="84"/>
      <c r="G398" s="84"/>
    </row>
    <row r="399" spans="3:7">
      <c r="C399" s="84"/>
      <c r="D399" s="84"/>
      <c r="E399" s="84"/>
      <c r="F399" s="84"/>
      <c r="G399" s="84"/>
    </row>
    <row r="400" spans="3:7">
      <c r="C400" s="84"/>
      <c r="D400" s="84"/>
      <c r="E400" s="84"/>
      <c r="F400" s="84"/>
      <c r="G400" s="84"/>
    </row>
    <row r="401" spans="3:7">
      <c r="C401" s="84"/>
      <c r="D401" s="84"/>
      <c r="E401" s="84"/>
      <c r="F401" s="84"/>
      <c r="G401" s="84"/>
    </row>
    <row r="402" spans="3:7">
      <c r="C402" s="84"/>
      <c r="D402" s="84"/>
      <c r="E402" s="84"/>
      <c r="F402" s="84"/>
      <c r="G402" s="84"/>
    </row>
    <row r="403" spans="3:7">
      <c r="C403" s="84"/>
      <c r="D403" s="84"/>
      <c r="E403" s="84"/>
      <c r="F403" s="84"/>
      <c r="G403" s="84"/>
    </row>
    <row r="404" spans="3:7">
      <c r="C404" s="84"/>
      <c r="D404" s="84"/>
      <c r="E404" s="84"/>
      <c r="F404" s="84"/>
      <c r="G404" s="84"/>
    </row>
    <row r="405" spans="3:7">
      <c r="C405" s="84"/>
      <c r="D405" s="84"/>
      <c r="E405" s="84"/>
      <c r="F405" s="84"/>
      <c r="G405" s="84"/>
    </row>
    <row r="406" spans="3:7">
      <c r="C406" s="84"/>
      <c r="D406" s="84"/>
      <c r="E406" s="84"/>
      <c r="F406" s="84"/>
      <c r="G406" s="84"/>
    </row>
    <row r="407" spans="3:7">
      <c r="C407" s="84"/>
      <c r="D407" s="84"/>
      <c r="E407" s="84"/>
      <c r="F407" s="84"/>
      <c r="G407" s="84"/>
    </row>
    <row r="408" spans="3:7">
      <c r="C408" s="84"/>
      <c r="D408" s="84"/>
      <c r="E408" s="84"/>
      <c r="F408" s="84"/>
      <c r="G408" s="84"/>
    </row>
    <row r="409" spans="3:7">
      <c r="C409" s="84"/>
      <c r="D409" s="84"/>
      <c r="E409" s="84"/>
      <c r="F409" s="84"/>
      <c r="G409" s="84"/>
    </row>
    <row r="410" spans="3:7">
      <c r="C410" s="84"/>
      <c r="D410" s="84"/>
      <c r="E410" s="84"/>
      <c r="F410" s="84"/>
      <c r="G410" s="84"/>
    </row>
    <row r="411" spans="3:7">
      <c r="C411" s="84"/>
      <c r="D411" s="84"/>
      <c r="E411" s="84"/>
      <c r="F411" s="84"/>
      <c r="G411" s="84"/>
    </row>
    <row r="412" spans="3:7">
      <c r="C412" s="84"/>
      <c r="D412" s="84"/>
      <c r="E412" s="84"/>
      <c r="F412" s="84"/>
      <c r="G412" s="84"/>
    </row>
    <row r="413" spans="3:7">
      <c r="C413" s="84"/>
      <c r="D413" s="84"/>
      <c r="E413" s="84"/>
      <c r="F413" s="84"/>
      <c r="G413" s="84"/>
    </row>
    <row r="414" spans="3:7">
      <c r="C414" s="84"/>
      <c r="D414" s="84"/>
      <c r="E414" s="84"/>
      <c r="F414" s="84"/>
      <c r="G414" s="84"/>
    </row>
    <row r="415" spans="3:7">
      <c r="C415" s="84"/>
      <c r="D415" s="84"/>
      <c r="E415" s="84"/>
      <c r="F415" s="84"/>
      <c r="G415" s="84"/>
    </row>
    <row r="416" spans="3:7">
      <c r="C416" s="84"/>
      <c r="D416" s="84"/>
      <c r="E416" s="84"/>
      <c r="F416" s="84"/>
      <c r="G416" s="84"/>
    </row>
    <row r="417" spans="3:7">
      <c r="C417" s="84"/>
      <c r="D417" s="84"/>
      <c r="E417" s="84"/>
      <c r="F417" s="84"/>
      <c r="G417" s="84"/>
    </row>
    <row r="418" spans="3:7">
      <c r="C418" s="84"/>
      <c r="D418" s="84"/>
      <c r="E418" s="84"/>
      <c r="F418" s="84"/>
      <c r="G418" s="84"/>
    </row>
    <row r="419" spans="3:7">
      <c r="C419" s="84"/>
      <c r="D419" s="84"/>
      <c r="E419" s="84"/>
      <c r="F419" s="84"/>
      <c r="G419" s="84"/>
    </row>
    <row r="420" spans="3:7">
      <c r="C420" s="84"/>
      <c r="D420" s="84"/>
      <c r="E420" s="84"/>
      <c r="F420" s="84"/>
      <c r="G420" s="84"/>
    </row>
    <row r="421" spans="3:7">
      <c r="C421" s="84"/>
      <c r="D421" s="84"/>
      <c r="E421" s="84"/>
      <c r="F421" s="84"/>
      <c r="G421" s="84"/>
    </row>
    <row r="422" spans="3:7">
      <c r="C422" s="84"/>
      <c r="D422" s="84"/>
      <c r="E422" s="84"/>
      <c r="F422" s="84"/>
      <c r="G422" s="84"/>
    </row>
    <row r="423" spans="3:7">
      <c r="C423" s="84"/>
      <c r="D423" s="84"/>
      <c r="E423" s="84"/>
      <c r="F423" s="84"/>
      <c r="G423" s="84"/>
    </row>
    <row r="424" spans="3:7">
      <c r="C424" s="84"/>
      <c r="D424" s="84"/>
      <c r="E424" s="84"/>
      <c r="F424" s="84"/>
      <c r="G424" s="84"/>
    </row>
    <row r="425" spans="3:7">
      <c r="C425" s="84"/>
      <c r="D425" s="84"/>
      <c r="E425" s="84"/>
      <c r="F425" s="84"/>
      <c r="G425" s="84"/>
    </row>
    <row r="426" spans="3:7">
      <c r="C426" s="84"/>
      <c r="D426" s="84"/>
      <c r="E426" s="84"/>
      <c r="F426" s="84"/>
      <c r="G426" s="84"/>
    </row>
    <row r="427" spans="3:7">
      <c r="C427" s="84"/>
      <c r="D427" s="84"/>
      <c r="E427" s="84"/>
      <c r="F427" s="84"/>
      <c r="G427" s="84"/>
    </row>
    <row r="428" spans="3:7">
      <c r="C428" s="84"/>
      <c r="D428" s="84"/>
      <c r="E428" s="84"/>
      <c r="F428" s="84"/>
      <c r="G428" s="84"/>
    </row>
    <row r="429" spans="3:7">
      <c r="C429" s="84"/>
      <c r="D429" s="84"/>
      <c r="E429" s="84"/>
      <c r="F429" s="84"/>
      <c r="G429" s="84"/>
    </row>
    <row r="430" spans="3:7">
      <c r="C430" s="84"/>
      <c r="D430" s="84"/>
      <c r="E430" s="84"/>
      <c r="F430" s="84"/>
      <c r="G430" s="84"/>
    </row>
    <row r="431" spans="3:7">
      <c r="C431" s="84"/>
      <c r="D431" s="84"/>
      <c r="E431" s="84"/>
      <c r="F431" s="84"/>
      <c r="G431" s="84"/>
    </row>
    <row r="432" spans="3:7">
      <c r="C432" s="84"/>
      <c r="D432" s="84"/>
      <c r="E432" s="84"/>
      <c r="F432" s="84"/>
      <c r="G432" s="84"/>
    </row>
    <row r="433" spans="3:7">
      <c r="C433" s="84"/>
      <c r="D433" s="84"/>
      <c r="E433" s="84"/>
      <c r="F433" s="84"/>
      <c r="G433" s="84"/>
    </row>
    <row r="434" spans="3:7">
      <c r="C434" s="84"/>
      <c r="D434" s="84"/>
      <c r="E434" s="84"/>
      <c r="F434" s="84"/>
      <c r="G434" s="84"/>
    </row>
    <row r="435" spans="3:7">
      <c r="C435" s="84"/>
      <c r="D435" s="84"/>
      <c r="E435" s="84"/>
      <c r="F435" s="84"/>
      <c r="G435" s="84"/>
    </row>
    <row r="436" spans="3:7">
      <c r="C436" s="84"/>
      <c r="D436" s="84"/>
      <c r="E436" s="84"/>
      <c r="F436" s="84"/>
      <c r="G436" s="84"/>
    </row>
    <row r="437" spans="3:7">
      <c r="C437" s="84"/>
      <c r="D437" s="84"/>
      <c r="E437" s="84"/>
      <c r="F437" s="84"/>
      <c r="G437" s="84"/>
    </row>
    <row r="438" spans="3:7">
      <c r="C438" s="84"/>
      <c r="D438" s="84"/>
      <c r="E438" s="84"/>
      <c r="F438" s="84"/>
      <c r="G438" s="84"/>
    </row>
    <row r="439" spans="3:7">
      <c r="C439" s="84"/>
      <c r="D439" s="84"/>
      <c r="E439" s="84"/>
      <c r="F439" s="84"/>
      <c r="G439" s="84"/>
    </row>
    <row r="440" spans="3:7">
      <c r="C440" s="84"/>
      <c r="D440" s="84"/>
      <c r="E440" s="84"/>
      <c r="F440" s="84"/>
      <c r="G440" s="84"/>
    </row>
    <row r="441" spans="3:7">
      <c r="C441" s="84"/>
      <c r="D441" s="84"/>
      <c r="E441" s="84"/>
      <c r="F441" s="84"/>
      <c r="G441" s="84"/>
    </row>
    <row r="442" spans="3:7">
      <c r="C442" s="84"/>
      <c r="D442" s="84"/>
      <c r="E442" s="84"/>
      <c r="F442" s="84"/>
      <c r="G442" s="84"/>
    </row>
    <row r="443" spans="3:7">
      <c r="C443" s="84"/>
      <c r="D443" s="84"/>
      <c r="E443" s="84"/>
      <c r="F443" s="84"/>
      <c r="G443" s="84"/>
    </row>
    <row r="444" spans="3:7">
      <c r="C444" s="84"/>
      <c r="D444" s="84"/>
      <c r="E444" s="84"/>
      <c r="F444" s="84"/>
      <c r="G444" s="84"/>
    </row>
    <row r="445" spans="3:7">
      <c r="C445" s="84"/>
      <c r="D445" s="84"/>
      <c r="E445" s="84"/>
      <c r="F445" s="84"/>
      <c r="G445" s="84"/>
    </row>
    <row r="446" spans="3:7">
      <c r="C446" s="84"/>
      <c r="D446" s="84"/>
      <c r="E446" s="84"/>
      <c r="F446" s="84"/>
      <c r="G446" s="84"/>
    </row>
    <row r="447" spans="3:7">
      <c r="C447" s="84"/>
      <c r="D447" s="84"/>
      <c r="E447" s="84"/>
      <c r="F447" s="84"/>
      <c r="G447" s="84"/>
    </row>
    <row r="448" spans="3:7">
      <c r="C448" s="84"/>
      <c r="D448" s="84"/>
      <c r="E448" s="84"/>
      <c r="F448" s="84"/>
      <c r="G448" s="84"/>
    </row>
    <row r="449" spans="3:7">
      <c r="C449" s="84"/>
      <c r="D449" s="84"/>
      <c r="E449" s="84"/>
      <c r="F449" s="84"/>
      <c r="G449" s="84"/>
    </row>
    <row r="450" spans="3:7">
      <c r="C450" s="84"/>
      <c r="D450" s="84"/>
      <c r="E450" s="84"/>
      <c r="F450" s="84"/>
      <c r="G450" s="84"/>
    </row>
    <row r="451" spans="3:7">
      <c r="C451" s="84"/>
      <c r="D451" s="84"/>
      <c r="E451" s="84"/>
      <c r="F451" s="84"/>
      <c r="G451" s="84"/>
    </row>
    <row r="452" spans="3:7">
      <c r="C452" s="84"/>
      <c r="D452" s="84"/>
      <c r="E452" s="84"/>
      <c r="F452" s="84"/>
      <c r="G452" s="84"/>
    </row>
    <row r="453" spans="3:7">
      <c r="C453" s="84"/>
      <c r="D453" s="84"/>
      <c r="E453" s="84"/>
      <c r="F453" s="84"/>
      <c r="G453" s="84"/>
    </row>
    <row r="454" spans="3:7">
      <c r="C454" s="84"/>
      <c r="D454" s="84"/>
      <c r="E454" s="84"/>
      <c r="F454" s="84"/>
      <c r="G454" s="84"/>
    </row>
    <row r="455" spans="3:7">
      <c r="C455" s="84"/>
      <c r="D455" s="84"/>
      <c r="E455" s="84"/>
      <c r="F455" s="84"/>
      <c r="G455" s="84"/>
    </row>
    <row r="456" spans="3:7">
      <c r="C456" s="84"/>
      <c r="D456" s="84"/>
      <c r="E456" s="84"/>
      <c r="F456" s="84"/>
      <c r="G456" s="84"/>
    </row>
    <row r="457" spans="3:7">
      <c r="C457" s="84"/>
      <c r="D457" s="84"/>
      <c r="E457" s="84"/>
      <c r="F457" s="84"/>
      <c r="G457" s="84"/>
    </row>
    <row r="458" spans="3:7">
      <c r="C458" s="84"/>
      <c r="D458" s="84"/>
      <c r="E458" s="84"/>
      <c r="F458" s="84"/>
      <c r="G458" s="84"/>
    </row>
    <row r="459" spans="3:7">
      <c r="C459" s="84"/>
      <c r="D459" s="84"/>
      <c r="E459" s="84"/>
      <c r="F459" s="84"/>
      <c r="G459" s="84"/>
    </row>
    <row r="460" spans="3:7">
      <c r="C460" s="84"/>
      <c r="D460" s="84"/>
      <c r="E460" s="84"/>
      <c r="F460" s="84"/>
      <c r="G460" s="84"/>
    </row>
    <row r="461" spans="3:7">
      <c r="C461" s="84"/>
      <c r="D461" s="84"/>
      <c r="E461" s="84"/>
      <c r="F461" s="84"/>
      <c r="G461" s="84"/>
    </row>
    <row r="462" spans="3:7">
      <c r="C462" s="84"/>
      <c r="D462" s="84"/>
      <c r="E462" s="84"/>
      <c r="F462" s="84"/>
      <c r="G462" s="84"/>
    </row>
    <row r="463" spans="3:7">
      <c r="C463" s="84"/>
      <c r="D463" s="84"/>
      <c r="E463" s="84"/>
      <c r="F463" s="84"/>
      <c r="G463" s="84"/>
    </row>
    <row r="464" spans="3:7">
      <c r="C464" s="84"/>
      <c r="D464" s="84"/>
      <c r="E464" s="84"/>
      <c r="F464" s="84"/>
      <c r="G464" s="84"/>
    </row>
    <row r="465" spans="3:7">
      <c r="C465" s="84"/>
      <c r="D465" s="84"/>
      <c r="E465" s="84"/>
      <c r="F465" s="84"/>
      <c r="G465" s="84"/>
    </row>
    <row r="466" spans="3:7">
      <c r="C466" s="84"/>
      <c r="D466" s="84"/>
      <c r="E466" s="84"/>
      <c r="F466" s="84"/>
      <c r="G466" s="84"/>
    </row>
    <row r="467" spans="3:7">
      <c r="C467" s="84"/>
      <c r="D467" s="84"/>
      <c r="E467" s="84"/>
      <c r="F467" s="84"/>
      <c r="G467" s="84"/>
    </row>
    <row r="468" spans="3:7">
      <c r="C468" s="84"/>
      <c r="D468" s="84"/>
      <c r="E468" s="84"/>
      <c r="F468" s="84"/>
      <c r="G468" s="84"/>
    </row>
    <row r="469" spans="3:7">
      <c r="C469" s="84"/>
      <c r="D469" s="84"/>
      <c r="E469" s="84"/>
      <c r="F469" s="84"/>
      <c r="G469" s="84"/>
    </row>
    <row r="470" spans="3:7">
      <c r="C470" s="84"/>
      <c r="D470" s="84"/>
      <c r="E470" s="84"/>
      <c r="F470" s="84"/>
      <c r="G470" s="84"/>
    </row>
    <row r="471" spans="3:7">
      <c r="C471" s="84"/>
      <c r="D471" s="84"/>
      <c r="E471" s="84"/>
      <c r="F471" s="84"/>
      <c r="G471" s="84"/>
    </row>
    <row r="472" spans="3:7">
      <c r="C472" s="84"/>
      <c r="D472" s="84"/>
      <c r="E472" s="84"/>
      <c r="F472" s="84"/>
      <c r="G472" s="84"/>
    </row>
    <row r="473" spans="3:7">
      <c r="C473" s="84"/>
      <c r="D473" s="84"/>
      <c r="E473" s="84"/>
      <c r="F473" s="84"/>
      <c r="G473" s="84"/>
    </row>
    <row r="474" spans="3:7">
      <c r="C474" s="84"/>
      <c r="D474" s="84"/>
      <c r="E474" s="84"/>
      <c r="F474" s="84"/>
      <c r="G474" s="84"/>
    </row>
    <row r="475" spans="3:7">
      <c r="C475" s="84"/>
      <c r="D475" s="84"/>
      <c r="E475" s="84"/>
      <c r="F475" s="84"/>
      <c r="G475" s="84"/>
    </row>
    <row r="476" spans="3:7">
      <c r="C476" s="84"/>
      <c r="D476" s="84"/>
      <c r="E476" s="84"/>
      <c r="F476" s="84"/>
      <c r="G476" s="84"/>
    </row>
    <row r="477" spans="3:7">
      <c r="C477" s="84"/>
      <c r="D477" s="84"/>
      <c r="E477" s="84"/>
      <c r="F477" s="84"/>
      <c r="G477" s="84"/>
    </row>
    <row r="478" spans="3:7">
      <c r="C478" s="84"/>
      <c r="D478" s="84"/>
      <c r="E478" s="84"/>
      <c r="F478" s="84"/>
      <c r="G478" s="84"/>
    </row>
    <row r="479" spans="3:7">
      <c r="C479" s="84"/>
      <c r="D479" s="84"/>
      <c r="E479" s="84"/>
      <c r="F479" s="84"/>
      <c r="G479" s="84"/>
    </row>
    <row r="480" spans="3:7">
      <c r="C480" s="84"/>
      <c r="D480" s="84"/>
      <c r="E480" s="84"/>
      <c r="F480" s="84"/>
      <c r="G480" s="84"/>
    </row>
    <row r="481" spans="3:7">
      <c r="C481" s="84"/>
      <c r="D481" s="84"/>
      <c r="E481" s="84"/>
      <c r="F481" s="84"/>
      <c r="G481" s="84"/>
    </row>
    <row r="482" spans="3:7">
      <c r="C482" s="84"/>
      <c r="D482" s="84"/>
      <c r="E482" s="84"/>
      <c r="F482" s="84"/>
      <c r="G482" s="84"/>
    </row>
    <row r="483" spans="3:7">
      <c r="C483" s="84"/>
      <c r="D483" s="84"/>
      <c r="E483" s="84"/>
      <c r="F483" s="84"/>
      <c r="G483" s="84"/>
    </row>
    <row r="484" spans="3:7">
      <c r="C484" s="84"/>
      <c r="D484" s="84"/>
      <c r="E484" s="84"/>
      <c r="F484" s="84"/>
      <c r="G484" s="84"/>
    </row>
    <row r="485" spans="3:7">
      <c r="C485" s="84"/>
      <c r="D485" s="84"/>
      <c r="E485" s="84"/>
      <c r="F485" s="84"/>
      <c r="G485" s="84"/>
    </row>
    <row r="486" spans="3:7">
      <c r="C486" s="84"/>
      <c r="D486" s="84"/>
      <c r="E486" s="84"/>
      <c r="F486" s="84"/>
      <c r="G486" s="84"/>
    </row>
    <row r="487" spans="3:7">
      <c r="C487" s="84"/>
      <c r="D487" s="84"/>
      <c r="E487" s="84"/>
      <c r="F487" s="84"/>
      <c r="G487" s="84"/>
    </row>
    <row r="488" spans="3:7">
      <c r="C488" s="84"/>
      <c r="D488" s="84"/>
      <c r="E488" s="84"/>
      <c r="F488" s="84"/>
      <c r="G488" s="84"/>
    </row>
    <row r="489" spans="3:7">
      <c r="C489" s="84"/>
      <c r="D489" s="84"/>
      <c r="E489" s="84"/>
      <c r="F489" s="84"/>
      <c r="G489" s="84"/>
    </row>
    <row r="490" spans="3:7">
      <c r="C490" s="84"/>
      <c r="D490" s="84"/>
      <c r="E490" s="84"/>
      <c r="F490" s="84"/>
      <c r="G490" s="84"/>
    </row>
    <row r="491" spans="3:7">
      <c r="C491" s="84"/>
      <c r="D491" s="84"/>
      <c r="E491" s="84"/>
      <c r="F491" s="84"/>
      <c r="G491" s="84"/>
    </row>
    <row r="492" spans="3:7">
      <c r="C492" s="84"/>
      <c r="D492" s="84"/>
      <c r="E492" s="84"/>
      <c r="F492" s="84"/>
      <c r="G492" s="84"/>
    </row>
    <row r="493" spans="3:7">
      <c r="C493" s="84"/>
      <c r="D493" s="84"/>
      <c r="E493" s="84"/>
      <c r="F493" s="84"/>
      <c r="G493" s="84"/>
    </row>
    <row r="494" spans="3:7">
      <c r="C494" s="84"/>
      <c r="D494" s="84"/>
      <c r="E494" s="84"/>
      <c r="F494" s="84"/>
      <c r="G494" s="84"/>
    </row>
    <row r="495" spans="3:7">
      <c r="C495" s="84"/>
      <c r="D495" s="84"/>
      <c r="E495" s="84"/>
      <c r="F495" s="84"/>
      <c r="G495" s="84"/>
    </row>
    <row r="496" spans="3:7">
      <c r="C496" s="84"/>
      <c r="D496" s="84"/>
      <c r="E496" s="84"/>
      <c r="F496" s="84"/>
      <c r="G496" s="84"/>
    </row>
    <row r="497" spans="3:7">
      <c r="C497" s="84"/>
      <c r="D497" s="84"/>
      <c r="E497" s="84"/>
      <c r="F497" s="84"/>
      <c r="G497" s="84"/>
    </row>
    <row r="498" spans="3:7">
      <c r="C498" s="84"/>
      <c r="D498" s="84"/>
      <c r="E498" s="84"/>
      <c r="F498" s="84"/>
      <c r="G498" s="84"/>
    </row>
    <row r="499" spans="3:7">
      <c r="C499" s="84"/>
      <c r="D499" s="84"/>
      <c r="E499" s="84"/>
      <c r="F499" s="84"/>
      <c r="G499" s="84"/>
    </row>
    <row r="500" spans="3:7">
      <c r="C500" s="84"/>
      <c r="D500" s="84"/>
      <c r="E500" s="84"/>
      <c r="F500" s="84"/>
      <c r="G500" s="84"/>
    </row>
    <row r="501" spans="3:7">
      <c r="C501" s="84"/>
      <c r="D501" s="84"/>
      <c r="E501" s="84"/>
      <c r="F501" s="84"/>
      <c r="G501" s="84"/>
    </row>
    <row r="502" spans="3:7">
      <c r="C502" s="84"/>
      <c r="D502" s="84"/>
      <c r="E502" s="84"/>
      <c r="F502" s="84"/>
      <c r="G502" s="84"/>
    </row>
    <row r="503" spans="3:7">
      <c r="C503" s="84"/>
      <c r="D503" s="84"/>
      <c r="E503" s="84"/>
      <c r="F503" s="84"/>
      <c r="G503" s="84"/>
    </row>
    <row r="504" spans="3:7">
      <c r="C504" s="84"/>
      <c r="D504" s="84"/>
      <c r="E504" s="84"/>
      <c r="F504" s="84"/>
      <c r="G504" s="84"/>
    </row>
    <row r="505" spans="3:7">
      <c r="C505" s="84"/>
      <c r="D505" s="84"/>
      <c r="E505" s="84"/>
      <c r="F505" s="84"/>
      <c r="G505" s="84"/>
    </row>
    <row r="506" spans="3:7">
      <c r="C506" s="84"/>
      <c r="D506" s="84"/>
      <c r="E506" s="84"/>
      <c r="F506" s="84"/>
      <c r="G506" s="84"/>
    </row>
    <row r="507" spans="3:7">
      <c r="C507" s="84"/>
      <c r="D507" s="84"/>
      <c r="E507" s="84"/>
      <c r="F507" s="84"/>
      <c r="G507" s="84"/>
    </row>
    <row r="508" spans="3:7">
      <c r="C508" s="84"/>
      <c r="D508" s="84"/>
      <c r="E508" s="84"/>
      <c r="F508" s="84"/>
      <c r="G508" s="84"/>
    </row>
    <row r="509" spans="3:7">
      <c r="C509" s="84"/>
      <c r="D509" s="84"/>
      <c r="E509" s="84"/>
      <c r="F509" s="84"/>
      <c r="G509" s="84"/>
    </row>
    <row r="510" spans="3:7">
      <c r="C510" s="84"/>
      <c r="D510" s="84"/>
      <c r="E510" s="84"/>
      <c r="F510" s="84"/>
      <c r="G510" s="84"/>
    </row>
    <row r="511" spans="3:7">
      <c r="C511" s="84"/>
      <c r="D511" s="84"/>
      <c r="E511" s="84"/>
      <c r="F511" s="84"/>
      <c r="G511" s="84"/>
    </row>
    <row r="512" spans="3:7">
      <c r="C512" s="84"/>
      <c r="D512" s="84"/>
      <c r="E512" s="84"/>
      <c r="F512" s="84"/>
      <c r="G512" s="84"/>
    </row>
    <row r="513" spans="3:7">
      <c r="C513" s="84"/>
      <c r="D513" s="84"/>
      <c r="E513" s="84"/>
      <c r="F513" s="84"/>
      <c r="G513" s="84"/>
    </row>
    <row r="514" spans="3:7">
      <c r="C514" s="84"/>
      <c r="D514" s="84"/>
      <c r="E514" s="84"/>
      <c r="F514" s="84"/>
      <c r="G514" s="84"/>
    </row>
    <row r="515" spans="3:7">
      <c r="C515" s="84"/>
      <c r="D515" s="84"/>
      <c r="E515" s="84"/>
      <c r="F515" s="84"/>
      <c r="G515" s="84"/>
    </row>
    <row r="516" spans="3:7">
      <c r="C516" s="84"/>
      <c r="D516" s="84"/>
      <c r="E516" s="84"/>
      <c r="F516" s="84"/>
      <c r="G516" s="84"/>
    </row>
    <row r="517" spans="3:7">
      <c r="C517" s="84"/>
      <c r="D517" s="84"/>
      <c r="E517" s="84"/>
      <c r="F517" s="84"/>
      <c r="G517" s="84"/>
    </row>
    <row r="518" spans="3:7">
      <c r="C518" s="84"/>
      <c r="D518" s="84"/>
      <c r="E518" s="84"/>
      <c r="F518" s="84"/>
      <c r="G518" s="84"/>
    </row>
    <row r="519" spans="3:7">
      <c r="C519" s="84"/>
      <c r="D519" s="84"/>
      <c r="E519" s="84"/>
      <c r="F519" s="84"/>
      <c r="G519" s="84"/>
    </row>
    <row r="520" spans="3:7">
      <c r="C520" s="84"/>
      <c r="D520" s="84"/>
      <c r="E520" s="84"/>
      <c r="F520" s="84"/>
      <c r="G520" s="84"/>
    </row>
    <row r="521" spans="3:7">
      <c r="C521" s="84"/>
      <c r="D521" s="84"/>
      <c r="E521" s="84"/>
      <c r="F521" s="84"/>
      <c r="G521" s="84"/>
    </row>
    <row r="522" spans="3:7">
      <c r="C522" s="84"/>
      <c r="D522" s="84"/>
      <c r="E522" s="84"/>
      <c r="F522" s="84"/>
      <c r="G522" s="84"/>
    </row>
    <row r="523" spans="3:7">
      <c r="C523" s="84"/>
      <c r="D523" s="84"/>
      <c r="E523" s="84"/>
      <c r="F523" s="84"/>
      <c r="G523" s="84"/>
    </row>
    <row r="524" spans="3:7">
      <c r="C524" s="84"/>
      <c r="D524" s="84"/>
      <c r="E524" s="84"/>
      <c r="F524" s="84"/>
      <c r="G524" s="84"/>
    </row>
    <row r="525" spans="3:7">
      <c r="C525" s="84"/>
      <c r="D525" s="84"/>
      <c r="E525" s="84"/>
      <c r="F525" s="84"/>
      <c r="G525" s="84"/>
    </row>
    <row r="526" spans="3:7">
      <c r="C526" s="84"/>
      <c r="D526" s="84"/>
      <c r="E526" s="84"/>
      <c r="F526" s="84"/>
      <c r="G526" s="84"/>
    </row>
    <row r="527" spans="3:7">
      <c r="C527" s="84"/>
      <c r="D527" s="84"/>
      <c r="E527" s="84"/>
      <c r="F527" s="84"/>
      <c r="G527" s="84"/>
    </row>
    <row r="528" spans="3:7">
      <c r="C528" s="84"/>
      <c r="D528" s="84"/>
      <c r="E528" s="84"/>
      <c r="F528" s="84"/>
      <c r="G528" s="84"/>
    </row>
    <row r="529" spans="3:7">
      <c r="C529" s="84"/>
      <c r="D529" s="84"/>
      <c r="E529" s="84"/>
      <c r="F529" s="84"/>
      <c r="G529" s="84"/>
    </row>
    <row r="530" spans="3:7">
      <c r="C530" s="84"/>
      <c r="D530" s="84"/>
      <c r="E530" s="84"/>
      <c r="F530" s="84"/>
      <c r="G530" s="84"/>
    </row>
    <row r="531" spans="3:7">
      <c r="C531" s="84"/>
      <c r="D531" s="84"/>
      <c r="E531" s="84"/>
      <c r="F531" s="84"/>
      <c r="G531" s="84"/>
    </row>
    <row r="532" spans="3:7">
      <c r="C532" s="84"/>
      <c r="D532" s="84"/>
      <c r="E532" s="84"/>
      <c r="F532" s="84"/>
      <c r="G532" s="84"/>
    </row>
    <row r="533" spans="3:7">
      <c r="C533" s="84"/>
      <c r="D533" s="84"/>
      <c r="E533" s="84"/>
      <c r="F533" s="84"/>
      <c r="G533" s="84"/>
    </row>
    <row r="534" spans="3:7">
      <c r="C534" s="84"/>
      <c r="D534" s="84"/>
      <c r="E534" s="84"/>
      <c r="F534" s="84"/>
      <c r="G534" s="84"/>
    </row>
    <row r="535" spans="3:7">
      <c r="C535" s="84"/>
      <c r="D535" s="84"/>
      <c r="E535" s="84"/>
      <c r="F535" s="84"/>
      <c r="G535" s="84"/>
    </row>
    <row r="536" spans="3:7">
      <c r="C536" s="84"/>
      <c r="D536" s="84"/>
      <c r="E536" s="84"/>
      <c r="F536" s="84"/>
      <c r="G536" s="84"/>
    </row>
    <row r="537" spans="3:7">
      <c r="C537" s="84"/>
      <c r="D537" s="84"/>
      <c r="E537" s="84"/>
      <c r="F537" s="84"/>
      <c r="G537" s="84"/>
    </row>
    <row r="538" spans="3:7">
      <c r="C538" s="84"/>
      <c r="D538" s="84"/>
      <c r="E538" s="84"/>
      <c r="F538" s="84"/>
      <c r="G538" s="84"/>
    </row>
    <row r="539" spans="3:7">
      <c r="C539" s="84"/>
      <c r="D539" s="84"/>
      <c r="E539" s="84"/>
      <c r="F539" s="84"/>
      <c r="G539" s="84"/>
    </row>
    <row r="540" spans="3:7">
      <c r="C540" s="84"/>
      <c r="D540" s="84"/>
      <c r="E540" s="84"/>
      <c r="F540" s="84"/>
      <c r="G540" s="84"/>
    </row>
    <row r="541" spans="3:7">
      <c r="C541" s="84"/>
      <c r="D541" s="84"/>
      <c r="E541" s="84"/>
      <c r="F541" s="84"/>
      <c r="G541" s="84"/>
    </row>
    <row r="542" spans="3:7">
      <c r="C542" s="84"/>
      <c r="D542" s="84"/>
      <c r="E542" s="84"/>
      <c r="F542" s="84"/>
      <c r="G542" s="84"/>
    </row>
    <row r="543" spans="3:7">
      <c r="C543" s="84"/>
      <c r="D543" s="84"/>
      <c r="E543" s="84"/>
      <c r="F543" s="84"/>
      <c r="G543" s="84"/>
    </row>
    <row r="544" spans="3:7">
      <c r="C544" s="84"/>
      <c r="D544" s="84"/>
      <c r="E544" s="84"/>
      <c r="F544" s="84"/>
      <c r="G544" s="84"/>
    </row>
    <row r="545" spans="3:7">
      <c r="C545" s="84"/>
      <c r="D545" s="84"/>
      <c r="E545" s="84"/>
      <c r="F545" s="84"/>
      <c r="G545" s="84"/>
    </row>
    <row r="546" spans="3:7">
      <c r="C546" s="84"/>
      <c r="D546" s="84"/>
      <c r="E546" s="84"/>
      <c r="F546" s="84"/>
      <c r="G546" s="84"/>
    </row>
    <row r="547" spans="3:7">
      <c r="C547" s="84"/>
      <c r="D547" s="84"/>
      <c r="E547" s="84"/>
      <c r="F547" s="84"/>
      <c r="G547" s="84"/>
    </row>
    <row r="548" spans="3:7">
      <c r="C548" s="84"/>
      <c r="D548" s="84"/>
      <c r="E548" s="84"/>
      <c r="F548" s="84"/>
      <c r="G548" s="84"/>
    </row>
    <row r="549" spans="3:7">
      <c r="C549" s="84"/>
      <c r="D549" s="84"/>
      <c r="E549" s="84"/>
      <c r="F549" s="84"/>
      <c r="G549" s="84"/>
    </row>
    <row r="550" spans="3:7">
      <c r="C550" s="84"/>
      <c r="D550" s="84"/>
      <c r="E550" s="84"/>
      <c r="F550" s="84"/>
      <c r="G550" s="84"/>
    </row>
    <row r="551" spans="3:7">
      <c r="C551" s="84"/>
      <c r="D551" s="84"/>
      <c r="E551" s="84"/>
      <c r="F551" s="84"/>
      <c r="G551" s="84"/>
    </row>
    <row r="552" spans="3:7">
      <c r="C552" s="84"/>
      <c r="D552" s="84"/>
      <c r="E552" s="84"/>
      <c r="F552" s="84"/>
      <c r="G552" s="84"/>
    </row>
    <row r="553" spans="3:7">
      <c r="C553" s="84"/>
      <c r="D553" s="84"/>
      <c r="E553" s="84"/>
      <c r="F553" s="84"/>
      <c r="G553" s="84"/>
    </row>
    <row r="554" spans="3:7">
      <c r="C554" s="84"/>
      <c r="D554" s="84"/>
      <c r="E554" s="84"/>
      <c r="F554" s="84"/>
      <c r="G554" s="84"/>
    </row>
    <row r="555" spans="3:7">
      <c r="C555" s="84"/>
      <c r="D555" s="84"/>
      <c r="E555" s="84"/>
      <c r="F555" s="84"/>
      <c r="G555" s="84"/>
    </row>
    <row r="556" spans="3:7">
      <c r="C556" s="84"/>
      <c r="D556" s="84"/>
      <c r="E556" s="84"/>
      <c r="F556" s="84"/>
      <c r="G556" s="84"/>
    </row>
    <row r="557" spans="3:7">
      <c r="C557" s="84"/>
      <c r="D557" s="84"/>
      <c r="E557" s="84"/>
      <c r="F557" s="84"/>
      <c r="G557" s="84"/>
    </row>
    <row r="558" spans="3:7">
      <c r="C558" s="84"/>
      <c r="D558" s="84"/>
      <c r="E558" s="84"/>
      <c r="F558" s="84"/>
      <c r="G558" s="84"/>
    </row>
    <row r="559" spans="3:7">
      <c r="C559" s="84"/>
      <c r="D559" s="84"/>
      <c r="E559" s="84"/>
      <c r="F559" s="84"/>
      <c r="G559" s="84"/>
    </row>
    <row r="560" spans="3:7">
      <c r="C560" s="84"/>
      <c r="D560" s="84"/>
      <c r="E560" s="84"/>
      <c r="F560" s="84"/>
      <c r="G560" s="84"/>
    </row>
    <row r="561" spans="3:7">
      <c r="C561" s="84"/>
      <c r="D561" s="84"/>
      <c r="E561" s="84"/>
      <c r="F561" s="84"/>
      <c r="G561" s="84"/>
    </row>
    <row r="562" spans="3:7">
      <c r="C562" s="84"/>
      <c r="D562" s="84"/>
      <c r="E562" s="84"/>
      <c r="F562" s="84"/>
      <c r="G562" s="84"/>
    </row>
    <row r="563" spans="3:7">
      <c r="C563" s="84"/>
      <c r="D563" s="84"/>
      <c r="E563" s="84"/>
      <c r="F563" s="84"/>
      <c r="G563" s="84"/>
    </row>
    <row r="564" spans="3:7">
      <c r="C564" s="84"/>
      <c r="D564" s="84"/>
      <c r="E564" s="84"/>
      <c r="F564" s="84"/>
      <c r="G564" s="84"/>
    </row>
    <row r="565" spans="3:7">
      <c r="C565" s="84"/>
      <c r="D565" s="84"/>
      <c r="E565" s="84"/>
      <c r="F565" s="84"/>
      <c r="G565" s="84"/>
    </row>
    <row r="566" spans="3:7">
      <c r="C566" s="84"/>
      <c r="D566" s="84"/>
      <c r="E566" s="84"/>
      <c r="F566" s="84"/>
      <c r="G566" s="84"/>
    </row>
    <row r="567" spans="3:7">
      <c r="C567" s="84"/>
      <c r="D567" s="84"/>
      <c r="E567" s="84"/>
      <c r="F567" s="84"/>
      <c r="G567" s="84"/>
    </row>
    <row r="568" spans="3:7">
      <c r="C568" s="84"/>
      <c r="D568" s="84"/>
      <c r="E568" s="84"/>
      <c r="F568" s="84"/>
      <c r="G568" s="84"/>
    </row>
    <row r="569" spans="3:7">
      <c r="C569" s="84"/>
      <c r="D569" s="84"/>
      <c r="E569" s="84"/>
      <c r="F569" s="84"/>
      <c r="G569" s="84"/>
    </row>
    <row r="570" spans="3:7">
      <c r="C570" s="84"/>
      <c r="D570" s="84"/>
      <c r="E570" s="84"/>
      <c r="F570" s="84"/>
      <c r="G570" s="84"/>
    </row>
    <row r="571" spans="3:7">
      <c r="C571" s="84"/>
      <c r="D571" s="84"/>
      <c r="E571" s="84"/>
      <c r="F571" s="84"/>
      <c r="G571" s="84"/>
    </row>
    <row r="572" spans="3:7">
      <c r="C572" s="84"/>
      <c r="D572" s="84"/>
      <c r="E572" s="84"/>
      <c r="F572" s="84"/>
      <c r="G572" s="84"/>
    </row>
    <row r="573" spans="3:7">
      <c r="C573" s="84"/>
      <c r="D573" s="84"/>
      <c r="E573" s="84"/>
      <c r="F573" s="84"/>
      <c r="G573" s="84"/>
    </row>
    <row r="574" spans="3:7">
      <c r="C574" s="84"/>
      <c r="D574" s="84"/>
      <c r="E574" s="84"/>
      <c r="F574" s="84"/>
      <c r="G574" s="84"/>
    </row>
    <row r="575" spans="3:7">
      <c r="C575" s="84"/>
      <c r="D575" s="84"/>
      <c r="E575" s="84"/>
      <c r="F575" s="84"/>
      <c r="G575" s="84"/>
    </row>
    <row r="576" spans="3:7">
      <c r="C576" s="84"/>
      <c r="D576" s="84"/>
      <c r="E576" s="84"/>
      <c r="F576" s="84"/>
      <c r="G576" s="84"/>
    </row>
    <row r="577" spans="3:7">
      <c r="C577" s="84"/>
      <c r="D577" s="84"/>
      <c r="E577" s="84"/>
      <c r="F577" s="84"/>
      <c r="G577" s="84"/>
    </row>
    <row r="578" spans="3:7">
      <c r="C578" s="84"/>
      <c r="D578" s="84"/>
      <c r="E578" s="84"/>
      <c r="F578" s="84"/>
      <c r="G578" s="84"/>
    </row>
    <row r="579" spans="3:7">
      <c r="C579" s="84"/>
      <c r="D579" s="84"/>
      <c r="E579" s="84"/>
      <c r="F579" s="84"/>
      <c r="G579" s="84"/>
    </row>
    <row r="580" spans="3:7">
      <c r="C580" s="84"/>
      <c r="D580" s="84"/>
      <c r="E580" s="84"/>
      <c r="F580" s="84"/>
      <c r="G580" s="84"/>
    </row>
    <row r="581" spans="3:7">
      <c r="C581" s="84"/>
      <c r="D581" s="84"/>
      <c r="E581" s="84"/>
      <c r="F581" s="84"/>
      <c r="G581" s="84"/>
    </row>
    <row r="582" spans="3:7">
      <c r="C582" s="84"/>
      <c r="D582" s="84"/>
      <c r="E582" s="84"/>
      <c r="F582" s="84"/>
      <c r="G582" s="84"/>
    </row>
    <row r="583" spans="3:7">
      <c r="C583" s="84"/>
      <c r="D583" s="84"/>
      <c r="E583" s="84"/>
      <c r="F583" s="84"/>
      <c r="G583" s="84"/>
    </row>
    <row r="584" spans="3:7">
      <c r="C584" s="84"/>
      <c r="D584" s="84"/>
      <c r="E584" s="84"/>
      <c r="F584" s="84"/>
      <c r="G584" s="84"/>
    </row>
    <row r="585" spans="3:7">
      <c r="C585" s="84"/>
      <c r="D585" s="84"/>
      <c r="E585" s="84"/>
      <c r="F585" s="84"/>
      <c r="G585" s="84"/>
    </row>
    <row r="586" spans="3:7">
      <c r="C586" s="84"/>
      <c r="D586" s="84"/>
      <c r="E586" s="84"/>
      <c r="F586" s="84"/>
      <c r="G586" s="84"/>
    </row>
    <row r="587" spans="3:7">
      <c r="C587" s="84"/>
      <c r="D587" s="84"/>
      <c r="E587" s="84"/>
      <c r="F587" s="84"/>
      <c r="G587" s="84"/>
    </row>
    <row r="588" spans="3:7">
      <c r="C588" s="84"/>
      <c r="D588" s="84"/>
      <c r="E588" s="84"/>
      <c r="F588" s="84"/>
      <c r="G588" s="84"/>
    </row>
    <row r="589" spans="3:7">
      <c r="C589" s="84"/>
      <c r="D589" s="84"/>
      <c r="E589" s="84"/>
      <c r="F589" s="84"/>
      <c r="G589" s="84"/>
    </row>
    <row r="590" spans="3:7">
      <c r="C590" s="84"/>
      <c r="D590" s="84"/>
      <c r="E590" s="84"/>
      <c r="F590" s="84"/>
      <c r="G590" s="84"/>
    </row>
    <row r="591" spans="3:7">
      <c r="C591" s="84"/>
      <c r="D591" s="84"/>
      <c r="E591" s="84"/>
      <c r="F591" s="84"/>
      <c r="G591" s="84"/>
    </row>
    <row r="592" spans="3:7">
      <c r="C592" s="84"/>
      <c r="D592" s="84"/>
      <c r="E592" s="84"/>
      <c r="F592" s="84"/>
      <c r="G592" s="84"/>
    </row>
    <row r="593" spans="3:7">
      <c r="C593" s="84"/>
      <c r="D593" s="84"/>
      <c r="E593" s="84"/>
      <c r="F593" s="84"/>
      <c r="G593" s="84"/>
    </row>
    <row r="594" spans="3:7">
      <c r="C594" s="84"/>
      <c r="D594" s="84"/>
      <c r="E594" s="84"/>
      <c r="F594" s="84"/>
      <c r="G594" s="84"/>
    </row>
    <row r="595" spans="3:7">
      <c r="C595" s="84"/>
      <c r="D595" s="84"/>
      <c r="E595" s="84"/>
      <c r="F595" s="84"/>
      <c r="G595" s="84"/>
    </row>
    <row r="596" spans="3:7">
      <c r="C596" s="84"/>
      <c r="D596" s="84"/>
      <c r="E596" s="84"/>
      <c r="F596" s="84"/>
      <c r="G596" s="84"/>
    </row>
    <row r="597" spans="3:7">
      <c r="C597" s="84"/>
      <c r="D597" s="84"/>
      <c r="E597" s="84"/>
      <c r="F597" s="84"/>
      <c r="G597" s="84"/>
    </row>
    <row r="598" spans="3:7">
      <c r="C598" s="84"/>
      <c r="D598" s="84"/>
      <c r="E598" s="84"/>
      <c r="F598" s="84"/>
      <c r="G598" s="84"/>
    </row>
    <row r="599" spans="3:7">
      <c r="C599" s="84"/>
      <c r="D599" s="84"/>
      <c r="E599" s="84"/>
      <c r="F599" s="84"/>
      <c r="G599" s="84"/>
    </row>
    <row r="600" spans="3:7">
      <c r="C600" s="84"/>
      <c r="D600" s="84"/>
      <c r="E600" s="84"/>
      <c r="F600" s="84"/>
      <c r="G600" s="84"/>
    </row>
    <row r="601" spans="3:7">
      <c r="C601" s="84"/>
      <c r="D601" s="84"/>
      <c r="E601" s="84"/>
      <c r="F601" s="84"/>
      <c r="G601" s="84"/>
    </row>
    <row r="602" spans="3:7">
      <c r="C602" s="84"/>
      <c r="D602" s="84"/>
      <c r="E602" s="84"/>
      <c r="F602" s="84"/>
      <c r="G602" s="84"/>
    </row>
    <row r="603" spans="3:7">
      <c r="C603" s="84"/>
      <c r="D603" s="84"/>
      <c r="E603" s="84"/>
      <c r="F603" s="84"/>
      <c r="G603" s="84"/>
    </row>
    <row r="604" spans="3:7">
      <c r="C604" s="84"/>
      <c r="D604" s="84"/>
      <c r="E604" s="84"/>
      <c r="F604" s="84"/>
      <c r="G604" s="84"/>
    </row>
    <row r="605" spans="3:7">
      <c r="C605" s="84"/>
      <c r="D605" s="84"/>
      <c r="E605" s="84"/>
      <c r="F605" s="84"/>
      <c r="G605" s="84"/>
    </row>
    <row r="606" spans="3:7">
      <c r="C606" s="84"/>
      <c r="D606" s="84"/>
      <c r="E606" s="84"/>
      <c r="F606" s="84"/>
      <c r="G606" s="84"/>
    </row>
    <row r="607" spans="3:7">
      <c r="C607" s="84"/>
      <c r="D607" s="84"/>
      <c r="E607" s="84"/>
      <c r="F607" s="84"/>
      <c r="G607" s="84"/>
    </row>
    <row r="608" spans="3:7">
      <c r="C608" s="84"/>
      <c r="D608" s="84"/>
      <c r="E608" s="84"/>
      <c r="F608" s="84"/>
      <c r="G608" s="84"/>
    </row>
    <row r="609" spans="3:7">
      <c r="C609" s="84"/>
      <c r="D609" s="84"/>
      <c r="E609" s="84"/>
      <c r="F609" s="84"/>
      <c r="G609" s="84"/>
    </row>
    <row r="610" spans="3:7">
      <c r="C610" s="84"/>
      <c r="D610" s="84"/>
      <c r="E610" s="84"/>
      <c r="F610" s="84"/>
      <c r="G610" s="84"/>
    </row>
    <row r="611" spans="3:7">
      <c r="C611" s="84"/>
      <c r="D611" s="84"/>
      <c r="E611" s="84"/>
      <c r="F611" s="84"/>
      <c r="G611" s="84"/>
    </row>
    <row r="612" spans="3:7">
      <c r="C612" s="84"/>
      <c r="D612" s="84"/>
      <c r="E612" s="84"/>
      <c r="F612" s="84"/>
      <c r="G612" s="84"/>
    </row>
    <row r="613" spans="3:7">
      <c r="C613" s="84"/>
      <c r="D613" s="84"/>
      <c r="E613" s="84"/>
      <c r="F613" s="84"/>
      <c r="G613" s="84"/>
    </row>
    <row r="614" spans="3:7">
      <c r="C614" s="84"/>
      <c r="D614" s="84"/>
      <c r="E614" s="84"/>
      <c r="F614" s="84"/>
      <c r="G614" s="84"/>
    </row>
    <row r="615" spans="3:7">
      <c r="C615" s="84"/>
      <c r="D615" s="84"/>
      <c r="E615" s="84"/>
      <c r="F615" s="84"/>
      <c r="G615" s="84"/>
    </row>
    <row r="616" spans="3:7">
      <c r="C616" s="84"/>
      <c r="D616" s="84"/>
      <c r="E616" s="84"/>
      <c r="F616" s="84"/>
      <c r="G616" s="84"/>
    </row>
    <row r="617" spans="3:7">
      <c r="C617" s="84"/>
      <c r="D617" s="84"/>
      <c r="E617" s="84"/>
      <c r="F617" s="84"/>
      <c r="G617" s="84"/>
    </row>
    <row r="618" spans="3:7">
      <c r="C618" s="84"/>
      <c r="D618" s="84"/>
      <c r="E618" s="84"/>
      <c r="F618" s="84"/>
      <c r="G618" s="84"/>
    </row>
    <row r="619" spans="3:7">
      <c r="C619" s="84"/>
      <c r="D619" s="84"/>
      <c r="E619" s="84"/>
      <c r="F619" s="84"/>
      <c r="G619" s="84"/>
    </row>
    <row r="620" spans="3:7">
      <c r="C620" s="84"/>
      <c r="D620" s="84"/>
      <c r="E620" s="84"/>
      <c r="F620" s="84"/>
      <c r="G620" s="84"/>
    </row>
    <row r="621" spans="3:7">
      <c r="C621" s="84"/>
      <c r="D621" s="84"/>
      <c r="E621" s="84"/>
      <c r="F621" s="84"/>
      <c r="G621" s="84"/>
    </row>
    <row r="622" spans="3:7">
      <c r="C622" s="84"/>
      <c r="D622" s="84"/>
      <c r="E622" s="84"/>
      <c r="F622" s="84"/>
      <c r="G622" s="84"/>
    </row>
    <row r="623" spans="3:7">
      <c r="C623" s="84"/>
      <c r="D623" s="84"/>
      <c r="E623" s="84"/>
      <c r="F623" s="84"/>
      <c r="G623" s="84"/>
    </row>
    <row r="624" spans="3:7">
      <c r="C624" s="84"/>
      <c r="D624" s="84"/>
      <c r="E624" s="84"/>
      <c r="F624" s="84"/>
      <c r="G624" s="84"/>
    </row>
    <row r="625" spans="3:7">
      <c r="C625" s="84"/>
      <c r="D625" s="84"/>
      <c r="E625" s="84"/>
      <c r="F625" s="84"/>
      <c r="G625" s="84"/>
    </row>
    <row r="626" spans="3:7">
      <c r="C626" s="84"/>
      <c r="D626" s="84"/>
      <c r="E626" s="84"/>
      <c r="F626" s="84"/>
      <c r="G626" s="84"/>
    </row>
    <row r="627" spans="3:7">
      <c r="C627" s="84"/>
      <c r="D627" s="84"/>
      <c r="E627" s="84"/>
      <c r="F627" s="84"/>
      <c r="G627" s="84"/>
    </row>
    <row r="628" spans="3:7">
      <c r="C628" s="84"/>
      <c r="D628" s="84"/>
      <c r="E628" s="84"/>
      <c r="F628" s="84"/>
      <c r="G628" s="84"/>
    </row>
    <row r="629" spans="3:7">
      <c r="C629" s="84"/>
      <c r="D629" s="84"/>
      <c r="E629" s="84"/>
      <c r="F629" s="84"/>
      <c r="G629" s="84"/>
    </row>
    <row r="630" spans="3:7">
      <c r="C630" s="84"/>
      <c r="D630" s="84"/>
      <c r="E630" s="84"/>
      <c r="F630" s="84"/>
      <c r="G630" s="84"/>
    </row>
    <row r="631" spans="3:7">
      <c r="C631" s="84"/>
      <c r="D631" s="84"/>
      <c r="E631" s="84"/>
      <c r="F631" s="84"/>
      <c r="G631" s="84"/>
    </row>
    <row r="632" spans="3:7">
      <c r="C632" s="84"/>
      <c r="D632" s="84"/>
      <c r="E632" s="84"/>
      <c r="F632" s="84"/>
      <c r="G632" s="84"/>
    </row>
    <row r="633" spans="3:7">
      <c r="C633" s="84"/>
      <c r="D633" s="84"/>
      <c r="E633" s="84"/>
      <c r="F633" s="84"/>
      <c r="G633" s="84"/>
    </row>
    <row r="634" spans="3:7">
      <c r="C634" s="84"/>
      <c r="D634" s="84"/>
      <c r="E634" s="84"/>
      <c r="F634" s="84"/>
      <c r="G634" s="84"/>
    </row>
    <row r="635" spans="3:7">
      <c r="C635" s="84"/>
      <c r="D635" s="84"/>
      <c r="E635" s="84"/>
      <c r="F635" s="84"/>
      <c r="G635" s="84"/>
    </row>
    <row r="636" spans="3:7">
      <c r="C636" s="84"/>
      <c r="D636" s="84"/>
      <c r="E636" s="84"/>
      <c r="F636" s="84"/>
      <c r="G636" s="84"/>
    </row>
    <row r="637" spans="3:7">
      <c r="C637" s="84"/>
      <c r="D637" s="84"/>
      <c r="E637" s="84"/>
      <c r="F637" s="84"/>
      <c r="G637" s="84"/>
    </row>
    <row r="638" spans="3:7">
      <c r="C638" s="84"/>
      <c r="D638" s="84"/>
      <c r="E638" s="84"/>
      <c r="F638" s="84"/>
      <c r="G638" s="84"/>
    </row>
    <row r="639" spans="3:7">
      <c r="C639" s="84"/>
      <c r="D639" s="84"/>
      <c r="E639" s="84"/>
      <c r="F639" s="84"/>
      <c r="G639" s="84"/>
    </row>
    <row r="640" spans="3:7">
      <c r="C640" s="84"/>
      <c r="D640" s="84"/>
      <c r="E640" s="84"/>
      <c r="F640" s="84"/>
      <c r="G640" s="84"/>
    </row>
    <row r="641" spans="3:7">
      <c r="C641" s="84"/>
      <c r="D641" s="84"/>
      <c r="E641" s="84"/>
      <c r="F641" s="84"/>
      <c r="G641" s="84"/>
    </row>
    <row r="642" spans="3:7">
      <c r="C642" s="84"/>
      <c r="D642" s="84"/>
      <c r="E642" s="84"/>
      <c r="F642" s="84"/>
      <c r="G642" s="84"/>
    </row>
    <row r="643" spans="3:7">
      <c r="C643" s="84"/>
      <c r="D643" s="84"/>
      <c r="E643" s="84"/>
      <c r="F643" s="84"/>
      <c r="G643" s="84"/>
    </row>
    <row r="644" spans="3:7">
      <c r="C644" s="84"/>
      <c r="D644" s="84"/>
      <c r="E644" s="84"/>
      <c r="F644" s="84"/>
      <c r="G644" s="84"/>
    </row>
    <row r="645" spans="3:7">
      <c r="C645" s="84"/>
      <c r="D645" s="84"/>
      <c r="E645" s="84"/>
      <c r="F645" s="84"/>
      <c r="G645" s="84"/>
    </row>
    <row r="646" spans="3:7">
      <c r="C646" s="84"/>
      <c r="D646" s="84"/>
      <c r="E646" s="84"/>
      <c r="F646" s="84"/>
      <c r="G646" s="84"/>
    </row>
    <row r="647" spans="3:7">
      <c r="C647" s="84"/>
      <c r="D647" s="84"/>
      <c r="E647" s="84"/>
      <c r="F647" s="84"/>
      <c r="G647" s="84"/>
    </row>
    <row r="648" spans="3:7">
      <c r="C648" s="84"/>
      <c r="D648" s="84"/>
      <c r="E648" s="84"/>
      <c r="F648" s="84"/>
      <c r="G648" s="84"/>
    </row>
    <row r="649" spans="3:7">
      <c r="C649" s="84"/>
      <c r="D649" s="84"/>
      <c r="E649" s="84"/>
      <c r="F649" s="84"/>
      <c r="G649" s="84"/>
    </row>
    <row r="650" spans="3:7">
      <c r="C650" s="84"/>
      <c r="D650" s="84"/>
      <c r="E650" s="84"/>
      <c r="F650" s="84"/>
      <c r="G650" s="84"/>
    </row>
    <row r="651" spans="3:7">
      <c r="C651" s="84"/>
      <c r="D651" s="84"/>
      <c r="E651" s="84"/>
      <c r="F651" s="84"/>
      <c r="G651" s="84"/>
    </row>
    <row r="652" spans="3:7">
      <c r="C652" s="84"/>
      <c r="D652" s="84"/>
      <c r="E652" s="84"/>
      <c r="F652" s="84"/>
      <c r="G652" s="84"/>
    </row>
    <row r="653" spans="3:7">
      <c r="C653" s="84"/>
      <c r="D653" s="84"/>
      <c r="E653" s="84"/>
      <c r="F653" s="84"/>
      <c r="G653" s="84"/>
    </row>
    <row r="654" spans="3:7">
      <c r="C654" s="84"/>
      <c r="D654" s="84"/>
      <c r="E654" s="84"/>
      <c r="F654" s="84"/>
      <c r="G654" s="84"/>
    </row>
    <row r="655" spans="3:7">
      <c r="C655" s="84"/>
      <c r="D655" s="84"/>
      <c r="E655" s="84"/>
      <c r="F655" s="84"/>
      <c r="G655" s="84"/>
    </row>
    <row r="656" spans="3:7">
      <c r="C656" s="84"/>
      <c r="D656" s="84"/>
      <c r="E656" s="84"/>
      <c r="F656" s="84"/>
      <c r="G656" s="84"/>
    </row>
    <row r="657" spans="3:7">
      <c r="C657" s="84"/>
      <c r="D657" s="84"/>
      <c r="E657" s="84"/>
      <c r="F657" s="84"/>
      <c r="G657" s="84"/>
    </row>
    <row r="658" spans="3:7">
      <c r="C658" s="84"/>
      <c r="D658" s="84"/>
      <c r="E658" s="84"/>
      <c r="F658" s="84"/>
      <c r="G658" s="84"/>
    </row>
    <row r="659" spans="3:7">
      <c r="C659" s="84"/>
      <c r="D659" s="84"/>
      <c r="E659" s="84"/>
      <c r="F659" s="84"/>
      <c r="G659" s="84"/>
    </row>
    <row r="660" spans="3:7">
      <c r="C660" s="84"/>
      <c r="D660" s="84"/>
      <c r="E660" s="84"/>
      <c r="F660" s="84"/>
      <c r="G660" s="84"/>
    </row>
    <row r="661" spans="3:7">
      <c r="C661" s="84"/>
      <c r="D661" s="84"/>
      <c r="E661" s="84"/>
      <c r="F661" s="84"/>
      <c r="G661" s="84"/>
    </row>
    <row r="662" spans="3:7">
      <c r="C662" s="84"/>
      <c r="D662" s="84"/>
      <c r="E662" s="84"/>
      <c r="F662" s="84"/>
      <c r="G662" s="84"/>
    </row>
    <row r="663" spans="3:7">
      <c r="C663" s="84"/>
      <c r="D663" s="84"/>
      <c r="E663" s="84"/>
      <c r="F663" s="84"/>
      <c r="G663" s="84"/>
    </row>
    <row r="664" spans="3:7">
      <c r="C664" s="84"/>
      <c r="D664" s="84"/>
      <c r="E664" s="84"/>
      <c r="F664" s="84"/>
      <c r="G664" s="84"/>
    </row>
    <row r="665" spans="3:7">
      <c r="C665" s="84"/>
      <c r="D665" s="84"/>
      <c r="E665" s="84"/>
      <c r="F665" s="84"/>
      <c r="G665" s="84"/>
    </row>
    <row r="666" spans="3:7">
      <c r="C666" s="84"/>
      <c r="D666" s="84"/>
      <c r="E666" s="84"/>
      <c r="F666" s="84"/>
      <c r="G666" s="84"/>
    </row>
    <row r="667" spans="3:7">
      <c r="C667" s="84"/>
      <c r="D667" s="84"/>
      <c r="E667" s="84"/>
      <c r="F667" s="84"/>
      <c r="G667" s="84"/>
    </row>
    <row r="668" spans="3:7">
      <c r="C668" s="84"/>
      <c r="D668" s="84"/>
      <c r="E668" s="84"/>
      <c r="F668" s="84"/>
      <c r="G668" s="84"/>
    </row>
    <row r="669" spans="3:7">
      <c r="C669" s="84"/>
      <c r="D669" s="84"/>
      <c r="E669" s="84"/>
      <c r="F669" s="84"/>
      <c r="G669" s="84"/>
    </row>
    <row r="670" spans="3:7">
      <c r="C670" s="84"/>
      <c r="D670" s="84"/>
      <c r="E670" s="84"/>
      <c r="F670" s="84"/>
      <c r="G670" s="84"/>
    </row>
    <row r="671" spans="3:7">
      <c r="C671" s="84"/>
      <c r="D671" s="84"/>
      <c r="E671" s="84"/>
      <c r="F671" s="84"/>
      <c r="G671" s="84"/>
    </row>
    <row r="672" spans="3:7">
      <c r="C672" s="84"/>
      <c r="D672" s="84"/>
      <c r="E672" s="84"/>
      <c r="F672" s="84"/>
      <c r="G672" s="84"/>
    </row>
    <row r="673" spans="3:7">
      <c r="C673" s="84"/>
      <c r="D673" s="84"/>
      <c r="E673" s="84"/>
      <c r="F673" s="84"/>
      <c r="G673" s="84"/>
    </row>
    <row r="674" spans="3:7">
      <c r="C674" s="84"/>
      <c r="D674" s="84"/>
      <c r="E674" s="84"/>
      <c r="F674" s="84"/>
      <c r="G674" s="84"/>
    </row>
    <row r="675" spans="3:7">
      <c r="C675" s="84"/>
      <c r="D675" s="84"/>
      <c r="E675" s="84"/>
      <c r="F675" s="84"/>
      <c r="G675" s="84"/>
    </row>
    <row r="676" spans="3:7">
      <c r="C676" s="84"/>
      <c r="D676" s="84"/>
      <c r="E676" s="84"/>
      <c r="F676" s="84"/>
      <c r="G676" s="84"/>
    </row>
    <row r="677" spans="3:7">
      <c r="C677" s="84"/>
      <c r="D677" s="84"/>
      <c r="E677" s="84"/>
      <c r="F677" s="84"/>
      <c r="G677" s="84"/>
    </row>
    <row r="678" spans="3:7">
      <c r="C678" s="84"/>
      <c r="D678" s="84"/>
      <c r="E678" s="84"/>
      <c r="F678" s="84"/>
      <c r="G678" s="84"/>
    </row>
    <row r="679" spans="3:7">
      <c r="C679" s="84"/>
      <c r="D679" s="84"/>
      <c r="E679" s="84"/>
      <c r="F679" s="84"/>
      <c r="G679" s="84"/>
    </row>
    <row r="680" spans="3:7">
      <c r="C680" s="84"/>
      <c r="D680" s="84"/>
      <c r="E680" s="84"/>
      <c r="F680" s="84"/>
      <c r="G680" s="84"/>
    </row>
    <row r="681" spans="3:7">
      <c r="C681" s="84"/>
      <c r="D681" s="84"/>
      <c r="E681" s="84"/>
      <c r="F681" s="84"/>
      <c r="G681" s="84"/>
    </row>
    <row r="682" spans="3:7">
      <c r="C682" s="84"/>
      <c r="D682" s="84"/>
      <c r="E682" s="84"/>
      <c r="F682" s="84"/>
      <c r="G682" s="84"/>
    </row>
    <row r="683" spans="3:7">
      <c r="C683" s="84"/>
      <c r="D683" s="84"/>
      <c r="E683" s="84"/>
      <c r="F683" s="84"/>
      <c r="G683" s="84"/>
    </row>
    <row r="684" spans="3:7">
      <c r="C684" s="84"/>
      <c r="D684" s="84"/>
      <c r="E684" s="84"/>
      <c r="F684" s="84"/>
      <c r="G684" s="84"/>
    </row>
    <row r="685" spans="3:7">
      <c r="C685" s="84"/>
      <c r="D685" s="84"/>
      <c r="E685" s="84"/>
      <c r="F685" s="84"/>
      <c r="G685" s="84"/>
    </row>
    <row r="686" spans="3:7">
      <c r="C686" s="84"/>
      <c r="D686" s="84"/>
      <c r="E686" s="84"/>
      <c r="F686" s="84"/>
      <c r="G686" s="84"/>
    </row>
    <row r="687" spans="3:7">
      <c r="C687" s="84"/>
      <c r="D687" s="84"/>
      <c r="E687" s="84"/>
      <c r="F687" s="84"/>
      <c r="G687" s="84"/>
    </row>
    <row r="688" spans="3:7">
      <c r="C688" s="84"/>
      <c r="D688" s="84"/>
      <c r="E688" s="84"/>
      <c r="F688" s="84"/>
      <c r="G688" s="84"/>
    </row>
    <row r="689" spans="3:7">
      <c r="C689" s="84"/>
      <c r="D689" s="84"/>
      <c r="E689" s="84"/>
      <c r="F689" s="84"/>
      <c r="G689" s="84"/>
    </row>
    <row r="690" spans="3:7">
      <c r="C690" s="84"/>
      <c r="D690" s="84"/>
      <c r="E690" s="84"/>
      <c r="F690" s="84"/>
      <c r="G690" s="84"/>
    </row>
    <row r="691" spans="3:7">
      <c r="C691" s="84"/>
      <c r="D691" s="84"/>
      <c r="E691" s="84"/>
      <c r="F691" s="84"/>
      <c r="G691" s="84"/>
    </row>
    <row r="692" spans="3:7">
      <c r="C692" s="84"/>
      <c r="D692" s="84"/>
      <c r="E692" s="84"/>
      <c r="F692" s="84"/>
      <c r="G692" s="84"/>
    </row>
    <row r="693" spans="3:7">
      <c r="C693" s="84"/>
      <c r="D693" s="84"/>
      <c r="E693" s="84"/>
      <c r="F693" s="84"/>
      <c r="G693" s="84"/>
    </row>
    <row r="694" spans="3:7">
      <c r="C694" s="84"/>
      <c r="D694" s="84"/>
      <c r="E694" s="84"/>
      <c r="F694" s="84"/>
      <c r="G694" s="84"/>
    </row>
    <row r="695" spans="3:7">
      <c r="C695" s="84"/>
      <c r="D695" s="84"/>
      <c r="E695" s="84"/>
      <c r="F695" s="84"/>
      <c r="G695" s="84"/>
    </row>
    <row r="696" spans="3:7">
      <c r="C696" s="84"/>
      <c r="D696" s="84"/>
      <c r="E696" s="84"/>
      <c r="F696" s="84"/>
      <c r="G696" s="84"/>
    </row>
    <row r="697" spans="3:7">
      <c r="C697" s="84"/>
      <c r="D697" s="84"/>
      <c r="E697" s="84"/>
      <c r="F697" s="84"/>
      <c r="G697" s="84"/>
    </row>
    <row r="698" spans="3:7">
      <c r="C698" s="84"/>
      <c r="D698" s="84"/>
      <c r="E698" s="84"/>
      <c r="F698" s="84"/>
      <c r="G698" s="84"/>
    </row>
    <row r="699" spans="3:7">
      <c r="C699" s="84"/>
      <c r="D699" s="84"/>
      <c r="E699" s="84"/>
      <c r="F699" s="84"/>
      <c r="G699" s="84"/>
    </row>
    <row r="700" spans="3:7">
      <c r="C700" s="84"/>
      <c r="D700" s="84"/>
      <c r="E700" s="84"/>
      <c r="F700" s="84"/>
      <c r="G700" s="84"/>
    </row>
    <row r="701" spans="3:7">
      <c r="C701" s="84"/>
      <c r="D701" s="84"/>
      <c r="E701" s="84"/>
      <c r="F701" s="84"/>
      <c r="G701" s="84"/>
    </row>
    <row r="702" spans="3:7">
      <c r="C702" s="84"/>
      <c r="D702" s="84"/>
      <c r="E702" s="84"/>
      <c r="F702" s="84"/>
      <c r="G702" s="84"/>
    </row>
    <row r="703" spans="3:7">
      <c r="C703" s="84"/>
      <c r="D703" s="84"/>
      <c r="E703" s="84"/>
      <c r="F703" s="84"/>
      <c r="G703" s="84"/>
    </row>
    <row r="704" spans="3:7">
      <c r="C704" s="84"/>
      <c r="D704" s="84"/>
      <c r="E704" s="84"/>
      <c r="F704" s="84"/>
      <c r="G704" s="84"/>
    </row>
    <row r="705" spans="3:7">
      <c r="C705" s="84"/>
      <c r="D705" s="84"/>
      <c r="E705" s="84"/>
      <c r="F705" s="84"/>
      <c r="G705" s="84"/>
    </row>
    <row r="706" spans="3:7">
      <c r="C706" s="84"/>
      <c r="D706" s="84"/>
      <c r="E706" s="84"/>
      <c r="F706" s="84"/>
      <c r="G706" s="84"/>
    </row>
    <row r="707" spans="3:7">
      <c r="C707" s="84"/>
      <c r="D707" s="84"/>
      <c r="E707" s="84"/>
      <c r="F707" s="84"/>
      <c r="G707" s="84"/>
    </row>
    <row r="708" spans="3:7">
      <c r="C708" s="84"/>
      <c r="D708" s="84"/>
      <c r="E708" s="84"/>
      <c r="F708" s="84"/>
      <c r="G708" s="84"/>
    </row>
    <row r="709" spans="3:7">
      <c r="C709" s="84"/>
      <c r="D709" s="84"/>
      <c r="E709" s="84"/>
      <c r="F709" s="84"/>
      <c r="G709" s="84"/>
    </row>
    <row r="710" spans="3:7">
      <c r="C710" s="84"/>
      <c r="D710" s="84"/>
      <c r="E710" s="84"/>
      <c r="F710" s="84"/>
      <c r="G710" s="84"/>
    </row>
    <row r="711" spans="3:7">
      <c r="C711" s="84"/>
      <c r="D711" s="84"/>
      <c r="E711" s="84"/>
      <c r="F711" s="84"/>
      <c r="G711" s="84"/>
    </row>
    <row r="712" spans="3:7">
      <c r="C712" s="84"/>
      <c r="D712" s="84"/>
      <c r="E712" s="84"/>
      <c r="F712" s="84"/>
      <c r="G712" s="84"/>
    </row>
    <row r="713" spans="3:7">
      <c r="C713" s="84"/>
      <c r="D713" s="84"/>
      <c r="E713" s="84"/>
      <c r="F713" s="84"/>
      <c r="G713" s="84"/>
    </row>
    <row r="714" spans="3:7">
      <c r="C714" s="84"/>
      <c r="D714" s="84"/>
      <c r="E714" s="84"/>
      <c r="F714" s="84"/>
      <c r="G714" s="84"/>
    </row>
    <row r="715" spans="3:7">
      <c r="C715" s="84"/>
      <c r="D715" s="84"/>
      <c r="E715" s="84"/>
      <c r="F715" s="84"/>
      <c r="G715" s="84"/>
    </row>
    <row r="716" spans="3:7">
      <c r="C716" s="84"/>
      <c r="D716" s="84"/>
      <c r="E716" s="84"/>
      <c r="F716" s="84"/>
      <c r="G716" s="84"/>
    </row>
    <row r="717" spans="3:7">
      <c r="C717" s="84"/>
      <c r="D717" s="84"/>
      <c r="E717" s="84"/>
      <c r="F717" s="84"/>
      <c r="G717" s="84"/>
    </row>
    <row r="718" spans="3:7">
      <c r="C718" s="84"/>
      <c r="D718" s="84"/>
      <c r="E718" s="84"/>
      <c r="F718" s="84"/>
      <c r="G718" s="84"/>
    </row>
    <row r="719" spans="3:7">
      <c r="C719" s="84"/>
      <c r="D719" s="84"/>
      <c r="E719" s="84"/>
      <c r="F719" s="84"/>
      <c r="G719" s="84"/>
    </row>
    <row r="720" spans="3:7">
      <c r="C720" s="84"/>
      <c r="D720" s="84"/>
      <c r="E720" s="84"/>
      <c r="F720" s="84"/>
      <c r="G720" s="84"/>
    </row>
    <row r="721" spans="3:7">
      <c r="C721" s="84"/>
      <c r="D721" s="84"/>
      <c r="E721" s="84"/>
      <c r="F721" s="84"/>
      <c r="G721" s="84"/>
    </row>
    <row r="722" spans="3:7">
      <c r="C722" s="84"/>
      <c r="D722" s="84"/>
      <c r="E722" s="84"/>
      <c r="F722" s="84"/>
      <c r="G722" s="84"/>
    </row>
    <row r="723" spans="3:7">
      <c r="C723" s="84"/>
      <c r="D723" s="84"/>
      <c r="E723" s="84"/>
      <c r="F723" s="84"/>
      <c r="G723" s="84"/>
    </row>
    <row r="724" spans="3:7">
      <c r="C724" s="84"/>
      <c r="D724" s="84"/>
      <c r="E724" s="84"/>
      <c r="F724" s="84"/>
      <c r="G724" s="84"/>
    </row>
    <row r="725" spans="3:7">
      <c r="C725" s="84"/>
      <c r="D725" s="84"/>
      <c r="E725" s="84"/>
      <c r="F725" s="84"/>
      <c r="G725" s="84"/>
    </row>
    <row r="726" spans="3:7">
      <c r="C726" s="84"/>
      <c r="D726" s="84"/>
      <c r="E726" s="84"/>
      <c r="F726" s="84"/>
      <c r="G726" s="84"/>
    </row>
    <row r="727" spans="3:7">
      <c r="C727" s="84"/>
      <c r="D727" s="84"/>
      <c r="E727" s="84"/>
      <c r="F727" s="84"/>
      <c r="G727" s="84"/>
    </row>
    <row r="728" spans="3:7">
      <c r="C728" s="84"/>
      <c r="D728" s="84"/>
      <c r="E728" s="84"/>
      <c r="F728" s="84"/>
      <c r="G728" s="84"/>
    </row>
    <row r="729" spans="3:7">
      <c r="C729" s="84"/>
      <c r="D729" s="84"/>
      <c r="E729" s="84"/>
      <c r="F729" s="84"/>
      <c r="G729" s="84"/>
    </row>
    <row r="730" spans="3:7">
      <c r="C730" s="84"/>
      <c r="D730" s="84"/>
      <c r="E730" s="84"/>
      <c r="F730" s="84"/>
      <c r="G730" s="84"/>
    </row>
    <row r="731" spans="3:7">
      <c r="C731" s="84"/>
      <c r="D731" s="84"/>
      <c r="E731" s="84"/>
      <c r="F731" s="84"/>
      <c r="G731" s="84"/>
    </row>
    <row r="732" spans="3:7">
      <c r="C732" s="84"/>
      <c r="D732" s="84"/>
      <c r="E732" s="84"/>
      <c r="F732" s="84"/>
      <c r="G732" s="84"/>
    </row>
    <row r="733" spans="3:7">
      <c r="C733" s="84"/>
      <c r="D733" s="84"/>
      <c r="E733" s="84"/>
      <c r="F733" s="84"/>
      <c r="G733" s="84"/>
    </row>
    <row r="734" spans="3:7">
      <c r="C734" s="84"/>
      <c r="D734" s="84"/>
      <c r="E734" s="84"/>
      <c r="F734" s="84"/>
      <c r="G734" s="84"/>
    </row>
    <row r="735" spans="3:7">
      <c r="C735" s="84"/>
      <c r="D735" s="84"/>
      <c r="E735" s="84"/>
      <c r="F735" s="84"/>
      <c r="G735" s="84"/>
    </row>
    <row r="736" spans="3:7">
      <c r="C736" s="84"/>
      <c r="D736" s="84"/>
      <c r="E736" s="84"/>
      <c r="F736" s="84"/>
      <c r="G736" s="84"/>
    </row>
    <row r="737" spans="3:7">
      <c r="C737" s="84"/>
      <c r="D737" s="84"/>
      <c r="E737" s="84"/>
      <c r="F737" s="84"/>
      <c r="G737" s="84"/>
    </row>
    <row r="738" spans="3:7">
      <c r="C738" s="84"/>
      <c r="D738" s="84"/>
      <c r="E738" s="84"/>
      <c r="F738" s="84"/>
      <c r="G738" s="84"/>
    </row>
    <row r="739" spans="3:7">
      <c r="C739" s="84"/>
      <c r="D739" s="84"/>
      <c r="E739" s="84"/>
      <c r="F739" s="84"/>
      <c r="G739" s="84"/>
    </row>
    <row r="740" spans="3:7">
      <c r="C740" s="84"/>
      <c r="D740" s="84"/>
      <c r="E740" s="84"/>
      <c r="F740" s="84"/>
      <c r="G740" s="84"/>
    </row>
    <row r="741" spans="3:7">
      <c r="C741" s="84"/>
      <c r="D741" s="84"/>
      <c r="E741" s="84"/>
      <c r="F741" s="84"/>
      <c r="G741" s="84"/>
    </row>
    <row r="742" spans="3:7">
      <c r="C742" s="84"/>
      <c r="D742" s="84"/>
      <c r="E742" s="84"/>
      <c r="F742" s="84"/>
      <c r="G742" s="84"/>
    </row>
    <row r="743" spans="3:7">
      <c r="C743" s="84"/>
      <c r="D743" s="84"/>
      <c r="E743" s="84"/>
      <c r="F743" s="84"/>
      <c r="G743" s="84"/>
    </row>
    <row r="744" spans="3:7">
      <c r="C744" s="84"/>
      <c r="D744" s="84"/>
      <c r="E744" s="84"/>
      <c r="F744" s="84"/>
      <c r="G744" s="84"/>
    </row>
    <row r="745" spans="3:7">
      <c r="C745" s="84"/>
      <c r="D745" s="84"/>
      <c r="E745" s="84"/>
      <c r="F745" s="84"/>
      <c r="G745" s="84"/>
    </row>
    <row r="746" spans="3:7">
      <c r="C746" s="84"/>
      <c r="D746" s="84"/>
      <c r="E746" s="84"/>
      <c r="F746" s="84"/>
      <c r="G746" s="84"/>
    </row>
    <row r="747" spans="3:7">
      <c r="C747" s="84"/>
      <c r="D747" s="84"/>
      <c r="E747" s="84"/>
      <c r="F747" s="84"/>
      <c r="G747" s="84"/>
    </row>
    <row r="748" spans="3:7">
      <c r="C748" s="84"/>
      <c r="D748" s="84"/>
      <c r="E748" s="84"/>
      <c r="F748" s="84"/>
      <c r="G748" s="84"/>
    </row>
    <row r="749" spans="3:7">
      <c r="C749" s="84"/>
      <c r="D749" s="84"/>
      <c r="E749" s="84"/>
      <c r="F749" s="84"/>
      <c r="G749" s="84"/>
    </row>
    <row r="750" spans="3:7">
      <c r="C750" s="84"/>
      <c r="D750" s="84"/>
      <c r="E750" s="84"/>
      <c r="F750" s="84"/>
      <c r="G750" s="84"/>
    </row>
    <row r="751" spans="3:7">
      <c r="C751" s="84"/>
      <c r="D751" s="84"/>
      <c r="E751" s="84"/>
      <c r="F751" s="84"/>
      <c r="G751" s="84"/>
    </row>
    <row r="752" spans="3:7">
      <c r="C752" s="84"/>
      <c r="D752" s="84"/>
      <c r="E752" s="84"/>
      <c r="F752" s="84"/>
      <c r="G752" s="84"/>
    </row>
    <row r="753" spans="3:7">
      <c r="C753" s="84"/>
      <c r="D753" s="84"/>
      <c r="E753" s="84"/>
      <c r="F753" s="84"/>
      <c r="G753" s="84"/>
    </row>
    <row r="754" spans="3:7">
      <c r="C754" s="84"/>
      <c r="D754" s="84"/>
      <c r="E754" s="84"/>
      <c r="F754" s="84"/>
      <c r="G754" s="84"/>
    </row>
    <row r="755" spans="3:7">
      <c r="C755" s="84"/>
      <c r="D755" s="84"/>
      <c r="E755" s="84"/>
      <c r="F755" s="84"/>
      <c r="G755" s="84"/>
    </row>
    <row r="756" spans="3:7">
      <c r="C756" s="84"/>
      <c r="D756" s="84"/>
      <c r="E756" s="84"/>
      <c r="F756" s="84"/>
      <c r="G756" s="84"/>
    </row>
    <row r="757" spans="3:7">
      <c r="C757" s="84"/>
      <c r="D757" s="84"/>
      <c r="E757" s="84"/>
      <c r="F757" s="84"/>
      <c r="G757" s="84"/>
    </row>
    <row r="758" spans="3:7">
      <c r="C758" s="84"/>
      <c r="D758" s="84"/>
      <c r="E758" s="84"/>
      <c r="F758" s="84"/>
      <c r="G758" s="84"/>
    </row>
    <row r="759" spans="3:7">
      <c r="C759" s="84"/>
      <c r="D759" s="84"/>
      <c r="E759" s="84"/>
      <c r="F759" s="84"/>
      <c r="G759" s="84"/>
    </row>
    <row r="760" spans="3:7">
      <c r="C760" s="84"/>
      <c r="D760" s="84"/>
      <c r="E760" s="84"/>
      <c r="F760" s="84"/>
      <c r="G760" s="84"/>
    </row>
    <row r="761" spans="3:7">
      <c r="C761" s="84"/>
      <c r="D761" s="84"/>
      <c r="E761" s="84"/>
      <c r="F761" s="84"/>
      <c r="G761" s="84"/>
    </row>
    <row r="762" spans="3:7">
      <c r="C762" s="84"/>
      <c r="D762" s="84"/>
      <c r="E762" s="84"/>
      <c r="F762" s="84"/>
      <c r="G762" s="84"/>
    </row>
    <row r="763" spans="3:7">
      <c r="C763" s="84"/>
      <c r="D763" s="84"/>
      <c r="E763" s="84"/>
      <c r="F763" s="84"/>
      <c r="G763" s="84"/>
    </row>
    <row r="764" spans="3:7">
      <c r="C764" s="84"/>
      <c r="D764" s="84"/>
      <c r="E764" s="84"/>
      <c r="F764" s="84"/>
      <c r="G764" s="84"/>
    </row>
    <row r="765" spans="3:7">
      <c r="C765" s="84"/>
      <c r="D765" s="84"/>
      <c r="E765" s="84"/>
      <c r="F765" s="84"/>
      <c r="G765" s="84"/>
    </row>
    <row r="766" spans="3:7">
      <c r="C766" s="84"/>
      <c r="D766" s="84"/>
      <c r="E766" s="84"/>
      <c r="F766" s="84"/>
      <c r="G766" s="84"/>
    </row>
    <row r="767" spans="3:7">
      <c r="C767" s="84"/>
      <c r="D767" s="84"/>
      <c r="E767" s="84"/>
      <c r="F767" s="84"/>
      <c r="G767" s="84"/>
    </row>
    <row r="768" spans="3:7">
      <c r="C768" s="84"/>
      <c r="D768" s="84"/>
      <c r="E768" s="84"/>
      <c r="F768" s="84"/>
      <c r="G768" s="84"/>
    </row>
    <row r="769" spans="3:7">
      <c r="C769" s="84"/>
      <c r="D769" s="84"/>
      <c r="E769" s="84"/>
      <c r="F769" s="84"/>
      <c r="G769" s="84"/>
    </row>
    <row r="770" spans="3:7">
      <c r="C770" s="84"/>
      <c r="D770" s="84"/>
      <c r="E770" s="84"/>
      <c r="F770" s="84"/>
      <c r="G770" s="84"/>
    </row>
    <row r="771" spans="3:7">
      <c r="C771" s="84"/>
      <c r="D771" s="84"/>
      <c r="E771" s="84"/>
      <c r="F771" s="84"/>
      <c r="G771" s="84"/>
    </row>
    <row r="772" spans="3:7">
      <c r="C772" s="84"/>
      <c r="D772" s="84"/>
      <c r="E772" s="84"/>
      <c r="F772" s="84"/>
      <c r="G772" s="84"/>
    </row>
    <row r="773" spans="3:7">
      <c r="C773" s="84"/>
      <c r="D773" s="84"/>
      <c r="E773" s="84"/>
      <c r="F773" s="84"/>
      <c r="G773" s="84"/>
    </row>
    <row r="774" spans="3:7">
      <c r="C774" s="84"/>
      <c r="D774" s="84"/>
      <c r="E774" s="84"/>
      <c r="F774" s="84"/>
      <c r="G774" s="84"/>
    </row>
    <row r="775" spans="3:7">
      <c r="C775" s="84"/>
      <c r="D775" s="84"/>
      <c r="E775" s="84"/>
      <c r="F775" s="84"/>
      <c r="G775" s="84"/>
    </row>
    <row r="776" spans="3:7">
      <c r="C776" s="84"/>
      <c r="D776" s="84"/>
      <c r="E776" s="84"/>
      <c r="F776" s="84"/>
      <c r="G776" s="84"/>
    </row>
    <row r="777" spans="3:7">
      <c r="C777" s="84"/>
      <c r="D777" s="84"/>
      <c r="E777" s="84"/>
      <c r="F777" s="84"/>
      <c r="G777" s="84"/>
    </row>
    <row r="778" spans="3:7">
      <c r="C778" s="84"/>
      <c r="D778" s="84"/>
      <c r="E778" s="84"/>
      <c r="F778" s="84"/>
      <c r="G778" s="84"/>
    </row>
    <row r="779" spans="3:7">
      <c r="C779" s="84"/>
      <c r="D779" s="84"/>
      <c r="E779" s="84"/>
      <c r="F779" s="84"/>
      <c r="G779" s="84"/>
    </row>
    <row r="780" spans="3:7">
      <c r="C780" s="84"/>
      <c r="D780" s="84"/>
      <c r="E780" s="84"/>
      <c r="F780" s="84"/>
      <c r="G780" s="84"/>
    </row>
    <row r="781" spans="3:7">
      <c r="C781" s="84"/>
      <c r="D781" s="84"/>
      <c r="E781" s="84"/>
      <c r="F781" s="84"/>
      <c r="G781" s="84"/>
    </row>
    <row r="782" spans="3:7">
      <c r="C782" s="84"/>
      <c r="D782" s="84"/>
      <c r="E782" s="84"/>
      <c r="F782" s="84"/>
      <c r="G782" s="84"/>
    </row>
    <row r="783" spans="3:7">
      <c r="C783" s="84"/>
      <c r="D783" s="84"/>
      <c r="E783" s="84"/>
      <c r="F783" s="84"/>
      <c r="G783" s="84"/>
    </row>
    <row r="784" spans="3:7">
      <c r="C784" s="84"/>
      <c r="D784" s="84"/>
      <c r="E784" s="84"/>
      <c r="F784" s="84"/>
      <c r="G784" s="84"/>
    </row>
    <row r="785" spans="3:7">
      <c r="C785" s="84"/>
      <c r="D785" s="84"/>
      <c r="E785" s="84"/>
      <c r="F785" s="84"/>
      <c r="G785" s="84"/>
    </row>
    <row r="786" spans="3:7">
      <c r="C786" s="84"/>
      <c r="D786" s="84"/>
      <c r="E786" s="84"/>
      <c r="F786" s="84"/>
      <c r="G786" s="84"/>
    </row>
    <row r="787" spans="3:7">
      <c r="C787" s="84"/>
      <c r="D787" s="84"/>
      <c r="E787" s="84"/>
      <c r="F787" s="84"/>
      <c r="G787" s="84"/>
    </row>
    <row r="788" spans="3:7">
      <c r="C788" s="84"/>
      <c r="D788" s="84"/>
      <c r="E788" s="84"/>
      <c r="F788" s="84"/>
      <c r="G788" s="84"/>
    </row>
    <row r="789" spans="3:7">
      <c r="C789" s="84"/>
      <c r="D789" s="84"/>
      <c r="E789" s="84"/>
      <c r="F789" s="84"/>
      <c r="G789" s="84"/>
    </row>
    <row r="790" spans="3:7">
      <c r="C790" s="84"/>
      <c r="D790" s="84"/>
      <c r="E790" s="84"/>
      <c r="F790" s="84"/>
      <c r="G790" s="84"/>
    </row>
    <row r="791" spans="3:7">
      <c r="C791" s="84"/>
      <c r="D791" s="84"/>
      <c r="E791" s="84"/>
      <c r="F791" s="84"/>
      <c r="G791" s="84"/>
    </row>
    <row r="792" spans="3:7">
      <c r="C792" s="84"/>
      <c r="D792" s="84"/>
      <c r="E792" s="84"/>
      <c r="F792" s="84"/>
      <c r="G792" s="84"/>
    </row>
    <row r="793" spans="3:7">
      <c r="C793" s="84"/>
      <c r="D793" s="84"/>
      <c r="E793" s="84"/>
      <c r="F793" s="84"/>
      <c r="G793" s="84"/>
    </row>
    <row r="794" spans="3:7">
      <c r="C794" s="84"/>
      <c r="D794" s="84"/>
      <c r="E794" s="84"/>
      <c r="F794" s="84"/>
      <c r="G794" s="84"/>
    </row>
    <row r="795" spans="3:7">
      <c r="C795" s="84"/>
      <c r="D795" s="84"/>
      <c r="E795" s="84"/>
      <c r="F795" s="84"/>
      <c r="G795" s="84"/>
    </row>
    <row r="796" spans="3:7">
      <c r="C796" s="84"/>
      <c r="D796" s="84"/>
      <c r="E796" s="84"/>
      <c r="F796" s="84"/>
      <c r="G796" s="84"/>
    </row>
    <row r="797" spans="3:7">
      <c r="C797" s="84"/>
      <c r="D797" s="84"/>
      <c r="E797" s="84"/>
      <c r="F797" s="84"/>
      <c r="G797" s="84"/>
    </row>
    <row r="798" spans="3:7">
      <c r="C798" s="84"/>
      <c r="D798" s="84"/>
      <c r="E798" s="84"/>
      <c r="F798" s="84"/>
      <c r="G798" s="84"/>
    </row>
    <row r="799" spans="3:7">
      <c r="C799" s="84"/>
      <c r="D799" s="84"/>
      <c r="E799" s="84"/>
      <c r="F799" s="84"/>
      <c r="G799" s="84"/>
    </row>
    <row r="800" spans="3:7">
      <c r="C800" s="84"/>
      <c r="D800" s="84"/>
      <c r="E800" s="84"/>
      <c r="F800" s="84"/>
      <c r="G800" s="84"/>
    </row>
    <row r="801" spans="3:7">
      <c r="C801" s="84"/>
      <c r="D801" s="84"/>
      <c r="E801" s="84"/>
      <c r="F801" s="84"/>
      <c r="G801" s="84"/>
    </row>
    <row r="802" spans="3:7">
      <c r="C802" s="84"/>
      <c r="D802" s="84"/>
      <c r="E802" s="84"/>
      <c r="F802" s="84"/>
      <c r="G802" s="84"/>
    </row>
    <row r="803" spans="3:7">
      <c r="C803" s="84"/>
      <c r="D803" s="84"/>
      <c r="E803" s="84"/>
      <c r="F803" s="84"/>
      <c r="G803" s="84"/>
    </row>
    <row r="804" spans="3:7">
      <c r="C804" s="84"/>
      <c r="D804" s="84"/>
      <c r="E804" s="84"/>
      <c r="F804" s="84"/>
      <c r="G804" s="84"/>
    </row>
    <row r="805" spans="3:7">
      <c r="C805" s="84"/>
      <c r="D805" s="84"/>
      <c r="E805" s="84"/>
      <c r="F805" s="84"/>
      <c r="G805" s="84"/>
    </row>
    <row r="806" spans="3:7">
      <c r="C806" s="84"/>
      <c r="D806" s="84"/>
      <c r="E806" s="84"/>
      <c r="F806" s="84"/>
      <c r="G806" s="84"/>
    </row>
    <row r="807" spans="3:7">
      <c r="C807" s="84"/>
      <c r="D807" s="84"/>
      <c r="E807" s="84"/>
      <c r="F807" s="84"/>
      <c r="G807" s="84"/>
    </row>
    <row r="808" spans="3:7">
      <c r="C808" s="84"/>
      <c r="D808" s="84"/>
      <c r="E808" s="84"/>
      <c r="F808" s="84"/>
      <c r="G808" s="84"/>
    </row>
    <row r="809" spans="3:7">
      <c r="C809" s="84"/>
      <c r="D809" s="84"/>
      <c r="E809" s="84"/>
      <c r="F809" s="84"/>
      <c r="G809" s="84"/>
    </row>
    <row r="810" spans="3:7">
      <c r="C810" s="84"/>
      <c r="D810" s="84"/>
      <c r="E810" s="84"/>
      <c r="F810" s="84"/>
      <c r="G810" s="84"/>
    </row>
    <row r="811" spans="3:7">
      <c r="C811" s="84"/>
      <c r="D811" s="84"/>
      <c r="E811" s="84"/>
      <c r="F811" s="84"/>
      <c r="G811" s="84"/>
    </row>
    <row r="812" spans="3:7">
      <c r="C812" s="84"/>
      <c r="D812" s="84"/>
      <c r="E812" s="84"/>
      <c r="F812" s="84"/>
      <c r="G812" s="84"/>
    </row>
    <row r="813" spans="3:7">
      <c r="C813" s="84"/>
      <c r="D813" s="84"/>
      <c r="E813" s="84"/>
      <c r="F813" s="84"/>
      <c r="G813" s="84"/>
    </row>
    <row r="814" spans="3:7">
      <c r="C814" s="84"/>
      <c r="D814" s="84"/>
      <c r="E814" s="84"/>
      <c r="F814" s="84"/>
      <c r="G814" s="84"/>
    </row>
    <row r="815" spans="3:7">
      <c r="C815" s="84"/>
      <c r="D815" s="84"/>
      <c r="E815" s="84"/>
      <c r="F815" s="84"/>
      <c r="G815" s="84"/>
    </row>
    <row r="816" spans="3:7">
      <c r="C816" s="84"/>
      <c r="D816" s="84"/>
      <c r="E816" s="84"/>
      <c r="F816" s="84"/>
      <c r="G816" s="84"/>
    </row>
    <row r="817" spans="3:7">
      <c r="C817" s="84"/>
      <c r="D817" s="84"/>
      <c r="E817" s="84"/>
      <c r="F817" s="84"/>
      <c r="G817" s="84"/>
    </row>
    <row r="818" spans="3:7">
      <c r="C818" s="84"/>
      <c r="D818" s="84"/>
      <c r="E818" s="84"/>
      <c r="F818" s="84"/>
      <c r="G818" s="84"/>
    </row>
    <row r="819" spans="3:7">
      <c r="C819" s="84"/>
      <c r="D819" s="84"/>
      <c r="E819" s="84"/>
      <c r="F819" s="84"/>
      <c r="G819" s="84"/>
    </row>
    <row r="820" spans="3:7">
      <c r="C820" s="84"/>
      <c r="D820" s="84"/>
      <c r="E820" s="84"/>
      <c r="F820" s="84"/>
      <c r="G820" s="84"/>
    </row>
    <row r="821" spans="3:7">
      <c r="C821" s="84"/>
      <c r="D821" s="84"/>
      <c r="E821" s="84"/>
      <c r="F821" s="84"/>
      <c r="G821" s="84"/>
    </row>
    <row r="822" spans="3:7">
      <c r="C822" s="84"/>
      <c r="D822" s="84"/>
      <c r="E822" s="84"/>
      <c r="F822" s="84"/>
      <c r="G822" s="84"/>
    </row>
    <row r="823" spans="3:7">
      <c r="C823" s="84"/>
      <c r="D823" s="84"/>
      <c r="E823" s="84"/>
      <c r="F823" s="84"/>
      <c r="G823" s="84"/>
    </row>
    <row r="824" spans="3:7">
      <c r="C824" s="84"/>
      <c r="D824" s="84"/>
      <c r="E824" s="84"/>
      <c r="F824" s="84"/>
      <c r="G824" s="84"/>
    </row>
    <row r="825" spans="3:7">
      <c r="C825" s="84"/>
      <c r="D825" s="84"/>
      <c r="E825" s="84"/>
      <c r="F825" s="84"/>
      <c r="G825" s="84"/>
    </row>
    <row r="826" spans="3:7">
      <c r="C826" s="84"/>
      <c r="D826" s="84"/>
      <c r="E826" s="84"/>
      <c r="F826" s="84"/>
      <c r="G826" s="84"/>
    </row>
    <row r="827" spans="3:7">
      <c r="C827" s="84"/>
      <c r="D827" s="84"/>
      <c r="E827" s="84"/>
      <c r="F827" s="84"/>
      <c r="G827" s="84"/>
    </row>
    <row r="828" spans="3:7">
      <c r="C828" s="84"/>
      <c r="D828" s="84"/>
      <c r="E828" s="84"/>
      <c r="F828" s="84"/>
      <c r="G828" s="84"/>
    </row>
    <row r="829" spans="3:7">
      <c r="C829" s="84"/>
      <c r="D829" s="84"/>
      <c r="E829" s="84"/>
      <c r="F829" s="84"/>
      <c r="G829" s="84"/>
    </row>
    <row r="830" spans="3:7">
      <c r="C830" s="84"/>
      <c r="D830" s="84"/>
      <c r="E830" s="84"/>
      <c r="F830" s="84"/>
      <c r="G830" s="84"/>
    </row>
    <row r="831" spans="3:7">
      <c r="C831" s="84"/>
      <c r="D831" s="84"/>
      <c r="E831" s="84"/>
      <c r="F831" s="84"/>
      <c r="G831" s="84"/>
    </row>
    <row r="832" spans="3:7">
      <c r="C832" s="84"/>
      <c r="D832" s="84"/>
      <c r="E832" s="84"/>
      <c r="F832" s="84"/>
      <c r="G832" s="84"/>
    </row>
    <row r="833" spans="3:7">
      <c r="C833" s="84"/>
      <c r="D833" s="84"/>
      <c r="E833" s="84"/>
      <c r="F833" s="84"/>
      <c r="G833" s="84"/>
    </row>
    <row r="834" spans="3:7">
      <c r="C834" s="84"/>
      <c r="D834" s="84"/>
      <c r="E834" s="84"/>
      <c r="F834" s="84"/>
      <c r="G834" s="84"/>
    </row>
    <row r="835" spans="3:7">
      <c r="C835" s="84"/>
      <c r="D835" s="84"/>
      <c r="E835" s="84"/>
      <c r="F835" s="84"/>
      <c r="G835" s="84"/>
    </row>
    <row r="836" spans="3:7">
      <c r="C836" s="84"/>
      <c r="D836" s="84"/>
      <c r="E836" s="84"/>
      <c r="F836" s="84"/>
      <c r="G836" s="84"/>
    </row>
    <row r="837" spans="3:7">
      <c r="C837" s="84"/>
      <c r="D837" s="84"/>
      <c r="E837" s="84"/>
      <c r="F837" s="84"/>
      <c r="G837" s="84"/>
    </row>
    <row r="838" spans="3:7">
      <c r="C838" s="84"/>
      <c r="D838" s="84"/>
      <c r="E838" s="84"/>
      <c r="F838" s="84"/>
      <c r="G838" s="84"/>
    </row>
    <row r="839" spans="3:7">
      <c r="C839" s="84"/>
      <c r="D839" s="84"/>
      <c r="E839" s="84"/>
      <c r="F839" s="84"/>
      <c r="G839" s="84"/>
    </row>
    <row r="840" spans="3:7">
      <c r="C840" s="84"/>
      <c r="D840" s="84"/>
      <c r="E840" s="84"/>
      <c r="F840" s="84"/>
      <c r="G840" s="84"/>
    </row>
    <row r="841" spans="3:7">
      <c r="C841" s="84"/>
      <c r="D841" s="84"/>
      <c r="E841" s="84"/>
      <c r="F841" s="84"/>
      <c r="G841" s="84"/>
    </row>
    <row r="842" spans="3:7">
      <c r="C842" s="84"/>
      <c r="D842" s="84"/>
      <c r="E842" s="84"/>
      <c r="F842" s="84"/>
      <c r="G842" s="84"/>
    </row>
    <row r="843" spans="3:7">
      <c r="C843" s="84"/>
      <c r="D843" s="84"/>
      <c r="E843" s="84"/>
      <c r="F843" s="84"/>
      <c r="G843" s="84"/>
    </row>
    <row r="844" spans="3:7">
      <c r="C844" s="84"/>
      <c r="D844" s="84"/>
      <c r="E844" s="84"/>
      <c r="F844" s="84"/>
      <c r="G844" s="84"/>
    </row>
    <row r="845" spans="3:7">
      <c r="C845" s="84"/>
      <c r="D845" s="84"/>
      <c r="E845" s="84"/>
      <c r="F845" s="84"/>
      <c r="G845" s="84"/>
    </row>
    <row r="846" spans="3:7">
      <c r="C846" s="84"/>
      <c r="D846" s="84"/>
      <c r="E846" s="84"/>
      <c r="F846" s="84"/>
      <c r="G846" s="84"/>
    </row>
    <row r="847" spans="3:7">
      <c r="C847" s="84"/>
      <c r="D847" s="84"/>
      <c r="E847" s="84"/>
      <c r="F847" s="84"/>
      <c r="G847" s="84"/>
    </row>
    <row r="848" spans="3:7">
      <c r="C848" s="84"/>
      <c r="D848" s="84"/>
      <c r="E848" s="84"/>
      <c r="F848" s="84"/>
      <c r="G848" s="84"/>
    </row>
    <row r="849" spans="3:7">
      <c r="C849" s="84"/>
      <c r="D849" s="84"/>
      <c r="E849" s="84"/>
      <c r="F849" s="84"/>
      <c r="G849" s="84"/>
    </row>
    <row r="850" spans="3:7">
      <c r="C850" s="84"/>
      <c r="D850" s="84"/>
      <c r="E850" s="84"/>
      <c r="F850" s="84"/>
      <c r="G850" s="84"/>
    </row>
    <row r="851" spans="3:7">
      <c r="C851" s="84"/>
      <c r="D851" s="84"/>
      <c r="E851" s="84"/>
      <c r="F851" s="84"/>
      <c r="G851" s="84"/>
    </row>
    <row r="852" spans="3:7">
      <c r="C852" s="84"/>
      <c r="D852" s="84"/>
      <c r="E852" s="84"/>
      <c r="F852" s="84"/>
      <c r="G852" s="84"/>
    </row>
    <row r="853" spans="3:7">
      <c r="C853" s="84"/>
      <c r="D853" s="84"/>
      <c r="E853" s="84"/>
      <c r="F853" s="84"/>
      <c r="G853" s="84"/>
    </row>
    <row r="854" spans="3:7">
      <c r="C854" s="84"/>
      <c r="D854" s="84"/>
      <c r="E854" s="84"/>
      <c r="F854" s="84"/>
      <c r="G854" s="84"/>
    </row>
    <row r="855" spans="3:7">
      <c r="C855" s="84"/>
      <c r="D855" s="84"/>
      <c r="E855" s="84"/>
      <c r="F855" s="84"/>
      <c r="G855" s="84"/>
    </row>
    <row r="856" spans="3:7">
      <c r="C856" s="84"/>
      <c r="D856" s="84"/>
      <c r="E856" s="84"/>
      <c r="F856" s="84"/>
      <c r="G856" s="84"/>
    </row>
    <row r="857" spans="3:7">
      <c r="C857" s="84"/>
      <c r="D857" s="84"/>
      <c r="E857" s="84"/>
      <c r="F857" s="84"/>
      <c r="G857" s="84"/>
    </row>
    <row r="858" spans="3:7">
      <c r="C858" s="84"/>
      <c r="D858" s="84"/>
      <c r="E858" s="84"/>
      <c r="F858" s="84"/>
      <c r="G858" s="84"/>
    </row>
    <row r="859" spans="3:7">
      <c r="C859" s="84"/>
      <c r="D859" s="84"/>
      <c r="E859" s="84"/>
      <c r="F859" s="84"/>
      <c r="G859" s="84"/>
    </row>
    <row r="860" spans="3:7">
      <c r="C860" s="84"/>
      <c r="D860" s="84"/>
      <c r="E860" s="84"/>
      <c r="F860" s="84"/>
      <c r="G860" s="84"/>
    </row>
    <row r="861" spans="3:7">
      <c r="C861" s="84"/>
      <c r="D861" s="84"/>
      <c r="E861" s="84"/>
      <c r="F861" s="84"/>
      <c r="G861" s="84"/>
    </row>
    <row r="862" spans="3:7">
      <c r="C862" s="84"/>
      <c r="D862" s="84"/>
      <c r="E862" s="84"/>
      <c r="F862" s="84"/>
      <c r="G862" s="84"/>
    </row>
    <row r="863" spans="3:7">
      <c r="C863" s="84"/>
      <c r="D863" s="84"/>
      <c r="E863" s="84"/>
      <c r="F863" s="84"/>
      <c r="G863" s="84"/>
    </row>
    <row r="864" spans="3:7">
      <c r="C864" s="84"/>
      <c r="D864" s="84"/>
      <c r="E864" s="84"/>
      <c r="F864" s="84"/>
      <c r="G864" s="84"/>
    </row>
    <row r="865" spans="3:7">
      <c r="C865" s="84"/>
      <c r="D865" s="84"/>
      <c r="E865" s="84"/>
      <c r="F865" s="84"/>
      <c r="G865" s="84"/>
    </row>
    <row r="866" spans="3:7">
      <c r="C866" s="84"/>
      <c r="D866" s="84"/>
      <c r="E866" s="84"/>
      <c r="F866" s="84"/>
      <c r="G866" s="84"/>
    </row>
    <row r="867" spans="3:7">
      <c r="C867" s="84"/>
      <c r="D867" s="84"/>
      <c r="E867" s="84"/>
      <c r="F867" s="84"/>
      <c r="G867" s="84"/>
    </row>
    <row r="868" spans="3:7">
      <c r="C868" s="84"/>
      <c r="D868" s="84"/>
      <c r="E868" s="84"/>
      <c r="F868" s="84"/>
      <c r="G868" s="84"/>
    </row>
    <row r="869" spans="3:7">
      <c r="C869" s="84"/>
      <c r="D869" s="84"/>
      <c r="E869" s="84"/>
      <c r="F869" s="84"/>
      <c r="G869" s="84"/>
    </row>
    <row r="870" spans="3:7">
      <c r="C870" s="84"/>
      <c r="D870" s="84"/>
      <c r="E870" s="84"/>
      <c r="F870" s="84"/>
      <c r="G870" s="84"/>
    </row>
    <row r="871" spans="3:7">
      <c r="C871" s="84"/>
      <c r="D871" s="84"/>
      <c r="E871" s="84"/>
      <c r="F871" s="84"/>
      <c r="G871" s="84"/>
    </row>
    <row r="872" spans="3:7">
      <c r="C872" s="84"/>
      <c r="D872" s="84"/>
      <c r="E872" s="84"/>
      <c r="F872" s="84"/>
      <c r="G872" s="84"/>
    </row>
    <row r="873" spans="3:7">
      <c r="C873" s="84"/>
      <c r="D873" s="84"/>
      <c r="E873" s="84"/>
      <c r="F873" s="84"/>
      <c r="G873" s="84"/>
    </row>
    <row r="874" spans="3:7">
      <c r="C874" s="84"/>
      <c r="D874" s="84"/>
      <c r="E874" s="84"/>
      <c r="F874" s="84"/>
      <c r="G874" s="84"/>
    </row>
    <row r="875" spans="3:7">
      <c r="C875" s="84"/>
      <c r="D875" s="84"/>
      <c r="E875" s="84"/>
      <c r="F875" s="84"/>
      <c r="G875" s="84"/>
    </row>
    <row r="876" spans="3:7">
      <c r="C876" s="84"/>
      <c r="D876" s="84"/>
      <c r="E876" s="84"/>
      <c r="F876" s="84"/>
      <c r="G876" s="84"/>
    </row>
    <row r="877" spans="3:7">
      <c r="C877" s="84"/>
      <c r="D877" s="84"/>
      <c r="E877" s="84"/>
      <c r="F877" s="84"/>
      <c r="G877" s="84"/>
    </row>
    <row r="878" spans="3:7">
      <c r="C878" s="84"/>
      <c r="D878" s="84"/>
      <c r="E878" s="84"/>
      <c r="F878" s="84"/>
      <c r="G878" s="84"/>
    </row>
    <row r="879" spans="3:7">
      <c r="C879" s="84"/>
      <c r="D879" s="84"/>
      <c r="E879" s="84"/>
      <c r="F879" s="84"/>
      <c r="G879" s="84"/>
    </row>
    <row r="880" spans="3:7">
      <c r="C880" s="84"/>
      <c r="D880" s="84"/>
      <c r="E880" s="84"/>
      <c r="F880" s="84"/>
      <c r="G880" s="84"/>
    </row>
    <row r="881" spans="3:7">
      <c r="C881" s="84"/>
      <c r="D881" s="84"/>
      <c r="E881" s="84"/>
      <c r="F881" s="84"/>
      <c r="G881" s="84"/>
    </row>
    <row r="882" spans="3:7">
      <c r="C882" s="84"/>
      <c r="D882" s="84"/>
      <c r="E882" s="84"/>
      <c r="F882" s="84"/>
      <c r="G882" s="84"/>
    </row>
    <row r="883" spans="3:7">
      <c r="C883" s="84"/>
      <c r="D883" s="84"/>
      <c r="E883" s="84"/>
      <c r="F883" s="84"/>
      <c r="G883" s="84"/>
    </row>
    <row r="884" spans="3:7">
      <c r="C884" s="84"/>
      <c r="D884" s="84"/>
      <c r="E884" s="84"/>
      <c r="F884" s="84"/>
      <c r="G884" s="84"/>
    </row>
    <row r="885" spans="3:7">
      <c r="C885" s="84"/>
      <c r="D885" s="84"/>
      <c r="E885" s="84"/>
      <c r="F885" s="84"/>
      <c r="G885" s="84"/>
    </row>
    <row r="886" spans="3:7">
      <c r="C886" s="84"/>
      <c r="D886" s="84"/>
      <c r="E886" s="84"/>
      <c r="F886" s="84"/>
      <c r="G886" s="84"/>
    </row>
    <row r="887" spans="3:7">
      <c r="C887" s="84"/>
      <c r="D887" s="84"/>
      <c r="E887" s="84"/>
      <c r="F887" s="84"/>
      <c r="G887" s="84"/>
    </row>
    <row r="888" spans="3:7">
      <c r="C888" s="84"/>
      <c r="D888" s="84"/>
      <c r="E888" s="84"/>
      <c r="F888" s="84"/>
      <c r="G888" s="84"/>
    </row>
    <row r="889" spans="3:7">
      <c r="C889" s="84"/>
      <c r="D889" s="84"/>
      <c r="E889" s="84"/>
      <c r="F889" s="84"/>
      <c r="G889" s="84"/>
    </row>
    <row r="890" spans="3:7">
      <c r="C890" s="84"/>
      <c r="D890" s="84"/>
      <c r="E890" s="84"/>
      <c r="F890" s="84"/>
      <c r="G890" s="84"/>
    </row>
    <row r="891" spans="3:7">
      <c r="C891" s="84"/>
      <c r="D891" s="84"/>
      <c r="E891" s="84"/>
      <c r="F891" s="84"/>
      <c r="G891" s="84"/>
    </row>
    <row r="892" spans="3:7">
      <c r="C892" s="84"/>
      <c r="D892" s="84"/>
      <c r="E892" s="84"/>
      <c r="F892" s="84"/>
      <c r="G892" s="84"/>
    </row>
    <row r="893" spans="3:7">
      <c r="C893" s="84"/>
      <c r="D893" s="84"/>
      <c r="E893" s="84"/>
      <c r="F893" s="84"/>
      <c r="G893" s="84"/>
    </row>
    <row r="894" spans="3:7">
      <c r="C894" s="84"/>
      <c r="D894" s="84"/>
      <c r="E894" s="84"/>
      <c r="F894" s="84"/>
      <c r="G894" s="84"/>
    </row>
    <row r="895" spans="3:7">
      <c r="C895" s="84"/>
      <c r="D895" s="84"/>
      <c r="E895" s="84"/>
      <c r="F895" s="84"/>
      <c r="G895" s="84"/>
    </row>
    <row r="896" spans="3:7">
      <c r="C896" s="84"/>
      <c r="D896" s="84"/>
      <c r="E896" s="84"/>
      <c r="F896" s="84"/>
      <c r="G896" s="84"/>
    </row>
    <row r="897" spans="3:7">
      <c r="C897" s="84"/>
      <c r="D897" s="84"/>
      <c r="E897" s="84"/>
      <c r="F897" s="84"/>
      <c r="G897" s="84"/>
    </row>
    <row r="898" spans="3:7">
      <c r="C898" s="84"/>
      <c r="D898" s="84"/>
      <c r="E898" s="84"/>
      <c r="F898" s="84"/>
      <c r="G898" s="84"/>
    </row>
    <row r="899" spans="3:7">
      <c r="C899" s="84"/>
      <c r="D899" s="84"/>
      <c r="E899" s="84"/>
      <c r="F899" s="84"/>
      <c r="G899" s="84"/>
    </row>
    <row r="900" spans="3:7">
      <c r="C900" s="84"/>
      <c r="D900" s="84"/>
      <c r="E900" s="84"/>
      <c r="F900" s="84"/>
      <c r="G900" s="84"/>
    </row>
    <row r="901" spans="3:7">
      <c r="C901" s="84"/>
      <c r="D901" s="84"/>
      <c r="E901" s="84"/>
      <c r="F901" s="84"/>
      <c r="G901" s="84"/>
    </row>
    <row r="902" spans="3:7">
      <c r="C902" s="84"/>
      <c r="D902" s="84"/>
      <c r="E902" s="84"/>
      <c r="F902" s="84"/>
      <c r="G902" s="84"/>
    </row>
    <row r="903" spans="3:7">
      <c r="C903" s="84"/>
      <c r="D903" s="84"/>
      <c r="E903" s="84"/>
      <c r="F903" s="84"/>
      <c r="G903" s="84"/>
    </row>
    <row r="904" spans="3:7">
      <c r="C904" s="84"/>
      <c r="D904" s="84"/>
      <c r="E904" s="84"/>
      <c r="F904" s="84"/>
      <c r="G904" s="84"/>
    </row>
    <row r="905" spans="3:7">
      <c r="C905" s="84"/>
      <c r="D905" s="84"/>
      <c r="E905" s="84"/>
      <c r="F905" s="84"/>
      <c r="G905" s="84"/>
    </row>
    <row r="906" spans="3:7">
      <c r="C906" s="84"/>
      <c r="D906" s="84"/>
      <c r="E906" s="84"/>
      <c r="F906" s="84"/>
      <c r="G906" s="84"/>
    </row>
    <row r="907" spans="3:7">
      <c r="C907" s="84"/>
      <c r="D907" s="84"/>
      <c r="E907" s="84"/>
      <c r="F907" s="84"/>
      <c r="G907" s="84"/>
    </row>
    <row r="908" spans="3:7">
      <c r="C908" s="84"/>
      <c r="D908" s="84"/>
      <c r="E908" s="84"/>
      <c r="F908" s="84"/>
      <c r="G908" s="84"/>
    </row>
    <row r="909" spans="3:7">
      <c r="C909" s="84"/>
      <c r="D909" s="84"/>
      <c r="E909" s="84"/>
      <c r="F909" s="84"/>
      <c r="G909" s="84"/>
    </row>
    <row r="910" spans="3:7">
      <c r="C910" s="84"/>
      <c r="D910" s="84"/>
      <c r="E910" s="84"/>
      <c r="F910" s="84"/>
      <c r="G910" s="84"/>
    </row>
    <row r="911" spans="3:7">
      <c r="C911" s="84"/>
      <c r="D911" s="84"/>
      <c r="E911" s="84"/>
      <c r="F911" s="84"/>
      <c r="G911" s="84"/>
    </row>
    <row r="912" spans="3:7">
      <c r="C912" s="84"/>
      <c r="D912" s="84"/>
      <c r="E912" s="84"/>
      <c r="F912" s="84"/>
      <c r="G912" s="84"/>
    </row>
    <row r="913" spans="3:7">
      <c r="C913" s="84"/>
      <c r="D913" s="84"/>
      <c r="E913" s="84"/>
      <c r="F913" s="84"/>
      <c r="G913" s="84"/>
    </row>
    <row r="914" spans="3:7">
      <c r="C914" s="84"/>
      <c r="D914" s="84"/>
      <c r="E914" s="84"/>
      <c r="F914" s="84"/>
      <c r="G914" s="84"/>
    </row>
    <row r="915" spans="3:7">
      <c r="C915" s="84"/>
      <c r="D915" s="84"/>
      <c r="E915" s="84"/>
      <c r="F915" s="84"/>
      <c r="G915" s="84"/>
    </row>
    <row r="916" spans="3:7">
      <c r="C916" s="84"/>
      <c r="D916" s="84"/>
      <c r="E916" s="84"/>
      <c r="F916" s="84"/>
      <c r="G916" s="84"/>
    </row>
    <row r="917" spans="3:7">
      <c r="C917" s="84"/>
      <c r="D917" s="84"/>
      <c r="E917" s="84"/>
      <c r="F917" s="84"/>
      <c r="G917" s="84"/>
    </row>
    <row r="918" spans="3:7">
      <c r="C918" s="84"/>
      <c r="D918" s="84"/>
      <c r="E918" s="84"/>
      <c r="F918" s="84"/>
      <c r="G918" s="84"/>
    </row>
    <row r="919" spans="3:7">
      <c r="C919" s="84"/>
      <c r="D919" s="84"/>
      <c r="E919" s="84"/>
      <c r="F919" s="84"/>
      <c r="G919" s="84"/>
    </row>
    <row r="920" spans="3:7">
      <c r="C920" s="84"/>
      <c r="D920" s="84"/>
      <c r="E920" s="84"/>
      <c r="F920" s="84"/>
      <c r="G920" s="84"/>
    </row>
    <row r="921" spans="3:7">
      <c r="C921" s="84"/>
      <c r="D921" s="84"/>
      <c r="E921" s="84"/>
      <c r="F921" s="84"/>
      <c r="G921" s="84"/>
    </row>
    <row r="922" spans="3:7">
      <c r="C922" s="84"/>
      <c r="D922" s="84"/>
      <c r="E922" s="84"/>
      <c r="F922" s="84"/>
      <c r="G922" s="84"/>
    </row>
    <row r="923" spans="3:7">
      <c r="C923" s="84"/>
      <c r="D923" s="84"/>
      <c r="E923" s="84"/>
      <c r="F923" s="84"/>
      <c r="G923" s="84"/>
    </row>
    <row r="924" spans="3:7">
      <c r="C924" s="84"/>
      <c r="D924" s="84"/>
      <c r="E924" s="84"/>
      <c r="F924" s="84"/>
      <c r="G924" s="84"/>
    </row>
    <row r="925" spans="3:7">
      <c r="C925" s="84"/>
      <c r="D925" s="84"/>
      <c r="E925" s="84"/>
      <c r="F925" s="84"/>
      <c r="G925" s="84"/>
    </row>
    <row r="926" spans="3:7">
      <c r="C926" s="84"/>
      <c r="D926" s="84"/>
      <c r="E926" s="84"/>
      <c r="F926" s="84"/>
      <c r="G926" s="84"/>
    </row>
    <row r="927" spans="3:7">
      <c r="C927" s="84"/>
      <c r="D927" s="84"/>
      <c r="E927" s="84"/>
      <c r="F927" s="84"/>
      <c r="G927" s="84"/>
    </row>
    <row r="928" spans="3:7">
      <c r="C928" s="84"/>
      <c r="D928" s="84"/>
      <c r="E928" s="84"/>
      <c r="F928" s="84"/>
      <c r="G928" s="84"/>
    </row>
    <row r="929" spans="3:7">
      <c r="C929" s="84"/>
      <c r="D929" s="84"/>
      <c r="E929" s="84"/>
      <c r="F929" s="84"/>
      <c r="G929" s="84"/>
    </row>
    <row r="930" spans="3:7">
      <c r="C930" s="84"/>
      <c r="D930" s="84"/>
      <c r="E930" s="84"/>
      <c r="F930" s="84"/>
      <c r="G930" s="84"/>
    </row>
    <row r="931" spans="3:7">
      <c r="C931" s="84"/>
      <c r="D931" s="84"/>
      <c r="E931" s="84"/>
      <c r="F931" s="84"/>
      <c r="G931" s="84"/>
    </row>
    <row r="932" spans="3:7">
      <c r="C932" s="84"/>
      <c r="D932" s="84"/>
      <c r="E932" s="84"/>
      <c r="F932" s="84"/>
      <c r="G932" s="84"/>
    </row>
    <row r="933" spans="3:7">
      <c r="C933" s="84"/>
      <c r="D933" s="84"/>
      <c r="E933" s="84"/>
      <c r="F933" s="84"/>
      <c r="G933" s="84"/>
    </row>
    <row r="934" spans="3:7">
      <c r="C934" s="84"/>
      <c r="D934" s="84"/>
      <c r="E934" s="84"/>
      <c r="F934" s="84"/>
      <c r="G934" s="84"/>
    </row>
    <row r="935" spans="3:7">
      <c r="C935" s="84"/>
      <c r="D935" s="84"/>
      <c r="E935" s="84"/>
      <c r="F935" s="84"/>
      <c r="G935" s="84"/>
    </row>
    <row r="936" spans="3:7">
      <c r="C936" s="84"/>
      <c r="D936" s="84"/>
      <c r="E936" s="84"/>
      <c r="F936" s="84"/>
      <c r="G936" s="84"/>
    </row>
    <row r="937" spans="3:7">
      <c r="C937" s="84"/>
      <c r="D937" s="84"/>
      <c r="E937" s="84"/>
      <c r="F937" s="84"/>
      <c r="G937" s="84"/>
    </row>
    <row r="938" spans="3:7">
      <c r="C938" s="84"/>
      <c r="D938" s="84"/>
      <c r="E938" s="84"/>
      <c r="F938" s="84"/>
      <c r="G938" s="84"/>
    </row>
    <row r="939" spans="3:7">
      <c r="C939" s="84"/>
      <c r="D939" s="84"/>
      <c r="E939" s="84"/>
      <c r="F939" s="84"/>
      <c r="G939" s="84"/>
    </row>
    <row r="940" spans="3:7">
      <c r="C940" s="84"/>
      <c r="D940" s="84"/>
      <c r="E940" s="84"/>
      <c r="F940" s="84"/>
      <c r="G940" s="84"/>
    </row>
    <row r="941" spans="3:7">
      <c r="C941" s="84"/>
      <c r="D941" s="84"/>
      <c r="E941" s="84"/>
      <c r="F941" s="84"/>
      <c r="G941" s="84"/>
    </row>
    <row r="942" spans="3:7">
      <c r="C942" s="84"/>
      <c r="D942" s="84"/>
      <c r="E942" s="84"/>
      <c r="F942" s="84"/>
      <c r="G942" s="84"/>
    </row>
    <row r="943" spans="3:7">
      <c r="C943" s="84"/>
      <c r="D943" s="84"/>
      <c r="E943" s="84"/>
      <c r="F943" s="84"/>
      <c r="G943" s="84"/>
    </row>
    <row r="944" spans="3:7">
      <c r="C944" s="84"/>
      <c r="D944" s="84"/>
      <c r="E944" s="84"/>
      <c r="F944" s="84"/>
      <c r="G944" s="84"/>
    </row>
    <row r="945" spans="3:7">
      <c r="C945" s="84"/>
      <c r="D945" s="84"/>
      <c r="E945" s="84"/>
      <c r="F945" s="84"/>
      <c r="G945" s="84"/>
    </row>
    <row r="946" spans="3:7">
      <c r="C946" s="84"/>
      <c r="D946" s="84"/>
      <c r="E946" s="84"/>
      <c r="F946" s="84"/>
      <c r="G946" s="84"/>
    </row>
    <row r="947" spans="3:7">
      <c r="C947" s="84"/>
      <c r="D947" s="84"/>
      <c r="E947" s="84"/>
      <c r="F947" s="84"/>
      <c r="G947" s="84"/>
    </row>
    <row r="948" spans="3:7">
      <c r="C948" s="84"/>
      <c r="D948" s="84"/>
      <c r="E948" s="84"/>
      <c r="F948" s="84"/>
      <c r="G948" s="84"/>
    </row>
    <row r="949" spans="3:7">
      <c r="C949" s="84"/>
      <c r="D949" s="84"/>
      <c r="E949" s="84"/>
      <c r="F949" s="84"/>
      <c r="G949" s="84"/>
    </row>
    <row r="950" spans="3:7">
      <c r="C950" s="84"/>
      <c r="D950" s="84"/>
      <c r="E950" s="84"/>
      <c r="F950" s="84"/>
      <c r="G950" s="84"/>
    </row>
    <row r="951" spans="3:7">
      <c r="C951" s="84"/>
      <c r="D951" s="84"/>
      <c r="E951" s="84"/>
      <c r="F951" s="84"/>
      <c r="G951" s="84"/>
    </row>
    <row r="952" spans="3:7">
      <c r="C952" s="84"/>
      <c r="D952" s="84"/>
      <c r="E952" s="84"/>
      <c r="F952" s="84"/>
      <c r="G952" s="84"/>
    </row>
    <row r="953" spans="3:7">
      <c r="C953" s="84"/>
      <c r="D953" s="84"/>
      <c r="E953" s="84"/>
      <c r="F953" s="84"/>
      <c r="G953" s="84"/>
    </row>
    <row r="954" spans="3:7">
      <c r="C954" s="84"/>
      <c r="D954" s="84"/>
      <c r="E954" s="84"/>
      <c r="F954" s="84"/>
      <c r="G954" s="84"/>
    </row>
    <row r="955" spans="3:7">
      <c r="C955" s="84"/>
      <c r="D955" s="84"/>
      <c r="E955" s="84"/>
      <c r="F955" s="84"/>
      <c r="G955" s="84"/>
    </row>
    <row r="956" spans="3:7">
      <c r="C956" s="84"/>
      <c r="D956" s="84"/>
      <c r="E956" s="84"/>
      <c r="F956" s="84"/>
      <c r="G956" s="84"/>
    </row>
    <row r="957" spans="3:7">
      <c r="C957" s="84"/>
      <c r="D957" s="84"/>
      <c r="E957" s="84"/>
      <c r="F957" s="84"/>
      <c r="G957" s="84"/>
    </row>
    <row r="958" spans="3:7">
      <c r="C958" s="84"/>
      <c r="D958" s="84"/>
      <c r="E958" s="84"/>
      <c r="F958" s="84"/>
      <c r="G958" s="84"/>
    </row>
    <row r="959" spans="3:7">
      <c r="C959" s="84"/>
      <c r="D959" s="84"/>
      <c r="E959" s="84"/>
      <c r="F959" s="84"/>
      <c r="G959" s="84"/>
    </row>
    <row r="960" spans="3:7">
      <c r="C960" s="84"/>
      <c r="D960" s="84"/>
      <c r="E960" s="84"/>
      <c r="F960" s="84"/>
      <c r="G960" s="84"/>
    </row>
    <row r="961" spans="3:7">
      <c r="C961" s="84"/>
      <c r="D961" s="84"/>
      <c r="E961" s="84"/>
      <c r="F961" s="84"/>
      <c r="G961" s="84"/>
    </row>
    <row r="962" spans="3:7">
      <c r="C962" s="84"/>
      <c r="D962" s="84"/>
      <c r="E962" s="84"/>
      <c r="F962" s="84"/>
      <c r="G962" s="84"/>
    </row>
    <row r="963" spans="3:7">
      <c r="C963" s="84"/>
      <c r="D963" s="84"/>
      <c r="E963" s="84"/>
      <c r="F963" s="84"/>
      <c r="G963" s="84"/>
    </row>
    <row r="964" spans="3:7">
      <c r="C964" s="84"/>
      <c r="D964" s="84"/>
      <c r="E964" s="84"/>
      <c r="F964" s="84"/>
      <c r="G964" s="84"/>
    </row>
    <row r="965" spans="3:7">
      <c r="C965" s="84"/>
      <c r="D965" s="84"/>
      <c r="E965" s="84"/>
      <c r="F965" s="84"/>
      <c r="G965" s="84"/>
    </row>
    <row r="966" spans="3:7">
      <c r="C966" s="84"/>
      <c r="D966" s="84"/>
      <c r="E966" s="84"/>
      <c r="F966" s="84"/>
      <c r="G966" s="84"/>
    </row>
    <row r="967" spans="3:7">
      <c r="C967" s="84"/>
      <c r="D967" s="84"/>
      <c r="E967" s="84"/>
      <c r="F967" s="84"/>
      <c r="G967" s="84"/>
    </row>
    <row r="968" spans="3:7">
      <c r="C968" s="84"/>
      <c r="D968" s="84"/>
      <c r="E968" s="84"/>
      <c r="F968" s="84"/>
      <c r="G968" s="84"/>
    </row>
    <row r="969" spans="3:7">
      <c r="C969" s="84"/>
      <c r="D969" s="84"/>
      <c r="E969" s="84"/>
      <c r="F969" s="84"/>
      <c r="G969" s="84"/>
    </row>
    <row r="970" spans="3:7">
      <c r="C970" s="84"/>
      <c r="D970" s="84"/>
      <c r="E970" s="84"/>
      <c r="F970" s="84"/>
      <c r="G970" s="84"/>
    </row>
    <row r="971" spans="3:7">
      <c r="C971" s="84"/>
      <c r="D971" s="84"/>
      <c r="E971" s="84"/>
      <c r="F971" s="84"/>
      <c r="G971" s="84"/>
    </row>
    <row r="972" spans="3:7">
      <c r="C972" s="84"/>
      <c r="D972" s="84"/>
      <c r="E972" s="84"/>
      <c r="F972" s="84"/>
      <c r="G972" s="84"/>
    </row>
    <row r="973" spans="3:7">
      <c r="C973" s="84"/>
      <c r="D973" s="84"/>
      <c r="E973" s="84"/>
      <c r="F973" s="84"/>
      <c r="G973" s="84"/>
    </row>
    <row r="974" spans="3:7">
      <c r="C974" s="84"/>
      <c r="D974" s="84"/>
      <c r="E974" s="84"/>
      <c r="F974" s="84"/>
      <c r="G974" s="84"/>
    </row>
    <row r="975" spans="3:7">
      <c r="C975" s="84"/>
      <c r="D975" s="84"/>
      <c r="E975" s="84"/>
      <c r="F975" s="84"/>
      <c r="G975" s="84"/>
    </row>
    <row r="976" spans="3:7">
      <c r="C976" s="84"/>
      <c r="D976" s="84"/>
      <c r="E976" s="84"/>
      <c r="F976" s="84"/>
      <c r="G976" s="84"/>
    </row>
    <row r="977" spans="3:7">
      <c r="C977" s="84"/>
      <c r="D977" s="84"/>
      <c r="E977" s="84"/>
      <c r="F977" s="84"/>
      <c r="G977" s="84"/>
    </row>
    <row r="978" spans="3:7">
      <c r="C978" s="84"/>
      <c r="D978" s="84"/>
      <c r="E978" s="84"/>
      <c r="F978" s="84"/>
      <c r="G978" s="84"/>
    </row>
    <row r="979" spans="3:7">
      <c r="C979" s="84"/>
      <c r="D979" s="84"/>
      <c r="E979" s="84"/>
      <c r="F979" s="84"/>
      <c r="G979" s="84"/>
    </row>
    <row r="980" spans="3:7">
      <c r="C980" s="84"/>
      <c r="D980" s="84"/>
      <c r="E980" s="84"/>
      <c r="F980" s="84"/>
      <c r="G980" s="84"/>
    </row>
    <row r="981" spans="3:7">
      <c r="C981" s="84"/>
      <c r="D981" s="84"/>
      <c r="E981" s="84"/>
      <c r="F981" s="84"/>
      <c r="G981" s="84"/>
    </row>
    <row r="982" spans="3:7">
      <c r="C982" s="84"/>
      <c r="D982" s="84"/>
      <c r="E982" s="84"/>
      <c r="F982" s="84"/>
      <c r="G982" s="84"/>
    </row>
    <row r="983" spans="3:7">
      <c r="C983" s="84"/>
      <c r="D983" s="84"/>
      <c r="E983" s="84"/>
      <c r="F983" s="84"/>
      <c r="G983" s="84"/>
    </row>
    <row r="984" spans="3:7">
      <c r="C984" s="84"/>
      <c r="D984" s="84"/>
      <c r="E984" s="84"/>
      <c r="F984" s="84"/>
      <c r="G984" s="84"/>
    </row>
    <row r="985" spans="3:7">
      <c r="C985" s="84"/>
      <c r="D985" s="84"/>
      <c r="E985" s="84"/>
      <c r="F985" s="84"/>
      <c r="G985" s="84"/>
    </row>
    <row r="986" spans="3:7">
      <c r="C986" s="84"/>
      <c r="D986" s="84"/>
      <c r="E986" s="84"/>
      <c r="F986" s="84"/>
      <c r="G986" s="84"/>
    </row>
    <row r="987" spans="3:7">
      <c r="C987" s="84"/>
      <c r="D987" s="84"/>
      <c r="E987" s="84"/>
      <c r="F987" s="84"/>
      <c r="G987" s="84"/>
    </row>
    <row r="988" spans="3:7">
      <c r="C988" s="84"/>
      <c r="D988" s="84"/>
      <c r="E988" s="84"/>
      <c r="F988" s="84"/>
      <c r="G988" s="84"/>
    </row>
    <row r="989" spans="3:7">
      <c r="C989" s="84"/>
      <c r="D989" s="84"/>
      <c r="E989" s="84"/>
      <c r="F989" s="84"/>
      <c r="G989" s="84"/>
    </row>
    <row r="990" spans="3:7">
      <c r="C990" s="84"/>
      <c r="D990" s="84"/>
      <c r="E990" s="84"/>
      <c r="F990" s="84"/>
      <c r="G990" s="84"/>
    </row>
    <row r="991" spans="3:7">
      <c r="C991" s="84"/>
      <c r="D991" s="84"/>
      <c r="E991" s="84"/>
      <c r="F991" s="84"/>
      <c r="G991" s="84"/>
    </row>
    <row r="992" spans="3:7">
      <c r="C992" s="84"/>
      <c r="D992" s="84"/>
      <c r="E992" s="84"/>
      <c r="F992" s="84"/>
      <c r="G992" s="84"/>
    </row>
    <row r="993" spans="3:7">
      <c r="C993" s="84"/>
      <c r="D993" s="84"/>
      <c r="E993" s="84"/>
      <c r="F993" s="84"/>
      <c r="G993" s="84"/>
    </row>
    <row r="994" spans="3:7">
      <c r="C994" s="84"/>
      <c r="D994" s="84"/>
      <c r="E994" s="84"/>
      <c r="F994" s="84"/>
      <c r="G994" s="84"/>
    </row>
    <row r="995" spans="3:7">
      <c r="C995" s="84"/>
      <c r="D995" s="84"/>
      <c r="E995" s="84"/>
      <c r="F995" s="84"/>
      <c r="G995" s="84"/>
    </row>
    <row r="996" spans="3:7">
      <c r="C996" s="84"/>
      <c r="D996" s="84"/>
      <c r="E996" s="84"/>
      <c r="F996" s="84"/>
      <c r="G996" s="84"/>
    </row>
    <row r="997" spans="3:7">
      <c r="C997" s="84"/>
      <c r="D997" s="84"/>
      <c r="E997" s="84"/>
      <c r="F997" s="84"/>
      <c r="G997" s="84"/>
    </row>
    <row r="998" spans="3:7">
      <c r="C998" s="84"/>
      <c r="D998" s="84"/>
      <c r="E998" s="84"/>
      <c r="F998" s="84"/>
      <c r="G998" s="84"/>
    </row>
    <row r="999" spans="3:7">
      <c r="C999" s="84"/>
      <c r="D999" s="84"/>
      <c r="E999" s="84"/>
      <c r="F999" s="84"/>
      <c r="G999" s="84"/>
    </row>
    <row r="1000" spans="3:7">
      <c r="C1000" s="84"/>
      <c r="D1000" s="84"/>
      <c r="E1000" s="84"/>
      <c r="F1000" s="84"/>
      <c r="G1000" s="84"/>
    </row>
    <row r="1001" spans="3:7">
      <c r="C1001" s="87"/>
      <c r="D1001" s="87"/>
      <c r="E1001" s="87"/>
      <c r="F1001" s="87"/>
      <c r="G1001" s="87"/>
    </row>
    <row r="1002" spans="3:7">
      <c r="C1002" s="87"/>
      <c r="D1002" s="87"/>
      <c r="E1002" s="87"/>
      <c r="F1002" s="87"/>
      <c r="G1002" s="87"/>
    </row>
    <row r="1003" spans="3:7">
      <c r="C1003" s="87"/>
      <c r="D1003" s="87"/>
      <c r="E1003" s="87"/>
      <c r="F1003" s="87"/>
      <c r="G1003" s="87"/>
    </row>
    <row r="1004" spans="3:7">
      <c r="C1004" s="87"/>
      <c r="D1004" s="87"/>
      <c r="E1004" s="87"/>
      <c r="F1004" s="87"/>
      <c r="G1004" s="87"/>
    </row>
    <row r="1005" spans="3:7">
      <c r="C1005" s="87"/>
      <c r="D1005" s="87"/>
      <c r="E1005" s="87"/>
      <c r="F1005" s="87"/>
      <c r="G1005" s="87"/>
    </row>
    <row r="1006" spans="3:7">
      <c r="C1006" s="87"/>
      <c r="D1006" s="87"/>
      <c r="E1006" s="87"/>
      <c r="F1006" s="87"/>
      <c r="G1006" s="87"/>
    </row>
    <row r="1007" spans="3:7">
      <c r="C1007" s="87"/>
      <c r="D1007" s="87"/>
      <c r="E1007" s="87"/>
      <c r="F1007" s="87"/>
      <c r="G1007" s="87"/>
    </row>
    <row r="1008" spans="3:7">
      <c r="C1008" s="87"/>
      <c r="D1008" s="87"/>
      <c r="E1008" s="87"/>
      <c r="F1008" s="87"/>
      <c r="G1008" s="87"/>
    </row>
    <row r="1009" spans="3:7">
      <c r="C1009" s="87"/>
      <c r="D1009" s="87"/>
      <c r="E1009" s="87"/>
      <c r="F1009" s="87"/>
      <c r="G1009" s="87"/>
    </row>
    <row r="1010" spans="3:7">
      <c r="C1010" s="87"/>
      <c r="D1010" s="87"/>
      <c r="E1010" s="87"/>
      <c r="F1010" s="87"/>
      <c r="G1010" s="87"/>
    </row>
    <row r="1011" spans="3:7">
      <c r="C1011" s="87"/>
      <c r="D1011" s="87"/>
      <c r="E1011" s="87"/>
      <c r="F1011" s="87"/>
      <c r="G1011" s="87"/>
    </row>
    <row r="1012" spans="3:7">
      <c r="C1012" s="87"/>
      <c r="D1012" s="87"/>
      <c r="E1012" s="87"/>
      <c r="F1012" s="87"/>
      <c r="G1012" s="87"/>
    </row>
    <row r="1013" spans="3:7">
      <c r="C1013" s="87"/>
      <c r="D1013" s="87"/>
      <c r="E1013" s="87"/>
      <c r="F1013" s="87"/>
      <c r="G1013" s="87"/>
    </row>
    <row r="1014" spans="3:7">
      <c r="C1014" s="87"/>
      <c r="D1014" s="87"/>
      <c r="E1014" s="87"/>
      <c r="F1014" s="87"/>
      <c r="G1014" s="87"/>
    </row>
    <row r="1015" spans="3:7">
      <c r="C1015" s="87"/>
      <c r="D1015" s="87"/>
      <c r="E1015" s="87"/>
      <c r="F1015" s="87"/>
      <c r="G1015" s="87"/>
    </row>
    <row r="1016" spans="3:7">
      <c r="C1016" s="87"/>
      <c r="D1016" s="87"/>
      <c r="E1016" s="87"/>
      <c r="F1016" s="87"/>
      <c r="G1016" s="87"/>
    </row>
    <row r="1017" spans="3:7">
      <c r="C1017" s="87"/>
      <c r="D1017" s="87"/>
      <c r="E1017" s="87"/>
      <c r="F1017" s="87"/>
      <c r="G1017" s="87"/>
    </row>
    <row r="1018" spans="3:7">
      <c r="C1018" s="87"/>
      <c r="D1018" s="87"/>
      <c r="E1018" s="87"/>
      <c r="F1018" s="87"/>
      <c r="G1018" s="87"/>
    </row>
    <row r="1019" spans="3:7">
      <c r="C1019" s="87"/>
      <c r="D1019" s="87"/>
      <c r="E1019" s="87"/>
      <c r="F1019" s="87"/>
      <c r="G1019" s="87"/>
    </row>
    <row r="1020" spans="3:7">
      <c r="C1020" s="87"/>
      <c r="D1020" s="87"/>
      <c r="E1020" s="87"/>
      <c r="F1020" s="87"/>
      <c r="G1020" s="87"/>
    </row>
    <row r="1021" spans="3:7">
      <c r="C1021" s="87"/>
      <c r="D1021" s="87"/>
      <c r="E1021" s="87"/>
      <c r="F1021" s="87"/>
      <c r="G1021" s="87"/>
    </row>
    <row r="1022" spans="3:7">
      <c r="C1022" s="87"/>
      <c r="D1022" s="87"/>
      <c r="E1022" s="87"/>
      <c r="F1022" s="87"/>
      <c r="G1022" s="87"/>
    </row>
    <row r="1023" spans="3:7">
      <c r="C1023" s="87"/>
      <c r="D1023" s="87"/>
      <c r="E1023" s="87"/>
      <c r="F1023" s="87"/>
      <c r="G1023" s="87"/>
    </row>
    <row r="1024" spans="3:7">
      <c r="C1024" s="87"/>
      <c r="D1024" s="87"/>
      <c r="E1024" s="87"/>
      <c r="F1024" s="87"/>
      <c r="G1024" s="87"/>
    </row>
    <row r="1025" spans="3:7">
      <c r="C1025" s="87"/>
      <c r="D1025" s="87"/>
      <c r="E1025" s="87"/>
      <c r="F1025" s="87"/>
      <c r="G1025" s="87"/>
    </row>
    <row r="1026" spans="3:7">
      <c r="C1026" s="87"/>
      <c r="D1026" s="87"/>
      <c r="E1026" s="87"/>
      <c r="F1026" s="87"/>
      <c r="G1026" s="87"/>
    </row>
    <row r="1027" spans="3:7">
      <c r="C1027" s="87"/>
      <c r="D1027" s="87"/>
      <c r="E1027" s="87"/>
      <c r="F1027" s="87"/>
      <c r="G1027" s="87"/>
    </row>
    <row r="1028" spans="3:7">
      <c r="C1028" s="87"/>
      <c r="D1028" s="87"/>
      <c r="E1028" s="87"/>
      <c r="F1028" s="87"/>
      <c r="G1028" s="87"/>
    </row>
    <row r="1029" spans="3:7">
      <c r="C1029" s="87"/>
      <c r="D1029" s="87"/>
      <c r="E1029" s="87"/>
      <c r="F1029" s="87"/>
      <c r="G1029" s="87"/>
    </row>
    <row r="1030" spans="3:7">
      <c r="C1030" s="87"/>
      <c r="D1030" s="87"/>
      <c r="E1030" s="87"/>
      <c r="F1030" s="87"/>
      <c r="G1030" s="87"/>
    </row>
    <row r="1031" spans="3:7">
      <c r="C1031" s="87"/>
      <c r="D1031" s="87"/>
      <c r="E1031" s="87"/>
      <c r="F1031" s="87"/>
      <c r="G1031" s="87"/>
    </row>
    <row r="1032" spans="3:7">
      <c r="C1032" s="87"/>
      <c r="D1032" s="87"/>
      <c r="E1032" s="87"/>
      <c r="F1032" s="87"/>
      <c r="G1032" s="87"/>
    </row>
    <row r="1033" spans="3:7">
      <c r="C1033" s="87"/>
      <c r="D1033" s="87"/>
      <c r="E1033" s="87"/>
      <c r="F1033" s="87"/>
      <c r="G1033" s="87"/>
    </row>
    <row r="1034" spans="3:7">
      <c r="C1034" s="87"/>
      <c r="D1034" s="87"/>
      <c r="E1034" s="87"/>
      <c r="F1034" s="87"/>
      <c r="G1034" s="87"/>
    </row>
    <row r="1035" spans="3:7">
      <c r="C1035" s="87"/>
      <c r="D1035" s="87"/>
      <c r="E1035" s="87"/>
      <c r="F1035" s="87"/>
      <c r="G1035" s="87"/>
    </row>
    <row r="1036" spans="3:7">
      <c r="C1036" s="87"/>
      <c r="D1036" s="87"/>
      <c r="E1036" s="87"/>
      <c r="F1036" s="87"/>
      <c r="G1036" s="87"/>
    </row>
    <row r="1037" spans="3:7">
      <c r="C1037" s="87"/>
      <c r="D1037" s="87"/>
      <c r="E1037" s="87"/>
      <c r="F1037" s="87"/>
      <c r="G1037" s="87"/>
    </row>
    <row r="1038" spans="3:7">
      <c r="C1038" s="87"/>
      <c r="D1038" s="87"/>
      <c r="E1038" s="87"/>
      <c r="F1038" s="87"/>
      <c r="G1038" s="87"/>
    </row>
    <row r="1039" spans="3:7">
      <c r="C1039" s="87"/>
      <c r="D1039" s="87"/>
      <c r="E1039" s="87"/>
      <c r="F1039" s="87"/>
      <c r="G1039" s="87"/>
    </row>
    <row r="1040" spans="3:7">
      <c r="C1040" s="87"/>
      <c r="D1040" s="87"/>
      <c r="E1040" s="87"/>
      <c r="F1040" s="87"/>
      <c r="G1040" s="87"/>
    </row>
    <row r="1041" spans="3:7">
      <c r="C1041" s="87"/>
      <c r="D1041" s="87"/>
      <c r="E1041" s="87"/>
      <c r="F1041" s="87"/>
      <c r="G1041" s="87"/>
    </row>
    <row r="1042" spans="3:7">
      <c r="C1042" s="87"/>
      <c r="D1042" s="87"/>
      <c r="E1042" s="87"/>
      <c r="F1042" s="87"/>
      <c r="G1042" s="87"/>
    </row>
    <row r="1043" spans="3:7">
      <c r="C1043" s="87"/>
      <c r="D1043" s="87"/>
      <c r="E1043" s="87"/>
      <c r="F1043" s="87"/>
      <c r="G1043" s="87"/>
    </row>
    <row r="1044" spans="3:7">
      <c r="C1044" s="87"/>
      <c r="D1044" s="87"/>
      <c r="E1044" s="87"/>
      <c r="F1044" s="87"/>
      <c r="G1044" s="87"/>
    </row>
    <row r="1045" spans="3:7">
      <c r="C1045" s="87"/>
      <c r="D1045" s="87"/>
      <c r="E1045" s="87"/>
      <c r="F1045" s="87"/>
      <c r="G1045" s="87"/>
    </row>
    <row r="1046" spans="3:7">
      <c r="C1046" s="87"/>
      <c r="D1046" s="87"/>
      <c r="E1046" s="87"/>
      <c r="F1046" s="87"/>
      <c r="G1046" s="87"/>
    </row>
    <row r="1047" spans="3:7">
      <c r="C1047" s="87"/>
      <c r="D1047" s="87"/>
      <c r="E1047" s="87"/>
      <c r="F1047" s="87"/>
      <c r="G1047" s="87"/>
    </row>
    <row r="1048" spans="3:7">
      <c r="C1048" s="87"/>
      <c r="D1048" s="87"/>
      <c r="E1048" s="87"/>
      <c r="F1048" s="87"/>
      <c r="G1048" s="87"/>
    </row>
    <row r="1049" spans="3:7">
      <c r="C1049" s="87"/>
      <c r="D1049" s="87"/>
      <c r="E1049" s="87"/>
      <c r="F1049" s="87"/>
      <c r="G1049" s="87"/>
    </row>
    <row r="1050" spans="3:7">
      <c r="C1050" s="87"/>
      <c r="D1050" s="87"/>
      <c r="E1050" s="87"/>
      <c r="F1050" s="87"/>
      <c r="G1050" s="87"/>
    </row>
    <row r="1051" spans="3:7">
      <c r="C1051" s="87"/>
      <c r="D1051" s="87"/>
      <c r="E1051" s="87"/>
      <c r="F1051" s="87"/>
      <c r="G1051" s="87"/>
    </row>
    <row r="1052" spans="3:7">
      <c r="C1052" s="87"/>
      <c r="D1052" s="87"/>
      <c r="E1052" s="87"/>
      <c r="F1052" s="87"/>
      <c r="G1052" s="87"/>
    </row>
    <row r="1053" spans="3:7">
      <c r="C1053" s="87"/>
      <c r="D1053" s="87"/>
      <c r="E1053" s="87"/>
      <c r="F1053" s="87"/>
      <c r="G1053" s="87"/>
    </row>
    <row r="1054" spans="3:7">
      <c r="C1054" s="87"/>
      <c r="D1054" s="87"/>
      <c r="E1054" s="87"/>
      <c r="F1054" s="87"/>
      <c r="G1054" s="87"/>
    </row>
    <row r="1055" spans="3:7">
      <c r="C1055" s="87"/>
      <c r="D1055" s="87"/>
      <c r="E1055" s="87"/>
      <c r="F1055" s="87"/>
      <c r="G1055" s="87"/>
    </row>
    <row r="1056" spans="3:7">
      <c r="C1056" s="87"/>
      <c r="D1056" s="87"/>
      <c r="E1056" s="87"/>
      <c r="F1056" s="87"/>
      <c r="G1056" s="87"/>
    </row>
    <row r="1057" spans="3:7">
      <c r="C1057" s="87"/>
      <c r="D1057" s="87"/>
      <c r="E1057" s="87"/>
      <c r="F1057" s="87"/>
      <c r="G1057" s="87"/>
    </row>
    <row r="1058" spans="3:7">
      <c r="C1058" s="87"/>
      <c r="D1058" s="87"/>
      <c r="E1058" s="87"/>
      <c r="F1058" s="87"/>
      <c r="G1058" s="87"/>
    </row>
    <row r="1059" spans="3:7">
      <c r="C1059" s="87"/>
      <c r="D1059" s="87"/>
      <c r="E1059" s="87"/>
      <c r="F1059" s="87"/>
      <c r="G1059" s="87"/>
    </row>
    <row r="1060" spans="3:7">
      <c r="C1060" s="87"/>
      <c r="D1060" s="87"/>
      <c r="E1060" s="87"/>
      <c r="F1060" s="87"/>
      <c r="G1060" s="87"/>
    </row>
    <row r="1061" spans="3:7">
      <c r="C1061" s="87"/>
      <c r="D1061" s="87"/>
      <c r="E1061" s="87"/>
      <c r="F1061" s="87"/>
      <c r="G1061" s="87"/>
    </row>
    <row r="1062" spans="3:7">
      <c r="C1062" s="87"/>
      <c r="D1062" s="87"/>
      <c r="E1062" s="87"/>
      <c r="F1062" s="87"/>
      <c r="G1062" s="87"/>
    </row>
    <row r="1063" spans="3:7">
      <c r="C1063" s="87"/>
      <c r="D1063" s="87"/>
      <c r="E1063" s="87"/>
      <c r="F1063" s="87"/>
      <c r="G1063" s="87"/>
    </row>
    <row r="1064" spans="3:7">
      <c r="C1064" s="87"/>
      <c r="D1064" s="87"/>
      <c r="E1064" s="87"/>
      <c r="F1064" s="87"/>
      <c r="G1064" s="87"/>
    </row>
    <row r="1065" spans="3:7">
      <c r="C1065" s="87"/>
      <c r="D1065" s="87"/>
      <c r="E1065" s="87"/>
      <c r="F1065" s="87"/>
      <c r="G1065" s="87"/>
    </row>
    <row r="1066" spans="3:7">
      <c r="C1066" s="87"/>
      <c r="D1066" s="87"/>
      <c r="E1066" s="87"/>
      <c r="F1066" s="87"/>
      <c r="G1066" s="87"/>
    </row>
    <row r="1067" spans="3:7">
      <c r="C1067" s="87"/>
      <c r="D1067" s="87"/>
      <c r="E1067" s="87"/>
      <c r="F1067" s="87"/>
      <c r="G1067" s="87"/>
    </row>
    <row r="1068" spans="3:7">
      <c r="C1068" s="87"/>
      <c r="D1068" s="87"/>
      <c r="E1068" s="87"/>
      <c r="F1068" s="87"/>
      <c r="G1068" s="87"/>
    </row>
    <row r="1069" spans="3:7">
      <c r="C1069" s="87"/>
      <c r="D1069" s="87"/>
      <c r="E1069" s="87"/>
      <c r="F1069" s="87"/>
      <c r="G1069" s="87"/>
    </row>
    <row r="1070" spans="3:7">
      <c r="C1070" s="87"/>
      <c r="D1070" s="87"/>
      <c r="E1070" s="87"/>
      <c r="F1070" s="87"/>
      <c r="G1070" s="87"/>
    </row>
    <row r="1071" spans="3:7">
      <c r="C1071" s="87"/>
      <c r="D1071" s="87"/>
      <c r="E1071" s="87"/>
      <c r="F1071" s="87"/>
      <c r="G1071" s="87"/>
    </row>
    <row r="1072" spans="3:7">
      <c r="C1072" s="87"/>
      <c r="D1072" s="87"/>
      <c r="E1072" s="87"/>
      <c r="F1072" s="87"/>
      <c r="G1072" s="87"/>
    </row>
    <row r="1073" spans="3:7">
      <c r="C1073" s="87"/>
      <c r="D1073" s="87"/>
      <c r="E1073" s="87"/>
      <c r="F1073" s="87"/>
      <c r="G1073" s="87"/>
    </row>
    <row r="1074" spans="3:7">
      <c r="C1074" s="87"/>
      <c r="D1074" s="87"/>
      <c r="E1074" s="87"/>
      <c r="F1074" s="87"/>
      <c r="G1074" s="87"/>
    </row>
    <row r="1075" spans="3:7">
      <c r="C1075" s="87"/>
      <c r="D1075" s="87"/>
      <c r="E1075" s="87"/>
      <c r="F1075" s="87"/>
      <c r="G1075" s="87"/>
    </row>
    <row r="1076" spans="3:7">
      <c r="C1076" s="87"/>
      <c r="D1076" s="87"/>
      <c r="E1076" s="87"/>
      <c r="F1076" s="87"/>
      <c r="G1076" s="87"/>
    </row>
    <row r="1077" spans="3:7">
      <c r="C1077" s="87"/>
      <c r="D1077" s="87"/>
      <c r="E1077" s="87"/>
      <c r="F1077" s="87"/>
      <c r="G1077" s="87"/>
    </row>
    <row r="1078" spans="3:7">
      <c r="C1078" s="87"/>
      <c r="D1078" s="87"/>
      <c r="E1078" s="87"/>
      <c r="F1078" s="87"/>
      <c r="G1078" s="87"/>
    </row>
    <row r="1079" spans="3:7">
      <c r="C1079" s="87"/>
      <c r="D1079" s="87"/>
      <c r="E1079" s="87"/>
      <c r="F1079" s="87"/>
      <c r="G1079" s="87"/>
    </row>
    <row r="1080" spans="3:7">
      <c r="C1080" s="87"/>
      <c r="D1080" s="87"/>
      <c r="E1080" s="87"/>
      <c r="F1080" s="87"/>
      <c r="G1080" s="87"/>
    </row>
    <row r="1081" spans="3:7">
      <c r="C1081" s="87"/>
      <c r="D1081" s="87"/>
      <c r="E1081" s="87"/>
      <c r="F1081" s="87"/>
      <c r="G1081" s="87"/>
    </row>
    <row r="1082" spans="3:7">
      <c r="C1082" s="87"/>
      <c r="D1082" s="87"/>
      <c r="E1082" s="87"/>
      <c r="F1082" s="87"/>
      <c r="G1082" s="87"/>
    </row>
    <row r="1083" spans="3:7">
      <c r="C1083" s="87"/>
      <c r="D1083" s="87"/>
      <c r="E1083" s="87"/>
      <c r="F1083" s="87"/>
      <c r="G1083" s="87"/>
    </row>
    <row r="1084" spans="3:7">
      <c r="C1084" s="87"/>
      <c r="D1084" s="87"/>
      <c r="E1084" s="87"/>
      <c r="F1084" s="87"/>
      <c r="G1084" s="87"/>
    </row>
    <row r="1085" spans="3:7">
      <c r="C1085" s="87"/>
      <c r="D1085" s="87"/>
      <c r="E1085" s="87"/>
      <c r="F1085" s="87"/>
      <c r="G1085" s="87"/>
    </row>
    <row r="1086" spans="3:7">
      <c r="C1086" s="87"/>
      <c r="D1086" s="87"/>
      <c r="E1086" s="87"/>
      <c r="F1086" s="87"/>
      <c r="G1086" s="87"/>
    </row>
    <row r="1087" spans="3:7">
      <c r="C1087" s="87"/>
      <c r="D1087" s="87"/>
      <c r="E1087" s="87"/>
      <c r="F1087" s="87"/>
      <c r="G1087" s="87"/>
    </row>
    <row r="1088" spans="3:7">
      <c r="C1088" s="87"/>
      <c r="D1088" s="87"/>
      <c r="E1088" s="87"/>
      <c r="F1088" s="87"/>
      <c r="G1088" s="87"/>
    </row>
    <row r="1089" spans="3:7">
      <c r="C1089" s="87"/>
      <c r="D1089" s="87"/>
      <c r="E1089" s="87"/>
      <c r="F1089" s="87"/>
      <c r="G1089" s="87"/>
    </row>
    <row r="1090" spans="3:7">
      <c r="C1090" s="87"/>
      <c r="D1090" s="87"/>
      <c r="E1090" s="87"/>
      <c r="F1090" s="87"/>
      <c r="G1090" s="87"/>
    </row>
    <row r="1091" spans="3:7">
      <c r="C1091" s="87"/>
      <c r="D1091" s="87"/>
      <c r="E1091" s="87"/>
      <c r="F1091" s="87"/>
      <c r="G1091" s="87"/>
    </row>
    <row r="1092" spans="3:7">
      <c r="C1092" s="87"/>
      <c r="D1092" s="87"/>
      <c r="E1092" s="87"/>
      <c r="F1092" s="87"/>
      <c r="G1092" s="87"/>
    </row>
    <row r="1093" spans="3:7">
      <c r="C1093" s="87"/>
      <c r="D1093" s="87"/>
      <c r="E1093" s="87"/>
      <c r="F1093" s="87"/>
      <c r="G1093" s="87"/>
    </row>
    <row r="1094" spans="3:7">
      <c r="C1094" s="87"/>
      <c r="D1094" s="87"/>
      <c r="E1094" s="87"/>
      <c r="F1094" s="87"/>
      <c r="G1094" s="87"/>
    </row>
    <row r="1095" spans="3:7">
      <c r="C1095" s="87"/>
      <c r="D1095" s="87"/>
      <c r="E1095" s="87"/>
      <c r="F1095" s="87"/>
      <c r="G1095" s="87"/>
    </row>
    <row r="1096" spans="3:7">
      <c r="C1096" s="87"/>
      <c r="D1096" s="87"/>
      <c r="E1096" s="87"/>
      <c r="F1096" s="87"/>
      <c r="G1096" s="87"/>
    </row>
    <row r="1097" spans="3:7">
      <c r="C1097" s="87"/>
      <c r="D1097" s="87"/>
      <c r="E1097" s="87"/>
      <c r="F1097" s="87"/>
      <c r="G1097" s="87"/>
    </row>
    <row r="1098" spans="3:7">
      <c r="C1098" s="87"/>
      <c r="D1098" s="87"/>
      <c r="E1098" s="87"/>
      <c r="F1098" s="87"/>
      <c r="G1098" s="87"/>
    </row>
    <row r="1099" spans="3:7">
      <c r="C1099" s="87"/>
      <c r="D1099" s="87"/>
      <c r="E1099" s="87"/>
      <c r="F1099" s="87"/>
      <c r="G1099" s="87"/>
    </row>
    <row r="1100" spans="3:7">
      <c r="C1100" s="87"/>
      <c r="D1100" s="87"/>
      <c r="E1100" s="87"/>
      <c r="F1100" s="87"/>
      <c r="G1100" s="87"/>
    </row>
    <row r="1101" spans="3:7">
      <c r="C1101" s="87"/>
      <c r="D1101" s="87"/>
      <c r="E1101" s="87"/>
      <c r="F1101" s="87"/>
      <c r="G1101" s="87"/>
    </row>
    <row r="1102" spans="3:7">
      <c r="C1102" s="87"/>
      <c r="D1102" s="87"/>
      <c r="E1102" s="87"/>
      <c r="F1102" s="87"/>
      <c r="G1102" s="87"/>
    </row>
    <row r="1103" spans="3:7">
      <c r="C1103" s="87"/>
      <c r="D1103" s="87"/>
      <c r="E1103" s="87"/>
      <c r="F1103" s="87"/>
      <c r="G1103" s="87"/>
    </row>
    <row r="1104" spans="3:7">
      <c r="C1104" s="87"/>
      <c r="D1104" s="87"/>
      <c r="E1104" s="87"/>
      <c r="F1104" s="87"/>
      <c r="G1104" s="87"/>
    </row>
    <row r="1105" spans="3:7">
      <c r="C1105" s="87"/>
      <c r="D1105" s="87"/>
      <c r="E1105" s="87"/>
      <c r="F1105" s="87"/>
      <c r="G1105" s="87"/>
    </row>
    <row r="1106" spans="3:7">
      <c r="C1106" s="87"/>
      <c r="D1106" s="87"/>
      <c r="E1106" s="87"/>
      <c r="F1106" s="87"/>
      <c r="G1106" s="87"/>
    </row>
    <row r="1107" spans="3:7">
      <c r="C1107" s="87"/>
      <c r="D1107" s="87"/>
      <c r="E1107" s="87"/>
      <c r="F1107" s="87"/>
      <c r="G1107" s="87"/>
    </row>
    <row r="1108" spans="3:7">
      <c r="C1108" s="87"/>
      <c r="D1108" s="87"/>
      <c r="E1108" s="87"/>
      <c r="F1108" s="87"/>
      <c r="G1108" s="87"/>
    </row>
    <row r="1109" spans="3:7">
      <c r="C1109" s="87"/>
      <c r="D1109" s="87"/>
      <c r="E1109" s="87"/>
      <c r="F1109" s="87"/>
      <c r="G1109" s="87"/>
    </row>
    <row r="1110" spans="3:7">
      <c r="C1110" s="87"/>
      <c r="D1110" s="87"/>
      <c r="E1110" s="87"/>
      <c r="F1110" s="87"/>
      <c r="G1110" s="87"/>
    </row>
    <row r="1111" spans="3:7">
      <c r="C1111" s="87"/>
      <c r="D1111" s="87"/>
      <c r="E1111" s="87"/>
      <c r="F1111" s="87"/>
      <c r="G1111" s="87"/>
    </row>
    <row r="1112" spans="3:7">
      <c r="C1112" s="87"/>
      <c r="D1112" s="87"/>
      <c r="E1112" s="87"/>
      <c r="F1112" s="87"/>
      <c r="G1112" s="87"/>
    </row>
    <row r="1113" spans="3:7">
      <c r="C1113" s="87"/>
      <c r="D1113" s="87"/>
      <c r="E1113" s="87"/>
      <c r="F1113" s="87"/>
      <c r="G1113" s="87"/>
    </row>
    <row r="1114" spans="3:7">
      <c r="C1114" s="87"/>
      <c r="D1114" s="87"/>
      <c r="E1114" s="87"/>
      <c r="F1114" s="87"/>
      <c r="G1114" s="87"/>
    </row>
    <row r="1115" spans="3:7">
      <c r="C1115" s="87"/>
      <c r="D1115" s="87"/>
      <c r="E1115" s="87"/>
      <c r="F1115" s="87"/>
      <c r="G1115" s="87"/>
    </row>
    <row r="1116" spans="3:7">
      <c r="C1116" s="87"/>
      <c r="D1116" s="87"/>
      <c r="E1116" s="87"/>
      <c r="F1116" s="87"/>
      <c r="G1116" s="87"/>
    </row>
    <row r="1117" spans="3:7">
      <c r="C1117" s="87"/>
      <c r="D1117" s="87"/>
      <c r="E1117" s="87"/>
      <c r="F1117" s="87"/>
      <c r="G1117" s="87"/>
    </row>
    <row r="1118" spans="3:7">
      <c r="C1118" s="87"/>
      <c r="D1118" s="87"/>
      <c r="E1118" s="87"/>
      <c r="F1118" s="87"/>
      <c r="G1118" s="87"/>
    </row>
    <row r="1119" spans="3:7">
      <c r="C1119" s="87"/>
      <c r="D1119" s="87"/>
      <c r="E1119" s="87"/>
      <c r="F1119" s="87"/>
      <c r="G1119" s="87"/>
    </row>
    <row r="1120" spans="3:7">
      <c r="C1120" s="87"/>
      <c r="D1120" s="87"/>
      <c r="E1120" s="87"/>
      <c r="F1120" s="87"/>
      <c r="G1120" s="87"/>
    </row>
    <row r="1121" spans="3:7">
      <c r="C1121" s="87"/>
      <c r="D1121" s="87"/>
      <c r="E1121" s="87"/>
      <c r="F1121" s="87"/>
      <c r="G1121" s="87"/>
    </row>
    <row r="1122" spans="3:7">
      <c r="C1122" s="87"/>
      <c r="D1122" s="87"/>
      <c r="E1122" s="87"/>
      <c r="F1122" s="87"/>
      <c r="G1122" s="87"/>
    </row>
    <row r="1123" spans="3:7">
      <c r="C1123" s="87"/>
      <c r="D1123" s="87"/>
      <c r="E1123" s="87"/>
      <c r="F1123" s="87"/>
      <c r="G1123" s="87"/>
    </row>
    <row r="1124" spans="3:7">
      <c r="C1124" s="87"/>
      <c r="D1124" s="87"/>
      <c r="E1124" s="87"/>
      <c r="F1124" s="87"/>
      <c r="G1124" s="87"/>
    </row>
    <row r="1125" spans="3:7">
      <c r="C1125" s="87"/>
      <c r="D1125" s="87"/>
      <c r="E1125" s="87"/>
      <c r="F1125" s="87"/>
      <c r="G1125" s="87"/>
    </row>
    <row r="1126" spans="3:7">
      <c r="C1126" s="87"/>
      <c r="D1126" s="87"/>
      <c r="E1126" s="87"/>
      <c r="F1126" s="87"/>
      <c r="G1126" s="87"/>
    </row>
    <row r="1127" spans="3:7">
      <c r="C1127" s="87"/>
      <c r="D1127" s="87"/>
      <c r="E1127" s="87"/>
      <c r="F1127" s="87"/>
      <c r="G1127" s="87"/>
    </row>
    <row r="1128" spans="3:7">
      <c r="C1128" s="87"/>
      <c r="D1128" s="87"/>
      <c r="E1128" s="87"/>
      <c r="F1128" s="87"/>
      <c r="G1128" s="87"/>
    </row>
    <row r="1129" spans="3:7">
      <c r="C1129" s="87"/>
      <c r="D1129" s="87"/>
      <c r="E1129" s="87"/>
      <c r="F1129" s="87"/>
      <c r="G1129" s="87"/>
    </row>
    <row r="1130" spans="3:7">
      <c r="C1130" s="87"/>
      <c r="D1130" s="87"/>
      <c r="E1130" s="87"/>
      <c r="F1130" s="87"/>
      <c r="G1130" s="87"/>
    </row>
    <row r="1131" spans="3:7">
      <c r="C1131" s="87"/>
      <c r="D1131" s="87"/>
      <c r="E1131" s="87"/>
      <c r="F1131" s="87"/>
      <c r="G1131" s="87"/>
    </row>
    <row r="1132" spans="3:7">
      <c r="C1132" s="87"/>
      <c r="D1132" s="87"/>
      <c r="E1132" s="87"/>
      <c r="F1132" s="87"/>
      <c r="G1132" s="87"/>
    </row>
    <row r="1133" spans="3:7">
      <c r="C1133" s="87"/>
      <c r="D1133" s="87"/>
      <c r="E1133" s="87"/>
      <c r="F1133" s="87"/>
      <c r="G1133" s="87"/>
    </row>
    <row r="1134" spans="3:7">
      <c r="C1134" s="87"/>
      <c r="D1134" s="87"/>
      <c r="E1134" s="87"/>
      <c r="F1134" s="87"/>
      <c r="G1134" s="87"/>
    </row>
    <row r="1135" spans="3:7">
      <c r="C1135" s="87"/>
      <c r="D1135" s="87"/>
      <c r="E1135" s="87"/>
      <c r="F1135" s="87"/>
      <c r="G1135" s="87"/>
    </row>
    <row r="1136" spans="3:7">
      <c r="C1136" s="87"/>
      <c r="D1136" s="87"/>
      <c r="E1136" s="87"/>
      <c r="F1136" s="87"/>
      <c r="G1136" s="87"/>
    </row>
    <row r="1137" spans="3:7">
      <c r="C1137" s="87"/>
      <c r="D1137" s="87"/>
      <c r="E1137" s="87"/>
      <c r="F1137" s="87"/>
      <c r="G1137" s="87"/>
    </row>
    <row r="1138" spans="3:7">
      <c r="C1138" s="87"/>
      <c r="D1138" s="87"/>
      <c r="E1138" s="87"/>
      <c r="F1138" s="87"/>
      <c r="G1138" s="87"/>
    </row>
    <row r="1139" spans="3:7">
      <c r="C1139" s="87"/>
      <c r="D1139" s="87"/>
      <c r="E1139" s="87"/>
      <c r="F1139" s="87"/>
      <c r="G1139" s="87"/>
    </row>
    <row r="1140" spans="3:7">
      <c r="C1140" s="87"/>
      <c r="D1140" s="87"/>
      <c r="E1140" s="87"/>
      <c r="F1140" s="87"/>
      <c r="G1140" s="87"/>
    </row>
    <row r="1141" spans="3:7">
      <c r="C1141" s="87"/>
      <c r="D1141" s="87"/>
      <c r="E1141" s="87"/>
      <c r="F1141" s="87"/>
      <c r="G1141" s="87"/>
    </row>
    <row r="1142" spans="3:7">
      <c r="C1142" s="87"/>
      <c r="D1142" s="87"/>
      <c r="E1142" s="87"/>
      <c r="F1142" s="87"/>
      <c r="G1142" s="87"/>
    </row>
    <row r="1143" spans="3:7">
      <c r="C1143" s="87"/>
      <c r="D1143" s="87"/>
      <c r="E1143" s="87"/>
      <c r="F1143" s="87"/>
      <c r="G1143" s="87"/>
    </row>
    <row r="1144" spans="3:7">
      <c r="C1144" s="87"/>
      <c r="D1144" s="87"/>
      <c r="E1144" s="87"/>
      <c r="F1144" s="87"/>
      <c r="G1144" s="87"/>
    </row>
    <row r="1145" spans="3:7">
      <c r="C1145" s="87"/>
      <c r="D1145" s="87"/>
      <c r="E1145" s="87"/>
      <c r="F1145" s="87"/>
      <c r="G1145" s="87"/>
    </row>
    <row r="1146" spans="3:7">
      <c r="C1146" s="87"/>
      <c r="D1146" s="87"/>
      <c r="E1146" s="87"/>
      <c r="F1146" s="87"/>
      <c r="G1146" s="87"/>
    </row>
    <row r="1147" spans="3:7">
      <c r="C1147" s="87"/>
      <c r="D1147" s="87"/>
      <c r="E1147" s="87"/>
      <c r="F1147" s="87"/>
      <c r="G1147" s="87"/>
    </row>
    <row r="1148" spans="3:7">
      <c r="C1148" s="87"/>
      <c r="D1148" s="87"/>
      <c r="E1148" s="87"/>
      <c r="F1148" s="87"/>
      <c r="G1148" s="87"/>
    </row>
    <row r="1149" spans="3:7">
      <c r="C1149" s="87"/>
      <c r="D1149" s="87"/>
      <c r="E1149" s="87"/>
      <c r="F1149" s="87"/>
      <c r="G1149" s="87"/>
    </row>
    <row r="1150" spans="3:7">
      <c r="C1150" s="87"/>
      <c r="D1150" s="87"/>
      <c r="E1150" s="87"/>
      <c r="F1150" s="87"/>
      <c r="G1150" s="87"/>
    </row>
    <row r="1151" spans="3:7">
      <c r="C1151" s="87"/>
      <c r="D1151" s="87"/>
      <c r="E1151" s="87"/>
      <c r="F1151" s="87"/>
      <c r="G1151" s="87"/>
    </row>
    <row r="1152" spans="3:7">
      <c r="C1152" s="87"/>
      <c r="D1152" s="87"/>
      <c r="E1152" s="87"/>
      <c r="F1152" s="87"/>
      <c r="G1152" s="87"/>
    </row>
    <row r="1153" spans="3:7">
      <c r="C1153" s="87"/>
      <c r="D1153" s="87"/>
      <c r="E1153" s="87"/>
      <c r="F1153" s="87"/>
      <c r="G1153" s="87"/>
    </row>
    <row r="1154" spans="3:7">
      <c r="C1154" s="87"/>
      <c r="D1154" s="87"/>
      <c r="E1154" s="87"/>
      <c r="F1154" s="87"/>
      <c r="G1154" s="87"/>
    </row>
    <row r="1155" spans="3:7">
      <c r="C1155" s="87"/>
      <c r="D1155" s="87"/>
      <c r="E1155" s="87"/>
      <c r="F1155" s="87"/>
      <c r="G1155" s="87"/>
    </row>
    <row r="1156" spans="3:7">
      <c r="C1156" s="87"/>
      <c r="D1156" s="87"/>
      <c r="E1156" s="87"/>
      <c r="F1156" s="87"/>
      <c r="G1156" s="87"/>
    </row>
    <row r="1157" spans="3:7">
      <c r="C1157" s="87"/>
      <c r="D1157" s="87"/>
      <c r="E1157" s="87"/>
      <c r="F1157" s="87"/>
      <c r="G1157" s="87"/>
    </row>
    <row r="1158" spans="3:7">
      <c r="C1158" s="87"/>
      <c r="D1158" s="87"/>
      <c r="E1158" s="87"/>
      <c r="F1158" s="87"/>
      <c r="G1158" s="87"/>
    </row>
    <row r="1159" spans="3:7">
      <c r="C1159" s="87"/>
      <c r="D1159" s="87"/>
      <c r="E1159" s="87"/>
      <c r="F1159" s="87"/>
      <c r="G1159" s="87"/>
    </row>
    <row r="1160" spans="3:7">
      <c r="C1160" s="87"/>
      <c r="D1160" s="87"/>
      <c r="E1160" s="87"/>
      <c r="F1160" s="87"/>
      <c r="G1160" s="87"/>
    </row>
    <row r="1161" spans="3:7">
      <c r="C1161" s="87"/>
      <c r="D1161" s="87"/>
      <c r="E1161" s="87"/>
      <c r="F1161" s="87"/>
      <c r="G1161" s="87"/>
    </row>
    <row r="1162" spans="3:7">
      <c r="C1162" s="87"/>
      <c r="D1162" s="87"/>
      <c r="E1162" s="87"/>
      <c r="F1162" s="87"/>
      <c r="G1162" s="87"/>
    </row>
    <row r="1163" spans="3:7">
      <c r="C1163" s="87"/>
      <c r="D1163" s="87"/>
      <c r="E1163" s="87"/>
      <c r="F1163" s="87"/>
      <c r="G1163" s="87"/>
    </row>
    <row r="1164" spans="3:7">
      <c r="C1164" s="87"/>
      <c r="D1164" s="87"/>
      <c r="E1164" s="87"/>
      <c r="F1164" s="87"/>
      <c r="G1164" s="87"/>
    </row>
    <row r="1165" spans="3:7">
      <c r="C1165" s="87"/>
      <c r="D1165" s="87"/>
      <c r="E1165" s="87"/>
      <c r="F1165" s="87"/>
      <c r="G1165" s="87"/>
    </row>
    <row r="1166" spans="3:7">
      <c r="C1166" s="87"/>
      <c r="D1166" s="87"/>
      <c r="E1166" s="87"/>
      <c r="F1166" s="87"/>
      <c r="G1166" s="87"/>
    </row>
    <row r="1167" spans="3:7">
      <c r="C1167" s="87"/>
      <c r="D1167" s="87"/>
      <c r="E1167" s="87"/>
      <c r="F1167" s="87"/>
      <c r="G1167" s="87"/>
    </row>
    <row r="1168" spans="3:7">
      <c r="C1168" s="87"/>
      <c r="D1168" s="87"/>
      <c r="E1168" s="87"/>
      <c r="F1168" s="87"/>
      <c r="G1168" s="87"/>
    </row>
    <row r="1169" spans="3:7">
      <c r="C1169" s="87"/>
      <c r="D1169" s="87"/>
      <c r="E1169" s="87"/>
      <c r="F1169" s="87"/>
      <c r="G1169" s="87"/>
    </row>
    <row r="1170" spans="3:7">
      <c r="C1170" s="87"/>
      <c r="D1170" s="87"/>
      <c r="E1170" s="87"/>
      <c r="F1170" s="87"/>
      <c r="G1170" s="87"/>
    </row>
    <row r="1171" spans="3:7">
      <c r="C1171" s="87"/>
      <c r="D1171" s="87"/>
      <c r="E1171" s="87"/>
      <c r="F1171" s="87"/>
      <c r="G1171" s="87"/>
    </row>
    <row r="1172" spans="3:7">
      <c r="C1172" s="87"/>
      <c r="D1172" s="87"/>
      <c r="E1172" s="87"/>
      <c r="F1172" s="87"/>
      <c r="G1172" s="87"/>
    </row>
    <row r="1173" spans="3:7">
      <c r="C1173" s="87"/>
      <c r="D1173" s="87"/>
      <c r="E1173" s="87"/>
      <c r="F1173" s="87"/>
      <c r="G1173" s="87"/>
    </row>
    <row r="1174" spans="3:7">
      <c r="C1174" s="87"/>
      <c r="D1174" s="87"/>
      <c r="E1174" s="87"/>
      <c r="F1174" s="87"/>
      <c r="G1174" s="87"/>
    </row>
    <row r="1175" spans="3:7">
      <c r="C1175" s="87"/>
      <c r="D1175" s="87"/>
      <c r="E1175" s="87"/>
      <c r="F1175" s="87"/>
      <c r="G1175" s="87"/>
    </row>
    <row r="1176" spans="3:7">
      <c r="C1176" s="87"/>
      <c r="D1176" s="87"/>
      <c r="E1176" s="87"/>
      <c r="F1176" s="87"/>
      <c r="G1176" s="87"/>
    </row>
    <row r="1177" spans="3:7">
      <c r="C1177" s="87"/>
      <c r="D1177" s="87"/>
      <c r="E1177" s="87"/>
      <c r="F1177" s="87"/>
      <c r="G1177" s="87"/>
    </row>
    <row r="1178" spans="3:7">
      <c r="C1178" s="87"/>
      <c r="D1178" s="87"/>
      <c r="E1178" s="87"/>
      <c r="F1178" s="87"/>
      <c r="G1178" s="87"/>
    </row>
    <row r="1179" spans="3:7">
      <c r="C1179" s="87"/>
      <c r="D1179" s="87"/>
      <c r="E1179" s="87"/>
      <c r="F1179" s="87"/>
      <c r="G1179" s="87"/>
    </row>
    <row r="1180" spans="3:7">
      <c r="C1180" s="87"/>
      <c r="D1180" s="87"/>
      <c r="E1180" s="87"/>
      <c r="F1180" s="87"/>
      <c r="G1180" s="87"/>
    </row>
    <row r="1181" spans="3:7">
      <c r="C1181" s="87"/>
      <c r="D1181" s="87"/>
      <c r="E1181" s="87"/>
      <c r="F1181" s="87"/>
      <c r="G1181" s="87"/>
    </row>
    <row r="1182" spans="3:7">
      <c r="C1182" s="87"/>
      <c r="D1182" s="87"/>
      <c r="E1182" s="87"/>
      <c r="F1182" s="87"/>
      <c r="G1182" s="87"/>
    </row>
    <row r="1183" spans="3:7">
      <c r="C1183" s="87"/>
      <c r="D1183" s="87"/>
      <c r="E1183" s="87"/>
      <c r="F1183" s="87"/>
      <c r="G1183" s="87"/>
    </row>
    <row r="1184" spans="3:7">
      <c r="C1184" s="87"/>
      <c r="D1184" s="87"/>
      <c r="E1184" s="87"/>
      <c r="F1184" s="87"/>
      <c r="G1184" s="87"/>
    </row>
    <row r="1185" spans="3:7">
      <c r="C1185" s="87"/>
      <c r="D1185" s="87"/>
      <c r="E1185" s="87"/>
      <c r="F1185" s="87"/>
      <c r="G1185" s="87"/>
    </row>
    <row r="1186" spans="3:7">
      <c r="C1186" s="87"/>
      <c r="D1186" s="87"/>
      <c r="E1186" s="87"/>
      <c r="F1186" s="87"/>
      <c r="G1186" s="87"/>
    </row>
    <row r="1187" spans="3:7">
      <c r="C1187" s="87"/>
      <c r="D1187" s="87"/>
      <c r="E1187" s="87"/>
      <c r="F1187" s="87"/>
      <c r="G1187" s="87"/>
    </row>
    <row r="1188" spans="3:7">
      <c r="C1188" s="87"/>
      <c r="D1188" s="87"/>
      <c r="E1188" s="87"/>
      <c r="F1188" s="87"/>
      <c r="G1188" s="87"/>
    </row>
    <row r="1189" spans="3:7">
      <c r="C1189" s="87"/>
      <c r="D1189" s="87"/>
      <c r="E1189" s="87"/>
      <c r="F1189" s="87"/>
      <c r="G1189" s="87"/>
    </row>
    <row r="1190" spans="3:7">
      <c r="C1190" s="87"/>
      <c r="D1190" s="87"/>
      <c r="E1190" s="87"/>
      <c r="F1190" s="87"/>
      <c r="G1190" s="87"/>
    </row>
    <row r="1191" spans="3:7">
      <c r="C1191" s="87"/>
      <c r="D1191" s="87"/>
      <c r="E1191" s="87"/>
      <c r="F1191" s="87"/>
      <c r="G1191" s="87"/>
    </row>
    <row r="1192" spans="3:7">
      <c r="C1192" s="87"/>
      <c r="D1192" s="87"/>
      <c r="E1192" s="87"/>
      <c r="F1192" s="87"/>
      <c r="G1192" s="87"/>
    </row>
    <row r="1193" spans="3:7">
      <c r="C1193" s="87"/>
      <c r="D1193" s="87"/>
      <c r="E1193" s="87"/>
      <c r="F1193" s="87"/>
      <c r="G1193" s="87"/>
    </row>
    <row r="1194" spans="3:7">
      <c r="C1194" s="87"/>
      <c r="D1194" s="87"/>
      <c r="E1194" s="87"/>
      <c r="F1194" s="87"/>
      <c r="G1194" s="87"/>
    </row>
    <row r="1195" spans="3:7">
      <c r="C1195" s="87"/>
      <c r="D1195" s="87"/>
      <c r="E1195" s="87"/>
      <c r="F1195" s="87"/>
      <c r="G1195" s="87"/>
    </row>
    <row r="1196" spans="3:7">
      <c r="C1196" s="87"/>
      <c r="D1196" s="87"/>
      <c r="E1196" s="87"/>
      <c r="F1196" s="87"/>
      <c r="G1196" s="87"/>
    </row>
    <row r="1197" spans="3:7">
      <c r="C1197" s="87"/>
      <c r="D1197" s="87"/>
      <c r="E1197" s="87"/>
      <c r="F1197" s="87"/>
      <c r="G1197" s="87"/>
    </row>
    <row r="1198" spans="3:7">
      <c r="C1198" s="87"/>
      <c r="D1198" s="87"/>
      <c r="E1198" s="87"/>
      <c r="F1198" s="87"/>
      <c r="G1198" s="87"/>
    </row>
    <row r="1199" spans="3:7">
      <c r="C1199" s="87"/>
      <c r="D1199" s="87"/>
      <c r="E1199" s="87"/>
      <c r="F1199" s="87"/>
      <c r="G1199" s="87"/>
    </row>
    <row r="1200" spans="3:7">
      <c r="C1200" s="87"/>
      <c r="D1200" s="87"/>
      <c r="E1200" s="87"/>
      <c r="F1200" s="87"/>
      <c r="G1200" s="87"/>
    </row>
    <row r="1201" spans="3:7">
      <c r="C1201" s="87"/>
      <c r="D1201" s="87"/>
      <c r="E1201" s="87"/>
      <c r="F1201" s="87"/>
      <c r="G1201" s="87"/>
    </row>
    <row r="1202" spans="3:7">
      <c r="C1202" s="87"/>
      <c r="D1202" s="87"/>
      <c r="E1202" s="87"/>
      <c r="F1202" s="87"/>
      <c r="G1202" s="87"/>
    </row>
    <row r="1203" spans="3:7">
      <c r="C1203" s="87"/>
      <c r="D1203" s="87"/>
      <c r="E1203" s="87"/>
      <c r="F1203" s="87"/>
      <c r="G1203" s="87"/>
    </row>
    <row r="1204" spans="3:7">
      <c r="C1204" s="87"/>
      <c r="D1204" s="87"/>
      <c r="E1204" s="87"/>
      <c r="F1204" s="87"/>
      <c r="G1204" s="87"/>
    </row>
    <row r="1205" spans="3:7">
      <c r="C1205" s="87"/>
      <c r="D1205" s="87"/>
      <c r="E1205" s="87"/>
      <c r="F1205" s="87"/>
      <c r="G1205" s="87"/>
    </row>
    <row r="1206" spans="3:7">
      <c r="C1206" s="87"/>
      <c r="D1206" s="87"/>
      <c r="E1206" s="87"/>
      <c r="F1206" s="87"/>
      <c r="G1206" s="87"/>
    </row>
    <row r="1207" spans="3:7">
      <c r="C1207" s="87"/>
      <c r="D1207" s="87"/>
      <c r="E1207" s="87"/>
      <c r="F1207" s="87"/>
      <c r="G1207" s="87"/>
    </row>
    <row r="1208" spans="3:7">
      <c r="C1208" s="87"/>
      <c r="D1208" s="87"/>
      <c r="E1208" s="87"/>
      <c r="F1208" s="87"/>
      <c r="G1208" s="87"/>
    </row>
    <row r="1209" spans="3:7">
      <c r="C1209" s="87"/>
      <c r="D1209" s="87"/>
      <c r="E1209" s="87"/>
      <c r="F1209" s="87"/>
      <c r="G1209" s="87"/>
    </row>
    <row r="1210" spans="3:7">
      <c r="C1210" s="87"/>
      <c r="D1210" s="87"/>
      <c r="E1210" s="87"/>
      <c r="F1210" s="87"/>
      <c r="G1210" s="87"/>
    </row>
    <row r="1211" spans="3:7">
      <c r="C1211" s="87"/>
      <c r="D1211" s="87"/>
      <c r="E1211" s="87"/>
      <c r="F1211" s="87"/>
      <c r="G1211" s="87"/>
    </row>
    <row r="1212" spans="3:7">
      <c r="C1212" s="87"/>
      <c r="D1212" s="87"/>
      <c r="E1212" s="87"/>
      <c r="F1212" s="87"/>
      <c r="G1212" s="87"/>
    </row>
    <row r="1213" spans="3:7">
      <c r="C1213" s="87"/>
      <c r="D1213" s="87"/>
      <c r="E1213" s="87"/>
      <c r="F1213" s="87"/>
      <c r="G1213" s="87"/>
    </row>
    <row r="1214" spans="3:7">
      <c r="C1214" s="87"/>
      <c r="D1214" s="87"/>
      <c r="E1214" s="87"/>
      <c r="F1214" s="87"/>
      <c r="G1214" s="87"/>
    </row>
    <row r="1215" spans="3:7">
      <c r="C1215" s="87"/>
      <c r="D1215" s="87"/>
      <c r="E1215" s="87"/>
      <c r="F1215" s="87"/>
      <c r="G1215" s="87"/>
    </row>
    <row r="1216" spans="3:7">
      <c r="C1216" s="87"/>
      <c r="D1216" s="87"/>
      <c r="E1216" s="87"/>
      <c r="F1216" s="87"/>
      <c r="G1216" s="87"/>
    </row>
    <row r="1217" spans="3:7">
      <c r="C1217" s="87"/>
      <c r="D1217" s="87"/>
      <c r="E1217" s="87"/>
      <c r="F1217" s="87"/>
      <c r="G1217" s="87"/>
    </row>
    <row r="1218" spans="3:7">
      <c r="C1218" s="87"/>
      <c r="D1218" s="87"/>
      <c r="E1218" s="87"/>
      <c r="F1218" s="87"/>
      <c r="G1218" s="87"/>
    </row>
    <row r="1219" spans="3:7">
      <c r="C1219" s="87"/>
      <c r="D1219" s="87"/>
      <c r="E1219" s="87"/>
      <c r="F1219" s="87"/>
      <c r="G1219" s="87"/>
    </row>
    <row r="1220" spans="3:7">
      <c r="C1220" s="87"/>
      <c r="D1220" s="87"/>
      <c r="E1220" s="87"/>
      <c r="F1220" s="87"/>
      <c r="G1220" s="87"/>
    </row>
    <row r="1221" spans="3:7">
      <c r="C1221" s="87"/>
      <c r="D1221" s="87"/>
      <c r="E1221" s="87"/>
      <c r="F1221" s="87"/>
      <c r="G1221" s="87"/>
    </row>
    <row r="1222" spans="3:7">
      <c r="C1222" s="87"/>
      <c r="D1222" s="87"/>
      <c r="E1222" s="87"/>
      <c r="F1222" s="87"/>
      <c r="G1222" s="87"/>
    </row>
    <row r="1223" spans="3:7">
      <c r="C1223" s="87"/>
      <c r="D1223" s="87"/>
      <c r="E1223" s="87"/>
      <c r="F1223" s="87"/>
      <c r="G1223" s="87"/>
    </row>
    <row r="1224" spans="3:7">
      <c r="C1224" s="87"/>
      <c r="D1224" s="87"/>
      <c r="E1224" s="87"/>
      <c r="F1224" s="87"/>
      <c r="G1224" s="87"/>
    </row>
    <row r="1225" spans="3:7">
      <c r="C1225" s="87"/>
      <c r="D1225" s="87"/>
      <c r="E1225" s="87"/>
      <c r="F1225" s="87"/>
      <c r="G1225" s="87"/>
    </row>
    <row r="1226" spans="3:7">
      <c r="C1226" s="87"/>
      <c r="D1226" s="87"/>
      <c r="E1226" s="87"/>
      <c r="F1226" s="87"/>
      <c r="G1226" s="87"/>
    </row>
    <row r="1227" spans="3:7">
      <c r="C1227" s="87"/>
      <c r="D1227" s="87"/>
      <c r="E1227" s="87"/>
      <c r="F1227" s="87"/>
      <c r="G1227" s="87"/>
    </row>
    <row r="1228" spans="3:7">
      <c r="C1228" s="87"/>
      <c r="D1228" s="87"/>
      <c r="E1228" s="87"/>
      <c r="F1228" s="87"/>
      <c r="G1228" s="87"/>
    </row>
    <row r="1229" spans="3:7">
      <c r="C1229" s="87"/>
      <c r="D1229" s="87"/>
      <c r="E1229" s="87"/>
      <c r="F1229" s="87"/>
      <c r="G1229" s="87"/>
    </row>
    <row r="1230" spans="3:7">
      <c r="C1230" s="87"/>
      <c r="D1230" s="87"/>
      <c r="E1230" s="87"/>
      <c r="F1230" s="87"/>
      <c r="G1230" s="87"/>
    </row>
    <row r="1231" spans="3:7">
      <c r="C1231" s="87"/>
      <c r="D1231" s="87"/>
      <c r="E1231" s="87"/>
      <c r="F1231" s="87"/>
      <c r="G1231" s="87"/>
    </row>
    <row r="1232" spans="3:7">
      <c r="C1232" s="87"/>
      <c r="D1232" s="87"/>
      <c r="E1232" s="87"/>
      <c r="F1232" s="87"/>
      <c r="G1232" s="87"/>
    </row>
    <row r="1233" spans="3:7">
      <c r="C1233" s="87"/>
      <c r="D1233" s="87"/>
      <c r="E1233" s="87"/>
      <c r="F1233" s="87"/>
      <c r="G1233" s="87"/>
    </row>
    <row r="1234" spans="3:7">
      <c r="C1234" s="87"/>
      <c r="D1234" s="87"/>
      <c r="E1234" s="87"/>
      <c r="F1234" s="87"/>
      <c r="G1234" s="87"/>
    </row>
    <row r="1235" spans="3:7">
      <c r="C1235" s="87"/>
      <c r="D1235" s="87"/>
      <c r="E1235" s="87"/>
      <c r="F1235" s="87"/>
      <c r="G1235" s="87"/>
    </row>
    <row r="1236" spans="3:7">
      <c r="C1236" s="87"/>
      <c r="D1236" s="87"/>
      <c r="E1236" s="87"/>
      <c r="F1236" s="87"/>
      <c r="G1236" s="87"/>
    </row>
    <row r="1237" spans="3:7">
      <c r="C1237" s="87"/>
      <c r="D1237" s="87"/>
      <c r="E1237" s="87"/>
      <c r="F1237" s="87"/>
      <c r="G1237" s="87"/>
    </row>
    <row r="1238" spans="3:7">
      <c r="C1238" s="87"/>
      <c r="D1238" s="87"/>
      <c r="E1238" s="87"/>
      <c r="F1238" s="87"/>
      <c r="G1238" s="87"/>
    </row>
    <row r="1239" spans="3:7">
      <c r="C1239" s="87"/>
      <c r="D1239" s="87"/>
      <c r="E1239" s="87"/>
      <c r="F1239" s="87"/>
      <c r="G1239" s="87"/>
    </row>
    <row r="1240" spans="3:7">
      <c r="C1240" s="87"/>
      <c r="D1240" s="87"/>
      <c r="E1240" s="87"/>
      <c r="F1240" s="87"/>
      <c r="G1240" s="87"/>
    </row>
    <row r="1241" spans="3:7">
      <c r="C1241" s="87"/>
      <c r="D1241" s="87"/>
      <c r="E1241" s="87"/>
      <c r="F1241" s="87"/>
      <c r="G1241" s="87"/>
    </row>
    <row r="1242" spans="3:7">
      <c r="C1242" s="87"/>
      <c r="D1242" s="87"/>
      <c r="E1242" s="87"/>
      <c r="F1242" s="87"/>
      <c r="G1242" s="87"/>
    </row>
    <row r="1243" spans="3:7">
      <c r="C1243" s="87"/>
      <c r="D1243" s="87"/>
      <c r="E1243" s="87"/>
      <c r="F1243" s="87"/>
      <c r="G1243" s="87"/>
    </row>
    <row r="1244" spans="3:7">
      <c r="C1244" s="87"/>
      <c r="D1244" s="87"/>
      <c r="E1244" s="87"/>
      <c r="F1244" s="87"/>
      <c r="G1244" s="87"/>
    </row>
    <row r="1245" spans="3:7">
      <c r="C1245" s="87"/>
      <c r="D1245" s="87"/>
      <c r="E1245" s="87"/>
      <c r="F1245" s="87"/>
      <c r="G1245" s="87"/>
    </row>
    <row r="1246" spans="3:7">
      <c r="C1246" s="87"/>
      <c r="D1246" s="87"/>
      <c r="E1246" s="87"/>
      <c r="F1246" s="87"/>
      <c r="G1246" s="87"/>
    </row>
    <row r="1247" spans="3:7">
      <c r="C1247" s="87"/>
      <c r="D1247" s="87"/>
      <c r="E1247" s="87"/>
      <c r="F1247" s="87"/>
      <c r="G1247" s="87"/>
    </row>
    <row r="1248" spans="3:7">
      <c r="C1248" s="87"/>
      <c r="D1248" s="87"/>
      <c r="E1248" s="87"/>
      <c r="F1248" s="87"/>
      <c r="G1248" s="87"/>
    </row>
    <row r="1249" spans="3:7">
      <c r="C1249" s="87"/>
      <c r="D1249" s="87"/>
      <c r="E1249" s="87"/>
      <c r="F1249" s="87"/>
      <c r="G1249" s="87"/>
    </row>
    <row r="1250" spans="3:7">
      <c r="C1250" s="87"/>
      <c r="D1250" s="87"/>
      <c r="E1250" s="87"/>
      <c r="F1250" s="87"/>
      <c r="G1250" s="87"/>
    </row>
    <row r="1251" spans="3:7">
      <c r="C1251" s="87"/>
      <c r="D1251" s="87"/>
      <c r="E1251" s="87"/>
      <c r="F1251" s="87"/>
      <c r="G1251" s="87"/>
    </row>
    <row r="1252" spans="3:7">
      <c r="C1252" s="87"/>
      <c r="D1252" s="87"/>
      <c r="E1252" s="87"/>
      <c r="F1252" s="87"/>
      <c r="G1252" s="87"/>
    </row>
    <row r="1253" spans="3:7">
      <c r="C1253" s="87"/>
      <c r="D1253" s="87"/>
      <c r="E1253" s="87"/>
      <c r="F1253" s="87"/>
      <c r="G1253" s="87"/>
    </row>
    <row r="1254" spans="3:7">
      <c r="C1254" s="87"/>
      <c r="D1254" s="87"/>
      <c r="E1254" s="87"/>
      <c r="F1254" s="87"/>
      <c r="G1254" s="87"/>
    </row>
    <row r="1255" spans="3:7">
      <c r="C1255" s="87"/>
      <c r="D1255" s="87"/>
      <c r="E1255" s="87"/>
      <c r="F1255" s="87"/>
      <c r="G1255" s="87"/>
    </row>
    <row r="1256" spans="3:7">
      <c r="C1256" s="87"/>
      <c r="D1256" s="87"/>
      <c r="E1256" s="87"/>
      <c r="F1256" s="87"/>
      <c r="G1256" s="87"/>
    </row>
    <row r="1257" spans="3:7">
      <c r="C1257" s="87"/>
      <c r="D1257" s="87"/>
      <c r="E1257" s="87"/>
      <c r="F1257" s="87"/>
      <c r="G1257" s="87"/>
    </row>
    <row r="1258" spans="3:7">
      <c r="C1258" s="87"/>
      <c r="D1258" s="87"/>
      <c r="E1258" s="87"/>
      <c r="F1258" s="87"/>
      <c r="G1258" s="87"/>
    </row>
    <row r="1259" spans="3:7">
      <c r="C1259" s="87"/>
      <c r="D1259" s="87"/>
      <c r="E1259" s="87"/>
      <c r="F1259" s="87"/>
      <c r="G1259" s="87"/>
    </row>
    <row r="1260" spans="3:7">
      <c r="C1260" s="87"/>
      <c r="D1260" s="87"/>
      <c r="E1260" s="87"/>
      <c r="F1260" s="87"/>
      <c r="G1260" s="87"/>
    </row>
    <row r="1261" spans="3:7">
      <c r="C1261" s="87"/>
      <c r="D1261" s="87"/>
      <c r="E1261" s="87"/>
      <c r="F1261" s="87"/>
      <c r="G1261" s="87"/>
    </row>
    <row r="1262" spans="3:7">
      <c r="C1262" s="87"/>
      <c r="D1262" s="87"/>
      <c r="E1262" s="87"/>
      <c r="F1262" s="87"/>
      <c r="G1262" s="87"/>
    </row>
    <row r="1263" spans="3:7">
      <c r="C1263" s="87"/>
      <c r="D1263" s="87"/>
      <c r="E1263" s="87"/>
      <c r="F1263" s="87"/>
      <c r="G1263" s="87"/>
    </row>
    <row r="1264" spans="3:7">
      <c r="C1264" s="87"/>
      <c r="D1264" s="87"/>
      <c r="E1264" s="87"/>
      <c r="F1264" s="87"/>
      <c r="G1264" s="87"/>
    </row>
    <row r="1265" spans="3:7">
      <c r="C1265" s="87"/>
      <c r="D1265" s="87"/>
      <c r="E1265" s="87"/>
      <c r="F1265" s="87"/>
      <c r="G1265" s="87"/>
    </row>
    <row r="1266" spans="3:7">
      <c r="C1266" s="87"/>
      <c r="D1266" s="87"/>
      <c r="E1266" s="87"/>
      <c r="F1266" s="87"/>
      <c r="G1266" s="87"/>
    </row>
    <row r="1267" spans="3:7">
      <c r="C1267" s="87"/>
      <c r="D1267" s="87"/>
      <c r="E1267" s="87"/>
      <c r="F1267" s="87"/>
      <c r="G1267" s="87"/>
    </row>
    <row r="1268" spans="3:7">
      <c r="C1268" s="87"/>
      <c r="D1268" s="87"/>
      <c r="E1268" s="87"/>
      <c r="F1268" s="87"/>
      <c r="G1268" s="87"/>
    </row>
    <row r="1269" spans="3:7">
      <c r="C1269" s="87"/>
      <c r="D1269" s="87"/>
      <c r="E1269" s="87"/>
      <c r="F1269" s="87"/>
      <c r="G1269" s="87"/>
    </row>
    <row r="1270" spans="3:7">
      <c r="C1270" s="87"/>
      <c r="D1270" s="87"/>
      <c r="E1270" s="87"/>
      <c r="F1270" s="87"/>
      <c r="G1270" s="87"/>
    </row>
    <row r="1271" spans="3:7">
      <c r="C1271" s="87"/>
      <c r="D1271" s="87"/>
      <c r="E1271" s="87"/>
      <c r="F1271" s="87"/>
      <c r="G1271" s="87"/>
    </row>
    <row r="1272" spans="3:7">
      <c r="C1272" s="87"/>
      <c r="D1272" s="87"/>
      <c r="E1272" s="87"/>
      <c r="F1272" s="87"/>
      <c r="G1272" s="87"/>
    </row>
    <row r="1273" spans="3:7">
      <c r="C1273" s="87"/>
      <c r="D1273" s="87"/>
      <c r="E1273" s="87"/>
      <c r="F1273" s="87"/>
      <c r="G1273" s="87"/>
    </row>
    <row r="1274" spans="3:7">
      <c r="C1274" s="87"/>
      <c r="D1274" s="87"/>
      <c r="E1274" s="87"/>
      <c r="F1274" s="87"/>
      <c r="G1274" s="87"/>
    </row>
    <row r="1275" spans="3:7">
      <c r="C1275" s="87"/>
      <c r="D1275" s="87"/>
      <c r="E1275" s="87"/>
      <c r="F1275" s="87"/>
      <c r="G1275" s="87"/>
    </row>
    <row r="1276" spans="3:7">
      <c r="C1276" s="87"/>
      <c r="D1276" s="87"/>
      <c r="E1276" s="87"/>
      <c r="F1276" s="87"/>
      <c r="G1276" s="87"/>
    </row>
    <row r="1277" spans="3:7">
      <c r="C1277" s="87"/>
      <c r="D1277" s="87"/>
      <c r="E1277" s="87"/>
      <c r="F1277" s="87"/>
      <c r="G1277" s="87"/>
    </row>
    <row r="1278" spans="3:7">
      <c r="C1278" s="87"/>
      <c r="D1278" s="87"/>
      <c r="E1278" s="87"/>
      <c r="F1278" s="87"/>
      <c r="G1278" s="87"/>
    </row>
    <row r="1279" spans="3:7">
      <c r="C1279" s="87"/>
      <c r="D1279" s="87"/>
      <c r="E1279" s="87"/>
      <c r="F1279" s="87"/>
      <c r="G1279" s="87"/>
    </row>
    <row r="1280" spans="3:7">
      <c r="C1280" s="87"/>
      <c r="D1280" s="87"/>
      <c r="E1280" s="87"/>
      <c r="F1280" s="87"/>
      <c r="G1280" s="87"/>
    </row>
    <row r="1281" spans="3:7">
      <c r="C1281" s="87"/>
      <c r="D1281" s="87"/>
      <c r="E1281" s="87"/>
      <c r="F1281" s="87"/>
      <c r="G1281" s="87"/>
    </row>
    <row r="1282" spans="3:7">
      <c r="C1282" s="87"/>
      <c r="D1282" s="87"/>
      <c r="E1282" s="87"/>
      <c r="F1282" s="87"/>
      <c r="G1282" s="87"/>
    </row>
    <row r="1283" spans="3:7">
      <c r="C1283" s="87"/>
      <c r="D1283" s="87"/>
      <c r="E1283" s="87"/>
      <c r="F1283" s="87"/>
      <c r="G1283" s="87"/>
    </row>
    <row r="1284" spans="3:7">
      <c r="C1284" s="87"/>
      <c r="D1284" s="87"/>
      <c r="E1284" s="87"/>
      <c r="F1284" s="87"/>
      <c r="G1284" s="87"/>
    </row>
    <row r="1285" spans="3:7">
      <c r="C1285" s="87"/>
      <c r="D1285" s="87"/>
      <c r="E1285" s="87"/>
      <c r="F1285" s="87"/>
      <c r="G1285" s="87"/>
    </row>
    <row r="1286" spans="3:7">
      <c r="C1286" s="87"/>
      <c r="D1286" s="87"/>
      <c r="E1286" s="87"/>
      <c r="F1286" s="87"/>
      <c r="G1286" s="87"/>
    </row>
    <row r="1287" spans="3:7">
      <c r="C1287" s="87"/>
      <c r="D1287" s="87"/>
      <c r="E1287" s="87"/>
      <c r="F1287" s="87"/>
      <c r="G1287" s="87"/>
    </row>
    <row r="1288" spans="3:7">
      <c r="C1288" s="87"/>
      <c r="D1288" s="87"/>
      <c r="E1288" s="87"/>
      <c r="F1288" s="87"/>
      <c r="G1288" s="87"/>
    </row>
    <row r="1289" spans="3:7">
      <c r="C1289" s="87"/>
      <c r="D1289" s="87"/>
      <c r="E1289" s="87"/>
      <c r="F1289" s="87"/>
      <c r="G1289" s="87"/>
    </row>
    <row r="1290" spans="3:7">
      <c r="C1290" s="87"/>
      <c r="D1290" s="87"/>
      <c r="E1290" s="87"/>
      <c r="F1290" s="87"/>
      <c r="G1290" s="87"/>
    </row>
    <row r="1291" spans="3:7">
      <c r="C1291" s="87"/>
      <c r="D1291" s="87"/>
      <c r="E1291" s="87"/>
      <c r="F1291" s="87"/>
      <c r="G1291" s="87"/>
    </row>
    <row r="1292" spans="3:7">
      <c r="C1292" s="87"/>
      <c r="D1292" s="87"/>
      <c r="E1292" s="87"/>
      <c r="F1292" s="87"/>
      <c r="G1292" s="87"/>
    </row>
    <row r="1293" spans="3:7">
      <c r="C1293" s="87"/>
      <c r="D1293" s="87"/>
      <c r="E1293" s="87"/>
      <c r="F1293" s="87"/>
      <c r="G1293" s="87"/>
    </row>
    <row r="1294" spans="3:7">
      <c r="C1294" s="87"/>
      <c r="D1294" s="87"/>
      <c r="E1294" s="87"/>
      <c r="F1294" s="87"/>
      <c r="G1294" s="87"/>
    </row>
    <row r="1295" spans="3:7">
      <c r="C1295" s="87"/>
      <c r="D1295" s="87"/>
      <c r="E1295" s="87"/>
      <c r="F1295" s="87"/>
      <c r="G1295" s="87"/>
    </row>
    <row r="1296" spans="3:7">
      <c r="C1296" s="87"/>
      <c r="D1296" s="87"/>
      <c r="E1296" s="87"/>
      <c r="F1296" s="87"/>
      <c r="G1296" s="87"/>
    </row>
    <row r="1297" spans="3:7">
      <c r="C1297" s="87"/>
      <c r="D1297" s="87"/>
      <c r="E1297" s="87"/>
      <c r="F1297" s="87"/>
      <c r="G1297" s="87"/>
    </row>
    <row r="1298" spans="3:7">
      <c r="C1298" s="87"/>
      <c r="D1298" s="87"/>
      <c r="E1298" s="87"/>
      <c r="F1298" s="87"/>
      <c r="G1298" s="87"/>
    </row>
    <row r="1299" spans="3:7">
      <c r="C1299" s="87"/>
      <c r="D1299" s="87"/>
      <c r="E1299" s="87"/>
      <c r="F1299" s="87"/>
      <c r="G1299" s="87"/>
    </row>
    <row r="1300" spans="3:7">
      <c r="C1300" s="87"/>
      <c r="D1300" s="87"/>
      <c r="E1300" s="87"/>
      <c r="F1300" s="87"/>
      <c r="G1300" s="87"/>
    </row>
    <row r="1301" spans="3:7">
      <c r="C1301" s="87"/>
      <c r="D1301" s="87"/>
      <c r="E1301" s="87"/>
      <c r="F1301" s="87"/>
      <c r="G1301" s="87"/>
    </row>
    <row r="1302" spans="3:7">
      <c r="C1302" s="87"/>
      <c r="D1302" s="87"/>
      <c r="E1302" s="87"/>
      <c r="F1302" s="87"/>
      <c r="G1302" s="87"/>
    </row>
    <row r="1303" spans="3:7">
      <c r="C1303" s="87"/>
      <c r="D1303" s="87"/>
      <c r="E1303" s="87"/>
      <c r="F1303" s="87"/>
      <c r="G1303" s="87"/>
    </row>
    <row r="1304" spans="3:7">
      <c r="C1304" s="87"/>
      <c r="D1304" s="87"/>
      <c r="E1304" s="87"/>
      <c r="F1304" s="87"/>
      <c r="G1304" s="87"/>
    </row>
    <row r="1305" spans="3:7">
      <c r="C1305" s="87"/>
      <c r="D1305" s="87"/>
      <c r="E1305" s="87"/>
      <c r="F1305" s="87"/>
      <c r="G1305" s="87"/>
    </row>
    <row r="1306" spans="3:7">
      <c r="C1306" s="87"/>
      <c r="D1306" s="87"/>
      <c r="E1306" s="87"/>
      <c r="F1306" s="87"/>
      <c r="G1306" s="87"/>
    </row>
    <row r="1307" spans="3:7">
      <c r="C1307" s="87"/>
      <c r="D1307" s="87"/>
      <c r="E1307" s="87"/>
      <c r="F1307" s="87"/>
      <c r="G1307" s="87"/>
    </row>
    <row r="1308" spans="3:7">
      <c r="C1308" s="87"/>
      <c r="D1308" s="87"/>
      <c r="E1308" s="87"/>
      <c r="F1308" s="87"/>
      <c r="G1308" s="87"/>
    </row>
    <row r="1309" spans="3:7">
      <c r="C1309" s="87"/>
      <c r="D1309" s="87"/>
      <c r="E1309" s="87"/>
      <c r="F1309" s="87"/>
      <c r="G1309" s="87"/>
    </row>
    <row r="1310" spans="3:7">
      <c r="C1310" s="87"/>
      <c r="D1310" s="87"/>
      <c r="E1310" s="87"/>
      <c r="F1310" s="87"/>
      <c r="G1310" s="87"/>
    </row>
    <row r="1311" spans="3:7">
      <c r="C1311" s="87"/>
      <c r="D1311" s="87"/>
      <c r="E1311" s="87"/>
      <c r="F1311" s="87"/>
      <c r="G1311" s="87"/>
    </row>
    <row r="1312" spans="3:7">
      <c r="C1312" s="87"/>
      <c r="D1312" s="87"/>
      <c r="E1312" s="87"/>
      <c r="F1312" s="87"/>
      <c r="G1312" s="87"/>
    </row>
    <row r="1313" spans="3:7">
      <c r="C1313" s="87"/>
      <c r="D1313" s="87"/>
      <c r="E1313" s="87"/>
      <c r="F1313" s="87"/>
      <c r="G1313" s="87"/>
    </row>
    <row r="1314" spans="3:7">
      <c r="C1314" s="87"/>
      <c r="D1314" s="87"/>
      <c r="E1314" s="87"/>
      <c r="F1314" s="87"/>
      <c r="G1314" s="87"/>
    </row>
    <row r="1315" spans="3:7">
      <c r="C1315" s="87"/>
      <c r="D1315" s="87"/>
      <c r="E1315" s="87"/>
      <c r="F1315" s="87"/>
      <c r="G1315" s="87"/>
    </row>
    <row r="1316" spans="3:7">
      <c r="C1316" s="87"/>
      <c r="D1316" s="87"/>
      <c r="E1316" s="87"/>
      <c r="F1316" s="87"/>
      <c r="G1316" s="87"/>
    </row>
    <row r="1317" spans="3:7">
      <c r="C1317" s="87"/>
      <c r="D1317" s="87"/>
      <c r="E1317" s="87"/>
      <c r="F1317" s="87"/>
      <c r="G1317" s="87"/>
    </row>
    <row r="1318" spans="3:7">
      <c r="C1318" s="87"/>
      <c r="D1318" s="87"/>
      <c r="E1318" s="87"/>
      <c r="F1318" s="87"/>
      <c r="G1318" s="87"/>
    </row>
    <row r="1319" spans="3:7">
      <c r="C1319" s="87"/>
      <c r="D1319" s="87"/>
      <c r="E1319" s="87"/>
      <c r="F1319" s="87"/>
      <c r="G1319" s="87"/>
    </row>
    <row r="1320" spans="3:7">
      <c r="C1320" s="87"/>
      <c r="D1320" s="87"/>
      <c r="E1320" s="87"/>
      <c r="F1320" s="87"/>
      <c r="G1320" s="87"/>
    </row>
    <row r="1321" spans="3:7">
      <c r="C1321" s="87"/>
      <c r="D1321" s="87"/>
      <c r="E1321" s="87"/>
      <c r="F1321" s="87"/>
      <c r="G1321" s="87"/>
    </row>
    <row r="1322" spans="3:7">
      <c r="C1322" s="87"/>
      <c r="D1322" s="87"/>
      <c r="E1322" s="87"/>
      <c r="F1322" s="87"/>
      <c r="G1322" s="87"/>
    </row>
    <row r="1323" spans="3:7">
      <c r="C1323" s="87"/>
      <c r="D1323" s="87"/>
      <c r="E1323" s="87"/>
      <c r="F1323" s="87"/>
      <c r="G1323" s="87"/>
    </row>
    <row r="1324" spans="3:7">
      <c r="C1324" s="87"/>
      <c r="D1324" s="87"/>
      <c r="E1324" s="87"/>
      <c r="F1324" s="87"/>
      <c r="G1324" s="87"/>
    </row>
    <row r="1325" spans="3:7">
      <c r="C1325" s="87"/>
      <c r="D1325" s="87"/>
      <c r="E1325" s="87"/>
      <c r="F1325" s="87"/>
      <c r="G1325" s="87"/>
    </row>
    <row r="1326" spans="3:7">
      <c r="C1326" s="87"/>
      <c r="D1326" s="87"/>
      <c r="E1326" s="87"/>
      <c r="F1326" s="87"/>
      <c r="G1326" s="87"/>
    </row>
    <row r="1327" spans="3:7">
      <c r="C1327" s="87"/>
      <c r="D1327" s="87"/>
      <c r="E1327" s="87"/>
      <c r="F1327" s="87"/>
      <c r="G1327" s="87"/>
    </row>
    <row r="1328" spans="3:7">
      <c r="C1328" s="87"/>
      <c r="D1328" s="87"/>
      <c r="E1328" s="87"/>
      <c r="F1328" s="87"/>
      <c r="G1328" s="87"/>
    </row>
    <row r="1329" spans="3:7">
      <c r="C1329" s="87"/>
      <c r="D1329" s="87"/>
      <c r="E1329" s="87"/>
      <c r="F1329" s="87"/>
      <c r="G1329" s="87"/>
    </row>
    <row r="1330" spans="3:7">
      <c r="C1330" s="87"/>
      <c r="D1330" s="87"/>
      <c r="E1330" s="87"/>
      <c r="F1330" s="87"/>
      <c r="G1330" s="87"/>
    </row>
    <row r="1331" spans="3:7">
      <c r="C1331" s="87"/>
      <c r="D1331" s="87"/>
      <c r="E1331" s="87"/>
      <c r="F1331" s="87"/>
      <c r="G1331" s="87"/>
    </row>
    <row r="1332" spans="3:7">
      <c r="C1332" s="87"/>
      <c r="D1332" s="87"/>
      <c r="E1332" s="87"/>
      <c r="F1332" s="87"/>
      <c r="G1332" s="87"/>
    </row>
    <row r="1333" spans="3:7">
      <c r="C1333" s="87"/>
      <c r="D1333" s="87"/>
      <c r="E1333" s="87"/>
      <c r="F1333" s="87"/>
      <c r="G1333" s="87"/>
    </row>
    <row r="1334" spans="3:7">
      <c r="C1334" s="87"/>
      <c r="D1334" s="87"/>
      <c r="E1334" s="87"/>
      <c r="F1334" s="87"/>
      <c r="G1334" s="87"/>
    </row>
    <row r="1335" spans="3:7">
      <c r="C1335" s="87"/>
      <c r="D1335" s="87"/>
      <c r="E1335" s="87"/>
      <c r="F1335" s="87"/>
      <c r="G1335" s="87"/>
    </row>
    <row r="1336" spans="3:7">
      <c r="C1336" s="87"/>
      <c r="D1336" s="87"/>
      <c r="E1336" s="87"/>
      <c r="F1336" s="87"/>
      <c r="G1336" s="87"/>
    </row>
    <row r="1337" spans="3:7">
      <c r="C1337" s="87"/>
      <c r="D1337" s="87"/>
      <c r="E1337" s="87"/>
      <c r="F1337" s="87"/>
      <c r="G1337" s="87"/>
    </row>
    <row r="1338" spans="3:7">
      <c r="C1338" s="87"/>
      <c r="D1338" s="87"/>
      <c r="E1338" s="87"/>
      <c r="F1338" s="87"/>
      <c r="G1338" s="87"/>
    </row>
    <row r="1339" spans="3:7">
      <c r="C1339" s="87"/>
      <c r="D1339" s="87"/>
      <c r="E1339" s="87"/>
      <c r="F1339" s="87"/>
      <c r="G1339" s="87"/>
    </row>
    <row r="1340" spans="3:7">
      <c r="C1340" s="87"/>
      <c r="D1340" s="87"/>
      <c r="E1340" s="87"/>
      <c r="F1340" s="87"/>
      <c r="G1340" s="87"/>
    </row>
    <row r="1341" spans="3:7">
      <c r="C1341" s="87"/>
      <c r="D1341" s="87"/>
      <c r="E1341" s="87"/>
      <c r="F1341" s="87"/>
      <c r="G1341" s="87"/>
    </row>
    <row r="1342" spans="3:7">
      <c r="C1342" s="87"/>
      <c r="D1342" s="87"/>
      <c r="E1342" s="87"/>
      <c r="F1342" s="87"/>
      <c r="G1342" s="87"/>
    </row>
    <row r="1343" spans="3:7">
      <c r="C1343" s="87"/>
      <c r="D1343" s="87"/>
      <c r="E1343" s="87"/>
      <c r="F1343" s="87"/>
      <c r="G1343" s="87"/>
    </row>
    <row r="1344" spans="3:7">
      <c r="C1344" s="87"/>
      <c r="D1344" s="87"/>
      <c r="E1344" s="87"/>
      <c r="F1344" s="87"/>
      <c r="G1344" s="87"/>
    </row>
    <row r="1345" spans="3:7">
      <c r="C1345" s="87"/>
      <c r="D1345" s="87"/>
      <c r="E1345" s="87"/>
      <c r="F1345" s="87"/>
      <c r="G1345" s="87"/>
    </row>
    <row r="1346" spans="3:7">
      <c r="C1346" s="87"/>
      <c r="D1346" s="87"/>
      <c r="E1346" s="87"/>
      <c r="F1346" s="87"/>
      <c r="G1346" s="87"/>
    </row>
    <row r="1347" spans="3:7">
      <c r="C1347" s="87"/>
      <c r="D1347" s="87"/>
      <c r="E1347" s="87"/>
      <c r="F1347" s="87"/>
      <c r="G1347" s="87"/>
    </row>
    <row r="1348" spans="3:7">
      <c r="C1348" s="87"/>
      <c r="D1348" s="87"/>
      <c r="E1348" s="87"/>
      <c r="F1348" s="87"/>
      <c r="G1348" s="87"/>
    </row>
    <row r="1349" spans="3:7">
      <c r="C1349" s="87"/>
      <c r="D1349" s="87"/>
      <c r="E1349" s="87"/>
      <c r="F1349" s="87"/>
      <c r="G1349" s="87"/>
    </row>
    <row r="1350" spans="3:7">
      <c r="C1350" s="87"/>
      <c r="D1350" s="87"/>
      <c r="E1350" s="87"/>
      <c r="F1350" s="87"/>
      <c r="G1350" s="87"/>
    </row>
    <row r="1351" spans="3:7">
      <c r="C1351" s="87"/>
      <c r="D1351" s="87"/>
      <c r="E1351" s="87"/>
      <c r="F1351" s="87"/>
      <c r="G1351" s="87"/>
    </row>
    <row r="1352" spans="3:7">
      <c r="C1352" s="87"/>
      <c r="D1352" s="87"/>
      <c r="E1352" s="87"/>
      <c r="F1352" s="87"/>
      <c r="G1352" s="87"/>
    </row>
    <row r="1353" spans="3:7">
      <c r="C1353" s="87"/>
      <c r="D1353" s="87"/>
      <c r="E1353" s="87"/>
      <c r="F1353" s="87"/>
      <c r="G1353" s="87"/>
    </row>
    <row r="1354" spans="3:7">
      <c r="C1354" s="87"/>
      <c r="D1354" s="87"/>
      <c r="E1354" s="87"/>
      <c r="F1354" s="87"/>
      <c r="G1354" s="87"/>
    </row>
    <row r="1355" spans="3:7">
      <c r="C1355" s="87"/>
      <c r="D1355" s="87"/>
      <c r="E1355" s="87"/>
      <c r="F1355" s="87"/>
      <c r="G1355" s="87"/>
    </row>
    <row r="1356" spans="3:7">
      <c r="C1356" s="87"/>
      <c r="D1356" s="87"/>
      <c r="E1356" s="87"/>
      <c r="F1356" s="87"/>
      <c r="G1356" s="87"/>
    </row>
    <row r="1357" spans="3:7">
      <c r="C1357" s="87"/>
      <c r="D1357" s="87"/>
      <c r="E1357" s="87"/>
      <c r="F1357" s="87"/>
      <c r="G1357" s="87"/>
    </row>
    <row r="1358" spans="3:7">
      <c r="C1358" s="87"/>
      <c r="D1358" s="87"/>
      <c r="E1358" s="87"/>
      <c r="F1358" s="87"/>
      <c r="G1358" s="87"/>
    </row>
    <row r="1359" spans="3:7">
      <c r="C1359" s="87"/>
      <c r="D1359" s="87"/>
      <c r="E1359" s="87"/>
      <c r="F1359" s="87"/>
      <c r="G1359" s="87"/>
    </row>
    <row r="1360" spans="3:7">
      <c r="C1360" s="87"/>
      <c r="D1360" s="87"/>
      <c r="E1360" s="87"/>
      <c r="F1360" s="87"/>
      <c r="G1360" s="87"/>
    </row>
    <row r="1361" spans="3:7">
      <c r="C1361" s="87"/>
      <c r="D1361" s="87"/>
      <c r="E1361" s="87"/>
      <c r="F1361" s="87"/>
      <c r="G1361" s="87"/>
    </row>
    <row r="1362" spans="3:7">
      <c r="C1362" s="87"/>
      <c r="D1362" s="87"/>
      <c r="E1362" s="87"/>
      <c r="F1362" s="87"/>
      <c r="G1362" s="87"/>
    </row>
    <row r="1363" spans="3:7">
      <c r="C1363" s="87"/>
      <c r="D1363" s="87"/>
      <c r="E1363" s="87"/>
      <c r="F1363" s="87"/>
      <c r="G1363" s="87"/>
    </row>
    <row r="1364" spans="3:7">
      <c r="C1364" s="87"/>
      <c r="D1364" s="87"/>
      <c r="E1364" s="87"/>
      <c r="F1364" s="87"/>
      <c r="G1364" s="87"/>
    </row>
    <row r="1365" spans="3:7">
      <c r="C1365" s="87"/>
      <c r="D1365" s="87"/>
      <c r="E1365" s="87"/>
      <c r="F1365" s="87"/>
      <c r="G1365" s="87"/>
    </row>
    <row r="1366" spans="3:7">
      <c r="C1366" s="87"/>
      <c r="D1366" s="87"/>
      <c r="E1366" s="87"/>
      <c r="F1366" s="87"/>
      <c r="G1366" s="87"/>
    </row>
    <row r="1367" spans="3:7">
      <c r="C1367" s="87"/>
      <c r="D1367" s="87"/>
      <c r="E1367" s="87"/>
      <c r="F1367" s="87"/>
      <c r="G1367" s="87"/>
    </row>
    <row r="1368" spans="3:7">
      <c r="C1368" s="87"/>
      <c r="D1368" s="87"/>
      <c r="E1368" s="87"/>
      <c r="F1368" s="87"/>
      <c r="G1368" s="87"/>
    </row>
    <row r="1369" spans="3:7">
      <c r="C1369" s="87"/>
      <c r="D1369" s="87"/>
      <c r="E1369" s="87"/>
      <c r="F1369" s="87"/>
      <c r="G1369" s="87"/>
    </row>
    <row r="1370" spans="3:7">
      <c r="C1370" s="87"/>
      <c r="D1370" s="87"/>
      <c r="E1370" s="87"/>
      <c r="F1370" s="87"/>
      <c r="G1370" s="87"/>
    </row>
    <row r="1371" spans="3:7">
      <c r="C1371" s="87"/>
      <c r="D1371" s="87"/>
      <c r="E1371" s="87"/>
      <c r="F1371" s="87"/>
      <c r="G1371" s="87"/>
    </row>
    <row r="1372" spans="3:7">
      <c r="C1372" s="87"/>
      <c r="D1372" s="87"/>
      <c r="E1372" s="87"/>
      <c r="F1372" s="87"/>
      <c r="G1372" s="87"/>
    </row>
    <row r="1373" spans="3:7">
      <c r="C1373" s="87"/>
      <c r="D1373" s="87"/>
      <c r="E1373" s="87"/>
      <c r="F1373" s="87"/>
      <c r="G1373" s="87"/>
    </row>
    <row r="1374" spans="3:7">
      <c r="C1374" s="87"/>
      <c r="D1374" s="87"/>
      <c r="E1374" s="87"/>
      <c r="F1374" s="87"/>
      <c r="G1374" s="87"/>
    </row>
    <row r="1375" spans="3:7">
      <c r="C1375" s="87"/>
      <c r="D1375" s="87"/>
      <c r="E1375" s="87"/>
      <c r="F1375" s="87"/>
      <c r="G1375" s="87"/>
    </row>
    <row r="1376" spans="3:7">
      <c r="C1376" s="87"/>
      <c r="D1376" s="87"/>
      <c r="E1376" s="87"/>
      <c r="F1376" s="87"/>
      <c r="G1376" s="87"/>
    </row>
    <row r="1377" spans="3:7">
      <c r="C1377" s="87"/>
      <c r="D1377" s="87"/>
      <c r="E1377" s="87"/>
      <c r="F1377" s="87"/>
      <c r="G1377" s="87"/>
    </row>
    <row r="1378" spans="3:7">
      <c r="C1378" s="87"/>
      <c r="D1378" s="87"/>
      <c r="E1378" s="87"/>
      <c r="F1378" s="87"/>
      <c r="G1378" s="87"/>
    </row>
    <row r="1379" spans="3:7">
      <c r="C1379" s="87"/>
      <c r="D1379" s="87"/>
      <c r="E1379" s="87"/>
      <c r="F1379" s="87"/>
      <c r="G1379" s="87"/>
    </row>
    <row r="1380" spans="3:7">
      <c r="C1380" s="87"/>
      <c r="D1380" s="87"/>
      <c r="E1380" s="87"/>
      <c r="F1380" s="87"/>
      <c r="G1380" s="87"/>
    </row>
    <row r="1381" spans="3:7">
      <c r="C1381" s="87"/>
      <c r="D1381" s="87"/>
      <c r="E1381" s="87"/>
      <c r="F1381" s="87"/>
      <c r="G1381" s="87"/>
    </row>
    <row r="1382" spans="3:7">
      <c r="C1382" s="87"/>
      <c r="D1382" s="87"/>
      <c r="E1382" s="87"/>
      <c r="F1382" s="87"/>
      <c r="G1382" s="87"/>
    </row>
    <row r="1383" spans="3:7">
      <c r="C1383" s="87"/>
      <c r="D1383" s="87"/>
      <c r="E1383" s="87"/>
      <c r="F1383" s="87"/>
      <c r="G1383" s="87"/>
    </row>
    <row r="1384" spans="3:7">
      <c r="C1384" s="87"/>
      <c r="D1384" s="87"/>
      <c r="E1384" s="87"/>
      <c r="F1384" s="87"/>
      <c r="G1384" s="87"/>
    </row>
    <row r="1385" spans="3:7">
      <c r="C1385" s="87"/>
      <c r="D1385" s="87"/>
      <c r="E1385" s="87"/>
      <c r="F1385" s="87"/>
      <c r="G1385" s="87"/>
    </row>
    <row r="1386" spans="3:7">
      <c r="C1386" s="87"/>
      <c r="D1386" s="87"/>
      <c r="E1386" s="87"/>
      <c r="F1386" s="87"/>
      <c r="G1386" s="87"/>
    </row>
    <row r="1387" spans="3:7">
      <c r="C1387" s="87"/>
      <c r="D1387" s="87"/>
      <c r="E1387" s="87"/>
      <c r="F1387" s="87"/>
      <c r="G1387" s="87"/>
    </row>
    <row r="1388" spans="3:7">
      <c r="C1388" s="87"/>
      <c r="D1388" s="87"/>
      <c r="E1388" s="87"/>
      <c r="F1388" s="87"/>
      <c r="G1388" s="87"/>
    </row>
    <row r="1389" spans="3:7">
      <c r="C1389" s="87"/>
      <c r="D1389" s="87"/>
      <c r="E1389" s="87"/>
      <c r="F1389" s="87"/>
      <c r="G1389" s="87"/>
    </row>
    <row r="1390" spans="3:7">
      <c r="C1390" s="87"/>
      <c r="D1390" s="87"/>
      <c r="E1390" s="87"/>
      <c r="F1390" s="87"/>
      <c r="G1390" s="87"/>
    </row>
    <row r="1391" spans="3:7">
      <c r="C1391" s="87"/>
      <c r="D1391" s="87"/>
      <c r="E1391" s="87"/>
      <c r="F1391" s="87"/>
      <c r="G1391" s="87"/>
    </row>
    <row r="1392" spans="3:7">
      <c r="C1392" s="87"/>
      <c r="D1392" s="87"/>
      <c r="E1392" s="87"/>
      <c r="F1392" s="87"/>
      <c r="G1392" s="87"/>
    </row>
    <row r="1393" spans="3:7">
      <c r="C1393" s="87"/>
      <c r="D1393" s="87"/>
      <c r="E1393" s="87"/>
      <c r="F1393" s="87"/>
      <c r="G1393" s="87"/>
    </row>
    <row r="1394" spans="3:7">
      <c r="C1394" s="87"/>
      <c r="D1394" s="87"/>
      <c r="E1394" s="87"/>
      <c r="F1394" s="87"/>
      <c r="G1394" s="87"/>
    </row>
    <row r="1395" spans="3:7">
      <c r="C1395" s="87"/>
      <c r="D1395" s="87"/>
      <c r="E1395" s="87"/>
      <c r="F1395" s="87"/>
      <c r="G1395" s="87"/>
    </row>
    <row r="1396" spans="3:7">
      <c r="C1396" s="87"/>
      <c r="D1396" s="87"/>
      <c r="E1396" s="87"/>
      <c r="F1396" s="87"/>
      <c r="G1396" s="87"/>
    </row>
    <row r="1397" spans="3:7">
      <c r="C1397" s="87"/>
      <c r="D1397" s="87"/>
      <c r="E1397" s="87"/>
      <c r="F1397" s="87"/>
      <c r="G1397" s="87"/>
    </row>
    <row r="1398" spans="3:7">
      <c r="C1398" s="87"/>
      <c r="D1398" s="87"/>
      <c r="E1398" s="87"/>
      <c r="F1398" s="87"/>
      <c r="G1398" s="87"/>
    </row>
    <row r="1399" spans="3:7">
      <c r="C1399" s="87"/>
      <c r="D1399" s="87"/>
      <c r="E1399" s="87"/>
      <c r="F1399" s="87"/>
      <c r="G1399" s="87"/>
    </row>
    <row r="1400" spans="3:7">
      <c r="C1400" s="87"/>
      <c r="D1400" s="87"/>
      <c r="E1400" s="87"/>
      <c r="F1400" s="87"/>
      <c r="G1400" s="87"/>
    </row>
    <row r="1401" spans="3:7">
      <c r="C1401" s="87"/>
      <c r="D1401" s="87"/>
      <c r="E1401" s="87"/>
      <c r="F1401" s="87"/>
      <c r="G1401" s="87"/>
    </row>
    <row r="1402" spans="3:7">
      <c r="C1402" s="87"/>
      <c r="D1402" s="87"/>
      <c r="E1402" s="87"/>
      <c r="F1402" s="87"/>
      <c r="G1402" s="87"/>
    </row>
    <row r="1403" spans="3:7">
      <c r="C1403" s="87"/>
      <c r="D1403" s="87"/>
      <c r="E1403" s="87"/>
      <c r="F1403" s="87"/>
      <c r="G1403" s="87"/>
    </row>
    <row r="1404" spans="3:7">
      <c r="C1404" s="87"/>
      <c r="D1404" s="87"/>
      <c r="E1404" s="87"/>
      <c r="F1404" s="87"/>
      <c r="G1404" s="87"/>
    </row>
    <row r="1405" spans="3:7">
      <c r="C1405" s="87"/>
      <c r="D1405" s="87"/>
      <c r="E1405" s="87"/>
      <c r="F1405" s="87"/>
      <c r="G1405" s="87"/>
    </row>
    <row r="1406" spans="3:7">
      <c r="C1406" s="87"/>
      <c r="D1406" s="87"/>
      <c r="E1406" s="87"/>
      <c r="F1406" s="87"/>
      <c r="G1406" s="87"/>
    </row>
    <row r="1407" spans="3:7">
      <c r="C1407" s="87"/>
      <c r="D1407" s="87"/>
      <c r="E1407" s="87"/>
      <c r="F1407" s="87"/>
      <c r="G1407" s="87"/>
    </row>
    <row r="1408" spans="3:7">
      <c r="C1408" s="87"/>
      <c r="D1408" s="87"/>
      <c r="E1408" s="87"/>
      <c r="F1408" s="87"/>
      <c r="G1408" s="87"/>
    </row>
    <row r="1409" spans="3:7">
      <c r="C1409" s="87"/>
      <c r="D1409" s="87"/>
      <c r="E1409" s="87"/>
      <c r="F1409" s="87"/>
      <c r="G1409" s="87"/>
    </row>
    <row r="1410" spans="3:7">
      <c r="C1410" s="87"/>
      <c r="D1410" s="87"/>
      <c r="E1410" s="87"/>
      <c r="F1410" s="87"/>
      <c r="G1410" s="87"/>
    </row>
    <row r="1411" spans="3:7">
      <c r="C1411" s="87"/>
      <c r="D1411" s="87"/>
      <c r="E1411" s="87"/>
      <c r="F1411" s="87"/>
      <c r="G1411" s="87"/>
    </row>
    <row r="1412" spans="3:7">
      <c r="C1412" s="87"/>
      <c r="D1412" s="87"/>
      <c r="E1412" s="87"/>
      <c r="F1412" s="87"/>
      <c r="G1412" s="87"/>
    </row>
    <row r="1413" spans="3:7">
      <c r="C1413" s="87"/>
      <c r="D1413" s="87"/>
      <c r="E1413" s="87"/>
      <c r="F1413" s="87"/>
      <c r="G1413" s="87"/>
    </row>
    <row r="1414" spans="3:7">
      <c r="C1414" s="87"/>
      <c r="D1414" s="87"/>
      <c r="E1414" s="87"/>
      <c r="F1414" s="87"/>
      <c r="G1414" s="87"/>
    </row>
    <row r="1415" spans="3:7">
      <c r="C1415" s="87"/>
      <c r="D1415" s="87"/>
      <c r="E1415" s="87"/>
      <c r="F1415" s="87"/>
      <c r="G1415" s="87"/>
    </row>
    <row r="1416" spans="3:7">
      <c r="C1416" s="87"/>
      <c r="D1416" s="87"/>
      <c r="E1416" s="87"/>
      <c r="F1416" s="87"/>
      <c r="G1416" s="87"/>
    </row>
    <row r="1417" spans="3:7">
      <c r="C1417" s="87"/>
      <c r="D1417" s="87"/>
      <c r="E1417" s="87"/>
      <c r="F1417" s="87"/>
      <c r="G1417" s="87"/>
    </row>
    <row r="1418" spans="3:7">
      <c r="C1418" s="87"/>
      <c r="D1418" s="87"/>
      <c r="E1418" s="87"/>
      <c r="F1418" s="87"/>
      <c r="G1418" s="87"/>
    </row>
    <row r="1419" spans="3:7">
      <c r="C1419" s="87"/>
      <c r="D1419" s="87"/>
      <c r="E1419" s="87"/>
      <c r="F1419" s="87"/>
      <c r="G1419" s="87"/>
    </row>
    <row r="1420" spans="3:7">
      <c r="C1420" s="87"/>
      <c r="D1420" s="87"/>
      <c r="E1420" s="87"/>
      <c r="F1420" s="87"/>
      <c r="G1420" s="87"/>
    </row>
    <row r="1421" spans="3:7">
      <c r="C1421" s="87"/>
      <c r="D1421" s="87"/>
      <c r="E1421" s="87"/>
      <c r="F1421" s="87"/>
      <c r="G1421" s="87"/>
    </row>
    <row r="1422" spans="3:7">
      <c r="C1422" s="87"/>
      <c r="D1422" s="87"/>
      <c r="E1422" s="87"/>
      <c r="F1422" s="87"/>
      <c r="G1422" s="87"/>
    </row>
    <row r="1423" spans="3:7">
      <c r="C1423" s="87"/>
      <c r="D1423" s="87"/>
      <c r="E1423" s="87"/>
      <c r="F1423" s="87"/>
      <c r="G1423" s="87"/>
    </row>
    <row r="1424" spans="3:7">
      <c r="C1424" s="87"/>
      <c r="D1424" s="87"/>
      <c r="E1424" s="87"/>
      <c r="F1424" s="87"/>
      <c r="G1424" s="87"/>
    </row>
    <row r="1425" spans="3:7">
      <c r="C1425" s="87"/>
      <c r="D1425" s="87"/>
      <c r="E1425" s="87"/>
      <c r="F1425" s="87"/>
      <c r="G1425" s="87"/>
    </row>
    <row r="1426" spans="3:7">
      <c r="C1426" s="87"/>
      <c r="D1426" s="87"/>
      <c r="E1426" s="87"/>
      <c r="F1426" s="87"/>
      <c r="G1426" s="87"/>
    </row>
    <row r="1427" spans="3:7">
      <c r="C1427" s="87"/>
      <c r="D1427" s="87"/>
      <c r="E1427" s="87"/>
      <c r="F1427" s="87"/>
      <c r="G1427" s="87"/>
    </row>
    <row r="1428" spans="3:7">
      <c r="C1428" s="87"/>
      <c r="D1428" s="87"/>
      <c r="E1428" s="87"/>
      <c r="F1428" s="87"/>
      <c r="G1428" s="87"/>
    </row>
    <row r="1429" spans="3:7">
      <c r="C1429" s="87"/>
      <c r="D1429" s="87"/>
      <c r="E1429" s="87"/>
      <c r="F1429" s="87"/>
      <c r="G1429" s="87"/>
    </row>
    <row r="1430" spans="3:7">
      <c r="C1430" s="87"/>
      <c r="D1430" s="87"/>
      <c r="E1430" s="87"/>
      <c r="F1430" s="87"/>
      <c r="G1430" s="87"/>
    </row>
    <row r="1431" spans="3:7">
      <c r="C1431" s="87"/>
      <c r="D1431" s="87"/>
      <c r="E1431" s="87"/>
      <c r="F1431" s="87"/>
      <c r="G1431" s="87"/>
    </row>
    <row r="1432" spans="3:7">
      <c r="C1432" s="87"/>
      <c r="D1432" s="87"/>
      <c r="E1432" s="87"/>
      <c r="F1432" s="87"/>
      <c r="G1432" s="87"/>
    </row>
    <row r="1433" spans="3:7">
      <c r="C1433" s="87"/>
      <c r="D1433" s="87"/>
      <c r="E1433" s="87"/>
      <c r="F1433" s="87"/>
      <c r="G1433" s="87"/>
    </row>
    <row r="1434" spans="3:7">
      <c r="C1434" s="87"/>
      <c r="D1434" s="87"/>
      <c r="E1434" s="87"/>
      <c r="F1434" s="87"/>
      <c r="G1434" s="87"/>
    </row>
    <row r="1435" spans="3:7">
      <c r="C1435" s="87"/>
      <c r="D1435" s="87"/>
      <c r="E1435" s="87"/>
      <c r="F1435" s="87"/>
      <c r="G1435" s="87"/>
    </row>
    <row r="1436" spans="3:7">
      <c r="C1436" s="87"/>
      <c r="D1436" s="87"/>
      <c r="E1436" s="87"/>
      <c r="F1436" s="87"/>
      <c r="G1436" s="87"/>
    </row>
    <row r="1437" spans="3:7">
      <c r="C1437" s="87"/>
      <c r="D1437" s="87"/>
      <c r="E1437" s="87"/>
      <c r="F1437" s="87"/>
      <c r="G1437" s="87"/>
    </row>
    <row r="1438" spans="3:7">
      <c r="C1438" s="87"/>
      <c r="D1438" s="87"/>
      <c r="E1438" s="87"/>
      <c r="F1438" s="87"/>
      <c r="G1438" s="87"/>
    </row>
    <row r="1439" spans="3:7">
      <c r="C1439" s="87"/>
      <c r="D1439" s="87"/>
      <c r="E1439" s="87"/>
      <c r="F1439" s="87"/>
      <c r="G1439" s="87"/>
    </row>
    <row r="1440" spans="3:7">
      <c r="C1440" s="87"/>
      <c r="D1440" s="87"/>
      <c r="E1440" s="87"/>
      <c r="F1440" s="87"/>
      <c r="G1440" s="87"/>
    </row>
    <row r="1441" spans="3:7">
      <c r="C1441" s="87"/>
      <c r="D1441" s="87"/>
      <c r="E1441" s="87"/>
      <c r="F1441" s="87"/>
      <c r="G1441" s="87"/>
    </row>
    <row r="1442" spans="3:7">
      <c r="C1442" s="87"/>
      <c r="D1442" s="87"/>
      <c r="E1442" s="87"/>
      <c r="F1442" s="87"/>
      <c r="G1442" s="87"/>
    </row>
    <row r="1443" spans="3:7">
      <c r="C1443" s="87"/>
      <c r="D1443" s="87"/>
      <c r="E1443" s="87"/>
      <c r="F1443" s="87"/>
      <c r="G1443" s="87"/>
    </row>
    <row r="1444" spans="3:7">
      <c r="C1444" s="87"/>
      <c r="D1444" s="87"/>
      <c r="E1444" s="87"/>
      <c r="F1444" s="87"/>
      <c r="G1444" s="87"/>
    </row>
    <row r="1445" spans="3:7">
      <c r="C1445" s="87"/>
      <c r="D1445" s="87"/>
      <c r="E1445" s="87"/>
      <c r="F1445" s="87"/>
      <c r="G1445" s="87"/>
    </row>
    <row r="1446" spans="3:7">
      <c r="C1446" s="87"/>
      <c r="D1446" s="87"/>
      <c r="E1446" s="87"/>
      <c r="F1446" s="87"/>
      <c r="G1446" s="87"/>
    </row>
    <row r="1447" spans="3:7">
      <c r="C1447" s="87"/>
      <c r="D1447" s="87"/>
      <c r="E1447" s="87"/>
      <c r="F1447" s="87"/>
      <c r="G1447" s="87"/>
    </row>
    <row r="1448" spans="3:7">
      <c r="C1448" s="87"/>
      <c r="D1448" s="87"/>
      <c r="E1448" s="87"/>
      <c r="F1448" s="87"/>
      <c r="G1448" s="87"/>
    </row>
    <row r="1449" spans="3:7">
      <c r="C1449" s="87"/>
      <c r="D1449" s="87"/>
      <c r="E1449" s="87"/>
      <c r="F1449" s="87"/>
      <c r="G1449" s="87"/>
    </row>
    <row r="1450" spans="3:7">
      <c r="C1450" s="87"/>
      <c r="D1450" s="87"/>
      <c r="E1450" s="87"/>
      <c r="F1450" s="87"/>
      <c r="G1450" s="87"/>
    </row>
    <row r="1451" spans="3:7">
      <c r="C1451" s="87"/>
      <c r="D1451" s="87"/>
      <c r="E1451" s="87"/>
      <c r="F1451" s="87"/>
      <c r="G1451" s="87"/>
    </row>
    <row r="1452" spans="3:7">
      <c r="C1452" s="87"/>
      <c r="D1452" s="87"/>
      <c r="E1452" s="87"/>
      <c r="F1452" s="87"/>
      <c r="G1452" s="87"/>
    </row>
    <row r="1453" spans="3:7">
      <c r="C1453" s="87"/>
      <c r="D1453" s="87"/>
      <c r="E1453" s="87"/>
      <c r="F1453" s="87"/>
      <c r="G1453" s="87"/>
    </row>
    <row r="1454" spans="3:7">
      <c r="C1454" s="87"/>
      <c r="D1454" s="87"/>
      <c r="E1454" s="87"/>
      <c r="F1454" s="87"/>
      <c r="G1454" s="87"/>
    </row>
    <row r="1455" spans="3:7">
      <c r="C1455" s="87"/>
      <c r="D1455" s="87"/>
      <c r="E1455" s="87"/>
      <c r="F1455" s="87"/>
      <c r="G1455" s="87"/>
    </row>
    <row r="1456" spans="3:7">
      <c r="C1456" s="87"/>
      <c r="D1456" s="87"/>
      <c r="E1456" s="87"/>
      <c r="F1456" s="87"/>
      <c r="G1456" s="87"/>
    </row>
    <row r="1457" spans="3:7">
      <c r="C1457" s="87"/>
      <c r="D1457" s="87"/>
      <c r="E1457" s="87"/>
      <c r="F1457" s="87"/>
      <c r="G1457" s="87"/>
    </row>
    <row r="1458" spans="3:7">
      <c r="C1458" s="87"/>
      <c r="D1458" s="87"/>
      <c r="E1458" s="87"/>
      <c r="F1458" s="87"/>
      <c r="G1458" s="87"/>
    </row>
    <row r="1459" spans="3:7">
      <c r="C1459" s="87"/>
      <c r="D1459" s="87"/>
      <c r="E1459" s="87"/>
      <c r="F1459" s="87"/>
      <c r="G1459" s="87"/>
    </row>
    <row r="1460" spans="3:7">
      <c r="C1460" s="87"/>
      <c r="D1460" s="87"/>
      <c r="E1460" s="87"/>
      <c r="F1460" s="87"/>
      <c r="G1460" s="87"/>
    </row>
    <row r="1461" spans="3:7">
      <c r="C1461" s="87"/>
      <c r="D1461" s="87"/>
      <c r="E1461" s="87"/>
      <c r="F1461" s="87"/>
      <c r="G1461" s="87"/>
    </row>
    <row r="1462" spans="3:7">
      <c r="C1462" s="87"/>
      <c r="D1462" s="87"/>
      <c r="E1462" s="87"/>
      <c r="F1462" s="87"/>
      <c r="G1462" s="87"/>
    </row>
    <row r="1463" spans="3:7">
      <c r="C1463" s="87"/>
      <c r="D1463" s="87"/>
      <c r="E1463" s="87"/>
      <c r="F1463" s="87"/>
      <c r="G1463" s="87"/>
    </row>
    <row r="1464" spans="3:7">
      <c r="C1464" s="87"/>
      <c r="D1464" s="87"/>
      <c r="E1464" s="87"/>
      <c r="F1464" s="87"/>
      <c r="G1464" s="87"/>
    </row>
    <row r="1465" spans="3:7">
      <c r="C1465" s="87"/>
      <c r="D1465" s="87"/>
      <c r="E1465" s="87"/>
      <c r="F1465" s="87"/>
      <c r="G1465" s="87"/>
    </row>
    <row r="1466" spans="3:7">
      <c r="C1466" s="87"/>
      <c r="D1466" s="87"/>
      <c r="E1466" s="87"/>
      <c r="F1466" s="87"/>
      <c r="G1466" s="87"/>
    </row>
    <row r="1467" spans="3:7">
      <c r="C1467" s="87"/>
      <c r="D1467" s="87"/>
      <c r="E1467" s="87"/>
      <c r="F1467" s="87"/>
      <c r="G1467" s="87"/>
    </row>
    <row r="1468" spans="3:7">
      <c r="C1468" s="87"/>
      <c r="D1468" s="87"/>
      <c r="E1468" s="87"/>
      <c r="F1468" s="87"/>
      <c r="G1468" s="87"/>
    </row>
    <row r="1469" spans="3:7">
      <c r="C1469" s="87"/>
      <c r="D1469" s="87"/>
      <c r="E1469" s="87"/>
      <c r="F1469" s="87"/>
      <c r="G1469" s="87"/>
    </row>
    <row r="1470" spans="3:7">
      <c r="C1470" s="87"/>
      <c r="D1470" s="87"/>
      <c r="E1470" s="87"/>
      <c r="F1470" s="87"/>
      <c r="G1470" s="87"/>
    </row>
    <row r="1471" spans="3:7">
      <c r="C1471" s="87"/>
      <c r="D1471" s="87"/>
      <c r="E1471" s="87"/>
      <c r="F1471" s="87"/>
      <c r="G1471" s="87"/>
    </row>
    <row r="1472" spans="3:7">
      <c r="C1472" s="87"/>
      <c r="D1472" s="87"/>
      <c r="E1472" s="87"/>
      <c r="F1472" s="87"/>
      <c r="G1472" s="87"/>
    </row>
    <row r="1473" spans="3:7">
      <c r="C1473" s="87"/>
      <c r="D1473" s="87"/>
      <c r="E1473" s="87"/>
      <c r="F1473" s="87"/>
      <c r="G1473" s="87"/>
    </row>
    <row r="1474" spans="3:7">
      <c r="C1474" s="87"/>
      <c r="D1474" s="87"/>
      <c r="E1474" s="87"/>
      <c r="F1474" s="87"/>
      <c r="G1474" s="87"/>
    </row>
    <row r="1475" spans="3:7">
      <c r="C1475" s="87"/>
      <c r="D1475" s="87"/>
      <c r="E1475" s="87"/>
      <c r="F1475" s="87"/>
      <c r="G1475" s="87"/>
    </row>
    <row r="1476" spans="3:7">
      <c r="C1476" s="87"/>
      <c r="D1476" s="87"/>
      <c r="E1476" s="87"/>
      <c r="F1476" s="87"/>
      <c r="G1476" s="87"/>
    </row>
    <row r="1477" spans="3:7">
      <c r="C1477" s="87"/>
      <c r="D1477" s="87"/>
      <c r="E1477" s="87"/>
      <c r="F1477" s="87"/>
      <c r="G1477" s="87"/>
    </row>
    <row r="1478" spans="3:7">
      <c r="C1478" s="87"/>
      <c r="D1478" s="87"/>
      <c r="E1478" s="87"/>
      <c r="F1478" s="87"/>
      <c r="G1478" s="87"/>
    </row>
    <row r="1479" spans="3:7">
      <c r="C1479" s="87"/>
      <c r="D1479" s="87"/>
      <c r="E1479" s="87"/>
      <c r="F1479" s="87"/>
      <c r="G1479" s="87"/>
    </row>
    <row r="1480" spans="3:7">
      <c r="C1480" s="87"/>
      <c r="D1480" s="87"/>
      <c r="E1480" s="87"/>
      <c r="F1480" s="87"/>
      <c r="G1480" s="87"/>
    </row>
    <row r="1481" spans="3:7">
      <c r="C1481" s="87"/>
      <c r="D1481" s="87"/>
      <c r="E1481" s="87"/>
      <c r="F1481" s="87"/>
      <c r="G1481" s="87"/>
    </row>
    <row r="1482" spans="3:7">
      <c r="C1482" s="87"/>
      <c r="D1482" s="87"/>
      <c r="E1482" s="87"/>
      <c r="F1482" s="87"/>
      <c r="G1482" s="87"/>
    </row>
    <row r="1483" spans="3:7">
      <c r="C1483" s="87"/>
      <c r="D1483" s="87"/>
      <c r="E1483" s="87"/>
      <c r="F1483" s="87"/>
      <c r="G1483" s="87"/>
    </row>
    <row r="1484" spans="3:7">
      <c r="C1484" s="87"/>
      <c r="D1484" s="87"/>
      <c r="E1484" s="87"/>
      <c r="F1484" s="87"/>
      <c r="G1484" s="87"/>
    </row>
    <row r="1485" spans="3:7">
      <c r="C1485" s="87"/>
      <c r="D1485" s="87"/>
      <c r="E1485" s="87"/>
      <c r="F1485" s="87"/>
      <c r="G1485" s="87"/>
    </row>
    <row r="1486" spans="3:7">
      <c r="C1486" s="87"/>
      <c r="D1486" s="87"/>
      <c r="E1486" s="87"/>
      <c r="F1486" s="87"/>
      <c r="G1486" s="87"/>
    </row>
    <row r="1487" spans="3:7">
      <c r="C1487" s="87"/>
      <c r="D1487" s="87"/>
      <c r="E1487" s="87"/>
      <c r="F1487" s="87"/>
      <c r="G1487" s="87"/>
    </row>
    <row r="1488" spans="3:7">
      <c r="C1488" s="87"/>
      <c r="D1488" s="87"/>
      <c r="E1488" s="87"/>
      <c r="F1488" s="87"/>
      <c r="G1488" s="87"/>
    </row>
    <row r="1489" spans="3:7">
      <c r="C1489" s="87"/>
      <c r="D1489" s="87"/>
      <c r="E1489" s="87"/>
      <c r="F1489" s="87"/>
      <c r="G1489" s="87"/>
    </row>
    <row r="1490" spans="3:7">
      <c r="C1490" s="87"/>
      <c r="D1490" s="87"/>
      <c r="E1490" s="87"/>
      <c r="F1490" s="87"/>
      <c r="G1490" s="87"/>
    </row>
    <row r="1491" spans="3:7">
      <c r="C1491" s="87"/>
      <c r="D1491" s="87"/>
      <c r="E1491" s="87"/>
      <c r="F1491" s="87"/>
      <c r="G1491" s="87"/>
    </row>
    <row r="1492" spans="3:7">
      <c r="C1492" s="87"/>
      <c r="D1492" s="87"/>
      <c r="E1492" s="87"/>
      <c r="F1492" s="87"/>
      <c r="G1492" s="87"/>
    </row>
    <row r="1493" spans="3:7">
      <c r="C1493" s="87"/>
      <c r="D1493" s="87"/>
      <c r="E1493" s="87"/>
      <c r="F1493" s="87"/>
      <c r="G1493" s="87"/>
    </row>
    <row r="1494" spans="3:7">
      <c r="C1494" s="87"/>
      <c r="D1494" s="87"/>
      <c r="E1494" s="87"/>
      <c r="F1494" s="87"/>
      <c r="G1494" s="87"/>
    </row>
    <row r="1495" spans="3:7">
      <c r="C1495" s="87"/>
      <c r="D1495" s="87"/>
      <c r="E1495" s="87"/>
      <c r="F1495" s="87"/>
      <c r="G1495" s="87"/>
    </row>
    <row r="1496" spans="3:7">
      <c r="C1496" s="87"/>
      <c r="D1496" s="87"/>
      <c r="E1496" s="87"/>
      <c r="F1496" s="87"/>
      <c r="G1496" s="87"/>
    </row>
    <row r="1497" spans="3:7">
      <c r="C1497" s="87"/>
      <c r="D1497" s="87"/>
      <c r="E1497" s="87"/>
      <c r="F1497" s="87"/>
      <c r="G1497" s="87"/>
    </row>
    <row r="1498" spans="3:7">
      <c r="C1498" s="87"/>
      <c r="D1498" s="87"/>
      <c r="E1498" s="87"/>
      <c r="F1498" s="87"/>
      <c r="G1498" s="87"/>
    </row>
    <row r="1499" spans="3:7">
      <c r="C1499" s="87"/>
      <c r="D1499" s="87"/>
      <c r="E1499" s="87"/>
      <c r="F1499" s="87"/>
      <c r="G1499" s="87"/>
    </row>
    <row r="1500" spans="3:7">
      <c r="C1500" s="87"/>
      <c r="D1500" s="87"/>
      <c r="E1500" s="87"/>
      <c r="F1500" s="87"/>
      <c r="G1500" s="87"/>
    </row>
    <row r="1501" spans="3:7">
      <c r="C1501" s="87"/>
      <c r="D1501" s="87"/>
      <c r="E1501" s="87"/>
      <c r="F1501" s="87"/>
      <c r="G1501" s="8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outlinePr summaryBelow="0" summaryRight="0"/>
  </sheetPr>
  <dimension ref="A1:K3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8.88671875" customWidth="1"/>
    <col min="2" max="2" width="13.21875" customWidth="1"/>
    <col min="3" max="3" width="21.33203125" customWidth="1"/>
    <col min="4" max="4" width="27" customWidth="1"/>
    <col min="5" max="5" width="17.6640625" customWidth="1"/>
    <col min="6" max="6" width="28.88671875" customWidth="1"/>
    <col min="7" max="7" width="13.21875" customWidth="1"/>
    <col min="8" max="8" width="9.44140625" customWidth="1"/>
    <col min="9" max="9" width="16.33203125" customWidth="1"/>
    <col min="10" max="10" width="18.88671875" customWidth="1"/>
    <col min="11" max="11" width="17" customWidth="1"/>
  </cols>
  <sheetData>
    <row r="1" spans="1:11" ht="25.5" customHeight="1">
      <c r="A1" s="88" t="s">
        <v>0</v>
      </c>
      <c r="B1" s="88" t="s">
        <v>1</v>
      </c>
      <c r="C1" s="88" t="s">
        <v>3020</v>
      </c>
      <c r="D1" s="88" t="s">
        <v>3071</v>
      </c>
      <c r="E1" s="88" t="s">
        <v>3</v>
      </c>
      <c r="F1" s="88" t="s">
        <v>3021</v>
      </c>
      <c r="G1" s="88" t="s">
        <v>3022</v>
      </c>
      <c r="H1" s="88" t="s">
        <v>3072</v>
      </c>
      <c r="I1" s="88" t="s">
        <v>3073</v>
      </c>
      <c r="J1" s="88" t="s">
        <v>3074</v>
      </c>
      <c r="K1" s="88" t="s">
        <v>9</v>
      </c>
    </row>
    <row r="2" spans="1:11" ht="13.2">
      <c r="A2" s="89" t="str">
        <f ca="1">IFERROR(__xludf.DUMMYFUNCTION("QUERY({IFERROR(FILTER({IF(Shohag_S188138!A3:A3000="""",""Unknown"",Shohag_S188138!A3:A3000),IF(Shohag_S188138!B3:B3000="""",""Unknown"",Shohag_S188138!B3:B3000),IF(Shohag_S188138!C3:C3000="""",""Unknown"",Shohag_S188138!C3:C3000),IF(Shohag_S188138!C3:C300"&amp;"0&lt;&gt;"""",""Jyotirmay Sarker (S188138)"",""Jyotirmay Sarker (S188138)""),IF(Shohag_S188138!D3:D3000="""",""Unknown"",Shohag_S188138!D3:D3000),IF(Shohag_S188138!E3:E3000="""",""Unknown"",Shohag_S188138!E3:E3000),IF(Shohag_S188138!F3:F3000="""",""Unknown"",Sh"&amp;"ohag_S188138!F3:F3000),IF(Shohag_S188138!G3:G3000="""",""Unknown"",Shohag_S188138!G3:G3000),IF(Shohag_S188138!H3:H3000="""",""Unknown"",Shohag_S188138!H3:H3000),IF(Shohag_S188138!I3:I3000="""",""Unknown"",Shohag_S188138!I3:I3000),IF(Shohag_S188138!J3:J300"&amp;"0="""",""Unknown"",Shohag_S188138!J3:J3000)},(Shohag_S188138!C3:C3000&lt;&gt;"""")*(Shohag_S188138!E3:E3000&lt;&gt;"""")*(Shohag_S188138!F3:F3000&lt;&gt;"""")*(Shohag_S188138!G3:G3000&lt;&gt;"""")),{"""","""","""","""","""","""","""","""","""","""",""""});IFERROR(FILTER({IF(Faru"&amp;"k_521288!A3:A3000="""",""Unknown"",Faruk_521288!A3:A3000),IF(Faruk_521288!B3:B3000="""",""Unknown"",Faruk_521288!B3:B3000),IF(Faruk_521288!C3:C3000="""",""Unknown"",Faruk_521288!C3:C3000),IF(Faruk_521288!C3:C3000&lt;&gt;"""",""Faruk Hossain (521288)"",""Faruk H"&amp;"ossain (521288)""),IF(Faruk_521288!D3:D3000="""",""Unknown"",Faruk_521288!D3:D3000),IF(Faruk_521288!E3:E3000="""",""Unknown"",Faruk_521288!E3:E3000),IF(Faruk_521288!F3:F3000="""",""Unknown"",Faruk_521288!F3:F3000),IF(Faruk_521288!G3:G3000="""",""Unknown"""&amp;",Faruk_521288!G3:G3000),IF(Faruk_521288!H3:H3000="""",""Unknown"",Faruk_521288!H3:H3000),IF(Faruk_521288!I3:I3000="""",""Unknown"",Faruk_521288!I3:I3000),IF(Faruk_521288!J3:J3000="""",""Unknown"",Faruk_521288!J3:J3000)},(Faruk_521288!C3:C3000&lt;&gt;"""")*(Faru"&amp;"k_521288!E3:E3000&lt;&gt;"""")*(Faruk_521288!F3:F3000&lt;&gt;"""")*(Faruk_521288!G3:G3000&lt;&gt;"""")),{"""","""","""","""","""","""","""","""","""","""",""""});IFERROR(FILTER({IF(Iasin_S204960!A3:A3000="""",""Unknown"",Iasin_S204960!A3:A3000),IF(Iasin_S204960!B3:B3000="""&amp;""",""Unknown"",Iasin_S204960!B3:B3000),IF(Iasin_S204960!C3:C3000="""",""Unknown"",Iasin_S204960!C3:C3000),IF(Iasin_S204960!C3:C3000&lt;&gt;"""",""Md Iasin Ahmed Showrov (S204960)"",""Md Iasin Ahmed Showrov (S204960)""),IF(Iasin_S204960!D3:D3000="""",""Unknown"""&amp;",Iasin_S204960!D3:D3000),IF(Iasin_S204960!E3:E3000="""",""Unknown"",Iasin_S204960!E3:E3000),IF(Iasin_S204960!F3:F3000="""",""Unknown"",Iasin_S204960!F3:F3000),IF(Iasin_S204960!G3:G3000="""",""Unknown"",Iasin_S204960!G3:G3000),IF(Iasin_S204960!H3:H3000="""&amp;""",""Unknown"",Iasin_S204960!H3:H3000),IF(Iasin_S204960!I3:I3000="""",""Unknown"",Iasin_S204960!I3:I3000),IF(Iasin_S204960!J3:J3000="""",""Unknown"",Iasin_S204960!J3:J3000)},(Iasin_S204960!C3:C3000&lt;&gt;"""")*(Iasin_S204960!E3:E3000&lt;&gt;"""")*(Iasin_S204960!F3:F"&amp;"3000&lt;&gt;"""")*(Iasin_S204960!G3:G3000&lt;&gt;"""")),{"""","""","""","""","""","""","""","""","""","""",""""});IFERROR(FILTER({IF(Sani_S223034!A3:A3000="""",""Unknown"",Sani_S223034!A3:A3000),IF(Sani_S223034!B3:B3000="""",""Unknown"",Sani_S223034!B3:B3000),IF(Sani"&amp;"_S223034!C3:C3000="""",""Unknown"",Sani_S223034!C3:C3000),IF(Sani_S223034!C3:C3000&lt;&gt;"""",""Masud Parvez Sani (S223034)"",""Masud Parvez Sani (S223034)""),IF(Sani_S223034!D3:D3000="""",""Unknown"",Sani_S223034!D3:D3000),IF(Sani_S223034!E3:E3000="""",""Unkn"&amp;"own"",Sani_S223034!E3:E3000),IF(Sani_S223034!F3:F3000="""",""Unknown"",Sani_S223034!F3:F3000),IF(Sani_S223034!G3:G3000="""",""Unknown"",Sani_S223034!G3:G3000),IF(Sani_S223034!H3:H3000="""",""Unknown"",Sani_S223034!H3:H3000),IF(Sani_S223034!I3:I3000="""","&amp;"""Unknown"",Sani_S223034!I3:I3000),IF(Sani_S223034!J3:J3000="""",""Unknown"",Sani_S223034!J3:J3000)},(Sani_S223034!C3:C3000&lt;&gt;"""")*(Sani_S223034!E3:E3000&lt;&gt;"""")*(Sani_S223034!F3:F3000&lt;&gt;"""")*(Sani_S223034!G3:G3000&lt;&gt;"""")),{"""","""","""","""","""","""","""&amp;""","""","""","""",""""});IFERROR(FILTER({IF(Azizul_S223035!A3:A3000="""",""Unknown"",Azizul_S223035!A3:A3000),IF(Azizul_S223035!B3:B3000="""",""Unknown"",Azizul_S223035!B3:B3000),IF(Azizul_S223035!C3:C3000="""",""Unknown"",Azizul_S223035!C3:C3000),IF(Aziz"&amp;"ul_S223035!C3:C3000&lt;&gt;"""",""Md. Azizul Hakim (S223035)"",""Md. Azizul Hakim (S223035)""),IF(Azizul_S223035!D3:D3000="""",""Unknown"",Azizul_S223035!D3:D3000),IF(Azizul_S223035!E3:E3000="""",""Unknown"",Azizul_S223035!E3:E3000),IF(Azizul_S223035!F3:F3000="&amp;""""",""Unknown"",Azizul_S223035!F3:F3000),IF(Azizul_S223035!G3:G3000="""",""Unknown"",Azizul_S223035!G3:G3000),IF(Azizul_S223035!H3:H3000="""",""Unknown"",Azizul_S223035!H3:H3000),IF(Azizul_S223035!I3:I3000="""",""Unknown"",Azizul_S223035!I3:I3000),IF(Azi"&amp;"zul_S223035!J3:J3000="""",""Unknown"",Azizul_S223035!J3:J3000)},(Azizul_S223035!C3:C3000&lt;&gt;"""")*(Azizul_S223035!E3:E3000&lt;&gt;"""")*(Azizul_S223035!F3:F3000&lt;&gt;"""")*(Azizul_S223035!G3:G3000&lt;&gt;"""")),{"""","""","""","""","""","""","""","""","""","""",""""});IFER"&amp;"ROR(FILTER({IF(Sujan_S223038!A3:A3000="""",""Unknown"",Sujan_S223038!A3:A3000),IF(Sujan_S223038!B3:B3000="""",""Unknown"",Sujan_S223038!B3:B3000),IF(Sujan_S223038!C3:C3000="""",""Unknown"",Sujan_S223038!C3:C3000),IF(Sujan_S223038!C3:C3000&lt;&gt;"""",""Sujan Ku"&amp;"mar (S223038)"",""Sujan Kumar (S223038)""),IF(Sujan_S223038!D3:D3000="""",""Unknown"",Sujan_S223038!D3:D3000),IF(Sujan_S223038!E3:E3000="""",""Unknown"",Sujan_S223038!E3:E3000),IF(Sujan_S223038!F3:F3000="""",""Unknown"",Sujan_S223038!F3:F3000),IF(Sujan_S2"&amp;"23038!G3:G3000="""",""Unknown"",Sujan_S223038!G3:G3000),IF(Sujan_S223038!H3:H3000="""",""Unknown"",Sujan_S223038!H3:H3000),IF(Sujan_S223038!I3:I3000="""",""Unknown"",Sujan_S223038!I3:I3000),IF(Sujan_S223038!J3:J3000="""",""Unknown"",Sujan_S223038!J3:J3000"&amp;")},(Sujan_S223038!C3:C3000&lt;&gt;"""")*(Sujan_S223038!E3:E3000&lt;&gt;"""")*(Sujan_S223038!F3:F3000&lt;&gt;"""")*(Sujan_S223038!G3:G3000&lt;&gt;"""")),{"""","""","""","""","""","""","""","""","""","""",""""});IFERROR(FILTER({IF(Ariful_S223037!A3:A3000="""",""Unknown"",Ariful_S2"&amp;"23037!A3:A3000),IF(Ariful_S223037!B3:B3000="""",""Unknown"",Ariful_S223037!B3:B3000),IF(Ariful_S223037!C3:C3000="""",""Unknown"",Ariful_S223037!C3:C3000),IF(Ariful_S223037!C3:C3000&lt;&gt;"""",""Md. Ariful Islam (S223037)"",""Md. Ariful Islam (S223037)""),IF(Ar"&amp;"iful_S223037!D3:D3000="""",""Unknown"",Ariful_S223037!D3:D3000),IF(Ariful_S223037!E3:E3000="""",""Unknown"",Ariful_S223037!E3:E3000),IF(Ariful_S223037!F3:F3000="""",""Unknown"",Ariful_S223037!F3:F3000),IF(Ariful_S223037!G3:G3000="""",""Unknown"",Ariful_S2"&amp;"23037!G3:G3000),IF(Ariful_S223037!H3:H3000="""",""Unknown"",Ariful_S223037!H3:H3000),IF(Ariful_S223037!I3:I3000="""",""Unknown"",Ariful_S223037!I3:I3000),IF(Ariful_S223037!J3:J3000="""",""Unknown"",Ariful_S223037!J3:J3000)},(Ariful_S223037!C3:C3000&lt;&gt;"""")"&amp;"*(Ariful_S223037!E3:E3000&lt;&gt;"""")*(Ariful_S223037!F3:F3000&lt;&gt;"""")*(Ariful_S223037!G3:G3000&lt;&gt;"""")),{"""","""","""","""","""","""","""","""","""","""",""""});IFERROR(FILTER({IF('Ex-Designers'!A3:A3000="""",""Unknown"",'Ex-Designers'!A3:A3000),IF('Ex-Designe"&amp;"rs'!B3:B3000="""",""Unknown"",'Ex-Designers'!B3:B3000),IF('Ex-Designers'!C3:C3000="""",""Unknown"",'Ex-Designers'!C3:C3000),IF('Ex-Designers'!D3:D3000="""",""Unknown"",'Ex-Designers'!D3:D3000),IF('Ex-Designers'!E3:E3000="""",""Unknown"",'Ex-Designers'!E3:"&amp;"E3000),IF('Ex-Designers'!F3:F3000="""",""Unknown"",'Ex-Designers'!F3:F3000),IF('Ex-Designers'!G3:G3000="""",""Unknown"",'Ex-Designers'!G3:G3000),IF('Ex-Designers'!H3:H3000="""",""Unknown"",'Ex-Designers'!H3:H3000),IF('Ex-Designers'!I3:I3000="""",""Unknown"&amp;""",'Ex-Designers'!I3:I3000),IF('Ex-Designers'!J3:J3000="""",""Unknown"",'Ex-Designers'!J3:J3000),IF('Ex-Designers'!K3:K3000="""",""Unknown"",'Ex-Designers'!K3:K3000)},('Ex-Designers'!C3:C3000&lt;&gt;"""")*('Ex-Designers'!F3:F3000&lt;&gt;"""")*('Ex-Designers'!G3:G3000"&amp;"&lt;&gt;"""")*('Ex-Designers'!H3:H3000&lt;&gt;"""")),{"""","""","""","""","""","""","""","""","""","""",""""})},""select * where Col1 is not null"",0)"),"Vision Iron")</f>
        <v>Vision Iron</v>
      </c>
      <c r="B2" s="90" t="str">
        <f ca="1">IFERROR(__xludf.DUMMYFUNCTION("""COMPUTED_VALUE"""),"REL")</f>
        <v>REL</v>
      </c>
      <c r="C2" s="91" t="str">
        <f ca="1">IFERROR(__xludf.DUMMYFUNCTION("""COMPUTED_VALUE"""),"Antor Vai")</f>
        <v>Antor Vai</v>
      </c>
      <c r="D2" s="92" t="str">
        <f ca="1">IFERROR(__xludf.DUMMYFUNCTION("""COMPUTED_VALUE"""),"Jyotirmay Sarker (S188138)")</f>
        <v>Jyotirmay Sarker (S188138)</v>
      </c>
      <c r="E2" s="93" t="str">
        <f ca="1">IFERROR(__xludf.DUMMYFUNCTION("""COMPUTED_VALUE"""),"CB10198_Oct25")</f>
        <v>CB10198_Oct25</v>
      </c>
      <c r="F2" s="94" t="str">
        <f ca="1">IFERROR(__xludf.DUMMYFUNCTION("""COMPUTED_VALUE"""),"ATC Box Output")</f>
        <v>ATC Box Output</v>
      </c>
      <c r="G2" s="95" t="str">
        <f ca="1">IFERROR(__xludf.DUMMYFUNCTION("""COMPUTED_VALUE"""),"New")</f>
        <v>New</v>
      </c>
      <c r="H2" s="96">
        <f ca="1">IFERROR(__xludf.DUMMYFUNCTION("""COMPUTED_VALUE"""),1)</f>
        <v>1</v>
      </c>
      <c r="I2" s="97">
        <f ca="1">IFERROR(__xludf.DUMMYFUNCTION("""COMPUTED_VALUE"""),45955)</f>
        <v>45955</v>
      </c>
      <c r="J2" s="98" t="str">
        <f ca="1">IFERROR(__xludf.DUMMYFUNCTION("""COMPUTED_VALUE"""),"CW13908_Oct25")</f>
        <v>CW13908_Oct25</v>
      </c>
      <c r="K2" s="99" t="str">
        <f ca="1">IFERROR(__xludf.DUMMYFUNCTION("""COMPUTED_VALUE"""),"Brief Submitted")</f>
        <v>Brief Submitted</v>
      </c>
    </row>
    <row r="3" spans="1:11" ht="13.2">
      <c r="A3" s="89" t="str">
        <f ca="1">IFERROR(__xludf.DUMMYFUNCTION("""COMPUTED_VALUE"""),"Vision Blender")</f>
        <v>Vision Blender</v>
      </c>
      <c r="B3" s="90" t="str">
        <f ca="1">IFERROR(__xludf.DUMMYFUNCTION("""COMPUTED_VALUE"""),"REL")</f>
        <v>REL</v>
      </c>
      <c r="C3" s="91" t="str">
        <f ca="1">IFERROR(__xludf.DUMMYFUNCTION("""COMPUTED_VALUE"""),"Nur Vaiya")</f>
        <v>Nur Vaiya</v>
      </c>
      <c r="D3" s="92" t="str">
        <f ca="1">IFERROR(__xludf.DUMMYFUNCTION("""COMPUTED_VALUE"""),"Jyotirmay Sarker (S188138)")</f>
        <v>Jyotirmay Sarker (S188138)</v>
      </c>
      <c r="E3" s="93" t="str">
        <f ca="1">IFERROR(__xludf.DUMMYFUNCTION("""COMPUTED_VALUE"""),"CB10196_Oct25")</f>
        <v>CB10196_Oct25</v>
      </c>
      <c r="F3" s="94" t="str">
        <f ca="1">IFERROR(__xludf.DUMMYFUNCTION("""COMPUTED_VALUE"""),"Output Setup (Gravure/Offset)")</f>
        <v>Output Setup (Gravure/Offset)</v>
      </c>
      <c r="G3" s="95" t="str">
        <f ca="1">IFERROR(__xludf.DUMMYFUNCTION("""COMPUTED_VALUE"""),"New")</f>
        <v>New</v>
      </c>
      <c r="H3" s="96">
        <f ca="1">IFERROR(__xludf.DUMMYFUNCTION("""COMPUTED_VALUE"""),1)</f>
        <v>1</v>
      </c>
      <c r="I3" s="97">
        <f ca="1">IFERROR(__xludf.DUMMYFUNCTION("""COMPUTED_VALUE"""),45955)</f>
        <v>45955</v>
      </c>
      <c r="J3" s="98" t="str">
        <f ca="1">IFERROR(__xludf.DUMMYFUNCTION("""COMPUTED_VALUE"""),"CW13909_Oct25")</f>
        <v>CW13909_Oct25</v>
      </c>
      <c r="K3" s="99" t="str">
        <f ca="1">IFERROR(__xludf.DUMMYFUNCTION("""COMPUTED_VALUE"""),"Brief Submitted")</f>
        <v>Brief Submitted</v>
      </c>
    </row>
    <row r="4" spans="1:11" ht="13.2">
      <c r="A4" s="89" t="str">
        <f ca="1">IFERROR(__xludf.DUMMYFUNCTION("""COMPUTED_VALUE"""),"Mother Touch")</f>
        <v>Mother Touch</v>
      </c>
      <c r="B4" s="90" t="str">
        <f ca="1">IFERROR(__xludf.DUMMYFUNCTION("""COMPUTED_VALUE"""),"RFL Stationery")</f>
        <v>RFL Stationery</v>
      </c>
      <c r="C4" s="91" t="str">
        <f ca="1">IFERROR(__xludf.DUMMYFUNCTION("""COMPUTED_VALUE"""),"RFL-Farjana Apu")</f>
        <v>RFL-Farjana Apu</v>
      </c>
      <c r="D4" s="92" t="str">
        <f ca="1">IFERROR(__xludf.DUMMYFUNCTION("""COMPUTED_VALUE"""),"Jyotirmay Sarker (S188138)")</f>
        <v>Jyotirmay Sarker (S188138)</v>
      </c>
      <c r="E4" s="93" t="str">
        <f ca="1">IFERROR(__xludf.DUMMYFUNCTION("""COMPUTED_VALUE"""),"CB10480_Oct25")</f>
        <v>CB10480_Oct25</v>
      </c>
      <c r="F4" s="94" t="str">
        <f ca="1">IFERROR(__xludf.DUMMYFUNCTION("""COMPUTED_VALUE"""),"Output Setup (Gravure/Offset)")</f>
        <v>Output Setup (Gravure/Offset)</v>
      </c>
      <c r="G4" s="95" t="str">
        <f ca="1">IFERROR(__xludf.DUMMYFUNCTION("""COMPUTED_VALUE"""),"New")</f>
        <v>New</v>
      </c>
      <c r="H4" s="96">
        <f ca="1">IFERROR(__xludf.DUMMYFUNCTION("""COMPUTED_VALUE"""),1)</f>
        <v>1</v>
      </c>
      <c r="I4" s="97">
        <f ca="1">IFERROR(__xludf.DUMMYFUNCTION("""COMPUTED_VALUE"""),45955)</f>
        <v>45955</v>
      </c>
      <c r="J4" s="98" t="str">
        <f ca="1">IFERROR(__xludf.DUMMYFUNCTION("""COMPUTED_VALUE"""),"CW13894_Oct25")</f>
        <v>CW13894_Oct25</v>
      </c>
      <c r="K4" s="99" t="str">
        <f ca="1">IFERROR(__xludf.DUMMYFUNCTION("""COMPUTED_VALUE"""),"HoM Approved")</f>
        <v>HoM Approved</v>
      </c>
    </row>
    <row r="5" spans="1:11" ht="13.2">
      <c r="A5" s="89" t="str">
        <f ca="1">IFERROR(__xludf.DUMMYFUNCTION("""COMPUTED_VALUE"""),"Bisk Club Funcrack")</f>
        <v>Bisk Club Funcrack</v>
      </c>
      <c r="B5" s="90" t="str">
        <f ca="1">IFERROR(__xludf.DUMMYFUNCTION("""COMPUTED_VALUE"""),"BBL")</f>
        <v>BBL</v>
      </c>
      <c r="C5" s="91" t="str">
        <f ca="1">IFERROR(__xludf.DUMMYFUNCTION("""COMPUTED_VALUE"""),"Sabbir Vai")</f>
        <v>Sabbir Vai</v>
      </c>
      <c r="D5" s="92" t="str">
        <f ca="1">IFERROR(__xludf.DUMMYFUNCTION("""COMPUTED_VALUE"""),"Jyotirmay Sarker (S188138)")</f>
        <v>Jyotirmay Sarker (S188138)</v>
      </c>
      <c r="E5" s="93" t="str">
        <f ca="1">IFERROR(__xludf.DUMMYFUNCTION("""COMPUTED_VALUE"""),"CB10404_Oct25")</f>
        <v>CB10404_Oct25</v>
      </c>
      <c r="F5" s="94" t="str">
        <f ca="1">IFERROR(__xludf.DUMMYFUNCTION("""COMPUTED_VALUE"""),"Output Setup (Gravure/Offset)")</f>
        <v>Output Setup (Gravure/Offset)</v>
      </c>
      <c r="G5" s="95" t="str">
        <f ca="1">IFERROR(__xludf.DUMMYFUNCTION("""COMPUTED_VALUE"""),"New")</f>
        <v>New</v>
      </c>
      <c r="H5" s="96">
        <f ca="1">IFERROR(__xludf.DUMMYFUNCTION("""COMPUTED_VALUE"""),1)</f>
        <v>1</v>
      </c>
      <c r="I5" s="97">
        <f ca="1">IFERROR(__xludf.DUMMYFUNCTION("""COMPUTED_VALUE"""),45955)</f>
        <v>45955</v>
      </c>
      <c r="J5" s="98" t="str">
        <f ca="1">IFERROR(__xludf.DUMMYFUNCTION("""COMPUTED_VALUE"""),"CW13898_Oct25")</f>
        <v>CW13898_Oct25</v>
      </c>
      <c r="K5" s="99" t="str">
        <f ca="1">IFERROR(__xludf.DUMMYFUNCTION("""COMPUTED_VALUE"""),"HoM Approved")</f>
        <v>HoM Approved</v>
      </c>
    </row>
    <row r="6" spans="1:11" ht="13.2">
      <c r="A6" s="89" t="str">
        <f ca="1">IFERROR(__xludf.DUMMYFUNCTION("""COMPUTED_VALUE"""),"Bisk Club Europa")</f>
        <v>Bisk Club Europa</v>
      </c>
      <c r="B6" s="90" t="str">
        <f ca="1">IFERROR(__xludf.DUMMYFUNCTION("""COMPUTED_VALUE"""),"BBL")</f>
        <v>BBL</v>
      </c>
      <c r="C6" s="91" t="str">
        <f ca="1">IFERROR(__xludf.DUMMYFUNCTION("""COMPUTED_VALUE"""),"Saidul Vai")</f>
        <v>Saidul Vai</v>
      </c>
      <c r="D6" s="92" t="str">
        <f ca="1">IFERROR(__xludf.DUMMYFUNCTION("""COMPUTED_VALUE"""),"Jyotirmay Sarker (S188138)")</f>
        <v>Jyotirmay Sarker (S188138)</v>
      </c>
      <c r="E6" s="93" t="str">
        <f ca="1">IFERROR(__xludf.DUMMYFUNCTION("""COMPUTED_VALUE"""),"CB10328_Oct25")</f>
        <v>CB10328_Oct25</v>
      </c>
      <c r="F6" s="94" t="str">
        <f ca="1">IFERROR(__xludf.DUMMYFUNCTION("""COMPUTED_VALUE"""),"Output Setup (Gravure/Offset)")</f>
        <v>Output Setup (Gravure/Offset)</v>
      </c>
      <c r="G6" s="95" t="str">
        <f ca="1">IFERROR(__xludf.DUMMYFUNCTION("""COMPUTED_VALUE"""),"New")</f>
        <v>New</v>
      </c>
      <c r="H6" s="96">
        <f ca="1">IFERROR(__xludf.DUMMYFUNCTION("""COMPUTED_VALUE"""),3)</f>
        <v>3</v>
      </c>
      <c r="I6" s="97">
        <f ca="1">IFERROR(__xludf.DUMMYFUNCTION("""COMPUTED_VALUE"""),45955)</f>
        <v>45955</v>
      </c>
      <c r="J6" s="98" t="str">
        <f ca="1">IFERROR(__xludf.DUMMYFUNCTION("""COMPUTED_VALUE"""),"CW13899_Oct25")</f>
        <v>CW13899_Oct25</v>
      </c>
      <c r="K6" s="99" t="str">
        <f ca="1">IFERROR(__xludf.DUMMYFUNCTION("""COMPUTED_VALUE"""),"HoM Approved")</f>
        <v>HoM Approved</v>
      </c>
    </row>
    <row r="7" spans="1:11" ht="13.2">
      <c r="A7" s="89" t="str">
        <f ca="1">IFERROR(__xludf.DUMMYFUNCTION("""COMPUTED_VALUE"""),"PRAN Noodles")</f>
        <v>PRAN Noodles</v>
      </c>
      <c r="B7" s="90" t="str">
        <f ca="1">IFERROR(__xludf.DUMMYFUNCTION("""COMPUTED_VALUE"""),"PAL")</f>
        <v>PAL</v>
      </c>
      <c r="C7" s="91" t="str">
        <f ca="1">IFERROR(__xludf.DUMMYFUNCTION("""COMPUTED_VALUE"""),"Sanjida Apu")</f>
        <v>Sanjida Apu</v>
      </c>
      <c r="D7" s="92" t="str">
        <f ca="1">IFERROR(__xludf.DUMMYFUNCTION("""COMPUTED_VALUE"""),"Jyotirmay Sarker (S188138)")</f>
        <v>Jyotirmay Sarker (S188138)</v>
      </c>
      <c r="E7" s="93" t="str">
        <f ca="1">IFERROR(__xludf.DUMMYFUNCTION("""COMPUTED_VALUE"""),"CB10450_Oct25")</f>
        <v>CB10450_Oct25</v>
      </c>
      <c r="F7" s="94" t="str">
        <f ca="1">IFERROR(__xludf.DUMMYFUNCTION("""COMPUTED_VALUE"""),"Output Setup (Gravure/Offset)")</f>
        <v>Output Setup (Gravure/Offset)</v>
      </c>
      <c r="G7" s="95" t="str">
        <f ca="1">IFERROR(__xludf.DUMMYFUNCTION("""COMPUTED_VALUE"""),"New")</f>
        <v>New</v>
      </c>
      <c r="H7" s="96">
        <f ca="1">IFERROR(__xludf.DUMMYFUNCTION("""COMPUTED_VALUE"""),2)</f>
        <v>2</v>
      </c>
      <c r="I7" s="97">
        <f ca="1">IFERROR(__xludf.DUMMYFUNCTION("""COMPUTED_VALUE"""),45955)</f>
        <v>45955</v>
      </c>
      <c r="J7" s="98" t="str">
        <f ca="1">IFERROR(__xludf.DUMMYFUNCTION("""COMPUTED_VALUE"""),"CW13914_Oct25")</f>
        <v>CW13914_Oct25</v>
      </c>
      <c r="K7" s="99" t="str">
        <f ca="1">IFERROR(__xludf.DUMMYFUNCTION("""COMPUTED_VALUE"""),"HoM Approved")</f>
        <v>HoM Approved</v>
      </c>
    </row>
    <row r="8" spans="1:11" ht="13.2">
      <c r="A8" s="89" t="str">
        <f ca="1">IFERROR(__xludf.DUMMYFUNCTION("""COMPUTED_VALUE"""),"Proton Accessories")</f>
        <v>Proton Accessories</v>
      </c>
      <c r="B8" s="90" t="str">
        <f ca="1">IFERROR(__xludf.DUMMYFUNCTION("""COMPUTED_VALUE"""),"REL")</f>
        <v>REL</v>
      </c>
      <c r="C8" s="91" t="str">
        <f ca="1">IFERROR(__xludf.DUMMYFUNCTION("""COMPUTED_VALUE"""),"Antor Vai")</f>
        <v>Antor Vai</v>
      </c>
      <c r="D8" s="92" t="str">
        <f ca="1">IFERROR(__xludf.DUMMYFUNCTION("""COMPUTED_VALUE"""),"Jyotirmay Sarker (S188138)")</f>
        <v>Jyotirmay Sarker (S188138)</v>
      </c>
      <c r="E8" s="93" t="str">
        <f ca="1">IFERROR(__xludf.DUMMYFUNCTION("""COMPUTED_VALUE"""),"CB10637_Oct25")</f>
        <v>CB10637_Oct25</v>
      </c>
      <c r="F8" s="94" t="str">
        <f ca="1">IFERROR(__xludf.DUMMYFUNCTION("""COMPUTED_VALUE"""),"ATC Box Output")</f>
        <v>ATC Box Output</v>
      </c>
      <c r="G8" s="95" t="str">
        <f ca="1">IFERROR(__xludf.DUMMYFUNCTION("""COMPUTED_VALUE"""),"New")</f>
        <v>New</v>
      </c>
      <c r="H8" s="96">
        <f ca="1">IFERROR(__xludf.DUMMYFUNCTION("""COMPUTED_VALUE"""),1)</f>
        <v>1</v>
      </c>
      <c r="I8" s="97">
        <f ca="1">IFERROR(__xludf.DUMMYFUNCTION("""COMPUTED_VALUE"""),45957)</f>
        <v>45957</v>
      </c>
      <c r="J8" s="98" t="str">
        <f ca="1">IFERROR(__xludf.DUMMYFUNCTION("""COMPUTED_VALUE"""),"CW14163_Oct25")</f>
        <v>CW14163_Oct25</v>
      </c>
      <c r="K8" s="99" t="str">
        <f ca="1">IFERROR(__xludf.DUMMYFUNCTION("""COMPUTED_VALUE"""),"BM Approved")</f>
        <v>BM Approved</v>
      </c>
    </row>
    <row r="9" spans="1:11" ht="13.2">
      <c r="A9" s="89" t="str">
        <f ca="1">IFERROR(__xludf.DUMMYFUNCTION("""COMPUTED_VALUE"""),"PRAN Magic Cup")</f>
        <v>PRAN Magic Cup</v>
      </c>
      <c r="B9" s="90" t="str">
        <f ca="1">IFERROR(__xludf.DUMMYFUNCTION("""COMPUTED_VALUE"""),"PAL")</f>
        <v>PAL</v>
      </c>
      <c r="C9" s="91" t="str">
        <f ca="1">IFERROR(__xludf.DUMMYFUNCTION("""COMPUTED_VALUE"""),"Mitu Apu")</f>
        <v>Mitu Apu</v>
      </c>
      <c r="D9" s="92" t="str">
        <f ca="1">IFERROR(__xludf.DUMMYFUNCTION("""COMPUTED_VALUE"""),"Jyotirmay Sarker (S188138)")</f>
        <v>Jyotirmay Sarker (S188138)</v>
      </c>
      <c r="E9" s="93" t="str">
        <f ca="1">IFERROR(__xludf.DUMMYFUNCTION("""COMPUTED_VALUE"""),"CB10320_Oct25")</f>
        <v>CB10320_Oct25</v>
      </c>
      <c r="F9" s="94" t="str">
        <f ca="1">IFERROR(__xludf.DUMMYFUNCTION("""COMPUTED_VALUE"""),"ATC Box Output")</f>
        <v>ATC Box Output</v>
      </c>
      <c r="G9" s="95" t="str">
        <f ca="1">IFERROR(__xludf.DUMMYFUNCTION("""COMPUTED_VALUE"""),"New")</f>
        <v>New</v>
      </c>
      <c r="H9" s="96">
        <f ca="1">IFERROR(__xludf.DUMMYFUNCTION("""COMPUTED_VALUE"""),1)</f>
        <v>1</v>
      </c>
      <c r="I9" s="97">
        <f ca="1">IFERROR(__xludf.DUMMYFUNCTION("""COMPUTED_VALUE"""),45957)</f>
        <v>45957</v>
      </c>
      <c r="J9" s="98" t="str">
        <f ca="1">IFERROR(__xludf.DUMMYFUNCTION("""COMPUTED_VALUE"""),"CW14172_Oct25")</f>
        <v>CW14172_Oct25</v>
      </c>
      <c r="K9" s="99" t="str">
        <f ca="1">IFERROR(__xludf.DUMMYFUNCTION("""COMPUTED_VALUE"""),"Brief Submitted")</f>
        <v>Brief Submitted</v>
      </c>
    </row>
    <row r="10" spans="1:11" ht="13.2">
      <c r="A10" s="89" t="str">
        <f ca="1">IFERROR(__xludf.DUMMYFUNCTION("""COMPUTED_VALUE"""),"Vehicle Branding Design")</f>
        <v>Vehicle Branding Design</v>
      </c>
      <c r="B10" s="90" t="str">
        <f ca="1">IFERROR(__xludf.DUMMYFUNCTION("""COMPUTED_VALUE"""),"Export Common")</f>
        <v>Export Common</v>
      </c>
      <c r="C10" s="91" t="str">
        <f ca="1">IFERROR(__xludf.DUMMYFUNCTION("""COMPUTED_VALUE"""),"Prapty Apu")</f>
        <v>Prapty Apu</v>
      </c>
      <c r="D10" s="92" t="str">
        <f ca="1">IFERROR(__xludf.DUMMYFUNCTION("""COMPUTED_VALUE"""),"Jyotirmay Sarker (S188138)")</f>
        <v>Jyotirmay Sarker (S188138)</v>
      </c>
      <c r="E10" s="93" t="str">
        <f ca="1">IFERROR(__xludf.DUMMYFUNCTION("""COMPUTED_VALUE"""),"CB10810_Oct25")</f>
        <v>CB10810_Oct25</v>
      </c>
      <c r="F10" s="94" t="str">
        <f ca="1">IFERROR(__xludf.DUMMYFUNCTION("""COMPUTED_VALUE"""),"Leaflet/Poster Output")</f>
        <v>Leaflet/Poster Output</v>
      </c>
      <c r="G10" s="95" t="str">
        <f ca="1">IFERROR(__xludf.DUMMYFUNCTION("""COMPUTED_VALUE"""),"New")</f>
        <v>New</v>
      </c>
      <c r="H10" s="96">
        <f ca="1">IFERROR(__xludf.DUMMYFUNCTION("""COMPUTED_VALUE"""),7)</f>
        <v>7</v>
      </c>
      <c r="I10" s="97">
        <f ca="1">IFERROR(__xludf.DUMMYFUNCTION("""COMPUTED_VALUE"""),45962)</f>
        <v>45962</v>
      </c>
      <c r="J10" s="98" t="str">
        <f ca="1">IFERROR(__xludf.DUMMYFUNCTION("""COMPUTED_VALUE"""),"CW14702_Nov25")</f>
        <v>CW14702_Nov25</v>
      </c>
      <c r="K10" s="99" t="str">
        <f ca="1">IFERROR(__xludf.DUMMYFUNCTION("""COMPUTED_VALUE"""),"HoM Approved")</f>
        <v>HoM Approved</v>
      </c>
    </row>
    <row r="11" spans="1:11" ht="13.2">
      <c r="A11" s="89" t="str">
        <f ca="1">IFERROR(__xludf.DUMMYFUNCTION("""COMPUTED_VALUE"""),"Bro Puffy Marshmallow")</f>
        <v>Bro Puffy Marshmallow</v>
      </c>
      <c r="B11" s="90" t="str">
        <f ca="1">IFERROR(__xludf.DUMMYFUNCTION("""COMPUTED_VALUE"""),"PCL")</f>
        <v>PCL</v>
      </c>
      <c r="C11" s="91" t="str">
        <f ca="1">IFERROR(__xludf.DUMMYFUNCTION("""COMPUTED_VALUE"""),"Anika Apu")</f>
        <v>Anika Apu</v>
      </c>
      <c r="D11" s="92" t="str">
        <f ca="1">IFERROR(__xludf.DUMMYFUNCTION("""COMPUTED_VALUE"""),"Jyotirmay Sarker (S188138)")</f>
        <v>Jyotirmay Sarker (S188138)</v>
      </c>
      <c r="E11" s="93" t="str">
        <f ca="1">IFERROR(__xludf.DUMMYFUNCTION("""COMPUTED_VALUE"""),"CB10546_Oct25")</f>
        <v>CB10546_Oct25</v>
      </c>
      <c r="F11" s="94" t="str">
        <f ca="1">IFERROR(__xludf.DUMMYFUNCTION("""COMPUTED_VALUE"""),"Packaging Text Design #1")</f>
        <v>Packaging Text Design #1</v>
      </c>
      <c r="G11" s="95" t="str">
        <f ca="1">IFERROR(__xludf.DUMMYFUNCTION("""COMPUTED_VALUE"""),"New")</f>
        <v>New</v>
      </c>
      <c r="H11" s="96">
        <f ca="1">IFERROR(__xludf.DUMMYFUNCTION("""COMPUTED_VALUE"""),2)</f>
        <v>2</v>
      </c>
      <c r="I11" s="97">
        <f ca="1">IFERROR(__xludf.DUMMYFUNCTION("""COMPUTED_VALUE"""),45963)</f>
        <v>45963</v>
      </c>
      <c r="J11" s="98" t="str">
        <f ca="1">IFERROR(__xludf.DUMMYFUNCTION("""COMPUTED_VALUE"""),"CW14961_Nov25")</f>
        <v>CW14961_Nov25</v>
      </c>
      <c r="K11" s="99" t="str">
        <f ca="1">IFERROR(__xludf.DUMMYFUNCTION("""COMPUTED_VALUE"""),"HoM Approved")</f>
        <v>HoM Approved</v>
      </c>
    </row>
    <row r="12" spans="1:11" ht="13.2">
      <c r="A12" s="89" t="str">
        <f ca="1">IFERROR(__xludf.DUMMYFUNCTION("""COMPUTED_VALUE"""),"Bro Puffy Marshmallow")</f>
        <v>Bro Puffy Marshmallow</v>
      </c>
      <c r="B12" s="90" t="str">
        <f ca="1">IFERROR(__xludf.DUMMYFUNCTION("""COMPUTED_VALUE"""),"PCL")</f>
        <v>PCL</v>
      </c>
      <c r="C12" s="91" t="str">
        <f ca="1">IFERROR(__xludf.DUMMYFUNCTION("""COMPUTED_VALUE"""),"Anika Apu")</f>
        <v>Anika Apu</v>
      </c>
      <c r="D12" s="92" t="str">
        <f ca="1">IFERROR(__xludf.DUMMYFUNCTION("""COMPUTED_VALUE"""),"Jyotirmay Sarker (S188138)")</f>
        <v>Jyotirmay Sarker (S188138)</v>
      </c>
      <c r="E12" s="93" t="str">
        <f ca="1">IFERROR(__xludf.DUMMYFUNCTION("""COMPUTED_VALUE"""),"CB10546_Oct25")</f>
        <v>CB10546_Oct25</v>
      </c>
      <c r="F12" s="94" t="str">
        <f ca="1">IFERROR(__xludf.DUMMYFUNCTION("""COMPUTED_VALUE"""),"Output Setup (Gravure/Offset)")</f>
        <v>Output Setup (Gravure/Offset)</v>
      </c>
      <c r="G12" s="95" t="str">
        <f ca="1">IFERROR(__xludf.DUMMYFUNCTION("""COMPUTED_VALUE"""),"New")</f>
        <v>New</v>
      </c>
      <c r="H12" s="96">
        <f ca="1">IFERROR(__xludf.DUMMYFUNCTION("""COMPUTED_VALUE"""),2)</f>
        <v>2</v>
      </c>
      <c r="I12" s="97">
        <f ca="1">IFERROR(__xludf.DUMMYFUNCTION("""COMPUTED_VALUE"""),45963)</f>
        <v>45963</v>
      </c>
      <c r="J12" s="98" t="str">
        <f ca="1">IFERROR(__xludf.DUMMYFUNCTION("""COMPUTED_VALUE"""),"CW14961_Nov25")</f>
        <v>CW14961_Nov25</v>
      </c>
      <c r="K12" s="99" t="str">
        <f ca="1">IFERROR(__xludf.DUMMYFUNCTION("""COMPUTED_VALUE"""),"HoM Approved")</f>
        <v>HoM Approved</v>
      </c>
    </row>
    <row r="13" spans="1:11" ht="13.2">
      <c r="A13" s="89" t="str">
        <f ca="1">IFERROR(__xludf.DUMMYFUNCTION("""COMPUTED_VALUE"""),"Proton Accessories")</f>
        <v>Proton Accessories</v>
      </c>
      <c r="B13" s="90" t="str">
        <f ca="1">IFERROR(__xludf.DUMMYFUNCTION("""COMPUTED_VALUE"""),"REL")</f>
        <v>REL</v>
      </c>
      <c r="C13" s="91" t="str">
        <f ca="1">IFERROR(__xludf.DUMMYFUNCTION("""COMPUTED_VALUE"""),"Antor Vai")</f>
        <v>Antor Vai</v>
      </c>
      <c r="D13" s="92" t="str">
        <f ca="1">IFERROR(__xludf.DUMMYFUNCTION("""COMPUTED_VALUE"""),"Jyotirmay Sarker (S188138)")</f>
        <v>Jyotirmay Sarker (S188138)</v>
      </c>
      <c r="E13" s="93" t="str">
        <f ca="1">IFERROR(__xludf.DUMMYFUNCTION("""COMPUTED_VALUE"""),"CB11017_Nov25")</f>
        <v>CB11017_Nov25</v>
      </c>
      <c r="F13" s="94" t="str">
        <f ca="1">IFERROR(__xludf.DUMMYFUNCTION("""COMPUTED_VALUE"""),"Output Setup (Gravure/Offset)")</f>
        <v>Output Setup (Gravure/Offset)</v>
      </c>
      <c r="G13" s="95" t="str">
        <f ca="1">IFERROR(__xludf.DUMMYFUNCTION("""COMPUTED_VALUE"""),"New")</f>
        <v>New</v>
      </c>
      <c r="H13" s="96">
        <f ca="1">IFERROR(__xludf.DUMMYFUNCTION("""COMPUTED_VALUE"""),1)</f>
        <v>1</v>
      </c>
      <c r="I13" s="97">
        <f ca="1">IFERROR(__xludf.DUMMYFUNCTION("""COMPUTED_VALUE"""),45963)</f>
        <v>45963</v>
      </c>
      <c r="J13" s="98" t="str">
        <f ca="1">IFERROR(__xludf.DUMMYFUNCTION("""COMPUTED_VALUE"""),"CW14946_Nov25")</f>
        <v>CW14946_Nov25</v>
      </c>
      <c r="K13" s="99" t="str">
        <f ca="1">IFERROR(__xludf.DUMMYFUNCTION("""COMPUTED_VALUE"""),"HoM Approved")</f>
        <v>HoM Approved</v>
      </c>
    </row>
    <row r="14" spans="1:11" ht="13.2">
      <c r="A14" s="89" t="str">
        <f ca="1">IFERROR(__xludf.DUMMYFUNCTION("""COMPUTED_VALUE"""),"Walkar Footwear")</f>
        <v>Walkar Footwear</v>
      </c>
      <c r="B14" s="90" t="str">
        <f ca="1">IFERROR(__xludf.DUMMYFUNCTION("""COMPUTED_VALUE"""),"MLIL")</f>
        <v>MLIL</v>
      </c>
      <c r="C14" s="91" t="str">
        <f ca="1">IFERROR(__xludf.DUMMYFUNCTION("""COMPUTED_VALUE"""),"Shidul Vai")</f>
        <v>Shidul Vai</v>
      </c>
      <c r="D14" s="92" t="str">
        <f ca="1">IFERROR(__xludf.DUMMYFUNCTION("""COMPUTED_VALUE"""),"Jyotirmay Sarker (S188138)")</f>
        <v>Jyotirmay Sarker (S188138)</v>
      </c>
      <c r="E14" s="93" t="str">
        <f ca="1">IFERROR(__xludf.DUMMYFUNCTION("""COMPUTED_VALUE"""),"CB8852_Sep25")</f>
        <v>CB8852_Sep25</v>
      </c>
      <c r="F14" s="94" t="str">
        <f ca="1">IFERROR(__xludf.DUMMYFUNCTION("""COMPUTED_VALUE"""),"Outdoor/Event/Showroom Branding")</f>
        <v>Outdoor/Event/Showroom Branding</v>
      </c>
      <c r="G14" s="95" t="str">
        <f ca="1">IFERROR(__xludf.DUMMYFUNCTION("""COMPUTED_VALUE"""),"New")</f>
        <v>New</v>
      </c>
      <c r="H14" s="96">
        <f ca="1">IFERROR(__xludf.DUMMYFUNCTION("""COMPUTED_VALUE"""),4)</f>
        <v>4</v>
      </c>
      <c r="I14" s="97">
        <f ca="1">IFERROR(__xludf.DUMMYFUNCTION("""COMPUTED_VALUE"""),45964)</f>
        <v>45964</v>
      </c>
      <c r="J14" s="98" t="str">
        <f ca="1">IFERROR(__xludf.DUMMYFUNCTION("""COMPUTED_VALUE"""),"CW15165_Nov25")</f>
        <v>CW15165_Nov25</v>
      </c>
      <c r="K14" s="99" t="str">
        <f ca="1">IFERROR(__xludf.DUMMYFUNCTION("""COMPUTED_VALUE"""),"HoM Approved")</f>
        <v>HoM Approved</v>
      </c>
    </row>
    <row r="15" spans="1:11" ht="13.2">
      <c r="A15" s="89" t="str">
        <f ca="1">IFERROR(__xludf.DUMMYFUNCTION("""COMPUTED_VALUE"""),"Canton Soup")</f>
        <v>Canton Soup</v>
      </c>
      <c r="B15" s="90" t="str">
        <f ca="1">IFERROR(__xludf.DUMMYFUNCTION("""COMPUTED_VALUE"""),"PAL")</f>
        <v>PAL</v>
      </c>
      <c r="C15" s="91" t="str">
        <f ca="1">IFERROR(__xludf.DUMMYFUNCTION("""COMPUTED_VALUE"""),"Kafe Vai")</f>
        <v>Kafe Vai</v>
      </c>
      <c r="D15" s="92" t="str">
        <f ca="1">IFERROR(__xludf.DUMMYFUNCTION("""COMPUTED_VALUE"""),"Jyotirmay Sarker (S188138)")</f>
        <v>Jyotirmay Sarker (S188138)</v>
      </c>
      <c r="E15" s="93" t="str">
        <f ca="1">IFERROR(__xludf.DUMMYFUNCTION("""COMPUTED_VALUE"""),"CB10088_Oct25")</f>
        <v>CB10088_Oct25</v>
      </c>
      <c r="F15" s="94" t="str">
        <f ca="1">IFERROR(__xludf.DUMMYFUNCTION("""COMPUTED_VALUE"""),"Output Setup (Gravure/Offset)")</f>
        <v>Output Setup (Gravure/Offset)</v>
      </c>
      <c r="G15" s="95" t="str">
        <f ca="1">IFERROR(__xludf.DUMMYFUNCTION("""COMPUTED_VALUE"""),"New")</f>
        <v>New</v>
      </c>
      <c r="H15" s="96">
        <f ca="1">IFERROR(__xludf.DUMMYFUNCTION("""COMPUTED_VALUE"""),3)</f>
        <v>3</v>
      </c>
      <c r="I15" s="97">
        <f ca="1">IFERROR(__xludf.DUMMYFUNCTION("""COMPUTED_VALUE"""),45965)</f>
        <v>45965</v>
      </c>
      <c r="J15" s="98" t="str">
        <f ca="1">IFERROR(__xludf.DUMMYFUNCTION("""COMPUTED_VALUE"""),"CW15249_Nov25")</f>
        <v>CW15249_Nov25</v>
      </c>
      <c r="K15" s="99" t="str">
        <f ca="1">IFERROR(__xludf.DUMMYFUNCTION("""COMPUTED_VALUE"""),"HoM Approved")</f>
        <v>HoM Approved</v>
      </c>
    </row>
    <row r="16" spans="1:11" ht="13.2">
      <c r="A16" s="89" t="str">
        <f ca="1">IFERROR(__xludf.DUMMYFUNCTION("""COMPUTED_VALUE"""),"PRAN soft chew")</f>
        <v>PRAN soft chew</v>
      </c>
      <c r="B16" s="90" t="str">
        <f ca="1">IFERROR(__xludf.DUMMYFUNCTION("""COMPUTED_VALUE"""),"PCL")</f>
        <v>PCL</v>
      </c>
      <c r="C16" s="91" t="str">
        <f ca="1">IFERROR(__xludf.DUMMYFUNCTION("""COMPUTED_VALUE"""),"Sohel Vai")</f>
        <v>Sohel Vai</v>
      </c>
      <c r="D16" s="92" t="str">
        <f ca="1">IFERROR(__xludf.DUMMYFUNCTION("""COMPUTED_VALUE"""),"Jyotirmay Sarker (S188138)")</f>
        <v>Jyotirmay Sarker (S188138)</v>
      </c>
      <c r="E16" s="93" t="str">
        <f ca="1">IFERROR(__xludf.DUMMYFUNCTION("""COMPUTED_VALUE"""),"CB10109_Oct25")</f>
        <v>CB10109_Oct25</v>
      </c>
      <c r="F16" s="94" t="str">
        <f ca="1">IFERROR(__xludf.DUMMYFUNCTION("""COMPUTED_VALUE"""),"Output Setup (Gravure/Offset)")</f>
        <v>Output Setup (Gravure/Offset)</v>
      </c>
      <c r="G16" s="95" t="str">
        <f ca="1">IFERROR(__xludf.DUMMYFUNCTION("""COMPUTED_VALUE"""),"New")</f>
        <v>New</v>
      </c>
      <c r="H16" s="96">
        <f ca="1">IFERROR(__xludf.DUMMYFUNCTION("""COMPUTED_VALUE"""),2)</f>
        <v>2</v>
      </c>
      <c r="I16" s="97">
        <f ca="1">IFERROR(__xludf.DUMMYFUNCTION("""COMPUTED_VALUE"""),45965)</f>
        <v>45965</v>
      </c>
      <c r="J16" s="98" t="str">
        <f ca="1">IFERROR(__xludf.DUMMYFUNCTION("""COMPUTED_VALUE"""),"CW15244_Nov25")</f>
        <v>CW15244_Nov25</v>
      </c>
      <c r="K16" s="99" t="str">
        <f ca="1">IFERROR(__xludf.DUMMYFUNCTION("""COMPUTED_VALUE"""),"HoM Approved")</f>
        <v>HoM Approved</v>
      </c>
    </row>
    <row r="17" spans="1:11" ht="13.2">
      <c r="A17" s="89" t="str">
        <f ca="1">IFERROR(__xludf.DUMMYFUNCTION("""COMPUTED_VALUE"""),"Maimuna Jelly Drinks")</f>
        <v>Maimuna Jelly Drinks</v>
      </c>
      <c r="B17" s="90" t="str">
        <f ca="1">IFERROR(__xludf.DUMMYFUNCTION("""COMPUTED_VALUE"""),"PAL")</f>
        <v>PAL</v>
      </c>
      <c r="C17" s="91" t="str">
        <f ca="1">IFERROR(__xludf.DUMMYFUNCTION("""COMPUTED_VALUE"""),"Nazmul Vai")</f>
        <v>Nazmul Vai</v>
      </c>
      <c r="D17" s="92" t="str">
        <f ca="1">IFERROR(__xludf.DUMMYFUNCTION("""COMPUTED_VALUE"""),"Jyotirmay Sarker (S188138)")</f>
        <v>Jyotirmay Sarker (S188138)</v>
      </c>
      <c r="E17" s="93" t="str">
        <f ca="1">IFERROR(__xludf.DUMMYFUNCTION("""COMPUTED_VALUE"""),"CB11250_Nov25")</f>
        <v>CB11250_Nov25</v>
      </c>
      <c r="F17" s="94" t="str">
        <f ca="1">IFERROR(__xludf.DUMMYFUNCTION("""COMPUTED_VALUE"""),"Output Setup (Gravure/Offset)")</f>
        <v>Output Setup (Gravure/Offset)</v>
      </c>
      <c r="G17" s="95" t="str">
        <f ca="1">IFERROR(__xludf.DUMMYFUNCTION("""COMPUTED_VALUE"""),"New")</f>
        <v>New</v>
      </c>
      <c r="H17" s="96">
        <f ca="1">IFERROR(__xludf.DUMMYFUNCTION("""COMPUTED_VALUE"""),1)</f>
        <v>1</v>
      </c>
      <c r="I17" s="97">
        <f ca="1">IFERROR(__xludf.DUMMYFUNCTION("""COMPUTED_VALUE"""),45966)</f>
        <v>45966</v>
      </c>
      <c r="J17" s="98" t="str">
        <f ca="1">IFERROR(__xludf.DUMMYFUNCTION("""COMPUTED_VALUE"""),"CW15387_Nov25")</f>
        <v>CW15387_Nov25</v>
      </c>
      <c r="K17" s="99" t="str">
        <f ca="1">IFERROR(__xludf.DUMMYFUNCTION("""COMPUTED_VALUE"""),"HoM Approved")</f>
        <v>HoM Approved</v>
      </c>
    </row>
    <row r="18" spans="1:11" ht="13.2">
      <c r="A18" s="89" t="str">
        <f ca="1">IFERROR(__xludf.DUMMYFUNCTION("""COMPUTED_VALUE"""),"Bisk Club SHERO Biscuit")</f>
        <v>Bisk Club SHERO Biscuit</v>
      </c>
      <c r="B18" s="90" t="str">
        <f ca="1">IFERROR(__xludf.DUMMYFUNCTION("""COMPUTED_VALUE"""),"BBL")</f>
        <v>BBL</v>
      </c>
      <c r="C18" s="91" t="str">
        <f ca="1">IFERROR(__xludf.DUMMYFUNCTION("""COMPUTED_VALUE"""),"Ove Vai")</f>
        <v>Ove Vai</v>
      </c>
      <c r="D18" s="92" t="str">
        <f ca="1">IFERROR(__xludf.DUMMYFUNCTION("""COMPUTED_VALUE"""),"Jyotirmay Sarker (S188138)")</f>
        <v>Jyotirmay Sarker (S188138)</v>
      </c>
      <c r="E18" s="93" t="str">
        <f ca="1">IFERROR(__xludf.DUMMYFUNCTION("""COMPUTED_VALUE"""),"CB11360_Nov25")</f>
        <v>CB11360_Nov25</v>
      </c>
      <c r="F18" s="94" t="str">
        <f ca="1">IFERROR(__xludf.DUMMYFUNCTION("""COMPUTED_VALUE"""),"Gravure Output #2")</f>
        <v>Gravure Output #2</v>
      </c>
      <c r="G18" s="95" t="str">
        <f ca="1">IFERROR(__xludf.DUMMYFUNCTION("""COMPUTED_VALUE"""),"New")</f>
        <v>New</v>
      </c>
      <c r="H18" s="96">
        <f ca="1">IFERROR(__xludf.DUMMYFUNCTION("""COMPUTED_VALUE"""),1)</f>
        <v>1</v>
      </c>
      <c r="I18" s="97">
        <f ca="1">IFERROR(__xludf.DUMMYFUNCTION("""COMPUTED_VALUE"""),45969)</f>
        <v>45969</v>
      </c>
      <c r="J18" s="98" t="str">
        <f ca="1">IFERROR(__xludf.DUMMYFUNCTION("""COMPUTED_VALUE"""),"CW15542_Nov25")</f>
        <v>CW15542_Nov25</v>
      </c>
      <c r="K18" s="99" t="str">
        <f ca="1">IFERROR(__xludf.DUMMYFUNCTION("""COMPUTED_VALUE"""),"Brief Submitted")</f>
        <v>Brief Submitted</v>
      </c>
    </row>
    <row r="19" spans="1:11" ht="13.2">
      <c r="A19" s="89" t="str">
        <f ca="1">IFERROR(__xludf.DUMMYFUNCTION("""COMPUTED_VALUE"""),"PRAN Cookies")</f>
        <v>PRAN Cookies</v>
      </c>
      <c r="B19" s="90" t="str">
        <f ca="1">IFERROR(__xludf.DUMMYFUNCTION("""COMPUTED_VALUE"""),"BBL")</f>
        <v>BBL</v>
      </c>
      <c r="C19" s="91" t="str">
        <f ca="1">IFERROR(__xludf.DUMMYFUNCTION("""COMPUTED_VALUE"""),"Afrin Apu")</f>
        <v>Afrin Apu</v>
      </c>
      <c r="D19" s="92" t="str">
        <f ca="1">IFERROR(__xludf.DUMMYFUNCTION("""COMPUTED_VALUE"""),"Jyotirmay Sarker (S188138)")</f>
        <v>Jyotirmay Sarker (S188138)</v>
      </c>
      <c r="E19" s="93" t="str">
        <f ca="1">IFERROR(__xludf.DUMMYFUNCTION("""COMPUTED_VALUE"""),"CB11477_Nov25")</f>
        <v>CB11477_Nov25</v>
      </c>
      <c r="F19" s="94" t="str">
        <f ca="1">IFERROR(__xludf.DUMMYFUNCTION("""COMPUTED_VALUE"""),"Output Setup (Gravure/Offset)")</f>
        <v>Output Setup (Gravure/Offset)</v>
      </c>
      <c r="G19" s="95" t="str">
        <f ca="1">IFERROR(__xludf.DUMMYFUNCTION("""COMPUTED_VALUE"""),"New")</f>
        <v>New</v>
      </c>
      <c r="H19" s="96">
        <f ca="1">IFERROR(__xludf.DUMMYFUNCTION("""COMPUTED_VALUE"""),2)</f>
        <v>2</v>
      </c>
      <c r="I19" s="97">
        <f ca="1">IFERROR(__xludf.DUMMYFUNCTION("""COMPUTED_VALUE"""),45971)</f>
        <v>45971</v>
      </c>
      <c r="J19" s="98" t="str">
        <f ca="1">IFERROR(__xludf.DUMMYFUNCTION("""COMPUTED_VALUE"""),"CW15732_Nov25")</f>
        <v>CW15732_Nov25</v>
      </c>
      <c r="K19" s="99" t="str">
        <f ca="1">IFERROR(__xludf.DUMMYFUNCTION("""COMPUTED_VALUE"""),"HoM Approved")</f>
        <v>HoM Approved</v>
      </c>
    </row>
    <row r="20" spans="1:11" ht="13.2">
      <c r="A20" s="89" t="str">
        <f ca="1">IFERROR(__xludf.DUMMYFUNCTION("""COMPUTED_VALUE"""),"PRAN SOUP")</f>
        <v>PRAN SOUP</v>
      </c>
      <c r="B20" s="90" t="str">
        <f ca="1">IFERROR(__xludf.DUMMYFUNCTION("""COMPUTED_VALUE"""),"PAL")</f>
        <v>PAL</v>
      </c>
      <c r="C20" s="91" t="str">
        <f ca="1">IFERROR(__xludf.DUMMYFUNCTION("""COMPUTED_VALUE"""),"Kafe Vai")</f>
        <v>Kafe Vai</v>
      </c>
      <c r="D20" s="92" t="str">
        <f ca="1">IFERROR(__xludf.DUMMYFUNCTION("""COMPUTED_VALUE"""),"Jyotirmay Sarker (S188138)")</f>
        <v>Jyotirmay Sarker (S188138)</v>
      </c>
      <c r="E20" s="93" t="str">
        <f ca="1">IFERROR(__xludf.DUMMYFUNCTION("""COMPUTED_VALUE"""),"CB11476_Nov25")</f>
        <v>CB11476_Nov25</v>
      </c>
      <c r="F20" s="94" t="str">
        <f ca="1">IFERROR(__xludf.DUMMYFUNCTION("""COMPUTED_VALUE"""),"Output Setup (Gravure/Offset)")</f>
        <v>Output Setup (Gravure/Offset)</v>
      </c>
      <c r="G20" s="95" t="str">
        <f ca="1">IFERROR(__xludf.DUMMYFUNCTION("""COMPUTED_VALUE"""),"New")</f>
        <v>New</v>
      </c>
      <c r="H20" s="96">
        <f ca="1">IFERROR(__xludf.DUMMYFUNCTION("""COMPUTED_VALUE"""),1)</f>
        <v>1</v>
      </c>
      <c r="I20" s="97">
        <f ca="1">IFERROR(__xludf.DUMMYFUNCTION("""COMPUTED_VALUE"""),45971)</f>
        <v>45971</v>
      </c>
      <c r="J20" s="98" t="str">
        <f ca="1">IFERROR(__xludf.DUMMYFUNCTION("""COMPUTED_VALUE"""),"CW15730_Nov25")</f>
        <v>CW15730_Nov25</v>
      </c>
      <c r="K20" s="99" t="str">
        <f ca="1">IFERROR(__xludf.DUMMYFUNCTION("""COMPUTED_VALUE"""),"HoM Approved")</f>
        <v>HoM Approved</v>
      </c>
    </row>
    <row r="21" spans="1:11" ht="13.2">
      <c r="A21" s="89" t="str">
        <f ca="1">IFERROR(__xludf.DUMMYFUNCTION("""COMPUTED_VALUE"""),"Snack Bar")</f>
        <v>Snack Bar</v>
      </c>
      <c r="B21" s="90" t="str">
        <f ca="1">IFERROR(__xludf.DUMMYFUNCTION("""COMPUTED_VALUE"""),"PAL")</f>
        <v>PAL</v>
      </c>
      <c r="C21" s="91" t="str">
        <f ca="1">IFERROR(__xludf.DUMMYFUNCTION("""COMPUTED_VALUE"""),"Mitu Apu")</f>
        <v>Mitu Apu</v>
      </c>
      <c r="D21" s="92" t="str">
        <f ca="1">IFERROR(__xludf.DUMMYFUNCTION("""COMPUTED_VALUE"""),"Jyotirmay Sarker (S188138)")</f>
        <v>Jyotirmay Sarker (S188138)</v>
      </c>
      <c r="E21" s="93" t="str">
        <f ca="1">IFERROR(__xludf.DUMMYFUNCTION("""COMPUTED_VALUE"""),"CB10551_Oct25")</f>
        <v>CB10551_Oct25</v>
      </c>
      <c r="F21" s="94" t="str">
        <f ca="1">IFERROR(__xludf.DUMMYFUNCTION("""COMPUTED_VALUE"""),"Output Setup (Gravure/Offset)")</f>
        <v>Output Setup (Gravure/Offset)</v>
      </c>
      <c r="G21" s="95" t="str">
        <f ca="1">IFERROR(__xludf.DUMMYFUNCTION("""COMPUTED_VALUE"""),"New")</f>
        <v>New</v>
      </c>
      <c r="H21" s="96">
        <f ca="1">IFERROR(__xludf.DUMMYFUNCTION("""COMPUTED_VALUE"""),1)</f>
        <v>1</v>
      </c>
      <c r="I21" s="97">
        <f ca="1">IFERROR(__xludf.DUMMYFUNCTION("""COMPUTED_VALUE"""),45972)</f>
        <v>45972</v>
      </c>
      <c r="J21" s="98" t="str">
        <f ca="1">IFERROR(__xludf.DUMMYFUNCTION("""COMPUTED_VALUE"""),"CW15862_Nov25")</f>
        <v>CW15862_Nov25</v>
      </c>
      <c r="K21" s="99" t="str">
        <f ca="1">IFERROR(__xludf.DUMMYFUNCTION("""COMPUTED_VALUE"""),"HoM Approved")</f>
        <v>HoM Approved</v>
      </c>
    </row>
    <row r="22" spans="1:11" ht="13.2">
      <c r="A22" s="89" t="str">
        <f ca="1">IFERROR(__xludf.DUMMYFUNCTION("""COMPUTED_VALUE"""),"Mughal Chia Seeds")</f>
        <v>Mughal Chia Seeds</v>
      </c>
      <c r="B22" s="90" t="str">
        <f ca="1">IFERROR(__xludf.DUMMYFUNCTION("""COMPUTED_VALUE"""),"NAL")</f>
        <v>NAL</v>
      </c>
      <c r="C22" s="91" t="str">
        <f ca="1">IFERROR(__xludf.DUMMYFUNCTION("""COMPUTED_VALUE"""),"Sanjana Apu")</f>
        <v>Sanjana Apu</v>
      </c>
      <c r="D22" s="92" t="str">
        <f ca="1">IFERROR(__xludf.DUMMYFUNCTION("""COMPUTED_VALUE"""),"Jyotirmay Sarker (S188138)")</f>
        <v>Jyotirmay Sarker (S188138)</v>
      </c>
      <c r="E22" s="93" t="str">
        <f ca="1">IFERROR(__xludf.DUMMYFUNCTION("""COMPUTED_VALUE"""),"CB11551_Nov25")</f>
        <v>CB11551_Nov25</v>
      </c>
      <c r="F22" s="94" t="str">
        <f ca="1">IFERROR(__xludf.DUMMYFUNCTION("""COMPUTED_VALUE"""),"ATC Box Output")</f>
        <v>ATC Box Output</v>
      </c>
      <c r="G22" s="95" t="str">
        <f ca="1">IFERROR(__xludf.DUMMYFUNCTION("""COMPUTED_VALUE"""),"New")</f>
        <v>New</v>
      </c>
      <c r="H22" s="96">
        <f ca="1">IFERROR(__xludf.DUMMYFUNCTION("""COMPUTED_VALUE"""),1)</f>
        <v>1</v>
      </c>
      <c r="I22" s="97">
        <f ca="1">IFERROR(__xludf.DUMMYFUNCTION("""COMPUTED_VALUE"""),45972)</f>
        <v>45972</v>
      </c>
      <c r="J22" s="98" t="str">
        <f ca="1">IFERROR(__xludf.DUMMYFUNCTION("""COMPUTED_VALUE"""),"CW15846_Nov25")</f>
        <v>CW15846_Nov25</v>
      </c>
      <c r="K22" s="99" t="str">
        <f ca="1">IFERROR(__xludf.DUMMYFUNCTION("""COMPUTED_VALUE"""),"HoM Approved")</f>
        <v>HoM Approved</v>
      </c>
    </row>
    <row r="23" spans="1:11" ht="13.2">
      <c r="A23" s="89" t="str">
        <f ca="1">IFERROR(__xludf.DUMMYFUNCTION("""COMPUTED_VALUE"""),"Divino Chocolate")</f>
        <v>Divino Chocolate</v>
      </c>
      <c r="B23" s="90" t="str">
        <f ca="1">IFERROR(__xludf.DUMMYFUNCTION("""COMPUTED_VALUE"""),"PCL")</f>
        <v>PCL</v>
      </c>
      <c r="C23" s="91" t="str">
        <f ca="1">IFERROR(__xludf.DUMMYFUNCTION("""COMPUTED_VALUE"""),"Sohel Vai")</f>
        <v>Sohel Vai</v>
      </c>
      <c r="D23" s="92" t="str">
        <f ca="1">IFERROR(__xludf.DUMMYFUNCTION("""COMPUTED_VALUE"""),"Jyotirmay Sarker (S188138)")</f>
        <v>Jyotirmay Sarker (S188138)</v>
      </c>
      <c r="E23" s="93" t="str">
        <f ca="1">IFERROR(__xludf.DUMMYFUNCTION("""COMPUTED_VALUE"""),"CB11702_Nov25")</f>
        <v>CB11702_Nov25</v>
      </c>
      <c r="F23" s="94" t="str">
        <f ca="1">IFERROR(__xludf.DUMMYFUNCTION("""COMPUTED_VALUE"""),"Output Setup (Gravure/Offset)")</f>
        <v>Output Setup (Gravure/Offset)</v>
      </c>
      <c r="G23" s="95" t="str">
        <f ca="1">IFERROR(__xludf.DUMMYFUNCTION("""COMPUTED_VALUE"""),"New")</f>
        <v>New</v>
      </c>
      <c r="H23" s="96">
        <f ca="1">IFERROR(__xludf.DUMMYFUNCTION("""COMPUTED_VALUE"""),2)</f>
        <v>2</v>
      </c>
      <c r="I23" s="97">
        <f ca="1">IFERROR(__xludf.DUMMYFUNCTION("""COMPUTED_VALUE"""),45974)</f>
        <v>45974</v>
      </c>
      <c r="J23" s="98" t="str">
        <f ca="1">IFERROR(__xludf.DUMMYFUNCTION("""COMPUTED_VALUE"""),"CW16098_Nov25")</f>
        <v>CW16098_Nov25</v>
      </c>
      <c r="K23" s="99" t="str">
        <f ca="1">IFERROR(__xludf.DUMMYFUNCTION("""COMPUTED_VALUE"""),"HoM Approved")</f>
        <v>HoM Approved</v>
      </c>
    </row>
    <row r="24" spans="1:11" ht="13.2">
      <c r="A24" s="89" t="str">
        <f ca="1">IFERROR(__xludf.DUMMYFUNCTION("""COMPUTED_VALUE"""),"Kleen")</f>
        <v>Kleen</v>
      </c>
      <c r="B24" s="90" t="str">
        <f ca="1">IFERROR(__xludf.DUMMYFUNCTION("""COMPUTED_VALUE"""),"APCL")</f>
        <v>APCL</v>
      </c>
      <c r="C24" s="91" t="str">
        <f ca="1">IFERROR(__xludf.DUMMYFUNCTION("""COMPUTED_VALUE"""),"Abdullah Vai")</f>
        <v>Abdullah Vai</v>
      </c>
      <c r="D24" s="92" t="str">
        <f ca="1">IFERROR(__xludf.DUMMYFUNCTION("""COMPUTED_VALUE"""),"Jyotirmay Sarker (S188138)")</f>
        <v>Jyotirmay Sarker (S188138)</v>
      </c>
      <c r="E24" s="93" t="str">
        <f ca="1">IFERROR(__xludf.DUMMYFUNCTION("""COMPUTED_VALUE"""),"CB11682_Nov25")</f>
        <v>CB11682_Nov25</v>
      </c>
      <c r="F24" s="94" t="str">
        <f ca="1">IFERROR(__xludf.DUMMYFUNCTION("""COMPUTED_VALUE"""),"Output Setup (Gravure/Offset)")</f>
        <v>Output Setup (Gravure/Offset)</v>
      </c>
      <c r="G24" s="95" t="str">
        <f ca="1">IFERROR(__xludf.DUMMYFUNCTION("""COMPUTED_VALUE"""),"New")</f>
        <v>New</v>
      </c>
      <c r="H24" s="96">
        <f ca="1">IFERROR(__xludf.DUMMYFUNCTION("""COMPUTED_VALUE"""),1)</f>
        <v>1</v>
      </c>
      <c r="I24" s="97">
        <f ca="1">IFERROR(__xludf.DUMMYFUNCTION("""COMPUTED_VALUE"""),45976)</f>
        <v>45976</v>
      </c>
      <c r="J24" s="98" t="str">
        <f ca="1">IFERROR(__xludf.DUMMYFUNCTION("""COMPUTED_VALUE"""),"CW16233_Nov25")</f>
        <v>CW16233_Nov25</v>
      </c>
      <c r="K24" s="99" t="str">
        <f ca="1">IFERROR(__xludf.DUMMYFUNCTION("""COMPUTED_VALUE"""),"HoM Approved")</f>
        <v>HoM Approved</v>
      </c>
    </row>
    <row r="25" spans="1:11" ht="13.2">
      <c r="A25" s="89" t="str">
        <f ca="1">IFERROR(__xludf.DUMMYFUNCTION("""COMPUTED_VALUE"""),"All Time Honeycomb")</f>
        <v>All Time Honeycomb</v>
      </c>
      <c r="B25" s="90" t="str">
        <f ca="1">IFERROR(__xludf.DUMMYFUNCTION("""COMPUTED_VALUE"""),"BBL")</f>
        <v>BBL</v>
      </c>
      <c r="C25" s="91" t="str">
        <f ca="1">IFERROR(__xludf.DUMMYFUNCTION("""COMPUTED_VALUE"""),"Lisa Apu")</f>
        <v>Lisa Apu</v>
      </c>
      <c r="D25" s="92" t="str">
        <f ca="1">IFERROR(__xludf.DUMMYFUNCTION("""COMPUTED_VALUE"""),"Jyotirmay Sarker (S188138)")</f>
        <v>Jyotirmay Sarker (S188138)</v>
      </c>
      <c r="E25" s="93" t="str">
        <f ca="1">IFERROR(__xludf.DUMMYFUNCTION("""COMPUTED_VALUE"""),"CB10766_Oct25")</f>
        <v>CB10766_Oct25</v>
      </c>
      <c r="F25" s="94" t="str">
        <f ca="1">IFERROR(__xludf.DUMMYFUNCTION("""COMPUTED_VALUE"""),"Output Setup (Gravure/Offset)")</f>
        <v>Output Setup (Gravure/Offset)</v>
      </c>
      <c r="G25" s="95" t="str">
        <f ca="1">IFERROR(__xludf.DUMMYFUNCTION("""COMPUTED_VALUE"""),"New")</f>
        <v>New</v>
      </c>
      <c r="H25" s="96">
        <f ca="1">IFERROR(__xludf.DUMMYFUNCTION("""COMPUTED_VALUE"""),1)</f>
        <v>1</v>
      </c>
      <c r="I25" s="97">
        <f ca="1">IFERROR(__xludf.DUMMYFUNCTION("""COMPUTED_VALUE"""),45977)</f>
        <v>45977</v>
      </c>
      <c r="J25" s="98" t="str">
        <f ca="1">IFERROR(__xludf.DUMMYFUNCTION("""COMPUTED_VALUE"""),"CW16415_Nov25")</f>
        <v>CW16415_Nov25</v>
      </c>
      <c r="K25" s="99" t="str">
        <f ca="1">IFERROR(__xludf.DUMMYFUNCTION("""COMPUTED_VALUE"""),"HoM Approved")</f>
        <v>HoM Approved</v>
      </c>
    </row>
    <row r="26" spans="1:11" ht="13.2">
      <c r="A26" s="89" t="str">
        <f ca="1">IFERROR(__xludf.DUMMYFUNCTION("""COMPUTED_VALUE"""),"All Time Cookies")</f>
        <v>All Time Cookies</v>
      </c>
      <c r="B26" s="90" t="str">
        <f ca="1">IFERROR(__xludf.DUMMYFUNCTION("""COMPUTED_VALUE"""),"BBL")</f>
        <v>BBL</v>
      </c>
      <c r="C26" s="91" t="str">
        <f ca="1">IFERROR(__xludf.DUMMYFUNCTION("""COMPUTED_VALUE"""),"Afrin Apu")</f>
        <v>Afrin Apu</v>
      </c>
      <c r="D26" s="92" t="str">
        <f ca="1">IFERROR(__xludf.DUMMYFUNCTION("""COMPUTED_VALUE"""),"Jyotirmay Sarker (S188138)")</f>
        <v>Jyotirmay Sarker (S188138)</v>
      </c>
      <c r="E26" s="93" t="str">
        <f ca="1">IFERROR(__xludf.DUMMYFUNCTION("""COMPUTED_VALUE"""),"CB10321_Oct25")</f>
        <v>CB10321_Oct25</v>
      </c>
      <c r="F26" s="94" t="str">
        <f ca="1">IFERROR(__xludf.DUMMYFUNCTION("""COMPUTED_VALUE"""),"Output Setup (Gravure/Offset)")</f>
        <v>Output Setup (Gravure/Offset)</v>
      </c>
      <c r="G26" s="95" t="str">
        <f ca="1">IFERROR(__xludf.DUMMYFUNCTION("""COMPUTED_VALUE"""),"New")</f>
        <v>New</v>
      </c>
      <c r="H26" s="96">
        <f ca="1">IFERROR(__xludf.DUMMYFUNCTION("""COMPUTED_VALUE"""),2)</f>
        <v>2</v>
      </c>
      <c r="I26" s="97">
        <f ca="1">IFERROR(__xludf.DUMMYFUNCTION("""COMPUTED_VALUE"""),45978)</f>
        <v>45978</v>
      </c>
      <c r="J26" s="98" t="str">
        <f ca="1">IFERROR(__xludf.DUMMYFUNCTION("""COMPUTED_VALUE"""),"CW16466_Nov25")</f>
        <v>CW16466_Nov25</v>
      </c>
      <c r="K26" s="99" t="str">
        <f ca="1">IFERROR(__xludf.DUMMYFUNCTION("""COMPUTED_VALUE"""),"HoM Approved")</f>
        <v>HoM Approved</v>
      </c>
    </row>
    <row r="27" spans="1:11" ht="13.2">
      <c r="A27" s="89" t="str">
        <f ca="1">IFERROR(__xludf.DUMMYFUNCTION("""COMPUTED_VALUE"""),"Snack Bar")</f>
        <v>Snack Bar</v>
      </c>
      <c r="B27" s="90" t="str">
        <f ca="1">IFERROR(__xludf.DUMMYFUNCTION("""COMPUTED_VALUE"""),"PAL")</f>
        <v>PAL</v>
      </c>
      <c r="C27" s="91" t="str">
        <f ca="1">IFERROR(__xludf.DUMMYFUNCTION("""COMPUTED_VALUE"""),"Mitu Apu")</f>
        <v>Mitu Apu</v>
      </c>
      <c r="D27" s="92" t="str">
        <f ca="1">IFERROR(__xludf.DUMMYFUNCTION("""COMPUTED_VALUE"""),"Jyotirmay Sarker (S188138)")</f>
        <v>Jyotirmay Sarker (S188138)</v>
      </c>
      <c r="E27" s="93" t="str">
        <f ca="1">IFERROR(__xludf.DUMMYFUNCTION("""COMPUTED_VALUE"""),"CB10551_Oct25")</f>
        <v>CB10551_Oct25</v>
      </c>
      <c r="F27" s="94" t="str">
        <f ca="1">IFERROR(__xludf.DUMMYFUNCTION("""COMPUTED_VALUE"""),"Output Setup (Gravure/Offset)")</f>
        <v>Output Setup (Gravure/Offset)</v>
      </c>
      <c r="G27" s="95" t="str">
        <f ca="1">IFERROR(__xludf.DUMMYFUNCTION("""COMPUTED_VALUE"""),"New")</f>
        <v>New</v>
      </c>
      <c r="H27" s="96">
        <f ca="1">IFERROR(__xludf.DUMMYFUNCTION("""COMPUTED_VALUE"""),1)</f>
        <v>1</v>
      </c>
      <c r="I27" s="97">
        <f ca="1">IFERROR(__xludf.DUMMYFUNCTION("""COMPUTED_VALUE"""),45978)</f>
        <v>45978</v>
      </c>
      <c r="J27" s="98" t="str">
        <f ca="1">IFERROR(__xludf.DUMMYFUNCTION("""COMPUTED_VALUE"""),"CW16479_Nov25")</f>
        <v>CW16479_Nov25</v>
      </c>
      <c r="K27" s="99" t="str">
        <f ca="1">IFERROR(__xludf.DUMMYFUNCTION("""COMPUTED_VALUE"""),"HoM Approved")</f>
        <v>HoM Approved</v>
      </c>
    </row>
    <row r="28" spans="1:11" ht="13.2">
      <c r="A28" s="89" t="str">
        <f ca="1">IFERROR(__xludf.DUMMYFUNCTION("""COMPUTED_VALUE"""),"All Time Cookies")</f>
        <v>All Time Cookies</v>
      </c>
      <c r="B28" s="90" t="str">
        <f ca="1">IFERROR(__xludf.DUMMYFUNCTION("""COMPUTED_VALUE"""),"BBL")</f>
        <v>BBL</v>
      </c>
      <c r="C28" s="91" t="str">
        <f ca="1">IFERROR(__xludf.DUMMYFUNCTION("""COMPUTED_VALUE"""),"Afrin Apu")</f>
        <v>Afrin Apu</v>
      </c>
      <c r="D28" s="92" t="str">
        <f ca="1">IFERROR(__xludf.DUMMYFUNCTION("""COMPUTED_VALUE"""),"Jyotirmay Sarker (S188138)")</f>
        <v>Jyotirmay Sarker (S188138)</v>
      </c>
      <c r="E28" s="93" t="str">
        <f ca="1">IFERROR(__xludf.DUMMYFUNCTION("""COMPUTED_VALUE"""),"CB10321_Oct25")</f>
        <v>CB10321_Oct25</v>
      </c>
      <c r="F28" s="94" t="str">
        <f ca="1">IFERROR(__xludf.DUMMYFUNCTION("""COMPUTED_VALUE"""),"Output Setup (Gravure/Offset)")</f>
        <v>Output Setup (Gravure/Offset)</v>
      </c>
      <c r="G28" s="95" t="str">
        <f ca="1">IFERROR(__xludf.DUMMYFUNCTION("""COMPUTED_VALUE"""),"New")</f>
        <v>New</v>
      </c>
      <c r="H28" s="96">
        <f ca="1">IFERROR(__xludf.DUMMYFUNCTION("""COMPUTED_VALUE"""),1)</f>
        <v>1</v>
      </c>
      <c r="I28" s="97">
        <f ca="1">IFERROR(__xludf.DUMMYFUNCTION("""COMPUTED_VALUE"""),45979)</f>
        <v>45979</v>
      </c>
      <c r="J28" s="98" t="str">
        <f ca="1">IFERROR(__xludf.DUMMYFUNCTION("""COMPUTED_VALUE"""),"CW16548_Nov25")</f>
        <v>CW16548_Nov25</v>
      </c>
      <c r="K28" s="99" t="str">
        <f ca="1">IFERROR(__xludf.DUMMYFUNCTION("""COMPUTED_VALUE"""),"HoM Approved")</f>
        <v>HoM Approved</v>
      </c>
    </row>
    <row r="29" spans="1:11" ht="13.2">
      <c r="A29" s="89" t="str">
        <f ca="1">IFERROR(__xludf.DUMMYFUNCTION("""COMPUTED_VALUE"""),"Orange Plus")</f>
        <v>Orange Plus</v>
      </c>
      <c r="B29" s="90" t="str">
        <f ca="1">IFERROR(__xludf.DUMMYFUNCTION("""COMPUTED_VALUE"""),"AMCL")</f>
        <v>AMCL</v>
      </c>
      <c r="C29" s="91" t="str">
        <f ca="1">IFERROR(__xludf.DUMMYFUNCTION("""COMPUTED_VALUE"""),"Miraj Vai")</f>
        <v>Miraj Vai</v>
      </c>
      <c r="D29" s="92" t="str">
        <f ca="1">IFERROR(__xludf.DUMMYFUNCTION("""COMPUTED_VALUE"""),"Jyotirmay Sarker (S188138)")</f>
        <v>Jyotirmay Sarker (S188138)</v>
      </c>
      <c r="E29" s="93" t="str">
        <f ca="1">IFERROR(__xludf.DUMMYFUNCTION("""COMPUTED_VALUE"""),"CB11297_Nov25")</f>
        <v>CB11297_Nov25</v>
      </c>
      <c r="F29" s="94" t="str">
        <f ca="1">IFERROR(__xludf.DUMMYFUNCTION("""COMPUTED_VALUE"""),"Output Setup (Gravure/Offset)")</f>
        <v>Output Setup (Gravure/Offset)</v>
      </c>
      <c r="G29" s="95" t="str">
        <f ca="1">IFERROR(__xludf.DUMMYFUNCTION("""COMPUTED_VALUE"""),"New")</f>
        <v>New</v>
      </c>
      <c r="H29" s="96">
        <f ca="1">IFERROR(__xludf.DUMMYFUNCTION("""COMPUTED_VALUE"""),4)</f>
        <v>4</v>
      </c>
      <c r="I29" s="97">
        <f ca="1">IFERROR(__xludf.DUMMYFUNCTION("""COMPUTED_VALUE"""),45980)</f>
        <v>45980</v>
      </c>
      <c r="J29" s="98" t="str">
        <f ca="1">IFERROR(__xludf.DUMMYFUNCTION("""COMPUTED_VALUE"""),"CW16679_Nov25")</f>
        <v>CW16679_Nov25</v>
      </c>
      <c r="K29" s="99" t="str">
        <f ca="1">IFERROR(__xludf.DUMMYFUNCTION("""COMPUTED_VALUE"""),"HoM Approved")</f>
        <v>HoM Approved</v>
      </c>
    </row>
    <row r="30" spans="1:11" ht="13.2">
      <c r="A30" s="89" t="str">
        <f ca="1">IFERROR(__xludf.DUMMYFUNCTION("""COMPUTED_VALUE"""),"Orange Plus")</f>
        <v>Orange Plus</v>
      </c>
      <c r="B30" s="90" t="str">
        <f ca="1">IFERROR(__xludf.DUMMYFUNCTION("""COMPUTED_VALUE"""),"AMCL")</f>
        <v>AMCL</v>
      </c>
      <c r="C30" s="91" t="str">
        <f ca="1">IFERROR(__xludf.DUMMYFUNCTION("""COMPUTED_VALUE"""),"Miraj Vai")</f>
        <v>Miraj Vai</v>
      </c>
      <c r="D30" s="92" t="str">
        <f ca="1">IFERROR(__xludf.DUMMYFUNCTION("""COMPUTED_VALUE"""),"Jyotirmay Sarker (S188138)")</f>
        <v>Jyotirmay Sarker (S188138)</v>
      </c>
      <c r="E30" s="93" t="str">
        <f ca="1">IFERROR(__xludf.DUMMYFUNCTION("""COMPUTED_VALUE"""),"CB11297_Nov25")</f>
        <v>CB11297_Nov25</v>
      </c>
      <c r="F30" s="94" t="str">
        <f ca="1">IFERROR(__xludf.DUMMYFUNCTION("""COMPUTED_VALUE"""),"Output Setup (Gravure/Offset)")</f>
        <v>Output Setup (Gravure/Offset)</v>
      </c>
      <c r="G30" s="95" t="str">
        <f ca="1">IFERROR(__xludf.DUMMYFUNCTION("""COMPUTED_VALUE"""),"New")</f>
        <v>New</v>
      </c>
      <c r="H30" s="96">
        <f ca="1">IFERROR(__xludf.DUMMYFUNCTION("""COMPUTED_VALUE"""),2)</f>
        <v>2</v>
      </c>
      <c r="I30" s="97">
        <f ca="1">IFERROR(__xludf.DUMMYFUNCTION("""COMPUTED_VALUE"""),45981)</f>
        <v>45981</v>
      </c>
      <c r="J30" s="98" t="str">
        <f ca="1">IFERROR(__xludf.DUMMYFUNCTION("""COMPUTED_VALUE"""),"CW16837_Nov25")</f>
        <v>CW16837_Nov25</v>
      </c>
      <c r="K30" s="99" t="str">
        <f ca="1">IFERROR(__xludf.DUMMYFUNCTION("""COMPUTED_VALUE"""),"HoM Approved")</f>
        <v>HoM Approved</v>
      </c>
    </row>
    <row r="31" spans="1:11" ht="13.2">
      <c r="A31" s="89" t="str">
        <f ca="1">IFERROR(__xludf.DUMMYFUNCTION("""COMPUTED_VALUE"""),"Pran Toast")</f>
        <v>Pran Toast</v>
      </c>
      <c r="B31" s="90" t="str">
        <f ca="1">IFERROR(__xludf.DUMMYFUNCTION("""COMPUTED_VALUE"""),"BBL")</f>
        <v>BBL</v>
      </c>
      <c r="C31" s="91" t="str">
        <f ca="1">IFERROR(__xludf.DUMMYFUNCTION("""COMPUTED_VALUE"""),"Nuhal Vai")</f>
        <v>Nuhal Vai</v>
      </c>
      <c r="D31" s="92" t="str">
        <f ca="1">IFERROR(__xludf.DUMMYFUNCTION("""COMPUTED_VALUE"""),"Jyotirmay Sarker (S188138)")</f>
        <v>Jyotirmay Sarker (S188138)</v>
      </c>
      <c r="E31" s="93" t="str">
        <f ca="1">IFERROR(__xludf.DUMMYFUNCTION("""COMPUTED_VALUE"""),"CB10215_Oct25")</f>
        <v>CB10215_Oct25</v>
      </c>
      <c r="F31" s="94" t="str">
        <f ca="1">IFERROR(__xludf.DUMMYFUNCTION("""COMPUTED_VALUE"""),"Output Setup (Gravure/Offset)")</f>
        <v>Output Setup (Gravure/Offset)</v>
      </c>
      <c r="G31" s="95" t="str">
        <f ca="1">IFERROR(__xludf.DUMMYFUNCTION("""COMPUTED_VALUE"""),"New")</f>
        <v>New</v>
      </c>
      <c r="H31" s="96">
        <f ca="1">IFERROR(__xludf.DUMMYFUNCTION("""COMPUTED_VALUE"""),1)</f>
        <v>1</v>
      </c>
      <c r="I31" s="97">
        <f ca="1">IFERROR(__xludf.DUMMYFUNCTION("""COMPUTED_VALUE"""),45981)</f>
        <v>45981</v>
      </c>
      <c r="J31" s="98" t="str">
        <f ca="1">IFERROR(__xludf.DUMMYFUNCTION("""COMPUTED_VALUE"""),"CW16778_Nov25")</f>
        <v>CW16778_Nov25</v>
      </c>
      <c r="K31" s="99" t="str">
        <f ca="1">IFERROR(__xludf.DUMMYFUNCTION("""COMPUTED_VALUE"""),"HoM Approved")</f>
        <v>HoM Approved</v>
      </c>
    </row>
    <row r="32" spans="1:11" ht="13.2">
      <c r="A32" s="89" t="str">
        <f ca="1">IFERROR(__xludf.DUMMYFUNCTION("""COMPUTED_VALUE"""),"Pran Toast")</f>
        <v>Pran Toast</v>
      </c>
      <c r="B32" s="90" t="str">
        <f ca="1">IFERROR(__xludf.DUMMYFUNCTION("""COMPUTED_VALUE"""),"BBL")</f>
        <v>BBL</v>
      </c>
      <c r="C32" s="91" t="str">
        <f ca="1">IFERROR(__xludf.DUMMYFUNCTION("""COMPUTED_VALUE"""),"Nuhal Vai")</f>
        <v>Nuhal Vai</v>
      </c>
      <c r="D32" s="92" t="str">
        <f ca="1">IFERROR(__xludf.DUMMYFUNCTION("""COMPUTED_VALUE"""),"Jyotirmay Sarker (S188138)")</f>
        <v>Jyotirmay Sarker (S188138)</v>
      </c>
      <c r="E32" s="93" t="str">
        <f ca="1">IFERROR(__xludf.DUMMYFUNCTION("""COMPUTED_VALUE"""),"CB10215_Oct25")</f>
        <v>CB10215_Oct25</v>
      </c>
      <c r="F32" s="94" t="str">
        <f ca="1">IFERROR(__xludf.DUMMYFUNCTION("""COMPUTED_VALUE"""),"Output Setup (Gravure/Offset)")</f>
        <v>Output Setup (Gravure/Offset)</v>
      </c>
      <c r="G32" s="95" t="str">
        <f ca="1">IFERROR(__xludf.DUMMYFUNCTION("""COMPUTED_VALUE"""),"New")</f>
        <v>New</v>
      </c>
      <c r="H32" s="96">
        <f ca="1">IFERROR(__xludf.DUMMYFUNCTION("""COMPUTED_VALUE"""),2)</f>
        <v>2</v>
      </c>
      <c r="I32" s="97">
        <f ca="1">IFERROR(__xludf.DUMMYFUNCTION("""COMPUTED_VALUE"""),45981)</f>
        <v>45981</v>
      </c>
      <c r="J32" s="98" t="str">
        <f ca="1">IFERROR(__xludf.DUMMYFUNCTION("""COMPUTED_VALUE"""),"CW16818_Nov25")</f>
        <v>CW16818_Nov25</v>
      </c>
      <c r="K32" s="99" t="str">
        <f ca="1">IFERROR(__xludf.DUMMYFUNCTION("""COMPUTED_VALUE"""),"HoM Approved")</f>
        <v>HoM Approved</v>
      </c>
    </row>
    <row r="33" spans="1:11" ht="13.2">
      <c r="A33" s="89" t="str">
        <f ca="1">IFERROR(__xludf.DUMMYFUNCTION("""COMPUTED_VALUE"""),"Treat Boom Bite Cake")</f>
        <v>Treat Boom Bite Cake</v>
      </c>
      <c r="B33" s="90" t="str">
        <f ca="1">IFERROR(__xludf.DUMMYFUNCTION("""COMPUTED_VALUE"""),"PCL")</f>
        <v>PCL</v>
      </c>
      <c r="C33" s="91" t="str">
        <f ca="1">IFERROR(__xludf.DUMMYFUNCTION("""COMPUTED_VALUE"""),"Sohel Vai")</f>
        <v>Sohel Vai</v>
      </c>
      <c r="D33" s="92" t="str">
        <f ca="1">IFERROR(__xludf.DUMMYFUNCTION("""COMPUTED_VALUE"""),"Jyotirmay Sarker (S188138)")</f>
        <v>Jyotirmay Sarker (S188138)</v>
      </c>
      <c r="E33" s="93" t="str">
        <f ca="1">IFERROR(__xludf.DUMMYFUNCTION("""COMPUTED_VALUE"""),"CB11448_Nov25")</f>
        <v>CB11448_Nov25</v>
      </c>
      <c r="F33" s="94" t="str">
        <f ca="1">IFERROR(__xludf.DUMMYFUNCTION("""COMPUTED_VALUE"""),"Output Setup (Gravure/Offset)")</f>
        <v>Output Setup (Gravure/Offset)</v>
      </c>
      <c r="G33" s="95" t="str">
        <f ca="1">IFERROR(__xludf.DUMMYFUNCTION("""COMPUTED_VALUE"""),"New")</f>
        <v>New</v>
      </c>
      <c r="H33" s="96">
        <f ca="1">IFERROR(__xludf.DUMMYFUNCTION("""COMPUTED_VALUE"""),1)</f>
        <v>1</v>
      </c>
      <c r="I33" s="97">
        <f ca="1">IFERROR(__xludf.DUMMYFUNCTION("""COMPUTED_VALUE"""),45981)</f>
        <v>45981</v>
      </c>
      <c r="J33" s="98" t="str">
        <f ca="1">IFERROR(__xludf.DUMMYFUNCTION("""COMPUTED_VALUE"""),"CW16839_Nov25")</f>
        <v>CW16839_Nov25</v>
      </c>
      <c r="K33" s="99" t="str">
        <f ca="1">IFERROR(__xludf.DUMMYFUNCTION("""COMPUTED_VALUE"""),"HoM Approved")</f>
        <v>HoM Approved</v>
      </c>
    </row>
    <row r="34" spans="1:11" ht="13.2">
      <c r="A34" s="89" t="str">
        <f ca="1">IFERROR(__xludf.DUMMYFUNCTION("""COMPUTED_VALUE"""),"All Time Cookies")</f>
        <v>All Time Cookies</v>
      </c>
      <c r="B34" s="90" t="str">
        <f ca="1">IFERROR(__xludf.DUMMYFUNCTION("""COMPUTED_VALUE"""),"BBL")</f>
        <v>BBL</v>
      </c>
      <c r="C34" s="91" t="str">
        <f ca="1">IFERROR(__xludf.DUMMYFUNCTION("""COMPUTED_VALUE"""),"Afrin Apu")</f>
        <v>Afrin Apu</v>
      </c>
      <c r="D34" s="92" t="str">
        <f ca="1">IFERROR(__xludf.DUMMYFUNCTION("""COMPUTED_VALUE"""),"Jyotirmay Sarker (S188138)")</f>
        <v>Jyotirmay Sarker (S188138)</v>
      </c>
      <c r="E34" s="93" t="str">
        <f ca="1">IFERROR(__xludf.DUMMYFUNCTION("""COMPUTED_VALUE"""),"CB9566_Oct25")</f>
        <v>CB9566_Oct25</v>
      </c>
      <c r="F34" s="94" t="str">
        <f ca="1">IFERROR(__xludf.DUMMYFUNCTION("""COMPUTED_VALUE"""),"Output Setup (Gravure/Offset)")</f>
        <v>Output Setup (Gravure/Offset)</v>
      </c>
      <c r="G34" s="95" t="str">
        <f ca="1">IFERROR(__xludf.DUMMYFUNCTION("""COMPUTED_VALUE"""),"New")</f>
        <v>New</v>
      </c>
      <c r="H34" s="96">
        <f ca="1">IFERROR(__xludf.DUMMYFUNCTION("""COMPUTED_VALUE"""),1)</f>
        <v>1</v>
      </c>
      <c r="I34" s="97">
        <f ca="1">IFERROR(__xludf.DUMMYFUNCTION("""COMPUTED_VALUE"""),45982)</f>
        <v>45982</v>
      </c>
      <c r="J34" s="98" t="str">
        <f ca="1">IFERROR(__xludf.DUMMYFUNCTION("""COMPUTED_VALUE"""),"CW16867_Nov25")</f>
        <v>CW16867_Nov25</v>
      </c>
      <c r="K34" s="99" t="str">
        <f ca="1">IFERROR(__xludf.DUMMYFUNCTION("""COMPUTED_VALUE"""),"HoM Approved")</f>
        <v>HoM Approved</v>
      </c>
    </row>
    <row r="35" spans="1:11" ht="13.2">
      <c r="A35" s="89" t="str">
        <f ca="1">IFERROR(__xludf.DUMMYFUNCTION("""COMPUTED_VALUE"""),"Common - India Export")</f>
        <v>Common - India Export</v>
      </c>
      <c r="B35" s="90" t="str">
        <f ca="1">IFERROR(__xludf.DUMMYFUNCTION("""COMPUTED_VALUE"""),"India")</f>
        <v>India</v>
      </c>
      <c r="C35" s="91" t="str">
        <f ca="1">IFERROR(__xludf.DUMMYFUNCTION("""COMPUTED_VALUE"""),"Prapty Apu")</f>
        <v>Prapty Apu</v>
      </c>
      <c r="D35" s="92" t="str">
        <f ca="1">IFERROR(__xludf.DUMMYFUNCTION("""COMPUTED_VALUE"""),"Jyotirmay Sarker (S188138)")</f>
        <v>Jyotirmay Sarker (S188138)</v>
      </c>
      <c r="E35" s="93" t="str">
        <f ca="1">IFERROR(__xludf.DUMMYFUNCTION("""COMPUTED_VALUE"""),"CB12131_Nov25")</f>
        <v>CB12131_Nov25</v>
      </c>
      <c r="F35" s="94" t="str">
        <f ca="1">IFERROR(__xludf.DUMMYFUNCTION("""COMPUTED_VALUE"""),"Flyer/Brochure/Banner Output")</f>
        <v>Flyer/Brochure/Banner Output</v>
      </c>
      <c r="G35" s="95" t="str">
        <f ca="1">IFERROR(__xludf.DUMMYFUNCTION("""COMPUTED_VALUE"""),"New")</f>
        <v>New</v>
      </c>
      <c r="H35" s="96">
        <f ca="1">IFERROR(__xludf.DUMMYFUNCTION("""COMPUTED_VALUE"""),2)</f>
        <v>2</v>
      </c>
      <c r="I35" s="97">
        <f ca="1">IFERROR(__xludf.DUMMYFUNCTION("""COMPUTED_VALUE"""),45983)</f>
        <v>45983</v>
      </c>
      <c r="J35" s="98" t="str">
        <f ca="1">IFERROR(__xludf.DUMMYFUNCTION("""COMPUTED_VALUE"""),"CW17003_Nov25")</f>
        <v>CW17003_Nov25</v>
      </c>
      <c r="K35" s="99" t="str">
        <f ca="1">IFERROR(__xludf.DUMMYFUNCTION("""COMPUTED_VALUE"""),"HoM Approved")</f>
        <v>HoM Approved</v>
      </c>
    </row>
    <row r="36" spans="1:11" ht="13.2">
      <c r="A36" s="89" t="str">
        <f ca="1">IFERROR(__xludf.DUMMYFUNCTION("""COMPUTED_VALUE"""),"Common - All PBL")</f>
        <v>Common - All PBL</v>
      </c>
      <c r="B36" s="90" t="str">
        <f ca="1">IFERROR(__xludf.DUMMYFUNCTION("""COMPUTED_VALUE"""),"PBL")</f>
        <v>PBL</v>
      </c>
      <c r="C36" s="91" t="str">
        <f ca="1">IFERROR(__xludf.DUMMYFUNCTION("""COMPUTED_VALUE"""),"Proshenjeet Vai")</f>
        <v>Proshenjeet Vai</v>
      </c>
      <c r="D36" s="92" t="str">
        <f ca="1">IFERROR(__xludf.DUMMYFUNCTION("""COMPUTED_VALUE"""),"Jyotirmay Sarker (S188138)")</f>
        <v>Jyotirmay Sarker (S188138)</v>
      </c>
      <c r="E36" s="93" t="str">
        <f ca="1">IFERROR(__xludf.DUMMYFUNCTION("""COMPUTED_VALUE"""),"CB9601_Oct25")</f>
        <v>CB9601_Oct25</v>
      </c>
      <c r="F36" s="94" t="str">
        <f ca="1">IFERROR(__xludf.DUMMYFUNCTION("""COMPUTED_VALUE"""),"Output Setup (Gravure/Offset)")</f>
        <v>Output Setup (Gravure/Offset)</v>
      </c>
      <c r="G36" s="95" t="str">
        <f ca="1">IFERROR(__xludf.DUMMYFUNCTION("""COMPUTED_VALUE"""),"New")</f>
        <v>New</v>
      </c>
      <c r="H36" s="96">
        <f ca="1">IFERROR(__xludf.DUMMYFUNCTION("""COMPUTED_VALUE"""),3)</f>
        <v>3</v>
      </c>
      <c r="I36" s="97">
        <f ca="1">IFERROR(__xludf.DUMMYFUNCTION("""COMPUTED_VALUE"""),45983)</f>
        <v>45983</v>
      </c>
      <c r="J36" s="98" t="str">
        <f ca="1">IFERROR(__xludf.DUMMYFUNCTION("""COMPUTED_VALUE"""),"CW17019_Nov25")</f>
        <v>CW17019_Nov25</v>
      </c>
      <c r="K36" s="99" t="str">
        <f ca="1">IFERROR(__xludf.DUMMYFUNCTION("""COMPUTED_VALUE"""),"Brief Submitted")</f>
        <v>Brief Submitted</v>
      </c>
    </row>
    <row r="37" spans="1:11" ht="13.2">
      <c r="A37" s="89" t="str">
        <f ca="1">IFERROR(__xludf.DUMMYFUNCTION("""COMPUTED_VALUE"""),"Drinko Float")</f>
        <v>Drinko Float</v>
      </c>
      <c r="B37" s="90" t="str">
        <f ca="1">IFERROR(__xludf.DUMMYFUNCTION("""COMPUTED_VALUE"""),"PBL")</f>
        <v>PBL</v>
      </c>
      <c r="C37" s="91" t="str">
        <f ca="1">IFERROR(__xludf.DUMMYFUNCTION("""COMPUTED_VALUE"""),"Proshenjeet Vai")</f>
        <v>Proshenjeet Vai</v>
      </c>
      <c r="D37" s="92" t="str">
        <f ca="1">IFERROR(__xludf.DUMMYFUNCTION("""COMPUTED_VALUE"""),"Jyotirmay Sarker (S188138)")</f>
        <v>Jyotirmay Sarker (S188138)</v>
      </c>
      <c r="E37" s="93" t="str">
        <f ca="1">IFERROR(__xludf.DUMMYFUNCTION("""COMPUTED_VALUE"""),"CB9779_Oct25")</f>
        <v>CB9779_Oct25</v>
      </c>
      <c r="F37" s="94" t="str">
        <f ca="1">IFERROR(__xludf.DUMMYFUNCTION("""COMPUTED_VALUE"""),"Packaging")</f>
        <v>Packaging</v>
      </c>
      <c r="G37" s="95" t="str">
        <f ca="1">IFERROR(__xludf.DUMMYFUNCTION("""COMPUTED_VALUE"""),"New")</f>
        <v>New</v>
      </c>
      <c r="H37" s="96">
        <f ca="1">IFERROR(__xludf.DUMMYFUNCTION("""COMPUTED_VALUE"""),1)</f>
        <v>1</v>
      </c>
      <c r="I37" s="97">
        <f ca="1">IFERROR(__xludf.DUMMYFUNCTION("""COMPUTED_VALUE"""),45983)</f>
        <v>45983</v>
      </c>
      <c r="J37" s="98" t="str">
        <f ca="1">IFERROR(__xludf.DUMMYFUNCTION("""COMPUTED_VALUE"""),"CW17020_Nov25")</f>
        <v>CW17020_Nov25</v>
      </c>
      <c r="K37" s="99" t="str">
        <f ca="1">IFERROR(__xludf.DUMMYFUNCTION("""COMPUTED_VALUE"""),"HoM Approved")</f>
        <v>HoM Approved</v>
      </c>
    </row>
    <row r="38" spans="1:11" ht="13.2">
      <c r="A38" s="89" t="str">
        <f ca="1">IFERROR(__xludf.DUMMYFUNCTION("""COMPUTED_VALUE"""),"Jim &amp; Jolly Tricycle")</f>
        <v>Jim &amp; Jolly Tricycle</v>
      </c>
      <c r="B38" s="90" t="str">
        <f ca="1">IFERROR(__xludf.DUMMYFUNCTION("""COMPUTED_VALUE"""),"DPL")</f>
        <v>DPL</v>
      </c>
      <c r="C38" s="91" t="str">
        <f ca="1">IFERROR(__xludf.DUMMYFUNCTION("""COMPUTED_VALUE"""),"Sohan Vai")</f>
        <v>Sohan Vai</v>
      </c>
      <c r="D38" s="92" t="str">
        <f ca="1">IFERROR(__xludf.DUMMYFUNCTION("""COMPUTED_VALUE"""),"Jyotirmay Sarker (S188138)")</f>
        <v>Jyotirmay Sarker (S188138)</v>
      </c>
      <c r="E38" s="93" t="str">
        <f ca="1">IFERROR(__xludf.DUMMYFUNCTION("""COMPUTED_VALUE"""),"CB11896_Nov25")</f>
        <v>CB11896_Nov25</v>
      </c>
      <c r="F38" s="94" t="str">
        <f ca="1">IFERROR(__xludf.DUMMYFUNCTION("""COMPUTED_VALUE"""),"ATC Box Output")</f>
        <v>ATC Box Output</v>
      </c>
      <c r="G38" s="95" t="str">
        <f ca="1">IFERROR(__xludf.DUMMYFUNCTION("""COMPUTED_VALUE"""),"New")</f>
        <v>New</v>
      </c>
      <c r="H38" s="96">
        <f ca="1">IFERROR(__xludf.DUMMYFUNCTION("""COMPUTED_VALUE"""),1)</f>
        <v>1</v>
      </c>
      <c r="I38" s="97">
        <f ca="1">IFERROR(__xludf.DUMMYFUNCTION("""COMPUTED_VALUE"""),45985)</f>
        <v>45985</v>
      </c>
      <c r="J38" s="98" t="str">
        <f ca="1">IFERROR(__xludf.DUMMYFUNCTION("""COMPUTED_VALUE"""),"CW17236_Nov25")</f>
        <v>CW17236_Nov25</v>
      </c>
      <c r="K38" s="99" t="str">
        <f ca="1">IFERROR(__xludf.DUMMYFUNCTION("""COMPUTED_VALUE"""),"HoM Approved")</f>
        <v>HoM Approved</v>
      </c>
    </row>
    <row r="39" spans="1:11" ht="13.2">
      <c r="A39" s="89" t="str">
        <f ca="1">IFERROR(__xludf.DUMMYFUNCTION("""COMPUTED_VALUE"""),"Sticky Adhesive")</f>
        <v>Sticky Adhesive</v>
      </c>
      <c r="B39" s="90" t="str">
        <f ca="1">IFERROR(__xludf.DUMMYFUNCTION("""COMPUTED_VALUE"""),"BBMT")</f>
        <v>BBMT</v>
      </c>
      <c r="C39" s="91" t="str">
        <f ca="1">IFERROR(__xludf.DUMMYFUNCTION("""COMPUTED_VALUE"""),"Nazmul Vaiya")</f>
        <v>Nazmul Vaiya</v>
      </c>
      <c r="D39" s="92" t="str">
        <f ca="1">IFERROR(__xludf.DUMMYFUNCTION("""COMPUTED_VALUE"""),"Jyotirmay Sarker (S188138)")</f>
        <v>Jyotirmay Sarker (S188138)</v>
      </c>
      <c r="E39" s="93" t="str">
        <f ca="1">IFERROR(__xludf.DUMMYFUNCTION("""COMPUTED_VALUE"""),"CB11880_Nov25")</f>
        <v>CB11880_Nov25</v>
      </c>
      <c r="F39" s="94" t="str">
        <f ca="1">IFERROR(__xludf.DUMMYFUNCTION("""COMPUTED_VALUE"""),"Flyer/Brochure/Banner Output")</f>
        <v>Flyer/Brochure/Banner Output</v>
      </c>
      <c r="G39" s="95" t="str">
        <f ca="1">IFERROR(__xludf.DUMMYFUNCTION("""COMPUTED_VALUE"""),"New")</f>
        <v>New</v>
      </c>
      <c r="H39" s="96">
        <f ca="1">IFERROR(__xludf.DUMMYFUNCTION("""COMPUTED_VALUE"""),1)</f>
        <v>1</v>
      </c>
      <c r="I39" s="97">
        <f ca="1">IFERROR(__xludf.DUMMYFUNCTION("""COMPUTED_VALUE"""),45986)</f>
        <v>45986</v>
      </c>
      <c r="J39" s="98" t="str">
        <f ca="1">IFERROR(__xludf.DUMMYFUNCTION("""COMPUTED_VALUE"""),"CW17335_Nov25")</f>
        <v>CW17335_Nov25</v>
      </c>
      <c r="K39" s="99" t="str">
        <f ca="1">IFERROR(__xludf.DUMMYFUNCTION("""COMPUTED_VALUE"""),"HoM Approved")</f>
        <v>HoM Approved</v>
      </c>
    </row>
    <row r="40" spans="1:11" ht="13.2">
      <c r="A40" s="89" t="str">
        <f ca="1">IFERROR(__xludf.DUMMYFUNCTION("""COMPUTED_VALUE"""),"Common - All NAL")</f>
        <v>Common - All NAL</v>
      </c>
      <c r="B40" s="90" t="str">
        <f ca="1">IFERROR(__xludf.DUMMYFUNCTION("""COMPUTED_VALUE"""),"NAL")</f>
        <v>NAL</v>
      </c>
      <c r="C40" s="91" t="str">
        <f ca="1">IFERROR(__xludf.DUMMYFUNCTION("""COMPUTED_VALUE"""),"Sanjana Apu")</f>
        <v>Sanjana Apu</v>
      </c>
      <c r="D40" s="92" t="str">
        <f ca="1">IFERROR(__xludf.DUMMYFUNCTION("""COMPUTED_VALUE"""),"Jyotirmay Sarker (S188138)")</f>
        <v>Jyotirmay Sarker (S188138)</v>
      </c>
      <c r="E40" s="93" t="str">
        <f ca="1">IFERROR(__xludf.DUMMYFUNCTION("""COMPUTED_VALUE"""),"CB11372_Nov25")</f>
        <v>CB11372_Nov25</v>
      </c>
      <c r="F40" s="94" t="str">
        <f ca="1">IFERROR(__xludf.DUMMYFUNCTION("""COMPUTED_VALUE"""),"Flyer/Brochure/Banner Output")</f>
        <v>Flyer/Brochure/Banner Output</v>
      </c>
      <c r="G40" s="95" t="str">
        <f ca="1">IFERROR(__xludf.DUMMYFUNCTION("""COMPUTED_VALUE"""),"New")</f>
        <v>New</v>
      </c>
      <c r="H40" s="96">
        <f ca="1">IFERROR(__xludf.DUMMYFUNCTION("""COMPUTED_VALUE"""),1)</f>
        <v>1</v>
      </c>
      <c r="I40" s="97">
        <f ca="1">IFERROR(__xludf.DUMMYFUNCTION("""COMPUTED_VALUE"""),45986)</f>
        <v>45986</v>
      </c>
      <c r="J40" s="98" t="str">
        <f ca="1">IFERROR(__xludf.DUMMYFUNCTION("""COMPUTED_VALUE"""),"CW17368_Nov25")</f>
        <v>CW17368_Nov25</v>
      </c>
      <c r="K40" s="99" t="str">
        <f ca="1">IFERROR(__xludf.DUMMYFUNCTION("""COMPUTED_VALUE"""),"HoM Approved")</f>
        <v>HoM Approved</v>
      </c>
    </row>
    <row r="41" spans="1:11" ht="13.2">
      <c r="A41" s="89" t="str">
        <f ca="1">IFERROR(__xludf.DUMMYFUNCTION("""COMPUTED_VALUE"""),"Drinko Litchi/Orange")</f>
        <v>Drinko Litchi/Orange</v>
      </c>
      <c r="B41" s="90" t="str">
        <f ca="1">IFERROR(__xludf.DUMMYFUNCTION("""COMPUTED_VALUE"""),"PBL")</f>
        <v>PBL</v>
      </c>
      <c r="C41" s="91" t="str">
        <f ca="1">IFERROR(__xludf.DUMMYFUNCTION("""COMPUTED_VALUE"""),"Saifullah Vai")</f>
        <v>Saifullah Vai</v>
      </c>
      <c r="D41" s="92" t="str">
        <f ca="1">IFERROR(__xludf.DUMMYFUNCTION("""COMPUTED_VALUE"""),"Jyotirmay Sarker (S188138)")</f>
        <v>Jyotirmay Sarker (S188138)</v>
      </c>
      <c r="E41" s="93" t="str">
        <f ca="1">IFERROR(__xludf.DUMMYFUNCTION("""COMPUTED_VALUE"""),"CB12087_Nov25")</f>
        <v>CB12087_Nov25</v>
      </c>
      <c r="F41" s="94" t="str">
        <f ca="1">IFERROR(__xludf.DUMMYFUNCTION("""COMPUTED_VALUE"""),"Gravure Output #2")</f>
        <v>Gravure Output #2</v>
      </c>
      <c r="G41" s="95" t="str">
        <f ca="1">IFERROR(__xludf.DUMMYFUNCTION("""COMPUTED_VALUE"""),"New")</f>
        <v>New</v>
      </c>
      <c r="H41" s="96">
        <f ca="1">IFERROR(__xludf.DUMMYFUNCTION("""COMPUTED_VALUE"""),1)</f>
        <v>1</v>
      </c>
      <c r="I41" s="97">
        <f ca="1">IFERROR(__xludf.DUMMYFUNCTION("""COMPUTED_VALUE"""),45987)</f>
        <v>45987</v>
      </c>
      <c r="J41" s="98" t="str">
        <f ca="1">IFERROR(__xludf.DUMMYFUNCTION("""COMPUTED_VALUE"""),"CW17499_Nov25")</f>
        <v>CW17499_Nov25</v>
      </c>
      <c r="K41" s="99" t="str">
        <f ca="1">IFERROR(__xludf.DUMMYFUNCTION("""COMPUTED_VALUE"""),"HoM Approved")</f>
        <v>HoM Approved</v>
      </c>
    </row>
    <row r="42" spans="1:11" ht="13.2">
      <c r="A42" s="89" t="str">
        <f ca="1">IFERROR(__xludf.DUMMYFUNCTION("""COMPUTED_VALUE"""),"Power Energy Drink")</f>
        <v>Power Energy Drink</v>
      </c>
      <c r="B42" s="90" t="str">
        <f ca="1">IFERROR(__xludf.DUMMYFUNCTION("""COMPUTED_VALUE"""),"Malaysia")</f>
        <v>Malaysia</v>
      </c>
      <c r="C42" s="91" t="str">
        <f ca="1">IFERROR(__xludf.DUMMYFUNCTION("""COMPUTED_VALUE"""),"Duke Vai")</f>
        <v>Duke Vai</v>
      </c>
      <c r="D42" s="92" t="str">
        <f ca="1">IFERROR(__xludf.DUMMYFUNCTION("""COMPUTED_VALUE"""),"Jyotirmay Sarker (S188138)")</f>
        <v>Jyotirmay Sarker (S188138)</v>
      </c>
      <c r="E42" s="93" t="str">
        <f ca="1">IFERROR(__xludf.DUMMYFUNCTION("""COMPUTED_VALUE"""),"CB9990_Oct25")</f>
        <v>CB9990_Oct25</v>
      </c>
      <c r="F42" s="94" t="str">
        <f ca="1">IFERROR(__xludf.DUMMYFUNCTION("""COMPUTED_VALUE"""),"Flyer/Brochure/Banner Output")</f>
        <v>Flyer/Brochure/Banner Output</v>
      </c>
      <c r="G42" s="95" t="str">
        <f ca="1">IFERROR(__xludf.DUMMYFUNCTION("""COMPUTED_VALUE"""),"New")</f>
        <v>New</v>
      </c>
      <c r="H42" s="96">
        <f ca="1">IFERROR(__xludf.DUMMYFUNCTION("""COMPUTED_VALUE"""),1)</f>
        <v>1</v>
      </c>
      <c r="I42" s="97">
        <f ca="1">IFERROR(__xludf.DUMMYFUNCTION("""COMPUTED_VALUE"""),45988)</f>
        <v>45988</v>
      </c>
      <c r="J42" s="98" t="str">
        <f ca="1">IFERROR(__xludf.DUMMYFUNCTION("""COMPUTED_VALUE"""),"CW17651_Nov25")</f>
        <v>CW17651_Nov25</v>
      </c>
      <c r="K42" s="99" t="str">
        <f ca="1">IFERROR(__xludf.DUMMYFUNCTION("""COMPUTED_VALUE"""),"HoM Approved")</f>
        <v>HoM Approved</v>
      </c>
    </row>
    <row r="43" spans="1:11" ht="13.2">
      <c r="A43" s="89" t="str">
        <f ca="1">IFERROR(__xludf.DUMMYFUNCTION("""COMPUTED_VALUE"""),"Bisk Club Fruit Fun Flavored Cream Biscuit")</f>
        <v>Bisk Club Fruit Fun Flavored Cream Biscuit</v>
      </c>
      <c r="B43" s="90" t="str">
        <f ca="1">IFERROR(__xludf.DUMMYFUNCTION("""COMPUTED_VALUE"""),"BBL")</f>
        <v>BBL</v>
      </c>
      <c r="C43" s="91" t="str">
        <f ca="1">IFERROR(__xludf.DUMMYFUNCTION("""COMPUTED_VALUE"""),"Ove Vai")</f>
        <v>Ove Vai</v>
      </c>
      <c r="D43" s="92" t="str">
        <f ca="1">IFERROR(__xludf.DUMMYFUNCTION("""COMPUTED_VALUE"""),"Jyotirmay Sarker (S188138)")</f>
        <v>Jyotirmay Sarker (S188138)</v>
      </c>
      <c r="E43" s="93" t="str">
        <f ca="1">IFERROR(__xludf.DUMMYFUNCTION("""COMPUTED_VALUE"""),"CB11917_Nov25")</f>
        <v>CB11917_Nov25</v>
      </c>
      <c r="F43" s="94" t="str">
        <f ca="1">IFERROR(__xludf.DUMMYFUNCTION("""COMPUTED_VALUE"""),"Output Setup (Gravure/Offset)")</f>
        <v>Output Setup (Gravure/Offset)</v>
      </c>
      <c r="G43" s="95" t="str">
        <f ca="1">IFERROR(__xludf.DUMMYFUNCTION("""COMPUTED_VALUE"""),"New")</f>
        <v>New</v>
      </c>
      <c r="H43" s="96">
        <f ca="1">IFERROR(__xludf.DUMMYFUNCTION("""COMPUTED_VALUE"""),2)</f>
        <v>2</v>
      </c>
      <c r="I43" s="97">
        <f ca="1">IFERROR(__xludf.DUMMYFUNCTION("""COMPUTED_VALUE"""),45988)</f>
        <v>45988</v>
      </c>
      <c r="J43" s="98" t="str">
        <f ca="1">IFERROR(__xludf.DUMMYFUNCTION("""COMPUTED_VALUE"""),"CW17661_Nov25")</f>
        <v>CW17661_Nov25</v>
      </c>
      <c r="K43" s="99" t="str">
        <f ca="1">IFERROR(__xludf.DUMMYFUNCTION("""COMPUTED_VALUE"""),"HoM Approved")</f>
        <v>HoM Approved</v>
      </c>
    </row>
    <row r="44" spans="1:11" ht="13.2">
      <c r="A44" s="89" t="str">
        <f ca="1">IFERROR(__xludf.DUMMYFUNCTION("""COMPUTED_VALUE"""),"PRAN FCMP")</f>
        <v>PRAN FCMP</v>
      </c>
      <c r="B44" s="90" t="str">
        <f ca="1">IFERROR(__xludf.DUMMYFUNCTION("""COMPUTED_VALUE"""),"Dairy")</f>
        <v>Dairy</v>
      </c>
      <c r="C44" s="91" t="str">
        <f ca="1">IFERROR(__xludf.DUMMYFUNCTION("""COMPUTED_VALUE"""),"Aydeed Vai")</f>
        <v>Aydeed Vai</v>
      </c>
      <c r="D44" s="92" t="str">
        <f ca="1">IFERROR(__xludf.DUMMYFUNCTION("""COMPUTED_VALUE"""),"Jyotirmay Sarker (S188138)")</f>
        <v>Jyotirmay Sarker (S188138)</v>
      </c>
      <c r="E44" s="93" t="str">
        <f ca="1">IFERROR(__xludf.DUMMYFUNCTION("""COMPUTED_VALUE"""),"CB11216_Nov25")</f>
        <v>CB11216_Nov25</v>
      </c>
      <c r="F44" s="94" t="str">
        <f ca="1">IFERROR(__xludf.DUMMYFUNCTION("""COMPUTED_VALUE"""),"Flyer/Brochure/Banner Output")</f>
        <v>Flyer/Brochure/Banner Output</v>
      </c>
      <c r="G44" s="95" t="str">
        <f ca="1">IFERROR(__xludf.DUMMYFUNCTION("""COMPUTED_VALUE"""),"New")</f>
        <v>New</v>
      </c>
      <c r="H44" s="96">
        <f ca="1">IFERROR(__xludf.DUMMYFUNCTION("""COMPUTED_VALUE"""),1)</f>
        <v>1</v>
      </c>
      <c r="I44" s="97">
        <f ca="1">IFERROR(__xludf.DUMMYFUNCTION("""COMPUTED_VALUE"""),45990)</f>
        <v>45990</v>
      </c>
      <c r="J44" s="98" t="str">
        <f ca="1">IFERROR(__xludf.DUMMYFUNCTION("""COMPUTED_VALUE"""),"CW17794_Nov25")</f>
        <v>CW17794_Nov25</v>
      </c>
      <c r="K44" s="99" t="str">
        <f ca="1">IFERROR(__xludf.DUMMYFUNCTION("""COMPUTED_VALUE"""),"HoM Approved")</f>
        <v>HoM Approved</v>
      </c>
    </row>
    <row r="45" spans="1:11" ht="13.2">
      <c r="A45" s="89" t="str">
        <f ca="1">IFERROR(__xludf.DUMMYFUNCTION("""COMPUTED_VALUE"""),"Common - India Export")</f>
        <v>Common - India Export</v>
      </c>
      <c r="B45" s="90" t="str">
        <f ca="1">IFERROR(__xludf.DUMMYFUNCTION("""COMPUTED_VALUE"""),"India")</f>
        <v>India</v>
      </c>
      <c r="C45" s="91" t="str">
        <f ca="1">IFERROR(__xludf.DUMMYFUNCTION("""COMPUTED_VALUE"""),"Prapty Apu")</f>
        <v>Prapty Apu</v>
      </c>
      <c r="D45" s="92" t="str">
        <f ca="1">IFERROR(__xludf.DUMMYFUNCTION("""COMPUTED_VALUE"""),"Jyotirmay Sarker (S188138)")</f>
        <v>Jyotirmay Sarker (S188138)</v>
      </c>
      <c r="E45" s="93" t="str">
        <f ca="1">IFERROR(__xludf.DUMMYFUNCTION("""COMPUTED_VALUE"""),"CB12450_Nov25")</f>
        <v>CB12450_Nov25</v>
      </c>
      <c r="F45" s="94" t="str">
        <f ca="1">IFERROR(__xludf.DUMMYFUNCTION("""COMPUTED_VALUE"""),"Output Setup (Gravure/Offset)")</f>
        <v>Output Setup (Gravure/Offset)</v>
      </c>
      <c r="G45" s="95" t="str">
        <f ca="1">IFERROR(__xludf.DUMMYFUNCTION("""COMPUTED_VALUE"""),"New")</f>
        <v>New</v>
      </c>
      <c r="H45" s="96">
        <f ca="1">IFERROR(__xludf.DUMMYFUNCTION("""COMPUTED_VALUE"""),9)</f>
        <v>9</v>
      </c>
      <c r="I45" s="97">
        <f ca="1">IFERROR(__xludf.DUMMYFUNCTION("""COMPUTED_VALUE"""),45990)</f>
        <v>45990</v>
      </c>
      <c r="J45" s="98" t="str">
        <f ca="1">IFERROR(__xludf.DUMMYFUNCTION("""COMPUTED_VALUE"""),"CW17783_Nov25")</f>
        <v>CW17783_Nov25</v>
      </c>
      <c r="K45" s="99" t="str">
        <f ca="1">IFERROR(__xludf.DUMMYFUNCTION("""COMPUTED_VALUE"""),"HoM Approved")</f>
        <v>HoM Approved</v>
      </c>
    </row>
    <row r="46" spans="1:11" ht="13.2">
      <c r="A46" s="89" t="str">
        <f ca="1">IFERROR(__xludf.DUMMYFUNCTION("""COMPUTED_VALUE"""),"PRAN Jelly Candy")</f>
        <v>PRAN Jelly Candy</v>
      </c>
      <c r="B46" s="90" t="str">
        <f ca="1">IFERROR(__xludf.DUMMYFUNCTION("""COMPUTED_VALUE"""),"USA &amp; Europe")</f>
        <v>USA &amp; Europe</v>
      </c>
      <c r="C46" s="91" t="str">
        <f ca="1">IFERROR(__xludf.DUMMYFUNCTION("""COMPUTED_VALUE"""),"Zahirul Vai")</f>
        <v>Zahirul Vai</v>
      </c>
      <c r="D46" s="92" t="str">
        <f ca="1">IFERROR(__xludf.DUMMYFUNCTION("""COMPUTED_VALUE"""),"Jyotirmay Sarker (S188138)")</f>
        <v>Jyotirmay Sarker (S188138)</v>
      </c>
      <c r="E46" s="93" t="str">
        <f ca="1">IFERROR(__xludf.DUMMYFUNCTION("""COMPUTED_VALUE"""),"CB12509_Nov25")</f>
        <v>CB12509_Nov25</v>
      </c>
      <c r="F46" s="94" t="str">
        <f ca="1">IFERROR(__xludf.DUMMYFUNCTION("""COMPUTED_VALUE"""),"Output Setup (Gravure/Offset)")</f>
        <v>Output Setup (Gravure/Offset)</v>
      </c>
      <c r="G46" s="95" t="str">
        <f ca="1">IFERROR(__xludf.DUMMYFUNCTION("""COMPUTED_VALUE"""),"New")</f>
        <v>New</v>
      </c>
      <c r="H46" s="96">
        <f ca="1">IFERROR(__xludf.DUMMYFUNCTION("""COMPUTED_VALUE"""),2)</f>
        <v>2</v>
      </c>
      <c r="I46" s="97">
        <f ca="1">IFERROR(__xludf.DUMMYFUNCTION("""COMPUTED_VALUE"""),45990)</f>
        <v>45990</v>
      </c>
      <c r="J46" s="98" t="str">
        <f ca="1">IFERROR(__xludf.DUMMYFUNCTION("""COMPUTED_VALUE"""),"CW17714_Nov25")</f>
        <v>CW17714_Nov25</v>
      </c>
      <c r="K46" s="99" t="str">
        <f ca="1">IFERROR(__xludf.DUMMYFUNCTION("""COMPUTED_VALUE"""),"HoM Approved")</f>
        <v>HoM Approved</v>
      </c>
    </row>
    <row r="47" spans="1:11" ht="13.2">
      <c r="A47" s="89" t="str">
        <f ca="1">IFERROR(__xludf.DUMMYFUNCTION("""COMPUTED_VALUE"""),"Common - India Export")</f>
        <v>Common - India Export</v>
      </c>
      <c r="B47" s="90" t="str">
        <f ca="1">IFERROR(__xludf.DUMMYFUNCTION("""COMPUTED_VALUE"""),"India")</f>
        <v>India</v>
      </c>
      <c r="C47" s="91" t="str">
        <f ca="1">IFERROR(__xludf.DUMMYFUNCTION("""COMPUTED_VALUE"""),"Prapty Apu")</f>
        <v>Prapty Apu</v>
      </c>
      <c r="D47" s="92" t="str">
        <f ca="1">IFERROR(__xludf.DUMMYFUNCTION("""COMPUTED_VALUE"""),"Jyotirmay Sarker (S188138)")</f>
        <v>Jyotirmay Sarker (S188138)</v>
      </c>
      <c r="E47" s="93" t="str">
        <f ca="1">IFERROR(__xludf.DUMMYFUNCTION("""COMPUTED_VALUE"""),"CB12728_Dec25")</f>
        <v>CB12728_Dec25</v>
      </c>
      <c r="F47" s="94" t="str">
        <f ca="1">IFERROR(__xludf.DUMMYFUNCTION("""COMPUTED_VALUE"""),"Output Setup (Gravure/Offset)")</f>
        <v>Output Setup (Gravure/Offset)</v>
      </c>
      <c r="G47" s="95" t="str">
        <f ca="1">IFERROR(__xludf.DUMMYFUNCTION("""COMPUTED_VALUE"""),"New")</f>
        <v>New</v>
      </c>
      <c r="H47" s="96">
        <f ca="1">IFERROR(__xludf.DUMMYFUNCTION("""COMPUTED_VALUE"""),9)</f>
        <v>9</v>
      </c>
      <c r="I47" s="97">
        <f ca="1">IFERROR(__xludf.DUMMYFUNCTION("""COMPUTED_VALUE"""),45995)</f>
        <v>45995</v>
      </c>
      <c r="J47" s="98" t="str">
        <f ca="1">IFERROR(__xludf.DUMMYFUNCTION("""COMPUTED_VALUE"""),"CW18386_Dec25")</f>
        <v>CW18386_Dec25</v>
      </c>
      <c r="K47" s="99" t="str">
        <f ca="1">IFERROR(__xludf.DUMMYFUNCTION("""COMPUTED_VALUE"""),"HoM Approved")</f>
        <v>HoM Approved</v>
      </c>
    </row>
    <row r="48" spans="1:11" ht="13.2">
      <c r="A48" s="89" t="str">
        <f ca="1">IFERROR(__xludf.DUMMYFUNCTION("""COMPUTED_VALUE"""),"PRAN Cream Biscuit")</f>
        <v>PRAN Cream Biscuit</v>
      </c>
      <c r="B48" s="90" t="str">
        <f ca="1">IFERROR(__xludf.DUMMYFUNCTION("""COMPUTED_VALUE"""),"BBL")</f>
        <v>BBL</v>
      </c>
      <c r="C48" s="91" t="str">
        <f ca="1">IFERROR(__xludf.DUMMYFUNCTION("""COMPUTED_VALUE"""),"Ove Vai")</f>
        <v>Ove Vai</v>
      </c>
      <c r="D48" s="92" t="str">
        <f ca="1">IFERROR(__xludf.DUMMYFUNCTION("""COMPUTED_VALUE"""),"Jyotirmay Sarker (S188138)")</f>
        <v>Jyotirmay Sarker (S188138)</v>
      </c>
      <c r="E48" s="93" t="str">
        <f ca="1">IFERROR(__xludf.DUMMYFUNCTION("""COMPUTED_VALUE"""),"CB12193_Nov25")</f>
        <v>CB12193_Nov25</v>
      </c>
      <c r="F48" s="94" t="str">
        <f ca="1">IFERROR(__xludf.DUMMYFUNCTION("""COMPUTED_VALUE"""),"Output Setup (Gravure/Offset)")</f>
        <v>Output Setup (Gravure/Offset)</v>
      </c>
      <c r="G48" s="95" t="str">
        <f ca="1">IFERROR(__xludf.DUMMYFUNCTION("""COMPUTED_VALUE"""),"New")</f>
        <v>New</v>
      </c>
      <c r="H48" s="96">
        <f ca="1">IFERROR(__xludf.DUMMYFUNCTION("""COMPUTED_VALUE"""),4)</f>
        <v>4</v>
      </c>
      <c r="I48" s="97">
        <f ca="1">IFERROR(__xludf.DUMMYFUNCTION("""COMPUTED_VALUE"""),45997)</f>
        <v>45997</v>
      </c>
      <c r="J48" s="98" t="str">
        <f ca="1">IFERROR(__xludf.DUMMYFUNCTION("""COMPUTED_VALUE"""),"CW18504_Dec25")</f>
        <v>CW18504_Dec25</v>
      </c>
      <c r="K48" s="99" t="str">
        <f ca="1">IFERROR(__xludf.DUMMYFUNCTION("""COMPUTED_VALUE"""),"HoM Approved")</f>
        <v>HoM Approved</v>
      </c>
    </row>
    <row r="49" spans="1:11" ht="13.2">
      <c r="A49" s="89" t="str">
        <f ca="1">IFERROR(__xludf.DUMMYFUNCTION("""COMPUTED_VALUE"""),"Bisk Club SHERO Biscuit")</f>
        <v>Bisk Club SHERO Biscuit</v>
      </c>
      <c r="B49" s="90" t="str">
        <f ca="1">IFERROR(__xludf.DUMMYFUNCTION("""COMPUTED_VALUE"""),"BBL")</f>
        <v>BBL</v>
      </c>
      <c r="C49" s="91" t="str">
        <f ca="1">IFERROR(__xludf.DUMMYFUNCTION("""COMPUTED_VALUE"""),"Zahirul Vai")</f>
        <v>Zahirul Vai</v>
      </c>
      <c r="D49" s="92" t="str">
        <f ca="1">IFERROR(__xludf.DUMMYFUNCTION("""COMPUTED_VALUE"""),"Jyotirmay Sarker (S188138)")</f>
        <v>Jyotirmay Sarker (S188138)</v>
      </c>
      <c r="E49" s="93" t="str">
        <f ca="1">IFERROR(__xludf.DUMMYFUNCTION("""COMPUTED_VALUE"""),"CB13093_Dec25")</f>
        <v>CB13093_Dec25</v>
      </c>
      <c r="F49" s="94" t="str">
        <f ca="1">IFERROR(__xludf.DUMMYFUNCTION("""COMPUTED_VALUE"""),"ATC Box Output")</f>
        <v>ATC Box Output</v>
      </c>
      <c r="G49" s="95" t="str">
        <f ca="1">IFERROR(__xludf.DUMMYFUNCTION("""COMPUTED_VALUE"""),"New")</f>
        <v>New</v>
      </c>
      <c r="H49" s="96">
        <f ca="1">IFERROR(__xludf.DUMMYFUNCTION("""COMPUTED_VALUE"""),3)</f>
        <v>3</v>
      </c>
      <c r="I49" s="97">
        <f ca="1">IFERROR(__xludf.DUMMYFUNCTION("""COMPUTED_VALUE"""),45998)</f>
        <v>45998</v>
      </c>
      <c r="J49" s="98" t="str">
        <f ca="1">IFERROR(__xludf.DUMMYFUNCTION("""COMPUTED_VALUE"""),"CW18556_Dec25")</f>
        <v>CW18556_Dec25</v>
      </c>
      <c r="K49" s="99" t="str">
        <f ca="1">IFERROR(__xludf.DUMMYFUNCTION("""COMPUTED_VALUE"""),"HoM Approved")</f>
        <v>HoM Approved</v>
      </c>
    </row>
    <row r="50" spans="1:11" ht="13.2">
      <c r="A50" s="89" t="str">
        <f ca="1">IFERROR(__xludf.DUMMYFUNCTION("""COMPUTED_VALUE"""),"RFL Welding Electrode")</f>
        <v>RFL Welding Electrode</v>
      </c>
      <c r="B50" s="90" t="str">
        <f ca="1">IFERROR(__xludf.DUMMYFUNCTION("""COMPUTED_VALUE"""),"RMIL-1")</f>
        <v>RMIL-1</v>
      </c>
      <c r="C50" s="91" t="str">
        <f ca="1">IFERROR(__xludf.DUMMYFUNCTION("""COMPUTED_VALUE"""),"Mehedi Vaiya")</f>
        <v>Mehedi Vaiya</v>
      </c>
      <c r="D50" s="92" t="str">
        <f ca="1">IFERROR(__xludf.DUMMYFUNCTION("""COMPUTED_VALUE"""),"Jyotirmay Sarker (S188138)")</f>
        <v>Jyotirmay Sarker (S188138)</v>
      </c>
      <c r="E50" s="93" t="str">
        <f ca="1">IFERROR(__xludf.DUMMYFUNCTION("""COMPUTED_VALUE"""),"CB12908_Dec25")</f>
        <v>CB12908_Dec25</v>
      </c>
      <c r="F50" s="94" t="str">
        <f ca="1">IFERROR(__xludf.DUMMYFUNCTION("""COMPUTED_VALUE"""),"Output Setup (Gravure/Offset)")</f>
        <v>Output Setup (Gravure/Offset)</v>
      </c>
      <c r="G50" s="95" t="str">
        <f ca="1">IFERROR(__xludf.DUMMYFUNCTION("""COMPUTED_VALUE"""),"New")</f>
        <v>New</v>
      </c>
      <c r="H50" s="96">
        <f ca="1">IFERROR(__xludf.DUMMYFUNCTION("""COMPUTED_VALUE"""),7)</f>
        <v>7</v>
      </c>
      <c r="I50" s="97">
        <f ca="1">IFERROR(__xludf.DUMMYFUNCTION("""COMPUTED_VALUE"""),45999)</f>
        <v>45999</v>
      </c>
      <c r="J50" s="98" t="str">
        <f ca="1">IFERROR(__xludf.DUMMYFUNCTION("""COMPUTED_VALUE"""),"CW18688_Dec25")</f>
        <v>CW18688_Dec25</v>
      </c>
      <c r="K50" s="99" t="str">
        <f ca="1">IFERROR(__xludf.DUMMYFUNCTION("""COMPUTED_VALUE"""),"HoM Approved")</f>
        <v>HoM Approved</v>
      </c>
    </row>
    <row r="51" spans="1:11" ht="13.2">
      <c r="A51" s="89" t="str">
        <f ca="1">IFERROR(__xludf.DUMMYFUNCTION("""COMPUTED_VALUE"""),"Tasty Treat Cafe")</f>
        <v>Tasty Treat Cafe</v>
      </c>
      <c r="B51" s="90" t="str">
        <f ca="1">IFERROR(__xludf.DUMMYFUNCTION("""COMPUTED_VALUE"""),"Tasty Treat")</f>
        <v>Tasty Treat</v>
      </c>
      <c r="C51" s="91" t="str">
        <f ca="1">IFERROR(__xludf.DUMMYFUNCTION("""COMPUTED_VALUE"""),"Nahian Vai")</f>
        <v>Nahian Vai</v>
      </c>
      <c r="D51" s="92" t="str">
        <f ca="1">IFERROR(__xludf.DUMMYFUNCTION("""COMPUTED_VALUE"""),"Jyotirmay Sarker (S188138)")</f>
        <v>Jyotirmay Sarker (S188138)</v>
      </c>
      <c r="E51" s="93" t="str">
        <f ca="1">IFERROR(__xludf.DUMMYFUNCTION("""COMPUTED_VALUE"""),"CB12669_Nov25")</f>
        <v>CB12669_Nov25</v>
      </c>
      <c r="F51" s="94" t="str">
        <f ca="1">IFERROR(__xludf.DUMMYFUNCTION("""COMPUTED_VALUE"""),"Output Setup (Gravure/Offset)")</f>
        <v>Output Setup (Gravure/Offset)</v>
      </c>
      <c r="G51" s="95" t="str">
        <f ca="1">IFERROR(__xludf.DUMMYFUNCTION("""COMPUTED_VALUE"""),"New")</f>
        <v>New</v>
      </c>
      <c r="H51" s="96">
        <f ca="1">IFERROR(__xludf.DUMMYFUNCTION("""COMPUTED_VALUE"""),6)</f>
        <v>6</v>
      </c>
      <c r="I51" s="97">
        <f ca="1">IFERROR(__xludf.DUMMYFUNCTION("""COMPUTED_VALUE"""),45999)</f>
        <v>45999</v>
      </c>
      <c r="J51" s="98" t="str">
        <f ca="1">IFERROR(__xludf.DUMMYFUNCTION("""COMPUTED_VALUE"""),"CW18635_Dec25")</f>
        <v>CW18635_Dec25</v>
      </c>
      <c r="K51" s="99" t="str">
        <f ca="1">IFERROR(__xludf.DUMMYFUNCTION("""COMPUTED_VALUE"""),"HoM Approved")</f>
        <v>HoM Approved</v>
      </c>
    </row>
    <row r="52" spans="1:11" ht="13.2">
      <c r="A52" s="89" t="str">
        <f ca="1">IFERROR(__xludf.DUMMYFUNCTION("""COMPUTED_VALUE"""),"All Time Cookies")</f>
        <v>All Time Cookies</v>
      </c>
      <c r="B52" s="90" t="str">
        <f ca="1">IFERROR(__xludf.DUMMYFUNCTION("""COMPUTED_VALUE"""),"BBL")</f>
        <v>BBL</v>
      </c>
      <c r="C52" s="91" t="str">
        <f ca="1">IFERROR(__xludf.DUMMYFUNCTION("""COMPUTED_VALUE"""),"Afrin Apu")</f>
        <v>Afrin Apu</v>
      </c>
      <c r="D52" s="92" t="str">
        <f ca="1">IFERROR(__xludf.DUMMYFUNCTION("""COMPUTED_VALUE"""),"Jyotirmay Sarker (S188138)")</f>
        <v>Jyotirmay Sarker (S188138)</v>
      </c>
      <c r="E52" s="93" t="str">
        <f ca="1">IFERROR(__xludf.DUMMYFUNCTION("""COMPUTED_VALUE"""),"CB9566_Oct25")</f>
        <v>CB9566_Oct25</v>
      </c>
      <c r="F52" s="94" t="str">
        <f ca="1">IFERROR(__xludf.DUMMYFUNCTION("""COMPUTED_VALUE"""),"Output Setup (Gravure/Offset)")</f>
        <v>Output Setup (Gravure/Offset)</v>
      </c>
      <c r="G52" s="95" t="str">
        <f ca="1">IFERROR(__xludf.DUMMYFUNCTION("""COMPUTED_VALUE"""),"New")</f>
        <v>New</v>
      </c>
      <c r="H52" s="96">
        <f ca="1">IFERROR(__xludf.DUMMYFUNCTION("""COMPUTED_VALUE"""),1)</f>
        <v>1</v>
      </c>
      <c r="I52" s="97">
        <f ca="1">IFERROR(__xludf.DUMMYFUNCTION("""COMPUTED_VALUE"""),46000)</f>
        <v>46000</v>
      </c>
      <c r="J52" s="98" t="str">
        <f ca="1">IFERROR(__xludf.DUMMYFUNCTION("""COMPUTED_VALUE"""),"CW18790_Dec25")</f>
        <v>CW18790_Dec25</v>
      </c>
      <c r="K52" s="99" t="str">
        <f ca="1">IFERROR(__xludf.DUMMYFUNCTION("""COMPUTED_VALUE"""),"HoM Approved")</f>
        <v>HoM Approved</v>
      </c>
    </row>
    <row r="53" spans="1:11" ht="13.2">
      <c r="A53" s="89" t="str">
        <f ca="1">IFERROR(__xludf.DUMMYFUNCTION("""COMPUTED_VALUE"""),"Orange Plus")</f>
        <v>Orange Plus</v>
      </c>
      <c r="B53" s="90" t="str">
        <f ca="1">IFERROR(__xludf.DUMMYFUNCTION("""COMPUTED_VALUE"""),"AMCL")</f>
        <v>AMCL</v>
      </c>
      <c r="C53" s="91" t="str">
        <f ca="1">IFERROR(__xludf.DUMMYFUNCTION("""COMPUTED_VALUE"""),"Miraj Vai")</f>
        <v>Miraj Vai</v>
      </c>
      <c r="D53" s="92" t="str">
        <f ca="1">IFERROR(__xludf.DUMMYFUNCTION("""COMPUTED_VALUE"""),"Jyotirmay Sarker (S188138)")</f>
        <v>Jyotirmay Sarker (S188138)</v>
      </c>
      <c r="E53" s="93" t="str">
        <f ca="1">IFERROR(__xludf.DUMMYFUNCTION("""COMPUTED_VALUE"""),"CB11297_Nov25")</f>
        <v>CB11297_Nov25</v>
      </c>
      <c r="F53" s="94" t="str">
        <f ca="1">IFERROR(__xludf.DUMMYFUNCTION("""COMPUTED_VALUE"""),"Output Setup (Gravure/Offset)")</f>
        <v>Output Setup (Gravure/Offset)</v>
      </c>
      <c r="G53" s="95" t="str">
        <f ca="1">IFERROR(__xludf.DUMMYFUNCTION("""COMPUTED_VALUE"""),"New")</f>
        <v>New</v>
      </c>
      <c r="H53" s="96">
        <f ca="1">IFERROR(__xludf.DUMMYFUNCTION("""COMPUTED_VALUE"""),2)</f>
        <v>2</v>
      </c>
      <c r="I53" s="97">
        <f ca="1">IFERROR(__xludf.DUMMYFUNCTION("""COMPUTED_VALUE"""),46000)</f>
        <v>46000</v>
      </c>
      <c r="J53" s="98" t="str">
        <f ca="1">IFERROR(__xludf.DUMMYFUNCTION("""COMPUTED_VALUE"""),"CW18784_Dec25")</f>
        <v>CW18784_Dec25</v>
      </c>
      <c r="K53" s="99" t="str">
        <f ca="1">IFERROR(__xludf.DUMMYFUNCTION("""COMPUTED_VALUE"""),"HoM Approved")</f>
        <v>HoM Approved</v>
      </c>
    </row>
    <row r="54" spans="1:11" ht="13.2">
      <c r="A54" s="89" t="str">
        <f ca="1">IFERROR(__xludf.DUMMYFUNCTION("""COMPUTED_VALUE"""),"Pran Potata Spicy Biscuit  USA 3fl")</f>
        <v>Pran Potata Spicy Biscuit  USA 3fl</v>
      </c>
      <c r="B54" s="90" t="str">
        <f ca="1">IFERROR(__xludf.DUMMYFUNCTION("""COMPUTED_VALUE"""),"Africa")</f>
        <v>Africa</v>
      </c>
      <c r="C54" s="91" t="str">
        <f ca="1">IFERROR(__xludf.DUMMYFUNCTION("""COMPUTED_VALUE"""),"Zahirul Vai")</f>
        <v>Zahirul Vai</v>
      </c>
      <c r="D54" s="92" t="str">
        <f ca="1">IFERROR(__xludf.DUMMYFUNCTION("""COMPUTED_VALUE"""),"Jyotirmay Sarker (S188138)")</f>
        <v>Jyotirmay Sarker (S188138)</v>
      </c>
      <c r="E54" s="93" t="str">
        <f ca="1">IFERROR(__xludf.DUMMYFUNCTION("""COMPUTED_VALUE"""),"CB12097_Nov25")</f>
        <v>CB12097_Nov25</v>
      </c>
      <c r="F54" s="94" t="str">
        <f ca="1">IFERROR(__xludf.DUMMYFUNCTION("""COMPUTED_VALUE"""),"ATC Box Output")</f>
        <v>ATC Box Output</v>
      </c>
      <c r="G54" s="95" t="str">
        <f ca="1">IFERROR(__xludf.DUMMYFUNCTION("""COMPUTED_VALUE"""),"New")</f>
        <v>New</v>
      </c>
      <c r="H54" s="96">
        <f ca="1">IFERROR(__xludf.DUMMYFUNCTION("""COMPUTED_VALUE"""),3)</f>
        <v>3</v>
      </c>
      <c r="I54" s="97">
        <f ca="1">IFERROR(__xludf.DUMMYFUNCTION("""COMPUTED_VALUE"""),46000)</f>
        <v>46000</v>
      </c>
      <c r="J54" s="98" t="str">
        <f ca="1">IFERROR(__xludf.DUMMYFUNCTION("""COMPUTED_VALUE"""),"CW18814_Dec25")</f>
        <v>CW18814_Dec25</v>
      </c>
      <c r="K54" s="99" t="str">
        <f ca="1">IFERROR(__xludf.DUMMYFUNCTION("""COMPUTED_VALUE"""),"HoM Approved")</f>
        <v>HoM Approved</v>
      </c>
    </row>
    <row r="55" spans="1:11" ht="13.2">
      <c r="A55" s="89" t="str">
        <f ca="1">IFERROR(__xludf.DUMMYFUNCTION("""COMPUTED_VALUE"""),"PRAN Dry Cake")</f>
        <v>PRAN Dry Cake</v>
      </c>
      <c r="B55" s="90" t="str">
        <f ca="1">IFERROR(__xludf.DUMMYFUNCTION("""COMPUTED_VALUE"""),"KSA")</f>
        <v>KSA</v>
      </c>
      <c r="C55" s="91" t="str">
        <f ca="1">IFERROR(__xludf.DUMMYFUNCTION("""COMPUTED_VALUE"""),"Ove Vai")</f>
        <v>Ove Vai</v>
      </c>
      <c r="D55" s="92" t="str">
        <f ca="1">IFERROR(__xludf.DUMMYFUNCTION("""COMPUTED_VALUE"""),"Jyotirmay Sarker (S188138)")</f>
        <v>Jyotirmay Sarker (S188138)</v>
      </c>
      <c r="E55" s="93" t="str">
        <f ca="1">IFERROR(__xludf.DUMMYFUNCTION("""COMPUTED_VALUE"""),"CB12984_Dec25")</f>
        <v>CB12984_Dec25</v>
      </c>
      <c r="F55" s="94" t="str">
        <f ca="1">IFERROR(__xludf.DUMMYFUNCTION("""COMPUTED_VALUE"""),"ATC Box Output")</f>
        <v>ATC Box Output</v>
      </c>
      <c r="G55" s="95" t="str">
        <f ca="1">IFERROR(__xludf.DUMMYFUNCTION("""COMPUTED_VALUE"""),"New")</f>
        <v>New</v>
      </c>
      <c r="H55" s="96">
        <f ca="1">IFERROR(__xludf.DUMMYFUNCTION("""COMPUTED_VALUE"""),1)</f>
        <v>1</v>
      </c>
      <c r="I55" s="97">
        <f ca="1">IFERROR(__xludf.DUMMYFUNCTION("""COMPUTED_VALUE"""),46001)</f>
        <v>46001</v>
      </c>
      <c r="J55" s="98" t="str">
        <f ca="1">IFERROR(__xludf.DUMMYFUNCTION("""COMPUTED_VALUE"""),"CW18875_Dec25")</f>
        <v>CW18875_Dec25</v>
      </c>
      <c r="K55" s="99" t="str">
        <f ca="1">IFERROR(__xludf.DUMMYFUNCTION("""COMPUTED_VALUE"""),"Brief Submitted")</f>
        <v>Brief Submitted</v>
      </c>
    </row>
    <row r="56" spans="1:11" ht="13.2">
      <c r="A56" s="89" t="str">
        <f ca="1">IFERROR(__xludf.DUMMYFUNCTION("""COMPUTED_VALUE"""),"PRAN Frozen Foods")</f>
        <v>PRAN Frozen Foods</v>
      </c>
      <c r="B56" s="90" t="str">
        <f ca="1">IFERROR(__xludf.DUMMYFUNCTION("""COMPUTED_VALUE"""),"PFF")</f>
        <v>PFF</v>
      </c>
      <c r="C56" s="91" t="str">
        <f ca="1">IFERROR(__xludf.DUMMYFUNCTION("""COMPUTED_VALUE"""),"Zahirul Vai")</f>
        <v>Zahirul Vai</v>
      </c>
      <c r="D56" s="92" t="str">
        <f ca="1">IFERROR(__xludf.DUMMYFUNCTION("""COMPUTED_VALUE"""),"Jyotirmay Sarker (S188138)")</f>
        <v>Jyotirmay Sarker (S188138)</v>
      </c>
      <c r="E56" s="93" t="str">
        <f ca="1">IFERROR(__xludf.DUMMYFUNCTION("""COMPUTED_VALUE"""),"CB12692_Nov25")</f>
        <v>CB12692_Nov25</v>
      </c>
      <c r="F56" s="94" t="str">
        <f ca="1">IFERROR(__xludf.DUMMYFUNCTION("""COMPUTED_VALUE"""),"ATC Box Output")</f>
        <v>ATC Box Output</v>
      </c>
      <c r="G56" s="95" t="str">
        <f ca="1">IFERROR(__xludf.DUMMYFUNCTION("""COMPUTED_VALUE"""),"New")</f>
        <v>New</v>
      </c>
      <c r="H56" s="96">
        <f ca="1">IFERROR(__xludf.DUMMYFUNCTION("""COMPUTED_VALUE"""),4)</f>
        <v>4</v>
      </c>
      <c r="I56" s="97">
        <f ca="1">IFERROR(__xludf.DUMMYFUNCTION("""COMPUTED_VALUE"""),46002)</f>
        <v>46002</v>
      </c>
      <c r="J56" s="98" t="str">
        <f ca="1">IFERROR(__xludf.DUMMYFUNCTION("""COMPUTED_VALUE"""),"CW19002_Dec25")</f>
        <v>CW19002_Dec25</v>
      </c>
      <c r="K56" s="99" t="str">
        <f ca="1">IFERROR(__xludf.DUMMYFUNCTION("""COMPUTED_VALUE"""),"HoM Approved")</f>
        <v>HoM Approved</v>
      </c>
    </row>
    <row r="57" spans="1:11" ht="13.2">
      <c r="A57" s="89" t="str">
        <f ca="1">IFERROR(__xludf.DUMMYFUNCTION("""COMPUTED_VALUE"""),"Vision Emporium")</f>
        <v>Vision Emporium</v>
      </c>
      <c r="B57" s="90" t="str">
        <f ca="1">IFERROR(__xludf.DUMMYFUNCTION("""COMPUTED_VALUE"""),"Retail")</f>
        <v>Retail</v>
      </c>
      <c r="C57" s="91" t="str">
        <f ca="1">IFERROR(__xludf.DUMMYFUNCTION("""COMPUTED_VALUE"""),"Sourav Vai")</f>
        <v>Sourav Vai</v>
      </c>
      <c r="D57" s="92" t="str">
        <f ca="1">IFERROR(__xludf.DUMMYFUNCTION("""COMPUTED_VALUE"""),"Jyotirmay Sarker (S188138)")</f>
        <v>Jyotirmay Sarker (S188138)</v>
      </c>
      <c r="E57" s="93" t="str">
        <f ca="1">IFERROR(__xludf.DUMMYFUNCTION("""COMPUTED_VALUE"""),"CB11189_Nov25")</f>
        <v>CB11189_Nov25</v>
      </c>
      <c r="F57" s="94" t="str">
        <f ca="1">IFERROR(__xludf.DUMMYFUNCTION("""COMPUTED_VALUE"""),"Output Setup (Gravure/Offset)")</f>
        <v>Output Setup (Gravure/Offset)</v>
      </c>
      <c r="G57" s="95" t="str">
        <f ca="1">IFERROR(__xludf.DUMMYFUNCTION("""COMPUTED_VALUE"""),"New")</f>
        <v>New</v>
      </c>
      <c r="H57" s="96">
        <f ca="1">IFERROR(__xludf.DUMMYFUNCTION("""COMPUTED_VALUE"""),1)</f>
        <v>1</v>
      </c>
      <c r="I57" s="97">
        <f ca="1">IFERROR(__xludf.DUMMYFUNCTION("""COMPUTED_VALUE"""),46005)</f>
        <v>46005</v>
      </c>
      <c r="J57" s="98" t="str">
        <f ca="1">IFERROR(__xludf.DUMMYFUNCTION("""COMPUTED_VALUE"""),"CW19145_Dec25")</f>
        <v>CW19145_Dec25</v>
      </c>
      <c r="K57" s="99" t="str">
        <f ca="1">IFERROR(__xludf.DUMMYFUNCTION("""COMPUTED_VALUE"""),"HoM Approved")</f>
        <v>HoM Approved</v>
      </c>
    </row>
    <row r="58" spans="1:11" ht="13.2">
      <c r="A58" s="89" t="str">
        <f ca="1">IFERROR(__xludf.DUMMYFUNCTION("""COMPUTED_VALUE"""),"PRAN FCMP")</f>
        <v>PRAN FCMP</v>
      </c>
      <c r="B58" s="90" t="str">
        <f ca="1">IFERROR(__xludf.DUMMYFUNCTION("""COMPUTED_VALUE"""),"Dairy")</f>
        <v>Dairy</v>
      </c>
      <c r="C58" s="91" t="str">
        <f ca="1">IFERROR(__xludf.DUMMYFUNCTION("""COMPUTED_VALUE"""),"Aydeed Vai")</f>
        <v>Aydeed Vai</v>
      </c>
      <c r="D58" s="92" t="str">
        <f ca="1">IFERROR(__xludf.DUMMYFUNCTION("""COMPUTED_VALUE"""),"Jyotirmay Sarker (S188138)")</f>
        <v>Jyotirmay Sarker (S188138)</v>
      </c>
      <c r="E58" s="93" t="str">
        <f ca="1">IFERROR(__xludf.DUMMYFUNCTION("""COMPUTED_VALUE"""),"CB13538_Dec25")</f>
        <v>CB13538_Dec25</v>
      </c>
      <c r="F58" s="94" t="str">
        <f ca="1">IFERROR(__xludf.DUMMYFUNCTION("""COMPUTED_VALUE"""),"Output Setup (Gravure/Offset)")</f>
        <v>Output Setup (Gravure/Offset)</v>
      </c>
      <c r="G58" s="95" t="str">
        <f ca="1">IFERROR(__xludf.DUMMYFUNCTION("""COMPUTED_VALUE"""),"New")</f>
        <v>New</v>
      </c>
      <c r="H58" s="96">
        <f ca="1">IFERROR(__xludf.DUMMYFUNCTION("""COMPUTED_VALUE"""),1)</f>
        <v>1</v>
      </c>
      <c r="I58" s="97">
        <f ca="1">IFERROR(__xludf.DUMMYFUNCTION("""COMPUTED_VALUE"""),46006)</f>
        <v>46006</v>
      </c>
      <c r="J58" s="98" t="str">
        <f ca="1">IFERROR(__xludf.DUMMYFUNCTION("""COMPUTED_VALUE"""),"CW19273_Dec25")</f>
        <v>CW19273_Dec25</v>
      </c>
      <c r="K58" s="99" t="str">
        <f ca="1">IFERROR(__xludf.DUMMYFUNCTION("""COMPUTED_VALUE"""),"HoM Approved")</f>
        <v>HoM Approved</v>
      </c>
    </row>
    <row r="59" spans="1:11" ht="13.2">
      <c r="A59" s="89" t="str">
        <f ca="1">IFERROR(__xludf.DUMMYFUNCTION("""COMPUTED_VALUE"""),"Treat Chocolate")</f>
        <v>Treat Chocolate</v>
      </c>
      <c r="B59" s="90" t="str">
        <f ca="1">IFERROR(__xludf.DUMMYFUNCTION("""COMPUTED_VALUE"""),"PCL")</f>
        <v>PCL</v>
      </c>
      <c r="C59" s="91" t="str">
        <f ca="1">IFERROR(__xludf.DUMMYFUNCTION("""COMPUTED_VALUE"""),"Mona Apu")</f>
        <v>Mona Apu</v>
      </c>
      <c r="D59" s="92" t="str">
        <f ca="1">IFERROR(__xludf.DUMMYFUNCTION("""COMPUTED_VALUE"""),"Jyotirmay Sarker (S188138)")</f>
        <v>Jyotirmay Sarker (S188138)</v>
      </c>
      <c r="E59" s="93" t="str">
        <f ca="1">IFERROR(__xludf.DUMMYFUNCTION("""COMPUTED_VALUE"""),"CB12682_Nov25")</f>
        <v>CB12682_Nov25</v>
      </c>
      <c r="F59" s="94" t="str">
        <f ca="1">IFERROR(__xludf.DUMMYFUNCTION("""COMPUTED_VALUE"""),"ATC Box Output")</f>
        <v>ATC Box Output</v>
      </c>
      <c r="G59" s="95" t="str">
        <f ca="1">IFERROR(__xludf.DUMMYFUNCTION("""COMPUTED_VALUE"""),"New")</f>
        <v>New</v>
      </c>
      <c r="H59" s="96">
        <f ca="1">IFERROR(__xludf.DUMMYFUNCTION("""COMPUTED_VALUE"""),1)</f>
        <v>1</v>
      </c>
      <c r="I59" s="97">
        <f ca="1">IFERROR(__xludf.DUMMYFUNCTION("""COMPUTED_VALUE"""),46008)</f>
        <v>46008</v>
      </c>
      <c r="J59" s="98" t="str">
        <f ca="1">IFERROR(__xludf.DUMMYFUNCTION("""COMPUTED_VALUE"""),"CW19396_Dec25")</f>
        <v>CW19396_Dec25</v>
      </c>
      <c r="K59" s="99" t="str">
        <f ca="1">IFERROR(__xludf.DUMMYFUNCTION("""COMPUTED_VALUE"""),"HoM Approved")</f>
        <v>HoM Approved</v>
      </c>
    </row>
    <row r="60" spans="1:11" ht="13.2">
      <c r="A60" s="89" t="str">
        <f ca="1">IFERROR(__xludf.DUMMYFUNCTION("""COMPUTED_VALUE"""),"Pran Dry Cake")</f>
        <v>Pran Dry Cake</v>
      </c>
      <c r="B60" s="90" t="str">
        <f ca="1">IFERROR(__xludf.DUMMYFUNCTION("""COMPUTED_VALUE"""),"BBL")</f>
        <v>BBL</v>
      </c>
      <c r="C60" s="91" t="str">
        <f ca="1">IFERROR(__xludf.DUMMYFUNCTION("""COMPUTED_VALUE"""),"Shamsul Sir")</f>
        <v>Shamsul Sir</v>
      </c>
      <c r="D60" s="92" t="str">
        <f ca="1">IFERROR(__xludf.DUMMYFUNCTION("""COMPUTED_VALUE"""),"Jyotirmay Sarker (S188138)")</f>
        <v>Jyotirmay Sarker (S188138)</v>
      </c>
      <c r="E60" s="93" t="str">
        <f ca="1">IFERROR(__xludf.DUMMYFUNCTION("""COMPUTED_VALUE"""),"CB13714_Dec25")</f>
        <v>CB13714_Dec25</v>
      </c>
      <c r="F60" s="94" t="str">
        <f ca="1">IFERROR(__xludf.DUMMYFUNCTION("""COMPUTED_VALUE"""),"ATC Box Output")</f>
        <v>ATC Box Output</v>
      </c>
      <c r="G60" s="95" t="str">
        <f ca="1">IFERROR(__xludf.DUMMYFUNCTION("""COMPUTED_VALUE"""),"New")</f>
        <v>New</v>
      </c>
      <c r="H60" s="96">
        <f ca="1">IFERROR(__xludf.DUMMYFUNCTION("""COMPUTED_VALUE"""),1)</f>
        <v>1</v>
      </c>
      <c r="I60" s="97">
        <f ca="1">IFERROR(__xludf.DUMMYFUNCTION("""COMPUTED_VALUE"""),46009)</f>
        <v>46009</v>
      </c>
      <c r="J60" s="98" t="str">
        <f ca="1">IFERROR(__xludf.DUMMYFUNCTION("""COMPUTED_VALUE"""),"CW19499_Dec25")</f>
        <v>CW19499_Dec25</v>
      </c>
      <c r="K60" s="99" t="str">
        <f ca="1">IFERROR(__xludf.DUMMYFUNCTION("""COMPUTED_VALUE"""),"HoM Approved")</f>
        <v>HoM Approved</v>
      </c>
    </row>
    <row r="61" spans="1:11" ht="13.2">
      <c r="A61" s="89" t="str">
        <f ca="1">IFERROR(__xludf.DUMMYFUNCTION("""COMPUTED_VALUE"""),"PRAN Basic Spice")</f>
        <v>PRAN Basic Spice</v>
      </c>
      <c r="B61" s="90" t="str">
        <f ca="1">IFERROR(__xludf.DUMMYFUNCTION("""COMPUTED_VALUE"""),"NAL")</f>
        <v>NAL</v>
      </c>
      <c r="C61" s="91" t="str">
        <f ca="1">IFERROR(__xludf.DUMMYFUNCTION("""COMPUTED_VALUE"""),"Shamsul Sir")</f>
        <v>Shamsul Sir</v>
      </c>
      <c r="D61" s="92" t="str">
        <f ca="1">IFERROR(__xludf.DUMMYFUNCTION("""COMPUTED_VALUE"""),"Jyotirmay Sarker (S188138)")</f>
        <v>Jyotirmay Sarker (S188138)</v>
      </c>
      <c r="E61" s="93" t="str">
        <f ca="1">IFERROR(__xludf.DUMMYFUNCTION("""COMPUTED_VALUE"""),"CB13712_Dec25")</f>
        <v>CB13712_Dec25</v>
      </c>
      <c r="F61" s="94" t="str">
        <f ca="1">IFERROR(__xludf.DUMMYFUNCTION("""COMPUTED_VALUE"""),"ATC Box Output")</f>
        <v>ATC Box Output</v>
      </c>
      <c r="G61" s="95" t="str">
        <f ca="1">IFERROR(__xludf.DUMMYFUNCTION("""COMPUTED_VALUE"""),"New")</f>
        <v>New</v>
      </c>
      <c r="H61" s="96">
        <f ca="1">IFERROR(__xludf.DUMMYFUNCTION("""COMPUTED_VALUE"""),9)</f>
        <v>9</v>
      </c>
      <c r="I61" s="97">
        <f ca="1">IFERROR(__xludf.DUMMYFUNCTION("""COMPUTED_VALUE"""),46011)</f>
        <v>46011</v>
      </c>
      <c r="J61" s="98" t="str">
        <f ca="1">IFERROR(__xludf.DUMMYFUNCTION("""COMPUTED_VALUE"""),"CW19638_Dec25")</f>
        <v>CW19638_Dec25</v>
      </c>
      <c r="K61" s="99" t="str">
        <f ca="1">IFERROR(__xludf.DUMMYFUNCTION("""COMPUTED_VALUE"""),"HoM Approved")</f>
        <v>HoM Approved</v>
      </c>
    </row>
    <row r="62" spans="1:11" ht="13.2">
      <c r="A62" s="89" t="str">
        <f ca="1">IFERROR(__xludf.DUMMYFUNCTION("""COMPUTED_VALUE"""),"All Time Cookies")</f>
        <v>All Time Cookies</v>
      </c>
      <c r="B62" s="90" t="str">
        <f ca="1">IFERROR(__xludf.DUMMYFUNCTION("""COMPUTED_VALUE"""),"BBL")</f>
        <v>BBL</v>
      </c>
      <c r="C62" s="91" t="str">
        <f ca="1">IFERROR(__xludf.DUMMYFUNCTION("""COMPUTED_VALUE"""),"Zahirul Vai")</f>
        <v>Zahirul Vai</v>
      </c>
      <c r="D62" s="92" t="str">
        <f ca="1">IFERROR(__xludf.DUMMYFUNCTION("""COMPUTED_VALUE"""),"Jyotirmay Sarker (S188138)")</f>
        <v>Jyotirmay Sarker (S188138)</v>
      </c>
      <c r="E62" s="93" t="str">
        <f ca="1">IFERROR(__xludf.DUMMYFUNCTION("""COMPUTED_VALUE"""),"CB13524_Dec25")</f>
        <v>CB13524_Dec25</v>
      </c>
      <c r="F62" s="94" t="str">
        <f ca="1">IFERROR(__xludf.DUMMYFUNCTION("""COMPUTED_VALUE"""),"ATC Box Output")</f>
        <v>ATC Box Output</v>
      </c>
      <c r="G62" s="95" t="str">
        <f ca="1">IFERROR(__xludf.DUMMYFUNCTION("""COMPUTED_VALUE"""),"New")</f>
        <v>New</v>
      </c>
      <c r="H62" s="96">
        <f ca="1">IFERROR(__xludf.DUMMYFUNCTION("""COMPUTED_VALUE"""),1)</f>
        <v>1</v>
      </c>
      <c r="I62" s="97">
        <f ca="1">IFERROR(__xludf.DUMMYFUNCTION("""COMPUTED_VALUE"""),46012)</f>
        <v>46012</v>
      </c>
      <c r="J62" s="98" t="str">
        <f ca="1">IFERROR(__xludf.DUMMYFUNCTION("""COMPUTED_VALUE"""),"CW19711_Dec25")</f>
        <v>CW19711_Dec25</v>
      </c>
      <c r="K62" s="99" t="str">
        <f ca="1">IFERROR(__xludf.DUMMYFUNCTION("""COMPUTED_VALUE"""),"HoM Approved")</f>
        <v>HoM Approved</v>
      </c>
    </row>
    <row r="63" spans="1:11" ht="13.2">
      <c r="A63" s="89" t="str">
        <f ca="1">IFERROR(__xludf.DUMMYFUNCTION("""COMPUTED_VALUE"""),"PRAN Lollipop")</f>
        <v>PRAN Lollipop</v>
      </c>
      <c r="B63" s="90" t="str">
        <f ca="1">IFERROR(__xludf.DUMMYFUNCTION("""COMPUTED_VALUE"""),"PCL")</f>
        <v>PCL</v>
      </c>
      <c r="C63" s="91" t="str">
        <f ca="1">IFERROR(__xludf.DUMMYFUNCTION("""COMPUTED_VALUE"""),"Zahirul Vai")</f>
        <v>Zahirul Vai</v>
      </c>
      <c r="D63" s="92" t="str">
        <f ca="1">IFERROR(__xludf.DUMMYFUNCTION("""COMPUTED_VALUE"""),"Jyotirmay Sarker (S188138)")</f>
        <v>Jyotirmay Sarker (S188138)</v>
      </c>
      <c r="E63" s="93" t="str">
        <f ca="1">IFERROR(__xludf.DUMMYFUNCTION("""COMPUTED_VALUE"""),"CB13917_Dec25")</f>
        <v>CB13917_Dec25</v>
      </c>
      <c r="F63" s="94" t="str">
        <f ca="1">IFERROR(__xludf.DUMMYFUNCTION("""COMPUTED_VALUE"""),"JAR Label Sticker Output")</f>
        <v>JAR Label Sticker Output</v>
      </c>
      <c r="G63" s="95" t="str">
        <f ca="1">IFERROR(__xludf.DUMMYFUNCTION("""COMPUTED_VALUE"""),"New")</f>
        <v>New</v>
      </c>
      <c r="H63" s="96">
        <f ca="1">IFERROR(__xludf.DUMMYFUNCTION("""COMPUTED_VALUE"""),2)</f>
        <v>2</v>
      </c>
      <c r="I63" s="97">
        <f ca="1">IFERROR(__xludf.DUMMYFUNCTION("""COMPUTED_VALUE"""),46012)</f>
        <v>46012</v>
      </c>
      <c r="J63" s="98" t="str">
        <f ca="1">IFERROR(__xludf.DUMMYFUNCTION("""COMPUTED_VALUE"""),"CW19723_Dec25")</f>
        <v>CW19723_Dec25</v>
      </c>
      <c r="K63" s="99" t="str">
        <f ca="1">IFERROR(__xludf.DUMMYFUNCTION("""COMPUTED_VALUE"""),"HoM Approved")</f>
        <v>HoM Approved</v>
      </c>
    </row>
    <row r="64" spans="1:11" ht="13.2">
      <c r="A64" s="89" t="str">
        <f ca="1">IFERROR(__xludf.DUMMYFUNCTION("""COMPUTED_VALUE"""),"PRAN Chocolord")</f>
        <v>PRAN Chocolord</v>
      </c>
      <c r="B64" s="90" t="str">
        <f ca="1">IFERROR(__xludf.DUMMYFUNCTION("""COMPUTED_VALUE"""),"PAL")</f>
        <v>PAL</v>
      </c>
      <c r="C64" s="91" t="str">
        <f ca="1">IFERROR(__xludf.DUMMYFUNCTION("""COMPUTED_VALUE"""),"Nusrat Apu")</f>
        <v>Nusrat Apu</v>
      </c>
      <c r="D64" s="92" t="str">
        <f ca="1">IFERROR(__xludf.DUMMYFUNCTION("""COMPUTED_VALUE"""),"Jyotirmay Sarker (S188138)")</f>
        <v>Jyotirmay Sarker (S188138)</v>
      </c>
      <c r="E64" s="93" t="str">
        <f ca="1">IFERROR(__xludf.DUMMYFUNCTION("""COMPUTED_VALUE"""),"CB13977_Dec25")</f>
        <v>CB13977_Dec25</v>
      </c>
      <c r="F64" s="94" t="str">
        <f ca="1">IFERROR(__xludf.DUMMYFUNCTION("""COMPUTED_VALUE"""),"JAR Label Sticker Output")</f>
        <v>JAR Label Sticker Output</v>
      </c>
      <c r="G64" s="95" t="str">
        <f ca="1">IFERROR(__xludf.DUMMYFUNCTION("""COMPUTED_VALUE"""),"New")</f>
        <v>New</v>
      </c>
      <c r="H64" s="96">
        <f ca="1">IFERROR(__xludf.DUMMYFUNCTION("""COMPUTED_VALUE"""),1)</f>
        <v>1</v>
      </c>
      <c r="I64" s="97">
        <f ca="1">IFERROR(__xludf.DUMMYFUNCTION("""COMPUTED_VALUE"""),46013)</f>
        <v>46013</v>
      </c>
      <c r="J64" s="98" t="str">
        <f ca="1">IFERROR(__xludf.DUMMYFUNCTION("""COMPUTED_VALUE"""),"CW19850_Dec25")</f>
        <v>CW19850_Dec25</v>
      </c>
      <c r="K64" s="99" t="str">
        <f ca="1">IFERROR(__xludf.DUMMYFUNCTION("""COMPUTED_VALUE"""),"Brief Submitted")</f>
        <v>Brief Submitted</v>
      </c>
    </row>
    <row r="65" spans="1:11" ht="13.2">
      <c r="A65" s="89" t="str">
        <f ca="1">IFERROR(__xludf.DUMMYFUNCTION("""COMPUTED_VALUE"""),"Kofi House")</f>
        <v>Kofi House</v>
      </c>
      <c r="B65" s="90" t="str">
        <f ca="1">IFERROR(__xludf.DUMMYFUNCTION("""COMPUTED_VALUE"""),"AMCL")</f>
        <v>AMCL</v>
      </c>
      <c r="C65" s="91" t="str">
        <f ca="1">IFERROR(__xludf.DUMMYFUNCTION("""COMPUTED_VALUE"""),"Miraj Vai")</f>
        <v>Miraj Vai</v>
      </c>
      <c r="D65" s="92" t="str">
        <f ca="1">IFERROR(__xludf.DUMMYFUNCTION("""COMPUTED_VALUE"""),"Jyotirmay Sarker (S188138)")</f>
        <v>Jyotirmay Sarker (S188138)</v>
      </c>
      <c r="E65" s="93" t="str">
        <f ca="1">IFERROR(__xludf.DUMMYFUNCTION("""COMPUTED_VALUE"""),"CB13736_Dec25")</f>
        <v>CB13736_Dec25</v>
      </c>
      <c r="F65" s="94" t="str">
        <f ca="1">IFERROR(__xludf.DUMMYFUNCTION("""COMPUTED_VALUE"""),"Output Setup (Gravure/Offset)")</f>
        <v>Output Setup (Gravure/Offset)</v>
      </c>
      <c r="G65" s="95" t="str">
        <f ca="1">IFERROR(__xludf.DUMMYFUNCTION("""COMPUTED_VALUE"""),"New")</f>
        <v>New</v>
      </c>
      <c r="H65" s="96">
        <f ca="1">IFERROR(__xludf.DUMMYFUNCTION("""COMPUTED_VALUE"""),1)</f>
        <v>1</v>
      </c>
      <c r="I65" s="97">
        <f ca="1">IFERROR(__xludf.DUMMYFUNCTION("""COMPUTED_VALUE"""),46014)</f>
        <v>46014</v>
      </c>
      <c r="J65" s="98" t="str">
        <f ca="1">IFERROR(__xludf.DUMMYFUNCTION("""COMPUTED_VALUE"""),"CW19942_Dec25")</f>
        <v>CW19942_Dec25</v>
      </c>
      <c r="K65" s="99" t="str">
        <f ca="1">IFERROR(__xludf.DUMMYFUNCTION("""COMPUTED_VALUE"""),"HoM Approved")</f>
        <v>HoM Approved</v>
      </c>
    </row>
    <row r="66" spans="1:11" ht="13.2">
      <c r="A66" s="89" t="str">
        <f ca="1">IFERROR(__xludf.DUMMYFUNCTION("""COMPUTED_VALUE"""),"PRAN Noodles")</f>
        <v>PRAN Noodles</v>
      </c>
      <c r="B66" s="90" t="str">
        <f ca="1">IFERROR(__xludf.DUMMYFUNCTION("""COMPUTED_VALUE"""),"PAL")</f>
        <v>PAL</v>
      </c>
      <c r="C66" s="91" t="str">
        <f ca="1">IFERROR(__xludf.DUMMYFUNCTION("""COMPUTED_VALUE"""),"Zahirul Vai")</f>
        <v>Zahirul Vai</v>
      </c>
      <c r="D66" s="92" t="str">
        <f ca="1">IFERROR(__xludf.DUMMYFUNCTION("""COMPUTED_VALUE"""),"Jyotirmay Sarker (S188138)")</f>
        <v>Jyotirmay Sarker (S188138)</v>
      </c>
      <c r="E66" s="93" t="str">
        <f ca="1">IFERROR(__xludf.DUMMYFUNCTION("""COMPUTED_VALUE"""),"CB14179_Dec25")</f>
        <v>CB14179_Dec25</v>
      </c>
      <c r="F66" s="94" t="str">
        <f ca="1">IFERROR(__xludf.DUMMYFUNCTION("""COMPUTED_VALUE"""),"Output Setup (Gravure/Offset)")</f>
        <v>Output Setup (Gravure/Offset)</v>
      </c>
      <c r="G66" s="95" t="str">
        <f ca="1">IFERROR(__xludf.DUMMYFUNCTION("""COMPUTED_VALUE"""),"New")</f>
        <v>New</v>
      </c>
      <c r="H66" s="96">
        <f ca="1">IFERROR(__xludf.DUMMYFUNCTION("""COMPUTED_VALUE"""),2)</f>
        <v>2</v>
      </c>
      <c r="I66" s="97">
        <f ca="1">IFERROR(__xludf.DUMMYFUNCTION("""COMPUTED_VALUE"""),46015)</f>
        <v>46015</v>
      </c>
      <c r="J66" s="98" t="str">
        <f ca="1">IFERROR(__xludf.DUMMYFUNCTION("""COMPUTED_VALUE"""),"CW20042_Dec25")</f>
        <v>CW20042_Dec25</v>
      </c>
      <c r="K66" s="99" t="str">
        <f ca="1">IFERROR(__xludf.DUMMYFUNCTION("""COMPUTED_VALUE"""),"HoM Approved")</f>
        <v>HoM Approved</v>
      </c>
    </row>
    <row r="67" spans="1:11" ht="13.2">
      <c r="A67" s="89" t="str">
        <f ca="1">IFERROR(__xludf.DUMMYFUNCTION("""COMPUTED_VALUE"""),"RFL Manhole Cover")</f>
        <v>RFL Manhole Cover</v>
      </c>
      <c r="B67" s="90" t="str">
        <f ca="1">IFERROR(__xludf.DUMMYFUNCTION("""COMPUTED_VALUE"""),"RMIL-1")</f>
        <v>RMIL-1</v>
      </c>
      <c r="C67" s="91" t="str">
        <f ca="1">IFERROR(__xludf.DUMMYFUNCTION("""COMPUTED_VALUE"""),"Mehedi Vaiya")</f>
        <v>Mehedi Vaiya</v>
      </c>
      <c r="D67" s="92" t="str">
        <f ca="1">IFERROR(__xludf.DUMMYFUNCTION("""COMPUTED_VALUE"""),"Jyotirmay Sarker (S188138)")</f>
        <v>Jyotirmay Sarker (S188138)</v>
      </c>
      <c r="E67" s="93" t="str">
        <f ca="1">IFERROR(__xludf.DUMMYFUNCTION("""COMPUTED_VALUE"""),"CB14298_Dec25")</f>
        <v>CB14298_Dec25</v>
      </c>
      <c r="F67" s="94" t="str">
        <f ca="1">IFERROR(__xludf.DUMMYFUNCTION("""COMPUTED_VALUE"""),"Output Setup (Gravure/Offset)")</f>
        <v>Output Setup (Gravure/Offset)</v>
      </c>
      <c r="G67" s="95" t="str">
        <f ca="1">IFERROR(__xludf.DUMMYFUNCTION("""COMPUTED_VALUE"""),"New")</f>
        <v>New</v>
      </c>
      <c r="H67" s="96">
        <f ca="1">IFERROR(__xludf.DUMMYFUNCTION("""COMPUTED_VALUE"""),3)</f>
        <v>3</v>
      </c>
      <c r="I67" s="97">
        <f ca="1">IFERROR(__xludf.DUMMYFUNCTION("""COMPUTED_VALUE"""),46019)</f>
        <v>46019</v>
      </c>
      <c r="J67" s="98" t="str">
        <f ca="1">IFERROR(__xludf.DUMMYFUNCTION("""COMPUTED_VALUE"""),"CW20258_Dec25")</f>
        <v>CW20258_Dec25</v>
      </c>
      <c r="K67" s="99" t="str">
        <f ca="1">IFERROR(__xludf.DUMMYFUNCTION("""COMPUTED_VALUE"""),"HoM Approved")</f>
        <v>HoM Approved</v>
      </c>
    </row>
    <row r="68" spans="1:11" ht="13.2">
      <c r="A68" s="89" t="str">
        <f ca="1">IFERROR(__xludf.DUMMYFUNCTION("""COMPUTED_VALUE"""),"RFL Weighing scale")</f>
        <v>RFL Weighing scale</v>
      </c>
      <c r="B68" s="90" t="str">
        <f ca="1">IFERROR(__xludf.DUMMYFUNCTION("""COMPUTED_VALUE"""),"RMIL-1")</f>
        <v>RMIL-1</v>
      </c>
      <c r="C68" s="91" t="str">
        <f ca="1">IFERROR(__xludf.DUMMYFUNCTION("""COMPUTED_VALUE"""),"Rasel Vai")</f>
        <v>Rasel Vai</v>
      </c>
      <c r="D68" s="92" t="str">
        <f ca="1">IFERROR(__xludf.DUMMYFUNCTION("""COMPUTED_VALUE"""),"Jyotirmay Sarker (S188138)")</f>
        <v>Jyotirmay Sarker (S188138)</v>
      </c>
      <c r="E68" s="93" t="str">
        <f ca="1">IFERROR(__xludf.DUMMYFUNCTION("""COMPUTED_VALUE"""),"CB13655_Dec25")</f>
        <v>CB13655_Dec25</v>
      </c>
      <c r="F68" s="94" t="str">
        <f ca="1">IFERROR(__xludf.DUMMYFUNCTION("""COMPUTED_VALUE"""),"Output Setup (Gravure/Offset)")</f>
        <v>Output Setup (Gravure/Offset)</v>
      </c>
      <c r="G68" s="95" t="str">
        <f ca="1">IFERROR(__xludf.DUMMYFUNCTION("""COMPUTED_VALUE"""),"New")</f>
        <v>New</v>
      </c>
      <c r="H68" s="96">
        <f ca="1">IFERROR(__xludf.DUMMYFUNCTION("""COMPUTED_VALUE"""),4)</f>
        <v>4</v>
      </c>
      <c r="I68" s="97">
        <f ca="1">IFERROR(__xludf.DUMMYFUNCTION("""COMPUTED_VALUE"""),46020)</f>
        <v>46020</v>
      </c>
      <c r="J68" s="98" t="str">
        <f ca="1">IFERROR(__xludf.DUMMYFUNCTION("""COMPUTED_VALUE"""),"CW20345_Dec25")</f>
        <v>CW20345_Dec25</v>
      </c>
      <c r="K68" s="99" t="str">
        <f ca="1">IFERROR(__xludf.DUMMYFUNCTION("""COMPUTED_VALUE"""),"HoM Approved")</f>
        <v>HoM Approved</v>
      </c>
    </row>
    <row r="69" spans="1:11" ht="13.2">
      <c r="A69" s="89" t="str">
        <f ca="1">IFERROR(__xludf.DUMMYFUNCTION("""COMPUTED_VALUE"""),"RFL Belcha")</f>
        <v>RFL Belcha</v>
      </c>
      <c r="B69" s="90" t="str">
        <f ca="1">IFERROR(__xludf.DUMMYFUNCTION("""COMPUTED_VALUE"""),"RMIL-1")</f>
        <v>RMIL-1</v>
      </c>
      <c r="C69" s="91" t="str">
        <f ca="1">IFERROR(__xludf.DUMMYFUNCTION("""COMPUTED_VALUE"""),"Mehedi Vaiya")</f>
        <v>Mehedi Vaiya</v>
      </c>
      <c r="D69" s="92" t="str">
        <f ca="1">IFERROR(__xludf.DUMMYFUNCTION("""COMPUTED_VALUE"""),"Jyotirmay Sarker (S188138)")</f>
        <v>Jyotirmay Sarker (S188138)</v>
      </c>
      <c r="E69" s="93" t="str">
        <f ca="1">IFERROR(__xludf.DUMMYFUNCTION("""COMPUTED_VALUE"""),"CB14002_Dec25")</f>
        <v>CB14002_Dec25</v>
      </c>
      <c r="F69" s="94" t="str">
        <f ca="1">IFERROR(__xludf.DUMMYFUNCTION("""COMPUTED_VALUE"""),"Output Setup (Gravure/Offset)")</f>
        <v>Output Setup (Gravure/Offset)</v>
      </c>
      <c r="G69" s="95" t="str">
        <f ca="1">IFERROR(__xludf.DUMMYFUNCTION("""COMPUTED_VALUE"""),"New")</f>
        <v>New</v>
      </c>
      <c r="H69" s="96">
        <f ca="1">IFERROR(__xludf.DUMMYFUNCTION("""COMPUTED_VALUE"""),1)</f>
        <v>1</v>
      </c>
      <c r="I69" s="97">
        <f ca="1">IFERROR(__xludf.DUMMYFUNCTION("""COMPUTED_VALUE"""),46021)</f>
        <v>46021</v>
      </c>
      <c r="J69" s="98" t="str">
        <f ca="1">IFERROR(__xludf.DUMMYFUNCTION("""COMPUTED_VALUE"""),"CW20481_Dec25")</f>
        <v>CW20481_Dec25</v>
      </c>
      <c r="K69" s="99" t="str">
        <f ca="1">IFERROR(__xludf.DUMMYFUNCTION("""COMPUTED_VALUE"""),"HoM Approved")</f>
        <v>HoM Approved</v>
      </c>
    </row>
    <row r="70" spans="1:11" ht="13.2">
      <c r="A70" s="89" t="str">
        <f ca="1">IFERROR(__xludf.DUMMYFUNCTION("""COMPUTED_VALUE"""),"PRAN Frozen Foods")</f>
        <v>PRAN Frozen Foods</v>
      </c>
      <c r="B70" s="90" t="str">
        <f ca="1">IFERROR(__xludf.DUMMYFUNCTION("""COMPUTED_VALUE"""),"PFF")</f>
        <v>PFF</v>
      </c>
      <c r="C70" s="91" t="str">
        <f ca="1">IFERROR(__xludf.DUMMYFUNCTION("""COMPUTED_VALUE"""),"Zahirul Vai")</f>
        <v>Zahirul Vai</v>
      </c>
      <c r="D70" s="92" t="str">
        <f ca="1">IFERROR(__xludf.DUMMYFUNCTION("""COMPUTED_VALUE"""),"Jyotirmay Sarker (S188138)")</f>
        <v>Jyotirmay Sarker (S188138)</v>
      </c>
      <c r="E70" s="93" t="str">
        <f ca="1">IFERROR(__xludf.DUMMYFUNCTION("""COMPUTED_VALUE"""),"CB13946_Dec25")</f>
        <v>CB13946_Dec25</v>
      </c>
      <c r="F70" s="94" t="str">
        <f ca="1">IFERROR(__xludf.DUMMYFUNCTION("""COMPUTED_VALUE"""),"ATC Box Output")</f>
        <v>ATC Box Output</v>
      </c>
      <c r="G70" s="95" t="str">
        <f ca="1">IFERROR(__xludf.DUMMYFUNCTION("""COMPUTED_VALUE"""),"New")</f>
        <v>New</v>
      </c>
      <c r="H70" s="96">
        <f ca="1">IFERROR(__xludf.DUMMYFUNCTION("""COMPUTED_VALUE"""),1)</f>
        <v>1</v>
      </c>
      <c r="I70" s="97">
        <f ca="1">IFERROR(__xludf.DUMMYFUNCTION("""COMPUTED_VALUE"""),46025)</f>
        <v>46025</v>
      </c>
      <c r="J70" s="98" t="str">
        <f ca="1">IFERROR(__xludf.DUMMYFUNCTION("""COMPUTED_VALUE"""),"CW20966_Jan26")</f>
        <v>CW20966_Jan26</v>
      </c>
      <c r="K70" s="99" t="str">
        <f ca="1">IFERROR(__xludf.DUMMYFUNCTION("""COMPUTED_VALUE"""),"HoM Approved")</f>
        <v>HoM Approved</v>
      </c>
    </row>
    <row r="71" spans="1:11" ht="13.2">
      <c r="A71" s="89" t="str">
        <f ca="1">IFERROR(__xludf.DUMMYFUNCTION("""COMPUTED_VALUE"""),"PRAN Basic Spice")</f>
        <v>PRAN Basic Spice</v>
      </c>
      <c r="B71" s="90" t="str">
        <f ca="1">IFERROR(__xludf.DUMMYFUNCTION("""COMPUTED_VALUE"""),"NAL")</f>
        <v>NAL</v>
      </c>
      <c r="C71" s="91" t="str">
        <f ca="1">IFERROR(__xludf.DUMMYFUNCTION("""COMPUTED_VALUE"""),"Mona Apu")</f>
        <v>Mona Apu</v>
      </c>
      <c r="D71" s="92" t="str">
        <f ca="1">IFERROR(__xludf.DUMMYFUNCTION("""COMPUTED_VALUE"""),"Jyotirmay Sarker (S188138)")</f>
        <v>Jyotirmay Sarker (S188138)</v>
      </c>
      <c r="E71" s="93" t="str">
        <f ca="1">IFERROR(__xludf.DUMMYFUNCTION("""COMPUTED_VALUE"""),"CB12821_Dec25")</f>
        <v>CB12821_Dec25</v>
      </c>
      <c r="F71" s="94" t="str">
        <f ca="1">IFERROR(__xludf.DUMMYFUNCTION("""COMPUTED_VALUE"""),"JAR Label Sticker Output")</f>
        <v>JAR Label Sticker Output</v>
      </c>
      <c r="G71" s="95" t="str">
        <f ca="1">IFERROR(__xludf.DUMMYFUNCTION("""COMPUTED_VALUE"""),"New")</f>
        <v>New</v>
      </c>
      <c r="H71" s="96">
        <f ca="1">IFERROR(__xludf.DUMMYFUNCTION("""COMPUTED_VALUE"""),10)</f>
        <v>10</v>
      </c>
      <c r="I71" s="97">
        <f ca="1">IFERROR(__xludf.DUMMYFUNCTION("""COMPUTED_VALUE"""),46026)</f>
        <v>46026</v>
      </c>
      <c r="J71" s="98" t="str">
        <f ca="1">IFERROR(__xludf.DUMMYFUNCTION("""COMPUTED_VALUE"""),"CW21083_Jan26")</f>
        <v>CW21083_Jan26</v>
      </c>
      <c r="K71" s="99" t="str">
        <f ca="1">IFERROR(__xludf.DUMMYFUNCTION("""COMPUTED_VALUE"""),"HoM Approved")</f>
        <v>HoM Approved</v>
      </c>
    </row>
    <row r="72" spans="1:11" ht="13.2">
      <c r="A72" s="89" t="str">
        <f ca="1">IFERROR(__xludf.DUMMYFUNCTION("""COMPUTED_VALUE"""),"PRAN UHT Milk")</f>
        <v>PRAN UHT Milk</v>
      </c>
      <c r="B72" s="90" t="str">
        <f ca="1">IFERROR(__xludf.DUMMYFUNCTION("""COMPUTED_VALUE"""),"Dairy")</f>
        <v>Dairy</v>
      </c>
      <c r="C72" s="91" t="str">
        <f ca="1">IFERROR(__xludf.DUMMYFUNCTION("""COMPUTED_VALUE"""),"Anis Vaiya")</f>
        <v>Anis Vaiya</v>
      </c>
      <c r="D72" s="92" t="str">
        <f ca="1">IFERROR(__xludf.DUMMYFUNCTION("""COMPUTED_VALUE"""),"Jyotirmay Sarker (S188138)")</f>
        <v>Jyotirmay Sarker (S188138)</v>
      </c>
      <c r="E72" s="93" t="str">
        <f ca="1">IFERROR(__xludf.DUMMYFUNCTION("""COMPUTED_VALUE"""),"CB14943_Jan26")</f>
        <v>CB14943_Jan26</v>
      </c>
      <c r="F72" s="94" t="str">
        <f ca="1">IFERROR(__xludf.DUMMYFUNCTION("""COMPUTED_VALUE"""),"Flyer/Brochure/Banner Output")</f>
        <v>Flyer/Brochure/Banner Output</v>
      </c>
      <c r="G72" s="95" t="str">
        <f ca="1">IFERROR(__xludf.DUMMYFUNCTION("""COMPUTED_VALUE"""),"New")</f>
        <v>New</v>
      </c>
      <c r="H72" s="96">
        <f ca="1">IFERROR(__xludf.DUMMYFUNCTION("""COMPUTED_VALUE"""),1)</f>
        <v>1</v>
      </c>
      <c r="I72" s="97">
        <f ca="1">IFERROR(__xludf.DUMMYFUNCTION("""COMPUTED_VALUE"""),46027)</f>
        <v>46027</v>
      </c>
      <c r="J72" s="98" t="str">
        <f ca="1">IFERROR(__xludf.DUMMYFUNCTION("""COMPUTED_VALUE"""),"CW21175_Jan26")</f>
        <v>CW21175_Jan26</v>
      </c>
      <c r="K72" s="99" t="str">
        <f ca="1">IFERROR(__xludf.DUMMYFUNCTION("""COMPUTED_VALUE"""),"HoM Approved")</f>
        <v>HoM Approved</v>
      </c>
    </row>
    <row r="73" spans="1:11" ht="13.2">
      <c r="A73" s="89" t="str">
        <f ca="1">IFERROR(__xludf.DUMMYFUNCTION("""COMPUTED_VALUE"""),"Bisk Club Fruit Fun Flavored Cream Biscuit")</f>
        <v>Bisk Club Fruit Fun Flavored Cream Biscuit</v>
      </c>
      <c r="B73" s="90" t="str">
        <f ca="1">IFERROR(__xludf.DUMMYFUNCTION("""COMPUTED_VALUE"""),"BBL")</f>
        <v>BBL</v>
      </c>
      <c r="C73" s="91" t="str">
        <f ca="1">IFERROR(__xludf.DUMMYFUNCTION("""COMPUTED_VALUE"""),"Ove Vai")</f>
        <v>Ove Vai</v>
      </c>
      <c r="D73" s="92" t="str">
        <f ca="1">IFERROR(__xludf.DUMMYFUNCTION("""COMPUTED_VALUE"""),"Jyotirmay Sarker (S188138)")</f>
        <v>Jyotirmay Sarker (S188138)</v>
      </c>
      <c r="E73" s="93" t="str">
        <f ca="1">IFERROR(__xludf.DUMMYFUNCTION("""COMPUTED_VALUE"""),"CB14509_Dec25")</f>
        <v>CB14509_Dec25</v>
      </c>
      <c r="F73" s="94" t="str">
        <f ca="1">IFERROR(__xludf.DUMMYFUNCTION("""COMPUTED_VALUE"""),"Flyer/Brochure/Banner Output")</f>
        <v>Flyer/Brochure/Banner Output</v>
      </c>
      <c r="G73" s="95" t="str">
        <f ca="1">IFERROR(__xludf.DUMMYFUNCTION("""COMPUTED_VALUE"""),"New")</f>
        <v>New</v>
      </c>
      <c r="H73" s="96">
        <f ca="1">IFERROR(__xludf.DUMMYFUNCTION("""COMPUTED_VALUE"""),1)</f>
        <v>1</v>
      </c>
      <c r="I73" s="97">
        <f ca="1">IFERROR(__xludf.DUMMYFUNCTION("""COMPUTED_VALUE"""),46027)</f>
        <v>46027</v>
      </c>
      <c r="J73" s="98" t="str">
        <f ca="1">IFERROR(__xludf.DUMMYFUNCTION("""COMPUTED_VALUE"""),"CW21163_Jan26")</f>
        <v>CW21163_Jan26</v>
      </c>
      <c r="K73" s="99" t="str">
        <f ca="1">IFERROR(__xludf.DUMMYFUNCTION("""COMPUTED_VALUE"""),"Brief Submitted")</f>
        <v>Brief Submitted</v>
      </c>
    </row>
    <row r="74" spans="1:11" ht="13.2">
      <c r="A74" s="89" t="str">
        <f ca="1">IFERROR(__xludf.DUMMYFUNCTION("""COMPUTED_VALUE"""),"PRAN Chocolord")</f>
        <v>PRAN Chocolord</v>
      </c>
      <c r="B74" s="90" t="str">
        <f ca="1">IFERROR(__xludf.DUMMYFUNCTION("""COMPUTED_VALUE"""),"PAL")</f>
        <v>PAL</v>
      </c>
      <c r="C74" s="91" t="str">
        <f ca="1">IFERROR(__xludf.DUMMYFUNCTION("""COMPUTED_VALUE"""),"Nusrat Apu")</f>
        <v>Nusrat Apu</v>
      </c>
      <c r="D74" s="92" t="str">
        <f ca="1">IFERROR(__xludf.DUMMYFUNCTION("""COMPUTED_VALUE"""),"Jyotirmay Sarker (S188138)")</f>
        <v>Jyotirmay Sarker (S188138)</v>
      </c>
      <c r="E74" s="93" t="str">
        <f ca="1">IFERROR(__xludf.DUMMYFUNCTION("""COMPUTED_VALUE"""),"CB13977_Dec25")</f>
        <v>CB13977_Dec25</v>
      </c>
      <c r="F74" s="94" t="str">
        <f ca="1">IFERROR(__xludf.DUMMYFUNCTION("""COMPUTED_VALUE"""),"Output Setup (Gravure/Offset)")</f>
        <v>Output Setup (Gravure/Offset)</v>
      </c>
      <c r="G74" s="95" t="str">
        <f ca="1">IFERROR(__xludf.DUMMYFUNCTION("""COMPUTED_VALUE"""),"New")</f>
        <v>New</v>
      </c>
      <c r="H74" s="96">
        <f ca="1">IFERROR(__xludf.DUMMYFUNCTION("""COMPUTED_VALUE"""),1)</f>
        <v>1</v>
      </c>
      <c r="I74" s="97">
        <f ca="1">IFERROR(__xludf.DUMMYFUNCTION("""COMPUTED_VALUE"""),46028)</f>
        <v>46028</v>
      </c>
      <c r="J74" s="98" t="str">
        <f ca="1">IFERROR(__xludf.DUMMYFUNCTION("""COMPUTED_VALUE"""),"CW21261_Jan26")</f>
        <v>CW21261_Jan26</v>
      </c>
      <c r="K74" s="99" t="str">
        <f ca="1">IFERROR(__xludf.DUMMYFUNCTION("""COMPUTED_VALUE"""),"Brief Submitted")</f>
        <v>Brief Submitted</v>
      </c>
    </row>
    <row r="75" spans="1:11" ht="13.2">
      <c r="A75" s="89" t="str">
        <f ca="1">IFERROR(__xludf.DUMMYFUNCTION("""COMPUTED_VALUE"""),"Canton Sauce")</f>
        <v>Canton Sauce</v>
      </c>
      <c r="B75" s="90" t="str">
        <f ca="1">IFERROR(__xludf.DUMMYFUNCTION("""COMPUTED_VALUE"""),"PAL")</f>
        <v>PAL</v>
      </c>
      <c r="C75" s="91" t="str">
        <f ca="1">IFERROR(__xludf.DUMMYFUNCTION("""COMPUTED_VALUE"""),"Rakib Vai")</f>
        <v>Rakib Vai</v>
      </c>
      <c r="D75" s="92" t="str">
        <f ca="1">IFERROR(__xludf.DUMMYFUNCTION("""COMPUTED_VALUE"""),"Jyotirmay Sarker (S188138)")</f>
        <v>Jyotirmay Sarker (S188138)</v>
      </c>
      <c r="E75" s="93" t="str">
        <f ca="1">IFERROR(__xludf.DUMMYFUNCTION("""COMPUTED_VALUE"""),"CB14337_Dec25")</f>
        <v>CB14337_Dec25</v>
      </c>
      <c r="F75" s="94" t="str">
        <f ca="1">IFERROR(__xludf.DUMMYFUNCTION("""COMPUTED_VALUE"""),"JAR Label Sticker Output")</f>
        <v>JAR Label Sticker Output</v>
      </c>
      <c r="G75" s="95" t="str">
        <f ca="1">IFERROR(__xludf.DUMMYFUNCTION("""COMPUTED_VALUE"""),"New")</f>
        <v>New</v>
      </c>
      <c r="H75" s="96">
        <f ca="1">IFERROR(__xludf.DUMMYFUNCTION("""COMPUTED_VALUE"""),2)</f>
        <v>2</v>
      </c>
      <c r="I75" s="97">
        <f ca="1">IFERROR(__xludf.DUMMYFUNCTION("""COMPUTED_VALUE"""),46028)</f>
        <v>46028</v>
      </c>
      <c r="J75" s="98" t="str">
        <f ca="1">IFERROR(__xludf.DUMMYFUNCTION("""COMPUTED_VALUE"""),"CW21229_Jan26")</f>
        <v>CW21229_Jan26</v>
      </c>
      <c r="K75" s="99" t="str">
        <f ca="1">IFERROR(__xludf.DUMMYFUNCTION("""COMPUTED_VALUE"""),"HoM Approved")</f>
        <v>HoM Approved</v>
      </c>
    </row>
    <row r="76" spans="1:11" ht="13.2">
      <c r="A76" s="89" t="str">
        <f ca="1">IFERROR(__xludf.DUMMYFUNCTION("""COMPUTED_VALUE"""),"PRAN Mustard Oil")</f>
        <v>PRAN Mustard Oil</v>
      </c>
      <c r="B76" s="90" t="str">
        <f ca="1">IFERROR(__xludf.DUMMYFUNCTION("""COMPUTED_VALUE"""),"Malaysia")</f>
        <v>Malaysia</v>
      </c>
      <c r="C76" s="91" t="str">
        <f ca="1">IFERROR(__xludf.DUMMYFUNCTION("""COMPUTED_VALUE"""),"Zahirul Vai")</f>
        <v>Zahirul Vai</v>
      </c>
      <c r="D76" s="92" t="str">
        <f ca="1">IFERROR(__xludf.DUMMYFUNCTION("""COMPUTED_VALUE"""),"Jyotirmay Sarker (S188138)")</f>
        <v>Jyotirmay Sarker (S188138)</v>
      </c>
      <c r="E76" s="93" t="str">
        <f ca="1">IFERROR(__xludf.DUMMYFUNCTION("""COMPUTED_VALUE"""),"CB14688_Dec25")</f>
        <v>CB14688_Dec25</v>
      </c>
      <c r="F76" s="94" t="str">
        <f ca="1">IFERROR(__xludf.DUMMYFUNCTION("""COMPUTED_VALUE"""),"JAR Label Sticker Output")</f>
        <v>JAR Label Sticker Output</v>
      </c>
      <c r="G76" s="95" t="str">
        <f ca="1">IFERROR(__xludf.DUMMYFUNCTION("""COMPUTED_VALUE"""),"New")</f>
        <v>New</v>
      </c>
      <c r="H76" s="96">
        <f ca="1">IFERROR(__xludf.DUMMYFUNCTION("""COMPUTED_VALUE"""),3)</f>
        <v>3</v>
      </c>
      <c r="I76" s="97">
        <f ca="1">IFERROR(__xludf.DUMMYFUNCTION("""COMPUTED_VALUE"""),46028)</f>
        <v>46028</v>
      </c>
      <c r="J76" s="98" t="str">
        <f ca="1">IFERROR(__xludf.DUMMYFUNCTION("""COMPUTED_VALUE"""),"CW21242_Jan26")</f>
        <v>CW21242_Jan26</v>
      </c>
      <c r="K76" s="99" t="str">
        <f ca="1">IFERROR(__xludf.DUMMYFUNCTION("""COMPUTED_VALUE"""),"HoM Approved")</f>
        <v>HoM Approved</v>
      </c>
    </row>
    <row r="77" spans="1:11" ht="13.2">
      <c r="A77" s="89" t="str">
        <f ca="1">IFERROR(__xludf.DUMMYFUNCTION("""COMPUTED_VALUE"""),"Common - All PFL")</f>
        <v>Common - All PFL</v>
      </c>
      <c r="B77" s="90" t="str">
        <f ca="1">IFERROR(__xludf.DUMMYFUNCTION("""COMPUTED_VALUE"""),"PFL")</f>
        <v>PFL</v>
      </c>
      <c r="C77" s="91" t="str">
        <f ca="1">IFERROR(__xludf.DUMMYFUNCTION("""COMPUTED_VALUE"""),"Shamrid Vaiya")</f>
        <v>Shamrid Vaiya</v>
      </c>
      <c r="D77" s="92" t="str">
        <f ca="1">IFERROR(__xludf.DUMMYFUNCTION("""COMPUTED_VALUE"""),"Jyotirmay Sarker (S188138)")</f>
        <v>Jyotirmay Sarker (S188138)</v>
      </c>
      <c r="E77" s="93" t="str">
        <f ca="1">IFERROR(__xludf.DUMMYFUNCTION("""COMPUTED_VALUE"""),"CB14684_Dec25")</f>
        <v>CB14684_Dec25</v>
      </c>
      <c r="F77" s="94" t="str">
        <f ca="1">IFERROR(__xludf.DUMMYFUNCTION("""COMPUTED_VALUE"""),"Output Setup (Gravure/Offset)")</f>
        <v>Output Setup (Gravure/Offset)</v>
      </c>
      <c r="G77" s="95" t="str">
        <f ca="1">IFERROR(__xludf.DUMMYFUNCTION("""COMPUTED_VALUE"""),"New")</f>
        <v>New</v>
      </c>
      <c r="H77" s="96">
        <f ca="1">IFERROR(__xludf.DUMMYFUNCTION("""COMPUTED_VALUE"""),6)</f>
        <v>6</v>
      </c>
      <c r="I77" s="97">
        <f ca="1">IFERROR(__xludf.DUMMYFUNCTION("""COMPUTED_VALUE"""),46029)</f>
        <v>46029</v>
      </c>
      <c r="J77" s="98" t="str">
        <f ca="1">IFERROR(__xludf.DUMMYFUNCTION("""COMPUTED_VALUE"""),"CW21333_Jan26")</f>
        <v>CW21333_Jan26</v>
      </c>
      <c r="K77" s="99" t="str">
        <f ca="1">IFERROR(__xludf.DUMMYFUNCTION("""COMPUTED_VALUE"""),"HoM Approved")</f>
        <v>HoM Approved</v>
      </c>
    </row>
    <row r="78" spans="1:11" ht="13.2">
      <c r="A78" s="89" t="str">
        <f ca="1">IFERROR(__xludf.DUMMYFUNCTION("""COMPUTED_VALUE"""),"Mithai")</f>
        <v>Mithai</v>
      </c>
      <c r="B78" s="90" t="str">
        <f ca="1">IFERROR(__xludf.DUMMYFUNCTION("""COMPUTED_VALUE"""),"BBL")</f>
        <v>BBL</v>
      </c>
      <c r="C78" s="91" t="str">
        <f ca="1">IFERROR(__xludf.DUMMYFUNCTION("""COMPUTED_VALUE"""),"Masum Vai")</f>
        <v>Masum Vai</v>
      </c>
      <c r="D78" s="92" t="str">
        <f ca="1">IFERROR(__xludf.DUMMYFUNCTION("""COMPUTED_VALUE"""),"Jyotirmay Sarker (S188138)")</f>
        <v>Jyotirmay Sarker (S188138)</v>
      </c>
      <c r="E78" s="93" t="str">
        <f ca="1">IFERROR(__xludf.DUMMYFUNCTION("""COMPUTED_VALUE"""),"CB14402_Dec25")</f>
        <v>CB14402_Dec25</v>
      </c>
      <c r="F78" s="94" t="str">
        <f ca="1">IFERROR(__xludf.DUMMYFUNCTION("""COMPUTED_VALUE"""),"Output Setup (Gravure/Offset)")</f>
        <v>Output Setup (Gravure/Offset)</v>
      </c>
      <c r="G78" s="95" t="str">
        <f ca="1">IFERROR(__xludf.DUMMYFUNCTION("""COMPUTED_VALUE"""),"New")</f>
        <v>New</v>
      </c>
      <c r="H78" s="96">
        <f ca="1">IFERROR(__xludf.DUMMYFUNCTION("""COMPUTED_VALUE"""),2)</f>
        <v>2</v>
      </c>
      <c r="I78" s="97">
        <f ca="1">IFERROR(__xludf.DUMMYFUNCTION("""COMPUTED_VALUE"""),46033)</f>
        <v>46033</v>
      </c>
      <c r="J78" s="98" t="str">
        <f ca="1">IFERROR(__xludf.DUMMYFUNCTION("""COMPUTED_VALUE"""),"CW21611_Jan26")</f>
        <v>CW21611_Jan26</v>
      </c>
      <c r="K78" s="99" t="str">
        <f ca="1">IFERROR(__xludf.DUMMYFUNCTION("""COMPUTED_VALUE"""),"HoM Approved")</f>
        <v>HoM Approved</v>
      </c>
    </row>
    <row r="79" spans="1:11" ht="13.2">
      <c r="A79" s="89" t="str">
        <f ca="1">IFERROR(__xludf.DUMMYFUNCTION("""COMPUTED_VALUE"""),"Treat Chocolate")</f>
        <v>Treat Chocolate</v>
      </c>
      <c r="B79" s="90" t="str">
        <f ca="1">IFERROR(__xludf.DUMMYFUNCTION("""COMPUTED_VALUE"""),"PCL")</f>
        <v>PCL</v>
      </c>
      <c r="C79" s="91" t="str">
        <f ca="1">IFERROR(__xludf.DUMMYFUNCTION("""COMPUTED_VALUE"""),"Zahirul Vai")</f>
        <v>Zahirul Vai</v>
      </c>
      <c r="D79" s="92" t="str">
        <f ca="1">IFERROR(__xludf.DUMMYFUNCTION("""COMPUTED_VALUE"""),"Jyotirmay Sarker (S188138)")</f>
        <v>Jyotirmay Sarker (S188138)</v>
      </c>
      <c r="E79" s="93" t="str">
        <f ca="1">IFERROR(__xludf.DUMMYFUNCTION("""COMPUTED_VALUE"""),"CB13389_Dec25")</f>
        <v>CB13389_Dec25</v>
      </c>
      <c r="F79" s="94" t="str">
        <f ca="1">IFERROR(__xludf.DUMMYFUNCTION("""COMPUTED_VALUE"""),"Output Setup (Gravure/Offset)")</f>
        <v>Output Setup (Gravure/Offset)</v>
      </c>
      <c r="G79" s="95" t="str">
        <f ca="1">IFERROR(__xludf.DUMMYFUNCTION("""COMPUTED_VALUE"""),"New")</f>
        <v>New</v>
      </c>
      <c r="H79" s="96">
        <f ca="1">IFERROR(__xludf.DUMMYFUNCTION("""COMPUTED_VALUE"""),2)</f>
        <v>2</v>
      </c>
      <c r="I79" s="97">
        <f ca="1">IFERROR(__xludf.DUMMYFUNCTION("""COMPUTED_VALUE"""),46033)</f>
        <v>46033</v>
      </c>
      <c r="J79" s="98" t="str">
        <f ca="1">IFERROR(__xludf.DUMMYFUNCTION("""COMPUTED_VALUE"""),"CW21583_Jan26")</f>
        <v>CW21583_Jan26</v>
      </c>
      <c r="K79" s="99" t="str">
        <f ca="1">IFERROR(__xludf.DUMMYFUNCTION("""COMPUTED_VALUE"""),"HoM Approved")</f>
        <v>HoM Approved</v>
      </c>
    </row>
    <row r="80" spans="1:11" ht="13.2">
      <c r="A80" s="89" t="str">
        <f ca="1">IFERROR(__xludf.DUMMYFUNCTION("""COMPUTED_VALUE"""),"Good Luck")</f>
        <v>Good Luck</v>
      </c>
      <c r="B80" s="90" t="str">
        <f ca="1">IFERROR(__xludf.DUMMYFUNCTION("""COMPUTED_VALUE"""),"RFL Stationery")</f>
        <v>RFL Stationery</v>
      </c>
      <c r="C80" s="91" t="str">
        <f ca="1">IFERROR(__xludf.DUMMYFUNCTION("""COMPUTED_VALUE"""),"Rifath Vai")</f>
        <v>Rifath Vai</v>
      </c>
      <c r="D80" s="92" t="str">
        <f ca="1">IFERROR(__xludf.DUMMYFUNCTION("""COMPUTED_VALUE"""),"Jyotirmay Sarker (S188138)")</f>
        <v>Jyotirmay Sarker (S188138)</v>
      </c>
      <c r="E80" s="93" t="str">
        <f ca="1">IFERROR(__xludf.DUMMYFUNCTION("""COMPUTED_VALUE"""),"CB14502_Dec25")</f>
        <v>CB14502_Dec25</v>
      </c>
      <c r="F80" s="94" t="str">
        <f ca="1">IFERROR(__xludf.DUMMYFUNCTION("""COMPUTED_VALUE"""),"Output Setup (Gravure/Offset)")</f>
        <v>Output Setup (Gravure/Offset)</v>
      </c>
      <c r="G80" s="95" t="str">
        <f ca="1">IFERROR(__xludf.DUMMYFUNCTION("""COMPUTED_VALUE"""),"New")</f>
        <v>New</v>
      </c>
      <c r="H80" s="96">
        <f ca="1">IFERROR(__xludf.DUMMYFUNCTION("""COMPUTED_VALUE"""),4)</f>
        <v>4</v>
      </c>
      <c r="I80" s="97">
        <f ca="1">IFERROR(__xludf.DUMMYFUNCTION("""COMPUTED_VALUE"""),46034)</f>
        <v>46034</v>
      </c>
      <c r="J80" s="98" t="str">
        <f ca="1">IFERROR(__xludf.DUMMYFUNCTION("""COMPUTED_VALUE"""),"CW21670_Jan26")</f>
        <v>CW21670_Jan26</v>
      </c>
      <c r="K80" s="99" t="str">
        <f ca="1">IFERROR(__xludf.DUMMYFUNCTION("""COMPUTED_VALUE"""),"HoM Approved")</f>
        <v>HoM Approved</v>
      </c>
    </row>
    <row r="81" spans="1:11" ht="13.2">
      <c r="A81" s="89" t="str">
        <f ca="1">IFERROR(__xludf.DUMMYFUNCTION("""COMPUTED_VALUE"""),"PRAN Fruit Drink")</f>
        <v>PRAN Fruit Drink</v>
      </c>
      <c r="B81" s="90" t="str">
        <f ca="1">IFERROR(__xludf.DUMMYFUNCTION("""COMPUTED_VALUE"""),"AMCL")</f>
        <v>AMCL</v>
      </c>
      <c r="C81" s="91" t="str">
        <f ca="1">IFERROR(__xludf.DUMMYFUNCTION("""COMPUTED_VALUE"""),"Shamsul Sir")</f>
        <v>Shamsul Sir</v>
      </c>
      <c r="D81" s="92" t="str">
        <f ca="1">IFERROR(__xludf.DUMMYFUNCTION("""COMPUTED_VALUE"""),"Jyotirmay Sarker (S188138)")</f>
        <v>Jyotirmay Sarker (S188138)</v>
      </c>
      <c r="E81" s="93" t="str">
        <f ca="1">IFERROR(__xludf.DUMMYFUNCTION("""COMPUTED_VALUE"""),"CB14941_Jan26")</f>
        <v>CB14941_Jan26</v>
      </c>
      <c r="F81" s="94" t="str">
        <f ca="1">IFERROR(__xludf.DUMMYFUNCTION("""COMPUTED_VALUE"""),"Gravure Output #2")</f>
        <v>Gravure Output #2</v>
      </c>
      <c r="G81" s="95" t="str">
        <f ca="1">IFERROR(__xludf.DUMMYFUNCTION("""COMPUTED_VALUE"""),"New")</f>
        <v>New</v>
      </c>
      <c r="H81" s="96">
        <f ca="1">IFERROR(__xludf.DUMMYFUNCTION("""COMPUTED_VALUE"""),4)</f>
        <v>4</v>
      </c>
      <c r="I81" s="97">
        <f ca="1">IFERROR(__xludf.DUMMYFUNCTION("""COMPUTED_VALUE"""),46036)</f>
        <v>46036</v>
      </c>
      <c r="J81" s="98" t="str">
        <f ca="1">IFERROR(__xludf.DUMMYFUNCTION("""COMPUTED_VALUE"""),"CW21877_Jan26")</f>
        <v>CW21877_Jan26</v>
      </c>
      <c r="K81" s="99" t="str">
        <f ca="1">IFERROR(__xludf.DUMMYFUNCTION("""COMPUTED_VALUE"""),"HoM Approved")</f>
        <v>HoM Approved</v>
      </c>
    </row>
    <row r="82" spans="1:11" ht="13.2">
      <c r="A82" s="89" t="str">
        <f ca="1">IFERROR(__xludf.DUMMYFUNCTION("""COMPUTED_VALUE"""),"All Time Roma")</f>
        <v>All Time Roma</v>
      </c>
      <c r="B82" s="90" t="str">
        <f ca="1">IFERROR(__xludf.DUMMYFUNCTION("""COMPUTED_VALUE"""),"BBL")</f>
        <v>BBL</v>
      </c>
      <c r="C82" s="91" t="str">
        <f ca="1">IFERROR(__xludf.DUMMYFUNCTION("""COMPUTED_VALUE"""),"Zahirul Vai")</f>
        <v>Zahirul Vai</v>
      </c>
      <c r="D82" s="92" t="str">
        <f ca="1">IFERROR(__xludf.DUMMYFUNCTION("""COMPUTED_VALUE"""),"Jyotirmay Sarker (S188138)")</f>
        <v>Jyotirmay Sarker (S188138)</v>
      </c>
      <c r="E82" s="93" t="str">
        <f ca="1">IFERROR(__xludf.DUMMYFUNCTION("""COMPUTED_VALUE"""),"CB13519_Dec25")</f>
        <v>CB13519_Dec25</v>
      </c>
      <c r="F82" s="94" t="str">
        <f ca="1">IFERROR(__xludf.DUMMYFUNCTION("""COMPUTED_VALUE"""),"ATC Box Output")</f>
        <v>ATC Box Output</v>
      </c>
      <c r="G82" s="95" t="str">
        <f ca="1">IFERROR(__xludf.DUMMYFUNCTION("""COMPUTED_VALUE"""),"New")</f>
        <v>New</v>
      </c>
      <c r="H82" s="96">
        <f ca="1">IFERROR(__xludf.DUMMYFUNCTION("""COMPUTED_VALUE"""),3)</f>
        <v>3</v>
      </c>
      <c r="I82" s="97">
        <f ca="1">IFERROR(__xludf.DUMMYFUNCTION("""COMPUTED_VALUE"""),46037)</f>
        <v>46037</v>
      </c>
      <c r="J82" s="98" t="str">
        <f ca="1">IFERROR(__xludf.DUMMYFUNCTION("""COMPUTED_VALUE"""),"CW21994_Jan26")</f>
        <v>CW21994_Jan26</v>
      </c>
      <c r="K82" s="99" t="str">
        <f ca="1">IFERROR(__xludf.DUMMYFUNCTION("""COMPUTED_VALUE"""),"HoM Approved")</f>
        <v>HoM Approved</v>
      </c>
    </row>
    <row r="83" spans="1:11" ht="13.2">
      <c r="A83" s="89" t="str">
        <f ca="1">IFERROR(__xludf.DUMMYFUNCTION("""COMPUTED_VALUE"""),"All Time Roma")</f>
        <v>All Time Roma</v>
      </c>
      <c r="B83" s="90" t="str">
        <f ca="1">IFERROR(__xludf.DUMMYFUNCTION("""COMPUTED_VALUE"""),"BBL")</f>
        <v>BBL</v>
      </c>
      <c r="C83" s="91" t="str">
        <f ca="1">IFERROR(__xludf.DUMMYFUNCTION("""COMPUTED_VALUE"""),"Zahirul Vai")</f>
        <v>Zahirul Vai</v>
      </c>
      <c r="D83" s="92" t="str">
        <f ca="1">IFERROR(__xludf.DUMMYFUNCTION("""COMPUTED_VALUE"""),"Jyotirmay Sarker (S188138)")</f>
        <v>Jyotirmay Sarker (S188138)</v>
      </c>
      <c r="E83" s="93" t="str">
        <f ca="1">IFERROR(__xludf.DUMMYFUNCTION("""COMPUTED_VALUE"""),"CB13519_Dec25")</f>
        <v>CB13519_Dec25</v>
      </c>
      <c r="F83" s="94" t="str">
        <f ca="1">IFERROR(__xludf.DUMMYFUNCTION("""COMPUTED_VALUE"""),"Gravure Output #2")</f>
        <v>Gravure Output #2</v>
      </c>
      <c r="G83" s="95" t="str">
        <f ca="1">IFERROR(__xludf.DUMMYFUNCTION("""COMPUTED_VALUE"""),"New")</f>
        <v>New</v>
      </c>
      <c r="H83" s="96">
        <f ca="1">IFERROR(__xludf.DUMMYFUNCTION("""COMPUTED_VALUE"""),3)</f>
        <v>3</v>
      </c>
      <c r="I83" s="97">
        <f ca="1">IFERROR(__xludf.DUMMYFUNCTION("""COMPUTED_VALUE"""),46037)</f>
        <v>46037</v>
      </c>
      <c r="J83" s="98" t="str">
        <f ca="1">IFERROR(__xludf.DUMMYFUNCTION("""COMPUTED_VALUE"""),"CW21994_Jan26")</f>
        <v>CW21994_Jan26</v>
      </c>
      <c r="K83" s="99" t="str">
        <f ca="1">IFERROR(__xludf.DUMMYFUNCTION("""COMPUTED_VALUE"""),"HoM Approved")</f>
        <v>HoM Approved</v>
      </c>
    </row>
    <row r="84" spans="1:11" ht="13.2">
      <c r="A84" s="89" t="str">
        <f ca="1">IFERROR(__xludf.DUMMYFUNCTION("""COMPUTED_VALUE"""),"All Time Roma")</f>
        <v>All Time Roma</v>
      </c>
      <c r="B84" s="90" t="str">
        <f ca="1">IFERROR(__xludf.DUMMYFUNCTION("""COMPUTED_VALUE"""),"BBL")</f>
        <v>BBL</v>
      </c>
      <c r="C84" s="91" t="str">
        <f ca="1">IFERROR(__xludf.DUMMYFUNCTION("""COMPUTED_VALUE"""),"Zahirul Vai")</f>
        <v>Zahirul Vai</v>
      </c>
      <c r="D84" s="92" t="str">
        <f ca="1">IFERROR(__xludf.DUMMYFUNCTION("""COMPUTED_VALUE"""),"Jyotirmay Sarker (S188138)")</f>
        <v>Jyotirmay Sarker (S188138)</v>
      </c>
      <c r="E84" s="93" t="str">
        <f ca="1">IFERROR(__xludf.DUMMYFUNCTION("""COMPUTED_VALUE"""),"CB13519_Dec25")</f>
        <v>CB13519_Dec25</v>
      </c>
      <c r="F84" s="94" t="str">
        <f ca="1">IFERROR(__xludf.DUMMYFUNCTION("""COMPUTED_VALUE"""),"Packaging Text Design #2")</f>
        <v>Packaging Text Design #2</v>
      </c>
      <c r="G84" s="95" t="str">
        <f ca="1">IFERROR(__xludf.DUMMYFUNCTION("""COMPUTED_VALUE"""),"New")</f>
        <v>New</v>
      </c>
      <c r="H84" s="96">
        <f ca="1">IFERROR(__xludf.DUMMYFUNCTION("""COMPUTED_VALUE"""),6)</f>
        <v>6</v>
      </c>
      <c r="I84" s="97">
        <f ca="1">IFERROR(__xludf.DUMMYFUNCTION("""COMPUTED_VALUE"""),46037)</f>
        <v>46037</v>
      </c>
      <c r="J84" s="98" t="str">
        <f ca="1">IFERROR(__xludf.DUMMYFUNCTION("""COMPUTED_VALUE"""),"CW21994_Jan26")</f>
        <v>CW21994_Jan26</v>
      </c>
      <c r="K84" s="99" t="str">
        <f ca="1">IFERROR(__xludf.DUMMYFUNCTION("""COMPUTED_VALUE"""),"HoM Approved")</f>
        <v>HoM Approved</v>
      </c>
    </row>
    <row r="85" spans="1:11" ht="13.2">
      <c r="A85" s="89" t="str">
        <f ca="1">IFERROR(__xludf.DUMMYFUNCTION("""COMPUTED_VALUE"""),"PRAN Basic Spice")</f>
        <v>PRAN Basic Spice</v>
      </c>
      <c r="B85" s="90" t="str">
        <f ca="1">IFERROR(__xludf.DUMMYFUNCTION("""COMPUTED_VALUE"""),"NAL")</f>
        <v>NAL</v>
      </c>
      <c r="C85" s="91" t="str">
        <f ca="1">IFERROR(__xludf.DUMMYFUNCTION("""COMPUTED_VALUE"""),"Shamsul Sir")</f>
        <v>Shamsul Sir</v>
      </c>
      <c r="D85" s="92" t="str">
        <f ca="1">IFERROR(__xludf.DUMMYFUNCTION("""COMPUTED_VALUE"""),"Jyotirmay Sarker (S188138)")</f>
        <v>Jyotirmay Sarker (S188138)</v>
      </c>
      <c r="E85" s="93" t="str">
        <f ca="1">IFERROR(__xludf.DUMMYFUNCTION("""COMPUTED_VALUE"""),"CB15584_Jan26")</f>
        <v>CB15584_Jan26</v>
      </c>
      <c r="F85" s="94" t="str">
        <f ca="1">IFERROR(__xludf.DUMMYFUNCTION("""COMPUTED_VALUE"""),"JAR Label Sticker Output")</f>
        <v>JAR Label Sticker Output</v>
      </c>
      <c r="G85" s="95" t="str">
        <f ca="1">IFERROR(__xludf.DUMMYFUNCTION("""COMPUTED_VALUE"""),"New")</f>
        <v>New</v>
      </c>
      <c r="H85" s="96">
        <f ca="1">IFERROR(__xludf.DUMMYFUNCTION("""COMPUTED_VALUE"""),9)</f>
        <v>9</v>
      </c>
      <c r="I85" s="97">
        <f ca="1">IFERROR(__xludf.DUMMYFUNCTION("""COMPUTED_VALUE"""),46039)</f>
        <v>46039</v>
      </c>
      <c r="J85" s="98" t="str">
        <f ca="1">IFERROR(__xludf.DUMMYFUNCTION("""COMPUTED_VALUE"""),"CW22099_Jan26")</f>
        <v>CW22099_Jan26</v>
      </c>
      <c r="K85" s="99" t="str">
        <f ca="1">IFERROR(__xludf.DUMMYFUNCTION("""COMPUTED_VALUE"""),"HoM Approved")</f>
        <v>HoM Approved</v>
      </c>
    </row>
    <row r="86" spans="1:11" ht="13.2">
      <c r="A86" s="89" t="str">
        <f ca="1">IFERROR(__xludf.DUMMYFUNCTION("""COMPUTED_VALUE"""),"RFL Tubewell")</f>
        <v>RFL Tubewell</v>
      </c>
      <c r="B86" s="90" t="str">
        <f ca="1">IFERROR(__xludf.DUMMYFUNCTION("""COMPUTED_VALUE"""),"RMIL-1")</f>
        <v>RMIL-1</v>
      </c>
      <c r="C86" s="91" t="str">
        <f ca="1">IFERROR(__xludf.DUMMYFUNCTION("""COMPUTED_VALUE"""),"Mehedi Vaiya")</f>
        <v>Mehedi Vaiya</v>
      </c>
      <c r="D86" s="92" t="str">
        <f ca="1">IFERROR(__xludf.DUMMYFUNCTION("""COMPUTED_VALUE"""),"Jyotirmay Sarker (S188138)")</f>
        <v>Jyotirmay Sarker (S188138)</v>
      </c>
      <c r="E86" s="93" t="str">
        <f ca="1">IFERROR(__xludf.DUMMYFUNCTION("""COMPUTED_VALUE"""),"CB15485_Jan26")</f>
        <v>CB15485_Jan26</v>
      </c>
      <c r="F86" s="94" t="str">
        <f ca="1">IFERROR(__xludf.DUMMYFUNCTION("""COMPUTED_VALUE"""),"Output Setup (Gravure/Offset)")</f>
        <v>Output Setup (Gravure/Offset)</v>
      </c>
      <c r="G86" s="95" t="str">
        <f ca="1">IFERROR(__xludf.DUMMYFUNCTION("""COMPUTED_VALUE"""),"New")</f>
        <v>New</v>
      </c>
      <c r="H86" s="96">
        <f ca="1">IFERROR(__xludf.DUMMYFUNCTION("""COMPUTED_VALUE"""),4)</f>
        <v>4</v>
      </c>
      <c r="I86" s="97">
        <f ca="1">IFERROR(__xludf.DUMMYFUNCTION("""COMPUTED_VALUE"""),46040)</f>
        <v>46040</v>
      </c>
      <c r="J86" s="98" t="str">
        <f ca="1">IFERROR(__xludf.DUMMYFUNCTION("""COMPUTED_VALUE"""),"CW22227_Jan26")</f>
        <v>CW22227_Jan26</v>
      </c>
      <c r="K86" s="99" t="str">
        <f ca="1">IFERROR(__xludf.DUMMYFUNCTION("""COMPUTED_VALUE"""),"HoM Approved")</f>
        <v>HoM Approved</v>
      </c>
    </row>
    <row r="87" spans="1:11" ht="13.2">
      <c r="A87" s="89" t="str">
        <f ca="1">IFERROR(__xludf.DUMMYFUNCTION("""COMPUTED_VALUE"""),"Humty Dumty")</f>
        <v>Humty Dumty</v>
      </c>
      <c r="B87" s="90" t="str">
        <f ca="1">IFERROR(__xludf.DUMMYFUNCTION("""COMPUTED_VALUE"""),"Malaysia")</f>
        <v>Malaysia</v>
      </c>
      <c r="C87" s="91" t="str">
        <f ca="1">IFERROR(__xludf.DUMMYFUNCTION("""COMPUTED_VALUE"""),"Zahirul Vai")</f>
        <v>Zahirul Vai</v>
      </c>
      <c r="D87" s="92" t="str">
        <f ca="1">IFERROR(__xludf.DUMMYFUNCTION("""COMPUTED_VALUE"""),"Jyotirmay Sarker (S188138)")</f>
        <v>Jyotirmay Sarker (S188138)</v>
      </c>
      <c r="E87" s="93" t="str">
        <f ca="1">IFERROR(__xludf.DUMMYFUNCTION("""COMPUTED_VALUE"""),"CB15136_Jan26")</f>
        <v>CB15136_Jan26</v>
      </c>
      <c r="F87" s="94" t="str">
        <f ca="1">IFERROR(__xludf.DUMMYFUNCTION("""COMPUTED_VALUE"""),"ATC Box Output")</f>
        <v>ATC Box Output</v>
      </c>
      <c r="G87" s="95" t="str">
        <f ca="1">IFERROR(__xludf.DUMMYFUNCTION("""COMPUTED_VALUE"""),"New")</f>
        <v>New</v>
      </c>
      <c r="H87" s="96">
        <f ca="1">IFERROR(__xludf.DUMMYFUNCTION("""COMPUTED_VALUE"""),1)</f>
        <v>1</v>
      </c>
      <c r="I87" s="97">
        <f ca="1">IFERROR(__xludf.DUMMYFUNCTION("""COMPUTED_VALUE"""),46041)</f>
        <v>46041</v>
      </c>
      <c r="J87" s="98" t="str">
        <f ca="1">IFERROR(__xludf.DUMMYFUNCTION("""COMPUTED_VALUE"""),"CW22355_Jan26")</f>
        <v>CW22355_Jan26</v>
      </c>
      <c r="K87" s="99" t="str">
        <f ca="1">IFERROR(__xludf.DUMMYFUNCTION("""COMPUTED_VALUE"""),"HoM Approved")</f>
        <v>HoM Approved</v>
      </c>
    </row>
    <row r="88" spans="1:11" ht="13.2">
      <c r="A88" s="89" t="str">
        <f ca="1">IFERROR(__xludf.DUMMYFUNCTION("""COMPUTED_VALUE"""),"PRAN Frozen Foods")</f>
        <v>PRAN Frozen Foods</v>
      </c>
      <c r="B88" s="90" t="str">
        <f ca="1">IFERROR(__xludf.DUMMYFUNCTION("""COMPUTED_VALUE"""),"USA &amp; Europe")</f>
        <v>USA &amp; Europe</v>
      </c>
      <c r="C88" s="91" t="str">
        <f ca="1">IFERROR(__xludf.DUMMYFUNCTION("""COMPUTED_VALUE"""),"Saifullah Vai")</f>
        <v>Saifullah Vai</v>
      </c>
      <c r="D88" s="92" t="str">
        <f ca="1">IFERROR(__xludf.DUMMYFUNCTION("""COMPUTED_VALUE"""),"Jyotirmay Sarker (S188138)")</f>
        <v>Jyotirmay Sarker (S188138)</v>
      </c>
      <c r="E88" s="93" t="str">
        <f ca="1">IFERROR(__xludf.DUMMYFUNCTION("""COMPUTED_VALUE"""),"CB14658_Dec25")</f>
        <v>CB14658_Dec25</v>
      </c>
      <c r="F88" s="94" t="str">
        <f ca="1">IFERROR(__xludf.DUMMYFUNCTION("""COMPUTED_VALUE"""),"Gravure Output #2")</f>
        <v>Gravure Output #2</v>
      </c>
      <c r="G88" s="95" t="str">
        <f ca="1">IFERROR(__xludf.DUMMYFUNCTION("""COMPUTED_VALUE"""),"New")</f>
        <v>New</v>
      </c>
      <c r="H88" s="96">
        <f ca="1">IFERROR(__xludf.DUMMYFUNCTION("""COMPUTED_VALUE"""),1)</f>
        <v>1</v>
      </c>
      <c r="I88" s="97">
        <f ca="1">IFERROR(__xludf.DUMMYFUNCTION("""COMPUTED_VALUE"""),46042)</f>
        <v>46042</v>
      </c>
      <c r="J88" s="98" t="str">
        <f ca="1">IFERROR(__xludf.DUMMYFUNCTION("""COMPUTED_VALUE"""),"CW22482_Jan26")</f>
        <v>CW22482_Jan26</v>
      </c>
      <c r="K88" s="99" t="str">
        <f ca="1">IFERROR(__xludf.DUMMYFUNCTION("""COMPUTED_VALUE"""),"HoM Approved")</f>
        <v>HoM Approved</v>
      </c>
    </row>
    <row r="89" spans="1:11" ht="13.2">
      <c r="A89" s="89" t="str">
        <f ca="1">IFERROR(__xludf.DUMMYFUNCTION("""COMPUTED_VALUE"""),"Vinegar")</f>
        <v>Vinegar</v>
      </c>
      <c r="B89" s="90" t="str">
        <f ca="1">IFERROR(__xludf.DUMMYFUNCTION("""COMPUTED_VALUE"""),"AMCL")</f>
        <v>AMCL</v>
      </c>
      <c r="C89" s="91" t="str">
        <f ca="1">IFERROR(__xludf.DUMMYFUNCTION("""COMPUTED_VALUE"""),"Rakib Vai")</f>
        <v>Rakib Vai</v>
      </c>
      <c r="D89" s="92" t="str">
        <f ca="1">IFERROR(__xludf.DUMMYFUNCTION("""COMPUTED_VALUE"""),"Jyotirmay Sarker (S188138)")</f>
        <v>Jyotirmay Sarker (S188138)</v>
      </c>
      <c r="E89" s="93" t="str">
        <f ca="1">IFERROR(__xludf.DUMMYFUNCTION("""COMPUTED_VALUE"""),"CB15408_Jan26")</f>
        <v>CB15408_Jan26</v>
      </c>
      <c r="F89" s="94" t="str">
        <f ca="1">IFERROR(__xludf.DUMMYFUNCTION("""COMPUTED_VALUE"""),"JAR Label Sticker Output")</f>
        <v>JAR Label Sticker Output</v>
      </c>
      <c r="G89" s="95" t="str">
        <f ca="1">IFERROR(__xludf.DUMMYFUNCTION("""COMPUTED_VALUE"""),"New")</f>
        <v>New</v>
      </c>
      <c r="H89" s="96">
        <f ca="1">IFERROR(__xludf.DUMMYFUNCTION("""COMPUTED_VALUE"""),3)</f>
        <v>3</v>
      </c>
      <c r="I89" s="97">
        <f ca="1">IFERROR(__xludf.DUMMYFUNCTION("""COMPUTED_VALUE"""),46046)</f>
        <v>46046</v>
      </c>
      <c r="J89" s="98" t="str">
        <f ca="1">IFERROR(__xludf.DUMMYFUNCTION("""COMPUTED_VALUE"""),"CW22803_Jan26")</f>
        <v>CW22803_Jan26</v>
      </c>
      <c r="K89" s="99" t="str">
        <f ca="1">IFERROR(__xludf.DUMMYFUNCTION("""COMPUTED_VALUE"""),"HoM Approved")</f>
        <v>HoM Approved</v>
      </c>
    </row>
    <row r="90" spans="1:11" ht="13.2">
      <c r="A90" s="89" t="str">
        <f ca="1">IFERROR(__xludf.DUMMYFUNCTION("""COMPUTED_VALUE"""),"PRAN Basic Spice")</f>
        <v>PRAN Basic Spice</v>
      </c>
      <c r="B90" s="90" t="str">
        <f ca="1">IFERROR(__xludf.DUMMYFUNCTION("""COMPUTED_VALUE"""),"NAL")</f>
        <v>NAL</v>
      </c>
      <c r="C90" s="91" t="str">
        <f ca="1">IFERROR(__xludf.DUMMYFUNCTION("""COMPUTED_VALUE"""),"Shamsul Sir")</f>
        <v>Shamsul Sir</v>
      </c>
      <c r="D90" s="92" t="str">
        <f ca="1">IFERROR(__xludf.DUMMYFUNCTION("""COMPUTED_VALUE"""),"Jyotirmay Sarker (S188138)")</f>
        <v>Jyotirmay Sarker (S188138)</v>
      </c>
      <c r="E90" s="93" t="str">
        <f ca="1">IFERROR(__xludf.DUMMYFUNCTION("""COMPUTED_VALUE"""),"CB16130_Jan26")</f>
        <v>CB16130_Jan26</v>
      </c>
      <c r="F90" s="94" t="str">
        <f ca="1">IFERROR(__xludf.DUMMYFUNCTION("""COMPUTED_VALUE"""),"JAR Label Sticker Output")</f>
        <v>JAR Label Sticker Output</v>
      </c>
      <c r="G90" s="95" t="str">
        <f ca="1">IFERROR(__xludf.DUMMYFUNCTION("""COMPUTED_VALUE"""),"New")</f>
        <v>New</v>
      </c>
      <c r="H90" s="96">
        <f ca="1">IFERROR(__xludf.DUMMYFUNCTION("""COMPUTED_VALUE"""),7)</f>
        <v>7</v>
      </c>
      <c r="I90" s="97">
        <f ca="1">IFERROR(__xludf.DUMMYFUNCTION("""COMPUTED_VALUE"""),46047)</f>
        <v>46047</v>
      </c>
      <c r="J90" s="98" t="str">
        <f ca="1">IFERROR(__xludf.DUMMYFUNCTION("""COMPUTED_VALUE"""),"CW22831_Jan26")</f>
        <v>CW22831_Jan26</v>
      </c>
      <c r="K90" s="99" t="str">
        <f ca="1">IFERROR(__xludf.DUMMYFUNCTION("""COMPUTED_VALUE"""),"HoM Approved")</f>
        <v>HoM Approved</v>
      </c>
    </row>
    <row r="91" spans="1:11" ht="13.2">
      <c r="A91" s="89" t="str">
        <f ca="1">IFERROR(__xludf.DUMMYFUNCTION("""COMPUTED_VALUE"""),"All Time Family Cake")</f>
        <v>All Time Family Cake</v>
      </c>
      <c r="B91" s="90" t="str">
        <f ca="1">IFERROR(__xludf.DUMMYFUNCTION("""COMPUTED_VALUE"""),"BBL")</f>
        <v>BBL</v>
      </c>
      <c r="C91" s="91" t="str">
        <f ca="1">IFERROR(__xludf.DUMMYFUNCTION("""COMPUTED_VALUE"""),"Zahirul Vai")</f>
        <v>Zahirul Vai</v>
      </c>
      <c r="D91" s="92" t="str">
        <f ca="1">IFERROR(__xludf.DUMMYFUNCTION("""COMPUTED_VALUE"""),"Jyotirmay Sarker (S188138)")</f>
        <v>Jyotirmay Sarker (S188138)</v>
      </c>
      <c r="E91" s="93" t="str">
        <f ca="1">IFERROR(__xludf.DUMMYFUNCTION("""COMPUTED_VALUE"""),"CB16075_Jan26")</f>
        <v>CB16075_Jan26</v>
      </c>
      <c r="F91" s="94" t="str">
        <f ca="1">IFERROR(__xludf.DUMMYFUNCTION("""COMPUTED_VALUE"""),"ATC Box Output")</f>
        <v>ATC Box Output</v>
      </c>
      <c r="G91" s="95" t="str">
        <f ca="1">IFERROR(__xludf.DUMMYFUNCTION("""COMPUTED_VALUE"""),"New")</f>
        <v>New</v>
      </c>
      <c r="H91" s="96">
        <f ca="1">IFERROR(__xludf.DUMMYFUNCTION("""COMPUTED_VALUE"""),1)</f>
        <v>1</v>
      </c>
      <c r="I91" s="97">
        <f ca="1">IFERROR(__xludf.DUMMYFUNCTION("""COMPUTED_VALUE"""),46048)</f>
        <v>46048</v>
      </c>
      <c r="J91" s="98" t="str">
        <f ca="1">IFERROR(__xludf.DUMMYFUNCTION("""COMPUTED_VALUE"""),"CW23017_Jan26")</f>
        <v>CW23017_Jan26</v>
      </c>
      <c r="K91" s="99" t="str">
        <f ca="1">IFERROR(__xludf.DUMMYFUNCTION("""COMPUTED_VALUE"""),"HoM Approved")</f>
        <v>HoM Approved</v>
      </c>
    </row>
    <row r="92" spans="1:11" ht="13.2">
      <c r="A92" s="89" t="str">
        <f ca="1">IFERROR(__xludf.DUMMYFUNCTION("""COMPUTED_VALUE"""),"PRAN Cookies")</f>
        <v>PRAN Cookies</v>
      </c>
      <c r="B92" s="90" t="str">
        <f ca="1">IFERROR(__xludf.DUMMYFUNCTION("""COMPUTED_VALUE"""),"BBL")</f>
        <v>BBL</v>
      </c>
      <c r="C92" s="91" t="str">
        <f ca="1">IFERROR(__xludf.DUMMYFUNCTION("""COMPUTED_VALUE"""),"Afrin Apu")</f>
        <v>Afrin Apu</v>
      </c>
      <c r="D92" s="92" t="str">
        <f ca="1">IFERROR(__xludf.DUMMYFUNCTION("""COMPUTED_VALUE"""),"Jyotirmay Sarker (S188138)")</f>
        <v>Jyotirmay Sarker (S188138)</v>
      </c>
      <c r="E92" s="93" t="str">
        <f ca="1">IFERROR(__xludf.DUMMYFUNCTION("""COMPUTED_VALUE"""),"CB16474_Jan26")</f>
        <v>CB16474_Jan26</v>
      </c>
      <c r="F92" s="94" t="str">
        <f ca="1">IFERROR(__xludf.DUMMYFUNCTION("""COMPUTED_VALUE"""),"JAR Label Sticker Output")</f>
        <v>JAR Label Sticker Output</v>
      </c>
      <c r="G92" s="95" t="str">
        <f ca="1">IFERROR(__xludf.DUMMYFUNCTION("""COMPUTED_VALUE"""),"New")</f>
        <v>New</v>
      </c>
      <c r="H92" s="96">
        <f ca="1">IFERROR(__xludf.DUMMYFUNCTION("""COMPUTED_VALUE"""),5)</f>
        <v>5</v>
      </c>
      <c r="I92" s="97">
        <f ca="1">IFERROR(__xludf.DUMMYFUNCTION("""COMPUTED_VALUE"""),46051)</f>
        <v>46051</v>
      </c>
      <c r="J92" s="98" t="str">
        <f ca="1">IFERROR(__xludf.DUMMYFUNCTION("""COMPUTED_VALUE"""),"CW23429_Jan26")</f>
        <v>CW23429_Jan26</v>
      </c>
      <c r="K92" s="99" t="str">
        <f ca="1">IFERROR(__xludf.DUMMYFUNCTION("""COMPUTED_VALUE"""),"HoM Approved")</f>
        <v>HoM Approved</v>
      </c>
    </row>
    <row r="93" spans="1:11" ht="13.2">
      <c r="A93" s="89" t="str">
        <f ca="1">IFERROR(__xludf.DUMMYFUNCTION("""COMPUTED_VALUE"""),"100% Natural Juice Latina")</f>
        <v>100% Natural Juice Latina</v>
      </c>
      <c r="B93" s="90" t="str">
        <f ca="1">IFERROR(__xludf.DUMMYFUNCTION("""COMPUTED_VALUE"""),"Dairy")</f>
        <v>Dairy</v>
      </c>
      <c r="C93" s="91" t="str">
        <f ca="1">IFERROR(__xludf.DUMMYFUNCTION("""COMPUTED_VALUE"""),"Anis Vaiya")</f>
        <v>Anis Vaiya</v>
      </c>
      <c r="D93" s="92" t="str">
        <f ca="1">IFERROR(__xludf.DUMMYFUNCTION("""COMPUTED_VALUE"""),"Jyotirmay Sarker (S188138)")</f>
        <v>Jyotirmay Sarker (S188138)</v>
      </c>
      <c r="E93" s="93" t="str">
        <f ca="1">IFERROR(__xludf.DUMMYFUNCTION("""COMPUTED_VALUE"""),"CB16507_Jan26")</f>
        <v>CB16507_Jan26</v>
      </c>
      <c r="F93" s="94" t="str">
        <f ca="1">IFERROR(__xludf.DUMMYFUNCTION("""COMPUTED_VALUE"""),"JAR Label Sticker Output")</f>
        <v>JAR Label Sticker Output</v>
      </c>
      <c r="G93" s="95" t="str">
        <f ca="1">IFERROR(__xludf.DUMMYFUNCTION("""COMPUTED_VALUE"""),"New")</f>
        <v>New</v>
      </c>
      <c r="H93" s="96">
        <f ca="1">IFERROR(__xludf.DUMMYFUNCTION("""COMPUTED_VALUE"""),1)</f>
        <v>1</v>
      </c>
      <c r="I93" s="97">
        <f ca="1">IFERROR(__xludf.DUMMYFUNCTION("""COMPUTED_VALUE"""),46051)</f>
        <v>46051</v>
      </c>
      <c r="J93" s="98" t="str">
        <f ca="1">IFERROR(__xludf.DUMMYFUNCTION("""COMPUTED_VALUE"""),"CW23332_Jan26")</f>
        <v>CW23332_Jan26</v>
      </c>
      <c r="K93" s="99" t="str">
        <f ca="1">IFERROR(__xludf.DUMMYFUNCTION("""COMPUTED_VALUE"""),"HoM Approved")</f>
        <v>HoM Approved</v>
      </c>
    </row>
    <row r="94" spans="1:11" ht="13.2">
      <c r="A94" s="89" t="str">
        <f ca="1">IFERROR(__xludf.DUMMYFUNCTION("""COMPUTED_VALUE"""),"Bisk Club Fruit Fun Flavored Cream Biscuit")</f>
        <v>Bisk Club Fruit Fun Flavored Cream Biscuit</v>
      </c>
      <c r="B94" s="90" t="str">
        <f ca="1">IFERROR(__xludf.DUMMYFUNCTION("""COMPUTED_VALUE"""),"BBL")</f>
        <v>BBL</v>
      </c>
      <c r="C94" s="91" t="str">
        <f ca="1">IFERROR(__xludf.DUMMYFUNCTION("""COMPUTED_VALUE"""),"Ove Vai")</f>
        <v>Ove Vai</v>
      </c>
      <c r="D94" s="92" t="str">
        <f ca="1">IFERROR(__xludf.DUMMYFUNCTION("""COMPUTED_VALUE"""),"Jyotirmay Sarker (S188138)")</f>
        <v>Jyotirmay Sarker (S188138)</v>
      </c>
      <c r="E94" s="93" t="str">
        <f ca="1">IFERROR(__xludf.DUMMYFUNCTION("""COMPUTED_VALUE"""),"CB16556_Jan26")</f>
        <v>CB16556_Jan26</v>
      </c>
      <c r="F94" s="94" t="str">
        <f ca="1">IFERROR(__xludf.DUMMYFUNCTION("""COMPUTED_VALUE"""),"JAR Label Sticker Output")</f>
        <v>JAR Label Sticker Output</v>
      </c>
      <c r="G94" s="95" t="str">
        <f ca="1">IFERROR(__xludf.DUMMYFUNCTION("""COMPUTED_VALUE"""),"New")</f>
        <v>New</v>
      </c>
      <c r="H94" s="96">
        <f ca="1">IFERROR(__xludf.DUMMYFUNCTION("""COMPUTED_VALUE"""),1)</f>
        <v>1</v>
      </c>
      <c r="I94" s="97">
        <f ca="1">IFERROR(__xludf.DUMMYFUNCTION("""COMPUTED_VALUE"""),46051)</f>
        <v>46051</v>
      </c>
      <c r="J94" s="98" t="str">
        <f ca="1">IFERROR(__xludf.DUMMYFUNCTION("""COMPUTED_VALUE"""),"CW23445_Jan26")</f>
        <v>CW23445_Jan26</v>
      </c>
      <c r="K94" s="99" t="str">
        <f ca="1">IFERROR(__xludf.DUMMYFUNCTION("""COMPUTED_VALUE"""),"Brief Submitted")</f>
        <v>Brief Submitted</v>
      </c>
    </row>
    <row r="95" spans="1:11" ht="13.2">
      <c r="A95" s="89" t="str">
        <f ca="1">IFERROR(__xludf.DUMMYFUNCTION("""COMPUTED_VALUE"""),"Pran Mama Wafer")</f>
        <v>Pran Mama Wafer</v>
      </c>
      <c r="B95" s="90" t="str">
        <f ca="1">IFERROR(__xludf.DUMMYFUNCTION("""COMPUTED_VALUE"""),"BBL")</f>
        <v>BBL</v>
      </c>
      <c r="C95" s="91" t="str">
        <f ca="1">IFERROR(__xludf.DUMMYFUNCTION("""COMPUTED_VALUE"""),"Saidul Vai")</f>
        <v>Saidul Vai</v>
      </c>
      <c r="D95" s="92" t="str">
        <f ca="1">IFERROR(__xludf.DUMMYFUNCTION("""COMPUTED_VALUE"""),"Jyotirmay Sarker (S188138)")</f>
        <v>Jyotirmay Sarker (S188138)</v>
      </c>
      <c r="E95" s="93" t="str">
        <f ca="1">IFERROR(__xludf.DUMMYFUNCTION("""COMPUTED_VALUE"""),"CB16514_Jan26")</f>
        <v>CB16514_Jan26</v>
      </c>
      <c r="F95" s="94" t="str">
        <f ca="1">IFERROR(__xludf.DUMMYFUNCTION("""COMPUTED_VALUE"""),"JAR Label Sticker Output")</f>
        <v>JAR Label Sticker Output</v>
      </c>
      <c r="G95" s="95" t="str">
        <f ca="1">IFERROR(__xludf.DUMMYFUNCTION("""COMPUTED_VALUE"""),"New")</f>
        <v>New</v>
      </c>
      <c r="H95" s="96">
        <f ca="1">IFERROR(__xludf.DUMMYFUNCTION("""COMPUTED_VALUE"""),1)</f>
        <v>1</v>
      </c>
      <c r="I95" s="97">
        <f ca="1">IFERROR(__xludf.DUMMYFUNCTION("""COMPUTED_VALUE"""),46051)</f>
        <v>46051</v>
      </c>
      <c r="J95" s="98" t="str">
        <f ca="1">IFERROR(__xludf.DUMMYFUNCTION("""COMPUTED_VALUE"""),"CW23342_Jan26")</f>
        <v>CW23342_Jan26</v>
      </c>
      <c r="K95" s="99" t="str">
        <f ca="1">IFERROR(__xludf.DUMMYFUNCTION("""COMPUTED_VALUE"""),"HoM Approved")</f>
        <v>HoM Approved</v>
      </c>
    </row>
    <row r="96" spans="1:11" ht="13.2">
      <c r="A96" s="89" t="str">
        <f ca="1">IFERROR(__xludf.DUMMYFUNCTION("""COMPUTED_VALUE"""),"Treat Chocolate Cambodia")</f>
        <v>Treat Chocolate Cambodia</v>
      </c>
      <c r="B96" s="90" t="str">
        <f ca="1">IFERROR(__xludf.DUMMYFUNCTION("""COMPUTED_VALUE"""),"PCL")</f>
        <v>PCL</v>
      </c>
      <c r="C96" s="91" t="str">
        <f ca="1">IFERROR(__xludf.DUMMYFUNCTION("""COMPUTED_VALUE"""),"Mona Apu")</f>
        <v>Mona Apu</v>
      </c>
      <c r="D96" s="92" t="str">
        <f ca="1">IFERROR(__xludf.DUMMYFUNCTION("""COMPUTED_VALUE"""),"Jyotirmay Sarker (S188138)")</f>
        <v>Jyotirmay Sarker (S188138)</v>
      </c>
      <c r="E96" s="93" t="str">
        <f ca="1">IFERROR(__xludf.DUMMYFUNCTION("""COMPUTED_VALUE"""),"CB13858_Dec25")</f>
        <v>CB13858_Dec25</v>
      </c>
      <c r="F96" s="94" t="str">
        <f ca="1">IFERROR(__xludf.DUMMYFUNCTION("""COMPUTED_VALUE"""),"ATC Box Output")</f>
        <v>ATC Box Output</v>
      </c>
      <c r="G96" s="95" t="str">
        <f ca="1">IFERROR(__xludf.DUMMYFUNCTION("""COMPUTED_VALUE"""),"New")</f>
        <v>New</v>
      </c>
      <c r="H96" s="96">
        <f ca="1">IFERROR(__xludf.DUMMYFUNCTION("""COMPUTED_VALUE"""),1)</f>
        <v>1</v>
      </c>
      <c r="I96" s="97">
        <f ca="1">IFERROR(__xludf.DUMMYFUNCTION("""COMPUTED_VALUE"""),46055)</f>
        <v>46055</v>
      </c>
      <c r="J96" s="98" t="str">
        <f ca="1">IFERROR(__xludf.DUMMYFUNCTION("""COMPUTED_VALUE"""),"CW24098_Feb26")</f>
        <v>CW24098_Feb26</v>
      </c>
      <c r="K96" s="99" t="str">
        <f ca="1">IFERROR(__xludf.DUMMYFUNCTION("""COMPUTED_VALUE"""),"HoM Approved")</f>
        <v>HoM Approved</v>
      </c>
    </row>
    <row r="97" spans="1:11" ht="13.2">
      <c r="A97" s="89" t="str">
        <f ca="1">IFERROR(__xludf.DUMMYFUNCTION("""COMPUTED_VALUE"""),"Regal Emporium")</f>
        <v>Regal Emporium</v>
      </c>
      <c r="B97" s="90" t="str">
        <f ca="1">IFERROR(__xludf.DUMMYFUNCTION("""COMPUTED_VALUE"""),"Retail")</f>
        <v>Retail</v>
      </c>
      <c r="C97" s="91" t="str">
        <f ca="1">IFERROR(__xludf.DUMMYFUNCTION("""COMPUTED_VALUE"""),"Mouri Apu")</f>
        <v>Mouri Apu</v>
      </c>
      <c r="D97" s="92" t="str">
        <f ca="1">IFERROR(__xludf.DUMMYFUNCTION("""COMPUTED_VALUE"""),"Jyotirmay Sarker (S188138)")</f>
        <v>Jyotirmay Sarker (S188138)</v>
      </c>
      <c r="E97" s="93" t="str">
        <f ca="1">IFERROR(__xludf.DUMMYFUNCTION("""COMPUTED_VALUE"""),"CB14930_Jan26")</f>
        <v>CB14930_Jan26</v>
      </c>
      <c r="F97" s="94" t="str">
        <f ca="1">IFERROR(__xludf.DUMMYFUNCTION("""COMPUTED_VALUE"""),"Flyer/Brochure/Banner Output")</f>
        <v>Flyer/Brochure/Banner Output</v>
      </c>
      <c r="G97" s="95" t="str">
        <f ca="1">IFERROR(__xludf.DUMMYFUNCTION("""COMPUTED_VALUE"""),"New")</f>
        <v>New</v>
      </c>
      <c r="H97" s="96">
        <f ca="1">IFERROR(__xludf.DUMMYFUNCTION("""COMPUTED_VALUE"""),3)</f>
        <v>3</v>
      </c>
      <c r="I97" s="97">
        <f ca="1">IFERROR(__xludf.DUMMYFUNCTION("""COMPUTED_VALUE"""),46055)</f>
        <v>46055</v>
      </c>
      <c r="J97" s="98" t="str">
        <f ca="1">IFERROR(__xludf.DUMMYFUNCTION("""COMPUTED_VALUE"""),"CW24005_Feb26")</f>
        <v>CW24005_Feb26</v>
      </c>
      <c r="K97" s="99" t="str">
        <f ca="1">IFERROR(__xludf.DUMMYFUNCTION("""COMPUTED_VALUE"""),"HoM Approved")</f>
        <v>HoM Approved</v>
      </c>
    </row>
    <row r="98" spans="1:11" ht="13.2">
      <c r="A98" s="89" t="str">
        <f ca="1">IFERROR(__xludf.DUMMYFUNCTION("""COMPUTED_VALUE"""),"Regal Emporium")</f>
        <v>Regal Emporium</v>
      </c>
      <c r="B98" s="90" t="str">
        <f ca="1">IFERROR(__xludf.DUMMYFUNCTION("""COMPUTED_VALUE"""),"Retail")</f>
        <v>Retail</v>
      </c>
      <c r="C98" s="91" t="str">
        <f ca="1">IFERROR(__xludf.DUMMYFUNCTION("""COMPUTED_VALUE"""),"Mouri Apu")</f>
        <v>Mouri Apu</v>
      </c>
      <c r="D98" s="92" t="str">
        <f ca="1">IFERROR(__xludf.DUMMYFUNCTION("""COMPUTED_VALUE"""),"Jyotirmay Sarker (S188138)")</f>
        <v>Jyotirmay Sarker (S188138)</v>
      </c>
      <c r="E98" s="93" t="str">
        <f ca="1">IFERROR(__xludf.DUMMYFUNCTION("""COMPUTED_VALUE"""),"CB14934_Jan26")</f>
        <v>CB14934_Jan26</v>
      </c>
      <c r="F98" s="94" t="str">
        <f ca="1">IFERROR(__xludf.DUMMYFUNCTION("""COMPUTED_VALUE"""),"Flyer/Brochure/Banner Output")</f>
        <v>Flyer/Brochure/Banner Output</v>
      </c>
      <c r="G98" s="95" t="str">
        <f ca="1">IFERROR(__xludf.DUMMYFUNCTION("""COMPUTED_VALUE"""),"New")</f>
        <v>New</v>
      </c>
      <c r="H98" s="96">
        <f ca="1">IFERROR(__xludf.DUMMYFUNCTION("""COMPUTED_VALUE"""),1)</f>
        <v>1</v>
      </c>
      <c r="I98" s="97">
        <f ca="1">IFERROR(__xludf.DUMMYFUNCTION("""COMPUTED_VALUE"""),46055)</f>
        <v>46055</v>
      </c>
      <c r="J98" s="98" t="str">
        <f ca="1">IFERROR(__xludf.DUMMYFUNCTION("""COMPUTED_VALUE"""),"CW24076_Feb26")</f>
        <v>CW24076_Feb26</v>
      </c>
      <c r="K98" s="99" t="str">
        <f ca="1">IFERROR(__xludf.DUMMYFUNCTION("""COMPUTED_VALUE"""),"HoM Approved")</f>
        <v>HoM Approved</v>
      </c>
    </row>
    <row r="99" spans="1:11" ht="13.2">
      <c r="A99" s="89" t="str">
        <f ca="1">IFERROR(__xludf.DUMMYFUNCTION("""COMPUTED_VALUE"""),"RFL Weighing scale")</f>
        <v>RFL Weighing scale</v>
      </c>
      <c r="B99" s="90" t="str">
        <f ca="1">IFERROR(__xludf.DUMMYFUNCTION("""COMPUTED_VALUE"""),"RMIL-1")</f>
        <v>RMIL-1</v>
      </c>
      <c r="C99" s="91" t="str">
        <f ca="1">IFERROR(__xludf.DUMMYFUNCTION("""COMPUTED_VALUE"""),"Rasel Vai")</f>
        <v>Rasel Vai</v>
      </c>
      <c r="D99" s="92" t="str">
        <f ca="1">IFERROR(__xludf.DUMMYFUNCTION("""COMPUTED_VALUE"""),"Jyotirmay Sarker (S188138)")</f>
        <v>Jyotirmay Sarker (S188138)</v>
      </c>
      <c r="E99" s="93" t="str">
        <f ca="1">IFERROR(__xludf.DUMMYFUNCTION("""COMPUTED_VALUE"""),"CB15101_Jan26")</f>
        <v>CB15101_Jan26</v>
      </c>
      <c r="F99" s="94" t="str">
        <f ca="1">IFERROR(__xludf.DUMMYFUNCTION("""COMPUTED_VALUE"""),"Flyer/Brochure/Banner Output")</f>
        <v>Flyer/Brochure/Banner Output</v>
      </c>
      <c r="G99" s="95" t="str">
        <f ca="1">IFERROR(__xludf.DUMMYFUNCTION("""COMPUTED_VALUE"""),"New")</f>
        <v>New</v>
      </c>
      <c r="H99" s="96">
        <f ca="1">IFERROR(__xludf.DUMMYFUNCTION("""COMPUTED_VALUE"""),8)</f>
        <v>8</v>
      </c>
      <c r="I99" s="97">
        <f ca="1">IFERROR(__xludf.DUMMYFUNCTION("""COMPUTED_VALUE"""),46056)</f>
        <v>46056</v>
      </c>
      <c r="J99" s="98" t="str">
        <f ca="1">IFERROR(__xludf.DUMMYFUNCTION("""COMPUTED_VALUE"""),"CW24184_Feb26")</f>
        <v>CW24184_Feb26</v>
      </c>
      <c r="K99" s="99" t="str">
        <f ca="1">IFERROR(__xludf.DUMMYFUNCTION("""COMPUTED_VALUE"""),"HoM Approved")</f>
        <v>HoM Approved</v>
      </c>
    </row>
    <row r="100" spans="1:11" ht="13.2">
      <c r="A100" s="89" t="str">
        <f ca="1">IFERROR(__xludf.DUMMYFUNCTION("""COMPUTED_VALUE"""),"All Time Dry Cake")</f>
        <v>All Time Dry Cake</v>
      </c>
      <c r="B100" s="90" t="str">
        <f ca="1">IFERROR(__xludf.DUMMYFUNCTION("""COMPUTED_VALUE"""),"BBL")</f>
        <v>BBL</v>
      </c>
      <c r="C100" s="91" t="str">
        <f ca="1">IFERROR(__xludf.DUMMYFUNCTION("""COMPUTED_VALUE"""),"Zahirul Vai")</f>
        <v>Zahirul Vai</v>
      </c>
      <c r="D100" s="92" t="str">
        <f ca="1">IFERROR(__xludf.DUMMYFUNCTION("""COMPUTED_VALUE"""),"Jyotirmay Sarker (S188138)")</f>
        <v>Jyotirmay Sarker (S188138)</v>
      </c>
      <c r="E100" s="93" t="str">
        <f ca="1">IFERROR(__xludf.DUMMYFUNCTION("""COMPUTED_VALUE"""),"CB15938_Jan26")</f>
        <v>CB15938_Jan26</v>
      </c>
      <c r="F100" s="94" t="str">
        <f ca="1">IFERROR(__xludf.DUMMYFUNCTION("""COMPUTED_VALUE"""),"ATC Box Output")</f>
        <v>ATC Box Output</v>
      </c>
      <c r="G100" s="95" t="str">
        <f ca="1">IFERROR(__xludf.DUMMYFUNCTION("""COMPUTED_VALUE"""),"New")</f>
        <v>New</v>
      </c>
      <c r="H100" s="96">
        <f ca="1">IFERROR(__xludf.DUMMYFUNCTION("""COMPUTED_VALUE"""),3)</f>
        <v>3</v>
      </c>
      <c r="I100" s="97">
        <f ca="1">IFERROR(__xludf.DUMMYFUNCTION("""COMPUTED_VALUE"""),46058)</f>
        <v>46058</v>
      </c>
      <c r="J100" s="98" t="str">
        <f ca="1">IFERROR(__xludf.DUMMYFUNCTION("""COMPUTED_VALUE"""),"CW24291_Feb26")</f>
        <v>CW24291_Feb26</v>
      </c>
      <c r="K100" s="99" t="str">
        <f ca="1">IFERROR(__xludf.DUMMYFUNCTION("""COMPUTED_VALUE"""),"HoM Approved")</f>
        <v>HoM Approved</v>
      </c>
    </row>
    <row r="101" spans="1:11" ht="13.2">
      <c r="A101" s="89" t="str">
        <f ca="1">IFERROR(__xludf.DUMMYFUNCTION("""COMPUTED_VALUE"""),"PRAN Noodles")</f>
        <v>PRAN Noodles</v>
      </c>
      <c r="B101" s="90" t="str">
        <f ca="1">IFERROR(__xludf.DUMMYFUNCTION("""COMPUTED_VALUE"""),"PAL")</f>
        <v>PAL</v>
      </c>
      <c r="C101" s="91" t="str">
        <f ca="1">IFERROR(__xludf.DUMMYFUNCTION("""COMPUTED_VALUE"""),"Sanjida Apu")</f>
        <v>Sanjida Apu</v>
      </c>
      <c r="D101" s="92" t="str">
        <f ca="1">IFERROR(__xludf.DUMMYFUNCTION("""COMPUTED_VALUE"""),"Jyotirmay Sarker (S188138)")</f>
        <v>Jyotirmay Sarker (S188138)</v>
      </c>
      <c r="E101" s="93" t="str">
        <f ca="1">IFERROR(__xludf.DUMMYFUNCTION("""COMPUTED_VALUE"""),"CB17070_Feb26")</f>
        <v>CB17070_Feb26</v>
      </c>
      <c r="F101" s="94" t="str">
        <f ca="1">IFERROR(__xludf.DUMMYFUNCTION("""COMPUTED_VALUE"""),"Gravure Output #1")</f>
        <v>Gravure Output #1</v>
      </c>
      <c r="G101" s="95" t="str">
        <f ca="1">IFERROR(__xludf.DUMMYFUNCTION("""COMPUTED_VALUE"""),"New")</f>
        <v>New</v>
      </c>
      <c r="H101" s="96">
        <f ca="1">IFERROR(__xludf.DUMMYFUNCTION("""COMPUTED_VALUE"""),3)</f>
        <v>3</v>
      </c>
      <c r="I101" s="97">
        <f ca="1">IFERROR(__xludf.DUMMYFUNCTION("""COMPUTED_VALUE"""),46060)</f>
        <v>46060</v>
      </c>
      <c r="J101" s="98" t="str">
        <f ca="1">IFERROR(__xludf.DUMMYFUNCTION("""COMPUTED_VALUE"""),"CW24314_Feb26")</f>
        <v>CW24314_Feb26</v>
      </c>
      <c r="K101" s="99" t="str">
        <f ca="1">IFERROR(__xludf.DUMMYFUNCTION("""COMPUTED_VALUE"""),"Brief Submitted")</f>
        <v>Brief Submitted</v>
      </c>
    </row>
    <row r="102" spans="1:11" ht="13.2">
      <c r="A102" s="89" t="str">
        <f ca="1">IFERROR(__xludf.DUMMYFUNCTION("""COMPUTED_VALUE"""),"All Time Family Cake")</f>
        <v>All Time Family Cake</v>
      </c>
      <c r="B102" s="90" t="str">
        <f ca="1">IFERROR(__xludf.DUMMYFUNCTION("""COMPUTED_VALUE"""),"BBL")</f>
        <v>BBL</v>
      </c>
      <c r="C102" s="91" t="str">
        <f ca="1">IFERROR(__xludf.DUMMYFUNCTION("""COMPUTED_VALUE"""),"Shaifuddin Vai")</f>
        <v>Shaifuddin Vai</v>
      </c>
      <c r="D102" s="92" t="str">
        <f ca="1">IFERROR(__xludf.DUMMYFUNCTION("""COMPUTED_VALUE"""),"Jyotirmay Sarker (S188138)")</f>
        <v>Jyotirmay Sarker (S188138)</v>
      </c>
      <c r="E102" s="93" t="str">
        <f ca="1">IFERROR(__xludf.DUMMYFUNCTION("""COMPUTED_VALUE"""),"CB16518_Jan26")</f>
        <v>CB16518_Jan26</v>
      </c>
      <c r="F102" s="94" t="str">
        <f ca="1">IFERROR(__xludf.DUMMYFUNCTION("""COMPUTED_VALUE"""),"Flyer/Brochure/Banner Output")</f>
        <v>Flyer/Brochure/Banner Output</v>
      </c>
      <c r="G102" s="95" t="str">
        <f ca="1">IFERROR(__xludf.DUMMYFUNCTION("""COMPUTED_VALUE"""),"New")</f>
        <v>New</v>
      </c>
      <c r="H102" s="96">
        <f ca="1">IFERROR(__xludf.DUMMYFUNCTION("""COMPUTED_VALUE"""),2)</f>
        <v>2</v>
      </c>
      <c r="I102" s="97">
        <f ca="1">IFERROR(__xludf.DUMMYFUNCTION("""COMPUTED_VALUE"""),46060)</f>
        <v>46060</v>
      </c>
      <c r="J102" s="98" t="str">
        <f ca="1">IFERROR(__xludf.DUMMYFUNCTION("""COMPUTED_VALUE"""),"CW24350_Feb26")</f>
        <v>CW24350_Feb26</v>
      </c>
      <c r="K102" s="99" t="str">
        <f ca="1">IFERROR(__xludf.DUMMYFUNCTION("""COMPUTED_VALUE"""),"HoM Approved")</f>
        <v>HoM Approved</v>
      </c>
    </row>
    <row r="103" spans="1:11" ht="13.2">
      <c r="A103" s="89" t="str">
        <f ca="1">IFERROR(__xludf.DUMMYFUNCTION("""COMPUTED_VALUE"""),"PRAN Basic Spice")</f>
        <v>PRAN Basic Spice</v>
      </c>
      <c r="B103" s="90" t="str">
        <f ca="1">IFERROR(__xludf.DUMMYFUNCTION("""COMPUTED_VALUE"""),"NAL")</f>
        <v>NAL</v>
      </c>
      <c r="C103" s="91" t="str">
        <f ca="1">IFERROR(__xludf.DUMMYFUNCTION("""COMPUTED_VALUE"""),"Shamsul Sir")</f>
        <v>Shamsul Sir</v>
      </c>
      <c r="D103" s="92" t="str">
        <f ca="1">IFERROR(__xludf.DUMMYFUNCTION("""COMPUTED_VALUE"""),"Jyotirmay Sarker (S188138)")</f>
        <v>Jyotirmay Sarker (S188138)</v>
      </c>
      <c r="E103" s="93" t="str">
        <f ca="1">IFERROR(__xludf.DUMMYFUNCTION("""COMPUTED_VALUE"""),"CB17273_Feb26")</f>
        <v>CB17273_Feb26</v>
      </c>
      <c r="F103" s="94" t="str">
        <f ca="1">IFERROR(__xludf.DUMMYFUNCTION("""COMPUTED_VALUE"""),"JAR Label Sticker Output")</f>
        <v>JAR Label Sticker Output</v>
      </c>
      <c r="G103" s="95" t="str">
        <f ca="1">IFERROR(__xludf.DUMMYFUNCTION("""COMPUTED_VALUE"""),"New")</f>
        <v>New</v>
      </c>
      <c r="H103" s="96">
        <f ca="1">IFERROR(__xludf.DUMMYFUNCTION("""COMPUTED_VALUE"""),6)</f>
        <v>6</v>
      </c>
      <c r="I103" s="97">
        <f ca="1">IFERROR(__xludf.DUMMYFUNCTION("""COMPUTED_VALUE"""),46062)</f>
        <v>46062</v>
      </c>
      <c r="J103" s="98" t="str">
        <f ca="1">IFERROR(__xludf.DUMMYFUNCTION("""COMPUTED_VALUE"""),"CW24517_Feb26")</f>
        <v>CW24517_Feb26</v>
      </c>
      <c r="K103" s="99" t="str">
        <f ca="1">IFERROR(__xludf.DUMMYFUNCTION("""COMPUTED_VALUE"""),"HoM Approved")</f>
        <v>HoM Approved</v>
      </c>
    </row>
    <row r="104" spans="1:11" ht="13.2">
      <c r="A104" s="89" t="str">
        <f ca="1">IFERROR(__xludf.DUMMYFUNCTION("""COMPUTED_VALUE"""),"Pluto Chocolate Gems")</f>
        <v>Pluto Chocolate Gems</v>
      </c>
      <c r="B104" s="90" t="str">
        <f ca="1">IFERROR(__xludf.DUMMYFUNCTION("""COMPUTED_VALUE"""),"PCL")</f>
        <v>PCL</v>
      </c>
      <c r="C104" s="91" t="str">
        <f ca="1">IFERROR(__xludf.DUMMYFUNCTION("""COMPUTED_VALUE"""),"Anika Apu")</f>
        <v>Anika Apu</v>
      </c>
      <c r="D104" s="92" t="str">
        <f ca="1">IFERROR(__xludf.DUMMYFUNCTION("""COMPUTED_VALUE"""),"Jyotirmay Sarker (S188138)")</f>
        <v>Jyotirmay Sarker (S188138)</v>
      </c>
      <c r="E104" s="93" t="str">
        <f ca="1">IFERROR(__xludf.DUMMYFUNCTION("""COMPUTED_VALUE"""),"CB17651_Feb26")</f>
        <v>CB17651_Feb26</v>
      </c>
      <c r="F104" s="94" t="str">
        <f ca="1">IFERROR(__xludf.DUMMYFUNCTION("""COMPUTED_VALUE"""),"Gravure Output #2")</f>
        <v>Gravure Output #2</v>
      </c>
      <c r="G104" s="95" t="str">
        <f ca="1">IFERROR(__xludf.DUMMYFUNCTION("""COMPUTED_VALUE"""),"New")</f>
        <v>New</v>
      </c>
      <c r="H104" s="96">
        <f ca="1">IFERROR(__xludf.DUMMYFUNCTION("""COMPUTED_VALUE"""),6)</f>
        <v>6</v>
      </c>
      <c r="I104" s="97">
        <f ca="1">IFERROR(__xludf.DUMMYFUNCTION("""COMPUTED_VALUE"""),46069)</f>
        <v>46069</v>
      </c>
      <c r="J104" s="98" t="str">
        <f ca="1">IFERROR(__xludf.DUMMYFUNCTION("""COMPUTED_VALUE"""),"CW24989_Feb26")</f>
        <v>CW24989_Feb26</v>
      </c>
      <c r="K104" s="99" t="str">
        <f ca="1">IFERROR(__xludf.DUMMYFUNCTION("""COMPUTED_VALUE"""),"HoM Approved")</f>
        <v>HoM Approved</v>
      </c>
    </row>
    <row r="105" spans="1:11" ht="13.2">
      <c r="A105" s="89" t="str">
        <f ca="1">IFERROR(__xludf.DUMMYFUNCTION("""COMPUTED_VALUE"""),"Pran Lacchi")</f>
        <v>Pran Lacchi</v>
      </c>
      <c r="B105" s="90" t="str">
        <f ca="1">IFERROR(__xludf.DUMMYFUNCTION("""COMPUTED_VALUE"""),"PBL")</f>
        <v>PBL</v>
      </c>
      <c r="C105" s="91" t="str">
        <f ca="1">IFERROR(__xludf.DUMMYFUNCTION("""COMPUTED_VALUE"""),"Duke Vai")</f>
        <v>Duke Vai</v>
      </c>
      <c r="D105" s="92" t="str">
        <f ca="1">IFERROR(__xludf.DUMMYFUNCTION("""COMPUTED_VALUE"""),"Jyotirmay Sarker (S188138)")</f>
        <v>Jyotirmay Sarker (S188138)</v>
      </c>
      <c r="E105" s="93" t="str">
        <f ca="1">IFERROR(__xludf.DUMMYFUNCTION("""COMPUTED_VALUE"""),"CB17077_Feb26")</f>
        <v>CB17077_Feb26</v>
      </c>
      <c r="F105" s="94" t="str">
        <f ca="1">IFERROR(__xludf.DUMMYFUNCTION("""COMPUTED_VALUE"""),"Gravure Output #2")</f>
        <v>Gravure Output #2</v>
      </c>
      <c r="G105" s="95" t="str">
        <f ca="1">IFERROR(__xludf.DUMMYFUNCTION("""COMPUTED_VALUE"""),"New")</f>
        <v>New</v>
      </c>
      <c r="H105" s="96">
        <f ca="1">IFERROR(__xludf.DUMMYFUNCTION("""COMPUTED_VALUE"""),5)</f>
        <v>5</v>
      </c>
      <c r="I105" s="97">
        <f ca="1">IFERROR(__xludf.DUMMYFUNCTION("""COMPUTED_VALUE"""),46069)</f>
        <v>46069</v>
      </c>
      <c r="J105" s="98" t="str">
        <f ca="1">IFERROR(__xludf.DUMMYFUNCTION("""COMPUTED_VALUE"""),"CW24988_Feb26")</f>
        <v>CW24988_Feb26</v>
      </c>
      <c r="K105" s="99" t="str">
        <f ca="1">IFERROR(__xludf.DUMMYFUNCTION("""COMPUTED_VALUE"""),"HoM Approved")</f>
        <v>HoM Approved</v>
      </c>
    </row>
    <row r="106" spans="1:11" ht="13.2">
      <c r="A106" s="89" t="str">
        <f ca="1">IFERROR(__xludf.DUMMYFUNCTION("""COMPUTED_VALUE"""),"All Time Dry Cake")</f>
        <v>All Time Dry Cake</v>
      </c>
      <c r="B106" s="90" t="str">
        <f ca="1">IFERROR(__xludf.DUMMYFUNCTION("""COMPUTED_VALUE"""),"BBL")</f>
        <v>BBL</v>
      </c>
      <c r="C106" s="91" t="str">
        <f ca="1">IFERROR(__xludf.DUMMYFUNCTION("""COMPUTED_VALUE"""),"Zahirul Vai")</f>
        <v>Zahirul Vai</v>
      </c>
      <c r="D106" s="92" t="str">
        <f ca="1">IFERROR(__xludf.DUMMYFUNCTION("""COMPUTED_VALUE"""),"Jyotirmay Sarker (S188138)")</f>
        <v>Jyotirmay Sarker (S188138)</v>
      </c>
      <c r="E106" s="93" t="str">
        <f ca="1">IFERROR(__xludf.DUMMYFUNCTION("""COMPUTED_VALUE"""),"CB15938_Jan26")</f>
        <v>CB15938_Jan26</v>
      </c>
      <c r="F106" s="94" t="str">
        <f ca="1">IFERROR(__xludf.DUMMYFUNCTION("""COMPUTED_VALUE"""),"ATC Box Output")</f>
        <v>ATC Box Output</v>
      </c>
      <c r="G106" s="95" t="str">
        <f ca="1">IFERROR(__xludf.DUMMYFUNCTION("""COMPUTED_VALUE"""),"New")</f>
        <v>New</v>
      </c>
      <c r="H106" s="96">
        <f ca="1">IFERROR(__xludf.DUMMYFUNCTION("""COMPUTED_VALUE"""),3)</f>
        <v>3</v>
      </c>
      <c r="I106" s="97">
        <f ca="1">IFERROR(__xludf.DUMMYFUNCTION("""COMPUTED_VALUE"""),46069)</f>
        <v>46069</v>
      </c>
      <c r="J106" s="98" t="str">
        <f ca="1">IFERROR(__xludf.DUMMYFUNCTION("""COMPUTED_VALUE"""),"CW25031_Feb26")</f>
        <v>CW25031_Feb26</v>
      </c>
      <c r="K106" s="99" t="str">
        <f ca="1">IFERROR(__xludf.DUMMYFUNCTION("""COMPUTED_VALUE"""),"HoM Approved")</f>
        <v>HoM Approved</v>
      </c>
    </row>
    <row r="107" spans="1:11" ht="13.2">
      <c r="A107" s="89" t="str">
        <f ca="1">IFERROR(__xludf.DUMMYFUNCTION("""COMPUTED_VALUE"""),"PRAN Ready to Eat")</f>
        <v>PRAN Ready to Eat</v>
      </c>
      <c r="B107" s="90" t="str">
        <f ca="1">IFERROR(__xludf.DUMMYFUNCTION("""COMPUTED_VALUE"""),"NAL")</f>
        <v>NAL</v>
      </c>
      <c r="C107" s="91" t="str">
        <f ca="1">IFERROR(__xludf.DUMMYFUNCTION("""COMPUTED_VALUE"""),"Saifullah Vai")</f>
        <v>Saifullah Vai</v>
      </c>
      <c r="D107" s="92" t="str">
        <f ca="1">IFERROR(__xludf.DUMMYFUNCTION("""COMPUTED_VALUE"""),"Jyotirmay Sarker (S188138)")</f>
        <v>Jyotirmay Sarker (S188138)</v>
      </c>
      <c r="E107" s="93" t="str">
        <f ca="1">IFERROR(__xludf.DUMMYFUNCTION("""COMPUTED_VALUE"""),"CB15571_Jan26")</f>
        <v>CB15571_Jan26</v>
      </c>
      <c r="F107" s="94" t="str">
        <f ca="1">IFERROR(__xludf.DUMMYFUNCTION("""COMPUTED_VALUE"""),"ATC Box Output")</f>
        <v>ATC Box Output</v>
      </c>
      <c r="G107" s="95" t="str">
        <f ca="1">IFERROR(__xludf.DUMMYFUNCTION("""COMPUTED_VALUE"""),"New")</f>
        <v>New</v>
      </c>
      <c r="H107" s="96">
        <f ca="1">IFERROR(__xludf.DUMMYFUNCTION("""COMPUTED_VALUE"""),1)</f>
        <v>1</v>
      </c>
      <c r="I107" s="97">
        <f ca="1">IFERROR(__xludf.DUMMYFUNCTION("""COMPUTED_VALUE"""),46070)</f>
        <v>46070</v>
      </c>
      <c r="J107" s="98" t="str">
        <f ca="1">IFERROR(__xludf.DUMMYFUNCTION("""COMPUTED_VALUE"""),"CW25120_Feb26")</f>
        <v>CW25120_Feb26</v>
      </c>
      <c r="K107" s="99" t="str">
        <f ca="1">IFERROR(__xludf.DUMMYFUNCTION("""COMPUTED_VALUE"""),"HoM Approved")</f>
        <v>HoM Approved</v>
      </c>
    </row>
    <row r="108" spans="1:11" ht="13.2">
      <c r="A108" s="89" t="str">
        <f ca="1">IFERROR(__xludf.DUMMYFUNCTION("""COMPUTED_VALUE"""),"PRAN Spice Powder")</f>
        <v>PRAN Spice Powder</v>
      </c>
      <c r="B108" s="90" t="str">
        <f ca="1">IFERROR(__xludf.DUMMYFUNCTION("""COMPUTED_VALUE"""),"USA &amp; Europe")</f>
        <v>USA &amp; Europe</v>
      </c>
      <c r="C108" s="91" t="str">
        <f ca="1">IFERROR(__xludf.DUMMYFUNCTION("""COMPUTED_VALUE"""),"Zahirul Vai")</f>
        <v>Zahirul Vai</v>
      </c>
      <c r="D108" s="92" t="str">
        <f ca="1">IFERROR(__xludf.DUMMYFUNCTION("""COMPUTED_VALUE"""),"Jyotirmay Sarker (S188138)")</f>
        <v>Jyotirmay Sarker (S188138)</v>
      </c>
      <c r="E108" s="93" t="str">
        <f ca="1">IFERROR(__xludf.DUMMYFUNCTION("""COMPUTED_VALUE"""),"CB15603_Jan26")</f>
        <v>CB15603_Jan26</v>
      </c>
      <c r="F108" s="94" t="str">
        <f ca="1">IFERROR(__xludf.DUMMYFUNCTION("""COMPUTED_VALUE"""),"ATC Box Output")</f>
        <v>ATC Box Output</v>
      </c>
      <c r="G108" s="95" t="str">
        <f ca="1">IFERROR(__xludf.DUMMYFUNCTION("""COMPUTED_VALUE"""),"New")</f>
        <v>New</v>
      </c>
      <c r="H108" s="96">
        <f ca="1">IFERROR(__xludf.DUMMYFUNCTION("""COMPUTED_VALUE"""),7)</f>
        <v>7</v>
      </c>
      <c r="I108" s="97">
        <f ca="1">IFERROR(__xludf.DUMMYFUNCTION("""COMPUTED_VALUE"""),46072)</f>
        <v>46072</v>
      </c>
      <c r="J108" s="98" t="str">
        <f ca="1">IFERROR(__xludf.DUMMYFUNCTION("""COMPUTED_VALUE"""),"CW25307_Feb26")</f>
        <v>CW25307_Feb26</v>
      </c>
      <c r="K108" s="99" t="str">
        <f ca="1">IFERROR(__xludf.DUMMYFUNCTION("""COMPUTED_VALUE"""),"HoM Approved")</f>
        <v>HoM Approved</v>
      </c>
    </row>
    <row r="109" spans="1:11" ht="13.2">
      <c r="A109" s="89" t="str">
        <f ca="1">IFERROR(__xludf.DUMMYFUNCTION("""COMPUTED_VALUE"""),"PRAN Frozen Foods")</f>
        <v>PRAN Frozen Foods</v>
      </c>
      <c r="B109" s="90" t="str">
        <f ca="1">IFERROR(__xludf.DUMMYFUNCTION("""COMPUTED_VALUE"""),"PFF")</f>
        <v>PFF</v>
      </c>
      <c r="C109" s="91" t="str">
        <f ca="1">IFERROR(__xludf.DUMMYFUNCTION("""COMPUTED_VALUE"""),"Zahirul Vai")</f>
        <v>Zahirul Vai</v>
      </c>
      <c r="D109" s="92" t="str">
        <f ca="1">IFERROR(__xludf.DUMMYFUNCTION("""COMPUTED_VALUE"""),"Jyotirmay Sarker (S188138)")</f>
        <v>Jyotirmay Sarker (S188138)</v>
      </c>
      <c r="E109" s="93" t="str">
        <f ca="1">IFERROR(__xludf.DUMMYFUNCTION("""COMPUTED_VALUE"""),"CB17116_Feb26")</f>
        <v>CB17116_Feb26</v>
      </c>
      <c r="F109" s="94" t="str">
        <f ca="1">IFERROR(__xludf.DUMMYFUNCTION("""COMPUTED_VALUE"""),"ATC Box Output")</f>
        <v>ATC Box Output</v>
      </c>
      <c r="G109" s="95" t="str">
        <f ca="1">IFERROR(__xludf.DUMMYFUNCTION("""COMPUTED_VALUE"""),"New")</f>
        <v>New</v>
      </c>
      <c r="H109" s="96">
        <f ca="1">IFERROR(__xludf.DUMMYFUNCTION("""COMPUTED_VALUE"""),1)</f>
        <v>1</v>
      </c>
      <c r="I109" s="97">
        <f ca="1">IFERROR(__xludf.DUMMYFUNCTION("""COMPUTED_VALUE"""),46072)</f>
        <v>46072</v>
      </c>
      <c r="J109" s="98" t="str">
        <f ca="1">IFERROR(__xludf.DUMMYFUNCTION("""COMPUTED_VALUE"""),"CW25317_Feb26")</f>
        <v>CW25317_Feb26</v>
      </c>
      <c r="K109" s="99" t="str">
        <f ca="1">IFERROR(__xludf.DUMMYFUNCTION("""COMPUTED_VALUE"""),"HoM Approved")</f>
        <v>HoM Approved</v>
      </c>
    </row>
    <row r="110" spans="1:11" ht="13.2">
      <c r="A110" s="89" t="str">
        <f ca="1">IFERROR(__xludf.DUMMYFUNCTION("""COMPUTED_VALUE"""),"PRAN Spice Powder")</f>
        <v>PRAN Spice Powder</v>
      </c>
      <c r="B110" s="90" t="str">
        <f ca="1">IFERROR(__xludf.DUMMYFUNCTION("""COMPUTED_VALUE"""),"USA &amp; Europe")</f>
        <v>USA &amp; Europe</v>
      </c>
      <c r="C110" s="91" t="str">
        <f ca="1">IFERROR(__xludf.DUMMYFUNCTION("""COMPUTED_VALUE"""),"Zahirul Vai")</f>
        <v>Zahirul Vai</v>
      </c>
      <c r="D110" s="92" t="str">
        <f ca="1">IFERROR(__xludf.DUMMYFUNCTION("""COMPUTED_VALUE"""),"Jyotirmay Sarker (S188138)")</f>
        <v>Jyotirmay Sarker (S188138)</v>
      </c>
      <c r="E110" s="93" t="str">
        <f ca="1">IFERROR(__xludf.DUMMYFUNCTION("""COMPUTED_VALUE"""),"CB15603_Jan26")</f>
        <v>CB15603_Jan26</v>
      </c>
      <c r="F110" s="94" t="str">
        <f ca="1">IFERROR(__xludf.DUMMYFUNCTION("""COMPUTED_VALUE"""),"JAR Label Sticker Output")</f>
        <v>JAR Label Sticker Output</v>
      </c>
      <c r="G110" s="95" t="str">
        <f ca="1">IFERROR(__xludf.DUMMYFUNCTION("""COMPUTED_VALUE"""),"New")</f>
        <v>New</v>
      </c>
      <c r="H110" s="96">
        <f ca="1">IFERROR(__xludf.DUMMYFUNCTION("""COMPUTED_VALUE"""),2)</f>
        <v>2</v>
      </c>
      <c r="I110" s="97">
        <f ca="1">IFERROR(__xludf.DUMMYFUNCTION("""COMPUTED_VALUE"""),46072)</f>
        <v>46072</v>
      </c>
      <c r="J110" s="98" t="str">
        <f ca="1">IFERROR(__xludf.DUMMYFUNCTION("""COMPUTED_VALUE"""),"CW25307_Feb26")</f>
        <v>CW25307_Feb26</v>
      </c>
      <c r="K110" s="99" t="str">
        <f ca="1">IFERROR(__xludf.DUMMYFUNCTION("""COMPUTED_VALUE"""),"HoM Approved")</f>
        <v>HoM Approved</v>
      </c>
    </row>
    <row r="111" spans="1:11" ht="13.2">
      <c r="A111" s="89" t="str">
        <f ca="1">IFERROR(__xludf.DUMMYFUNCTION("""COMPUTED_VALUE"""),"Pran Mama Wafer")</f>
        <v>Pran Mama Wafer</v>
      </c>
      <c r="B111" s="90" t="str">
        <f ca="1">IFERROR(__xludf.DUMMYFUNCTION("""COMPUTED_VALUE"""),"BBL")</f>
        <v>BBL</v>
      </c>
      <c r="C111" s="91" t="str">
        <f ca="1">IFERROR(__xludf.DUMMYFUNCTION("""COMPUTED_VALUE"""),"Fatema Apu")</f>
        <v>Fatema Apu</v>
      </c>
      <c r="D111" s="92" t="str">
        <f ca="1">IFERROR(__xludf.DUMMYFUNCTION("""COMPUTED_VALUE"""),"Jyotirmay Sarker (S188138)")</f>
        <v>Jyotirmay Sarker (S188138)</v>
      </c>
      <c r="E111" s="93" t="str">
        <f ca="1">IFERROR(__xludf.DUMMYFUNCTION("""COMPUTED_VALUE"""),"CB15901_Jan26")</f>
        <v>CB15901_Jan26</v>
      </c>
      <c r="F111" s="94" t="str">
        <f ca="1">IFERROR(__xludf.DUMMYFUNCTION("""COMPUTED_VALUE"""),"Gravure Output #2")</f>
        <v>Gravure Output #2</v>
      </c>
      <c r="G111" s="95" t="str">
        <f ca="1">IFERROR(__xludf.DUMMYFUNCTION("""COMPUTED_VALUE"""),"New")</f>
        <v>New</v>
      </c>
      <c r="H111" s="96">
        <f ca="1">IFERROR(__xludf.DUMMYFUNCTION("""COMPUTED_VALUE"""),1)</f>
        <v>1</v>
      </c>
      <c r="I111" s="97">
        <f ca="1">IFERROR(__xludf.DUMMYFUNCTION("""COMPUTED_VALUE"""),46075)</f>
        <v>46075</v>
      </c>
      <c r="J111" s="98" t="str">
        <f ca="1">IFERROR(__xludf.DUMMYFUNCTION("""COMPUTED_VALUE"""),"CW25396_Feb26")</f>
        <v>CW25396_Feb26</v>
      </c>
      <c r="K111" s="99" t="str">
        <f ca="1">IFERROR(__xludf.DUMMYFUNCTION("""COMPUTED_VALUE"""),"HoM Approved")</f>
        <v>HoM Approved</v>
      </c>
    </row>
    <row r="112" spans="1:11" ht="13.2">
      <c r="A112" s="89" t="str">
        <f ca="1">IFERROR(__xludf.DUMMYFUNCTION("""COMPUTED_VALUE"""),"Divino Chocolate")</f>
        <v>Divino Chocolate</v>
      </c>
      <c r="B112" s="90" t="str">
        <f ca="1">IFERROR(__xludf.DUMMYFUNCTION("""COMPUTED_VALUE"""),"PCL")</f>
        <v>PCL</v>
      </c>
      <c r="C112" s="91" t="str">
        <f ca="1">IFERROR(__xludf.DUMMYFUNCTION("""COMPUTED_VALUE"""),"Sohel Vai")</f>
        <v>Sohel Vai</v>
      </c>
      <c r="D112" s="92" t="str">
        <f ca="1">IFERROR(__xludf.DUMMYFUNCTION("""COMPUTED_VALUE"""),"Jyotirmay Sarker (S188138)")</f>
        <v>Jyotirmay Sarker (S188138)</v>
      </c>
      <c r="E112" s="93" t="str">
        <f ca="1">IFERROR(__xludf.DUMMYFUNCTION("""COMPUTED_VALUE"""),"CB16993_Feb26")</f>
        <v>CB16993_Feb26</v>
      </c>
      <c r="F112" s="94" t="str">
        <f ca="1">IFERROR(__xludf.DUMMYFUNCTION("""COMPUTED_VALUE"""),"ATC Box Output")</f>
        <v>ATC Box Output</v>
      </c>
      <c r="G112" s="95" t="str">
        <f ca="1">IFERROR(__xludf.DUMMYFUNCTION("""COMPUTED_VALUE"""),"New")</f>
        <v>New</v>
      </c>
      <c r="H112" s="96">
        <f ca="1">IFERROR(__xludf.DUMMYFUNCTION("""COMPUTED_VALUE"""),3)</f>
        <v>3</v>
      </c>
      <c r="I112" s="97">
        <f ca="1">IFERROR(__xludf.DUMMYFUNCTION("""COMPUTED_VALUE"""),46075)</f>
        <v>46075</v>
      </c>
      <c r="J112" s="98" t="str">
        <f ca="1">IFERROR(__xludf.DUMMYFUNCTION("""COMPUTED_VALUE"""),"CW25437_Feb26")</f>
        <v>CW25437_Feb26</v>
      </c>
      <c r="K112" s="99" t="str">
        <f ca="1">IFERROR(__xludf.DUMMYFUNCTION("""COMPUTED_VALUE"""),"HoM Approved")</f>
        <v>HoM Approved</v>
      </c>
    </row>
    <row r="113" spans="1:11" ht="13.2">
      <c r="A113" s="89" t="str">
        <f ca="1">IFERROR(__xludf.DUMMYFUNCTION("""COMPUTED_VALUE"""),"PRAN Dry Cake")</f>
        <v>PRAN Dry Cake</v>
      </c>
      <c r="B113" s="90" t="str">
        <f ca="1">IFERROR(__xludf.DUMMYFUNCTION("""COMPUTED_VALUE"""),"Malaysia")</f>
        <v>Malaysia</v>
      </c>
      <c r="C113" s="91" t="str">
        <f ca="1">IFERROR(__xludf.DUMMYFUNCTION("""COMPUTED_VALUE"""),"Zahirul Vai")</f>
        <v>Zahirul Vai</v>
      </c>
      <c r="D113" s="92" t="str">
        <f ca="1">IFERROR(__xludf.DUMMYFUNCTION("""COMPUTED_VALUE"""),"Jyotirmay Sarker (S188138)")</f>
        <v>Jyotirmay Sarker (S188138)</v>
      </c>
      <c r="E113" s="93" t="str">
        <f ca="1">IFERROR(__xludf.DUMMYFUNCTION("""COMPUTED_VALUE"""),"CB17952_Feb26")</f>
        <v>CB17952_Feb26</v>
      </c>
      <c r="F113" s="94" t="str">
        <f ca="1">IFERROR(__xludf.DUMMYFUNCTION("""COMPUTED_VALUE"""),"JAR Label Sticker Output")</f>
        <v>JAR Label Sticker Output</v>
      </c>
      <c r="G113" s="95" t="str">
        <f ca="1">IFERROR(__xludf.DUMMYFUNCTION("""COMPUTED_VALUE"""),"New")</f>
        <v>New</v>
      </c>
      <c r="H113" s="96">
        <f ca="1">IFERROR(__xludf.DUMMYFUNCTION("""COMPUTED_VALUE"""),1)</f>
        <v>1</v>
      </c>
      <c r="I113" s="97">
        <f ca="1">IFERROR(__xludf.DUMMYFUNCTION("""COMPUTED_VALUE"""),46075)</f>
        <v>46075</v>
      </c>
      <c r="J113" s="98" t="str">
        <f ca="1">IFERROR(__xludf.DUMMYFUNCTION("""COMPUTED_VALUE"""),"CW25406_Feb26")</f>
        <v>CW25406_Feb26</v>
      </c>
      <c r="K113" s="99" t="str">
        <f ca="1">IFERROR(__xludf.DUMMYFUNCTION("""COMPUTED_VALUE"""),"HoM Approved")</f>
        <v>HoM Approved</v>
      </c>
    </row>
    <row r="114" spans="1:11" ht="13.2">
      <c r="A114" s="89" t="str">
        <f ca="1">IFERROR(__xludf.DUMMYFUNCTION("""COMPUTED_VALUE"""),"Treat Éclair")</f>
        <v>Treat Éclair</v>
      </c>
      <c r="B114" s="90" t="str">
        <f ca="1">IFERROR(__xludf.DUMMYFUNCTION("""COMPUTED_VALUE"""),"PCL")</f>
        <v>PCL</v>
      </c>
      <c r="C114" s="91" t="str">
        <f ca="1">IFERROR(__xludf.DUMMYFUNCTION("""COMPUTED_VALUE"""),"Zahirul Vai")</f>
        <v>Zahirul Vai</v>
      </c>
      <c r="D114" s="92" t="str">
        <f ca="1">IFERROR(__xludf.DUMMYFUNCTION("""COMPUTED_VALUE"""),"Jyotirmay Sarker (S188138)")</f>
        <v>Jyotirmay Sarker (S188138)</v>
      </c>
      <c r="E114" s="93" t="str">
        <f ca="1">IFERROR(__xludf.DUMMYFUNCTION("""COMPUTED_VALUE"""),"CB17865_Feb26")</f>
        <v>CB17865_Feb26</v>
      </c>
      <c r="F114" s="94" t="str">
        <f ca="1">IFERROR(__xludf.DUMMYFUNCTION("""COMPUTED_VALUE"""),"JAR Label Sticker Output")</f>
        <v>JAR Label Sticker Output</v>
      </c>
      <c r="G114" s="95" t="str">
        <f ca="1">IFERROR(__xludf.DUMMYFUNCTION("""COMPUTED_VALUE"""),"New")</f>
        <v>New</v>
      </c>
      <c r="H114" s="96">
        <f ca="1">IFERROR(__xludf.DUMMYFUNCTION("""COMPUTED_VALUE"""),2)</f>
        <v>2</v>
      </c>
      <c r="I114" s="97">
        <f ca="1">IFERROR(__xludf.DUMMYFUNCTION("""COMPUTED_VALUE"""),46075)</f>
        <v>46075</v>
      </c>
      <c r="J114" s="98" t="str">
        <f ca="1">IFERROR(__xludf.DUMMYFUNCTION("""COMPUTED_VALUE"""),"CW25428_Feb26")</f>
        <v>CW25428_Feb26</v>
      </c>
      <c r="K114" s="99" t="str">
        <f ca="1">IFERROR(__xludf.DUMMYFUNCTION("""COMPUTED_VALUE"""),"HoM Approved")</f>
        <v>HoM Approved</v>
      </c>
    </row>
    <row r="115" spans="1:11" ht="13.2">
      <c r="A115" s="89" t="str">
        <f ca="1">IFERROR(__xludf.DUMMYFUNCTION("""COMPUTED_VALUE"""),"Kofi House")</f>
        <v>Kofi House</v>
      </c>
      <c r="B115" s="90" t="str">
        <f ca="1">IFERROR(__xludf.DUMMYFUNCTION("""COMPUTED_VALUE"""),"AMCL")</f>
        <v>AMCL</v>
      </c>
      <c r="C115" s="91" t="str">
        <f ca="1">IFERROR(__xludf.DUMMYFUNCTION("""COMPUTED_VALUE"""),"Miraj Vai")</f>
        <v>Miraj Vai</v>
      </c>
      <c r="D115" s="92" t="str">
        <f ca="1">IFERROR(__xludf.DUMMYFUNCTION("""COMPUTED_VALUE"""),"Jyotirmay Sarker (S188138)")</f>
        <v>Jyotirmay Sarker (S188138)</v>
      </c>
      <c r="E115" s="93" t="str">
        <f ca="1">IFERROR(__xludf.DUMMYFUNCTION("""COMPUTED_VALUE"""),"CB13736_Dec25")</f>
        <v>CB13736_Dec25</v>
      </c>
      <c r="F115" s="94" t="str">
        <f ca="1">IFERROR(__xludf.DUMMYFUNCTION("""COMPUTED_VALUE"""),"Gravure Output #2")</f>
        <v>Gravure Output #2</v>
      </c>
      <c r="G115" s="95" t="str">
        <f ca="1">IFERROR(__xludf.DUMMYFUNCTION("""COMPUTED_VALUE"""),"New")</f>
        <v>New</v>
      </c>
      <c r="H115" s="96">
        <f ca="1">IFERROR(__xludf.DUMMYFUNCTION("""COMPUTED_VALUE"""),1)</f>
        <v>1</v>
      </c>
      <c r="I115" s="97">
        <f ca="1">IFERROR(__xludf.DUMMYFUNCTION("""COMPUTED_VALUE"""),46077)</f>
        <v>46077</v>
      </c>
      <c r="J115" s="98" t="str">
        <f ca="1">IFERROR(__xludf.DUMMYFUNCTION("""COMPUTED_VALUE"""),"CW25627_Feb26")</f>
        <v>CW25627_Feb26</v>
      </c>
      <c r="K115" s="99" t="str">
        <f ca="1">IFERROR(__xludf.DUMMYFUNCTION("""COMPUTED_VALUE"""),"HoM Approved")</f>
        <v>HoM Approved</v>
      </c>
    </row>
    <row r="116" spans="1:11" ht="13.2">
      <c r="A116" s="89" t="str">
        <f ca="1">IFERROR(__xludf.DUMMYFUNCTION("""COMPUTED_VALUE"""),"PRAN Noodles")</f>
        <v>PRAN Noodles</v>
      </c>
      <c r="B116" s="90" t="str">
        <f ca="1">IFERROR(__xludf.DUMMYFUNCTION("""COMPUTED_VALUE"""),"PAL")</f>
        <v>PAL</v>
      </c>
      <c r="C116" s="91" t="str">
        <f ca="1">IFERROR(__xludf.DUMMYFUNCTION("""COMPUTED_VALUE"""),"Sanjida Apu")</f>
        <v>Sanjida Apu</v>
      </c>
      <c r="D116" s="92" t="str">
        <f ca="1">IFERROR(__xludf.DUMMYFUNCTION("""COMPUTED_VALUE"""),"Jyotirmay Sarker (S188138)")</f>
        <v>Jyotirmay Sarker (S188138)</v>
      </c>
      <c r="E116" s="93" t="str">
        <f ca="1">IFERROR(__xludf.DUMMYFUNCTION("""COMPUTED_VALUE"""),"CB17181_Feb26")</f>
        <v>CB17181_Feb26</v>
      </c>
      <c r="F116" s="94" t="str">
        <f ca="1">IFERROR(__xludf.DUMMYFUNCTION("""COMPUTED_VALUE"""),"Flyer/Brochure/Banner Output")</f>
        <v>Flyer/Brochure/Banner Output</v>
      </c>
      <c r="G116" s="95" t="str">
        <f ca="1">IFERROR(__xludf.DUMMYFUNCTION("""COMPUTED_VALUE"""),"New")</f>
        <v>New</v>
      </c>
      <c r="H116" s="96">
        <f ca="1">IFERROR(__xludf.DUMMYFUNCTION("""COMPUTED_VALUE"""),1)</f>
        <v>1</v>
      </c>
      <c r="I116" s="97">
        <f ca="1">IFERROR(__xludf.DUMMYFUNCTION("""COMPUTED_VALUE"""),46078)</f>
        <v>46078</v>
      </c>
      <c r="J116" s="98" t="str">
        <f ca="1">IFERROR(__xludf.DUMMYFUNCTION("""COMPUTED_VALUE"""),"CW25730_Feb26")</f>
        <v>CW25730_Feb26</v>
      </c>
      <c r="K116" s="99" t="str">
        <f ca="1">IFERROR(__xludf.DUMMYFUNCTION("""COMPUTED_VALUE"""),"HoM Approved")</f>
        <v>HoM Approved</v>
      </c>
    </row>
    <row r="117" spans="1:11" ht="13.2">
      <c r="A117" s="89" t="str">
        <f ca="1">IFERROR(__xludf.DUMMYFUNCTION("""COMPUTED_VALUE"""),"Golpo")</f>
        <v>Golpo</v>
      </c>
      <c r="B117" s="90" t="str">
        <f ca="1">IFERROR(__xludf.DUMMYFUNCTION("""COMPUTED_VALUE"""),"BBL")</f>
        <v>BBL</v>
      </c>
      <c r="C117" s="91" t="str">
        <f ca="1">IFERROR(__xludf.DUMMYFUNCTION("""COMPUTED_VALUE"""),"Farhan Vai")</f>
        <v>Farhan Vai</v>
      </c>
      <c r="D117" s="92" t="str">
        <f ca="1">IFERROR(__xludf.DUMMYFUNCTION("""COMPUTED_VALUE"""),"Jyotirmay Sarker (S188138)")</f>
        <v>Jyotirmay Sarker (S188138)</v>
      </c>
      <c r="E117" s="93" t="str">
        <f ca="1">IFERROR(__xludf.DUMMYFUNCTION("""COMPUTED_VALUE"""),"CB17060_Feb26")</f>
        <v>CB17060_Feb26</v>
      </c>
      <c r="F117" s="94" t="str">
        <f ca="1">IFERROR(__xludf.DUMMYFUNCTION("""COMPUTED_VALUE"""),"ATC Box Output")</f>
        <v>ATC Box Output</v>
      </c>
      <c r="G117" s="95" t="str">
        <f ca="1">IFERROR(__xludf.DUMMYFUNCTION("""COMPUTED_VALUE"""),"New")</f>
        <v>New</v>
      </c>
      <c r="H117" s="96">
        <f ca="1">IFERROR(__xludf.DUMMYFUNCTION("""COMPUTED_VALUE"""),1)</f>
        <v>1</v>
      </c>
      <c r="I117" s="97">
        <f ca="1">IFERROR(__xludf.DUMMYFUNCTION("""COMPUTED_VALUE"""),46079)</f>
        <v>46079</v>
      </c>
      <c r="J117" s="98" t="str">
        <f ca="1">IFERROR(__xludf.DUMMYFUNCTION("""COMPUTED_VALUE"""),"CW25786_Feb26")</f>
        <v>CW25786_Feb26</v>
      </c>
      <c r="K117" s="99" t="str">
        <f ca="1">IFERROR(__xludf.DUMMYFUNCTION("""COMPUTED_VALUE"""),"HoM Approved")</f>
        <v>HoM Approved</v>
      </c>
    </row>
    <row r="118" spans="1:11" ht="13.2">
      <c r="A118" s="89" t="str">
        <f ca="1">IFERROR(__xludf.DUMMYFUNCTION("""COMPUTED_VALUE"""),"Hurray Wafer")</f>
        <v>Hurray Wafer</v>
      </c>
      <c r="B118" s="90" t="str">
        <f ca="1">IFERROR(__xludf.DUMMYFUNCTION("""COMPUTED_VALUE"""),"PCL")</f>
        <v>PCL</v>
      </c>
      <c r="C118" s="91" t="str">
        <f ca="1">IFERROR(__xludf.DUMMYFUNCTION("""COMPUTED_VALUE"""),"Rakib Vai")</f>
        <v>Rakib Vai</v>
      </c>
      <c r="D118" s="92" t="str">
        <f ca="1">IFERROR(__xludf.DUMMYFUNCTION("""COMPUTED_VALUE"""),"Jyotirmay Sarker (S188138)")</f>
        <v>Jyotirmay Sarker (S188138)</v>
      </c>
      <c r="E118" s="93" t="str">
        <f ca="1">IFERROR(__xludf.DUMMYFUNCTION("""COMPUTED_VALUE"""),"CB16890_Feb26")</f>
        <v>CB16890_Feb26</v>
      </c>
      <c r="F118" s="94" t="str">
        <f ca="1">IFERROR(__xludf.DUMMYFUNCTION("""COMPUTED_VALUE"""),"Gravure Output #2")</f>
        <v>Gravure Output #2</v>
      </c>
      <c r="G118" s="95" t="str">
        <f ca="1">IFERROR(__xludf.DUMMYFUNCTION("""COMPUTED_VALUE"""),"New")</f>
        <v>New</v>
      </c>
      <c r="H118" s="96">
        <f ca="1">IFERROR(__xludf.DUMMYFUNCTION("""COMPUTED_VALUE"""),4)</f>
        <v>4</v>
      </c>
      <c r="I118" s="97">
        <f ca="1">IFERROR(__xludf.DUMMYFUNCTION("""COMPUTED_VALUE"""),46079)</f>
        <v>46079</v>
      </c>
      <c r="J118" s="98" t="str">
        <f ca="1">IFERROR(__xludf.DUMMYFUNCTION("""COMPUTED_VALUE"""),"CW25845_Feb26")</f>
        <v>CW25845_Feb26</v>
      </c>
      <c r="K118" s="99" t="str">
        <f ca="1">IFERROR(__xludf.DUMMYFUNCTION("""COMPUTED_VALUE"""),"HoM Approved")</f>
        <v>HoM Approved</v>
      </c>
    </row>
    <row r="119" spans="1:11" ht="13.2">
      <c r="A119" s="89" t="str">
        <f ca="1">IFERROR(__xludf.DUMMYFUNCTION("""COMPUTED_VALUE"""),"Premio")</f>
        <v>Premio</v>
      </c>
      <c r="B119" s="90" t="str">
        <f ca="1">IFERROR(__xludf.DUMMYFUNCTION("""COMPUTED_VALUE"""),"PCL")</f>
        <v>PCL</v>
      </c>
      <c r="C119" s="91" t="str">
        <f ca="1">IFERROR(__xludf.DUMMYFUNCTION("""COMPUTED_VALUE"""),"Aslam Vaiya")</f>
        <v>Aslam Vaiya</v>
      </c>
      <c r="D119" s="92" t="str">
        <f ca="1">IFERROR(__xludf.DUMMYFUNCTION("""COMPUTED_VALUE"""),"Jyotirmay Sarker (S188138)")</f>
        <v>Jyotirmay Sarker (S188138)</v>
      </c>
      <c r="E119" s="93" t="str">
        <f ca="1">IFERROR(__xludf.DUMMYFUNCTION("""COMPUTED_VALUE"""),"CB17778_Feb26")</f>
        <v>CB17778_Feb26</v>
      </c>
      <c r="F119" s="94" t="str">
        <f ca="1">IFERROR(__xludf.DUMMYFUNCTION("""COMPUTED_VALUE"""),"Gravure Output #2")</f>
        <v>Gravure Output #2</v>
      </c>
      <c r="G119" s="95" t="str">
        <f ca="1">IFERROR(__xludf.DUMMYFUNCTION("""COMPUTED_VALUE"""),"New")</f>
        <v>New</v>
      </c>
      <c r="H119" s="96">
        <f ca="1">IFERROR(__xludf.DUMMYFUNCTION("""COMPUTED_VALUE"""),2)</f>
        <v>2</v>
      </c>
      <c r="I119" s="97">
        <f ca="1">IFERROR(__xludf.DUMMYFUNCTION("""COMPUTED_VALUE"""),46082)</f>
        <v>46082</v>
      </c>
      <c r="J119" s="98" t="str">
        <f ca="1">IFERROR(__xludf.DUMMYFUNCTION("""COMPUTED_VALUE"""),"CW26332_Mar26")</f>
        <v>CW26332_Mar26</v>
      </c>
      <c r="K119" s="99" t="str">
        <f ca="1">IFERROR(__xludf.DUMMYFUNCTION("""COMPUTED_VALUE"""),"HoM Approved")</f>
        <v>HoM Approved</v>
      </c>
    </row>
    <row r="120" spans="1:11" ht="13.2">
      <c r="A120" s="89" t="str">
        <f ca="1">IFERROR(__xludf.DUMMYFUNCTION("""COMPUTED_VALUE"""),"Canton Noodles")</f>
        <v>Canton Noodles</v>
      </c>
      <c r="B120" s="90" t="str">
        <f ca="1">IFERROR(__xludf.DUMMYFUNCTION("""COMPUTED_VALUE"""),"PAL")</f>
        <v>PAL</v>
      </c>
      <c r="C120" s="91" t="str">
        <f ca="1">IFERROR(__xludf.DUMMYFUNCTION("""COMPUTED_VALUE"""),"Rakib Vai")</f>
        <v>Rakib Vai</v>
      </c>
      <c r="D120" s="92" t="str">
        <f ca="1">IFERROR(__xludf.DUMMYFUNCTION("""COMPUTED_VALUE"""),"Jyotirmay Sarker (S188138)")</f>
        <v>Jyotirmay Sarker (S188138)</v>
      </c>
      <c r="E120" s="93" t="str">
        <f ca="1">IFERROR(__xludf.DUMMYFUNCTION("""COMPUTED_VALUE"""),"CB18265_Feb26")</f>
        <v>CB18265_Feb26</v>
      </c>
      <c r="F120" s="94" t="str">
        <f ca="1">IFERROR(__xludf.DUMMYFUNCTION("""COMPUTED_VALUE"""),"Gravure Output #2")</f>
        <v>Gravure Output #2</v>
      </c>
      <c r="G120" s="95" t="str">
        <f ca="1">IFERROR(__xludf.DUMMYFUNCTION("""COMPUTED_VALUE"""),"New")</f>
        <v>New</v>
      </c>
      <c r="H120" s="96">
        <f ca="1">IFERROR(__xludf.DUMMYFUNCTION("""COMPUTED_VALUE"""),4)</f>
        <v>4</v>
      </c>
      <c r="I120" s="97">
        <f ca="1">IFERROR(__xludf.DUMMYFUNCTION("""COMPUTED_VALUE"""),46082)</f>
        <v>46082</v>
      </c>
      <c r="J120" s="98" t="str">
        <f ca="1">IFERROR(__xludf.DUMMYFUNCTION("""COMPUTED_VALUE"""),"CW26349_Mar26")</f>
        <v>CW26349_Mar26</v>
      </c>
      <c r="K120" s="99" t="str">
        <f ca="1">IFERROR(__xludf.DUMMYFUNCTION("""COMPUTED_VALUE"""),"HoM Approved")</f>
        <v>HoM Approved</v>
      </c>
    </row>
    <row r="121" spans="1:11" ht="13.2">
      <c r="A121" s="89" t="str">
        <f ca="1">IFERROR(__xludf.DUMMYFUNCTION("""COMPUTED_VALUE"""),"Common - USA &amp; Europe Export")</f>
        <v>Common - USA &amp; Europe Export</v>
      </c>
      <c r="B121" s="90" t="str">
        <f ca="1">IFERROR(__xludf.DUMMYFUNCTION("""COMPUTED_VALUE"""),"USA &amp; Europe")</f>
        <v>USA &amp; Europe</v>
      </c>
      <c r="C121" s="91" t="str">
        <f ca="1">IFERROR(__xludf.DUMMYFUNCTION("""COMPUTED_VALUE"""),"Saifullah Vai")</f>
        <v>Saifullah Vai</v>
      </c>
      <c r="D121" s="92" t="str">
        <f ca="1">IFERROR(__xludf.DUMMYFUNCTION("""COMPUTED_VALUE"""),"Jyotirmay Sarker (S188138)")</f>
        <v>Jyotirmay Sarker (S188138)</v>
      </c>
      <c r="E121" s="93" t="str">
        <f ca="1">IFERROR(__xludf.DUMMYFUNCTION("""COMPUTED_VALUE"""),"CB16987_Feb26")</f>
        <v>CB16987_Feb26</v>
      </c>
      <c r="F121" s="94" t="str">
        <f ca="1">IFERROR(__xludf.DUMMYFUNCTION("""COMPUTED_VALUE"""),"Gravure Output #2")</f>
        <v>Gravure Output #2</v>
      </c>
      <c r="G121" s="95" t="str">
        <f ca="1">IFERROR(__xludf.DUMMYFUNCTION("""COMPUTED_VALUE"""),"New")</f>
        <v>New</v>
      </c>
      <c r="H121" s="96">
        <f ca="1">IFERROR(__xludf.DUMMYFUNCTION("""COMPUTED_VALUE"""),1)</f>
        <v>1</v>
      </c>
      <c r="I121" s="97">
        <f ca="1">IFERROR(__xludf.DUMMYFUNCTION("""COMPUTED_VALUE"""),46082)</f>
        <v>46082</v>
      </c>
      <c r="J121" s="98" t="str">
        <f ca="1">IFERROR(__xludf.DUMMYFUNCTION("""COMPUTED_VALUE"""),"CW26330_Mar26")</f>
        <v>CW26330_Mar26</v>
      </c>
      <c r="K121" s="99" t="str">
        <f ca="1">IFERROR(__xludf.DUMMYFUNCTION("""COMPUTED_VALUE"""),"HoM Approved")</f>
        <v>HoM Approved</v>
      </c>
    </row>
    <row r="122" spans="1:11" ht="13.2">
      <c r="A122" s="89" t="str">
        <f ca="1">IFERROR(__xludf.DUMMYFUNCTION("""COMPUTED_VALUE"""),"Common - USA &amp; Europe Export")</f>
        <v>Common - USA &amp; Europe Export</v>
      </c>
      <c r="B122" s="90" t="str">
        <f ca="1">IFERROR(__xludf.DUMMYFUNCTION("""COMPUTED_VALUE"""),"USA &amp; Europe")</f>
        <v>USA &amp; Europe</v>
      </c>
      <c r="C122" s="91" t="str">
        <f ca="1">IFERROR(__xludf.DUMMYFUNCTION("""COMPUTED_VALUE"""),"Saifullah Vai")</f>
        <v>Saifullah Vai</v>
      </c>
      <c r="D122" s="92" t="str">
        <f ca="1">IFERROR(__xludf.DUMMYFUNCTION("""COMPUTED_VALUE"""),"Jyotirmay Sarker (S188138)")</f>
        <v>Jyotirmay Sarker (S188138)</v>
      </c>
      <c r="E122" s="93" t="str">
        <f ca="1">IFERROR(__xludf.DUMMYFUNCTION("""COMPUTED_VALUE"""),"CB16987_Feb26")</f>
        <v>CB16987_Feb26</v>
      </c>
      <c r="F122" s="94" t="str">
        <f ca="1">IFERROR(__xludf.DUMMYFUNCTION("""COMPUTED_VALUE"""),"JAR Label Sticker Output")</f>
        <v>JAR Label Sticker Output</v>
      </c>
      <c r="G122" s="95" t="str">
        <f ca="1">IFERROR(__xludf.DUMMYFUNCTION("""COMPUTED_VALUE"""),"New")</f>
        <v>New</v>
      </c>
      <c r="H122" s="96">
        <f ca="1">IFERROR(__xludf.DUMMYFUNCTION("""COMPUTED_VALUE"""),1)</f>
        <v>1</v>
      </c>
      <c r="I122" s="97">
        <f ca="1">IFERROR(__xludf.DUMMYFUNCTION("""COMPUTED_VALUE"""),46082)</f>
        <v>46082</v>
      </c>
      <c r="J122" s="98" t="str">
        <f ca="1">IFERROR(__xludf.DUMMYFUNCTION("""COMPUTED_VALUE"""),"CW26330_Mar26")</f>
        <v>CW26330_Mar26</v>
      </c>
      <c r="K122" s="99" t="str">
        <f ca="1">IFERROR(__xludf.DUMMYFUNCTION("""COMPUTED_VALUE"""),"HoM Approved")</f>
        <v>HoM Approved</v>
      </c>
    </row>
    <row r="123" spans="1:11" ht="13.2">
      <c r="A123" s="89" t="str">
        <f ca="1">IFERROR(__xludf.DUMMYFUNCTION("""COMPUTED_VALUE"""),"Jelly Drink")</f>
        <v>Jelly Drink</v>
      </c>
      <c r="B123" s="90" t="str">
        <f ca="1">IFERROR(__xludf.DUMMYFUNCTION("""COMPUTED_VALUE"""),"PAL")</f>
        <v>PAL</v>
      </c>
      <c r="C123" s="91" t="str">
        <f ca="1">IFERROR(__xludf.DUMMYFUNCTION("""COMPUTED_VALUE"""),"Rakib Vai")</f>
        <v>Rakib Vai</v>
      </c>
      <c r="D123" s="92" t="str">
        <f ca="1">IFERROR(__xludf.DUMMYFUNCTION("""COMPUTED_VALUE"""),"Jyotirmay Sarker (S188138)")</f>
        <v>Jyotirmay Sarker (S188138)</v>
      </c>
      <c r="E123" s="93" t="str">
        <f ca="1">IFERROR(__xludf.DUMMYFUNCTION("""COMPUTED_VALUE"""),"CB16573_Jan26")</f>
        <v>CB16573_Jan26</v>
      </c>
      <c r="F123" s="94" t="str">
        <f ca="1">IFERROR(__xludf.DUMMYFUNCTION("""COMPUTED_VALUE"""),"JAR Label Sticker Output")</f>
        <v>JAR Label Sticker Output</v>
      </c>
      <c r="G123" s="95" t="str">
        <f ca="1">IFERROR(__xludf.DUMMYFUNCTION("""COMPUTED_VALUE"""),"New")</f>
        <v>New</v>
      </c>
      <c r="H123" s="96">
        <f ca="1">IFERROR(__xludf.DUMMYFUNCTION("""COMPUTED_VALUE"""),1)</f>
        <v>1</v>
      </c>
      <c r="I123" s="97">
        <f ca="1">IFERROR(__xludf.DUMMYFUNCTION("""COMPUTED_VALUE"""),46083)</f>
        <v>46083</v>
      </c>
      <c r="J123" s="98" t="str">
        <f ca="1">IFERROR(__xludf.DUMMYFUNCTION("""COMPUTED_VALUE"""),"CW26448_Mar26")</f>
        <v>CW26448_Mar26</v>
      </c>
      <c r="K123" s="99" t="str">
        <f ca="1">IFERROR(__xludf.DUMMYFUNCTION("""COMPUTED_VALUE"""),"HoM Approved")</f>
        <v>HoM Approved</v>
      </c>
    </row>
    <row r="124" spans="1:11" ht="13.2">
      <c r="A124" s="89" t="str">
        <f ca="1">IFERROR(__xludf.DUMMYFUNCTION("""COMPUTED_VALUE"""),"Common - USA &amp; Europe Export")</f>
        <v>Common - USA &amp; Europe Export</v>
      </c>
      <c r="B124" s="90" t="str">
        <f ca="1">IFERROR(__xludf.DUMMYFUNCTION("""COMPUTED_VALUE"""),"USA &amp; Europe")</f>
        <v>USA &amp; Europe</v>
      </c>
      <c r="C124" s="91" t="str">
        <f ca="1">IFERROR(__xludf.DUMMYFUNCTION("""COMPUTED_VALUE"""),"Saifullah Vai")</f>
        <v>Saifullah Vai</v>
      </c>
      <c r="D124" s="92" t="str">
        <f ca="1">IFERROR(__xludf.DUMMYFUNCTION("""COMPUTED_VALUE"""),"Jyotirmay Sarker (S188138)")</f>
        <v>Jyotirmay Sarker (S188138)</v>
      </c>
      <c r="E124" s="93" t="str">
        <f ca="1">IFERROR(__xludf.DUMMYFUNCTION("""COMPUTED_VALUE"""),"CB17961_Feb26")</f>
        <v>CB17961_Feb26</v>
      </c>
      <c r="F124" s="94" t="str">
        <f ca="1">IFERROR(__xludf.DUMMYFUNCTION("""COMPUTED_VALUE"""),"JAR Label Sticker Output")</f>
        <v>JAR Label Sticker Output</v>
      </c>
      <c r="G124" s="95" t="str">
        <f ca="1">IFERROR(__xludf.DUMMYFUNCTION("""COMPUTED_VALUE"""),"New")</f>
        <v>New</v>
      </c>
      <c r="H124" s="96">
        <f ca="1">IFERROR(__xludf.DUMMYFUNCTION("""COMPUTED_VALUE"""),2)</f>
        <v>2</v>
      </c>
      <c r="I124" s="97">
        <f ca="1">IFERROR(__xludf.DUMMYFUNCTION("""COMPUTED_VALUE"""),46083)</f>
        <v>46083</v>
      </c>
      <c r="J124" s="98" t="str">
        <f ca="1">IFERROR(__xludf.DUMMYFUNCTION("""COMPUTED_VALUE"""),"CW26439_Mar26")</f>
        <v>CW26439_Mar26</v>
      </c>
      <c r="K124" s="99" t="str">
        <f ca="1">IFERROR(__xludf.DUMMYFUNCTION("""COMPUTED_VALUE"""),"HoM Approved")</f>
        <v>HoM Approved</v>
      </c>
    </row>
    <row r="125" spans="1:11" ht="13.2">
      <c r="A125" s="89" t="str">
        <f ca="1">IFERROR(__xludf.DUMMYFUNCTION("""COMPUTED_VALUE"""),"PRAN Pulse candy")</f>
        <v>PRAN Pulse candy</v>
      </c>
      <c r="B125" s="90" t="str">
        <f ca="1">IFERROR(__xludf.DUMMYFUNCTION("""COMPUTED_VALUE"""),"PCL")</f>
        <v>PCL</v>
      </c>
      <c r="C125" s="91" t="str">
        <f ca="1">IFERROR(__xludf.DUMMYFUNCTION("""COMPUTED_VALUE"""),"Zahirul Vai")</f>
        <v>Zahirul Vai</v>
      </c>
      <c r="D125" s="92" t="str">
        <f ca="1">IFERROR(__xludf.DUMMYFUNCTION("""COMPUTED_VALUE"""),"Jyotirmay Sarker (S188138)")</f>
        <v>Jyotirmay Sarker (S188138)</v>
      </c>
      <c r="E125" s="93" t="str">
        <f ca="1">IFERROR(__xludf.DUMMYFUNCTION("""COMPUTED_VALUE"""),"CB17415_Feb26")</f>
        <v>CB17415_Feb26</v>
      </c>
      <c r="F125" s="94" t="str">
        <f ca="1">IFERROR(__xludf.DUMMYFUNCTION("""COMPUTED_VALUE"""),"Gravure Output #2")</f>
        <v>Gravure Output #2</v>
      </c>
      <c r="G125" s="95" t="str">
        <f ca="1">IFERROR(__xludf.DUMMYFUNCTION("""COMPUTED_VALUE"""),"New")</f>
        <v>New</v>
      </c>
      <c r="H125" s="96">
        <f ca="1">IFERROR(__xludf.DUMMYFUNCTION("""COMPUTED_VALUE"""),6)</f>
        <v>6</v>
      </c>
      <c r="I125" s="97">
        <f ca="1">IFERROR(__xludf.DUMMYFUNCTION("""COMPUTED_VALUE"""),46083)</f>
        <v>46083</v>
      </c>
      <c r="J125" s="98" t="str">
        <f ca="1">IFERROR(__xludf.DUMMYFUNCTION("""COMPUTED_VALUE"""),"CW26463_Mar26")</f>
        <v>CW26463_Mar26</v>
      </c>
      <c r="K125" s="99" t="str">
        <f ca="1">IFERROR(__xludf.DUMMYFUNCTION("""COMPUTED_VALUE"""),"HoM Approved")</f>
        <v>HoM Approved</v>
      </c>
    </row>
    <row r="126" spans="1:11" ht="13.2">
      <c r="A126" s="89" t="str">
        <f ca="1">IFERROR(__xludf.DUMMYFUNCTION("""COMPUTED_VALUE"""),"Regal Emporium")</f>
        <v>Regal Emporium</v>
      </c>
      <c r="B126" s="90" t="str">
        <f ca="1">IFERROR(__xludf.DUMMYFUNCTION("""COMPUTED_VALUE"""),"Retail")</f>
        <v>Retail</v>
      </c>
      <c r="C126" s="91" t="str">
        <f ca="1">IFERROR(__xludf.DUMMYFUNCTION("""COMPUTED_VALUE"""),"Mouri Apu")</f>
        <v>Mouri Apu</v>
      </c>
      <c r="D126" s="92" t="str">
        <f ca="1">IFERROR(__xludf.DUMMYFUNCTION("""COMPUTED_VALUE"""),"Jyotirmay Sarker (S188138)")</f>
        <v>Jyotirmay Sarker (S188138)</v>
      </c>
      <c r="E126" s="93" t="str">
        <f ca="1">IFERROR(__xludf.DUMMYFUNCTION("""COMPUTED_VALUE"""),"CB18547_Mar26")</f>
        <v>CB18547_Mar26</v>
      </c>
      <c r="F126" s="94" t="str">
        <f ca="1">IFERROR(__xludf.DUMMYFUNCTION("""COMPUTED_VALUE"""),"Flyer/Brochure/Banner Output")</f>
        <v>Flyer/Brochure/Banner Output</v>
      </c>
      <c r="G126" s="95" t="str">
        <f ca="1">IFERROR(__xludf.DUMMYFUNCTION("""COMPUTED_VALUE"""),"New")</f>
        <v>New</v>
      </c>
      <c r="H126" s="96">
        <f ca="1">IFERROR(__xludf.DUMMYFUNCTION("""COMPUTED_VALUE"""),10)</f>
        <v>10</v>
      </c>
      <c r="I126" s="97">
        <f ca="1">IFERROR(__xludf.DUMMYFUNCTION("""COMPUTED_VALUE"""),46084)</f>
        <v>46084</v>
      </c>
      <c r="J126" s="98" t="str">
        <f ca="1">IFERROR(__xludf.DUMMYFUNCTION("""COMPUTED_VALUE"""),"CW26547_Mar26")</f>
        <v>CW26547_Mar26</v>
      </c>
      <c r="K126" s="99" t="str">
        <f ca="1">IFERROR(__xludf.DUMMYFUNCTION("""COMPUTED_VALUE"""),"HoM Approved")</f>
        <v>HoM Approved</v>
      </c>
    </row>
    <row r="127" spans="1:11" ht="13.2">
      <c r="A127" s="89" t="str">
        <f ca="1">IFERROR(__xludf.DUMMYFUNCTION("""COMPUTED_VALUE"""),"Common")</f>
        <v>Common</v>
      </c>
      <c r="B127" s="90" t="str">
        <f ca="1">IFERROR(__xludf.DUMMYFUNCTION("""COMPUTED_VALUE"""),"Export Common")</f>
        <v>Export Common</v>
      </c>
      <c r="C127" s="91" t="str">
        <f ca="1">IFERROR(__xludf.DUMMYFUNCTION("""COMPUTED_VALUE"""),"Saifullah Vai")</f>
        <v>Saifullah Vai</v>
      </c>
      <c r="D127" s="92" t="str">
        <f ca="1">IFERROR(__xludf.DUMMYFUNCTION("""COMPUTED_VALUE"""),"Jyotirmay Sarker (S188138)")</f>
        <v>Jyotirmay Sarker (S188138)</v>
      </c>
      <c r="E127" s="93" t="str">
        <f ca="1">IFERROR(__xludf.DUMMYFUNCTION("""COMPUTED_VALUE"""),"CB18554_Feb26")</f>
        <v>CB18554_Feb26</v>
      </c>
      <c r="F127" s="94" t="str">
        <f ca="1">IFERROR(__xludf.DUMMYFUNCTION("""COMPUTED_VALUE"""),"Gravure Output #2")</f>
        <v>Gravure Output #2</v>
      </c>
      <c r="G127" s="95" t="str">
        <f ca="1">IFERROR(__xludf.DUMMYFUNCTION("""COMPUTED_VALUE"""),"New")</f>
        <v>New</v>
      </c>
      <c r="H127" s="96">
        <f ca="1">IFERROR(__xludf.DUMMYFUNCTION("""COMPUTED_VALUE"""),1)</f>
        <v>1</v>
      </c>
      <c r="I127" s="97">
        <f ca="1">IFERROR(__xludf.DUMMYFUNCTION("""COMPUTED_VALUE"""),46084)</f>
        <v>46084</v>
      </c>
      <c r="J127" s="98" t="str">
        <f ca="1">IFERROR(__xludf.DUMMYFUNCTION("""COMPUTED_VALUE"""),"CW26559_Mar26")</f>
        <v>CW26559_Mar26</v>
      </c>
      <c r="K127" s="99" t="str">
        <f ca="1">IFERROR(__xludf.DUMMYFUNCTION("""COMPUTED_VALUE"""),"HoM Approved")</f>
        <v>HoM Approved</v>
      </c>
    </row>
    <row r="128" spans="1:11" ht="13.2">
      <c r="A128" s="89" t="str">
        <f ca="1">IFERROR(__xludf.DUMMYFUNCTION("""COMPUTED_VALUE"""),"PRAN Noodles")</f>
        <v>PRAN Noodles</v>
      </c>
      <c r="B128" s="90" t="str">
        <f ca="1">IFERROR(__xludf.DUMMYFUNCTION("""COMPUTED_VALUE"""),"PAL")</f>
        <v>PAL</v>
      </c>
      <c r="C128" s="91" t="str">
        <f ca="1">IFERROR(__xludf.DUMMYFUNCTION("""COMPUTED_VALUE"""),"Sanjida Apu")</f>
        <v>Sanjida Apu</v>
      </c>
      <c r="D128" s="92" t="str">
        <f ca="1">IFERROR(__xludf.DUMMYFUNCTION("""COMPUTED_VALUE"""),"Jyotirmay Sarker (S188138)")</f>
        <v>Jyotirmay Sarker (S188138)</v>
      </c>
      <c r="E128" s="93" t="str">
        <f ca="1">IFERROR(__xludf.DUMMYFUNCTION("""COMPUTED_VALUE"""),"CB17526_Feb26")</f>
        <v>CB17526_Feb26</v>
      </c>
      <c r="F128" s="94" t="str">
        <f ca="1">IFERROR(__xludf.DUMMYFUNCTION("""COMPUTED_VALUE"""),"JAR Label Sticker Output")</f>
        <v>JAR Label Sticker Output</v>
      </c>
      <c r="G128" s="95" t="str">
        <f ca="1">IFERROR(__xludf.DUMMYFUNCTION("""COMPUTED_VALUE"""),"New")</f>
        <v>New</v>
      </c>
      <c r="H128" s="96">
        <f ca="1">IFERROR(__xludf.DUMMYFUNCTION("""COMPUTED_VALUE"""),1)</f>
        <v>1</v>
      </c>
      <c r="I128" s="97">
        <f ca="1">IFERROR(__xludf.DUMMYFUNCTION("""COMPUTED_VALUE"""),46084)</f>
        <v>46084</v>
      </c>
      <c r="J128" s="98" t="str">
        <f ca="1">IFERROR(__xludf.DUMMYFUNCTION("""COMPUTED_VALUE"""),"CW26575_Mar26")</f>
        <v>CW26575_Mar26</v>
      </c>
      <c r="K128" s="99" t="str">
        <f ca="1">IFERROR(__xludf.DUMMYFUNCTION("""COMPUTED_VALUE"""),"HoM Approved")</f>
        <v>HoM Approved</v>
      </c>
    </row>
    <row r="129" spans="1:11" ht="13.2">
      <c r="A129" s="89" t="str">
        <f ca="1">IFERROR(__xludf.DUMMYFUNCTION("""COMPUTED_VALUE"""),"Common - India Export")</f>
        <v>Common - India Export</v>
      </c>
      <c r="B129" s="90" t="str">
        <f ca="1">IFERROR(__xludf.DUMMYFUNCTION("""COMPUTED_VALUE"""),"India")</f>
        <v>India</v>
      </c>
      <c r="C129" s="91" t="str">
        <f ca="1">IFERROR(__xludf.DUMMYFUNCTION("""COMPUTED_VALUE"""),"Saifullah Vai")</f>
        <v>Saifullah Vai</v>
      </c>
      <c r="D129" s="92" t="str">
        <f ca="1">IFERROR(__xludf.DUMMYFUNCTION("""COMPUTED_VALUE"""),"Jyotirmay Sarker (S188138)")</f>
        <v>Jyotirmay Sarker (S188138)</v>
      </c>
      <c r="E129" s="93" t="str">
        <f ca="1">IFERROR(__xludf.DUMMYFUNCTION("""COMPUTED_VALUE"""),"CB19016_Mar26")</f>
        <v>CB19016_Mar26</v>
      </c>
      <c r="F129" s="94" t="str">
        <f ca="1">IFERROR(__xludf.DUMMYFUNCTION("""COMPUTED_VALUE"""),"JAR Label Sticker Output")</f>
        <v>JAR Label Sticker Output</v>
      </c>
      <c r="G129" s="95" t="str">
        <f ca="1">IFERROR(__xludf.DUMMYFUNCTION("""COMPUTED_VALUE"""),"New")</f>
        <v>New</v>
      </c>
      <c r="H129" s="96">
        <f ca="1">IFERROR(__xludf.DUMMYFUNCTION("""COMPUTED_VALUE"""),1)</f>
        <v>1</v>
      </c>
      <c r="I129" s="97">
        <f ca="1">IFERROR(__xludf.DUMMYFUNCTION("""COMPUTED_VALUE"""),46088)</f>
        <v>46088</v>
      </c>
      <c r="J129" s="98" t="str">
        <f ca="1">IFERROR(__xludf.DUMMYFUNCTION("""COMPUTED_VALUE"""),"CW26813_Mar26")</f>
        <v>CW26813_Mar26</v>
      </c>
      <c r="K129" s="99" t="str">
        <f ca="1">IFERROR(__xludf.DUMMYFUNCTION("""COMPUTED_VALUE"""),"HoM Approved")</f>
        <v>HoM Approved</v>
      </c>
    </row>
    <row r="130" spans="1:11" ht="13.2">
      <c r="A130" s="89" t="str">
        <f ca="1">IFERROR(__xludf.DUMMYFUNCTION("""COMPUTED_VALUE"""),"Common - All Dairy")</f>
        <v>Common - All Dairy</v>
      </c>
      <c r="B130" s="90" t="str">
        <f ca="1">IFERROR(__xludf.DUMMYFUNCTION("""COMPUTED_VALUE"""),"Dairy")</f>
        <v>Dairy</v>
      </c>
      <c r="C130" s="91" t="str">
        <f ca="1">IFERROR(__xludf.DUMMYFUNCTION("""COMPUTED_VALUE"""),"Tamim Vaiya")</f>
        <v>Tamim Vaiya</v>
      </c>
      <c r="D130" s="92" t="str">
        <f ca="1">IFERROR(__xludf.DUMMYFUNCTION("""COMPUTED_VALUE"""),"Jyotirmay Sarker (S188138)")</f>
        <v>Jyotirmay Sarker (S188138)</v>
      </c>
      <c r="E130" s="93" t="str">
        <f ca="1">IFERROR(__xludf.DUMMYFUNCTION("""COMPUTED_VALUE"""),"CB18881_Mar26")</f>
        <v>CB18881_Mar26</v>
      </c>
      <c r="F130" s="94" t="str">
        <f ca="1">IFERROR(__xludf.DUMMYFUNCTION("""COMPUTED_VALUE"""),"ATC Box Output")</f>
        <v>ATC Box Output</v>
      </c>
      <c r="G130" s="95" t="str">
        <f ca="1">IFERROR(__xludf.DUMMYFUNCTION("""COMPUTED_VALUE"""),"New")</f>
        <v>New</v>
      </c>
      <c r="H130" s="96">
        <f ca="1">IFERROR(__xludf.DUMMYFUNCTION("""COMPUTED_VALUE"""),1)</f>
        <v>1</v>
      </c>
      <c r="I130" s="97">
        <f ca="1">IFERROR(__xludf.DUMMYFUNCTION("""COMPUTED_VALUE"""),46088)</f>
        <v>46088</v>
      </c>
      <c r="J130" s="98" t="str">
        <f ca="1">IFERROR(__xludf.DUMMYFUNCTION("""COMPUTED_VALUE"""),"CW26853_Mar26")</f>
        <v>CW26853_Mar26</v>
      </c>
      <c r="K130" s="99" t="str">
        <f ca="1">IFERROR(__xludf.DUMMYFUNCTION("""COMPUTED_VALUE"""),"HoM Approved")</f>
        <v>HoM Approved</v>
      </c>
    </row>
    <row r="131" spans="1:11" ht="13.2">
      <c r="A131" s="89" t="str">
        <f ca="1">IFERROR(__xludf.DUMMYFUNCTION("""COMPUTED_VALUE"""),"Hurray Wafer")</f>
        <v>Hurray Wafer</v>
      </c>
      <c r="B131" s="90" t="str">
        <f ca="1">IFERROR(__xludf.DUMMYFUNCTION("""COMPUTED_VALUE"""),"PCL")</f>
        <v>PCL</v>
      </c>
      <c r="C131" s="91" t="str">
        <f ca="1">IFERROR(__xludf.DUMMYFUNCTION("""COMPUTED_VALUE"""),"Aslam Vaiya")</f>
        <v>Aslam Vaiya</v>
      </c>
      <c r="D131" s="92" t="str">
        <f ca="1">IFERROR(__xludf.DUMMYFUNCTION("""COMPUTED_VALUE"""),"Jyotirmay Sarker (S188138)")</f>
        <v>Jyotirmay Sarker (S188138)</v>
      </c>
      <c r="E131" s="93" t="str">
        <f ca="1">IFERROR(__xludf.DUMMYFUNCTION("""COMPUTED_VALUE"""),"CB17402_Feb26")</f>
        <v>CB17402_Feb26</v>
      </c>
      <c r="F131" s="94" t="str">
        <f ca="1">IFERROR(__xludf.DUMMYFUNCTION("""COMPUTED_VALUE"""),"JAR Label Sticker Output")</f>
        <v>JAR Label Sticker Output</v>
      </c>
      <c r="G131" s="95" t="str">
        <f ca="1">IFERROR(__xludf.DUMMYFUNCTION("""COMPUTED_VALUE"""),"New")</f>
        <v>New</v>
      </c>
      <c r="H131" s="96">
        <f ca="1">IFERROR(__xludf.DUMMYFUNCTION("""COMPUTED_VALUE"""),1)</f>
        <v>1</v>
      </c>
      <c r="I131" s="97">
        <f ca="1">IFERROR(__xludf.DUMMYFUNCTION("""COMPUTED_VALUE"""),46091)</f>
        <v>46091</v>
      </c>
      <c r="J131" s="98" t="str">
        <f ca="1">IFERROR(__xludf.DUMMYFUNCTION("""COMPUTED_VALUE"""),"CW27154_Mar26")</f>
        <v>CW27154_Mar26</v>
      </c>
      <c r="K131" s="99" t="str">
        <f ca="1">IFERROR(__xludf.DUMMYFUNCTION("""COMPUTED_VALUE"""),"HoM Approved")</f>
        <v>HoM Approved</v>
      </c>
    </row>
    <row r="132" spans="1:11" ht="13.2">
      <c r="A132" s="89" t="str">
        <f ca="1">IFERROR(__xludf.DUMMYFUNCTION("""COMPUTED_VALUE"""),"PRAN Recipe Mix")</f>
        <v>PRAN Recipe Mix</v>
      </c>
      <c r="B132" s="90" t="str">
        <f ca="1">IFERROR(__xludf.DUMMYFUNCTION("""COMPUTED_VALUE"""),"NAL")</f>
        <v>NAL</v>
      </c>
      <c r="C132" s="91" t="str">
        <f ca="1">IFERROR(__xludf.DUMMYFUNCTION("""COMPUTED_VALUE"""),"Minhaz Vai")</f>
        <v>Minhaz Vai</v>
      </c>
      <c r="D132" s="92" t="str">
        <f ca="1">IFERROR(__xludf.DUMMYFUNCTION("""COMPUTED_VALUE"""),"Jyotirmay Sarker (S188138)")</f>
        <v>Jyotirmay Sarker (S188138)</v>
      </c>
      <c r="E132" s="93" t="str">
        <f ca="1">IFERROR(__xludf.DUMMYFUNCTION("""COMPUTED_VALUE"""),"CB18365_Feb26")</f>
        <v>CB18365_Feb26</v>
      </c>
      <c r="F132" s="94" t="str">
        <f ca="1">IFERROR(__xludf.DUMMYFUNCTION("""COMPUTED_VALUE"""),"Flyer/Brochure/Banner Output")</f>
        <v>Flyer/Brochure/Banner Output</v>
      </c>
      <c r="G132" s="95" t="str">
        <f ca="1">IFERROR(__xludf.DUMMYFUNCTION("""COMPUTED_VALUE"""),"New")</f>
        <v>New</v>
      </c>
      <c r="H132" s="96">
        <f ca="1">IFERROR(__xludf.DUMMYFUNCTION("""COMPUTED_VALUE"""),1)</f>
        <v>1</v>
      </c>
      <c r="I132" s="97">
        <f ca="1">IFERROR(__xludf.DUMMYFUNCTION("""COMPUTED_VALUE"""),46092)</f>
        <v>46092</v>
      </c>
      <c r="J132" s="98" t="str">
        <f ca="1">IFERROR(__xludf.DUMMYFUNCTION("""COMPUTED_VALUE"""),"CW27227_Mar26")</f>
        <v>CW27227_Mar26</v>
      </c>
      <c r="K132" s="99" t="str">
        <f ca="1">IFERROR(__xludf.DUMMYFUNCTION("""COMPUTED_VALUE"""),"HoM Approved")</f>
        <v>HoM Approved</v>
      </c>
    </row>
    <row r="133" spans="1:11" ht="13.2">
      <c r="A133" s="89" t="str">
        <f ca="1">IFERROR(__xludf.DUMMYFUNCTION("""COMPUTED_VALUE"""),"Common")</f>
        <v>Common</v>
      </c>
      <c r="B133" s="90" t="str">
        <f ca="1">IFERROR(__xludf.DUMMYFUNCTION("""COMPUTED_VALUE"""),"Export Common")</f>
        <v>Export Common</v>
      </c>
      <c r="C133" s="91" t="str">
        <f ca="1">IFERROR(__xludf.DUMMYFUNCTION("""COMPUTED_VALUE"""),"Saifullah Vai")</f>
        <v>Saifullah Vai</v>
      </c>
      <c r="D133" s="92" t="str">
        <f ca="1">IFERROR(__xludf.DUMMYFUNCTION("""COMPUTED_VALUE"""),"Jyotirmay Sarker (S188138)")</f>
        <v>Jyotirmay Sarker (S188138)</v>
      </c>
      <c r="E133" s="93" t="str">
        <f ca="1">IFERROR(__xludf.DUMMYFUNCTION("""COMPUTED_VALUE"""),"CB19376_Mar26")</f>
        <v>CB19376_Mar26</v>
      </c>
      <c r="F133" s="94" t="str">
        <f ca="1">IFERROR(__xludf.DUMMYFUNCTION("""COMPUTED_VALUE"""),"ATC Box Output")</f>
        <v>ATC Box Output</v>
      </c>
      <c r="G133" s="95" t="str">
        <f ca="1">IFERROR(__xludf.DUMMYFUNCTION("""COMPUTED_VALUE"""),"New")</f>
        <v>New</v>
      </c>
      <c r="H133" s="96">
        <f ca="1">IFERROR(__xludf.DUMMYFUNCTION("""COMPUTED_VALUE"""),4)</f>
        <v>4</v>
      </c>
      <c r="I133" s="97">
        <f ca="1">IFERROR(__xludf.DUMMYFUNCTION("""COMPUTED_VALUE"""),46093)</f>
        <v>46093</v>
      </c>
      <c r="J133" s="98" t="str">
        <f ca="1">IFERROR(__xludf.DUMMYFUNCTION("""COMPUTED_VALUE"""),"CW27296_Mar26")</f>
        <v>CW27296_Mar26</v>
      </c>
      <c r="K133" s="99" t="str">
        <f ca="1">IFERROR(__xludf.DUMMYFUNCTION("""COMPUTED_VALUE"""),"HoM Approved")</f>
        <v>HoM Approved</v>
      </c>
    </row>
    <row r="134" spans="1:11" ht="13.2">
      <c r="A134" s="89" t="str">
        <f ca="1">IFERROR(__xludf.DUMMYFUNCTION("""COMPUTED_VALUE"""),"Common")</f>
        <v>Common</v>
      </c>
      <c r="B134" s="90" t="str">
        <f ca="1">IFERROR(__xludf.DUMMYFUNCTION("""COMPUTED_VALUE"""),"Export Common")</f>
        <v>Export Common</v>
      </c>
      <c r="C134" s="91" t="str">
        <f ca="1">IFERROR(__xludf.DUMMYFUNCTION("""COMPUTED_VALUE"""),"Saifullah Vai")</f>
        <v>Saifullah Vai</v>
      </c>
      <c r="D134" s="92" t="str">
        <f ca="1">IFERROR(__xludf.DUMMYFUNCTION("""COMPUTED_VALUE"""),"Jyotirmay Sarker (S188138)")</f>
        <v>Jyotirmay Sarker (S188138)</v>
      </c>
      <c r="E134" s="93" t="str">
        <f ca="1">IFERROR(__xludf.DUMMYFUNCTION("""COMPUTED_VALUE"""),"CB19376_Mar26")</f>
        <v>CB19376_Mar26</v>
      </c>
      <c r="F134" s="94" t="str">
        <f ca="1">IFERROR(__xludf.DUMMYFUNCTION("""COMPUTED_VALUE"""),"Gravure Output #2")</f>
        <v>Gravure Output #2</v>
      </c>
      <c r="G134" s="95" t="str">
        <f ca="1">IFERROR(__xludf.DUMMYFUNCTION("""COMPUTED_VALUE"""),"New")</f>
        <v>New</v>
      </c>
      <c r="H134" s="96">
        <f ca="1">IFERROR(__xludf.DUMMYFUNCTION("""COMPUTED_VALUE"""),2)</f>
        <v>2</v>
      </c>
      <c r="I134" s="97">
        <f ca="1">IFERROR(__xludf.DUMMYFUNCTION("""COMPUTED_VALUE"""),46093)</f>
        <v>46093</v>
      </c>
      <c r="J134" s="98" t="str">
        <f ca="1">IFERROR(__xludf.DUMMYFUNCTION("""COMPUTED_VALUE"""),"CW27296_Mar26")</f>
        <v>CW27296_Mar26</v>
      </c>
      <c r="K134" s="99" t="str">
        <f ca="1">IFERROR(__xludf.DUMMYFUNCTION("""COMPUTED_VALUE"""),"HoM Approved")</f>
        <v>HoM Approved</v>
      </c>
    </row>
    <row r="135" spans="1:11" ht="13.2">
      <c r="A135" s="89" t="str">
        <f ca="1">IFERROR(__xludf.DUMMYFUNCTION("""COMPUTED_VALUE"""),"Premio")</f>
        <v>Premio</v>
      </c>
      <c r="B135" s="90" t="str">
        <f ca="1">IFERROR(__xludf.DUMMYFUNCTION("""COMPUTED_VALUE"""),"PCL")</f>
        <v>PCL</v>
      </c>
      <c r="C135" s="91" t="str">
        <f ca="1">IFERROR(__xludf.DUMMYFUNCTION("""COMPUTED_VALUE"""),"Aslam Vaiya")</f>
        <v>Aslam Vaiya</v>
      </c>
      <c r="D135" s="92" t="str">
        <f ca="1">IFERROR(__xludf.DUMMYFUNCTION("""COMPUTED_VALUE"""),"Jyotirmay Sarker (S188138)")</f>
        <v>Jyotirmay Sarker (S188138)</v>
      </c>
      <c r="E135" s="93" t="str">
        <f ca="1">IFERROR(__xludf.DUMMYFUNCTION("""COMPUTED_VALUE"""),"CB18480_Feb26")</f>
        <v>CB18480_Feb26</v>
      </c>
      <c r="F135" s="94" t="str">
        <f ca="1">IFERROR(__xludf.DUMMYFUNCTION("""COMPUTED_VALUE"""),"ATC Box Output")</f>
        <v>ATC Box Output</v>
      </c>
      <c r="G135" s="95" t="str">
        <f ca="1">IFERROR(__xludf.DUMMYFUNCTION("""COMPUTED_VALUE"""),"New")</f>
        <v>New</v>
      </c>
      <c r="H135" s="96">
        <f ca="1">IFERROR(__xludf.DUMMYFUNCTION("""COMPUTED_VALUE"""),1)</f>
        <v>1</v>
      </c>
      <c r="I135" s="97">
        <f ca="1">IFERROR(__xludf.DUMMYFUNCTION("""COMPUTED_VALUE"""),46095)</f>
        <v>46095</v>
      </c>
      <c r="J135" s="98" t="str">
        <f ca="1">IFERROR(__xludf.DUMMYFUNCTION("""COMPUTED_VALUE"""),"CW27546_Mar26")</f>
        <v>CW27546_Mar26</v>
      </c>
      <c r="K135" s="99" t="str">
        <f ca="1">IFERROR(__xludf.DUMMYFUNCTION("""COMPUTED_VALUE"""),"HoM Approved")</f>
        <v>HoM Approved</v>
      </c>
    </row>
    <row r="136" spans="1:11" ht="13.2">
      <c r="A136" s="89" t="str">
        <f ca="1">IFERROR(__xludf.DUMMYFUNCTION("""COMPUTED_VALUE"""),"PRAN Jelly")</f>
        <v>PRAN Jelly</v>
      </c>
      <c r="B136" s="90" t="str">
        <f ca="1">IFERROR(__xludf.DUMMYFUNCTION("""COMPUTED_VALUE"""),"PAL")</f>
        <v>PAL</v>
      </c>
      <c r="C136" s="91" t="str">
        <f ca="1">IFERROR(__xludf.DUMMYFUNCTION("""COMPUTED_VALUE"""),"Shamsul Sir")</f>
        <v>Shamsul Sir</v>
      </c>
      <c r="D136" s="92" t="str">
        <f ca="1">IFERROR(__xludf.DUMMYFUNCTION("""COMPUTED_VALUE"""),"Jyotirmay Sarker (S188138)")</f>
        <v>Jyotirmay Sarker (S188138)</v>
      </c>
      <c r="E136" s="93" t="str">
        <f ca="1">IFERROR(__xludf.DUMMYFUNCTION("""COMPUTED_VALUE"""),"CB19306_Mar26")</f>
        <v>CB19306_Mar26</v>
      </c>
      <c r="F136" s="94" t="str">
        <f ca="1">IFERROR(__xludf.DUMMYFUNCTION("""COMPUTED_VALUE"""),"JAR Label Sticker Output")</f>
        <v>JAR Label Sticker Output</v>
      </c>
      <c r="G136" s="95" t="str">
        <f ca="1">IFERROR(__xludf.DUMMYFUNCTION("""COMPUTED_VALUE"""),"New")</f>
        <v>New</v>
      </c>
      <c r="H136" s="96">
        <f ca="1">IFERROR(__xludf.DUMMYFUNCTION("""COMPUTED_VALUE"""),1)</f>
        <v>1</v>
      </c>
      <c r="I136" s="97">
        <f ca="1">IFERROR(__xludf.DUMMYFUNCTION("""COMPUTED_VALUE"""),46095)</f>
        <v>46095</v>
      </c>
      <c r="J136" s="98" t="str">
        <f ca="1">IFERROR(__xludf.DUMMYFUNCTION("""COMPUTED_VALUE"""),"CW27547_Mar26")</f>
        <v>CW27547_Mar26</v>
      </c>
      <c r="K136" s="99" t="str">
        <f ca="1">IFERROR(__xludf.DUMMYFUNCTION("""COMPUTED_VALUE"""),"HoM Approved")</f>
        <v>HoM Approved</v>
      </c>
    </row>
    <row r="137" spans="1:11" ht="13.2">
      <c r="A137" s="89" t="str">
        <f ca="1">IFERROR(__xludf.DUMMYFUNCTION("""COMPUTED_VALUE"""),"Super Milk FCMP")</f>
        <v>Super Milk FCMP</v>
      </c>
      <c r="B137" s="90" t="str">
        <f ca="1">IFERROR(__xludf.DUMMYFUNCTION("""COMPUTED_VALUE"""),"Dairy")</f>
        <v>Dairy</v>
      </c>
      <c r="C137" s="91" t="str">
        <f ca="1">IFERROR(__xludf.DUMMYFUNCTION("""COMPUTED_VALUE"""),"Mona Apu")</f>
        <v>Mona Apu</v>
      </c>
      <c r="D137" s="92" t="str">
        <f ca="1">IFERROR(__xludf.DUMMYFUNCTION("""COMPUTED_VALUE"""),"Jyotirmay Sarker (S188138)")</f>
        <v>Jyotirmay Sarker (S188138)</v>
      </c>
      <c r="E137" s="93" t="str">
        <f ca="1">IFERROR(__xludf.DUMMYFUNCTION("""COMPUTED_VALUE"""),"CB18287_Feb26")</f>
        <v>CB18287_Feb26</v>
      </c>
      <c r="F137" s="94" t="str">
        <f ca="1">IFERROR(__xludf.DUMMYFUNCTION("""COMPUTED_VALUE"""),"Gravure Output #2")</f>
        <v>Gravure Output #2</v>
      </c>
      <c r="G137" s="95" t="str">
        <f ca="1">IFERROR(__xludf.DUMMYFUNCTION("""COMPUTED_VALUE"""),"New")</f>
        <v>New</v>
      </c>
      <c r="H137" s="96">
        <f ca="1">IFERROR(__xludf.DUMMYFUNCTION("""COMPUTED_VALUE"""),5)</f>
        <v>5</v>
      </c>
      <c r="I137" s="97">
        <f ca="1">IFERROR(__xludf.DUMMYFUNCTION("""COMPUTED_VALUE"""),46096)</f>
        <v>46096</v>
      </c>
      <c r="J137" s="98" t="str">
        <f ca="1">IFERROR(__xludf.DUMMYFUNCTION("""COMPUTED_VALUE"""),"CW27661_Mar26")</f>
        <v>CW27661_Mar26</v>
      </c>
      <c r="K137" s="99" t="str">
        <f ca="1">IFERROR(__xludf.DUMMYFUNCTION("""COMPUTED_VALUE"""),"HoM Approved")</f>
        <v>HoM Approved</v>
      </c>
    </row>
    <row r="138" spans="1:11" ht="13.2">
      <c r="A138" s="89" t="str">
        <f ca="1">IFERROR(__xludf.DUMMYFUNCTION("""COMPUTED_VALUE"""),"Super Milk FCMP")</f>
        <v>Super Milk FCMP</v>
      </c>
      <c r="B138" s="90" t="str">
        <f ca="1">IFERROR(__xludf.DUMMYFUNCTION("""COMPUTED_VALUE"""),"Dairy")</f>
        <v>Dairy</v>
      </c>
      <c r="C138" s="91" t="str">
        <f ca="1">IFERROR(__xludf.DUMMYFUNCTION("""COMPUTED_VALUE"""),"Mona Apu")</f>
        <v>Mona Apu</v>
      </c>
      <c r="D138" s="92" t="str">
        <f ca="1">IFERROR(__xludf.DUMMYFUNCTION("""COMPUTED_VALUE"""),"Jyotirmay Sarker (S188138)")</f>
        <v>Jyotirmay Sarker (S188138)</v>
      </c>
      <c r="E138" s="93" t="str">
        <f ca="1">IFERROR(__xludf.DUMMYFUNCTION("""COMPUTED_VALUE"""),"CB18287_Feb26")</f>
        <v>CB18287_Feb26</v>
      </c>
      <c r="F138" s="94" t="str">
        <f ca="1">IFERROR(__xludf.DUMMYFUNCTION("""COMPUTED_VALUE"""),"JAR Label Sticker Output")</f>
        <v>JAR Label Sticker Output</v>
      </c>
      <c r="G138" s="95" t="str">
        <f ca="1">IFERROR(__xludf.DUMMYFUNCTION("""COMPUTED_VALUE"""),"New")</f>
        <v>New</v>
      </c>
      <c r="H138" s="96">
        <f ca="1">IFERROR(__xludf.DUMMYFUNCTION("""COMPUTED_VALUE"""),5)</f>
        <v>5</v>
      </c>
      <c r="I138" s="97">
        <f ca="1">IFERROR(__xludf.DUMMYFUNCTION("""COMPUTED_VALUE"""),46096)</f>
        <v>46096</v>
      </c>
      <c r="J138" s="98" t="str">
        <f ca="1">IFERROR(__xludf.DUMMYFUNCTION("""COMPUTED_VALUE"""),"CW27661_Mar26")</f>
        <v>CW27661_Mar26</v>
      </c>
      <c r="K138" s="99" t="str">
        <f ca="1">IFERROR(__xludf.DUMMYFUNCTION("""COMPUTED_VALUE"""),"HoM Approved")</f>
        <v>HoM Approved</v>
      </c>
    </row>
    <row r="139" spans="1:11" ht="13.2">
      <c r="A139" s="89" t="str">
        <f ca="1">IFERROR(__xludf.DUMMYFUNCTION("""COMPUTED_VALUE"""),"Pluto Chocolate Gems")</f>
        <v>Pluto Chocolate Gems</v>
      </c>
      <c r="B139" s="90" t="str">
        <f ca="1">IFERROR(__xludf.DUMMYFUNCTION("""COMPUTED_VALUE"""),"PCL")</f>
        <v>PCL</v>
      </c>
      <c r="C139" s="91" t="str">
        <f ca="1">IFERROR(__xludf.DUMMYFUNCTION("""COMPUTED_VALUE"""),"Mona Apu")</f>
        <v>Mona Apu</v>
      </c>
      <c r="D139" s="92" t="str">
        <f ca="1">IFERROR(__xludf.DUMMYFUNCTION("""COMPUTED_VALUE"""),"Jyotirmay Sarker (S188138)")</f>
        <v>Jyotirmay Sarker (S188138)</v>
      </c>
      <c r="E139" s="93" t="str">
        <f ca="1">IFERROR(__xludf.DUMMYFUNCTION("""COMPUTED_VALUE"""),"CB18249_Feb26")</f>
        <v>CB18249_Feb26</v>
      </c>
      <c r="F139" s="94" t="str">
        <f ca="1">IFERROR(__xludf.DUMMYFUNCTION("""COMPUTED_VALUE"""),"Gravure Output #1")</f>
        <v>Gravure Output #1</v>
      </c>
      <c r="G139" s="95" t="str">
        <f ca="1">IFERROR(__xludf.DUMMYFUNCTION("""COMPUTED_VALUE"""),"New")</f>
        <v>New</v>
      </c>
      <c r="H139" s="96">
        <f ca="1">IFERROR(__xludf.DUMMYFUNCTION("""COMPUTED_VALUE"""),6)</f>
        <v>6</v>
      </c>
      <c r="I139" s="97">
        <f ca="1">IFERROR(__xludf.DUMMYFUNCTION("""COMPUTED_VALUE"""),46099)</f>
        <v>46099</v>
      </c>
      <c r="J139" s="98" t="str">
        <f ca="1">IFERROR(__xludf.DUMMYFUNCTION("""COMPUTED_VALUE"""),"CW27858_Mar26")</f>
        <v>CW27858_Mar26</v>
      </c>
      <c r="K139" s="99" t="str">
        <f ca="1">IFERROR(__xludf.DUMMYFUNCTION("""COMPUTED_VALUE"""),"HoM Approved")</f>
        <v>HoM Approved</v>
      </c>
    </row>
    <row r="140" spans="1:11" ht="13.2">
      <c r="A140" s="89" t="str">
        <f ca="1">IFERROR(__xludf.DUMMYFUNCTION("""COMPUTED_VALUE"""),"Pluto Chocolate Gems")</f>
        <v>Pluto Chocolate Gems</v>
      </c>
      <c r="B140" s="90" t="str">
        <f ca="1">IFERROR(__xludf.DUMMYFUNCTION("""COMPUTED_VALUE"""),"PCL")</f>
        <v>PCL</v>
      </c>
      <c r="C140" s="91" t="str">
        <f ca="1">IFERROR(__xludf.DUMMYFUNCTION("""COMPUTED_VALUE"""),"Mona Apu")</f>
        <v>Mona Apu</v>
      </c>
      <c r="D140" s="92" t="str">
        <f ca="1">IFERROR(__xludf.DUMMYFUNCTION("""COMPUTED_VALUE"""),"Jyotirmay Sarker (S188138)")</f>
        <v>Jyotirmay Sarker (S188138)</v>
      </c>
      <c r="E140" s="93" t="str">
        <f ca="1">IFERROR(__xludf.DUMMYFUNCTION("""COMPUTED_VALUE"""),"CB18249_Feb26")</f>
        <v>CB18249_Feb26</v>
      </c>
      <c r="F140" s="94" t="str">
        <f ca="1">IFERROR(__xludf.DUMMYFUNCTION("""COMPUTED_VALUE"""),"Gravure Output #2")</f>
        <v>Gravure Output #2</v>
      </c>
      <c r="G140" s="95" t="str">
        <f ca="1">IFERROR(__xludf.DUMMYFUNCTION("""COMPUTED_VALUE"""),"New")</f>
        <v>New</v>
      </c>
      <c r="H140" s="96">
        <f ca="1">IFERROR(__xludf.DUMMYFUNCTION("""COMPUTED_VALUE"""),6)</f>
        <v>6</v>
      </c>
      <c r="I140" s="97">
        <f ca="1">IFERROR(__xludf.DUMMYFUNCTION("""COMPUTED_VALUE"""),46099)</f>
        <v>46099</v>
      </c>
      <c r="J140" s="98" t="str">
        <f ca="1">IFERROR(__xludf.DUMMYFUNCTION("""COMPUTED_VALUE"""),"CW27858_Mar26")</f>
        <v>CW27858_Mar26</v>
      </c>
      <c r="K140" s="99" t="str">
        <f ca="1">IFERROR(__xludf.DUMMYFUNCTION("""COMPUTED_VALUE"""),"HoM Approved")</f>
        <v>HoM Approved</v>
      </c>
    </row>
    <row r="141" spans="1:11" ht="13.2">
      <c r="A141" s="89" t="str">
        <f ca="1">IFERROR(__xludf.DUMMYFUNCTION("""COMPUTED_VALUE"""),"Jiggly Jells")</f>
        <v>Jiggly Jells</v>
      </c>
      <c r="B141" s="90" t="str">
        <f ca="1">IFERROR(__xludf.DUMMYFUNCTION("""COMPUTED_VALUE"""),"PAL")</f>
        <v>PAL</v>
      </c>
      <c r="C141" s="91" t="str">
        <f ca="1">IFERROR(__xludf.DUMMYFUNCTION("""COMPUTED_VALUE"""),"Junayed Vai")</f>
        <v>Junayed Vai</v>
      </c>
      <c r="D141" s="92" t="str">
        <f ca="1">IFERROR(__xludf.DUMMYFUNCTION("""COMPUTED_VALUE"""),"Jyotirmay Sarker (S188138)")</f>
        <v>Jyotirmay Sarker (S188138)</v>
      </c>
      <c r="E141" s="93" t="str">
        <f ca="1">IFERROR(__xludf.DUMMYFUNCTION("""COMPUTED_VALUE"""),"CB19696_Mar26")</f>
        <v>CB19696_Mar26</v>
      </c>
      <c r="F141" s="94" t="str">
        <f ca="1">IFERROR(__xludf.DUMMYFUNCTION("""COMPUTED_VALUE"""),"Packaging Text Design #1")</f>
        <v>Packaging Text Design #1</v>
      </c>
      <c r="G141" s="95" t="str">
        <f ca="1">IFERROR(__xludf.DUMMYFUNCTION("""COMPUTED_VALUE"""),"New")</f>
        <v>New</v>
      </c>
      <c r="H141" s="96">
        <f ca="1">IFERROR(__xludf.DUMMYFUNCTION("""COMPUTED_VALUE"""),3)</f>
        <v>3</v>
      </c>
      <c r="I141" s="97">
        <f ca="1">IFERROR(__xludf.DUMMYFUNCTION("""COMPUTED_VALUE"""),46105)</f>
        <v>46105</v>
      </c>
      <c r="J141" s="98" t="str">
        <f ca="1">IFERROR(__xludf.DUMMYFUNCTION("""COMPUTED_VALUE"""),"CW27988_Mar26")</f>
        <v>CW27988_Mar26</v>
      </c>
      <c r="K141" s="99" t="str">
        <f ca="1">IFERROR(__xludf.DUMMYFUNCTION("""COMPUTED_VALUE"""),"HoM Approved")</f>
        <v>HoM Approved</v>
      </c>
    </row>
    <row r="142" spans="1:11" ht="13.2">
      <c r="A142" s="89" t="str">
        <f ca="1">IFERROR(__xludf.DUMMYFUNCTION("""COMPUTED_VALUE"""),"PRAN Noodles")</f>
        <v>PRAN Noodles</v>
      </c>
      <c r="B142" s="90" t="str">
        <f ca="1">IFERROR(__xludf.DUMMYFUNCTION("""COMPUTED_VALUE"""),"PAL")</f>
        <v>PAL</v>
      </c>
      <c r="C142" s="91" t="str">
        <f ca="1">IFERROR(__xludf.DUMMYFUNCTION("""COMPUTED_VALUE"""),"Saifullah Vai")</f>
        <v>Saifullah Vai</v>
      </c>
      <c r="D142" s="92" t="str">
        <f ca="1">IFERROR(__xludf.DUMMYFUNCTION("""COMPUTED_VALUE"""),"Jyotirmay Sarker (S188138)")</f>
        <v>Jyotirmay Sarker (S188138)</v>
      </c>
      <c r="E142" s="93" t="str">
        <f ca="1">IFERROR(__xludf.DUMMYFUNCTION("""COMPUTED_VALUE"""),"CB19885_Mar26")</f>
        <v>CB19885_Mar26</v>
      </c>
      <c r="F142" s="94" t="str">
        <f ca="1">IFERROR(__xludf.DUMMYFUNCTION("""COMPUTED_VALUE"""),"Gravure Output #2")</f>
        <v>Gravure Output #2</v>
      </c>
      <c r="G142" s="95" t="str">
        <f ca="1">IFERROR(__xludf.DUMMYFUNCTION("""COMPUTED_VALUE"""),"New")</f>
        <v>New</v>
      </c>
      <c r="H142" s="96">
        <f ca="1">IFERROR(__xludf.DUMMYFUNCTION("""COMPUTED_VALUE"""),2)</f>
        <v>2</v>
      </c>
      <c r="I142" s="97">
        <f ca="1">IFERROR(__xludf.DUMMYFUNCTION("""COMPUTED_VALUE"""),46105)</f>
        <v>46105</v>
      </c>
      <c r="J142" s="98" t="str">
        <f ca="1">IFERROR(__xludf.DUMMYFUNCTION("""COMPUTED_VALUE"""),"CW27984_Mar26")</f>
        <v>CW27984_Mar26</v>
      </c>
      <c r="K142" s="99" t="str">
        <f ca="1">IFERROR(__xludf.DUMMYFUNCTION("""COMPUTED_VALUE"""),"HoM Approved")</f>
        <v>HoM Approved</v>
      </c>
    </row>
    <row r="143" spans="1:11" ht="13.2">
      <c r="A143" s="89" t="str">
        <f ca="1">IFERROR(__xludf.DUMMYFUNCTION("""COMPUTED_VALUE"""),"Bisk Club Lexus Biscuits")</f>
        <v>Bisk Club Lexus Biscuits</v>
      </c>
      <c r="B143" s="90" t="str">
        <f ca="1">IFERROR(__xludf.DUMMYFUNCTION("""COMPUTED_VALUE"""),"BBL")</f>
        <v>BBL</v>
      </c>
      <c r="C143" s="91" t="str">
        <f ca="1">IFERROR(__xludf.DUMMYFUNCTION("""COMPUTED_VALUE"""),"Saifullah Vai")</f>
        <v>Saifullah Vai</v>
      </c>
      <c r="D143" s="92" t="str">
        <f ca="1">IFERROR(__xludf.DUMMYFUNCTION("""COMPUTED_VALUE"""),"Jyotirmay Sarker (S188138)")</f>
        <v>Jyotirmay Sarker (S188138)</v>
      </c>
      <c r="E143" s="93" t="str">
        <f ca="1">IFERROR(__xludf.DUMMYFUNCTION("""COMPUTED_VALUE"""),"CB19875_Mar26")</f>
        <v>CB19875_Mar26</v>
      </c>
      <c r="F143" s="94" t="str">
        <f ca="1">IFERROR(__xludf.DUMMYFUNCTION("""COMPUTED_VALUE"""),"ATC Box Output")</f>
        <v>ATC Box Output</v>
      </c>
      <c r="G143" s="95" t="str">
        <f ca="1">IFERROR(__xludf.DUMMYFUNCTION("""COMPUTED_VALUE"""),"New")</f>
        <v>New</v>
      </c>
      <c r="H143" s="96">
        <f ca="1">IFERROR(__xludf.DUMMYFUNCTION("""COMPUTED_VALUE"""),1)</f>
        <v>1</v>
      </c>
      <c r="I143" s="97">
        <f ca="1">IFERROR(__xludf.DUMMYFUNCTION("""COMPUTED_VALUE"""),46111)</f>
        <v>46111</v>
      </c>
      <c r="J143" s="98" t="str">
        <f ca="1">IFERROR(__xludf.DUMMYFUNCTION("""COMPUTED_VALUE"""),"CW28518_Mar26")</f>
        <v>CW28518_Mar26</v>
      </c>
      <c r="K143" s="99" t="str">
        <f ca="1">IFERROR(__xludf.DUMMYFUNCTION("""COMPUTED_VALUE"""),"HoM Approved")</f>
        <v>HoM Approved</v>
      </c>
    </row>
    <row r="144" spans="1:11" ht="13.2">
      <c r="A144" s="89" t="str">
        <f ca="1">IFERROR(__xludf.DUMMYFUNCTION("""COMPUTED_VALUE"""),"Bisk Club Lexus Biscuits")</f>
        <v>Bisk Club Lexus Biscuits</v>
      </c>
      <c r="B144" s="90" t="str">
        <f ca="1">IFERROR(__xludf.DUMMYFUNCTION("""COMPUTED_VALUE"""),"BBL")</f>
        <v>BBL</v>
      </c>
      <c r="C144" s="91" t="str">
        <f ca="1">IFERROR(__xludf.DUMMYFUNCTION("""COMPUTED_VALUE"""),"Saifullah Vai")</f>
        <v>Saifullah Vai</v>
      </c>
      <c r="D144" s="92" t="str">
        <f ca="1">IFERROR(__xludf.DUMMYFUNCTION("""COMPUTED_VALUE"""),"Jyotirmay Sarker (S188138)")</f>
        <v>Jyotirmay Sarker (S188138)</v>
      </c>
      <c r="E144" s="93" t="str">
        <f ca="1">IFERROR(__xludf.DUMMYFUNCTION("""COMPUTED_VALUE"""),"CB19875_Mar26")</f>
        <v>CB19875_Mar26</v>
      </c>
      <c r="F144" s="94" t="str">
        <f ca="1">IFERROR(__xludf.DUMMYFUNCTION("""COMPUTED_VALUE"""),"Gravure Output #2")</f>
        <v>Gravure Output #2</v>
      </c>
      <c r="G144" s="95" t="str">
        <f ca="1">IFERROR(__xludf.DUMMYFUNCTION("""COMPUTED_VALUE"""),"New")</f>
        <v>New</v>
      </c>
      <c r="H144" s="96">
        <f ca="1">IFERROR(__xludf.DUMMYFUNCTION("""COMPUTED_VALUE"""),1)</f>
        <v>1</v>
      </c>
      <c r="I144" s="97">
        <f ca="1">IFERROR(__xludf.DUMMYFUNCTION("""COMPUTED_VALUE"""),46111)</f>
        <v>46111</v>
      </c>
      <c r="J144" s="98" t="str">
        <f ca="1">IFERROR(__xludf.DUMMYFUNCTION("""COMPUTED_VALUE"""),"CW28518_Mar26")</f>
        <v>CW28518_Mar26</v>
      </c>
      <c r="K144" s="99" t="str">
        <f ca="1">IFERROR(__xludf.DUMMYFUNCTION("""COMPUTED_VALUE"""),"HoM Approved")</f>
        <v>HoM Approved</v>
      </c>
    </row>
    <row r="145" spans="1:11" ht="13.2">
      <c r="A145" s="89" t="str">
        <f ca="1">IFERROR(__xludf.DUMMYFUNCTION("""COMPUTED_VALUE"""),"Jiggly Jells")</f>
        <v>Jiggly Jells</v>
      </c>
      <c r="B145" s="90" t="str">
        <f ca="1">IFERROR(__xludf.DUMMYFUNCTION("""COMPUTED_VALUE"""),"PAL")</f>
        <v>PAL</v>
      </c>
      <c r="C145" s="91" t="str">
        <f ca="1">IFERROR(__xludf.DUMMYFUNCTION("""COMPUTED_VALUE"""),"Junayed Vai")</f>
        <v>Junayed Vai</v>
      </c>
      <c r="D145" s="92" t="str">
        <f ca="1">IFERROR(__xludf.DUMMYFUNCTION("""COMPUTED_VALUE"""),"Jyotirmay Sarker (S188138)")</f>
        <v>Jyotirmay Sarker (S188138)</v>
      </c>
      <c r="E145" s="93" t="str">
        <f ca="1">IFERROR(__xludf.DUMMYFUNCTION("""COMPUTED_VALUE"""),"CB19696_Mar26")</f>
        <v>CB19696_Mar26</v>
      </c>
      <c r="F145" s="94" t="str">
        <f ca="1">IFERROR(__xludf.DUMMYFUNCTION("""COMPUTED_VALUE"""),"Gravure Output #2")</f>
        <v>Gravure Output #2</v>
      </c>
      <c r="G145" s="95" t="str">
        <f ca="1">IFERROR(__xludf.DUMMYFUNCTION("""COMPUTED_VALUE"""),"New")</f>
        <v>New</v>
      </c>
      <c r="H145" s="96">
        <f ca="1">IFERROR(__xludf.DUMMYFUNCTION("""COMPUTED_VALUE"""),3)</f>
        <v>3</v>
      </c>
      <c r="I145" s="97">
        <f ca="1">IFERROR(__xludf.DUMMYFUNCTION("""COMPUTED_VALUE"""),46112)</f>
        <v>46112</v>
      </c>
      <c r="J145" s="98" t="str">
        <f ca="1">IFERROR(__xludf.DUMMYFUNCTION("""COMPUTED_VALUE"""),"CW28735_Mar26")</f>
        <v>CW28735_Mar26</v>
      </c>
      <c r="K145" s="99" t="str">
        <f ca="1">IFERROR(__xludf.DUMMYFUNCTION("""COMPUTED_VALUE"""),"HoM Approved")</f>
        <v>HoM Approved</v>
      </c>
    </row>
    <row r="146" spans="1:11" ht="13.2">
      <c r="A146" s="89" t="str">
        <f ca="1">IFERROR(__xludf.DUMMYFUNCTION("""COMPUTED_VALUE"""),"RFL Weighing scale")</f>
        <v>RFL Weighing scale</v>
      </c>
      <c r="B146" s="90" t="str">
        <f ca="1">IFERROR(__xludf.DUMMYFUNCTION("""COMPUTED_VALUE"""),"RMIL-1")</f>
        <v>RMIL-1</v>
      </c>
      <c r="C146" s="91" t="str">
        <f ca="1">IFERROR(__xludf.DUMMYFUNCTION("""COMPUTED_VALUE"""),"Rasel Vai")</f>
        <v>Rasel Vai</v>
      </c>
      <c r="D146" s="92" t="str">
        <f ca="1">IFERROR(__xludf.DUMMYFUNCTION("""COMPUTED_VALUE"""),"Jyotirmay Sarker (S188138)")</f>
        <v>Jyotirmay Sarker (S188138)</v>
      </c>
      <c r="E146" s="93" t="str">
        <f ca="1">IFERROR(__xludf.DUMMYFUNCTION("""COMPUTED_VALUE"""),"CB19899_Mar26")</f>
        <v>CB19899_Mar26</v>
      </c>
      <c r="F146" s="94" t="str">
        <f ca="1">IFERROR(__xludf.DUMMYFUNCTION("""COMPUTED_VALUE"""),"Flyer/Brochure/Banner Output")</f>
        <v>Flyer/Brochure/Banner Output</v>
      </c>
      <c r="G146" s="95" t="str">
        <f ca="1">IFERROR(__xludf.DUMMYFUNCTION("""COMPUTED_VALUE"""),"New")</f>
        <v>New</v>
      </c>
      <c r="H146" s="96">
        <f ca="1">IFERROR(__xludf.DUMMYFUNCTION("""COMPUTED_VALUE"""),8)</f>
        <v>8</v>
      </c>
      <c r="I146" s="97">
        <f ca="1">IFERROR(__xludf.DUMMYFUNCTION("""COMPUTED_VALUE"""),46112)</f>
        <v>46112</v>
      </c>
      <c r="J146" s="98" t="str">
        <f ca="1">IFERROR(__xludf.DUMMYFUNCTION("""COMPUTED_VALUE"""),"CW28797_Mar26")</f>
        <v>CW28797_Mar26</v>
      </c>
      <c r="K146" s="99" t="str">
        <f ca="1">IFERROR(__xludf.DUMMYFUNCTION("""COMPUTED_VALUE"""),"HoM Approved")</f>
        <v>HoM Approved</v>
      </c>
    </row>
    <row r="147" spans="1:11" ht="13.2">
      <c r="A147" s="89" t="str">
        <f ca="1">IFERROR(__xludf.DUMMYFUNCTION("""COMPUTED_VALUE"""),"Oliver Biscuits")</f>
        <v>Oliver Biscuits</v>
      </c>
      <c r="B147" s="90" t="str">
        <f ca="1">IFERROR(__xludf.DUMMYFUNCTION("""COMPUTED_VALUE"""),"PBL")</f>
        <v>PBL</v>
      </c>
      <c r="C147" s="91" t="str">
        <f ca="1">IFERROR(__xludf.DUMMYFUNCTION("""COMPUTED_VALUE"""),"Rakib Vai")</f>
        <v>Rakib Vai</v>
      </c>
      <c r="D147" s="92" t="str">
        <f ca="1">IFERROR(__xludf.DUMMYFUNCTION("""COMPUTED_VALUE"""),"Jyotirmay Sarker (S188138)")</f>
        <v>Jyotirmay Sarker (S188138)</v>
      </c>
      <c r="E147" s="93" t="str">
        <f ca="1">IFERROR(__xludf.DUMMYFUNCTION("""COMPUTED_VALUE"""),"CB20675_Apr26")</f>
        <v>CB20675_Apr26</v>
      </c>
      <c r="F147" s="94" t="str">
        <f ca="1">IFERROR(__xludf.DUMMYFUNCTION("""COMPUTED_VALUE"""),"Gravure Output #2")</f>
        <v>Gravure Output #2</v>
      </c>
      <c r="G147" s="95" t="str">
        <f ca="1">IFERROR(__xludf.DUMMYFUNCTION("""COMPUTED_VALUE"""),"New")</f>
        <v>New</v>
      </c>
      <c r="H147" s="96">
        <f ca="1">IFERROR(__xludf.DUMMYFUNCTION("""COMPUTED_VALUE"""),3)</f>
        <v>3</v>
      </c>
      <c r="I147" s="97">
        <f ca="1">IFERROR(__xludf.DUMMYFUNCTION("""COMPUTED_VALUE"""),46116)</f>
        <v>46116</v>
      </c>
      <c r="J147" s="98" t="str">
        <f ca="1">IFERROR(__xludf.DUMMYFUNCTION("""COMPUTED_VALUE"""),"CW29116_Apr26")</f>
        <v>CW29116_Apr26</v>
      </c>
      <c r="K147" s="99" t="str">
        <f ca="1">IFERROR(__xludf.DUMMYFUNCTION("""COMPUTED_VALUE"""),"HoM Approved")</f>
        <v>HoM Approved</v>
      </c>
    </row>
    <row r="148" spans="1:11" ht="13.2">
      <c r="A148" s="89" t="str">
        <f ca="1">IFERROR(__xludf.DUMMYFUNCTION("""COMPUTED_VALUE"""),"Common - USA &amp; Europe Export")</f>
        <v>Common - USA &amp; Europe Export</v>
      </c>
      <c r="B148" s="90" t="str">
        <f ca="1">IFERROR(__xludf.DUMMYFUNCTION("""COMPUTED_VALUE"""),"USA &amp; Europe")</f>
        <v>USA &amp; Europe</v>
      </c>
      <c r="C148" s="91" t="str">
        <f ca="1">IFERROR(__xludf.DUMMYFUNCTION("""COMPUTED_VALUE"""),"Saifullah Vai")</f>
        <v>Saifullah Vai</v>
      </c>
      <c r="D148" s="92" t="str">
        <f ca="1">IFERROR(__xludf.DUMMYFUNCTION("""COMPUTED_VALUE"""),"Jyotirmay Sarker (S188138)")</f>
        <v>Jyotirmay Sarker (S188138)</v>
      </c>
      <c r="E148" s="93" t="str">
        <f ca="1">IFERROR(__xludf.DUMMYFUNCTION("""COMPUTED_VALUE"""),"CB20686_Apr26")</f>
        <v>CB20686_Apr26</v>
      </c>
      <c r="F148" s="94" t="str">
        <f ca="1">IFERROR(__xludf.DUMMYFUNCTION("""COMPUTED_VALUE"""),"Gravure Output #2")</f>
        <v>Gravure Output #2</v>
      </c>
      <c r="G148" s="95" t="str">
        <f ca="1">IFERROR(__xludf.DUMMYFUNCTION("""COMPUTED_VALUE"""),"New")</f>
        <v>New</v>
      </c>
      <c r="H148" s="96">
        <f ca="1">IFERROR(__xludf.DUMMYFUNCTION("""COMPUTED_VALUE"""),4)</f>
        <v>4</v>
      </c>
      <c r="I148" s="97">
        <f ca="1">IFERROR(__xludf.DUMMYFUNCTION("""COMPUTED_VALUE"""),46117)</f>
        <v>46117</v>
      </c>
      <c r="J148" s="98" t="str">
        <f ca="1">IFERROR(__xludf.DUMMYFUNCTION("""COMPUTED_VALUE"""),"CW29202_Apr26")</f>
        <v>CW29202_Apr26</v>
      </c>
      <c r="K148" s="99" t="str">
        <f ca="1">IFERROR(__xludf.DUMMYFUNCTION("""COMPUTED_VALUE"""),"HoM Approved")</f>
        <v>HoM Approved</v>
      </c>
    </row>
    <row r="149" spans="1:11" ht="13.2">
      <c r="A149" s="89" t="str">
        <f ca="1">IFERROR(__xludf.DUMMYFUNCTION("""COMPUTED_VALUE"""),"All Time Slice Cake")</f>
        <v>All Time Slice Cake</v>
      </c>
      <c r="B149" s="90" t="str">
        <f ca="1">IFERROR(__xludf.DUMMYFUNCTION("""COMPUTED_VALUE"""),"BBL")</f>
        <v>BBL</v>
      </c>
      <c r="C149" s="91" t="str">
        <f ca="1">IFERROR(__xludf.DUMMYFUNCTION("""COMPUTED_VALUE"""),"Tamim Vai")</f>
        <v>Tamim Vai</v>
      </c>
      <c r="D149" s="92" t="str">
        <f ca="1">IFERROR(__xludf.DUMMYFUNCTION("""COMPUTED_VALUE"""),"Jyotirmay Sarker (S188138)")</f>
        <v>Jyotirmay Sarker (S188138)</v>
      </c>
      <c r="E149" s="93" t="str">
        <f ca="1">IFERROR(__xludf.DUMMYFUNCTION("""COMPUTED_VALUE"""),"CB15279_Jan26")</f>
        <v>CB15279_Jan26</v>
      </c>
      <c r="F149" s="94" t="str">
        <f ca="1">IFERROR(__xludf.DUMMYFUNCTION("""COMPUTED_VALUE"""),"Gravure Output #2")</f>
        <v>Gravure Output #2</v>
      </c>
      <c r="G149" s="95" t="str">
        <f ca="1">IFERROR(__xludf.DUMMYFUNCTION("""COMPUTED_VALUE"""),"Revision")</f>
        <v>Revision</v>
      </c>
      <c r="H149" s="96">
        <f ca="1">IFERROR(__xludf.DUMMYFUNCTION("""COMPUTED_VALUE"""),2)</f>
        <v>2</v>
      </c>
      <c r="I149" s="97">
        <f ca="1">IFERROR(__xludf.DUMMYFUNCTION("""COMPUTED_VALUE"""),46120)</f>
        <v>46120</v>
      </c>
      <c r="J149" s="98" t="str">
        <f ca="1">IFERROR(__xludf.DUMMYFUNCTION("""COMPUTED_VALUE"""),"CW29542_Apr26")</f>
        <v>CW29542_Apr26</v>
      </c>
      <c r="K149" s="99" t="str">
        <f ca="1">IFERROR(__xludf.DUMMYFUNCTION("""COMPUTED_VALUE"""),"HoM Approved")</f>
        <v>HoM Approved</v>
      </c>
    </row>
    <row r="150" spans="1:11" ht="13.2">
      <c r="A150" s="89" t="str">
        <f ca="1">IFERROR(__xludf.DUMMYFUNCTION("""COMPUTED_VALUE"""),"All Time Slice Cake")</f>
        <v>All Time Slice Cake</v>
      </c>
      <c r="B150" s="90" t="str">
        <f ca="1">IFERROR(__xludf.DUMMYFUNCTION("""COMPUTED_VALUE"""),"BBL")</f>
        <v>BBL</v>
      </c>
      <c r="C150" s="91" t="str">
        <f ca="1">IFERROR(__xludf.DUMMYFUNCTION("""COMPUTED_VALUE"""),"Tamim Vai")</f>
        <v>Tamim Vai</v>
      </c>
      <c r="D150" s="92" t="str">
        <f ca="1">IFERROR(__xludf.DUMMYFUNCTION("""COMPUTED_VALUE"""),"Jyotirmay Sarker (S188138)")</f>
        <v>Jyotirmay Sarker (S188138)</v>
      </c>
      <c r="E150" s="93" t="str">
        <f ca="1">IFERROR(__xludf.DUMMYFUNCTION("""COMPUTED_VALUE"""),"CB15279_Jan26")</f>
        <v>CB15279_Jan26</v>
      </c>
      <c r="F150" s="94" t="str">
        <f ca="1">IFERROR(__xludf.DUMMYFUNCTION("""COMPUTED_VALUE"""),"Gravure Output #2")</f>
        <v>Gravure Output #2</v>
      </c>
      <c r="G150" s="95" t="str">
        <f ca="1">IFERROR(__xludf.DUMMYFUNCTION("""COMPUTED_VALUE"""),"New")</f>
        <v>New</v>
      </c>
      <c r="H150" s="96">
        <f ca="1">IFERROR(__xludf.DUMMYFUNCTION("""COMPUTED_VALUE"""),2)</f>
        <v>2</v>
      </c>
      <c r="I150" s="97">
        <f ca="1">IFERROR(__xludf.DUMMYFUNCTION("""COMPUTED_VALUE"""),46120)</f>
        <v>46120</v>
      </c>
      <c r="J150" s="98" t="str">
        <f ca="1">IFERROR(__xludf.DUMMYFUNCTION("""COMPUTED_VALUE"""),"CW29542_Apr26")</f>
        <v>CW29542_Apr26</v>
      </c>
      <c r="K150" s="99" t="str">
        <f ca="1">IFERROR(__xludf.DUMMYFUNCTION("""COMPUTED_VALUE"""),"HoM Approved")</f>
        <v>HoM Approved</v>
      </c>
    </row>
    <row r="151" spans="1:11" ht="13.2">
      <c r="A151" s="89" t="str">
        <f ca="1">IFERROR(__xludf.DUMMYFUNCTION("""COMPUTED_VALUE"""),"Treat Pop Vietnam")</f>
        <v>Treat Pop Vietnam</v>
      </c>
      <c r="B151" s="90" t="str">
        <f ca="1">IFERROR(__xludf.DUMMYFUNCTION("""COMPUTED_VALUE"""),"Vietnam")</f>
        <v>Vietnam</v>
      </c>
      <c r="C151" s="91" t="str">
        <f ca="1">IFERROR(__xludf.DUMMYFUNCTION("""COMPUTED_VALUE"""),"Enamul Vai")</f>
        <v>Enamul Vai</v>
      </c>
      <c r="D151" s="92" t="str">
        <f ca="1">IFERROR(__xludf.DUMMYFUNCTION("""COMPUTED_VALUE"""),"Jyotirmay Sarker (S188138)")</f>
        <v>Jyotirmay Sarker (S188138)</v>
      </c>
      <c r="E151" s="93" t="str">
        <f ca="1">IFERROR(__xludf.DUMMYFUNCTION("""COMPUTED_VALUE"""),"CB14229_Dec25")</f>
        <v>CB14229_Dec25</v>
      </c>
      <c r="F151" s="94" t="str">
        <f ca="1">IFERROR(__xludf.DUMMYFUNCTION("""COMPUTED_VALUE"""),"Flyer/Brochure/Banner Output")</f>
        <v>Flyer/Brochure/Banner Output</v>
      </c>
      <c r="G151" s="95" t="str">
        <f ca="1">IFERROR(__xludf.DUMMYFUNCTION("""COMPUTED_VALUE"""),"New")</f>
        <v>New</v>
      </c>
      <c r="H151" s="96">
        <f ca="1">IFERROR(__xludf.DUMMYFUNCTION("""COMPUTED_VALUE"""),1)</f>
        <v>1</v>
      </c>
      <c r="I151" s="97">
        <f ca="1">IFERROR(__xludf.DUMMYFUNCTION("""COMPUTED_VALUE"""),46121)</f>
        <v>46121</v>
      </c>
      <c r="J151" s="98" t="str">
        <f ca="1">IFERROR(__xludf.DUMMYFUNCTION("""COMPUTED_VALUE"""),"CW29621_Apr26")</f>
        <v>CW29621_Apr26</v>
      </c>
      <c r="K151" s="99" t="str">
        <f ca="1">IFERROR(__xludf.DUMMYFUNCTION("""COMPUTED_VALUE"""),"HoM Approved")</f>
        <v>HoM Approved</v>
      </c>
    </row>
    <row r="152" spans="1:11" ht="13.2">
      <c r="A152" s="89" t="str">
        <f ca="1">IFERROR(__xludf.DUMMYFUNCTION("""COMPUTED_VALUE"""),"PRAN Crunchy Wafer")</f>
        <v>PRAN Crunchy Wafer</v>
      </c>
      <c r="B152" s="90" t="str">
        <f ca="1">IFERROR(__xludf.DUMMYFUNCTION("""COMPUTED_VALUE"""),"KSA")</f>
        <v>KSA</v>
      </c>
      <c r="C152" s="91" t="str">
        <f ca="1">IFERROR(__xludf.DUMMYFUNCTION("""COMPUTED_VALUE"""),"Zahirul Vai")</f>
        <v>Zahirul Vai</v>
      </c>
      <c r="D152" s="92" t="str">
        <f ca="1">IFERROR(__xludf.DUMMYFUNCTION("""COMPUTED_VALUE"""),"Jyotirmay Sarker (S188138)")</f>
        <v>Jyotirmay Sarker (S188138)</v>
      </c>
      <c r="E152" s="93" t="str">
        <f ca="1">IFERROR(__xludf.DUMMYFUNCTION("""COMPUTED_VALUE"""),"CB17769_Feb26")</f>
        <v>CB17769_Feb26</v>
      </c>
      <c r="F152" s="94" t="str">
        <f ca="1">IFERROR(__xludf.DUMMYFUNCTION("""COMPUTED_VALUE"""),"JAR Label Sticker Output")</f>
        <v>JAR Label Sticker Output</v>
      </c>
      <c r="G152" s="95" t="str">
        <f ca="1">IFERROR(__xludf.DUMMYFUNCTION("""COMPUTED_VALUE"""),"New")</f>
        <v>New</v>
      </c>
      <c r="H152" s="96">
        <f ca="1">IFERROR(__xludf.DUMMYFUNCTION("""COMPUTED_VALUE"""),1)</f>
        <v>1</v>
      </c>
      <c r="I152" s="97">
        <f ca="1">IFERROR(__xludf.DUMMYFUNCTION("""COMPUTED_VALUE"""),46121)</f>
        <v>46121</v>
      </c>
      <c r="J152" s="98" t="str">
        <f ca="1">IFERROR(__xludf.DUMMYFUNCTION("""COMPUTED_VALUE"""),"CW29604_Apr26")</f>
        <v>CW29604_Apr26</v>
      </c>
      <c r="K152" s="99" t="str">
        <f ca="1">IFERROR(__xludf.DUMMYFUNCTION("""COMPUTED_VALUE"""),"HoM Approved")</f>
        <v>HoM Approved</v>
      </c>
    </row>
    <row r="153" spans="1:11" ht="13.2">
      <c r="A153" s="89" t="str">
        <f ca="1">IFERROR(__xludf.DUMMYFUNCTION("""COMPUTED_VALUE"""),"Papa Chips")</f>
        <v>Papa Chips</v>
      </c>
      <c r="B153" s="90" t="str">
        <f ca="1">IFERROR(__xludf.DUMMYFUNCTION("""COMPUTED_VALUE"""),"PFL")</f>
        <v>PFL</v>
      </c>
      <c r="C153" s="91" t="str">
        <f ca="1">IFERROR(__xludf.DUMMYFUNCTION("""COMPUTED_VALUE"""),"Zahirul Vai")</f>
        <v>Zahirul Vai</v>
      </c>
      <c r="D153" s="92" t="str">
        <f ca="1">IFERROR(__xludf.DUMMYFUNCTION("""COMPUTED_VALUE"""),"Jyotirmay Sarker (S188138)")</f>
        <v>Jyotirmay Sarker (S188138)</v>
      </c>
      <c r="E153" s="93" t="str">
        <f ca="1">IFERROR(__xludf.DUMMYFUNCTION("""COMPUTED_VALUE"""),"CB19391_Mar26")</f>
        <v>CB19391_Mar26</v>
      </c>
      <c r="F153" s="94" t="str">
        <f ca="1">IFERROR(__xludf.DUMMYFUNCTION("""COMPUTED_VALUE"""),"Gravure Output #2")</f>
        <v>Gravure Output #2</v>
      </c>
      <c r="G153" s="95" t="str">
        <f ca="1">IFERROR(__xludf.DUMMYFUNCTION("""COMPUTED_VALUE"""),"New")</f>
        <v>New</v>
      </c>
      <c r="H153" s="96">
        <f ca="1">IFERROR(__xludf.DUMMYFUNCTION("""COMPUTED_VALUE"""),2)</f>
        <v>2</v>
      </c>
      <c r="I153" s="97">
        <f ca="1">IFERROR(__xludf.DUMMYFUNCTION("""COMPUTED_VALUE"""),46127)</f>
        <v>46127</v>
      </c>
      <c r="J153" s="98" t="str">
        <f ca="1">IFERROR(__xludf.DUMMYFUNCTION("""COMPUTED_VALUE"""),"CW30179_Apr26")</f>
        <v>CW30179_Apr26</v>
      </c>
      <c r="K153" s="99" t="str">
        <f ca="1">IFERROR(__xludf.DUMMYFUNCTION("""COMPUTED_VALUE"""),"HoM Approved")</f>
        <v>HoM Approved</v>
      </c>
    </row>
    <row r="154" spans="1:11" ht="13.2">
      <c r="A154" s="89" t="str">
        <f ca="1">IFERROR(__xludf.DUMMYFUNCTION("""COMPUTED_VALUE"""),"Choco Choco")</f>
        <v>Choco Choco</v>
      </c>
      <c r="B154" s="90" t="str">
        <f ca="1">IFERROR(__xludf.DUMMYFUNCTION("""COMPUTED_VALUE"""),"Africa")</f>
        <v>Africa</v>
      </c>
      <c r="C154" s="91" t="str">
        <f ca="1">IFERROR(__xludf.DUMMYFUNCTION("""COMPUTED_VALUE"""),"Zahirul Vai")</f>
        <v>Zahirul Vai</v>
      </c>
      <c r="D154" s="92" t="str">
        <f ca="1">IFERROR(__xludf.DUMMYFUNCTION("""COMPUTED_VALUE"""),"Jyotirmay Sarker (S188138)")</f>
        <v>Jyotirmay Sarker (S188138)</v>
      </c>
      <c r="E154" s="93" t="str">
        <f ca="1">IFERROR(__xludf.DUMMYFUNCTION("""COMPUTED_VALUE"""),"CB21008_Apr26")</f>
        <v>CB21008_Apr26</v>
      </c>
      <c r="F154" s="94" t="str">
        <f ca="1">IFERROR(__xludf.DUMMYFUNCTION("""COMPUTED_VALUE"""),"Gravure Output #2")</f>
        <v>Gravure Output #2</v>
      </c>
      <c r="G154" s="95" t="str">
        <f ca="1">IFERROR(__xludf.DUMMYFUNCTION("""COMPUTED_VALUE"""),"New")</f>
        <v>New</v>
      </c>
      <c r="H154" s="96">
        <f ca="1">IFERROR(__xludf.DUMMYFUNCTION("""COMPUTED_VALUE"""),1)</f>
        <v>1</v>
      </c>
      <c r="I154" s="97">
        <f ca="1">IFERROR(__xludf.DUMMYFUNCTION("""COMPUTED_VALUE"""),46128)</f>
        <v>46128</v>
      </c>
      <c r="J154" s="98" t="str">
        <f ca="1">IFERROR(__xludf.DUMMYFUNCTION("""COMPUTED_VALUE"""),"CW30261_Apr26")</f>
        <v>CW30261_Apr26</v>
      </c>
      <c r="K154" s="99" t="str">
        <f ca="1">IFERROR(__xludf.DUMMYFUNCTION("""COMPUTED_VALUE"""),"HoM Approved")</f>
        <v>HoM Approved</v>
      </c>
    </row>
    <row r="155" spans="1:11" ht="13.2">
      <c r="A155" s="89" t="str">
        <f ca="1">IFERROR(__xludf.DUMMYFUNCTION("""COMPUTED_VALUE"""),"Sunny Toothbrush")</f>
        <v>Sunny Toothbrush</v>
      </c>
      <c r="B155" s="90" t="str">
        <f ca="1">IFERROR(__xludf.DUMMYFUNCTION("""COMPUTED_VALUE"""),"RFL Stationery")</f>
        <v>RFL Stationery</v>
      </c>
      <c r="C155" s="91" t="str">
        <f ca="1">IFERROR(__xludf.DUMMYFUNCTION("""COMPUTED_VALUE"""),"Nuzhat Apu")</f>
        <v>Nuzhat Apu</v>
      </c>
      <c r="D155" s="92" t="str">
        <f ca="1">IFERROR(__xludf.DUMMYFUNCTION("""COMPUTED_VALUE"""),"Jyotirmay Sarker (S188138)")</f>
        <v>Jyotirmay Sarker (S188138)</v>
      </c>
      <c r="E155" s="93" t="str">
        <f ca="1">IFERROR(__xludf.DUMMYFUNCTION("""COMPUTED_VALUE"""),"CB21690_Apr26")</f>
        <v>CB21690_Apr26</v>
      </c>
      <c r="F155" s="94" t="str">
        <f ca="1">IFERROR(__xludf.DUMMYFUNCTION("""COMPUTED_VALUE"""),"Gravure Output #2")</f>
        <v>Gravure Output #2</v>
      </c>
      <c r="G155" s="95" t="str">
        <f ca="1">IFERROR(__xludf.DUMMYFUNCTION("""COMPUTED_VALUE"""),"New")</f>
        <v>New</v>
      </c>
      <c r="H155" s="96">
        <f ca="1">IFERROR(__xludf.DUMMYFUNCTION("""COMPUTED_VALUE"""),1)</f>
        <v>1</v>
      </c>
      <c r="I155" s="97">
        <f ca="1">IFERROR(__xludf.DUMMYFUNCTION("""COMPUTED_VALUE"""),46132)</f>
        <v>46132</v>
      </c>
      <c r="J155" s="98" t="str">
        <f ca="1">IFERROR(__xludf.DUMMYFUNCTION("""COMPUTED_VALUE"""),"CW30583_Apr26")</f>
        <v>CW30583_Apr26</v>
      </c>
      <c r="K155" s="99" t="str">
        <f ca="1">IFERROR(__xludf.DUMMYFUNCTION("""COMPUTED_VALUE"""),"HoM Approved")</f>
        <v>HoM Approved</v>
      </c>
    </row>
    <row r="156" spans="1:11" ht="13.2">
      <c r="A156" s="89" t="str">
        <f ca="1">IFERROR(__xludf.DUMMYFUNCTION("""COMPUTED_VALUE"""),"Shine Sanitary Ware &amp; Fittings")</f>
        <v>Shine Sanitary Ware &amp; Fittings</v>
      </c>
      <c r="B156" s="90" t="str">
        <f ca="1">IFERROR(__xludf.DUMMYFUNCTION("""COMPUTED_VALUE"""),"RPL")</f>
        <v>RPL</v>
      </c>
      <c r="C156" s="91" t="str">
        <f ca="1">IFERROR(__xludf.DUMMYFUNCTION("""COMPUTED_VALUE"""),"Shaikh Vai")</f>
        <v>Shaikh Vai</v>
      </c>
      <c r="D156" s="92" t="str">
        <f ca="1">IFERROR(__xludf.DUMMYFUNCTION("""COMPUTED_VALUE"""),"Jyotirmay Sarker (S188138)")</f>
        <v>Jyotirmay Sarker (S188138)</v>
      </c>
      <c r="E156" s="93" t="str">
        <f ca="1">IFERROR(__xludf.DUMMYFUNCTION("""COMPUTED_VALUE"""),"CB22041_Apr26")</f>
        <v>CB22041_Apr26</v>
      </c>
      <c r="F156" s="94" t="str">
        <f ca="1">IFERROR(__xludf.DUMMYFUNCTION("""COMPUTED_VALUE"""),"Flyer/Brochure/Banner Output")</f>
        <v>Flyer/Brochure/Banner Output</v>
      </c>
      <c r="G156" s="95" t="str">
        <f ca="1">IFERROR(__xludf.DUMMYFUNCTION("""COMPUTED_VALUE"""),"New")</f>
        <v>New</v>
      </c>
      <c r="H156" s="96">
        <f ca="1">IFERROR(__xludf.DUMMYFUNCTION("""COMPUTED_VALUE"""),2)</f>
        <v>2</v>
      </c>
      <c r="I156" s="97">
        <f ca="1">IFERROR(__xludf.DUMMYFUNCTION("""COMPUTED_VALUE"""),46132)</f>
        <v>46132</v>
      </c>
      <c r="J156" s="98" t="str">
        <f ca="1">IFERROR(__xludf.DUMMYFUNCTION("""COMPUTED_VALUE"""),"CW30591_Apr26")</f>
        <v>CW30591_Apr26</v>
      </c>
      <c r="K156" s="99" t="str">
        <f ca="1">IFERROR(__xludf.DUMMYFUNCTION("""COMPUTED_VALUE"""),"HoM Approved")</f>
        <v>HoM Approved</v>
      </c>
    </row>
    <row r="157" spans="1:11" ht="13.2">
      <c r="A157" s="89" t="str">
        <f ca="1">IFERROR(__xludf.DUMMYFUNCTION("""COMPUTED_VALUE"""),"Mr. Noodles")</f>
        <v>Mr. Noodles</v>
      </c>
      <c r="B157" s="90" t="str">
        <f ca="1">IFERROR(__xludf.DUMMYFUNCTION("""COMPUTED_VALUE"""),"PAL")</f>
        <v>PAL</v>
      </c>
      <c r="C157" s="91" t="str">
        <f ca="1">IFERROR(__xludf.DUMMYFUNCTION("""COMPUTED_VALUE"""),"Rakib Vai")</f>
        <v>Rakib Vai</v>
      </c>
      <c r="D157" s="92" t="str">
        <f ca="1">IFERROR(__xludf.DUMMYFUNCTION("""COMPUTED_VALUE"""),"Jyotirmay Sarker (S188138)")</f>
        <v>Jyotirmay Sarker (S188138)</v>
      </c>
      <c r="E157" s="93" t="str">
        <f ca="1">IFERROR(__xludf.DUMMYFUNCTION("""COMPUTED_VALUE"""),"CB20426_Mar26")</f>
        <v>CB20426_Mar26</v>
      </c>
      <c r="F157" s="94" t="str">
        <f ca="1">IFERROR(__xludf.DUMMYFUNCTION("""COMPUTED_VALUE"""),"Gravure Output #2")</f>
        <v>Gravure Output #2</v>
      </c>
      <c r="G157" s="95" t="str">
        <f ca="1">IFERROR(__xludf.DUMMYFUNCTION("""COMPUTED_VALUE"""),"New")</f>
        <v>New</v>
      </c>
      <c r="H157" s="96">
        <f ca="1">IFERROR(__xludf.DUMMYFUNCTION("""COMPUTED_VALUE"""),2)</f>
        <v>2</v>
      </c>
      <c r="I157" s="97">
        <f ca="1">IFERROR(__xludf.DUMMYFUNCTION("""COMPUTED_VALUE"""),46135)</f>
        <v>46135</v>
      </c>
      <c r="J157" s="98" t="str">
        <f ca="1">IFERROR(__xludf.DUMMYFUNCTION("""COMPUTED_VALUE"""),"CW30996_Apr26")</f>
        <v>CW30996_Apr26</v>
      </c>
      <c r="K157" s="99" t="str">
        <f ca="1">IFERROR(__xludf.DUMMYFUNCTION("""COMPUTED_VALUE"""),"HoM Approved")</f>
        <v>HoM Approved</v>
      </c>
    </row>
    <row r="158" spans="1:11" ht="13.2">
      <c r="A158" s="89" t="str">
        <f ca="1">IFERROR(__xludf.DUMMYFUNCTION("""COMPUTED_VALUE"""),"Krako Tangy Tomato, Krako Chilli Chaat, Krako Cream &amp; Onion, Krako Masala Masti")</f>
        <v>Krako Tangy Tomato, Krako Chilli Chaat, Krako Cream &amp; Onion, Krako Masala Masti</v>
      </c>
      <c r="B158" s="90" t="str">
        <f ca="1">IFERROR(__xludf.DUMMYFUNCTION("""COMPUTED_VALUE"""),"PFL")</f>
        <v>PFL</v>
      </c>
      <c r="C158" s="91" t="str">
        <f ca="1">IFERROR(__xludf.DUMMYFUNCTION("""COMPUTED_VALUE"""),"Rafi Vaiya")</f>
        <v>Rafi Vaiya</v>
      </c>
      <c r="D158" s="92" t="str">
        <f ca="1">IFERROR(__xludf.DUMMYFUNCTION("""COMPUTED_VALUE"""),"Jyotirmay Sarker (S188138)")</f>
        <v>Jyotirmay Sarker (S188138)</v>
      </c>
      <c r="E158" s="93" t="str">
        <f ca="1">IFERROR(__xludf.DUMMYFUNCTION("""COMPUTED_VALUE"""),"CB19858_Mar26")</f>
        <v>CB19858_Mar26</v>
      </c>
      <c r="F158" s="94" t="str">
        <f ca="1">IFERROR(__xludf.DUMMYFUNCTION("""COMPUTED_VALUE"""),"Gravure Output #2")</f>
        <v>Gravure Output #2</v>
      </c>
      <c r="G158" s="95" t="str">
        <f ca="1">IFERROR(__xludf.DUMMYFUNCTION("""COMPUTED_VALUE"""),"New")</f>
        <v>New</v>
      </c>
      <c r="H158" s="96">
        <f ca="1">IFERROR(__xludf.DUMMYFUNCTION("""COMPUTED_VALUE"""),1)</f>
        <v>1</v>
      </c>
      <c r="I158" s="97">
        <f ca="1">IFERROR(__xludf.DUMMYFUNCTION("""COMPUTED_VALUE"""),46137)</f>
        <v>46137</v>
      </c>
      <c r="J158" s="98" t="str">
        <f ca="1">IFERROR(__xludf.DUMMYFUNCTION("""COMPUTED_VALUE"""),"CW31212_Apr26")</f>
        <v>CW31212_Apr26</v>
      </c>
      <c r="K158" s="99" t="str">
        <f ca="1">IFERROR(__xludf.DUMMYFUNCTION("""COMPUTED_VALUE"""),"HoM Approved")</f>
        <v>HoM Approved</v>
      </c>
    </row>
    <row r="159" spans="1:11" ht="13.2">
      <c r="A159" s="89" t="str">
        <f ca="1">IFERROR(__xludf.DUMMYFUNCTION("""COMPUTED_VALUE"""),"Common - USA &amp; Europe Export")</f>
        <v>Common - USA &amp; Europe Export</v>
      </c>
      <c r="B159" s="90" t="str">
        <f ca="1">IFERROR(__xludf.DUMMYFUNCTION("""COMPUTED_VALUE"""),"USA &amp; Europe")</f>
        <v>USA &amp; Europe</v>
      </c>
      <c r="C159" s="91" t="str">
        <f ca="1">IFERROR(__xludf.DUMMYFUNCTION("""COMPUTED_VALUE"""),"Saifullah Vai")</f>
        <v>Saifullah Vai</v>
      </c>
      <c r="D159" s="92" t="str">
        <f ca="1">IFERROR(__xludf.DUMMYFUNCTION("""COMPUTED_VALUE"""),"Jyotirmay Sarker (S188138)")</f>
        <v>Jyotirmay Sarker (S188138)</v>
      </c>
      <c r="E159" s="93" t="str">
        <f ca="1">IFERROR(__xludf.DUMMYFUNCTION("""COMPUTED_VALUE"""),"CB22619_Apr26")</f>
        <v>CB22619_Apr26</v>
      </c>
      <c r="F159" s="94" t="str">
        <f ca="1">IFERROR(__xludf.DUMMYFUNCTION("""COMPUTED_VALUE"""),"Digital Static For Social Media")</f>
        <v>Digital Static For Social Media</v>
      </c>
      <c r="G159" s="95" t="str">
        <f ca="1">IFERROR(__xludf.DUMMYFUNCTION("""COMPUTED_VALUE"""),"New")</f>
        <v>New</v>
      </c>
      <c r="H159" s="96">
        <f ca="1">IFERROR(__xludf.DUMMYFUNCTION("""COMPUTED_VALUE"""),1)</f>
        <v>1</v>
      </c>
      <c r="I159" s="97">
        <f ca="1">IFERROR(__xludf.DUMMYFUNCTION("""COMPUTED_VALUE"""),46138)</f>
        <v>46138</v>
      </c>
      <c r="J159" s="98" t="str">
        <f ca="1">IFERROR(__xludf.DUMMYFUNCTION("""COMPUTED_VALUE"""),"CW31355_Apr26")</f>
        <v>CW31355_Apr26</v>
      </c>
      <c r="K159" s="99" t="str">
        <f ca="1">IFERROR(__xludf.DUMMYFUNCTION("""COMPUTED_VALUE"""),"HoM Approved")</f>
        <v>HoM Approved</v>
      </c>
    </row>
    <row r="160" spans="1:11" ht="13.2">
      <c r="A160" s="89" t="str">
        <f ca="1">IFERROR(__xludf.DUMMYFUNCTION("""COMPUTED_VALUE"""),"Kleen")</f>
        <v>Kleen</v>
      </c>
      <c r="B160" s="90" t="str">
        <f ca="1">IFERROR(__xludf.DUMMYFUNCTION("""COMPUTED_VALUE"""),"APCL")</f>
        <v>APCL</v>
      </c>
      <c r="C160" s="91" t="str">
        <f ca="1">IFERROR(__xludf.DUMMYFUNCTION("""COMPUTED_VALUE"""),"Shamsul Sir")</f>
        <v>Shamsul Sir</v>
      </c>
      <c r="D160" s="92" t="str">
        <f ca="1">IFERROR(__xludf.DUMMYFUNCTION("""COMPUTED_VALUE"""),"Jyotirmay Sarker (S188138)")</f>
        <v>Jyotirmay Sarker (S188138)</v>
      </c>
      <c r="E160" s="93" t="str">
        <f ca="1">IFERROR(__xludf.DUMMYFUNCTION("""COMPUTED_VALUE"""),"CB22028_Apr26")</f>
        <v>CB22028_Apr26</v>
      </c>
      <c r="F160" s="94" t="str">
        <f ca="1">IFERROR(__xludf.DUMMYFUNCTION("""COMPUTED_VALUE"""),"JAR Label Sticker Output")</f>
        <v>JAR Label Sticker Output</v>
      </c>
      <c r="G160" s="95" t="str">
        <f ca="1">IFERROR(__xludf.DUMMYFUNCTION("""COMPUTED_VALUE"""),"New")</f>
        <v>New</v>
      </c>
      <c r="H160" s="96">
        <f ca="1">IFERROR(__xludf.DUMMYFUNCTION("""COMPUTED_VALUE"""),4)</f>
        <v>4</v>
      </c>
      <c r="I160" s="97">
        <f ca="1">IFERROR(__xludf.DUMMYFUNCTION("""COMPUTED_VALUE"""),46138)</f>
        <v>46138</v>
      </c>
      <c r="J160" s="98" t="str">
        <f ca="1">IFERROR(__xludf.DUMMYFUNCTION("""COMPUTED_VALUE"""),"CW31354_Apr26")</f>
        <v>CW31354_Apr26</v>
      </c>
      <c r="K160" s="99" t="str">
        <f ca="1">IFERROR(__xludf.DUMMYFUNCTION("""COMPUTED_VALUE"""),"HoM Approved")</f>
        <v>HoM Approved</v>
      </c>
    </row>
    <row r="161" spans="1:11" ht="13.2">
      <c r="A161" s="89" t="str">
        <f ca="1">IFERROR(__xludf.DUMMYFUNCTION("""COMPUTED_VALUE"""),"Travello Luggage")</f>
        <v>Travello Luggage</v>
      </c>
      <c r="B161" s="90" t="str">
        <f ca="1">IFERROR(__xludf.DUMMYFUNCTION("""COMPUTED_VALUE"""),"MLIL")</f>
        <v>MLIL</v>
      </c>
      <c r="C161" s="91" t="str">
        <f ca="1">IFERROR(__xludf.DUMMYFUNCTION("""COMPUTED_VALUE"""),"RFL-Anika Apu")</f>
        <v>RFL-Anika Apu</v>
      </c>
      <c r="D161" s="92" t="str">
        <f ca="1">IFERROR(__xludf.DUMMYFUNCTION("""COMPUTED_VALUE"""),"Jyotirmay Sarker (S188138)")</f>
        <v>Jyotirmay Sarker (S188138)</v>
      </c>
      <c r="E161" s="93" t="str">
        <f ca="1">IFERROR(__xludf.DUMMYFUNCTION("""COMPUTED_VALUE"""),"CB21572_Apr26")</f>
        <v>CB21572_Apr26</v>
      </c>
      <c r="F161" s="94" t="str">
        <f ca="1">IFERROR(__xludf.DUMMYFUNCTION("""COMPUTED_VALUE"""),"Flyer/Brochure/Banner Output")</f>
        <v>Flyer/Brochure/Banner Output</v>
      </c>
      <c r="G161" s="95" t="str">
        <f ca="1">IFERROR(__xludf.DUMMYFUNCTION("""COMPUTED_VALUE"""),"New")</f>
        <v>New</v>
      </c>
      <c r="H161" s="96">
        <f ca="1">IFERROR(__xludf.DUMMYFUNCTION("""COMPUTED_VALUE"""),1)</f>
        <v>1</v>
      </c>
      <c r="I161" s="97">
        <f ca="1">IFERROR(__xludf.DUMMYFUNCTION("""COMPUTED_VALUE"""),46139)</f>
        <v>46139</v>
      </c>
      <c r="J161" s="98" t="str">
        <f ca="1">IFERROR(__xludf.DUMMYFUNCTION("""COMPUTED_VALUE"""),"CW31425_Apr26")</f>
        <v>CW31425_Apr26</v>
      </c>
      <c r="K161" s="99" t="str">
        <f ca="1">IFERROR(__xludf.DUMMYFUNCTION("""COMPUTED_VALUE"""),"HoM Approved")</f>
        <v>HoM Approved</v>
      </c>
    </row>
    <row r="162" spans="1:11" ht="13.2">
      <c r="A162" s="89" t="str">
        <f ca="1">IFERROR(__xludf.DUMMYFUNCTION("""COMPUTED_VALUE"""),"Sunny Toothbrush")</f>
        <v>Sunny Toothbrush</v>
      </c>
      <c r="B162" s="90" t="str">
        <f ca="1">IFERROR(__xludf.DUMMYFUNCTION("""COMPUTED_VALUE"""),"RFL Stationery")</f>
        <v>RFL Stationery</v>
      </c>
      <c r="C162" s="91" t="str">
        <f ca="1">IFERROR(__xludf.DUMMYFUNCTION("""COMPUTED_VALUE"""),"Nuzhat Apu")</f>
        <v>Nuzhat Apu</v>
      </c>
      <c r="D162" s="92" t="str">
        <f ca="1">IFERROR(__xludf.DUMMYFUNCTION("""COMPUTED_VALUE"""),"Jyotirmay Sarker (S188138)")</f>
        <v>Jyotirmay Sarker (S188138)</v>
      </c>
      <c r="E162" s="93" t="str">
        <f ca="1">IFERROR(__xludf.DUMMYFUNCTION("""COMPUTED_VALUE"""),"CB21697_Apr26")</f>
        <v>CB21697_Apr26</v>
      </c>
      <c r="F162" s="94" t="str">
        <f ca="1">IFERROR(__xludf.DUMMYFUNCTION("""COMPUTED_VALUE"""),"JAR Label Sticker Output")</f>
        <v>JAR Label Sticker Output</v>
      </c>
      <c r="G162" s="95" t="str">
        <f ca="1">IFERROR(__xludf.DUMMYFUNCTION("""COMPUTED_VALUE"""),"New")</f>
        <v>New</v>
      </c>
      <c r="H162" s="96">
        <f ca="1">IFERROR(__xludf.DUMMYFUNCTION("""COMPUTED_VALUE"""),2)</f>
        <v>2</v>
      </c>
      <c r="I162" s="97">
        <f ca="1">IFERROR(__xludf.DUMMYFUNCTION("""COMPUTED_VALUE"""),46140)</f>
        <v>46140</v>
      </c>
      <c r="J162" s="98" t="str">
        <f ca="1">IFERROR(__xludf.DUMMYFUNCTION("""COMPUTED_VALUE"""),"CW31618_Apr26")</f>
        <v>CW31618_Apr26</v>
      </c>
      <c r="K162" s="99" t="str">
        <f ca="1">IFERROR(__xludf.DUMMYFUNCTION("""COMPUTED_VALUE"""),"HoM Approved")</f>
        <v>HoM Approved</v>
      </c>
    </row>
    <row r="163" spans="1:11" ht="13.2">
      <c r="A163" s="89" t="str">
        <f ca="1">IFERROR(__xludf.DUMMYFUNCTION("""COMPUTED_VALUE"""),"Fry Bucket")</f>
        <v>Fry Bucket</v>
      </c>
      <c r="B163" s="90" t="str">
        <f ca="1">IFERROR(__xludf.DUMMYFUNCTION("""COMPUTED_VALUE"""),"Tasty Treat")</f>
        <v>Tasty Treat</v>
      </c>
      <c r="C163" s="91" t="str">
        <f ca="1">IFERROR(__xludf.DUMMYFUNCTION("""COMPUTED_VALUE"""),"Shubhankar Vai")</f>
        <v>Shubhankar Vai</v>
      </c>
      <c r="D163" s="92" t="str">
        <f ca="1">IFERROR(__xludf.DUMMYFUNCTION("""COMPUTED_VALUE"""),"Jyotirmay Sarker (S188138)")</f>
        <v>Jyotirmay Sarker (S188138)</v>
      </c>
      <c r="E163" s="93" t="str">
        <f ca="1">IFERROR(__xludf.DUMMYFUNCTION("""COMPUTED_VALUE"""),"CB22588_Apr26")</f>
        <v>CB22588_Apr26</v>
      </c>
      <c r="F163" s="94" t="str">
        <f ca="1">IFERROR(__xludf.DUMMYFUNCTION("""COMPUTED_VALUE"""),"Flyer/Brochure/Banner Output")</f>
        <v>Flyer/Brochure/Banner Output</v>
      </c>
      <c r="G163" s="95" t="str">
        <f ca="1">IFERROR(__xludf.DUMMYFUNCTION("""COMPUTED_VALUE"""),"New")</f>
        <v>New</v>
      </c>
      <c r="H163" s="96">
        <f ca="1">IFERROR(__xludf.DUMMYFUNCTION("""COMPUTED_VALUE"""),1)</f>
        <v>1</v>
      </c>
      <c r="I163" s="97">
        <f ca="1">IFERROR(__xludf.DUMMYFUNCTION("""COMPUTED_VALUE"""),46141)</f>
        <v>46141</v>
      </c>
      <c r="J163" s="98" t="str">
        <f ca="1">IFERROR(__xludf.DUMMYFUNCTION("""COMPUTED_VALUE"""),"CW31803_Apr26")</f>
        <v>CW31803_Apr26</v>
      </c>
      <c r="K163" s="99" t="str">
        <f ca="1">IFERROR(__xludf.DUMMYFUNCTION("""COMPUTED_VALUE"""),"HoM Approved")</f>
        <v>HoM Approved</v>
      </c>
    </row>
    <row r="164" spans="1:11" ht="13.2">
      <c r="A164" s="89" t="str">
        <f ca="1">IFERROR(__xludf.DUMMYFUNCTION("""COMPUTED_VALUE"""),"All Time Roma")</f>
        <v>All Time Roma</v>
      </c>
      <c r="B164" s="90" t="str">
        <f ca="1">IFERROR(__xludf.DUMMYFUNCTION("""COMPUTED_VALUE"""),"BBL")</f>
        <v>BBL</v>
      </c>
      <c r="C164" s="91" t="str">
        <f ca="1">IFERROR(__xludf.DUMMYFUNCTION("""COMPUTED_VALUE"""),"Afrin Apu")</f>
        <v>Afrin Apu</v>
      </c>
      <c r="D164" s="92" t="str">
        <f ca="1">IFERROR(__xludf.DUMMYFUNCTION("""COMPUTED_VALUE"""),"Jyotirmay Sarker (S188138)")</f>
        <v>Jyotirmay Sarker (S188138)</v>
      </c>
      <c r="E164" s="93" t="str">
        <f ca="1">IFERROR(__xludf.DUMMYFUNCTION("""COMPUTED_VALUE"""),"CB20564_Apr26")</f>
        <v>CB20564_Apr26</v>
      </c>
      <c r="F164" s="94" t="str">
        <f ca="1">IFERROR(__xludf.DUMMYFUNCTION("""COMPUTED_VALUE"""),"Black Cylinder Output")</f>
        <v>Black Cylinder Output</v>
      </c>
      <c r="G164" s="95" t="str">
        <f ca="1">IFERROR(__xludf.DUMMYFUNCTION("""COMPUTED_VALUE"""),"New")</f>
        <v>New</v>
      </c>
      <c r="H164" s="96">
        <f ca="1">IFERROR(__xludf.DUMMYFUNCTION("""COMPUTED_VALUE"""),8)</f>
        <v>8</v>
      </c>
      <c r="I164" s="97">
        <f ca="1">IFERROR(__xludf.DUMMYFUNCTION("""COMPUTED_VALUE"""),46144)</f>
        <v>46144</v>
      </c>
      <c r="J164" s="98" t="str">
        <f ca="1">IFERROR(__xludf.DUMMYFUNCTION("""COMPUTED_VALUE"""),"CW32129_May26")</f>
        <v>CW32129_May26</v>
      </c>
      <c r="K164" s="99" t="str">
        <f ca="1">IFERROR(__xludf.DUMMYFUNCTION("""COMPUTED_VALUE"""),"HoM Approved")</f>
        <v>HoM Approved</v>
      </c>
    </row>
    <row r="165" spans="1:11" ht="13.2">
      <c r="A165" s="89" t="str">
        <f ca="1">IFERROR(__xludf.DUMMYFUNCTION("""COMPUTED_VALUE"""),"All Time Roma")</f>
        <v>All Time Roma</v>
      </c>
      <c r="B165" s="90" t="str">
        <f ca="1">IFERROR(__xludf.DUMMYFUNCTION("""COMPUTED_VALUE"""),"BBL")</f>
        <v>BBL</v>
      </c>
      <c r="C165" s="91" t="str">
        <f ca="1">IFERROR(__xludf.DUMMYFUNCTION("""COMPUTED_VALUE"""),"Afrin Apu")</f>
        <v>Afrin Apu</v>
      </c>
      <c r="D165" s="92" t="str">
        <f ca="1">IFERROR(__xludf.DUMMYFUNCTION("""COMPUTED_VALUE"""),"Jyotirmay Sarker (S188138)")</f>
        <v>Jyotirmay Sarker (S188138)</v>
      </c>
      <c r="E165" s="93" t="str">
        <f ca="1">IFERROR(__xludf.DUMMYFUNCTION("""COMPUTED_VALUE"""),"CB20564_Apr26")</f>
        <v>CB20564_Apr26</v>
      </c>
      <c r="F165" s="94" t="str">
        <f ca="1">IFERROR(__xludf.DUMMYFUNCTION("""COMPUTED_VALUE"""),"Gravure Output #2")</f>
        <v>Gravure Output #2</v>
      </c>
      <c r="G165" s="95" t="str">
        <f ca="1">IFERROR(__xludf.DUMMYFUNCTION("""COMPUTED_VALUE"""),"New")</f>
        <v>New</v>
      </c>
      <c r="H165" s="96">
        <f ca="1">IFERROR(__xludf.DUMMYFUNCTION("""COMPUTED_VALUE"""),1)</f>
        <v>1</v>
      </c>
      <c r="I165" s="97">
        <f ca="1">IFERROR(__xludf.DUMMYFUNCTION("""COMPUTED_VALUE"""),46144)</f>
        <v>46144</v>
      </c>
      <c r="J165" s="98" t="str">
        <f ca="1">IFERROR(__xludf.DUMMYFUNCTION("""COMPUTED_VALUE"""),"CW32204_May26")</f>
        <v>CW32204_May26</v>
      </c>
      <c r="K165" s="99" t="str">
        <f ca="1">IFERROR(__xludf.DUMMYFUNCTION("""COMPUTED_VALUE"""),"HoM Approved")</f>
        <v>HoM Approved</v>
      </c>
    </row>
    <row r="166" spans="1:11" ht="13.2">
      <c r="A166" s="89" t="str">
        <f ca="1">IFERROR(__xludf.DUMMYFUNCTION("""COMPUTED_VALUE"""),"Oliver Biscuits")</f>
        <v>Oliver Biscuits</v>
      </c>
      <c r="B166" s="90" t="str">
        <f ca="1">IFERROR(__xludf.DUMMYFUNCTION("""COMPUTED_VALUE"""),"PBL")</f>
        <v>PBL</v>
      </c>
      <c r="C166" s="91" t="str">
        <f ca="1">IFERROR(__xludf.DUMMYFUNCTION("""COMPUTED_VALUE"""),"Rakib Vai")</f>
        <v>Rakib Vai</v>
      </c>
      <c r="D166" s="92" t="str">
        <f ca="1">IFERROR(__xludf.DUMMYFUNCTION("""COMPUTED_VALUE"""),"Jyotirmay Sarker (S188138)")</f>
        <v>Jyotirmay Sarker (S188138)</v>
      </c>
      <c r="E166" s="93" t="str">
        <f ca="1">IFERROR(__xludf.DUMMYFUNCTION("""COMPUTED_VALUE"""),"CB22983_Apr26")</f>
        <v>CB22983_Apr26</v>
      </c>
      <c r="F166" s="94" t="str">
        <f ca="1">IFERROR(__xludf.DUMMYFUNCTION("""COMPUTED_VALUE"""),"Gravure Output #2")</f>
        <v>Gravure Output #2</v>
      </c>
      <c r="G166" s="95" t="str">
        <f ca="1">IFERROR(__xludf.DUMMYFUNCTION("""COMPUTED_VALUE"""),"New")</f>
        <v>New</v>
      </c>
      <c r="H166" s="96">
        <f ca="1">IFERROR(__xludf.DUMMYFUNCTION("""COMPUTED_VALUE"""),3)</f>
        <v>3</v>
      </c>
      <c r="I166" s="97">
        <f ca="1">IFERROR(__xludf.DUMMYFUNCTION("""COMPUTED_VALUE"""),46144)</f>
        <v>46144</v>
      </c>
      <c r="J166" s="98" t="str">
        <f ca="1">IFERROR(__xludf.DUMMYFUNCTION("""COMPUTED_VALUE"""),"CW32208_May26")</f>
        <v>CW32208_May26</v>
      </c>
      <c r="K166" s="99" t="str">
        <f ca="1">IFERROR(__xludf.DUMMYFUNCTION("""COMPUTED_VALUE"""),"HoM Approved")</f>
        <v>HoM Approved</v>
      </c>
    </row>
    <row r="167" spans="1:11" ht="13.2">
      <c r="A167" s="89" t="str">
        <f ca="1">IFERROR(__xludf.DUMMYFUNCTION("""COMPUTED_VALUE"""),"Common - USA &amp; Europe Export")</f>
        <v>Common - USA &amp; Europe Export</v>
      </c>
      <c r="B167" s="90" t="str">
        <f ca="1">IFERROR(__xludf.DUMMYFUNCTION("""COMPUTED_VALUE"""),"USA &amp; Europe")</f>
        <v>USA &amp; Europe</v>
      </c>
      <c r="C167" s="91" t="str">
        <f ca="1">IFERROR(__xludf.DUMMYFUNCTION("""COMPUTED_VALUE"""),"Saifullah Vai")</f>
        <v>Saifullah Vai</v>
      </c>
      <c r="D167" s="92" t="str">
        <f ca="1">IFERROR(__xludf.DUMMYFUNCTION("""COMPUTED_VALUE"""),"Jyotirmay Sarker (S188138)")</f>
        <v>Jyotirmay Sarker (S188138)</v>
      </c>
      <c r="E167" s="93" t="str">
        <f ca="1">IFERROR(__xludf.DUMMYFUNCTION("""COMPUTED_VALUE"""),"CB21923_Apr26")</f>
        <v>CB21923_Apr26</v>
      </c>
      <c r="F167" s="94" t="str">
        <f ca="1">IFERROR(__xludf.DUMMYFUNCTION("""COMPUTED_VALUE"""),"JAR Label Sticker Output")</f>
        <v>JAR Label Sticker Output</v>
      </c>
      <c r="G167" s="95" t="str">
        <f ca="1">IFERROR(__xludf.DUMMYFUNCTION("""COMPUTED_VALUE"""),"New")</f>
        <v>New</v>
      </c>
      <c r="H167" s="96">
        <f ca="1">IFERROR(__xludf.DUMMYFUNCTION("""COMPUTED_VALUE"""),3)</f>
        <v>3</v>
      </c>
      <c r="I167" s="97">
        <f ca="1">IFERROR(__xludf.DUMMYFUNCTION("""COMPUTED_VALUE"""),46145)</f>
        <v>46145</v>
      </c>
      <c r="J167" s="98" t="str">
        <f ca="1">IFERROR(__xludf.DUMMYFUNCTION("""COMPUTED_VALUE"""),"CW32299_May26")</f>
        <v>CW32299_May26</v>
      </c>
      <c r="K167" s="99" t="str">
        <f ca="1">IFERROR(__xludf.DUMMYFUNCTION("""COMPUTED_VALUE"""),"HoM Approved")</f>
        <v>HoM Approved</v>
      </c>
    </row>
    <row r="168" spans="1:11" ht="13.2">
      <c r="A168" s="89" t="str">
        <f ca="1">IFERROR(__xludf.DUMMYFUNCTION("""COMPUTED_VALUE"""),"Kofi Mate 6g")</f>
        <v>Kofi Mate 6g</v>
      </c>
      <c r="B168" s="90" t="str">
        <f ca="1">IFERROR(__xludf.DUMMYFUNCTION("""COMPUTED_VALUE"""),"AMCL")</f>
        <v>AMCL</v>
      </c>
      <c r="C168" s="91" t="str">
        <f ca="1">IFERROR(__xludf.DUMMYFUNCTION("""COMPUTED_VALUE"""),"Miraj Vai")</f>
        <v>Miraj Vai</v>
      </c>
      <c r="D168" s="92" t="str">
        <f ca="1">IFERROR(__xludf.DUMMYFUNCTION("""COMPUTED_VALUE"""),"Jyotirmay Sarker (S188138)")</f>
        <v>Jyotirmay Sarker (S188138)</v>
      </c>
      <c r="E168" s="93" t="str">
        <f ca="1">IFERROR(__xludf.DUMMYFUNCTION("""COMPUTED_VALUE"""),"CB22549_Apr26")</f>
        <v>CB22549_Apr26</v>
      </c>
      <c r="F168" s="94" t="str">
        <f ca="1">IFERROR(__xludf.DUMMYFUNCTION("""COMPUTED_VALUE"""),"Gravure Output #2")</f>
        <v>Gravure Output #2</v>
      </c>
      <c r="G168" s="95" t="str">
        <f ca="1">IFERROR(__xludf.DUMMYFUNCTION("""COMPUTED_VALUE"""),"New")</f>
        <v>New</v>
      </c>
      <c r="H168" s="96">
        <f ca="1">IFERROR(__xludf.DUMMYFUNCTION("""COMPUTED_VALUE"""),1)</f>
        <v>1</v>
      </c>
      <c r="I168" s="97">
        <f ca="1">IFERROR(__xludf.DUMMYFUNCTION("""COMPUTED_VALUE"""),46146)</f>
        <v>46146</v>
      </c>
      <c r="J168" s="98" t="str">
        <f ca="1">IFERROR(__xludf.DUMMYFUNCTION("""COMPUTED_VALUE"""),"CW32369_May26")</f>
        <v>CW32369_May26</v>
      </c>
      <c r="K168" s="99" t="str">
        <f ca="1">IFERROR(__xludf.DUMMYFUNCTION("""COMPUTED_VALUE"""),"HoM Approved")</f>
        <v>HoM Approved</v>
      </c>
    </row>
    <row r="169" spans="1:11" ht="13.2">
      <c r="A169" s="89" t="str">
        <f ca="1">IFERROR(__xludf.DUMMYFUNCTION("""COMPUTED_VALUE"""),"TVS MOTOR BIKES")</f>
        <v>TVS MOTOR BIKES</v>
      </c>
      <c r="B169" s="90" t="str">
        <f ca="1">IFERROR(__xludf.DUMMYFUNCTION("""COMPUTED_VALUE"""),"RFL-TVS")</f>
        <v>RFL-TVS</v>
      </c>
      <c r="C169" s="91" t="str">
        <f ca="1">IFERROR(__xludf.DUMMYFUNCTION("""COMPUTED_VALUE"""),"Roudra Vai")</f>
        <v>Roudra Vai</v>
      </c>
      <c r="D169" s="92" t="str">
        <f ca="1">IFERROR(__xludf.DUMMYFUNCTION("""COMPUTED_VALUE"""),"Jyotirmay Sarker (S188138)")</f>
        <v>Jyotirmay Sarker (S188138)</v>
      </c>
      <c r="E169" s="93" t="str">
        <f ca="1">IFERROR(__xludf.DUMMYFUNCTION("""COMPUTED_VALUE"""),"CB22969_Apr26")</f>
        <v>CB22969_Apr26</v>
      </c>
      <c r="F169" s="94" t="str">
        <f ca="1">IFERROR(__xludf.DUMMYFUNCTION("""COMPUTED_VALUE"""),"Flyer/Brochure/Banner Output")</f>
        <v>Flyer/Brochure/Banner Output</v>
      </c>
      <c r="G169" s="95" t="str">
        <f ca="1">IFERROR(__xludf.DUMMYFUNCTION("""COMPUTED_VALUE"""),"Revision")</f>
        <v>Revision</v>
      </c>
      <c r="H169" s="96">
        <f ca="1">IFERROR(__xludf.DUMMYFUNCTION("""COMPUTED_VALUE"""),2)</f>
        <v>2</v>
      </c>
      <c r="I169" s="97">
        <f ca="1">IFERROR(__xludf.DUMMYFUNCTION("""COMPUTED_VALUE"""),46146)</f>
        <v>46146</v>
      </c>
      <c r="J169" s="98" t="str">
        <f ca="1">IFERROR(__xludf.DUMMYFUNCTION("""COMPUTED_VALUE"""),"CW32341_May26")</f>
        <v>CW32341_May26</v>
      </c>
      <c r="K169" s="99" t="str">
        <f ca="1">IFERROR(__xludf.DUMMYFUNCTION("""COMPUTED_VALUE"""),"HoM Approved")</f>
        <v>HoM Approved</v>
      </c>
    </row>
    <row r="170" spans="1:11" ht="13.2">
      <c r="A170" s="89" t="str">
        <f ca="1">IFERROR(__xludf.DUMMYFUNCTION("""COMPUTED_VALUE"""),"VIGO Electronic Appliances")</f>
        <v>VIGO Electronic Appliances</v>
      </c>
      <c r="B170" s="90" t="str">
        <f ca="1">IFERROR(__xludf.DUMMYFUNCTION("""COMPUTED_VALUE"""),"REL")</f>
        <v>REL</v>
      </c>
      <c r="C170" s="91" t="str">
        <f ca="1">IFERROR(__xludf.DUMMYFUNCTION("""COMPUTED_VALUE"""),"Tanveer Vai")</f>
        <v>Tanveer Vai</v>
      </c>
      <c r="D170" s="92" t="str">
        <f ca="1">IFERROR(__xludf.DUMMYFUNCTION("""COMPUTED_VALUE"""),"Jyotirmay Sarker (S188138)")</f>
        <v>Jyotirmay Sarker (S188138)</v>
      </c>
      <c r="E170" s="93" t="str">
        <f ca="1">IFERROR(__xludf.DUMMYFUNCTION("""COMPUTED_VALUE"""),"CB22996_Apr26")</f>
        <v>CB22996_Apr26</v>
      </c>
      <c r="F170" s="94" t="str">
        <f ca="1">IFERROR(__xludf.DUMMYFUNCTION("""COMPUTED_VALUE"""),"Flyer/Brochure/Banner Output")</f>
        <v>Flyer/Brochure/Banner Output</v>
      </c>
      <c r="G170" s="95" t="str">
        <f ca="1">IFERROR(__xludf.DUMMYFUNCTION("""COMPUTED_VALUE"""),"New")</f>
        <v>New</v>
      </c>
      <c r="H170" s="96">
        <f ca="1">IFERROR(__xludf.DUMMYFUNCTION("""COMPUTED_VALUE"""),4)</f>
        <v>4</v>
      </c>
      <c r="I170" s="97">
        <f ca="1">IFERROR(__xludf.DUMMYFUNCTION("""COMPUTED_VALUE"""),46147)</f>
        <v>46147</v>
      </c>
      <c r="J170" s="98" t="str">
        <f ca="1">IFERROR(__xludf.DUMMYFUNCTION("""COMPUTED_VALUE"""),"CW32524_May26")</f>
        <v>CW32524_May26</v>
      </c>
      <c r="K170" s="99" t="str">
        <f ca="1">IFERROR(__xludf.DUMMYFUNCTION("""COMPUTED_VALUE"""),"Brief Submitted")</f>
        <v>Brief Submitted</v>
      </c>
    </row>
    <row r="171" spans="1:11" ht="13.2">
      <c r="A171" s="89" t="str">
        <f ca="1">IFERROR(__xludf.DUMMYFUNCTION("""COMPUTED_VALUE"""),"Pran Toast")</f>
        <v>Pran Toast</v>
      </c>
      <c r="B171" s="90" t="str">
        <f ca="1">IFERROR(__xludf.DUMMYFUNCTION("""COMPUTED_VALUE"""),"BBL")</f>
        <v>BBL</v>
      </c>
      <c r="C171" s="91" t="str">
        <f ca="1">IFERROR(__xludf.DUMMYFUNCTION("""COMPUTED_VALUE"""),"Zahirul Vai")</f>
        <v>Zahirul Vai</v>
      </c>
      <c r="D171" s="92" t="str">
        <f ca="1">IFERROR(__xludf.DUMMYFUNCTION("""COMPUTED_VALUE"""),"Jyotirmay Sarker (S188138)")</f>
        <v>Jyotirmay Sarker (S188138)</v>
      </c>
      <c r="E171" s="93" t="str">
        <f ca="1">IFERROR(__xludf.DUMMYFUNCTION("""COMPUTED_VALUE"""),"CB21037_Apr26")</f>
        <v>CB21037_Apr26</v>
      </c>
      <c r="F171" s="94" t="str">
        <f ca="1">IFERROR(__xludf.DUMMYFUNCTION("""COMPUTED_VALUE"""),"Gravure Output #2")</f>
        <v>Gravure Output #2</v>
      </c>
      <c r="G171" s="95" t="str">
        <f ca="1">IFERROR(__xludf.DUMMYFUNCTION("""COMPUTED_VALUE"""),"New")</f>
        <v>New</v>
      </c>
      <c r="H171" s="96">
        <f ca="1">IFERROR(__xludf.DUMMYFUNCTION("""COMPUTED_VALUE"""),1)</f>
        <v>1</v>
      </c>
      <c r="I171" s="97">
        <f ca="1">IFERROR(__xludf.DUMMYFUNCTION("""COMPUTED_VALUE"""),46147)</f>
        <v>46147</v>
      </c>
      <c r="J171" s="98" t="str">
        <f ca="1">IFERROR(__xludf.DUMMYFUNCTION("""COMPUTED_VALUE"""),"CW32495_May26")</f>
        <v>CW32495_May26</v>
      </c>
      <c r="K171" s="99" t="str">
        <f ca="1">IFERROR(__xludf.DUMMYFUNCTION("""COMPUTED_VALUE"""),"HoM Approved")</f>
        <v>HoM Approved</v>
      </c>
    </row>
    <row r="172" spans="1:11" ht="13.2">
      <c r="A172" s="89" t="str">
        <f ca="1">IFERROR(__xludf.DUMMYFUNCTION("""COMPUTED_VALUE"""),"Common - All DPL")</f>
        <v>Common - All DPL</v>
      </c>
      <c r="B172" s="90" t="str">
        <f ca="1">IFERROR(__xludf.DUMMYFUNCTION("""COMPUTED_VALUE"""),"DPL")</f>
        <v>DPL</v>
      </c>
      <c r="C172" s="91" t="str">
        <f ca="1">IFERROR(__xludf.DUMMYFUNCTION("""COMPUTED_VALUE"""),"Fardin Vai")</f>
        <v>Fardin Vai</v>
      </c>
      <c r="D172" s="92" t="str">
        <f ca="1">IFERROR(__xludf.DUMMYFUNCTION("""COMPUTED_VALUE"""),"Jyotirmay Sarker (S188138)")</f>
        <v>Jyotirmay Sarker (S188138)</v>
      </c>
      <c r="E172" s="93" t="str">
        <f ca="1">IFERROR(__xludf.DUMMYFUNCTION("""COMPUTED_VALUE"""),"CB22756_Apr26")</f>
        <v>CB22756_Apr26</v>
      </c>
      <c r="F172" s="94" t="str">
        <f ca="1">IFERROR(__xludf.DUMMYFUNCTION("""COMPUTED_VALUE"""),"Gravure Output #2")</f>
        <v>Gravure Output #2</v>
      </c>
      <c r="G172" s="95" t="str">
        <f ca="1">IFERROR(__xludf.DUMMYFUNCTION("""COMPUTED_VALUE"""),"New")</f>
        <v>New</v>
      </c>
      <c r="H172" s="96">
        <f ca="1">IFERROR(__xludf.DUMMYFUNCTION("""COMPUTED_VALUE"""),1)</f>
        <v>1</v>
      </c>
      <c r="I172" s="97">
        <f ca="1">IFERROR(__xludf.DUMMYFUNCTION("""COMPUTED_VALUE"""),46149)</f>
        <v>46149</v>
      </c>
      <c r="J172" s="98" t="str">
        <f ca="1">IFERROR(__xludf.DUMMYFUNCTION("""COMPUTED_VALUE"""),"CW32695_May26")</f>
        <v>CW32695_May26</v>
      </c>
      <c r="K172" s="99" t="str">
        <f ca="1">IFERROR(__xludf.DUMMYFUNCTION("""COMPUTED_VALUE"""),"HoM Approved")</f>
        <v>HoM Approved</v>
      </c>
    </row>
    <row r="173" spans="1:11" ht="13.2">
      <c r="A173" s="89" t="str">
        <f ca="1">IFERROR(__xludf.DUMMYFUNCTION("""COMPUTED_VALUE"""),"Common - India Export")</f>
        <v>Common - India Export</v>
      </c>
      <c r="B173" s="90" t="str">
        <f ca="1">IFERROR(__xludf.DUMMYFUNCTION("""COMPUTED_VALUE"""),"India")</f>
        <v>India</v>
      </c>
      <c r="C173" s="91" t="str">
        <f ca="1">IFERROR(__xludf.DUMMYFUNCTION("""COMPUTED_VALUE"""),"Saifullah Vai")</f>
        <v>Saifullah Vai</v>
      </c>
      <c r="D173" s="92" t="str">
        <f ca="1">IFERROR(__xludf.DUMMYFUNCTION("""COMPUTED_VALUE"""),"Jyotirmay Sarker (S188138)")</f>
        <v>Jyotirmay Sarker (S188138)</v>
      </c>
      <c r="E173" s="93" t="str">
        <f ca="1">IFERROR(__xludf.DUMMYFUNCTION("""COMPUTED_VALUE"""),"CB23542_May26")</f>
        <v>CB23542_May26</v>
      </c>
      <c r="F173" s="94" t="str">
        <f ca="1">IFERROR(__xludf.DUMMYFUNCTION("""COMPUTED_VALUE"""),"ATC Box Output")</f>
        <v>ATC Box Output</v>
      </c>
      <c r="G173" s="95" t="str">
        <f ca="1">IFERROR(__xludf.DUMMYFUNCTION("""COMPUTED_VALUE"""),"New")</f>
        <v>New</v>
      </c>
      <c r="H173" s="96">
        <f ca="1">IFERROR(__xludf.DUMMYFUNCTION("""COMPUTED_VALUE"""),1)</f>
        <v>1</v>
      </c>
      <c r="I173" s="97">
        <f ca="1">IFERROR(__xludf.DUMMYFUNCTION("""COMPUTED_VALUE"""),46151)</f>
        <v>46151</v>
      </c>
      <c r="J173" s="98" t="str">
        <f ca="1">IFERROR(__xludf.DUMMYFUNCTION("""COMPUTED_VALUE"""),"CW32902_May26")</f>
        <v>CW32902_May26</v>
      </c>
      <c r="K173" s="99" t="str">
        <f ca="1">IFERROR(__xludf.DUMMYFUNCTION("""COMPUTED_VALUE"""),"HoM Approved")</f>
        <v>HoM Approved</v>
      </c>
    </row>
    <row r="174" spans="1:11" ht="13.2">
      <c r="A174" s="89" t="str">
        <f ca="1">IFERROR(__xludf.DUMMYFUNCTION("""COMPUTED_VALUE"""),"PRAN Potato Sticks")</f>
        <v>PRAN Potato Sticks</v>
      </c>
      <c r="B174" s="90" t="str">
        <f ca="1">IFERROR(__xludf.DUMMYFUNCTION("""COMPUTED_VALUE"""),"PFL")</f>
        <v>PFL</v>
      </c>
      <c r="C174" s="91" t="str">
        <f ca="1">IFERROR(__xludf.DUMMYFUNCTION("""COMPUTED_VALUE"""),"Shamrid Vaiya")</f>
        <v>Shamrid Vaiya</v>
      </c>
      <c r="D174" s="92" t="str">
        <f ca="1">IFERROR(__xludf.DUMMYFUNCTION("""COMPUTED_VALUE"""),"Jyotirmay Sarker (S188138)")</f>
        <v>Jyotirmay Sarker (S188138)</v>
      </c>
      <c r="E174" s="93" t="str">
        <f ca="1">IFERROR(__xludf.DUMMYFUNCTION("""COMPUTED_VALUE"""),"CB18806_Mar26")</f>
        <v>CB18806_Mar26</v>
      </c>
      <c r="F174" s="94" t="str">
        <f ca="1">IFERROR(__xludf.DUMMYFUNCTION("""COMPUTED_VALUE"""),"Gravure Output #2")</f>
        <v>Gravure Output #2</v>
      </c>
      <c r="G174" s="95" t="str">
        <f ca="1">IFERROR(__xludf.DUMMYFUNCTION("""COMPUTED_VALUE"""),"New")</f>
        <v>New</v>
      </c>
      <c r="H174" s="96">
        <f ca="1">IFERROR(__xludf.DUMMYFUNCTION("""COMPUTED_VALUE"""),2)</f>
        <v>2</v>
      </c>
      <c r="I174" s="97">
        <f ca="1">IFERROR(__xludf.DUMMYFUNCTION("""COMPUTED_VALUE"""),46151)</f>
        <v>46151</v>
      </c>
      <c r="J174" s="98" t="str">
        <f ca="1">IFERROR(__xludf.DUMMYFUNCTION("""COMPUTED_VALUE"""),"CW32900_May26")</f>
        <v>CW32900_May26</v>
      </c>
      <c r="K174" s="99" t="str">
        <f ca="1">IFERROR(__xludf.DUMMYFUNCTION("""COMPUTED_VALUE"""),"HoM Approved")</f>
        <v>HoM Approved</v>
      </c>
    </row>
    <row r="175" spans="1:11" ht="13.2">
      <c r="A175" s="89" t="str">
        <f ca="1">IFERROR(__xludf.DUMMYFUNCTION("""COMPUTED_VALUE"""),"Proton mobile")</f>
        <v>Proton mobile</v>
      </c>
      <c r="B175" s="90" t="str">
        <f ca="1">IFERROR(__xludf.DUMMYFUNCTION("""COMPUTED_VALUE"""),"REL")</f>
        <v>REL</v>
      </c>
      <c r="C175" s="91" t="str">
        <f ca="1">IFERROR(__xludf.DUMMYFUNCTION("""COMPUTED_VALUE"""),"Antor Vai")</f>
        <v>Antor Vai</v>
      </c>
      <c r="D175" s="92" t="str">
        <f ca="1">IFERROR(__xludf.DUMMYFUNCTION("""COMPUTED_VALUE"""),"Jyotirmay Sarker (S188138)")</f>
        <v>Jyotirmay Sarker (S188138)</v>
      </c>
      <c r="E175" s="93" t="str">
        <f ca="1">IFERROR(__xludf.DUMMYFUNCTION("""COMPUTED_VALUE"""),"CB22819_Apr26")</f>
        <v>CB22819_Apr26</v>
      </c>
      <c r="F175" s="94" t="str">
        <f ca="1">IFERROR(__xludf.DUMMYFUNCTION("""COMPUTED_VALUE"""),"Flyer/Brochure/Banner Output")</f>
        <v>Flyer/Brochure/Banner Output</v>
      </c>
      <c r="G175" s="95" t="str">
        <f ca="1">IFERROR(__xludf.DUMMYFUNCTION("""COMPUTED_VALUE"""),"New")</f>
        <v>New</v>
      </c>
      <c r="H175" s="96">
        <f ca="1">IFERROR(__xludf.DUMMYFUNCTION("""COMPUTED_VALUE"""),1)</f>
        <v>1</v>
      </c>
      <c r="I175" s="97">
        <f ca="1">IFERROR(__xludf.DUMMYFUNCTION("""COMPUTED_VALUE"""),46153)</f>
        <v>46153</v>
      </c>
      <c r="J175" s="98" t="str">
        <f ca="1">IFERROR(__xludf.DUMMYFUNCTION("""COMPUTED_VALUE"""),"CW33109_May26")</f>
        <v>CW33109_May26</v>
      </c>
      <c r="K175" s="99" t="str">
        <f ca="1">IFERROR(__xludf.DUMMYFUNCTION("""COMPUTED_VALUE"""),"BM Approved")</f>
        <v>BM Approved</v>
      </c>
    </row>
    <row r="176" spans="1:11" ht="13.2">
      <c r="A176" s="89" t="str">
        <f ca="1">IFERROR(__xludf.DUMMYFUNCTION("""COMPUTED_VALUE"""),"Livana")</f>
        <v>Livana</v>
      </c>
      <c r="B176" s="90" t="str">
        <f ca="1">IFERROR(__xludf.DUMMYFUNCTION("""COMPUTED_VALUE"""),"APCL")</f>
        <v>APCL</v>
      </c>
      <c r="C176" s="91" t="str">
        <f ca="1">IFERROR(__xludf.DUMMYFUNCTION("""COMPUTED_VALUE"""),"Kishower Vai")</f>
        <v>Kishower Vai</v>
      </c>
      <c r="D176" s="92" t="str">
        <f ca="1">IFERROR(__xludf.DUMMYFUNCTION("""COMPUTED_VALUE"""),"Jyotirmay Sarker (S188138)")</f>
        <v>Jyotirmay Sarker (S188138)</v>
      </c>
      <c r="E176" s="93" t="str">
        <f ca="1">IFERROR(__xludf.DUMMYFUNCTION("""COMPUTED_VALUE"""),"CB18691_Mar26")</f>
        <v>CB18691_Mar26</v>
      </c>
      <c r="F176" s="94" t="str">
        <f ca="1">IFERROR(__xludf.DUMMYFUNCTION("""COMPUTED_VALUE"""),"Gravure Output #2")</f>
        <v>Gravure Output #2</v>
      </c>
      <c r="G176" s="95" t="str">
        <f ca="1">IFERROR(__xludf.DUMMYFUNCTION("""COMPUTED_VALUE"""),"New")</f>
        <v>New</v>
      </c>
      <c r="H176" s="96">
        <f ca="1">IFERROR(__xludf.DUMMYFUNCTION("""COMPUTED_VALUE"""),1)</f>
        <v>1</v>
      </c>
      <c r="I176" s="97">
        <f ca="1">IFERROR(__xludf.DUMMYFUNCTION("""COMPUTED_VALUE"""),46153)</f>
        <v>46153</v>
      </c>
      <c r="J176" s="98" t="str">
        <f ca="1">IFERROR(__xludf.DUMMYFUNCTION("""COMPUTED_VALUE"""),"CW33139_May26")</f>
        <v>CW33139_May26</v>
      </c>
      <c r="K176" s="99" t="str">
        <f ca="1">IFERROR(__xludf.DUMMYFUNCTION("""COMPUTED_VALUE"""),"HoM Approved")</f>
        <v>HoM Approved</v>
      </c>
    </row>
    <row r="177" spans="1:11" ht="13.2">
      <c r="A177" s="89" t="str">
        <f ca="1">IFERROR(__xludf.DUMMYFUNCTION("""COMPUTED_VALUE"""),"PRAN Crunchy Wafer")</f>
        <v>PRAN Crunchy Wafer</v>
      </c>
      <c r="B177" s="90" t="str">
        <f ca="1">IFERROR(__xludf.DUMMYFUNCTION("""COMPUTED_VALUE"""),"KSA")</f>
        <v>KSA</v>
      </c>
      <c r="C177" s="91" t="str">
        <f ca="1">IFERROR(__xludf.DUMMYFUNCTION("""COMPUTED_VALUE"""),"Zahirul Vai")</f>
        <v>Zahirul Vai</v>
      </c>
      <c r="D177" s="92" t="str">
        <f ca="1">IFERROR(__xludf.DUMMYFUNCTION("""COMPUTED_VALUE"""),"Jyotirmay Sarker (S188138)")</f>
        <v>Jyotirmay Sarker (S188138)</v>
      </c>
      <c r="E177" s="93" t="str">
        <f ca="1">IFERROR(__xludf.DUMMYFUNCTION("""COMPUTED_VALUE"""),"CB17769_Feb26")</f>
        <v>CB17769_Feb26</v>
      </c>
      <c r="F177" s="94" t="str">
        <f ca="1">IFERROR(__xludf.DUMMYFUNCTION("""COMPUTED_VALUE"""),"Gravure Output #2")</f>
        <v>Gravure Output #2</v>
      </c>
      <c r="G177" s="95" t="str">
        <f ca="1">IFERROR(__xludf.DUMMYFUNCTION("""COMPUTED_VALUE"""),"New")</f>
        <v>New</v>
      </c>
      <c r="H177" s="96">
        <f ca="1">IFERROR(__xludf.DUMMYFUNCTION("""COMPUTED_VALUE"""),1)</f>
        <v>1</v>
      </c>
      <c r="I177" s="97">
        <f ca="1">IFERROR(__xludf.DUMMYFUNCTION("""COMPUTED_VALUE"""),46153)</f>
        <v>46153</v>
      </c>
      <c r="J177" s="98" t="str">
        <f ca="1">IFERROR(__xludf.DUMMYFUNCTION("""COMPUTED_VALUE"""),"CW33160_May26")</f>
        <v>CW33160_May26</v>
      </c>
      <c r="K177" s="99" t="str">
        <f ca="1">IFERROR(__xludf.DUMMYFUNCTION("""COMPUTED_VALUE"""),"HoM Approved")</f>
        <v>HoM Approved</v>
      </c>
    </row>
    <row r="178" spans="1:11" ht="13.2">
      <c r="A178" s="89" t="str">
        <f ca="1">IFERROR(__xludf.DUMMYFUNCTION("""COMPUTED_VALUE"""),"Pran Mama Wafer")</f>
        <v>Pran Mama Wafer</v>
      </c>
      <c r="B178" s="90" t="str">
        <f ca="1">IFERROR(__xludf.DUMMYFUNCTION("""COMPUTED_VALUE"""),"BBL")</f>
        <v>BBL</v>
      </c>
      <c r="C178" s="91" t="str">
        <f ca="1">IFERROR(__xludf.DUMMYFUNCTION("""COMPUTED_VALUE"""),"Fatema Apu")</f>
        <v>Fatema Apu</v>
      </c>
      <c r="D178" s="92" t="str">
        <f ca="1">IFERROR(__xludf.DUMMYFUNCTION("""COMPUTED_VALUE"""),"Jyotirmay Sarker (S188138)")</f>
        <v>Jyotirmay Sarker (S188138)</v>
      </c>
      <c r="E178" s="93" t="str">
        <f ca="1">IFERROR(__xludf.DUMMYFUNCTION("""COMPUTED_VALUE"""),"CB15901_Jan26")</f>
        <v>CB15901_Jan26</v>
      </c>
      <c r="F178" s="94" t="str">
        <f ca="1">IFERROR(__xludf.DUMMYFUNCTION("""COMPUTED_VALUE"""),"Gravure Output #2")</f>
        <v>Gravure Output #2</v>
      </c>
      <c r="G178" s="95" t="str">
        <f ca="1">IFERROR(__xludf.DUMMYFUNCTION("""COMPUTED_VALUE"""),"New")</f>
        <v>New</v>
      </c>
      <c r="H178" s="96">
        <f ca="1">IFERROR(__xludf.DUMMYFUNCTION("""COMPUTED_VALUE"""),1)</f>
        <v>1</v>
      </c>
      <c r="I178" s="97">
        <f ca="1">IFERROR(__xludf.DUMMYFUNCTION("""COMPUTED_VALUE"""),46154)</f>
        <v>46154</v>
      </c>
      <c r="J178" s="98" t="str">
        <f ca="1">IFERROR(__xludf.DUMMYFUNCTION("""COMPUTED_VALUE"""),"CW33240_May26")</f>
        <v>CW33240_May26</v>
      </c>
      <c r="K178" s="99" t="str">
        <f ca="1">IFERROR(__xludf.DUMMYFUNCTION("""COMPUTED_VALUE"""),"Brief Submitted")</f>
        <v>Brief Submitted</v>
      </c>
    </row>
    <row r="179" spans="1:11" ht="13.2">
      <c r="A179" s="89" t="str">
        <f ca="1">IFERROR(__xludf.DUMMYFUNCTION("""COMPUTED_VALUE"""),"Common - All DPL")</f>
        <v>Common - All DPL</v>
      </c>
      <c r="B179" s="90" t="str">
        <f ca="1">IFERROR(__xludf.DUMMYFUNCTION("""COMPUTED_VALUE"""),"DPL")</f>
        <v>DPL</v>
      </c>
      <c r="C179" s="91" t="str">
        <f ca="1">IFERROR(__xludf.DUMMYFUNCTION("""COMPUTED_VALUE"""),"Fardin Vai")</f>
        <v>Fardin Vai</v>
      </c>
      <c r="D179" s="92" t="str">
        <f ca="1">IFERROR(__xludf.DUMMYFUNCTION("""COMPUTED_VALUE"""),"Jyotirmay Sarker (S188138)")</f>
        <v>Jyotirmay Sarker (S188138)</v>
      </c>
      <c r="E179" s="93" t="str">
        <f ca="1">IFERROR(__xludf.DUMMYFUNCTION("""COMPUTED_VALUE"""),"CB22756_Apr26")</f>
        <v>CB22756_Apr26</v>
      </c>
      <c r="F179" s="94" t="str">
        <f ca="1">IFERROR(__xludf.DUMMYFUNCTION("""COMPUTED_VALUE"""),"Gravure Output #2")</f>
        <v>Gravure Output #2</v>
      </c>
      <c r="G179" s="95" t="str">
        <f ca="1">IFERROR(__xludf.DUMMYFUNCTION("""COMPUTED_VALUE"""),"New")</f>
        <v>New</v>
      </c>
      <c r="H179" s="96">
        <f ca="1">IFERROR(__xludf.DUMMYFUNCTION("""COMPUTED_VALUE"""),4)</f>
        <v>4</v>
      </c>
      <c r="I179" s="97">
        <f ca="1">IFERROR(__xludf.DUMMYFUNCTION("""COMPUTED_VALUE"""),46155)</f>
        <v>46155</v>
      </c>
      <c r="J179" s="98" t="str">
        <f ca="1">IFERROR(__xludf.DUMMYFUNCTION("""COMPUTED_VALUE"""),"CW33414_May26")</f>
        <v>CW33414_May26</v>
      </c>
      <c r="K179" s="99" t="str">
        <f ca="1">IFERROR(__xludf.DUMMYFUNCTION("""COMPUTED_VALUE"""),"HoM Approved")</f>
        <v>HoM Approved</v>
      </c>
    </row>
    <row r="180" spans="1:11" ht="13.2">
      <c r="A180" s="89" t="str">
        <f ca="1">IFERROR(__xludf.DUMMYFUNCTION("""COMPUTED_VALUE"""),"Getwell")</f>
        <v>Getwell</v>
      </c>
      <c r="B180" s="90" t="str">
        <f ca="1">IFERROR(__xludf.DUMMYFUNCTION("""COMPUTED_VALUE"""),"Getwell")</f>
        <v>Getwell</v>
      </c>
      <c r="C180" s="91" t="str">
        <f ca="1">IFERROR(__xludf.DUMMYFUNCTION("""COMPUTED_VALUE"""),"Ifat Apu")</f>
        <v>Ifat Apu</v>
      </c>
      <c r="D180" s="92" t="str">
        <f ca="1">IFERROR(__xludf.DUMMYFUNCTION("""COMPUTED_VALUE"""),"Jyotirmay Sarker (S188138)")</f>
        <v>Jyotirmay Sarker (S188138)</v>
      </c>
      <c r="E180" s="93" t="str">
        <f ca="1">IFERROR(__xludf.DUMMYFUNCTION("""COMPUTED_VALUE"""),"CB24273_May26")</f>
        <v>CB24273_May26</v>
      </c>
      <c r="F180" s="94" t="str">
        <f ca="1">IFERROR(__xludf.DUMMYFUNCTION("""COMPUTED_VALUE"""),"Gravure Output #2")</f>
        <v>Gravure Output #2</v>
      </c>
      <c r="G180" s="95" t="str">
        <f ca="1">IFERROR(__xludf.DUMMYFUNCTION("""COMPUTED_VALUE"""),"New")</f>
        <v>New</v>
      </c>
      <c r="H180" s="96">
        <f ca="1">IFERROR(__xludf.DUMMYFUNCTION("""COMPUTED_VALUE"""),1)</f>
        <v>1</v>
      </c>
      <c r="I180" s="97">
        <f ca="1">IFERROR(__xludf.DUMMYFUNCTION("""COMPUTED_VALUE"""),46156)</f>
        <v>46156</v>
      </c>
      <c r="J180" s="98" t="str">
        <f ca="1">IFERROR(__xludf.DUMMYFUNCTION("""COMPUTED_VALUE"""),"CW33556_May26")</f>
        <v>CW33556_May26</v>
      </c>
      <c r="K180" s="99" t="str">
        <f ca="1">IFERROR(__xludf.DUMMYFUNCTION("""COMPUTED_VALUE"""),"HoM Approved")</f>
        <v>HoM Approved</v>
      </c>
    </row>
    <row r="181" spans="1:11" ht="13.2">
      <c r="A181" s="89" t="str">
        <f ca="1">IFERROR(__xludf.DUMMYFUNCTION("""COMPUTED_VALUE"""),"PRAN Fruit Drinks (TP)-")</f>
        <v>PRAN Fruit Drinks (TP)-</v>
      </c>
      <c r="B181" s="90" t="str">
        <f ca="1">IFERROR(__xludf.DUMMYFUNCTION("""COMPUTED_VALUE"""),"Dairy")</f>
        <v>Dairy</v>
      </c>
      <c r="C181" s="91" t="str">
        <f ca="1">IFERROR(__xludf.DUMMYFUNCTION("""COMPUTED_VALUE"""),"Zahirul Vai")</f>
        <v>Zahirul Vai</v>
      </c>
      <c r="D181" s="92" t="str">
        <f ca="1">IFERROR(__xludf.DUMMYFUNCTION("""COMPUTED_VALUE"""),"Jyotirmay Sarker (S188138)")</f>
        <v>Jyotirmay Sarker (S188138)</v>
      </c>
      <c r="E181" s="93" t="str">
        <f ca="1">IFERROR(__xludf.DUMMYFUNCTION("""COMPUTED_VALUE"""),"CB22763_Apr26")</f>
        <v>CB22763_Apr26</v>
      </c>
      <c r="F181" s="94" t="str">
        <f ca="1">IFERROR(__xludf.DUMMYFUNCTION("""COMPUTED_VALUE"""),"ATC Box Output")</f>
        <v>ATC Box Output</v>
      </c>
      <c r="G181" s="95" t="str">
        <f ca="1">IFERROR(__xludf.DUMMYFUNCTION("""COMPUTED_VALUE"""),"New")</f>
        <v>New</v>
      </c>
      <c r="H181" s="96">
        <f ca="1">IFERROR(__xludf.DUMMYFUNCTION("""COMPUTED_VALUE"""),6)</f>
        <v>6</v>
      </c>
      <c r="I181" s="97">
        <f ca="1">IFERROR(__xludf.DUMMYFUNCTION("""COMPUTED_VALUE"""),46158)</f>
        <v>46158</v>
      </c>
      <c r="J181" s="98" t="str">
        <f ca="1">IFERROR(__xludf.DUMMYFUNCTION("""COMPUTED_VALUE"""),"CW33582_May26")</f>
        <v>CW33582_May26</v>
      </c>
      <c r="K181" s="99" t="str">
        <f ca="1">IFERROR(__xludf.DUMMYFUNCTION("""COMPUTED_VALUE"""),"HoM Approved")</f>
        <v>HoM Approved</v>
      </c>
    </row>
    <row r="182" spans="1:11" ht="13.2">
      <c r="A182" s="89" t="str">
        <f ca="1">IFERROR(__xludf.DUMMYFUNCTION("""COMPUTED_VALUE"""),"Common - USA &amp; Europe Export")</f>
        <v>Common - USA &amp; Europe Export</v>
      </c>
      <c r="B182" s="90" t="str">
        <f ca="1">IFERROR(__xludf.DUMMYFUNCTION("""COMPUTED_VALUE"""),"USA &amp; Europe")</f>
        <v>USA &amp; Europe</v>
      </c>
      <c r="C182" s="91" t="str">
        <f ca="1">IFERROR(__xludf.DUMMYFUNCTION("""COMPUTED_VALUE"""),"Saifullah Vai")</f>
        <v>Saifullah Vai</v>
      </c>
      <c r="D182" s="92" t="str">
        <f ca="1">IFERROR(__xludf.DUMMYFUNCTION("""COMPUTED_VALUE"""),"Jyotirmay Sarker (S188138)")</f>
        <v>Jyotirmay Sarker (S188138)</v>
      </c>
      <c r="E182" s="93" t="str">
        <f ca="1">IFERROR(__xludf.DUMMYFUNCTION("""COMPUTED_VALUE"""),"CB22621_Apr26")</f>
        <v>CB22621_Apr26</v>
      </c>
      <c r="F182" s="94" t="str">
        <f ca="1">IFERROR(__xludf.DUMMYFUNCTION("""COMPUTED_VALUE"""),"Gravure Output #2")</f>
        <v>Gravure Output #2</v>
      </c>
      <c r="G182" s="95" t="str">
        <f ca="1">IFERROR(__xludf.DUMMYFUNCTION("""COMPUTED_VALUE"""),"New")</f>
        <v>New</v>
      </c>
      <c r="H182" s="96">
        <f ca="1">IFERROR(__xludf.DUMMYFUNCTION("""COMPUTED_VALUE"""),1)</f>
        <v>1</v>
      </c>
      <c r="I182" s="97">
        <f ca="1">IFERROR(__xludf.DUMMYFUNCTION("""COMPUTED_VALUE"""),46159)</f>
        <v>46159</v>
      </c>
      <c r="J182" s="98" t="str">
        <f ca="1">IFERROR(__xludf.DUMMYFUNCTION("""COMPUTED_VALUE"""),"CW33698_May26")</f>
        <v>CW33698_May26</v>
      </c>
      <c r="K182" s="99" t="str">
        <f ca="1">IFERROR(__xludf.DUMMYFUNCTION("""COMPUTED_VALUE"""),"HoM Approved")</f>
        <v>HoM Approved</v>
      </c>
    </row>
    <row r="183" spans="1:11" ht="13.2">
      <c r="A183" s="89" t="str">
        <f ca="1">IFERROR(__xludf.DUMMYFUNCTION("""COMPUTED_VALUE"""),"Common - India Export")</f>
        <v>Common - India Export</v>
      </c>
      <c r="B183" s="90" t="str">
        <f ca="1">IFERROR(__xludf.DUMMYFUNCTION("""COMPUTED_VALUE"""),"India")</f>
        <v>India</v>
      </c>
      <c r="C183" s="91" t="str">
        <f ca="1">IFERROR(__xludf.DUMMYFUNCTION("""COMPUTED_VALUE"""),"Saifullah Vai")</f>
        <v>Saifullah Vai</v>
      </c>
      <c r="D183" s="92" t="str">
        <f ca="1">IFERROR(__xludf.DUMMYFUNCTION("""COMPUTED_VALUE"""),"Jyotirmay Sarker (S188138)")</f>
        <v>Jyotirmay Sarker (S188138)</v>
      </c>
      <c r="E183" s="93" t="str">
        <f ca="1">IFERROR(__xludf.DUMMYFUNCTION("""COMPUTED_VALUE"""),"CB24375_May26")</f>
        <v>CB24375_May26</v>
      </c>
      <c r="F183" s="94" t="str">
        <f ca="1">IFERROR(__xludf.DUMMYFUNCTION("""COMPUTED_VALUE"""),"Gravure Output #2")</f>
        <v>Gravure Output #2</v>
      </c>
      <c r="G183" s="95" t="str">
        <f ca="1">IFERROR(__xludf.DUMMYFUNCTION("""COMPUTED_VALUE"""),"New")</f>
        <v>New</v>
      </c>
      <c r="H183" s="96">
        <f ca="1">IFERROR(__xludf.DUMMYFUNCTION("""COMPUTED_VALUE"""),4)</f>
        <v>4</v>
      </c>
      <c r="I183" s="97">
        <f ca="1">IFERROR(__xludf.DUMMYFUNCTION("""COMPUTED_VALUE"""),46160)</f>
        <v>46160</v>
      </c>
      <c r="J183" s="98" t="str">
        <f ca="1">IFERROR(__xludf.DUMMYFUNCTION("""COMPUTED_VALUE"""),"CW33945_May26")</f>
        <v>CW33945_May26</v>
      </c>
      <c r="K183" s="99" t="str">
        <f ca="1">IFERROR(__xludf.DUMMYFUNCTION("""COMPUTED_VALUE"""),"HoM Approved")</f>
        <v>HoM Approved</v>
      </c>
    </row>
    <row r="184" spans="1:11" ht="13.2">
      <c r="A184" s="89" t="str">
        <f ca="1">IFERROR(__xludf.DUMMYFUNCTION("""COMPUTED_VALUE"""),"TVS MOTOR BIKES")</f>
        <v>TVS MOTOR BIKES</v>
      </c>
      <c r="B184" s="90" t="str">
        <f ca="1">IFERROR(__xludf.DUMMYFUNCTION("""COMPUTED_VALUE"""),"RFL-TVS")</f>
        <v>RFL-TVS</v>
      </c>
      <c r="C184" s="91" t="str">
        <f ca="1">IFERROR(__xludf.DUMMYFUNCTION("""COMPUTED_VALUE"""),"Roudra Vai")</f>
        <v>Roudra Vai</v>
      </c>
      <c r="D184" s="92" t="str">
        <f ca="1">IFERROR(__xludf.DUMMYFUNCTION("""COMPUTED_VALUE"""),"Jyotirmay Sarker (S188138)")</f>
        <v>Jyotirmay Sarker (S188138)</v>
      </c>
      <c r="E184" s="93" t="str">
        <f ca="1">IFERROR(__xludf.DUMMYFUNCTION("""COMPUTED_VALUE"""),"CB24618_May26")</f>
        <v>CB24618_May26</v>
      </c>
      <c r="F184" s="94" t="str">
        <f ca="1">IFERROR(__xludf.DUMMYFUNCTION("""COMPUTED_VALUE"""),"Flyer/Brochure/Banner Output")</f>
        <v>Flyer/Brochure/Banner Output</v>
      </c>
      <c r="G184" s="95" t="str">
        <f ca="1">IFERROR(__xludf.DUMMYFUNCTION("""COMPUTED_VALUE"""),"New")</f>
        <v>New</v>
      </c>
      <c r="H184" s="96">
        <f ca="1">IFERROR(__xludf.DUMMYFUNCTION("""COMPUTED_VALUE"""),6)</f>
        <v>6</v>
      </c>
      <c r="I184" s="97">
        <f ca="1">IFERROR(__xludf.DUMMYFUNCTION("""COMPUTED_VALUE"""),46162)</f>
        <v>46162</v>
      </c>
      <c r="J184" s="98" t="str">
        <f ca="1">IFERROR(__xludf.DUMMYFUNCTION("""COMPUTED_VALUE"""),"CW34261_May26")</f>
        <v>CW34261_May26</v>
      </c>
      <c r="K184" s="99" t="str">
        <f ca="1">IFERROR(__xludf.DUMMYFUNCTION("""COMPUTED_VALUE"""),"HoM Approved")</f>
        <v>HoM Approved</v>
      </c>
    </row>
    <row r="185" spans="1:11" ht="13.2">
      <c r="A185" s="89" t="str">
        <f ca="1">IFERROR(__xludf.DUMMYFUNCTION("""COMPUTED_VALUE"""),"PRAN Potato Cracker")</f>
        <v>PRAN Potato Cracker</v>
      </c>
      <c r="B185" s="90" t="str">
        <f ca="1">IFERROR(__xludf.DUMMYFUNCTION("""COMPUTED_VALUE"""),"PFL")</f>
        <v>PFL</v>
      </c>
      <c r="C185" s="91" t="str">
        <f ca="1">IFERROR(__xludf.DUMMYFUNCTION("""COMPUTED_VALUE"""),"Shamsul Sir")</f>
        <v>Shamsul Sir</v>
      </c>
      <c r="D185" s="92" t="str">
        <f ca="1">IFERROR(__xludf.DUMMYFUNCTION("""COMPUTED_VALUE"""),"Jyotirmay Sarker (S188138)")</f>
        <v>Jyotirmay Sarker (S188138)</v>
      </c>
      <c r="E185" s="93" t="str">
        <f ca="1">IFERROR(__xludf.DUMMYFUNCTION("""COMPUTED_VALUE"""),"CB24405_May26")</f>
        <v>CB24405_May26</v>
      </c>
      <c r="F185" s="94" t="str">
        <f ca="1">IFERROR(__xludf.DUMMYFUNCTION("""COMPUTED_VALUE"""),"JAR Label Sticker Output")</f>
        <v>JAR Label Sticker Output</v>
      </c>
      <c r="G185" s="95" t="str">
        <f ca="1">IFERROR(__xludf.DUMMYFUNCTION("""COMPUTED_VALUE"""),"New")</f>
        <v>New</v>
      </c>
      <c r="H185" s="96">
        <f ca="1">IFERROR(__xludf.DUMMYFUNCTION("""COMPUTED_VALUE"""),1)</f>
        <v>1</v>
      </c>
      <c r="I185" s="97">
        <f ca="1">IFERROR(__xludf.DUMMYFUNCTION("""COMPUTED_VALUE"""),46162)</f>
        <v>46162</v>
      </c>
      <c r="J185" s="98" t="str">
        <f ca="1">IFERROR(__xludf.DUMMYFUNCTION("""COMPUTED_VALUE"""),"CW34113_May26")</f>
        <v>CW34113_May26</v>
      </c>
      <c r="K185" s="99" t="str">
        <f ca="1">IFERROR(__xludf.DUMMYFUNCTION("""COMPUTED_VALUE"""),"HoM Approved")</f>
        <v>HoM Approved</v>
      </c>
    </row>
    <row r="186" spans="1:11" ht="13.2">
      <c r="A186" s="89" t="str">
        <f ca="1">IFERROR(__xludf.DUMMYFUNCTION("""COMPUTED_VALUE"""),"PRAN Frozen Foods")</f>
        <v>PRAN Frozen Foods</v>
      </c>
      <c r="B186" s="90" t="str">
        <f ca="1">IFERROR(__xludf.DUMMYFUNCTION("""COMPUTED_VALUE"""),"PFF")</f>
        <v>PFF</v>
      </c>
      <c r="C186" s="91" t="str">
        <f ca="1">IFERROR(__xludf.DUMMYFUNCTION("""COMPUTED_VALUE"""),"Zahirul Vai")</f>
        <v>Zahirul Vai</v>
      </c>
      <c r="D186" s="92" t="str">
        <f ca="1">IFERROR(__xludf.DUMMYFUNCTION("""COMPUTED_VALUE"""),"Jyotirmay Sarker (S188138)")</f>
        <v>Jyotirmay Sarker (S188138)</v>
      </c>
      <c r="E186" s="93" t="str">
        <f ca="1">IFERROR(__xludf.DUMMYFUNCTION("""COMPUTED_VALUE"""),"CB21676_Apr26")</f>
        <v>CB21676_Apr26</v>
      </c>
      <c r="F186" s="94" t="str">
        <f ca="1">IFERROR(__xludf.DUMMYFUNCTION("""COMPUTED_VALUE"""),"Gravure Output #2")</f>
        <v>Gravure Output #2</v>
      </c>
      <c r="G186" s="95" t="str">
        <f ca="1">IFERROR(__xludf.DUMMYFUNCTION("""COMPUTED_VALUE"""),"New")</f>
        <v>New</v>
      </c>
      <c r="H186" s="96">
        <f ca="1">IFERROR(__xludf.DUMMYFUNCTION("""COMPUTED_VALUE"""),1)</f>
        <v>1</v>
      </c>
      <c r="I186" s="97">
        <f ca="1">IFERROR(__xludf.DUMMYFUNCTION("""COMPUTED_VALUE"""),46162)</f>
        <v>46162</v>
      </c>
      <c r="J186" s="98" t="str">
        <f ca="1">IFERROR(__xludf.DUMMYFUNCTION("""COMPUTED_VALUE"""),"CW34120_May26")</f>
        <v>CW34120_May26</v>
      </c>
      <c r="K186" s="99" t="str">
        <f ca="1">IFERROR(__xludf.DUMMYFUNCTION("""COMPUTED_VALUE"""),"HoM Approved")</f>
        <v>HoM Approved</v>
      </c>
    </row>
    <row r="187" spans="1:11" ht="13.2">
      <c r="A187" s="89" t="str">
        <f ca="1">IFERROR(__xludf.DUMMYFUNCTION("""COMPUTED_VALUE"""),"PRAN Ball Gum")</f>
        <v>PRAN Ball Gum</v>
      </c>
      <c r="B187" s="90" t="str">
        <f ca="1">IFERROR(__xludf.DUMMYFUNCTION("""COMPUTED_VALUE"""),"PCL")</f>
        <v>PCL</v>
      </c>
      <c r="C187" s="91" t="str">
        <f ca="1">IFERROR(__xludf.DUMMYFUNCTION("""COMPUTED_VALUE"""),"Rakib Vai")</f>
        <v>Rakib Vai</v>
      </c>
      <c r="D187" s="92" t="str">
        <f ca="1">IFERROR(__xludf.DUMMYFUNCTION("""COMPUTED_VALUE"""),"Jyotirmay Sarker (S188138)")</f>
        <v>Jyotirmay Sarker (S188138)</v>
      </c>
      <c r="E187" s="93" t="str">
        <f ca="1">IFERROR(__xludf.DUMMYFUNCTION("""COMPUTED_VALUE"""),"CB24744_May26")</f>
        <v>CB24744_May26</v>
      </c>
      <c r="F187" s="94" t="str">
        <f ca="1">IFERROR(__xludf.DUMMYFUNCTION("""COMPUTED_VALUE"""),"Gravure Output #2")</f>
        <v>Gravure Output #2</v>
      </c>
      <c r="G187" s="95" t="str">
        <f ca="1">IFERROR(__xludf.DUMMYFUNCTION("""COMPUTED_VALUE"""),"New")</f>
        <v>New</v>
      </c>
      <c r="H187" s="96">
        <f ca="1">IFERROR(__xludf.DUMMYFUNCTION("""COMPUTED_VALUE"""),1)</f>
        <v>1</v>
      </c>
      <c r="I187" s="97">
        <f ca="1">IFERROR(__xludf.DUMMYFUNCTION("""COMPUTED_VALUE"""),46163)</f>
        <v>46163</v>
      </c>
      <c r="J187" s="98" t="str">
        <f ca="1">IFERROR(__xludf.DUMMYFUNCTION("""COMPUTED_VALUE"""),"CW34324_May26")</f>
        <v>CW34324_May26</v>
      </c>
      <c r="K187" s="99" t="str">
        <f ca="1">IFERROR(__xludf.DUMMYFUNCTION("""COMPUTED_VALUE"""),"HoM Approved")</f>
        <v>HoM Approved</v>
      </c>
    </row>
    <row r="188" spans="1:11" ht="13.2">
      <c r="A188" s="89" t="str">
        <f ca="1">IFERROR(__xludf.DUMMYFUNCTION("""COMPUTED_VALUE"""),"Sundrop Junior Fruit Drink")</f>
        <v>Sundrop Junior Fruit Drink</v>
      </c>
      <c r="B188" s="90" t="str">
        <f ca="1">IFERROR(__xludf.DUMMYFUNCTION("""COMPUTED_VALUE"""),"Dairy")</f>
        <v>Dairy</v>
      </c>
      <c r="C188" s="91" t="str">
        <f ca="1">IFERROR(__xludf.DUMMYFUNCTION("""COMPUTED_VALUE"""),"Shamsul Sir")</f>
        <v>Shamsul Sir</v>
      </c>
      <c r="D188" s="92" t="str">
        <f ca="1">IFERROR(__xludf.DUMMYFUNCTION("""COMPUTED_VALUE"""),"Jyotirmay Sarker (S188138)")</f>
        <v>Jyotirmay Sarker (S188138)</v>
      </c>
      <c r="E188" s="93" t="str">
        <f ca="1">IFERROR(__xludf.DUMMYFUNCTION("""COMPUTED_VALUE"""),"CB20654_Apr26")</f>
        <v>CB20654_Apr26</v>
      </c>
      <c r="F188" s="94" t="str">
        <f ca="1">IFERROR(__xludf.DUMMYFUNCTION("""COMPUTED_VALUE"""),"ATC Box Output")</f>
        <v>ATC Box Output</v>
      </c>
      <c r="G188" s="95" t="str">
        <f ca="1">IFERROR(__xludf.DUMMYFUNCTION("""COMPUTED_VALUE"""),"New")</f>
        <v>New</v>
      </c>
      <c r="H188" s="96">
        <f ca="1">IFERROR(__xludf.DUMMYFUNCTION("""COMPUTED_VALUE"""),3)</f>
        <v>3</v>
      </c>
      <c r="I188" s="97">
        <f ca="1">IFERROR(__xludf.DUMMYFUNCTION("""COMPUTED_VALUE"""),46163)</f>
        <v>46163</v>
      </c>
      <c r="J188" s="98" t="str">
        <f ca="1">IFERROR(__xludf.DUMMYFUNCTION("""COMPUTED_VALUE"""),"CW34340_May26")</f>
        <v>CW34340_May26</v>
      </c>
      <c r="K188" s="99" t="str">
        <f ca="1">IFERROR(__xludf.DUMMYFUNCTION("""COMPUTED_VALUE"""),"HoM Approved")</f>
        <v>HoM Approved</v>
      </c>
    </row>
    <row r="189" spans="1:11" ht="13.2">
      <c r="A189" s="89" t="str">
        <f ca="1">IFERROR(__xludf.DUMMYFUNCTION("""COMPUTED_VALUE"""),"PRAN Pudding")</f>
        <v>PRAN Pudding</v>
      </c>
      <c r="B189" s="90" t="str">
        <f ca="1">IFERROR(__xludf.DUMMYFUNCTION("""COMPUTED_VALUE"""),"PAL")</f>
        <v>PAL</v>
      </c>
      <c r="C189" s="91" t="str">
        <f ca="1">IFERROR(__xludf.DUMMYFUNCTION("""COMPUTED_VALUE"""),"Mona Apu")</f>
        <v>Mona Apu</v>
      </c>
      <c r="D189" s="92" t="str">
        <f ca="1">IFERROR(__xludf.DUMMYFUNCTION("""COMPUTED_VALUE"""),"Jyotirmay Sarker (S188138)")</f>
        <v>Jyotirmay Sarker (S188138)</v>
      </c>
      <c r="E189" s="93" t="str">
        <f ca="1">IFERROR(__xludf.DUMMYFUNCTION("""COMPUTED_VALUE"""),"CB21931_Apr26")</f>
        <v>CB21931_Apr26</v>
      </c>
      <c r="F189" s="94" t="str">
        <f ca="1">IFERROR(__xludf.DUMMYFUNCTION("""COMPUTED_VALUE"""),"Gravure Output #2")</f>
        <v>Gravure Output #2</v>
      </c>
      <c r="G189" s="95" t="str">
        <f ca="1">IFERROR(__xludf.DUMMYFUNCTION("""COMPUTED_VALUE"""),"New")</f>
        <v>New</v>
      </c>
      <c r="H189" s="96">
        <f ca="1">IFERROR(__xludf.DUMMYFUNCTION("""COMPUTED_VALUE"""),2)</f>
        <v>2</v>
      </c>
      <c r="I189" s="97">
        <f ca="1">IFERROR(__xludf.DUMMYFUNCTION("""COMPUTED_VALUE"""),46164)</f>
        <v>46164</v>
      </c>
      <c r="J189" s="98" t="str">
        <f ca="1">IFERROR(__xludf.DUMMYFUNCTION("""COMPUTED_VALUE"""),"CW34509_May26")</f>
        <v>CW34509_May26</v>
      </c>
      <c r="K189" s="99" t="str">
        <f ca="1">IFERROR(__xludf.DUMMYFUNCTION("""COMPUTED_VALUE"""),"HoM Approved")</f>
        <v>HoM Approved</v>
      </c>
    </row>
    <row r="190" spans="1:11" ht="13.2">
      <c r="A190" s="89" t="str">
        <f ca="1">IFERROR(__xludf.DUMMYFUNCTION("""COMPUTED_VALUE"""),"PRAN Fruit Drinks (TP)-")</f>
        <v>PRAN Fruit Drinks (TP)-</v>
      </c>
      <c r="B190" s="90" t="str">
        <f ca="1">IFERROR(__xludf.DUMMYFUNCTION("""COMPUTED_VALUE"""),"Dairy")</f>
        <v>Dairy</v>
      </c>
      <c r="C190" s="91" t="str">
        <f ca="1">IFERROR(__xludf.DUMMYFUNCTION("""COMPUTED_VALUE"""),"Rakib Vai")</f>
        <v>Rakib Vai</v>
      </c>
      <c r="D190" s="92" t="str">
        <f ca="1">IFERROR(__xludf.DUMMYFUNCTION("""COMPUTED_VALUE"""),"Jyotirmay Sarker (S188138)")</f>
        <v>Jyotirmay Sarker (S188138)</v>
      </c>
      <c r="E190" s="93" t="str">
        <f ca="1">IFERROR(__xludf.DUMMYFUNCTION("""COMPUTED_VALUE"""),"CB23978_May26")</f>
        <v>CB23978_May26</v>
      </c>
      <c r="F190" s="94" t="str">
        <f ca="1">IFERROR(__xludf.DUMMYFUNCTION("""COMPUTED_VALUE"""),"ATC Box Output")</f>
        <v>ATC Box Output</v>
      </c>
      <c r="G190" s="95" t="str">
        <f ca="1">IFERROR(__xludf.DUMMYFUNCTION("""COMPUTED_VALUE"""),"New")</f>
        <v>New</v>
      </c>
      <c r="H190" s="96">
        <f ca="1">IFERROR(__xludf.DUMMYFUNCTION("""COMPUTED_VALUE"""),2)</f>
        <v>2</v>
      </c>
      <c r="I190" s="97">
        <f ca="1">IFERROR(__xludf.DUMMYFUNCTION("""COMPUTED_VALUE"""),46165)</f>
        <v>46165</v>
      </c>
      <c r="J190" s="98" t="str">
        <f ca="1">IFERROR(__xludf.DUMMYFUNCTION("""COMPUTED_VALUE"""),"CW34671_May26")</f>
        <v>CW34671_May26</v>
      </c>
      <c r="K190" s="99" t="str">
        <f ca="1">IFERROR(__xludf.DUMMYFUNCTION("""COMPUTED_VALUE"""),"HoM Approved")</f>
        <v>HoM Approved</v>
      </c>
    </row>
    <row r="191" spans="1:11" ht="13.2">
      <c r="A191" s="89" t="str">
        <f ca="1">IFERROR(__xludf.DUMMYFUNCTION("""COMPUTED_VALUE"""),"Treat Chocolate")</f>
        <v>Treat Chocolate</v>
      </c>
      <c r="B191" s="90" t="str">
        <f ca="1">IFERROR(__xludf.DUMMYFUNCTION("""COMPUTED_VALUE"""),"PCL")</f>
        <v>PCL</v>
      </c>
      <c r="C191" s="91" t="str">
        <f ca="1">IFERROR(__xludf.DUMMYFUNCTION("""COMPUTED_VALUE"""),"Mona Apu")</f>
        <v>Mona Apu</v>
      </c>
      <c r="D191" s="92" t="str">
        <f ca="1">IFERROR(__xludf.DUMMYFUNCTION("""COMPUTED_VALUE"""),"Jyotirmay Sarker (S188138)")</f>
        <v>Jyotirmay Sarker (S188138)</v>
      </c>
      <c r="E191" s="93" t="str">
        <f ca="1">IFERROR(__xludf.DUMMYFUNCTION("""COMPUTED_VALUE"""),"CB25041_May26")</f>
        <v>CB25041_May26</v>
      </c>
      <c r="F191" s="94" t="str">
        <f ca="1">IFERROR(__xludf.DUMMYFUNCTION("""COMPUTED_VALUE"""),"JAR Label Sticker Output")</f>
        <v>JAR Label Sticker Output</v>
      </c>
      <c r="G191" s="95" t="str">
        <f ca="1">IFERROR(__xludf.DUMMYFUNCTION("""COMPUTED_VALUE"""),"New")</f>
        <v>New</v>
      </c>
      <c r="H191" s="96">
        <f ca="1">IFERROR(__xludf.DUMMYFUNCTION("""COMPUTED_VALUE"""),4)</f>
        <v>4</v>
      </c>
      <c r="I191" s="97">
        <f ca="1">IFERROR(__xludf.DUMMYFUNCTION("""COMPUTED_VALUE"""),46166)</f>
        <v>46166</v>
      </c>
      <c r="J191" s="98" t="str">
        <f ca="1">IFERROR(__xludf.DUMMYFUNCTION("""COMPUTED_VALUE"""),"CW35000_May26")</f>
        <v>CW35000_May26</v>
      </c>
      <c r="K191" s="99" t="str">
        <f ca="1">IFERROR(__xludf.DUMMYFUNCTION("""COMPUTED_VALUE"""),"HoM Approved")</f>
        <v>HoM Approved</v>
      </c>
    </row>
    <row r="192" spans="1:11" ht="13.2">
      <c r="A192" s="89" t="str">
        <f ca="1">IFERROR(__xludf.DUMMYFUNCTION("""COMPUTED_VALUE"""),"Bisk Club Dry Cake")</f>
        <v>Bisk Club Dry Cake</v>
      </c>
      <c r="B192" s="90" t="str">
        <f ca="1">IFERROR(__xludf.DUMMYFUNCTION("""COMPUTED_VALUE"""),"BBL")</f>
        <v>BBL</v>
      </c>
      <c r="C192" s="91" t="str">
        <f ca="1">IFERROR(__xludf.DUMMYFUNCTION("""COMPUTED_VALUE"""),"Tamim Vai")</f>
        <v>Tamim Vai</v>
      </c>
      <c r="D192" s="92" t="str">
        <f ca="1">IFERROR(__xludf.DUMMYFUNCTION("""COMPUTED_VALUE"""),"Jyotirmay Sarker (S188138)")</f>
        <v>Jyotirmay Sarker (S188138)</v>
      </c>
      <c r="E192" s="93" t="str">
        <f ca="1">IFERROR(__xludf.DUMMYFUNCTION("""COMPUTED_VALUE"""),"CB24845_May26")</f>
        <v>CB24845_May26</v>
      </c>
      <c r="F192" s="94" t="str">
        <f ca="1">IFERROR(__xludf.DUMMYFUNCTION("""COMPUTED_VALUE"""),"ATC Box Output")</f>
        <v>ATC Box Output</v>
      </c>
      <c r="G192" s="95" t="str">
        <f ca="1">IFERROR(__xludf.DUMMYFUNCTION("""COMPUTED_VALUE"""),"New")</f>
        <v>New</v>
      </c>
      <c r="H192" s="96">
        <f ca="1">IFERROR(__xludf.DUMMYFUNCTION("""COMPUTED_VALUE"""),1)</f>
        <v>1</v>
      </c>
      <c r="I192" s="97">
        <f ca="1">IFERROR(__xludf.DUMMYFUNCTION("""COMPUTED_VALUE"""),46166)</f>
        <v>46166</v>
      </c>
      <c r="J192" s="98" t="str">
        <f ca="1">IFERROR(__xludf.DUMMYFUNCTION("""COMPUTED_VALUE"""),"CW34962_May26")</f>
        <v>CW34962_May26</v>
      </c>
      <c r="K192" s="99" t="str">
        <f ca="1">IFERROR(__xludf.DUMMYFUNCTION("""COMPUTED_VALUE"""),"HoM Approved")</f>
        <v>HoM Approved</v>
      </c>
    </row>
    <row r="193" spans="1:11" ht="13.2">
      <c r="A193" s="89" t="str">
        <f ca="1">IFERROR(__xludf.DUMMYFUNCTION("""COMPUTED_VALUE"""),"Good Luck")</f>
        <v>Good Luck</v>
      </c>
      <c r="B193" s="90" t="str">
        <f ca="1">IFERROR(__xludf.DUMMYFUNCTION("""COMPUTED_VALUE"""),"RFL Stationery")</f>
        <v>RFL Stationery</v>
      </c>
      <c r="C193" s="91" t="str">
        <f ca="1">IFERROR(__xludf.DUMMYFUNCTION("""COMPUTED_VALUE"""),"Emon Vai")</f>
        <v>Emon Vai</v>
      </c>
      <c r="D193" s="92" t="str">
        <f ca="1">IFERROR(__xludf.DUMMYFUNCTION("""COMPUTED_VALUE"""),"Jyotirmay Sarker (S188138)")</f>
        <v>Jyotirmay Sarker (S188138)</v>
      </c>
      <c r="E193" s="93" t="str">
        <f ca="1">IFERROR(__xludf.DUMMYFUNCTION("""COMPUTED_VALUE"""),"CB24997_May26")</f>
        <v>CB24997_May26</v>
      </c>
      <c r="F193" s="94" t="str">
        <f ca="1">IFERROR(__xludf.DUMMYFUNCTION("""COMPUTED_VALUE"""),"ATC Box Output")</f>
        <v>ATC Box Output</v>
      </c>
      <c r="G193" s="95" t="str">
        <f ca="1">IFERROR(__xludf.DUMMYFUNCTION("""COMPUTED_VALUE"""),"New")</f>
        <v>New</v>
      </c>
      <c r="H193" s="96">
        <f ca="1">IFERROR(__xludf.DUMMYFUNCTION("""COMPUTED_VALUE"""),2)</f>
        <v>2</v>
      </c>
      <c r="I193" s="97">
        <f ca="1">IFERROR(__xludf.DUMMYFUNCTION("""COMPUTED_VALUE"""),46167)</f>
        <v>46167</v>
      </c>
      <c r="J193" s="98" t="str">
        <f ca="1">IFERROR(__xludf.DUMMYFUNCTION("""COMPUTED_VALUE"""),"CW35097_May26")</f>
        <v>CW35097_May26</v>
      </c>
      <c r="K193" s="99" t="str">
        <f ca="1">IFERROR(__xludf.DUMMYFUNCTION("""COMPUTED_VALUE"""),"HoM Approved")</f>
        <v>HoM Approved</v>
      </c>
    </row>
    <row r="194" spans="1:11" ht="13.2">
      <c r="A194" s="89" t="str">
        <f ca="1">IFERROR(__xludf.DUMMYFUNCTION("""COMPUTED_VALUE"""),"PRAN Cookies")</f>
        <v>PRAN Cookies</v>
      </c>
      <c r="B194" s="90" t="str">
        <f ca="1">IFERROR(__xludf.DUMMYFUNCTION("""COMPUTED_VALUE"""),"BBL")</f>
        <v>BBL</v>
      </c>
      <c r="C194" s="91" t="str">
        <f ca="1">IFERROR(__xludf.DUMMYFUNCTION("""COMPUTED_VALUE"""),"Mona Apu")</f>
        <v>Mona Apu</v>
      </c>
      <c r="D194" s="92" t="str">
        <f ca="1">IFERROR(__xludf.DUMMYFUNCTION("""COMPUTED_VALUE"""),"Jyotirmay Sarker (S188138)")</f>
        <v>Jyotirmay Sarker (S188138)</v>
      </c>
      <c r="E194" s="93" t="str">
        <f ca="1">IFERROR(__xludf.DUMMYFUNCTION("""COMPUTED_VALUE"""),"CB25130_May26")</f>
        <v>CB25130_May26</v>
      </c>
      <c r="F194" s="94" t="str">
        <f ca="1">IFERROR(__xludf.DUMMYFUNCTION("""COMPUTED_VALUE"""),"Digital Static For Social Media")</f>
        <v>Digital Static For Social Media</v>
      </c>
      <c r="G194" s="95" t="str">
        <f ca="1">IFERROR(__xludf.DUMMYFUNCTION("""COMPUTED_VALUE"""),"New")</f>
        <v>New</v>
      </c>
      <c r="H194" s="96">
        <f ca="1">IFERROR(__xludf.DUMMYFUNCTION("""COMPUTED_VALUE"""),1)</f>
        <v>1</v>
      </c>
      <c r="I194" s="97">
        <f ca="1">IFERROR(__xludf.DUMMYFUNCTION("""COMPUTED_VALUE"""),46168)</f>
        <v>46168</v>
      </c>
      <c r="J194" s="98" t="str">
        <f ca="1">IFERROR(__xludf.DUMMYFUNCTION("""COMPUTED_VALUE"""),"CW35187_May26")</f>
        <v>CW35187_May26</v>
      </c>
      <c r="K194" s="99" t="str">
        <f ca="1">IFERROR(__xludf.DUMMYFUNCTION("""COMPUTED_VALUE"""),"HoM Approved")</f>
        <v>HoM Approved</v>
      </c>
    </row>
    <row r="195" spans="1:11" ht="13.2">
      <c r="A195" s="89" t="str">
        <f ca="1">IFERROR(__xludf.DUMMYFUNCTION("""COMPUTED_VALUE"""),"PRAN Ball Gum")</f>
        <v>PRAN Ball Gum</v>
      </c>
      <c r="B195" s="90" t="str">
        <f ca="1">IFERROR(__xludf.DUMMYFUNCTION("""COMPUTED_VALUE"""),"PCL")</f>
        <v>PCL</v>
      </c>
      <c r="C195" s="91" t="str">
        <f ca="1">IFERROR(__xludf.DUMMYFUNCTION("""COMPUTED_VALUE"""),"Rakib Vai")</f>
        <v>Rakib Vai</v>
      </c>
      <c r="D195" s="92" t="str">
        <f ca="1">IFERROR(__xludf.DUMMYFUNCTION("""COMPUTED_VALUE"""),"Jyotirmay Sarker (S188138)")</f>
        <v>Jyotirmay Sarker (S188138)</v>
      </c>
      <c r="E195" s="93" t="str">
        <f ca="1">IFERROR(__xludf.DUMMYFUNCTION("""COMPUTED_VALUE"""),"CB24744_May26")</f>
        <v>CB24744_May26</v>
      </c>
      <c r="F195" s="94" t="str">
        <f ca="1">IFERROR(__xludf.DUMMYFUNCTION("""COMPUTED_VALUE"""),"Gravure Output #2")</f>
        <v>Gravure Output #2</v>
      </c>
      <c r="G195" s="95" t="str">
        <f ca="1">IFERROR(__xludf.DUMMYFUNCTION("""COMPUTED_VALUE"""),"New")</f>
        <v>New</v>
      </c>
      <c r="H195" s="96">
        <f ca="1">IFERROR(__xludf.DUMMYFUNCTION("""COMPUTED_VALUE"""),1)</f>
        <v>1</v>
      </c>
      <c r="I195" s="97">
        <f ca="1">IFERROR(__xludf.DUMMYFUNCTION("""COMPUTED_VALUE"""),46174)</f>
        <v>46174</v>
      </c>
      <c r="J195" s="98" t="str">
        <f ca="1">IFERROR(__xludf.DUMMYFUNCTION("""COMPUTED_VALUE"""),"CW35279_Jun26")</f>
        <v>CW35279_Jun26</v>
      </c>
      <c r="K195" s="99" t="str">
        <f ca="1">IFERROR(__xludf.DUMMYFUNCTION("""COMPUTED_VALUE"""),"HoM Approved")</f>
        <v>HoM Approved</v>
      </c>
    </row>
    <row r="196" spans="1:11" ht="13.2">
      <c r="A196" s="89" t="str">
        <f ca="1">IFERROR(__xludf.DUMMYFUNCTION("""COMPUTED_VALUE"""),"Divino Chocolate")</f>
        <v>Divino Chocolate</v>
      </c>
      <c r="B196" s="90" t="str">
        <f ca="1">IFERROR(__xludf.DUMMYFUNCTION("""COMPUTED_VALUE"""),"PCL")</f>
        <v>PCL</v>
      </c>
      <c r="C196" s="91" t="str">
        <f ca="1">IFERROR(__xludf.DUMMYFUNCTION("""COMPUTED_VALUE"""),"Rakib Vai")</f>
        <v>Rakib Vai</v>
      </c>
      <c r="D196" s="92" t="str">
        <f ca="1">IFERROR(__xludf.DUMMYFUNCTION("""COMPUTED_VALUE"""),"Jyotirmay Sarker (S188138)")</f>
        <v>Jyotirmay Sarker (S188138)</v>
      </c>
      <c r="E196" s="93" t="str">
        <f ca="1">IFERROR(__xludf.DUMMYFUNCTION("""COMPUTED_VALUE"""),"CB25224_May26")</f>
        <v>CB25224_May26</v>
      </c>
      <c r="F196" s="94" t="str">
        <f ca="1">IFERROR(__xludf.DUMMYFUNCTION("""COMPUTED_VALUE"""),"JAR Label Sticker Output")</f>
        <v>JAR Label Sticker Output</v>
      </c>
      <c r="G196" s="95" t="str">
        <f ca="1">IFERROR(__xludf.DUMMYFUNCTION("""COMPUTED_VALUE"""),"New")</f>
        <v>New</v>
      </c>
      <c r="H196" s="96">
        <f ca="1">IFERROR(__xludf.DUMMYFUNCTION("""COMPUTED_VALUE"""),1)</f>
        <v>1</v>
      </c>
      <c r="I196" s="97">
        <f ca="1">IFERROR(__xludf.DUMMYFUNCTION("""COMPUTED_VALUE"""),46175)</f>
        <v>46175</v>
      </c>
      <c r="J196" s="98" t="str">
        <f ca="1">IFERROR(__xludf.DUMMYFUNCTION("""COMPUTED_VALUE"""),"CW35374_Jun26")</f>
        <v>CW35374_Jun26</v>
      </c>
      <c r="K196" s="99" t="str">
        <f ca="1">IFERROR(__xludf.DUMMYFUNCTION("""COMPUTED_VALUE"""),"HoM Approved")</f>
        <v>HoM Approved</v>
      </c>
    </row>
    <row r="197" spans="1:11" ht="13.2">
      <c r="A197" s="89" t="str">
        <f ca="1">IFERROR(__xludf.DUMMYFUNCTION("""COMPUTED_VALUE"""),"CTN-(SRP)format-of-Cardinal-Noodles(Korean)")</f>
        <v>CTN-(SRP)format-of-Cardinal-Noodles(Korean)</v>
      </c>
      <c r="B197" s="90" t="str">
        <f ca="1">IFERROR(__xludf.DUMMYFUNCTION("""COMPUTED_VALUE"""),"Unknown")</f>
        <v>Unknown</v>
      </c>
      <c r="C197" s="91" t="str">
        <f ca="1">IFERROR(__xludf.DUMMYFUNCTION("""COMPUTED_VALUE"""),"Saifullah Vai")</f>
        <v>Saifullah Vai</v>
      </c>
      <c r="D197" s="92" t="str">
        <f ca="1">IFERROR(__xludf.DUMMYFUNCTION("""COMPUTED_VALUE"""),"Jyotirmay Sarker (S188138)")</f>
        <v>Jyotirmay Sarker (S188138)</v>
      </c>
      <c r="E197" s="93" t="str">
        <f ca="1">IFERROR(__xludf.DUMMYFUNCTION("""COMPUTED_VALUE"""),"Needed")</f>
        <v>Needed</v>
      </c>
      <c r="F197" s="94" t="str">
        <f ca="1">IFERROR(__xludf.DUMMYFUNCTION("""COMPUTED_VALUE"""),"Layout/Dieline Making")</f>
        <v>Layout/Dieline Making</v>
      </c>
      <c r="G197" s="95" t="str">
        <f ca="1">IFERROR(__xludf.DUMMYFUNCTION("""COMPUTED_VALUE"""),"New")</f>
        <v>New</v>
      </c>
      <c r="H197" s="96">
        <f ca="1">IFERROR(__xludf.DUMMYFUNCTION("""COMPUTED_VALUE"""),19)</f>
        <v>19</v>
      </c>
      <c r="I197" s="97">
        <f ca="1">IFERROR(__xludf.DUMMYFUNCTION("""COMPUTED_VALUE"""),46175)</f>
        <v>46175</v>
      </c>
      <c r="J197" s="98" t="str">
        <f ca="1">IFERROR(__xludf.DUMMYFUNCTION("""COMPUTED_VALUE"""),"0")</f>
        <v>0</v>
      </c>
      <c r="K197" s="99" t="str">
        <f ca="1">IFERROR(__xludf.DUMMYFUNCTION("""COMPUTED_VALUE"""),"In Review")</f>
        <v>In Review</v>
      </c>
    </row>
    <row r="198" spans="1:11" ht="13.2">
      <c r="A198" s="89" t="str">
        <f ca="1">IFERROR(__xludf.DUMMYFUNCTION("""COMPUTED_VALUE"""),"Rugby-Ball")</f>
        <v>Rugby-Ball</v>
      </c>
      <c r="B198" s="90" t="str">
        <f ca="1">IFERROR(__xludf.DUMMYFUNCTION("""COMPUTED_VALUE"""),"BBMT")</f>
        <v>BBMT</v>
      </c>
      <c r="C198" s="91" t="str">
        <f ca="1">IFERROR(__xludf.DUMMYFUNCTION("""COMPUTED_VALUE"""),"Mifta Apu")</f>
        <v>Mifta Apu</v>
      </c>
      <c r="D198" s="92" t="str">
        <f ca="1">IFERROR(__xludf.DUMMYFUNCTION("""COMPUTED_VALUE"""),"Jyotirmay Sarker (S188138)")</f>
        <v>Jyotirmay Sarker (S188138)</v>
      </c>
      <c r="E198" s="93" t="str">
        <f ca="1">IFERROR(__xludf.DUMMYFUNCTION("""COMPUTED_VALUE"""),"CB35378_Jun26")</f>
        <v>CB35378_Jun26</v>
      </c>
      <c r="F198" s="94" t="str">
        <f ca="1">IFERROR(__xludf.DUMMYFUNCTION("""COMPUTED_VALUE"""),"Flyer/Brochure/Banner Output")</f>
        <v>Flyer/Brochure/Banner Output</v>
      </c>
      <c r="G198" s="95" t="str">
        <f ca="1">IFERROR(__xludf.DUMMYFUNCTION("""COMPUTED_VALUE"""),"New")</f>
        <v>New</v>
      </c>
      <c r="H198" s="96">
        <f ca="1">IFERROR(__xludf.DUMMYFUNCTION("""COMPUTED_VALUE"""),1)</f>
        <v>1</v>
      </c>
      <c r="I198" s="97">
        <f ca="1">IFERROR(__xludf.DUMMYFUNCTION("""COMPUTED_VALUE"""),46176)</f>
        <v>46176</v>
      </c>
      <c r="J198" s="98" t="str">
        <f ca="1">IFERROR(__xludf.DUMMYFUNCTION("""COMPUTED_VALUE"""),"CW35442_Jun26")</f>
        <v>CW35442_Jun26</v>
      </c>
      <c r="K198" s="99" t="str">
        <f ca="1">IFERROR(__xludf.DUMMYFUNCTION("""COMPUTED_VALUE"""),"HoM Approved")</f>
        <v>HoM Approved</v>
      </c>
    </row>
    <row r="199" spans="1:11" ht="13.2">
      <c r="A199" s="89" t="str">
        <f ca="1">IFERROR(__xludf.DUMMYFUNCTION("""COMPUTED_VALUE"""),"PRAN Basic Spice of Herbs and seasoning items in master food jar under PRAN for KSA")</f>
        <v>PRAN Basic Spice of Herbs and seasoning items in master food jar under PRAN for KSA</v>
      </c>
      <c r="B199" s="90" t="str">
        <f ca="1">IFERROR(__xludf.DUMMYFUNCTION("""COMPUTED_VALUE"""),"NAL")</f>
        <v>NAL</v>
      </c>
      <c r="C199" s="91" t="str">
        <f ca="1">IFERROR(__xludf.DUMMYFUNCTION("""COMPUTED_VALUE"""),"Shamsul Sir")</f>
        <v>Shamsul Sir</v>
      </c>
      <c r="D199" s="92" t="str">
        <f ca="1">IFERROR(__xludf.DUMMYFUNCTION("""COMPUTED_VALUE"""),"Jyotirmay Sarker (S188138)")</f>
        <v>Jyotirmay Sarker (S188138)</v>
      </c>
      <c r="E199" s="93" t="str">
        <f ca="1">IFERROR(__xludf.DUMMYFUNCTION("""COMPUTED_VALUE"""),"CB24308_May26")</f>
        <v>CB24308_May26</v>
      </c>
      <c r="F199" s="94" t="str">
        <f ca="1">IFERROR(__xludf.DUMMYFUNCTION("""COMPUTED_VALUE"""),"JAR Label Sticker Output")</f>
        <v>JAR Label Sticker Output</v>
      </c>
      <c r="G199" s="95" t="str">
        <f ca="1">IFERROR(__xludf.DUMMYFUNCTION("""COMPUTED_VALUE"""),"New")</f>
        <v>New</v>
      </c>
      <c r="H199" s="96">
        <f ca="1">IFERROR(__xludf.DUMMYFUNCTION("""COMPUTED_VALUE"""),8)</f>
        <v>8</v>
      </c>
      <c r="I199" s="97">
        <f ca="1">IFERROR(__xludf.DUMMYFUNCTION("""COMPUTED_VALUE"""),46177)</f>
        <v>46177</v>
      </c>
      <c r="J199" s="98" t="str">
        <f ca="1">IFERROR(__xludf.DUMMYFUNCTION("""COMPUTED_VALUE"""),"CW35559")</f>
        <v>CW35559</v>
      </c>
      <c r="K199" s="99" t="str">
        <f ca="1">IFERROR(__xludf.DUMMYFUNCTION("""COMPUTED_VALUE"""),"HoM Approved")</f>
        <v>HoM Approved</v>
      </c>
    </row>
    <row r="200" spans="1:11" ht="13.2">
      <c r="A200" s="89" t="str">
        <f ca="1">IFERROR(__xludf.DUMMYFUNCTION("""COMPUTED_VALUE"""),"FIFA Fixture Vision Emporium Leaflet")</f>
        <v>FIFA Fixture Vision Emporium Leaflet</v>
      </c>
      <c r="B200" s="90" t="str">
        <f ca="1">IFERROR(__xludf.DUMMYFUNCTION("""COMPUTED_VALUE"""),"RFL - Vision")</f>
        <v>RFL - Vision</v>
      </c>
      <c r="C200" s="91" t="str">
        <f ca="1">IFERROR(__xludf.DUMMYFUNCTION("""COMPUTED_VALUE"""),"Sourav Vai")</f>
        <v>Sourav Vai</v>
      </c>
      <c r="D200" s="92" t="str">
        <f ca="1">IFERROR(__xludf.DUMMYFUNCTION("""COMPUTED_VALUE"""),"Jyotirmay Sarker (S188138)")</f>
        <v>Jyotirmay Sarker (S188138)</v>
      </c>
      <c r="E200" s="93" t="str">
        <f ca="1">IFERROR(__xludf.DUMMYFUNCTION("""COMPUTED_VALUE"""),"CW35438_Jun26")</f>
        <v>CW35438_Jun26</v>
      </c>
      <c r="F200" s="94" t="str">
        <f ca="1">IFERROR(__xludf.DUMMYFUNCTION("""COMPUTED_VALUE"""),"Flyer/Brochure/Banner Output")</f>
        <v>Flyer/Brochure/Banner Output</v>
      </c>
      <c r="G200" s="95" t="str">
        <f ca="1">IFERROR(__xludf.DUMMYFUNCTION("""COMPUTED_VALUE"""),"New")</f>
        <v>New</v>
      </c>
      <c r="H200" s="96">
        <f ca="1">IFERROR(__xludf.DUMMYFUNCTION("""COMPUTED_VALUE"""),1)</f>
        <v>1</v>
      </c>
      <c r="I200" s="97">
        <f ca="1">IFERROR(__xludf.DUMMYFUNCTION("""COMPUTED_VALUE"""),46176)</f>
        <v>46176</v>
      </c>
      <c r="J200" s="98" t="str">
        <f ca="1">IFERROR(__xludf.DUMMYFUNCTION("""COMPUTED_VALUE"""),"CW35479_Jun26")</f>
        <v>CW35479_Jun26</v>
      </c>
      <c r="K200" s="99" t="str">
        <f ca="1">IFERROR(__xludf.DUMMYFUNCTION("""COMPUTED_VALUE"""),"HoM Approved")</f>
        <v>HoM Approved</v>
      </c>
    </row>
    <row r="201" spans="1:11" ht="13.2">
      <c r="A201" s="89" t="str">
        <f ca="1">IFERROR(__xludf.DUMMYFUNCTION("""COMPUTED_VALUE"""),"Pack Design for Belgio Cocomelt, PINGO Saltiana, PRAN Multigrain Bar")</f>
        <v>Pack Design for Belgio Cocomelt, PINGO Saltiana, PRAN Multigrain Bar</v>
      </c>
      <c r="B201" s="90" t="str">
        <f ca="1">IFERROR(__xludf.DUMMYFUNCTION("""COMPUTED_VALUE"""),"PAL")</f>
        <v>PAL</v>
      </c>
      <c r="C201" s="91" t="str">
        <f ca="1">IFERROR(__xludf.DUMMYFUNCTION("""COMPUTED_VALUE"""),"Nasif Vai")</f>
        <v>Nasif Vai</v>
      </c>
      <c r="D201" s="92" t="str">
        <f ca="1">IFERROR(__xludf.DUMMYFUNCTION("""COMPUTED_VALUE"""),"Jyotirmay Sarker (S188138)")</f>
        <v>Jyotirmay Sarker (S188138)</v>
      </c>
      <c r="E201" s="93" t="str">
        <f ca="1">IFERROR(__xludf.DUMMYFUNCTION("""COMPUTED_VALUE"""),"CB35354_Jun26")</f>
        <v>CB35354_Jun26</v>
      </c>
      <c r="F201" s="94" t="str">
        <f ca="1">IFERROR(__xludf.DUMMYFUNCTION("""COMPUTED_VALUE"""),"Gravure Output #2")</f>
        <v>Gravure Output #2</v>
      </c>
      <c r="G201" s="95" t="str">
        <f ca="1">IFERROR(__xludf.DUMMYFUNCTION("""COMPUTED_VALUE"""),"New")</f>
        <v>New</v>
      </c>
      <c r="H201" s="96">
        <f ca="1">IFERROR(__xludf.DUMMYFUNCTION("""COMPUTED_VALUE"""),1)</f>
        <v>1</v>
      </c>
      <c r="I201" s="97">
        <f ca="1">IFERROR(__xludf.DUMMYFUNCTION("""COMPUTED_VALUE"""),46195)</f>
        <v>46195</v>
      </c>
      <c r="J201" s="98" t="str">
        <f ca="1">IFERROR(__xludf.DUMMYFUNCTION("""COMPUTED_VALUE"""),"CW37509_Jun26")</f>
        <v>CW37509_Jun26</v>
      </c>
      <c r="K201" s="99" t="str">
        <f ca="1">IFERROR(__xludf.DUMMYFUNCTION("""COMPUTED_VALUE"""),"HoM Approved")</f>
        <v>HoM Approved</v>
      </c>
    </row>
    <row r="202" spans="1:11" ht="13.2">
      <c r="A202" s="89" t="str">
        <f ca="1">IFERROR(__xludf.DUMMYFUNCTION("""COMPUTED_VALUE"""),"PRAN Juice 1000ml")</f>
        <v>PRAN Juice 1000ml</v>
      </c>
      <c r="B202" s="90" t="str">
        <f ca="1">IFERROR(__xludf.DUMMYFUNCTION("""COMPUTED_VALUE"""),"Malaysia")</f>
        <v>Malaysia</v>
      </c>
      <c r="C202" s="91" t="str">
        <f ca="1">IFERROR(__xludf.DUMMYFUNCTION("""COMPUTED_VALUE"""),"Zahirul Vai")</f>
        <v>Zahirul Vai</v>
      </c>
      <c r="D202" s="92" t="str">
        <f ca="1">IFERROR(__xludf.DUMMYFUNCTION("""COMPUTED_VALUE"""),"Jyotirmay Sarker (S188138)")</f>
        <v>Jyotirmay Sarker (S188138)</v>
      </c>
      <c r="E202" s="93" t="str">
        <f ca="1">IFERROR(__xludf.DUMMYFUNCTION("""COMPUTED_VALUE"""),"CB35608_Jun26")</f>
        <v>CB35608_Jun26</v>
      </c>
      <c r="F202" s="94" t="str">
        <f ca="1">IFERROR(__xludf.DUMMYFUNCTION("""COMPUTED_VALUE"""),"ATC Box Output")</f>
        <v>ATC Box Output</v>
      </c>
      <c r="G202" s="95" t="str">
        <f ca="1">IFERROR(__xludf.DUMMYFUNCTION("""COMPUTED_VALUE"""),"New")</f>
        <v>New</v>
      </c>
      <c r="H202" s="96">
        <f ca="1">IFERROR(__xludf.DUMMYFUNCTION("""COMPUTED_VALUE"""),6)</f>
        <v>6</v>
      </c>
      <c r="I202" s="97">
        <f ca="1">IFERROR(__xludf.DUMMYFUNCTION("""COMPUTED_VALUE"""),46178)</f>
        <v>46178</v>
      </c>
      <c r="J202" s="98" t="str">
        <f ca="1">IFERROR(__xludf.DUMMYFUNCTION("""COMPUTED_VALUE"""),"CW35628_Jun26")</f>
        <v>CW35628_Jun26</v>
      </c>
      <c r="K202" s="99" t="str">
        <f ca="1">IFERROR(__xludf.DUMMYFUNCTION("""COMPUTED_VALUE"""),"HoM Approved")</f>
        <v>HoM Approved</v>
      </c>
    </row>
    <row r="203" spans="1:11" ht="13.2">
      <c r="A203" s="89" t="str">
        <f ca="1">IFERROR(__xludf.DUMMYFUNCTION("""COMPUTED_VALUE"""),"Treat Choco Choco Assorted Paste 8g X 80pcs Sticker")</f>
        <v>Treat Choco Choco Assorted Paste 8g X 80pcs Sticker</v>
      </c>
      <c r="B203" s="90" t="str">
        <f ca="1">IFERROR(__xludf.DUMMYFUNCTION("""COMPUTED_VALUE"""),"Africa")</f>
        <v>Africa</v>
      </c>
      <c r="C203" s="91" t="str">
        <f ca="1">IFERROR(__xludf.DUMMYFUNCTION("""COMPUTED_VALUE"""),"Mona Apu")</f>
        <v>Mona Apu</v>
      </c>
      <c r="D203" s="92" t="str">
        <f ca="1">IFERROR(__xludf.DUMMYFUNCTION("""COMPUTED_VALUE"""),"Jyotirmay Sarker (S188138)")</f>
        <v>Jyotirmay Sarker (S188138)</v>
      </c>
      <c r="E203" s="93" t="str">
        <f ca="1">IFERROR(__xludf.DUMMYFUNCTION("""COMPUTED_VALUE"""),"CB22598_Apr26")</f>
        <v>CB22598_Apr26</v>
      </c>
      <c r="F203" s="94" t="str">
        <f ca="1">IFERROR(__xludf.DUMMYFUNCTION("""COMPUTED_VALUE"""),"JAR Label Sticker Output")</f>
        <v>JAR Label Sticker Output</v>
      </c>
      <c r="G203" s="95" t="str">
        <f ca="1">IFERROR(__xludf.DUMMYFUNCTION("""COMPUTED_VALUE"""),"New")</f>
        <v>New</v>
      </c>
      <c r="H203" s="96">
        <f ca="1">IFERROR(__xludf.DUMMYFUNCTION("""COMPUTED_VALUE"""),1)</f>
        <v>1</v>
      </c>
      <c r="I203" s="97">
        <f ca="1">IFERROR(__xludf.DUMMYFUNCTION("""COMPUTED_VALUE"""),46179)</f>
        <v>46179</v>
      </c>
      <c r="J203" s="98" t="str">
        <f ca="1">IFERROR(__xludf.DUMMYFUNCTION("""COMPUTED_VALUE"""),"CW35637_Jun26")</f>
        <v>CW35637_Jun26</v>
      </c>
      <c r="K203" s="99" t="str">
        <f ca="1">IFERROR(__xludf.DUMMYFUNCTION("""COMPUTED_VALUE"""),"HoM Approved")</f>
        <v>HoM Approved</v>
      </c>
    </row>
    <row r="204" spans="1:11" ht="13.2">
      <c r="A204" s="89" t="str">
        <f ca="1">IFERROR(__xludf.DUMMYFUNCTION("""COMPUTED_VALUE"""),"Coffee Chocolate Bar 15g Foil ")</f>
        <v xml:space="preserve">Coffee Chocolate Bar 15g Foil </v>
      </c>
      <c r="B204" s="90" t="str">
        <f ca="1">IFERROR(__xludf.DUMMYFUNCTION("""COMPUTED_VALUE"""),"PCL")</f>
        <v>PCL</v>
      </c>
      <c r="C204" s="91" t="str">
        <f ca="1">IFERROR(__xludf.DUMMYFUNCTION("""COMPUTED_VALUE"""),"Mona Apu")</f>
        <v>Mona Apu</v>
      </c>
      <c r="D204" s="92" t="str">
        <f ca="1">IFERROR(__xludf.DUMMYFUNCTION("""COMPUTED_VALUE"""),"Jyotirmay Sarker (S188138)")</f>
        <v>Jyotirmay Sarker (S188138)</v>
      </c>
      <c r="E204" s="93" t="str">
        <f ca="1">IFERROR(__xludf.DUMMYFUNCTION("""COMPUTED_VALUE"""),"CB24607_May26")</f>
        <v>CB24607_May26</v>
      </c>
      <c r="F204" s="94" t="str">
        <f ca="1">IFERROR(__xludf.DUMMYFUNCTION("""COMPUTED_VALUE"""),"Gravure Output #2")</f>
        <v>Gravure Output #2</v>
      </c>
      <c r="G204" s="95" t="str">
        <f ca="1">IFERROR(__xludf.DUMMYFUNCTION("""COMPUTED_VALUE"""),"New")</f>
        <v>New</v>
      </c>
      <c r="H204" s="96">
        <f ca="1">IFERROR(__xludf.DUMMYFUNCTION("""COMPUTED_VALUE"""),1)</f>
        <v>1</v>
      </c>
      <c r="I204" s="97">
        <f ca="1">IFERROR(__xludf.DUMMYFUNCTION("""COMPUTED_VALUE"""),46180)</f>
        <v>46180</v>
      </c>
      <c r="J204" s="98" t="str">
        <f ca="1">IFERROR(__xludf.DUMMYFUNCTION("""COMPUTED_VALUE"""),"CW35837_Jun26")</f>
        <v>CW35837_Jun26</v>
      </c>
      <c r="K204" s="99" t="str">
        <f ca="1">IFERROR(__xludf.DUMMYFUNCTION("""COMPUTED_VALUE"""),"HoM Approved")</f>
        <v>HoM Approved</v>
      </c>
    </row>
    <row r="205" spans="1:11" ht="13.2">
      <c r="A205" s="89" t="str">
        <f ca="1">IFERROR(__xludf.DUMMYFUNCTION("""COMPUTED_VALUE"""),"Coffee Chocolate Bar 15g x 24 Pcs ATC Box")</f>
        <v>Coffee Chocolate Bar 15g x 24 Pcs ATC Box</v>
      </c>
      <c r="B205" s="90" t="str">
        <f ca="1">IFERROR(__xludf.DUMMYFUNCTION("""COMPUTED_VALUE"""),"PCL")</f>
        <v>PCL</v>
      </c>
      <c r="C205" s="91" t="str">
        <f ca="1">IFERROR(__xludf.DUMMYFUNCTION("""COMPUTED_VALUE"""),"Mona Apu")</f>
        <v>Mona Apu</v>
      </c>
      <c r="D205" s="92" t="str">
        <f ca="1">IFERROR(__xludf.DUMMYFUNCTION("""COMPUTED_VALUE"""),"Jyotirmay Sarker (S188138)")</f>
        <v>Jyotirmay Sarker (S188138)</v>
      </c>
      <c r="E205" s="93" t="str">
        <f ca="1">IFERROR(__xludf.DUMMYFUNCTION("""COMPUTED_VALUE"""),"CB24607_May26")</f>
        <v>CB24607_May26</v>
      </c>
      <c r="F205" s="94" t="str">
        <f ca="1">IFERROR(__xludf.DUMMYFUNCTION("""COMPUTED_VALUE"""),"ATC Box Output")</f>
        <v>ATC Box Output</v>
      </c>
      <c r="G205" s="95" t="str">
        <f ca="1">IFERROR(__xludf.DUMMYFUNCTION("""COMPUTED_VALUE"""),"New")</f>
        <v>New</v>
      </c>
      <c r="H205" s="96">
        <f ca="1">IFERROR(__xludf.DUMMYFUNCTION("""COMPUTED_VALUE"""),1)</f>
        <v>1</v>
      </c>
      <c r="I205" s="97">
        <f ca="1">IFERROR(__xludf.DUMMYFUNCTION("""COMPUTED_VALUE"""),46180)</f>
        <v>46180</v>
      </c>
      <c r="J205" s="98" t="str">
        <f ca="1">IFERROR(__xludf.DUMMYFUNCTION("""COMPUTED_VALUE"""),"CW35837_Jun26")</f>
        <v>CW35837_Jun26</v>
      </c>
      <c r="K205" s="99" t="str">
        <f ca="1">IFERROR(__xludf.DUMMYFUNCTION("""COMPUTED_VALUE"""),"HoM Approved")</f>
        <v>HoM Approved</v>
      </c>
    </row>
    <row r="206" spans="1:11" ht="13.2">
      <c r="A206" s="89" t="str">
        <f ca="1">IFERROR(__xludf.DUMMYFUNCTION("""COMPUTED_VALUE"""),"PRAN Chanachur 150g for KSA")</f>
        <v>PRAN Chanachur 150g for KSA</v>
      </c>
      <c r="B206" s="90" t="str">
        <f ca="1">IFERROR(__xludf.DUMMYFUNCTION("""COMPUTED_VALUE"""),"PFL")</f>
        <v>PFL</v>
      </c>
      <c r="C206" s="91" t="str">
        <f ca="1">IFERROR(__xludf.DUMMYFUNCTION("""COMPUTED_VALUE"""),"Shamsul Sir")</f>
        <v>Shamsul Sir</v>
      </c>
      <c r="D206" s="92" t="str">
        <f ca="1">IFERROR(__xludf.DUMMYFUNCTION("""COMPUTED_VALUE"""),"Jyotirmay Sarker (S188138)")</f>
        <v>Jyotirmay Sarker (S188138)</v>
      </c>
      <c r="E206" s="93" t="str">
        <f ca="1">IFERROR(__xludf.DUMMYFUNCTION("""COMPUTED_VALUE"""),"CB35363_Jun26")</f>
        <v>CB35363_Jun26</v>
      </c>
      <c r="F206" s="94" t="str">
        <f ca="1">IFERROR(__xludf.DUMMYFUNCTION("""COMPUTED_VALUE"""),"Gravure Output #2")</f>
        <v>Gravure Output #2</v>
      </c>
      <c r="G206" s="95" t="str">
        <f ca="1">IFERROR(__xludf.DUMMYFUNCTION("""COMPUTED_VALUE"""),"New")</f>
        <v>New</v>
      </c>
      <c r="H206" s="96">
        <f ca="1">IFERROR(__xludf.DUMMYFUNCTION("""COMPUTED_VALUE"""),2)</f>
        <v>2</v>
      </c>
      <c r="I206" s="97">
        <f ca="1">IFERROR(__xludf.DUMMYFUNCTION("""COMPUTED_VALUE"""),46180)</f>
        <v>46180</v>
      </c>
      <c r="J206" s="98" t="str">
        <f ca="1">IFERROR(__xludf.DUMMYFUNCTION("""COMPUTED_VALUE"""),"CW35839_Jun26")</f>
        <v>CW35839_Jun26</v>
      </c>
      <c r="K206" s="99" t="str">
        <f ca="1">IFERROR(__xludf.DUMMYFUNCTION("""COMPUTED_VALUE"""),"HoM Approved")</f>
        <v>HoM Approved</v>
      </c>
    </row>
    <row r="207" spans="1:11" ht="13.2">
      <c r="A207" s="89" t="str">
        <f ca="1">IFERROR(__xludf.DUMMYFUNCTION("""COMPUTED_VALUE"""),"Indya Puffed Rice for Australia (500gm &amp; 1Kg)")</f>
        <v>Indya Puffed Rice for Australia (500gm &amp; 1Kg)</v>
      </c>
      <c r="B207" s="90" t="str">
        <f ca="1">IFERROR(__xludf.DUMMYFUNCTION("""COMPUTED_VALUE"""),"BML")</f>
        <v>BML</v>
      </c>
      <c r="C207" s="91" t="str">
        <f ca="1">IFERROR(__xludf.DUMMYFUNCTION("""COMPUTED_VALUE"""),"Rakib Vai")</f>
        <v>Rakib Vai</v>
      </c>
      <c r="D207" s="92" t="str">
        <f ca="1">IFERROR(__xludf.DUMMYFUNCTION("""COMPUTED_VALUE"""),"Jyotirmay Sarker (S188138)")</f>
        <v>Jyotirmay Sarker (S188138)</v>
      </c>
      <c r="E207" s="93" t="str">
        <f ca="1">IFERROR(__xludf.DUMMYFUNCTION("""COMPUTED_VALUE"""),"CB35689_Jun26")</f>
        <v>CB35689_Jun26</v>
      </c>
      <c r="F207" s="94" t="str">
        <f ca="1">IFERROR(__xludf.DUMMYFUNCTION("""COMPUTED_VALUE"""),"Gravure Output #2")</f>
        <v>Gravure Output #2</v>
      </c>
      <c r="G207" s="95" t="str">
        <f ca="1">IFERROR(__xludf.DUMMYFUNCTION("""COMPUTED_VALUE"""),"New")</f>
        <v>New</v>
      </c>
      <c r="H207" s="96">
        <f ca="1">IFERROR(__xludf.DUMMYFUNCTION("""COMPUTED_VALUE"""),2)</f>
        <v>2</v>
      </c>
      <c r="I207" s="97">
        <f ca="1">IFERROR(__xludf.DUMMYFUNCTION("""COMPUTED_VALUE"""),46181)</f>
        <v>46181</v>
      </c>
      <c r="J207" s="98" t="str">
        <f ca="1">IFERROR(__xludf.DUMMYFUNCTION("""COMPUTED_VALUE"""),"CW35978_Jun26")</f>
        <v>CW35978_Jun26</v>
      </c>
      <c r="K207" s="99" t="str">
        <f ca="1">IFERROR(__xludf.DUMMYFUNCTION("""COMPUTED_VALUE"""),"HoM Approved")</f>
        <v>HoM Approved</v>
      </c>
    </row>
    <row r="208" spans="1:11" ht="13.2">
      <c r="A208" s="89" t="str">
        <f ca="1">IFERROR(__xludf.DUMMYFUNCTION("""COMPUTED_VALUE"""),"PRAN Twist Drink for India")</f>
        <v>PRAN Twist Drink for India</v>
      </c>
      <c r="B208" s="90" t="str">
        <f ca="1">IFERROR(__xludf.DUMMYFUNCTION("""COMPUTED_VALUE"""),"India")</f>
        <v>India</v>
      </c>
      <c r="C208" s="91" t="str">
        <f ca="1">IFERROR(__xludf.DUMMYFUNCTION("""COMPUTED_VALUE"""),"Saifullah Vai")</f>
        <v>Saifullah Vai</v>
      </c>
      <c r="D208" s="92" t="str">
        <f ca="1">IFERROR(__xludf.DUMMYFUNCTION("""COMPUTED_VALUE"""),"Jyotirmay Sarker (S188138)")</f>
        <v>Jyotirmay Sarker (S188138)</v>
      </c>
      <c r="E208" s="93" t="str">
        <f ca="1">IFERROR(__xludf.DUMMYFUNCTION("""COMPUTED_VALUE"""),"CB24375_May26")</f>
        <v>CB24375_May26</v>
      </c>
      <c r="F208" s="94" t="str">
        <f ca="1">IFERROR(__xludf.DUMMYFUNCTION("""COMPUTED_VALUE"""),"Gravure Output #2")</f>
        <v>Gravure Output #2</v>
      </c>
      <c r="G208" s="95" t="str">
        <f ca="1">IFERROR(__xludf.DUMMYFUNCTION("""COMPUTED_VALUE"""),"New")</f>
        <v>New</v>
      </c>
      <c r="H208" s="96">
        <f ca="1">IFERROR(__xludf.DUMMYFUNCTION("""COMPUTED_VALUE"""),1)</f>
        <v>1</v>
      </c>
      <c r="I208" s="97">
        <f ca="1">IFERROR(__xludf.DUMMYFUNCTION("""COMPUTED_VALUE"""),46181)</f>
        <v>46181</v>
      </c>
      <c r="J208" s="98" t="str">
        <f ca="1">IFERROR(__xludf.DUMMYFUNCTION("""COMPUTED_VALUE"""),"CW35989_Jun26")</f>
        <v>CW35989_Jun26</v>
      </c>
      <c r="K208" s="99" t="str">
        <f ca="1">IFERROR(__xludf.DUMMYFUNCTION("""COMPUTED_VALUE"""),"HoM Approved")</f>
        <v>HoM Approved</v>
      </c>
    </row>
    <row r="209" spans="1:11" ht="13.2">
      <c r="A209" s="89" t="str">
        <f ca="1">IFERROR(__xludf.DUMMYFUNCTION("""COMPUTED_VALUE"""),"Kofi Mate 350")</f>
        <v>Kofi Mate 350</v>
      </c>
      <c r="B209" s="90" t="str">
        <f ca="1">IFERROR(__xludf.DUMMYFUNCTION("""COMPUTED_VALUE"""),"AMCL")</f>
        <v>AMCL</v>
      </c>
      <c r="C209" s="91" t="str">
        <f ca="1">IFERROR(__xludf.DUMMYFUNCTION("""COMPUTED_VALUE"""),"Miraj Vai")</f>
        <v>Miraj Vai</v>
      </c>
      <c r="D209" s="92" t="str">
        <f ca="1">IFERROR(__xludf.DUMMYFUNCTION("""COMPUTED_VALUE"""),"Jyotirmay Sarker (S188138)")</f>
        <v>Jyotirmay Sarker (S188138)</v>
      </c>
      <c r="E209" s="93" t="str">
        <f ca="1">IFERROR(__xludf.DUMMYFUNCTION("""COMPUTED_VALUE"""),"CB22650_Apr26")</f>
        <v>CB22650_Apr26</v>
      </c>
      <c r="F209" s="94" t="str">
        <f ca="1">IFERROR(__xludf.DUMMYFUNCTION("""COMPUTED_VALUE"""),"Gravure Output #2")</f>
        <v>Gravure Output #2</v>
      </c>
      <c r="G209" s="95" t="str">
        <f ca="1">IFERROR(__xludf.DUMMYFUNCTION("""COMPUTED_VALUE"""),"New")</f>
        <v>New</v>
      </c>
      <c r="H209" s="96">
        <f ca="1">IFERROR(__xludf.DUMMYFUNCTION("""COMPUTED_VALUE"""),1)</f>
        <v>1</v>
      </c>
      <c r="I209" s="97">
        <f ca="1">IFERROR(__xludf.DUMMYFUNCTION("""COMPUTED_VALUE"""),46181)</f>
        <v>46181</v>
      </c>
      <c r="J209" s="98" t="str">
        <f ca="1">IFERROR(__xludf.DUMMYFUNCTION("""COMPUTED_VALUE"""),"CW36008_Jun26")</f>
        <v>CW36008_Jun26</v>
      </c>
      <c r="K209" s="99" t="str">
        <f ca="1">IFERROR(__xludf.DUMMYFUNCTION("""COMPUTED_VALUE"""),"HoM Approved")</f>
        <v>HoM Approved</v>
      </c>
    </row>
    <row r="210" spans="1:11" ht="13.2">
      <c r="A210" s="89" t="str">
        <f ca="1">IFERROR(__xludf.DUMMYFUNCTION("""COMPUTED_VALUE"""),"Pran Mango Flavored Drink 250ml Philippines ")</f>
        <v xml:space="preserve">Pran Mango Flavored Drink 250ml Philippines </v>
      </c>
      <c r="B210" s="90" t="str">
        <f ca="1">IFERROR(__xludf.DUMMYFUNCTION("""COMPUTED_VALUE"""),"PBL")</f>
        <v>PBL</v>
      </c>
      <c r="C210" s="91" t="str">
        <f ca="1">IFERROR(__xludf.DUMMYFUNCTION("""COMPUTED_VALUE"""),"Rakib Vai")</f>
        <v>Rakib Vai</v>
      </c>
      <c r="D210" s="92" t="str">
        <f ca="1">IFERROR(__xludf.DUMMYFUNCTION("""COMPUTED_VALUE"""),"Jyotirmay Sarker (S188138)")</f>
        <v>Jyotirmay Sarker (S188138)</v>
      </c>
      <c r="E210" s="93" t="str">
        <f ca="1">IFERROR(__xludf.DUMMYFUNCTION("""COMPUTED_VALUE"""),"CB35404_Jun26")</f>
        <v>CB35404_Jun26</v>
      </c>
      <c r="F210" s="94" t="str">
        <f ca="1">IFERROR(__xludf.DUMMYFUNCTION("""COMPUTED_VALUE"""),"Gravure Output #2")</f>
        <v>Gravure Output #2</v>
      </c>
      <c r="G210" s="95" t="str">
        <f ca="1">IFERROR(__xludf.DUMMYFUNCTION("""COMPUTED_VALUE"""),"New")</f>
        <v>New</v>
      </c>
      <c r="H210" s="96">
        <f ca="1">IFERROR(__xludf.DUMMYFUNCTION("""COMPUTED_VALUE"""),1)</f>
        <v>1</v>
      </c>
      <c r="I210" s="97">
        <f ca="1">IFERROR(__xludf.DUMMYFUNCTION("""COMPUTED_VALUE"""),46183)</f>
        <v>46183</v>
      </c>
      <c r="J210" s="98" t="str">
        <f ca="1">IFERROR(__xludf.DUMMYFUNCTION("""COMPUTED_VALUE"""),"CW36223_Jun26")</f>
        <v>CW36223_Jun26</v>
      </c>
      <c r="K210" s="99" t="str">
        <f ca="1">IFERROR(__xludf.DUMMYFUNCTION("""COMPUTED_VALUE"""),"HoM Approved")</f>
        <v>HoM Approved</v>
      </c>
    </row>
    <row r="211" spans="1:11" ht="13.2">
      <c r="A211" s="89" t="str">
        <f ca="1">IFERROR(__xludf.DUMMYFUNCTION("""COMPUTED_VALUE"""),"Bro Puffy Mini Marshmallow Blister Pack")</f>
        <v>Bro Puffy Mini Marshmallow Blister Pack</v>
      </c>
      <c r="B211" s="90" t="str">
        <f ca="1">IFERROR(__xludf.DUMMYFUNCTION("""COMPUTED_VALUE"""),"PCL")</f>
        <v>PCL</v>
      </c>
      <c r="C211" s="91" t="str">
        <f ca="1">IFERROR(__xludf.DUMMYFUNCTION("""COMPUTED_VALUE"""),"Anika Apu")</f>
        <v>Anika Apu</v>
      </c>
      <c r="D211" s="92" t="str">
        <f ca="1">IFERROR(__xludf.DUMMYFUNCTION("""COMPUTED_VALUE"""),"Jyotirmay Sarker (S188138)")</f>
        <v>Jyotirmay Sarker (S188138)</v>
      </c>
      <c r="E211" s="93" t="str">
        <f ca="1">IFERROR(__xludf.DUMMYFUNCTION("""COMPUTED_VALUE"""),"CB36062_Jun26")</f>
        <v>CB36062_Jun26</v>
      </c>
      <c r="F211" s="94" t="str">
        <f ca="1">IFERROR(__xludf.DUMMYFUNCTION("""COMPUTED_VALUE"""),"Gravure Output #2")</f>
        <v>Gravure Output #2</v>
      </c>
      <c r="G211" s="95" t="str">
        <f ca="1">IFERROR(__xludf.DUMMYFUNCTION("""COMPUTED_VALUE"""),"New")</f>
        <v>New</v>
      </c>
      <c r="H211" s="96">
        <f ca="1">IFERROR(__xludf.DUMMYFUNCTION("""COMPUTED_VALUE"""),1)</f>
        <v>1</v>
      </c>
      <c r="I211" s="97">
        <f ca="1">IFERROR(__xludf.DUMMYFUNCTION("""COMPUTED_VALUE"""),46183)</f>
        <v>46183</v>
      </c>
      <c r="J211" s="98" t="str">
        <f ca="1">IFERROR(__xludf.DUMMYFUNCTION("""COMPUTED_VALUE"""),"CW36246_Jun26")</f>
        <v>CW36246_Jun26</v>
      </c>
      <c r="K211" s="99" t="str">
        <f ca="1">IFERROR(__xludf.DUMMYFUNCTION("""COMPUTED_VALUE"""),"HoM Approved")</f>
        <v>HoM Approved</v>
      </c>
    </row>
    <row r="212" spans="1:11" ht="13.2">
      <c r="A212" s="89" t="str">
        <f ca="1">IFERROR(__xludf.DUMMYFUNCTION("""COMPUTED_VALUE"""),"Bro Puffy Mini Marshmallow Jar label")</f>
        <v>Bro Puffy Mini Marshmallow Jar label</v>
      </c>
      <c r="B212" s="90" t="str">
        <f ca="1">IFERROR(__xludf.DUMMYFUNCTION("""COMPUTED_VALUE"""),"PCL")</f>
        <v>PCL</v>
      </c>
      <c r="C212" s="91" t="str">
        <f ca="1">IFERROR(__xludf.DUMMYFUNCTION("""COMPUTED_VALUE"""),"Anika Apu")</f>
        <v>Anika Apu</v>
      </c>
      <c r="D212" s="92" t="str">
        <f ca="1">IFERROR(__xludf.DUMMYFUNCTION("""COMPUTED_VALUE"""),"Jyotirmay Sarker (S188138)")</f>
        <v>Jyotirmay Sarker (S188138)</v>
      </c>
      <c r="E212" s="93" t="str">
        <f ca="1">IFERROR(__xludf.DUMMYFUNCTION("""COMPUTED_VALUE"""),"CB36062_Jun26")</f>
        <v>CB36062_Jun26</v>
      </c>
      <c r="F212" s="94" t="str">
        <f ca="1">IFERROR(__xludf.DUMMYFUNCTION("""COMPUTED_VALUE"""),"JAR Label Sticker Output")</f>
        <v>JAR Label Sticker Output</v>
      </c>
      <c r="G212" s="95" t="str">
        <f ca="1">IFERROR(__xludf.DUMMYFUNCTION("""COMPUTED_VALUE"""),"New")</f>
        <v>New</v>
      </c>
      <c r="H212" s="96">
        <f ca="1">IFERROR(__xludf.DUMMYFUNCTION("""COMPUTED_VALUE"""),4)</f>
        <v>4</v>
      </c>
      <c r="I212" s="97">
        <f ca="1">IFERROR(__xludf.DUMMYFUNCTION("""COMPUTED_VALUE"""),46183)</f>
        <v>46183</v>
      </c>
      <c r="J212" s="98" t="str">
        <f ca="1">IFERROR(__xludf.DUMMYFUNCTION("""COMPUTED_VALUE"""),"CW36246_Jun26")</f>
        <v>CW36246_Jun26</v>
      </c>
      <c r="K212" s="99" t="str">
        <f ca="1">IFERROR(__xludf.DUMMYFUNCTION("""COMPUTED_VALUE"""),"HoM Approved")</f>
        <v>HoM Approved</v>
      </c>
    </row>
    <row r="213" spans="1:11" ht="13.2">
      <c r="A213" s="89" t="str">
        <f ca="1">IFERROR(__xludf.DUMMYFUNCTION("""COMPUTED_VALUE"""),"TVS MOTOR BIKES Dangler Output File")</f>
        <v>TVS MOTOR BIKES Dangler Output File</v>
      </c>
      <c r="B213" s="90" t="str">
        <f ca="1">IFERROR(__xludf.DUMMYFUNCTION("""COMPUTED_VALUE"""),"RFL-TVS")</f>
        <v>RFL-TVS</v>
      </c>
      <c r="C213" s="91" t="str">
        <f ca="1">IFERROR(__xludf.DUMMYFUNCTION("""COMPUTED_VALUE"""),"Roudra Vai")</f>
        <v>Roudra Vai</v>
      </c>
      <c r="D213" s="92" t="str">
        <f ca="1">IFERROR(__xludf.DUMMYFUNCTION("""COMPUTED_VALUE"""),"Jyotirmay Sarker (S188138)")</f>
        <v>Jyotirmay Sarker (S188138)</v>
      </c>
      <c r="E213" s="93" t="str">
        <f ca="1">IFERROR(__xludf.DUMMYFUNCTION("""COMPUTED_VALUE"""),"CB36150_Jun26")</f>
        <v>CB36150_Jun26</v>
      </c>
      <c r="F213" s="94" t="str">
        <f ca="1">IFERROR(__xludf.DUMMYFUNCTION("""COMPUTED_VALUE"""),"Flyer/Brochure/Banner Output")</f>
        <v>Flyer/Brochure/Banner Output</v>
      </c>
      <c r="G213" s="95" t="str">
        <f ca="1">IFERROR(__xludf.DUMMYFUNCTION("""COMPUTED_VALUE"""),"New")</f>
        <v>New</v>
      </c>
      <c r="H213" s="96">
        <f ca="1">IFERROR(__xludf.DUMMYFUNCTION("""COMPUTED_VALUE"""),3)</f>
        <v>3</v>
      </c>
      <c r="I213" s="97">
        <f ca="1">IFERROR(__xludf.DUMMYFUNCTION("""COMPUTED_VALUE"""),46184)</f>
        <v>46184</v>
      </c>
      <c r="J213" s="98" t="str">
        <f ca="1">IFERROR(__xludf.DUMMYFUNCTION("""COMPUTED_VALUE"""),"CW36354_Jun26")</f>
        <v>CW36354_Jun26</v>
      </c>
      <c r="K213" s="99" t="str">
        <f ca="1">IFERROR(__xludf.DUMMYFUNCTION("""COMPUTED_VALUE"""),"HoM Approved")</f>
        <v>HoM Approved</v>
      </c>
    </row>
    <row r="214" spans="1:11" ht="13.2">
      <c r="A214" s="89" t="str">
        <f ca="1">IFERROR(__xludf.DUMMYFUNCTION("""COMPUTED_VALUE"""),"PRAN Robo Drink Litchi, Orange, Strawberry 50ml &amp; 50ml X 24 Pcs")</f>
        <v>PRAN Robo Drink Litchi, Orange, Strawberry 50ml &amp; 50ml X 24 Pcs</v>
      </c>
      <c r="B214" s="90" t="str">
        <f ca="1">IFERROR(__xludf.DUMMYFUNCTION("""COMPUTED_VALUE"""),"India")</f>
        <v>India</v>
      </c>
      <c r="C214" s="91" t="str">
        <f ca="1">IFERROR(__xludf.DUMMYFUNCTION("""COMPUTED_VALUE"""),"Saifullah Vai")</f>
        <v>Saifullah Vai</v>
      </c>
      <c r="D214" s="92" t="str">
        <f ca="1">IFERROR(__xludf.DUMMYFUNCTION("""COMPUTED_VALUE"""),"Jyotirmay Sarker (S188138)")</f>
        <v>Jyotirmay Sarker (S188138)</v>
      </c>
      <c r="E214" s="93" t="str">
        <f ca="1">IFERROR(__xludf.DUMMYFUNCTION("""COMPUTED_VALUE"""),"CB36147_Jun26")</f>
        <v>CB36147_Jun26</v>
      </c>
      <c r="F214" s="94" t="str">
        <f ca="1">IFERROR(__xludf.DUMMYFUNCTION("""COMPUTED_VALUE"""),"Gravure Output #2")</f>
        <v>Gravure Output #2</v>
      </c>
      <c r="G214" s="95" t="str">
        <f ca="1">IFERROR(__xludf.DUMMYFUNCTION("""COMPUTED_VALUE"""),"New")</f>
        <v>New</v>
      </c>
      <c r="H214" s="96">
        <f ca="1">IFERROR(__xludf.DUMMYFUNCTION("""COMPUTED_VALUE"""),3)</f>
        <v>3</v>
      </c>
      <c r="I214" s="97">
        <f ca="1">IFERROR(__xludf.DUMMYFUNCTION("""COMPUTED_VALUE"""),46184)</f>
        <v>46184</v>
      </c>
      <c r="J214" s="98" t="str">
        <f ca="1">IFERROR(__xludf.DUMMYFUNCTION("""COMPUTED_VALUE"""),"CW36406_Jun26")</f>
        <v>CW36406_Jun26</v>
      </c>
      <c r="K214" s="99" t="str">
        <f ca="1">IFERROR(__xludf.DUMMYFUNCTION("""COMPUTED_VALUE"""),"BM Approved")</f>
        <v>BM Approved</v>
      </c>
    </row>
    <row r="215" spans="1:11" ht="13.2">
      <c r="A215" s="89" t="str">
        <f ca="1">IFERROR(__xludf.DUMMYFUNCTION("""COMPUTED_VALUE"""),"Pran Kala Bhuna Masala 50g for UK &amp; EU Common")</f>
        <v>Pran Kala Bhuna Masala 50g for UK &amp; EU Common</v>
      </c>
      <c r="B215" s="90" t="str">
        <f ca="1">IFERROR(__xludf.DUMMYFUNCTION("""COMPUTED_VALUE"""),"USA &amp; Europe")</f>
        <v>USA &amp; Europe</v>
      </c>
      <c r="C215" s="91" t="str">
        <f ca="1">IFERROR(__xludf.DUMMYFUNCTION("""COMPUTED_VALUE"""),"Saifullah Vai")</f>
        <v>Saifullah Vai</v>
      </c>
      <c r="D215" s="92" t="str">
        <f ca="1">IFERROR(__xludf.DUMMYFUNCTION("""COMPUTED_VALUE"""),"Jyotirmay Sarker (S188138)")</f>
        <v>Jyotirmay Sarker (S188138)</v>
      </c>
      <c r="E215" s="93" t="str">
        <f ca="1">IFERROR(__xludf.DUMMYFUNCTION("""COMPUTED_VALUE"""),"CB25053_May26")</f>
        <v>CB25053_May26</v>
      </c>
      <c r="F215" s="94" t="str">
        <f ca="1">IFERROR(__xludf.DUMMYFUNCTION("""COMPUTED_VALUE"""),"ATC Box Output")</f>
        <v>ATC Box Output</v>
      </c>
      <c r="G215" s="95" t="str">
        <f ca="1">IFERROR(__xludf.DUMMYFUNCTION("""COMPUTED_VALUE"""),"New")</f>
        <v>New</v>
      </c>
      <c r="H215" s="96">
        <f ca="1">IFERROR(__xludf.DUMMYFUNCTION("""COMPUTED_VALUE"""),1)</f>
        <v>1</v>
      </c>
      <c r="I215" s="97">
        <f ca="1">IFERROR(__xludf.DUMMYFUNCTION("""COMPUTED_VALUE"""),46185)</f>
        <v>46185</v>
      </c>
      <c r="J215" s="98" t="str">
        <f ca="1">IFERROR(__xludf.DUMMYFUNCTION("""COMPUTED_VALUE"""),"CW36495_Jun26")</f>
        <v>CW36495_Jun26</v>
      </c>
      <c r="K215" s="99" t="str">
        <f ca="1">IFERROR(__xludf.DUMMYFUNCTION("""COMPUTED_VALUE"""),"HoM Approved")</f>
        <v>HoM Approved</v>
      </c>
    </row>
    <row r="216" spans="1:11" ht="13.2">
      <c r="A216" s="89" t="str">
        <f ca="1">IFERROR(__xludf.DUMMYFUNCTION("""COMPUTED_VALUE"""),"Pran jelly candy jar label revise design for Philippines")</f>
        <v>Pran jelly candy jar label revise design for Philippines</v>
      </c>
      <c r="B216" s="90" t="str">
        <f ca="1">IFERROR(__xludf.DUMMYFUNCTION("""COMPUTED_VALUE"""),"PCL")</f>
        <v>PCL</v>
      </c>
      <c r="C216" s="91" t="str">
        <f ca="1">IFERROR(__xludf.DUMMYFUNCTION("""COMPUTED_VALUE"""),"Rakib Vai")</f>
        <v>Rakib Vai</v>
      </c>
      <c r="D216" s="92" t="str">
        <f ca="1">IFERROR(__xludf.DUMMYFUNCTION("""COMPUTED_VALUE"""),"Jyotirmay Sarker (S188138)")</f>
        <v>Jyotirmay Sarker (S188138)</v>
      </c>
      <c r="E216" s="93" t="str">
        <f ca="1">IFERROR(__xludf.DUMMYFUNCTION("""COMPUTED_VALUE"""),"CB25046_May26")</f>
        <v>CB25046_May26</v>
      </c>
      <c r="F216" s="94" t="str">
        <f ca="1">IFERROR(__xludf.DUMMYFUNCTION("""COMPUTED_VALUE"""),"JAR Label Sticker Output")</f>
        <v>JAR Label Sticker Output</v>
      </c>
      <c r="G216" s="95" t="str">
        <f ca="1">IFERROR(__xludf.DUMMYFUNCTION("""COMPUTED_VALUE"""),"New")</f>
        <v>New</v>
      </c>
      <c r="H216" s="96">
        <f ca="1">IFERROR(__xludf.DUMMYFUNCTION("""COMPUTED_VALUE"""),8)</f>
        <v>8</v>
      </c>
      <c r="I216" s="97">
        <f ca="1">IFERROR(__xludf.DUMMYFUNCTION("""COMPUTED_VALUE"""),46188)</f>
        <v>46188</v>
      </c>
      <c r="J216" s="98" t="str">
        <f ca="1">IFERROR(__xludf.DUMMYFUNCTION("""COMPUTED_VALUE"""),"CW36653_Jun26")</f>
        <v>CW36653_Jun26</v>
      </c>
      <c r="K216" s="99" t="str">
        <f ca="1">IFERROR(__xludf.DUMMYFUNCTION("""COMPUTED_VALUE"""),"HoM Approved")</f>
        <v>HoM Approved</v>
      </c>
    </row>
    <row r="217" spans="1:11" ht="13.2">
      <c r="A217" s="89" t="str">
        <f ca="1">IFERROR(__xludf.DUMMYFUNCTION("""COMPUTED_VALUE"""),"PRAN Ring Chips")</f>
        <v>PRAN Ring Chips</v>
      </c>
      <c r="B217" s="90" t="str">
        <f ca="1">IFERROR(__xludf.DUMMYFUNCTION("""COMPUTED_VALUE"""),"PFL")</f>
        <v>PFL</v>
      </c>
      <c r="C217" s="91" t="str">
        <f ca="1">IFERROR(__xludf.DUMMYFUNCTION("""COMPUTED_VALUE"""),"Shamrid Vaiya")</f>
        <v>Shamrid Vaiya</v>
      </c>
      <c r="D217" s="92" t="str">
        <f ca="1">IFERROR(__xludf.DUMMYFUNCTION("""COMPUTED_VALUE"""),"Jyotirmay Sarker (S188138)")</f>
        <v>Jyotirmay Sarker (S188138)</v>
      </c>
      <c r="E217" s="93" t="str">
        <f ca="1">IFERROR(__xludf.DUMMYFUNCTION("""COMPUTED_VALUE"""),"CB25121_May26")</f>
        <v>CB25121_May26</v>
      </c>
      <c r="F217" s="94" t="str">
        <f ca="1">IFERROR(__xludf.DUMMYFUNCTION("""COMPUTED_VALUE"""),"Gravure Output #2")</f>
        <v>Gravure Output #2</v>
      </c>
      <c r="G217" s="95" t="str">
        <f ca="1">IFERROR(__xludf.DUMMYFUNCTION("""COMPUTED_VALUE"""),"New")</f>
        <v>New</v>
      </c>
      <c r="H217" s="96">
        <f ca="1">IFERROR(__xludf.DUMMYFUNCTION("""COMPUTED_VALUE"""),1)</f>
        <v>1</v>
      </c>
      <c r="I217" s="97">
        <f ca="1">IFERROR(__xludf.DUMMYFUNCTION("""COMPUTED_VALUE"""),46188)</f>
        <v>46188</v>
      </c>
      <c r="J217" s="98" t="str">
        <f ca="1">IFERROR(__xludf.DUMMYFUNCTION("""COMPUTED_VALUE"""),"CW36789_Jun26")</f>
        <v>CW36789_Jun26</v>
      </c>
      <c r="K217" s="99" t="str">
        <f ca="1">IFERROR(__xludf.DUMMYFUNCTION("""COMPUTED_VALUE"""),"HoM Approved")</f>
        <v>HoM Approved</v>
      </c>
    </row>
    <row r="218" spans="1:11" ht="13.2">
      <c r="A218" s="89" t="str">
        <f ca="1">IFERROR(__xludf.DUMMYFUNCTION("""COMPUTED_VALUE"""),"The Chef Vinegar 475ml Label (Africa)")</f>
        <v>The Chef Vinegar 475ml Label (Africa)</v>
      </c>
      <c r="B218" s="90" t="str">
        <f ca="1">IFERROR(__xludf.DUMMYFUNCTION("""COMPUTED_VALUE"""),"NAL")</f>
        <v>NAL</v>
      </c>
      <c r="C218" s="91" t="str">
        <f ca="1">IFERROR(__xludf.DUMMYFUNCTION("""COMPUTED_VALUE"""),"Zahirul Vai")</f>
        <v>Zahirul Vai</v>
      </c>
      <c r="D218" s="92" t="str">
        <f ca="1">IFERROR(__xludf.DUMMYFUNCTION("""COMPUTED_VALUE"""),"Jyotirmay Sarker (S188138)")</f>
        <v>Jyotirmay Sarker (S188138)</v>
      </c>
      <c r="E218" s="93" t="str">
        <f ca="1">IFERROR(__xludf.DUMMYFUNCTION("""COMPUTED_VALUE"""),"CB36753_Jun26")</f>
        <v>CB36753_Jun26</v>
      </c>
      <c r="F218" s="94" t="str">
        <f ca="1">IFERROR(__xludf.DUMMYFUNCTION("""COMPUTED_VALUE"""),"JAR Label Sticker Output")</f>
        <v>JAR Label Sticker Output</v>
      </c>
      <c r="G218" s="95" t="str">
        <f ca="1">IFERROR(__xludf.DUMMYFUNCTION("""COMPUTED_VALUE"""),"New")</f>
        <v>New</v>
      </c>
      <c r="H218" s="96">
        <f ca="1">IFERROR(__xludf.DUMMYFUNCTION("""COMPUTED_VALUE"""),1)</f>
        <v>1</v>
      </c>
      <c r="I218" s="97">
        <f ca="1">IFERROR(__xludf.DUMMYFUNCTION("""COMPUTED_VALUE"""),46191)</f>
        <v>46191</v>
      </c>
      <c r="J218" s="98" t="str">
        <f ca="1">IFERROR(__xludf.DUMMYFUNCTION("""COMPUTED_VALUE"""),"CW37036_Jun26")</f>
        <v>CW37036_Jun26</v>
      </c>
      <c r="K218" s="99" t="str">
        <f ca="1">IFERROR(__xludf.DUMMYFUNCTION("""COMPUTED_VALUE"""),"HoM Approved")</f>
        <v>HoM Approved</v>
      </c>
    </row>
    <row r="219" spans="1:11" ht="13.2">
      <c r="A219" s="89" t="str">
        <f ca="1">IFERROR(__xludf.DUMMYFUNCTION("""COMPUTED_VALUE"""),"Kofi Mate 350g &amp; 6g")</f>
        <v>Kofi Mate 350g &amp; 6g</v>
      </c>
      <c r="B219" s="90" t="str">
        <f ca="1">IFERROR(__xludf.DUMMYFUNCTION("""COMPUTED_VALUE"""),"AMCL")</f>
        <v>AMCL</v>
      </c>
      <c r="C219" s="91" t="str">
        <f ca="1">IFERROR(__xludf.DUMMYFUNCTION("""COMPUTED_VALUE"""),"Miraj Vai")</f>
        <v>Miraj Vai</v>
      </c>
      <c r="D219" s="92" t="str">
        <f ca="1">IFERROR(__xludf.DUMMYFUNCTION("""COMPUTED_VALUE"""),"Jyotirmay Sarker (S188138)")</f>
        <v>Jyotirmay Sarker (S188138)</v>
      </c>
      <c r="E219" s="93" t="str">
        <f ca="1">IFERROR(__xludf.DUMMYFUNCTION("""COMPUTED_VALUE"""),"CB22650")</f>
        <v>CB22650</v>
      </c>
      <c r="F219" s="94" t="str">
        <f ca="1">IFERROR(__xludf.DUMMYFUNCTION("""COMPUTED_VALUE"""),"Gravure Output #2")</f>
        <v>Gravure Output #2</v>
      </c>
      <c r="G219" s="95" t="str">
        <f ca="1">IFERROR(__xludf.DUMMYFUNCTION("""COMPUTED_VALUE"""),"Revision")</f>
        <v>Revision</v>
      </c>
      <c r="H219" s="96">
        <f ca="1">IFERROR(__xludf.DUMMYFUNCTION("""COMPUTED_VALUE"""),2)</f>
        <v>2</v>
      </c>
      <c r="I219" s="97">
        <f ca="1">IFERROR(__xludf.DUMMYFUNCTION("""COMPUTED_VALUE"""),46191)</f>
        <v>46191</v>
      </c>
      <c r="J219" s="98" t="str">
        <f ca="1">IFERROR(__xludf.DUMMYFUNCTION("""COMPUTED_VALUE"""),"0")</f>
        <v>0</v>
      </c>
      <c r="K219" s="99" t="str">
        <f ca="1">IFERROR(__xludf.DUMMYFUNCTION("""COMPUTED_VALUE"""),"Brief Submitted")</f>
        <v>Brief Submitted</v>
      </c>
    </row>
    <row r="220" spans="1:11" ht="13.2">
      <c r="A220" s="89" t="str">
        <f ca="1">IFERROR(__xludf.DUMMYFUNCTION("""COMPUTED_VALUE"""),"Europa Dry Cake_290g_ATC_for Local")</f>
        <v>Europa Dry Cake_290g_ATC_for Local</v>
      </c>
      <c r="B220" s="90" t="str">
        <f ca="1">IFERROR(__xludf.DUMMYFUNCTION("""COMPUTED_VALUE"""),"BBL")</f>
        <v>BBL</v>
      </c>
      <c r="C220" s="91" t="str">
        <f ca="1">IFERROR(__xludf.DUMMYFUNCTION("""COMPUTED_VALUE"""),"Tamim Vai")</f>
        <v>Tamim Vai</v>
      </c>
      <c r="D220" s="92" t="str">
        <f ca="1">IFERROR(__xludf.DUMMYFUNCTION("""COMPUTED_VALUE"""),"Jyotirmay Sarker (S188138)")</f>
        <v>Jyotirmay Sarker (S188138)</v>
      </c>
      <c r="E220" s="93" t="str">
        <f ca="1">IFERROR(__xludf.DUMMYFUNCTION("""COMPUTED_VALUE"""),"CB24845")</f>
        <v>CB24845</v>
      </c>
      <c r="F220" s="94" t="str">
        <f ca="1">IFERROR(__xludf.DUMMYFUNCTION("""COMPUTED_VALUE"""),"ATC Box Output")</f>
        <v>ATC Box Output</v>
      </c>
      <c r="G220" s="95" t="str">
        <f ca="1">IFERROR(__xludf.DUMMYFUNCTION("""COMPUTED_VALUE"""),"Revision")</f>
        <v>Revision</v>
      </c>
      <c r="H220" s="96">
        <f ca="1">IFERROR(__xludf.DUMMYFUNCTION("""COMPUTED_VALUE"""),1)</f>
        <v>1</v>
      </c>
      <c r="I220" s="97">
        <f ca="1">IFERROR(__xludf.DUMMYFUNCTION("""COMPUTED_VALUE"""),46191)</f>
        <v>46191</v>
      </c>
      <c r="J220" s="98" t="str">
        <f ca="1">IFERROR(__xludf.DUMMYFUNCTION("""COMPUTED_VALUE"""),"0")</f>
        <v>0</v>
      </c>
      <c r="K220" s="99" t="str">
        <f ca="1">IFERROR(__xludf.DUMMYFUNCTION("""COMPUTED_VALUE"""),"Brief Submitted")</f>
        <v>Brief Submitted</v>
      </c>
    </row>
    <row r="221" spans="1:11" ht="13.2">
      <c r="A221" s="89" t="str">
        <f ca="1">IFERROR(__xludf.DUMMYFUNCTION("""COMPUTED_VALUE"""),"Mr. Noodles Spaghetti 80g ")</f>
        <v xml:space="preserve">Mr. Noodles Spaghetti 80g </v>
      </c>
      <c r="B221" s="90" t="str">
        <f ca="1">IFERROR(__xludf.DUMMYFUNCTION("""COMPUTED_VALUE"""),"PAL")</f>
        <v>PAL</v>
      </c>
      <c r="C221" s="91" t="str">
        <f ca="1">IFERROR(__xludf.DUMMYFUNCTION("""COMPUTED_VALUE"""),"Zahirul Vai")</f>
        <v>Zahirul Vai</v>
      </c>
      <c r="D221" s="92" t="str">
        <f ca="1">IFERROR(__xludf.DUMMYFUNCTION("""COMPUTED_VALUE"""),"Jyotirmay Sarker (S188138)")</f>
        <v>Jyotirmay Sarker (S188138)</v>
      </c>
      <c r="E221" s="93" t="str">
        <f ca="1">IFERROR(__xludf.DUMMYFUNCTION("""COMPUTED_VALUE"""),"CB18738")</f>
        <v>CB18738</v>
      </c>
      <c r="F221" s="94" t="str">
        <f ca="1">IFERROR(__xludf.DUMMYFUNCTION("""COMPUTED_VALUE"""),"Gravure Output #2")</f>
        <v>Gravure Output #2</v>
      </c>
      <c r="G221" s="95" t="str">
        <f ca="1">IFERROR(__xludf.DUMMYFUNCTION("""COMPUTED_VALUE"""),"New")</f>
        <v>New</v>
      </c>
      <c r="H221" s="96">
        <f ca="1">IFERROR(__xludf.DUMMYFUNCTION("""COMPUTED_VALUE"""),3)</f>
        <v>3</v>
      </c>
      <c r="I221" s="97">
        <f ca="1">IFERROR(__xludf.DUMMYFUNCTION("""COMPUTED_VALUE"""),46192)</f>
        <v>46192</v>
      </c>
      <c r="J221" s="98" t="str">
        <f ca="1">IFERROR(__xludf.DUMMYFUNCTION("""COMPUTED_VALUE"""),"CW37207_Jun26")</f>
        <v>CW37207_Jun26</v>
      </c>
      <c r="K221" s="99" t="str">
        <f ca="1">IFERROR(__xludf.DUMMYFUNCTION("""COMPUTED_VALUE"""),"HoM Approved")</f>
        <v>HoM Approved</v>
      </c>
    </row>
    <row r="222" spans="1:11" ht="13.2">
      <c r="A222" s="89" t="str">
        <f ca="1">IFERROR(__xludf.DUMMYFUNCTION("""COMPUTED_VALUE"""),"Lolly King Vampire Blood Gum 150g Pack")</f>
        <v>Lolly King Vampire Blood Gum 150g Pack</v>
      </c>
      <c r="B222" s="90" t="str">
        <f ca="1">IFERROR(__xludf.DUMMYFUNCTION("""COMPUTED_VALUE"""),"PCL")</f>
        <v>PCL</v>
      </c>
      <c r="C222" s="91" t="str">
        <f ca="1">IFERROR(__xludf.DUMMYFUNCTION("""COMPUTED_VALUE"""),"Rakib Vai")</f>
        <v>Rakib Vai</v>
      </c>
      <c r="D222" s="92" t="str">
        <f ca="1">IFERROR(__xludf.DUMMYFUNCTION("""COMPUTED_VALUE"""),"Jyotirmay Sarker (S188138)")</f>
        <v>Jyotirmay Sarker (S188138)</v>
      </c>
      <c r="E222" s="93" t="str">
        <f ca="1">IFERROR(__xludf.DUMMYFUNCTION("""COMPUTED_VALUE"""),"CB36838_Jun26")</f>
        <v>CB36838_Jun26</v>
      </c>
      <c r="F222" s="94" t="str">
        <f ca="1">IFERROR(__xludf.DUMMYFUNCTION("""COMPUTED_VALUE"""),"Gravure Output #2")</f>
        <v>Gravure Output #2</v>
      </c>
      <c r="G222" s="95" t="str">
        <f ca="1">IFERROR(__xludf.DUMMYFUNCTION("""COMPUTED_VALUE"""),"New")</f>
        <v>New</v>
      </c>
      <c r="H222" s="96">
        <f ca="1">IFERROR(__xludf.DUMMYFUNCTION("""COMPUTED_VALUE"""),1)</f>
        <v>1</v>
      </c>
      <c r="I222" s="97">
        <f ca="1">IFERROR(__xludf.DUMMYFUNCTION("""COMPUTED_VALUE"""),46193)</f>
        <v>46193</v>
      </c>
      <c r="J222" s="98" t="str">
        <f ca="1">IFERROR(__xludf.DUMMYFUNCTION("""COMPUTED_VALUE"""),"CW37229_Jun26")</f>
        <v>CW37229_Jun26</v>
      </c>
      <c r="K222" s="99" t="str">
        <f ca="1">IFERROR(__xludf.DUMMYFUNCTION("""COMPUTED_VALUE"""),"Brief Submitted")</f>
        <v>Brief Submitted</v>
      </c>
    </row>
    <row r="223" spans="1:11" ht="13.2">
      <c r="A223" s="89" t="str">
        <f ca="1">IFERROR(__xludf.DUMMYFUNCTION("""COMPUTED_VALUE"""),"Tasty Treat Dangler Output")</f>
        <v>Tasty Treat Dangler Output</v>
      </c>
      <c r="B223" s="90" t="str">
        <f ca="1">IFERROR(__xludf.DUMMYFUNCTION("""COMPUTED_VALUE"""),"Tasty Treat")</f>
        <v>Tasty Treat</v>
      </c>
      <c r="C223" s="91" t="str">
        <f ca="1">IFERROR(__xludf.DUMMYFUNCTION("""COMPUTED_VALUE"""),"Shubhankar Vai")</f>
        <v>Shubhankar Vai</v>
      </c>
      <c r="D223" s="92" t="str">
        <f ca="1">IFERROR(__xludf.DUMMYFUNCTION("""COMPUTED_VALUE"""),"Jyotirmay Sarker (S188138)")</f>
        <v>Jyotirmay Sarker (S188138)</v>
      </c>
      <c r="E223" s="93" t="str">
        <f ca="1">IFERROR(__xludf.DUMMYFUNCTION("""COMPUTED_VALUE"""),"CB36667_Jun26")</f>
        <v>CB36667_Jun26</v>
      </c>
      <c r="F223" s="94" t="str">
        <f ca="1">IFERROR(__xludf.DUMMYFUNCTION("""COMPUTED_VALUE"""),"Flyer/Brochure/Banner Output")</f>
        <v>Flyer/Brochure/Banner Output</v>
      </c>
      <c r="G223" s="95" t="str">
        <f ca="1">IFERROR(__xludf.DUMMYFUNCTION("""COMPUTED_VALUE"""),"New")</f>
        <v>New</v>
      </c>
      <c r="H223" s="96">
        <f ca="1">IFERROR(__xludf.DUMMYFUNCTION("""COMPUTED_VALUE"""),1)</f>
        <v>1</v>
      </c>
      <c r="I223" s="97">
        <f ca="1">IFERROR(__xludf.DUMMYFUNCTION("""COMPUTED_VALUE"""),46193)</f>
        <v>46193</v>
      </c>
      <c r="J223" s="98" t="str">
        <f ca="1">IFERROR(__xludf.DUMMYFUNCTION("""COMPUTED_VALUE"""),"CW37256_Jun26")</f>
        <v>CW37256_Jun26</v>
      </c>
      <c r="K223" s="99" t="str">
        <f ca="1">IFERROR(__xludf.DUMMYFUNCTION("""COMPUTED_VALUE"""),"HoM Approved")</f>
        <v>HoM Approved</v>
      </c>
    </row>
    <row r="224" spans="1:11" ht="13.2">
      <c r="A224" s="89" t="str">
        <f ca="1">IFERROR(__xludf.DUMMYFUNCTION("""COMPUTED_VALUE"""),"Tasty Treat Sandwich ATC output")</f>
        <v>Tasty Treat Sandwich ATC output</v>
      </c>
      <c r="B224" s="90" t="str">
        <f ca="1">IFERROR(__xludf.DUMMYFUNCTION("""COMPUTED_VALUE"""),"Tasty Treat")</f>
        <v>Tasty Treat</v>
      </c>
      <c r="C224" s="91" t="str">
        <f ca="1">IFERROR(__xludf.DUMMYFUNCTION("""COMPUTED_VALUE"""),"Shubhankar Vai")</f>
        <v>Shubhankar Vai</v>
      </c>
      <c r="D224" s="92" t="str">
        <f ca="1">IFERROR(__xludf.DUMMYFUNCTION("""COMPUTED_VALUE"""),"Jyotirmay Sarker (S188138)")</f>
        <v>Jyotirmay Sarker (S188138)</v>
      </c>
      <c r="E224" s="93" t="str">
        <f ca="1">IFERROR(__xludf.DUMMYFUNCTION("""COMPUTED_VALUE"""),"CB21316_Apr26")</f>
        <v>CB21316_Apr26</v>
      </c>
      <c r="F224" s="94" t="str">
        <f ca="1">IFERROR(__xludf.DUMMYFUNCTION("""COMPUTED_VALUE"""),"ATC Box Output")</f>
        <v>ATC Box Output</v>
      </c>
      <c r="G224" s="95" t="str">
        <f ca="1">IFERROR(__xludf.DUMMYFUNCTION("""COMPUTED_VALUE"""),"New")</f>
        <v>New</v>
      </c>
      <c r="H224" s="96">
        <f ca="1">IFERROR(__xludf.DUMMYFUNCTION("""COMPUTED_VALUE"""),1)</f>
        <v>1</v>
      </c>
      <c r="I224" s="97">
        <f ca="1">IFERROR(__xludf.DUMMYFUNCTION("""COMPUTED_VALUE"""),46193)</f>
        <v>46193</v>
      </c>
      <c r="J224" s="98" t="str">
        <f ca="1">IFERROR(__xludf.DUMMYFUNCTION("""COMPUTED_VALUE"""),"CW37302_Jun26")</f>
        <v>CW37302_Jun26</v>
      </c>
      <c r="K224" s="99" t="str">
        <f ca="1">IFERROR(__xludf.DUMMYFUNCTION("""COMPUTED_VALUE"""),"HoM Approved")</f>
        <v>HoM Approved</v>
      </c>
    </row>
    <row r="225" spans="1:11" ht="13.2">
      <c r="A225" s="89" t="str">
        <f ca="1">IFERROR(__xludf.DUMMYFUNCTION("""COMPUTED_VALUE"""),"Tasty Treat Sandwich ATC Die making")</f>
        <v>Tasty Treat Sandwich ATC Die making</v>
      </c>
      <c r="B225" s="90" t="str">
        <f ca="1">IFERROR(__xludf.DUMMYFUNCTION("""COMPUTED_VALUE"""),"Tasty Treat")</f>
        <v>Tasty Treat</v>
      </c>
      <c r="C225" s="91" t="str">
        <f ca="1">IFERROR(__xludf.DUMMYFUNCTION("""COMPUTED_VALUE"""),"Shubhankar Vai")</f>
        <v>Shubhankar Vai</v>
      </c>
      <c r="D225" s="92" t="str">
        <f ca="1">IFERROR(__xludf.DUMMYFUNCTION("""COMPUTED_VALUE"""),"Jyotirmay Sarker (S188138)")</f>
        <v>Jyotirmay Sarker (S188138)</v>
      </c>
      <c r="E225" s="93" t="str">
        <f ca="1">IFERROR(__xludf.DUMMYFUNCTION("""COMPUTED_VALUE"""),"CB21316_Apr26")</f>
        <v>CB21316_Apr26</v>
      </c>
      <c r="F225" s="94" t="str">
        <f ca="1">IFERROR(__xludf.DUMMYFUNCTION("""COMPUTED_VALUE"""),"Layout/Dieline Making")</f>
        <v>Layout/Dieline Making</v>
      </c>
      <c r="G225" s="95" t="str">
        <f ca="1">IFERROR(__xludf.DUMMYFUNCTION("""COMPUTED_VALUE"""),"New")</f>
        <v>New</v>
      </c>
      <c r="H225" s="96">
        <f ca="1">IFERROR(__xludf.DUMMYFUNCTION("""COMPUTED_VALUE"""),1)</f>
        <v>1</v>
      </c>
      <c r="I225" s="97">
        <f ca="1">IFERROR(__xludf.DUMMYFUNCTION("""COMPUTED_VALUE"""),46193)</f>
        <v>46193</v>
      </c>
      <c r="J225" s="98" t="str">
        <f ca="1">IFERROR(__xludf.DUMMYFUNCTION("""COMPUTED_VALUE"""),"CW37302_Jun26")</f>
        <v>CW37302_Jun26</v>
      </c>
      <c r="K225" s="99" t="str">
        <f ca="1">IFERROR(__xludf.DUMMYFUNCTION("""COMPUTED_VALUE"""),"HoM Approved")</f>
        <v>HoM Approved</v>
      </c>
    </row>
    <row r="226" spans="1:11" ht="13.2">
      <c r="A226" s="89" t="str">
        <f ca="1">IFERROR(__xludf.DUMMYFUNCTION("""COMPUTED_VALUE"""),"Lolly King Vampire Blood 4g Pack New Zealand")</f>
        <v>Lolly King Vampire Blood 4g Pack New Zealand</v>
      </c>
      <c r="B226" s="90" t="str">
        <f ca="1">IFERROR(__xludf.DUMMYFUNCTION("""COMPUTED_VALUE"""),"PCL")</f>
        <v>PCL</v>
      </c>
      <c r="C226" s="91" t="str">
        <f ca="1">IFERROR(__xludf.DUMMYFUNCTION("""COMPUTED_VALUE"""),"Rakib Vai")</f>
        <v>Rakib Vai</v>
      </c>
      <c r="D226" s="92" t="str">
        <f ca="1">IFERROR(__xludf.DUMMYFUNCTION("""COMPUTED_VALUE"""),"Jyotirmay Sarker (S188138)")</f>
        <v>Jyotirmay Sarker (S188138)</v>
      </c>
      <c r="E226" s="93" t="str">
        <f ca="1">IFERROR(__xludf.DUMMYFUNCTION("""COMPUTED_VALUE"""),"CB36838_Jun26")</f>
        <v>CB36838_Jun26</v>
      </c>
      <c r="F226" s="94" t="str">
        <f ca="1">IFERROR(__xludf.DUMMYFUNCTION("""COMPUTED_VALUE"""),"Output Setup (Gravure/Offset)")</f>
        <v>Output Setup (Gravure/Offset)</v>
      </c>
      <c r="G226" s="95" t="str">
        <f ca="1">IFERROR(__xludf.DUMMYFUNCTION("""COMPUTED_VALUE"""),"New")</f>
        <v>New</v>
      </c>
      <c r="H226" s="96">
        <f ca="1">IFERROR(__xludf.DUMMYFUNCTION("""COMPUTED_VALUE"""),1)</f>
        <v>1</v>
      </c>
      <c r="I226" s="97">
        <f ca="1">IFERROR(__xludf.DUMMYFUNCTION("""COMPUTED_VALUE"""),46193)</f>
        <v>46193</v>
      </c>
      <c r="J226" s="98" t="str">
        <f ca="1">IFERROR(__xludf.DUMMYFUNCTION("""COMPUTED_VALUE"""),"CW37315_Jun26")</f>
        <v>CW37315_Jun26</v>
      </c>
      <c r="K226" s="99" t="str">
        <f ca="1">IFERROR(__xludf.DUMMYFUNCTION("""COMPUTED_VALUE"""),"Brief Submitted")</f>
        <v>Brief Submitted</v>
      </c>
    </row>
    <row r="227" spans="1:11" ht="13.2">
      <c r="A227" s="89" t="str">
        <f ca="1">IFERROR(__xludf.DUMMYFUNCTION("""COMPUTED_VALUE"""),"Bavan Mustard Oil (USA)")</f>
        <v>Bavan Mustard Oil (USA)</v>
      </c>
      <c r="B227" s="90" t="str">
        <f ca="1">IFERROR(__xludf.DUMMYFUNCTION("""COMPUTED_VALUE"""),"NAL")</f>
        <v>NAL</v>
      </c>
      <c r="C227" s="91" t="str">
        <f ca="1">IFERROR(__xludf.DUMMYFUNCTION("""COMPUTED_VALUE"""),"Zahirul Vai")</f>
        <v>Zahirul Vai</v>
      </c>
      <c r="D227" s="92" t="str">
        <f ca="1">IFERROR(__xludf.DUMMYFUNCTION("""COMPUTED_VALUE"""),"Jyotirmay Sarker (S188138)")</f>
        <v>Jyotirmay Sarker (S188138)</v>
      </c>
      <c r="E227" s="93" t="str">
        <f ca="1">IFERROR(__xludf.DUMMYFUNCTION("""COMPUTED_VALUE"""),"CB37085")</f>
        <v>CB37085</v>
      </c>
      <c r="F227" s="94" t="str">
        <f ca="1">IFERROR(__xludf.DUMMYFUNCTION("""COMPUTED_VALUE"""),"JAR Label Sticker Output")</f>
        <v>JAR Label Sticker Output</v>
      </c>
      <c r="G227" s="95" t="str">
        <f ca="1">IFERROR(__xludf.DUMMYFUNCTION("""COMPUTED_VALUE"""),"New")</f>
        <v>New</v>
      </c>
      <c r="H227" s="96">
        <f ca="1">IFERROR(__xludf.DUMMYFUNCTION("""COMPUTED_VALUE"""),3)</f>
        <v>3</v>
      </c>
      <c r="I227" s="97">
        <f ca="1">IFERROR(__xludf.DUMMYFUNCTION("""COMPUTED_VALUE"""),46194)</f>
        <v>46194</v>
      </c>
      <c r="J227" s="98" t="str">
        <f ca="1">IFERROR(__xludf.DUMMYFUNCTION("""COMPUTED_VALUE"""),"CW37444_Jun26")</f>
        <v>CW37444_Jun26</v>
      </c>
      <c r="K227" s="99" t="str">
        <f ca="1">IFERROR(__xludf.DUMMYFUNCTION("""COMPUTED_VALUE"""),"Brief Submitted")</f>
        <v>Brief Submitted</v>
      </c>
    </row>
    <row r="228" spans="1:11" ht="13.2">
      <c r="A228" s="89" t="str">
        <f ca="1">IFERROR(__xludf.DUMMYFUNCTION("""COMPUTED_VALUE"""),"CB37083_RFL Tubewell Flyar")</f>
        <v>CB37083_RFL Tubewell Flyar</v>
      </c>
      <c r="B228" s="90" t="str">
        <f ca="1">IFERROR(__xludf.DUMMYFUNCTION("""COMPUTED_VALUE"""),"RMIL-1")</f>
        <v>RMIL-1</v>
      </c>
      <c r="C228" s="91" t="str">
        <f ca="1">IFERROR(__xludf.DUMMYFUNCTION("""COMPUTED_VALUE"""),"Mehedi Vaiya")</f>
        <v>Mehedi Vaiya</v>
      </c>
      <c r="D228" s="92" t="str">
        <f ca="1">IFERROR(__xludf.DUMMYFUNCTION("""COMPUTED_VALUE"""),"Jyotirmay Sarker (S188138)")</f>
        <v>Jyotirmay Sarker (S188138)</v>
      </c>
      <c r="E228" s="93" t="str">
        <f ca="1">IFERROR(__xludf.DUMMYFUNCTION("""COMPUTED_VALUE"""),"CB37083")</f>
        <v>CB37083</v>
      </c>
      <c r="F228" s="94" t="str">
        <f ca="1">IFERROR(__xludf.DUMMYFUNCTION("""COMPUTED_VALUE"""),"Flyer/Brochure/Banner Output")</f>
        <v>Flyer/Brochure/Banner Output</v>
      </c>
      <c r="G228" s="95" t="str">
        <f ca="1">IFERROR(__xludf.DUMMYFUNCTION("""COMPUTED_VALUE"""),"New")</f>
        <v>New</v>
      </c>
      <c r="H228" s="96">
        <f ca="1">IFERROR(__xludf.DUMMYFUNCTION("""COMPUTED_VALUE"""),1)</f>
        <v>1</v>
      </c>
      <c r="I228" s="97"/>
      <c r="J228" s="98" t="str">
        <f ca="1">IFERROR(__xludf.DUMMYFUNCTION("""COMPUTED_VALUE"""),"Unknown")</f>
        <v>Unknown</v>
      </c>
      <c r="K228" s="99" t="str">
        <f ca="1">IFERROR(__xludf.DUMMYFUNCTION("""COMPUTED_VALUE"""),"In Review")</f>
        <v>In Review</v>
      </c>
    </row>
    <row r="229" spans="1:11" ht="13.2">
      <c r="A229" s="89" t="str">
        <f ca="1">IFERROR(__xludf.DUMMYFUNCTION("""COMPUTED_VALUE"""),"Fruitfil Chewing Gum Strawberry Flavour 12g Pouch Pack (Malaysia)")</f>
        <v>Fruitfil Chewing Gum Strawberry Flavour 12g Pouch Pack (Malaysia)</v>
      </c>
      <c r="B229" s="90" t="str">
        <f ca="1">IFERROR(__xludf.DUMMYFUNCTION("""COMPUTED_VALUE"""),"PCL")</f>
        <v>PCL</v>
      </c>
      <c r="C229" s="91" t="str">
        <f ca="1">IFERROR(__xludf.DUMMYFUNCTION("""COMPUTED_VALUE"""),"Zahirul Vai")</f>
        <v>Zahirul Vai</v>
      </c>
      <c r="D229" s="92" t="str">
        <f ca="1">IFERROR(__xludf.DUMMYFUNCTION("""COMPUTED_VALUE"""),"Jyotirmay Sarker (S188138)")</f>
        <v>Jyotirmay Sarker (S188138)</v>
      </c>
      <c r="E229" s="93" t="str">
        <f ca="1">IFERROR(__xludf.DUMMYFUNCTION("""COMPUTED_VALUE"""),"CB37168")</f>
        <v>CB37168</v>
      </c>
      <c r="F229" s="94" t="str">
        <f ca="1">IFERROR(__xludf.DUMMYFUNCTION("""COMPUTED_VALUE"""),"Gravure Output #2")</f>
        <v>Gravure Output #2</v>
      </c>
      <c r="G229" s="95" t="str">
        <f ca="1">IFERROR(__xludf.DUMMYFUNCTION("""COMPUTED_VALUE"""),"New")</f>
        <v>New</v>
      </c>
      <c r="H229" s="96">
        <f ca="1">IFERROR(__xludf.DUMMYFUNCTION("""COMPUTED_VALUE"""),1)</f>
        <v>1</v>
      </c>
      <c r="I229" s="97">
        <f ca="1">IFERROR(__xludf.DUMMYFUNCTION("""COMPUTED_VALUE"""),46195)</f>
        <v>46195</v>
      </c>
      <c r="J229" s="98" t="str">
        <f ca="1">IFERROR(__xludf.DUMMYFUNCTION("""COMPUTED_VALUE"""),"CW37546_Jun26")</f>
        <v>CW37546_Jun26</v>
      </c>
      <c r="K229" s="99" t="str">
        <f ca="1">IFERROR(__xludf.DUMMYFUNCTION("""COMPUTED_VALUE"""),"Brief Submitted")</f>
        <v>Brief Submitted</v>
      </c>
    </row>
    <row r="230" spans="1:11" ht="13.2">
      <c r="A230" s="89" t="str">
        <f ca="1">IFERROR(__xludf.DUMMYFUNCTION("""COMPUTED_VALUE"""),"Xcel Mint Chewing Gum 120g Pouch Pack (Malaysia)")</f>
        <v>Xcel Mint Chewing Gum 120g Pouch Pack (Malaysia)</v>
      </c>
      <c r="B230" s="90" t="str">
        <f ca="1">IFERROR(__xludf.DUMMYFUNCTION("""COMPUTED_VALUE"""),"PCL")</f>
        <v>PCL</v>
      </c>
      <c r="C230" s="91" t="str">
        <f ca="1">IFERROR(__xludf.DUMMYFUNCTION("""COMPUTED_VALUE"""),"Zahirul Vai")</f>
        <v>Zahirul Vai</v>
      </c>
      <c r="D230" s="92" t="str">
        <f ca="1">IFERROR(__xludf.DUMMYFUNCTION("""COMPUTED_VALUE"""),"Jyotirmay Sarker (S188138)")</f>
        <v>Jyotirmay Sarker (S188138)</v>
      </c>
      <c r="E230" s="93" t="str">
        <f ca="1">IFERROR(__xludf.DUMMYFUNCTION("""COMPUTED_VALUE"""),"CB37168")</f>
        <v>CB37168</v>
      </c>
      <c r="F230" s="94" t="str">
        <f ca="1">IFERROR(__xludf.DUMMYFUNCTION("""COMPUTED_VALUE"""),"Gravure Output #2")</f>
        <v>Gravure Output #2</v>
      </c>
      <c r="G230" s="95" t="str">
        <f ca="1">IFERROR(__xludf.DUMMYFUNCTION("""COMPUTED_VALUE"""),"New")</f>
        <v>New</v>
      </c>
      <c r="H230" s="96">
        <f ca="1">IFERROR(__xludf.DUMMYFUNCTION("""COMPUTED_VALUE"""),1)</f>
        <v>1</v>
      </c>
      <c r="I230" s="97">
        <f ca="1">IFERROR(__xludf.DUMMYFUNCTION("""COMPUTED_VALUE"""),46195)</f>
        <v>46195</v>
      </c>
      <c r="J230" s="98" t="str">
        <f ca="1">IFERROR(__xludf.DUMMYFUNCTION("""COMPUTED_VALUE"""),"CW37546_Jun26")</f>
        <v>CW37546_Jun26</v>
      </c>
      <c r="K230" s="99" t="str">
        <f ca="1">IFERROR(__xludf.DUMMYFUNCTION("""COMPUTED_VALUE"""),"Brief Submitted")</f>
        <v>Brief Submitted</v>
      </c>
    </row>
    <row r="231" spans="1:11" ht="13.2">
      <c r="A231" s="89" t="str">
        <f ca="1">IFERROR(__xludf.DUMMYFUNCTION("""COMPUTED_VALUE"""),"Pran Tea Biscuit 100g for Oman")</f>
        <v>Pran Tea Biscuit 100g for Oman</v>
      </c>
      <c r="B231" s="90" t="str">
        <f ca="1">IFERROR(__xludf.DUMMYFUNCTION("""COMPUTED_VALUE"""),"BBL")</f>
        <v>BBL</v>
      </c>
      <c r="C231" s="91" t="str">
        <f ca="1">IFERROR(__xludf.DUMMYFUNCTION("""COMPUTED_VALUE"""),"Shamsul Sir")</f>
        <v>Shamsul Sir</v>
      </c>
      <c r="D231" s="92" t="str">
        <f ca="1">IFERROR(__xludf.DUMMYFUNCTION("""COMPUTED_VALUE"""),"Jyotirmay Sarker (S188138)")</f>
        <v>Jyotirmay Sarker (S188138)</v>
      </c>
      <c r="E231" s="93" t="str">
        <f ca="1">IFERROR(__xludf.DUMMYFUNCTION("""COMPUTED_VALUE"""),"CB37041")</f>
        <v>CB37041</v>
      </c>
      <c r="F231" s="94" t="str">
        <f ca="1">IFERROR(__xludf.DUMMYFUNCTION("""COMPUTED_VALUE"""),"Gravure Output #2")</f>
        <v>Gravure Output #2</v>
      </c>
      <c r="G231" s="95" t="str">
        <f ca="1">IFERROR(__xludf.DUMMYFUNCTION("""COMPUTED_VALUE"""),"New")</f>
        <v>New</v>
      </c>
      <c r="H231" s="96">
        <f ca="1">IFERROR(__xludf.DUMMYFUNCTION("""COMPUTED_VALUE"""),1)</f>
        <v>1</v>
      </c>
      <c r="I231" s="97">
        <f ca="1">IFERROR(__xludf.DUMMYFUNCTION("""COMPUTED_VALUE"""),46195)</f>
        <v>46195</v>
      </c>
      <c r="J231" s="98" t="str">
        <f ca="1">IFERROR(__xludf.DUMMYFUNCTION("""COMPUTED_VALUE"""),"CW37551_Jun26")</f>
        <v>CW37551_Jun26</v>
      </c>
      <c r="K231" s="99" t="str">
        <f ca="1">IFERROR(__xludf.DUMMYFUNCTION("""COMPUTED_VALUE"""),"Brief Submitted")</f>
        <v>Brief Submitted</v>
      </c>
    </row>
    <row r="232" spans="1:11" ht="13.2">
      <c r="A232" s="89" t="str">
        <f ca="1">IFERROR(__xludf.DUMMYFUNCTION("""COMPUTED_VALUE"""),"Pran Mustard Oil for EU Common")</f>
        <v>Pran Mustard Oil for EU Common</v>
      </c>
      <c r="B232" s="90" t="str">
        <f ca="1">IFERROR(__xludf.DUMMYFUNCTION("""COMPUTED_VALUE"""),"PAL")</f>
        <v>PAL</v>
      </c>
      <c r="C232" s="91" t="str">
        <f ca="1">IFERROR(__xludf.DUMMYFUNCTION("""COMPUTED_VALUE"""),"Saifullah Vai")</f>
        <v>Saifullah Vai</v>
      </c>
      <c r="D232" s="92" t="str">
        <f ca="1">IFERROR(__xludf.DUMMYFUNCTION("""COMPUTED_VALUE"""),"Jyotirmay Sarker (S188138)")</f>
        <v>Jyotirmay Sarker (S188138)</v>
      </c>
      <c r="E232" s="93" t="str">
        <f ca="1">IFERROR(__xludf.DUMMYFUNCTION("""COMPUTED_VALUE"""),"CB37219")</f>
        <v>CB37219</v>
      </c>
      <c r="F232" s="94" t="str">
        <f ca="1">IFERROR(__xludf.DUMMYFUNCTION("""COMPUTED_VALUE"""),"JAR Label Sticker Output")</f>
        <v>JAR Label Sticker Output</v>
      </c>
      <c r="G232" s="95" t="str">
        <f ca="1">IFERROR(__xludf.DUMMYFUNCTION("""COMPUTED_VALUE"""),"New")</f>
        <v>New</v>
      </c>
      <c r="H232" s="96">
        <f ca="1">IFERROR(__xludf.DUMMYFUNCTION("""COMPUTED_VALUE"""),3)</f>
        <v>3</v>
      </c>
      <c r="I232" s="97">
        <f ca="1">IFERROR(__xludf.DUMMYFUNCTION("""COMPUTED_VALUE"""),46195)</f>
        <v>46195</v>
      </c>
      <c r="J232" s="98" t="str">
        <f ca="1">IFERROR(__xludf.DUMMYFUNCTION("""COMPUTED_VALUE"""),"CW38670_Jun26")</f>
        <v>CW38670_Jun26</v>
      </c>
      <c r="K232" s="99" t="str">
        <f ca="1">IFERROR(__xludf.DUMMYFUNCTION("""COMPUTED_VALUE"""),"Brief Submitted")</f>
        <v>Brief Submitted</v>
      </c>
    </row>
    <row r="233" spans="1:11" ht="13.2">
      <c r="A233" s="89" t="str">
        <f ca="1">IFERROR(__xludf.DUMMYFUNCTION("""COMPUTED_VALUE"""),"Family Festival Box Design_output")</f>
        <v>Family Festival Box Design_output</v>
      </c>
      <c r="B233" s="90" t="str">
        <f ca="1">IFERROR(__xludf.DUMMYFUNCTION("""COMPUTED_VALUE"""),"BBL")</f>
        <v>BBL</v>
      </c>
      <c r="C233" s="91" t="str">
        <f ca="1">IFERROR(__xludf.DUMMYFUNCTION("""COMPUTED_VALUE"""),"Maksuda Apu")</f>
        <v>Maksuda Apu</v>
      </c>
      <c r="D233" s="92" t="str">
        <f ca="1">IFERROR(__xludf.DUMMYFUNCTION("""COMPUTED_VALUE"""),"Jyotirmay Sarker (S188138)")</f>
        <v>Jyotirmay Sarker (S188138)</v>
      </c>
      <c r="E233" s="93" t="str">
        <f ca="1">IFERROR(__xludf.DUMMYFUNCTION("""COMPUTED_VALUE"""),"CB23255_May26")</f>
        <v>CB23255_May26</v>
      </c>
      <c r="F233" s="94" t="str">
        <f ca="1">IFERROR(__xludf.DUMMYFUNCTION("""COMPUTED_VALUE"""),"ATC Box Output")</f>
        <v>ATC Box Output</v>
      </c>
      <c r="G233" s="95" t="str">
        <f ca="1">IFERROR(__xludf.DUMMYFUNCTION("""COMPUTED_VALUE"""),"New")</f>
        <v>New</v>
      </c>
      <c r="H233" s="96">
        <f ca="1">IFERROR(__xludf.DUMMYFUNCTION("""COMPUTED_VALUE"""),3)</f>
        <v>3</v>
      </c>
      <c r="I233" s="97">
        <f ca="1">IFERROR(__xludf.DUMMYFUNCTION("""COMPUTED_VALUE"""),46196)</f>
        <v>46196</v>
      </c>
      <c r="J233" s="98" t="str">
        <f ca="1">IFERROR(__xludf.DUMMYFUNCTION("""COMPUTED_VALUE"""),"CW37661_Jun26")</f>
        <v>CW37661_Jun26</v>
      </c>
      <c r="K233" s="99" t="str">
        <f ca="1">IFERROR(__xludf.DUMMYFUNCTION("""COMPUTED_VALUE"""),"HoM Approved")</f>
        <v>HoM Approved</v>
      </c>
    </row>
    <row r="234" spans="1:11" ht="13.2">
      <c r="A234" s="89" t="str">
        <f ca="1">IFERROR(__xludf.DUMMYFUNCTION("""COMPUTED_VALUE"""),"PRAN Garam Masala 50g_USA &amp; Europe")</f>
        <v>PRAN Garam Masala 50g_USA &amp; Europe</v>
      </c>
      <c r="B234" s="90" t="str">
        <f ca="1">IFERROR(__xludf.DUMMYFUNCTION("""COMPUTED_VALUE"""),"USA &amp; Europe")</f>
        <v>USA &amp; Europe</v>
      </c>
      <c r="C234" s="91" t="str">
        <f ca="1">IFERROR(__xludf.DUMMYFUNCTION("""COMPUTED_VALUE"""),"Saifullah Vai")</f>
        <v>Saifullah Vai</v>
      </c>
      <c r="D234" s="92" t="str">
        <f ca="1">IFERROR(__xludf.DUMMYFUNCTION("""COMPUTED_VALUE"""),"Jyotirmay Sarker (S188138)")</f>
        <v>Jyotirmay Sarker (S188138)</v>
      </c>
      <c r="E234" s="93" t="str">
        <f ca="1">IFERROR(__xludf.DUMMYFUNCTION("""COMPUTED_VALUE"""),"CB37514_Jun26")</f>
        <v>CB37514_Jun26</v>
      </c>
      <c r="F234" s="94" t="str">
        <f ca="1">IFERROR(__xludf.DUMMYFUNCTION("""COMPUTED_VALUE"""),"ATC Box Output")</f>
        <v>ATC Box Output</v>
      </c>
      <c r="G234" s="95" t="str">
        <f ca="1">IFERROR(__xludf.DUMMYFUNCTION("""COMPUTED_VALUE"""),"New")</f>
        <v>New</v>
      </c>
      <c r="H234" s="96">
        <f ca="1">IFERROR(__xludf.DUMMYFUNCTION("""COMPUTED_VALUE"""),1)</f>
        <v>1</v>
      </c>
      <c r="I234" s="97">
        <f ca="1">IFERROR(__xludf.DUMMYFUNCTION("""COMPUTED_VALUE"""),46200)</f>
        <v>46200</v>
      </c>
      <c r="J234" s="98" t="str">
        <f ca="1">IFERROR(__xludf.DUMMYFUNCTION("""COMPUTED_VALUE"""),"CW38059_Jun26")</f>
        <v>CW38059_Jun26</v>
      </c>
      <c r="K234" s="99" t="str">
        <f ca="1">IFERROR(__xludf.DUMMYFUNCTION("""COMPUTED_VALUE"""),"Brief Submitted")</f>
        <v>Brief Submitted</v>
      </c>
    </row>
    <row r="235" spans="1:11" ht="13.2">
      <c r="A235" s="89" t="str">
        <f ca="1">IFERROR(__xludf.DUMMYFUNCTION("""COMPUTED_VALUE"""),"Veggie Crisp 240g ATC box for USA")</f>
        <v>Veggie Crisp 240g ATC box for USA</v>
      </c>
      <c r="B235" s="90" t="str">
        <f ca="1">IFERROR(__xludf.DUMMYFUNCTION("""COMPUTED_VALUE"""),"BBL")</f>
        <v>BBL</v>
      </c>
      <c r="C235" s="91" t="str">
        <f ca="1">IFERROR(__xludf.DUMMYFUNCTION("""COMPUTED_VALUE"""),"Zahirul Vai")</f>
        <v>Zahirul Vai</v>
      </c>
      <c r="D235" s="92" t="str">
        <f ca="1">IFERROR(__xludf.DUMMYFUNCTION("""COMPUTED_VALUE"""),"Jyotirmay Sarker (S188138)")</f>
        <v>Jyotirmay Sarker (S188138)</v>
      </c>
      <c r="E235" s="93" t="str">
        <f ca="1">IFERROR(__xludf.DUMMYFUNCTION("""COMPUTED_VALUE"""),"CB37604_Jun26")</f>
        <v>CB37604_Jun26</v>
      </c>
      <c r="F235" s="94" t="str">
        <f ca="1">IFERROR(__xludf.DUMMYFUNCTION("""COMPUTED_VALUE"""),"ATC Box Output")</f>
        <v>ATC Box Output</v>
      </c>
      <c r="G235" s="95" t="str">
        <f ca="1">IFERROR(__xludf.DUMMYFUNCTION("""COMPUTED_VALUE"""),"New")</f>
        <v>New</v>
      </c>
      <c r="H235" s="96">
        <f ca="1">IFERROR(__xludf.DUMMYFUNCTION("""COMPUTED_VALUE"""),1)</f>
        <v>1</v>
      </c>
      <c r="I235" s="97">
        <f ca="1">IFERROR(__xludf.DUMMYFUNCTION("""COMPUTED_VALUE"""),46202)</f>
        <v>46202</v>
      </c>
      <c r="J235" s="98" t="str">
        <f ca="1">IFERROR(__xludf.DUMMYFUNCTION("""COMPUTED_VALUE"""),"CW38368_Jun26")</f>
        <v>CW38368_Jun26</v>
      </c>
      <c r="K235" s="99" t="str">
        <f ca="1">IFERROR(__xludf.DUMMYFUNCTION("""COMPUTED_VALUE"""),"Brief Submitted")</f>
        <v>Brief Submitted</v>
      </c>
    </row>
    <row r="236" spans="1:11" ht="13.2">
      <c r="A236" s="89" t="str">
        <f ca="1">IFERROR(__xludf.DUMMYFUNCTION("""COMPUTED_VALUE"""),"Veggie Crisp 240g ATC box for USA")</f>
        <v>Veggie Crisp 240g ATC box for USA</v>
      </c>
      <c r="B236" s="90" t="str">
        <f ca="1">IFERROR(__xludf.DUMMYFUNCTION("""COMPUTED_VALUE"""),"BBL")</f>
        <v>BBL</v>
      </c>
      <c r="C236" s="91" t="str">
        <f ca="1">IFERROR(__xludf.DUMMYFUNCTION("""COMPUTED_VALUE"""),"Zahirul Vai")</f>
        <v>Zahirul Vai</v>
      </c>
      <c r="D236" s="92" t="str">
        <f ca="1">IFERROR(__xludf.DUMMYFUNCTION("""COMPUTED_VALUE"""),"Jyotirmay Sarker (S188138)")</f>
        <v>Jyotirmay Sarker (S188138)</v>
      </c>
      <c r="E236" s="93" t="str">
        <f ca="1">IFERROR(__xludf.DUMMYFUNCTION("""COMPUTED_VALUE"""),"CB37604_Jun26")</f>
        <v>CB37604_Jun26</v>
      </c>
      <c r="F236" s="94" t="str">
        <f ca="1">IFERROR(__xludf.DUMMYFUNCTION("""COMPUTED_VALUE"""),"Layout/Dieline Making")</f>
        <v>Layout/Dieline Making</v>
      </c>
      <c r="G236" s="95" t="str">
        <f ca="1">IFERROR(__xludf.DUMMYFUNCTION("""COMPUTED_VALUE"""),"New")</f>
        <v>New</v>
      </c>
      <c r="H236" s="96">
        <f ca="1">IFERROR(__xludf.DUMMYFUNCTION("""COMPUTED_VALUE"""),1)</f>
        <v>1</v>
      </c>
      <c r="I236" s="97">
        <f ca="1">IFERROR(__xludf.DUMMYFUNCTION("""COMPUTED_VALUE"""),46202)</f>
        <v>46202</v>
      </c>
      <c r="J236" s="98" t="str">
        <f ca="1">IFERROR(__xludf.DUMMYFUNCTION("""COMPUTED_VALUE"""),"CW38368_Jun26")</f>
        <v>CW38368_Jun26</v>
      </c>
      <c r="K236" s="99" t="str">
        <f ca="1">IFERROR(__xludf.DUMMYFUNCTION("""COMPUTED_VALUE"""),"Brief Submitted")</f>
        <v>Brief Submitted</v>
      </c>
    </row>
    <row r="237" spans="1:11" ht="13.2">
      <c r="A237" s="89" t="str">
        <f ca="1">IFERROR(__xludf.DUMMYFUNCTION("""COMPUTED_VALUE"""),"Soft Bite Premium Round ATC Box")</f>
        <v>Soft Bite Premium Round ATC Box</v>
      </c>
      <c r="B237" s="90" t="str">
        <f ca="1">IFERROR(__xludf.DUMMYFUNCTION("""COMPUTED_VALUE"""),"PCL")</f>
        <v>PCL</v>
      </c>
      <c r="C237" s="91" t="str">
        <f ca="1">IFERROR(__xludf.DUMMYFUNCTION("""COMPUTED_VALUE"""),"Sohel Vai")</f>
        <v>Sohel Vai</v>
      </c>
      <c r="D237" s="92" t="str">
        <f ca="1">IFERROR(__xludf.DUMMYFUNCTION("""COMPUTED_VALUE"""),"Jyotirmay Sarker (S188138)")</f>
        <v>Jyotirmay Sarker (S188138)</v>
      </c>
      <c r="E237" s="93" t="str">
        <f ca="1">IFERROR(__xludf.DUMMYFUNCTION("""COMPUTED_VALUE"""),"CB36732_Jun26")</f>
        <v>CB36732_Jun26</v>
      </c>
      <c r="F237" s="94" t="str">
        <f ca="1">IFERROR(__xludf.DUMMYFUNCTION("""COMPUTED_VALUE"""),"ATC Box Output")</f>
        <v>ATC Box Output</v>
      </c>
      <c r="G237" s="95" t="str">
        <f ca="1">IFERROR(__xludf.DUMMYFUNCTION("""COMPUTED_VALUE"""),"New")</f>
        <v>New</v>
      </c>
      <c r="H237" s="96">
        <f ca="1">IFERROR(__xludf.DUMMYFUNCTION("""COMPUTED_VALUE"""),4)</f>
        <v>4</v>
      </c>
      <c r="I237" s="97">
        <f ca="1">IFERROR(__xludf.DUMMYFUNCTION("""COMPUTED_VALUE"""),46209)</f>
        <v>46209</v>
      </c>
      <c r="J237" s="98" t="str">
        <f ca="1">IFERROR(__xludf.DUMMYFUNCTION("""COMPUTED_VALUE"""),"CW39648_Jul26")</f>
        <v>CW39648_Jul26</v>
      </c>
      <c r="K237" s="99" t="str">
        <f ca="1">IFERROR(__xludf.DUMMYFUNCTION("""COMPUTED_VALUE"""),"Brief Submitted")</f>
        <v>Brief Submitted</v>
      </c>
    </row>
    <row r="238" spans="1:11" ht="13.2">
      <c r="A238" s="89" t="str">
        <f ca="1">IFERROR(__xludf.DUMMYFUNCTION("""COMPUTED_VALUE"""),"Soft Bite Premium Round ATC Box")</f>
        <v>Soft Bite Premium Round ATC Box</v>
      </c>
      <c r="B238" s="90" t="str">
        <f ca="1">IFERROR(__xludf.DUMMYFUNCTION("""COMPUTED_VALUE"""),"PCL")</f>
        <v>PCL</v>
      </c>
      <c r="C238" s="91" t="str">
        <f ca="1">IFERROR(__xludf.DUMMYFUNCTION("""COMPUTED_VALUE"""),"Sohel Vai")</f>
        <v>Sohel Vai</v>
      </c>
      <c r="D238" s="92" t="str">
        <f ca="1">IFERROR(__xludf.DUMMYFUNCTION("""COMPUTED_VALUE"""),"Jyotirmay Sarker (S188138)")</f>
        <v>Jyotirmay Sarker (S188138)</v>
      </c>
      <c r="E238" s="93" t="str">
        <f ca="1">IFERROR(__xludf.DUMMYFUNCTION("""COMPUTED_VALUE"""),"CB36732_Jun26")</f>
        <v>CB36732_Jun26</v>
      </c>
      <c r="F238" s="94" t="str">
        <f ca="1">IFERROR(__xludf.DUMMYFUNCTION("""COMPUTED_VALUE"""),"Layout/Dieline Making")</f>
        <v>Layout/Dieline Making</v>
      </c>
      <c r="G238" s="95" t="str">
        <f ca="1">IFERROR(__xludf.DUMMYFUNCTION("""COMPUTED_VALUE"""),"New")</f>
        <v>New</v>
      </c>
      <c r="H238" s="96">
        <f ca="1">IFERROR(__xludf.DUMMYFUNCTION("""COMPUTED_VALUE"""),4)</f>
        <v>4</v>
      </c>
      <c r="I238" s="97">
        <f ca="1">IFERROR(__xludf.DUMMYFUNCTION("""COMPUTED_VALUE"""),46209)</f>
        <v>46209</v>
      </c>
      <c r="J238" s="98" t="str">
        <f ca="1">IFERROR(__xludf.DUMMYFUNCTION("""COMPUTED_VALUE"""),"CW39648_Jul26")</f>
        <v>CW39648_Jul26</v>
      </c>
      <c r="K238" s="99" t="str">
        <f ca="1">IFERROR(__xludf.DUMMYFUNCTION("""COMPUTED_VALUE"""),"Brief Submitted")</f>
        <v>Brief Submitted</v>
      </c>
    </row>
    <row r="239" spans="1:11" ht="13.2">
      <c r="A239" s="89" t="str">
        <f ca="1">IFERROR(__xludf.DUMMYFUNCTION("""COMPUTED_VALUE"""),"Tasty Treat Soan Papdi 25g, 200g &amp; 500g Foil Pack.")</f>
        <v>Tasty Treat Soan Papdi 25g, 200g &amp; 500g Foil Pack.</v>
      </c>
      <c r="B239" s="90" t="str">
        <f ca="1">IFERROR(__xludf.DUMMYFUNCTION("""COMPUTED_VALUE"""),"Tasty Treat")</f>
        <v>Tasty Treat</v>
      </c>
      <c r="C239" s="91" t="str">
        <f ca="1">IFERROR(__xludf.DUMMYFUNCTION("""COMPUTED_VALUE"""),"Nahian Vai")</f>
        <v>Nahian Vai</v>
      </c>
      <c r="D239" s="92" t="str">
        <f ca="1">IFERROR(__xludf.DUMMYFUNCTION("""COMPUTED_VALUE"""),"Jyotirmay Sarker (S188138)")</f>
        <v>Jyotirmay Sarker (S188138)</v>
      </c>
      <c r="E239" s="93" t="str">
        <f ca="1">IFERROR(__xludf.DUMMYFUNCTION("""COMPUTED_VALUE"""),"CB36041_Jun26")</f>
        <v>CB36041_Jun26</v>
      </c>
      <c r="F239" s="94" t="str">
        <f ca="1">IFERROR(__xludf.DUMMYFUNCTION("""COMPUTED_VALUE"""),"Gravure Output #2")</f>
        <v>Gravure Output #2</v>
      </c>
      <c r="G239" s="95" t="str">
        <f ca="1">IFERROR(__xludf.DUMMYFUNCTION("""COMPUTED_VALUE"""),"New")</f>
        <v>New</v>
      </c>
      <c r="H239" s="96">
        <f ca="1">IFERROR(__xludf.DUMMYFUNCTION("""COMPUTED_VALUE"""),3)</f>
        <v>3</v>
      </c>
      <c r="I239" s="97">
        <f ca="1">IFERROR(__xludf.DUMMYFUNCTION("""COMPUTED_VALUE"""),46204)</f>
        <v>46204</v>
      </c>
      <c r="J239" s="98" t="str">
        <f ca="1">IFERROR(__xludf.DUMMYFUNCTION("""COMPUTED_VALUE"""),"CW38852_Jul26")</f>
        <v>CW38852_Jul26</v>
      </c>
      <c r="K239" s="99" t="str">
        <f ca="1">IFERROR(__xludf.DUMMYFUNCTION("""COMPUTED_VALUE"""),"HoM Approved")</f>
        <v>HoM Approved</v>
      </c>
    </row>
    <row r="240" spans="1:11" ht="13.2">
      <c r="A240" s="89" t="str">
        <f ca="1">IFERROR(__xludf.DUMMYFUNCTION("""COMPUTED_VALUE"""),"Pran Spice Powder 100g / 500g / 1kg Foil for Singapore")</f>
        <v>Pran Spice Powder 100g / 500g / 1kg Foil for Singapore</v>
      </c>
      <c r="B240" s="90" t="str">
        <f ca="1">IFERROR(__xludf.DUMMYFUNCTION("""COMPUTED_VALUE"""),"Africa")</f>
        <v>Africa</v>
      </c>
      <c r="C240" s="91" t="str">
        <f ca="1">IFERROR(__xludf.DUMMYFUNCTION("""COMPUTED_VALUE"""),"Mona Apu")</f>
        <v>Mona Apu</v>
      </c>
      <c r="D240" s="92" t="str">
        <f ca="1">IFERROR(__xludf.DUMMYFUNCTION("""COMPUTED_VALUE"""),"Jyotirmay Sarker (S188138)")</f>
        <v>Jyotirmay Sarker (S188138)</v>
      </c>
      <c r="E240" s="93" t="str">
        <f ca="1">IFERROR(__xludf.DUMMYFUNCTION("""COMPUTED_VALUE"""),"CB37300_Jun26")</f>
        <v>CB37300_Jun26</v>
      </c>
      <c r="F240" s="94" t="str">
        <f ca="1">IFERROR(__xludf.DUMMYFUNCTION("""COMPUTED_VALUE"""),"Gravure Output #2")</f>
        <v>Gravure Output #2</v>
      </c>
      <c r="G240" s="95" t="str">
        <f ca="1">IFERROR(__xludf.DUMMYFUNCTION("""COMPUTED_VALUE"""),"New")</f>
        <v>New</v>
      </c>
      <c r="H240" s="96">
        <f ca="1">IFERROR(__xludf.DUMMYFUNCTION("""COMPUTED_VALUE"""),6)</f>
        <v>6</v>
      </c>
      <c r="I240" s="97">
        <f ca="1">IFERROR(__xludf.DUMMYFUNCTION("""COMPUTED_VALUE"""),46205)</f>
        <v>46205</v>
      </c>
      <c r="J240" s="98" t="str">
        <f ca="1">IFERROR(__xludf.DUMMYFUNCTION("""COMPUTED_VALUE"""),"CW39073_Jul26")</f>
        <v>CW39073_Jul26</v>
      </c>
      <c r="K240" s="99" t="str">
        <f ca="1">IFERROR(__xludf.DUMMYFUNCTION("""COMPUTED_VALUE"""),"Brief Submitted")</f>
        <v>Brief Submitted</v>
      </c>
    </row>
    <row r="241" spans="1:11" ht="13.2">
      <c r="A241" s="89" t="str">
        <f ca="1">IFERROR(__xludf.DUMMYFUNCTION("""COMPUTED_VALUE"""),"Bisk Club Lexus Biscuits")</f>
        <v>Bisk Club Lexus Biscuits</v>
      </c>
      <c r="B241" s="90" t="str">
        <f ca="1">IFERROR(__xludf.DUMMYFUNCTION("""COMPUTED_VALUE"""),"BBL")</f>
        <v>BBL</v>
      </c>
      <c r="C241" s="91" t="str">
        <f ca="1">IFERROR(__xludf.DUMMYFUNCTION("""COMPUTED_VALUE"""),"Maksuda Apu")</f>
        <v>Maksuda Apu</v>
      </c>
      <c r="D241" s="92" t="str">
        <f ca="1">IFERROR(__xludf.DUMMYFUNCTION("""COMPUTED_VALUE"""),"Jyotirmay Sarker (S188138)")</f>
        <v>Jyotirmay Sarker (S188138)</v>
      </c>
      <c r="E241" s="93" t="str">
        <f ca="1">IFERROR(__xludf.DUMMYFUNCTION("""COMPUTED_VALUE"""),"CB38624_Jul26")</f>
        <v>CB38624_Jul26</v>
      </c>
      <c r="F241" s="94" t="str">
        <f ca="1">IFERROR(__xludf.DUMMYFUNCTION("""COMPUTED_VALUE"""),"ATC Box Output")</f>
        <v>ATC Box Output</v>
      </c>
      <c r="G241" s="95" t="str">
        <f ca="1">IFERROR(__xludf.DUMMYFUNCTION("""COMPUTED_VALUE"""),"New")</f>
        <v>New</v>
      </c>
      <c r="H241" s="96">
        <f ca="1">IFERROR(__xludf.DUMMYFUNCTION("""COMPUTED_VALUE"""),1)</f>
        <v>1</v>
      </c>
      <c r="I241" s="97">
        <f ca="1">IFERROR(__xludf.DUMMYFUNCTION("""COMPUTED_VALUE"""),46207)</f>
        <v>46207</v>
      </c>
      <c r="J241" s="98" t="str">
        <f ca="1">IFERROR(__xludf.DUMMYFUNCTION("""COMPUTED_VALUE"""),"CW39309_Jul26")</f>
        <v>CW39309_Jul26</v>
      </c>
      <c r="K241" s="99" t="str">
        <f ca="1">IFERROR(__xludf.DUMMYFUNCTION("""COMPUTED_VALUE"""),"BM Approved")</f>
        <v>BM Approved</v>
      </c>
    </row>
    <row r="242" spans="1:11" ht="13.2">
      <c r="A242" s="89" t="str">
        <f ca="1">IFERROR(__xludf.DUMMYFUNCTION("""COMPUTED_VALUE"""),"Pran Noodles Ramen 85g for KSA")</f>
        <v>Pran Noodles Ramen 85g for KSA</v>
      </c>
      <c r="B242" s="90" t="str">
        <f ca="1">IFERROR(__xludf.DUMMYFUNCTION("""COMPUTED_VALUE"""),"PAL")</f>
        <v>PAL</v>
      </c>
      <c r="C242" s="91" t="str">
        <f ca="1">IFERROR(__xludf.DUMMYFUNCTION("""COMPUTED_VALUE"""),"Shamsul Sir")</f>
        <v>Shamsul Sir</v>
      </c>
      <c r="D242" s="92" t="str">
        <f ca="1">IFERROR(__xludf.DUMMYFUNCTION("""COMPUTED_VALUE"""),"Jyotirmay Sarker (S188138)")</f>
        <v>Jyotirmay Sarker (S188138)</v>
      </c>
      <c r="E242" s="93" t="str">
        <f ca="1">IFERROR(__xludf.DUMMYFUNCTION("""COMPUTED_VALUE"""),"CB36692_Jun26")</f>
        <v>CB36692_Jun26</v>
      </c>
      <c r="F242" s="94" t="str">
        <f ca="1">IFERROR(__xludf.DUMMYFUNCTION("""COMPUTED_VALUE"""),"Gravure Output #2")</f>
        <v>Gravure Output #2</v>
      </c>
      <c r="G242" s="95" t="str">
        <f ca="1">IFERROR(__xludf.DUMMYFUNCTION("""COMPUTED_VALUE"""),"New")</f>
        <v>New</v>
      </c>
      <c r="H242" s="96">
        <f ca="1">IFERROR(__xludf.DUMMYFUNCTION("""COMPUTED_VALUE"""),4)</f>
        <v>4</v>
      </c>
      <c r="I242" s="97">
        <f ca="1">IFERROR(__xludf.DUMMYFUNCTION("""COMPUTED_VALUE"""),46210)</f>
        <v>46210</v>
      </c>
      <c r="J242" s="98" t="str">
        <f ca="1">IFERROR(__xludf.DUMMYFUNCTION("""COMPUTED_VALUE"""),"CW39754_Jul26")</f>
        <v>CW39754_Jul26</v>
      </c>
      <c r="K242" s="99" t="str">
        <f ca="1">IFERROR(__xludf.DUMMYFUNCTION("""COMPUTED_VALUE"""),"Brief Submitted")</f>
        <v>Brief Submitted</v>
      </c>
    </row>
    <row r="243" spans="1:11" ht="13.2">
      <c r="A243" s="89" t="str">
        <f ca="1">IFERROR(__xludf.DUMMYFUNCTION("""COMPUTED_VALUE"""),"Desime Noodles Single &amp; Family Pack_USA &amp; Europe")</f>
        <v>Desime Noodles Single &amp; Family Pack_USA &amp; Europe</v>
      </c>
      <c r="B243" s="90" t="str">
        <f ca="1">IFERROR(__xludf.DUMMYFUNCTION("""COMPUTED_VALUE"""),"USA &amp; Europe")</f>
        <v>USA &amp; Europe</v>
      </c>
      <c r="C243" s="91" t="str">
        <f ca="1">IFERROR(__xludf.DUMMYFUNCTION("""COMPUTED_VALUE"""),"Saifullah Vai")</f>
        <v>Saifullah Vai</v>
      </c>
      <c r="D243" s="92" t="str">
        <f ca="1">IFERROR(__xludf.DUMMYFUNCTION("""COMPUTED_VALUE"""),"Jyotirmay Sarker (S188138)")</f>
        <v>Jyotirmay Sarker (S188138)</v>
      </c>
      <c r="E243" s="93" t="str">
        <f ca="1">IFERROR(__xludf.DUMMYFUNCTION("""COMPUTED_VALUE"""),"CB36681_Jun26")</f>
        <v>CB36681_Jun26</v>
      </c>
      <c r="F243" s="94" t="str">
        <f ca="1">IFERROR(__xludf.DUMMYFUNCTION("""COMPUTED_VALUE"""),"Gravure Output #2")</f>
        <v>Gravure Output #2</v>
      </c>
      <c r="G243" s="95" t="str">
        <f ca="1">IFERROR(__xludf.DUMMYFUNCTION("""COMPUTED_VALUE"""),"New")</f>
        <v>New</v>
      </c>
      <c r="H243" s="96">
        <f ca="1">IFERROR(__xludf.DUMMYFUNCTION("""COMPUTED_VALUE"""),2)</f>
        <v>2</v>
      </c>
      <c r="I243" s="97">
        <f ca="1">IFERROR(__xludf.DUMMYFUNCTION("""COMPUTED_VALUE"""),46208)</f>
        <v>46208</v>
      </c>
      <c r="J243" s="98" t="str">
        <f ca="1">IFERROR(__xludf.DUMMYFUNCTION("""COMPUTED_VALUE"""),"CW39419_Jul26")</f>
        <v>CW39419_Jul26</v>
      </c>
      <c r="K243" s="99" t="str">
        <f ca="1">IFERROR(__xludf.DUMMYFUNCTION("""COMPUTED_VALUE"""),"Brief Submitted")</f>
        <v>Brief Submitted</v>
      </c>
    </row>
    <row r="244" spans="1:11" ht="13.2">
      <c r="A244" s="89" t="str">
        <f ca="1">IFERROR(__xludf.DUMMYFUNCTION("""COMPUTED_VALUE"""),"CB37137_Mr. Noodles Thai Exotic 85g (Philipine)")</f>
        <v>CB37137_Mr. Noodles Thai Exotic 85g (Philipine)</v>
      </c>
      <c r="B244" s="90" t="str">
        <f ca="1">IFERROR(__xludf.DUMMYFUNCTION("""COMPUTED_VALUE"""),"Unknown")</f>
        <v>Unknown</v>
      </c>
      <c r="C244" s="91" t="str">
        <f ca="1">IFERROR(__xludf.DUMMYFUNCTION("""COMPUTED_VALUE"""),"Rakib Vai")</f>
        <v>Rakib Vai</v>
      </c>
      <c r="D244" s="92" t="str">
        <f ca="1">IFERROR(__xludf.DUMMYFUNCTION("""COMPUTED_VALUE"""),"Jyotirmay Sarker (S188138)")</f>
        <v>Jyotirmay Sarker (S188138)</v>
      </c>
      <c r="E244" s="93" t="str">
        <f ca="1">IFERROR(__xludf.DUMMYFUNCTION("""COMPUTED_VALUE"""),"CB37137")</f>
        <v>CB37137</v>
      </c>
      <c r="F244" s="94" t="str">
        <f ca="1">IFERROR(__xludf.DUMMYFUNCTION("""COMPUTED_VALUE"""),"Black Cylinder Output")</f>
        <v>Black Cylinder Output</v>
      </c>
      <c r="G244" s="95" t="str">
        <f ca="1">IFERROR(__xludf.DUMMYFUNCTION("""COMPUTED_VALUE"""),"New")</f>
        <v>New</v>
      </c>
      <c r="H244" s="96">
        <f ca="1">IFERROR(__xludf.DUMMYFUNCTION("""COMPUTED_VALUE"""),5)</f>
        <v>5</v>
      </c>
      <c r="I244" s="97">
        <f ca="1">IFERROR(__xludf.DUMMYFUNCTION("""COMPUTED_VALUE"""),46208)</f>
        <v>46208</v>
      </c>
      <c r="J244" s="98" t="str">
        <f ca="1">IFERROR(__xludf.DUMMYFUNCTION("""COMPUTED_VALUE"""),"Unknown")</f>
        <v>Unknown</v>
      </c>
      <c r="K244" s="99" t="str">
        <f ca="1">IFERROR(__xludf.DUMMYFUNCTION("""COMPUTED_VALUE"""),"Brief Submitted")</f>
        <v>Brief Submitted</v>
      </c>
    </row>
    <row r="245" spans="1:11" ht="13.2">
      <c r="A245" s="89" t="str">
        <f ca="1">IFERROR(__xludf.DUMMYFUNCTION("""COMPUTED_VALUE"""),"Pran Vapa Pitha 400g ATC")</f>
        <v>Pran Vapa Pitha 400g ATC</v>
      </c>
      <c r="B245" s="90" t="str">
        <f ca="1">IFERROR(__xludf.DUMMYFUNCTION("""COMPUTED_VALUE"""),"PFF")</f>
        <v>PFF</v>
      </c>
      <c r="C245" s="91" t="str">
        <f ca="1">IFERROR(__xludf.DUMMYFUNCTION("""COMPUTED_VALUE"""),"Zahirul Vai")</f>
        <v>Zahirul Vai</v>
      </c>
      <c r="D245" s="92" t="str">
        <f ca="1">IFERROR(__xludf.DUMMYFUNCTION("""COMPUTED_VALUE"""),"Jyotirmay Sarker (S188138)")</f>
        <v>Jyotirmay Sarker (S188138)</v>
      </c>
      <c r="E245" s="93" t="str">
        <f ca="1">IFERROR(__xludf.DUMMYFUNCTION("""COMPUTED_VALUE"""),"CB38723_Jul26")</f>
        <v>CB38723_Jul26</v>
      </c>
      <c r="F245" s="94" t="str">
        <f ca="1">IFERROR(__xludf.DUMMYFUNCTION("""COMPUTED_VALUE"""),"ATC Box Output")</f>
        <v>ATC Box Output</v>
      </c>
      <c r="G245" s="95" t="str">
        <f ca="1">IFERROR(__xludf.DUMMYFUNCTION("""COMPUTED_VALUE"""),"New")</f>
        <v>New</v>
      </c>
      <c r="H245" s="96">
        <f ca="1">IFERROR(__xludf.DUMMYFUNCTION("""COMPUTED_VALUE"""),1)</f>
        <v>1</v>
      </c>
      <c r="I245" s="97">
        <f ca="1">IFERROR(__xludf.DUMMYFUNCTION("""COMPUTED_VALUE"""),46208)</f>
        <v>46208</v>
      </c>
      <c r="J245" s="98" t="str">
        <f ca="1">IFERROR(__xludf.DUMMYFUNCTION("""COMPUTED_VALUE"""),"CW39657_Jul26")</f>
        <v>CW39657_Jul26</v>
      </c>
      <c r="K245" s="99" t="str">
        <f ca="1">IFERROR(__xludf.DUMMYFUNCTION("""COMPUTED_VALUE"""),"Brief Submitted")</f>
        <v>Brief Submitted</v>
      </c>
    </row>
    <row r="246" spans="1:11" ht="13.2">
      <c r="A246" s="89" t="str">
        <f ca="1">IFERROR(__xludf.DUMMYFUNCTION("""COMPUTED_VALUE"""),"Vapa Pitha 4 Pcs ATC")</f>
        <v>Vapa Pitha 4 Pcs ATC</v>
      </c>
      <c r="B246" s="90" t="str">
        <f ca="1">IFERROR(__xludf.DUMMYFUNCTION("""COMPUTED_VALUE"""),"PFF")</f>
        <v>PFF</v>
      </c>
      <c r="C246" s="91" t="str">
        <f ca="1">IFERROR(__xludf.DUMMYFUNCTION("""COMPUTED_VALUE"""),"Zahirul Vai")</f>
        <v>Zahirul Vai</v>
      </c>
      <c r="D246" s="92" t="str">
        <f ca="1">IFERROR(__xludf.DUMMYFUNCTION("""COMPUTED_VALUE"""),"Jyotirmay Sarker (S188138)")</f>
        <v>Jyotirmay Sarker (S188138)</v>
      </c>
      <c r="E246" s="93" t="str">
        <f ca="1">IFERROR(__xludf.DUMMYFUNCTION("""COMPUTED_VALUE"""),"CB38723_Jul26")</f>
        <v>CB38723_Jul26</v>
      </c>
      <c r="F246" s="94" t="str">
        <f ca="1">IFERROR(__xludf.DUMMYFUNCTION("""COMPUTED_VALUE"""),"ATC Box Output")</f>
        <v>ATC Box Output</v>
      </c>
      <c r="G246" s="95" t="str">
        <f ca="1">IFERROR(__xludf.DUMMYFUNCTION("""COMPUTED_VALUE"""),"New")</f>
        <v>New</v>
      </c>
      <c r="H246" s="96">
        <f ca="1">IFERROR(__xludf.DUMMYFUNCTION("""COMPUTED_VALUE"""),1)</f>
        <v>1</v>
      </c>
      <c r="I246" s="97">
        <f ca="1">IFERROR(__xludf.DUMMYFUNCTION("""COMPUTED_VALUE"""),46208)</f>
        <v>46208</v>
      </c>
      <c r="J246" s="98" t="str">
        <f ca="1">IFERROR(__xludf.DUMMYFUNCTION("""COMPUTED_VALUE"""),"CW39657_Jul26")</f>
        <v>CW39657_Jul26</v>
      </c>
      <c r="K246" s="99" t="str">
        <f ca="1">IFERROR(__xludf.DUMMYFUNCTION("""COMPUTED_VALUE"""),"Brief Submitted")</f>
        <v>Brief Submitted</v>
      </c>
    </row>
    <row r="247" spans="1:11" ht="13.2">
      <c r="A247" s="89" t="str">
        <f ca="1">IFERROR(__xludf.DUMMYFUNCTION("""COMPUTED_VALUE"""),"PRAN Lolli Pop Assorted Fruit Flavoured 9g x 36 Pcs Jar Label ")</f>
        <v xml:space="preserve">PRAN Lolli Pop Assorted Fruit Flavoured 9g x 36 Pcs Jar Label </v>
      </c>
      <c r="B247" s="90" t="str">
        <f ca="1">IFERROR(__xludf.DUMMYFUNCTION("""COMPUTED_VALUE"""),"PCL")</f>
        <v>PCL</v>
      </c>
      <c r="C247" s="91" t="str">
        <f ca="1">IFERROR(__xludf.DUMMYFUNCTION("""COMPUTED_VALUE"""),"Zahirul Vai")</f>
        <v>Zahirul Vai</v>
      </c>
      <c r="D247" s="92" t="str">
        <f ca="1">IFERROR(__xludf.DUMMYFUNCTION("""COMPUTED_VALUE"""),"Jyotirmay Sarker (S188138)")</f>
        <v>Jyotirmay Sarker (S188138)</v>
      </c>
      <c r="E247" s="93" t="str">
        <f ca="1">IFERROR(__xludf.DUMMYFUNCTION("""COMPUTED_VALUE"""),"CB38746")</f>
        <v>CB38746</v>
      </c>
      <c r="F247" s="94" t="str">
        <f ca="1">IFERROR(__xludf.DUMMYFUNCTION("""COMPUTED_VALUE"""),"JAR Label Sticker Output")</f>
        <v>JAR Label Sticker Output</v>
      </c>
      <c r="G247" s="95" t="str">
        <f ca="1">IFERROR(__xludf.DUMMYFUNCTION("""COMPUTED_VALUE"""),"New")</f>
        <v>New</v>
      </c>
      <c r="H247" s="96">
        <f ca="1">IFERROR(__xludf.DUMMYFUNCTION("""COMPUTED_VALUE"""),1)</f>
        <v>1</v>
      </c>
      <c r="I247" s="97">
        <f ca="1">IFERROR(__xludf.DUMMYFUNCTION("""COMPUTED_VALUE"""),46210)</f>
        <v>46210</v>
      </c>
      <c r="J247" s="98" t="str">
        <f ca="1">IFERROR(__xludf.DUMMYFUNCTION("""COMPUTED_VALUE"""),"Unknown")</f>
        <v>Unknown</v>
      </c>
      <c r="K247" s="99" t="str">
        <f ca="1">IFERROR(__xludf.DUMMYFUNCTION("""COMPUTED_VALUE"""),"In Review")</f>
        <v>In Review</v>
      </c>
    </row>
    <row r="248" spans="1:11" ht="13.2">
      <c r="A248" s="89" t="str">
        <f ca="1">IFERROR(__xludf.DUMMYFUNCTION("""COMPUTED_VALUE"""),"PRAN Whirly Lollipops 15g x 28 Pcs ATC Box.")</f>
        <v>PRAN Whirly Lollipops 15g x 28 Pcs ATC Box.</v>
      </c>
      <c r="B248" s="90" t="str">
        <f ca="1">IFERROR(__xludf.DUMMYFUNCTION("""COMPUTED_VALUE"""),"PCL")</f>
        <v>PCL</v>
      </c>
      <c r="C248" s="91" t="str">
        <f ca="1">IFERROR(__xludf.DUMMYFUNCTION("""COMPUTED_VALUE"""),"Zahirul Vai")</f>
        <v>Zahirul Vai</v>
      </c>
      <c r="D248" s="92" t="str">
        <f ca="1">IFERROR(__xludf.DUMMYFUNCTION("""COMPUTED_VALUE"""),"Jyotirmay Sarker (S188138)")</f>
        <v>Jyotirmay Sarker (S188138)</v>
      </c>
      <c r="E248" s="93" t="str">
        <f ca="1">IFERROR(__xludf.DUMMYFUNCTION("""COMPUTED_VALUE"""),"CB38746")</f>
        <v>CB38746</v>
      </c>
      <c r="F248" s="94" t="str">
        <f ca="1">IFERROR(__xludf.DUMMYFUNCTION("""COMPUTED_VALUE"""),"ATC Box Output")</f>
        <v>ATC Box Output</v>
      </c>
      <c r="G248" s="95" t="str">
        <f ca="1">IFERROR(__xludf.DUMMYFUNCTION("""COMPUTED_VALUE"""),"New")</f>
        <v>New</v>
      </c>
      <c r="H248" s="96">
        <f ca="1">IFERROR(__xludf.DUMMYFUNCTION("""COMPUTED_VALUE"""),1)</f>
        <v>1</v>
      </c>
      <c r="I248" s="97">
        <f ca="1">IFERROR(__xludf.DUMMYFUNCTION("""COMPUTED_VALUE"""),46210)</f>
        <v>46210</v>
      </c>
      <c r="J248" s="98" t="str">
        <f ca="1">IFERROR(__xludf.DUMMYFUNCTION("""COMPUTED_VALUE"""),"Unknown")</f>
        <v>Unknown</v>
      </c>
      <c r="K248" s="99" t="str">
        <f ca="1">IFERROR(__xludf.DUMMYFUNCTION("""COMPUTED_VALUE"""),"In Review")</f>
        <v>In Review</v>
      </c>
    </row>
    <row r="249" spans="1:11" ht="13.2">
      <c r="A249" s="89" t="str">
        <f ca="1">IFERROR(__xludf.DUMMYFUNCTION("""COMPUTED_VALUE"""),"Lolli king Assorted Eclair-300 gm_ATC")</f>
        <v>Lolli king Assorted Eclair-300 gm_ATC</v>
      </c>
      <c r="B249" s="90" t="str">
        <f ca="1">IFERROR(__xludf.DUMMYFUNCTION("""COMPUTED_VALUE"""),"Unknown")</f>
        <v>Unknown</v>
      </c>
      <c r="C249" s="91" t="str">
        <f ca="1">IFERROR(__xludf.DUMMYFUNCTION("""COMPUTED_VALUE"""),"Rakib Vai")</f>
        <v>Rakib Vai</v>
      </c>
      <c r="D249" s="92" t="str">
        <f ca="1">IFERROR(__xludf.DUMMYFUNCTION("""COMPUTED_VALUE"""),"Jyotirmay Sarker (S188138)")</f>
        <v>Jyotirmay Sarker (S188138)</v>
      </c>
      <c r="E249" s="93" t="str">
        <f ca="1">IFERROR(__xludf.DUMMYFUNCTION("""COMPUTED_VALUE"""),"CB22746")</f>
        <v>CB22746</v>
      </c>
      <c r="F249" s="94" t="str">
        <f ca="1">IFERROR(__xludf.DUMMYFUNCTION("""COMPUTED_VALUE"""),"Logo Design")</f>
        <v>Logo Design</v>
      </c>
      <c r="G249" s="95" t="str">
        <f ca="1">IFERROR(__xludf.DUMMYFUNCTION("""COMPUTED_VALUE"""),"New")</f>
        <v>New</v>
      </c>
      <c r="H249" s="96">
        <f ca="1">IFERROR(__xludf.DUMMYFUNCTION("""COMPUTED_VALUE"""),1)</f>
        <v>1</v>
      </c>
      <c r="I249" s="97">
        <f ca="1">IFERROR(__xludf.DUMMYFUNCTION("""COMPUTED_VALUE"""),46211)</f>
        <v>46211</v>
      </c>
      <c r="J249" s="98" t="str">
        <f ca="1">IFERROR(__xludf.DUMMYFUNCTION("""COMPUTED_VALUE"""),"Unknown")</f>
        <v>Unknown</v>
      </c>
      <c r="K249" s="99" t="str">
        <f ca="1">IFERROR(__xludf.DUMMYFUNCTION("""COMPUTED_VALUE"""),"In Review")</f>
        <v>In Review</v>
      </c>
    </row>
    <row r="250" spans="1:11" ht="13.2">
      <c r="A250" s="89" t="str">
        <f ca="1">IFERROR(__xludf.DUMMYFUNCTION("""COMPUTED_VALUE"""),"PRAN Fruitfun Drinks 1 Litre (TP)")</f>
        <v>PRAN Fruitfun Drinks 1 Litre (TP)</v>
      </c>
      <c r="B250" s="90" t="str">
        <f ca="1">IFERROR(__xludf.DUMMYFUNCTION("""COMPUTED_VALUE"""),"Dairy")</f>
        <v>Dairy</v>
      </c>
      <c r="C250" s="91" t="str">
        <f ca="1">IFERROR(__xludf.DUMMYFUNCTION("""COMPUTED_VALUE"""),"Zahirul Vai")</f>
        <v>Zahirul Vai</v>
      </c>
      <c r="D250" s="92" t="str">
        <f ca="1">IFERROR(__xludf.DUMMYFUNCTION("""COMPUTED_VALUE"""),"Jyotirmay Sarker (S188138)")</f>
        <v>Jyotirmay Sarker (S188138)</v>
      </c>
      <c r="E250" s="93" t="str">
        <f ca="1">IFERROR(__xludf.DUMMYFUNCTION("""COMPUTED_VALUE"""),"CB38971_Jul26")</f>
        <v>CB38971_Jul26</v>
      </c>
      <c r="F250" s="94" t="str">
        <f ca="1">IFERROR(__xludf.DUMMYFUNCTION("""COMPUTED_VALUE"""),"ATC Box Output")</f>
        <v>ATC Box Output</v>
      </c>
      <c r="G250" s="95" t="str">
        <f ca="1">IFERROR(__xludf.DUMMYFUNCTION("""COMPUTED_VALUE"""),"New")</f>
        <v>New</v>
      </c>
      <c r="H250" s="96">
        <f ca="1">IFERROR(__xludf.DUMMYFUNCTION("""COMPUTED_VALUE"""),6)</f>
        <v>6</v>
      </c>
      <c r="I250" s="97">
        <f ca="1">IFERROR(__xludf.DUMMYFUNCTION("""COMPUTED_VALUE"""),46211)</f>
        <v>46211</v>
      </c>
      <c r="J250" s="98" t="str">
        <f ca="1">IFERROR(__xludf.DUMMYFUNCTION("""COMPUTED_VALUE"""),"Unknown")</f>
        <v>Unknown</v>
      </c>
      <c r="K250" s="99" t="str">
        <f ca="1">IFERROR(__xludf.DUMMYFUNCTION("""COMPUTED_VALUE"""),"In Review")</f>
        <v>In Review</v>
      </c>
    </row>
    <row r="251" spans="1:11" ht="13.2">
      <c r="A251" s="89" t="str">
        <f ca="1">IFERROR(__xludf.DUMMYFUNCTION("""COMPUTED_VALUE"""),"Common")</f>
        <v>Common</v>
      </c>
      <c r="B251" s="90" t="str">
        <f ca="1">IFERROR(__xludf.DUMMYFUNCTION("""COMPUTED_VALUE"""),"UAE")</f>
        <v>UAE</v>
      </c>
      <c r="C251" s="91" t="str">
        <f ca="1">IFERROR(__xludf.DUMMYFUNCTION("""COMPUTED_VALUE"""),"Yeasin Vai")</f>
        <v>Yeasin Vai</v>
      </c>
      <c r="D251" s="92" t="str">
        <f ca="1">IFERROR(__xludf.DUMMYFUNCTION("""COMPUTED_VALUE"""),"Faruk Hossain (521288)")</f>
        <v>Faruk Hossain (521288)</v>
      </c>
      <c r="E251" s="93" t="str">
        <f ca="1">IFERROR(__xludf.DUMMYFUNCTION("""COMPUTED_VALUE"""),"CB6383_Jul25")</f>
        <v>CB6383_Jul25</v>
      </c>
      <c r="F251" s="94" t="str">
        <f ca="1">IFERROR(__xludf.DUMMYFUNCTION("""COMPUTED_VALUE"""),"Digital Static For Social Media")</f>
        <v>Digital Static For Social Media</v>
      </c>
      <c r="G251" s="95" t="str">
        <f ca="1">IFERROR(__xludf.DUMMYFUNCTION("""COMPUTED_VALUE"""),"New")</f>
        <v>New</v>
      </c>
      <c r="H251" s="96">
        <f ca="1">IFERROR(__xludf.DUMMYFUNCTION("""COMPUTED_VALUE"""),2)</f>
        <v>2</v>
      </c>
      <c r="I251" s="97">
        <f ca="1">IFERROR(__xludf.DUMMYFUNCTION("""COMPUTED_VALUE"""),45850)</f>
        <v>45850</v>
      </c>
      <c r="J251" s="98" t="str">
        <f ca="1">IFERROR(__xludf.DUMMYFUNCTION("""COMPUTED_VALUE"""),"CW9439_Jul25")</f>
        <v>CW9439_Jul25</v>
      </c>
      <c r="K251" s="99" t="str">
        <f ca="1">IFERROR(__xludf.DUMMYFUNCTION("""COMPUTED_VALUE"""),"Brief Submitted")</f>
        <v>Brief Submitted</v>
      </c>
    </row>
    <row r="252" spans="1:11" ht="13.2">
      <c r="A252" s="89" t="str">
        <f ca="1">IFERROR(__xludf.DUMMYFUNCTION("""COMPUTED_VALUE"""),"Common")</f>
        <v>Common</v>
      </c>
      <c r="B252" s="90" t="str">
        <f ca="1">IFERROR(__xludf.DUMMYFUNCTION("""COMPUTED_VALUE"""),"UAE")</f>
        <v>UAE</v>
      </c>
      <c r="C252" s="91" t="str">
        <f ca="1">IFERROR(__xludf.DUMMYFUNCTION("""COMPUTED_VALUE"""),"Yeasin Vai")</f>
        <v>Yeasin Vai</v>
      </c>
      <c r="D252" s="92" t="str">
        <f ca="1">IFERROR(__xludf.DUMMYFUNCTION("""COMPUTED_VALUE"""),"Faruk Hossain (521288)")</f>
        <v>Faruk Hossain (521288)</v>
      </c>
      <c r="E252" s="93" t="str">
        <f ca="1">IFERROR(__xludf.DUMMYFUNCTION("""COMPUTED_VALUE"""),"CB10374_Oct25")</f>
        <v>CB10374_Oct25</v>
      </c>
      <c r="F252" s="94" t="str">
        <f ca="1">IFERROR(__xludf.DUMMYFUNCTION("""COMPUTED_VALUE"""),"Digital Static For Social Media")</f>
        <v>Digital Static For Social Media</v>
      </c>
      <c r="G252" s="95" t="str">
        <f ca="1">IFERROR(__xludf.DUMMYFUNCTION("""COMPUTED_VALUE"""),"New")</f>
        <v>New</v>
      </c>
      <c r="H252" s="96">
        <f ca="1">IFERROR(__xludf.DUMMYFUNCTION("""COMPUTED_VALUE"""),7)</f>
        <v>7</v>
      </c>
      <c r="I252" s="97">
        <f ca="1">IFERROR(__xludf.DUMMYFUNCTION("""COMPUTED_VALUE"""),45952)</f>
        <v>45952</v>
      </c>
      <c r="J252" s="98" t="str">
        <f ca="1">IFERROR(__xludf.DUMMYFUNCTION("""COMPUTED_VALUE"""),"CW13730_Oct25")</f>
        <v>CW13730_Oct25</v>
      </c>
      <c r="K252" s="99" t="str">
        <f ca="1">IFERROR(__xludf.DUMMYFUNCTION("""COMPUTED_VALUE"""),"HoM Approved")</f>
        <v>HoM Approved</v>
      </c>
    </row>
    <row r="253" spans="1:11" ht="13.2">
      <c r="A253" s="89" t="str">
        <f ca="1">IFERROR(__xludf.DUMMYFUNCTION("""COMPUTED_VALUE"""),"Common")</f>
        <v>Common</v>
      </c>
      <c r="B253" s="90" t="str">
        <f ca="1">IFERROR(__xludf.DUMMYFUNCTION("""COMPUTED_VALUE"""),"UAE")</f>
        <v>UAE</v>
      </c>
      <c r="C253" s="91" t="str">
        <f ca="1">IFERROR(__xludf.DUMMYFUNCTION("""COMPUTED_VALUE"""),"Yeasin Vai")</f>
        <v>Yeasin Vai</v>
      </c>
      <c r="D253" s="92" t="str">
        <f ca="1">IFERROR(__xludf.DUMMYFUNCTION("""COMPUTED_VALUE"""),"Faruk Hossain (521288)")</f>
        <v>Faruk Hossain (521288)</v>
      </c>
      <c r="E253" s="93" t="str">
        <f ca="1">IFERROR(__xludf.DUMMYFUNCTION("""COMPUTED_VALUE"""),"CB10412_Oct25")</f>
        <v>CB10412_Oct25</v>
      </c>
      <c r="F253" s="94" t="str">
        <f ca="1">IFERROR(__xludf.DUMMYFUNCTION("""COMPUTED_VALUE"""),"Digital Static For Social Media")</f>
        <v>Digital Static For Social Media</v>
      </c>
      <c r="G253" s="95" t="str">
        <f ca="1">IFERROR(__xludf.DUMMYFUNCTION("""COMPUTED_VALUE"""),"New")</f>
        <v>New</v>
      </c>
      <c r="H253" s="96">
        <f ca="1">IFERROR(__xludf.DUMMYFUNCTION("""COMPUTED_VALUE"""),11)</f>
        <v>11</v>
      </c>
      <c r="I253" s="97">
        <f ca="1">IFERROR(__xludf.DUMMYFUNCTION("""COMPUTED_VALUE"""),45953)</f>
        <v>45953</v>
      </c>
      <c r="J253" s="98" t="str">
        <f ca="1">IFERROR(__xludf.DUMMYFUNCTION("""COMPUTED_VALUE"""),"CW13782_Oct25")</f>
        <v>CW13782_Oct25</v>
      </c>
      <c r="K253" s="99" t="str">
        <f ca="1">IFERROR(__xludf.DUMMYFUNCTION("""COMPUTED_VALUE"""),"HoM Approved")</f>
        <v>HoM Approved</v>
      </c>
    </row>
    <row r="254" spans="1:11" ht="13.2">
      <c r="A254" s="89" t="str">
        <f ca="1">IFERROR(__xludf.DUMMYFUNCTION("""COMPUTED_VALUE"""),"Yummy Choco Chips")</f>
        <v>Yummy Choco Chips</v>
      </c>
      <c r="B254" s="90" t="str">
        <f ca="1">IFERROR(__xludf.DUMMYFUNCTION("""COMPUTED_VALUE"""),"BBL")</f>
        <v>BBL</v>
      </c>
      <c r="C254" s="91" t="str">
        <f ca="1">IFERROR(__xludf.DUMMYFUNCTION("""COMPUTED_VALUE"""),"Afrin Apu")</f>
        <v>Afrin Apu</v>
      </c>
      <c r="D254" s="92" t="str">
        <f ca="1">IFERROR(__xludf.DUMMYFUNCTION("""COMPUTED_VALUE"""),"Faruk Hossain (521288)")</f>
        <v>Faruk Hossain (521288)</v>
      </c>
      <c r="E254" s="93" t="str">
        <f ca="1">IFERROR(__xludf.DUMMYFUNCTION("""COMPUTED_VALUE"""),"CB10104_Oct25")</f>
        <v>CB10104_Oct25</v>
      </c>
      <c r="F254" s="94" t="str">
        <f ca="1">IFERROR(__xludf.DUMMYFUNCTION("""COMPUTED_VALUE"""),"Packaging Text Design #1")</f>
        <v>Packaging Text Design #1</v>
      </c>
      <c r="G254" s="95" t="str">
        <f ca="1">IFERROR(__xludf.DUMMYFUNCTION("""COMPUTED_VALUE"""),"New")</f>
        <v>New</v>
      </c>
      <c r="H254" s="96">
        <f ca="1">IFERROR(__xludf.DUMMYFUNCTION("""COMPUTED_VALUE"""),1)</f>
        <v>1</v>
      </c>
      <c r="I254" s="97">
        <f ca="1">IFERROR(__xludf.DUMMYFUNCTION("""COMPUTED_VALUE"""),45965)</f>
        <v>45965</v>
      </c>
      <c r="J254" s="98" t="str">
        <f ca="1">IFERROR(__xludf.DUMMYFUNCTION("""COMPUTED_VALUE"""),"CW15242_Nov25")</f>
        <v>CW15242_Nov25</v>
      </c>
      <c r="K254" s="99" t="str">
        <f ca="1">IFERROR(__xludf.DUMMYFUNCTION("""COMPUTED_VALUE"""),"HoM Approved")</f>
        <v>HoM Approved</v>
      </c>
    </row>
    <row r="255" spans="1:11" ht="13.2">
      <c r="A255" s="89" t="str">
        <f ca="1">IFERROR(__xludf.DUMMYFUNCTION("""COMPUTED_VALUE"""),"Yummy Biscuits")</f>
        <v>Yummy Biscuits</v>
      </c>
      <c r="B255" s="90" t="str">
        <f ca="1">IFERROR(__xludf.DUMMYFUNCTION("""COMPUTED_VALUE"""),"BBL")</f>
        <v>BBL</v>
      </c>
      <c r="C255" s="91" t="str">
        <f ca="1">IFERROR(__xludf.DUMMYFUNCTION("""COMPUTED_VALUE"""),"Afrin Apu")</f>
        <v>Afrin Apu</v>
      </c>
      <c r="D255" s="92" t="str">
        <f ca="1">IFERROR(__xludf.DUMMYFUNCTION("""COMPUTED_VALUE"""),"Faruk Hossain (521288)")</f>
        <v>Faruk Hossain (521288)</v>
      </c>
      <c r="E255" s="93" t="str">
        <f ca="1">IFERROR(__xludf.DUMMYFUNCTION("""COMPUTED_VALUE"""),"CB10110_Oct25")</f>
        <v>CB10110_Oct25</v>
      </c>
      <c r="F255" s="94" t="str">
        <f ca="1">IFERROR(__xludf.DUMMYFUNCTION("""COMPUTED_VALUE"""),"Output Setup (Gravure/Offset)")</f>
        <v>Output Setup (Gravure/Offset)</v>
      </c>
      <c r="G255" s="95" t="str">
        <f ca="1">IFERROR(__xludf.DUMMYFUNCTION("""COMPUTED_VALUE"""),"New")</f>
        <v>New</v>
      </c>
      <c r="H255" s="96">
        <f ca="1">IFERROR(__xludf.DUMMYFUNCTION("""COMPUTED_VALUE"""),2)</f>
        <v>2</v>
      </c>
      <c r="I255" s="97">
        <f ca="1">IFERROR(__xludf.DUMMYFUNCTION("""COMPUTED_VALUE"""),45965)</f>
        <v>45965</v>
      </c>
      <c r="J255" s="98" t="str">
        <f ca="1">IFERROR(__xludf.DUMMYFUNCTION("""COMPUTED_VALUE"""),"CW15240_Nov25")</f>
        <v>CW15240_Nov25</v>
      </c>
      <c r="K255" s="99" t="str">
        <f ca="1">IFERROR(__xludf.DUMMYFUNCTION("""COMPUTED_VALUE"""),"HoM Approved")</f>
        <v>HoM Approved</v>
      </c>
    </row>
    <row r="256" spans="1:11" ht="13.2">
      <c r="A256" s="89" t="str">
        <f ca="1">IFERROR(__xludf.DUMMYFUNCTION("""COMPUTED_VALUE"""),"Yummy Choco Chips")</f>
        <v>Yummy Choco Chips</v>
      </c>
      <c r="B256" s="90" t="str">
        <f ca="1">IFERROR(__xludf.DUMMYFUNCTION("""COMPUTED_VALUE"""),"BBL")</f>
        <v>BBL</v>
      </c>
      <c r="C256" s="91" t="str">
        <f ca="1">IFERROR(__xludf.DUMMYFUNCTION("""COMPUTED_VALUE"""),"Afrin Apu")</f>
        <v>Afrin Apu</v>
      </c>
      <c r="D256" s="92" t="str">
        <f ca="1">IFERROR(__xludf.DUMMYFUNCTION("""COMPUTED_VALUE"""),"Faruk Hossain (521288)")</f>
        <v>Faruk Hossain (521288)</v>
      </c>
      <c r="E256" s="93" t="str">
        <f ca="1">IFERROR(__xludf.DUMMYFUNCTION("""COMPUTED_VALUE"""),"CB10104_Oct25")</f>
        <v>CB10104_Oct25</v>
      </c>
      <c r="F256" s="94" t="str">
        <f ca="1">IFERROR(__xludf.DUMMYFUNCTION("""COMPUTED_VALUE"""),"Output Setup (Gravure/Offset)")</f>
        <v>Output Setup (Gravure/Offset)</v>
      </c>
      <c r="G256" s="95" t="str">
        <f ca="1">IFERROR(__xludf.DUMMYFUNCTION("""COMPUTED_VALUE"""),"New")</f>
        <v>New</v>
      </c>
      <c r="H256" s="96">
        <f ca="1">IFERROR(__xludf.DUMMYFUNCTION("""COMPUTED_VALUE"""),1)</f>
        <v>1</v>
      </c>
      <c r="I256" s="97">
        <f ca="1">IFERROR(__xludf.DUMMYFUNCTION("""COMPUTED_VALUE"""),45965)</f>
        <v>45965</v>
      </c>
      <c r="J256" s="98" t="str">
        <f ca="1">IFERROR(__xludf.DUMMYFUNCTION("""COMPUTED_VALUE"""),"CW15242_Nov25")</f>
        <v>CW15242_Nov25</v>
      </c>
      <c r="K256" s="99" t="str">
        <f ca="1">IFERROR(__xludf.DUMMYFUNCTION("""COMPUTED_VALUE"""),"HoM Approved")</f>
        <v>HoM Approved</v>
      </c>
    </row>
    <row r="257" spans="1:11" ht="13.2">
      <c r="A257" s="89" t="str">
        <f ca="1">IFERROR(__xludf.DUMMYFUNCTION("""COMPUTED_VALUE"""),"PRAN Cookies")</f>
        <v>PRAN Cookies</v>
      </c>
      <c r="B257" s="90" t="str">
        <f ca="1">IFERROR(__xludf.DUMMYFUNCTION("""COMPUTED_VALUE"""),"BBL")</f>
        <v>BBL</v>
      </c>
      <c r="C257" s="91" t="str">
        <f ca="1">IFERROR(__xludf.DUMMYFUNCTION("""COMPUTED_VALUE"""),"Afrin Apu")</f>
        <v>Afrin Apu</v>
      </c>
      <c r="D257" s="92" t="str">
        <f ca="1">IFERROR(__xludf.DUMMYFUNCTION("""COMPUTED_VALUE"""),"Faruk Hossain (521288)")</f>
        <v>Faruk Hossain (521288)</v>
      </c>
      <c r="E257" s="93" t="str">
        <f ca="1">IFERROR(__xludf.DUMMYFUNCTION("""COMPUTED_VALUE"""),"CB10715_Oct25")</f>
        <v>CB10715_Oct25</v>
      </c>
      <c r="F257" s="94" t="str">
        <f ca="1">IFERROR(__xludf.DUMMYFUNCTION("""COMPUTED_VALUE"""),"Output Setup (Gravure/Offset)")</f>
        <v>Output Setup (Gravure/Offset)</v>
      </c>
      <c r="G257" s="95" t="str">
        <f ca="1">IFERROR(__xludf.DUMMYFUNCTION("""COMPUTED_VALUE"""),"New")</f>
        <v>New</v>
      </c>
      <c r="H257" s="96">
        <f ca="1">IFERROR(__xludf.DUMMYFUNCTION("""COMPUTED_VALUE"""),1)</f>
        <v>1</v>
      </c>
      <c r="I257" s="97">
        <f ca="1">IFERROR(__xludf.DUMMYFUNCTION("""COMPUTED_VALUE"""),45971)</f>
        <v>45971</v>
      </c>
      <c r="J257" s="98" t="str">
        <f ca="1">IFERROR(__xludf.DUMMYFUNCTION("""COMPUTED_VALUE"""),"CW15723_Nov25")</f>
        <v>CW15723_Nov25</v>
      </c>
      <c r="K257" s="99" t="str">
        <f ca="1">IFERROR(__xludf.DUMMYFUNCTION("""COMPUTED_VALUE"""),"HoM Approved")</f>
        <v>HoM Approved</v>
      </c>
    </row>
    <row r="258" spans="1:11" ht="13.2">
      <c r="A258" s="89" t="str">
        <f ca="1">IFERROR(__xludf.DUMMYFUNCTION("""COMPUTED_VALUE"""),"Common - All PAL")</f>
        <v>Common - All PAL</v>
      </c>
      <c r="B258" s="90" t="str">
        <f ca="1">IFERROR(__xludf.DUMMYFUNCTION("""COMPUTED_VALUE"""),"PAL")</f>
        <v>PAL</v>
      </c>
      <c r="C258" s="91" t="str">
        <f ca="1">IFERROR(__xludf.DUMMYFUNCTION("""COMPUTED_VALUE"""),"Farjana Apu")</f>
        <v>Farjana Apu</v>
      </c>
      <c r="D258" s="92" t="str">
        <f ca="1">IFERROR(__xludf.DUMMYFUNCTION("""COMPUTED_VALUE"""),"Faruk Hossain (521288)")</f>
        <v>Faruk Hossain (521288)</v>
      </c>
      <c r="E258" s="93" t="str">
        <f ca="1">IFERROR(__xludf.DUMMYFUNCTION("""COMPUTED_VALUE"""),"CB11548_Nov25")</f>
        <v>CB11548_Nov25</v>
      </c>
      <c r="F258" s="94" t="str">
        <f ca="1">IFERROR(__xludf.DUMMYFUNCTION("""COMPUTED_VALUE"""),"Document Text Correction")</f>
        <v>Document Text Correction</v>
      </c>
      <c r="G258" s="95" t="str">
        <f ca="1">IFERROR(__xludf.DUMMYFUNCTION("""COMPUTED_VALUE"""),"New")</f>
        <v>New</v>
      </c>
      <c r="H258" s="96">
        <f ca="1">IFERROR(__xludf.DUMMYFUNCTION("""COMPUTED_VALUE"""),10)</f>
        <v>10</v>
      </c>
      <c r="I258" s="97">
        <f ca="1">IFERROR(__xludf.DUMMYFUNCTION("""COMPUTED_VALUE"""),45972)</f>
        <v>45972</v>
      </c>
      <c r="J258" s="98" t="str">
        <f ca="1">IFERROR(__xludf.DUMMYFUNCTION("""COMPUTED_VALUE"""),"CW15841_Nov25")</f>
        <v>CW15841_Nov25</v>
      </c>
      <c r="K258" s="99" t="str">
        <f ca="1">IFERROR(__xludf.DUMMYFUNCTION("""COMPUTED_VALUE"""),"Brief Submitted")</f>
        <v>Brief Submitted</v>
      </c>
    </row>
    <row r="259" spans="1:11" ht="13.2">
      <c r="A259" s="89" t="str">
        <f ca="1">IFERROR(__xludf.DUMMYFUNCTION("""COMPUTED_VALUE"""),"Divino Chocolate")</f>
        <v>Divino Chocolate</v>
      </c>
      <c r="B259" s="90" t="str">
        <f ca="1">IFERROR(__xludf.DUMMYFUNCTION("""COMPUTED_VALUE"""),"PCL")</f>
        <v>PCL</v>
      </c>
      <c r="C259" s="91" t="str">
        <f ca="1">IFERROR(__xludf.DUMMYFUNCTION("""COMPUTED_VALUE"""),"Sohel Vai")</f>
        <v>Sohel Vai</v>
      </c>
      <c r="D259" s="92" t="str">
        <f ca="1">IFERROR(__xludf.DUMMYFUNCTION("""COMPUTED_VALUE"""),"Faruk Hossain (521288)")</f>
        <v>Faruk Hossain (521288)</v>
      </c>
      <c r="E259" s="93" t="str">
        <f ca="1">IFERROR(__xludf.DUMMYFUNCTION("""COMPUTED_VALUE"""),"CB10636_Oct25")</f>
        <v>CB10636_Oct25</v>
      </c>
      <c r="F259" s="94" t="str">
        <f ca="1">IFERROR(__xludf.DUMMYFUNCTION("""COMPUTED_VALUE"""),"ATC Box Output")</f>
        <v>ATC Box Output</v>
      </c>
      <c r="G259" s="95" t="str">
        <f ca="1">IFERROR(__xludf.DUMMYFUNCTION("""COMPUTED_VALUE"""),"New")</f>
        <v>New</v>
      </c>
      <c r="H259" s="96">
        <f ca="1">IFERROR(__xludf.DUMMYFUNCTION("""COMPUTED_VALUE"""),1)</f>
        <v>1</v>
      </c>
      <c r="I259" s="97">
        <f ca="1">IFERROR(__xludf.DUMMYFUNCTION("""COMPUTED_VALUE"""),45977)</f>
        <v>45977</v>
      </c>
      <c r="J259" s="98" t="str">
        <f ca="1">IFERROR(__xludf.DUMMYFUNCTION("""COMPUTED_VALUE"""),"CW16357_Nov25")</f>
        <v>CW16357_Nov25</v>
      </c>
      <c r="K259" s="99" t="str">
        <f ca="1">IFERROR(__xludf.DUMMYFUNCTION("""COMPUTED_VALUE"""),"HoM Approved")</f>
        <v>HoM Approved</v>
      </c>
    </row>
    <row r="260" spans="1:11" ht="13.2">
      <c r="A260" s="89" t="str">
        <f ca="1">IFERROR(__xludf.DUMMYFUNCTION("""COMPUTED_VALUE"""),"SCT - Common")</f>
        <v>SCT - Common</v>
      </c>
      <c r="B260" s="90" t="str">
        <f ca="1">IFERROR(__xludf.DUMMYFUNCTION("""COMPUTED_VALUE"""),"AKC")</f>
        <v>AKC</v>
      </c>
      <c r="C260" s="91" t="str">
        <f ca="1">IFERROR(__xludf.DUMMYFUNCTION("""COMPUTED_VALUE"""),"Farjana Apu")</f>
        <v>Farjana Apu</v>
      </c>
      <c r="D260" s="92" t="str">
        <f ca="1">IFERROR(__xludf.DUMMYFUNCTION("""COMPUTED_VALUE"""),"Faruk Hossain (521288)")</f>
        <v>Faruk Hossain (521288)</v>
      </c>
      <c r="E260" s="93" t="str">
        <f ca="1">IFERROR(__xludf.DUMMYFUNCTION("""COMPUTED_VALUE"""),"CB12023_Nov25")</f>
        <v>CB12023_Nov25</v>
      </c>
      <c r="F260" s="94" t="str">
        <f ca="1">IFERROR(__xludf.DUMMYFUNCTION("""COMPUTED_VALUE"""),"Document Text Correction")</f>
        <v>Document Text Correction</v>
      </c>
      <c r="G260" s="95" t="str">
        <f ca="1">IFERROR(__xludf.DUMMYFUNCTION("""COMPUTED_VALUE"""),"New")</f>
        <v>New</v>
      </c>
      <c r="H260" s="96">
        <f ca="1">IFERROR(__xludf.DUMMYFUNCTION("""COMPUTED_VALUE"""),5)</f>
        <v>5</v>
      </c>
      <c r="I260" s="97">
        <f ca="1">IFERROR(__xludf.DUMMYFUNCTION("""COMPUTED_VALUE"""),45981)</f>
        <v>45981</v>
      </c>
      <c r="J260" s="98" t="str">
        <f ca="1">IFERROR(__xludf.DUMMYFUNCTION("""COMPUTED_VALUE"""),"CW16772_Nov25")</f>
        <v>CW16772_Nov25</v>
      </c>
      <c r="K260" s="99" t="str">
        <f ca="1">IFERROR(__xludf.DUMMYFUNCTION("""COMPUTED_VALUE"""),"Brief Submitted")</f>
        <v>Brief Submitted</v>
      </c>
    </row>
    <row r="261" spans="1:11" ht="13.2">
      <c r="A261" s="89" t="str">
        <f ca="1">IFERROR(__xludf.DUMMYFUNCTION("""COMPUTED_VALUE"""),"Orange Plus")</f>
        <v>Orange Plus</v>
      </c>
      <c r="B261" s="90" t="str">
        <f ca="1">IFERROR(__xludf.DUMMYFUNCTION("""COMPUTED_VALUE"""),"AMCL")</f>
        <v>AMCL</v>
      </c>
      <c r="C261" s="91" t="str">
        <f ca="1">IFERROR(__xludf.DUMMYFUNCTION("""COMPUTED_VALUE"""),"Miraj Vai")</f>
        <v>Miraj Vai</v>
      </c>
      <c r="D261" s="92" t="str">
        <f ca="1">IFERROR(__xludf.DUMMYFUNCTION("""COMPUTED_VALUE"""),"Faruk Hossain (521288)")</f>
        <v>Faruk Hossain (521288)</v>
      </c>
      <c r="E261" s="93" t="str">
        <f ca="1">IFERROR(__xludf.DUMMYFUNCTION("""COMPUTED_VALUE"""),"CB11297_Nov25")</f>
        <v>CB11297_Nov25</v>
      </c>
      <c r="F261" s="94" t="str">
        <f ca="1">IFERROR(__xludf.DUMMYFUNCTION("""COMPUTED_VALUE"""),"Output Setup (Gravure/Offset)")</f>
        <v>Output Setup (Gravure/Offset)</v>
      </c>
      <c r="G261" s="95" t="str">
        <f ca="1">IFERROR(__xludf.DUMMYFUNCTION("""COMPUTED_VALUE"""),"New")</f>
        <v>New</v>
      </c>
      <c r="H261" s="96">
        <f ca="1">IFERROR(__xludf.DUMMYFUNCTION("""COMPUTED_VALUE"""),2)</f>
        <v>2</v>
      </c>
      <c r="I261" s="97">
        <f ca="1">IFERROR(__xludf.DUMMYFUNCTION("""COMPUTED_VALUE"""),45981)</f>
        <v>45981</v>
      </c>
      <c r="J261" s="98" t="str">
        <f ca="1">IFERROR(__xludf.DUMMYFUNCTION("""COMPUTED_VALUE"""),"CW16769_Nov25")</f>
        <v>CW16769_Nov25</v>
      </c>
      <c r="K261" s="99" t="str">
        <f ca="1">IFERROR(__xludf.DUMMYFUNCTION("""COMPUTED_VALUE"""),"HoM Approved")</f>
        <v>HoM Approved</v>
      </c>
    </row>
    <row r="262" spans="1:11" ht="13.2">
      <c r="A262" s="89" t="str">
        <f ca="1">IFERROR(__xludf.DUMMYFUNCTION("""COMPUTED_VALUE"""),"Pran Toast")</f>
        <v>Pran Toast</v>
      </c>
      <c r="B262" s="90" t="str">
        <f ca="1">IFERROR(__xludf.DUMMYFUNCTION("""COMPUTED_VALUE"""),"BBL")</f>
        <v>BBL</v>
      </c>
      <c r="C262" s="91" t="str">
        <f ca="1">IFERROR(__xludf.DUMMYFUNCTION("""COMPUTED_VALUE"""),"Nuhal Vai")</f>
        <v>Nuhal Vai</v>
      </c>
      <c r="D262" s="92" t="str">
        <f ca="1">IFERROR(__xludf.DUMMYFUNCTION("""COMPUTED_VALUE"""),"Faruk Hossain (521288)")</f>
        <v>Faruk Hossain (521288)</v>
      </c>
      <c r="E262" s="93" t="str">
        <f ca="1">IFERROR(__xludf.DUMMYFUNCTION("""COMPUTED_VALUE"""),"CB10215_Oct25")</f>
        <v>CB10215_Oct25</v>
      </c>
      <c r="F262" s="94" t="str">
        <f ca="1">IFERROR(__xludf.DUMMYFUNCTION("""COMPUTED_VALUE"""),"Output Setup (Gravure/Offset)")</f>
        <v>Output Setup (Gravure/Offset)</v>
      </c>
      <c r="G262" s="95" t="str">
        <f ca="1">IFERROR(__xludf.DUMMYFUNCTION("""COMPUTED_VALUE"""),"New")</f>
        <v>New</v>
      </c>
      <c r="H262" s="96">
        <f ca="1">IFERROR(__xludf.DUMMYFUNCTION("""COMPUTED_VALUE"""),1)</f>
        <v>1</v>
      </c>
      <c r="I262" s="97">
        <f ca="1">IFERROR(__xludf.DUMMYFUNCTION("""COMPUTED_VALUE"""),45981)</f>
        <v>45981</v>
      </c>
      <c r="J262" s="98" t="str">
        <f ca="1">IFERROR(__xludf.DUMMYFUNCTION("""COMPUTED_VALUE"""),"CW16818_Nov25")</f>
        <v>CW16818_Nov25</v>
      </c>
      <c r="K262" s="99" t="str">
        <f ca="1">IFERROR(__xludf.DUMMYFUNCTION("""COMPUTED_VALUE"""),"HoM Approved")</f>
        <v>HoM Approved</v>
      </c>
    </row>
    <row r="263" spans="1:11" ht="13.2">
      <c r="A263" s="89" t="str">
        <f ca="1">IFERROR(__xludf.DUMMYFUNCTION("""COMPUTED_VALUE"""),"Common - All PAL")</f>
        <v>Common - All PAL</v>
      </c>
      <c r="B263" s="90" t="str">
        <f ca="1">IFERROR(__xludf.DUMMYFUNCTION("""COMPUTED_VALUE"""),"PAL")</f>
        <v>PAL</v>
      </c>
      <c r="C263" s="91" t="str">
        <f ca="1">IFERROR(__xludf.DUMMYFUNCTION("""COMPUTED_VALUE"""),"Farjana Apu")</f>
        <v>Farjana Apu</v>
      </c>
      <c r="D263" s="92" t="str">
        <f ca="1">IFERROR(__xludf.DUMMYFUNCTION("""COMPUTED_VALUE"""),"Faruk Hossain (521288)")</f>
        <v>Faruk Hossain (521288)</v>
      </c>
      <c r="E263" s="93" t="str">
        <f ca="1">IFERROR(__xludf.DUMMYFUNCTION("""COMPUTED_VALUE"""),"CB12148_Nov25")</f>
        <v>CB12148_Nov25</v>
      </c>
      <c r="F263" s="94" t="str">
        <f ca="1">IFERROR(__xludf.DUMMYFUNCTION("""COMPUTED_VALUE"""),"Document Text Correction")</f>
        <v>Document Text Correction</v>
      </c>
      <c r="G263" s="95" t="str">
        <f ca="1">IFERROR(__xludf.DUMMYFUNCTION("""COMPUTED_VALUE"""),"New")</f>
        <v>New</v>
      </c>
      <c r="H263" s="96">
        <f ca="1">IFERROR(__xludf.DUMMYFUNCTION("""COMPUTED_VALUE"""),4)</f>
        <v>4</v>
      </c>
      <c r="I263" s="97">
        <f ca="1">IFERROR(__xludf.DUMMYFUNCTION("""COMPUTED_VALUE"""),45984)</f>
        <v>45984</v>
      </c>
      <c r="J263" s="98" t="str">
        <f ca="1">IFERROR(__xludf.DUMMYFUNCTION("""COMPUTED_VALUE"""),"CW17107_Nov25")</f>
        <v>CW17107_Nov25</v>
      </c>
      <c r="K263" s="99" t="str">
        <f ca="1">IFERROR(__xludf.DUMMYFUNCTION("""COMPUTED_VALUE"""),"Brief Submitted")</f>
        <v>Brief Submitted</v>
      </c>
    </row>
    <row r="264" spans="1:11" ht="13.2">
      <c r="A264" s="89" t="str">
        <f ca="1">IFERROR(__xludf.DUMMYFUNCTION("""COMPUTED_VALUE"""),"Bisk Club Hatrick Sandwich Cream Biscuits")</f>
        <v>Bisk Club Hatrick Sandwich Cream Biscuits</v>
      </c>
      <c r="B264" s="90" t="str">
        <f ca="1">IFERROR(__xludf.DUMMYFUNCTION("""COMPUTED_VALUE"""),"BBL")</f>
        <v>BBL</v>
      </c>
      <c r="C264" s="91" t="str">
        <f ca="1">IFERROR(__xludf.DUMMYFUNCTION("""COMPUTED_VALUE"""),"Ove Vai")</f>
        <v>Ove Vai</v>
      </c>
      <c r="D264" s="92" t="str">
        <f ca="1">IFERROR(__xludf.DUMMYFUNCTION("""COMPUTED_VALUE"""),"Faruk Hossain (521288)")</f>
        <v>Faruk Hossain (521288)</v>
      </c>
      <c r="E264" s="93" t="str">
        <f ca="1">IFERROR(__xludf.DUMMYFUNCTION("""COMPUTED_VALUE"""),"CB11919_Nov25")</f>
        <v>CB11919_Nov25</v>
      </c>
      <c r="F264" s="94" t="str">
        <f ca="1">IFERROR(__xludf.DUMMYFUNCTION("""COMPUTED_VALUE"""),"Output Setup (Gravure/Offset)")</f>
        <v>Output Setup (Gravure/Offset)</v>
      </c>
      <c r="G264" s="95" t="str">
        <f ca="1">IFERROR(__xludf.DUMMYFUNCTION("""COMPUTED_VALUE"""),"New")</f>
        <v>New</v>
      </c>
      <c r="H264" s="96">
        <f ca="1">IFERROR(__xludf.DUMMYFUNCTION("""COMPUTED_VALUE"""),1)</f>
        <v>1</v>
      </c>
      <c r="I264" s="97">
        <f ca="1">IFERROR(__xludf.DUMMYFUNCTION("""COMPUTED_VALUE"""),45984)</f>
        <v>45984</v>
      </c>
      <c r="J264" s="98" t="str">
        <f ca="1">IFERROR(__xludf.DUMMYFUNCTION("""COMPUTED_VALUE"""),"CW17110_Nov25")</f>
        <v>CW17110_Nov25</v>
      </c>
      <c r="K264" s="99" t="str">
        <f ca="1">IFERROR(__xludf.DUMMYFUNCTION("""COMPUTED_VALUE"""),"HoM Approved")</f>
        <v>HoM Approved</v>
      </c>
    </row>
    <row r="265" spans="1:11" ht="13.2">
      <c r="A265" s="89" t="str">
        <f ca="1">IFERROR(__xludf.DUMMYFUNCTION("""COMPUTED_VALUE"""),"Common - All PAL")</f>
        <v>Common - All PAL</v>
      </c>
      <c r="B265" s="90" t="str">
        <f ca="1">IFERROR(__xludf.DUMMYFUNCTION("""COMPUTED_VALUE"""),"PAL")</f>
        <v>PAL</v>
      </c>
      <c r="C265" s="91" t="str">
        <f ca="1">IFERROR(__xludf.DUMMYFUNCTION("""COMPUTED_VALUE"""),"Farjana Apu")</f>
        <v>Farjana Apu</v>
      </c>
      <c r="D265" s="92" t="str">
        <f ca="1">IFERROR(__xludf.DUMMYFUNCTION("""COMPUTED_VALUE"""),"Faruk Hossain (521288)")</f>
        <v>Faruk Hossain (521288)</v>
      </c>
      <c r="E265" s="93" t="str">
        <f ca="1">IFERROR(__xludf.DUMMYFUNCTION("""COMPUTED_VALUE"""),"CB12358_Nov25")</f>
        <v>CB12358_Nov25</v>
      </c>
      <c r="F265" s="94" t="str">
        <f ca="1">IFERROR(__xludf.DUMMYFUNCTION("""COMPUTED_VALUE"""),"Document Text Correction")</f>
        <v>Document Text Correction</v>
      </c>
      <c r="G265" s="95" t="str">
        <f ca="1">IFERROR(__xludf.DUMMYFUNCTION("""COMPUTED_VALUE"""),"New")</f>
        <v>New</v>
      </c>
      <c r="H265" s="96">
        <f ca="1">IFERROR(__xludf.DUMMYFUNCTION("""COMPUTED_VALUE"""),3)</f>
        <v>3</v>
      </c>
      <c r="I265" s="97">
        <f ca="1">IFERROR(__xludf.DUMMYFUNCTION("""COMPUTED_VALUE"""),45986)</f>
        <v>45986</v>
      </c>
      <c r="J265" s="98" t="str">
        <f ca="1">IFERROR(__xludf.DUMMYFUNCTION("""COMPUTED_VALUE"""),"CW17371_Nov25")</f>
        <v>CW17371_Nov25</v>
      </c>
      <c r="K265" s="99" t="str">
        <f ca="1">IFERROR(__xludf.DUMMYFUNCTION("""COMPUTED_VALUE"""),"Brief Submitted")</f>
        <v>Brief Submitted</v>
      </c>
    </row>
    <row r="266" spans="1:11" ht="13.2">
      <c r="A266" s="89" t="str">
        <f ca="1">IFERROR(__xludf.DUMMYFUNCTION("""COMPUTED_VALUE"""),"Common - All PAL")</f>
        <v>Common - All PAL</v>
      </c>
      <c r="B266" s="90" t="str">
        <f ca="1">IFERROR(__xludf.DUMMYFUNCTION("""COMPUTED_VALUE"""),"PAL")</f>
        <v>PAL</v>
      </c>
      <c r="C266" s="91" t="str">
        <f ca="1">IFERROR(__xludf.DUMMYFUNCTION("""COMPUTED_VALUE"""),"Farjana Apu")</f>
        <v>Farjana Apu</v>
      </c>
      <c r="D266" s="92" t="str">
        <f ca="1">IFERROR(__xludf.DUMMYFUNCTION("""COMPUTED_VALUE"""),"Faruk Hossain (521288)")</f>
        <v>Faruk Hossain (521288)</v>
      </c>
      <c r="E266" s="93" t="str">
        <f ca="1">IFERROR(__xludf.DUMMYFUNCTION("""COMPUTED_VALUE"""),"CB12284_Nov25")</f>
        <v>CB12284_Nov25</v>
      </c>
      <c r="F266" s="94" t="str">
        <f ca="1">IFERROR(__xludf.DUMMYFUNCTION("""COMPUTED_VALUE"""),"Document Text Correction")</f>
        <v>Document Text Correction</v>
      </c>
      <c r="G266" s="95" t="str">
        <f ca="1">IFERROR(__xludf.DUMMYFUNCTION("""COMPUTED_VALUE"""),"New")</f>
        <v>New</v>
      </c>
      <c r="H266" s="96">
        <f ca="1">IFERROR(__xludf.DUMMYFUNCTION("""COMPUTED_VALUE"""),4)</f>
        <v>4</v>
      </c>
      <c r="I266" s="97">
        <f ca="1">IFERROR(__xludf.DUMMYFUNCTION("""COMPUTED_VALUE"""),45986)</f>
        <v>45986</v>
      </c>
      <c r="J266" s="98" t="str">
        <f ca="1">IFERROR(__xludf.DUMMYFUNCTION("""COMPUTED_VALUE"""),"CW17372_Nov25")</f>
        <v>CW17372_Nov25</v>
      </c>
      <c r="K266" s="99" t="str">
        <f ca="1">IFERROR(__xludf.DUMMYFUNCTION("""COMPUTED_VALUE"""),"Brief Submitted")</f>
        <v>Brief Submitted</v>
      </c>
    </row>
    <row r="267" spans="1:11" ht="13.2">
      <c r="A267" s="89" t="str">
        <f ca="1">IFERROR(__xludf.DUMMYFUNCTION("""COMPUTED_VALUE"""),"Common - All PAL")</f>
        <v>Common - All PAL</v>
      </c>
      <c r="B267" s="90" t="str">
        <f ca="1">IFERROR(__xludf.DUMMYFUNCTION("""COMPUTED_VALUE"""),"PAL")</f>
        <v>PAL</v>
      </c>
      <c r="C267" s="91" t="str">
        <f ca="1">IFERROR(__xludf.DUMMYFUNCTION("""COMPUTED_VALUE"""),"Farjana Apu")</f>
        <v>Farjana Apu</v>
      </c>
      <c r="D267" s="92" t="str">
        <f ca="1">IFERROR(__xludf.DUMMYFUNCTION("""COMPUTED_VALUE"""),"Faruk Hossain (521288)")</f>
        <v>Faruk Hossain (521288)</v>
      </c>
      <c r="E267" s="93" t="str">
        <f ca="1">IFERROR(__xludf.DUMMYFUNCTION("""COMPUTED_VALUE"""),"CB12437_Nov25")</f>
        <v>CB12437_Nov25</v>
      </c>
      <c r="F267" s="94" t="str">
        <f ca="1">IFERROR(__xludf.DUMMYFUNCTION("""COMPUTED_VALUE"""),"Packaging Text Design #1")</f>
        <v>Packaging Text Design #1</v>
      </c>
      <c r="G267" s="95" t="str">
        <f ca="1">IFERROR(__xludf.DUMMYFUNCTION("""COMPUTED_VALUE"""),"New")</f>
        <v>New</v>
      </c>
      <c r="H267" s="96">
        <f ca="1">IFERROR(__xludf.DUMMYFUNCTION("""COMPUTED_VALUE"""),1)</f>
        <v>1</v>
      </c>
      <c r="I267" s="97">
        <f ca="1">IFERROR(__xludf.DUMMYFUNCTION("""COMPUTED_VALUE"""),45990)</f>
        <v>45990</v>
      </c>
      <c r="J267" s="98" t="str">
        <f ca="1">IFERROR(__xludf.DUMMYFUNCTION("""COMPUTED_VALUE"""),"CW17755_Nov25")</f>
        <v>CW17755_Nov25</v>
      </c>
      <c r="K267" s="99" t="str">
        <f ca="1">IFERROR(__xludf.DUMMYFUNCTION("""COMPUTED_VALUE"""),"Brief Submitted")</f>
        <v>Brief Submitted</v>
      </c>
    </row>
    <row r="268" spans="1:11" ht="13.2">
      <c r="A268" s="89" t="str">
        <f ca="1">IFERROR(__xludf.DUMMYFUNCTION("""COMPUTED_VALUE"""),"Common - All PAL")</f>
        <v>Common - All PAL</v>
      </c>
      <c r="B268" s="90" t="str">
        <f ca="1">IFERROR(__xludf.DUMMYFUNCTION("""COMPUTED_VALUE"""),"PAL")</f>
        <v>PAL</v>
      </c>
      <c r="C268" s="91" t="str">
        <f ca="1">IFERROR(__xludf.DUMMYFUNCTION("""COMPUTED_VALUE"""),"Farjana Apu")</f>
        <v>Farjana Apu</v>
      </c>
      <c r="D268" s="92" t="str">
        <f ca="1">IFERROR(__xludf.DUMMYFUNCTION("""COMPUTED_VALUE"""),"Faruk Hossain (521288)")</f>
        <v>Faruk Hossain (521288)</v>
      </c>
      <c r="E268" s="93" t="str">
        <f ca="1">IFERROR(__xludf.DUMMYFUNCTION("""COMPUTED_VALUE"""),"CB12723_Dec25")</f>
        <v>CB12723_Dec25</v>
      </c>
      <c r="F268" s="94" t="str">
        <f ca="1">IFERROR(__xludf.DUMMYFUNCTION("""COMPUTED_VALUE"""),"Document Text Correction")</f>
        <v>Document Text Correction</v>
      </c>
      <c r="G268" s="95" t="str">
        <f ca="1">IFERROR(__xludf.DUMMYFUNCTION("""COMPUTED_VALUE"""),"New")</f>
        <v>New</v>
      </c>
      <c r="H268" s="96">
        <f ca="1">IFERROR(__xludf.DUMMYFUNCTION("""COMPUTED_VALUE"""),1)</f>
        <v>1</v>
      </c>
      <c r="I268" s="97">
        <f ca="1">IFERROR(__xludf.DUMMYFUNCTION("""COMPUTED_VALUE"""),45992)</f>
        <v>45992</v>
      </c>
      <c r="J268" s="98" t="str">
        <f ca="1">IFERROR(__xludf.DUMMYFUNCTION("""COMPUTED_VALUE"""),"CW18124_Dec25")</f>
        <v>CW18124_Dec25</v>
      </c>
      <c r="K268" s="99" t="str">
        <f ca="1">IFERROR(__xludf.DUMMYFUNCTION("""COMPUTED_VALUE"""),"BM Approved")</f>
        <v>BM Approved</v>
      </c>
    </row>
    <row r="269" spans="1:11" ht="13.2">
      <c r="A269" s="89" t="str">
        <f ca="1">IFERROR(__xludf.DUMMYFUNCTION("""COMPUTED_VALUE"""),"Canton Soup")</f>
        <v>Canton Soup</v>
      </c>
      <c r="B269" s="90" t="str">
        <f ca="1">IFERROR(__xludf.DUMMYFUNCTION("""COMPUTED_VALUE"""),"PAL")</f>
        <v>PAL</v>
      </c>
      <c r="C269" s="91" t="str">
        <f ca="1">IFERROR(__xludf.DUMMYFUNCTION("""COMPUTED_VALUE"""),"Kafe Vai")</f>
        <v>Kafe Vai</v>
      </c>
      <c r="D269" s="92" t="str">
        <f ca="1">IFERROR(__xludf.DUMMYFUNCTION("""COMPUTED_VALUE"""),"Faruk Hossain (521288)")</f>
        <v>Faruk Hossain (521288)</v>
      </c>
      <c r="E269" s="93" t="str">
        <f ca="1">IFERROR(__xludf.DUMMYFUNCTION("""COMPUTED_VALUE"""),"CB12694_Nov25")</f>
        <v>CB12694_Nov25</v>
      </c>
      <c r="F269" s="94" t="str">
        <f ca="1">IFERROR(__xludf.DUMMYFUNCTION("""COMPUTED_VALUE"""),"Output Setup (Gravure/Offset)")</f>
        <v>Output Setup (Gravure/Offset)</v>
      </c>
      <c r="G269" s="95" t="str">
        <f ca="1">IFERROR(__xludf.DUMMYFUNCTION("""COMPUTED_VALUE"""),"New")</f>
        <v>New</v>
      </c>
      <c r="H269" s="96">
        <f ca="1">IFERROR(__xludf.DUMMYFUNCTION("""COMPUTED_VALUE"""),1)</f>
        <v>1</v>
      </c>
      <c r="I269" s="97">
        <f ca="1">IFERROR(__xludf.DUMMYFUNCTION("""COMPUTED_VALUE"""),45994)</f>
        <v>45994</v>
      </c>
      <c r="J269" s="98" t="str">
        <f ca="1">IFERROR(__xludf.DUMMYFUNCTION("""COMPUTED_VALUE"""),"CW18279_Dec25")</f>
        <v>CW18279_Dec25</v>
      </c>
      <c r="K269" s="99" t="str">
        <f ca="1">IFERROR(__xludf.DUMMYFUNCTION("""COMPUTED_VALUE"""),"HoM Approved")</f>
        <v>HoM Approved</v>
      </c>
    </row>
    <row r="270" spans="1:11" ht="13.2">
      <c r="A270" s="89" t="str">
        <f ca="1">IFERROR(__xludf.DUMMYFUNCTION("""COMPUTED_VALUE"""),"Naples Mayonnaise")</f>
        <v>Naples Mayonnaise</v>
      </c>
      <c r="B270" s="90" t="str">
        <f ca="1">IFERROR(__xludf.DUMMYFUNCTION("""COMPUTED_VALUE"""),"PAL")</f>
        <v>PAL</v>
      </c>
      <c r="C270" s="91" t="str">
        <f ca="1">IFERROR(__xludf.DUMMYFUNCTION("""COMPUTED_VALUE"""),"Rafid Vai")</f>
        <v>Rafid Vai</v>
      </c>
      <c r="D270" s="92" t="str">
        <f ca="1">IFERROR(__xludf.DUMMYFUNCTION("""COMPUTED_VALUE"""),"Faruk Hossain (521288)")</f>
        <v>Faruk Hossain (521288)</v>
      </c>
      <c r="E270" s="93" t="str">
        <f ca="1">IFERROR(__xludf.DUMMYFUNCTION("""COMPUTED_VALUE"""),"CB12603_Nov25")</f>
        <v>CB12603_Nov25</v>
      </c>
      <c r="F270" s="94" t="str">
        <f ca="1">IFERROR(__xludf.DUMMYFUNCTION("""COMPUTED_VALUE"""),"Output Setup (Gravure/Offset)")</f>
        <v>Output Setup (Gravure/Offset)</v>
      </c>
      <c r="G270" s="95" t="str">
        <f ca="1">IFERROR(__xludf.DUMMYFUNCTION("""COMPUTED_VALUE"""),"New")</f>
        <v>New</v>
      </c>
      <c r="H270" s="96">
        <f ca="1">IFERROR(__xludf.DUMMYFUNCTION("""COMPUTED_VALUE"""),2)</f>
        <v>2</v>
      </c>
      <c r="I270" s="97">
        <f ca="1">IFERROR(__xludf.DUMMYFUNCTION("""COMPUTED_VALUE"""),45994)</f>
        <v>45994</v>
      </c>
      <c r="J270" s="98" t="str">
        <f ca="1">IFERROR(__xludf.DUMMYFUNCTION("""COMPUTED_VALUE"""),"CW18296_Dec25")</f>
        <v>CW18296_Dec25</v>
      </c>
      <c r="K270" s="99" t="str">
        <f ca="1">IFERROR(__xludf.DUMMYFUNCTION("""COMPUTED_VALUE"""),"HoM Approved")</f>
        <v>HoM Approved</v>
      </c>
    </row>
    <row r="271" spans="1:11" ht="13.2">
      <c r="A271" s="89" t="str">
        <f ca="1">IFERROR(__xludf.DUMMYFUNCTION("""COMPUTED_VALUE"""),"All Time Cookies")</f>
        <v>All Time Cookies</v>
      </c>
      <c r="B271" s="90" t="str">
        <f ca="1">IFERROR(__xludf.DUMMYFUNCTION("""COMPUTED_VALUE"""),"BBL")</f>
        <v>BBL</v>
      </c>
      <c r="C271" s="91" t="str">
        <f ca="1">IFERROR(__xludf.DUMMYFUNCTION("""COMPUTED_VALUE"""),"Zahirul Vai")</f>
        <v>Zahirul Vai</v>
      </c>
      <c r="D271" s="92" t="str">
        <f ca="1">IFERROR(__xludf.DUMMYFUNCTION("""COMPUTED_VALUE"""),"Faruk Hossain (521288)")</f>
        <v>Faruk Hossain (521288)</v>
      </c>
      <c r="E271" s="93" t="str">
        <f ca="1">IFERROR(__xludf.DUMMYFUNCTION("""COMPUTED_VALUE"""),"CB12738_Dec25")</f>
        <v>CB12738_Dec25</v>
      </c>
      <c r="F271" s="94" t="str">
        <f ca="1">IFERROR(__xludf.DUMMYFUNCTION("""COMPUTED_VALUE"""),"Packaging Text Design #1")</f>
        <v>Packaging Text Design #1</v>
      </c>
      <c r="G271" s="95" t="str">
        <f ca="1">IFERROR(__xludf.DUMMYFUNCTION("""COMPUTED_VALUE"""),"New")</f>
        <v>New</v>
      </c>
      <c r="H271" s="96">
        <f ca="1">IFERROR(__xludf.DUMMYFUNCTION("""COMPUTED_VALUE"""),2)</f>
        <v>2</v>
      </c>
      <c r="I271" s="97">
        <f ca="1">IFERROR(__xludf.DUMMYFUNCTION("""COMPUTED_VALUE"""),45995)</f>
        <v>45995</v>
      </c>
      <c r="J271" s="98" t="str">
        <f ca="1">IFERROR(__xludf.DUMMYFUNCTION("""COMPUTED_VALUE"""),"CW18414_Dec25")</f>
        <v>CW18414_Dec25</v>
      </c>
      <c r="K271" s="99" t="str">
        <f ca="1">IFERROR(__xludf.DUMMYFUNCTION("""COMPUTED_VALUE"""),"HoM Approved")</f>
        <v>HoM Approved</v>
      </c>
    </row>
    <row r="272" spans="1:11" ht="13.2">
      <c r="A272" s="89" t="str">
        <f ca="1">IFERROR(__xludf.DUMMYFUNCTION("""COMPUTED_VALUE"""),"All Time Cookies")</f>
        <v>All Time Cookies</v>
      </c>
      <c r="B272" s="90" t="str">
        <f ca="1">IFERROR(__xludf.DUMMYFUNCTION("""COMPUTED_VALUE"""),"BBL")</f>
        <v>BBL</v>
      </c>
      <c r="C272" s="91" t="str">
        <f ca="1">IFERROR(__xludf.DUMMYFUNCTION("""COMPUTED_VALUE"""),"Zahirul Vai")</f>
        <v>Zahirul Vai</v>
      </c>
      <c r="D272" s="92" t="str">
        <f ca="1">IFERROR(__xludf.DUMMYFUNCTION("""COMPUTED_VALUE"""),"Faruk Hossain (521288)")</f>
        <v>Faruk Hossain (521288)</v>
      </c>
      <c r="E272" s="93" t="str">
        <f ca="1">IFERROR(__xludf.DUMMYFUNCTION("""COMPUTED_VALUE"""),"CB12738_Dec25")</f>
        <v>CB12738_Dec25</v>
      </c>
      <c r="F272" s="94" t="str">
        <f ca="1">IFERROR(__xludf.DUMMYFUNCTION("""COMPUTED_VALUE"""),"Output Setup (Gravure/Offset)")</f>
        <v>Output Setup (Gravure/Offset)</v>
      </c>
      <c r="G272" s="95" t="str">
        <f ca="1">IFERROR(__xludf.DUMMYFUNCTION("""COMPUTED_VALUE"""),"New")</f>
        <v>New</v>
      </c>
      <c r="H272" s="96">
        <f ca="1">IFERROR(__xludf.DUMMYFUNCTION("""COMPUTED_VALUE"""),1)</f>
        <v>1</v>
      </c>
      <c r="I272" s="97">
        <f ca="1">IFERROR(__xludf.DUMMYFUNCTION("""COMPUTED_VALUE"""),45995)</f>
        <v>45995</v>
      </c>
      <c r="J272" s="98" t="str">
        <f ca="1">IFERROR(__xludf.DUMMYFUNCTION("""COMPUTED_VALUE"""),"CW18414_Dec25")</f>
        <v>CW18414_Dec25</v>
      </c>
      <c r="K272" s="99" t="str">
        <f ca="1">IFERROR(__xludf.DUMMYFUNCTION("""COMPUTED_VALUE"""),"HoM Approved")</f>
        <v>HoM Approved</v>
      </c>
    </row>
    <row r="273" spans="1:11" ht="13.2">
      <c r="A273" s="89" t="str">
        <f ca="1">IFERROR(__xludf.DUMMYFUNCTION("""COMPUTED_VALUE"""),"Common - All PAL")</f>
        <v>Common - All PAL</v>
      </c>
      <c r="B273" s="90" t="str">
        <f ca="1">IFERROR(__xludf.DUMMYFUNCTION("""COMPUTED_VALUE"""),"PAL")</f>
        <v>PAL</v>
      </c>
      <c r="C273" s="91" t="str">
        <f ca="1">IFERROR(__xludf.DUMMYFUNCTION("""COMPUTED_VALUE"""),"Farjana Apu")</f>
        <v>Farjana Apu</v>
      </c>
      <c r="D273" s="92" t="str">
        <f ca="1">IFERROR(__xludf.DUMMYFUNCTION("""COMPUTED_VALUE"""),"Faruk Hossain (521288)")</f>
        <v>Faruk Hossain (521288)</v>
      </c>
      <c r="E273" s="93" t="str">
        <f ca="1">IFERROR(__xludf.DUMMYFUNCTION("""COMPUTED_VALUE"""),"CB13016_Dec25")</f>
        <v>CB13016_Dec25</v>
      </c>
      <c r="F273" s="94" t="str">
        <f ca="1">IFERROR(__xludf.DUMMYFUNCTION("""COMPUTED_VALUE"""),"Packaging Text Design #1")</f>
        <v>Packaging Text Design #1</v>
      </c>
      <c r="G273" s="95" t="str">
        <f ca="1">IFERROR(__xludf.DUMMYFUNCTION("""COMPUTED_VALUE"""),"New")</f>
        <v>New</v>
      </c>
      <c r="H273" s="96">
        <f ca="1">IFERROR(__xludf.DUMMYFUNCTION("""COMPUTED_VALUE"""),1)</f>
        <v>1</v>
      </c>
      <c r="I273" s="97">
        <f ca="1">IFERROR(__xludf.DUMMYFUNCTION("""COMPUTED_VALUE"""),45997)</f>
        <v>45997</v>
      </c>
      <c r="J273" s="98" t="str">
        <f ca="1">IFERROR(__xludf.DUMMYFUNCTION("""COMPUTED_VALUE"""),"CW18494_Dec25")</f>
        <v>CW18494_Dec25</v>
      </c>
      <c r="K273" s="99" t="str">
        <f ca="1">IFERROR(__xludf.DUMMYFUNCTION("""COMPUTED_VALUE"""),"HoM Approved")</f>
        <v>HoM Approved</v>
      </c>
    </row>
    <row r="274" spans="1:11" ht="13.2">
      <c r="A274" s="89" t="str">
        <f ca="1">IFERROR(__xludf.DUMMYFUNCTION("""COMPUTED_VALUE"""),"Bisk Club Europa")</f>
        <v>Bisk Club Europa</v>
      </c>
      <c r="B274" s="90" t="str">
        <f ca="1">IFERROR(__xludf.DUMMYFUNCTION("""COMPUTED_VALUE"""),"BBL")</f>
        <v>BBL</v>
      </c>
      <c r="C274" s="91" t="str">
        <f ca="1">IFERROR(__xludf.DUMMYFUNCTION("""COMPUTED_VALUE"""),"Zahirul Vai")</f>
        <v>Zahirul Vai</v>
      </c>
      <c r="D274" s="92" t="str">
        <f ca="1">IFERROR(__xludf.DUMMYFUNCTION("""COMPUTED_VALUE"""),"Faruk Hossain (521288)")</f>
        <v>Faruk Hossain (521288)</v>
      </c>
      <c r="E274" s="93" t="str">
        <f ca="1">IFERROR(__xludf.DUMMYFUNCTION("""COMPUTED_VALUE"""),"CB12455_Nov25")</f>
        <v>CB12455_Nov25</v>
      </c>
      <c r="F274" s="94" t="str">
        <f ca="1">IFERROR(__xludf.DUMMYFUNCTION("""COMPUTED_VALUE"""),"Packaging Text Design #1")</f>
        <v>Packaging Text Design #1</v>
      </c>
      <c r="G274" s="95" t="str">
        <f ca="1">IFERROR(__xludf.DUMMYFUNCTION("""COMPUTED_VALUE"""),"New")</f>
        <v>New</v>
      </c>
      <c r="H274" s="96">
        <f ca="1">IFERROR(__xludf.DUMMYFUNCTION("""COMPUTED_VALUE"""),3)</f>
        <v>3</v>
      </c>
      <c r="I274" s="97">
        <f ca="1">IFERROR(__xludf.DUMMYFUNCTION("""COMPUTED_VALUE"""),45997)</f>
        <v>45997</v>
      </c>
      <c r="J274" s="98" t="str">
        <f ca="1">IFERROR(__xludf.DUMMYFUNCTION("""COMPUTED_VALUE"""),"CW18502_Dec25")</f>
        <v>CW18502_Dec25</v>
      </c>
      <c r="K274" s="99" t="str">
        <f ca="1">IFERROR(__xludf.DUMMYFUNCTION("""COMPUTED_VALUE"""),"HoM Approved")</f>
        <v>HoM Approved</v>
      </c>
    </row>
    <row r="275" spans="1:11" ht="13.2">
      <c r="A275" s="89" t="str">
        <f ca="1">IFERROR(__xludf.DUMMYFUNCTION("""COMPUTED_VALUE"""),"Bisk Club SHERO Biscuit")</f>
        <v>Bisk Club SHERO Biscuit</v>
      </c>
      <c r="B275" s="90" t="str">
        <f ca="1">IFERROR(__xludf.DUMMYFUNCTION("""COMPUTED_VALUE"""),"BBL")</f>
        <v>BBL</v>
      </c>
      <c r="C275" s="91" t="str">
        <f ca="1">IFERROR(__xludf.DUMMYFUNCTION("""COMPUTED_VALUE"""),"Zahirul Vai")</f>
        <v>Zahirul Vai</v>
      </c>
      <c r="D275" s="92" t="str">
        <f ca="1">IFERROR(__xludf.DUMMYFUNCTION("""COMPUTED_VALUE"""),"Faruk Hossain (521288)")</f>
        <v>Faruk Hossain (521288)</v>
      </c>
      <c r="E275" s="93" t="str">
        <f ca="1">IFERROR(__xludf.DUMMYFUNCTION("""COMPUTED_VALUE"""),"CB13093_Dec25")</f>
        <v>CB13093_Dec25</v>
      </c>
      <c r="F275" s="94" t="str">
        <f ca="1">IFERROR(__xludf.DUMMYFUNCTION("""COMPUTED_VALUE"""),"ATC Box Output")</f>
        <v>ATC Box Output</v>
      </c>
      <c r="G275" s="95" t="str">
        <f ca="1">IFERROR(__xludf.DUMMYFUNCTION("""COMPUTED_VALUE"""),"New")</f>
        <v>New</v>
      </c>
      <c r="H275" s="96">
        <f ca="1">IFERROR(__xludf.DUMMYFUNCTION("""COMPUTED_VALUE"""),4)</f>
        <v>4</v>
      </c>
      <c r="I275" s="97">
        <f ca="1">IFERROR(__xludf.DUMMYFUNCTION("""COMPUTED_VALUE"""),45998)</f>
        <v>45998</v>
      </c>
      <c r="J275" s="98" t="str">
        <f ca="1">IFERROR(__xludf.DUMMYFUNCTION("""COMPUTED_VALUE"""),"CW18556_Dec25")</f>
        <v>CW18556_Dec25</v>
      </c>
      <c r="K275" s="99" t="str">
        <f ca="1">IFERROR(__xludf.DUMMYFUNCTION("""COMPUTED_VALUE"""),"HoM Approved")</f>
        <v>HoM Approved</v>
      </c>
    </row>
    <row r="276" spans="1:11" ht="13.2">
      <c r="A276" s="89" t="str">
        <f ca="1">IFERROR(__xludf.DUMMYFUNCTION("""COMPUTED_VALUE"""),"Potata Biscuit")</f>
        <v>Potata Biscuit</v>
      </c>
      <c r="B276" s="90" t="str">
        <f ca="1">IFERROR(__xludf.DUMMYFUNCTION("""COMPUTED_VALUE"""),"Africa")</f>
        <v>Africa</v>
      </c>
      <c r="C276" s="91" t="str">
        <f ca="1">IFERROR(__xludf.DUMMYFUNCTION("""COMPUTED_VALUE"""),"Zahirul Vai")</f>
        <v>Zahirul Vai</v>
      </c>
      <c r="D276" s="92" t="str">
        <f ca="1">IFERROR(__xludf.DUMMYFUNCTION("""COMPUTED_VALUE"""),"Faruk Hossain (521288)")</f>
        <v>Faruk Hossain (521288)</v>
      </c>
      <c r="E276" s="93" t="str">
        <f ca="1">IFERROR(__xludf.DUMMYFUNCTION("""COMPUTED_VALUE"""),"CB12097_Nov25")</f>
        <v>CB12097_Nov25</v>
      </c>
      <c r="F276" s="94" t="str">
        <f ca="1">IFERROR(__xludf.DUMMYFUNCTION("""COMPUTED_VALUE"""),"Packaging Text Design #2")</f>
        <v>Packaging Text Design #2</v>
      </c>
      <c r="G276" s="95" t="str">
        <f ca="1">IFERROR(__xludf.DUMMYFUNCTION("""COMPUTED_VALUE"""),"New")</f>
        <v>New</v>
      </c>
      <c r="H276" s="96">
        <f ca="1">IFERROR(__xludf.DUMMYFUNCTION("""COMPUTED_VALUE"""),3)</f>
        <v>3</v>
      </c>
      <c r="I276" s="97">
        <f ca="1">IFERROR(__xludf.DUMMYFUNCTION("""COMPUTED_VALUE"""),45999)</f>
        <v>45999</v>
      </c>
      <c r="J276" s="98" t="str">
        <f ca="1">IFERROR(__xludf.DUMMYFUNCTION("""COMPUTED_VALUE"""),"CW18642_Dec25")</f>
        <v>CW18642_Dec25</v>
      </c>
      <c r="K276" s="99" t="str">
        <f ca="1">IFERROR(__xludf.DUMMYFUNCTION("""COMPUTED_VALUE"""),"HoM Approved")</f>
        <v>HoM Approved</v>
      </c>
    </row>
    <row r="277" spans="1:11" ht="13.2">
      <c r="A277" s="89" t="str">
        <f ca="1">IFERROR(__xludf.DUMMYFUNCTION("""COMPUTED_VALUE"""),"Good Luck")</f>
        <v>Good Luck</v>
      </c>
      <c r="B277" s="90" t="str">
        <f ca="1">IFERROR(__xludf.DUMMYFUNCTION("""COMPUTED_VALUE"""),"RFL Stationery")</f>
        <v>RFL Stationery</v>
      </c>
      <c r="C277" s="91" t="str">
        <f ca="1">IFERROR(__xludf.DUMMYFUNCTION("""COMPUTED_VALUE"""),"Rifath Vai")</f>
        <v>Rifath Vai</v>
      </c>
      <c r="D277" s="92" t="str">
        <f ca="1">IFERROR(__xludf.DUMMYFUNCTION("""COMPUTED_VALUE"""),"Faruk Hossain (521288)")</f>
        <v>Faruk Hossain (521288)</v>
      </c>
      <c r="E277" s="93" t="str">
        <f ca="1">IFERROR(__xludf.DUMMYFUNCTION("""COMPUTED_VALUE"""),"CB12879_Dec25")</f>
        <v>CB12879_Dec25</v>
      </c>
      <c r="F277" s="94" t="str">
        <f ca="1">IFERROR(__xludf.DUMMYFUNCTION("""COMPUTED_VALUE"""),"Output Setup (Gravure/Offset)")</f>
        <v>Output Setup (Gravure/Offset)</v>
      </c>
      <c r="G277" s="95" t="str">
        <f ca="1">IFERROR(__xludf.DUMMYFUNCTION("""COMPUTED_VALUE"""),"New")</f>
        <v>New</v>
      </c>
      <c r="H277" s="96">
        <f ca="1">IFERROR(__xludf.DUMMYFUNCTION("""COMPUTED_VALUE"""),2)</f>
        <v>2</v>
      </c>
      <c r="I277" s="97">
        <f ca="1">IFERROR(__xludf.DUMMYFUNCTION("""COMPUTED_VALUE"""),46001)</f>
        <v>46001</v>
      </c>
      <c r="J277" s="98" t="str">
        <f ca="1">IFERROR(__xludf.DUMMYFUNCTION("""COMPUTED_VALUE"""),"CW18880_Dec25")</f>
        <v>CW18880_Dec25</v>
      </c>
      <c r="K277" s="99" t="str">
        <f ca="1">IFERROR(__xludf.DUMMYFUNCTION("""COMPUTED_VALUE"""),"HoM Approved")</f>
        <v>HoM Approved</v>
      </c>
    </row>
    <row r="278" spans="1:11" ht="13.2">
      <c r="A278" s="89" t="str">
        <f ca="1">IFERROR(__xludf.DUMMYFUNCTION("""COMPUTED_VALUE"""),"All Time Cookies")</f>
        <v>All Time Cookies</v>
      </c>
      <c r="B278" s="90" t="str">
        <f ca="1">IFERROR(__xludf.DUMMYFUNCTION("""COMPUTED_VALUE"""),"BBL")</f>
        <v>BBL</v>
      </c>
      <c r="C278" s="91" t="str">
        <f ca="1">IFERROR(__xludf.DUMMYFUNCTION("""COMPUTED_VALUE"""),"Mona Apu")</f>
        <v>Mona Apu</v>
      </c>
      <c r="D278" s="92" t="str">
        <f ca="1">IFERROR(__xludf.DUMMYFUNCTION("""COMPUTED_VALUE"""),"Faruk Hossain (521288)")</f>
        <v>Faruk Hossain (521288)</v>
      </c>
      <c r="E278" s="93" t="str">
        <f ca="1">IFERROR(__xludf.DUMMYFUNCTION("""COMPUTED_VALUE"""),"CB13269_Dec25")</f>
        <v>CB13269_Dec25</v>
      </c>
      <c r="F278" s="94" t="str">
        <f ca="1">IFERROR(__xludf.DUMMYFUNCTION("""COMPUTED_VALUE"""),"Packaging Text Design #1")</f>
        <v>Packaging Text Design #1</v>
      </c>
      <c r="G278" s="95" t="str">
        <f ca="1">IFERROR(__xludf.DUMMYFUNCTION("""COMPUTED_VALUE"""),"New")</f>
        <v>New</v>
      </c>
      <c r="H278" s="96">
        <f ca="1">IFERROR(__xludf.DUMMYFUNCTION("""COMPUTED_VALUE"""),5)</f>
        <v>5</v>
      </c>
      <c r="I278" s="97">
        <f ca="1">IFERROR(__xludf.DUMMYFUNCTION("""COMPUTED_VALUE"""),46008)</f>
        <v>46008</v>
      </c>
      <c r="J278" s="98" t="str">
        <f ca="1">IFERROR(__xludf.DUMMYFUNCTION("""COMPUTED_VALUE"""),"CW19353_Dec25")</f>
        <v>CW19353_Dec25</v>
      </c>
      <c r="K278" s="99" t="str">
        <f ca="1">IFERROR(__xludf.DUMMYFUNCTION("""COMPUTED_VALUE"""),"HoM Approved")</f>
        <v>HoM Approved</v>
      </c>
    </row>
    <row r="279" spans="1:11" ht="13.2">
      <c r="A279" s="89" t="str">
        <f ca="1">IFERROR(__xludf.DUMMYFUNCTION("""COMPUTED_VALUE"""),"All Time Cookies")</f>
        <v>All Time Cookies</v>
      </c>
      <c r="B279" s="90" t="str">
        <f ca="1">IFERROR(__xludf.DUMMYFUNCTION("""COMPUTED_VALUE"""),"BBL")</f>
        <v>BBL</v>
      </c>
      <c r="C279" s="91" t="str">
        <f ca="1">IFERROR(__xludf.DUMMYFUNCTION("""COMPUTED_VALUE"""),"Mona Apu")</f>
        <v>Mona Apu</v>
      </c>
      <c r="D279" s="92" t="str">
        <f ca="1">IFERROR(__xludf.DUMMYFUNCTION("""COMPUTED_VALUE"""),"Faruk Hossain (521288)")</f>
        <v>Faruk Hossain (521288)</v>
      </c>
      <c r="E279" s="93" t="str">
        <f ca="1">IFERROR(__xludf.DUMMYFUNCTION("""COMPUTED_VALUE"""),"CB13269_Dec25")</f>
        <v>CB13269_Dec25</v>
      </c>
      <c r="F279" s="94" t="str">
        <f ca="1">IFERROR(__xludf.DUMMYFUNCTION("""COMPUTED_VALUE"""),"Output Setup (Gravure/Offset)")</f>
        <v>Output Setup (Gravure/Offset)</v>
      </c>
      <c r="G279" s="95" t="str">
        <f ca="1">IFERROR(__xludf.DUMMYFUNCTION("""COMPUTED_VALUE"""),"New")</f>
        <v>New</v>
      </c>
      <c r="H279" s="96">
        <f ca="1">IFERROR(__xludf.DUMMYFUNCTION("""COMPUTED_VALUE"""),5)</f>
        <v>5</v>
      </c>
      <c r="I279" s="97">
        <f ca="1">IFERROR(__xludf.DUMMYFUNCTION("""COMPUTED_VALUE"""),46008)</f>
        <v>46008</v>
      </c>
      <c r="J279" s="98" t="str">
        <f ca="1">IFERROR(__xludf.DUMMYFUNCTION("""COMPUTED_VALUE"""),"CW19353_Dec25")</f>
        <v>CW19353_Dec25</v>
      </c>
      <c r="K279" s="99" t="str">
        <f ca="1">IFERROR(__xludf.DUMMYFUNCTION("""COMPUTED_VALUE"""),"HoM Approved")</f>
        <v>HoM Approved</v>
      </c>
    </row>
    <row r="280" spans="1:11" ht="13.2">
      <c r="A280" s="89" t="str">
        <f ca="1">IFERROR(__xludf.DUMMYFUNCTION("""COMPUTED_VALUE"""),"PRAN Frozen Foods")</f>
        <v>PRAN Frozen Foods</v>
      </c>
      <c r="B280" s="90" t="str">
        <f ca="1">IFERROR(__xludf.DUMMYFUNCTION("""COMPUTED_VALUE"""),"PFF")</f>
        <v>PFF</v>
      </c>
      <c r="C280" s="91" t="str">
        <f ca="1">IFERROR(__xludf.DUMMYFUNCTION("""COMPUTED_VALUE"""),"Rakib Vai")</f>
        <v>Rakib Vai</v>
      </c>
      <c r="D280" s="92" t="str">
        <f ca="1">IFERROR(__xludf.DUMMYFUNCTION("""COMPUTED_VALUE"""),"Faruk Hossain (521288)")</f>
        <v>Faruk Hossain (521288)</v>
      </c>
      <c r="E280" s="93" t="str">
        <f ca="1">IFERROR(__xludf.DUMMYFUNCTION("""COMPUTED_VALUE"""),"CB13106_Dec25")</f>
        <v>CB13106_Dec25</v>
      </c>
      <c r="F280" s="94" t="str">
        <f ca="1">IFERROR(__xludf.DUMMYFUNCTION("""COMPUTED_VALUE"""),"Packaging Text Design #1")</f>
        <v>Packaging Text Design #1</v>
      </c>
      <c r="G280" s="95" t="str">
        <f ca="1">IFERROR(__xludf.DUMMYFUNCTION("""COMPUTED_VALUE"""),"New")</f>
        <v>New</v>
      </c>
      <c r="H280" s="96">
        <f ca="1">IFERROR(__xludf.DUMMYFUNCTION("""COMPUTED_VALUE"""),7)</f>
        <v>7</v>
      </c>
      <c r="I280" s="97">
        <f ca="1">IFERROR(__xludf.DUMMYFUNCTION("""COMPUTED_VALUE"""),46008)</f>
        <v>46008</v>
      </c>
      <c r="J280" s="98" t="str">
        <f ca="1">IFERROR(__xludf.DUMMYFUNCTION("""COMPUTED_VALUE"""),"CW19352_Dec25")</f>
        <v>CW19352_Dec25</v>
      </c>
      <c r="K280" s="99" t="str">
        <f ca="1">IFERROR(__xludf.DUMMYFUNCTION("""COMPUTED_VALUE"""),"HoM Approved")</f>
        <v>HoM Approved</v>
      </c>
    </row>
    <row r="281" spans="1:11" ht="13.2">
      <c r="A281" s="89" t="str">
        <f ca="1">IFERROR(__xludf.DUMMYFUNCTION("""COMPUTED_VALUE"""),"Common - All BBL")</f>
        <v>Common - All BBL</v>
      </c>
      <c r="B281" s="90" t="str">
        <f ca="1">IFERROR(__xludf.DUMMYFUNCTION("""COMPUTED_VALUE"""),"BBL")</f>
        <v>BBL</v>
      </c>
      <c r="C281" s="91" t="str">
        <f ca="1">IFERROR(__xludf.DUMMYFUNCTION("""COMPUTED_VALUE"""),"Ove Vai")</f>
        <v>Ove Vai</v>
      </c>
      <c r="D281" s="92" t="str">
        <f ca="1">IFERROR(__xludf.DUMMYFUNCTION("""COMPUTED_VALUE"""),"Faruk Hossain (521288)")</f>
        <v>Faruk Hossain (521288)</v>
      </c>
      <c r="E281" s="93" t="str">
        <f ca="1">IFERROR(__xludf.DUMMYFUNCTION("""COMPUTED_VALUE"""),"CB13162_Dec25")</f>
        <v>CB13162_Dec25</v>
      </c>
      <c r="F281" s="94" t="str">
        <f ca="1">IFERROR(__xludf.DUMMYFUNCTION("""COMPUTED_VALUE"""),"Output Setup (Gravure/Offset)")</f>
        <v>Output Setup (Gravure/Offset)</v>
      </c>
      <c r="G281" s="95" t="str">
        <f ca="1">IFERROR(__xludf.DUMMYFUNCTION("""COMPUTED_VALUE"""),"New")</f>
        <v>New</v>
      </c>
      <c r="H281" s="96">
        <f ca="1">IFERROR(__xludf.DUMMYFUNCTION("""COMPUTED_VALUE"""),8)</f>
        <v>8</v>
      </c>
      <c r="I281" s="97">
        <f ca="1">IFERROR(__xludf.DUMMYFUNCTION("""COMPUTED_VALUE"""),46012)</f>
        <v>46012</v>
      </c>
      <c r="J281" s="98" t="str">
        <f ca="1">IFERROR(__xludf.DUMMYFUNCTION("""COMPUTED_VALUE"""),"CW19727_Dec25")</f>
        <v>CW19727_Dec25</v>
      </c>
      <c r="K281" s="99" t="str">
        <f ca="1">IFERROR(__xludf.DUMMYFUNCTION("""COMPUTED_VALUE"""),"HoM Approved")</f>
        <v>HoM Approved</v>
      </c>
    </row>
    <row r="282" spans="1:11" ht="13.2">
      <c r="A282" s="89" t="str">
        <f ca="1">IFERROR(__xludf.DUMMYFUNCTION("""COMPUTED_VALUE"""),"RFL Welding Electrode")</f>
        <v>RFL Welding Electrode</v>
      </c>
      <c r="B282" s="90" t="str">
        <f ca="1">IFERROR(__xludf.DUMMYFUNCTION("""COMPUTED_VALUE"""),"RMIL-1")</f>
        <v>RMIL-1</v>
      </c>
      <c r="C282" s="91" t="str">
        <f ca="1">IFERROR(__xludf.DUMMYFUNCTION("""COMPUTED_VALUE"""),"Mehedi Vaiya")</f>
        <v>Mehedi Vaiya</v>
      </c>
      <c r="D282" s="92" t="str">
        <f ca="1">IFERROR(__xludf.DUMMYFUNCTION("""COMPUTED_VALUE"""),"Faruk Hossain (521288)")</f>
        <v>Faruk Hossain (521288)</v>
      </c>
      <c r="E282" s="93" t="str">
        <f ca="1">IFERROR(__xludf.DUMMYFUNCTION("""COMPUTED_VALUE"""),"CB11569_Nov25")</f>
        <v>CB11569_Nov25</v>
      </c>
      <c r="F282" s="94" t="str">
        <f ca="1">IFERROR(__xludf.DUMMYFUNCTION("""COMPUTED_VALUE"""),"Output Setup (Gravure/Offset)")</f>
        <v>Output Setup (Gravure/Offset)</v>
      </c>
      <c r="G282" s="95" t="str">
        <f ca="1">IFERROR(__xludf.DUMMYFUNCTION("""COMPUTED_VALUE"""),"New")</f>
        <v>New</v>
      </c>
      <c r="H282" s="96">
        <f ca="1">IFERROR(__xludf.DUMMYFUNCTION("""COMPUTED_VALUE"""),1)</f>
        <v>1</v>
      </c>
      <c r="I282" s="97">
        <f ca="1">IFERROR(__xludf.DUMMYFUNCTION("""COMPUTED_VALUE"""),46013)</f>
        <v>46013</v>
      </c>
      <c r="J282" s="98" t="str">
        <f ca="1">IFERROR(__xludf.DUMMYFUNCTION("""COMPUTED_VALUE"""),"CW19842_Dec25")</f>
        <v>CW19842_Dec25</v>
      </c>
      <c r="K282" s="99" t="str">
        <f ca="1">IFERROR(__xludf.DUMMYFUNCTION("""COMPUTED_VALUE"""),"HoM Approved")</f>
        <v>HoM Approved</v>
      </c>
    </row>
    <row r="283" spans="1:11" ht="13.2">
      <c r="A283" s="89" t="str">
        <f ca="1">IFERROR(__xludf.DUMMYFUNCTION("""COMPUTED_VALUE"""),"Sixers")</f>
        <v>Sixers</v>
      </c>
      <c r="B283" s="90" t="str">
        <f ca="1">IFERROR(__xludf.DUMMYFUNCTION("""COMPUTED_VALUE"""),"PCL")</f>
        <v>PCL</v>
      </c>
      <c r="C283" s="91" t="str">
        <f ca="1">IFERROR(__xludf.DUMMYFUNCTION("""COMPUTED_VALUE"""),"Zahirul Vai")</f>
        <v>Zahirul Vai</v>
      </c>
      <c r="D283" s="92" t="str">
        <f ca="1">IFERROR(__xludf.DUMMYFUNCTION("""COMPUTED_VALUE"""),"Faruk Hossain (521288)")</f>
        <v>Faruk Hossain (521288)</v>
      </c>
      <c r="E283" s="93" t="str">
        <f ca="1">IFERROR(__xludf.DUMMYFUNCTION("""COMPUTED_VALUE"""),"CB13873_Dec25")</f>
        <v>CB13873_Dec25</v>
      </c>
      <c r="F283" s="94" t="str">
        <f ca="1">IFERROR(__xludf.DUMMYFUNCTION("""COMPUTED_VALUE"""),"Output Setup (Gravure/Offset)")</f>
        <v>Output Setup (Gravure/Offset)</v>
      </c>
      <c r="G283" s="95" t="str">
        <f ca="1">IFERROR(__xludf.DUMMYFUNCTION("""COMPUTED_VALUE"""),"New")</f>
        <v>New</v>
      </c>
      <c r="H283" s="96">
        <f ca="1">IFERROR(__xludf.DUMMYFUNCTION("""COMPUTED_VALUE"""),4)</f>
        <v>4</v>
      </c>
      <c r="I283" s="97">
        <f ca="1">IFERROR(__xludf.DUMMYFUNCTION("""COMPUTED_VALUE"""),46013)</f>
        <v>46013</v>
      </c>
      <c r="J283" s="98" t="str">
        <f ca="1">IFERROR(__xludf.DUMMYFUNCTION("""COMPUTED_VALUE"""),"CW19846_Dec25")</f>
        <v>CW19846_Dec25</v>
      </c>
      <c r="K283" s="99" t="str">
        <f ca="1">IFERROR(__xludf.DUMMYFUNCTION("""COMPUTED_VALUE"""),"HoM Approved")</f>
        <v>HoM Approved</v>
      </c>
    </row>
    <row r="284" spans="1:11" ht="13.2">
      <c r="A284" s="89" t="str">
        <f ca="1">IFERROR(__xludf.DUMMYFUNCTION("""COMPUTED_VALUE"""),"Pran Lacchi")</f>
        <v>Pran Lacchi</v>
      </c>
      <c r="B284" s="90" t="str">
        <f ca="1">IFERROR(__xludf.DUMMYFUNCTION("""COMPUTED_VALUE"""),"PBL")</f>
        <v>PBL</v>
      </c>
      <c r="C284" s="91" t="str">
        <f ca="1">IFERROR(__xludf.DUMMYFUNCTION("""COMPUTED_VALUE"""),"Duke Vai")</f>
        <v>Duke Vai</v>
      </c>
      <c r="D284" s="92" t="str">
        <f ca="1">IFERROR(__xludf.DUMMYFUNCTION("""COMPUTED_VALUE"""),"Faruk Hossain (521288)")</f>
        <v>Faruk Hossain (521288)</v>
      </c>
      <c r="E284" s="93" t="str">
        <f ca="1">IFERROR(__xludf.DUMMYFUNCTION("""COMPUTED_VALUE"""),"CB13841_Dec25")</f>
        <v>CB13841_Dec25</v>
      </c>
      <c r="F284" s="94" t="str">
        <f ca="1">IFERROR(__xludf.DUMMYFUNCTION("""COMPUTED_VALUE"""),"Output Setup (Gravure/Offset)")</f>
        <v>Output Setup (Gravure/Offset)</v>
      </c>
      <c r="G284" s="95" t="str">
        <f ca="1">IFERROR(__xludf.DUMMYFUNCTION("""COMPUTED_VALUE"""),"New")</f>
        <v>New</v>
      </c>
      <c r="H284" s="96">
        <f ca="1">IFERROR(__xludf.DUMMYFUNCTION("""COMPUTED_VALUE"""),4)</f>
        <v>4</v>
      </c>
      <c r="I284" s="97">
        <f ca="1">IFERROR(__xludf.DUMMYFUNCTION("""COMPUTED_VALUE"""),46015)</f>
        <v>46015</v>
      </c>
      <c r="J284" s="98" t="str">
        <f ca="1">IFERROR(__xludf.DUMMYFUNCTION("""COMPUTED_VALUE"""),"CW19993_Dec25")</f>
        <v>CW19993_Dec25</v>
      </c>
      <c r="K284" s="99" t="str">
        <f ca="1">IFERROR(__xludf.DUMMYFUNCTION("""COMPUTED_VALUE"""),"HoM Approved")</f>
        <v>HoM Approved</v>
      </c>
    </row>
    <row r="285" spans="1:11" ht="13.2">
      <c r="A285" s="89" t="str">
        <f ca="1">IFERROR(__xludf.DUMMYFUNCTION("""COMPUTED_VALUE"""),"Kofi House")</f>
        <v>Kofi House</v>
      </c>
      <c r="B285" s="90" t="str">
        <f ca="1">IFERROR(__xludf.DUMMYFUNCTION("""COMPUTED_VALUE"""),"AMCL")</f>
        <v>AMCL</v>
      </c>
      <c r="C285" s="91" t="str">
        <f ca="1">IFERROR(__xludf.DUMMYFUNCTION("""COMPUTED_VALUE"""),"Miraj Vai")</f>
        <v>Miraj Vai</v>
      </c>
      <c r="D285" s="92" t="str">
        <f ca="1">IFERROR(__xludf.DUMMYFUNCTION("""COMPUTED_VALUE"""),"Faruk Hossain (521288)")</f>
        <v>Faruk Hossain (521288)</v>
      </c>
      <c r="E285" s="93" t="str">
        <f ca="1">IFERROR(__xludf.DUMMYFUNCTION("""COMPUTED_VALUE"""),"CB13736_Dec25")</f>
        <v>CB13736_Dec25</v>
      </c>
      <c r="F285" s="94" t="str">
        <f ca="1">IFERROR(__xludf.DUMMYFUNCTION("""COMPUTED_VALUE"""),"Output Setup (Gravure/Offset)")</f>
        <v>Output Setup (Gravure/Offset)</v>
      </c>
      <c r="G285" s="95" t="str">
        <f ca="1">IFERROR(__xludf.DUMMYFUNCTION("""COMPUTED_VALUE"""),"New")</f>
        <v>New</v>
      </c>
      <c r="H285" s="96">
        <f ca="1">IFERROR(__xludf.DUMMYFUNCTION("""COMPUTED_VALUE"""),1)</f>
        <v>1</v>
      </c>
      <c r="I285" s="97">
        <f ca="1">IFERROR(__xludf.DUMMYFUNCTION("""COMPUTED_VALUE"""),46015)</f>
        <v>46015</v>
      </c>
      <c r="J285" s="98" t="str">
        <f ca="1">IFERROR(__xludf.DUMMYFUNCTION("""COMPUTED_VALUE"""),"CW20024_Dec25")</f>
        <v>CW20024_Dec25</v>
      </c>
      <c r="K285" s="99" t="str">
        <f ca="1">IFERROR(__xludf.DUMMYFUNCTION("""COMPUTED_VALUE"""),"HoM Approved")</f>
        <v>HoM Approved</v>
      </c>
    </row>
    <row r="286" spans="1:11" ht="13.2">
      <c r="A286" s="89" t="str">
        <f ca="1">IFERROR(__xludf.DUMMYFUNCTION("""COMPUTED_VALUE"""),"PRAN Noodles")</f>
        <v>PRAN Noodles</v>
      </c>
      <c r="B286" s="90" t="str">
        <f ca="1">IFERROR(__xludf.DUMMYFUNCTION("""COMPUTED_VALUE"""),"PAL")</f>
        <v>PAL</v>
      </c>
      <c r="C286" s="91" t="str">
        <f ca="1">IFERROR(__xludf.DUMMYFUNCTION("""COMPUTED_VALUE"""),"Zahirul Vai")</f>
        <v>Zahirul Vai</v>
      </c>
      <c r="D286" s="92" t="str">
        <f ca="1">IFERROR(__xludf.DUMMYFUNCTION("""COMPUTED_VALUE"""),"Faruk Hossain (521288)")</f>
        <v>Faruk Hossain (521288)</v>
      </c>
      <c r="E286" s="93" t="str">
        <f ca="1">IFERROR(__xludf.DUMMYFUNCTION("""COMPUTED_VALUE"""),"CB14179_Dec25")</f>
        <v>CB14179_Dec25</v>
      </c>
      <c r="F286" s="94" t="str">
        <f ca="1">IFERROR(__xludf.DUMMYFUNCTION("""COMPUTED_VALUE"""),"Output Setup (Gravure/Offset)")</f>
        <v>Output Setup (Gravure/Offset)</v>
      </c>
      <c r="G286" s="95" t="str">
        <f ca="1">IFERROR(__xludf.DUMMYFUNCTION("""COMPUTED_VALUE"""),"New")</f>
        <v>New</v>
      </c>
      <c r="H286" s="96">
        <f ca="1">IFERROR(__xludf.DUMMYFUNCTION("""COMPUTED_VALUE"""),1)</f>
        <v>1</v>
      </c>
      <c r="I286" s="97">
        <f ca="1">IFERROR(__xludf.DUMMYFUNCTION("""COMPUTED_VALUE"""),46015)</f>
        <v>46015</v>
      </c>
      <c r="J286" s="98" t="str">
        <f ca="1">IFERROR(__xludf.DUMMYFUNCTION("""COMPUTED_VALUE"""),"CW20042_Dec25")</f>
        <v>CW20042_Dec25</v>
      </c>
      <c r="K286" s="99" t="str">
        <f ca="1">IFERROR(__xludf.DUMMYFUNCTION("""COMPUTED_VALUE"""),"HoM Approved")</f>
        <v>HoM Approved</v>
      </c>
    </row>
    <row r="287" spans="1:11" ht="13.2">
      <c r="A287" s="89" t="str">
        <f ca="1">IFERROR(__xludf.DUMMYFUNCTION("""COMPUTED_VALUE"""),"ROADBEAT- Motorcycle Tyre")</f>
        <v>ROADBEAT- Motorcycle Tyre</v>
      </c>
      <c r="B287" s="90" t="str">
        <f ca="1">IFERROR(__xludf.DUMMYFUNCTION("""COMPUTED_VALUE"""),"RFL Tyre")</f>
        <v>RFL Tyre</v>
      </c>
      <c r="C287" s="91" t="str">
        <f ca="1">IFERROR(__xludf.DUMMYFUNCTION("""COMPUTED_VALUE"""),"Rizvi Vai")</f>
        <v>Rizvi Vai</v>
      </c>
      <c r="D287" s="92" t="str">
        <f ca="1">IFERROR(__xludf.DUMMYFUNCTION("""COMPUTED_VALUE"""),"Faruk Hossain (521288)")</f>
        <v>Faruk Hossain (521288)</v>
      </c>
      <c r="E287" s="93" t="str">
        <f ca="1">IFERROR(__xludf.DUMMYFUNCTION("""COMPUTED_VALUE"""),"CB13652_Dec25")</f>
        <v>CB13652_Dec25</v>
      </c>
      <c r="F287" s="94" t="str">
        <f ca="1">IFERROR(__xludf.DUMMYFUNCTION("""COMPUTED_VALUE"""),"Output Setup (Gravure/Offset)")</f>
        <v>Output Setup (Gravure/Offset)</v>
      </c>
      <c r="G287" s="95" t="str">
        <f ca="1">IFERROR(__xludf.DUMMYFUNCTION("""COMPUTED_VALUE"""),"New")</f>
        <v>New</v>
      </c>
      <c r="H287" s="96">
        <f ca="1">IFERROR(__xludf.DUMMYFUNCTION("""COMPUTED_VALUE"""),2)</f>
        <v>2</v>
      </c>
      <c r="I287" s="97">
        <f ca="1">IFERROR(__xludf.DUMMYFUNCTION("""COMPUTED_VALUE"""),46018)</f>
        <v>46018</v>
      </c>
      <c r="J287" s="98" t="str">
        <f ca="1">IFERROR(__xludf.DUMMYFUNCTION("""COMPUTED_VALUE"""),"CW20110_Dec25")</f>
        <v>CW20110_Dec25</v>
      </c>
      <c r="K287" s="99" t="str">
        <f ca="1">IFERROR(__xludf.DUMMYFUNCTION("""COMPUTED_VALUE"""),"HoM Approved")</f>
        <v>HoM Approved</v>
      </c>
    </row>
    <row r="288" spans="1:11" ht="13.2">
      <c r="A288" s="89" t="str">
        <f ca="1">IFERROR(__xludf.DUMMYFUNCTION("""COMPUTED_VALUE"""),"Buddy Chew Candy")</f>
        <v>Buddy Chew Candy</v>
      </c>
      <c r="B288" s="90" t="str">
        <f ca="1">IFERROR(__xludf.DUMMYFUNCTION("""COMPUTED_VALUE"""),"PCL")</f>
        <v>PCL</v>
      </c>
      <c r="C288" s="91" t="str">
        <f ca="1">IFERROR(__xludf.DUMMYFUNCTION("""COMPUTED_VALUE"""),"Zahirul Vai")</f>
        <v>Zahirul Vai</v>
      </c>
      <c r="D288" s="92" t="str">
        <f ca="1">IFERROR(__xludf.DUMMYFUNCTION("""COMPUTED_VALUE"""),"Faruk Hossain (521288)")</f>
        <v>Faruk Hossain (521288)</v>
      </c>
      <c r="E288" s="93" t="str">
        <f ca="1">IFERROR(__xludf.DUMMYFUNCTION("""COMPUTED_VALUE"""),"CB13551_Dec25")</f>
        <v>CB13551_Dec25</v>
      </c>
      <c r="F288" s="94" t="str">
        <f ca="1">IFERROR(__xludf.DUMMYFUNCTION("""COMPUTED_VALUE"""),"Output Setup (Gravure/Offset)")</f>
        <v>Output Setup (Gravure/Offset)</v>
      </c>
      <c r="G288" s="95" t="str">
        <f ca="1">IFERROR(__xludf.DUMMYFUNCTION("""COMPUTED_VALUE"""),"New")</f>
        <v>New</v>
      </c>
      <c r="H288" s="96">
        <f ca="1">IFERROR(__xludf.DUMMYFUNCTION("""COMPUTED_VALUE"""),2)</f>
        <v>2</v>
      </c>
      <c r="I288" s="97">
        <f ca="1">IFERROR(__xludf.DUMMYFUNCTION("""COMPUTED_VALUE"""),46018)</f>
        <v>46018</v>
      </c>
      <c r="J288" s="98" t="str">
        <f ca="1">IFERROR(__xludf.DUMMYFUNCTION("""COMPUTED_VALUE"""),"CW20159_Dec25")</f>
        <v>CW20159_Dec25</v>
      </c>
      <c r="K288" s="99" t="str">
        <f ca="1">IFERROR(__xludf.DUMMYFUNCTION("""COMPUTED_VALUE"""),"HoM Approved")</f>
        <v>HoM Approved</v>
      </c>
    </row>
    <row r="289" spans="1:11" ht="13.2">
      <c r="A289" s="89" t="str">
        <f ca="1">IFERROR(__xludf.DUMMYFUNCTION("""COMPUTED_VALUE"""),"Bisk Club Cookies")</f>
        <v>Bisk Club Cookies</v>
      </c>
      <c r="B289" s="90" t="str">
        <f ca="1">IFERROR(__xludf.DUMMYFUNCTION("""COMPUTED_VALUE"""),"BBL")</f>
        <v>BBL</v>
      </c>
      <c r="C289" s="91" t="str">
        <f ca="1">IFERROR(__xludf.DUMMYFUNCTION("""COMPUTED_VALUE"""),"Afrin Apu")</f>
        <v>Afrin Apu</v>
      </c>
      <c r="D289" s="92" t="str">
        <f ca="1">IFERROR(__xludf.DUMMYFUNCTION("""COMPUTED_VALUE"""),"Faruk Hossain (521288)")</f>
        <v>Faruk Hossain (521288)</v>
      </c>
      <c r="E289" s="93" t="str">
        <f ca="1">IFERROR(__xludf.DUMMYFUNCTION("""COMPUTED_VALUE"""),"CB13445_Dec25")</f>
        <v>CB13445_Dec25</v>
      </c>
      <c r="F289" s="94" t="str">
        <f ca="1">IFERROR(__xludf.DUMMYFUNCTION("""COMPUTED_VALUE"""),"Output Setup (Gravure/Offset)")</f>
        <v>Output Setup (Gravure/Offset)</v>
      </c>
      <c r="G289" s="95" t="str">
        <f ca="1">IFERROR(__xludf.DUMMYFUNCTION("""COMPUTED_VALUE"""),"New")</f>
        <v>New</v>
      </c>
      <c r="H289" s="96">
        <f ca="1">IFERROR(__xludf.DUMMYFUNCTION("""COMPUTED_VALUE"""),1)</f>
        <v>1</v>
      </c>
      <c r="I289" s="97">
        <f ca="1">IFERROR(__xludf.DUMMYFUNCTION("""COMPUTED_VALUE"""),46020)</f>
        <v>46020</v>
      </c>
      <c r="J289" s="98" t="str">
        <f ca="1">IFERROR(__xludf.DUMMYFUNCTION("""COMPUTED_VALUE"""),"CW20351_Dec25")</f>
        <v>CW20351_Dec25</v>
      </c>
      <c r="K289" s="99" t="str">
        <f ca="1">IFERROR(__xludf.DUMMYFUNCTION("""COMPUTED_VALUE"""),"BM Approved")</f>
        <v>BM Approved</v>
      </c>
    </row>
    <row r="290" spans="1:11" ht="13.2">
      <c r="A290" s="89" t="str">
        <f ca="1">IFERROR(__xludf.DUMMYFUNCTION("""COMPUTED_VALUE"""),"Common")</f>
        <v>Common</v>
      </c>
      <c r="B290" s="90" t="str">
        <f ca="1">IFERROR(__xludf.DUMMYFUNCTION("""COMPUTED_VALUE"""),"UAE")</f>
        <v>UAE</v>
      </c>
      <c r="C290" s="91" t="str">
        <f ca="1">IFERROR(__xludf.DUMMYFUNCTION("""COMPUTED_VALUE"""),"Yeasin Vai")</f>
        <v>Yeasin Vai</v>
      </c>
      <c r="D290" s="92" t="str">
        <f ca="1">IFERROR(__xludf.DUMMYFUNCTION("""COMPUTED_VALUE"""),"Faruk Hossain (521288)")</f>
        <v>Faruk Hossain (521288)</v>
      </c>
      <c r="E290" s="93" t="str">
        <f ca="1">IFERROR(__xludf.DUMMYFUNCTION("""COMPUTED_VALUE"""),"CB14626_Dec25")</f>
        <v>CB14626_Dec25</v>
      </c>
      <c r="F290" s="94" t="str">
        <f ca="1">IFERROR(__xludf.DUMMYFUNCTION("""COMPUTED_VALUE"""),"Output Setup (Gravure/Offset)")</f>
        <v>Output Setup (Gravure/Offset)</v>
      </c>
      <c r="G290" s="95" t="str">
        <f ca="1">IFERROR(__xludf.DUMMYFUNCTION("""COMPUTED_VALUE"""),"New")</f>
        <v>New</v>
      </c>
      <c r="H290" s="96">
        <f ca="1">IFERROR(__xludf.DUMMYFUNCTION("""COMPUTED_VALUE"""),1)</f>
        <v>1</v>
      </c>
      <c r="I290" s="97">
        <f ca="1">IFERROR(__xludf.DUMMYFUNCTION("""COMPUTED_VALUE"""),46021)</f>
        <v>46021</v>
      </c>
      <c r="J290" s="98" t="str">
        <f ca="1">IFERROR(__xludf.DUMMYFUNCTION("""COMPUTED_VALUE"""),"CW20489_Dec25")</f>
        <v>CW20489_Dec25</v>
      </c>
      <c r="K290" s="99" t="str">
        <f ca="1">IFERROR(__xludf.DUMMYFUNCTION("""COMPUTED_VALUE"""),"HoM Approved")</f>
        <v>HoM Approved</v>
      </c>
    </row>
    <row r="291" spans="1:11" ht="13.2">
      <c r="A291" s="89" t="str">
        <f ca="1">IFERROR(__xludf.DUMMYFUNCTION("""COMPUTED_VALUE"""),"RFL Belcha")</f>
        <v>RFL Belcha</v>
      </c>
      <c r="B291" s="90" t="str">
        <f ca="1">IFERROR(__xludf.DUMMYFUNCTION("""COMPUTED_VALUE"""),"RMIL-1")</f>
        <v>RMIL-1</v>
      </c>
      <c r="C291" s="91" t="str">
        <f ca="1">IFERROR(__xludf.DUMMYFUNCTION("""COMPUTED_VALUE"""),"Mehedi Vaiya")</f>
        <v>Mehedi Vaiya</v>
      </c>
      <c r="D291" s="92" t="str">
        <f ca="1">IFERROR(__xludf.DUMMYFUNCTION("""COMPUTED_VALUE"""),"Faruk Hossain (521288)")</f>
        <v>Faruk Hossain (521288)</v>
      </c>
      <c r="E291" s="93" t="str">
        <f ca="1">IFERROR(__xludf.DUMMYFUNCTION("""COMPUTED_VALUE"""),"CB13056_Dec25")</f>
        <v>CB13056_Dec25</v>
      </c>
      <c r="F291" s="94" t="str">
        <f ca="1">IFERROR(__xludf.DUMMYFUNCTION("""COMPUTED_VALUE"""),"Output Setup (Gravure/Offset)")</f>
        <v>Output Setup (Gravure/Offset)</v>
      </c>
      <c r="G291" s="95" t="str">
        <f ca="1">IFERROR(__xludf.DUMMYFUNCTION("""COMPUTED_VALUE"""),"New")</f>
        <v>New</v>
      </c>
      <c r="H291" s="96">
        <f ca="1">IFERROR(__xludf.DUMMYFUNCTION("""COMPUTED_VALUE"""),7)</f>
        <v>7</v>
      </c>
      <c r="I291" s="97">
        <f ca="1">IFERROR(__xludf.DUMMYFUNCTION("""COMPUTED_VALUE"""),46023)</f>
        <v>46023</v>
      </c>
      <c r="J291" s="98" t="str">
        <f ca="1">IFERROR(__xludf.DUMMYFUNCTION("""COMPUTED_VALUE"""),"CW20915_Jan26")</f>
        <v>CW20915_Jan26</v>
      </c>
      <c r="K291" s="99" t="str">
        <f ca="1">IFERROR(__xludf.DUMMYFUNCTION("""COMPUTED_VALUE"""),"HoM Approved")</f>
        <v>HoM Approved</v>
      </c>
    </row>
    <row r="292" spans="1:11" ht="13.2">
      <c r="A292" s="89" t="str">
        <f ca="1">IFERROR(__xludf.DUMMYFUNCTION("""COMPUTED_VALUE"""),"Bisk Club Cookies")</f>
        <v>Bisk Club Cookies</v>
      </c>
      <c r="B292" s="90" t="str">
        <f ca="1">IFERROR(__xludf.DUMMYFUNCTION("""COMPUTED_VALUE"""),"BBL")</f>
        <v>BBL</v>
      </c>
      <c r="C292" s="91" t="str">
        <f ca="1">IFERROR(__xludf.DUMMYFUNCTION("""COMPUTED_VALUE"""),"Afrin Apu")</f>
        <v>Afrin Apu</v>
      </c>
      <c r="D292" s="92" t="str">
        <f ca="1">IFERROR(__xludf.DUMMYFUNCTION("""COMPUTED_VALUE"""),"Faruk Hossain (521288)")</f>
        <v>Faruk Hossain (521288)</v>
      </c>
      <c r="E292" s="93" t="str">
        <f ca="1">IFERROR(__xludf.DUMMYFUNCTION("""COMPUTED_VALUE"""),"CB14898_Jan26")</f>
        <v>CB14898_Jan26</v>
      </c>
      <c r="F292" s="94" t="str">
        <f ca="1">IFERROR(__xludf.DUMMYFUNCTION("""COMPUTED_VALUE"""),"Output Setup (Gravure/Offset)")</f>
        <v>Output Setup (Gravure/Offset)</v>
      </c>
      <c r="G292" s="95" t="str">
        <f ca="1">IFERROR(__xludf.DUMMYFUNCTION("""COMPUTED_VALUE"""),"New")</f>
        <v>New</v>
      </c>
      <c r="H292" s="96">
        <f ca="1">IFERROR(__xludf.DUMMYFUNCTION("""COMPUTED_VALUE"""),1)</f>
        <v>1</v>
      </c>
      <c r="I292" s="97">
        <f ca="1">IFERROR(__xludf.DUMMYFUNCTION("""COMPUTED_VALUE"""),46026)</f>
        <v>46026</v>
      </c>
      <c r="J292" s="98" t="str">
        <f ca="1">IFERROR(__xludf.DUMMYFUNCTION("""COMPUTED_VALUE"""),"CW21085_Jan26")</f>
        <v>CW21085_Jan26</v>
      </c>
      <c r="K292" s="99" t="str">
        <f ca="1">IFERROR(__xludf.DUMMYFUNCTION("""COMPUTED_VALUE"""),"HoM Approved")</f>
        <v>HoM Approved</v>
      </c>
    </row>
    <row r="293" spans="1:11" ht="13.2">
      <c r="A293" s="89" t="str">
        <f ca="1">IFERROR(__xludf.DUMMYFUNCTION("""COMPUTED_VALUE"""),"Bisk Club Cookies")</f>
        <v>Bisk Club Cookies</v>
      </c>
      <c r="B293" s="90" t="str">
        <f ca="1">IFERROR(__xludf.DUMMYFUNCTION("""COMPUTED_VALUE"""),"BBL")</f>
        <v>BBL</v>
      </c>
      <c r="C293" s="91" t="str">
        <f ca="1">IFERROR(__xludf.DUMMYFUNCTION("""COMPUTED_VALUE"""),"Afrin Apu")</f>
        <v>Afrin Apu</v>
      </c>
      <c r="D293" s="92" t="str">
        <f ca="1">IFERROR(__xludf.DUMMYFUNCTION("""COMPUTED_VALUE"""),"Faruk Hossain (521288)")</f>
        <v>Faruk Hossain (521288)</v>
      </c>
      <c r="E293" s="93" t="str">
        <f ca="1">IFERROR(__xludf.DUMMYFUNCTION("""COMPUTED_VALUE"""),"CB14898_Jan26")</f>
        <v>CB14898_Jan26</v>
      </c>
      <c r="F293" s="94" t="str">
        <f ca="1">IFERROR(__xludf.DUMMYFUNCTION("""COMPUTED_VALUE"""),"Packaging")</f>
        <v>Packaging</v>
      </c>
      <c r="G293" s="95" t="str">
        <f ca="1">IFERROR(__xludf.DUMMYFUNCTION("""COMPUTED_VALUE"""),"New")</f>
        <v>New</v>
      </c>
      <c r="H293" s="96">
        <f ca="1">IFERROR(__xludf.DUMMYFUNCTION("""COMPUTED_VALUE"""),1)</f>
        <v>1</v>
      </c>
      <c r="I293" s="97">
        <f ca="1">IFERROR(__xludf.DUMMYFUNCTION("""COMPUTED_VALUE"""),46026)</f>
        <v>46026</v>
      </c>
      <c r="J293" s="98" t="str">
        <f ca="1">IFERROR(__xludf.DUMMYFUNCTION("""COMPUTED_VALUE"""),"CW21085_Jan26")</f>
        <v>CW21085_Jan26</v>
      </c>
      <c r="K293" s="99" t="str">
        <f ca="1">IFERROR(__xludf.DUMMYFUNCTION("""COMPUTED_VALUE"""),"HoM Approved")</f>
        <v>HoM Approved</v>
      </c>
    </row>
    <row r="294" spans="1:11" ht="13.2">
      <c r="A294" s="89" t="str">
        <f ca="1">IFERROR(__xludf.DUMMYFUNCTION("""COMPUTED_VALUE"""),"All Time Cookies")</f>
        <v>All Time Cookies</v>
      </c>
      <c r="B294" s="90" t="str">
        <f ca="1">IFERROR(__xludf.DUMMYFUNCTION("""COMPUTED_VALUE"""),"BBL")</f>
        <v>BBL</v>
      </c>
      <c r="C294" s="91" t="str">
        <f ca="1">IFERROR(__xludf.DUMMYFUNCTION("""COMPUTED_VALUE"""),"Zahirul Vai")</f>
        <v>Zahirul Vai</v>
      </c>
      <c r="D294" s="92" t="str">
        <f ca="1">IFERROR(__xludf.DUMMYFUNCTION("""COMPUTED_VALUE"""),"Faruk Hossain (521288)")</f>
        <v>Faruk Hossain (521288)</v>
      </c>
      <c r="E294" s="93" t="str">
        <f ca="1">IFERROR(__xludf.DUMMYFUNCTION("""COMPUTED_VALUE"""),"CB13687_Dec25")</f>
        <v>CB13687_Dec25</v>
      </c>
      <c r="F294" s="94" t="str">
        <f ca="1">IFERROR(__xludf.DUMMYFUNCTION("""COMPUTED_VALUE"""),"Output Setup (Gravure/Offset)")</f>
        <v>Output Setup (Gravure/Offset)</v>
      </c>
      <c r="G294" s="95" t="str">
        <f ca="1">IFERROR(__xludf.DUMMYFUNCTION("""COMPUTED_VALUE"""),"New")</f>
        <v>New</v>
      </c>
      <c r="H294" s="96">
        <f ca="1">IFERROR(__xludf.DUMMYFUNCTION("""COMPUTED_VALUE"""),3)</f>
        <v>3</v>
      </c>
      <c r="I294" s="97">
        <f ca="1">IFERROR(__xludf.DUMMYFUNCTION("""COMPUTED_VALUE"""),46026)</f>
        <v>46026</v>
      </c>
      <c r="J294" s="98" t="str">
        <f ca="1">IFERROR(__xludf.DUMMYFUNCTION("""COMPUTED_VALUE"""),"CW21110_Jan26")</f>
        <v>CW21110_Jan26</v>
      </c>
      <c r="K294" s="99" t="str">
        <f ca="1">IFERROR(__xludf.DUMMYFUNCTION("""COMPUTED_VALUE"""),"HoM Approved")</f>
        <v>HoM Approved</v>
      </c>
    </row>
    <row r="295" spans="1:11" ht="13.2">
      <c r="A295" s="89" t="str">
        <f ca="1">IFERROR(__xludf.DUMMYFUNCTION("""COMPUTED_VALUE"""),"Pran Toast")</f>
        <v>Pran Toast</v>
      </c>
      <c r="B295" s="90" t="str">
        <f ca="1">IFERROR(__xludf.DUMMYFUNCTION("""COMPUTED_VALUE"""),"BBL")</f>
        <v>BBL</v>
      </c>
      <c r="C295" s="91" t="str">
        <f ca="1">IFERROR(__xludf.DUMMYFUNCTION("""COMPUTED_VALUE"""),"Ove Vai")</f>
        <v>Ove Vai</v>
      </c>
      <c r="D295" s="92" t="str">
        <f ca="1">IFERROR(__xludf.DUMMYFUNCTION("""COMPUTED_VALUE"""),"Faruk Hossain (521288)")</f>
        <v>Faruk Hossain (521288)</v>
      </c>
      <c r="E295" s="93" t="str">
        <f ca="1">IFERROR(__xludf.DUMMYFUNCTION("""COMPUTED_VALUE"""),"CB14645_Dec25")</f>
        <v>CB14645_Dec25</v>
      </c>
      <c r="F295" s="94" t="str">
        <f ca="1">IFERROR(__xludf.DUMMYFUNCTION("""COMPUTED_VALUE"""),"Output Setup (Gravure/Offset)")</f>
        <v>Output Setup (Gravure/Offset)</v>
      </c>
      <c r="G295" s="95" t="str">
        <f ca="1">IFERROR(__xludf.DUMMYFUNCTION("""COMPUTED_VALUE"""),"New")</f>
        <v>New</v>
      </c>
      <c r="H295" s="96">
        <f ca="1">IFERROR(__xludf.DUMMYFUNCTION("""COMPUTED_VALUE"""),1)</f>
        <v>1</v>
      </c>
      <c r="I295" s="97">
        <f ca="1">IFERROR(__xludf.DUMMYFUNCTION("""COMPUTED_VALUE"""),46027)</f>
        <v>46027</v>
      </c>
      <c r="J295" s="98" t="str">
        <f ca="1">IFERROR(__xludf.DUMMYFUNCTION("""COMPUTED_VALUE"""),"CW21155_Jan26")</f>
        <v>CW21155_Jan26</v>
      </c>
      <c r="K295" s="99" t="str">
        <f ca="1">IFERROR(__xludf.DUMMYFUNCTION("""COMPUTED_VALUE"""),"HoM Approved")</f>
        <v>HoM Approved</v>
      </c>
    </row>
    <row r="296" spans="1:11" ht="13.2">
      <c r="A296" s="89" t="str">
        <f ca="1">IFERROR(__xludf.DUMMYFUNCTION("""COMPUTED_VALUE"""),"PRAN Basic Spice")</f>
        <v>PRAN Basic Spice</v>
      </c>
      <c r="B296" s="90" t="str">
        <f ca="1">IFERROR(__xludf.DUMMYFUNCTION("""COMPUTED_VALUE"""),"NAL")</f>
        <v>NAL</v>
      </c>
      <c r="C296" s="91" t="str">
        <f ca="1">IFERROR(__xludf.DUMMYFUNCTION("""COMPUTED_VALUE"""),"Shamsul Sir")</f>
        <v>Shamsul Sir</v>
      </c>
      <c r="D296" s="92" t="str">
        <f ca="1">IFERROR(__xludf.DUMMYFUNCTION("""COMPUTED_VALUE"""),"Faruk Hossain (521288)")</f>
        <v>Faruk Hossain (521288)</v>
      </c>
      <c r="E296" s="93" t="str">
        <f ca="1">IFERROR(__xludf.DUMMYFUNCTION("""COMPUTED_VALUE"""),"CB14812_Jan26")</f>
        <v>CB14812_Jan26</v>
      </c>
      <c r="F296" s="94" t="str">
        <f ca="1">IFERROR(__xludf.DUMMYFUNCTION("""COMPUTED_VALUE"""),"JAR Label Sticker Output")</f>
        <v>JAR Label Sticker Output</v>
      </c>
      <c r="G296" s="95" t="str">
        <f ca="1">IFERROR(__xludf.DUMMYFUNCTION("""COMPUTED_VALUE"""),"New")</f>
        <v>New</v>
      </c>
      <c r="H296" s="96">
        <f ca="1">IFERROR(__xludf.DUMMYFUNCTION("""COMPUTED_VALUE"""),7)</f>
        <v>7</v>
      </c>
      <c r="I296" s="97">
        <f ca="1">IFERROR(__xludf.DUMMYFUNCTION("""COMPUTED_VALUE"""),46027)</f>
        <v>46027</v>
      </c>
      <c r="J296" s="98" t="str">
        <f ca="1">IFERROR(__xludf.DUMMYFUNCTION("""COMPUTED_VALUE"""),"CW21173_Jan26")</f>
        <v>CW21173_Jan26</v>
      </c>
      <c r="K296" s="99" t="str">
        <f ca="1">IFERROR(__xludf.DUMMYFUNCTION("""COMPUTED_VALUE"""),"HoM Approved")</f>
        <v>HoM Approved</v>
      </c>
    </row>
    <row r="297" spans="1:11" ht="13.2">
      <c r="A297" s="89" t="str">
        <f ca="1">IFERROR(__xludf.DUMMYFUNCTION("""COMPUTED_VALUE"""),"Bisk Club Lexus Biscuits")</f>
        <v>Bisk Club Lexus Biscuits</v>
      </c>
      <c r="B297" s="90" t="str">
        <f ca="1">IFERROR(__xludf.DUMMYFUNCTION("""COMPUTED_VALUE"""),"BBL")</f>
        <v>BBL</v>
      </c>
      <c r="C297" s="91" t="str">
        <f ca="1">IFERROR(__xludf.DUMMYFUNCTION("""COMPUTED_VALUE"""),"Sabbir Vai")</f>
        <v>Sabbir Vai</v>
      </c>
      <c r="D297" s="92" t="str">
        <f ca="1">IFERROR(__xludf.DUMMYFUNCTION("""COMPUTED_VALUE"""),"Faruk Hossain (521288)")</f>
        <v>Faruk Hossain (521288)</v>
      </c>
      <c r="E297" s="93" t="str">
        <f ca="1">IFERROR(__xludf.DUMMYFUNCTION("""COMPUTED_VALUE"""),"CB14464_Dec25")</f>
        <v>CB14464_Dec25</v>
      </c>
      <c r="F297" s="94" t="str">
        <f ca="1">IFERROR(__xludf.DUMMYFUNCTION("""COMPUTED_VALUE"""),"Output Setup (Gravure/Offset)")</f>
        <v>Output Setup (Gravure/Offset)</v>
      </c>
      <c r="G297" s="95" t="str">
        <f ca="1">IFERROR(__xludf.DUMMYFUNCTION("""COMPUTED_VALUE"""),"New")</f>
        <v>New</v>
      </c>
      <c r="H297" s="96">
        <f ca="1">IFERROR(__xludf.DUMMYFUNCTION("""COMPUTED_VALUE"""),1)</f>
        <v>1</v>
      </c>
      <c r="I297" s="97">
        <f ca="1">IFERROR(__xludf.DUMMYFUNCTION("""COMPUTED_VALUE"""),46028)</f>
        <v>46028</v>
      </c>
      <c r="J297" s="98" t="str">
        <f ca="1">IFERROR(__xludf.DUMMYFUNCTION("""COMPUTED_VALUE"""),"CW21224_Jan26")</f>
        <v>CW21224_Jan26</v>
      </c>
      <c r="K297" s="99" t="str">
        <f ca="1">IFERROR(__xludf.DUMMYFUNCTION("""COMPUTED_VALUE"""),"HoM Approved")</f>
        <v>HoM Approved</v>
      </c>
    </row>
    <row r="298" spans="1:11" ht="13.2">
      <c r="A298" s="89" t="str">
        <f ca="1">IFERROR(__xludf.DUMMYFUNCTION("""COMPUTED_VALUE"""),"ROADBEAT- Motorcycle Tyre")</f>
        <v>ROADBEAT- Motorcycle Tyre</v>
      </c>
      <c r="B298" s="90" t="str">
        <f ca="1">IFERROR(__xludf.DUMMYFUNCTION("""COMPUTED_VALUE"""),"RFL Tyre")</f>
        <v>RFL Tyre</v>
      </c>
      <c r="C298" s="91" t="str">
        <f ca="1">IFERROR(__xludf.DUMMYFUNCTION("""COMPUTED_VALUE"""),"Rizvi Vai")</f>
        <v>Rizvi Vai</v>
      </c>
      <c r="D298" s="92" t="str">
        <f ca="1">IFERROR(__xludf.DUMMYFUNCTION("""COMPUTED_VALUE"""),"Faruk Hossain (521288)")</f>
        <v>Faruk Hossain (521288)</v>
      </c>
      <c r="E298" s="93" t="str">
        <f ca="1">IFERROR(__xludf.DUMMYFUNCTION("""COMPUTED_VALUE"""),"CB14579_Dec25")</f>
        <v>CB14579_Dec25</v>
      </c>
      <c r="F298" s="94" t="str">
        <f ca="1">IFERROR(__xludf.DUMMYFUNCTION("""COMPUTED_VALUE"""),"Output Setup (Gravure/Offset)")</f>
        <v>Output Setup (Gravure/Offset)</v>
      </c>
      <c r="G298" s="95" t="str">
        <f ca="1">IFERROR(__xludf.DUMMYFUNCTION("""COMPUTED_VALUE"""),"New")</f>
        <v>New</v>
      </c>
      <c r="H298" s="96">
        <f ca="1">IFERROR(__xludf.DUMMYFUNCTION("""COMPUTED_VALUE"""),2)</f>
        <v>2</v>
      </c>
      <c r="I298" s="97">
        <f ca="1">IFERROR(__xludf.DUMMYFUNCTION("""COMPUTED_VALUE"""),46029)</f>
        <v>46029</v>
      </c>
      <c r="J298" s="98" t="str">
        <f ca="1">IFERROR(__xludf.DUMMYFUNCTION("""COMPUTED_VALUE"""),"CW21334_Jan26")</f>
        <v>CW21334_Jan26</v>
      </c>
      <c r="K298" s="99" t="str">
        <f ca="1">IFERROR(__xludf.DUMMYFUNCTION("""COMPUTED_VALUE"""),"HoM Approved")</f>
        <v>HoM Approved</v>
      </c>
    </row>
    <row r="299" spans="1:11" ht="13.2">
      <c r="A299" s="89" t="str">
        <f ca="1">IFERROR(__xludf.DUMMYFUNCTION("""COMPUTED_VALUE"""),"PRAN Recipe Mix")</f>
        <v>PRAN Recipe Mix</v>
      </c>
      <c r="B299" s="90" t="str">
        <f ca="1">IFERROR(__xludf.DUMMYFUNCTION("""COMPUTED_VALUE"""),"NAL")</f>
        <v>NAL</v>
      </c>
      <c r="C299" s="91" t="str">
        <f ca="1">IFERROR(__xludf.DUMMYFUNCTION("""COMPUTED_VALUE"""),"Sakib Vai")</f>
        <v>Sakib Vai</v>
      </c>
      <c r="D299" s="92" t="str">
        <f ca="1">IFERROR(__xludf.DUMMYFUNCTION("""COMPUTED_VALUE"""),"Faruk Hossain (521288)")</f>
        <v>Faruk Hossain (521288)</v>
      </c>
      <c r="E299" s="93" t="str">
        <f ca="1">IFERROR(__xludf.DUMMYFUNCTION("""COMPUTED_VALUE"""),"CB14999_Jan26")</f>
        <v>CB14999_Jan26</v>
      </c>
      <c r="F299" s="94" t="str">
        <f ca="1">IFERROR(__xludf.DUMMYFUNCTION("""COMPUTED_VALUE"""),"Output Setup (Gravure/Offset)")</f>
        <v>Output Setup (Gravure/Offset)</v>
      </c>
      <c r="G299" s="95" t="str">
        <f ca="1">IFERROR(__xludf.DUMMYFUNCTION("""COMPUTED_VALUE"""),"New")</f>
        <v>New</v>
      </c>
      <c r="H299" s="96">
        <f ca="1">IFERROR(__xludf.DUMMYFUNCTION("""COMPUTED_VALUE"""),1)</f>
        <v>1</v>
      </c>
      <c r="I299" s="97">
        <f ca="1">IFERROR(__xludf.DUMMYFUNCTION("""COMPUTED_VALUE"""),46029)</f>
        <v>46029</v>
      </c>
      <c r="J299" s="98" t="str">
        <f ca="1">IFERROR(__xludf.DUMMYFUNCTION("""COMPUTED_VALUE"""),"CW21306_Jan26")</f>
        <v>CW21306_Jan26</v>
      </c>
      <c r="K299" s="99" t="str">
        <f ca="1">IFERROR(__xludf.DUMMYFUNCTION("""COMPUTED_VALUE"""),"HoM Approved")</f>
        <v>HoM Approved</v>
      </c>
    </row>
    <row r="300" spans="1:11" ht="13.2">
      <c r="A300" s="89" t="str">
        <f ca="1">IFERROR(__xludf.DUMMYFUNCTION("""COMPUTED_VALUE"""),"Common - All PFL")</f>
        <v>Common - All PFL</v>
      </c>
      <c r="B300" s="90" t="str">
        <f ca="1">IFERROR(__xludf.DUMMYFUNCTION("""COMPUTED_VALUE"""),"PFL")</f>
        <v>PFL</v>
      </c>
      <c r="C300" s="91" t="str">
        <f ca="1">IFERROR(__xludf.DUMMYFUNCTION("""COMPUTED_VALUE"""),"Shamrid Vaiya")</f>
        <v>Shamrid Vaiya</v>
      </c>
      <c r="D300" s="92" t="str">
        <f ca="1">IFERROR(__xludf.DUMMYFUNCTION("""COMPUTED_VALUE"""),"Faruk Hossain (521288)")</f>
        <v>Faruk Hossain (521288)</v>
      </c>
      <c r="E300" s="93" t="str">
        <f ca="1">IFERROR(__xludf.DUMMYFUNCTION("""COMPUTED_VALUE"""),"CB14684_Dec25")</f>
        <v>CB14684_Dec25</v>
      </c>
      <c r="F300" s="94" t="str">
        <f ca="1">IFERROR(__xludf.DUMMYFUNCTION("""COMPUTED_VALUE"""),"Output Setup (Gravure/Offset)")</f>
        <v>Output Setup (Gravure/Offset)</v>
      </c>
      <c r="G300" s="95" t="str">
        <f ca="1">IFERROR(__xludf.DUMMYFUNCTION("""COMPUTED_VALUE"""),"New")</f>
        <v>New</v>
      </c>
      <c r="H300" s="96">
        <f ca="1">IFERROR(__xludf.DUMMYFUNCTION("""COMPUTED_VALUE"""),2)</f>
        <v>2</v>
      </c>
      <c r="I300" s="97">
        <f ca="1">IFERROR(__xludf.DUMMYFUNCTION("""COMPUTED_VALUE"""),46029)</f>
        <v>46029</v>
      </c>
      <c r="J300" s="98" t="str">
        <f ca="1">IFERROR(__xludf.DUMMYFUNCTION("""COMPUTED_VALUE"""),"CW21333_Jan26")</f>
        <v>CW21333_Jan26</v>
      </c>
      <c r="K300" s="99" t="str">
        <f ca="1">IFERROR(__xludf.DUMMYFUNCTION("""COMPUTED_VALUE"""),"HoM Approved")</f>
        <v>HoM Approved</v>
      </c>
    </row>
    <row r="301" spans="1:11" ht="13.2">
      <c r="A301" s="89" t="str">
        <f ca="1">IFERROR(__xludf.DUMMYFUNCTION("""COMPUTED_VALUE"""),"ROADBEAT- Motorcycle Tyre")</f>
        <v>ROADBEAT- Motorcycle Tyre</v>
      </c>
      <c r="B301" s="90" t="str">
        <f ca="1">IFERROR(__xludf.DUMMYFUNCTION("""COMPUTED_VALUE"""),"RFL Tyre")</f>
        <v>RFL Tyre</v>
      </c>
      <c r="C301" s="91" t="str">
        <f ca="1">IFERROR(__xludf.DUMMYFUNCTION("""COMPUTED_VALUE"""),"Rizvi Vai")</f>
        <v>Rizvi Vai</v>
      </c>
      <c r="D301" s="92" t="str">
        <f ca="1">IFERROR(__xludf.DUMMYFUNCTION("""COMPUTED_VALUE"""),"Faruk Hossain (521288)")</f>
        <v>Faruk Hossain (521288)</v>
      </c>
      <c r="E301" s="93" t="str">
        <f ca="1">IFERROR(__xludf.DUMMYFUNCTION("""COMPUTED_VALUE"""),"CB14562_Dec25")</f>
        <v>CB14562_Dec25</v>
      </c>
      <c r="F301" s="94" t="str">
        <f ca="1">IFERROR(__xludf.DUMMYFUNCTION("""COMPUTED_VALUE"""),"Output Setup (Gravure/Offset)")</f>
        <v>Output Setup (Gravure/Offset)</v>
      </c>
      <c r="G301" s="95" t="str">
        <f ca="1">IFERROR(__xludf.DUMMYFUNCTION("""COMPUTED_VALUE"""),"New")</f>
        <v>New</v>
      </c>
      <c r="H301" s="96">
        <f ca="1">IFERROR(__xludf.DUMMYFUNCTION("""COMPUTED_VALUE"""),3)</f>
        <v>3</v>
      </c>
      <c r="I301" s="97">
        <f ca="1">IFERROR(__xludf.DUMMYFUNCTION("""COMPUTED_VALUE"""),46032)</f>
        <v>46032</v>
      </c>
      <c r="J301" s="98" t="str">
        <f ca="1">IFERROR(__xludf.DUMMYFUNCTION("""COMPUTED_VALUE"""),"CW21522_Jan26")</f>
        <v>CW21522_Jan26</v>
      </c>
      <c r="K301" s="99" t="str">
        <f ca="1">IFERROR(__xludf.DUMMYFUNCTION("""COMPUTED_VALUE"""),"HoM Approved")</f>
        <v>HoM Approved</v>
      </c>
    </row>
    <row r="302" spans="1:11" ht="13.2">
      <c r="A302" s="89" t="str">
        <f ca="1">IFERROR(__xludf.DUMMYFUNCTION("""COMPUTED_VALUE"""),"PRAN Chocolord")</f>
        <v>PRAN Chocolord</v>
      </c>
      <c r="B302" s="90" t="str">
        <f ca="1">IFERROR(__xludf.DUMMYFUNCTION("""COMPUTED_VALUE"""),"PAL")</f>
        <v>PAL</v>
      </c>
      <c r="C302" s="91" t="str">
        <f ca="1">IFERROR(__xludf.DUMMYFUNCTION("""COMPUTED_VALUE"""),"Nusrat Apu")</f>
        <v>Nusrat Apu</v>
      </c>
      <c r="D302" s="92" t="str">
        <f ca="1">IFERROR(__xludf.DUMMYFUNCTION("""COMPUTED_VALUE"""),"Faruk Hossain (521288)")</f>
        <v>Faruk Hossain (521288)</v>
      </c>
      <c r="E302" s="93" t="str">
        <f ca="1">IFERROR(__xludf.DUMMYFUNCTION("""COMPUTED_VALUE"""),"CB13833_Dec25")</f>
        <v>CB13833_Dec25</v>
      </c>
      <c r="F302" s="94" t="str">
        <f ca="1">IFERROR(__xludf.DUMMYFUNCTION("""COMPUTED_VALUE"""),"Output Setup (Gravure/Offset)")</f>
        <v>Output Setup (Gravure/Offset)</v>
      </c>
      <c r="G302" s="95" t="str">
        <f ca="1">IFERROR(__xludf.DUMMYFUNCTION("""COMPUTED_VALUE"""),"New")</f>
        <v>New</v>
      </c>
      <c r="H302" s="96">
        <f ca="1">IFERROR(__xludf.DUMMYFUNCTION("""COMPUTED_VALUE"""),1)</f>
        <v>1</v>
      </c>
      <c r="I302" s="97">
        <f ca="1">IFERROR(__xludf.DUMMYFUNCTION("""COMPUTED_VALUE"""),46034)</f>
        <v>46034</v>
      </c>
      <c r="J302" s="98" t="str">
        <f ca="1">IFERROR(__xludf.DUMMYFUNCTION("""COMPUTED_VALUE"""),"CW21660_Jan26")</f>
        <v>CW21660_Jan26</v>
      </c>
      <c r="K302" s="99" t="str">
        <f ca="1">IFERROR(__xludf.DUMMYFUNCTION("""COMPUTED_VALUE"""),"HoM Approved")</f>
        <v>HoM Approved</v>
      </c>
    </row>
    <row r="303" spans="1:11" ht="13.2">
      <c r="A303" s="89" t="str">
        <f ca="1">IFERROR(__xludf.DUMMYFUNCTION("""COMPUTED_VALUE"""),"PRAN Cookies")</f>
        <v>PRAN Cookies</v>
      </c>
      <c r="B303" s="90" t="str">
        <f ca="1">IFERROR(__xludf.DUMMYFUNCTION("""COMPUTED_VALUE"""),"BBL")</f>
        <v>BBL</v>
      </c>
      <c r="C303" s="91" t="str">
        <f ca="1">IFERROR(__xludf.DUMMYFUNCTION("""COMPUTED_VALUE"""),"Mona Apu")</f>
        <v>Mona Apu</v>
      </c>
      <c r="D303" s="92" t="str">
        <f ca="1">IFERROR(__xludf.DUMMYFUNCTION("""COMPUTED_VALUE"""),"Faruk Hossain (521288)")</f>
        <v>Faruk Hossain (521288)</v>
      </c>
      <c r="E303" s="93" t="str">
        <f ca="1">IFERROR(__xludf.DUMMYFUNCTION("""COMPUTED_VALUE"""),"CB13979_Dec25")</f>
        <v>CB13979_Dec25</v>
      </c>
      <c r="F303" s="94" t="str">
        <f ca="1">IFERROR(__xludf.DUMMYFUNCTION("""COMPUTED_VALUE"""),"Output Setup (Gravure/Offset)")</f>
        <v>Output Setup (Gravure/Offset)</v>
      </c>
      <c r="G303" s="95" t="str">
        <f ca="1">IFERROR(__xludf.DUMMYFUNCTION("""COMPUTED_VALUE"""),"New")</f>
        <v>New</v>
      </c>
      <c r="H303" s="96">
        <f ca="1">IFERROR(__xludf.DUMMYFUNCTION("""COMPUTED_VALUE"""),1)</f>
        <v>1</v>
      </c>
      <c r="I303" s="97">
        <f ca="1">IFERROR(__xludf.DUMMYFUNCTION("""COMPUTED_VALUE"""),46035)</f>
        <v>46035</v>
      </c>
      <c r="J303" s="98" t="str">
        <f ca="1">IFERROR(__xludf.DUMMYFUNCTION("""COMPUTED_VALUE"""),"CW21764_Jan26")</f>
        <v>CW21764_Jan26</v>
      </c>
      <c r="K303" s="99" t="str">
        <f ca="1">IFERROR(__xludf.DUMMYFUNCTION("""COMPUTED_VALUE"""),"HoM Approved")</f>
        <v>HoM Approved</v>
      </c>
    </row>
    <row r="304" spans="1:11" ht="13.2">
      <c r="A304" s="89" t="str">
        <f ca="1">IFERROR(__xludf.DUMMYFUNCTION("""COMPUTED_VALUE"""),"PRAN Cream Biscuit")</f>
        <v>PRAN Cream Biscuit</v>
      </c>
      <c r="B304" s="90" t="str">
        <f ca="1">IFERROR(__xludf.DUMMYFUNCTION("""COMPUTED_VALUE"""),"BBL")</f>
        <v>BBL</v>
      </c>
      <c r="C304" s="91" t="str">
        <f ca="1">IFERROR(__xludf.DUMMYFUNCTION("""COMPUTED_VALUE"""),"Ove Vai")</f>
        <v>Ove Vai</v>
      </c>
      <c r="D304" s="92" t="str">
        <f ca="1">IFERROR(__xludf.DUMMYFUNCTION("""COMPUTED_VALUE"""),"Faruk Hossain (521288)")</f>
        <v>Faruk Hossain (521288)</v>
      </c>
      <c r="E304" s="93" t="str">
        <f ca="1">IFERROR(__xludf.DUMMYFUNCTION("""COMPUTED_VALUE"""),"CB14578_Dec25")</f>
        <v>CB14578_Dec25</v>
      </c>
      <c r="F304" s="94" t="str">
        <f ca="1">IFERROR(__xludf.DUMMYFUNCTION("""COMPUTED_VALUE"""),"Output Setup (Gravure/Offset)")</f>
        <v>Output Setup (Gravure/Offset)</v>
      </c>
      <c r="G304" s="95" t="str">
        <f ca="1">IFERROR(__xludf.DUMMYFUNCTION("""COMPUTED_VALUE"""),"New")</f>
        <v>New</v>
      </c>
      <c r="H304" s="96">
        <f ca="1">IFERROR(__xludf.DUMMYFUNCTION("""COMPUTED_VALUE"""),1)</f>
        <v>1</v>
      </c>
      <c r="I304" s="97">
        <f ca="1">IFERROR(__xludf.DUMMYFUNCTION("""COMPUTED_VALUE"""),46035)</f>
        <v>46035</v>
      </c>
      <c r="J304" s="98" t="str">
        <f ca="1">IFERROR(__xludf.DUMMYFUNCTION("""COMPUTED_VALUE"""),"CW21798_Jan26")</f>
        <v>CW21798_Jan26</v>
      </c>
      <c r="K304" s="99" t="str">
        <f ca="1">IFERROR(__xludf.DUMMYFUNCTION("""COMPUTED_VALUE"""),"HoM Approved")</f>
        <v>HoM Approved</v>
      </c>
    </row>
    <row r="305" spans="1:11" ht="13.2">
      <c r="A305" s="89" t="str">
        <f ca="1">IFERROR(__xludf.DUMMYFUNCTION("""COMPUTED_VALUE"""),"Hurray Jelly Drink")</f>
        <v>Hurray Jelly Drink</v>
      </c>
      <c r="B305" s="90" t="str">
        <f ca="1">IFERROR(__xludf.DUMMYFUNCTION("""COMPUTED_VALUE"""),"PCL")</f>
        <v>PCL</v>
      </c>
      <c r="C305" s="91" t="str">
        <f ca="1">IFERROR(__xludf.DUMMYFUNCTION("""COMPUTED_VALUE"""),"Aslam Vaiya")</f>
        <v>Aslam Vaiya</v>
      </c>
      <c r="D305" s="92" t="str">
        <f ca="1">IFERROR(__xludf.DUMMYFUNCTION("""COMPUTED_VALUE"""),"Faruk Hossain (521288)")</f>
        <v>Faruk Hossain (521288)</v>
      </c>
      <c r="E305" s="93" t="str">
        <f ca="1">IFERROR(__xludf.DUMMYFUNCTION("""COMPUTED_VALUE"""),"CB13581_Dec25")</f>
        <v>CB13581_Dec25</v>
      </c>
      <c r="F305" s="94" t="str">
        <f ca="1">IFERROR(__xludf.DUMMYFUNCTION("""COMPUTED_VALUE"""),"Packaging Text Design #1")</f>
        <v>Packaging Text Design #1</v>
      </c>
      <c r="G305" s="95" t="str">
        <f ca="1">IFERROR(__xludf.DUMMYFUNCTION("""COMPUTED_VALUE"""),"New")</f>
        <v>New</v>
      </c>
      <c r="H305" s="96">
        <f ca="1">IFERROR(__xludf.DUMMYFUNCTION("""COMPUTED_VALUE"""),1)</f>
        <v>1</v>
      </c>
      <c r="I305" s="97">
        <f ca="1">IFERROR(__xludf.DUMMYFUNCTION("""COMPUTED_VALUE"""),46036)</f>
        <v>46036</v>
      </c>
      <c r="J305" s="98" t="str">
        <f ca="1">IFERROR(__xludf.DUMMYFUNCTION("""COMPUTED_VALUE"""),"CW21868_Jan26")</f>
        <v>CW21868_Jan26</v>
      </c>
      <c r="K305" s="99" t="str">
        <f ca="1">IFERROR(__xludf.DUMMYFUNCTION("""COMPUTED_VALUE"""),"HoM Approved")</f>
        <v>HoM Approved</v>
      </c>
    </row>
    <row r="306" spans="1:11" ht="13.2">
      <c r="A306" s="89" t="str">
        <f ca="1">IFERROR(__xludf.DUMMYFUNCTION("""COMPUTED_VALUE"""),"RFL Tubewell")</f>
        <v>RFL Tubewell</v>
      </c>
      <c r="B306" s="90" t="str">
        <f ca="1">IFERROR(__xludf.DUMMYFUNCTION("""COMPUTED_VALUE"""),"RMIL-1")</f>
        <v>RMIL-1</v>
      </c>
      <c r="C306" s="91" t="str">
        <f ca="1">IFERROR(__xludf.DUMMYFUNCTION("""COMPUTED_VALUE"""),"Mehedi Vaiya")</f>
        <v>Mehedi Vaiya</v>
      </c>
      <c r="D306" s="92" t="str">
        <f ca="1">IFERROR(__xludf.DUMMYFUNCTION("""COMPUTED_VALUE"""),"Faruk Hossain (521288)")</f>
        <v>Faruk Hossain (521288)</v>
      </c>
      <c r="E306" s="93" t="str">
        <f ca="1">IFERROR(__xludf.DUMMYFUNCTION("""COMPUTED_VALUE"""),"CB14978_Jan26")</f>
        <v>CB14978_Jan26</v>
      </c>
      <c r="F306" s="94" t="str">
        <f ca="1">IFERROR(__xludf.DUMMYFUNCTION("""COMPUTED_VALUE"""),"Output Setup (Gravure/Offset)")</f>
        <v>Output Setup (Gravure/Offset)</v>
      </c>
      <c r="G306" s="95" t="str">
        <f ca="1">IFERROR(__xludf.DUMMYFUNCTION("""COMPUTED_VALUE"""),"New")</f>
        <v>New</v>
      </c>
      <c r="H306" s="96">
        <f ca="1">IFERROR(__xludf.DUMMYFUNCTION("""COMPUTED_VALUE"""),8)</f>
        <v>8</v>
      </c>
      <c r="I306" s="97">
        <f ca="1">IFERROR(__xludf.DUMMYFUNCTION("""COMPUTED_VALUE"""),46036)</f>
        <v>46036</v>
      </c>
      <c r="J306" s="98" t="str">
        <f ca="1">IFERROR(__xludf.DUMMYFUNCTION("""COMPUTED_VALUE"""),"CW21882_Jan26")</f>
        <v>CW21882_Jan26</v>
      </c>
      <c r="K306" s="99" t="str">
        <f ca="1">IFERROR(__xludf.DUMMYFUNCTION("""COMPUTED_VALUE"""),"HoM Approved")</f>
        <v>HoM Approved</v>
      </c>
    </row>
    <row r="307" spans="1:11" ht="13.2">
      <c r="A307" s="89" t="str">
        <f ca="1">IFERROR(__xludf.DUMMYFUNCTION("""COMPUTED_VALUE"""),"Fruto candy")</f>
        <v>Fruto candy</v>
      </c>
      <c r="B307" s="90" t="str">
        <f ca="1">IFERROR(__xludf.DUMMYFUNCTION("""COMPUTED_VALUE"""),"PCL")</f>
        <v>PCL</v>
      </c>
      <c r="C307" s="91" t="str">
        <f ca="1">IFERROR(__xludf.DUMMYFUNCTION("""COMPUTED_VALUE"""),"Rakib Vai")</f>
        <v>Rakib Vai</v>
      </c>
      <c r="D307" s="92" t="str">
        <f ca="1">IFERROR(__xludf.DUMMYFUNCTION("""COMPUTED_VALUE"""),"Faruk Hossain (521288)")</f>
        <v>Faruk Hossain (521288)</v>
      </c>
      <c r="E307" s="93" t="str">
        <f ca="1">IFERROR(__xludf.DUMMYFUNCTION("""COMPUTED_VALUE"""),"CB13600_Dec25")</f>
        <v>CB13600_Dec25</v>
      </c>
      <c r="F307" s="94" t="str">
        <f ca="1">IFERROR(__xludf.DUMMYFUNCTION("""COMPUTED_VALUE"""),"Packaging Text Design #1")</f>
        <v>Packaging Text Design #1</v>
      </c>
      <c r="G307" s="95" t="str">
        <f ca="1">IFERROR(__xludf.DUMMYFUNCTION("""COMPUTED_VALUE"""),"New")</f>
        <v>New</v>
      </c>
      <c r="H307" s="96">
        <f ca="1">IFERROR(__xludf.DUMMYFUNCTION("""COMPUTED_VALUE"""),4)</f>
        <v>4</v>
      </c>
      <c r="I307" s="97">
        <f ca="1">IFERROR(__xludf.DUMMYFUNCTION("""COMPUTED_VALUE"""),46036)</f>
        <v>46036</v>
      </c>
      <c r="J307" s="98" t="str">
        <f ca="1">IFERROR(__xludf.DUMMYFUNCTION("""COMPUTED_VALUE"""),"CW21866_Jan26")</f>
        <v>CW21866_Jan26</v>
      </c>
      <c r="K307" s="99" t="str">
        <f ca="1">IFERROR(__xludf.DUMMYFUNCTION("""COMPUTED_VALUE"""),"HoM Approved")</f>
        <v>HoM Approved</v>
      </c>
    </row>
    <row r="308" spans="1:11" ht="13.2">
      <c r="A308" s="89" t="str">
        <f ca="1">IFERROR(__xludf.DUMMYFUNCTION("""COMPUTED_VALUE"""),"Common - All PBL")</f>
        <v>Common - All PBL</v>
      </c>
      <c r="B308" s="90" t="str">
        <f ca="1">IFERROR(__xludf.DUMMYFUNCTION("""COMPUTED_VALUE"""),"PBL")</f>
        <v>PBL</v>
      </c>
      <c r="C308" s="91" t="str">
        <f ca="1">IFERROR(__xludf.DUMMYFUNCTION("""COMPUTED_VALUE"""),"Waliul Vai")</f>
        <v>Waliul Vai</v>
      </c>
      <c r="D308" s="92" t="str">
        <f ca="1">IFERROR(__xludf.DUMMYFUNCTION("""COMPUTED_VALUE"""),"Faruk Hossain (521288)")</f>
        <v>Faruk Hossain (521288)</v>
      </c>
      <c r="E308" s="93" t="str">
        <f ca="1">IFERROR(__xludf.DUMMYFUNCTION("""COMPUTED_VALUE"""),"CB15562_Jan26")</f>
        <v>CB15562_Jan26</v>
      </c>
      <c r="F308" s="94" t="str">
        <f ca="1">IFERROR(__xludf.DUMMYFUNCTION("""COMPUTED_VALUE"""),"Output Setup (Gravure/Offset)")</f>
        <v>Output Setup (Gravure/Offset)</v>
      </c>
      <c r="G308" s="95" t="str">
        <f ca="1">IFERROR(__xludf.DUMMYFUNCTION("""COMPUTED_VALUE"""),"New")</f>
        <v>New</v>
      </c>
      <c r="H308" s="96">
        <f ca="1">IFERROR(__xludf.DUMMYFUNCTION("""COMPUTED_VALUE"""),2)</f>
        <v>2</v>
      </c>
      <c r="I308" s="97">
        <f ca="1">IFERROR(__xludf.DUMMYFUNCTION("""COMPUTED_VALUE"""),46037)</f>
        <v>46037</v>
      </c>
      <c r="J308" s="98" t="str">
        <f ca="1">IFERROR(__xludf.DUMMYFUNCTION("""COMPUTED_VALUE"""),"CW21981_Jan26")</f>
        <v>CW21981_Jan26</v>
      </c>
      <c r="K308" s="99" t="str">
        <f ca="1">IFERROR(__xludf.DUMMYFUNCTION("""COMPUTED_VALUE"""),"HoM Approved")</f>
        <v>HoM Approved</v>
      </c>
    </row>
    <row r="309" spans="1:11" ht="13.2">
      <c r="A309" s="89" t="str">
        <f ca="1">IFERROR(__xludf.DUMMYFUNCTION("""COMPUTED_VALUE"""),"PRAN Spice Powder")</f>
        <v>PRAN Spice Powder</v>
      </c>
      <c r="B309" s="90" t="str">
        <f ca="1">IFERROR(__xludf.DUMMYFUNCTION("""COMPUTED_VALUE"""),"Kuwait")</f>
        <v>Kuwait</v>
      </c>
      <c r="C309" s="91" t="str">
        <f ca="1">IFERROR(__xludf.DUMMYFUNCTION("""COMPUTED_VALUE"""),"Zahirul Vai")</f>
        <v>Zahirul Vai</v>
      </c>
      <c r="D309" s="92" t="str">
        <f ca="1">IFERROR(__xludf.DUMMYFUNCTION("""COMPUTED_VALUE"""),"Faruk Hossain (521288)")</f>
        <v>Faruk Hossain (521288)</v>
      </c>
      <c r="E309" s="93" t="str">
        <f ca="1">IFERROR(__xludf.DUMMYFUNCTION("""COMPUTED_VALUE"""),"CB15317_Jan26")</f>
        <v>CB15317_Jan26</v>
      </c>
      <c r="F309" s="94" t="str">
        <f ca="1">IFERROR(__xludf.DUMMYFUNCTION("""COMPUTED_VALUE"""),"JAR Label Sticker Output")</f>
        <v>JAR Label Sticker Output</v>
      </c>
      <c r="G309" s="95" t="str">
        <f ca="1">IFERROR(__xludf.DUMMYFUNCTION("""COMPUTED_VALUE"""),"New")</f>
        <v>New</v>
      </c>
      <c r="H309" s="96">
        <f ca="1">IFERROR(__xludf.DUMMYFUNCTION("""COMPUTED_VALUE"""),3)</f>
        <v>3</v>
      </c>
      <c r="I309" s="97">
        <f ca="1">IFERROR(__xludf.DUMMYFUNCTION("""COMPUTED_VALUE"""),46037)</f>
        <v>46037</v>
      </c>
      <c r="J309" s="98" t="str">
        <f ca="1">IFERROR(__xludf.DUMMYFUNCTION("""COMPUTED_VALUE"""),"CW22008_Jan26")</f>
        <v>CW22008_Jan26</v>
      </c>
      <c r="K309" s="99" t="str">
        <f ca="1">IFERROR(__xludf.DUMMYFUNCTION("""COMPUTED_VALUE"""),"HoM Approved")</f>
        <v>HoM Approved</v>
      </c>
    </row>
    <row r="310" spans="1:11" ht="13.2">
      <c r="A310" s="89" t="str">
        <f ca="1">IFERROR(__xludf.DUMMYFUNCTION("""COMPUTED_VALUE"""),"PRAN UHT Milk")</f>
        <v>PRAN UHT Milk</v>
      </c>
      <c r="B310" s="90" t="str">
        <f ca="1">IFERROR(__xludf.DUMMYFUNCTION("""COMPUTED_VALUE"""),"Dairy")</f>
        <v>Dairy</v>
      </c>
      <c r="C310" s="91" t="str">
        <f ca="1">IFERROR(__xludf.DUMMYFUNCTION("""COMPUTED_VALUE"""),"Anis Vaiya")</f>
        <v>Anis Vaiya</v>
      </c>
      <c r="D310" s="92" t="str">
        <f ca="1">IFERROR(__xludf.DUMMYFUNCTION("""COMPUTED_VALUE"""),"Faruk Hossain (521288)")</f>
        <v>Faruk Hossain (521288)</v>
      </c>
      <c r="E310" s="93" t="str">
        <f ca="1">IFERROR(__xludf.DUMMYFUNCTION("""COMPUTED_VALUE"""),"CB15262_Jan26")</f>
        <v>CB15262_Jan26</v>
      </c>
      <c r="F310" s="94" t="str">
        <f ca="1">IFERROR(__xludf.DUMMYFUNCTION("""COMPUTED_VALUE"""),"Output Setup (Gravure/Offset)")</f>
        <v>Output Setup (Gravure/Offset)</v>
      </c>
      <c r="G310" s="95" t="str">
        <f ca="1">IFERROR(__xludf.DUMMYFUNCTION("""COMPUTED_VALUE"""),"New")</f>
        <v>New</v>
      </c>
      <c r="H310" s="96">
        <f ca="1">IFERROR(__xludf.DUMMYFUNCTION("""COMPUTED_VALUE"""),1)</f>
        <v>1</v>
      </c>
      <c r="I310" s="97">
        <f ca="1">IFERROR(__xludf.DUMMYFUNCTION("""COMPUTED_VALUE"""),46039)</f>
        <v>46039</v>
      </c>
      <c r="J310" s="98" t="str">
        <f ca="1">IFERROR(__xludf.DUMMYFUNCTION("""COMPUTED_VALUE"""),"CW22058_Jan26")</f>
        <v>CW22058_Jan26</v>
      </c>
      <c r="K310" s="99" t="str">
        <f ca="1">IFERROR(__xludf.DUMMYFUNCTION("""COMPUTED_VALUE"""),"HoM Approved")</f>
        <v>HoM Approved</v>
      </c>
    </row>
    <row r="311" spans="1:11" ht="13.2">
      <c r="A311" s="89" t="str">
        <f ca="1">IFERROR(__xludf.DUMMYFUNCTION("""COMPUTED_VALUE"""),"All Time Honeycomb")</f>
        <v>All Time Honeycomb</v>
      </c>
      <c r="B311" s="90" t="str">
        <f ca="1">IFERROR(__xludf.DUMMYFUNCTION("""COMPUTED_VALUE"""),"BBL")</f>
        <v>BBL</v>
      </c>
      <c r="C311" s="91" t="str">
        <f ca="1">IFERROR(__xludf.DUMMYFUNCTION("""COMPUTED_VALUE"""),"Lisa Apu")</f>
        <v>Lisa Apu</v>
      </c>
      <c r="D311" s="92" t="str">
        <f ca="1">IFERROR(__xludf.DUMMYFUNCTION("""COMPUTED_VALUE"""),"Faruk Hossain (521288)")</f>
        <v>Faruk Hossain (521288)</v>
      </c>
      <c r="E311" s="93" t="str">
        <f ca="1">IFERROR(__xludf.DUMMYFUNCTION("""COMPUTED_VALUE"""),"CB13124_Dec25")</f>
        <v>CB13124_Dec25</v>
      </c>
      <c r="F311" s="94" t="str">
        <f ca="1">IFERROR(__xludf.DUMMYFUNCTION("""COMPUTED_VALUE"""),"Output Setup (Gravure/Offset)")</f>
        <v>Output Setup (Gravure/Offset)</v>
      </c>
      <c r="G311" s="95" t="str">
        <f ca="1">IFERROR(__xludf.DUMMYFUNCTION("""COMPUTED_VALUE"""),"New")</f>
        <v>New</v>
      </c>
      <c r="H311" s="96">
        <f ca="1">IFERROR(__xludf.DUMMYFUNCTION("""COMPUTED_VALUE"""),1)</f>
        <v>1</v>
      </c>
      <c r="I311" s="97">
        <f ca="1">IFERROR(__xludf.DUMMYFUNCTION("""COMPUTED_VALUE"""),46039)</f>
        <v>46039</v>
      </c>
      <c r="J311" s="98" t="str">
        <f ca="1">IFERROR(__xludf.DUMMYFUNCTION("""COMPUTED_VALUE"""),"CW22100_Jan26")</f>
        <v>CW22100_Jan26</v>
      </c>
      <c r="K311" s="99" t="str">
        <f ca="1">IFERROR(__xludf.DUMMYFUNCTION("""COMPUTED_VALUE"""),"HoM Approved")</f>
        <v>HoM Approved</v>
      </c>
    </row>
    <row r="312" spans="1:11" ht="13.2">
      <c r="A312" s="89" t="str">
        <f ca="1">IFERROR(__xludf.DUMMYFUNCTION("""COMPUTED_VALUE"""),"RFL Manhole Cover")</f>
        <v>RFL Manhole Cover</v>
      </c>
      <c r="B312" s="90" t="str">
        <f ca="1">IFERROR(__xludf.DUMMYFUNCTION("""COMPUTED_VALUE"""),"RMIL-1")</f>
        <v>RMIL-1</v>
      </c>
      <c r="C312" s="91" t="str">
        <f ca="1">IFERROR(__xludf.DUMMYFUNCTION("""COMPUTED_VALUE"""),"Mehedi Vaiya")</f>
        <v>Mehedi Vaiya</v>
      </c>
      <c r="D312" s="92" t="str">
        <f ca="1">IFERROR(__xludf.DUMMYFUNCTION("""COMPUTED_VALUE"""),"Faruk Hossain (521288)")</f>
        <v>Faruk Hossain (521288)</v>
      </c>
      <c r="E312" s="93" t="str">
        <f ca="1">IFERROR(__xludf.DUMMYFUNCTION("""COMPUTED_VALUE"""),"CB15358_Jan26")</f>
        <v>CB15358_Jan26</v>
      </c>
      <c r="F312" s="94" t="str">
        <f ca="1">IFERROR(__xludf.DUMMYFUNCTION("""COMPUTED_VALUE"""),"Output Setup (Gravure/Offset)")</f>
        <v>Output Setup (Gravure/Offset)</v>
      </c>
      <c r="G312" s="95" t="str">
        <f ca="1">IFERROR(__xludf.DUMMYFUNCTION("""COMPUTED_VALUE"""),"New")</f>
        <v>New</v>
      </c>
      <c r="H312" s="96">
        <f ca="1">IFERROR(__xludf.DUMMYFUNCTION("""COMPUTED_VALUE"""),2)</f>
        <v>2</v>
      </c>
      <c r="I312" s="97">
        <f ca="1">IFERROR(__xludf.DUMMYFUNCTION("""COMPUTED_VALUE"""),46039)</f>
        <v>46039</v>
      </c>
      <c r="J312" s="98" t="str">
        <f ca="1">IFERROR(__xludf.DUMMYFUNCTION("""COMPUTED_VALUE"""),"CW22064_Jan26")</f>
        <v>CW22064_Jan26</v>
      </c>
      <c r="K312" s="99" t="str">
        <f ca="1">IFERROR(__xludf.DUMMYFUNCTION("""COMPUTED_VALUE"""),"HoM Approved")</f>
        <v>HoM Approved</v>
      </c>
    </row>
    <row r="313" spans="1:11" ht="13.2">
      <c r="A313" s="89" t="str">
        <f ca="1">IFERROR(__xludf.DUMMYFUNCTION("""COMPUTED_VALUE"""),"Treat Chocolate")</f>
        <v>Treat Chocolate</v>
      </c>
      <c r="B313" s="90" t="str">
        <f ca="1">IFERROR(__xludf.DUMMYFUNCTION("""COMPUTED_VALUE"""),"PCL")</f>
        <v>PCL</v>
      </c>
      <c r="C313" s="91" t="str">
        <f ca="1">IFERROR(__xludf.DUMMYFUNCTION("""COMPUTED_VALUE"""),"Sohel Vai")</f>
        <v>Sohel Vai</v>
      </c>
      <c r="D313" s="92" t="str">
        <f ca="1">IFERROR(__xludf.DUMMYFUNCTION("""COMPUTED_VALUE"""),"Faruk Hossain (521288)")</f>
        <v>Faruk Hossain (521288)</v>
      </c>
      <c r="E313" s="93" t="str">
        <f ca="1">IFERROR(__xludf.DUMMYFUNCTION("""COMPUTED_VALUE"""),"CB13537_Dec25")</f>
        <v>CB13537_Dec25</v>
      </c>
      <c r="F313" s="94" t="str">
        <f ca="1">IFERROR(__xludf.DUMMYFUNCTION("""COMPUTED_VALUE"""),"Output Setup (Gravure/Offset)")</f>
        <v>Output Setup (Gravure/Offset)</v>
      </c>
      <c r="G313" s="95" t="str">
        <f ca="1">IFERROR(__xludf.DUMMYFUNCTION("""COMPUTED_VALUE"""),"New")</f>
        <v>New</v>
      </c>
      <c r="H313" s="96">
        <f ca="1">IFERROR(__xludf.DUMMYFUNCTION("""COMPUTED_VALUE"""),1)</f>
        <v>1</v>
      </c>
      <c r="I313" s="97">
        <f ca="1">IFERROR(__xludf.DUMMYFUNCTION("""COMPUTED_VALUE"""),46039)</f>
        <v>46039</v>
      </c>
      <c r="J313" s="98" t="str">
        <f ca="1">IFERROR(__xludf.DUMMYFUNCTION("""COMPUTED_VALUE"""),"CW22034_Jan26")</f>
        <v>CW22034_Jan26</v>
      </c>
      <c r="K313" s="99" t="str">
        <f ca="1">IFERROR(__xludf.DUMMYFUNCTION("""COMPUTED_VALUE"""),"HoM Approved")</f>
        <v>HoM Approved</v>
      </c>
    </row>
    <row r="314" spans="1:11" ht="13.2">
      <c r="A314" s="89" t="str">
        <f ca="1">IFERROR(__xludf.DUMMYFUNCTION("""COMPUTED_VALUE"""),"All Time Honeycomb")</f>
        <v>All Time Honeycomb</v>
      </c>
      <c r="B314" s="90" t="str">
        <f ca="1">IFERROR(__xludf.DUMMYFUNCTION("""COMPUTED_VALUE"""),"BBL")</f>
        <v>BBL</v>
      </c>
      <c r="C314" s="91" t="str">
        <f ca="1">IFERROR(__xludf.DUMMYFUNCTION("""COMPUTED_VALUE"""),"Lisa Apu")</f>
        <v>Lisa Apu</v>
      </c>
      <c r="D314" s="92" t="str">
        <f ca="1">IFERROR(__xludf.DUMMYFUNCTION("""COMPUTED_VALUE"""),"Faruk Hossain (521288)")</f>
        <v>Faruk Hossain (521288)</v>
      </c>
      <c r="E314" s="93" t="str">
        <f ca="1">IFERROR(__xludf.DUMMYFUNCTION("""COMPUTED_VALUE"""),"CB13124_Dec25")</f>
        <v>CB13124_Dec25</v>
      </c>
      <c r="F314" s="94" t="str">
        <f ca="1">IFERROR(__xludf.DUMMYFUNCTION("""COMPUTED_VALUE"""),"Output Setup (Gravure/Offset)")</f>
        <v>Output Setup (Gravure/Offset)</v>
      </c>
      <c r="G314" s="95" t="str">
        <f ca="1">IFERROR(__xludf.DUMMYFUNCTION("""COMPUTED_VALUE"""),"New")</f>
        <v>New</v>
      </c>
      <c r="H314" s="96">
        <f ca="1">IFERROR(__xludf.DUMMYFUNCTION("""COMPUTED_VALUE"""),1)</f>
        <v>1</v>
      </c>
      <c r="I314" s="97">
        <f ca="1">IFERROR(__xludf.DUMMYFUNCTION("""COMPUTED_VALUE"""),46040)</f>
        <v>46040</v>
      </c>
      <c r="J314" s="98" t="str">
        <f ca="1">IFERROR(__xludf.DUMMYFUNCTION("""COMPUTED_VALUE"""),"CW22217_Jan26")</f>
        <v>CW22217_Jan26</v>
      </c>
      <c r="K314" s="99" t="str">
        <f ca="1">IFERROR(__xludf.DUMMYFUNCTION("""COMPUTED_VALUE"""),"HoM Approved")</f>
        <v>HoM Approved</v>
      </c>
    </row>
    <row r="315" spans="1:11" ht="13.2">
      <c r="A315" s="89" t="str">
        <f ca="1">IFERROR(__xludf.DUMMYFUNCTION("""COMPUTED_VALUE"""),"RFL Tubewell")</f>
        <v>RFL Tubewell</v>
      </c>
      <c r="B315" s="90" t="str">
        <f ca="1">IFERROR(__xludf.DUMMYFUNCTION("""COMPUTED_VALUE"""),"RMIL-1")</f>
        <v>RMIL-1</v>
      </c>
      <c r="C315" s="91" t="str">
        <f ca="1">IFERROR(__xludf.DUMMYFUNCTION("""COMPUTED_VALUE"""),"Mehedi Vaiya")</f>
        <v>Mehedi Vaiya</v>
      </c>
      <c r="D315" s="92" t="str">
        <f ca="1">IFERROR(__xludf.DUMMYFUNCTION("""COMPUTED_VALUE"""),"Faruk Hossain (521288)")</f>
        <v>Faruk Hossain (521288)</v>
      </c>
      <c r="E315" s="93" t="str">
        <f ca="1">IFERROR(__xludf.DUMMYFUNCTION("""COMPUTED_VALUE"""),"CB14978_Jan26")</f>
        <v>CB14978_Jan26</v>
      </c>
      <c r="F315" s="94" t="str">
        <f ca="1">IFERROR(__xludf.DUMMYFUNCTION("""COMPUTED_VALUE"""),"Output Setup (Gravure/Offset)")</f>
        <v>Output Setup (Gravure/Offset)</v>
      </c>
      <c r="G315" s="95" t="str">
        <f ca="1">IFERROR(__xludf.DUMMYFUNCTION("""COMPUTED_VALUE"""),"New")</f>
        <v>New</v>
      </c>
      <c r="H315" s="96">
        <f ca="1">IFERROR(__xludf.DUMMYFUNCTION("""COMPUTED_VALUE"""),4)</f>
        <v>4</v>
      </c>
      <c r="I315" s="97">
        <f ca="1">IFERROR(__xludf.DUMMYFUNCTION("""COMPUTED_VALUE"""),46040)</f>
        <v>46040</v>
      </c>
      <c r="J315" s="98" t="str">
        <f ca="1">IFERROR(__xludf.DUMMYFUNCTION("""COMPUTED_VALUE"""),"CW22198_Jan26")</f>
        <v>CW22198_Jan26</v>
      </c>
      <c r="K315" s="99" t="str">
        <f ca="1">IFERROR(__xludf.DUMMYFUNCTION("""COMPUTED_VALUE"""),"HoM Approved")</f>
        <v>HoM Approved</v>
      </c>
    </row>
    <row r="316" spans="1:11" ht="13.2">
      <c r="A316" s="89" t="str">
        <f ca="1">IFERROR(__xludf.DUMMYFUNCTION("""COMPUTED_VALUE"""),"Common - All NAL")</f>
        <v>Common - All NAL</v>
      </c>
      <c r="B316" s="90" t="str">
        <f ca="1">IFERROR(__xludf.DUMMYFUNCTION("""COMPUTED_VALUE"""),"NAL")</f>
        <v>NAL</v>
      </c>
      <c r="C316" s="91" t="str">
        <f ca="1">IFERROR(__xludf.DUMMYFUNCTION("""COMPUTED_VALUE"""),"Saifullah Vai")</f>
        <v>Saifullah Vai</v>
      </c>
      <c r="D316" s="92" t="str">
        <f ca="1">IFERROR(__xludf.DUMMYFUNCTION("""COMPUTED_VALUE"""),"Faruk Hossain (521288)")</f>
        <v>Faruk Hossain (521288)</v>
      </c>
      <c r="E316" s="93" t="str">
        <f ca="1">IFERROR(__xludf.DUMMYFUNCTION("""COMPUTED_VALUE"""),"CB15705_Jan26")</f>
        <v>CB15705_Jan26</v>
      </c>
      <c r="F316" s="94" t="str">
        <f ca="1">IFERROR(__xludf.DUMMYFUNCTION("""COMPUTED_VALUE"""),"JAR Label Sticker Output")</f>
        <v>JAR Label Sticker Output</v>
      </c>
      <c r="G316" s="95" t="str">
        <f ca="1">IFERROR(__xludf.DUMMYFUNCTION("""COMPUTED_VALUE"""),"New")</f>
        <v>New</v>
      </c>
      <c r="H316" s="96">
        <f ca="1">IFERROR(__xludf.DUMMYFUNCTION("""COMPUTED_VALUE"""),6)</f>
        <v>6</v>
      </c>
      <c r="I316" s="97">
        <f ca="1">IFERROR(__xludf.DUMMYFUNCTION("""COMPUTED_VALUE"""),46040)</f>
        <v>46040</v>
      </c>
      <c r="J316" s="98" t="str">
        <f ca="1">IFERROR(__xludf.DUMMYFUNCTION("""COMPUTED_VALUE"""),"CW22184_Jan26")</f>
        <v>CW22184_Jan26</v>
      </c>
      <c r="K316" s="99" t="str">
        <f ca="1">IFERROR(__xludf.DUMMYFUNCTION("""COMPUTED_VALUE"""),"HoM Approved")</f>
        <v>HoM Approved</v>
      </c>
    </row>
    <row r="317" spans="1:11" ht="13.2">
      <c r="A317" s="89" t="str">
        <f ca="1">IFERROR(__xludf.DUMMYFUNCTION("""COMPUTED_VALUE"""),"Orange Plus")</f>
        <v>Orange Plus</v>
      </c>
      <c r="B317" s="90" t="str">
        <f ca="1">IFERROR(__xludf.DUMMYFUNCTION("""COMPUTED_VALUE"""),"AMCL")</f>
        <v>AMCL</v>
      </c>
      <c r="C317" s="91" t="str">
        <f ca="1">IFERROR(__xludf.DUMMYFUNCTION("""COMPUTED_VALUE"""),"Miraj Vai")</f>
        <v>Miraj Vai</v>
      </c>
      <c r="D317" s="92" t="str">
        <f ca="1">IFERROR(__xludf.DUMMYFUNCTION("""COMPUTED_VALUE"""),"Faruk Hossain (521288)")</f>
        <v>Faruk Hossain (521288)</v>
      </c>
      <c r="E317" s="93" t="str">
        <f ca="1">IFERROR(__xludf.DUMMYFUNCTION("""COMPUTED_VALUE"""),"CB14430_Dec25")</f>
        <v>CB14430_Dec25</v>
      </c>
      <c r="F317" s="94" t="str">
        <f ca="1">IFERROR(__xludf.DUMMYFUNCTION("""COMPUTED_VALUE"""),"Output Setup (Gravure/Offset)")</f>
        <v>Output Setup (Gravure/Offset)</v>
      </c>
      <c r="G317" s="95" t="str">
        <f ca="1">IFERROR(__xludf.DUMMYFUNCTION("""COMPUTED_VALUE"""),"New")</f>
        <v>New</v>
      </c>
      <c r="H317" s="96">
        <f ca="1">IFERROR(__xludf.DUMMYFUNCTION("""COMPUTED_VALUE"""),1)</f>
        <v>1</v>
      </c>
      <c r="I317" s="97">
        <f ca="1">IFERROR(__xludf.DUMMYFUNCTION("""COMPUTED_VALUE"""),46041)</f>
        <v>46041</v>
      </c>
      <c r="J317" s="98" t="str">
        <f ca="1">IFERROR(__xludf.DUMMYFUNCTION("""COMPUTED_VALUE"""),"CW22314_Jan26")</f>
        <v>CW22314_Jan26</v>
      </c>
      <c r="K317" s="99" t="str">
        <f ca="1">IFERROR(__xludf.DUMMYFUNCTION("""COMPUTED_VALUE"""),"HoM Approved")</f>
        <v>HoM Approved</v>
      </c>
    </row>
    <row r="318" spans="1:11" ht="13.2">
      <c r="A318" s="89" t="str">
        <f ca="1">IFERROR(__xludf.DUMMYFUNCTION("""COMPUTED_VALUE"""),"Chao Chao Lollipop")</f>
        <v>Chao Chao Lollipop</v>
      </c>
      <c r="B318" s="90" t="str">
        <f ca="1">IFERROR(__xludf.DUMMYFUNCTION("""COMPUTED_VALUE"""),"PCL")</f>
        <v>PCL</v>
      </c>
      <c r="C318" s="91" t="str">
        <f ca="1">IFERROR(__xludf.DUMMYFUNCTION("""COMPUTED_VALUE"""),"Enamul Vai")</f>
        <v>Enamul Vai</v>
      </c>
      <c r="D318" s="92" t="str">
        <f ca="1">IFERROR(__xludf.DUMMYFUNCTION("""COMPUTED_VALUE"""),"Faruk Hossain (521288)")</f>
        <v>Faruk Hossain (521288)</v>
      </c>
      <c r="E318" s="93" t="str">
        <f ca="1">IFERROR(__xludf.DUMMYFUNCTION("""COMPUTED_VALUE"""),"CB15804_Jan26")</f>
        <v>CB15804_Jan26</v>
      </c>
      <c r="F318" s="94" t="str">
        <f ca="1">IFERROR(__xludf.DUMMYFUNCTION("""COMPUTED_VALUE"""),"Output Setup (Gravure/Offset)")</f>
        <v>Output Setup (Gravure/Offset)</v>
      </c>
      <c r="G318" s="95" t="str">
        <f ca="1">IFERROR(__xludf.DUMMYFUNCTION("""COMPUTED_VALUE"""),"New")</f>
        <v>New</v>
      </c>
      <c r="H318" s="96">
        <f ca="1">IFERROR(__xludf.DUMMYFUNCTION("""COMPUTED_VALUE"""),1)</f>
        <v>1</v>
      </c>
      <c r="I318" s="97">
        <f ca="1">IFERROR(__xludf.DUMMYFUNCTION("""COMPUTED_VALUE"""),46042)</f>
        <v>46042</v>
      </c>
      <c r="J318" s="98" t="str">
        <f ca="1">IFERROR(__xludf.DUMMYFUNCTION("""COMPUTED_VALUE"""),"CW22453_Jan26")</f>
        <v>CW22453_Jan26</v>
      </c>
      <c r="K318" s="99" t="str">
        <f ca="1">IFERROR(__xludf.DUMMYFUNCTION("""COMPUTED_VALUE"""),"HoM Approved")</f>
        <v>HoM Approved</v>
      </c>
    </row>
    <row r="319" spans="1:11" ht="13.2">
      <c r="A319" s="89" t="str">
        <f ca="1">IFERROR(__xludf.DUMMYFUNCTION("""COMPUTED_VALUE"""),"Bisk Club Funcrack")</f>
        <v>Bisk Club Funcrack</v>
      </c>
      <c r="B319" s="90" t="str">
        <f ca="1">IFERROR(__xludf.DUMMYFUNCTION("""COMPUTED_VALUE"""),"BBL")</f>
        <v>BBL</v>
      </c>
      <c r="C319" s="91" t="str">
        <f ca="1">IFERROR(__xludf.DUMMYFUNCTION("""COMPUTED_VALUE"""),"Sabbir Vai")</f>
        <v>Sabbir Vai</v>
      </c>
      <c r="D319" s="92" t="str">
        <f ca="1">IFERROR(__xludf.DUMMYFUNCTION("""COMPUTED_VALUE"""),"Faruk Hossain (521288)")</f>
        <v>Faruk Hossain (521288)</v>
      </c>
      <c r="E319" s="93" t="str">
        <f ca="1">IFERROR(__xludf.DUMMYFUNCTION("""COMPUTED_VALUE"""),"CB14287_Dec25")</f>
        <v>CB14287_Dec25</v>
      </c>
      <c r="F319" s="94" t="str">
        <f ca="1">IFERROR(__xludf.DUMMYFUNCTION("""COMPUTED_VALUE"""),"Packaging Text Design #1")</f>
        <v>Packaging Text Design #1</v>
      </c>
      <c r="G319" s="95" t="str">
        <f ca="1">IFERROR(__xludf.DUMMYFUNCTION("""COMPUTED_VALUE"""),"New")</f>
        <v>New</v>
      </c>
      <c r="H319" s="96">
        <f ca="1">IFERROR(__xludf.DUMMYFUNCTION("""COMPUTED_VALUE"""),1)</f>
        <v>1</v>
      </c>
      <c r="I319" s="97">
        <f ca="1">IFERROR(__xludf.DUMMYFUNCTION("""COMPUTED_VALUE"""),46042)</f>
        <v>46042</v>
      </c>
      <c r="J319" s="98" t="str">
        <f ca="1">IFERROR(__xludf.DUMMYFUNCTION("""COMPUTED_VALUE"""),"CW22389_Jan26")</f>
        <v>CW22389_Jan26</v>
      </c>
      <c r="K319" s="99" t="str">
        <f ca="1">IFERROR(__xludf.DUMMYFUNCTION("""COMPUTED_VALUE"""),"HoM Approved")</f>
        <v>HoM Approved</v>
      </c>
    </row>
    <row r="320" spans="1:11" ht="13.2">
      <c r="A320" s="89" t="str">
        <f ca="1">IFERROR(__xludf.DUMMYFUNCTION("""COMPUTED_VALUE"""),"Blaze Switch &amp; Accessories")</f>
        <v>Blaze Switch &amp; Accessories</v>
      </c>
      <c r="B320" s="90" t="str">
        <f ca="1">IFERROR(__xludf.DUMMYFUNCTION("""COMPUTED_VALUE"""),"RPLE")</f>
        <v>RPLE</v>
      </c>
      <c r="C320" s="91" t="str">
        <f ca="1">IFERROR(__xludf.DUMMYFUNCTION("""COMPUTED_VALUE"""),"Tanjid Vai")</f>
        <v>Tanjid Vai</v>
      </c>
      <c r="D320" s="92" t="str">
        <f ca="1">IFERROR(__xludf.DUMMYFUNCTION("""COMPUTED_VALUE"""),"Faruk Hossain (521288)")</f>
        <v>Faruk Hossain (521288)</v>
      </c>
      <c r="E320" s="93" t="str">
        <f ca="1">IFERROR(__xludf.DUMMYFUNCTION("""COMPUTED_VALUE"""),"CB15684_Jan26")</f>
        <v>CB15684_Jan26</v>
      </c>
      <c r="F320" s="94" t="str">
        <f ca="1">IFERROR(__xludf.DUMMYFUNCTION("""COMPUTED_VALUE"""),"Output Setup (Gravure/Offset)")</f>
        <v>Output Setup (Gravure/Offset)</v>
      </c>
      <c r="G320" s="95" t="str">
        <f ca="1">IFERROR(__xludf.DUMMYFUNCTION("""COMPUTED_VALUE"""),"New")</f>
        <v>New</v>
      </c>
      <c r="H320" s="96">
        <f ca="1">IFERROR(__xludf.DUMMYFUNCTION("""COMPUTED_VALUE"""),1)</f>
        <v>1</v>
      </c>
      <c r="I320" s="97">
        <f ca="1">IFERROR(__xludf.DUMMYFUNCTION("""COMPUTED_VALUE"""),46042)</f>
        <v>46042</v>
      </c>
      <c r="J320" s="98" t="str">
        <f ca="1">IFERROR(__xludf.DUMMYFUNCTION("""COMPUTED_VALUE"""),"CW22399_Jan26")</f>
        <v>CW22399_Jan26</v>
      </c>
      <c r="K320" s="99" t="str">
        <f ca="1">IFERROR(__xludf.DUMMYFUNCTION("""COMPUTED_VALUE"""),"HoM Approved")</f>
        <v>HoM Approved</v>
      </c>
    </row>
    <row r="321" spans="1:11" ht="13.2">
      <c r="A321" s="89" t="str">
        <f ca="1">IFERROR(__xludf.DUMMYFUNCTION("""COMPUTED_VALUE"""),"PRAN Potato Cracker")</f>
        <v>PRAN Potato Cracker</v>
      </c>
      <c r="B321" s="90" t="str">
        <f ca="1">IFERROR(__xludf.DUMMYFUNCTION("""COMPUTED_VALUE"""),"PFL")</f>
        <v>PFL</v>
      </c>
      <c r="C321" s="91" t="str">
        <f ca="1">IFERROR(__xludf.DUMMYFUNCTION("""COMPUTED_VALUE"""),"Shamrid Vaiya")</f>
        <v>Shamrid Vaiya</v>
      </c>
      <c r="D321" s="92" t="str">
        <f ca="1">IFERROR(__xludf.DUMMYFUNCTION("""COMPUTED_VALUE"""),"Faruk Hossain (521288)")</f>
        <v>Faruk Hossain (521288)</v>
      </c>
      <c r="E321" s="93" t="str">
        <f ca="1">IFERROR(__xludf.DUMMYFUNCTION("""COMPUTED_VALUE"""),"CB16018_Jan26")</f>
        <v>CB16018_Jan26</v>
      </c>
      <c r="F321" s="94" t="str">
        <f ca="1">IFERROR(__xludf.DUMMYFUNCTION("""COMPUTED_VALUE"""),"Output Setup (Gravure/Offset)")</f>
        <v>Output Setup (Gravure/Offset)</v>
      </c>
      <c r="G321" s="95" t="str">
        <f ca="1">IFERROR(__xludf.DUMMYFUNCTION("""COMPUTED_VALUE"""),"New")</f>
        <v>New</v>
      </c>
      <c r="H321" s="96">
        <f ca="1">IFERROR(__xludf.DUMMYFUNCTION("""COMPUTED_VALUE"""),3)</f>
        <v>3</v>
      </c>
      <c r="I321" s="97">
        <f ca="1">IFERROR(__xludf.DUMMYFUNCTION("""COMPUTED_VALUE"""),46043)</f>
        <v>46043</v>
      </c>
      <c r="J321" s="98" t="str">
        <f ca="1">IFERROR(__xludf.DUMMYFUNCTION("""COMPUTED_VALUE"""),"CW22533_Jan26")</f>
        <v>CW22533_Jan26</v>
      </c>
      <c r="K321" s="99" t="str">
        <f ca="1">IFERROR(__xludf.DUMMYFUNCTION("""COMPUTED_VALUE"""),"HoM Approved")</f>
        <v>HoM Approved</v>
      </c>
    </row>
    <row r="322" spans="1:11" ht="13.2">
      <c r="A322" s="89" t="str">
        <f ca="1">IFERROR(__xludf.DUMMYFUNCTION("""COMPUTED_VALUE"""),"Treat Chocolate")</f>
        <v>Treat Chocolate</v>
      </c>
      <c r="B322" s="90" t="str">
        <f ca="1">IFERROR(__xludf.DUMMYFUNCTION("""COMPUTED_VALUE"""),"PCL")</f>
        <v>PCL</v>
      </c>
      <c r="C322" s="91" t="str">
        <f ca="1">IFERROR(__xludf.DUMMYFUNCTION("""COMPUTED_VALUE"""),"Sohel Vai")</f>
        <v>Sohel Vai</v>
      </c>
      <c r="D322" s="92" t="str">
        <f ca="1">IFERROR(__xludf.DUMMYFUNCTION("""COMPUTED_VALUE"""),"Faruk Hossain (521288)")</f>
        <v>Faruk Hossain (521288)</v>
      </c>
      <c r="E322" s="93" t="str">
        <f ca="1">IFERROR(__xludf.DUMMYFUNCTION("""COMPUTED_VALUE"""),"CB13537_Dec25")</f>
        <v>CB13537_Dec25</v>
      </c>
      <c r="F322" s="94" t="str">
        <f ca="1">IFERROR(__xludf.DUMMYFUNCTION("""COMPUTED_VALUE"""),"Output Setup (Gravure/Offset)")</f>
        <v>Output Setup (Gravure/Offset)</v>
      </c>
      <c r="G322" s="95" t="str">
        <f ca="1">IFERROR(__xludf.DUMMYFUNCTION("""COMPUTED_VALUE"""),"New")</f>
        <v>New</v>
      </c>
      <c r="H322" s="96">
        <f ca="1">IFERROR(__xludf.DUMMYFUNCTION("""COMPUTED_VALUE"""),2)</f>
        <v>2</v>
      </c>
      <c r="I322" s="97">
        <f ca="1">IFERROR(__xludf.DUMMYFUNCTION("""COMPUTED_VALUE"""),46043)</f>
        <v>46043</v>
      </c>
      <c r="J322" s="98" t="str">
        <f ca="1">IFERROR(__xludf.DUMMYFUNCTION("""COMPUTED_VALUE"""),"CW22514_Jan26")</f>
        <v>CW22514_Jan26</v>
      </c>
      <c r="K322" s="99" t="str">
        <f ca="1">IFERROR(__xludf.DUMMYFUNCTION("""COMPUTED_VALUE"""),"HoM Approved")</f>
        <v>HoM Approved</v>
      </c>
    </row>
    <row r="323" spans="1:11" ht="13.2">
      <c r="A323" s="89" t="str">
        <f ca="1">IFERROR(__xludf.DUMMYFUNCTION("""COMPUTED_VALUE"""),"RFL Tubewell")</f>
        <v>RFL Tubewell</v>
      </c>
      <c r="B323" s="90" t="str">
        <f ca="1">IFERROR(__xludf.DUMMYFUNCTION("""COMPUTED_VALUE"""),"RMIL-1")</f>
        <v>RMIL-1</v>
      </c>
      <c r="C323" s="91" t="str">
        <f ca="1">IFERROR(__xludf.DUMMYFUNCTION("""COMPUTED_VALUE"""),"Mehedi Vaiya")</f>
        <v>Mehedi Vaiya</v>
      </c>
      <c r="D323" s="92" t="str">
        <f ca="1">IFERROR(__xludf.DUMMYFUNCTION("""COMPUTED_VALUE"""),"Faruk Hossain (521288)")</f>
        <v>Faruk Hossain (521288)</v>
      </c>
      <c r="E323" s="93" t="str">
        <f ca="1">IFERROR(__xludf.DUMMYFUNCTION("""COMPUTED_VALUE"""),"CB13730_Dec25")</f>
        <v>CB13730_Dec25</v>
      </c>
      <c r="F323" s="94" t="str">
        <f ca="1">IFERROR(__xludf.DUMMYFUNCTION("""COMPUTED_VALUE"""),"Output Setup (Gravure/Offset)")</f>
        <v>Output Setup (Gravure/Offset)</v>
      </c>
      <c r="G323" s="95" t="str">
        <f ca="1">IFERROR(__xludf.DUMMYFUNCTION("""COMPUTED_VALUE"""),"New")</f>
        <v>New</v>
      </c>
      <c r="H323" s="96">
        <f ca="1">IFERROR(__xludf.DUMMYFUNCTION("""COMPUTED_VALUE"""),2)</f>
        <v>2</v>
      </c>
      <c r="I323" s="97">
        <f ca="1">IFERROR(__xludf.DUMMYFUNCTION("""COMPUTED_VALUE"""),46044)</f>
        <v>46044</v>
      </c>
      <c r="J323" s="98" t="str">
        <f ca="1">IFERROR(__xludf.DUMMYFUNCTION("""COMPUTED_VALUE"""),"CW22703_Jan26")</f>
        <v>CW22703_Jan26</v>
      </c>
      <c r="K323" s="99" t="str">
        <f ca="1">IFERROR(__xludf.DUMMYFUNCTION("""COMPUTED_VALUE"""),"HoM Approved")</f>
        <v>HoM Approved</v>
      </c>
    </row>
    <row r="324" spans="1:11" ht="13.2">
      <c r="A324" s="89" t="str">
        <f ca="1">IFERROR(__xludf.DUMMYFUNCTION("""COMPUTED_VALUE"""),"Orange Plus")</f>
        <v>Orange Plus</v>
      </c>
      <c r="B324" s="90" t="str">
        <f ca="1">IFERROR(__xludf.DUMMYFUNCTION("""COMPUTED_VALUE"""),"AMCL")</f>
        <v>AMCL</v>
      </c>
      <c r="C324" s="91" t="str">
        <f ca="1">IFERROR(__xludf.DUMMYFUNCTION("""COMPUTED_VALUE"""),"Miraj Vai")</f>
        <v>Miraj Vai</v>
      </c>
      <c r="D324" s="92" t="str">
        <f ca="1">IFERROR(__xludf.DUMMYFUNCTION("""COMPUTED_VALUE"""),"Faruk Hossain (521288)")</f>
        <v>Faruk Hossain (521288)</v>
      </c>
      <c r="E324" s="93" t="str">
        <f ca="1">IFERROR(__xludf.DUMMYFUNCTION("""COMPUTED_VALUE"""),"CB16064_Jan26")</f>
        <v>CB16064_Jan26</v>
      </c>
      <c r="F324" s="94" t="str">
        <f ca="1">IFERROR(__xludf.DUMMYFUNCTION("""COMPUTED_VALUE"""),"Flyer/Brochure/Banner Output")</f>
        <v>Flyer/Brochure/Banner Output</v>
      </c>
      <c r="G324" s="95" t="str">
        <f ca="1">IFERROR(__xludf.DUMMYFUNCTION("""COMPUTED_VALUE"""),"New")</f>
        <v>New</v>
      </c>
      <c r="H324" s="96">
        <f ca="1">IFERROR(__xludf.DUMMYFUNCTION("""COMPUTED_VALUE"""),4)</f>
        <v>4</v>
      </c>
      <c r="I324" s="97">
        <f ca="1">IFERROR(__xludf.DUMMYFUNCTION("""COMPUTED_VALUE"""),46048)</f>
        <v>46048</v>
      </c>
      <c r="J324" s="98" t="str">
        <f ca="1">IFERROR(__xludf.DUMMYFUNCTION("""COMPUTED_VALUE"""),"CW23010_Jan26")</f>
        <v>CW23010_Jan26</v>
      </c>
      <c r="K324" s="99" t="str">
        <f ca="1">IFERROR(__xludf.DUMMYFUNCTION("""COMPUTED_VALUE"""),"HoM Approved")</f>
        <v>HoM Approved</v>
      </c>
    </row>
    <row r="325" spans="1:11" ht="13.2">
      <c r="A325" s="89" t="str">
        <f ca="1">IFERROR(__xludf.DUMMYFUNCTION("""COMPUTED_VALUE"""),"PRAN Lollipop")</f>
        <v>PRAN Lollipop</v>
      </c>
      <c r="B325" s="90" t="str">
        <f ca="1">IFERROR(__xludf.DUMMYFUNCTION("""COMPUTED_VALUE"""),"PCL")</f>
        <v>PCL</v>
      </c>
      <c r="C325" s="91" t="str">
        <f ca="1">IFERROR(__xludf.DUMMYFUNCTION("""COMPUTED_VALUE"""),"Zahirul Vai")</f>
        <v>Zahirul Vai</v>
      </c>
      <c r="D325" s="92" t="str">
        <f ca="1">IFERROR(__xludf.DUMMYFUNCTION("""COMPUTED_VALUE"""),"Faruk Hossain (521288)")</f>
        <v>Faruk Hossain (521288)</v>
      </c>
      <c r="E325" s="93" t="str">
        <f ca="1">IFERROR(__xludf.DUMMYFUNCTION("""COMPUTED_VALUE"""),"CB15150_Jan26")</f>
        <v>CB15150_Jan26</v>
      </c>
      <c r="F325" s="94" t="str">
        <f ca="1">IFERROR(__xludf.DUMMYFUNCTION("""COMPUTED_VALUE"""),"Output Setup (Gravure/Offset)")</f>
        <v>Output Setup (Gravure/Offset)</v>
      </c>
      <c r="G325" s="95" t="str">
        <f ca="1">IFERROR(__xludf.DUMMYFUNCTION("""COMPUTED_VALUE"""),"New")</f>
        <v>New</v>
      </c>
      <c r="H325" s="96">
        <f ca="1">IFERROR(__xludf.DUMMYFUNCTION("""COMPUTED_VALUE"""),1)</f>
        <v>1</v>
      </c>
      <c r="I325" s="97">
        <f ca="1">IFERROR(__xludf.DUMMYFUNCTION("""COMPUTED_VALUE"""),46048)</f>
        <v>46048</v>
      </c>
      <c r="J325" s="98" t="str">
        <f ca="1">IFERROR(__xludf.DUMMYFUNCTION("""COMPUTED_VALUE"""),"CW23005_Jan26")</f>
        <v>CW23005_Jan26</v>
      </c>
      <c r="K325" s="99" t="str">
        <f ca="1">IFERROR(__xludf.DUMMYFUNCTION("""COMPUTED_VALUE"""),"HoM Approved")</f>
        <v>HoM Approved</v>
      </c>
    </row>
    <row r="326" spans="1:11" ht="13.2">
      <c r="A326" s="89" t="str">
        <f ca="1">IFERROR(__xludf.DUMMYFUNCTION("""COMPUTED_VALUE"""),"Humty Dumty")</f>
        <v>Humty Dumty</v>
      </c>
      <c r="B326" s="90" t="str">
        <f ca="1">IFERROR(__xludf.DUMMYFUNCTION("""COMPUTED_VALUE"""),"PCL")</f>
        <v>PCL</v>
      </c>
      <c r="C326" s="91" t="str">
        <f ca="1">IFERROR(__xludf.DUMMYFUNCTION("""COMPUTED_VALUE"""),"Zahirul Vai")</f>
        <v>Zahirul Vai</v>
      </c>
      <c r="D326" s="92" t="str">
        <f ca="1">IFERROR(__xludf.DUMMYFUNCTION("""COMPUTED_VALUE"""),"Faruk Hossain (521288)")</f>
        <v>Faruk Hossain (521288)</v>
      </c>
      <c r="E326" s="93" t="str">
        <f ca="1">IFERROR(__xludf.DUMMYFUNCTION("""COMPUTED_VALUE"""),"CB16079_Jan26")</f>
        <v>CB16079_Jan26</v>
      </c>
      <c r="F326" s="94" t="str">
        <f ca="1">IFERROR(__xludf.DUMMYFUNCTION("""COMPUTED_VALUE"""),"Output Setup (Gravure/Offset)")</f>
        <v>Output Setup (Gravure/Offset)</v>
      </c>
      <c r="G326" s="95" t="str">
        <f ca="1">IFERROR(__xludf.DUMMYFUNCTION("""COMPUTED_VALUE"""),"New")</f>
        <v>New</v>
      </c>
      <c r="H326" s="96">
        <f ca="1">IFERROR(__xludf.DUMMYFUNCTION("""COMPUTED_VALUE"""),1)</f>
        <v>1</v>
      </c>
      <c r="I326" s="97">
        <f ca="1">IFERROR(__xludf.DUMMYFUNCTION("""COMPUTED_VALUE"""),46048)</f>
        <v>46048</v>
      </c>
      <c r="J326" s="98" t="str">
        <f ca="1">IFERROR(__xludf.DUMMYFUNCTION("""COMPUTED_VALUE"""),"CW22963_Jan26")</f>
        <v>CW22963_Jan26</v>
      </c>
      <c r="K326" s="99" t="str">
        <f ca="1">IFERROR(__xludf.DUMMYFUNCTION("""COMPUTED_VALUE"""),"HoM Approved")</f>
        <v>HoM Approved</v>
      </c>
    </row>
    <row r="327" spans="1:11" ht="13.2">
      <c r="A327" s="89" t="str">
        <f ca="1">IFERROR(__xludf.DUMMYFUNCTION("""COMPUTED_VALUE"""),"PRAN Yogurt")</f>
        <v>PRAN Yogurt</v>
      </c>
      <c r="B327" s="90" t="str">
        <f ca="1">IFERROR(__xludf.DUMMYFUNCTION("""COMPUTED_VALUE"""),"Dairy")</f>
        <v>Dairy</v>
      </c>
      <c r="C327" s="91" t="str">
        <f ca="1">IFERROR(__xludf.DUMMYFUNCTION("""COMPUTED_VALUE"""),"Aydeed Vai")</f>
        <v>Aydeed Vai</v>
      </c>
      <c r="D327" s="92" t="str">
        <f ca="1">IFERROR(__xludf.DUMMYFUNCTION("""COMPUTED_VALUE"""),"Faruk Hossain (521288)")</f>
        <v>Faruk Hossain (521288)</v>
      </c>
      <c r="E327" s="93" t="str">
        <f ca="1">IFERROR(__xludf.DUMMYFUNCTION("""COMPUTED_VALUE"""),"CB16180_Jan26")</f>
        <v>CB16180_Jan26</v>
      </c>
      <c r="F327" s="94" t="str">
        <f ca="1">IFERROR(__xludf.DUMMYFUNCTION("""COMPUTED_VALUE"""),"Flyer/Brochure/Banner Output")</f>
        <v>Flyer/Brochure/Banner Output</v>
      </c>
      <c r="G327" s="95" t="str">
        <f ca="1">IFERROR(__xludf.DUMMYFUNCTION("""COMPUTED_VALUE"""),"New")</f>
        <v>New</v>
      </c>
      <c r="H327" s="96">
        <f ca="1">IFERROR(__xludf.DUMMYFUNCTION("""COMPUTED_VALUE"""),1)</f>
        <v>1</v>
      </c>
      <c r="I327" s="97">
        <f ca="1">IFERROR(__xludf.DUMMYFUNCTION("""COMPUTED_VALUE"""),46049)</f>
        <v>46049</v>
      </c>
      <c r="J327" s="98" t="str">
        <f ca="1">IFERROR(__xludf.DUMMYFUNCTION("""COMPUTED_VALUE"""),"CW23053_Jan26")</f>
        <v>CW23053_Jan26</v>
      </c>
      <c r="K327" s="99" t="str">
        <f ca="1">IFERROR(__xludf.DUMMYFUNCTION("""COMPUTED_VALUE"""),"HoM Approved")</f>
        <v>HoM Approved</v>
      </c>
    </row>
    <row r="328" spans="1:11" ht="13.2">
      <c r="A328" s="89" t="str">
        <f ca="1">IFERROR(__xludf.DUMMYFUNCTION("""COMPUTED_VALUE"""),"Power")</f>
        <v>Power</v>
      </c>
      <c r="B328" s="90" t="str">
        <f ca="1">IFERROR(__xludf.DUMMYFUNCTION("""COMPUTED_VALUE"""),"PBL")</f>
        <v>PBL</v>
      </c>
      <c r="C328" s="91" t="str">
        <f ca="1">IFERROR(__xludf.DUMMYFUNCTION("""COMPUTED_VALUE"""),"Duke Vai")</f>
        <v>Duke Vai</v>
      </c>
      <c r="D328" s="92" t="str">
        <f ca="1">IFERROR(__xludf.DUMMYFUNCTION("""COMPUTED_VALUE"""),"Faruk Hossain (521288)")</f>
        <v>Faruk Hossain (521288)</v>
      </c>
      <c r="E328" s="93" t="str">
        <f ca="1">IFERROR(__xludf.DUMMYFUNCTION("""COMPUTED_VALUE"""),"CB16461_Jan26")</f>
        <v>CB16461_Jan26</v>
      </c>
      <c r="F328" s="94" t="str">
        <f ca="1">IFERROR(__xludf.DUMMYFUNCTION("""COMPUTED_VALUE"""),"JAR Label Sticker Output")</f>
        <v>JAR Label Sticker Output</v>
      </c>
      <c r="G328" s="95" t="str">
        <f ca="1">IFERROR(__xludf.DUMMYFUNCTION("""COMPUTED_VALUE"""),"New")</f>
        <v>New</v>
      </c>
      <c r="H328" s="96">
        <f ca="1">IFERROR(__xludf.DUMMYFUNCTION("""COMPUTED_VALUE"""),3)</f>
        <v>3</v>
      </c>
      <c r="I328" s="97">
        <f ca="1">IFERROR(__xludf.DUMMYFUNCTION("""COMPUTED_VALUE"""),46049)</f>
        <v>46049</v>
      </c>
      <c r="J328" s="98" t="str">
        <f ca="1">IFERROR(__xludf.DUMMYFUNCTION("""COMPUTED_VALUE"""),"CW23176_Jan26")</f>
        <v>CW23176_Jan26</v>
      </c>
      <c r="K328" s="99" t="str">
        <f ca="1">IFERROR(__xludf.DUMMYFUNCTION("""COMPUTED_VALUE"""),"HoM Approved")</f>
        <v>HoM Approved</v>
      </c>
    </row>
    <row r="329" spans="1:11" ht="13.2">
      <c r="A329" s="89" t="str">
        <f ca="1">IFERROR(__xludf.DUMMYFUNCTION("""COMPUTED_VALUE"""),"PRAN Fruit Drinks (TP)")</f>
        <v>PRAN Fruit Drinks (TP)</v>
      </c>
      <c r="B329" s="90" t="str">
        <f ca="1">IFERROR(__xludf.DUMMYFUNCTION("""COMPUTED_VALUE"""),"Dairy")</f>
        <v>Dairy</v>
      </c>
      <c r="C329" s="91" t="str">
        <f ca="1">IFERROR(__xludf.DUMMYFUNCTION("""COMPUTED_VALUE"""),"Anis Vaiya")</f>
        <v>Anis Vaiya</v>
      </c>
      <c r="D329" s="92" t="str">
        <f ca="1">IFERROR(__xludf.DUMMYFUNCTION("""COMPUTED_VALUE"""),"Faruk Hossain (521288)")</f>
        <v>Faruk Hossain (521288)</v>
      </c>
      <c r="E329" s="93" t="str">
        <f ca="1">IFERROR(__xludf.DUMMYFUNCTION("""COMPUTED_VALUE"""),"CB16471_Jan26")</f>
        <v>CB16471_Jan26</v>
      </c>
      <c r="F329" s="94" t="str">
        <f ca="1">IFERROR(__xludf.DUMMYFUNCTION("""COMPUTED_VALUE"""),"JAR Label Sticker Output")</f>
        <v>JAR Label Sticker Output</v>
      </c>
      <c r="G329" s="95" t="str">
        <f ca="1">IFERROR(__xludf.DUMMYFUNCTION("""COMPUTED_VALUE"""),"New")</f>
        <v>New</v>
      </c>
      <c r="H329" s="96">
        <f ca="1">IFERROR(__xludf.DUMMYFUNCTION("""COMPUTED_VALUE"""),1)</f>
        <v>1</v>
      </c>
      <c r="I329" s="97">
        <f ca="1">IFERROR(__xludf.DUMMYFUNCTION("""COMPUTED_VALUE"""),46050)</f>
        <v>46050</v>
      </c>
      <c r="J329" s="98" t="str">
        <f ca="1">IFERROR(__xludf.DUMMYFUNCTION("""COMPUTED_VALUE"""),"CW23228_Jan26")</f>
        <v>CW23228_Jan26</v>
      </c>
      <c r="K329" s="99" t="str">
        <f ca="1">IFERROR(__xludf.DUMMYFUNCTION("""COMPUTED_VALUE"""),"HoM Approved")</f>
        <v>HoM Approved</v>
      </c>
    </row>
    <row r="330" spans="1:11" ht="13.2">
      <c r="A330" s="89" t="str">
        <f ca="1">IFERROR(__xludf.DUMMYFUNCTION("""COMPUTED_VALUE"""),"Pran Choice Sweet &amp; Salty Biscuits")</f>
        <v>Pran Choice Sweet &amp; Salty Biscuits</v>
      </c>
      <c r="B330" s="90" t="str">
        <f ca="1">IFERROR(__xludf.DUMMYFUNCTION("""COMPUTED_VALUE"""),"BBL")</f>
        <v>BBL</v>
      </c>
      <c r="C330" s="91" t="str">
        <f ca="1">IFERROR(__xludf.DUMMYFUNCTION("""COMPUTED_VALUE"""),"Maksuda Apu")</f>
        <v>Maksuda Apu</v>
      </c>
      <c r="D330" s="92" t="str">
        <f ca="1">IFERROR(__xludf.DUMMYFUNCTION("""COMPUTED_VALUE"""),"Faruk Hossain (521288)")</f>
        <v>Faruk Hossain (521288)</v>
      </c>
      <c r="E330" s="93" t="str">
        <f ca="1">IFERROR(__xludf.DUMMYFUNCTION("""COMPUTED_VALUE"""),"CB16476_Jan26")</f>
        <v>CB16476_Jan26</v>
      </c>
      <c r="F330" s="94" t="str">
        <f ca="1">IFERROR(__xludf.DUMMYFUNCTION("""COMPUTED_VALUE"""),"JAR Label Sticker Output")</f>
        <v>JAR Label Sticker Output</v>
      </c>
      <c r="G330" s="95" t="str">
        <f ca="1">IFERROR(__xludf.DUMMYFUNCTION("""COMPUTED_VALUE"""),"New")</f>
        <v>New</v>
      </c>
      <c r="H330" s="96">
        <f ca="1">IFERROR(__xludf.DUMMYFUNCTION("""COMPUTED_VALUE"""),4)</f>
        <v>4</v>
      </c>
      <c r="I330" s="97">
        <f ca="1">IFERROR(__xludf.DUMMYFUNCTION("""COMPUTED_VALUE"""),46050)</f>
        <v>46050</v>
      </c>
      <c r="J330" s="98" t="str">
        <f ca="1">IFERROR(__xludf.DUMMYFUNCTION("""COMPUTED_VALUE"""),"CW23251_Jan26")</f>
        <v>CW23251_Jan26</v>
      </c>
      <c r="K330" s="99" t="str">
        <f ca="1">IFERROR(__xludf.DUMMYFUNCTION("""COMPUTED_VALUE"""),"HoM Approved")</f>
        <v>HoM Approved</v>
      </c>
    </row>
    <row r="331" spans="1:11" ht="13.2">
      <c r="A331" s="89" t="str">
        <f ca="1">IFERROR(__xludf.DUMMYFUNCTION("""COMPUTED_VALUE"""),"100% Natural Juice Latina")</f>
        <v>100% Natural Juice Latina</v>
      </c>
      <c r="B331" s="90" t="str">
        <f ca="1">IFERROR(__xludf.DUMMYFUNCTION("""COMPUTED_VALUE"""),"Dairy")</f>
        <v>Dairy</v>
      </c>
      <c r="C331" s="91" t="str">
        <f ca="1">IFERROR(__xludf.DUMMYFUNCTION("""COMPUTED_VALUE"""),"Anis Vaiya")</f>
        <v>Anis Vaiya</v>
      </c>
      <c r="D331" s="92" t="str">
        <f ca="1">IFERROR(__xludf.DUMMYFUNCTION("""COMPUTED_VALUE"""),"Faruk Hossain (521288)")</f>
        <v>Faruk Hossain (521288)</v>
      </c>
      <c r="E331" s="93" t="str">
        <f ca="1">IFERROR(__xludf.DUMMYFUNCTION("""COMPUTED_VALUE"""),"CB16507_Jan26")</f>
        <v>CB16507_Jan26</v>
      </c>
      <c r="F331" s="94" t="str">
        <f ca="1">IFERROR(__xludf.DUMMYFUNCTION("""COMPUTED_VALUE"""),"JAR Label Sticker Output")</f>
        <v>JAR Label Sticker Output</v>
      </c>
      <c r="G331" s="95" t="str">
        <f ca="1">IFERROR(__xludf.DUMMYFUNCTION("""COMPUTED_VALUE"""),"New")</f>
        <v>New</v>
      </c>
      <c r="H331" s="96">
        <f ca="1">IFERROR(__xludf.DUMMYFUNCTION("""COMPUTED_VALUE"""),2)</f>
        <v>2</v>
      </c>
      <c r="I331" s="97">
        <f ca="1">IFERROR(__xludf.DUMMYFUNCTION("""COMPUTED_VALUE"""),46051)</f>
        <v>46051</v>
      </c>
      <c r="J331" s="98" t="str">
        <f ca="1">IFERROR(__xludf.DUMMYFUNCTION("""COMPUTED_VALUE"""),"CW23304_Jan26")</f>
        <v>CW23304_Jan26</v>
      </c>
      <c r="K331" s="99" t="str">
        <f ca="1">IFERROR(__xludf.DUMMYFUNCTION("""COMPUTED_VALUE"""),"HoM Approved")</f>
        <v>HoM Approved</v>
      </c>
    </row>
    <row r="332" spans="1:11" ht="13.2">
      <c r="A332" s="89" t="str">
        <f ca="1">IFERROR(__xludf.DUMMYFUNCTION("""COMPUTED_VALUE"""),"PRAN Twister")</f>
        <v>PRAN Twister</v>
      </c>
      <c r="B332" s="90" t="str">
        <f ca="1">IFERROR(__xludf.DUMMYFUNCTION("""COMPUTED_VALUE"""),"PFL")</f>
        <v>PFL</v>
      </c>
      <c r="C332" s="91" t="str">
        <f ca="1">IFERROR(__xludf.DUMMYFUNCTION("""COMPUTED_VALUE"""),"Rafi Vaiya")</f>
        <v>Rafi Vaiya</v>
      </c>
      <c r="D332" s="92" t="str">
        <f ca="1">IFERROR(__xludf.DUMMYFUNCTION("""COMPUTED_VALUE"""),"Faruk Hossain (521288)")</f>
        <v>Faruk Hossain (521288)</v>
      </c>
      <c r="E332" s="93" t="str">
        <f ca="1">IFERROR(__xludf.DUMMYFUNCTION("""COMPUTED_VALUE"""),"CB16659_Jan26")</f>
        <v>CB16659_Jan26</v>
      </c>
      <c r="F332" s="94" t="str">
        <f ca="1">IFERROR(__xludf.DUMMYFUNCTION("""COMPUTED_VALUE"""),"JAR Label Sticker Output")</f>
        <v>JAR Label Sticker Output</v>
      </c>
      <c r="G332" s="95" t="str">
        <f ca="1">IFERROR(__xludf.DUMMYFUNCTION("""COMPUTED_VALUE"""),"New")</f>
        <v>New</v>
      </c>
      <c r="H332" s="96">
        <f ca="1">IFERROR(__xludf.DUMMYFUNCTION("""COMPUTED_VALUE"""),5)</f>
        <v>5</v>
      </c>
      <c r="I332" s="97">
        <f ca="1">IFERROR(__xludf.DUMMYFUNCTION("""COMPUTED_VALUE"""),46052)</f>
        <v>46052</v>
      </c>
      <c r="J332" s="98" t="str">
        <f ca="1">IFERROR(__xludf.DUMMYFUNCTION("""COMPUTED_VALUE"""),"CW23499_Jan26")</f>
        <v>CW23499_Jan26</v>
      </c>
      <c r="K332" s="99" t="str">
        <f ca="1">IFERROR(__xludf.DUMMYFUNCTION("""COMPUTED_VALUE"""),"HoM Approved")</f>
        <v>HoM Approved</v>
      </c>
    </row>
    <row r="333" spans="1:11" ht="13.2">
      <c r="A333" s="89" t="str">
        <f ca="1">IFERROR(__xludf.DUMMYFUNCTION("""COMPUTED_VALUE"""),"Wonder Muffin")</f>
        <v>Wonder Muffin</v>
      </c>
      <c r="B333" s="90" t="str">
        <f ca="1">IFERROR(__xludf.DUMMYFUNCTION("""COMPUTED_VALUE"""),"BBL")</f>
        <v>BBL</v>
      </c>
      <c r="C333" s="91" t="str">
        <f ca="1">IFERROR(__xludf.DUMMYFUNCTION("""COMPUTED_VALUE"""),"Tamim Vai")</f>
        <v>Tamim Vai</v>
      </c>
      <c r="D333" s="92" t="str">
        <f ca="1">IFERROR(__xludf.DUMMYFUNCTION("""COMPUTED_VALUE"""),"Faruk Hossain (521288)")</f>
        <v>Faruk Hossain (521288)</v>
      </c>
      <c r="E333" s="93" t="str">
        <f ca="1">IFERROR(__xludf.DUMMYFUNCTION("""COMPUTED_VALUE"""),"CB16603_Jan26")</f>
        <v>CB16603_Jan26</v>
      </c>
      <c r="F333" s="94" t="str">
        <f ca="1">IFERROR(__xludf.DUMMYFUNCTION("""COMPUTED_VALUE"""),"JAR Label Sticker Output")</f>
        <v>JAR Label Sticker Output</v>
      </c>
      <c r="G333" s="95" t="str">
        <f ca="1">IFERROR(__xludf.DUMMYFUNCTION("""COMPUTED_VALUE"""),"New")</f>
        <v>New</v>
      </c>
      <c r="H333" s="96">
        <f ca="1">IFERROR(__xludf.DUMMYFUNCTION("""COMPUTED_VALUE"""),4)</f>
        <v>4</v>
      </c>
      <c r="I333" s="97">
        <f ca="1">IFERROR(__xludf.DUMMYFUNCTION("""COMPUTED_VALUE"""),46052)</f>
        <v>46052</v>
      </c>
      <c r="J333" s="98" t="str">
        <f ca="1">IFERROR(__xludf.DUMMYFUNCTION("""COMPUTED_VALUE"""),"CW23504_Jan26")</f>
        <v>CW23504_Jan26</v>
      </c>
      <c r="K333" s="99" t="str">
        <f ca="1">IFERROR(__xludf.DUMMYFUNCTION("""COMPUTED_VALUE"""),"HoM Approved")</f>
        <v>HoM Approved</v>
      </c>
    </row>
    <row r="334" spans="1:11" ht="13.2">
      <c r="A334" s="89" t="str">
        <f ca="1">IFERROR(__xludf.DUMMYFUNCTION("""COMPUTED_VALUE"""),"PRAN Chewy")</f>
        <v>PRAN Chewy</v>
      </c>
      <c r="B334" s="90" t="str">
        <f ca="1">IFERROR(__xludf.DUMMYFUNCTION("""COMPUTED_VALUE"""),"PCL")</f>
        <v>PCL</v>
      </c>
      <c r="C334" s="91" t="str">
        <f ca="1">IFERROR(__xludf.DUMMYFUNCTION("""COMPUTED_VALUE"""),"Enamul Vai")</f>
        <v>Enamul Vai</v>
      </c>
      <c r="D334" s="92" t="str">
        <f ca="1">IFERROR(__xludf.DUMMYFUNCTION("""COMPUTED_VALUE"""),"Faruk Hossain (521288)")</f>
        <v>Faruk Hossain (521288)</v>
      </c>
      <c r="E334" s="93" t="str">
        <f ca="1">IFERROR(__xludf.DUMMYFUNCTION("""COMPUTED_VALUE"""),"CB16692_Jan26")</f>
        <v>CB16692_Jan26</v>
      </c>
      <c r="F334" s="94" t="str">
        <f ca="1">IFERROR(__xludf.DUMMYFUNCTION("""COMPUTED_VALUE"""),"JAR Label Sticker Output")</f>
        <v>JAR Label Sticker Output</v>
      </c>
      <c r="G334" s="95" t="str">
        <f ca="1">IFERROR(__xludf.DUMMYFUNCTION("""COMPUTED_VALUE"""),"New")</f>
        <v>New</v>
      </c>
      <c r="H334" s="96">
        <f ca="1">IFERROR(__xludf.DUMMYFUNCTION("""COMPUTED_VALUE"""),3)</f>
        <v>3</v>
      </c>
      <c r="I334" s="97">
        <f ca="1">IFERROR(__xludf.DUMMYFUNCTION("""COMPUTED_VALUE"""),46053)</f>
        <v>46053</v>
      </c>
      <c r="J334" s="98" t="str">
        <f ca="1">IFERROR(__xludf.DUMMYFUNCTION("""COMPUTED_VALUE"""),"CW23517_Jan26")</f>
        <v>CW23517_Jan26</v>
      </c>
      <c r="K334" s="99" t="str">
        <f ca="1">IFERROR(__xludf.DUMMYFUNCTION("""COMPUTED_VALUE"""),"HoM Approved")</f>
        <v>HoM Approved</v>
      </c>
    </row>
    <row r="335" spans="1:11" ht="13.2">
      <c r="A335" s="89" t="str">
        <f ca="1">IFERROR(__xludf.DUMMYFUNCTION("""COMPUTED_VALUE"""),"PRAN Spicy Chanachur")</f>
        <v>PRAN Spicy Chanachur</v>
      </c>
      <c r="B335" s="90" t="str">
        <f ca="1">IFERROR(__xludf.DUMMYFUNCTION("""COMPUTED_VALUE"""),"PFL")</f>
        <v>PFL</v>
      </c>
      <c r="C335" s="91" t="str">
        <f ca="1">IFERROR(__xludf.DUMMYFUNCTION("""COMPUTED_VALUE"""),"Rafi Vaiya")</f>
        <v>Rafi Vaiya</v>
      </c>
      <c r="D335" s="92" t="str">
        <f ca="1">IFERROR(__xludf.DUMMYFUNCTION("""COMPUTED_VALUE"""),"Faruk Hossain (521288)")</f>
        <v>Faruk Hossain (521288)</v>
      </c>
      <c r="E335" s="93" t="str">
        <f ca="1">IFERROR(__xludf.DUMMYFUNCTION("""COMPUTED_VALUE"""),"CB16715_Jan26")</f>
        <v>CB16715_Jan26</v>
      </c>
      <c r="F335" s="94" t="str">
        <f ca="1">IFERROR(__xludf.DUMMYFUNCTION("""COMPUTED_VALUE"""),"JAR Label Sticker Output")</f>
        <v>JAR Label Sticker Output</v>
      </c>
      <c r="G335" s="95" t="str">
        <f ca="1">IFERROR(__xludf.DUMMYFUNCTION("""COMPUTED_VALUE"""),"New")</f>
        <v>New</v>
      </c>
      <c r="H335" s="96">
        <f ca="1">IFERROR(__xludf.DUMMYFUNCTION("""COMPUTED_VALUE"""),14)</f>
        <v>14</v>
      </c>
      <c r="I335" s="97">
        <f ca="1">IFERROR(__xludf.DUMMYFUNCTION("""COMPUTED_VALUE"""),46053)</f>
        <v>46053</v>
      </c>
      <c r="J335" s="98" t="str">
        <f ca="1">IFERROR(__xludf.DUMMYFUNCTION("""COMPUTED_VALUE"""),"CW23644_Jan26")</f>
        <v>CW23644_Jan26</v>
      </c>
      <c r="K335" s="99" t="str">
        <f ca="1">IFERROR(__xludf.DUMMYFUNCTION("""COMPUTED_VALUE"""),"HoM Approved")</f>
        <v>HoM Approved</v>
      </c>
    </row>
    <row r="336" spans="1:11" ht="13.2">
      <c r="A336" s="89" t="str">
        <f ca="1">IFERROR(__xludf.DUMMYFUNCTION("""COMPUTED_VALUE"""),"Treat Chocolate")</f>
        <v>Treat Chocolate</v>
      </c>
      <c r="B336" s="90" t="str">
        <f ca="1">IFERROR(__xludf.DUMMYFUNCTION("""COMPUTED_VALUE"""),"PCL")</f>
        <v>PCL</v>
      </c>
      <c r="C336" s="91" t="str">
        <f ca="1">IFERROR(__xludf.DUMMYFUNCTION("""COMPUTED_VALUE"""),"Sohel Vai")</f>
        <v>Sohel Vai</v>
      </c>
      <c r="D336" s="92" t="str">
        <f ca="1">IFERROR(__xludf.DUMMYFUNCTION("""COMPUTED_VALUE"""),"Faruk Hossain (521288)")</f>
        <v>Faruk Hossain (521288)</v>
      </c>
      <c r="E336" s="93" t="str">
        <f ca="1">IFERROR(__xludf.DUMMYFUNCTION("""COMPUTED_VALUE"""),"CB16695_Jan26")</f>
        <v>CB16695_Jan26</v>
      </c>
      <c r="F336" s="94" t="str">
        <f ca="1">IFERROR(__xludf.DUMMYFUNCTION("""COMPUTED_VALUE"""),"JAR Label Sticker Output")</f>
        <v>JAR Label Sticker Output</v>
      </c>
      <c r="G336" s="95" t="str">
        <f ca="1">IFERROR(__xludf.DUMMYFUNCTION("""COMPUTED_VALUE"""),"New")</f>
        <v>New</v>
      </c>
      <c r="H336" s="96">
        <f ca="1">IFERROR(__xludf.DUMMYFUNCTION("""COMPUTED_VALUE"""),3)</f>
        <v>3</v>
      </c>
      <c r="I336" s="97">
        <f ca="1">IFERROR(__xludf.DUMMYFUNCTION("""COMPUTED_VALUE"""),46053)</f>
        <v>46053</v>
      </c>
      <c r="J336" s="98" t="str">
        <f ca="1">IFERROR(__xludf.DUMMYFUNCTION("""COMPUTED_VALUE"""),"CW23520_Jan26")</f>
        <v>CW23520_Jan26</v>
      </c>
      <c r="K336" s="99" t="str">
        <f ca="1">IFERROR(__xludf.DUMMYFUNCTION("""COMPUTED_VALUE"""),"HoM Approved")</f>
        <v>HoM Approved</v>
      </c>
    </row>
    <row r="337" spans="1:11" ht="13.2">
      <c r="A337" s="89" t="str">
        <f ca="1">IFERROR(__xludf.DUMMYFUNCTION("""COMPUTED_VALUE"""),"Buddy Choco Choco")</f>
        <v>Buddy Choco Choco</v>
      </c>
      <c r="B337" s="90" t="str">
        <f ca="1">IFERROR(__xludf.DUMMYFUNCTION("""COMPUTED_VALUE"""),"Philippines")</f>
        <v>Philippines</v>
      </c>
      <c r="C337" s="91" t="str">
        <f ca="1">IFERROR(__xludf.DUMMYFUNCTION("""COMPUTED_VALUE"""),"Aslam Vaiya")</f>
        <v>Aslam Vaiya</v>
      </c>
      <c r="D337" s="92" t="str">
        <f ca="1">IFERROR(__xludf.DUMMYFUNCTION("""COMPUTED_VALUE"""),"Faruk Hossain (521288)")</f>
        <v>Faruk Hossain (521288)</v>
      </c>
      <c r="E337" s="93" t="str">
        <f ca="1">IFERROR(__xludf.DUMMYFUNCTION("""COMPUTED_VALUE"""),"CB16632_Jan26")</f>
        <v>CB16632_Jan26</v>
      </c>
      <c r="F337" s="94" t="str">
        <f ca="1">IFERROR(__xludf.DUMMYFUNCTION("""COMPUTED_VALUE"""),"JAR Label Sticker Output")</f>
        <v>JAR Label Sticker Output</v>
      </c>
      <c r="G337" s="95" t="str">
        <f ca="1">IFERROR(__xludf.DUMMYFUNCTION("""COMPUTED_VALUE"""),"New")</f>
        <v>New</v>
      </c>
      <c r="H337" s="96">
        <f ca="1">IFERROR(__xludf.DUMMYFUNCTION("""COMPUTED_VALUE"""),3)</f>
        <v>3</v>
      </c>
      <c r="I337" s="97">
        <f ca="1">IFERROR(__xludf.DUMMYFUNCTION("""COMPUTED_VALUE"""),46054)</f>
        <v>46054</v>
      </c>
      <c r="J337" s="98" t="str">
        <f ca="1">IFERROR(__xludf.DUMMYFUNCTION("""COMPUTED_VALUE"""),"CW23901_Feb26")</f>
        <v>CW23901_Feb26</v>
      </c>
      <c r="K337" s="99" t="str">
        <f ca="1">IFERROR(__xludf.DUMMYFUNCTION("""COMPUTED_VALUE"""),"HoM Approved")</f>
        <v>HoM Approved</v>
      </c>
    </row>
    <row r="338" spans="1:11" ht="13.2">
      <c r="A338" s="89" t="str">
        <f ca="1">IFERROR(__xludf.DUMMYFUNCTION("""COMPUTED_VALUE"""),"Pran Potata")</f>
        <v>Pran Potata</v>
      </c>
      <c r="B338" s="90" t="str">
        <f ca="1">IFERROR(__xludf.DUMMYFUNCTION("""COMPUTED_VALUE"""),"BBL")</f>
        <v>BBL</v>
      </c>
      <c r="C338" s="91" t="str">
        <f ca="1">IFERROR(__xludf.DUMMYFUNCTION("""COMPUTED_VALUE"""),"Borhan Vaiya")</f>
        <v>Borhan Vaiya</v>
      </c>
      <c r="D338" s="92" t="str">
        <f ca="1">IFERROR(__xludf.DUMMYFUNCTION("""COMPUTED_VALUE"""),"Faruk Hossain (521288)")</f>
        <v>Faruk Hossain (521288)</v>
      </c>
      <c r="E338" s="93" t="str">
        <f ca="1">IFERROR(__xludf.DUMMYFUNCTION("""COMPUTED_VALUE"""),"CB16755_Jan26")</f>
        <v>CB16755_Jan26</v>
      </c>
      <c r="F338" s="94" t="str">
        <f ca="1">IFERROR(__xludf.DUMMYFUNCTION("""COMPUTED_VALUE"""),"JAR Label Sticker Output")</f>
        <v>JAR Label Sticker Output</v>
      </c>
      <c r="G338" s="95" t="str">
        <f ca="1">IFERROR(__xludf.DUMMYFUNCTION("""COMPUTED_VALUE"""),"New")</f>
        <v>New</v>
      </c>
      <c r="H338" s="96">
        <f ca="1">IFERROR(__xludf.DUMMYFUNCTION("""COMPUTED_VALUE"""),1)</f>
        <v>1</v>
      </c>
      <c r="I338" s="97">
        <f ca="1">IFERROR(__xludf.DUMMYFUNCTION("""COMPUTED_VALUE"""),46054)</f>
        <v>46054</v>
      </c>
      <c r="J338" s="98" t="str">
        <f ca="1">IFERROR(__xludf.DUMMYFUNCTION("""COMPUTED_VALUE"""),"CW23891_Feb26")</f>
        <v>CW23891_Feb26</v>
      </c>
      <c r="K338" s="99" t="str">
        <f ca="1">IFERROR(__xludf.DUMMYFUNCTION("""COMPUTED_VALUE"""),"HoM Approved")</f>
        <v>HoM Approved</v>
      </c>
    </row>
    <row r="339" spans="1:11" ht="13.2">
      <c r="A339" s="89" t="str">
        <f ca="1">IFERROR(__xludf.DUMMYFUNCTION("""COMPUTED_VALUE"""),"Pran Potata")</f>
        <v>Pran Potata</v>
      </c>
      <c r="B339" s="90" t="str">
        <f ca="1">IFERROR(__xludf.DUMMYFUNCTION("""COMPUTED_VALUE"""),"BBL")</f>
        <v>BBL</v>
      </c>
      <c r="C339" s="91" t="str">
        <f ca="1">IFERROR(__xludf.DUMMYFUNCTION("""COMPUTED_VALUE"""),"Borhan Vaiya")</f>
        <v>Borhan Vaiya</v>
      </c>
      <c r="D339" s="92" t="str">
        <f ca="1">IFERROR(__xludf.DUMMYFUNCTION("""COMPUTED_VALUE"""),"Faruk Hossain (521288)")</f>
        <v>Faruk Hossain (521288)</v>
      </c>
      <c r="E339" s="93" t="str">
        <f ca="1">IFERROR(__xludf.DUMMYFUNCTION("""COMPUTED_VALUE"""),"CB16793_Jan26")</f>
        <v>CB16793_Jan26</v>
      </c>
      <c r="F339" s="94" t="str">
        <f ca="1">IFERROR(__xludf.DUMMYFUNCTION("""COMPUTED_VALUE"""),"JAR Label Sticker Output")</f>
        <v>JAR Label Sticker Output</v>
      </c>
      <c r="G339" s="95" t="str">
        <f ca="1">IFERROR(__xludf.DUMMYFUNCTION("""COMPUTED_VALUE"""),"New")</f>
        <v>New</v>
      </c>
      <c r="H339" s="96">
        <f ca="1">IFERROR(__xludf.DUMMYFUNCTION("""COMPUTED_VALUE"""),1)</f>
        <v>1</v>
      </c>
      <c r="I339" s="97">
        <f ca="1">IFERROR(__xludf.DUMMYFUNCTION("""COMPUTED_VALUE"""),46054)</f>
        <v>46054</v>
      </c>
      <c r="J339" s="98" t="str">
        <f ca="1">IFERROR(__xludf.DUMMYFUNCTION("""COMPUTED_VALUE"""),"CW23893_Feb26")</f>
        <v>CW23893_Feb26</v>
      </c>
      <c r="K339" s="99" t="str">
        <f ca="1">IFERROR(__xludf.DUMMYFUNCTION("""COMPUTED_VALUE"""),"HoM Approved")</f>
        <v>HoM Approved</v>
      </c>
    </row>
    <row r="340" spans="1:11" ht="13.2">
      <c r="A340" s="89" t="str">
        <f ca="1">IFERROR(__xludf.DUMMYFUNCTION("""COMPUTED_VALUE"""),"Common - All PCL")</f>
        <v>Common - All PCL</v>
      </c>
      <c r="B340" s="90" t="str">
        <f ca="1">IFERROR(__xludf.DUMMYFUNCTION("""COMPUTED_VALUE"""),"PCL")</f>
        <v>PCL</v>
      </c>
      <c r="C340" s="91" t="str">
        <f ca="1">IFERROR(__xludf.DUMMYFUNCTION("""COMPUTED_VALUE"""),"Enamul Vai")</f>
        <v>Enamul Vai</v>
      </c>
      <c r="D340" s="92" t="str">
        <f ca="1">IFERROR(__xludf.DUMMYFUNCTION("""COMPUTED_VALUE"""),"Faruk Hossain (521288)")</f>
        <v>Faruk Hossain (521288)</v>
      </c>
      <c r="E340" s="93" t="str">
        <f ca="1">IFERROR(__xludf.DUMMYFUNCTION("""COMPUTED_VALUE"""),"CB16646_Jan26")</f>
        <v>CB16646_Jan26</v>
      </c>
      <c r="F340" s="94" t="str">
        <f ca="1">IFERROR(__xludf.DUMMYFUNCTION("""COMPUTED_VALUE"""),"JAR Label Sticker Output")</f>
        <v>JAR Label Sticker Output</v>
      </c>
      <c r="G340" s="95" t="str">
        <f ca="1">IFERROR(__xludf.DUMMYFUNCTION("""COMPUTED_VALUE"""),"New")</f>
        <v>New</v>
      </c>
      <c r="H340" s="96">
        <f ca="1">IFERROR(__xludf.DUMMYFUNCTION("""COMPUTED_VALUE"""),7)</f>
        <v>7</v>
      </c>
      <c r="I340" s="97">
        <f ca="1">IFERROR(__xludf.DUMMYFUNCTION("""COMPUTED_VALUE"""),46054)</f>
        <v>46054</v>
      </c>
      <c r="J340" s="98" t="str">
        <f ca="1">IFERROR(__xludf.DUMMYFUNCTION("""COMPUTED_VALUE"""),"CW23896_Feb26")</f>
        <v>CW23896_Feb26</v>
      </c>
      <c r="K340" s="99" t="str">
        <f ca="1">IFERROR(__xludf.DUMMYFUNCTION("""COMPUTED_VALUE"""),"HoM Approved")</f>
        <v>HoM Approved</v>
      </c>
    </row>
    <row r="341" spans="1:11" ht="13.2">
      <c r="A341" s="89" t="str">
        <f ca="1">IFERROR(__xludf.DUMMYFUNCTION("""COMPUTED_VALUE"""),"PRAN Mr. Mango")</f>
        <v>PRAN Mr. Mango</v>
      </c>
      <c r="B341" s="90" t="str">
        <f ca="1">IFERROR(__xludf.DUMMYFUNCTION("""COMPUTED_VALUE"""),"PCL")</f>
        <v>PCL</v>
      </c>
      <c r="C341" s="91" t="str">
        <f ca="1">IFERROR(__xludf.DUMMYFUNCTION("""COMPUTED_VALUE"""),"Enamul Vai")</f>
        <v>Enamul Vai</v>
      </c>
      <c r="D341" s="92" t="str">
        <f ca="1">IFERROR(__xludf.DUMMYFUNCTION("""COMPUTED_VALUE"""),"Faruk Hossain (521288)")</f>
        <v>Faruk Hossain (521288)</v>
      </c>
      <c r="E341" s="93" t="str">
        <f ca="1">IFERROR(__xludf.DUMMYFUNCTION("""COMPUTED_VALUE"""),"CB16734_Jan26")</f>
        <v>CB16734_Jan26</v>
      </c>
      <c r="F341" s="94" t="str">
        <f ca="1">IFERROR(__xludf.DUMMYFUNCTION("""COMPUTED_VALUE"""),"JAR Label Sticker Output")</f>
        <v>JAR Label Sticker Output</v>
      </c>
      <c r="G341" s="95" t="str">
        <f ca="1">IFERROR(__xludf.DUMMYFUNCTION("""COMPUTED_VALUE"""),"New")</f>
        <v>New</v>
      </c>
      <c r="H341" s="96">
        <f ca="1">IFERROR(__xludf.DUMMYFUNCTION("""COMPUTED_VALUE"""),2)</f>
        <v>2</v>
      </c>
      <c r="I341" s="97">
        <f ca="1">IFERROR(__xludf.DUMMYFUNCTION("""COMPUTED_VALUE"""),46054)</f>
        <v>46054</v>
      </c>
      <c r="J341" s="98" t="str">
        <f ca="1">IFERROR(__xludf.DUMMYFUNCTION("""COMPUTED_VALUE"""),"CW23880_Feb26")</f>
        <v>CW23880_Feb26</v>
      </c>
      <c r="K341" s="99" t="str">
        <f ca="1">IFERROR(__xludf.DUMMYFUNCTION("""COMPUTED_VALUE"""),"HoM Approved")</f>
        <v>HoM Approved</v>
      </c>
    </row>
    <row r="342" spans="1:11" ht="13.2">
      <c r="A342" s="89" t="str">
        <f ca="1">IFERROR(__xludf.DUMMYFUNCTION("""COMPUTED_VALUE"""),"PRAN Lollipop")</f>
        <v>PRAN Lollipop</v>
      </c>
      <c r="B342" s="90" t="str">
        <f ca="1">IFERROR(__xludf.DUMMYFUNCTION("""COMPUTED_VALUE"""),"PCL")</f>
        <v>PCL</v>
      </c>
      <c r="C342" s="91" t="str">
        <f ca="1">IFERROR(__xludf.DUMMYFUNCTION("""COMPUTED_VALUE"""),"Enamul Vai")</f>
        <v>Enamul Vai</v>
      </c>
      <c r="D342" s="92" t="str">
        <f ca="1">IFERROR(__xludf.DUMMYFUNCTION("""COMPUTED_VALUE"""),"Faruk Hossain (521288)")</f>
        <v>Faruk Hossain (521288)</v>
      </c>
      <c r="E342" s="93" t="str">
        <f ca="1">IFERROR(__xludf.DUMMYFUNCTION("""COMPUTED_VALUE"""),"CB16652_Jan26")</f>
        <v>CB16652_Jan26</v>
      </c>
      <c r="F342" s="94" t="str">
        <f ca="1">IFERROR(__xludf.DUMMYFUNCTION("""COMPUTED_VALUE"""),"JAR Label Sticker Output")</f>
        <v>JAR Label Sticker Output</v>
      </c>
      <c r="G342" s="95" t="str">
        <f ca="1">IFERROR(__xludf.DUMMYFUNCTION("""COMPUTED_VALUE"""),"New")</f>
        <v>New</v>
      </c>
      <c r="H342" s="96">
        <f ca="1">IFERROR(__xludf.DUMMYFUNCTION("""COMPUTED_VALUE"""),3)</f>
        <v>3</v>
      </c>
      <c r="I342" s="97">
        <f ca="1">IFERROR(__xludf.DUMMYFUNCTION("""COMPUTED_VALUE"""),46054)</f>
        <v>46054</v>
      </c>
      <c r="J342" s="98" t="str">
        <f ca="1">IFERROR(__xludf.DUMMYFUNCTION("""COMPUTED_VALUE"""),"CW23900_Feb26")</f>
        <v>CW23900_Feb26</v>
      </c>
      <c r="K342" s="99" t="str">
        <f ca="1">IFERROR(__xludf.DUMMYFUNCTION("""COMPUTED_VALUE"""),"HoM Approved")</f>
        <v>HoM Approved</v>
      </c>
    </row>
    <row r="343" spans="1:11" ht="13.2">
      <c r="A343" s="89" t="str">
        <f ca="1">IFERROR(__xludf.DUMMYFUNCTION("""COMPUTED_VALUE"""),"Pran Mama Wafer")</f>
        <v>Pran Mama Wafer</v>
      </c>
      <c r="B343" s="90" t="str">
        <f ca="1">IFERROR(__xludf.DUMMYFUNCTION("""COMPUTED_VALUE"""),"BBL")</f>
        <v>BBL</v>
      </c>
      <c r="C343" s="91" t="str">
        <f ca="1">IFERROR(__xludf.DUMMYFUNCTION("""COMPUTED_VALUE"""),"Fatema Apu")</f>
        <v>Fatema Apu</v>
      </c>
      <c r="D343" s="92" t="str">
        <f ca="1">IFERROR(__xludf.DUMMYFUNCTION("""COMPUTED_VALUE"""),"Faruk Hossain (521288)")</f>
        <v>Faruk Hossain (521288)</v>
      </c>
      <c r="E343" s="93" t="str">
        <f ca="1">IFERROR(__xludf.DUMMYFUNCTION("""COMPUTED_VALUE"""),"CB16504_Jan26")</f>
        <v>CB16504_Jan26</v>
      </c>
      <c r="F343" s="94" t="str">
        <f ca="1">IFERROR(__xludf.DUMMYFUNCTION("""COMPUTED_VALUE"""),"JAR Label Sticker Output")</f>
        <v>JAR Label Sticker Output</v>
      </c>
      <c r="G343" s="95" t="str">
        <f ca="1">IFERROR(__xludf.DUMMYFUNCTION("""COMPUTED_VALUE"""),"New")</f>
        <v>New</v>
      </c>
      <c r="H343" s="96">
        <f ca="1">IFERROR(__xludf.DUMMYFUNCTION("""COMPUTED_VALUE"""),3)</f>
        <v>3</v>
      </c>
      <c r="I343" s="97">
        <f ca="1">IFERROR(__xludf.DUMMYFUNCTION("""COMPUTED_VALUE"""),46054)</f>
        <v>46054</v>
      </c>
      <c r="J343" s="98" t="str">
        <f ca="1">IFERROR(__xludf.DUMMYFUNCTION("""COMPUTED_VALUE"""),"CW23902_Feb26")</f>
        <v>CW23902_Feb26</v>
      </c>
      <c r="K343" s="99" t="str">
        <f ca="1">IFERROR(__xludf.DUMMYFUNCTION("""COMPUTED_VALUE"""),"HoM Approved")</f>
        <v>HoM Approved</v>
      </c>
    </row>
    <row r="344" spans="1:11" ht="13.2">
      <c r="A344" s="89" t="str">
        <f ca="1">IFERROR(__xludf.DUMMYFUNCTION("""COMPUTED_VALUE"""),"Bisk Club Fruit Fun Flavored Cream Biscuit")</f>
        <v>Bisk Club Fruit Fun Flavored Cream Biscuit</v>
      </c>
      <c r="B344" s="90" t="str">
        <f ca="1">IFERROR(__xludf.DUMMYFUNCTION("""COMPUTED_VALUE"""),"BBL")</f>
        <v>BBL</v>
      </c>
      <c r="C344" s="91" t="str">
        <f ca="1">IFERROR(__xludf.DUMMYFUNCTION("""COMPUTED_VALUE"""),"Ove Vai")</f>
        <v>Ove Vai</v>
      </c>
      <c r="D344" s="92" t="str">
        <f ca="1">IFERROR(__xludf.DUMMYFUNCTION("""COMPUTED_VALUE"""),"Faruk Hossain (521288)")</f>
        <v>Faruk Hossain (521288)</v>
      </c>
      <c r="E344" s="93" t="str">
        <f ca="1">IFERROR(__xludf.DUMMYFUNCTION("""COMPUTED_VALUE"""),"CB16861_Feb26")</f>
        <v>CB16861_Feb26</v>
      </c>
      <c r="F344" s="94" t="str">
        <f ca="1">IFERROR(__xludf.DUMMYFUNCTION("""COMPUTED_VALUE"""),"JAR Label Sticker Output")</f>
        <v>JAR Label Sticker Output</v>
      </c>
      <c r="G344" s="95" t="str">
        <f ca="1">IFERROR(__xludf.DUMMYFUNCTION("""COMPUTED_VALUE"""),"New")</f>
        <v>New</v>
      </c>
      <c r="H344" s="96">
        <f ca="1">IFERROR(__xludf.DUMMYFUNCTION("""COMPUTED_VALUE"""),2)</f>
        <v>2</v>
      </c>
      <c r="I344" s="97">
        <f ca="1">IFERROR(__xludf.DUMMYFUNCTION("""COMPUTED_VALUE"""),46054)</f>
        <v>46054</v>
      </c>
      <c r="J344" s="98" t="str">
        <f ca="1">IFERROR(__xludf.DUMMYFUNCTION("""COMPUTED_VALUE"""),"CW23935_Feb26")</f>
        <v>CW23935_Feb26</v>
      </c>
      <c r="K344" s="99" t="str">
        <f ca="1">IFERROR(__xludf.DUMMYFUNCTION("""COMPUTED_VALUE"""),"HoM Approved")</f>
        <v>HoM Approved</v>
      </c>
    </row>
    <row r="345" spans="1:11" ht="13.2">
      <c r="A345" s="89" t="str">
        <f ca="1">IFERROR(__xludf.DUMMYFUNCTION("""COMPUTED_VALUE"""),"Activo")</f>
        <v>Activo</v>
      </c>
      <c r="B345" s="90" t="str">
        <f ca="1">IFERROR(__xludf.DUMMYFUNCTION("""COMPUTED_VALUE"""),"APCL")</f>
        <v>APCL</v>
      </c>
      <c r="C345" s="91" t="str">
        <f ca="1">IFERROR(__xludf.DUMMYFUNCTION("""COMPUTED_VALUE"""),"Reza Vai")</f>
        <v>Reza Vai</v>
      </c>
      <c r="D345" s="92" t="str">
        <f ca="1">IFERROR(__xludf.DUMMYFUNCTION("""COMPUTED_VALUE"""),"Faruk Hossain (521288)")</f>
        <v>Faruk Hossain (521288)</v>
      </c>
      <c r="E345" s="93" t="str">
        <f ca="1">IFERROR(__xludf.DUMMYFUNCTION("""COMPUTED_VALUE"""),"CB16640_Jan26")</f>
        <v>CB16640_Jan26</v>
      </c>
      <c r="F345" s="94" t="str">
        <f ca="1">IFERROR(__xludf.DUMMYFUNCTION("""COMPUTED_VALUE"""),"JAR Label Sticker Output")</f>
        <v>JAR Label Sticker Output</v>
      </c>
      <c r="G345" s="95" t="str">
        <f ca="1">IFERROR(__xludf.DUMMYFUNCTION("""COMPUTED_VALUE"""),"New")</f>
        <v>New</v>
      </c>
      <c r="H345" s="96">
        <f ca="1">IFERROR(__xludf.DUMMYFUNCTION("""COMPUTED_VALUE"""),10)</f>
        <v>10</v>
      </c>
      <c r="I345" s="97">
        <f ca="1">IFERROR(__xludf.DUMMYFUNCTION("""COMPUTED_VALUE"""),46054)</f>
        <v>46054</v>
      </c>
      <c r="J345" s="98" t="str">
        <f ca="1">IFERROR(__xludf.DUMMYFUNCTION("""COMPUTED_VALUE"""),"CW23933_Feb26")</f>
        <v>CW23933_Feb26</v>
      </c>
      <c r="K345" s="99" t="str">
        <f ca="1">IFERROR(__xludf.DUMMYFUNCTION("""COMPUTED_VALUE"""),"HoM Approved")</f>
        <v>HoM Approved</v>
      </c>
    </row>
    <row r="346" spans="1:11" ht="13.2">
      <c r="A346" s="89" t="str">
        <f ca="1">IFERROR(__xludf.DUMMYFUNCTION("""COMPUTED_VALUE"""),"Treat Chocolate")</f>
        <v>Treat Chocolate</v>
      </c>
      <c r="B346" s="90" t="str">
        <f ca="1">IFERROR(__xludf.DUMMYFUNCTION("""COMPUTED_VALUE"""),"PCL")</f>
        <v>PCL</v>
      </c>
      <c r="C346" s="91" t="str">
        <f ca="1">IFERROR(__xludf.DUMMYFUNCTION("""COMPUTED_VALUE"""),"Sohel Vai")</f>
        <v>Sohel Vai</v>
      </c>
      <c r="D346" s="92" t="str">
        <f ca="1">IFERROR(__xludf.DUMMYFUNCTION("""COMPUTED_VALUE"""),"Faruk Hossain (521288)")</f>
        <v>Faruk Hossain (521288)</v>
      </c>
      <c r="E346" s="93" t="str">
        <f ca="1">IFERROR(__xludf.DUMMYFUNCTION("""COMPUTED_VALUE"""),"CB16695_Jan26")</f>
        <v>CB16695_Jan26</v>
      </c>
      <c r="F346" s="94" t="str">
        <f ca="1">IFERROR(__xludf.DUMMYFUNCTION("""COMPUTED_VALUE"""),"JAR Label Sticker Output")</f>
        <v>JAR Label Sticker Output</v>
      </c>
      <c r="G346" s="95" t="str">
        <f ca="1">IFERROR(__xludf.DUMMYFUNCTION("""COMPUTED_VALUE"""),"New")</f>
        <v>New</v>
      </c>
      <c r="H346" s="96">
        <f ca="1">IFERROR(__xludf.DUMMYFUNCTION("""COMPUTED_VALUE"""),1)</f>
        <v>1</v>
      </c>
      <c r="I346" s="97">
        <f ca="1">IFERROR(__xludf.DUMMYFUNCTION("""COMPUTED_VALUE"""),46054)</f>
        <v>46054</v>
      </c>
      <c r="J346" s="98" t="str">
        <f ca="1">IFERROR(__xludf.DUMMYFUNCTION("""COMPUTED_VALUE"""),"CW23874_Feb26")</f>
        <v>CW23874_Feb26</v>
      </c>
      <c r="K346" s="99" t="str">
        <f ca="1">IFERROR(__xludf.DUMMYFUNCTION("""COMPUTED_VALUE"""),"HoM Approved")</f>
        <v>HoM Approved</v>
      </c>
    </row>
    <row r="347" spans="1:11" ht="13.2">
      <c r="A347" s="89" t="str">
        <f ca="1">IFERROR(__xludf.DUMMYFUNCTION("""COMPUTED_VALUE"""),"Mr. Noodles")</f>
        <v>Mr. Noodles</v>
      </c>
      <c r="B347" s="90" t="str">
        <f ca="1">IFERROR(__xludf.DUMMYFUNCTION("""COMPUTED_VALUE"""),"PAL")</f>
        <v>PAL</v>
      </c>
      <c r="C347" s="91" t="str">
        <f ca="1">IFERROR(__xludf.DUMMYFUNCTION("""COMPUTED_VALUE"""),"Zahirul Vai")</f>
        <v>Zahirul Vai</v>
      </c>
      <c r="D347" s="92" t="str">
        <f ca="1">IFERROR(__xludf.DUMMYFUNCTION("""COMPUTED_VALUE"""),"Faruk Hossain (521288)")</f>
        <v>Faruk Hossain (521288)</v>
      </c>
      <c r="E347" s="93" t="str">
        <f ca="1">IFERROR(__xludf.DUMMYFUNCTION("""COMPUTED_VALUE"""),"CB16765_Jan26")</f>
        <v>CB16765_Jan26</v>
      </c>
      <c r="F347" s="94" t="str">
        <f ca="1">IFERROR(__xludf.DUMMYFUNCTION("""COMPUTED_VALUE"""),"JAR Label Sticker Output")</f>
        <v>JAR Label Sticker Output</v>
      </c>
      <c r="G347" s="95" t="str">
        <f ca="1">IFERROR(__xludf.DUMMYFUNCTION("""COMPUTED_VALUE"""),"New")</f>
        <v>New</v>
      </c>
      <c r="H347" s="96">
        <f ca="1">IFERROR(__xludf.DUMMYFUNCTION("""COMPUTED_VALUE"""),1)</f>
        <v>1</v>
      </c>
      <c r="I347" s="97">
        <f ca="1">IFERROR(__xludf.DUMMYFUNCTION("""COMPUTED_VALUE"""),46054)</f>
        <v>46054</v>
      </c>
      <c r="J347" s="98" t="str">
        <f ca="1">IFERROR(__xludf.DUMMYFUNCTION("""COMPUTED_VALUE"""),"CW23911_Feb26")</f>
        <v>CW23911_Feb26</v>
      </c>
      <c r="K347" s="99" t="str">
        <f ca="1">IFERROR(__xludf.DUMMYFUNCTION("""COMPUTED_VALUE"""),"HoM Approved")</f>
        <v>HoM Approved</v>
      </c>
    </row>
    <row r="348" spans="1:11" ht="13.2">
      <c r="A348" s="89" t="str">
        <f ca="1">IFERROR(__xludf.DUMMYFUNCTION("""COMPUTED_VALUE"""),"PRAN Laban")</f>
        <v>PRAN Laban</v>
      </c>
      <c r="B348" s="90" t="str">
        <f ca="1">IFERROR(__xludf.DUMMYFUNCTION("""COMPUTED_VALUE"""),"Dairy")</f>
        <v>Dairy</v>
      </c>
      <c r="C348" s="91" t="str">
        <f ca="1">IFERROR(__xludf.DUMMYFUNCTION("""COMPUTED_VALUE"""),"Aydeed Vai")</f>
        <v>Aydeed Vai</v>
      </c>
      <c r="D348" s="92" t="str">
        <f ca="1">IFERROR(__xludf.DUMMYFUNCTION("""COMPUTED_VALUE"""),"Faruk Hossain (521288)")</f>
        <v>Faruk Hossain (521288)</v>
      </c>
      <c r="E348" s="93" t="str">
        <f ca="1">IFERROR(__xludf.DUMMYFUNCTION("""COMPUTED_VALUE"""),"CB16238_Jan26")</f>
        <v>CB16238_Jan26</v>
      </c>
      <c r="F348" s="94" t="str">
        <f ca="1">IFERROR(__xludf.DUMMYFUNCTION("""COMPUTED_VALUE"""),"Flyer/Brochure/Banner Output")</f>
        <v>Flyer/Brochure/Banner Output</v>
      </c>
      <c r="G348" s="95" t="str">
        <f ca="1">IFERROR(__xludf.DUMMYFUNCTION("""COMPUTED_VALUE"""),"New")</f>
        <v>New</v>
      </c>
      <c r="H348" s="96">
        <f ca="1">IFERROR(__xludf.DUMMYFUNCTION("""COMPUTED_VALUE"""),1)</f>
        <v>1</v>
      </c>
      <c r="I348" s="97">
        <f ca="1">IFERROR(__xludf.DUMMYFUNCTION("""COMPUTED_VALUE"""),46055)</f>
        <v>46055</v>
      </c>
      <c r="J348" s="98" t="str">
        <f ca="1">IFERROR(__xludf.DUMMYFUNCTION("""COMPUTED_VALUE"""),"CW24084_Feb26")</f>
        <v>CW24084_Feb26</v>
      </c>
      <c r="K348" s="99" t="str">
        <f ca="1">IFERROR(__xludf.DUMMYFUNCTION("""COMPUTED_VALUE"""),"HoM Approved")</f>
        <v>HoM Approved</v>
      </c>
    </row>
    <row r="349" spans="1:11" ht="13.2">
      <c r="A349" s="89" t="str">
        <f ca="1">IFERROR(__xludf.DUMMYFUNCTION("""COMPUTED_VALUE"""),"RFL Manhole Cover")</f>
        <v>RFL Manhole Cover</v>
      </c>
      <c r="B349" s="90" t="str">
        <f ca="1">IFERROR(__xludf.DUMMYFUNCTION("""COMPUTED_VALUE"""),"RMIL-1")</f>
        <v>RMIL-1</v>
      </c>
      <c r="C349" s="91" t="str">
        <f ca="1">IFERROR(__xludf.DUMMYFUNCTION("""COMPUTED_VALUE"""),"Mehedi Vaiya")</f>
        <v>Mehedi Vaiya</v>
      </c>
      <c r="D349" s="92" t="str">
        <f ca="1">IFERROR(__xludf.DUMMYFUNCTION("""COMPUTED_VALUE"""),"Faruk Hossain (521288)")</f>
        <v>Faruk Hossain (521288)</v>
      </c>
      <c r="E349" s="93" t="str">
        <f ca="1">IFERROR(__xludf.DUMMYFUNCTION("""COMPUTED_VALUE"""),"CB16926_Feb26")</f>
        <v>CB16926_Feb26</v>
      </c>
      <c r="F349" s="94" t="str">
        <f ca="1">IFERROR(__xludf.DUMMYFUNCTION("""COMPUTED_VALUE"""),"Leaflet/Poster Output")</f>
        <v>Leaflet/Poster Output</v>
      </c>
      <c r="G349" s="95" t="str">
        <f ca="1">IFERROR(__xludf.DUMMYFUNCTION("""COMPUTED_VALUE"""),"New")</f>
        <v>New</v>
      </c>
      <c r="H349" s="96">
        <f ca="1">IFERROR(__xludf.DUMMYFUNCTION("""COMPUTED_VALUE"""),1)</f>
        <v>1</v>
      </c>
      <c r="I349" s="97">
        <f ca="1">IFERROR(__xludf.DUMMYFUNCTION("""COMPUTED_VALUE"""),46055)</f>
        <v>46055</v>
      </c>
      <c r="J349" s="98" t="str">
        <f ca="1">IFERROR(__xludf.DUMMYFUNCTION("""COMPUTED_VALUE"""),"CW24097_Feb26")</f>
        <v>CW24097_Feb26</v>
      </c>
      <c r="K349" s="99" t="str">
        <f ca="1">IFERROR(__xludf.DUMMYFUNCTION("""COMPUTED_VALUE"""),"HoM Approved")</f>
        <v>HoM Approved</v>
      </c>
    </row>
    <row r="350" spans="1:11" ht="13.2">
      <c r="A350" s="89" t="str">
        <f ca="1">IFERROR(__xludf.DUMMYFUNCTION("""COMPUTED_VALUE"""),"PRAN Chocolord")</f>
        <v>PRAN Chocolord</v>
      </c>
      <c r="B350" s="90" t="str">
        <f ca="1">IFERROR(__xludf.DUMMYFUNCTION("""COMPUTED_VALUE"""),"PAL")</f>
        <v>PAL</v>
      </c>
      <c r="C350" s="91" t="str">
        <f ca="1">IFERROR(__xludf.DUMMYFUNCTION("""COMPUTED_VALUE"""),"Nusrat Apu")</f>
        <v>Nusrat Apu</v>
      </c>
      <c r="D350" s="92" t="str">
        <f ca="1">IFERROR(__xludf.DUMMYFUNCTION("""COMPUTED_VALUE"""),"Faruk Hossain (521288)")</f>
        <v>Faruk Hossain (521288)</v>
      </c>
      <c r="E350" s="93" t="str">
        <f ca="1">IFERROR(__xludf.DUMMYFUNCTION("""COMPUTED_VALUE"""),"CB13977_Dec25")</f>
        <v>CB13977_Dec25</v>
      </c>
      <c r="F350" s="94" t="str">
        <f ca="1">IFERROR(__xludf.DUMMYFUNCTION("""COMPUTED_VALUE"""),"JAR Label Sticker Output")</f>
        <v>JAR Label Sticker Output</v>
      </c>
      <c r="G350" s="95" t="str">
        <f ca="1">IFERROR(__xludf.DUMMYFUNCTION("""COMPUTED_VALUE"""),"New")</f>
        <v>New</v>
      </c>
      <c r="H350" s="96">
        <f ca="1">IFERROR(__xludf.DUMMYFUNCTION("""COMPUTED_VALUE"""),1)</f>
        <v>1</v>
      </c>
      <c r="I350" s="97">
        <f ca="1">IFERROR(__xludf.DUMMYFUNCTION("""COMPUTED_VALUE"""),46055)</f>
        <v>46055</v>
      </c>
      <c r="J350" s="98" t="str">
        <f ca="1">IFERROR(__xludf.DUMMYFUNCTION("""COMPUTED_VALUE"""),"CW24073_Feb26")</f>
        <v>CW24073_Feb26</v>
      </c>
      <c r="K350" s="99" t="str">
        <f ca="1">IFERROR(__xludf.DUMMYFUNCTION("""COMPUTED_VALUE"""),"HoM Approved")</f>
        <v>HoM Approved</v>
      </c>
    </row>
    <row r="351" spans="1:11" ht="13.2">
      <c r="A351" s="89" t="str">
        <f ca="1">IFERROR(__xludf.DUMMYFUNCTION("""COMPUTED_VALUE"""),"Common - All NAL")</f>
        <v>Common - All NAL</v>
      </c>
      <c r="B351" s="90" t="str">
        <f ca="1">IFERROR(__xludf.DUMMYFUNCTION("""COMPUTED_VALUE"""),"NAL")</f>
        <v>NAL</v>
      </c>
      <c r="C351" s="91" t="str">
        <f ca="1">IFERROR(__xludf.DUMMYFUNCTION("""COMPUTED_VALUE"""),"Sakib Vai")</f>
        <v>Sakib Vai</v>
      </c>
      <c r="D351" s="92" t="str">
        <f ca="1">IFERROR(__xludf.DUMMYFUNCTION("""COMPUTED_VALUE"""),"Faruk Hossain (521288)")</f>
        <v>Faruk Hossain (521288)</v>
      </c>
      <c r="E351" s="93" t="str">
        <f ca="1">IFERROR(__xludf.DUMMYFUNCTION("""COMPUTED_VALUE"""),"CB16124_Jan26")</f>
        <v>CB16124_Jan26</v>
      </c>
      <c r="F351" s="94" t="str">
        <f ca="1">IFERROR(__xludf.DUMMYFUNCTION("""COMPUTED_VALUE"""),"Flyer/Brochure/Banner Output")</f>
        <v>Flyer/Brochure/Banner Output</v>
      </c>
      <c r="G351" s="95" t="str">
        <f ca="1">IFERROR(__xludf.DUMMYFUNCTION("""COMPUTED_VALUE"""),"New")</f>
        <v>New</v>
      </c>
      <c r="H351" s="96">
        <f ca="1">IFERROR(__xludf.DUMMYFUNCTION("""COMPUTED_VALUE"""),1)</f>
        <v>1</v>
      </c>
      <c r="I351" s="97">
        <f ca="1">IFERROR(__xludf.DUMMYFUNCTION("""COMPUTED_VALUE"""),46055)</f>
        <v>46055</v>
      </c>
      <c r="J351" s="98" t="str">
        <f ca="1">IFERROR(__xludf.DUMMYFUNCTION("""COMPUTED_VALUE"""),"CW24040_Feb26")</f>
        <v>CW24040_Feb26</v>
      </c>
      <c r="K351" s="99" t="str">
        <f ca="1">IFERROR(__xludf.DUMMYFUNCTION("""COMPUTED_VALUE"""),"HoM Approved")</f>
        <v>HoM Approved</v>
      </c>
    </row>
    <row r="352" spans="1:11" ht="13.2">
      <c r="A352" s="89" t="str">
        <f ca="1">IFERROR(__xludf.DUMMYFUNCTION("""COMPUTED_VALUE"""),"RFL Gas Stove")</f>
        <v>RFL Gas Stove</v>
      </c>
      <c r="B352" s="90" t="str">
        <f ca="1">IFERROR(__xludf.DUMMYFUNCTION("""COMPUTED_VALUE"""),"RMIL-1")</f>
        <v>RMIL-1</v>
      </c>
      <c r="C352" s="91" t="str">
        <f ca="1">IFERROR(__xludf.DUMMYFUNCTION("""COMPUTED_VALUE"""),"Humayun Vaiya")</f>
        <v>Humayun Vaiya</v>
      </c>
      <c r="D352" s="92" t="str">
        <f ca="1">IFERROR(__xludf.DUMMYFUNCTION("""COMPUTED_VALUE"""),"Faruk Hossain (521288)")</f>
        <v>Faruk Hossain (521288)</v>
      </c>
      <c r="E352" s="93" t="str">
        <f ca="1">IFERROR(__xludf.DUMMYFUNCTION("""COMPUTED_VALUE"""),"CB15378_Jan26")</f>
        <v>CB15378_Jan26</v>
      </c>
      <c r="F352" s="94" t="str">
        <f ca="1">IFERROR(__xludf.DUMMYFUNCTION("""COMPUTED_VALUE"""),"Leaflet/Poster Output")</f>
        <v>Leaflet/Poster Output</v>
      </c>
      <c r="G352" s="95" t="str">
        <f ca="1">IFERROR(__xludf.DUMMYFUNCTION("""COMPUTED_VALUE"""),"New")</f>
        <v>New</v>
      </c>
      <c r="H352" s="96">
        <f ca="1">IFERROR(__xludf.DUMMYFUNCTION("""COMPUTED_VALUE"""),2)</f>
        <v>2</v>
      </c>
      <c r="I352" s="97">
        <f ca="1">IFERROR(__xludf.DUMMYFUNCTION("""COMPUTED_VALUE"""),46056)</f>
        <v>46056</v>
      </c>
      <c r="J352" s="98" t="str">
        <f ca="1">IFERROR(__xludf.DUMMYFUNCTION("""COMPUTED_VALUE"""),"CW24202_Feb26")</f>
        <v>CW24202_Feb26</v>
      </c>
      <c r="K352" s="99" t="str">
        <f ca="1">IFERROR(__xludf.DUMMYFUNCTION("""COMPUTED_VALUE"""),"HoM Approved")</f>
        <v>HoM Approved</v>
      </c>
    </row>
    <row r="353" spans="1:11" ht="13.2">
      <c r="A353" s="89" t="str">
        <f ca="1">IFERROR(__xludf.DUMMYFUNCTION("""COMPUTED_VALUE"""),"SARA Pizza")</f>
        <v>SARA Pizza</v>
      </c>
      <c r="B353" s="90" t="str">
        <f ca="1">IFERROR(__xludf.DUMMYFUNCTION("""COMPUTED_VALUE"""),"BBL")</f>
        <v>BBL</v>
      </c>
      <c r="C353" s="91" t="str">
        <f ca="1">IFERROR(__xludf.DUMMYFUNCTION("""COMPUTED_VALUE"""),"Sajid Vai")</f>
        <v>Sajid Vai</v>
      </c>
      <c r="D353" s="92" t="str">
        <f ca="1">IFERROR(__xludf.DUMMYFUNCTION("""COMPUTED_VALUE"""),"Faruk Hossain (521288)")</f>
        <v>Faruk Hossain (521288)</v>
      </c>
      <c r="E353" s="93" t="str">
        <f ca="1">IFERROR(__xludf.DUMMYFUNCTION("""COMPUTED_VALUE"""),"CB16113_Jan26")</f>
        <v>CB16113_Jan26</v>
      </c>
      <c r="F353" s="94" t="str">
        <f ca="1">IFERROR(__xludf.DUMMYFUNCTION("""COMPUTED_VALUE"""),"ATC Box Output")</f>
        <v>ATC Box Output</v>
      </c>
      <c r="G353" s="95" t="str">
        <f ca="1">IFERROR(__xludf.DUMMYFUNCTION("""COMPUTED_VALUE"""),"New")</f>
        <v>New</v>
      </c>
      <c r="H353" s="96">
        <f ca="1">IFERROR(__xludf.DUMMYFUNCTION("""COMPUTED_VALUE"""),2)</f>
        <v>2</v>
      </c>
      <c r="I353" s="97">
        <f ca="1">IFERROR(__xludf.DUMMYFUNCTION("""COMPUTED_VALUE"""),46056)</f>
        <v>46056</v>
      </c>
      <c r="J353" s="98" t="str">
        <f ca="1">IFERROR(__xludf.DUMMYFUNCTION("""COMPUTED_VALUE"""),"CW24187_Feb26")</f>
        <v>CW24187_Feb26</v>
      </c>
      <c r="K353" s="99" t="str">
        <f ca="1">IFERROR(__xludf.DUMMYFUNCTION("""COMPUTED_VALUE"""),"HoM Approved")</f>
        <v>HoM Approved</v>
      </c>
    </row>
    <row r="354" spans="1:11" ht="13.2">
      <c r="A354" s="89" t="str">
        <f ca="1">IFERROR(__xludf.DUMMYFUNCTION("""COMPUTED_VALUE"""),"All Time Family Cake")</f>
        <v>All Time Family Cake</v>
      </c>
      <c r="B354" s="90" t="str">
        <f ca="1">IFERROR(__xludf.DUMMYFUNCTION("""COMPUTED_VALUE"""),"BBL")</f>
        <v>BBL</v>
      </c>
      <c r="C354" s="91" t="str">
        <f ca="1">IFERROR(__xludf.DUMMYFUNCTION("""COMPUTED_VALUE"""),"Shaifuddin Vai")</f>
        <v>Shaifuddin Vai</v>
      </c>
      <c r="D354" s="92" t="str">
        <f ca="1">IFERROR(__xludf.DUMMYFUNCTION("""COMPUTED_VALUE"""),"Faruk Hossain (521288)")</f>
        <v>Faruk Hossain (521288)</v>
      </c>
      <c r="E354" s="93" t="str">
        <f ca="1">IFERROR(__xludf.DUMMYFUNCTION("""COMPUTED_VALUE"""),"CB17006_Feb26")</f>
        <v>CB17006_Feb26</v>
      </c>
      <c r="F354" s="94" t="str">
        <f ca="1">IFERROR(__xludf.DUMMYFUNCTION("""COMPUTED_VALUE"""),"Leaflet/Poster Output")</f>
        <v>Leaflet/Poster Output</v>
      </c>
      <c r="G354" s="95" t="str">
        <f ca="1">IFERROR(__xludf.DUMMYFUNCTION("""COMPUTED_VALUE"""),"New")</f>
        <v>New</v>
      </c>
      <c r="H354" s="96">
        <f ca="1">IFERROR(__xludf.DUMMYFUNCTION("""COMPUTED_VALUE"""),2)</f>
        <v>2</v>
      </c>
      <c r="I354" s="97">
        <f ca="1">IFERROR(__xludf.DUMMYFUNCTION("""COMPUTED_VALUE"""),46056)</f>
        <v>46056</v>
      </c>
      <c r="J354" s="98" t="str">
        <f ca="1">IFERROR(__xludf.DUMMYFUNCTION("""COMPUTED_VALUE"""),"CW24165_Feb26")</f>
        <v>CW24165_Feb26</v>
      </c>
      <c r="K354" s="99" t="str">
        <f ca="1">IFERROR(__xludf.DUMMYFUNCTION("""COMPUTED_VALUE"""),"HoM Approved")</f>
        <v>HoM Approved</v>
      </c>
    </row>
    <row r="355" spans="1:11" ht="13.2">
      <c r="A355" s="89" t="str">
        <f ca="1">IFERROR(__xludf.DUMMYFUNCTION("""COMPUTED_VALUE"""),"PRAN Matha")</f>
        <v>PRAN Matha</v>
      </c>
      <c r="B355" s="90" t="str">
        <f ca="1">IFERROR(__xludf.DUMMYFUNCTION("""COMPUTED_VALUE"""),"Dairy")</f>
        <v>Dairy</v>
      </c>
      <c r="C355" s="91" t="str">
        <f ca="1">IFERROR(__xludf.DUMMYFUNCTION("""COMPUTED_VALUE"""),"Tamim Vaiya")</f>
        <v>Tamim Vaiya</v>
      </c>
      <c r="D355" s="92" t="str">
        <f ca="1">IFERROR(__xludf.DUMMYFUNCTION("""COMPUTED_VALUE"""),"Faruk Hossain (521288)")</f>
        <v>Faruk Hossain (521288)</v>
      </c>
      <c r="E355" s="93" t="str">
        <f ca="1">IFERROR(__xludf.DUMMYFUNCTION("""COMPUTED_VALUE"""),"CB16747_Jan26")</f>
        <v>CB16747_Jan26</v>
      </c>
      <c r="F355" s="94" t="str">
        <f ca="1">IFERROR(__xludf.DUMMYFUNCTION("""COMPUTED_VALUE"""),"Flyer/Brochure/Banner Output")</f>
        <v>Flyer/Brochure/Banner Output</v>
      </c>
      <c r="G355" s="95" t="str">
        <f ca="1">IFERROR(__xludf.DUMMYFUNCTION("""COMPUTED_VALUE"""),"New")</f>
        <v>New</v>
      </c>
      <c r="H355" s="96">
        <f ca="1">IFERROR(__xludf.DUMMYFUNCTION("""COMPUTED_VALUE"""),1)</f>
        <v>1</v>
      </c>
      <c r="I355" s="97">
        <f ca="1">IFERROR(__xludf.DUMMYFUNCTION("""COMPUTED_VALUE"""),46058)</f>
        <v>46058</v>
      </c>
      <c r="J355" s="98" t="str">
        <f ca="1">IFERROR(__xludf.DUMMYFUNCTION("""COMPUTED_VALUE"""),"CW24263_Feb26")</f>
        <v>CW24263_Feb26</v>
      </c>
      <c r="K355" s="99" t="str">
        <f ca="1">IFERROR(__xludf.DUMMYFUNCTION("""COMPUTED_VALUE"""),"HoM Approved")</f>
        <v>HoM Approved</v>
      </c>
    </row>
    <row r="356" spans="1:11" ht="13.2">
      <c r="A356" s="89" t="str">
        <f ca="1">IFERROR(__xludf.DUMMYFUNCTION("""COMPUTED_VALUE"""),"Bisk Club Europa")</f>
        <v>Bisk Club Europa</v>
      </c>
      <c r="B356" s="90" t="str">
        <f ca="1">IFERROR(__xludf.DUMMYFUNCTION("""COMPUTED_VALUE"""),"BBL")</f>
        <v>BBL</v>
      </c>
      <c r="C356" s="91" t="str">
        <f ca="1">IFERROR(__xludf.DUMMYFUNCTION("""COMPUTED_VALUE"""),"Ove Vai")</f>
        <v>Ove Vai</v>
      </c>
      <c r="D356" s="92" t="str">
        <f ca="1">IFERROR(__xludf.DUMMYFUNCTION("""COMPUTED_VALUE"""),"Faruk Hossain (521288)")</f>
        <v>Faruk Hossain (521288)</v>
      </c>
      <c r="E356" s="93" t="str">
        <f ca="1">IFERROR(__xludf.DUMMYFUNCTION("""COMPUTED_VALUE"""),"CB16044_Jan26")</f>
        <v>CB16044_Jan26</v>
      </c>
      <c r="F356" s="94" t="str">
        <f ca="1">IFERROR(__xludf.DUMMYFUNCTION("""COMPUTED_VALUE"""),"Gravure Output #2")</f>
        <v>Gravure Output #2</v>
      </c>
      <c r="G356" s="95" t="str">
        <f ca="1">IFERROR(__xludf.DUMMYFUNCTION("""COMPUTED_VALUE"""),"New")</f>
        <v>New</v>
      </c>
      <c r="H356" s="96">
        <f ca="1">IFERROR(__xludf.DUMMYFUNCTION("""COMPUTED_VALUE"""),1)</f>
        <v>1</v>
      </c>
      <c r="I356" s="97">
        <f ca="1">IFERROR(__xludf.DUMMYFUNCTION("""COMPUTED_VALUE"""),46060)</f>
        <v>46060</v>
      </c>
      <c r="J356" s="98" t="str">
        <f ca="1">IFERROR(__xludf.DUMMYFUNCTION("""COMPUTED_VALUE"""),"CW24342_Feb26")</f>
        <v>CW24342_Feb26</v>
      </c>
      <c r="K356" s="99" t="str">
        <f ca="1">IFERROR(__xludf.DUMMYFUNCTION("""COMPUTED_VALUE"""),"HoM Approved")</f>
        <v>HoM Approved</v>
      </c>
    </row>
    <row r="357" spans="1:11" ht="13.2">
      <c r="A357" s="89" t="str">
        <f ca="1">IFERROR(__xludf.DUMMYFUNCTION("""COMPUTED_VALUE"""),"Treat Chocolate")</f>
        <v>Treat Chocolate</v>
      </c>
      <c r="B357" s="90" t="str">
        <f ca="1">IFERROR(__xludf.DUMMYFUNCTION("""COMPUTED_VALUE"""),"PCL")</f>
        <v>PCL</v>
      </c>
      <c r="C357" s="91" t="str">
        <f ca="1">IFERROR(__xludf.DUMMYFUNCTION("""COMPUTED_VALUE"""),"Sohel Vai")</f>
        <v>Sohel Vai</v>
      </c>
      <c r="D357" s="92" t="str">
        <f ca="1">IFERROR(__xludf.DUMMYFUNCTION("""COMPUTED_VALUE"""),"Faruk Hossain (521288)")</f>
        <v>Faruk Hossain (521288)</v>
      </c>
      <c r="E357" s="93" t="str">
        <f ca="1">IFERROR(__xludf.DUMMYFUNCTION("""COMPUTED_VALUE"""),"CB16874_Feb26")</f>
        <v>CB16874_Feb26</v>
      </c>
      <c r="F357" s="94" t="str">
        <f ca="1">IFERROR(__xludf.DUMMYFUNCTION("""COMPUTED_VALUE"""),"Flyer/Brochure/Banner Output")</f>
        <v>Flyer/Brochure/Banner Output</v>
      </c>
      <c r="G357" s="95" t="str">
        <f ca="1">IFERROR(__xludf.DUMMYFUNCTION("""COMPUTED_VALUE"""),"New")</f>
        <v>New</v>
      </c>
      <c r="H357" s="96">
        <f ca="1">IFERROR(__xludf.DUMMYFUNCTION("""COMPUTED_VALUE"""),1)</f>
        <v>1</v>
      </c>
      <c r="I357" s="97">
        <f ca="1">IFERROR(__xludf.DUMMYFUNCTION("""COMPUTED_VALUE"""),46060)</f>
        <v>46060</v>
      </c>
      <c r="J357" s="98" t="str">
        <f ca="1">IFERROR(__xludf.DUMMYFUNCTION("""COMPUTED_VALUE"""),"CW24357_Feb26")</f>
        <v>CW24357_Feb26</v>
      </c>
      <c r="K357" s="99" t="str">
        <f ca="1">IFERROR(__xludf.DUMMYFUNCTION("""COMPUTED_VALUE"""),"HoM Approved")</f>
        <v>HoM Approved</v>
      </c>
    </row>
    <row r="358" spans="1:11" ht="13.2">
      <c r="A358" s="89" t="str">
        <f ca="1">IFERROR(__xludf.DUMMYFUNCTION("""COMPUTED_VALUE"""),"PRAN Matha")</f>
        <v>PRAN Matha</v>
      </c>
      <c r="B358" s="90" t="str">
        <f ca="1">IFERROR(__xludf.DUMMYFUNCTION("""COMPUTED_VALUE"""),"Dairy")</f>
        <v>Dairy</v>
      </c>
      <c r="C358" s="91" t="str">
        <f ca="1">IFERROR(__xludf.DUMMYFUNCTION("""COMPUTED_VALUE"""),"Tamim Vaiya")</f>
        <v>Tamim Vaiya</v>
      </c>
      <c r="D358" s="92" t="str">
        <f ca="1">IFERROR(__xludf.DUMMYFUNCTION("""COMPUTED_VALUE"""),"Faruk Hossain (521288)")</f>
        <v>Faruk Hossain (521288)</v>
      </c>
      <c r="E358" s="93" t="str">
        <f ca="1">IFERROR(__xludf.DUMMYFUNCTION("""COMPUTED_VALUE"""),"CB16796_Jan26")</f>
        <v>CB16796_Jan26</v>
      </c>
      <c r="F358" s="94" t="str">
        <f ca="1">IFERROR(__xludf.DUMMYFUNCTION("""COMPUTED_VALUE"""),"JAR Label Sticker Output")</f>
        <v>JAR Label Sticker Output</v>
      </c>
      <c r="G358" s="95" t="str">
        <f ca="1">IFERROR(__xludf.DUMMYFUNCTION("""COMPUTED_VALUE"""),"New")</f>
        <v>New</v>
      </c>
      <c r="H358" s="96">
        <f ca="1">IFERROR(__xludf.DUMMYFUNCTION("""COMPUTED_VALUE"""),1)</f>
        <v>1</v>
      </c>
      <c r="I358" s="97">
        <f ca="1">IFERROR(__xludf.DUMMYFUNCTION("""COMPUTED_VALUE"""),46062)</f>
        <v>46062</v>
      </c>
      <c r="J358" s="98" t="str">
        <f ca="1">IFERROR(__xludf.DUMMYFUNCTION("""COMPUTED_VALUE"""),"CW24487_Feb26")</f>
        <v>CW24487_Feb26</v>
      </c>
      <c r="K358" s="99" t="str">
        <f ca="1">IFERROR(__xludf.DUMMYFUNCTION("""COMPUTED_VALUE"""),"HoM Approved")</f>
        <v>HoM Approved</v>
      </c>
    </row>
    <row r="359" spans="1:11" ht="13.2">
      <c r="A359" s="89" t="str">
        <f ca="1">IFERROR(__xludf.DUMMYFUNCTION("""COMPUTED_VALUE"""),"PRAN Frozen Foods")</f>
        <v>PRAN Frozen Foods</v>
      </c>
      <c r="B359" s="90" t="str">
        <f ca="1">IFERROR(__xludf.DUMMYFUNCTION("""COMPUTED_VALUE"""),"PFF")</f>
        <v>PFF</v>
      </c>
      <c r="C359" s="91" t="str">
        <f ca="1">IFERROR(__xludf.DUMMYFUNCTION("""COMPUTED_VALUE"""),"Muntasir Vai")</f>
        <v>Muntasir Vai</v>
      </c>
      <c r="D359" s="92" t="str">
        <f ca="1">IFERROR(__xludf.DUMMYFUNCTION("""COMPUTED_VALUE"""),"Faruk Hossain (521288)")</f>
        <v>Faruk Hossain (521288)</v>
      </c>
      <c r="E359" s="93" t="str">
        <f ca="1">IFERROR(__xludf.DUMMYFUNCTION("""COMPUTED_VALUE"""),"CB17143_Feb26")</f>
        <v>CB17143_Feb26</v>
      </c>
      <c r="F359" s="94" t="str">
        <f ca="1">IFERROR(__xludf.DUMMYFUNCTION("""COMPUTED_VALUE"""),"Gravure Output #1")</f>
        <v>Gravure Output #1</v>
      </c>
      <c r="G359" s="95" t="str">
        <f ca="1">IFERROR(__xludf.DUMMYFUNCTION("""COMPUTED_VALUE"""),"New")</f>
        <v>New</v>
      </c>
      <c r="H359" s="96">
        <f ca="1">IFERROR(__xludf.DUMMYFUNCTION("""COMPUTED_VALUE"""),1)</f>
        <v>1</v>
      </c>
      <c r="I359" s="97">
        <f ca="1">IFERROR(__xludf.DUMMYFUNCTION("""COMPUTED_VALUE"""),46063)</f>
        <v>46063</v>
      </c>
      <c r="J359" s="98" t="str">
        <f ca="1">IFERROR(__xludf.DUMMYFUNCTION("""COMPUTED_VALUE"""),"CW24610_Feb26")</f>
        <v>CW24610_Feb26</v>
      </c>
      <c r="K359" s="99" t="str">
        <f ca="1">IFERROR(__xludf.DUMMYFUNCTION("""COMPUTED_VALUE"""),"BM Approved")</f>
        <v>BM Approved</v>
      </c>
    </row>
    <row r="360" spans="1:11" ht="13.2">
      <c r="A360" s="89" t="str">
        <f ca="1">IFERROR(__xludf.DUMMYFUNCTION("""COMPUTED_VALUE"""),"RYDO Electric Scooter")</f>
        <v>RYDO Electric Scooter</v>
      </c>
      <c r="B360" s="90" t="str">
        <f ca="1">IFERROR(__xludf.DUMMYFUNCTION("""COMPUTED_VALUE"""),"RFL-RYDO")</f>
        <v>RFL-RYDO</v>
      </c>
      <c r="C360" s="91" t="str">
        <f ca="1">IFERROR(__xludf.DUMMYFUNCTION("""COMPUTED_VALUE"""),"Roudra Vai")</f>
        <v>Roudra Vai</v>
      </c>
      <c r="D360" s="92" t="str">
        <f ca="1">IFERROR(__xludf.DUMMYFUNCTION("""COMPUTED_VALUE"""),"Faruk Hossain (521288)")</f>
        <v>Faruk Hossain (521288)</v>
      </c>
      <c r="E360" s="93" t="str">
        <f ca="1">IFERROR(__xludf.DUMMYFUNCTION("""COMPUTED_VALUE"""),"CB17051_Feb26")</f>
        <v>CB17051_Feb26</v>
      </c>
      <c r="F360" s="94" t="str">
        <f ca="1">IFERROR(__xludf.DUMMYFUNCTION("""COMPUTED_VALUE"""),"Flyer/Brochure/Banner Output")</f>
        <v>Flyer/Brochure/Banner Output</v>
      </c>
      <c r="G360" s="95" t="str">
        <f ca="1">IFERROR(__xludf.DUMMYFUNCTION("""COMPUTED_VALUE"""),"New")</f>
        <v>New</v>
      </c>
      <c r="H360" s="96">
        <f ca="1">IFERROR(__xludf.DUMMYFUNCTION("""COMPUTED_VALUE"""),2)</f>
        <v>2</v>
      </c>
      <c r="I360" s="97">
        <f ca="1">IFERROR(__xludf.DUMMYFUNCTION("""COMPUTED_VALUE"""),46067)</f>
        <v>46067</v>
      </c>
      <c r="J360" s="98" t="str">
        <f ca="1">IFERROR(__xludf.DUMMYFUNCTION("""COMPUTED_VALUE"""),"CW24809_Feb26")</f>
        <v>CW24809_Feb26</v>
      </c>
      <c r="K360" s="99" t="str">
        <f ca="1">IFERROR(__xludf.DUMMYFUNCTION("""COMPUTED_VALUE"""),"HoM Approved")</f>
        <v>HoM Approved</v>
      </c>
    </row>
    <row r="361" spans="1:11" ht="13.2">
      <c r="A361" s="89" t="str">
        <f ca="1">IFERROR(__xludf.DUMMYFUNCTION("""COMPUTED_VALUE"""),"PRAN Sauce")</f>
        <v>PRAN Sauce</v>
      </c>
      <c r="B361" s="90" t="str">
        <f ca="1">IFERROR(__xludf.DUMMYFUNCTION("""COMPUTED_VALUE"""),"PAL")</f>
        <v>PAL</v>
      </c>
      <c r="C361" s="91" t="str">
        <f ca="1">IFERROR(__xludf.DUMMYFUNCTION("""COMPUTED_VALUE"""),"Rakib Vai")</f>
        <v>Rakib Vai</v>
      </c>
      <c r="D361" s="92" t="str">
        <f ca="1">IFERROR(__xludf.DUMMYFUNCTION("""COMPUTED_VALUE"""),"Faruk Hossain (521288)")</f>
        <v>Faruk Hossain (521288)</v>
      </c>
      <c r="E361" s="93" t="str">
        <f ca="1">IFERROR(__xludf.DUMMYFUNCTION("""COMPUTED_VALUE"""),"CB17477_Feb26")</f>
        <v>CB17477_Feb26</v>
      </c>
      <c r="F361" s="94" t="str">
        <f ca="1">IFERROR(__xludf.DUMMYFUNCTION("""COMPUTED_VALUE"""),"Gravure Output #1")</f>
        <v>Gravure Output #1</v>
      </c>
      <c r="G361" s="95" t="str">
        <f ca="1">IFERROR(__xludf.DUMMYFUNCTION("""COMPUTED_VALUE"""),"New")</f>
        <v>New</v>
      </c>
      <c r="H361" s="96">
        <f ca="1">IFERROR(__xludf.DUMMYFUNCTION("""COMPUTED_VALUE"""),1)</f>
        <v>1</v>
      </c>
      <c r="I361" s="97">
        <f ca="1">IFERROR(__xludf.DUMMYFUNCTION("""COMPUTED_VALUE"""),46068)</f>
        <v>46068</v>
      </c>
      <c r="J361" s="98" t="str">
        <f ca="1">IFERROR(__xludf.DUMMYFUNCTION("""COMPUTED_VALUE"""),"CW24901_Feb26")</f>
        <v>CW24901_Feb26</v>
      </c>
      <c r="K361" s="99" t="str">
        <f ca="1">IFERROR(__xludf.DUMMYFUNCTION("""COMPUTED_VALUE"""),"HoM Approved")</f>
        <v>HoM Approved</v>
      </c>
    </row>
    <row r="362" spans="1:11" ht="13.2">
      <c r="A362" s="89" t="str">
        <f ca="1">IFERROR(__xludf.DUMMYFUNCTION("""COMPUTED_VALUE"""),"PRAN Cream Biscuit")</f>
        <v>PRAN Cream Biscuit</v>
      </c>
      <c r="B362" s="90" t="str">
        <f ca="1">IFERROR(__xludf.DUMMYFUNCTION("""COMPUTED_VALUE"""),"BBL")</f>
        <v>BBL</v>
      </c>
      <c r="C362" s="91" t="str">
        <f ca="1">IFERROR(__xludf.DUMMYFUNCTION("""COMPUTED_VALUE"""),"Ove Vai")</f>
        <v>Ove Vai</v>
      </c>
      <c r="D362" s="92" t="str">
        <f ca="1">IFERROR(__xludf.DUMMYFUNCTION("""COMPUTED_VALUE"""),"Faruk Hossain (521288)")</f>
        <v>Faruk Hossain (521288)</v>
      </c>
      <c r="E362" s="93" t="str">
        <f ca="1">IFERROR(__xludf.DUMMYFUNCTION("""COMPUTED_VALUE"""),"CB17237_Feb26")</f>
        <v>CB17237_Feb26</v>
      </c>
      <c r="F362" s="94" t="str">
        <f ca="1">IFERROR(__xludf.DUMMYFUNCTION("""COMPUTED_VALUE"""),"Leaflet/Poster Output")</f>
        <v>Leaflet/Poster Output</v>
      </c>
      <c r="G362" s="95" t="str">
        <f ca="1">IFERROR(__xludf.DUMMYFUNCTION("""COMPUTED_VALUE"""),"New")</f>
        <v>New</v>
      </c>
      <c r="H362" s="96">
        <f ca="1">IFERROR(__xludf.DUMMYFUNCTION("""COMPUTED_VALUE"""),1)</f>
        <v>1</v>
      </c>
      <c r="I362" s="97">
        <f ca="1">IFERROR(__xludf.DUMMYFUNCTION("""COMPUTED_VALUE"""),46069)</f>
        <v>46069</v>
      </c>
      <c r="J362" s="98" t="str">
        <f ca="1">IFERROR(__xludf.DUMMYFUNCTION("""COMPUTED_VALUE"""),"CW24994_Feb26")</f>
        <v>CW24994_Feb26</v>
      </c>
      <c r="K362" s="99" t="str">
        <f ca="1">IFERROR(__xludf.DUMMYFUNCTION("""COMPUTED_VALUE"""),"HoM Approved")</f>
        <v>HoM Approved</v>
      </c>
    </row>
    <row r="363" spans="1:11" ht="13.2">
      <c r="A363" s="89" t="str">
        <f ca="1">IFERROR(__xludf.DUMMYFUNCTION("""COMPUTED_VALUE"""),"Decent Rickshaw Van Tyre &amp; Tube")</f>
        <v>Decent Rickshaw Van Tyre &amp; Tube</v>
      </c>
      <c r="B363" s="90" t="str">
        <f ca="1">IFERROR(__xludf.DUMMYFUNCTION("""COMPUTED_VALUE"""),"RFL Bike")</f>
        <v>RFL Bike</v>
      </c>
      <c r="C363" s="91" t="str">
        <f ca="1">IFERROR(__xludf.DUMMYFUNCTION("""COMPUTED_VALUE"""),"Rizvi Vai")</f>
        <v>Rizvi Vai</v>
      </c>
      <c r="D363" s="92" t="str">
        <f ca="1">IFERROR(__xludf.DUMMYFUNCTION("""COMPUTED_VALUE"""),"Faruk Hossain (521288)")</f>
        <v>Faruk Hossain (521288)</v>
      </c>
      <c r="E363" s="93" t="str">
        <f ca="1">IFERROR(__xludf.DUMMYFUNCTION("""COMPUTED_VALUE"""),"CB17483_Feb26")</f>
        <v>CB17483_Feb26</v>
      </c>
      <c r="F363" s="94" t="str">
        <f ca="1">IFERROR(__xludf.DUMMYFUNCTION("""COMPUTED_VALUE"""),"Leaflet/Poster Output")</f>
        <v>Leaflet/Poster Output</v>
      </c>
      <c r="G363" s="95" t="str">
        <f ca="1">IFERROR(__xludf.DUMMYFUNCTION("""COMPUTED_VALUE"""),"New")</f>
        <v>New</v>
      </c>
      <c r="H363" s="96">
        <f ca="1">IFERROR(__xludf.DUMMYFUNCTION("""COMPUTED_VALUE"""),1)</f>
        <v>1</v>
      </c>
      <c r="I363" s="97">
        <f ca="1">IFERROR(__xludf.DUMMYFUNCTION("""COMPUTED_VALUE"""),46069)</f>
        <v>46069</v>
      </c>
      <c r="J363" s="98" t="str">
        <f ca="1">IFERROR(__xludf.DUMMYFUNCTION("""COMPUTED_VALUE"""),"CW25007_Feb26")</f>
        <v>CW25007_Feb26</v>
      </c>
      <c r="K363" s="99" t="str">
        <f ca="1">IFERROR(__xludf.DUMMYFUNCTION("""COMPUTED_VALUE"""),"HoM Approved")</f>
        <v>HoM Approved</v>
      </c>
    </row>
    <row r="364" spans="1:11" ht="13.2">
      <c r="A364" s="89" t="str">
        <f ca="1">IFERROR(__xludf.DUMMYFUNCTION("""COMPUTED_VALUE"""),"PRAN Bubble Gum")</f>
        <v>PRAN Bubble Gum</v>
      </c>
      <c r="B364" s="90" t="str">
        <f ca="1">IFERROR(__xludf.DUMMYFUNCTION("""COMPUTED_VALUE"""),"PCL")</f>
        <v>PCL</v>
      </c>
      <c r="C364" s="91" t="str">
        <f ca="1">IFERROR(__xludf.DUMMYFUNCTION("""COMPUTED_VALUE"""),"Zahirul Vai")</f>
        <v>Zahirul Vai</v>
      </c>
      <c r="D364" s="92" t="str">
        <f ca="1">IFERROR(__xludf.DUMMYFUNCTION("""COMPUTED_VALUE"""),"Faruk Hossain (521288)")</f>
        <v>Faruk Hossain (521288)</v>
      </c>
      <c r="E364" s="93" t="str">
        <f ca="1">IFERROR(__xludf.DUMMYFUNCTION("""COMPUTED_VALUE"""),"CB17290_Feb26")</f>
        <v>CB17290_Feb26</v>
      </c>
      <c r="F364" s="94" t="str">
        <f ca="1">IFERROR(__xludf.DUMMYFUNCTION("""COMPUTED_VALUE"""),"ATC Box Output")</f>
        <v>ATC Box Output</v>
      </c>
      <c r="G364" s="95" t="str">
        <f ca="1">IFERROR(__xludf.DUMMYFUNCTION("""COMPUTED_VALUE"""),"New")</f>
        <v>New</v>
      </c>
      <c r="H364" s="96">
        <f ca="1">IFERROR(__xludf.DUMMYFUNCTION("""COMPUTED_VALUE"""),1)</f>
        <v>1</v>
      </c>
      <c r="I364" s="97">
        <f ca="1">IFERROR(__xludf.DUMMYFUNCTION("""COMPUTED_VALUE"""),46070)</f>
        <v>46070</v>
      </c>
      <c r="J364" s="98" t="str">
        <f ca="1">IFERROR(__xludf.DUMMYFUNCTION("""COMPUTED_VALUE"""),"CW25117_Feb26")</f>
        <v>CW25117_Feb26</v>
      </c>
      <c r="K364" s="99" t="str">
        <f ca="1">IFERROR(__xludf.DUMMYFUNCTION("""COMPUTED_VALUE"""),"HoM Approved")</f>
        <v>HoM Approved</v>
      </c>
    </row>
    <row r="365" spans="1:11" ht="13.2">
      <c r="A365" s="89" t="str">
        <f ca="1">IFERROR(__xludf.DUMMYFUNCTION("""COMPUTED_VALUE"""),"All Time Cookies")</f>
        <v>All Time Cookies</v>
      </c>
      <c r="B365" s="90" t="str">
        <f ca="1">IFERROR(__xludf.DUMMYFUNCTION("""COMPUTED_VALUE"""),"BBL")</f>
        <v>BBL</v>
      </c>
      <c r="C365" s="91" t="str">
        <f ca="1">IFERROR(__xludf.DUMMYFUNCTION("""COMPUTED_VALUE"""),"Zahirul Vai")</f>
        <v>Zahirul Vai</v>
      </c>
      <c r="D365" s="92" t="str">
        <f ca="1">IFERROR(__xludf.DUMMYFUNCTION("""COMPUTED_VALUE"""),"Faruk Hossain (521288)")</f>
        <v>Faruk Hossain (521288)</v>
      </c>
      <c r="E365" s="93" t="str">
        <f ca="1">IFERROR(__xludf.DUMMYFUNCTION("""COMPUTED_VALUE"""),"CB14835_Jan26")</f>
        <v>CB14835_Jan26</v>
      </c>
      <c r="F365" s="94" t="str">
        <f ca="1">IFERROR(__xludf.DUMMYFUNCTION("""COMPUTED_VALUE"""),"JAR Label Sticker Output")</f>
        <v>JAR Label Sticker Output</v>
      </c>
      <c r="G365" s="95" t="str">
        <f ca="1">IFERROR(__xludf.DUMMYFUNCTION("""COMPUTED_VALUE"""),"New")</f>
        <v>New</v>
      </c>
      <c r="H365" s="96">
        <f ca="1">IFERROR(__xludf.DUMMYFUNCTION("""COMPUTED_VALUE"""),2)</f>
        <v>2</v>
      </c>
      <c r="I365" s="97">
        <f ca="1">IFERROR(__xludf.DUMMYFUNCTION("""COMPUTED_VALUE"""),46071)</f>
        <v>46071</v>
      </c>
      <c r="J365" s="98" t="str">
        <f ca="1">IFERROR(__xludf.DUMMYFUNCTION("""COMPUTED_VALUE"""),"CW25212_Feb26")</f>
        <v>CW25212_Feb26</v>
      </c>
      <c r="K365" s="99" t="str">
        <f ca="1">IFERROR(__xludf.DUMMYFUNCTION("""COMPUTED_VALUE"""),"HoM Approved")</f>
        <v>HoM Approved</v>
      </c>
    </row>
    <row r="366" spans="1:11" ht="13.2">
      <c r="A366" s="89" t="str">
        <f ca="1">IFERROR(__xludf.DUMMYFUNCTION("""COMPUTED_VALUE"""),"Common")</f>
        <v>Common</v>
      </c>
      <c r="B366" s="90" t="str">
        <f ca="1">IFERROR(__xludf.DUMMYFUNCTION("""COMPUTED_VALUE"""),"Export Common")</f>
        <v>Export Common</v>
      </c>
      <c r="C366" s="91" t="str">
        <f ca="1">IFERROR(__xludf.DUMMYFUNCTION("""COMPUTED_VALUE"""),"Saifullah Vai")</f>
        <v>Saifullah Vai</v>
      </c>
      <c r="D366" s="92" t="str">
        <f ca="1">IFERROR(__xludf.DUMMYFUNCTION("""COMPUTED_VALUE"""),"Faruk Hossain (521288)")</f>
        <v>Faruk Hossain (521288)</v>
      </c>
      <c r="E366" s="93" t="str">
        <f ca="1">IFERROR(__xludf.DUMMYFUNCTION("""COMPUTED_VALUE"""),"CB17934_Feb26")</f>
        <v>CB17934_Feb26</v>
      </c>
      <c r="F366" s="94" t="str">
        <f ca="1">IFERROR(__xludf.DUMMYFUNCTION("""COMPUTED_VALUE"""),"JAR Label Sticker Output")</f>
        <v>JAR Label Sticker Output</v>
      </c>
      <c r="G366" s="95" t="str">
        <f ca="1">IFERROR(__xludf.DUMMYFUNCTION("""COMPUTED_VALUE"""),"New")</f>
        <v>New</v>
      </c>
      <c r="H366" s="96">
        <f ca="1">IFERROR(__xludf.DUMMYFUNCTION("""COMPUTED_VALUE"""),1)</f>
        <v>1</v>
      </c>
      <c r="I366" s="97">
        <f ca="1">IFERROR(__xludf.DUMMYFUNCTION("""COMPUTED_VALUE"""),46072)</f>
        <v>46072</v>
      </c>
      <c r="J366" s="98" t="str">
        <f ca="1">IFERROR(__xludf.DUMMYFUNCTION("""COMPUTED_VALUE"""),"CW25316_Feb26")</f>
        <v>CW25316_Feb26</v>
      </c>
      <c r="K366" s="99" t="str">
        <f ca="1">IFERROR(__xludf.DUMMYFUNCTION("""COMPUTED_VALUE"""),"HoM Approved")</f>
        <v>HoM Approved</v>
      </c>
    </row>
    <row r="367" spans="1:11" ht="13.2">
      <c r="A367" s="89" t="str">
        <f ca="1">IFERROR(__xludf.DUMMYFUNCTION("""COMPUTED_VALUE"""),"Shine Sanitary Ware &amp; Fittings")</f>
        <v>Shine Sanitary Ware &amp; Fittings</v>
      </c>
      <c r="B367" s="90" t="str">
        <f ca="1">IFERROR(__xludf.DUMMYFUNCTION("""COMPUTED_VALUE"""),"RPL")</f>
        <v>RPL</v>
      </c>
      <c r="C367" s="91" t="str">
        <f ca="1">IFERROR(__xludf.DUMMYFUNCTION("""COMPUTED_VALUE"""),"Shaikh Vai")</f>
        <v>Shaikh Vai</v>
      </c>
      <c r="D367" s="92" t="str">
        <f ca="1">IFERROR(__xludf.DUMMYFUNCTION("""COMPUTED_VALUE"""),"Faruk Hossain (521288)")</f>
        <v>Faruk Hossain (521288)</v>
      </c>
      <c r="E367" s="93" t="str">
        <f ca="1">IFERROR(__xludf.DUMMYFUNCTION("""COMPUTED_VALUE"""),"CB17247_Feb26")</f>
        <v>CB17247_Feb26</v>
      </c>
      <c r="F367" s="94" t="str">
        <f ca="1">IFERROR(__xludf.DUMMYFUNCTION("""COMPUTED_VALUE"""),"ATC Box Output")</f>
        <v>ATC Box Output</v>
      </c>
      <c r="G367" s="95" t="str">
        <f ca="1">IFERROR(__xludf.DUMMYFUNCTION("""COMPUTED_VALUE"""),"New")</f>
        <v>New</v>
      </c>
      <c r="H367" s="96">
        <f ca="1">IFERROR(__xludf.DUMMYFUNCTION("""COMPUTED_VALUE"""),1)</f>
        <v>1</v>
      </c>
      <c r="I367" s="97">
        <f ca="1">IFERROR(__xludf.DUMMYFUNCTION("""COMPUTED_VALUE"""),46072)</f>
        <v>46072</v>
      </c>
      <c r="J367" s="98" t="str">
        <f ca="1">IFERROR(__xludf.DUMMYFUNCTION("""COMPUTED_VALUE"""),"CW25357_Feb26")</f>
        <v>CW25357_Feb26</v>
      </c>
      <c r="K367" s="99" t="str">
        <f ca="1">IFERROR(__xludf.DUMMYFUNCTION("""COMPUTED_VALUE"""),"HoM Approved")</f>
        <v>HoM Approved</v>
      </c>
    </row>
    <row r="368" spans="1:11" ht="13.2">
      <c r="A368" s="89" t="str">
        <f ca="1">IFERROR(__xludf.DUMMYFUNCTION("""COMPUTED_VALUE"""),"Shine Sanitary Ware &amp; Fittings")</f>
        <v>Shine Sanitary Ware &amp; Fittings</v>
      </c>
      <c r="B368" s="90" t="str">
        <f ca="1">IFERROR(__xludf.DUMMYFUNCTION("""COMPUTED_VALUE"""),"RPL")</f>
        <v>RPL</v>
      </c>
      <c r="C368" s="91" t="str">
        <f ca="1">IFERROR(__xludf.DUMMYFUNCTION("""COMPUTED_VALUE"""),"Shaikh Vai")</f>
        <v>Shaikh Vai</v>
      </c>
      <c r="D368" s="92" t="str">
        <f ca="1">IFERROR(__xludf.DUMMYFUNCTION("""COMPUTED_VALUE"""),"Faruk Hossain (521288)")</f>
        <v>Faruk Hossain (521288)</v>
      </c>
      <c r="E368" s="93" t="str">
        <f ca="1">IFERROR(__xludf.DUMMYFUNCTION("""COMPUTED_VALUE"""),"CB17806_Feb26")</f>
        <v>CB17806_Feb26</v>
      </c>
      <c r="F368" s="94" t="str">
        <f ca="1">IFERROR(__xludf.DUMMYFUNCTION("""COMPUTED_VALUE"""),"ATC Box Output")</f>
        <v>ATC Box Output</v>
      </c>
      <c r="G368" s="95" t="str">
        <f ca="1">IFERROR(__xludf.DUMMYFUNCTION("""COMPUTED_VALUE"""),"New")</f>
        <v>New</v>
      </c>
      <c r="H368" s="96">
        <f ca="1">IFERROR(__xludf.DUMMYFUNCTION("""COMPUTED_VALUE"""),1)</f>
        <v>1</v>
      </c>
      <c r="I368" s="97">
        <f ca="1">IFERROR(__xludf.DUMMYFUNCTION("""COMPUTED_VALUE"""),46075)</f>
        <v>46075</v>
      </c>
      <c r="J368" s="98" t="str">
        <f ca="1">IFERROR(__xludf.DUMMYFUNCTION("""COMPUTED_VALUE"""),"CW25381_Feb26")</f>
        <v>CW25381_Feb26</v>
      </c>
      <c r="K368" s="99" t="str">
        <f ca="1">IFERROR(__xludf.DUMMYFUNCTION("""COMPUTED_VALUE"""),"HoM Approved")</f>
        <v>HoM Approved</v>
      </c>
    </row>
    <row r="369" spans="1:11" ht="13.2">
      <c r="A369" s="89" t="str">
        <f ca="1">IFERROR(__xludf.DUMMYFUNCTION("""COMPUTED_VALUE"""),"Decent Rickshaw Van Tyre &amp; Tube")</f>
        <v>Decent Rickshaw Van Tyre &amp; Tube</v>
      </c>
      <c r="B369" s="90" t="str">
        <f ca="1">IFERROR(__xludf.DUMMYFUNCTION("""COMPUTED_VALUE"""),"RFL Bike")</f>
        <v>RFL Bike</v>
      </c>
      <c r="C369" s="91" t="str">
        <f ca="1">IFERROR(__xludf.DUMMYFUNCTION("""COMPUTED_VALUE"""),"Rizvi Vai")</f>
        <v>Rizvi Vai</v>
      </c>
      <c r="D369" s="92" t="str">
        <f ca="1">IFERROR(__xludf.DUMMYFUNCTION("""COMPUTED_VALUE"""),"Faruk Hossain (521288)")</f>
        <v>Faruk Hossain (521288)</v>
      </c>
      <c r="E369" s="93" t="str">
        <f ca="1">IFERROR(__xludf.DUMMYFUNCTION("""COMPUTED_VALUE"""),"CB17686_Feb26")</f>
        <v>CB17686_Feb26</v>
      </c>
      <c r="F369" s="94" t="str">
        <f ca="1">IFERROR(__xludf.DUMMYFUNCTION("""COMPUTED_VALUE"""),"ATC Box Output")</f>
        <v>ATC Box Output</v>
      </c>
      <c r="G369" s="95" t="str">
        <f ca="1">IFERROR(__xludf.DUMMYFUNCTION("""COMPUTED_VALUE"""),"New")</f>
        <v>New</v>
      </c>
      <c r="H369" s="96">
        <f ca="1">IFERROR(__xludf.DUMMYFUNCTION("""COMPUTED_VALUE"""),7)</f>
        <v>7</v>
      </c>
      <c r="I369" s="97">
        <f ca="1">IFERROR(__xludf.DUMMYFUNCTION("""COMPUTED_VALUE"""),46076)</f>
        <v>46076</v>
      </c>
      <c r="J369" s="98" t="str">
        <f ca="1">IFERROR(__xludf.DUMMYFUNCTION("""COMPUTED_VALUE"""),"CW25497_Feb26")</f>
        <v>CW25497_Feb26</v>
      </c>
      <c r="K369" s="99" t="str">
        <f ca="1">IFERROR(__xludf.DUMMYFUNCTION("""COMPUTED_VALUE"""),"HoM Approved")</f>
        <v>HoM Approved</v>
      </c>
    </row>
    <row r="370" spans="1:11" ht="13.2">
      <c r="A370" s="89" t="str">
        <f ca="1">IFERROR(__xludf.DUMMYFUNCTION("""COMPUTED_VALUE"""),"Treat Chocolate")</f>
        <v>Treat Chocolate</v>
      </c>
      <c r="B370" s="90" t="str">
        <f ca="1">IFERROR(__xludf.DUMMYFUNCTION("""COMPUTED_VALUE"""),"PCL")</f>
        <v>PCL</v>
      </c>
      <c r="C370" s="91" t="str">
        <f ca="1">IFERROR(__xludf.DUMMYFUNCTION("""COMPUTED_VALUE"""),"Mona Apu")</f>
        <v>Mona Apu</v>
      </c>
      <c r="D370" s="92" t="str">
        <f ca="1">IFERROR(__xludf.DUMMYFUNCTION("""COMPUTED_VALUE"""),"Faruk Hossain (521288)")</f>
        <v>Faruk Hossain (521288)</v>
      </c>
      <c r="E370" s="93" t="str">
        <f ca="1">IFERROR(__xludf.DUMMYFUNCTION("""COMPUTED_VALUE"""),"CB15103_Jan26")</f>
        <v>CB15103_Jan26</v>
      </c>
      <c r="F370" s="94" t="str">
        <f ca="1">IFERROR(__xludf.DUMMYFUNCTION("""COMPUTED_VALUE"""),"Gravure Output #2")</f>
        <v>Gravure Output #2</v>
      </c>
      <c r="G370" s="95" t="str">
        <f ca="1">IFERROR(__xludf.DUMMYFUNCTION("""COMPUTED_VALUE"""),"New")</f>
        <v>New</v>
      </c>
      <c r="H370" s="96">
        <f ca="1">IFERROR(__xludf.DUMMYFUNCTION("""COMPUTED_VALUE"""),2)</f>
        <v>2</v>
      </c>
      <c r="I370" s="97">
        <f ca="1">IFERROR(__xludf.DUMMYFUNCTION("""COMPUTED_VALUE"""),46077)</f>
        <v>46077</v>
      </c>
      <c r="J370" s="98" t="str">
        <f ca="1">IFERROR(__xludf.DUMMYFUNCTION("""COMPUTED_VALUE"""),"CW25575_Feb26")</f>
        <v>CW25575_Feb26</v>
      </c>
      <c r="K370" s="99" t="str">
        <f ca="1">IFERROR(__xludf.DUMMYFUNCTION("""COMPUTED_VALUE"""),"HoM Approved")</f>
        <v>HoM Approved</v>
      </c>
    </row>
    <row r="371" spans="1:11" ht="13.2">
      <c r="A371" s="89" t="str">
        <f ca="1">IFERROR(__xludf.DUMMYFUNCTION("""COMPUTED_VALUE"""),"Bizli Cables (Domestic)")</f>
        <v>Bizli Cables (Domestic)</v>
      </c>
      <c r="B371" s="90" t="str">
        <f ca="1">IFERROR(__xludf.DUMMYFUNCTION("""COMPUTED_VALUE"""),"Cables")</f>
        <v>Cables</v>
      </c>
      <c r="C371" s="91" t="str">
        <f ca="1">IFERROR(__xludf.DUMMYFUNCTION("""COMPUTED_VALUE"""),"Muntakim Vai")</f>
        <v>Muntakim Vai</v>
      </c>
      <c r="D371" s="92" t="str">
        <f ca="1">IFERROR(__xludf.DUMMYFUNCTION("""COMPUTED_VALUE"""),"Faruk Hossain (521288)")</f>
        <v>Faruk Hossain (521288)</v>
      </c>
      <c r="E371" s="93" t="str">
        <f ca="1">IFERROR(__xludf.DUMMYFUNCTION("""COMPUTED_VALUE"""),"CB17572_Feb26")</f>
        <v>CB17572_Feb26</v>
      </c>
      <c r="F371" s="94" t="str">
        <f ca="1">IFERROR(__xludf.DUMMYFUNCTION("""COMPUTED_VALUE"""),"Leaflet/Poster Output")</f>
        <v>Leaflet/Poster Output</v>
      </c>
      <c r="G371" s="95" t="str">
        <f ca="1">IFERROR(__xludf.DUMMYFUNCTION("""COMPUTED_VALUE"""),"New")</f>
        <v>New</v>
      </c>
      <c r="H371" s="96">
        <f ca="1">IFERROR(__xludf.DUMMYFUNCTION("""COMPUTED_VALUE"""),2)</f>
        <v>2</v>
      </c>
      <c r="I371" s="97">
        <f ca="1">IFERROR(__xludf.DUMMYFUNCTION("""COMPUTED_VALUE"""),46079)</f>
        <v>46079</v>
      </c>
      <c r="J371" s="98" t="str">
        <f ca="1">IFERROR(__xludf.DUMMYFUNCTION("""COMPUTED_VALUE"""),"CW25852_Feb26")</f>
        <v>CW25852_Feb26</v>
      </c>
      <c r="K371" s="99" t="str">
        <f ca="1">IFERROR(__xludf.DUMMYFUNCTION("""COMPUTED_VALUE"""),"HoM Approved")</f>
        <v>HoM Approved</v>
      </c>
    </row>
    <row r="372" spans="1:11" ht="13.2">
      <c r="A372" s="89" t="str">
        <f ca="1">IFERROR(__xludf.DUMMYFUNCTION("""COMPUTED_VALUE"""),"Shero Wafer Cambodia")</f>
        <v>Shero Wafer Cambodia</v>
      </c>
      <c r="B372" s="90" t="str">
        <f ca="1">IFERROR(__xludf.DUMMYFUNCTION("""COMPUTED_VALUE"""),"BBL")</f>
        <v>BBL</v>
      </c>
      <c r="C372" s="91" t="str">
        <f ca="1">IFERROR(__xludf.DUMMYFUNCTION("""COMPUTED_VALUE"""),"Fatema Apu")</f>
        <v>Fatema Apu</v>
      </c>
      <c r="D372" s="92" t="str">
        <f ca="1">IFERROR(__xludf.DUMMYFUNCTION("""COMPUTED_VALUE"""),"Faruk Hossain (521288)")</f>
        <v>Faruk Hossain (521288)</v>
      </c>
      <c r="E372" s="93" t="str">
        <f ca="1">IFERROR(__xludf.DUMMYFUNCTION("""COMPUTED_VALUE"""),"CB18502_Feb26")</f>
        <v>CB18502_Feb26</v>
      </c>
      <c r="F372" s="94" t="str">
        <f ca="1">IFERROR(__xludf.DUMMYFUNCTION("""COMPUTED_VALUE"""),"Leaflet/Poster Output")</f>
        <v>Leaflet/Poster Output</v>
      </c>
      <c r="G372" s="95" t="str">
        <f ca="1">IFERROR(__xludf.DUMMYFUNCTION("""COMPUTED_VALUE"""),"New")</f>
        <v>New</v>
      </c>
      <c r="H372" s="96">
        <f ca="1">IFERROR(__xludf.DUMMYFUNCTION("""COMPUTED_VALUE"""),1)</f>
        <v>1</v>
      </c>
      <c r="I372" s="97">
        <f ca="1">IFERROR(__xludf.DUMMYFUNCTION("""COMPUTED_VALUE"""),46081)</f>
        <v>46081</v>
      </c>
      <c r="J372" s="98" t="str">
        <f ca="1">IFERROR(__xludf.DUMMYFUNCTION("""COMPUTED_VALUE"""),"CW26267_Feb26")</f>
        <v>CW26267_Feb26</v>
      </c>
      <c r="K372" s="99" t="str">
        <f ca="1">IFERROR(__xludf.DUMMYFUNCTION("""COMPUTED_VALUE"""),"HoM Approved")</f>
        <v>HoM Approved</v>
      </c>
    </row>
    <row r="373" spans="1:11" ht="13.2">
      <c r="A373" s="89" t="str">
        <f ca="1">IFERROR(__xludf.DUMMYFUNCTION("""COMPUTED_VALUE"""),"Bisk Club Nice Biscuits")</f>
        <v>Bisk Club Nice Biscuits</v>
      </c>
      <c r="B373" s="90" t="str">
        <f ca="1">IFERROR(__xludf.DUMMYFUNCTION("""COMPUTED_VALUE"""),"BBL")</f>
        <v>BBL</v>
      </c>
      <c r="C373" s="91" t="str">
        <f ca="1">IFERROR(__xludf.DUMMYFUNCTION("""COMPUTED_VALUE"""),"Maksuda Apu")</f>
        <v>Maksuda Apu</v>
      </c>
      <c r="D373" s="92" t="str">
        <f ca="1">IFERROR(__xludf.DUMMYFUNCTION("""COMPUTED_VALUE"""),"Faruk Hossain (521288)")</f>
        <v>Faruk Hossain (521288)</v>
      </c>
      <c r="E373" s="93" t="str">
        <f ca="1">IFERROR(__xludf.DUMMYFUNCTION("""COMPUTED_VALUE"""),"CB18140_Feb26")</f>
        <v>CB18140_Feb26</v>
      </c>
      <c r="F373" s="94" t="str">
        <f ca="1">IFERROR(__xludf.DUMMYFUNCTION("""COMPUTED_VALUE"""),"Leaflet/Poster Output")</f>
        <v>Leaflet/Poster Output</v>
      </c>
      <c r="G373" s="95" t="str">
        <f ca="1">IFERROR(__xludf.DUMMYFUNCTION("""COMPUTED_VALUE"""),"New")</f>
        <v>New</v>
      </c>
      <c r="H373" s="96">
        <f ca="1">IFERROR(__xludf.DUMMYFUNCTION("""COMPUTED_VALUE"""),1)</f>
        <v>1</v>
      </c>
      <c r="I373" s="97">
        <f ca="1">IFERROR(__xludf.DUMMYFUNCTION("""COMPUTED_VALUE"""),46081)</f>
        <v>46081</v>
      </c>
      <c r="J373" s="98" t="str">
        <f ca="1">IFERROR(__xludf.DUMMYFUNCTION("""COMPUTED_VALUE"""),"CW26268_Feb26")</f>
        <v>CW26268_Feb26</v>
      </c>
      <c r="K373" s="99" t="str">
        <f ca="1">IFERROR(__xludf.DUMMYFUNCTION("""COMPUTED_VALUE"""),"HoM Approved")</f>
        <v>HoM Approved</v>
      </c>
    </row>
    <row r="374" spans="1:11" ht="13.2">
      <c r="A374" s="89" t="str">
        <f ca="1">IFERROR(__xludf.DUMMYFUNCTION("""COMPUTED_VALUE"""),"PRAN Lollipop")</f>
        <v>PRAN Lollipop</v>
      </c>
      <c r="B374" s="90" t="str">
        <f ca="1">IFERROR(__xludf.DUMMYFUNCTION("""COMPUTED_VALUE"""),"PCL")</f>
        <v>PCL</v>
      </c>
      <c r="C374" s="91" t="str">
        <f ca="1">IFERROR(__xludf.DUMMYFUNCTION("""COMPUTED_VALUE"""),"Enamul Vai")</f>
        <v>Enamul Vai</v>
      </c>
      <c r="D374" s="92" t="str">
        <f ca="1">IFERROR(__xludf.DUMMYFUNCTION("""COMPUTED_VALUE"""),"Faruk Hossain (521288)")</f>
        <v>Faruk Hossain (521288)</v>
      </c>
      <c r="E374" s="93" t="str">
        <f ca="1">IFERROR(__xludf.DUMMYFUNCTION("""COMPUTED_VALUE"""),"CB18409_Feb26")</f>
        <v>CB18409_Feb26</v>
      </c>
      <c r="F374" s="94" t="str">
        <f ca="1">IFERROR(__xludf.DUMMYFUNCTION("""COMPUTED_VALUE"""),"Gravure Output #2")</f>
        <v>Gravure Output #2</v>
      </c>
      <c r="G374" s="95" t="str">
        <f ca="1">IFERROR(__xludf.DUMMYFUNCTION("""COMPUTED_VALUE"""),"New")</f>
        <v>New</v>
      </c>
      <c r="H374" s="96">
        <f ca="1">IFERROR(__xludf.DUMMYFUNCTION("""COMPUTED_VALUE"""),1)</f>
        <v>1</v>
      </c>
      <c r="I374" s="97">
        <f ca="1">IFERROR(__xludf.DUMMYFUNCTION("""COMPUTED_VALUE"""),46083)</f>
        <v>46083</v>
      </c>
      <c r="J374" s="98" t="str">
        <f ca="1">IFERROR(__xludf.DUMMYFUNCTION("""COMPUTED_VALUE"""),"CW26461_Mar26")</f>
        <v>CW26461_Mar26</v>
      </c>
      <c r="K374" s="99" t="str">
        <f ca="1">IFERROR(__xludf.DUMMYFUNCTION("""COMPUTED_VALUE"""),"HoM Approved")</f>
        <v>HoM Approved</v>
      </c>
    </row>
    <row r="375" spans="1:11" ht="13.2">
      <c r="A375" s="89" t="str">
        <f ca="1">IFERROR(__xludf.DUMMYFUNCTION("""COMPUTED_VALUE"""),"PRAN Recipe Mix")</f>
        <v>PRAN Recipe Mix</v>
      </c>
      <c r="B375" s="90" t="str">
        <f ca="1">IFERROR(__xludf.DUMMYFUNCTION("""COMPUTED_VALUE"""),"NAL")</f>
        <v>NAL</v>
      </c>
      <c r="C375" s="91" t="str">
        <f ca="1">IFERROR(__xludf.DUMMYFUNCTION("""COMPUTED_VALUE"""),"Minhaz Vai")</f>
        <v>Minhaz Vai</v>
      </c>
      <c r="D375" s="92" t="str">
        <f ca="1">IFERROR(__xludf.DUMMYFUNCTION("""COMPUTED_VALUE"""),"Faruk Hossain (521288)")</f>
        <v>Faruk Hossain (521288)</v>
      </c>
      <c r="E375" s="93" t="str">
        <f ca="1">IFERROR(__xludf.DUMMYFUNCTION("""COMPUTED_VALUE"""),"CB15406_Jan26")</f>
        <v>CB15406_Jan26</v>
      </c>
      <c r="F375" s="94" t="str">
        <f ca="1">IFERROR(__xludf.DUMMYFUNCTION("""COMPUTED_VALUE"""),"ATC Box Output")</f>
        <v>ATC Box Output</v>
      </c>
      <c r="G375" s="95" t="str">
        <f ca="1">IFERROR(__xludf.DUMMYFUNCTION("""COMPUTED_VALUE"""),"New")</f>
        <v>New</v>
      </c>
      <c r="H375" s="96">
        <f ca="1">IFERROR(__xludf.DUMMYFUNCTION("""COMPUTED_VALUE"""),8)</f>
        <v>8</v>
      </c>
      <c r="I375" s="97">
        <f ca="1">IFERROR(__xludf.DUMMYFUNCTION("""COMPUTED_VALUE"""),46083)</f>
        <v>46083</v>
      </c>
      <c r="J375" s="98" t="str">
        <f ca="1">IFERROR(__xludf.DUMMYFUNCTION("""COMPUTED_VALUE"""),"CW26447_Mar26")</f>
        <v>CW26447_Mar26</v>
      </c>
      <c r="K375" s="99" t="str">
        <f ca="1">IFERROR(__xludf.DUMMYFUNCTION("""COMPUTED_VALUE"""),"HoM Approved")</f>
        <v>HoM Approved</v>
      </c>
    </row>
    <row r="376" spans="1:11" ht="13.2">
      <c r="A376" s="89" t="str">
        <f ca="1">IFERROR(__xludf.DUMMYFUNCTION("""COMPUTED_VALUE"""),"Bisk Club Funcrack")</f>
        <v>Bisk Club Funcrack</v>
      </c>
      <c r="B376" s="90" t="str">
        <f ca="1">IFERROR(__xludf.DUMMYFUNCTION("""COMPUTED_VALUE"""),"BBL")</f>
        <v>BBL</v>
      </c>
      <c r="C376" s="91" t="str">
        <f ca="1">IFERROR(__xludf.DUMMYFUNCTION("""COMPUTED_VALUE"""),"Maksuda Apu")</f>
        <v>Maksuda Apu</v>
      </c>
      <c r="D376" s="92" t="str">
        <f ca="1">IFERROR(__xludf.DUMMYFUNCTION("""COMPUTED_VALUE"""),"Faruk Hossain (521288)")</f>
        <v>Faruk Hossain (521288)</v>
      </c>
      <c r="E376" s="93" t="str">
        <f ca="1">IFERROR(__xludf.DUMMYFUNCTION("""COMPUTED_VALUE"""),"CB18749_Mar26")</f>
        <v>CB18749_Mar26</v>
      </c>
      <c r="F376" s="94" t="str">
        <f ca="1">IFERROR(__xludf.DUMMYFUNCTION("""COMPUTED_VALUE"""),"JAR Label Sticker Output")</f>
        <v>JAR Label Sticker Output</v>
      </c>
      <c r="G376" s="95" t="str">
        <f ca="1">IFERROR(__xludf.DUMMYFUNCTION("""COMPUTED_VALUE"""),"New")</f>
        <v>New</v>
      </c>
      <c r="H376" s="96">
        <f ca="1">IFERROR(__xludf.DUMMYFUNCTION("""COMPUTED_VALUE"""),1)</f>
        <v>1</v>
      </c>
      <c r="I376" s="97">
        <f ca="1">IFERROR(__xludf.DUMMYFUNCTION("""COMPUTED_VALUE"""),46084)</f>
        <v>46084</v>
      </c>
      <c r="J376" s="98" t="str">
        <f ca="1">IFERROR(__xludf.DUMMYFUNCTION("""COMPUTED_VALUE"""),"CW26539_Mar26")</f>
        <v>CW26539_Mar26</v>
      </c>
      <c r="K376" s="99" t="str">
        <f ca="1">IFERROR(__xludf.DUMMYFUNCTION("""COMPUTED_VALUE"""),"HoM Approved")</f>
        <v>HoM Approved</v>
      </c>
    </row>
    <row r="377" spans="1:11" ht="13.2">
      <c r="A377" s="89" t="str">
        <f ca="1">IFERROR(__xludf.DUMMYFUNCTION("""COMPUTED_VALUE"""),"Drinko Float-UAE")</f>
        <v>Drinko Float-UAE</v>
      </c>
      <c r="B377" s="90" t="str">
        <f ca="1">IFERROR(__xludf.DUMMYFUNCTION("""COMPUTED_VALUE"""),"PBL")</f>
        <v>PBL</v>
      </c>
      <c r="C377" s="91" t="str">
        <f ca="1">IFERROR(__xludf.DUMMYFUNCTION("""COMPUTED_VALUE"""),"Proshenjeet Vai")</f>
        <v>Proshenjeet Vai</v>
      </c>
      <c r="D377" s="92" t="str">
        <f ca="1">IFERROR(__xludf.DUMMYFUNCTION("""COMPUTED_VALUE"""),"Faruk Hossain (521288)")</f>
        <v>Faruk Hossain (521288)</v>
      </c>
      <c r="E377" s="93" t="str">
        <f ca="1">IFERROR(__xludf.DUMMYFUNCTION("""COMPUTED_VALUE"""),"CB18793_Mar26")</f>
        <v>CB18793_Mar26</v>
      </c>
      <c r="F377" s="94" t="str">
        <f ca="1">IFERROR(__xludf.DUMMYFUNCTION("""COMPUTED_VALUE"""),"JAR Label Sticker Output")</f>
        <v>JAR Label Sticker Output</v>
      </c>
      <c r="G377" s="95" t="str">
        <f ca="1">IFERROR(__xludf.DUMMYFUNCTION("""COMPUTED_VALUE"""),"New")</f>
        <v>New</v>
      </c>
      <c r="H377" s="96">
        <f ca="1">IFERROR(__xludf.DUMMYFUNCTION("""COMPUTED_VALUE"""),1)</f>
        <v>1</v>
      </c>
      <c r="I377" s="97">
        <f ca="1">IFERROR(__xludf.DUMMYFUNCTION("""COMPUTED_VALUE"""),46084)</f>
        <v>46084</v>
      </c>
      <c r="J377" s="98" t="str">
        <f ca="1">IFERROR(__xludf.DUMMYFUNCTION("""COMPUTED_VALUE"""),"CW26551_Mar26")</f>
        <v>CW26551_Mar26</v>
      </c>
      <c r="K377" s="99" t="str">
        <f ca="1">IFERROR(__xludf.DUMMYFUNCTION("""COMPUTED_VALUE"""),"HoM Approved")</f>
        <v>HoM Approved</v>
      </c>
    </row>
    <row r="378" spans="1:11" ht="13.2">
      <c r="A378" s="89" t="str">
        <f ca="1">IFERROR(__xludf.DUMMYFUNCTION("""COMPUTED_VALUE"""),"Jelly Drink")</f>
        <v>Jelly Drink</v>
      </c>
      <c r="B378" s="90" t="str">
        <f ca="1">IFERROR(__xludf.DUMMYFUNCTION("""COMPUTED_VALUE"""),"PAL")</f>
        <v>PAL</v>
      </c>
      <c r="C378" s="91" t="str">
        <f ca="1">IFERROR(__xludf.DUMMYFUNCTION("""COMPUTED_VALUE"""),"Rakib Vai")</f>
        <v>Rakib Vai</v>
      </c>
      <c r="D378" s="92" t="str">
        <f ca="1">IFERROR(__xludf.DUMMYFUNCTION("""COMPUTED_VALUE"""),"Faruk Hossain (521288)")</f>
        <v>Faruk Hossain (521288)</v>
      </c>
      <c r="E378" s="93" t="str">
        <f ca="1">IFERROR(__xludf.DUMMYFUNCTION("""COMPUTED_VALUE"""),"CB16573_Jan26")</f>
        <v>CB16573_Jan26</v>
      </c>
      <c r="F378" s="94" t="str">
        <f ca="1">IFERROR(__xludf.DUMMYFUNCTION("""COMPUTED_VALUE"""),"Leaflet/Poster Output")</f>
        <v>Leaflet/Poster Output</v>
      </c>
      <c r="G378" s="95" t="str">
        <f ca="1">IFERROR(__xludf.DUMMYFUNCTION("""COMPUTED_VALUE"""),"New")</f>
        <v>New</v>
      </c>
      <c r="H378" s="96">
        <f ca="1">IFERROR(__xludf.DUMMYFUNCTION("""COMPUTED_VALUE"""),1)</f>
        <v>1</v>
      </c>
      <c r="I378" s="97">
        <f ca="1">IFERROR(__xludf.DUMMYFUNCTION("""COMPUTED_VALUE"""),46084)</f>
        <v>46084</v>
      </c>
      <c r="J378" s="98" t="str">
        <f ca="1">IFERROR(__xludf.DUMMYFUNCTION("""COMPUTED_VALUE"""),"CW26531_Mar26")</f>
        <v>CW26531_Mar26</v>
      </c>
      <c r="K378" s="99" t="str">
        <f ca="1">IFERROR(__xludf.DUMMYFUNCTION("""COMPUTED_VALUE"""),"HoM Approved")</f>
        <v>HoM Approved</v>
      </c>
    </row>
    <row r="379" spans="1:11" ht="13.2">
      <c r="A379" s="89" t="str">
        <f ca="1">IFERROR(__xludf.DUMMYFUNCTION("""COMPUTED_VALUE"""),"PRAN Spice Powder")</f>
        <v>PRAN Spice Powder</v>
      </c>
      <c r="B379" s="90" t="str">
        <f ca="1">IFERROR(__xludf.DUMMYFUNCTION("""COMPUTED_VALUE"""),"Malaysia")</f>
        <v>Malaysia</v>
      </c>
      <c r="C379" s="91" t="str">
        <f ca="1">IFERROR(__xludf.DUMMYFUNCTION("""COMPUTED_VALUE"""),"Zahirul Vai")</f>
        <v>Zahirul Vai</v>
      </c>
      <c r="D379" s="92" t="str">
        <f ca="1">IFERROR(__xludf.DUMMYFUNCTION("""COMPUTED_VALUE"""),"Faruk Hossain (521288)")</f>
        <v>Faruk Hossain (521288)</v>
      </c>
      <c r="E379" s="93" t="str">
        <f ca="1">IFERROR(__xludf.DUMMYFUNCTION("""COMPUTED_VALUE"""),"CB16843_Feb26")</f>
        <v>CB16843_Feb26</v>
      </c>
      <c r="F379" s="94" t="str">
        <f ca="1">IFERROR(__xludf.DUMMYFUNCTION("""COMPUTED_VALUE"""),"ATC Box Output")</f>
        <v>ATC Box Output</v>
      </c>
      <c r="G379" s="95" t="str">
        <f ca="1">IFERROR(__xludf.DUMMYFUNCTION("""COMPUTED_VALUE"""),"New")</f>
        <v>New</v>
      </c>
      <c r="H379" s="96">
        <f ca="1">IFERROR(__xludf.DUMMYFUNCTION("""COMPUTED_VALUE"""),6)</f>
        <v>6</v>
      </c>
      <c r="I379" s="97">
        <f ca="1">IFERROR(__xludf.DUMMYFUNCTION("""COMPUTED_VALUE"""),46084)</f>
        <v>46084</v>
      </c>
      <c r="J379" s="98" t="str">
        <f ca="1">IFERROR(__xludf.DUMMYFUNCTION("""COMPUTED_VALUE"""),"CW26562_Mar26")</f>
        <v>CW26562_Mar26</v>
      </c>
      <c r="K379" s="99" t="str">
        <f ca="1">IFERROR(__xludf.DUMMYFUNCTION("""COMPUTED_VALUE"""),"HoM Approved")</f>
        <v>HoM Approved</v>
      </c>
    </row>
    <row r="380" spans="1:11" ht="13.2">
      <c r="A380" s="89" t="str">
        <f ca="1">IFERROR(__xludf.DUMMYFUNCTION("""COMPUTED_VALUE"""),"Xcel Gum")</f>
        <v>Xcel Gum</v>
      </c>
      <c r="B380" s="90" t="str">
        <f ca="1">IFERROR(__xludf.DUMMYFUNCTION("""COMPUTED_VALUE"""),"PCL")</f>
        <v>PCL</v>
      </c>
      <c r="C380" s="91" t="str">
        <f ca="1">IFERROR(__xludf.DUMMYFUNCTION("""COMPUTED_VALUE"""),"Zahirul Vai")</f>
        <v>Zahirul Vai</v>
      </c>
      <c r="D380" s="92" t="str">
        <f ca="1">IFERROR(__xludf.DUMMYFUNCTION("""COMPUTED_VALUE"""),"Faruk Hossain (521288)")</f>
        <v>Faruk Hossain (521288)</v>
      </c>
      <c r="E380" s="93" t="str">
        <f ca="1">IFERROR(__xludf.DUMMYFUNCTION("""COMPUTED_VALUE"""),"CB18710_Mar26")</f>
        <v>CB18710_Mar26</v>
      </c>
      <c r="F380" s="94" t="str">
        <f ca="1">IFERROR(__xludf.DUMMYFUNCTION("""COMPUTED_VALUE"""),"JAR Label Sticker Output")</f>
        <v>JAR Label Sticker Output</v>
      </c>
      <c r="G380" s="95" t="str">
        <f ca="1">IFERROR(__xludf.DUMMYFUNCTION("""COMPUTED_VALUE"""),"New")</f>
        <v>New</v>
      </c>
      <c r="H380" s="96">
        <f ca="1">IFERROR(__xludf.DUMMYFUNCTION("""COMPUTED_VALUE"""),2)</f>
        <v>2</v>
      </c>
      <c r="I380" s="97">
        <f ca="1">IFERROR(__xludf.DUMMYFUNCTION("""COMPUTED_VALUE"""),46084)</f>
        <v>46084</v>
      </c>
      <c r="J380" s="98" t="str">
        <f ca="1">IFERROR(__xludf.DUMMYFUNCTION("""COMPUTED_VALUE"""),"CW26571_Mar26")</f>
        <v>CW26571_Mar26</v>
      </c>
      <c r="K380" s="99" t="str">
        <f ca="1">IFERROR(__xludf.DUMMYFUNCTION("""COMPUTED_VALUE"""),"HoM Approved")</f>
        <v>HoM Approved</v>
      </c>
    </row>
    <row r="381" spans="1:11" ht="13.2">
      <c r="A381" s="89" t="str">
        <f ca="1">IFERROR(__xludf.DUMMYFUNCTION("""COMPUTED_VALUE"""),"PRAN Lollipop")</f>
        <v>PRAN Lollipop</v>
      </c>
      <c r="B381" s="90" t="str">
        <f ca="1">IFERROR(__xludf.DUMMYFUNCTION("""COMPUTED_VALUE"""),"PCL")</f>
        <v>PCL</v>
      </c>
      <c r="C381" s="91" t="str">
        <f ca="1">IFERROR(__xludf.DUMMYFUNCTION("""COMPUTED_VALUE"""),"Enamul Vai")</f>
        <v>Enamul Vai</v>
      </c>
      <c r="D381" s="92" t="str">
        <f ca="1">IFERROR(__xludf.DUMMYFUNCTION("""COMPUTED_VALUE"""),"Faruk Hossain (521288)")</f>
        <v>Faruk Hossain (521288)</v>
      </c>
      <c r="E381" s="93" t="str">
        <f ca="1">IFERROR(__xludf.DUMMYFUNCTION("""COMPUTED_VALUE"""),"CB14513_Dec25")</f>
        <v>CB14513_Dec25</v>
      </c>
      <c r="F381" s="94" t="str">
        <f ca="1">IFERROR(__xludf.DUMMYFUNCTION("""COMPUTED_VALUE"""),"JAR Label Sticker Output")</f>
        <v>JAR Label Sticker Output</v>
      </c>
      <c r="G381" s="95" t="str">
        <f ca="1">IFERROR(__xludf.DUMMYFUNCTION("""COMPUTED_VALUE"""),"New")</f>
        <v>New</v>
      </c>
      <c r="H381" s="96">
        <f ca="1">IFERROR(__xludf.DUMMYFUNCTION("""COMPUTED_VALUE"""),3)</f>
        <v>3</v>
      </c>
      <c r="I381" s="97">
        <f ca="1">IFERROR(__xludf.DUMMYFUNCTION("""COMPUTED_VALUE"""),46085)</f>
        <v>46085</v>
      </c>
      <c r="J381" s="98" t="str">
        <f ca="1">IFERROR(__xludf.DUMMYFUNCTION("""COMPUTED_VALUE"""),"CW26686_Mar26")</f>
        <v>CW26686_Mar26</v>
      </c>
      <c r="K381" s="99" t="str">
        <f ca="1">IFERROR(__xludf.DUMMYFUNCTION("""COMPUTED_VALUE"""),"HoM Approved")</f>
        <v>HoM Approved</v>
      </c>
    </row>
    <row r="382" spans="1:11" ht="13.2">
      <c r="A382" s="89" t="str">
        <f ca="1">IFERROR(__xludf.DUMMYFUNCTION("""COMPUTED_VALUE"""),"PRAN Noodles")</f>
        <v>PRAN Noodles</v>
      </c>
      <c r="B382" s="90" t="str">
        <f ca="1">IFERROR(__xludf.DUMMYFUNCTION("""COMPUTED_VALUE"""),"PAL")</f>
        <v>PAL</v>
      </c>
      <c r="C382" s="91" t="str">
        <f ca="1">IFERROR(__xludf.DUMMYFUNCTION("""COMPUTED_VALUE"""),"Sanjida Apu")</f>
        <v>Sanjida Apu</v>
      </c>
      <c r="D382" s="92" t="str">
        <f ca="1">IFERROR(__xludf.DUMMYFUNCTION("""COMPUTED_VALUE"""),"Faruk Hossain (521288)")</f>
        <v>Faruk Hossain (521288)</v>
      </c>
      <c r="E382" s="93" t="str">
        <f ca="1">IFERROR(__xludf.DUMMYFUNCTION("""COMPUTED_VALUE"""),"CB18048_Feb26")</f>
        <v>CB18048_Feb26</v>
      </c>
      <c r="F382" s="94" t="str">
        <f ca="1">IFERROR(__xludf.DUMMYFUNCTION("""COMPUTED_VALUE"""),"Output Setup (Gravure/Offset)")</f>
        <v>Output Setup (Gravure/Offset)</v>
      </c>
      <c r="G382" s="95" t="str">
        <f ca="1">IFERROR(__xludf.DUMMYFUNCTION("""COMPUTED_VALUE"""),"New")</f>
        <v>New</v>
      </c>
      <c r="H382" s="96">
        <f ca="1">IFERROR(__xludf.DUMMYFUNCTION("""COMPUTED_VALUE"""),1)</f>
        <v>1</v>
      </c>
      <c r="I382" s="97">
        <f ca="1">IFERROR(__xludf.DUMMYFUNCTION("""COMPUTED_VALUE"""),46085)</f>
        <v>46085</v>
      </c>
      <c r="J382" s="98" t="str">
        <f ca="1">IFERROR(__xludf.DUMMYFUNCTION("""COMPUTED_VALUE"""),"CW26689_Mar26")</f>
        <v>CW26689_Mar26</v>
      </c>
      <c r="K382" s="99" t="str">
        <f ca="1">IFERROR(__xludf.DUMMYFUNCTION("""COMPUTED_VALUE"""),"HoM Approved")</f>
        <v>HoM Approved</v>
      </c>
    </row>
    <row r="383" spans="1:11" ht="13.2">
      <c r="A383" s="89" t="str">
        <f ca="1">IFERROR(__xludf.DUMMYFUNCTION("""COMPUTED_VALUE"""),"Treat Chocolate")</f>
        <v>Treat Chocolate</v>
      </c>
      <c r="B383" s="90" t="str">
        <f ca="1">IFERROR(__xludf.DUMMYFUNCTION("""COMPUTED_VALUE"""),"PCL")</f>
        <v>PCL</v>
      </c>
      <c r="C383" s="91" t="str">
        <f ca="1">IFERROR(__xludf.DUMMYFUNCTION("""COMPUTED_VALUE"""),"Sohel Vai")</f>
        <v>Sohel Vai</v>
      </c>
      <c r="D383" s="92" t="str">
        <f ca="1">IFERROR(__xludf.DUMMYFUNCTION("""COMPUTED_VALUE"""),"Faruk Hossain (521288)")</f>
        <v>Faruk Hossain (521288)</v>
      </c>
      <c r="E383" s="93" t="str">
        <f ca="1">IFERROR(__xludf.DUMMYFUNCTION("""COMPUTED_VALUE"""),"CB18921_Mar26")</f>
        <v>CB18921_Mar26</v>
      </c>
      <c r="F383" s="94" t="str">
        <f ca="1">IFERROR(__xludf.DUMMYFUNCTION("""COMPUTED_VALUE"""),"JAR Label Sticker Output")</f>
        <v>JAR Label Sticker Output</v>
      </c>
      <c r="G383" s="95" t="str">
        <f ca="1">IFERROR(__xludf.DUMMYFUNCTION("""COMPUTED_VALUE"""),"New")</f>
        <v>New</v>
      </c>
      <c r="H383" s="96">
        <f ca="1">IFERROR(__xludf.DUMMYFUNCTION("""COMPUTED_VALUE"""),5)</f>
        <v>5</v>
      </c>
      <c r="I383" s="97">
        <f ca="1">IFERROR(__xludf.DUMMYFUNCTION("""COMPUTED_VALUE"""),46085)</f>
        <v>46085</v>
      </c>
      <c r="J383" s="98" t="str">
        <f ca="1">IFERROR(__xludf.DUMMYFUNCTION("""COMPUTED_VALUE"""),"CW26681_Mar26")</f>
        <v>CW26681_Mar26</v>
      </c>
      <c r="K383" s="99" t="str">
        <f ca="1">IFERROR(__xludf.DUMMYFUNCTION("""COMPUTED_VALUE"""),"HoM Approved")</f>
        <v>HoM Approved</v>
      </c>
    </row>
    <row r="384" spans="1:11" ht="13.2">
      <c r="A384" s="89" t="str">
        <f ca="1">IFERROR(__xludf.DUMMYFUNCTION("""COMPUTED_VALUE"""),"Common")</f>
        <v>Common</v>
      </c>
      <c r="B384" s="90" t="str">
        <f ca="1">IFERROR(__xludf.DUMMYFUNCTION("""COMPUTED_VALUE"""),"UAE")</f>
        <v>UAE</v>
      </c>
      <c r="C384" s="91" t="str">
        <f ca="1">IFERROR(__xludf.DUMMYFUNCTION("""COMPUTED_VALUE"""),"Yeasin Vai")</f>
        <v>Yeasin Vai</v>
      </c>
      <c r="D384" s="92" t="str">
        <f ca="1">IFERROR(__xludf.DUMMYFUNCTION("""COMPUTED_VALUE"""),"Faruk Hossain (521288)")</f>
        <v>Faruk Hossain (521288)</v>
      </c>
      <c r="E384" s="93" t="str">
        <f ca="1">IFERROR(__xludf.DUMMYFUNCTION("""COMPUTED_VALUE"""),"CB18817_Mar26")</f>
        <v>CB18817_Mar26</v>
      </c>
      <c r="F384" s="94" t="str">
        <f ca="1">IFERROR(__xludf.DUMMYFUNCTION("""COMPUTED_VALUE"""),"Leaflet/Poster Output")</f>
        <v>Leaflet/Poster Output</v>
      </c>
      <c r="G384" s="95" t="str">
        <f ca="1">IFERROR(__xludf.DUMMYFUNCTION("""COMPUTED_VALUE"""),"New")</f>
        <v>New</v>
      </c>
      <c r="H384" s="96">
        <f ca="1">IFERROR(__xludf.DUMMYFUNCTION("""COMPUTED_VALUE"""),2)</f>
        <v>2</v>
      </c>
      <c r="I384" s="97">
        <f ca="1">IFERROR(__xludf.DUMMYFUNCTION("""COMPUTED_VALUE"""),46085)</f>
        <v>46085</v>
      </c>
      <c r="J384" s="98" t="str">
        <f ca="1">IFERROR(__xludf.DUMMYFUNCTION("""COMPUTED_VALUE"""),"CW26679_Mar26")</f>
        <v>CW26679_Mar26</v>
      </c>
      <c r="K384" s="99" t="str">
        <f ca="1">IFERROR(__xludf.DUMMYFUNCTION("""COMPUTED_VALUE"""),"HoM Approved")</f>
        <v>HoM Approved</v>
      </c>
    </row>
    <row r="385" spans="1:11" ht="13.2">
      <c r="A385" s="89" t="str">
        <f ca="1">IFERROR(__xludf.DUMMYFUNCTION("""COMPUTED_VALUE"""),"Xcel Gum")</f>
        <v>Xcel Gum</v>
      </c>
      <c r="B385" s="90" t="str">
        <f ca="1">IFERROR(__xludf.DUMMYFUNCTION("""COMPUTED_VALUE"""),"PCL")</f>
        <v>PCL</v>
      </c>
      <c r="C385" s="91" t="str">
        <f ca="1">IFERROR(__xludf.DUMMYFUNCTION("""COMPUTED_VALUE"""),"Zahirul Vai")</f>
        <v>Zahirul Vai</v>
      </c>
      <c r="D385" s="92" t="str">
        <f ca="1">IFERROR(__xludf.DUMMYFUNCTION("""COMPUTED_VALUE"""),"Faruk Hossain (521288)")</f>
        <v>Faruk Hossain (521288)</v>
      </c>
      <c r="E385" s="93" t="str">
        <f ca="1">IFERROR(__xludf.DUMMYFUNCTION("""COMPUTED_VALUE"""),"CB18710_Mar26")</f>
        <v>CB18710_Mar26</v>
      </c>
      <c r="F385" s="94" t="str">
        <f ca="1">IFERROR(__xludf.DUMMYFUNCTION("""COMPUTED_VALUE"""),"JAR Label Sticker Output")</f>
        <v>JAR Label Sticker Output</v>
      </c>
      <c r="G385" s="95" t="str">
        <f ca="1">IFERROR(__xludf.DUMMYFUNCTION("""COMPUTED_VALUE"""),"New")</f>
        <v>New</v>
      </c>
      <c r="H385" s="96">
        <f ca="1">IFERROR(__xludf.DUMMYFUNCTION("""COMPUTED_VALUE"""),2)</f>
        <v>2</v>
      </c>
      <c r="I385" s="97">
        <f ca="1">IFERROR(__xludf.DUMMYFUNCTION("""COMPUTED_VALUE"""),46085)</f>
        <v>46085</v>
      </c>
      <c r="J385" s="98" t="str">
        <f ca="1">IFERROR(__xludf.DUMMYFUNCTION("""COMPUTED_VALUE"""),"CW26688_Mar26")</f>
        <v>CW26688_Mar26</v>
      </c>
      <c r="K385" s="99" t="str">
        <f ca="1">IFERROR(__xludf.DUMMYFUNCTION("""COMPUTED_VALUE"""),"HoM Approved")</f>
        <v>HoM Approved</v>
      </c>
    </row>
    <row r="386" spans="1:11" ht="13.2">
      <c r="A386" s="89" t="str">
        <f ca="1">IFERROR(__xludf.DUMMYFUNCTION("""COMPUTED_VALUE"""),"PRAN Litchi Drink")</f>
        <v>PRAN Litchi Drink</v>
      </c>
      <c r="B386" s="90" t="str">
        <f ca="1">IFERROR(__xludf.DUMMYFUNCTION("""COMPUTED_VALUE"""),"UAE")</f>
        <v>UAE</v>
      </c>
      <c r="C386" s="91" t="str">
        <f ca="1">IFERROR(__xludf.DUMMYFUNCTION("""COMPUTED_VALUE"""),"Sahidul Vai")</f>
        <v>Sahidul Vai</v>
      </c>
      <c r="D386" s="92" t="str">
        <f ca="1">IFERROR(__xludf.DUMMYFUNCTION("""COMPUTED_VALUE"""),"Faruk Hossain (521288)")</f>
        <v>Faruk Hossain (521288)</v>
      </c>
      <c r="E386" s="93" t="str">
        <f ca="1">IFERROR(__xludf.DUMMYFUNCTION("""COMPUTED_VALUE"""),"CB18679_Mar26")</f>
        <v>CB18679_Mar26</v>
      </c>
      <c r="F386" s="94" t="str">
        <f ca="1">IFERROR(__xludf.DUMMYFUNCTION("""COMPUTED_VALUE"""),"Leaflet/Poster Output")</f>
        <v>Leaflet/Poster Output</v>
      </c>
      <c r="G386" s="95" t="str">
        <f ca="1">IFERROR(__xludf.DUMMYFUNCTION("""COMPUTED_VALUE"""),"New")</f>
        <v>New</v>
      </c>
      <c r="H386" s="96">
        <f ca="1">IFERROR(__xludf.DUMMYFUNCTION("""COMPUTED_VALUE"""),1)</f>
        <v>1</v>
      </c>
      <c r="I386" s="97">
        <f ca="1">IFERROR(__xludf.DUMMYFUNCTION("""COMPUTED_VALUE"""),46086)</f>
        <v>46086</v>
      </c>
      <c r="J386" s="98" t="str">
        <f ca="1">IFERROR(__xludf.DUMMYFUNCTION("""COMPUTED_VALUE"""),"CW26766_Mar26")</f>
        <v>CW26766_Mar26</v>
      </c>
      <c r="K386" s="99" t="str">
        <f ca="1">IFERROR(__xludf.DUMMYFUNCTION("""COMPUTED_VALUE"""),"HoM Approved")</f>
        <v>HoM Approved</v>
      </c>
    </row>
    <row r="387" spans="1:11" ht="13.2">
      <c r="A387" s="89" t="str">
        <f ca="1">IFERROR(__xludf.DUMMYFUNCTION("""COMPUTED_VALUE"""),"Mango Roll")</f>
        <v>Mango Roll</v>
      </c>
      <c r="B387" s="90" t="str">
        <f ca="1">IFERROR(__xludf.DUMMYFUNCTION("""COMPUTED_VALUE"""),"PAL")</f>
        <v>PAL</v>
      </c>
      <c r="C387" s="91" t="str">
        <f ca="1">IFERROR(__xludf.DUMMYFUNCTION("""COMPUTED_VALUE"""),"Zahirul Vai")</f>
        <v>Zahirul Vai</v>
      </c>
      <c r="D387" s="92" t="str">
        <f ca="1">IFERROR(__xludf.DUMMYFUNCTION("""COMPUTED_VALUE"""),"Faruk Hossain (521288)")</f>
        <v>Faruk Hossain (521288)</v>
      </c>
      <c r="E387" s="93" t="str">
        <f ca="1">IFERROR(__xludf.DUMMYFUNCTION("""COMPUTED_VALUE"""),"CB18090_Feb26")</f>
        <v>CB18090_Feb26</v>
      </c>
      <c r="F387" s="94" t="str">
        <f ca="1">IFERROR(__xludf.DUMMYFUNCTION("""COMPUTED_VALUE"""),"JAR Label Sticker Output")</f>
        <v>JAR Label Sticker Output</v>
      </c>
      <c r="G387" s="95" t="str">
        <f ca="1">IFERROR(__xludf.DUMMYFUNCTION("""COMPUTED_VALUE"""),"New")</f>
        <v>New</v>
      </c>
      <c r="H387" s="96">
        <f ca="1">IFERROR(__xludf.DUMMYFUNCTION("""COMPUTED_VALUE"""),2)</f>
        <v>2</v>
      </c>
      <c r="I387" s="97">
        <f ca="1">IFERROR(__xludf.DUMMYFUNCTION("""COMPUTED_VALUE"""),46086)</f>
        <v>46086</v>
      </c>
      <c r="J387" s="98" t="str">
        <f ca="1">IFERROR(__xludf.DUMMYFUNCTION("""COMPUTED_VALUE"""),"CW26772_Mar26")</f>
        <v>CW26772_Mar26</v>
      </c>
      <c r="K387" s="99" t="str">
        <f ca="1">IFERROR(__xludf.DUMMYFUNCTION("""COMPUTED_VALUE"""),"HoM Approved")</f>
        <v>HoM Approved</v>
      </c>
    </row>
    <row r="388" spans="1:11" ht="13.2">
      <c r="A388" s="89" t="str">
        <f ca="1">IFERROR(__xludf.DUMMYFUNCTION("""COMPUTED_VALUE"""),"PRAN Oh Cake")</f>
        <v>PRAN Oh Cake</v>
      </c>
      <c r="B388" s="90" t="str">
        <f ca="1">IFERROR(__xludf.DUMMYFUNCTION("""COMPUTED_VALUE"""),"Malaysia")</f>
        <v>Malaysia</v>
      </c>
      <c r="C388" s="91" t="str">
        <f ca="1">IFERROR(__xludf.DUMMYFUNCTION("""COMPUTED_VALUE"""),"Rakib Vai")</f>
        <v>Rakib Vai</v>
      </c>
      <c r="D388" s="92" t="str">
        <f ca="1">IFERROR(__xludf.DUMMYFUNCTION("""COMPUTED_VALUE"""),"Faruk Hossain (521288)")</f>
        <v>Faruk Hossain (521288)</v>
      </c>
      <c r="E388" s="93" t="str">
        <f ca="1">IFERROR(__xludf.DUMMYFUNCTION("""COMPUTED_VALUE"""),"CB18118_Feb26")</f>
        <v>CB18118_Feb26</v>
      </c>
      <c r="F388" s="94" t="str">
        <f ca="1">IFERROR(__xludf.DUMMYFUNCTION("""COMPUTED_VALUE"""),"ATC Box Output")</f>
        <v>ATC Box Output</v>
      </c>
      <c r="G388" s="95" t="str">
        <f ca="1">IFERROR(__xludf.DUMMYFUNCTION("""COMPUTED_VALUE"""),"New")</f>
        <v>New</v>
      </c>
      <c r="H388" s="96">
        <f ca="1">IFERROR(__xludf.DUMMYFUNCTION("""COMPUTED_VALUE"""),3)</f>
        <v>3</v>
      </c>
      <c r="I388" s="97">
        <f ca="1">IFERROR(__xludf.DUMMYFUNCTION("""COMPUTED_VALUE"""),46088)</f>
        <v>46088</v>
      </c>
      <c r="J388" s="98" t="str">
        <f ca="1">IFERROR(__xludf.DUMMYFUNCTION("""COMPUTED_VALUE"""),"CW26835_Mar26")</f>
        <v>CW26835_Mar26</v>
      </c>
      <c r="K388" s="99" t="str">
        <f ca="1">IFERROR(__xludf.DUMMYFUNCTION("""COMPUTED_VALUE"""),"HoM Approved")</f>
        <v>HoM Approved</v>
      </c>
    </row>
    <row r="389" spans="1:11" ht="13.2">
      <c r="A389" s="89" t="str">
        <f ca="1">IFERROR(__xludf.DUMMYFUNCTION("""COMPUTED_VALUE"""),"PRAN soft chew")</f>
        <v>PRAN soft chew</v>
      </c>
      <c r="B389" s="90" t="str">
        <f ca="1">IFERROR(__xludf.DUMMYFUNCTION("""COMPUTED_VALUE"""),"PCL")</f>
        <v>PCL</v>
      </c>
      <c r="C389" s="91" t="str">
        <f ca="1">IFERROR(__xludf.DUMMYFUNCTION("""COMPUTED_VALUE"""),"Sohel Vai")</f>
        <v>Sohel Vai</v>
      </c>
      <c r="D389" s="92" t="str">
        <f ca="1">IFERROR(__xludf.DUMMYFUNCTION("""COMPUTED_VALUE"""),"Faruk Hossain (521288)")</f>
        <v>Faruk Hossain (521288)</v>
      </c>
      <c r="E389" s="93" t="str">
        <f ca="1">IFERROR(__xludf.DUMMYFUNCTION("""COMPUTED_VALUE"""),"CB12046_Nov25")</f>
        <v>CB12046_Nov25</v>
      </c>
      <c r="F389" s="94" t="str">
        <f ca="1">IFERROR(__xludf.DUMMYFUNCTION("""COMPUTED_VALUE"""),"JAR Label Sticker Output")</f>
        <v>JAR Label Sticker Output</v>
      </c>
      <c r="G389" s="95" t="str">
        <f ca="1">IFERROR(__xludf.DUMMYFUNCTION("""COMPUTED_VALUE"""),"New")</f>
        <v>New</v>
      </c>
      <c r="H389" s="96">
        <f ca="1">IFERROR(__xludf.DUMMYFUNCTION("""COMPUTED_VALUE"""),8)</f>
        <v>8</v>
      </c>
      <c r="I389" s="97">
        <f ca="1">IFERROR(__xludf.DUMMYFUNCTION("""COMPUTED_VALUE"""),46089)</f>
        <v>46089</v>
      </c>
      <c r="J389" s="98" t="str">
        <f ca="1">IFERROR(__xludf.DUMMYFUNCTION("""COMPUTED_VALUE"""),"CW26918_Mar26")</f>
        <v>CW26918_Mar26</v>
      </c>
      <c r="K389" s="99" t="str">
        <f ca="1">IFERROR(__xludf.DUMMYFUNCTION("""COMPUTED_VALUE"""),"HoM Approved")</f>
        <v>HoM Approved</v>
      </c>
    </row>
    <row r="390" spans="1:11" ht="13.2">
      <c r="A390" s="89" t="str">
        <f ca="1">IFERROR(__xludf.DUMMYFUNCTION("""COMPUTED_VALUE"""),"Rainbow Paints")</f>
        <v>Rainbow Paints</v>
      </c>
      <c r="B390" s="90" t="str">
        <f ca="1">IFERROR(__xludf.DUMMYFUNCTION("""COMPUTED_VALUE"""),"MLIL")</f>
        <v>MLIL</v>
      </c>
      <c r="C390" s="91" t="str">
        <f ca="1">IFERROR(__xludf.DUMMYFUNCTION("""COMPUTED_VALUE"""),"Badhon Vai")</f>
        <v>Badhon Vai</v>
      </c>
      <c r="D390" s="92" t="str">
        <f ca="1">IFERROR(__xludf.DUMMYFUNCTION("""COMPUTED_VALUE"""),"Faruk Hossain (521288)")</f>
        <v>Faruk Hossain (521288)</v>
      </c>
      <c r="E390" s="93" t="str">
        <f ca="1">IFERROR(__xludf.DUMMYFUNCTION("""COMPUTED_VALUE"""),"CB19175_Mar26")</f>
        <v>CB19175_Mar26</v>
      </c>
      <c r="F390" s="94" t="str">
        <f ca="1">IFERROR(__xludf.DUMMYFUNCTION("""COMPUTED_VALUE"""),"Leaflet/Poster Output")</f>
        <v>Leaflet/Poster Output</v>
      </c>
      <c r="G390" s="95" t="str">
        <f ca="1">IFERROR(__xludf.DUMMYFUNCTION("""COMPUTED_VALUE"""),"New")</f>
        <v>New</v>
      </c>
      <c r="H390" s="96">
        <f ca="1">IFERROR(__xludf.DUMMYFUNCTION("""COMPUTED_VALUE"""),1)</f>
        <v>1</v>
      </c>
      <c r="I390" s="97">
        <f ca="1">IFERROR(__xludf.DUMMYFUNCTION("""COMPUTED_VALUE"""),46090)</f>
        <v>46090</v>
      </c>
      <c r="J390" s="98" t="str">
        <f ca="1">IFERROR(__xludf.DUMMYFUNCTION("""COMPUTED_VALUE"""),"CW26993_Mar26")</f>
        <v>CW26993_Mar26</v>
      </c>
      <c r="K390" s="99" t="str">
        <f ca="1">IFERROR(__xludf.DUMMYFUNCTION("""COMPUTED_VALUE"""),"HoM Approved")</f>
        <v>HoM Approved</v>
      </c>
    </row>
    <row r="391" spans="1:11" ht="13.2">
      <c r="A391" s="89" t="str">
        <f ca="1">IFERROR(__xludf.DUMMYFUNCTION("""COMPUTED_VALUE"""),"Soft Bite")</f>
        <v>Soft Bite</v>
      </c>
      <c r="B391" s="90" t="str">
        <f ca="1">IFERROR(__xludf.DUMMYFUNCTION("""COMPUTED_VALUE"""),"PSC")</f>
        <v>PSC</v>
      </c>
      <c r="C391" s="91" t="str">
        <f ca="1">IFERROR(__xludf.DUMMYFUNCTION("""COMPUTED_VALUE"""),"Sohel Vai")</f>
        <v>Sohel Vai</v>
      </c>
      <c r="D391" s="92" t="str">
        <f ca="1">IFERROR(__xludf.DUMMYFUNCTION("""COMPUTED_VALUE"""),"Faruk Hossain (521288)")</f>
        <v>Faruk Hossain (521288)</v>
      </c>
      <c r="E391" s="93" t="str">
        <f ca="1">IFERROR(__xludf.DUMMYFUNCTION("""COMPUTED_VALUE"""),"CB19005_Mar26")</f>
        <v>CB19005_Mar26</v>
      </c>
      <c r="F391" s="94" t="str">
        <f ca="1">IFERROR(__xludf.DUMMYFUNCTION("""COMPUTED_VALUE"""),"Leaflet/Poster Output")</f>
        <v>Leaflet/Poster Output</v>
      </c>
      <c r="G391" s="95" t="str">
        <f ca="1">IFERROR(__xludf.DUMMYFUNCTION("""COMPUTED_VALUE"""),"New")</f>
        <v>New</v>
      </c>
      <c r="H391" s="96">
        <f ca="1">IFERROR(__xludf.DUMMYFUNCTION("""COMPUTED_VALUE"""),8)</f>
        <v>8</v>
      </c>
      <c r="I391" s="97">
        <f ca="1">IFERROR(__xludf.DUMMYFUNCTION("""COMPUTED_VALUE"""),46090)</f>
        <v>46090</v>
      </c>
      <c r="J391" s="98" t="str">
        <f ca="1">IFERROR(__xludf.DUMMYFUNCTION("""COMPUTED_VALUE"""),"CW27042_Mar26")</f>
        <v>CW27042_Mar26</v>
      </c>
      <c r="K391" s="99" t="str">
        <f ca="1">IFERROR(__xludf.DUMMYFUNCTION("""COMPUTED_VALUE"""),"HoM Approved")</f>
        <v>HoM Approved</v>
      </c>
    </row>
    <row r="392" spans="1:11" ht="13.2">
      <c r="A392" s="89" t="str">
        <f ca="1">IFERROR(__xludf.DUMMYFUNCTION("""COMPUTED_VALUE"""),"Ray Detergent Powder")</f>
        <v>Ray Detergent Powder</v>
      </c>
      <c r="B392" s="90" t="str">
        <f ca="1">IFERROR(__xludf.DUMMYFUNCTION("""COMPUTED_VALUE"""),"APCL")</f>
        <v>APCL</v>
      </c>
      <c r="C392" s="91" t="str">
        <f ca="1">IFERROR(__xludf.DUMMYFUNCTION("""COMPUTED_VALUE"""),"Reza Vai")</f>
        <v>Reza Vai</v>
      </c>
      <c r="D392" s="92" t="str">
        <f ca="1">IFERROR(__xludf.DUMMYFUNCTION("""COMPUTED_VALUE"""),"Faruk Hossain (521288)")</f>
        <v>Faruk Hossain (521288)</v>
      </c>
      <c r="E392" s="93" t="str">
        <f ca="1">IFERROR(__xludf.DUMMYFUNCTION("""COMPUTED_VALUE"""),"CB18700_Mar26")</f>
        <v>CB18700_Mar26</v>
      </c>
      <c r="F392" s="94" t="str">
        <f ca="1">IFERROR(__xludf.DUMMYFUNCTION("""COMPUTED_VALUE"""),"JAR Label Sticker Output")</f>
        <v>JAR Label Sticker Output</v>
      </c>
      <c r="G392" s="95" t="str">
        <f ca="1">IFERROR(__xludf.DUMMYFUNCTION("""COMPUTED_VALUE"""),"New")</f>
        <v>New</v>
      </c>
      <c r="H392" s="96">
        <f ca="1">IFERROR(__xludf.DUMMYFUNCTION("""COMPUTED_VALUE"""),1)</f>
        <v>1</v>
      </c>
      <c r="I392" s="97">
        <f ca="1">IFERROR(__xludf.DUMMYFUNCTION("""COMPUTED_VALUE"""),46091)</f>
        <v>46091</v>
      </c>
      <c r="J392" s="98" t="str">
        <f ca="1">IFERROR(__xludf.DUMMYFUNCTION("""COMPUTED_VALUE"""),"CW27175_Mar26")</f>
        <v>CW27175_Mar26</v>
      </c>
      <c r="K392" s="99" t="str">
        <f ca="1">IFERROR(__xludf.DUMMYFUNCTION("""COMPUTED_VALUE"""),"HoM Approved")</f>
        <v>HoM Approved</v>
      </c>
    </row>
    <row r="393" spans="1:11" ht="13.2">
      <c r="A393" s="89" t="str">
        <f ca="1">IFERROR(__xludf.DUMMYFUNCTION("""COMPUTED_VALUE"""),"PRAN Basic Spice")</f>
        <v>PRAN Basic Spice</v>
      </c>
      <c r="B393" s="90" t="str">
        <f ca="1">IFERROR(__xludf.DUMMYFUNCTION("""COMPUTED_VALUE"""),"NAL")</f>
        <v>NAL</v>
      </c>
      <c r="C393" s="91" t="str">
        <f ca="1">IFERROR(__xludf.DUMMYFUNCTION("""COMPUTED_VALUE"""),"Shamsul Sir")</f>
        <v>Shamsul Sir</v>
      </c>
      <c r="D393" s="92" t="str">
        <f ca="1">IFERROR(__xludf.DUMMYFUNCTION("""COMPUTED_VALUE"""),"Faruk Hossain (521288)")</f>
        <v>Faruk Hossain (521288)</v>
      </c>
      <c r="E393" s="93" t="str">
        <f ca="1">IFERROR(__xludf.DUMMYFUNCTION("""COMPUTED_VALUE"""),"CB19027_Mar26")</f>
        <v>CB19027_Mar26</v>
      </c>
      <c r="F393" s="94" t="str">
        <f ca="1">IFERROR(__xludf.DUMMYFUNCTION("""COMPUTED_VALUE"""),"Gravure Output #2")</f>
        <v>Gravure Output #2</v>
      </c>
      <c r="G393" s="95" t="str">
        <f ca="1">IFERROR(__xludf.DUMMYFUNCTION("""COMPUTED_VALUE"""),"New")</f>
        <v>New</v>
      </c>
      <c r="H393" s="96">
        <f ca="1">IFERROR(__xludf.DUMMYFUNCTION("""COMPUTED_VALUE"""),2)</f>
        <v>2</v>
      </c>
      <c r="I393" s="97">
        <f ca="1">IFERROR(__xludf.DUMMYFUNCTION("""COMPUTED_VALUE"""),46091)</f>
        <v>46091</v>
      </c>
      <c r="J393" s="98" t="str">
        <f ca="1">IFERROR(__xludf.DUMMYFUNCTION("""COMPUTED_VALUE"""),"CW27134_Mar26")</f>
        <v>CW27134_Mar26</v>
      </c>
      <c r="K393" s="99" t="str">
        <f ca="1">IFERROR(__xludf.DUMMYFUNCTION("""COMPUTED_VALUE"""),"HoM Approved")</f>
        <v>HoM Approved</v>
      </c>
    </row>
    <row r="394" spans="1:11" ht="13.2">
      <c r="A394" s="89" t="str">
        <f ca="1">IFERROR(__xludf.DUMMYFUNCTION("""COMPUTED_VALUE"""),"Papa Chips")</f>
        <v>Papa Chips</v>
      </c>
      <c r="B394" s="90" t="str">
        <f ca="1">IFERROR(__xludf.DUMMYFUNCTION("""COMPUTED_VALUE"""),"PFL")</f>
        <v>PFL</v>
      </c>
      <c r="C394" s="91" t="str">
        <f ca="1">IFERROR(__xludf.DUMMYFUNCTION("""COMPUTED_VALUE"""),"Zahirul Vai")</f>
        <v>Zahirul Vai</v>
      </c>
      <c r="D394" s="92" t="str">
        <f ca="1">IFERROR(__xludf.DUMMYFUNCTION("""COMPUTED_VALUE"""),"Faruk Hossain (521288)")</f>
        <v>Faruk Hossain (521288)</v>
      </c>
      <c r="E394" s="93" t="str">
        <f ca="1">IFERROR(__xludf.DUMMYFUNCTION("""COMPUTED_VALUE"""),"CB17538_Feb26")</f>
        <v>CB17538_Feb26</v>
      </c>
      <c r="F394" s="94" t="str">
        <f ca="1">IFERROR(__xludf.DUMMYFUNCTION("""COMPUTED_VALUE"""),"Gravure Output #2")</f>
        <v>Gravure Output #2</v>
      </c>
      <c r="G394" s="95" t="str">
        <f ca="1">IFERROR(__xludf.DUMMYFUNCTION("""COMPUTED_VALUE"""),"New")</f>
        <v>New</v>
      </c>
      <c r="H394" s="96">
        <f ca="1">IFERROR(__xludf.DUMMYFUNCTION("""COMPUTED_VALUE"""),2)</f>
        <v>2</v>
      </c>
      <c r="I394" s="97">
        <f ca="1">IFERROR(__xludf.DUMMYFUNCTION("""COMPUTED_VALUE"""),46091)</f>
        <v>46091</v>
      </c>
      <c r="J394" s="98" t="str">
        <f ca="1">IFERROR(__xludf.DUMMYFUNCTION("""COMPUTED_VALUE"""),"CW27139_Mar26")</f>
        <v>CW27139_Mar26</v>
      </c>
      <c r="K394" s="99" t="str">
        <f ca="1">IFERROR(__xludf.DUMMYFUNCTION("""COMPUTED_VALUE"""),"HoM Approved")</f>
        <v>HoM Approved</v>
      </c>
    </row>
    <row r="395" spans="1:11" ht="13.2">
      <c r="A395" s="89" t="str">
        <f ca="1">IFERROR(__xludf.DUMMYFUNCTION("""COMPUTED_VALUE"""),"PRAN Lollipop")</f>
        <v>PRAN Lollipop</v>
      </c>
      <c r="B395" s="90" t="str">
        <f ca="1">IFERROR(__xludf.DUMMYFUNCTION("""COMPUTED_VALUE"""),"PCL")</f>
        <v>PCL</v>
      </c>
      <c r="C395" s="91" t="str">
        <f ca="1">IFERROR(__xludf.DUMMYFUNCTION("""COMPUTED_VALUE"""),"Enamul Vai")</f>
        <v>Enamul Vai</v>
      </c>
      <c r="D395" s="92" t="str">
        <f ca="1">IFERROR(__xludf.DUMMYFUNCTION("""COMPUTED_VALUE"""),"Faruk Hossain (521288)")</f>
        <v>Faruk Hossain (521288)</v>
      </c>
      <c r="E395" s="93" t="str">
        <f ca="1">IFERROR(__xludf.DUMMYFUNCTION("""COMPUTED_VALUE"""),"CB18880_Mar26")</f>
        <v>CB18880_Mar26</v>
      </c>
      <c r="F395" s="94" t="str">
        <f ca="1">IFERROR(__xludf.DUMMYFUNCTION("""COMPUTED_VALUE"""),"JAR Label Sticker Output")</f>
        <v>JAR Label Sticker Output</v>
      </c>
      <c r="G395" s="95" t="str">
        <f ca="1">IFERROR(__xludf.DUMMYFUNCTION("""COMPUTED_VALUE"""),"New")</f>
        <v>New</v>
      </c>
      <c r="H395" s="96">
        <f ca="1">IFERROR(__xludf.DUMMYFUNCTION("""COMPUTED_VALUE"""),1)</f>
        <v>1</v>
      </c>
      <c r="I395" s="97">
        <f ca="1">IFERROR(__xludf.DUMMYFUNCTION("""COMPUTED_VALUE"""),46092)</f>
        <v>46092</v>
      </c>
      <c r="J395" s="98" t="str">
        <f ca="1">IFERROR(__xludf.DUMMYFUNCTION("""COMPUTED_VALUE"""),"CW27228_Mar26")</f>
        <v>CW27228_Mar26</v>
      </c>
      <c r="K395" s="99" t="str">
        <f ca="1">IFERROR(__xludf.DUMMYFUNCTION("""COMPUTED_VALUE"""),"HoM Approved")</f>
        <v>HoM Approved</v>
      </c>
    </row>
    <row r="396" spans="1:11" ht="13.2">
      <c r="A396" s="89" t="str">
        <f ca="1">IFERROR(__xludf.DUMMYFUNCTION("""COMPUTED_VALUE"""),"All Time Family Cake")</f>
        <v>All Time Family Cake</v>
      </c>
      <c r="B396" s="90" t="str">
        <f ca="1">IFERROR(__xludf.DUMMYFUNCTION("""COMPUTED_VALUE"""),"BBL")</f>
        <v>BBL</v>
      </c>
      <c r="C396" s="91" t="str">
        <f ca="1">IFERROR(__xludf.DUMMYFUNCTION("""COMPUTED_VALUE"""),"Shaifuddin Vai")</f>
        <v>Shaifuddin Vai</v>
      </c>
      <c r="D396" s="92" t="str">
        <f ca="1">IFERROR(__xludf.DUMMYFUNCTION("""COMPUTED_VALUE"""),"Faruk Hossain (521288)")</f>
        <v>Faruk Hossain (521288)</v>
      </c>
      <c r="E396" s="93" t="str">
        <f ca="1">IFERROR(__xludf.DUMMYFUNCTION("""COMPUTED_VALUE"""),"CB17637_Feb26")</f>
        <v>CB17637_Feb26</v>
      </c>
      <c r="F396" s="94" t="str">
        <f ca="1">IFERROR(__xludf.DUMMYFUNCTION("""COMPUTED_VALUE"""),"ATC Box Output")</f>
        <v>ATC Box Output</v>
      </c>
      <c r="G396" s="95" t="str">
        <f ca="1">IFERROR(__xludf.DUMMYFUNCTION("""COMPUTED_VALUE"""),"New")</f>
        <v>New</v>
      </c>
      <c r="H396" s="96">
        <f ca="1">IFERROR(__xludf.DUMMYFUNCTION("""COMPUTED_VALUE"""),1)</f>
        <v>1</v>
      </c>
      <c r="I396" s="97">
        <f ca="1">IFERROR(__xludf.DUMMYFUNCTION("""COMPUTED_VALUE"""),46092)</f>
        <v>46092</v>
      </c>
      <c r="J396" s="98" t="str">
        <f ca="1">IFERROR(__xludf.DUMMYFUNCTION("""COMPUTED_VALUE"""),"CW27222_Mar26")</f>
        <v>CW27222_Mar26</v>
      </c>
      <c r="K396" s="99" t="str">
        <f ca="1">IFERROR(__xludf.DUMMYFUNCTION("""COMPUTED_VALUE"""),"HoM Approved")</f>
        <v>HoM Approved</v>
      </c>
    </row>
    <row r="397" spans="1:11" ht="13.2">
      <c r="A397" s="89" t="str">
        <f ca="1">IFERROR(__xludf.DUMMYFUNCTION("""COMPUTED_VALUE"""),"PRAN Basic Spice")</f>
        <v>PRAN Basic Spice</v>
      </c>
      <c r="B397" s="90" t="str">
        <f ca="1">IFERROR(__xludf.DUMMYFUNCTION("""COMPUTED_VALUE"""),"NAL")</f>
        <v>NAL</v>
      </c>
      <c r="C397" s="91" t="str">
        <f ca="1">IFERROR(__xludf.DUMMYFUNCTION("""COMPUTED_VALUE"""),"Shamsul Sir")</f>
        <v>Shamsul Sir</v>
      </c>
      <c r="D397" s="92" t="str">
        <f ca="1">IFERROR(__xludf.DUMMYFUNCTION("""COMPUTED_VALUE"""),"Faruk Hossain (521288)")</f>
        <v>Faruk Hossain (521288)</v>
      </c>
      <c r="E397" s="93" t="str">
        <f ca="1">IFERROR(__xludf.DUMMYFUNCTION("""COMPUTED_VALUE"""),"CB18829_Mar26")</f>
        <v>CB18829_Mar26</v>
      </c>
      <c r="F397" s="94" t="str">
        <f ca="1">IFERROR(__xludf.DUMMYFUNCTION("""COMPUTED_VALUE"""),"Gravure Output #2")</f>
        <v>Gravure Output #2</v>
      </c>
      <c r="G397" s="95" t="str">
        <f ca="1">IFERROR(__xludf.DUMMYFUNCTION("""COMPUTED_VALUE"""),"New")</f>
        <v>New</v>
      </c>
      <c r="H397" s="96">
        <f ca="1">IFERROR(__xludf.DUMMYFUNCTION("""COMPUTED_VALUE"""),3)</f>
        <v>3</v>
      </c>
      <c r="I397" s="97">
        <f ca="1">IFERROR(__xludf.DUMMYFUNCTION("""COMPUTED_VALUE"""),46092)</f>
        <v>46092</v>
      </c>
      <c r="J397" s="98" t="str">
        <f ca="1">IFERROR(__xludf.DUMMYFUNCTION("""COMPUTED_VALUE"""),"CW27215_Mar26")</f>
        <v>CW27215_Mar26</v>
      </c>
      <c r="K397" s="99" t="str">
        <f ca="1">IFERROR(__xludf.DUMMYFUNCTION("""COMPUTED_VALUE"""),"HoM Approved")</f>
        <v>HoM Approved</v>
      </c>
    </row>
    <row r="398" spans="1:11" ht="13.2">
      <c r="A398" s="89" t="str">
        <f ca="1">IFERROR(__xludf.DUMMYFUNCTION("""COMPUTED_VALUE"""),"RYDO Electric Scooter")</f>
        <v>RYDO Electric Scooter</v>
      </c>
      <c r="B398" s="90" t="str">
        <f ca="1">IFERROR(__xludf.DUMMYFUNCTION("""COMPUTED_VALUE"""),"RFL-RYDO")</f>
        <v>RFL-RYDO</v>
      </c>
      <c r="C398" s="91" t="str">
        <f ca="1">IFERROR(__xludf.DUMMYFUNCTION("""COMPUTED_VALUE"""),"Minhaz Vai")</f>
        <v>Minhaz Vai</v>
      </c>
      <c r="D398" s="92" t="str">
        <f ca="1">IFERROR(__xludf.DUMMYFUNCTION("""COMPUTED_VALUE"""),"Faruk Hossain (521288)")</f>
        <v>Faruk Hossain (521288)</v>
      </c>
      <c r="E398" s="93" t="str">
        <f ca="1">IFERROR(__xludf.DUMMYFUNCTION("""COMPUTED_VALUE"""),"CB19505_Mar26")</f>
        <v>CB19505_Mar26</v>
      </c>
      <c r="F398" s="94" t="str">
        <f ca="1">IFERROR(__xludf.DUMMYFUNCTION("""COMPUTED_VALUE"""),"Leaflet/Poster Output")</f>
        <v>Leaflet/Poster Output</v>
      </c>
      <c r="G398" s="95" t="str">
        <f ca="1">IFERROR(__xludf.DUMMYFUNCTION("""COMPUTED_VALUE"""),"New")</f>
        <v>New</v>
      </c>
      <c r="H398" s="96">
        <f ca="1">IFERROR(__xludf.DUMMYFUNCTION("""COMPUTED_VALUE"""),2)</f>
        <v>2</v>
      </c>
      <c r="I398" s="97">
        <f ca="1">IFERROR(__xludf.DUMMYFUNCTION("""COMPUTED_VALUE"""),46093)</f>
        <v>46093</v>
      </c>
      <c r="J398" s="98" t="str">
        <f ca="1">IFERROR(__xludf.DUMMYFUNCTION("""COMPUTED_VALUE"""),"CW27334_Mar26")</f>
        <v>CW27334_Mar26</v>
      </c>
      <c r="K398" s="99" t="str">
        <f ca="1">IFERROR(__xludf.DUMMYFUNCTION("""COMPUTED_VALUE"""),"HoM Approved")</f>
        <v>HoM Approved</v>
      </c>
    </row>
    <row r="399" spans="1:11" ht="13.2">
      <c r="A399" s="89" t="str">
        <f ca="1">IFERROR(__xludf.DUMMYFUNCTION("""COMPUTED_VALUE"""),"Soft Bite")</f>
        <v>Soft Bite</v>
      </c>
      <c r="B399" s="90" t="str">
        <f ca="1">IFERROR(__xludf.DUMMYFUNCTION("""COMPUTED_VALUE"""),"PSC")</f>
        <v>PSC</v>
      </c>
      <c r="C399" s="91" t="str">
        <f ca="1">IFERROR(__xludf.DUMMYFUNCTION("""COMPUTED_VALUE"""),"Sohel Vai")</f>
        <v>Sohel Vai</v>
      </c>
      <c r="D399" s="92" t="str">
        <f ca="1">IFERROR(__xludf.DUMMYFUNCTION("""COMPUTED_VALUE"""),"Faruk Hossain (521288)")</f>
        <v>Faruk Hossain (521288)</v>
      </c>
      <c r="E399" s="93" t="str">
        <f ca="1">IFERROR(__xludf.DUMMYFUNCTION("""COMPUTED_VALUE"""),"CB19005_Mar26")</f>
        <v>CB19005_Mar26</v>
      </c>
      <c r="F399" s="94" t="str">
        <f ca="1">IFERROR(__xludf.DUMMYFUNCTION("""COMPUTED_VALUE"""),"ATC Box Output")</f>
        <v>ATC Box Output</v>
      </c>
      <c r="G399" s="95" t="str">
        <f ca="1">IFERROR(__xludf.DUMMYFUNCTION("""COMPUTED_VALUE"""),"New")</f>
        <v>New</v>
      </c>
      <c r="H399" s="96">
        <f ca="1">IFERROR(__xludf.DUMMYFUNCTION("""COMPUTED_VALUE"""),4)</f>
        <v>4</v>
      </c>
      <c r="I399" s="97">
        <f ca="1">IFERROR(__xludf.DUMMYFUNCTION("""COMPUTED_VALUE"""),46095)</f>
        <v>46095</v>
      </c>
      <c r="J399" s="98" t="str">
        <f ca="1">IFERROR(__xludf.DUMMYFUNCTION("""COMPUTED_VALUE"""),"CW27507_Mar26")</f>
        <v>CW27507_Mar26</v>
      </c>
      <c r="K399" s="99" t="str">
        <f ca="1">IFERROR(__xludf.DUMMYFUNCTION("""COMPUTED_VALUE"""),"HoM Approved")</f>
        <v>HoM Approved</v>
      </c>
    </row>
    <row r="400" spans="1:11" ht="13.2">
      <c r="A400" s="89" t="str">
        <f ca="1">IFERROR(__xludf.DUMMYFUNCTION("""COMPUTED_VALUE"""),"Soft Bite")</f>
        <v>Soft Bite</v>
      </c>
      <c r="B400" s="90" t="str">
        <f ca="1">IFERROR(__xludf.DUMMYFUNCTION("""COMPUTED_VALUE"""),"PSC")</f>
        <v>PSC</v>
      </c>
      <c r="C400" s="91" t="str">
        <f ca="1">IFERROR(__xludf.DUMMYFUNCTION("""COMPUTED_VALUE"""),"Sohel Vai")</f>
        <v>Sohel Vai</v>
      </c>
      <c r="D400" s="92" t="str">
        <f ca="1">IFERROR(__xludf.DUMMYFUNCTION("""COMPUTED_VALUE"""),"Faruk Hossain (521288)")</f>
        <v>Faruk Hossain (521288)</v>
      </c>
      <c r="E400" s="93" t="str">
        <f ca="1">IFERROR(__xludf.DUMMYFUNCTION("""COMPUTED_VALUE"""),"CB19005_Mar26")</f>
        <v>CB19005_Mar26</v>
      </c>
      <c r="F400" s="94" t="str">
        <f ca="1">IFERROR(__xludf.DUMMYFUNCTION("""COMPUTED_VALUE"""),"JAR Label Sticker Output")</f>
        <v>JAR Label Sticker Output</v>
      </c>
      <c r="G400" s="95" t="str">
        <f ca="1">IFERROR(__xludf.DUMMYFUNCTION("""COMPUTED_VALUE"""),"New")</f>
        <v>New</v>
      </c>
      <c r="H400" s="96">
        <f ca="1">IFERROR(__xludf.DUMMYFUNCTION("""COMPUTED_VALUE"""),4)</f>
        <v>4</v>
      </c>
      <c r="I400" s="97">
        <f ca="1">IFERROR(__xludf.DUMMYFUNCTION("""COMPUTED_VALUE"""),46095)</f>
        <v>46095</v>
      </c>
      <c r="J400" s="98" t="str">
        <f ca="1">IFERROR(__xludf.DUMMYFUNCTION("""COMPUTED_VALUE"""),"CW27507_Mar26")</f>
        <v>CW27507_Mar26</v>
      </c>
      <c r="K400" s="99" t="str">
        <f ca="1">IFERROR(__xludf.DUMMYFUNCTION("""COMPUTED_VALUE"""),"HoM Approved")</f>
        <v>HoM Approved</v>
      </c>
    </row>
    <row r="401" spans="1:11" ht="13.2">
      <c r="A401" s="89" t="str">
        <f ca="1">IFERROR(__xludf.DUMMYFUNCTION("""COMPUTED_VALUE"""),"PRAN Frozen Foods")</f>
        <v>PRAN Frozen Foods</v>
      </c>
      <c r="B401" s="90" t="str">
        <f ca="1">IFERROR(__xludf.DUMMYFUNCTION("""COMPUTED_VALUE"""),"PFF")</f>
        <v>PFF</v>
      </c>
      <c r="C401" s="91" t="str">
        <f ca="1">IFERROR(__xludf.DUMMYFUNCTION("""COMPUTED_VALUE"""),"Zahirul Vai")</f>
        <v>Zahirul Vai</v>
      </c>
      <c r="D401" s="92" t="str">
        <f ca="1">IFERROR(__xludf.DUMMYFUNCTION("""COMPUTED_VALUE"""),"Faruk Hossain (521288)")</f>
        <v>Faruk Hossain (521288)</v>
      </c>
      <c r="E401" s="93" t="str">
        <f ca="1">IFERROR(__xludf.DUMMYFUNCTION("""COMPUTED_VALUE"""),"CB14967_Jan26")</f>
        <v>CB14967_Jan26</v>
      </c>
      <c r="F401" s="94" t="str">
        <f ca="1">IFERROR(__xludf.DUMMYFUNCTION("""COMPUTED_VALUE"""),"ATC Box Output")</f>
        <v>ATC Box Output</v>
      </c>
      <c r="G401" s="95" t="str">
        <f ca="1">IFERROR(__xludf.DUMMYFUNCTION("""COMPUTED_VALUE"""),"New")</f>
        <v>New</v>
      </c>
      <c r="H401" s="96">
        <f ca="1">IFERROR(__xludf.DUMMYFUNCTION("""COMPUTED_VALUE"""),3)</f>
        <v>3</v>
      </c>
      <c r="I401" s="97">
        <f ca="1">IFERROR(__xludf.DUMMYFUNCTION("""COMPUTED_VALUE"""),46095)</f>
        <v>46095</v>
      </c>
      <c r="J401" s="98" t="str">
        <f ca="1">IFERROR(__xludf.DUMMYFUNCTION("""COMPUTED_VALUE"""),"CW27535_Mar26")</f>
        <v>CW27535_Mar26</v>
      </c>
      <c r="K401" s="99" t="str">
        <f ca="1">IFERROR(__xludf.DUMMYFUNCTION("""COMPUTED_VALUE"""),"HoM Approved")</f>
        <v>HoM Approved</v>
      </c>
    </row>
    <row r="402" spans="1:11" ht="13.2">
      <c r="A402" s="89" t="str">
        <f ca="1">IFERROR(__xludf.DUMMYFUNCTION("""COMPUTED_VALUE"""),"Oliver Biscuits")</f>
        <v>Oliver Biscuits</v>
      </c>
      <c r="B402" s="90" t="str">
        <f ca="1">IFERROR(__xludf.DUMMYFUNCTION("""COMPUTED_VALUE"""),"PBL")</f>
        <v>PBL</v>
      </c>
      <c r="C402" s="91" t="str">
        <f ca="1">IFERROR(__xludf.DUMMYFUNCTION("""COMPUTED_VALUE"""),"Sadman Vaiya")</f>
        <v>Sadman Vaiya</v>
      </c>
      <c r="D402" s="92" t="str">
        <f ca="1">IFERROR(__xludf.DUMMYFUNCTION("""COMPUTED_VALUE"""),"Faruk Hossain (521288)")</f>
        <v>Faruk Hossain (521288)</v>
      </c>
      <c r="E402" s="93" t="str">
        <f ca="1">IFERROR(__xludf.DUMMYFUNCTION("""COMPUTED_VALUE"""),"CB19383_Mar26")</f>
        <v>CB19383_Mar26</v>
      </c>
      <c r="F402" s="94" t="str">
        <f ca="1">IFERROR(__xludf.DUMMYFUNCTION("""COMPUTED_VALUE"""),"Carton Design")</f>
        <v>Carton Design</v>
      </c>
      <c r="G402" s="95" t="str">
        <f ca="1">IFERROR(__xludf.DUMMYFUNCTION("""COMPUTED_VALUE"""),"New")</f>
        <v>New</v>
      </c>
      <c r="H402" s="96">
        <f ca="1">IFERROR(__xludf.DUMMYFUNCTION("""COMPUTED_VALUE"""),1)</f>
        <v>1</v>
      </c>
      <c r="I402" s="97">
        <f ca="1">IFERROR(__xludf.DUMMYFUNCTION("""COMPUTED_VALUE"""),46096)</f>
        <v>46096</v>
      </c>
      <c r="J402" s="98" t="str">
        <f ca="1">IFERROR(__xludf.DUMMYFUNCTION("""COMPUTED_VALUE"""),"CW27664_Mar26")</f>
        <v>CW27664_Mar26</v>
      </c>
      <c r="K402" s="99" t="str">
        <f ca="1">IFERROR(__xludf.DUMMYFUNCTION("""COMPUTED_VALUE"""),"HoM Approved")</f>
        <v>HoM Approved</v>
      </c>
    </row>
    <row r="403" spans="1:11" ht="13.2">
      <c r="A403" s="89" t="str">
        <f ca="1">IFERROR(__xludf.DUMMYFUNCTION("""COMPUTED_VALUE"""),"PRAN Frozen Foods")</f>
        <v>PRAN Frozen Foods</v>
      </c>
      <c r="B403" s="90" t="str">
        <f ca="1">IFERROR(__xludf.DUMMYFUNCTION("""COMPUTED_VALUE"""),"PFF")</f>
        <v>PFF</v>
      </c>
      <c r="C403" s="91" t="str">
        <f ca="1">IFERROR(__xludf.DUMMYFUNCTION("""COMPUTED_VALUE"""),"Saifullah Vai")</f>
        <v>Saifullah Vai</v>
      </c>
      <c r="D403" s="92" t="str">
        <f ca="1">IFERROR(__xludf.DUMMYFUNCTION("""COMPUTED_VALUE"""),"Faruk Hossain (521288)")</f>
        <v>Faruk Hossain (521288)</v>
      </c>
      <c r="E403" s="93" t="str">
        <f ca="1">IFERROR(__xludf.DUMMYFUNCTION("""COMPUTED_VALUE"""),"CB19602_Mar26")</f>
        <v>CB19602_Mar26</v>
      </c>
      <c r="F403" s="94" t="str">
        <f ca="1">IFERROR(__xludf.DUMMYFUNCTION("""COMPUTED_VALUE"""),"ATC Box Output")</f>
        <v>ATC Box Output</v>
      </c>
      <c r="G403" s="95" t="str">
        <f ca="1">IFERROR(__xludf.DUMMYFUNCTION("""COMPUTED_VALUE"""),"New")</f>
        <v>New</v>
      </c>
      <c r="H403" s="96">
        <f ca="1">IFERROR(__xludf.DUMMYFUNCTION("""COMPUTED_VALUE"""),1)</f>
        <v>1</v>
      </c>
      <c r="I403" s="97">
        <f ca="1">IFERROR(__xludf.DUMMYFUNCTION("""COMPUTED_VALUE"""),46096)</f>
        <v>46096</v>
      </c>
      <c r="J403" s="98" t="str">
        <f ca="1">IFERROR(__xludf.DUMMYFUNCTION("""COMPUTED_VALUE"""),"CW27636_Mar26")</f>
        <v>CW27636_Mar26</v>
      </c>
      <c r="K403" s="99" t="str">
        <f ca="1">IFERROR(__xludf.DUMMYFUNCTION("""COMPUTED_VALUE"""),"HoM Approved")</f>
        <v>HoM Approved</v>
      </c>
    </row>
    <row r="404" spans="1:11" ht="13.2">
      <c r="A404" s="89" t="str">
        <f ca="1">IFERROR(__xludf.DUMMYFUNCTION("""COMPUTED_VALUE"""),"Kofi House")</f>
        <v>Kofi House</v>
      </c>
      <c r="B404" s="90" t="str">
        <f ca="1">IFERROR(__xludf.DUMMYFUNCTION("""COMPUTED_VALUE"""),"AMCL")</f>
        <v>AMCL</v>
      </c>
      <c r="C404" s="91" t="str">
        <f ca="1">IFERROR(__xludf.DUMMYFUNCTION("""COMPUTED_VALUE"""),"Miraj Vai")</f>
        <v>Miraj Vai</v>
      </c>
      <c r="D404" s="92" t="str">
        <f ca="1">IFERROR(__xludf.DUMMYFUNCTION("""COMPUTED_VALUE"""),"Faruk Hossain (521288)")</f>
        <v>Faruk Hossain (521288)</v>
      </c>
      <c r="E404" s="93" t="str">
        <f ca="1">IFERROR(__xludf.DUMMYFUNCTION("""COMPUTED_VALUE"""),"CB19532_Mar26")</f>
        <v>CB19532_Mar26</v>
      </c>
      <c r="F404" s="94" t="str">
        <f ca="1">IFERROR(__xludf.DUMMYFUNCTION("""COMPUTED_VALUE"""),"Gravure Output #1")</f>
        <v>Gravure Output #1</v>
      </c>
      <c r="G404" s="95" t="str">
        <f ca="1">IFERROR(__xludf.DUMMYFUNCTION("""COMPUTED_VALUE"""),"New")</f>
        <v>New</v>
      </c>
      <c r="H404" s="96">
        <f ca="1">IFERROR(__xludf.DUMMYFUNCTION("""COMPUTED_VALUE"""),1)</f>
        <v>1</v>
      </c>
      <c r="I404" s="97">
        <f ca="1">IFERROR(__xludf.DUMMYFUNCTION("""COMPUTED_VALUE"""),46097)</f>
        <v>46097</v>
      </c>
      <c r="J404" s="98" t="str">
        <f ca="1">IFERROR(__xludf.DUMMYFUNCTION("""COMPUTED_VALUE"""),"CW27763_Mar26")</f>
        <v>CW27763_Mar26</v>
      </c>
      <c r="K404" s="99" t="str">
        <f ca="1">IFERROR(__xludf.DUMMYFUNCTION("""COMPUTED_VALUE"""),"HoM Approved")</f>
        <v>HoM Approved</v>
      </c>
    </row>
    <row r="405" spans="1:11" ht="13.2">
      <c r="A405" s="89" t="str">
        <f ca="1">IFERROR(__xludf.DUMMYFUNCTION("""COMPUTED_VALUE"""),"OLIVER LAYER CAKE")</f>
        <v>OLIVER LAYER CAKE</v>
      </c>
      <c r="B405" s="90" t="str">
        <f ca="1">IFERROR(__xludf.DUMMYFUNCTION("""COMPUTED_VALUE"""),"PBL")</f>
        <v>PBL</v>
      </c>
      <c r="C405" s="91" t="str">
        <f ca="1">IFERROR(__xludf.DUMMYFUNCTION("""COMPUTED_VALUE"""),"Sadman Vaiya")</f>
        <v>Sadman Vaiya</v>
      </c>
      <c r="D405" s="92" t="str">
        <f ca="1">IFERROR(__xludf.DUMMYFUNCTION("""COMPUTED_VALUE"""),"Faruk Hossain (521288)")</f>
        <v>Faruk Hossain (521288)</v>
      </c>
      <c r="E405" s="93" t="str">
        <f ca="1">IFERROR(__xludf.DUMMYFUNCTION("""COMPUTED_VALUE"""),"CB19390_Mar26")</f>
        <v>CB19390_Mar26</v>
      </c>
      <c r="F405" s="94" t="str">
        <f ca="1">IFERROR(__xludf.DUMMYFUNCTION("""COMPUTED_VALUE"""),"Carton Design")</f>
        <v>Carton Design</v>
      </c>
      <c r="G405" s="95" t="str">
        <f ca="1">IFERROR(__xludf.DUMMYFUNCTION("""COMPUTED_VALUE"""),"New")</f>
        <v>New</v>
      </c>
      <c r="H405" s="96">
        <f ca="1">IFERROR(__xludf.DUMMYFUNCTION("""COMPUTED_VALUE"""),4)</f>
        <v>4</v>
      </c>
      <c r="I405" s="97">
        <f ca="1">IFERROR(__xludf.DUMMYFUNCTION("""COMPUTED_VALUE"""),46097)</f>
        <v>46097</v>
      </c>
      <c r="J405" s="98" t="str">
        <f ca="1">IFERROR(__xludf.DUMMYFUNCTION("""COMPUTED_VALUE"""),"CW27753_Mar26")</f>
        <v>CW27753_Mar26</v>
      </c>
      <c r="K405" s="99" t="str">
        <f ca="1">IFERROR(__xludf.DUMMYFUNCTION("""COMPUTED_VALUE"""),"HoM Approved")</f>
        <v>HoM Approved</v>
      </c>
    </row>
    <row r="406" spans="1:11" ht="13.2">
      <c r="A406" s="89" t="str">
        <f ca="1">IFERROR(__xludf.DUMMYFUNCTION("""COMPUTED_VALUE"""),"Tasty Treat")</f>
        <v>Tasty Treat</v>
      </c>
      <c r="B406" s="90" t="str">
        <f ca="1">IFERROR(__xludf.DUMMYFUNCTION("""COMPUTED_VALUE"""),"Tasty Treat")</f>
        <v>Tasty Treat</v>
      </c>
      <c r="C406" s="91" t="str">
        <f ca="1">IFERROR(__xludf.DUMMYFUNCTION("""COMPUTED_VALUE"""),"Shubhankar Vai")</f>
        <v>Shubhankar Vai</v>
      </c>
      <c r="D406" s="92" t="str">
        <f ca="1">IFERROR(__xludf.DUMMYFUNCTION("""COMPUTED_VALUE"""),"Faruk Hossain (521288)")</f>
        <v>Faruk Hossain (521288)</v>
      </c>
      <c r="E406" s="93" t="str">
        <f ca="1">IFERROR(__xludf.DUMMYFUNCTION("""COMPUTED_VALUE"""),"CB19301_Mar26")</f>
        <v>CB19301_Mar26</v>
      </c>
      <c r="F406" s="94" t="str">
        <f ca="1">IFERROR(__xludf.DUMMYFUNCTION("""COMPUTED_VALUE"""),"JAR Label Sticker Output")</f>
        <v>JAR Label Sticker Output</v>
      </c>
      <c r="G406" s="95" t="str">
        <f ca="1">IFERROR(__xludf.DUMMYFUNCTION("""COMPUTED_VALUE"""),"New")</f>
        <v>New</v>
      </c>
      <c r="H406" s="96">
        <f ca="1">IFERROR(__xludf.DUMMYFUNCTION("""COMPUTED_VALUE"""),1)</f>
        <v>1</v>
      </c>
      <c r="I406" s="97">
        <f ca="1">IFERROR(__xludf.DUMMYFUNCTION("""COMPUTED_VALUE"""),46097)</f>
        <v>46097</v>
      </c>
      <c r="J406" s="98" t="str">
        <f ca="1">IFERROR(__xludf.DUMMYFUNCTION("""COMPUTED_VALUE"""),"CW27764_Mar26")</f>
        <v>CW27764_Mar26</v>
      </c>
      <c r="K406" s="99" t="str">
        <f ca="1">IFERROR(__xludf.DUMMYFUNCTION("""COMPUTED_VALUE"""),"HoM Approved")</f>
        <v>HoM Approved</v>
      </c>
    </row>
    <row r="407" spans="1:11" ht="13.2">
      <c r="A407" s="89" t="str">
        <f ca="1">IFERROR(__xludf.DUMMYFUNCTION("""COMPUTED_VALUE"""),"Daily Fresh")</f>
        <v>Daily Fresh</v>
      </c>
      <c r="B407" s="90" t="str">
        <f ca="1">IFERROR(__xludf.DUMMYFUNCTION("""COMPUTED_VALUE"""),"Tasty Treat")</f>
        <v>Tasty Treat</v>
      </c>
      <c r="C407" s="91" t="str">
        <f ca="1">IFERROR(__xludf.DUMMYFUNCTION("""COMPUTED_VALUE"""),"Shubhankar Vai")</f>
        <v>Shubhankar Vai</v>
      </c>
      <c r="D407" s="92" t="str">
        <f ca="1">IFERROR(__xludf.DUMMYFUNCTION("""COMPUTED_VALUE"""),"Faruk Hossain (521288)")</f>
        <v>Faruk Hossain (521288)</v>
      </c>
      <c r="E407" s="93" t="str">
        <f ca="1">IFERROR(__xludf.DUMMYFUNCTION("""COMPUTED_VALUE"""),"CB19087_Mar26")</f>
        <v>CB19087_Mar26</v>
      </c>
      <c r="F407" s="94" t="str">
        <f ca="1">IFERROR(__xludf.DUMMYFUNCTION("""COMPUTED_VALUE"""),"JAR Label Sticker Output")</f>
        <v>JAR Label Sticker Output</v>
      </c>
      <c r="G407" s="95" t="str">
        <f ca="1">IFERROR(__xludf.DUMMYFUNCTION("""COMPUTED_VALUE"""),"New")</f>
        <v>New</v>
      </c>
      <c r="H407" s="96">
        <f ca="1">IFERROR(__xludf.DUMMYFUNCTION("""COMPUTED_VALUE"""),3)</f>
        <v>3</v>
      </c>
      <c r="I407" s="97">
        <f ca="1">IFERROR(__xludf.DUMMYFUNCTION("""COMPUTED_VALUE"""),46097)</f>
        <v>46097</v>
      </c>
      <c r="J407" s="98" t="str">
        <f ca="1">IFERROR(__xludf.DUMMYFUNCTION("""COMPUTED_VALUE"""),"CW27778_Mar26")</f>
        <v>CW27778_Mar26</v>
      </c>
      <c r="K407" s="99" t="str">
        <f ca="1">IFERROR(__xludf.DUMMYFUNCTION("""COMPUTED_VALUE"""),"HoM Approved")</f>
        <v>HoM Approved</v>
      </c>
    </row>
    <row r="408" spans="1:11" ht="13.2">
      <c r="A408" s="89" t="str">
        <f ca="1">IFERROR(__xludf.DUMMYFUNCTION("""COMPUTED_VALUE"""),"Treat Chocolate")</f>
        <v>Treat Chocolate</v>
      </c>
      <c r="B408" s="90" t="str">
        <f ca="1">IFERROR(__xludf.DUMMYFUNCTION("""COMPUTED_VALUE"""),"PCL")</f>
        <v>PCL</v>
      </c>
      <c r="C408" s="91" t="str">
        <f ca="1">IFERROR(__xludf.DUMMYFUNCTION("""COMPUTED_VALUE"""),"Sohel Vai")</f>
        <v>Sohel Vai</v>
      </c>
      <c r="D408" s="92" t="str">
        <f ca="1">IFERROR(__xludf.DUMMYFUNCTION("""COMPUTED_VALUE"""),"Faruk Hossain (521288)")</f>
        <v>Faruk Hossain (521288)</v>
      </c>
      <c r="E408" s="93" t="str">
        <f ca="1">IFERROR(__xludf.DUMMYFUNCTION("""COMPUTED_VALUE"""),"CB19849_Mar26")</f>
        <v>CB19849_Mar26</v>
      </c>
      <c r="F408" s="94" t="str">
        <f ca="1">IFERROR(__xludf.DUMMYFUNCTION("""COMPUTED_VALUE"""),"ATC Box Output")</f>
        <v>ATC Box Output</v>
      </c>
      <c r="G408" s="95" t="str">
        <f ca="1">IFERROR(__xludf.DUMMYFUNCTION("""COMPUTED_VALUE"""),"New")</f>
        <v>New</v>
      </c>
      <c r="H408" s="96">
        <f ca="1">IFERROR(__xludf.DUMMYFUNCTION("""COMPUTED_VALUE"""),4)</f>
        <v>4</v>
      </c>
      <c r="I408" s="97">
        <f ca="1">IFERROR(__xludf.DUMMYFUNCTION("""COMPUTED_VALUE"""),46099)</f>
        <v>46099</v>
      </c>
      <c r="J408" s="98" t="str">
        <f ca="1">IFERROR(__xludf.DUMMYFUNCTION("""COMPUTED_VALUE"""),"CW27859_Mar26")</f>
        <v>CW27859_Mar26</v>
      </c>
      <c r="K408" s="99" t="str">
        <f ca="1">IFERROR(__xludf.DUMMYFUNCTION("""COMPUTED_VALUE"""),"HoM Approved")</f>
        <v>HoM Approved</v>
      </c>
    </row>
    <row r="409" spans="1:11" ht="13.2">
      <c r="A409" s="89" t="str">
        <f ca="1">IFERROR(__xludf.DUMMYFUNCTION("""COMPUTED_VALUE"""),"Treat Chocolate")</f>
        <v>Treat Chocolate</v>
      </c>
      <c r="B409" s="90" t="str">
        <f ca="1">IFERROR(__xludf.DUMMYFUNCTION("""COMPUTED_VALUE"""),"PCL")</f>
        <v>PCL</v>
      </c>
      <c r="C409" s="91" t="str">
        <f ca="1">IFERROR(__xludf.DUMMYFUNCTION("""COMPUTED_VALUE"""),"Sohel Vai")</f>
        <v>Sohel Vai</v>
      </c>
      <c r="D409" s="92" t="str">
        <f ca="1">IFERROR(__xludf.DUMMYFUNCTION("""COMPUTED_VALUE"""),"Faruk Hossain (521288)")</f>
        <v>Faruk Hossain (521288)</v>
      </c>
      <c r="E409" s="93" t="str">
        <f ca="1">IFERROR(__xludf.DUMMYFUNCTION("""COMPUTED_VALUE"""),"CB19849_Mar26")</f>
        <v>CB19849_Mar26</v>
      </c>
      <c r="F409" s="94" t="str">
        <f ca="1">IFERROR(__xludf.DUMMYFUNCTION("""COMPUTED_VALUE"""),"JAR Label Sticker Output")</f>
        <v>JAR Label Sticker Output</v>
      </c>
      <c r="G409" s="95" t="str">
        <f ca="1">IFERROR(__xludf.DUMMYFUNCTION("""COMPUTED_VALUE"""),"New")</f>
        <v>New</v>
      </c>
      <c r="H409" s="96">
        <f ca="1">IFERROR(__xludf.DUMMYFUNCTION("""COMPUTED_VALUE"""),12)</f>
        <v>12</v>
      </c>
      <c r="I409" s="97">
        <f ca="1">IFERROR(__xludf.DUMMYFUNCTION("""COMPUTED_VALUE"""),46099)</f>
        <v>46099</v>
      </c>
      <c r="J409" s="98" t="str">
        <f ca="1">IFERROR(__xludf.DUMMYFUNCTION("""COMPUTED_VALUE"""),"CW27859_Mar26")</f>
        <v>CW27859_Mar26</v>
      </c>
      <c r="K409" s="99" t="str">
        <f ca="1">IFERROR(__xludf.DUMMYFUNCTION("""COMPUTED_VALUE"""),"HoM Approved")</f>
        <v>HoM Approved</v>
      </c>
    </row>
    <row r="410" spans="1:11" ht="13.2">
      <c r="A410" s="89" t="str">
        <f ca="1">IFERROR(__xludf.DUMMYFUNCTION("""COMPUTED_VALUE"""),"Rainbow Paints")</f>
        <v>Rainbow Paints</v>
      </c>
      <c r="B410" s="90" t="str">
        <f ca="1">IFERROR(__xludf.DUMMYFUNCTION("""COMPUTED_VALUE"""),"MLIL")</f>
        <v>MLIL</v>
      </c>
      <c r="C410" s="91" t="str">
        <f ca="1">IFERROR(__xludf.DUMMYFUNCTION("""COMPUTED_VALUE"""),"Iffat Apu")</f>
        <v>Iffat Apu</v>
      </c>
      <c r="D410" s="92" t="str">
        <f ca="1">IFERROR(__xludf.DUMMYFUNCTION("""COMPUTED_VALUE"""),"Faruk Hossain (521288)")</f>
        <v>Faruk Hossain (521288)</v>
      </c>
      <c r="E410" s="93" t="str">
        <f ca="1">IFERROR(__xludf.DUMMYFUNCTION("""COMPUTED_VALUE"""),"CB20264_Mar26")</f>
        <v>CB20264_Mar26</v>
      </c>
      <c r="F410" s="94" t="str">
        <f ca="1">IFERROR(__xludf.DUMMYFUNCTION("""COMPUTED_VALUE"""),"Flyer/Brochure/Banner Output")</f>
        <v>Flyer/Brochure/Banner Output</v>
      </c>
      <c r="G410" s="95" t="str">
        <f ca="1">IFERROR(__xludf.DUMMYFUNCTION("""COMPUTED_VALUE"""),"New")</f>
        <v>New</v>
      </c>
      <c r="H410" s="96">
        <f ca="1">IFERROR(__xludf.DUMMYFUNCTION("""COMPUTED_VALUE"""),2)</f>
        <v>2</v>
      </c>
      <c r="I410" s="97">
        <f ca="1">IFERROR(__xludf.DUMMYFUNCTION("""COMPUTED_VALUE"""),46110)</f>
        <v>46110</v>
      </c>
      <c r="J410" s="98" t="str">
        <f ca="1">IFERROR(__xludf.DUMMYFUNCTION("""COMPUTED_VALUE"""),"CW28322_Mar26")</f>
        <v>CW28322_Mar26</v>
      </c>
      <c r="K410" s="99" t="str">
        <f ca="1">IFERROR(__xludf.DUMMYFUNCTION("""COMPUTED_VALUE"""),"HoM Approved")</f>
        <v>HoM Approved</v>
      </c>
    </row>
    <row r="411" spans="1:11" ht="13.2">
      <c r="A411" s="89" t="str">
        <f ca="1">IFERROR(__xludf.DUMMYFUNCTION("""COMPUTED_VALUE"""),"PRAN Basic Spice")</f>
        <v>PRAN Basic Spice</v>
      </c>
      <c r="B411" s="90" t="str">
        <f ca="1">IFERROR(__xludf.DUMMYFUNCTION("""COMPUTED_VALUE"""),"NAL")</f>
        <v>NAL</v>
      </c>
      <c r="C411" s="91" t="str">
        <f ca="1">IFERROR(__xludf.DUMMYFUNCTION("""COMPUTED_VALUE"""),"Shamsul Sir")</f>
        <v>Shamsul Sir</v>
      </c>
      <c r="D411" s="92" t="str">
        <f ca="1">IFERROR(__xludf.DUMMYFUNCTION("""COMPUTED_VALUE"""),"Faruk Hossain (521288)")</f>
        <v>Faruk Hossain (521288)</v>
      </c>
      <c r="E411" s="93" t="str">
        <f ca="1">IFERROR(__xludf.DUMMYFUNCTION("""COMPUTED_VALUE"""),"CB20204_Mar26")</f>
        <v>CB20204_Mar26</v>
      </c>
      <c r="F411" s="94" t="str">
        <f ca="1">IFERROR(__xludf.DUMMYFUNCTION("""COMPUTED_VALUE"""),"Gravure Output #2")</f>
        <v>Gravure Output #2</v>
      </c>
      <c r="G411" s="95" t="str">
        <f ca="1">IFERROR(__xludf.DUMMYFUNCTION("""COMPUTED_VALUE"""),"New")</f>
        <v>New</v>
      </c>
      <c r="H411" s="96">
        <f ca="1">IFERROR(__xludf.DUMMYFUNCTION("""COMPUTED_VALUE"""),3)</f>
        <v>3</v>
      </c>
      <c r="I411" s="97">
        <f ca="1">IFERROR(__xludf.DUMMYFUNCTION("""COMPUTED_VALUE"""),46110)</f>
        <v>46110</v>
      </c>
      <c r="J411" s="98" t="str">
        <f ca="1">IFERROR(__xludf.DUMMYFUNCTION("""COMPUTED_VALUE"""),"CW28352_Mar26")</f>
        <v>CW28352_Mar26</v>
      </c>
      <c r="K411" s="99" t="str">
        <f ca="1">IFERROR(__xludf.DUMMYFUNCTION("""COMPUTED_VALUE"""),"HoM Approved")</f>
        <v>HoM Approved</v>
      </c>
    </row>
    <row r="412" spans="1:11" ht="13.2">
      <c r="A412" s="89" t="str">
        <f ca="1">IFERROR(__xludf.DUMMYFUNCTION("""COMPUTED_VALUE"""),"Divino Chocolate")</f>
        <v>Divino Chocolate</v>
      </c>
      <c r="B412" s="90" t="str">
        <f ca="1">IFERROR(__xludf.DUMMYFUNCTION("""COMPUTED_VALUE"""),"PCL")</f>
        <v>PCL</v>
      </c>
      <c r="C412" s="91" t="str">
        <f ca="1">IFERROR(__xludf.DUMMYFUNCTION("""COMPUTED_VALUE"""),"Sohel Vai")</f>
        <v>Sohel Vai</v>
      </c>
      <c r="D412" s="92" t="str">
        <f ca="1">IFERROR(__xludf.DUMMYFUNCTION("""COMPUTED_VALUE"""),"Faruk Hossain (521288)")</f>
        <v>Faruk Hossain (521288)</v>
      </c>
      <c r="E412" s="93" t="str">
        <f ca="1">IFERROR(__xludf.DUMMYFUNCTION("""COMPUTED_VALUE"""),"CB20315_Mar26")</f>
        <v>CB20315_Mar26</v>
      </c>
      <c r="F412" s="94" t="str">
        <f ca="1">IFERROR(__xludf.DUMMYFUNCTION("""COMPUTED_VALUE"""),"ATC Box Output")</f>
        <v>ATC Box Output</v>
      </c>
      <c r="G412" s="95" t="str">
        <f ca="1">IFERROR(__xludf.DUMMYFUNCTION("""COMPUTED_VALUE"""),"New")</f>
        <v>New</v>
      </c>
      <c r="H412" s="96">
        <f ca="1">IFERROR(__xludf.DUMMYFUNCTION("""COMPUTED_VALUE"""),1)</f>
        <v>1</v>
      </c>
      <c r="I412" s="97">
        <f ca="1">IFERROR(__xludf.DUMMYFUNCTION("""COMPUTED_VALUE"""),46111)</f>
        <v>46111</v>
      </c>
      <c r="J412" s="98" t="str">
        <f ca="1">IFERROR(__xludf.DUMMYFUNCTION("""COMPUTED_VALUE"""),"CW28495_Mar26")</f>
        <v>CW28495_Mar26</v>
      </c>
      <c r="K412" s="99" t="str">
        <f ca="1">IFERROR(__xludf.DUMMYFUNCTION("""COMPUTED_VALUE"""),"HoM Approved")</f>
        <v>HoM Approved</v>
      </c>
    </row>
    <row r="413" spans="1:11" ht="13.2">
      <c r="A413" s="89" t="str">
        <f ca="1">IFERROR(__xludf.DUMMYFUNCTION("""COMPUTED_VALUE"""),"PRAN Potata Biscuit")</f>
        <v>PRAN Potata Biscuit</v>
      </c>
      <c r="B413" s="90" t="str">
        <f ca="1">IFERROR(__xludf.DUMMYFUNCTION("""COMPUTED_VALUE"""),"KSA")</f>
        <v>KSA</v>
      </c>
      <c r="C413" s="91" t="str">
        <f ca="1">IFERROR(__xludf.DUMMYFUNCTION("""COMPUTED_VALUE"""),"Zahirul Vai")</f>
        <v>Zahirul Vai</v>
      </c>
      <c r="D413" s="92" t="str">
        <f ca="1">IFERROR(__xludf.DUMMYFUNCTION("""COMPUTED_VALUE"""),"Faruk Hossain (521288)")</f>
        <v>Faruk Hossain (521288)</v>
      </c>
      <c r="E413" s="93" t="str">
        <f ca="1">IFERROR(__xludf.DUMMYFUNCTION("""COMPUTED_VALUE"""),"CB20545_Mar26")</f>
        <v>CB20545_Mar26</v>
      </c>
      <c r="F413" s="94" t="str">
        <f ca="1">IFERROR(__xludf.DUMMYFUNCTION("""COMPUTED_VALUE"""),"Black Cylinder Output")</f>
        <v>Black Cylinder Output</v>
      </c>
      <c r="G413" s="95" t="str">
        <f ca="1">IFERROR(__xludf.DUMMYFUNCTION("""COMPUTED_VALUE"""),"New")</f>
        <v>New</v>
      </c>
      <c r="H413" s="96">
        <f ca="1">IFERROR(__xludf.DUMMYFUNCTION("""COMPUTED_VALUE"""),3)</f>
        <v>3</v>
      </c>
      <c r="I413" s="97">
        <f ca="1">IFERROR(__xludf.DUMMYFUNCTION("""COMPUTED_VALUE"""),46112)</f>
        <v>46112</v>
      </c>
      <c r="J413" s="98" t="str">
        <f ca="1">IFERROR(__xludf.DUMMYFUNCTION("""COMPUTED_VALUE"""),"CW28795_Mar26")</f>
        <v>CW28795_Mar26</v>
      </c>
      <c r="K413" s="99" t="str">
        <f ca="1">IFERROR(__xludf.DUMMYFUNCTION("""COMPUTED_VALUE"""),"HoM Approved")</f>
        <v>HoM Approved</v>
      </c>
    </row>
    <row r="414" spans="1:11" ht="13.2">
      <c r="A414" s="89" t="str">
        <f ca="1">IFERROR(__xludf.DUMMYFUNCTION("""COMPUTED_VALUE"""),"Mughal Chia Seeds")</f>
        <v>Mughal Chia Seeds</v>
      </c>
      <c r="B414" s="90" t="str">
        <f ca="1">IFERROR(__xludf.DUMMYFUNCTION("""COMPUTED_VALUE"""),"NAL")</f>
        <v>NAL</v>
      </c>
      <c r="C414" s="91" t="str">
        <f ca="1">IFERROR(__xludf.DUMMYFUNCTION("""COMPUTED_VALUE"""),"Sanjana Apu")</f>
        <v>Sanjana Apu</v>
      </c>
      <c r="D414" s="92" t="str">
        <f ca="1">IFERROR(__xludf.DUMMYFUNCTION("""COMPUTED_VALUE"""),"Faruk Hossain (521288)")</f>
        <v>Faruk Hossain (521288)</v>
      </c>
      <c r="E414" s="93" t="str">
        <f ca="1">IFERROR(__xludf.DUMMYFUNCTION("""COMPUTED_VALUE"""),"CB18902_Mar26")</f>
        <v>CB18902_Mar26</v>
      </c>
      <c r="F414" s="94" t="str">
        <f ca="1">IFERROR(__xludf.DUMMYFUNCTION("""COMPUTED_VALUE"""),"ATC Box Output")</f>
        <v>ATC Box Output</v>
      </c>
      <c r="G414" s="95" t="str">
        <f ca="1">IFERROR(__xludf.DUMMYFUNCTION("""COMPUTED_VALUE"""),"New")</f>
        <v>New</v>
      </c>
      <c r="H414" s="96">
        <f ca="1">IFERROR(__xludf.DUMMYFUNCTION("""COMPUTED_VALUE"""),1)</f>
        <v>1</v>
      </c>
      <c r="I414" s="97">
        <f ca="1">IFERROR(__xludf.DUMMYFUNCTION("""COMPUTED_VALUE"""),46113)</f>
        <v>46113</v>
      </c>
      <c r="J414" s="98" t="str">
        <f ca="1">IFERROR(__xludf.DUMMYFUNCTION("""COMPUTED_VALUE"""),"CW28937_Apr26")</f>
        <v>CW28937_Apr26</v>
      </c>
      <c r="K414" s="99" t="str">
        <f ca="1">IFERROR(__xludf.DUMMYFUNCTION("""COMPUTED_VALUE"""),"HoM Approved")</f>
        <v>HoM Approved</v>
      </c>
    </row>
    <row r="415" spans="1:11" ht="13.2">
      <c r="A415" s="89" t="str">
        <f ca="1">IFERROR(__xludf.DUMMYFUNCTION("""COMPUTED_VALUE"""),"Divino Chocolate")</f>
        <v>Divino Chocolate</v>
      </c>
      <c r="B415" s="90" t="str">
        <f ca="1">IFERROR(__xludf.DUMMYFUNCTION("""COMPUTED_VALUE"""),"PCL")</f>
        <v>PCL</v>
      </c>
      <c r="C415" s="91" t="str">
        <f ca="1">IFERROR(__xludf.DUMMYFUNCTION("""COMPUTED_VALUE"""),"Sohel Vai")</f>
        <v>Sohel Vai</v>
      </c>
      <c r="D415" s="92" t="str">
        <f ca="1">IFERROR(__xludf.DUMMYFUNCTION("""COMPUTED_VALUE"""),"Faruk Hossain (521288)")</f>
        <v>Faruk Hossain (521288)</v>
      </c>
      <c r="E415" s="93" t="str">
        <f ca="1">IFERROR(__xludf.DUMMYFUNCTION("""COMPUTED_VALUE"""),"CB20139_Mar26")</f>
        <v>CB20139_Mar26</v>
      </c>
      <c r="F415" s="94" t="str">
        <f ca="1">IFERROR(__xludf.DUMMYFUNCTION("""COMPUTED_VALUE"""),"ATC Box Output")</f>
        <v>ATC Box Output</v>
      </c>
      <c r="G415" s="95" t="str">
        <f ca="1">IFERROR(__xludf.DUMMYFUNCTION("""COMPUTED_VALUE"""),"New")</f>
        <v>New</v>
      </c>
      <c r="H415" s="96">
        <f ca="1">IFERROR(__xludf.DUMMYFUNCTION("""COMPUTED_VALUE"""),4)</f>
        <v>4</v>
      </c>
      <c r="I415" s="97">
        <f ca="1">IFERROR(__xludf.DUMMYFUNCTION("""COMPUTED_VALUE"""),46114)</f>
        <v>46114</v>
      </c>
      <c r="J415" s="98" t="str">
        <f ca="1">IFERROR(__xludf.DUMMYFUNCTION("""COMPUTED_VALUE"""),"CW29076_Apr26")</f>
        <v>CW29076_Apr26</v>
      </c>
      <c r="K415" s="99" t="str">
        <f ca="1">IFERROR(__xludf.DUMMYFUNCTION("""COMPUTED_VALUE"""),"HoM Approved")</f>
        <v>HoM Approved</v>
      </c>
    </row>
    <row r="416" spans="1:11" ht="13.2">
      <c r="A416" s="89" t="str">
        <f ca="1">IFERROR(__xludf.DUMMYFUNCTION("""COMPUTED_VALUE"""),"PRAN Basic Spice")</f>
        <v>PRAN Basic Spice</v>
      </c>
      <c r="B416" s="90" t="str">
        <f ca="1">IFERROR(__xludf.DUMMYFUNCTION("""COMPUTED_VALUE"""),"NAL")</f>
        <v>NAL</v>
      </c>
      <c r="C416" s="91" t="str">
        <f ca="1">IFERROR(__xludf.DUMMYFUNCTION("""COMPUTED_VALUE"""),"Shamsul Sir")</f>
        <v>Shamsul Sir</v>
      </c>
      <c r="D416" s="92" t="str">
        <f ca="1">IFERROR(__xludf.DUMMYFUNCTION("""COMPUTED_VALUE"""),"Faruk Hossain (521288)")</f>
        <v>Faruk Hossain (521288)</v>
      </c>
      <c r="E416" s="93" t="str">
        <f ca="1">IFERROR(__xludf.DUMMYFUNCTION("""COMPUTED_VALUE"""),"CB20704_Apr26")</f>
        <v>CB20704_Apr26</v>
      </c>
      <c r="F416" s="94" t="str">
        <f ca="1">IFERROR(__xludf.DUMMYFUNCTION("""COMPUTED_VALUE"""),"ATC Box Output")</f>
        <v>ATC Box Output</v>
      </c>
      <c r="G416" s="95" t="str">
        <f ca="1">IFERROR(__xludf.DUMMYFUNCTION("""COMPUTED_VALUE"""),"New")</f>
        <v>New</v>
      </c>
      <c r="H416" s="96">
        <f ca="1">IFERROR(__xludf.DUMMYFUNCTION("""COMPUTED_VALUE"""),15)</f>
        <v>15</v>
      </c>
      <c r="I416" s="97">
        <f ca="1">IFERROR(__xludf.DUMMYFUNCTION("""COMPUTED_VALUE"""),46120)</f>
        <v>46120</v>
      </c>
      <c r="J416" s="98" t="str">
        <f ca="1">IFERROR(__xludf.DUMMYFUNCTION("""COMPUTED_VALUE"""),"CW29520_Apr26")</f>
        <v>CW29520_Apr26</v>
      </c>
      <c r="K416" s="99" t="str">
        <f ca="1">IFERROR(__xludf.DUMMYFUNCTION("""COMPUTED_VALUE"""),"HoM Approved")</f>
        <v>HoM Approved</v>
      </c>
    </row>
    <row r="417" spans="1:11" ht="13.2">
      <c r="A417" s="89" t="str">
        <f ca="1">IFERROR(__xludf.DUMMYFUNCTION("""COMPUTED_VALUE"""),"PRAN Noodles")</f>
        <v>PRAN Noodles</v>
      </c>
      <c r="B417" s="90" t="str">
        <f ca="1">IFERROR(__xludf.DUMMYFUNCTION("""COMPUTED_VALUE"""),"PAL")</f>
        <v>PAL</v>
      </c>
      <c r="C417" s="91" t="str">
        <f ca="1">IFERROR(__xludf.DUMMYFUNCTION("""COMPUTED_VALUE"""),"Zahirul Vai")</f>
        <v>Zahirul Vai</v>
      </c>
      <c r="D417" s="92" t="str">
        <f ca="1">IFERROR(__xludf.DUMMYFUNCTION("""COMPUTED_VALUE"""),"Faruk Hossain (521288)")</f>
        <v>Faruk Hossain (521288)</v>
      </c>
      <c r="E417" s="93" t="str">
        <f ca="1">IFERROR(__xludf.DUMMYFUNCTION("""COMPUTED_VALUE"""),"CB13062_Dec25")</f>
        <v>CB13062_Dec25</v>
      </c>
      <c r="F417" s="94" t="str">
        <f ca="1">IFERROR(__xludf.DUMMYFUNCTION("""COMPUTED_VALUE"""),"Gravure Output #2")</f>
        <v>Gravure Output #2</v>
      </c>
      <c r="G417" s="95" t="str">
        <f ca="1">IFERROR(__xludf.DUMMYFUNCTION("""COMPUTED_VALUE"""),"New")</f>
        <v>New</v>
      </c>
      <c r="H417" s="96">
        <f ca="1">IFERROR(__xludf.DUMMYFUNCTION("""COMPUTED_VALUE"""),2)</f>
        <v>2</v>
      </c>
      <c r="I417" s="97">
        <f ca="1">IFERROR(__xludf.DUMMYFUNCTION("""COMPUTED_VALUE"""),46123)</f>
        <v>46123</v>
      </c>
      <c r="J417" s="98" t="str">
        <f ca="1">IFERROR(__xludf.DUMMYFUNCTION("""COMPUTED_VALUE"""),"CW29771_Apr26")</f>
        <v>CW29771_Apr26</v>
      </c>
      <c r="K417" s="99" t="str">
        <f ca="1">IFERROR(__xludf.DUMMYFUNCTION("""COMPUTED_VALUE"""),"HoM Approved")</f>
        <v>HoM Approved</v>
      </c>
    </row>
    <row r="418" spans="1:11" ht="13.2">
      <c r="A418" s="89" t="str">
        <f ca="1">IFERROR(__xludf.DUMMYFUNCTION("""COMPUTED_VALUE"""),"PRAN Recipe Mix")</f>
        <v>PRAN Recipe Mix</v>
      </c>
      <c r="B418" s="90" t="str">
        <f ca="1">IFERROR(__xludf.DUMMYFUNCTION("""COMPUTED_VALUE"""),"NAL")</f>
        <v>NAL</v>
      </c>
      <c r="C418" s="91" t="str">
        <f ca="1">IFERROR(__xludf.DUMMYFUNCTION("""COMPUTED_VALUE"""),"Minhaz Vai")</f>
        <v>Minhaz Vai</v>
      </c>
      <c r="D418" s="92" t="str">
        <f ca="1">IFERROR(__xludf.DUMMYFUNCTION("""COMPUTED_VALUE"""),"Faruk Hossain (521288)")</f>
        <v>Faruk Hossain (521288)</v>
      </c>
      <c r="E418" s="93" t="str">
        <f ca="1">IFERROR(__xludf.DUMMYFUNCTION("""COMPUTED_VALUE"""),"CB20490_Mar26")</f>
        <v>CB20490_Mar26</v>
      </c>
      <c r="F418" s="94" t="str">
        <f ca="1">IFERROR(__xludf.DUMMYFUNCTION("""COMPUTED_VALUE"""),"ATC Box Output")</f>
        <v>ATC Box Output</v>
      </c>
      <c r="G418" s="95" t="str">
        <f ca="1">IFERROR(__xludf.DUMMYFUNCTION("""COMPUTED_VALUE"""),"New")</f>
        <v>New</v>
      </c>
      <c r="H418" s="96">
        <f ca="1">IFERROR(__xludf.DUMMYFUNCTION("""COMPUTED_VALUE"""),1)</f>
        <v>1</v>
      </c>
      <c r="I418" s="97">
        <f ca="1">IFERROR(__xludf.DUMMYFUNCTION("""COMPUTED_VALUE"""),46124)</f>
        <v>46124</v>
      </c>
      <c r="J418" s="98" t="str">
        <f ca="1">IFERROR(__xludf.DUMMYFUNCTION("""COMPUTED_VALUE"""),"CW29880_Apr26")</f>
        <v>CW29880_Apr26</v>
      </c>
      <c r="K418" s="99" t="str">
        <f ca="1">IFERROR(__xludf.DUMMYFUNCTION("""COMPUTED_VALUE"""),"HoM Approved")</f>
        <v>HoM Approved</v>
      </c>
    </row>
    <row r="419" spans="1:11" ht="13.2">
      <c r="A419" s="89" t="str">
        <f ca="1">IFERROR(__xludf.DUMMYFUNCTION("""COMPUTED_VALUE"""),"All Time Family Cake")</f>
        <v>All Time Family Cake</v>
      </c>
      <c r="B419" s="90" t="str">
        <f ca="1">IFERROR(__xludf.DUMMYFUNCTION("""COMPUTED_VALUE"""),"BBL")</f>
        <v>BBL</v>
      </c>
      <c r="C419" s="91" t="str">
        <f ca="1">IFERROR(__xludf.DUMMYFUNCTION("""COMPUTED_VALUE"""),"Shaifuddin Vai")</f>
        <v>Shaifuddin Vai</v>
      </c>
      <c r="D419" s="92" t="str">
        <f ca="1">IFERROR(__xludf.DUMMYFUNCTION("""COMPUTED_VALUE"""),"Faruk Hossain (521288)")</f>
        <v>Faruk Hossain (521288)</v>
      </c>
      <c r="E419" s="93" t="str">
        <f ca="1">IFERROR(__xludf.DUMMYFUNCTION("""COMPUTED_VALUE"""),"CB17637_Feb26")</f>
        <v>CB17637_Feb26</v>
      </c>
      <c r="F419" s="94" t="str">
        <f ca="1">IFERROR(__xludf.DUMMYFUNCTION("""COMPUTED_VALUE"""),"ATC Box Output")</f>
        <v>ATC Box Output</v>
      </c>
      <c r="G419" s="95" t="str">
        <f ca="1">IFERROR(__xludf.DUMMYFUNCTION("""COMPUTED_VALUE"""),"New")</f>
        <v>New</v>
      </c>
      <c r="H419" s="96">
        <f ca="1">IFERROR(__xludf.DUMMYFUNCTION("""COMPUTED_VALUE"""),1)</f>
        <v>1</v>
      </c>
      <c r="I419" s="97">
        <f ca="1">IFERROR(__xludf.DUMMYFUNCTION("""COMPUTED_VALUE"""),46124)</f>
        <v>46124</v>
      </c>
      <c r="J419" s="98" t="str">
        <f ca="1">IFERROR(__xludf.DUMMYFUNCTION("""COMPUTED_VALUE"""),"CW29915_Apr26")</f>
        <v>CW29915_Apr26</v>
      </c>
      <c r="K419" s="99" t="str">
        <f ca="1">IFERROR(__xludf.DUMMYFUNCTION("""COMPUTED_VALUE"""),"HoM Approved")</f>
        <v>HoM Approved</v>
      </c>
    </row>
    <row r="420" spans="1:11" ht="13.2">
      <c r="A420" s="89" t="str">
        <f ca="1">IFERROR(__xludf.DUMMYFUNCTION("""COMPUTED_VALUE"""),"Icy Water Bottle")</f>
        <v>Icy Water Bottle</v>
      </c>
      <c r="B420" s="90" t="str">
        <f ca="1">IFERROR(__xludf.DUMMYFUNCTION("""COMPUTED_VALUE"""),"DPL")</f>
        <v>DPL</v>
      </c>
      <c r="C420" s="91" t="str">
        <f ca="1">IFERROR(__xludf.DUMMYFUNCTION("""COMPUTED_VALUE"""),"Fahim Vai")</f>
        <v>Fahim Vai</v>
      </c>
      <c r="D420" s="92" t="str">
        <f ca="1">IFERROR(__xludf.DUMMYFUNCTION("""COMPUTED_VALUE"""),"Faruk Hossain (521288)")</f>
        <v>Faruk Hossain (521288)</v>
      </c>
      <c r="E420" s="93" t="str">
        <f ca="1">IFERROR(__xludf.DUMMYFUNCTION("""COMPUTED_VALUE"""),"CB20816_Apr26")</f>
        <v>CB20816_Apr26</v>
      </c>
      <c r="F420" s="94" t="str">
        <f ca="1">IFERROR(__xludf.DUMMYFUNCTION("""COMPUTED_VALUE"""),"Gravure Output #2")</f>
        <v>Gravure Output #2</v>
      </c>
      <c r="G420" s="95" t="str">
        <f ca="1">IFERROR(__xludf.DUMMYFUNCTION("""COMPUTED_VALUE"""),"New")</f>
        <v>New</v>
      </c>
      <c r="H420" s="96">
        <f ca="1">IFERROR(__xludf.DUMMYFUNCTION("""COMPUTED_VALUE"""),1)</f>
        <v>1</v>
      </c>
      <c r="I420" s="97">
        <f ca="1">IFERROR(__xludf.DUMMYFUNCTION("""COMPUTED_VALUE"""),46127)</f>
        <v>46127</v>
      </c>
      <c r="J420" s="98" t="str">
        <f ca="1">IFERROR(__xludf.DUMMYFUNCTION("""COMPUTED_VALUE"""),"CW30148_Apr26")</f>
        <v>CW30148_Apr26</v>
      </c>
      <c r="K420" s="99" t="str">
        <f ca="1">IFERROR(__xludf.DUMMYFUNCTION("""COMPUTED_VALUE"""),"HoM Approved")</f>
        <v>HoM Approved</v>
      </c>
    </row>
    <row r="421" spans="1:11" ht="13.2">
      <c r="A421" s="89" t="str">
        <f ca="1">IFERROR(__xludf.DUMMYFUNCTION("""COMPUTED_VALUE"""),"Proton Accessories")</f>
        <v>Proton Accessories</v>
      </c>
      <c r="B421" s="90" t="str">
        <f ca="1">IFERROR(__xludf.DUMMYFUNCTION("""COMPUTED_VALUE"""),"REL")</f>
        <v>REL</v>
      </c>
      <c r="C421" s="91" t="str">
        <f ca="1">IFERROR(__xludf.DUMMYFUNCTION("""COMPUTED_VALUE"""),"Antor Vai")</f>
        <v>Antor Vai</v>
      </c>
      <c r="D421" s="92" t="str">
        <f ca="1">IFERROR(__xludf.DUMMYFUNCTION("""COMPUTED_VALUE"""),"Faruk Hossain (521288)")</f>
        <v>Faruk Hossain (521288)</v>
      </c>
      <c r="E421" s="93" t="str">
        <f ca="1">IFERROR(__xludf.DUMMYFUNCTION("""COMPUTED_VALUE"""),"CB20789_Apr26")</f>
        <v>CB20789_Apr26</v>
      </c>
      <c r="F421" s="94" t="str">
        <f ca="1">IFERROR(__xludf.DUMMYFUNCTION("""COMPUTED_VALUE"""),"ATC Box Output")</f>
        <v>ATC Box Output</v>
      </c>
      <c r="G421" s="95" t="str">
        <f ca="1">IFERROR(__xludf.DUMMYFUNCTION("""COMPUTED_VALUE"""),"New")</f>
        <v>New</v>
      </c>
      <c r="H421" s="96">
        <f ca="1">IFERROR(__xludf.DUMMYFUNCTION("""COMPUTED_VALUE"""),1)</f>
        <v>1</v>
      </c>
      <c r="I421" s="97">
        <f ca="1">IFERROR(__xludf.DUMMYFUNCTION("""COMPUTED_VALUE"""),46128)</f>
        <v>46128</v>
      </c>
      <c r="J421" s="98" t="str">
        <f ca="1">IFERROR(__xludf.DUMMYFUNCTION("""COMPUTED_VALUE"""),"CW30277_Apr26")</f>
        <v>CW30277_Apr26</v>
      </c>
      <c r="K421" s="99" t="str">
        <f ca="1">IFERROR(__xludf.DUMMYFUNCTION("""COMPUTED_VALUE"""),"HoM Approved")</f>
        <v>HoM Approved</v>
      </c>
    </row>
    <row r="422" spans="1:11" ht="13.2">
      <c r="A422" s="89" t="str">
        <f ca="1">IFERROR(__xludf.DUMMYFUNCTION("""COMPUTED_VALUE"""),"PRAN Recipe Mix")</f>
        <v>PRAN Recipe Mix</v>
      </c>
      <c r="B422" s="90" t="str">
        <f ca="1">IFERROR(__xludf.DUMMYFUNCTION("""COMPUTED_VALUE"""),"NAL")</f>
        <v>NAL</v>
      </c>
      <c r="C422" s="91" t="str">
        <f ca="1">IFERROR(__xludf.DUMMYFUNCTION("""COMPUTED_VALUE"""),"Minhaz Vai")</f>
        <v>Minhaz Vai</v>
      </c>
      <c r="D422" s="92" t="str">
        <f ca="1">IFERROR(__xludf.DUMMYFUNCTION("""COMPUTED_VALUE"""),"Faruk Hossain (521288)")</f>
        <v>Faruk Hossain (521288)</v>
      </c>
      <c r="E422" s="93" t="str">
        <f ca="1">IFERROR(__xludf.DUMMYFUNCTION("""COMPUTED_VALUE"""),"CB15406_Jan26")</f>
        <v>CB15406_Jan26</v>
      </c>
      <c r="F422" s="94" t="str">
        <f ca="1">IFERROR(__xludf.DUMMYFUNCTION("""COMPUTED_VALUE"""),"ATC Box Output")</f>
        <v>ATC Box Output</v>
      </c>
      <c r="G422" s="95" t="str">
        <f ca="1">IFERROR(__xludf.DUMMYFUNCTION("""COMPUTED_VALUE"""),"New")</f>
        <v>New</v>
      </c>
      <c r="H422" s="96">
        <f ca="1">IFERROR(__xludf.DUMMYFUNCTION("""COMPUTED_VALUE"""),1)</f>
        <v>1</v>
      </c>
      <c r="I422" s="97">
        <f ca="1">IFERROR(__xludf.DUMMYFUNCTION("""COMPUTED_VALUE"""),46128)</f>
        <v>46128</v>
      </c>
      <c r="J422" s="98" t="str">
        <f ca="1">IFERROR(__xludf.DUMMYFUNCTION("""COMPUTED_VALUE"""),"CW30257_Apr26")</f>
        <v>CW30257_Apr26</v>
      </c>
      <c r="K422" s="99" t="str">
        <f ca="1">IFERROR(__xludf.DUMMYFUNCTION("""COMPUTED_VALUE"""),"HoM Approved")</f>
        <v>HoM Approved</v>
      </c>
    </row>
    <row r="423" spans="1:11" ht="13.2">
      <c r="A423" s="89" t="str">
        <f ca="1">IFERROR(__xludf.DUMMYFUNCTION("""COMPUTED_VALUE"""),"Proton Accessories")</f>
        <v>Proton Accessories</v>
      </c>
      <c r="B423" s="90" t="str">
        <f ca="1">IFERROR(__xludf.DUMMYFUNCTION("""COMPUTED_VALUE"""),"REL")</f>
        <v>REL</v>
      </c>
      <c r="C423" s="91" t="str">
        <f ca="1">IFERROR(__xludf.DUMMYFUNCTION("""COMPUTED_VALUE"""),"Antor Vai")</f>
        <v>Antor Vai</v>
      </c>
      <c r="D423" s="92" t="str">
        <f ca="1">IFERROR(__xludf.DUMMYFUNCTION("""COMPUTED_VALUE"""),"Faruk Hossain (521288)")</f>
        <v>Faruk Hossain (521288)</v>
      </c>
      <c r="E423" s="93" t="str">
        <f ca="1">IFERROR(__xludf.DUMMYFUNCTION("""COMPUTED_VALUE"""),"CB20493_Apr26")</f>
        <v>CB20493_Apr26</v>
      </c>
      <c r="F423" s="94" t="str">
        <f ca="1">IFERROR(__xludf.DUMMYFUNCTION("""COMPUTED_VALUE"""),"ATC Box Output")</f>
        <v>ATC Box Output</v>
      </c>
      <c r="G423" s="95" t="str">
        <f ca="1">IFERROR(__xludf.DUMMYFUNCTION("""COMPUTED_VALUE"""),"New")</f>
        <v>New</v>
      </c>
      <c r="H423" s="96">
        <f ca="1">IFERROR(__xludf.DUMMYFUNCTION("""COMPUTED_VALUE"""),1)</f>
        <v>1</v>
      </c>
      <c r="I423" s="97">
        <f ca="1">IFERROR(__xludf.DUMMYFUNCTION("""COMPUTED_VALUE"""),46131)</f>
        <v>46131</v>
      </c>
      <c r="J423" s="98" t="str">
        <f ca="1">IFERROR(__xludf.DUMMYFUNCTION("""COMPUTED_VALUE"""),"CW30430_Apr26")</f>
        <v>CW30430_Apr26</v>
      </c>
      <c r="K423" s="99" t="str">
        <f ca="1">IFERROR(__xludf.DUMMYFUNCTION("""COMPUTED_VALUE"""),"HoM Approved")</f>
        <v>HoM Approved</v>
      </c>
    </row>
    <row r="424" spans="1:11" ht="13.2">
      <c r="A424" s="89" t="str">
        <f ca="1">IFERROR(__xludf.DUMMYFUNCTION("""COMPUTED_VALUE"""),"Glass")</f>
        <v>Glass</v>
      </c>
      <c r="B424" s="90" t="str">
        <f ca="1">IFERROR(__xludf.DUMMYFUNCTION("""COMPUTED_VALUE"""),"RPL")</f>
        <v>RPL</v>
      </c>
      <c r="C424" s="91" t="str">
        <f ca="1">IFERROR(__xludf.DUMMYFUNCTION("""COMPUTED_VALUE"""),"Apurba Vai")</f>
        <v>Apurba Vai</v>
      </c>
      <c r="D424" s="92" t="str">
        <f ca="1">IFERROR(__xludf.DUMMYFUNCTION("""COMPUTED_VALUE"""),"Faruk Hossain (521288)")</f>
        <v>Faruk Hossain (521288)</v>
      </c>
      <c r="E424" s="93" t="str">
        <f ca="1">IFERROR(__xludf.DUMMYFUNCTION("""COMPUTED_VALUE"""),"CB21488_Apr26")</f>
        <v>CB21488_Apr26</v>
      </c>
      <c r="F424" s="94" t="str">
        <f ca="1">IFERROR(__xludf.DUMMYFUNCTION("""COMPUTED_VALUE"""),"ATC Box Output")</f>
        <v>ATC Box Output</v>
      </c>
      <c r="G424" s="95" t="str">
        <f ca="1">IFERROR(__xludf.DUMMYFUNCTION("""COMPUTED_VALUE"""),"New")</f>
        <v>New</v>
      </c>
      <c r="H424" s="96">
        <f ca="1">IFERROR(__xludf.DUMMYFUNCTION("""COMPUTED_VALUE"""),1)</f>
        <v>1</v>
      </c>
      <c r="I424" s="97">
        <f ca="1">IFERROR(__xludf.DUMMYFUNCTION("""COMPUTED_VALUE"""),46131)</f>
        <v>46131</v>
      </c>
      <c r="J424" s="98" t="str">
        <f ca="1">IFERROR(__xludf.DUMMYFUNCTION("""COMPUTED_VALUE"""),"CW30478_Apr26")</f>
        <v>CW30478_Apr26</v>
      </c>
      <c r="K424" s="99" t="str">
        <f ca="1">IFERROR(__xludf.DUMMYFUNCTION("""COMPUTED_VALUE"""),"HoM Approved")</f>
        <v>HoM Approved</v>
      </c>
    </row>
    <row r="425" spans="1:11" ht="13.2">
      <c r="A425" s="89" t="str">
        <f ca="1">IFERROR(__xludf.DUMMYFUNCTION("""COMPUTED_VALUE"""),"PRAN Recipe Mix")</f>
        <v>PRAN Recipe Mix</v>
      </c>
      <c r="B425" s="90" t="str">
        <f ca="1">IFERROR(__xludf.DUMMYFUNCTION("""COMPUTED_VALUE"""),"NAL")</f>
        <v>NAL</v>
      </c>
      <c r="C425" s="91" t="str">
        <f ca="1">IFERROR(__xludf.DUMMYFUNCTION("""COMPUTED_VALUE"""),"Minhaz Vai")</f>
        <v>Minhaz Vai</v>
      </c>
      <c r="D425" s="92" t="str">
        <f ca="1">IFERROR(__xludf.DUMMYFUNCTION("""COMPUTED_VALUE"""),"Faruk Hossain (521288)")</f>
        <v>Faruk Hossain (521288)</v>
      </c>
      <c r="E425" s="93" t="str">
        <f ca="1">IFERROR(__xludf.DUMMYFUNCTION("""COMPUTED_VALUE"""),"CB17951_Feb26")</f>
        <v>CB17951_Feb26</v>
      </c>
      <c r="F425" s="94" t="str">
        <f ca="1">IFERROR(__xludf.DUMMYFUNCTION("""COMPUTED_VALUE"""),"ATC Box Output")</f>
        <v>ATC Box Output</v>
      </c>
      <c r="G425" s="95" t="str">
        <f ca="1">IFERROR(__xludf.DUMMYFUNCTION("""COMPUTED_VALUE"""),"New")</f>
        <v>New</v>
      </c>
      <c r="H425" s="96">
        <f ca="1">IFERROR(__xludf.DUMMYFUNCTION("""COMPUTED_VALUE"""),1)</f>
        <v>1</v>
      </c>
      <c r="I425" s="97">
        <f ca="1">IFERROR(__xludf.DUMMYFUNCTION("""COMPUTED_VALUE"""),46134)</f>
        <v>46134</v>
      </c>
      <c r="J425" s="98" t="str">
        <f ca="1">IFERROR(__xludf.DUMMYFUNCTION("""COMPUTED_VALUE"""),"CW30829_Apr26")</f>
        <v>CW30829_Apr26</v>
      </c>
      <c r="K425" s="99" t="str">
        <f ca="1">IFERROR(__xludf.DUMMYFUNCTION("""COMPUTED_VALUE"""),"HoM Approved")</f>
        <v>HoM Approved</v>
      </c>
    </row>
    <row r="426" spans="1:11" ht="13.2">
      <c r="A426" s="89" t="str">
        <f ca="1">IFERROR(__xludf.DUMMYFUNCTION("""COMPUTED_VALUE"""),"PRAN Recipe Mix")</f>
        <v>PRAN Recipe Mix</v>
      </c>
      <c r="B426" s="90" t="str">
        <f ca="1">IFERROR(__xludf.DUMMYFUNCTION("""COMPUTED_VALUE"""),"NAL")</f>
        <v>NAL</v>
      </c>
      <c r="C426" s="91" t="str">
        <f ca="1">IFERROR(__xludf.DUMMYFUNCTION("""COMPUTED_VALUE"""),"Shamsul Sir")</f>
        <v>Shamsul Sir</v>
      </c>
      <c r="D426" s="92" t="str">
        <f ca="1">IFERROR(__xludf.DUMMYFUNCTION("""COMPUTED_VALUE"""),"Faruk Hossain (521288)")</f>
        <v>Faruk Hossain (521288)</v>
      </c>
      <c r="E426" s="93" t="str">
        <f ca="1">IFERROR(__xludf.DUMMYFUNCTION("""COMPUTED_VALUE"""),"CB21188_Apr26")</f>
        <v>CB21188_Apr26</v>
      </c>
      <c r="F426" s="94" t="str">
        <f ca="1">IFERROR(__xludf.DUMMYFUNCTION("""COMPUTED_VALUE"""),"ATC Box Output")</f>
        <v>ATC Box Output</v>
      </c>
      <c r="G426" s="95" t="str">
        <f ca="1">IFERROR(__xludf.DUMMYFUNCTION("""COMPUTED_VALUE"""),"New")</f>
        <v>New</v>
      </c>
      <c r="H426" s="96">
        <f ca="1">IFERROR(__xludf.DUMMYFUNCTION("""COMPUTED_VALUE"""),8)</f>
        <v>8</v>
      </c>
      <c r="I426" s="97">
        <f ca="1">IFERROR(__xludf.DUMMYFUNCTION("""COMPUTED_VALUE"""),46138)</f>
        <v>46138</v>
      </c>
      <c r="J426" s="98" t="str">
        <f ca="1">IFERROR(__xludf.DUMMYFUNCTION("""COMPUTED_VALUE"""),"CW31317_Apr26")</f>
        <v>CW31317_Apr26</v>
      </c>
      <c r="K426" s="99" t="str">
        <f ca="1">IFERROR(__xludf.DUMMYFUNCTION("""COMPUTED_VALUE"""),"HoM Approved")</f>
        <v>HoM Approved</v>
      </c>
    </row>
    <row r="427" spans="1:11" ht="13.2">
      <c r="A427" s="89" t="str">
        <f ca="1">IFERROR(__xludf.DUMMYFUNCTION("""COMPUTED_VALUE"""),"Sabiha Spice Powder")</f>
        <v>Sabiha Spice Powder</v>
      </c>
      <c r="B427" s="90" t="str">
        <f ca="1">IFERROR(__xludf.DUMMYFUNCTION("""COMPUTED_VALUE"""),"PAL")</f>
        <v>PAL</v>
      </c>
      <c r="C427" s="91" t="str">
        <f ca="1">IFERROR(__xludf.DUMMYFUNCTION("""COMPUTED_VALUE"""),"Nusrat Apu")</f>
        <v>Nusrat Apu</v>
      </c>
      <c r="D427" s="92" t="str">
        <f ca="1">IFERROR(__xludf.DUMMYFUNCTION("""COMPUTED_VALUE"""),"Faruk Hossain (521288)")</f>
        <v>Faruk Hossain (521288)</v>
      </c>
      <c r="E427" s="93" t="str">
        <f ca="1">IFERROR(__xludf.DUMMYFUNCTION("""COMPUTED_VALUE"""),"CB19948_Mar26")</f>
        <v>CB19948_Mar26</v>
      </c>
      <c r="F427" s="94" t="str">
        <f ca="1">IFERROR(__xludf.DUMMYFUNCTION("""COMPUTED_VALUE"""),"ATC Box Output")</f>
        <v>ATC Box Output</v>
      </c>
      <c r="G427" s="95" t="str">
        <f ca="1">IFERROR(__xludf.DUMMYFUNCTION("""COMPUTED_VALUE"""),"New")</f>
        <v>New</v>
      </c>
      <c r="H427" s="96">
        <f ca="1">IFERROR(__xludf.DUMMYFUNCTION("""COMPUTED_VALUE"""),1)</f>
        <v>1</v>
      </c>
      <c r="I427" s="97">
        <f ca="1">IFERROR(__xludf.DUMMYFUNCTION("""COMPUTED_VALUE"""),46139)</f>
        <v>46139</v>
      </c>
      <c r="J427" s="98" t="str">
        <f ca="1">IFERROR(__xludf.DUMMYFUNCTION("""COMPUTED_VALUE"""),"CW31412_Apr26")</f>
        <v>CW31412_Apr26</v>
      </c>
      <c r="K427" s="99" t="str">
        <f ca="1">IFERROR(__xludf.DUMMYFUNCTION("""COMPUTED_VALUE"""),"HoM Approved")</f>
        <v>HoM Approved</v>
      </c>
    </row>
    <row r="428" spans="1:11" ht="13.2">
      <c r="A428" s="89" t="str">
        <f ca="1">IFERROR(__xludf.DUMMYFUNCTION("""COMPUTED_VALUE"""),"Sabiha Spice Powder")</f>
        <v>Sabiha Spice Powder</v>
      </c>
      <c r="B428" s="90" t="str">
        <f ca="1">IFERROR(__xludf.DUMMYFUNCTION("""COMPUTED_VALUE"""),"PAL")</f>
        <v>PAL</v>
      </c>
      <c r="C428" s="91" t="str">
        <f ca="1">IFERROR(__xludf.DUMMYFUNCTION("""COMPUTED_VALUE"""),"Nusrat Apu")</f>
        <v>Nusrat Apu</v>
      </c>
      <c r="D428" s="92" t="str">
        <f ca="1">IFERROR(__xludf.DUMMYFUNCTION("""COMPUTED_VALUE"""),"Faruk Hossain (521288)")</f>
        <v>Faruk Hossain (521288)</v>
      </c>
      <c r="E428" s="93" t="str">
        <f ca="1">IFERROR(__xludf.DUMMYFUNCTION("""COMPUTED_VALUE"""),"CB19953_Mar26")</f>
        <v>CB19953_Mar26</v>
      </c>
      <c r="F428" s="94" t="str">
        <f ca="1">IFERROR(__xludf.DUMMYFUNCTION("""COMPUTED_VALUE"""),"ATC Box Output")</f>
        <v>ATC Box Output</v>
      </c>
      <c r="G428" s="95" t="str">
        <f ca="1">IFERROR(__xludf.DUMMYFUNCTION("""COMPUTED_VALUE"""),"New")</f>
        <v>New</v>
      </c>
      <c r="H428" s="96">
        <f ca="1">IFERROR(__xludf.DUMMYFUNCTION("""COMPUTED_VALUE"""),1)</f>
        <v>1</v>
      </c>
      <c r="I428" s="97">
        <f ca="1">IFERROR(__xludf.DUMMYFUNCTION("""COMPUTED_VALUE"""),46139)</f>
        <v>46139</v>
      </c>
      <c r="J428" s="98" t="str">
        <f ca="1">IFERROR(__xludf.DUMMYFUNCTION("""COMPUTED_VALUE"""),"CW31413_Apr26")</f>
        <v>CW31413_Apr26</v>
      </c>
      <c r="K428" s="99" t="str">
        <f ca="1">IFERROR(__xludf.DUMMYFUNCTION("""COMPUTED_VALUE"""),"HoM Approved")</f>
        <v>HoM Approved</v>
      </c>
    </row>
    <row r="429" spans="1:11" ht="13.2">
      <c r="A429" s="89" t="str">
        <f ca="1">IFERROR(__xludf.DUMMYFUNCTION("""COMPUTED_VALUE"""),"Pluto Chocolate Gems")</f>
        <v>Pluto Chocolate Gems</v>
      </c>
      <c r="B429" s="90" t="str">
        <f ca="1">IFERROR(__xludf.DUMMYFUNCTION("""COMPUTED_VALUE"""),"PCL")</f>
        <v>PCL</v>
      </c>
      <c r="C429" s="91" t="str">
        <f ca="1">IFERROR(__xludf.DUMMYFUNCTION("""COMPUTED_VALUE"""),"Zahirul Vai")</f>
        <v>Zahirul Vai</v>
      </c>
      <c r="D429" s="92" t="str">
        <f ca="1">IFERROR(__xludf.DUMMYFUNCTION("""COMPUTED_VALUE"""),"Faruk Hossain (521288)")</f>
        <v>Faruk Hossain (521288)</v>
      </c>
      <c r="E429" s="93" t="str">
        <f ca="1">IFERROR(__xludf.DUMMYFUNCTION("""COMPUTED_VALUE"""),"CB19199_Mar26")</f>
        <v>CB19199_Mar26</v>
      </c>
      <c r="F429" s="94" t="str">
        <f ca="1">IFERROR(__xludf.DUMMYFUNCTION("""COMPUTED_VALUE"""),"JAR Label Sticker Output")</f>
        <v>JAR Label Sticker Output</v>
      </c>
      <c r="G429" s="95" t="str">
        <f ca="1">IFERROR(__xludf.DUMMYFUNCTION("""COMPUTED_VALUE"""),"New")</f>
        <v>New</v>
      </c>
      <c r="H429" s="96">
        <f ca="1">IFERROR(__xludf.DUMMYFUNCTION("""COMPUTED_VALUE"""),4)</f>
        <v>4</v>
      </c>
      <c r="I429" s="97">
        <f ca="1">IFERROR(__xludf.DUMMYFUNCTION("""COMPUTED_VALUE"""),46139)</f>
        <v>46139</v>
      </c>
      <c r="J429" s="98" t="str">
        <f ca="1">IFERROR(__xludf.DUMMYFUNCTION("""COMPUTED_VALUE"""),"CW31435_Apr26")</f>
        <v>CW31435_Apr26</v>
      </c>
      <c r="K429" s="99" t="str">
        <f ca="1">IFERROR(__xludf.DUMMYFUNCTION("""COMPUTED_VALUE"""),"HoM Approved")</f>
        <v>HoM Approved</v>
      </c>
    </row>
    <row r="430" spans="1:11" ht="13.2">
      <c r="A430" s="89" t="str">
        <f ca="1">IFERROR(__xludf.DUMMYFUNCTION("""COMPUTED_VALUE"""),"Chocobean")</f>
        <v>Chocobean</v>
      </c>
      <c r="B430" s="90" t="str">
        <f ca="1">IFERROR(__xludf.DUMMYFUNCTION("""COMPUTED_VALUE"""),"PAL")</f>
        <v>PAL</v>
      </c>
      <c r="C430" s="91" t="str">
        <f ca="1">IFERROR(__xludf.DUMMYFUNCTION("""COMPUTED_VALUE"""),"Samantha Apu")</f>
        <v>Samantha Apu</v>
      </c>
      <c r="D430" s="92" t="str">
        <f ca="1">IFERROR(__xludf.DUMMYFUNCTION("""COMPUTED_VALUE"""),"Faruk Hossain (521288)")</f>
        <v>Faruk Hossain (521288)</v>
      </c>
      <c r="E430" s="93" t="str">
        <f ca="1">IFERROR(__xludf.DUMMYFUNCTION("""COMPUTED_VALUE"""),"CB21735_Apr26")</f>
        <v>CB21735_Apr26</v>
      </c>
      <c r="F430" s="94" t="str">
        <f ca="1">IFERROR(__xludf.DUMMYFUNCTION("""COMPUTED_VALUE"""),"JAR Label Sticker Output")</f>
        <v>JAR Label Sticker Output</v>
      </c>
      <c r="G430" s="95" t="str">
        <f ca="1">IFERROR(__xludf.DUMMYFUNCTION("""COMPUTED_VALUE"""),"New")</f>
        <v>New</v>
      </c>
      <c r="H430" s="96">
        <f ca="1">IFERROR(__xludf.DUMMYFUNCTION("""COMPUTED_VALUE"""),6)</f>
        <v>6</v>
      </c>
      <c r="I430" s="97">
        <f ca="1">IFERROR(__xludf.DUMMYFUNCTION("""COMPUTED_VALUE"""),46140)</f>
        <v>46140</v>
      </c>
      <c r="J430" s="98" t="str">
        <f ca="1">IFERROR(__xludf.DUMMYFUNCTION("""COMPUTED_VALUE"""),"CW31632_Apr26")</f>
        <v>CW31632_Apr26</v>
      </c>
      <c r="K430" s="99" t="str">
        <f ca="1">IFERROR(__xludf.DUMMYFUNCTION("""COMPUTED_VALUE"""),"Brief Submitted")</f>
        <v>Brief Submitted</v>
      </c>
    </row>
    <row r="431" spans="1:11" ht="13.2">
      <c r="A431" s="89" t="str">
        <f ca="1">IFERROR(__xludf.DUMMYFUNCTION("""COMPUTED_VALUE"""),"Activo")</f>
        <v>Activo</v>
      </c>
      <c r="B431" s="90" t="str">
        <f ca="1">IFERROR(__xludf.DUMMYFUNCTION("""COMPUTED_VALUE"""),"APCL")</f>
        <v>APCL</v>
      </c>
      <c r="C431" s="91" t="str">
        <f ca="1">IFERROR(__xludf.DUMMYFUNCTION("""COMPUTED_VALUE"""),"Kishower Vai")</f>
        <v>Kishower Vai</v>
      </c>
      <c r="D431" s="92" t="str">
        <f ca="1">IFERROR(__xludf.DUMMYFUNCTION("""COMPUTED_VALUE"""),"Faruk Hossain (521288)")</f>
        <v>Faruk Hossain (521288)</v>
      </c>
      <c r="E431" s="93" t="str">
        <f ca="1">IFERROR(__xludf.DUMMYFUNCTION("""COMPUTED_VALUE"""),"CB22513_Apr26")</f>
        <v>CB22513_Apr26</v>
      </c>
      <c r="F431" s="94" t="str">
        <f ca="1">IFERROR(__xludf.DUMMYFUNCTION("""COMPUTED_VALUE"""),"Gravure Output #2")</f>
        <v>Gravure Output #2</v>
      </c>
      <c r="G431" s="95" t="str">
        <f ca="1">IFERROR(__xludf.DUMMYFUNCTION("""COMPUTED_VALUE"""),"New")</f>
        <v>New</v>
      </c>
      <c r="H431" s="96">
        <f ca="1">IFERROR(__xludf.DUMMYFUNCTION("""COMPUTED_VALUE"""),1)</f>
        <v>1</v>
      </c>
      <c r="I431" s="97">
        <f ca="1">IFERROR(__xludf.DUMMYFUNCTION("""COMPUTED_VALUE"""),46141)</f>
        <v>46141</v>
      </c>
      <c r="J431" s="98" t="str">
        <f ca="1">IFERROR(__xludf.DUMMYFUNCTION("""COMPUTED_VALUE"""),"CW31793_Apr26")</f>
        <v>CW31793_Apr26</v>
      </c>
      <c r="K431" s="99" t="str">
        <f ca="1">IFERROR(__xludf.DUMMYFUNCTION("""COMPUTED_VALUE"""),"HoM Approved")</f>
        <v>HoM Approved</v>
      </c>
    </row>
    <row r="432" spans="1:11" ht="13.2">
      <c r="A432" s="89" t="str">
        <f ca="1">IFERROR(__xludf.DUMMYFUNCTION("""COMPUTED_VALUE"""),"Chocobean")</f>
        <v>Chocobean</v>
      </c>
      <c r="B432" s="90" t="str">
        <f ca="1">IFERROR(__xludf.DUMMYFUNCTION("""COMPUTED_VALUE"""),"PAL")</f>
        <v>PAL</v>
      </c>
      <c r="C432" s="91" t="str">
        <f ca="1">IFERROR(__xludf.DUMMYFUNCTION("""COMPUTED_VALUE"""),"Samantha Apu")</f>
        <v>Samantha Apu</v>
      </c>
      <c r="D432" s="92" t="str">
        <f ca="1">IFERROR(__xludf.DUMMYFUNCTION("""COMPUTED_VALUE"""),"Faruk Hossain (521288)")</f>
        <v>Faruk Hossain (521288)</v>
      </c>
      <c r="E432" s="93" t="str">
        <f ca="1">IFERROR(__xludf.DUMMYFUNCTION("""COMPUTED_VALUE"""),"CB20938_Apr26")</f>
        <v>CB20938_Apr26</v>
      </c>
      <c r="F432" s="94" t="str">
        <f ca="1">IFERROR(__xludf.DUMMYFUNCTION("""COMPUTED_VALUE"""),"ATC Box Output")</f>
        <v>ATC Box Output</v>
      </c>
      <c r="G432" s="95" t="str">
        <f ca="1">IFERROR(__xludf.DUMMYFUNCTION("""COMPUTED_VALUE"""),"New")</f>
        <v>New</v>
      </c>
      <c r="H432" s="96">
        <f ca="1">IFERROR(__xludf.DUMMYFUNCTION("""COMPUTED_VALUE"""),1)</f>
        <v>1</v>
      </c>
      <c r="I432" s="97">
        <f ca="1">IFERROR(__xludf.DUMMYFUNCTION("""COMPUTED_VALUE"""),46141)</f>
        <v>46141</v>
      </c>
      <c r="J432" s="98" t="str">
        <f ca="1">IFERROR(__xludf.DUMMYFUNCTION("""COMPUTED_VALUE"""),"CW31792_Apr26")</f>
        <v>CW31792_Apr26</v>
      </c>
      <c r="K432" s="99" t="str">
        <f ca="1">IFERROR(__xludf.DUMMYFUNCTION("""COMPUTED_VALUE"""),"Brief Submitted")</f>
        <v>Brief Submitted</v>
      </c>
    </row>
    <row r="433" spans="1:11" ht="13.2">
      <c r="A433" s="89" t="str">
        <f ca="1">IFERROR(__xludf.DUMMYFUNCTION("""COMPUTED_VALUE"""),"PRAN Frozen Foods")</f>
        <v>PRAN Frozen Foods</v>
      </c>
      <c r="B433" s="90" t="str">
        <f ca="1">IFERROR(__xludf.DUMMYFUNCTION("""COMPUTED_VALUE"""),"PFF")</f>
        <v>PFF</v>
      </c>
      <c r="C433" s="91" t="str">
        <f ca="1">IFERROR(__xludf.DUMMYFUNCTION("""COMPUTED_VALUE"""),"Zahirul Vai")</f>
        <v>Zahirul Vai</v>
      </c>
      <c r="D433" s="92" t="str">
        <f ca="1">IFERROR(__xludf.DUMMYFUNCTION("""COMPUTED_VALUE"""),"Faruk Hossain (521288)")</f>
        <v>Faruk Hossain (521288)</v>
      </c>
      <c r="E433" s="93" t="str">
        <f ca="1">IFERROR(__xludf.DUMMYFUNCTION("""COMPUTED_VALUE"""),"CB19795_Mar26")</f>
        <v>CB19795_Mar26</v>
      </c>
      <c r="F433" s="94" t="str">
        <f ca="1">IFERROR(__xludf.DUMMYFUNCTION("""COMPUTED_VALUE"""),"ATC Box Output")</f>
        <v>ATC Box Output</v>
      </c>
      <c r="G433" s="95" t="str">
        <f ca="1">IFERROR(__xludf.DUMMYFUNCTION("""COMPUTED_VALUE"""),"New")</f>
        <v>New</v>
      </c>
      <c r="H433" s="96">
        <f ca="1">IFERROR(__xludf.DUMMYFUNCTION("""COMPUTED_VALUE"""),2)</f>
        <v>2</v>
      </c>
      <c r="I433" s="97">
        <f ca="1">IFERROR(__xludf.DUMMYFUNCTION("""COMPUTED_VALUE"""),46144)</f>
        <v>46144</v>
      </c>
      <c r="J433" s="98" t="str">
        <f ca="1">IFERROR(__xludf.DUMMYFUNCTION("""COMPUTED_VALUE"""),"CW32185_May26")</f>
        <v>CW32185_May26</v>
      </c>
      <c r="K433" s="99" t="str">
        <f ca="1">IFERROR(__xludf.DUMMYFUNCTION("""COMPUTED_VALUE"""),"HoM Approved")</f>
        <v>HoM Approved</v>
      </c>
    </row>
    <row r="434" spans="1:11" ht="13.2">
      <c r="A434" s="89" t="str">
        <f ca="1">IFERROR(__xludf.DUMMYFUNCTION("""COMPUTED_VALUE"""),"Common - USA &amp; Europe Export")</f>
        <v>Common - USA &amp; Europe Export</v>
      </c>
      <c r="B434" s="90" t="str">
        <f ca="1">IFERROR(__xludf.DUMMYFUNCTION("""COMPUTED_VALUE"""),"USA &amp; Europe")</f>
        <v>USA &amp; Europe</v>
      </c>
      <c r="C434" s="91" t="str">
        <f ca="1">IFERROR(__xludf.DUMMYFUNCTION("""COMPUTED_VALUE"""),"Saifullah Vai")</f>
        <v>Saifullah Vai</v>
      </c>
      <c r="D434" s="92" t="str">
        <f ca="1">IFERROR(__xludf.DUMMYFUNCTION("""COMPUTED_VALUE"""),"Faruk Hossain (521288)")</f>
        <v>Faruk Hossain (521288)</v>
      </c>
      <c r="E434" s="93" t="str">
        <f ca="1">IFERROR(__xludf.DUMMYFUNCTION("""COMPUTED_VALUE"""),"CB21923_Apr26")</f>
        <v>CB21923_Apr26</v>
      </c>
      <c r="F434" s="94" t="str">
        <f ca="1">IFERROR(__xludf.DUMMYFUNCTION("""COMPUTED_VALUE"""),"ATC Box Output")</f>
        <v>ATC Box Output</v>
      </c>
      <c r="G434" s="95" t="str">
        <f ca="1">IFERROR(__xludf.DUMMYFUNCTION("""COMPUTED_VALUE"""),"New")</f>
        <v>New</v>
      </c>
      <c r="H434" s="96">
        <f ca="1">IFERROR(__xludf.DUMMYFUNCTION("""COMPUTED_VALUE"""),1)</f>
        <v>1</v>
      </c>
      <c r="I434" s="97">
        <f ca="1">IFERROR(__xludf.DUMMYFUNCTION("""COMPUTED_VALUE"""),46145)</f>
        <v>46145</v>
      </c>
      <c r="J434" s="98" t="str">
        <f ca="1">IFERROR(__xludf.DUMMYFUNCTION("""COMPUTED_VALUE"""),"CW32299_May26")</f>
        <v>CW32299_May26</v>
      </c>
      <c r="K434" s="99" t="str">
        <f ca="1">IFERROR(__xludf.DUMMYFUNCTION("""COMPUTED_VALUE"""),"HoM Approved")</f>
        <v>HoM Approved</v>
      </c>
    </row>
    <row r="435" spans="1:11" ht="13.2">
      <c r="A435" s="89" t="str">
        <f ca="1">IFERROR(__xludf.DUMMYFUNCTION("""COMPUTED_VALUE"""),"All Time Cookies")</f>
        <v>All Time Cookies</v>
      </c>
      <c r="B435" s="90" t="str">
        <f ca="1">IFERROR(__xludf.DUMMYFUNCTION("""COMPUTED_VALUE"""),"BBL")</f>
        <v>BBL</v>
      </c>
      <c r="C435" s="91" t="str">
        <f ca="1">IFERROR(__xludf.DUMMYFUNCTION("""COMPUTED_VALUE"""),"Shamsul Sir")</f>
        <v>Shamsul Sir</v>
      </c>
      <c r="D435" s="92" t="str">
        <f ca="1">IFERROR(__xludf.DUMMYFUNCTION("""COMPUTED_VALUE"""),"Faruk Hossain (521288)")</f>
        <v>Faruk Hossain (521288)</v>
      </c>
      <c r="E435" s="93" t="str">
        <f ca="1">IFERROR(__xludf.DUMMYFUNCTION("""COMPUTED_VALUE"""),"CB22490_Apr26")</f>
        <v>CB22490_Apr26</v>
      </c>
      <c r="F435" s="94" t="str">
        <f ca="1">IFERROR(__xludf.DUMMYFUNCTION("""COMPUTED_VALUE"""),"JAR Label Sticker Output")</f>
        <v>JAR Label Sticker Output</v>
      </c>
      <c r="G435" s="95" t="str">
        <f ca="1">IFERROR(__xludf.DUMMYFUNCTION("""COMPUTED_VALUE"""),"New")</f>
        <v>New</v>
      </c>
      <c r="H435" s="96">
        <f ca="1">IFERROR(__xludf.DUMMYFUNCTION("""COMPUTED_VALUE"""),5)</f>
        <v>5</v>
      </c>
      <c r="I435" s="97">
        <f ca="1">IFERROR(__xludf.DUMMYFUNCTION("""COMPUTED_VALUE"""),46145)</f>
        <v>46145</v>
      </c>
      <c r="J435" s="98" t="str">
        <f ca="1">IFERROR(__xludf.DUMMYFUNCTION("""COMPUTED_VALUE"""),"CW32276_May26")</f>
        <v>CW32276_May26</v>
      </c>
      <c r="K435" s="99" t="str">
        <f ca="1">IFERROR(__xludf.DUMMYFUNCTION("""COMPUTED_VALUE"""),"HoM Approved")</f>
        <v>HoM Approved</v>
      </c>
    </row>
    <row r="436" spans="1:11" ht="13.2">
      <c r="A436" s="89" t="str">
        <f ca="1">IFERROR(__xludf.DUMMYFUNCTION("""COMPUTED_VALUE"""),"RFL Gas Stove")</f>
        <v>RFL Gas Stove</v>
      </c>
      <c r="B436" s="90" t="str">
        <f ca="1">IFERROR(__xludf.DUMMYFUNCTION("""COMPUTED_VALUE"""),"RMIL-1")</f>
        <v>RMIL-1</v>
      </c>
      <c r="C436" s="91" t="str">
        <f ca="1">IFERROR(__xludf.DUMMYFUNCTION("""COMPUTED_VALUE"""),"Humayun Vaiya")</f>
        <v>Humayun Vaiya</v>
      </c>
      <c r="D436" s="92" t="str">
        <f ca="1">IFERROR(__xludf.DUMMYFUNCTION("""COMPUTED_VALUE"""),"Faruk Hossain (521288)")</f>
        <v>Faruk Hossain (521288)</v>
      </c>
      <c r="E436" s="93" t="str">
        <f ca="1">IFERROR(__xludf.DUMMYFUNCTION("""COMPUTED_VALUE"""),"CB22209_Apr26")</f>
        <v>CB22209_Apr26</v>
      </c>
      <c r="F436" s="94" t="str">
        <f ca="1">IFERROR(__xludf.DUMMYFUNCTION("""COMPUTED_VALUE"""),"Leaflet/Poster Output")</f>
        <v>Leaflet/Poster Output</v>
      </c>
      <c r="G436" s="95" t="str">
        <f ca="1">IFERROR(__xludf.DUMMYFUNCTION("""COMPUTED_VALUE"""),"New")</f>
        <v>New</v>
      </c>
      <c r="H436" s="96">
        <f ca="1">IFERROR(__xludf.DUMMYFUNCTION("""COMPUTED_VALUE"""),1)</f>
        <v>1</v>
      </c>
      <c r="I436" s="97">
        <f ca="1">IFERROR(__xludf.DUMMYFUNCTION("""COMPUTED_VALUE"""),46146)</f>
        <v>46146</v>
      </c>
      <c r="J436" s="98" t="str">
        <f ca="1">IFERROR(__xludf.DUMMYFUNCTION("""COMPUTED_VALUE"""),"CW32382_May26")</f>
        <v>CW32382_May26</v>
      </c>
      <c r="K436" s="99" t="str">
        <f ca="1">IFERROR(__xludf.DUMMYFUNCTION("""COMPUTED_VALUE"""),"HoM Approved")</f>
        <v>HoM Approved</v>
      </c>
    </row>
    <row r="437" spans="1:11" ht="13.2">
      <c r="A437" s="89" t="str">
        <f ca="1">IFERROR(__xludf.DUMMYFUNCTION("""COMPUTED_VALUE"""),"RFL Bathroom Fittings")</f>
        <v>RFL Bathroom Fittings</v>
      </c>
      <c r="B437" s="90" t="str">
        <f ca="1">IFERROR(__xludf.DUMMYFUNCTION("""COMPUTED_VALUE"""),"RPL")</f>
        <v>RPL</v>
      </c>
      <c r="C437" s="91" t="str">
        <f ca="1">IFERROR(__xludf.DUMMYFUNCTION("""COMPUTED_VALUE"""),"Jaheen Vai")</f>
        <v>Jaheen Vai</v>
      </c>
      <c r="D437" s="92" t="str">
        <f ca="1">IFERROR(__xludf.DUMMYFUNCTION("""COMPUTED_VALUE"""),"Faruk Hossain (521288)")</f>
        <v>Faruk Hossain (521288)</v>
      </c>
      <c r="E437" s="93" t="str">
        <f ca="1">IFERROR(__xludf.DUMMYFUNCTION("""COMPUTED_VALUE"""),"CB21825_Apr26")</f>
        <v>CB21825_Apr26</v>
      </c>
      <c r="F437" s="94" t="str">
        <f ca="1">IFERROR(__xludf.DUMMYFUNCTION("""COMPUTED_VALUE"""),"ATC Box Output")</f>
        <v>ATC Box Output</v>
      </c>
      <c r="G437" s="95" t="str">
        <f ca="1">IFERROR(__xludf.DUMMYFUNCTION("""COMPUTED_VALUE"""),"New")</f>
        <v>New</v>
      </c>
      <c r="H437" s="96">
        <f ca="1">IFERROR(__xludf.DUMMYFUNCTION("""COMPUTED_VALUE"""),4)</f>
        <v>4</v>
      </c>
      <c r="I437" s="97">
        <f ca="1">IFERROR(__xludf.DUMMYFUNCTION("""COMPUTED_VALUE"""),46148)</f>
        <v>46148</v>
      </c>
      <c r="J437" s="98" t="str">
        <f ca="1">IFERROR(__xludf.DUMMYFUNCTION("""COMPUTED_VALUE"""),"CW32601_May26")</f>
        <v>CW32601_May26</v>
      </c>
      <c r="K437" s="99" t="str">
        <f ca="1">IFERROR(__xludf.DUMMYFUNCTION("""COMPUTED_VALUE"""),"HoM Approved")</f>
        <v>HoM Approved</v>
      </c>
    </row>
    <row r="438" spans="1:11" ht="13.2">
      <c r="A438" s="89" t="str">
        <f ca="1">IFERROR(__xludf.DUMMYFUNCTION("""COMPUTED_VALUE"""),"Common - USA &amp; Europe Export")</f>
        <v>Common - USA &amp; Europe Export</v>
      </c>
      <c r="B438" s="90" t="str">
        <f ca="1">IFERROR(__xludf.DUMMYFUNCTION("""COMPUTED_VALUE"""),"USA &amp; Europe")</f>
        <v>USA &amp; Europe</v>
      </c>
      <c r="C438" s="91" t="str">
        <f ca="1">IFERROR(__xludf.DUMMYFUNCTION("""COMPUTED_VALUE"""),"Saifullah Vai")</f>
        <v>Saifullah Vai</v>
      </c>
      <c r="D438" s="92" t="str">
        <f ca="1">IFERROR(__xludf.DUMMYFUNCTION("""COMPUTED_VALUE"""),"Faruk Hossain (521288)")</f>
        <v>Faruk Hossain (521288)</v>
      </c>
      <c r="E438" s="93" t="str">
        <f ca="1">IFERROR(__xludf.DUMMYFUNCTION("""COMPUTED_VALUE"""),"CB23429_May26")</f>
        <v>CB23429_May26</v>
      </c>
      <c r="F438" s="94" t="str">
        <f ca="1">IFERROR(__xludf.DUMMYFUNCTION("""COMPUTED_VALUE"""),"JAR Label Sticker Output")</f>
        <v>JAR Label Sticker Output</v>
      </c>
      <c r="G438" s="95" t="str">
        <f ca="1">IFERROR(__xludf.DUMMYFUNCTION("""COMPUTED_VALUE"""),"New")</f>
        <v>New</v>
      </c>
      <c r="H438" s="96">
        <f ca="1">IFERROR(__xludf.DUMMYFUNCTION("""COMPUTED_VALUE"""),2)</f>
        <v>2</v>
      </c>
      <c r="I438" s="97">
        <f ca="1">IFERROR(__xludf.DUMMYFUNCTION("""COMPUTED_VALUE"""),46148)</f>
        <v>46148</v>
      </c>
      <c r="J438" s="98" t="str">
        <f ca="1">IFERROR(__xludf.DUMMYFUNCTION("""COMPUTED_VALUE"""),"CW32620_May26")</f>
        <v>CW32620_May26</v>
      </c>
      <c r="K438" s="99" t="str">
        <f ca="1">IFERROR(__xludf.DUMMYFUNCTION("""COMPUTED_VALUE"""),"HoM Approved")</f>
        <v>HoM Approved</v>
      </c>
    </row>
    <row r="439" spans="1:11" ht="13.2">
      <c r="A439" s="89" t="str">
        <f ca="1">IFERROR(__xludf.DUMMYFUNCTION("""COMPUTED_VALUE"""),"Falcon MS &amp; GI Pipe")</f>
        <v>Falcon MS &amp; GI Pipe</v>
      </c>
      <c r="B439" s="90" t="str">
        <f ca="1">IFERROR(__xludf.DUMMYFUNCTION("""COMPUTED_VALUE"""),"RPLM")</f>
        <v>RPLM</v>
      </c>
      <c r="C439" s="91" t="str">
        <f ca="1">IFERROR(__xludf.DUMMYFUNCTION("""COMPUTED_VALUE"""),"Farhan Labib Vai")</f>
        <v>Farhan Labib Vai</v>
      </c>
      <c r="D439" s="92" t="str">
        <f ca="1">IFERROR(__xludf.DUMMYFUNCTION("""COMPUTED_VALUE"""),"Faruk Hossain (521288)")</f>
        <v>Faruk Hossain (521288)</v>
      </c>
      <c r="E439" s="93" t="str">
        <f ca="1">IFERROR(__xludf.DUMMYFUNCTION("""COMPUTED_VALUE"""),"CB23165_May26")</f>
        <v>CB23165_May26</v>
      </c>
      <c r="F439" s="94" t="str">
        <f ca="1">IFERROR(__xludf.DUMMYFUNCTION("""COMPUTED_VALUE"""),"Leaflet/Poster Output")</f>
        <v>Leaflet/Poster Output</v>
      </c>
      <c r="G439" s="95" t="str">
        <f ca="1">IFERROR(__xludf.DUMMYFUNCTION("""COMPUTED_VALUE"""),"New")</f>
        <v>New</v>
      </c>
      <c r="H439" s="96">
        <f ca="1">IFERROR(__xludf.DUMMYFUNCTION("""COMPUTED_VALUE"""),3)</f>
        <v>3</v>
      </c>
      <c r="I439" s="97">
        <f ca="1">IFERROR(__xludf.DUMMYFUNCTION("""COMPUTED_VALUE"""),46149)</f>
        <v>46149</v>
      </c>
      <c r="J439" s="98" t="str">
        <f ca="1">IFERROR(__xludf.DUMMYFUNCTION("""COMPUTED_VALUE"""),"CW32677_May26")</f>
        <v>CW32677_May26</v>
      </c>
      <c r="K439" s="99" t="str">
        <f ca="1">IFERROR(__xludf.DUMMYFUNCTION("""COMPUTED_VALUE"""),"HoM Approved")</f>
        <v>HoM Approved</v>
      </c>
    </row>
    <row r="440" spans="1:11" ht="13.2">
      <c r="A440" s="89" t="str">
        <f ca="1">IFERROR(__xludf.DUMMYFUNCTION("""COMPUTED_VALUE"""),"Sabiha Spice Powder")</f>
        <v>Sabiha Spice Powder</v>
      </c>
      <c r="B440" s="90" t="str">
        <f ca="1">IFERROR(__xludf.DUMMYFUNCTION("""COMPUTED_VALUE"""),"PAL")</f>
        <v>PAL</v>
      </c>
      <c r="C440" s="91" t="str">
        <f ca="1">IFERROR(__xludf.DUMMYFUNCTION("""COMPUTED_VALUE"""),"Nusrat Apu")</f>
        <v>Nusrat Apu</v>
      </c>
      <c r="D440" s="92" t="str">
        <f ca="1">IFERROR(__xludf.DUMMYFUNCTION("""COMPUTED_VALUE"""),"Faruk Hossain (521288)")</f>
        <v>Faruk Hossain (521288)</v>
      </c>
      <c r="E440" s="93" t="str">
        <f ca="1">IFERROR(__xludf.DUMMYFUNCTION("""COMPUTED_VALUE"""),"CB22557_Apr26")</f>
        <v>CB22557_Apr26</v>
      </c>
      <c r="F440" s="94" t="str">
        <f ca="1">IFERROR(__xludf.DUMMYFUNCTION("""COMPUTED_VALUE"""),"ATC Box Output")</f>
        <v>ATC Box Output</v>
      </c>
      <c r="G440" s="95" t="str">
        <f ca="1">IFERROR(__xludf.DUMMYFUNCTION("""COMPUTED_VALUE"""),"New")</f>
        <v>New</v>
      </c>
      <c r="H440" s="96">
        <f ca="1">IFERROR(__xludf.DUMMYFUNCTION("""COMPUTED_VALUE"""),1)</f>
        <v>1</v>
      </c>
      <c r="I440" s="97">
        <f ca="1">IFERROR(__xludf.DUMMYFUNCTION("""COMPUTED_VALUE"""),46151)</f>
        <v>46151</v>
      </c>
      <c r="J440" s="98" t="str">
        <f ca="1">IFERROR(__xludf.DUMMYFUNCTION("""COMPUTED_VALUE"""),"CW32892_May26")</f>
        <v>CW32892_May26</v>
      </c>
      <c r="K440" s="99" t="str">
        <f ca="1">IFERROR(__xludf.DUMMYFUNCTION("""COMPUTED_VALUE"""),"HoM Approved")</f>
        <v>HoM Approved</v>
      </c>
    </row>
    <row r="441" spans="1:11" ht="13.2">
      <c r="A441" s="89" t="str">
        <f ca="1">IFERROR(__xludf.DUMMYFUNCTION("""COMPUTED_VALUE"""),"Sabiha Spice Powder")</f>
        <v>Sabiha Spice Powder</v>
      </c>
      <c r="B441" s="90" t="str">
        <f ca="1">IFERROR(__xludf.DUMMYFUNCTION("""COMPUTED_VALUE"""),"PAL")</f>
        <v>PAL</v>
      </c>
      <c r="C441" s="91" t="str">
        <f ca="1">IFERROR(__xludf.DUMMYFUNCTION("""COMPUTED_VALUE"""),"Nusrat Apu")</f>
        <v>Nusrat Apu</v>
      </c>
      <c r="D441" s="92" t="str">
        <f ca="1">IFERROR(__xludf.DUMMYFUNCTION("""COMPUTED_VALUE"""),"Faruk Hossain (521288)")</f>
        <v>Faruk Hossain (521288)</v>
      </c>
      <c r="E441" s="93" t="str">
        <f ca="1">IFERROR(__xludf.DUMMYFUNCTION("""COMPUTED_VALUE"""),"CB23323_May26")</f>
        <v>CB23323_May26</v>
      </c>
      <c r="F441" s="94" t="str">
        <f ca="1">IFERROR(__xludf.DUMMYFUNCTION("""COMPUTED_VALUE"""),"JAR Label Sticker Output")</f>
        <v>JAR Label Sticker Output</v>
      </c>
      <c r="G441" s="95" t="str">
        <f ca="1">IFERROR(__xludf.DUMMYFUNCTION("""COMPUTED_VALUE"""),"New")</f>
        <v>New</v>
      </c>
      <c r="H441" s="96">
        <f ca="1">IFERROR(__xludf.DUMMYFUNCTION("""COMPUTED_VALUE"""),1)</f>
        <v>1</v>
      </c>
      <c r="I441" s="97">
        <f ca="1">IFERROR(__xludf.DUMMYFUNCTION("""COMPUTED_VALUE"""),46151)</f>
        <v>46151</v>
      </c>
      <c r="J441" s="98" t="str">
        <f ca="1">IFERROR(__xludf.DUMMYFUNCTION("""COMPUTED_VALUE"""),"CW32895_May26")</f>
        <v>CW32895_May26</v>
      </c>
      <c r="K441" s="99" t="str">
        <f ca="1">IFERROR(__xludf.DUMMYFUNCTION("""COMPUTED_VALUE"""),"HoM Approved")</f>
        <v>HoM Approved</v>
      </c>
    </row>
    <row r="442" spans="1:11" ht="13.2">
      <c r="A442" s="89" t="str">
        <f ca="1">IFERROR(__xludf.DUMMYFUNCTION("""COMPUTED_VALUE"""),"Good Luck")</f>
        <v>Good Luck</v>
      </c>
      <c r="B442" s="90" t="str">
        <f ca="1">IFERROR(__xludf.DUMMYFUNCTION("""COMPUTED_VALUE"""),"RFL Stationery")</f>
        <v>RFL Stationery</v>
      </c>
      <c r="C442" s="91" t="str">
        <f ca="1">IFERROR(__xludf.DUMMYFUNCTION("""COMPUTED_VALUE"""),"Emon Vai")</f>
        <v>Emon Vai</v>
      </c>
      <c r="D442" s="92" t="str">
        <f ca="1">IFERROR(__xludf.DUMMYFUNCTION("""COMPUTED_VALUE"""),"Faruk Hossain (521288)")</f>
        <v>Faruk Hossain (521288)</v>
      </c>
      <c r="E442" s="93" t="str">
        <f ca="1">IFERROR(__xludf.DUMMYFUNCTION("""COMPUTED_VALUE"""),"CB21524_Apr26")</f>
        <v>CB21524_Apr26</v>
      </c>
      <c r="F442" s="94" t="str">
        <f ca="1">IFERROR(__xludf.DUMMYFUNCTION("""COMPUTED_VALUE"""),"ATC Box Output")</f>
        <v>ATC Box Output</v>
      </c>
      <c r="G442" s="95" t="str">
        <f ca="1">IFERROR(__xludf.DUMMYFUNCTION("""COMPUTED_VALUE"""),"New")</f>
        <v>New</v>
      </c>
      <c r="H442" s="96">
        <f ca="1">IFERROR(__xludf.DUMMYFUNCTION("""COMPUTED_VALUE"""),1)</f>
        <v>1</v>
      </c>
      <c r="I442" s="97">
        <f ca="1">IFERROR(__xludf.DUMMYFUNCTION("""COMPUTED_VALUE"""),46153)</f>
        <v>46153</v>
      </c>
      <c r="J442" s="98" t="str">
        <f ca="1">IFERROR(__xludf.DUMMYFUNCTION("""COMPUTED_VALUE"""),"CW33106_May26")</f>
        <v>CW33106_May26</v>
      </c>
      <c r="K442" s="99" t="str">
        <f ca="1">IFERROR(__xludf.DUMMYFUNCTION("""COMPUTED_VALUE"""),"HoM Approved")</f>
        <v>HoM Approved</v>
      </c>
    </row>
    <row r="443" spans="1:11" ht="13.2">
      <c r="A443" s="89" t="str">
        <f ca="1">IFERROR(__xludf.DUMMYFUNCTION("""COMPUTED_VALUE"""),"Jim &amp; Jolly Toys")</f>
        <v>Jim &amp; Jolly Toys</v>
      </c>
      <c r="B443" s="90" t="str">
        <f ca="1">IFERROR(__xludf.DUMMYFUNCTION("""COMPUTED_VALUE"""),"DPL")</f>
        <v>DPL</v>
      </c>
      <c r="C443" s="91" t="str">
        <f ca="1">IFERROR(__xludf.DUMMYFUNCTION("""COMPUTED_VALUE"""),"Sohan Vai")</f>
        <v>Sohan Vai</v>
      </c>
      <c r="D443" s="92" t="str">
        <f ca="1">IFERROR(__xludf.DUMMYFUNCTION("""COMPUTED_VALUE"""),"Faruk Hossain (521288)")</f>
        <v>Faruk Hossain (521288)</v>
      </c>
      <c r="E443" s="93" t="str">
        <f ca="1">IFERROR(__xludf.DUMMYFUNCTION("""COMPUTED_VALUE"""),"CB23655_May26")</f>
        <v>CB23655_May26</v>
      </c>
      <c r="F443" s="94" t="str">
        <f ca="1">IFERROR(__xludf.DUMMYFUNCTION("""COMPUTED_VALUE"""),"Leaflet/Poster Output")</f>
        <v>Leaflet/Poster Output</v>
      </c>
      <c r="G443" s="95" t="str">
        <f ca="1">IFERROR(__xludf.DUMMYFUNCTION("""COMPUTED_VALUE"""),"New")</f>
        <v>New</v>
      </c>
      <c r="H443" s="96">
        <f ca="1">IFERROR(__xludf.DUMMYFUNCTION("""COMPUTED_VALUE"""),1)</f>
        <v>1</v>
      </c>
      <c r="I443" s="97">
        <f ca="1">IFERROR(__xludf.DUMMYFUNCTION("""COMPUTED_VALUE"""),46153)</f>
        <v>46153</v>
      </c>
      <c r="J443" s="98" t="str">
        <f ca="1">IFERROR(__xludf.DUMMYFUNCTION("""COMPUTED_VALUE"""),"CW33103_May26")</f>
        <v>CW33103_May26</v>
      </c>
      <c r="K443" s="99" t="str">
        <f ca="1">IFERROR(__xludf.DUMMYFUNCTION("""COMPUTED_VALUE"""),"HoM Approved")</f>
        <v>HoM Approved</v>
      </c>
    </row>
    <row r="444" spans="1:11" ht="13.2">
      <c r="A444" s="89" t="str">
        <f ca="1">IFERROR(__xludf.DUMMYFUNCTION("""COMPUTED_VALUE"""),"All Time Slice Cake")</f>
        <v>All Time Slice Cake</v>
      </c>
      <c r="B444" s="90" t="str">
        <f ca="1">IFERROR(__xludf.DUMMYFUNCTION("""COMPUTED_VALUE"""),"BBL")</f>
        <v>BBL</v>
      </c>
      <c r="C444" s="91" t="str">
        <f ca="1">IFERROR(__xludf.DUMMYFUNCTION("""COMPUTED_VALUE"""),"Fatema Apu")</f>
        <v>Fatema Apu</v>
      </c>
      <c r="D444" s="92" t="str">
        <f ca="1">IFERROR(__xludf.DUMMYFUNCTION("""COMPUTED_VALUE"""),"Faruk Hossain (521288)")</f>
        <v>Faruk Hossain (521288)</v>
      </c>
      <c r="E444" s="93" t="str">
        <f ca="1">IFERROR(__xludf.DUMMYFUNCTION("""COMPUTED_VALUE"""),"CB22785_Apr26")</f>
        <v>CB22785_Apr26</v>
      </c>
      <c r="F444" s="94" t="str">
        <f ca="1">IFERROR(__xludf.DUMMYFUNCTION("""COMPUTED_VALUE"""),"Gravure Output #2")</f>
        <v>Gravure Output #2</v>
      </c>
      <c r="G444" s="95" t="str">
        <f ca="1">IFERROR(__xludf.DUMMYFUNCTION("""COMPUTED_VALUE"""),"New")</f>
        <v>New</v>
      </c>
      <c r="H444" s="96">
        <f ca="1">IFERROR(__xludf.DUMMYFUNCTION("""COMPUTED_VALUE"""),1)</f>
        <v>1</v>
      </c>
      <c r="I444" s="97">
        <f ca="1">IFERROR(__xludf.DUMMYFUNCTION("""COMPUTED_VALUE"""),46156)</f>
        <v>46156</v>
      </c>
      <c r="J444" s="98" t="str">
        <f ca="1">IFERROR(__xludf.DUMMYFUNCTION("""COMPUTED_VALUE"""),"CW33540_May26")</f>
        <v>CW33540_May26</v>
      </c>
      <c r="K444" s="99" t="str">
        <f ca="1">IFERROR(__xludf.DUMMYFUNCTION("""COMPUTED_VALUE"""),"HoM Approved")</f>
        <v>HoM Approved</v>
      </c>
    </row>
    <row r="445" spans="1:11" ht="13.2">
      <c r="A445" s="89" t="str">
        <f ca="1">IFERROR(__xludf.DUMMYFUNCTION("""COMPUTED_VALUE"""),"RFL Bathroom Fittings")</f>
        <v>RFL Bathroom Fittings</v>
      </c>
      <c r="B445" s="90" t="str">
        <f ca="1">IFERROR(__xludf.DUMMYFUNCTION("""COMPUTED_VALUE"""),"RPL")</f>
        <v>RPL</v>
      </c>
      <c r="C445" s="91" t="str">
        <f ca="1">IFERROR(__xludf.DUMMYFUNCTION("""COMPUTED_VALUE"""),"Jaheen Vai")</f>
        <v>Jaheen Vai</v>
      </c>
      <c r="D445" s="92" t="str">
        <f ca="1">IFERROR(__xludf.DUMMYFUNCTION("""COMPUTED_VALUE"""),"Faruk Hossain (521288)")</f>
        <v>Faruk Hossain (521288)</v>
      </c>
      <c r="E445" s="93" t="str">
        <f ca="1">IFERROR(__xludf.DUMMYFUNCTION("""COMPUTED_VALUE"""),"CB23067_May26")</f>
        <v>CB23067_May26</v>
      </c>
      <c r="F445" s="94" t="str">
        <f ca="1">IFERROR(__xludf.DUMMYFUNCTION("""COMPUTED_VALUE"""),"ATC Box Output")</f>
        <v>ATC Box Output</v>
      </c>
      <c r="G445" s="95" t="str">
        <f ca="1">IFERROR(__xludf.DUMMYFUNCTION("""COMPUTED_VALUE"""),"New")</f>
        <v>New</v>
      </c>
      <c r="H445" s="96">
        <f ca="1">IFERROR(__xludf.DUMMYFUNCTION("""COMPUTED_VALUE"""),4)</f>
        <v>4</v>
      </c>
      <c r="I445" s="97">
        <f ca="1">IFERROR(__xludf.DUMMYFUNCTION("""COMPUTED_VALUE"""),46156)</f>
        <v>46156</v>
      </c>
      <c r="J445" s="98" t="str">
        <f ca="1">IFERROR(__xludf.DUMMYFUNCTION("""COMPUTED_VALUE"""),"CW33559_May26")</f>
        <v>CW33559_May26</v>
      </c>
      <c r="K445" s="99" t="str">
        <f ca="1">IFERROR(__xludf.DUMMYFUNCTION("""COMPUTED_VALUE"""),"HoM Approved")</f>
        <v>HoM Approved</v>
      </c>
    </row>
    <row r="446" spans="1:11" ht="13.2">
      <c r="A446" s="89" t="str">
        <f ca="1">IFERROR(__xludf.DUMMYFUNCTION("""COMPUTED_VALUE"""),"RFL Bathroom Fittings")</f>
        <v>RFL Bathroom Fittings</v>
      </c>
      <c r="B446" s="90" t="str">
        <f ca="1">IFERROR(__xludf.DUMMYFUNCTION("""COMPUTED_VALUE"""),"RPL")</f>
        <v>RPL</v>
      </c>
      <c r="C446" s="91" t="str">
        <f ca="1">IFERROR(__xludf.DUMMYFUNCTION("""COMPUTED_VALUE"""),"Jaheen Vai")</f>
        <v>Jaheen Vai</v>
      </c>
      <c r="D446" s="92" t="str">
        <f ca="1">IFERROR(__xludf.DUMMYFUNCTION("""COMPUTED_VALUE"""),"Faruk Hossain (521288)")</f>
        <v>Faruk Hossain (521288)</v>
      </c>
      <c r="E446" s="93" t="str">
        <f ca="1">IFERROR(__xludf.DUMMYFUNCTION("""COMPUTED_VALUE"""),"CB23067_May26")</f>
        <v>CB23067_May26</v>
      </c>
      <c r="F446" s="94" t="str">
        <f ca="1">IFERROR(__xludf.DUMMYFUNCTION("""COMPUTED_VALUE"""),"ATC Box Output")</f>
        <v>ATC Box Output</v>
      </c>
      <c r="G446" s="95" t="str">
        <f ca="1">IFERROR(__xludf.DUMMYFUNCTION("""COMPUTED_VALUE"""),"New")</f>
        <v>New</v>
      </c>
      <c r="H446" s="96">
        <f ca="1">IFERROR(__xludf.DUMMYFUNCTION("""COMPUTED_VALUE"""),1)</f>
        <v>1</v>
      </c>
      <c r="I446" s="97">
        <f ca="1">IFERROR(__xludf.DUMMYFUNCTION("""COMPUTED_VALUE"""),46156)</f>
        <v>46156</v>
      </c>
      <c r="J446" s="98" t="str">
        <f ca="1">IFERROR(__xludf.DUMMYFUNCTION("""COMPUTED_VALUE"""),"CW33562_May26")</f>
        <v>CW33562_May26</v>
      </c>
      <c r="K446" s="99" t="str">
        <f ca="1">IFERROR(__xludf.DUMMYFUNCTION("""COMPUTED_VALUE"""),"HoM Approved")</f>
        <v>HoM Approved</v>
      </c>
    </row>
    <row r="447" spans="1:11" ht="13.2">
      <c r="A447" s="89" t="str">
        <f ca="1">IFERROR(__xludf.DUMMYFUNCTION("""COMPUTED_VALUE"""),"PRAN Recipe Mix")</f>
        <v>PRAN Recipe Mix</v>
      </c>
      <c r="B447" s="90" t="str">
        <f ca="1">IFERROR(__xludf.DUMMYFUNCTION("""COMPUTED_VALUE"""),"NAL")</f>
        <v>NAL</v>
      </c>
      <c r="C447" s="91" t="str">
        <f ca="1">IFERROR(__xludf.DUMMYFUNCTION("""COMPUTED_VALUE"""),"Minhaz Vai")</f>
        <v>Minhaz Vai</v>
      </c>
      <c r="D447" s="92" t="str">
        <f ca="1">IFERROR(__xludf.DUMMYFUNCTION("""COMPUTED_VALUE"""),"Faruk Hossain (521288)")</f>
        <v>Faruk Hossain (521288)</v>
      </c>
      <c r="E447" s="93" t="str">
        <f ca="1">IFERROR(__xludf.DUMMYFUNCTION("""COMPUTED_VALUE"""),"CB21010_Apr26")</f>
        <v>CB21010_Apr26</v>
      </c>
      <c r="F447" s="94" t="str">
        <f ca="1">IFERROR(__xludf.DUMMYFUNCTION("""COMPUTED_VALUE"""),"ATC Box Output")</f>
        <v>ATC Box Output</v>
      </c>
      <c r="G447" s="95" t="str">
        <f ca="1">IFERROR(__xludf.DUMMYFUNCTION("""COMPUTED_VALUE"""),"New")</f>
        <v>New</v>
      </c>
      <c r="H447" s="96">
        <f ca="1">IFERROR(__xludf.DUMMYFUNCTION("""COMPUTED_VALUE"""),1)</f>
        <v>1</v>
      </c>
      <c r="I447" s="97">
        <f ca="1">IFERROR(__xludf.DUMMYFUNCTION("""COMPUTED_VALUE"""),46156)</f>
        <v>46156</v>
      </c>
      <c r="J447" s="98" t="str">
        <f ca="1">IFERROR(__xludf.DUMMYFUNCTION("""COMPUTED_VALUE"""),"CW33536_May26")</f>
        <v>CW33536_May26</v>
      </c>
      <c r="K447" s="99" t="str">
        <f ca="1">IFERROR(__xludf.DUMMYFUNCTION("""COMPUTED_VALUE"""),"HoM Approved")</f>
        <v>HoM Approved</v>
      </c>
    </row>
    <row r="448" spans="1:11" ht="13.2">
      <c r="A448" s="89" t="str">
        <f ca="1">IFERROR(__xludf.DUMMYFUNCTION("""COMPUTED_VALUE"""),"PRAN Peanut Bar")</f>
        <v>PRAN Peanut Bar</v>
      </c>
      <c r="B448" s="90" t="str">
        <f ca="1">IFERROR(__xludf.DUMMYFUNCTION("""COMPUTED_VALUE"""),"PAL")</f>
        <v>PAL</v>
      </c>
      <c r="C448" s="91" t="str">
        <f ca="1">IFERROR(__xludf.DUMMYFUNCTION("""COMPUTED_VALUE"""),"Nasif Vai")</f>
        <v>Nasif Vai</v>
      </c>
      <c r="D448" s="92" t="str">
        <f ca="1">IFERROR(__xludf.DUMMYFUNCTION("""COMPUTED_VALUE"""),"Faruk Hossain (521288)")</f>
        <v>Faruk Hossain (521288)</v>
      </c>
      <c r="E448" s="93" t="str">
        <f ca="1">IFERROR(__xludf.DUMMYFUNCTION("""COMPUTED_VALUE"""),"CB21953_Apr26")</f>
        <v>CB21953_Apr26</v>
      </c>
      <c r="F448" s="94" t="str">
        <f ca="1">IFERROR(__xludf.DUMMYFUNCTION("""COMPUTED_VALUE"""),"ATC Box Output")</f>
        <v>ATC Box Output</v>
      </c>
      <c r="G448" s="95" t="str">
        <f ca="1">IFERROR(__xludf.DUMMYFUNCTION("""COMPUTED_VALUE"""),"New")</f>
        <v>New</v>
      </c>
      <c r="H448" s="96">
        <f ca="1">IFERROR(__xludf.DUMMYFUNCTION("""COMPUTED_VALUE"""),1)</f>
        <v>1</v>
      </c>
      <c r="I448" s="97">
        <f ca="1">IFERROR(__xludf.DUMMYFUNCTION("""COMPUTED_VALUE"""),46156)</f>
        <v>46156</v>
      </c>
      <c r="J448" s="98" t="str">
        <f ca="1">IFERROR(__xludf.DUMMYFUNCTION("""COMPUTED_VALUE"""),"CW33548_May26")</f>
        <v>CW33548_May26</v>
      </c>
      <c r="K448" s="99" t="str">
        <f ca="1">IFERROR(__xludf.DUMMYFUNCTION("""COMPUTED_VALUE"""),"HoM Approved")</f>
        <v>HoM Approved</v>
      </c>
    </row>
    <row r="449" spans="1:11" ht="13.2">
      <c r="A449" s="89" t="str">
        <f ca="1">IFERROR(__xludf.DUMMYFUNCTION("""COMPUTED_VALUE"""),"PRAN Basic Spice")</f>
        <v>PRAN Basic Spice</v>
      </c>
      <c r="B449" s="90" t="str">
        <f ca="1">IFERROR(__xludf.DUMMYFUNCTION("""COMPUTED_VALUE"""),"NAL")</f>
        <v>NAL</v>
      </c>
      <c r="C449" s="91" t="str">
        <f ca="1">IFERROR(__xludf.DUMMYFUNCTION("""COMPUTED_VALUE"""),"Sakib Vai")</f>
        <v>Sakib Vai</v>
      </c>
      <c r="D449" s="92" t="str">
        <f ca="1">IFERROR(__xludf.DUMMYFUNCTION("""COMPUTED_VALUE"""),"Faruk Hossain (521288)")</f>
        <v>Faruk Hossain (521288)</v>
      </c>
      <c r="E449" s="93" t="str">
        <f ca="1">IFERROR(__xludf.DUMMYFUNCTION("""COMPUTED_VALUE"""),"CB23850_May26")</f>
        <v>CB23850_May26</v>
      </c>
      <c r="F449" s="94" t="str">
        <f ca="1">IFERROR(__xludf.DUMMYFUNCTION("""COMPUTED_VALUE"""),"JAR Label Sticker Output")</f>
        <v>JAR Label Sticker Output</v>
      </c>
      <c r="G449" s="95" t="str">
        <f ca="1">IFERROR(__xludf.DUMMYFUNCTION("""COMPUTED_VALUE"""),"New")</f>
        <v>New</v>
      </c>
      <c r="H449" s="96">
        <f ca="1">IFERROR(__xludf.DUMMYFUNCTION("""COMPUTED_VALUE"""),1)</f>
        <v>1</v>
      </c>
      <c r="I449" s="97">
        <f ca="1">IFERROR(__xludf.DUMMYFUNCTION("""COMPUTED_VALUE"""),46156)</f>
        <v>46156</v>
      </c>
      <c r="J449" s="98" t="str">
        <f ca="1">IFERROR(__xludf.DUMMYFUNCTION("""COMPUTED_VALUE"""),"CW33538_May26")</f>
        <v>CW33538_May26</v>
      </c>
      <c r="K449" s="99" t="str">
        <f ca="1">IFERROR(__xludf.DUMMYFUNCTION("""COMPUTED_VALUE"""),"HoM Approved")</f>
        <v>HoM Approved</v>
      </c>
    </row>
    <row r="450" spans="1:11" ht="13.2">
      <c r="A450" s="89" t="str">
        <f ca="1">IFERROR(__xludf.DUMMYFUNCTION("""COMPUTED_VALUE"""),"Divino Chocolate")</f>
        <v>Divino Chocolate</v>
      </c>
      <c r="B450" s="90" t="str">
        <f ca="1">IFERROR(__xludf.DUMMYFUNCTION("""COMPUTED_VALUE"""),"PCL")</f>
        <v>PCL</v>
      </c>
      <c r="C450" s="91" t="str">
        <f ca="1">IFERROR(__xludf.DUMMYFUNCTION("""COMPUTED_VALUE"""),"Sohel Vai")</f>
        <v>Sohel Vai</v>
      </c>
      <c r="D450" s="92" t="str">
        <f ca="1">IFERROR(__xludf.DUMMYFUNCTION("""COMPUTED_VALUE"""),"Faruk Hossain (521288)")</f>
        <v>Faruk Hossain (521288)</v>
      </c>
      <c r="E450" s="93" t="str">
        <f ca="1">IFERROR(__xludf.DUMMYFUNCTION("""COMPUTED_VALUE"""),"CB22677_Apr26")</f>
        <v>CB22677_Apr26</v>
      </c>
      <c r="F450" s="94" t="str">
        <f ca="1">IFERROR(__xludf.DUMMYFUNCTION("""COMPUTED_VALUE"""),"ATC Box Output")</f>
        <v>ATC Box Output</v>
      </c>
      <c r="G450" s="95" t="str">
        <f ca="1">IFERROR(__xludf.DUMMYFUNCTION("""COMPUTED_VALUE"""),"New")</f>
        <v>New</v>
      </c>
      <c r="H450" s="96">
        <f ca="1">IFERROR(__xludf.DUMMYFUNCTION("""COMPUTED_VALUE"""),1)</f>
        <v>1</v>
      </c>
      <c r="I450" s="97">
        <f ca="1">IFERROR(__xludf.DUMMYFUNCTION("""COMPUTED_VALUE"""),46156)</f>
        <v>46156</v>
      </c>
      <c r="J450" s="98" t="str">
        <f ca="1">IFERROR(__xludf.DUMMYFUNCTION("""COMPUTED_VALUE"""),"CW33533_May26")</f>
        <v>CW33533_May26</v>
      </c>
      <c r="K450" s="99" t="str">
        <f ca="1">IFERROR(__xludf.DUMMYFUNCTION("""COMPUTED_VALUE"""),"HoM Approved")</f>
        <v>HoM Approved</v>
      </c>
    </row>
    <row r="451" spans="1:11" ht="13.2">
      <c r="A451" s="89" t="str">
        <f ca="1">IFERROR(__xludf.DUMMYFUNCTION("""COMPUTED_VALUE"""),"PRAN Cookies")</f>
        <v>PRAN Cookies</v>
      </c>
      <c r="B451" s="90" t="str">
        <f ca="1">IFERROR(__xludf.DUMMYFUNCTION("""COMPUTED_VALUE"""),"BBL")</f>
        <v>BBL</v>
      </c>
      <c r="C451" s="91" t="str">
        <f ca="1">IFERROR(__xludf.DUMMYFUNCTION("""COMPUTED_VALUE"""),"Zahirul Vai")</f>
        <v>Zahirul Vai</v>
      </c>
      <c r="D451" s="92" t="str">
        <f ca="1">IFERROR(__xludf.DUMMYFUNCTION("""COMPUTED_VALUE"""),"Faruk Hossain (521288)")</f>
        <v>Faruk Hossain (521288)</v>
      </c>
      <c r="E451" s="93" t="str">
        <f ca="1">IFERROR(__xludf.DUMMYFUNCTION("""COMPUTED_VALUE"""),"CB23329_May26")</f>
        <v>CB23329_May26</v>
      </c>
      <c r="F451" s="94" t="str">
        <f ca="1">IFERROR(__xludf.DUMMYFUNCTION("""COMPUTED_VALUE"""),"JAR Label Sticker Output")</f>
        <v>JAR Label Sticker Output</v>
      </c>
      <c r="G451" s="95" t="str">
        <f ca="1">IFERROR(__xludf.DUMMYFUNCTION("""COMPUTED_VALUE"""),"New")</f>
        <v>New</v>
      </c>
      <c r="H451" s="96">
        <f ca="1">IFERROR(__xludf.DUMMYFUNCTION("""COMPUTED_VALUE"""),1)</f>
        <v>1</v>
      </c>
      <c r="I451" s="97">
        <f ca="1">IFERROR(__xludf.DUMMYFUNCTION("""COMPUTED_VALUE"""),46156)</f>
        <v>46156</v>
      </c>
      <c r="J451" s="98" t="str">
        <f ca="1">IFERROR(__xludf.DUMMYFUNCTION("""COMPUTED_VALUE"""),"CW33554_May26")</f>
        <v>CW33554_May26</v>
      </c>
      <c r="K451" s="99" t="str">
        <f ca="1">IFERROR(__xludf.DUMMYFUNCTION("""COMPUTED_VALUE"""),"HoM Approved")</f>
        <v>HoM Approved</v>
      </c>
    </row>
    <row r="452" spans="1:11" ht="13.2">
      <c r="A452" s="89" t="str">
        <f ca="1">IFERROR(__xludf.DUMMYFUNCTION("""COMPUTED_VALUE"""),"Staysafe Sanitary Napkin")</f>
        <v>Staysafe Sanitary Napkin</v>
      </c>
      <c r="B452" s="90" t="str">
        <f ca="1">IFERROR(__xludf.DUMMYFUNCTION("""COMPUTED_VALUE"""),"APCL")</f>
        <v>APCL</v>
      </c>
      <c r="C452" s="91" t="str">
        <f ca="1">IFERROR(__xludf.DUMMYFUNCTION("""COMPUTED_VALUE"""),"Shamsul Sir")</f>
        <v>Shamsul Sir</v>
      </c>
      <c r="D452" s="92" t="str">
        <f ca="1">IFERROR(__xludf.DUMMYFUNCTION("""COMPUTED_VALUE"""),"Faruk Hossain (521288)")</f>
        <v>Faruk Hossain (521288)</v>
      </c>
      <c r="E452" s="93" t="str">
        <f ca="1">IFERROR(__xludf.DUMMYFUNCTION("""COMPUTED_VALUE"""),"CB19028_Mar26")</f>
        <v>CB19028_Mar26</v>
      </c>
      <c r="F452" s="94" t="str">
        <f ca="1">IFERROR(__xludf.DUMMYFUNCTION("""COMPUTED_VALUE"""),"Gravure Output #2")</f>
        <v>Gravure Output #2</v>
      </c>
      <c r="G452" s="95" t="str">
        <f ca="1">IFERROR(__xludf.DUMMYFUNCTION("""COMPUTED_VALUE"""),"New")</f>
        <v>New</v>
      </c>
      <c r="H452" s="96">
        <f ca="1">IFERROR(__xludf.DUMMYFUNCTION("""COMPUTED_VALUE"""),1)</f>
        <v>1</v>
      </c>
      <c r="I452" s="97">
        <f ca="1">IFERROR(__xludf.DUMMYFUNCTION("""COMPUTED_VALUE"""),46158)</f>
        <v>46158</v>
      </c>
      <c r="J452" s="98" t="str">
        <f ca="1">IFERROR(__xludf.DUMMYFUNCTION("""COMPUTED_VALUE"""),"CW33633_May26")</f>
        <v>CW33633_May26</v>
      </c>
      <c r="K452" s="99" t="str">
        <f ca="1">IFERROR(__xludf.DUMMYFUNCTION("""COMPUTED_VALUE"""),"HoM Approved")</f>
        <v>HoM Approved</v>
      </c>
    </row>
    <row r="453" spans="1:11" ht="13.2">
      <c r="A453" s="89" t="str">
        <f ca="1">IFERROR(__xludf.DUMMYFUNCTION("""COMPUTED_VALUE"""),"PRAN Frozen Foods")</f>
        <v>PRAN Frozen Foods</v>
      </c>
      <c r="B453" s="90" t="str">
        <f ca="1">IFERROR(__xludf.DUMMYFUNCTION("""COMPUTED_VALUE"""),"PFF")</f>
        <v>PFF</v>
      </c>
      <c r="C453" s="91" t="str">
        <f ca="1">IFERROR(__xludf.DUMMYFUNCTION("""COMPUTED_VALUE"""),"Zahirul Vai")</f>
        <v>Zahirul Vai</v>
      </c>
      <c r="D453" s="92" t="str">
        <f ca="1">IFERROR(__xludf.DUMMYFUNCTION("""COMPUTED_VALUE"""),"Faruk Hossain (521288)")</f>
        <v>Faruk Hossain (521288)</v>
      </c>
      <c r="E453" s="93" t="str">
        <f ca="1">IFERROR(__xludf.DUMMYFUNCTION("""COMPUTED_VALUE"""),"CB24428_May26")</f>
        <v>CB24428_May26</v>
      </c>
      <c r="F453" s="94" t="str">
        <f ca="1">IFERROR(__xludf.DUMMYFUNCTION("""COMPUTED_VALUE"""),"ATC Box Output")</f>
        <v>ATC Box Output</v>
      </c>
      <c r="G453" s="95" t="str">
        <f ca="1">IFERROR(__xludf.DUMMYFUNCTION("""COMPUTED_VALUE"""),"New")</f>
        <v>New</v>
      </c>
      <c r="H453" s="96">
        <f ca="1">IFERROR(__xludf.DUMMYFUNCTION("""COMPUTED_VALUE"""),2)</f>
        <v>2</v>
      </c>
      <c r="I453" s="97">
        <f ca="1">IFERROR(__xludf.DUMMYFUNCTION("""COMPUTED_VALUE"""),46159)</f>
        <v>46159</v>
      </c>
      <c r="J453" s="98" t="str">
        <f ca="1">IFERROR(__xludf.DUMMYFUNCTION("""COMPUTED_VALUE"""),"CW33737_May26")</f>
        <v>CW33737_May26</v>
      </c>
      <c r="K453" s="99" t="str">
        <f ca="1">IFERROR(__xludf.DUMMYFUNCTION("""COMPUTED_VALUE"""),"HoM Approved")</f>
        <v>HoM Approved</v>
      </c>
    </row>
    <row r="454" spans="1:11" ht="13.2">
      <c r="A454" s="89" t="str">
        <f ca="1">IFERROR(__xludf.DUMMYFUNCTION("""COMPUTED_VALUE"""),"Getwell")</f>
        <v>Getwell</v>
      </c>
      <c r="B454" s="90" t="str">
        <f ca="1">IFERROR(__xludf.DUMMYFUNCTION("""COMPUTED_VALUE"""),"Getwell")</f>
        <v>Getwell</v>
      </c>
      <c r="C454" s="91" t="str">
        <f ca="1">IFERROR(__xludf.DUMMYFUNCTION("""COMPUTED_VALUE"""),"Ifat Apu")</f>
        <v>Ifat Apu</v>
      </c>
      <c r="D454" s="92" t="str">
        <f ca="1">IFERROR(__xludf.DUMMYFUNCTION("""COMPUTED_VALUE"""),"Faruk Hossain (521288)")</f>
        <v>Faruk Hossain (521288)</v>
      </c>
      <c r="E454" s="93" t="str">
        <f ca="1">IFERROR(__xludf.DUMMYFUNCTION("""COMPUTED_VALUE"""),"CB24385_May26")</f>
        <v>CB24385_May26</v>
      </c>
      <c r="F454" s="94" t="str">
        <f ca="1">IFERROR(__xludf.DUMMYFUNCTION("""COMPUTED_VALUE"""),"Gravure Output #2")</f>
        <v>Gravure Output #2</v>
      </c>
      <c r="G454" s="95" t="str">
        <f ca="1">IFERROR(__xludf.DUMMYFUNCTION("""COMPUTED_VALUE"""),"New")</f>
        <v>New</v>
      </c>
      <c r="H454" s="96">
        <f ca="1">IFERROR(__xludf.DUMMYFUNCTION("""COMPUTED_VALUE"""),1)</f>
        <v>1</v>
      </c>
      <c r="I454" s="97">
        <f ca="1">IFERROR(__xludf.DUMMYFUNCTION("""COMPUTED_VALUE"""),46160)</f>
        <v>46160</v>
      </c>
      <c r="J454" s="98" t="str">
        <f ca="1">IFERROR(__xludf.DUMMYFUNCTION("""COMPUTED_VALUE"""),"CW33890_May26")</f>
        <v>CW33890_May26</v>
      </c>
      <c r="K454" s="99" t="str">
        <f ca="1">IFERROR(__xludf.DUMMYFUNCTION("""COMPUTED_VALUE"""),"HoM Approved")</f>
        <v>HoM Approved</v>
      </c>
    </row>
    <row r="455" spans="1:11" ht="13.2">
      <c r="A455" s="89" t="str">
        <f ca="1">IFERROR(__xludf.DUMMYFUNCTION("""COMPUTED_VALUE"""),"Common - All Dairy")</f>
        <v>Common - All Dairy</v>
      </c>
      <c r="B455" s="90" t="str">
        <f ca="1">IFERROR(__xludf.DUMMYFUNCTION("""COMPUTED_VALUE"""),"Dairy")</f>
        <v>Dairy</v>
      </c>
      <c r="C455" s="91" t="str">
        <f ca="1">IFERROR(__xludf.DUMMYFUNCTION("""COMPUTED_VALUE"""),"Tamim Vaiya")</f>
        <v>Tamim Vaiya</v>
      </c>
      <c r="D455" s="92" t="str">
        <f ca="1">IFERROR(__xludf.DUMMYFUNCTION("""COMPUTED_VALUE"""),"Faruk Hossain (521288)")</f>
        <v>Faruk Hossain (521288)</v>
      </c>
      <c r="E455" s="93" t="str">
        <f ca="1">IFERROR(__xludf.DUMMYFUNCTION("""COMPUTED_VALUE"""),"CB22953_May26")</f>
        <v>CB22953_May26</v>
      </c>
      <c r="F455" s="94" t="str">
        <f ca="1">IFERROR(__xludf.DUMMYFUNCTION("""COMPUTED_VALUE"""),"ATC Box Output")</f>
        <v>ATC Box Output</v>
      </c>
      <c r="G455" s="95" t="str">
        <f ca="1">IFERROR(__xludf.DUMMYFUNCTION("""COMPUTED_VALUE"""),"New")</f>
        <v>New</v>
      </c>
      <c r="H455" s="96">
        <f ca="1">IFERROR(__xludf.DUMMYFUNCTION("""COMPUTED_VALUE"""),1)</f>
        <v>1</v>
      </c>
      <c r="I455" s="97">
        <f ca="1">IFERROR(__xludf.DUMMYFUNCTION("""COMPUTED_VALUE"""),46160)</f>
        <v>46160</v>
      </c>
      <c r="J455" s="98" t="str">
        <f ca="1">IFERROR(__xludf.DUMMYFUNCTION("""COMPUTED_VALUE"""),"CW33880_May26")</f>
        <v>CW33880_May26</v>
      </c>
      <c r="K455" s="99" t="str">
        <f ca="1">IFERROR(__xludf.DUMMYFUNCTION("""COMPUTED_VALUE"""),"HoM Approved")</f>
        <v>HoM Approved</v>
      </c>
    </row>
    <row r="456" spans="1:11" ht="13.2">
      <c r="A456" s="89" t="str">
        <f ca="1">IFERROR(__xludf.DUMMYFUNCTION("""COMPUTED_VALUE"""),"Pluto Chocolate Gems")</f>
        <v>Pluto Chocolate Gems</v>
      </c>
      <c r="B456" s="90" t="str">
        <f ca="1">IFERROR(__xludf.DUMMYFUNCTION("""COMPUTED_VALUE"""),"PCL")</f>
        <v>PCL</v>
      </c>
      <c r="C456" s="91" t="str">
        <f ca="1">IFERROR(__xludf.DUMMYFUNCTION("""COMPUTED_VALUE"""),"Mona Apu")</f>
        <v>Mona Apu</v>
      </c>
      <c r="D456" s="92" t="str">
        <f ca="1">IFERROR(__xludf.DUMMYFUNCTION("""COMPUTED_VALUE"""),"Faruk Hossain (521288)")</f>
        <v>Faruk Hossain (521288)</v>
      </c>
      <c r="E456" s="93" t="str">
        <f ca="1">IFERROR(__xludf.DUMMYFUNCTION("""COMPUTED_VALUE"""),"CB20745_Apr26")</f>
        <v>CB20745_Apr26</v>
      </c>
      <c r="F456" s="94" t="str">
        <f ca="1">IFERROR(__xludf.DUMMYFUNCTION("""COMPUTED_VALUE"""),"Gravure Output #2")</f>
        <v>Gravure Output #2</v>
      </c>
      <c r="G456" s="95" t="str">
        <f ca="1">IFERROR(__xludf.DUMMYFUNCTION("""COMPUTED_VALUE"""),"New")</f>
        <v>New</v>
      </c>
      <c r="H456" s="96">
        <f ca="1">IFERROR(__xludf.DUMMYFUNCTION("""COMPUTED_VALUE"""),2)</f>
        <v>2</v>
      </c>
      <c r="I456" s="97">
        <f ca="1">IFERROR(__xludf.DUMMYFUNCTION("""COMPUTED_VALUE"""),46162)</f>
        <v>46162</v>
      </c>
      <c r="J456" s="98" t="str">
        <f ca="1">IFERROR(__xludf.DUMMYFUNCTION("""COMPUTED_VALUE"""),"CW34155_May26")</f>
        <v>CW34155_May26</v>
      </c>
      <c r="K456" s="99" t="str">
        <f ca="1">IFERROR(__xludf.DUMMYFUNCTION("""COMPUTED_VALUE"""),"HoM Approved")</f>
        <v>HoM Approved</v>
      </c>
    </row>
    <row r="457" spans="1:11" ht="13.2">
      <c r="A457" s="89" t="str">
        <f ca="1">IFERROR(__xludf.DUMMYFUNCTION("""COMPUTED_VALUE"""),"PRAN SOUP")</f>
        <v>PRAN SOUP</v>
      </c>
      <c r="B457" s="90" t="str">
        <f ca="1">IFERROR(__xludf.DUMMYFUNCTION("""COMPUTED_VALUE"""),"PAL")</f>
        <v>PAL</v>
      </c>
      <c r="C457" s="91" t="str">
        <f ca="1">IFERROR(__xludf.DUMMYFUNCTION("""COMPUTED_VALUE"""),"Shamsul Sir")</f>
        <v>Shamsul Sir</v>
      </c>
      <c r="D457" s="92" t="str">
        <f ca="1">IFERROR(__xludf.DUMMYFUNCTION("""COMPUTED_VALUE"""),"Faruk Hossain (521288)")</f>
        <v>Faruk Hossain (521288)</v>
      </c>
      <c r="E457" s="93" t="str">
        <f ca="1">IFERROR(__xludf.DUMMYFUNCTION("""COMPUTED_VALUE"""),"CB22593_Apr26")</f>
        <v>CB22593_Apr26</v>
      </c>
      <c r="F457" s="94" t="str">
        <f ca="1">IFERROR(__xludf.DUMMYFUNCTION("""COMPUTED_VALUE"""),"Gravure Output #2")</f>
        <v>Gravure Output #2</v>
      </c>
      <c r="G457" s="95" t="str">
        <f ca="1">IFERROR(__xludf.DUMMYFUNCTION("""COMPUTED_VALUE"""),"New")</f>
        <v>New</v>
      </c>
      <c r="H457" s="96">
        <f ca="1">IFERROR(__xludf.DUMMYFUNCTION("""COMPUTED_VALUE"""),3)</f>
        <v>3</v>
      </c>
      <c r="I457" s="97">
        <f ca="1">IFERROR(__xludf.DUMMYFUNCTION("""COMPUTED_VALUE"""),46162)</f>
        <v>46162</v>
      </c>
      <c r="J457" s="98" t="str">
        <f ca="1">IFERROR(__xludf.DUMMYFUNCTION("""COMPUTED_VALUE"""),"CW34263_May26")</f>
        <v>CW34263_May26</v>
      </c>
      <c r="K457" s="99" t="str">
        <f ca="1">IFERROR(__xludf.DUMMYFUNCTION("""COMPUTED_VALUE"""),"HoM Approved")</f>
        <v>HoM Approved</v>
      </c>
    </row>
    <row r="458" spans="1:11" ht="13.2">
      <c r="A458" s="89" t="str">
        <f ca="1">IFERROR(__xludf.DUMMYFUNCTION("""COMPUTED_VALUE"""),"Tasty Treat")</f>
        <v>Tasty Treat</v>
      </c>
      <c r="B458" s="90" t="str">
        <f ca="1">IFERROR(__xludf.DUMMYFUNCTION("""COMPUTED_VALUE"""),"Tasty Treat")</f>
        <v>Tasty Treat</v>
      </c>
      <c r="C458" s="91" t="str">
        <f ca="1">IFERROR(__xludf.DUMMYFUNCTION("""COMPUTED_VALUE"""),"Nahian Vai")</f>
        <v>Nahian Vai</v>
      </c>
      <c r="D458" s="92" t="str">
        <f ca="1">IFERROR(__xludf.DUMMYFUNCTION("""COMPUTED_VALUE"""),"Faruk Hossain (521288)")</f>
        <v>Faruk Hossain (521288)</v>
      </c>
      <c r="E458" s="93" t="str">
        <f ca="1">IFERROR(__xludf.DUMMYFUNCTION("""COMPUTED_VALUE"""),"CB24328_May26")</f>
        <v>CB24328_May26</v>
      </c>
      <c r="F458" s="94" t="str">
        <f ca="1">IFERROR(__xludf.DUMMYFUNCTION("""COMPUTED_VALUE"""),"JAR Label Sticker Output")</f>
        <v>JAR Label Sticker Output</v>
      </c>
      <c r="G458" s="95" t="str">
        <f ca="1">IFERROR(__xludf.DUMMYFUNCTION("""COMPUTED_VALUE"""),"New")</f>
        <v>New</v>
      </c>
      <c r="H458" s="96">
        <f ca="1">IFERROR(__xludf.DUMMYFUNCTION("""COMPUTED_VALUE"""),1)</f>
        <v>1</v>
      </c>
      <c r="I458" s="97">
        <f ca="1">IFERROR(__xludf.DUMMYFUNCTION("""COMPUTED_VALUE"""),46164)</f>
        <v>46164</v>
      </c>
      <c r="J458" s="98" t="str">
        <f ca="1">IFERROR(__xludf.DUMMYFUNCTION("""COMPUTED_VALUE"""),"CW34508_May26")</f>
        <v>CW34508_May26</v>
      </c>
      <c r="K458" s="99" t="str">
        <f ca="1">IFERROR(__xludf.DUMMYFUNCTION("""COMPUTED_VALUE"""),"HoM Approved")</f>
        <v>HoM Approved</v>
      </c>
    </row>
    <row r="459" spans="1:11" ht="13.2">
      <c r="A459" s="89" t="str">
        <f ca="1">IFERROR(__xludf.DUMMYFUNCTION("""COMPUTED_VALUE"""),"PRAN Potato Cracker")</f>
        <v>PRAN Potato Cracker</v>
      </c>
      <c r="B459" s="90" t="str">
        <f ca="1">IFERROR(__xludf.DUMMYFUNCTION("""COMPUTED_VALUE"""),"PFL")</f>
        <v>PFL</v>
      </c>
      <c r="C459" s="91" t="str">
        <f ca="1">IFERROR(__xludf.DUMMYFUNCTION("""COMPUTED_VALUE"""),"Rafi Vaiya")</f>
        <v>Rafi Vaiya</v>
      </c>
      <c r="D459" s="92" t="str">
        <f ca="1">IFERROR(__xludf.DUMMYFUNCTION("""COMPUTED_VALUE"""),"Faruk Hossain (521288)")</f>
        <v>Faruk Hossain (521288)</v>
      </c>
      <c r="E459" s="93" t="str">
        <f ca="1">IFERROR(__xludf.DUMMYFUNCTION("""COMPUTED_VALUE"""),"CB24865_May26")</f>
        <v>CB24865_May26</v>
      </c>
      <c r="F459" s="94" t="str">
        <f ca="1">IFERROR(__xludf.DUMMYFUNCTION("""COMPUTED_VALUE"""),"Gravure Output #2")</f>
        <v>Gravure Output #2</v>
      </c>
      <c r="G459" s="95" t="str">
        <f ca="1">IFERROR(__xludf.DUMMYFUNCTION("""COMPUTED_VALUE"""),"New")</f>
        <v>New</v>
      </c>
      <c r="H459" s="96">
        <f ca="1">IFERROR(__xludf.DUMMYFUNCTION("""COMPUTED_VALUE"""),5)</f>
        <v>5</v>
      </c>
      <c r="I459" s="97">
        <f ca="1">IFERROR(__xludf.DUMMYFUNCTION("""COMPUTED_VALUE"""),46164)</f>
        <v>46164</v>
      </c>
      <c r="J459" s="98" t="str">
        <f ca="1">IFERROR(__xludf.DUMMYFUNCTION("""COMPUTED_VALUE"""),"CW34482_May26")</f>
        <v>CW34482_May26</v>
      </c>
      <c r="K459" s="99" t="str">
        <f ca="1">IFERROR(__xludf.DUMMYFUNCTION("""COMPUTED_VALUE"""),"HoM Approved")</f>
        <v>HoM Approved</v>
      </c>
    </row>
    <row r="460" spans="1:11" ht="13.2">
      <c r="A460" s="89" t="str">
        <f ca="1">IFERROR(__xludf.DUMMYFUNCTION("""COMPUTED_VALUE"""),"PRAN Fruit Drinks (TP)-")</f>
        <v>PRAN Fruit Drinks (TP)-</v>
      </c>
      <c r="B460" s="90" t="str">
        <f ca="1">IFERROR(__xludf.DUMMYFUNCTION("""COMPUTED_VALUE"""),"Dairy")</f>
        <v>Dairy</v>
      </c>
      <c r="C460" s="91" t="str">
        <f ca="1">IFERROR(__xludf.DUMMYFUNCTION("""COMPUTED_VALUE"""),"Rakib Vai")</f>
        <v>Rakib Vai</v>
      </c>
      <c r="D460" s="92" t="str">
        <f ca="1">IFERROR(__xludf.DUMMYFUNCTION("""COMPUTED_VALUE"""),"Faruk Hossain (521288)")</f>
        <v>Faruk Hossain (521288)</v>
      </c>
      <c r="E460" s="93" t="str">
        <f ca="1">IFERROR(__xludf.DUMMYFUNCTION("""COMPUTED_VALUE"""),"CB23978_May26")</f>
        <v>CB23978_May26</v>
      </c>
      <c r="F460" s="94" t="str">
        <f ca="1">IFERROR(__xludf.DUMMYFUNCTION("""COMPUTED_VALUE"""),"ATC Box Output")</f>
        <v>ATC Box Output</v>
      </c>
      <c r="G460" s="95" t="str">
        <f ca="1">IFERROR(__xludf.DUMMYFUNCTION("""COMPUTED_VALUE"""),"New")</f>
        <v>New</v>
      </c>
      <c r="H460" s="96">
        <f ca="1">IFERROR(__xludf.DUMMYFUNCTION("""COMPUTED_VALUE"""),3)</f>
        <v>3</v>
      </c>
      <c r="I460" s="97">
        <f ca="1">IFERROR(__xludf.DUMMYFUNCTION("""COMPUTED_VALUE"""),46165)</f>
        <v>46165</v>
      </c>
      <c r="J460" s="98" t="str">
        <f ca="1">IFERROR(__xludf.DUMMYFUNCTION("""COMPUTED_VALUE"""),"CW34671_May26")</f>
        <v>CW34671_May26</v>
      </c>
      <c r="K460" s="99" t="str">
        <f ca="1">IFERROR(__xludf.DUMMYFUNCTION("""COMPUTED_VALUE"""),"HoM Approved")</f>
        <v>HoM Approved</v>
      </c>
    </row>
    <row r="461" spans="1:11" ht="13.2">
      <c r="A461" s="89" t="str">
        <f ca="1">IFERROR(__xludf.DUMMYFUNCTION("""COMPUTED_VALUE"""),"Drinkit Water Purifier")</f>
        <v>Drinkit Water Purifier</v>
      </c>
      <c r="B461" s="90" t="str">
        <f ca="1">IFERROR(__xludf.DUMMYFUNCTION("""COMPUTED_VALUE"""),"DPL")</f>
        <v>DPL</v>
      </c>
      <c r="C461" s="91" t="str">
        <f ca="1">IFERROR(__xludf.DUMMYFUNCTION("""COMPUTED_VALUE"""),"Fardin Vai")</f>
        <v>Fardin Vai</v>
      </c>
      <c r="D461" s="92" t="str">
        <f ca="1">IFERROR(__xludf.DUMMYFUNCTION("""COMPUTED_VALUE"""),"Faruk Hossain (521288)")</f>
        <v>Faruk Hossain (521288)</v>
      </c>
      <c r="E461" s="93" t="str">
        <f ca="1">IFERROR(__xludf.DUMMYFUNCTION("""COMPUTED_VALUE"""),"CB24086_May26")</f>
        <v>CB24086_May26</v>
      </c>
      <c r="F461" s="94" t="str">
        <f ca="1">IFERROR(__xludf.DUMMYFUNCTION("""COMPUTED_VALUE"""),"ATC Box Output")</f>
        <v>ATC Box Output</v>
      </c>
      <c r="G461" s="95" t="str">
        <f ca="1">IFERROR(__xludf.DUMMYFUNCTION("""COMPUTED_VALUE"""),"New")</f>
        <v>New</v>
      </c>
      <c r="H461" s="96">
        <f ca="1">IFERROR(__xludf.DUMMYFUNCTION("""COMPUTED_VALUE"""),1)</f>
        <v>1</v>
      </c>
      <c r="I461" s="97">
        <f ca="1">IFERROR(__xludf.DUMMYFUNCTION("""COMPUTED_VALUE"""),46166)</f>
        <v>46166</v>
      </c>
      <c r="J461" s="98" t="str">
        <f ca="1">IFERROR(__xludf.DUMMYFUNCTION("""COMPUTED_VALUE"""),"CW34989_May26")</f>
        <v>CW34989_May26</v>
      </c>
      <c r="K461" s="99" t="str">
        <f ca="1">IFERROR(__xludf.DUMMYFUNCTION("""COMPUTED_VALUE"""),"HoM Approved")</f>
        <v>HoM Approved</v>
      </c>
    </row>
    <row r="462" spans="1:11" ht="13.2">
      <c r="A462" s="89" t="str">
        <f ca="1">IFERROR(__xludf.DUMMYFUNCTION("""COMPUTED_VALUE"""),"RFL Pipe &amp; Fittings")</f>
        <v>RFL Pipe &amp; Fittings</v>
      </c>
      <c r="B462" s="90" t="str">
        <f ca="1">IFERROR(__xludf.DUMMYFUNCTION("""COMPUTED_VALUE"""),"RPL")</f>
        <v>RPL</v>
      </c>
      <c r="C462" s="91" t="str">
        <f ca="1">IFERROR(__xludf.DUMMYFUNCTION("""COMPUTED_VALUE"""),"Jaheen Vai")</f>
        <v>Jaheen Vai</v>
      </c>
      <c r="D462" s="92" t="str">
        <f ca="1">IFERROR(__xludf.DUMMYFUNCTION("""COMPUTED_VALUE"""),"Faruk Hossain (521288)")</f>
        <v>Faruk Hossain (521288)</v>
      </c>
      <c r="E462" s="93" t="str">
        <f ca="1">IFERROR(__xludf.DUMMYFUNCTION("""COMPUTED_VALUE"""),"CB25044_May26")</f>
        <v>CB25044_May26</v>
      </c>
      <c r="F462" s="94" t="str">
        <f ca="1">IFERROR(__xludf.DUMMYFUNCTION("""COMPUTED_VALUE"""),"ATC Box Output")</f>
        <v>ATC Box Output</v>
      </c>
      <c r="G462" s="95" t="str">
        <f ca="1">IFERROR(__xludf.DUMMYFUNCTION("""COMPUTED_VALUE"""),"New")</f>
        <v>New</v>
      </c>
      <c r="H462" s="96">
        <f ca="1">IFERROR(__xludf.DUMMYFUNCTION("""COMPUTED_VALUE"""),1)</f>
        <v>1</v>
      </c>
      <c r="I462" s="97">
        <f ca="1">IFERROR(__xludf.DUMMYFUNCTION("""COMPUTED_VALUE"""),46166)</f>
        <v>46166</v>
      </c>
      <c r="J462" s="98" t="str">
        <f ca="1">IFERROR(__xludf.DUMMYFUNCTION("""COMPUTED_VALUE"""),"CW34911_May26")</f>
        <v>CW34911_May26</v>
      </c>
      <c r="K462" s="99" t="str">
        <f ca="1">IFERROR(__xludf.DUMMYFUNCTION("""COMPUTED_VALUE"""),"HoM Approved")</f>
        <v>HoM Approved</v>
      </c>
    </row>
    <row r="463" spans="1:11" ht="13.2">
      <c r="A463" s="89" t="str">
        <f ca="1">IFERROR(__xludf.DUMMYFUNCTION("""COMPUTED_VALUE"""),"PRAN Jelly Sip Drinks")</f>
        <v>PRAN Jelly Sip Drinks</v>
      </c>
      <c r="B463" s="90" t="str">
        <f ca="1">IFERROR(__xludf.DUMMYFUNCTION("""COMPUTED_VALUE"""),"PBL")</f>
        <v>PBL</v>
      </c>
      <c r="C463" s="91" t="str">
        <f ca="1">IFERROR(__xludf.DUMMYFUNCTION("""COMPUTED_VALUE"""),"Sadman Vaiya")</f>
        <v>Sadman Vaiya</v>
      </c>
      <c r="D463" s="92" t="str">
        <f ca="1">IFERROR(__xludf.DUMMYFUNCTION("""COMPUTED_VALUE"""),"Faruk Hossain (521288)")</f>
        <v>Faruk Hossain (521288)</v>
      </c>
      <c r="E463" s="93" t="str">
        <f ca="1">IFERROR(__xludf.DUMMYFUNCTION("""COMPUTED_VALUE"""),"CB24548_May26")</f>
        <v>CB24548_May26</v>
      </c>
      <c r="F463" s="94" t="str">
        <f ca="1">IFERROR(__xludf.DUMMYFUNCTION("""COMPUTED_VALUE"""),"Flyer/Brochure/Banner Output")</f>
        <v>Flyer/Brochure/Banner Output</v>
      </c>
      <c r="G463" s="95" t="str">
        <f ca="1">IFERROR(__xludf.DUMMYFUNCTION("""COMPUTED_VALUE"""),"New")</f>
        <v>New</v>
      </c>
      <c r="H463" s="96">
        <f ca="1">IFERROR(__xludf.DUMMYFUNCTION("""COMPUTED_VALUE"""),1)</f>
        <v>1</v>
      </c>
      <c r="I463" s="97">
        <f ca="1">IFERROR(__xludf.DUMMYFUNCTION("""COMPUTED_VALUE"""),46166)</f>
        <v>46166</v>
      </c>
      <c r="J463" s="98" t="str">
        <f ca="1">IFERROR(__xludf.DUMMYFUNCTION("""COMPUTED_VALUE"""),"CW35006_May26")</f>
        <v>CW35006_May26</v>
      </c>
      <c r="K463" s="99" t="str">
        <f ca="1">IFERROR(__xludf.DUMMYFUNCTION("""COMPUTED_VALUE"""),"HoM Approved")</f>
        <v>HoM Approved</v>
      </c>
    </row>
    <row r="464" spans="1:11" ht="13.2">
      <c r="A464" s="89" t="str">
        <f ca="1">IFERROR(__xludf.DUMMYFUNCTION("""COMPUTED_VALUE"""),"Jim &amp; Jolly Toys")</f>
        <v>Jim &amp; Jolly Toys</v>
      </c>
      <c r="B464" s="90" t="str">
        <f ca="1">IFERROR(__xludf.DUMMYFUNCTION("""COMPUTED_VALUE"""),"DPL")</f>
        <v>DPL</v>
      </c>
      <c r="C464" s="91" t="str">
        <f ca="1">IFERROR(__xludf.DUMMYFUNCTION("""COMPUTED_VALUE"""),"Sohan Vai")</f>
        <v>Sohan Vai</v>
      </c>
      <c r="D464" s="92" t="str">
        <f ca="1">IFERROR(__xludf.DUMMYFUNCTION("""COMPUTED_VALUE"""),"Faruk Hossain (521288)")</f>
        <v>Faruk Hossain (521288)</v>
      </c>
      <c r="E464" s="93" t="str">
        <f ca="1">IFERROR(__xludf.DUMMYFUNCTION("""COMPUTED_VALUE"""),"CB25095_May26")</f>
        <v>CB25095_May26</v>
      </c>
      <c r="F464" s="94" t="str">
        <f ca="1">IFERROR(__xludf.DUMMYFUNCTION("""COMPUTED_VALUE"""),"JAR Label Sticker Output")</f>
        <v>JAR Label Sticker Output</v>
      </c>
      <c r="G464" s="95" t="str">
        <f ca="1">IFERROR(__xludf.DUMMYFUNCTION("""COMPUTED_VALUE"""),"New")</f>
        <v>New</v>
      </c>
      <c r="H464" s="96">
        <f ca="1">IFERROR(__xludf.DUMMYFUNCTION("""COMPUTED_VALUE"""),1)</f>
        <v>1</v>
      </c>
      <c r="I464" s="97">
        <f ca="1">IFERROR(__xludf.DUMMYFUNCTION("""COMPUTED_VALUE"""),46167)</f>
        <v>46167</v>
      </c>
      <c r="J464" s="98" t="str">
        <f ca="1">IFERROR(__xludf.DUMMYFUNCTION("""COMPUTED_VALUE"""),"CW35102_May26")</f>
        <v>CW35102_May26</v>
      </c>
      <c r="K464" s="99" t="str">
        <f ca="1">IFERROR(__xludf.DUMMYFUNCTION("""COMPUTED_VALUE"""),"HoM Approved")</f>
        <v>HoM Approved</v>
      </c>
    </row>
    <row r="465" spans="1:11" ht="13.2">
      <c r="A465" s="89" t="str">
        <f ca="1">IFERROR(__xludf.DUMMYFUNCTION("""COMPUTED_VALUE"""),"Good Luck")</f>
        <v>Good Luck</v>
      </c>
      <c r="B465" s="90" t="str">
        <f ca="1">IFERROR(__xludf.DUMMYFUNCTION("""COMPUTED_VALUE"""),"RFL Stationery")</f>
        <v>RFL Stationery</v>
      </c>
      <c r="C465" s="91" t="str">
        <f ca="1">IFERROR(__xludf.DUMMYFUNCTION("""COMPUTED_VALUE"""),"Emon Vai")</f>
        <v>Emon Vai</v>
      </c>
      <c r="D465" s="92" t="str">
        <f ca="1">IFERROR(__xludf.DUMMYFUNCTION("""COMPUTED_VALUE"""),"Faruk Hossain (521288)")</f>
        <v>Faruk Hossain (521288)</v>
      </c>
      <c r="E465" s="93" t="str">
        <f ca="1">IFERROR(__xludf.DUMMYFUNCTION("""COMPUTED_VALUE"""),"CB25179_May26")</f>
        <v>CB25179_May26</v>
      </c>
      <c r="F465" s="94" t="str">
        <f ca="1">IFERROR(__xludf.DUMMYFUNCTION("""COMPUTED_VALUE"""),"Gravure Output #2")</f>
        <v>Gravure Output #2</v>
      </c>
      <c r="G465" s="95" t="str">
        <f ca="1">IFERROR(__xludf.DUMMYFUNCTION("""COMPUTED_VALUE"""),"New")</f>
        <v>New</v>
      </c>
      <c r="H465" s="96">
        <f ca="1">IFERROR(__xludf.DUMMYFUNCTION("""COMPUTED_VALUE"""),1)</f>
        <v>1</v>
      </c>
      <c r="I465" s="97">
        <f ca="1">IFERROR(__xludf.DUMMYFUNCTION("""COMPUTED_VALUE"""),46174)</f>
        <v>46174</v>
      </c>
      <c r="J465" s="98" t="str">
        <f ca="1">IFERROR(__xludf.DUMMYFUNCTION("""COMPUTED_VALUE"""),"CW35275_Jun26")</f>
        <v>CW35275_Jun26</v>
      </c>
      <c r="K465" s="99" t="str">
        <f ca="1">IFERROR(__xludf.DUMMYFUNCTION("""COMPUTED_VALUE"""),"HoM Approved")</f>
        <v>HoM Approved</v>
      </c>
    </row>
    <row r="466" spans="1:11" ht="13.2">
      <c r="A466" s="89" t="str">
        <f ca="1">IFERROR(__xludf.DUMMYFUNCTION("""COMPUTED_VALUE"""),"Dangler Design for showroom")</f>
        <v>Dangler Design for showroom</v>
      </c>
      <c r="B466" s="90" t="str">
        <f ca="1">IFERROR(__xludf.DUMMYFUNCTION("""COMPUTED_VALUE"""),"REL")</f>
        <v>REL</v>
      </c>
      <c r="C466" s="91" t="str">
        <f ca="1">IFERROR(__xludf.DUMMYFUNCTION("""COMPUTED_VALUE"""),"Tamim_RFL Brand")</f>
        <v>Tamim_RFL Brand</v>
      </c>
      <c r="D466" s="92" t="str">
        <f ca="1">IFERROR(__xludf.DUMMYFUNCTION("""COMPUTED_VALUE"""),"Faruk Hossain (521288)")</f>
        <v>Faruk Hossain (521288)</v>
      </c>
      <c r="E466" s="93" t="str">
        <f ca="1">IFERROR(__xludf.DUMMYFUNCTION("""COMPUTED_VALUE"""),"CB24794_May26")</f>
        <v>CB24794_May26</v>
      </c>
      <c r="F466" s="94" t="str">
        <f ca="1">IFERROR(__xludf.DUMMYFUNCTION("""COMPUTED_VALUE"""),"Flyer/Brochure/Banner Output")</f>
        <v>Flyer/Brochure/Banner Output</v>
      </c>
      <c r="G466" s="95" t="str">
        <f ca="1">IFERROR(__xludf.DUMMYFUNCTION("""COMPUTED_VALUE"""),"New")</f>
        <v>New</v>
      </c>
      <c r="H466" s="96">
        <f ca="1">IFERROR(__xludf.DUMMYFUNCTION("""COMPUTED_VALUE"""),3)</f>
        <v>3</v>
      </c>
      <c r="I466" s="97">
        <f ca="1">IFERROR(__xludf.DUMMYFUNCTION("""COMPUTED_VALUE"""),46176)</f>
        <v>46176</v>
      </c>
      <c r="J466" s="98" t="str">
        <f ca="1">IFERROR(__xludf.DUMMYFUNCTION("""COMPUTED_VALUE"""),"CW35453_Jun26")</f>
        <v>CW35453_Jun26</v>
      </c>
      <c r="K466" s="99" t="str">
        <f ca="1">IFERROR(__xludf.DUMMYFUNCTION("""COMPUTED_VALUE"""),"HoM Approved")</f>
        <v>HoM Approved</v>
      </c>
    </row>
    <row r="467" spans="1:11" ht="13.2">
      <c r="A467" s="89" t="str">
        <f ca="1">IFERROR(__xludf.DUMMYFUNCTION("""COMPUTED_VALUE"""),"GOOD LUCK Tape Dispenser Inner Box Packaging Design")</f>
        <v>GOOD LUCK Tape Dispenser Inner Box Packaging Design</v>
      </c>
      <c r="B467" s="90" t="str">
        <f ca="1">IFERROR(__xludf.DUMMYFUNCTION("""COMPUTED_VALUE"""),"RFL Stationery")</f>
        <v>RFL Stationery</v>
      </c>
      <c r="C467" s="91" t="str">
        <f ca="1">IFERROR(__xludf.DUMMYFUNCTION("""COMPUTED_VALUE"""),"Nuzhat_RFL Brand")</f>
        <v>Nuzhat_RFL Brand</v>
      </c>
      <c r="D467" s="92" t="str">
        <f ca="1">IFERROR(__xludf.DUMMYFUNCTION("""COMPUTED_VALUE"""),"Faruk Hossain (521288)")</f>
        <v>Faruk Hossain (521288)</v>
      </c>
      <c r="E467" s="93" t="str">
        <f ca="1">IFERROR(__xludf.DUMMYFUNCTION("""COMPUTED_VALUE"""),"CB21664_Apr26")</f>
        <v>CB21664_Apr26</v>
      </c>
      <c r="F467" s="94" t="str">
        <f ca="1">IFERROR(__xludf.DUMMYFUNCTION("""COMPUTED_VALUE"""),"ATC Box Output")</f>
        <v>ATC Box Output</v>
      </c>
      <c r="G467" s="95" t="str">
        <f ca="1">IFERROR(__xludf.DUMMYFUNCTION("""COMPUTED_VALUE"""),"New")</f>
        <v>New</v>
      </c>
      <c r="H467" s="96">
        <f ca="1">IFERROR(__xludf.DUMMYFUNCTION("""COMPUTED_VALUE"""),1)</f>
        <v>1</v>
      </c>
      <c r="I467" s="97">
        <f ca="1">IFERROR(__xludf.DUMMYFUNCTION("""COMPUTED_VALUE"""),46176)</f>
        <v>46176</v>
      </c>
      <c r="J467" s="98" t="str">
        <f ca="1">IFERROR(__xludf.DUMMYFUNCTION("""COMPUTED_VALUE"""),"CW35461_Jun26")</f>
        <v>CW35461_Jun26</v>
      </c>
      <c r="K467" s="99" t="str">
        <f ca="1">IFERROR(__xludf.DUMMYFUNCTION("""COMPUTED_VALUE"""),"HoM Approved")</f>
        <v>HoM Approved</v>
      </c>
    </row>
    <row r="468" spans="1:11" ht="13.2">
      <c r="A468" s="89" t="str">
        <f ca="1">IFERROR(__xludf.DUMMYFUNCTION("""COMPUTED_VALUE"""),"TREAT COCO CHOCO 30G x 20Pcs for Philippines")</f>
        <v>TREAT COCO CHOCO 30G x 20Pcs for Philippines</v>
      </c>
      <c r="B468" s="90" t="str">
        <f ca="1">IFERROR(__xludf.DUMMYFUNCTION("""COMPUTED_VALUE"""),"PCL")</f>
        <v>PCL</v>
      </c>
      <c r="C468" s="91" t="str">
        <f ca="1">IFERROR(__xludf.DUMMYFUNCTION("""COMPUTED_VALUE"""),"Rakib Vai")</f>
        <v>Rakib Vai</v>
      </c>
      <c r="D468" s="92" t="str">
        <f ca="1">IFERROR(__xludf.DUMMYFUNCTION("""COMPUTED_VALUE"""),"Faruk Hossain (521288)")</f>
        <v>Faruk Hossain (521288)</v>
      </c>
      <c r="E468" s="93" t="str">
        <f ca="1">IFERROR(__xludf.DUMMYFUNCTION("""COMPUTED_VALUE"""),"CB35367_Jun26")</f>
        <v>CB35367_Jun26</v>
      </c>
      <c r="F468" s="94" t="str">
        <f ca="1">IFERROR(__xludf.DUMMYFUNCTION("""COMPUTED_VALUE"""),"ATC Box Output")</f>
        <v>ATC Box Output</v>
      </c>
      <c r="G468" s="95" t="str">
        <f ca="1">IFERROR(__xludf.DUMMYFUNCTION("""COMPUTED_VALUE"""),"New")</f>
        <v>New</v>
      </c>
      <c r="H468" s="96">
        <f ca="1">IFERROR(__xludf.DUMMYFUNCTION("""COMPUTED_VALUE"""),2)</f>
        <v>2</v>
      </c>
      <c r="I468" s="97">
        <f ca="1">IFERROR(__xludf.DUMMYFUNCTION("""COMPUTED_VALUE"""),46176)</f>
        <v>46176</v>
      </c>
      <c r="J468" s="98" t="str">
        <f ca="1">IFERROR(__xludf.DUMMYFUNCTION("""COMPUTED_VALUE"""),"CW35476_Jun26")</f>
        <v>CW35476_Jun26</v>
      </c>
      <c r="K468" s="99" t="str">
        <f ca="1">IFERROR(__xludf.DUMMYFUNCTION("""COMPUTED_VALUE"""),"HoM Approved")</f>
        <v>HoM Approved</v>
      </c>
    </row>
    <row r="469" spans="1:11" ht="13.2">
      <c r="A469" s="89" t="str">
        <f ca="1">IFERROR(__xludf.DUMMYFUNCTION("""COMPUTED_VALUE"""),"Packet design for Plastic check valve")</f>
        <v>Packet design for Plastic check valve</v>
      </c>
      <c r="B469" s="90" t="str">
        <f ca="1">IFERROR(__xludf.DUMMYFUNCTION("""COMPUTED_VALUE"""),"RMIL")</f>
        <v>RMIL</v>
      </c>
      <c r="C469" s="91" t="str">
        <f ca="1">IFERROR(__xludf.DUMMYFUNCTION("""COMPUTED_VALUE"""),"Mehedi Vaiya")</f>
        <v>Mehedi Vaiya</v>
      </c>
      <c r="D469" s="92" t="str">
        <f ca="1">IFERROR(__xludf.DUMMYFUNCTION("""COMPUTED_VALUE"""),"Faruk Hossain (521288)")</f>
        <v>Faruk Hossain (521288)</v>
      </c>
      <c r="E469" s="93" t="str">
        <f ca="1">IFERROR(__xludf.DUMMYFUNCTION("""COMPUTED_VALUE"""),"CB22706_Apr26")</f>
        <v>CB22706_Apr26</v>
      </c>
      <c r="F469" s="94" t="str">
        <f ca="1">IFERROR(__xludf.DUMMYFUNCTION("""COMPUTED_VALUE"""),"Gravure Output #2")</f>
        <v>Gravure Output #2</v>
      </c>
      <c r="G469" s="95" t="str">
        <f ca="1">IFERROR(__xludf.DUMMYFUNCTION("""COMPUTED_VALUE"""),"New")</f>
        <v>New</v>
      </c>
      <c r="H469" s="96">
        <f ca="1">IFERROR(__xludf.DUMMYFUNCTION("""COMPUTED_VALUE"""),1)</f>
        <v>1</v>
      </c>
      <c r="I469" s="97">
        <f ca="1">IFERROR(__xludf.DUMMYFUNCTION("""COMPUTED_VALUE"""),46177)</f>
        <v>46177</v>
      </c>
      <c r="J469" s="98" t="str">
        <f ca="1">IFERROR(__xludf.DUMMYFUNCTION("""COMPUTED_VALUE"""),"CW35540_Jun26")</f>
        <v>CW35540_Jun26</v>
      </c>
      <c r="K469" s="99" t="str">
        <f ca="1">IFERROR(__xludf.DUMMYFUNCTION("""COMPUTED_VALUE"""),"HoM Approved")</f>
        <v>HoM Approved</v>
      </c>
    </row>
    <row r="470" spans="1:11" ht="13.2">
      <c r="A470" s="89" t="str">
        <f ca="1">IFERROR(__xludf.DUMMYFUNCTION("""COMPUTED_VALUE"""),"Mama creamy crunch wafer 40g")</f>
        <v>Mama creamy crunch wafer 40g</v>
      </c>
      <c r="B470" s="90" t="str">
        <f ca="1">IFERROR(__xludf.DUMMYFUNCTION("""COMPUTED_VALUE"""),"BBL")</f>
        <v>BBL</v>
      </c>
      <c r="C470" s="91" t="str">
        <f ca="1">IFERROR(__xludf.DUMMYFUNCTION("""COMPUTED_VALUE"""),"Shamsul Sir")</f>
        <v>Shamsul Sir</v>
      </c>
      <c r="D470" s="92" t="str">
        <f ca="1">IFERROR(__xludf.DUMMYFUNCTION("""COMPUTED_VALUE"""),"Faruk Hossain (521288)")</f>
        <v>Faruk Hossain (521288)</v>
      </c>
      <c r="E470" s="93" t="str">
        <f ca="1">IFERROR(__xludf.DUMMYFUNCTION("""COMPUTED_VALUE"""),"CB22830_Apr26")</f>
        <v>CB22830_Apr26</v>
      </c>
      <c r="F470" s="94" t="str">
        <f ca="1">IFERROR(__xludf.DUMMYFUNCTION("""COMPUTED_VALUE"""),"Gravure Output #2")</f>
        <v>Gravure Output #2</v>
      </c>
      <c r="G470" s="95" t="str">
        <f ca="1">IFERROR(__xludf.DUMMYFUNCTION("""COMPUTED_VALUE"""),"New")</f>
        <v>New</v>
      </c>
      <c r="H470" s="96">
        <f ca="1">IFERROR(__xludf.DUMMYFUNCTION("""COMPUTED_VALUE"""),3)</f>
        <v>3</v>
      </c>
      <c r="I470" s="97">
        <f ca="1">IFERROR(__xludf.DUMMYFUNCTION("""COMPUTED_VALUE"""),46177)</f>
        <v>46177</v>
      </c>
      <c r="J470" s="98" t="str">
        <f ca="1">IFERROR(__xludf.DUMMYFUNCTION("""COMPUTED_VALUE"""),"CW35560_Jun26")</f>
        <v>CW35560_Jun26</v>
      </c>
      <c r="K470" s="99" t="str">
        <f ca="1">IFERROR(__xludf.DUMMYFUNCTION("""COMPUTED_VALUE"""),"HoM Approved")</f>
        <v>HoM Approved</v>
      </c>
    </row>
    <row r="471" spans="1:11" ht="13.2">
      <c r="A471" s="89" t="str">
        <f ca="1">IFERROR(__xludf.DUMMYFUNCTION("""COMPUTED_VALUE"""),"Need to Redesign a Flyer")</f>
        <v>Need to Redesign a Flyer</v>
      </c>
      <c r="B471" s="90" t="str">
        <f ca="1">IFERROR(__xludf.DUMMYFUNCTION("""COMPUTED_VALUE"""),"RPL")</f>
        <v>RPL</v>
      </c>
      <c r="C471" s="91" t="str">
        <f ca="1">IFERROR(__xludf.DUMMYFUNCTION("""COMPUTED_VALUE"""),"Apurba Vai")</f>
        <v>Apurba Vai</v>
      </c>
      <c r="D471" s="92" t="str">
        <f ca="1">IFERROR(__xludf.DUMMYFUNCTION("""COMPUTED_VALUE"""),"Faruk Hossain (521288)")</f>
        <v>Faruk Hossain (521288)</v>
      </c>
      <c r="E471" s="93" t="str">
        <f ca="1">IFERROR(__xludf.DUMMYFUNCTION("""COMPUTED_VALUE"""),"CB25169_May26")</f>
        <v>CB25169_May26</v>
      </c>
      <c r="F471" s="94" t="str">
        <f ca="1">IFERROR(__xludf.DUMMYFUNCTION("""COMPUTED_VALUE"""),"Flyer/Brochure/Banner Output")</f>
        <v>Flyer/Brochure/Banner Output</v>
      </c>
      <c r="G471" s="95" t="str">
        <f ca="1">IFERROR(__xludf.DUMMYFUNCTION("""COMPUTED_VALUE"""),"New")</f>
        <v>New</v>
      </c>
      <c r="H471" s="96">
        <f ca="1">IFERROR(__xludf.DUMMYFUNCTION("""COMPUTED_VALUE"""),1)</f>
        <v>1</v>
      </c>
      <c r="I471" s="97">
        <f ca="1">IFERROR(__xludf.DUMMYFUNCTION("""COMPUTED_VALUE"""),46180)</f>
        <v>46180</v>
      </c>
      <c r="J471" s="98" t="str">
        <f ca="1">IFERROR(__xludf.DUMMYFUNCTION("""COMPUTED_VALUE"""),"CW35808_Jun26")</f>
        <v>CW35808_Jun26</v>
      </c>
      <c r="K471" s="99" t="str">
        <f ca="1">IFERROR(__xludf.DUMMYFUNCTION("""COMPUTED_VALUE"""),"HoM Approved")</f>
        <v>HoM Approved</v>
      </c>
    </row>
    <row r="472" spans="1:11" ht="13.2">
      <c r="A472" s="89" t="str">
        <f ca="1">IFERROR(__xludf.DUMMYFUNCTION("""COMPUTED_VALUE"""),"Indya Jelly Fruits 18g x 75pcs Jar Label")</f>
        <v>Indya Jelly Fruits 18g x 75pcs Jar Label</v>
      </c>
      <c r="B472" s="90" t="str">
        <f ca="1">IFERROR(__xludf.DUMMYFUNCTION("""COMPUTED_VALUE"""),"PAL")</f>
        <v>PAL</v>
      </c>
      <c r="C472" s="91" t="str">
        <f ca="1">IFERROR(__xludf.DUMMYFUNCTION("""COMPUTED_VALUE"""),"Rakib Vai")</f>
        <v>Rakib Vai</v>
      </c>
      <c r="D472" s="92" t="str">
        <f ca="1">IFERROR(__xludf.DUMMYFUNCTION("""COMPUTED_VALUE"""),"Faruk Hossain (521288)")</f>
        <v>Faruk Hossain (521288)</v>
      </c>
      <c r="E472" s="93" t="str">
        <f ca="1">IFERROR(__xludf.DUMMYFUNCTION("""COMPUTED_VALUE"""),"CB35705_Jun26")</f>
        <v>CB35705_Jun26</v>
      </c>
      <c r="F472" s="94" t="str">
        <f ca="1">IFERROR(__xludf.DUMMYFUNCTION("""COMPUTED_VALUE"""),"JAR Label Sticker Output")</f>
        <v>JAR Label Sticker Output</v>
      </c>
      <c r="G472" s="95" t="str">
        <f ca="1">IFERROR(__xludf.DUMMYFUNCTION("""COMPUTED_VALUE"""),"New")</f>
        <v>New</v>
      </c>
      <c r="H472" s="96">
        <f ca="1">IFERROR(__xludf.DUMMYFUNCTION("""COMPUTED_VALUE"""),1)</f>
        <v>1</v>
      </c>
      <c r="I472" s="97">
        <f ca="1">IFERROR(__xludf.DUMMYFUNCTION("""COMPUTED_VALUE"""),46180)</f>
        <v>46180</v>
      </c>
      <c r="J472" s="98" t="str">
        <f ca="1">IFERROR(__xludf.DUMMYFUNCTION("""COMPUTED_VALUE"""),"CW35832_Jun26")</f>
        <v>CW35832_Jun26</v>
      </c>
      <c r="K472" s="99" t="str">
        <f ca="1">IFERROR(__xludf.DUMMYFUNCTION("""COMPUTED_VALUE"""),"HoM Approved")</f>
        <v>HoM Approved</v>
      </c>
    </row>
    <row r="473" spans="1:11" ht="13.2">
      <c r="A473" s="89" t="str">
        <f ca="1">IFERROR(__xludf.DUMMYFUNCTION("""COMPUTED_VALUE"""),"Support uPVC Ceiling Panel")</f>
        <v>Support uPVC Ceiling Panel</v>
      </c>
      <c r="B473" s="90" t="str">
        <f ca="1">IFERROR(__xludf.DUMMYFUNCTION("""COMPUTED_VALUE"""),"BBML")</f>
        <v>BBML</v>
      </c>
      <c r="C473" s="91" t="str">
        <f ca="1">IFERROR(__xludf.DUMMYFUNCTION("""COMPUTED_VALUE"""),"Shehab_RFL")</f>
        <v>Shehab_RFL</v>
      </c>
      <c r="D473" s="92" t="str">
        <f ca="1">IFERROR(__xludf.DUMMYFUNCTION("""COMPUTED_VALUE"""),"Faruk Hossain (521288)")</f>
        <v>Faruk Hossain (521288)</v>
      </c>
      <c r="E473" s="93" t="str">
        <f ca="1">IFERROR(__xludf.DUMMYFUNCTION("""COMPUTED_VALUE"""),"CB23778_May26")</f>
        <v>CB23778_May26</v>
      </c>
      <c r="F473" s="94" t="str">
        <f ca="1">IFERROR(__xludf.DUMMYFUNCTION("""COMPUTED_VALUE"""),"Flyer/Brochure/Banner Output")</f>
        <v>Flyer/Brochure/Banner Output</v>
      </c>
      <c r="G473" s="95" t="str">
        <f ca="1">IFERROR(__xludf.DUMMYFUNCTION("""COMPUTED_VALUE"""),"New")</f>
        <v>New</v>
      </c>
      <c r="H473" s="96">
        <f ca="1">IFERROR(__xludf.DUMMYFUNCTION("""COMPUTED_VALUE"""),1)</f>
        <v>1</v>
      </c>
      <c r="I473" s="97">
        <f ca="1">IFERROR(__xludf.DUMMYFUNCTION("""COMPUTED_VALUE"""),46180)</f>
        <v>46180</v>
      </c>
      <c r="J473" s="98" t="str">
        <f ca="1">IFERROR(__xludf.DUMMYFUNCTION("""COMPUTED_VALUE"""),"CW35843_Jun26")</f>
        <v>CW35843_Jun26</v>
      </c>
      <c r="K473" s="99" t="str">
        <f ca="1">IFERROR(__xludf.DUMMYFUNCTION("""COMPUTED_VALUE"""),"HoM Approved")</f>
        <v>HoM Approved</v>
      </c>
    </row>
    <row r="474" spans="1:11" ht="13.2">
      <c r="A474" s="89" t="str">
        <f ca="1">IFERROR(__xludf.DUMMYFUNCTION("""COMPUTED_VALUE"""),"Indya Jelly Fruits 18g x 75pcs Jar Label")</f>
        <v>Indya Jelly Fruits 18g x 75pcs Jar Label</v>
      </c>
      <c r="B474" s="90" t="str">
        <f ca="1">IFERROR(__xludf.DUMMYFUNCTION("""COMPUTED_VALUE"""),"PAL")</f>
        <v>PAL</v>
      </c>
      <c r="C474" s="91" t="str">
        <f ca="1">IFERROR(__xludf.DUMMYFUNCTION("""COMPUTED_VALUE"""),"Rakib Vai")</f>
        <v>Rakib Vai</v>
      </c>
      <c r="D474" s="92" t="str">
        <f ca="1">IFERROR(__xludf.DUMMYFUNCTION("""COMPUTED_VALUE"""),"Faruk Hossain (521288)")</f>
        <v>Faruk Hossain (521288)</v>
      </c>
      <c r="E474" s="93" t="str">
        <f ca="1">IFERROR(__xludf.DUMMYFUNCTION("""COMPUTED_VALUE"""),"CB35705_Jun26")</f>
        <v>CB35705_Jun26</v>
      </c>
      <c r="F474" s="94" t="str">
        <f ca="1">IFERROR(__xludf.DUMMYFUNCTION("""COMPUTED_VALUE"""),"JAR Label Sticker Output")</f>
        <v>JAR Label Sticker Output</v>
      </c>
      <c r="G474" s="95" t="str">
        <f ca="1">IFERROR(__xludf.DUMMYFUNCTION("""COMPUTED_VALUE"""),"Revision")</f>
        <v>Revision</v>
      </c>
      <c r="H474" s="96">
        <f ca="1">IFERROR(__xludf.DUMMYFUNCTION("""COMPUTED_VALUE"""),1)</f>
        <v>1</v>
      </c>
      <c r="I474" s="97">
        <f ca="1">IFERROR(__xludf.DUMMYFUNCTION("""COMPUTED_VALUE"""),46181)</f>
        <v>46181</v>
      </c>
      <c r="J474" s="98" t="str">
        <f ca="1">IFERROR(__xludf.DUMMYFUNCTION("""COMPUTED_VALUE"""),"CW35960_Jun26")</f>
        <v>CW35960_Jun26</v>
      </c>
      <c r="K474" s="99" t="str">
        <f ca="1">IFERROR(__xludf.DUMMYFUNCTION("""COMPUTED_VALUE"""),"Brief Submitted")</f>
        <v>Brief Submitted</v>
      </c>
    </row>
    <row r="475" spans="1:11" ht="13.2">
      <c r="A475" s="89" t="str">
        <f ca="1">IFERROR(__xludf.DUMMYFUNCTION("""COMPUTED_VALUE"""),"Packet design for Plastic check valve")</f>
        <v>Packet design for Plastic check valve</v>
      </c>
      <c r="B475" s="90" t="str">
        <f ca="1">IFERROR(__xludf.DUMMYFUNCTION("""COMPUTED_VALUE"""),"RMIL")</f>
        <v>RMIL</v>
      </c>
      <c r="C475" s="91" t="str">
        <f ca="1">IFERROR(__xludf.DUMMYFUNCTION("""COMPUTED_VALUE"""),"Mehedi Vaiya")</f>
        <v>Mehedi Vaiya</v>
      </c>
      <c r="D475" s="92" t="str">
        <f ca="1">IFERROR(__xludf.DUMMYFUNCTION("""COMPUTED_VALUE"""),"Faruk Hossain (521288)")</f>
        <v>Faruk Hossain (521288)</v>
      </c>
      <c r="E475" s="93" t="str">
        <f ca="1">IFERROR(__xludf.DUMMYFUNCTION("""COMPUTED_VALUE"""),"CB22706_Apr26")</f>
        <v>CB22706_Apr26</v>
      </c>
      <c r="F475" s="94" t="str">
        <f ca="1">IFERROR(__xludf.DUMMYFUNCTION("""COMPUTED_VALUE"""),"Gravure Output #2")</f>
        <v>Gravure Output #2</v>
      </c>
      <c r="G475" s="95" t="str">
        <f ca="1">IFERROR(__xludf.DUMMYFUNCTION("""COMPUTED_VALUE"""),"Revision")</f>
        <v>Revision</v>
      </c>
      <c r="H475" s="96">
        <f ca="1">IFERROR(__xludf.DUMMYFUNCTION("""COMPUTED_VALUE"""),1)</f>
        <v>1</v>
      </c>
      <c r="I475" s="97">
        <f ca="1">IFERROR(__xludf.DUMMYFUNCTION("""COMPUTED_VALUE"""),46181)</f>
        <v>46181</v>
      </c>
      <c r="J475" s="98" t="str">
        <f ca="1">IFERROR(__xludf.DUMMYFUNCTION("""COMPUTED_VALUE"""),"CW35962_Jun26")</f>
        <v>CW35962_Jun26</v>
      </c>
      <c r="K475" s="99" t="str">
        <f ca="1">IFERROR(__xludf.DUMMYFUNCTION("""COMPUTED_VALUE"""),"Brief Submitted")</f>
        <v>Brief Submitted</v>
      </c>
    </row>
    <row r="476" spans="1:11" ht="13.2">
      <c r="A476" s="89" t="str">
        <f ca="1">IFERROR(__xludf.DUMMYFUNCTION("""COMPUTED_VALUE"""),"PRAN Potato Cracker")</f>
        <v>PRAN Potato Cracker</v>
      </c>
      <c r="B476" s="90" t="str">
        <f ca="1">IFERROR(__xludf.DUMMYFUNCTION("""COMPUTED_VALUE"""),"PFL")</f>
        <v>PFL</v>
      </c>
      <c r="C476" s="91" t="str">
        <f ca="1">IFERROR(__xludf.DUMMYFUNCTION("""COMPUTED_VALUE"""),"Rafi Vaiya")</f>
        <v>Rafi Vaiya</v>
      </c>
      <c r="D476" s="92" t="str">
        <f ca="1">IFERROR(__xludf.DUMMYFUNCTION("""COMPUTED_VALUE"""),"Faruk Hossain (521288)")</f>
        <v>Faruk Hossain (521288)</v>
      </c>
      <c r="E476" s="93" t="str">
        <f ca="1">IFERROR(__xludf.DUMMYFUNCTION("""COMPUTED_VALUE"""),"CB24865_May26")</f>
        <v>CB24865_May26</v>
      </c>
      <c r="F476" s="94" t="str">
        <f ca="1">IFERROR(__xludf.DUMMYFUNCTION("""COMPUTED_VALUE"""),"Gravure Output #2")</f>
        <v>Gravure Output #2</v>
      </c>
      <c r="G476" s="95" t="str">
        <f ca="1">IFERROR(__xludf.DUMMYFUNCTION("""COMPUTED_VALUE"""),"Revision")</f>
        <v>Revision</v>
      </c>
      <c r="H476" s="96">
        <f ca="1">IFERROR(__xludf.DUMMYFUNCTION("""COMPUTED_VALUE"""),5)</f>
        <v>5</v>
      </c>
      <c r="I476" s="97">
        <f ca="1">IFERROR(__xludf.DUMMYFUNCTION("""COMPUTED_VALUE"""),46150)</f>
        <v>46150</v>
      </c>
      <c r="J476" s="98" t="str">
        <f ca="1">IFERROR(__xludf.DUMMYFUNCTION("""COMPUTED_VALUE"""),"CW35964_Jun26")</f>
        <v>CW35964_Jun26</v>
      </c>
      <c r="K476" s="99" t="str">
        <f ca="1">IFERROR(__xludf.DUMMYFUNCTION("""COMPUTED_VALUE"""),"Brief Submitted")</f>
        <v>Brief Submitted</v>
      </c>
    </row>
    <row r="477" spans="1:11" ht="13.2">
      <c r="A477" s="89" t="str">
        <f ca="1">IFERROR(__xludf.DUMMYFUNCTION("""COMPUTED_VALUE"""),"PRAN Basic Spice")</f>
        <v>PRAN Basic Spice</v>
      </c>
      <c r="B477" s="90" t="str">
        <f ca="1">IFERROR(__xludf.DUMMYFUNCTION("""COMPUTED_VALUE"""),"NAL")</f>
        <v>NAL</v>
      </c>
      <c r="C477" s="91" t="str">
        <f ca="1">IFERROR(__xludf.DUMMYFUNCTION("""COMPUTED_VALUE"""),"Shamsul Sir")</f>
        <v>Shamsul Sir</v>
      </c>
      <c r="D477" s="92" t="str">
        <f ca="1">IFERROR(__xludf.DUMMYFUNCTION("""COMPUTED_VALUE"""),"Faruk Hossain (521288)")</f>
        <v>Faruk Hossain (521288)</v>
      </c>
      <c r="E477" s="93" t="str">
        <f ca="1">IFERROR(__xludf.DUMMYFUNCTION("""COMPUTED_VALUE"""),"CB20204_Mar26")</f>
        <v>CB20204_Mar26</v>
      </c>
      <c r="F477" s="94" t="str">
        <f ca="1">IFERROR(__xludf.DUMMYFUNCTION("""COMPUTED_VALUE"""),"Gravure Output #2")</f>
        <v>Gravure Output #2</v>
      </c>
      <c r="G477" s="95" t="str">
        <f ca="1">IFERROR(__xludf.DUMMYFUNCTION("""COMPUTED_VALUE"""),"Revision")</f>
        <v>Revision</v>
      </c>
      <c r="H477" s="96">
        <f ca="1">IFERROR(__xludf.DUMMYFUNCTION("""COMPUTED_VALUE"""),2)</f>
        <v>2</v>
      </c>
      <c r="I477" s="97">
        <f ca="1">IFERROR(__xludf.DUMMYFUNCTION("""COMPUTED_VALUE"""),46181)</f>
        <v>46181</v>
      </c>
      <c r="J477" s="98" t="str">
        <f ca="1">IFERROR(__xludf.DUMMYFUNCTION("""COMPUTED_VALUE"""),"CW35967_Jun26")</f>
        <v>CW35967_Jun26</v>
      </c>
      <c r="K477" s="99" t="str">
        <f ca="1">IFERROR(__xludf.DUMMYFUNCTION("""COMPUTED_VALUE"""),"Brief Submitted")</f>
        <v>Brief Submitted</v>
      </c>
    </row>
    <row r="478" spans="1:11" ht="13.2">
      <c r="A478" s="89" t="str">
        <f ca="1">IFERROR(__xludf.DUMMYFUNCTION("""COMPUTED_VALUE"""),"Rusana Dry Cake UK")</f>
        <v>Rusana Dry Cake UK</v>
      </c>
      <c r="B478" s="90" t="str">
        <f ca="1">IFERROR(__xludf.DUMMYFUNCTION("""COMPUTED_VALUE"""),"BBL")</f>
        <v>BBL</v>
      </c>
      <c r="C478" s="91" t="str">
        <f ca="1">IFERROR(__xludf.DUMMYFUNCTION("""COMPUTED_VALUE"""),"Saifullah Vai")</f>
        <v>Saifullah Vai</v>
      </c>
      <c r="D478" s="92" t="str">
        <f ca="1">IFERROR(__xludf.DUMMYFUNCTION("""COMPUTED_VALUE"""),"Faruk Hossain (521288)")</f>
        <v>Faruk Hossain (521288)</v>
      </c>
      <c r="E478" s="93" t="str">
        <f ca="1">IFERROR(__xludf.DUMMYFUNCTION("""COMPUTED_VALUE"""),"CB24495_May26")</f>
        <v>CB24495_May26</v>
      </c>
      <c r="F478" s="94" t="str">
        <f ca="1">IFERROR(__xludf.DUMMYFUNCTION("""COMPUTED_VALUE"""),"ATC Box Output")</f>
        <v>ATC Box Output</v>
      </c>
      <c r="G478" s="95" t="str">
        <f ca="1">IFERROR(__xludf.DUMMYFUNCTION("""COMPUTED_VALUE"""),"New")</f>
        <v>New</v>
      </c>
      <c r="H478" s="96">
        <f ca="1">IFERROR(__xludf.DUMMYFUNCTION("""COMPUTED_VALUE"""),2)</f>
        <v>2</v>
      </c>
      <c r="I478" s="97">
        <f ca="1">IFERROR(__xludf.DUMMYFUNCTION("""COMPUTED_VALUE"""),46160)</f>
        <v>46160</v>
      </c>
      <c r="J478" s="98" t="str">
        <f ca="1">IFERROR(__xludf.DUMMYFUNCTION("""COMPUTED_VALUE"""),"CW33863_May26")</f>
        <v>CW33863_May26</v>
      </c>
      <c r="K478" s="99" t="str">
        <f ca="1">IFERROR(__xludf.DUMMYFUNCTION("""COMPUTED_VALUE"""),"Brief Submitted")</f>
        <v>Brief Submitted</v>
      </c>
    </row>
    <row r="479" spans="1:11" ht="13.2">
      <c r="A479" s="89" t="str">
        <f ca="1">IFERROR(__xludf.DUMMYFUNCTION("""COMPUTED_VALUE"""),"Sabiha Hanger Design")</f>
        <v>Sabiha Hanger Design</v>
      </c>
      <c r="B479" s="90" t="str">
        <f ca="1">IFERROR(__xludf.DUMMYFUNCTION("""COMPUTED_VALUE"""),"PAL")</f>
        <v>PAL</v>
      </c>
      <c r="C479" s="91" t="str">
        <f ca="1">IFERROR(__xludf.DUMMYFUNCTION("""COMPUTED_VALUE"""),"Nusrat Apu")</f>
        <v>Nusrat Apu</v>
      </c>
      <c r="D479" s="92" t="str">
        <f ca="1">IFERROR(__xludf.DUMMYFUNCTION("""COMPUTED_VALUE"""),"Faruk Hossain (521288)")</f>
        <v>Faruk Hossain (521288)</v>
      </c>
      <c r="E479" s="93" t="str">
        <f ca="1">IFERROR(__xludf.DUMMYFUNCTION("""COMPUTED_VALUE"""),"CB23323_May26")</f>
        <v>CB23323_May26</v>
      </c>
      <c r="F479" s="94" t="str">
        <f ca="1">IFERROR(__xludf.DUMMYFUNCTION("""COMPUTED_VALUE"""),"JAR Label Sticker Output")</f>
        <v>JAR Label Sticker Output</v>
      </c>
      <c r="G479" s="95" t="str">
        <f ca="1">IFERROR(__xludf.DUMMYFUNCTION("""COMPUTED_VALUE"""),"New")</f>
        <v>New</v>
      </c>
      <c r="H479" s="96">
        <f ca="1">IFERROR(__xludf.DUMMYFUNCTION("""COMPUTED_VALUE"""),1)</f>
        <v>1</v>
      </c>
      <c r="I479" s="97">
        <f ca="1">IFERROR(__xludf.DUMMYFUNCTION("""COMPUTED_VALUE"""),46183)</f>
        <v>46183</v>
      </c>
      <c r="J479" s="98" t="str">
        <f ca="1">IFERROR(__xludf.DUMMYFUNCTION("""COMPUTED_VALUE"""),"CW36226_Jun26")</f>
        <v>CW36226_Jun26</v>
      </c>
      <c r="K479" s="99" t="str">
        <f ca="1">IFERROR(__xludf.DUMMYFUNCTION("""COMPUTED_VALUE"""),"Brief Submitted")</f>
        <v>Brief Submitted</v>
      </c>
    </row>
    <row r="480" spans="1:11" ht="13.2">
      <c r="A480" s="89" t="str">
        <f ca="1">IFERROR(__xludf.DUMMYFUNCTION("""COMPUTED_VALUE"""),"PRAN Jelly Powder")</f>
        <v>PRAN Jelly Powder</v>
      </c>
      <c r="B480" s="90" t="str">
        <f ca="1">IFERROR(__xludf.DUMMYFUNCTION("""COMPUTED_VALUE"""),"PAL")</f>
        <v>PAL</v>
      </c>
      <c r="C480" s="91" t="str">
        <f ca="1">IFERROR(__xludf.DUMMYFUNCTION("""COMPUTED_VALUE"""),"Junayed Vai")</f>
        <v>Junayed Vai</v>
      </c>
      <c r="D480" s="92" t="str">
        <f ca="1">IFERROR(__xludf.DUMMYFUNCTION("""COMPUTED_VALUE"""),"Faruk Hossain (521288)")</f>
        <v>Faruk Hossain (521288)</v>
      </c>
      <c r="E480" s="93" t="str">
        <f ca="1">IFERROR(__xludf.DUMMYFUNCTION("""COMPUTED_VALUE"""),"CB25241_Jun26")</f>
        <v>CB25241_Jun26</v>
      </c>
      <c r="F480" s="94" t="str">
        <f ca="1">IFERROR(__xludf.DUMMYFUNCTION("""COMPUTED_VALUE"""),"ATC Box Output")</f>
        <v>ATC Box Output</v>
      </c>
      <c r="G480" s="95" t="str">
        <f ca="1">IFERROR(__xludf.DUMMYFUNCTION("""COMPUTED_VALUE"""),"New")</f>
        <v>New</v>
      </c>
      <c r="H480" s="96">
        <f ca="1">IFERROR(__xludf.DUMMYFUNCTION("""COMPUTED_VALUE"""),6)</f>
        <v>6</v>
      </c>
      <c r="I480" s="97">
        <f ca="1">IFERROR(__xludf.DUMMYFUNCTION("""COMPUTED_VALUE"""),46183)</f>
        <v>46183</v>
      </c>
      <c r="J480" s="98" t="str">
        <f ca="1">IFERROR(__xludf.DUMMYFUNCTION("""COMPUTED_VALUE"""),"CW36247_Jun26")</f>
        <v>CW36247_Jun26</v>
      </c>
      <c r="K480" s="99" t="str">
        <f ca="1">IFERROR(__xludf.DUMMYFUNCTION("""COMPUTED_VALUE"""),"HoM Approved")</f>
        <v>HoM Approved</v>
      </c>
    </row>
    <row r="481" spans="1:11" ht="13.2">
      <c r="A481" s="89" t="str">
        <f ca="1">IFERROR(__xludf.DUMMYFUNCTION("""COMPUTED_VALUE"""),"Shine Sanitary Ware &amp; Fittings")</f>
        <v>Shine Sanitary Ware &amp; Fittings</v>
      </c>
      <c r="B481" s="90" t="str">
        <f ca="1">IFERROR(__xludf.DUMMYFUNCTION("""COMPUTED_VALUE"""),"RPL")</f>
        <v>RPL</v>
      </c>
      <c r="C481" s="91" t="str">
        <f ca="1">IFERROR(__xludf.DUMMYFUNCTION("""COMPUTED_VALUE"""),"Sheikh Khan")</f>
        <v>Sheikh Khan</v>
      </c>
      <c r="D481" s="92" t="str">
        <f ca="1">IFERROR(__xludf.DUMMYFUNCTION("""COMPUTED_VALUE"""),"Faruk Hossain (521288)")</f>
        <v>Faruk Hossain (521288)</v>
      </c>
      <c r="E481" s="93" t="str">
        <f ca="1">IFERROR(__xludf.DUMMYFUNCTION("""COMPUTED_VALUE"""),"CB24835_May26")</f>
        <v>CB24835_May26</v>
      </c>
      <c r="F481" s="94" t="str">
        <f ca="1">IFERROR(__xludf.DUMMYFUNCTION("""COMPUTED_VALUE"""),"ATC Box Output")</f>
        <v>ATC Box Output</v>
      </c>
      <c r="G481" s="95" t="str">
        <f ca="1">IFERROR(__xludf.DUMMYFUNCTION("""COMPUTED_VALUE"""),"New")</f>
        <v>New</v>
      </c>
      <c r="H481" s="96">
        <f ca="1">IFERROR(__xludf.DUMMYFUNCTION("""COMPUTED_VALUE"""),6)</f>
        <v>6</v>
      </c>
      <c r="I481" s="97">
        <f ca="1">IFERROR(__xludf.DUMMYFUNCTION("""COMPUTED_VALUE"""),46190)</f>
        <v>46190</v>
      </c>
      <c r="J481" s="98" t="str">
        <f ca="1">IFERROR(__xludf.DUMMYFUNCTION("""COMPUTED_VALUE"""),"CW36905_Jun26")</f>
        <v>CW36905_Jun26</v>
      </c>
      <c r="K481" s="99" t="str">
        <f ca="1">IFERROR(__xludf.DUMMYFUNCTION("""COMPUTED_VALUE"""),"HoM Approved")</f>
        <v>HoM Approved</v>
      </c>
    </row>
    <row r="482" spans="1:11" ht="13.2">
      <c r="A482" s="89" t="str">
        <f ca="1">IFERROR(__xludf.DUMMYFUNCTION("""COMPUTED_VALUE"""),"Bisk Club SHERO Biscuit")</f>
        <v>Bisk Club SHERO Biscuit</v>
      </c>
      <c r="B482" s="90" t="str">
        <f ca="1">IFERROR(__xludf.DUMMYFUNCTION("""COMPUTED_VALUE"""),"BBL")</f>
        <v>BBL</v>
      </c>
      <c r="C482" s="91" t="str">
        <f ca="1">IFERROR(__xludf.DUMMYFUNCTION("""COMPUTED_VALUE"""),"Maksuda Apu")</f>
        <v>Maksuda Apu</v>
      </c>
      <c r="D482" s="92" t="str">
        <f ca="1">IFERROR(__xludf.DUMMYFUNCTION("""COMPUTED_VALUE"""),"Faruk Hossain (521288)")</f>
        <v>Faruk Hossain (521288)</v>
      </c>
      <c r="E482" s="93" t="str">
        <f ca="1">IFERROR(__xludf.DUMMYFUNCTION("""COMPUTED_VALUE"""),"CB21839_Apr26")</f>
        <v>CB21839_Apr26</v>
      </c>
      <c r="F482" s="94" t="str">
        <f ca="1">IFERROR(__xludf.DUMMYFUNCTION("""COMPUTED_VALUE"""),"ATC Box Output")</f>
        <v>ATC Box Output</v>
      </c>
      <c r="G482" s="95" t="str">
        <f ca="1">IFERROR(__xludf.DUMMYFUNCTION("""COMPUTED_VALUE"""),"New")</f>
        <v>New</v>
      </c>
      <c r="H482" s="96">
        <f ca="1">IFERROR(__xludf.DUMMYFUNCTION("""COMPUTED_VALUE"""),1)</f>
        <v>1</v>
      </c>
      <c r="I482" s="97">
        <f ca="1">IFERROR(__xludf.DUMMYFUNCTION("""COMPUTED_VALUE"""),46184)</f>
        <v>46184</v>
      </c>
      <c r="J482" s="98" t="str">
        <f ca="1">IFERROR(__xludf.DUMMYFUNCTION("""COMPUTED_VALUE"""),"CW36326_Jun26")</f>
        <v>CW36326_Jun26</v>
      </c>
      <c r="K482" s="99" t="str">
        <f ca="1">IFERROR(__xludf.DUMMYFUNCTION("""COMPUTED_VALUE"""),"HoM Approved")</f>
        <v>HoM Approved</v>
      </c>
    </row>
    <row r="483" spans="1:11" ht="13.2">
      <c r="A483" s="89" t="str">
        <f ca="1">IFERROR(__xludf.DUMMYFUNCTION("""COMPUTED_VALUE"""),"Toys Label, sticker, tag design ")</f>
        <v xml:space="preserve">Toys Label, sticker, tag design </v>
      </c>
      <c r="B483" s="90" t="str">
        <f ca="1">IFERROR(__xludf.DUMMYFUNCTION("""COMPUTED_VALUE"""),"DPL")</f>
        <v>DPL</v>
      </c>
      <c r="C483" s="91" t="str">
        <f ca="1">IFERROR(__xludf.DUMMYFUNCTION("""COMPUTED_VALUE"""),"Sohan Vai")</f>
        <v>Sohan Vai</v>
      </c>
      <c r="D483" s="92" t="str">
        <f ca="1">IFERROR(__xludf.DUMMYFUNCTION("""COMPUTED_VALUE"""),"Faruk Hossain (521288)")</f>
        <v>Faruk Hossain (521288)</v>
      </c>
      <c r="E483" s="93" t="str">
        <f ca="1">IFERROR(__xludf.DUMMYFUNCTION("""COMPUTED_VALUE"""),"CB36182_Jun26")</f>
        <v>CB36182_Jun26</v>
      </c>
      <c r="F483" s="94" t="str">
        <f ca="1">IFERROR(__xludf.DUMMYFUNCTION("""COMPUTED_VALUE"""),"Flyer/Brochure/Banner Output")</f>
        <v>Flyer/Brochure/Banner Output</v>
      </c>
      <c r="G483" s="95" t="str">
        <f ca="1">IFERROR(__xludf.DUMMYFUNCTION("""COMPUTED_VALUE"""),"New")</f>
        <v>New</v>
      </c>
      <c r="H483" s="96">
        <f ca="1">IFERROR(__xludf.DUMMYFUNCTION("""COMPUTED_VALUE"""),1)</f>
        <v>1</v>
      </c>
      <c r="I483" s="97">
        <f ca="1">IFERROR(__xludf.DUMMYFUNCTION("""COMPUTED_VALUE"""),46184)</f>
        <v>46184</v>
      </c>
      <c r="J483" s="98" t="str">
        <f ca="1">IFERROR(__xludf.DUMMYFUNCTION("""COMPUTED_VALUE"""),"CW36352_Jun26")</f>
        <v>CW36352_Jun26</v>
      </c>
      <c r="K483" s="99" t="str">
        <f ca="1">IFERROR(__xludf.DUMMYFUNCTION("""COMPUTED_VALUE"""),"HoM Approved")</f>
        <v>HoM Approved</v>
      </c>
    </row>
    <row r="484" spans="1:11" ht="13.2">
      <c r="A484" s="89" t="str">
        <f ca="1">IFERROR(__xludf.DUMMYFUNCTION("""COMPUTED_VALUE"""),"Treat Cappuchino Candy for Vietnam Market")</f>
        <v>Treat Cappuchino Candy for Vietnam Market</v>
      </c>
      <c r="B484" s="90" t="str">
        <f ca="1">IFERROR(__xludf.DUMMYFUNCTION("""COMPUTED_VALUE"""),"PCL")</f>
        <v>PCL</v>
      </c>
      <c r="C484" s="91" t="str">
        <f ca="1">IFERROR(__xludf.DUMMYFUNCTION("""COMPUTED_VALUE"""),"Mona Apu")</f>
        <v>Mona Apu</v>
      </c>
      <c r="D484" s="92" t="str">
        <f ca="1">IFERROR(__xludf.DUMMYFUNCTION("""COMPUTED_VALUE"""),"Faruk Hossain (521288)")</f>
        <v>Faruk Hossain (521288)</v>
      </c>
      <c r="E484" s="93" t="str">
        <f ca="1">IFERROR(__xludf.DUMMYFUNCTION("""COMPUTED_VALUE"""),"CB13634_Dec25")</f>
        <v>CB13634_Dec25</v>
      </c>
      <c r="F484" s="94" t="str">
        <f ca="1">IFERROR(__xludf.DUMMYFUNCTION("""COMPUTED_VALUE"""),"Gravure Output #2")</f>
        <v>Gravure Output #2</v>
      </c>
      <c r="G484" s="95" t="str">
        <f ca="1">IFERROR(__xludf.DUMMYFUNCTION("""COMPUTED_VALUE"""),"New")</f>
        <v>New</v>
      </c>
      <c r="H484" s="96">
        <f ca="1">IFERROR(__xludf.DUMMYFUNCTION("""COMPUTED_VALUE"""),2)</f>
        <v>2</v>
      </c>
      <c r="I484" s="97">
        <f ca="1">IFERROR(__xludf.DUMMYFUNCTION("""COMPUTED_VALUE"""),46186)</f>
        <v>46186</v>
      </c>
      <c r="J484" s="98" t="str">
        <f ca="1">IFERROR(__xludf.DUMMYFUNCTION("""COMPUTED_VALUE"""),"CW36392_Jun26")</f>
        <v>CW36392_Jun26</v>
      </c>
      <c r="K484" s="99" t="str">
        <f ca="1">IFERROR(__xludf.DUMMYFUNCTION("""COMPUTED_VALUE"""),"HoM Approved")</f>
        <v>HoM Approved</v>
      </c>
    </row>
    <row r="485" spans="1:11" ht="13.2">
      <c r="A485" s="89" t="str">
        <f ca="1">IFERROR(__xludf.DUMMYFUNCTION("""COMPUTED_VALUE"""),"Traifold-brochure")</f>
        <v>Traifold-brochure</v>
      </c>
      <c r="B485" s="90" t="str">
        <f ca="1">IFERROR(__xludf.DUMMYFUNCTION("""COMPUTED_VALUE"""),"Malaysia Export")</f>
        <v>Malaysia Export</v>
      </c>
      <c r="C485" s="91" t="str">
        <f ca="1">IFERROR(__xludf.DUMMYFUNCTION("""COMPUTED_VALUE"""),"Sadia apu")</f>
        <v>Sadia apu</v>
      </c>
      <c r="D485" s="92" t="str">
        <f ca="1">IFERROR(__xludf.DUMMYFUNCTION("""COMPUTED_VALUE"""),"Faruk Hossain (521288)")</f>
        <v>Faruk Hossain (521288)</v>
      </c>
      <c r="E485" s="93" t="str">
        <f ca="1">IFERROR(__xludf.DUMMYFUNCTION("""COMPUTED_VALUE"""),"CB36256_Jun26")</f>
        <v>CB36256_Jun26</v>
      </c>
      <c r="F485" s="94" t="str">
        <f ca="1">IFERROR(__xludf.DUMMYFUNCTION("""COMPUTED_VALUE"""),"Flyer/Brochure/Banner Output")</f>
        <v>Flyer/Brochure/Banner Output</v>
      </c>
      <c r="G485" s="95" t="str">
        <f ca="1">IFERROR(__xludf.DUMMYFUNCTION("""COMPUTED_VALUE"""),"New")</f>
        <v>New</v>
      </c>
      <c r="H485" s="96">
        <f ca="1">IFERROR(__xludf.DUMMYFUNCTION("""COMPUTED_VALUE"""),2)</f>
        <v>2</v>
      </c>
      <c r="I485" s="97">
        <f ca="1">IFERROR(__xludf.DUMMYFUNCTION("""COMPUTED_VALUE"""),46188)</f>
        <v>46188</v>
      </c>
      <c r="J485" s="98" t="str">
        <f ca="1">IFERROR(__xludf.DUMMYFUNCTION("""COMPUTED_VALUE"""),"CW36623_Jun26")</f>
        <v>CW36623_Jun26</v>
      </c>
      <c r="K485" s="99" t="str">
        <f ca="1">IFERROR(__xludf.DUMMYFUNCTION("""COMPUTED_VALUE"""),"HoM Approved")</f>
        <v>HoM Approved</v>
      </c>
    </row>
    <row r="486" spans="1:11" ht="13.2">
      <c r="A486" s="89" t="str">
        <f ca="1">IFERROR(__xludf.DUMMYFUNCTION("""COMPUTED_VALUE"""),"All Time Borfi cookies")</f>
        <v>All Time Borfi cookies</v>
      </c>
      <c r="B486" s="90" t="str">
        <f ca="1">IFERROR(__xludf.DUMMYFUNCTION("""COMPUTED_VALUE"""),"BBL")</f>
        <v>BBL</v>
      </c>
      <c r="C486" s="91" t="str">
        <f ca="1">IFERROR(__xludf.DUMMYFUNCTION("""COMPUTED_VALUE"""),"Afrin Apu")</f>
        <v>Afrin Apu</v>
      </c>
      <c r="D486" s="92" t="str">
        <f ca="1">IFERROR(__xludf.DUMMYFUNCTION("""COMPUTED_VALUE"""),"Faruk Hossain (521288)")</f>
        <v>Faruk Hossain (521288)</v>
      </c>
      <c r="E486" s="93" t="str">
        <f ca="1">IFERROR(__xludf.DUMMYFUNCTION("""COMPUTED_VALUE"""),"CB23782_May26")</f>
        <v>CB23782_May26</v>
      </c>
      <c r="F486" s="94" t="str">
        <f ca="1">IFERROR(__xludf.DUMMYFUNCTION("""COMPUTED_VALUE"""),"Gravure Output #2")</f>
        <v>Gravure Output #2</v>
      </c>
      <c r="G486" s="95" t="str">
        <f ca="1">IFERROR(__xludf.DUMMYFUNCTION("""COMPUTED_VALUE"""),"New")</f>
        <v>New</v>
      </c>
      <c r="H486" s="96">
        <f ca="1">IFERROR(__xludf.DUMMYFUNCTION("""COMPUTED_VALUE"""),1)</f>
        <v>1</v>
      </c>
      <c r="I486" s="97">
        <f ca="1">IFERROR(__xludf.DUMMYFUNCTION("""COMPUTED_VALUE"""),46192)</f>
        <v>46192</v>
      </c>
      <c r="J486" s="98" t="str">
        <f ca="1">IFERROR(__xludf.DUMMYFUNCTION("""COMPUTED_VALUE"""),"CW37209_Jun26")</f>
        <v>CW37209_Jun26</v>
      </c>
      <c r="K486" s="99" t="str">
        <f ca="1">IFERROR(__xludf.DUMMYFUNCTION("""COMPUTED_VALUE"""),"HoM Approved")</f>
        <v>HoM Approved</v>
      </c>
    </row>
    <row r="487" spans="1:11" ht="13.2">
      <c r="A487" s="89" t="str">
        <f ca="1">IFERROR(__xludf.DUMMYFUNCTION("""COMPUTED_VALUE"""),"Potata Biscuit Sticker")</f>
        <v>Potata Biscuit Sticker</v>
      </c>
      <c r="B487" s="90" t="str">
        <f ca="1">IFERROR(__xludf.DUMMYFUNCTION("""COMPUTED_VALUE"""),"BBL")</f>
        <v>BBL</v>
      </c>
      <c r="C487" s="91" t="str">
        <f ca="1">IFERROR(__xludf.DUMMYFUNCTION("""COMPUTED_VALUE"""),"Sadia Apu")</f>
        <v>Sadia Apu</v>
      </c>
      <c r="D487" s="92" t="str">
        <f ca="1">IFERROR(__xludf.DUMMYFUNCTION("""COMPUTED_VALUE"""),"Faruk Hossain (521288)")</f>
        <v>Faruk Hossain (521288)</v>
      </c>
      <c r="E487" s="93" t="str">
        <f ca="1">IFERROR(__xludf.DUMMYFUNCTION("""COMPUTED_VALUE"""),"CB36861_Jun26")</f>
        <v>CB36861_Jun26</v>
      </c>
      <c r="F487" s="94" t="str">
        <f ca="1">IFERROR(__xludf.DUMMYFUNCTION("""COMPUTED_VALUE"""),"Flyer/Brochure/Banner Output")</f>
        <v>Flyer/Brochure/Banner Output</v>
      </c>
      <c r="G487" s="95" t="str">
        <f ca="1">IFERROR(__xludf.DUMMYFUNCTION("""COMPUTED_VALUE"""),"New")</f>
        <v>New</v>
      </c>
      <c r="H487" s="96">
        <f ca="1">IFERROR(__xludf.DUMMYFUNCTION("""COMPUTED_VALUE"""),1)</f>
        <v>1</v>
      </c>
      <c r="I487" s="97">
        <f ca="1">IFERROR(__xludf.DUMMYFUNCTION("""COMPUTED_VALUE"""),46192)</f>
        <v>46192</v>
      </c>
      <c r="J487" s="98" t="str">
        <f ca="1">IFERROR(__xludf.DUMMYFUNCTION("""COMPUTED_VALUE"""),"CW37210_Jun26")</f>
        <v>CW37210_Jun26</v>
      </c>
      <c r="K487" s="99" t="str">
        <f ca="1">IFERROR(__xludf.DUMMYFUNCTION("""COMPUTED_VALUE"""),"HoM Approved")</f>
        <v>HoM Approved</v>
      </c>
    </row>
    <row r="488" spans="1:11" ht="13.2">
      <c r="A488" s="89" t="str">
        <f ca="1">IFERROR(__xludf.DUMMYFUNCTION("""COMPUTED_VALUE"""),"Sunny Toothbrush Kids Lion")</f>
        <v>Sunny Toothbrush Kids Lion</v>
      </c>
      <c r="B488" s="90" t="str">
        <f ca="1">IFERROR(__xludf.DUMMYFUNCTION("""COMPUTED_VALUE"""),"RFL Stationery")</f>
        <v>RFL Stationery</v>
      </c>
      <c r="C488" s="91" t="str">
        <f ca="1">IFERROR(__xludf.DUMMYFUNCTION("""COMPUTED_VALUE"""),"Nuzhat Apu")</f>
        <v>Nuzhat Apu</v>
      </c>
      <c r="D488" s="92" t="str">
        <f ca="1">IFERROR(__xludf.DUMMYFUNCTION("""COMPUTED_VALUE"""),"Faruk Hossain (521288)")</f>
        <v>Faruk Hossain (521288)</v>
      </c>
      <c r="E488" s="93" t="str">
        <f ca="1">IFERROR(__xludf.DUMMYFUNCTION("""COMPUTED_VALUE"""),"CB35305_Jun26")</f>
        <v>CB35305_Jun26</v>
      </c>
      <c r="F488" s="94" t="str">
        <f ca="1">IFERROR(__xludf.DUMMYFUNCTION("""COMPUTED_VALUE"""),"JAR Label Sticker Output")</f>
        <v>JAR Label Sticker Output</v>
      </c>
      <c r="G488" s="95" t="str">
        <f ca="1">IFERROR(__xludf.DUMMYFUNCTION("""COMPUTED_VALUE"""),"New")</f>
        <v>New</v>
      </c>
      <c r="H488" s="96">
        <f ca="1">IFERROR(__xludf.DUMMYFUNCTION("""COMPUTED_VALUE"""),4)</f>
        <v>4</v>
      </c>
      <c r="I488" s="97">
        <f ca="1">IFERROR(__xludf.DUMMYFUNCTION("""COMPUTED_VALUE"""),46193)</f>
        <v>46193</v>
      </c>
      <c r="J488" s="98" t="str">
        <f ca="1">IFERROR(__xludf.DUMMYFUNCTION("""COMPUTED_VALUE"""),"CW37317_Jun26")</f>
        <v>CW37317_Jun26</v>
      </c>
      <c r="K488" s="99" t="str">
        <f ca="1">IFERROR(__xludf.DUMMYFUNCTION("""COMPUTED_VALUE"""),"HoM Approved")</f>
        <v>HoM Approved</v>
      </c>
    </row>
    <row r="489" spans="1:11" ht="13.2">
      <c r="A489" s="89" t="str">
        <f ca="1">IFERROR(__xludf.DUMMYFUNCTION("""COMPUTED_VALUE"""),"Sunny Kids LION Toothbrush INNER PKT")</f>
        <v>Sunny Kids LION Toothbrush INNER PKT</v>
      </c>
      <c r="B489" s="90" t="str">
        <f ca="1">IFERROR(__xludf.DUMMYFUNCTION("""COMPUTED_VALUE"""),"RFL Stationery")</f>
        <v>RFL Stationery</v>
      </c>
      <c r="C489" s="91" t="str">
        <f ca="1">IFERROR(__xludf.DUMMYFUNCTION("""COMPUTED_VALUE"""),"Nuzhat Apu")</f>
        <v>Nuzhat Apu</v>
      </c>
      <c r="D489" s="92" t="str">
        <f ca="1">IFERROR(__xludf.DUMMYFUNCTION("""COMPUTED_VALUE"""),"Faruk Hossain (521288)")</f>
        <v>Faruk Hossain (521288)</v>
      </c>
      <c r="E489" s="93" t="str">
        <f ca="1">IFERROR(__xludf.DUMMYFUNCTION("""COMPUTED_VALUE"""),"CB36928_Jun26")</f>
        <v>CB36928_Jun26</v>
      </c>
      <c r="F489" s="94" t="str">
        <f ca="1">IFERROR(__xludf.DUMMYFUNCTION("""COMPUTED_VALUE"""),"ATC Box Output")</f>
        <v>ATC Box Output</v>
      </c>
      <c r="G489" s="95" t="str">
        <f ca="1">IFERROR(__xludf.DUMMYFUNCTION("""COMPUTED_VALUE"""),"New")</f>
        <v>New</v>
      </c>
      <c r="H489" s="96">
        <f ca="1">IFERROR(__xludf.DUMMYFUNCTION("""COMPUTED_VALUE"""),1)</f>
        <v>1</v>
      </c>
      <c r="I489" s="97">
        <f ca="1">IFERROR(__xludf.DUMMYFUNCTION("""COMPUTED_VALUE"""),46194)</f>
        <v>46194</v>
      </c>
      <c r="J489" s="98" t="str">
        <f ca="1">IFERROR(__xludf.DUMMYFUNCTION("""COMPUTED_VALUE"""),"CW37493_Jun26")</f>
        <v>CW37493_Jun26</v>
      </c>
      <c r="K489" s="99" t="str">
        <f ca="1">IFERROR(__xludf.DUMMYFUNCTION("""COMPUTED_VALUE"""),"HoM Approved")</f>
        <v>HoM Approved</v>
      </c>
    </row>
    <row r="490" spans="1:11" ht="13.2">
      <c r="A490" s="89" t="str">
        <f ca="1">IFERROR(__xludf.DUMMYFUNCTION("""COMPUTED_VALUE"""),"Pran Vorta 200g For USA")</f>
        <v>Pran Vorta 200g For USA</v>
      </c>
      <c r="B490" s="90" t="str">
        <f ca="1">IFERROR(__xludf.DUMMYFUNCTION("""COMPUTED_VALUE"""),"PFF")</f>
        <v>PFF</v>
      </c>
      <c r="C490" s="91" t="str">
        <f ca="1">IFERROR(__xludf.DUMMYFUNCTION("""COMPUTED_VALUE"""),"Zahirul Vai")</f>
        <v>Zahirul Vai</v>
      </c>
      <c r="D490" s="92" t="str">
        <f ca="1">IFERROR(__xludf.DUMMYFUNCTION("""COMPUTED_VALUE"""),"Faruk Hossain (521288)")</f>
        <v>Faruk Hossain (521288)</v>
      </c>
      <c r="E490" s="93" t="str">
        <f ca="1">IFERROR(__xludf.DUMMYFUNCTION("""COMPUTED_VALUE"""),"CB22767_Apr26")</f>
        <v>CB22767_Apr26</v>
      </c>
      <c r="F490" s="94" t="str">
        <f ca="1">IFERROR(__xludf.DUMMYFUNCTION("""COMPUTED_VALUE"""),"ATC Box Output")</f>
        <v>ATC Box Output</v>
      </c>
      <c r="G490" s="95" t="str">
        <f ca="1">IFERROR(__xludf.DUMMYFUNCTION("""COMPUTED_VALUE"""),"New")</f>
        <v>New</v>
      </c>
      <c r="H490" s="96">
        <f ca="1">IFERROR(__xludf.DUMMYFUNCTION("""COMPUTED_VALUE"""),6)</f>
        <v>6</v>
      </c>
      <c r="I490" s="97">
        <f ca="1">IFERROR(__xludf.DUMMYFUNCTION("""COMPUTED_VALUE"""),46196)</f>
        <v>46196</v>
      </c>
      <c r="J490" s="98" t="str">
        <f ca="1">IFERROR(__xludf.DUMMYFUNCTION("""COMPUTED_VALUE"""),"CW37651_Jun26")</f>
        <v>CW37651_Jun26</v>
      </c>
      <c r="K490" s="99" t="str">
        <f ca="1">IFERROR(__xludf.DUMMYFUNCTION("""COMPUTED_VALUE"""),"Brief Submitted")</f>
        <v>Brief Submitted</v>
      </c>
    </row>
    <row r="491" spans="1:11" ht="13.2">
      <c r="A491" s="89" t="str">
        <f ca="1">IFERROR(__xludf.DUMMYFUNCTION("""COMPUTED_VALUE"""),"Packaging Needed- hair brush-Square")</f>
        <v>Packaging Needed- hair brush-Square</v>
      </c>
      <c r="B491" s="90" t="str">
        <f ca="1">IFERROR(__xludf.DUMMYFUNCTION("""COMPUTED_VALUE"""),"RFL Stationery")</f>
        <v>RFL Stationery</v>
      </c>
      <c r="C491" s="91" t="str">
        <f ca="1">IFERROR(__xludf.DUMMYFUNCTION("""COMPUTED_VALUE"""),"Haimonti apu_RFL")</f>
        <v>Haimonti apu_RFL</v>
      </c>
      <c r="D491" s="92" t="str">
        <f ca="1">IFERROR(__xludf.DUMMYFUNCTION("""COMPUTED_VALUE"""),"Faruk Hossain (521288)")</f>
        <v>Faruk Hossain (521288)</v>
      </c>
      <c r="E491" s="93" t="str">
        <f ca="1">IFERROR(__xludf.DUMMYFUNCTION("""COMPUTED_VALUE"""),"CB36951_Jun26")</f>
        <v>CB36951_Jun26</v>
      </c>
      <c r="F491" s="94" t="str">
        <f ca="1">IFERROR(__xludf.DUMMYFUNCTION("""COMPUTED_VALUE"""),"ATC Box Output")</f>
        <v>ATC Box Output</v>
      </c>
      <c r="G491" s="95" t="str">
        <f ca="1">IFERROR(__xludf.DUMMYFUNCTION("""COMPUTED_VALUE"""),"New")</f>
        <v>New</v>
      </c>
      <c r="H491" s="96">
        <f ca="1">IFERROR(__xludf.DUMMYFUNCTION("""COMPUTED_VALUE"""),5)</f>
        <v>5</v>
      </c>
      <c r="I491" s="97">
        <f ca="1">IFERROR(__xludf.DUMMYFUNCTION("""COMPUTED_VALUE"""),46198)</f>
        <v>46198</v>
      </c>
      <c r="J491" s="98" t="str">
        <f ca="1">IFERROR(__xludf.DUMMYFUNCTION("""COMPUTED_VALUE"""),"CW37912_Jun26")</f>
        <v>CW37912_Jun26</v>
      </c>
      <c r="K491" s="99" t="str">
        <f ca="1">IFERROR(__xludf.DUMMYFUNCTION("""COMPUTED_VALUE"""),"HoM Approved")</f>
        <v>HoM Approved</v>
      </c>
    </row>
    <row r="492" spans="1:11" ht="13.2">
      <c r="A492" s="89" t="str">
        <f ca="1">IFERROR(__xludf.DUMMYFUNCTION("""COMPUTED_VALUE"""),"Hair brush packaging- Cushion ")</f>
        <v xml:space="preserve">Hair brush packaging- Cushion </v>
      </c>
      <c r="B492" s="90" t="str">
        <f ca="1">IFERROR(__xludf.DUMMYFUNCTION("""COMPUTED_VALUE"""),"RFL Stationery")</f>
        <v>RFL Stationery</v>
      </c>
      <c r="C492" s="91" t="str">
        <f ca="1">IFERROR(__xludf.DUMMYFUNCTION("""COMPUTED_VALUE"""),"Haimonti apu_RFL")</f>
        <v>Haimonti apu_RFL</v>
      </c>
      <c r="D492" s="92" t="str">
        <f ca="1">IFERROR(__xludf.DUMMYFUNCTION("""COMPUTED_VALUE"""),"Faruk Hossain (521288)")</f>
        <v>Faruk Hossain (521288)</v>
      </c>
      <c r="E492" s="93" t="str">
        <f ca="1">IFERROR(__xludf.DUMMYFUNCTION("""COMPUTED_VALUE"""),"CB37070_Jun26")</f>
        <v>CB37070_Jun26</v>
      </c>
      <c r="F492" s="94" t="str">
        <f ca="1">IFERROR(__xludf.DUMMYFUNCTION("""COMPUTED_VALUE"""),"ATC Box Output")</f>
        <v>ATC Box Output</v>
      </c>
      <c r="G492" s="95" t="str">
        <f ca="1">IFERROR(__xludf.DUMMYFUNCTION("""COMPUTED_VALUE"""),"New")</f>
        <v>New</v>
      </c>
      <c r="H492" s="96">
        <f ca="1">IFERROR(__xludf.DUMMYFUNCTION("""COMPUTED_VALUE"""),4)</f>
        <v>4</v>
      </c>
      <c r="I492" s="97">
        <f ca="1">IFERROR(__xludf.DUMMYFUNCTION("""COMPUTED_VALUE"""),46201)</f>
        <v>46201</v>
      </c>
      <c r="J492" s="98" t="str">
        <f ca="1">IFERROR(__xludf.DUMMYFUNCTION("""COMPUTED_VALUE"""),"CW38134_Jun26")</f>
        <v>CW38134_Jun26</v>
      </c>
      <c r="K492" s="99" t="str">
        <f ca="1">IFERROR(__xludf.DUMMYFUNCTION("""COMPUTED_VALUE"""),"HoM Approved")</f>
        <v>HoM Approved</v>
      </c>
    </row>
    <row r="493" spans="1:11" ht="13.2">
      <c r="A493" s="89" t="str">
        <f ca="1">IFERROR(__xludf.DUMMYFUNCTION("""COMPUTED_VALUE"""),"Soft bite packaging ")</f>
        <v xml:space="preserve">Soft bite packaging </v>
      </c>
      <c r="B493" s="90" t="str">
        <f ca="1">IFERROR(__xludf.DUMMYFUNCTION("""COMPUTED_VALUE"""),"PCL")</f>
        <v>PCL</v>
      </c>
      <c r="C493" s="91" t="str">
        <f ca="1">IFERROR(__xludf.DUMMYFUNCTION("""COMPUTED_VALUE"""),"Sohel Vai")</f>
        <v>Sohel Vai</v>
      </c>
      <c r="D493" s="92" t="str">
        <f ca="1">IFERROR(__xludf.DUMMYFUNCTION("""COMPUTED_VALUE"""),"Faruk Hossain (521288)")</f>
        <v>Faruk Hossain (521288)</v>
      </c>
      <c r="E493" s="93" t="str">
        <f ca="1">IFERROR(__xludf.DUMMYFUNCTION("""COMPUTED_VALUE"""),"CB36732_Jun26")</f>
        <v>CB36732_Jun26</v>
      </c>
      <c r="F493" s="94" t="str">
        <f ca="1">IFERROR(__xludf.DUMMYFUNCTION("""COMPUTED_VALUE"""),"ATC Box Output")</f>
        <v>ATC Box Output</v>
      </c>
      <c r="G493" s="95" t="str">
        <f ca="1">IFERROR(__xludf.DUMMYFUNCTION("""COMPUTED_VALUE"""),"New")</f>
        <v>New</v>
      </c>
      <c r="H493" s="96">
        <f ca="1">IFERROR(__xludf.DUMMYFUNCTION("""COMPUTED_VALUE"""),4)</f>
        <v>4</v>
      </c>
      <c r="I493" s="97">
        <f ca="1">IFERROR(__xludf.DUMMYFUNCTION("""COMPUTED_VALUE"""),46198)</f>
        <v>46198</v>
      </c>
      <c r="J493" s="98" t="str">
        <f ca="1">IFERROR(__xludf.DUMMYFUNCTION("""COMPUTED_VALUE"""),"CW37948_Jun26")</f>
        <v>CW37948_Jun26</v>
      </c>
      <c r="K493" s="99" t="str">
        <f ca="1">IFERROR(__xludf.DUMMYFUNCTION("""COMPUTED_VALUE"""),"HoM Approved")</f>
        <v>HoM Approved</v>
      </c>
    </row>
    <row r="494" spans="1:11" ht="13.2">
      <c r="A494" s="89" t="str">
        <f ca="1">IFERROR(__xludf.DUMMYFUNCTION("""COMPUTED_VALUE"""),"Treat Cappuchino Candy for Vietnam Market")</f>
        <v>Treat Cappuchino Candy for Vietnam Market</v>
      </c>
      <c r="B494" s="90" t="str">
        <f ca="1">IFERROR(__xludf.DUMMYFUNCTION("""COMPUTED_VALUE"""),"PCL")</f>
        <v>PCL</v>
      </c>
      <c r="C494" s="91" t="str">
        <f ca="1">IFERROR(__xludf.DUMMYFUNCTION("""COMPUTED_VALUE"""),"Mona Apu")</f>
        <v>Mona Apu</v>
      </c>
      <c r="D494" s="92" t="str">
        <f ca="1">IFERROR(__xludf.DUMMYFUNCTION("""COMPUTED_VALUE"""),"Faruk Hossain (521288)")</f>
        <v>Faruk Hossain (521288)</v>
      </c>
      <c r="E494" s="93" t="str">
        <f ca="1">IFERROR(__xludf.DUMMYFUNCTION("""COMPUTED_VALUE"""),"CB13634_Dec25")</f>
        <v>CB13634_Dec25</v>
      </c>
      <c r="F494" s="94" t="str">
        <f ca="1">IFERROR(__xludf.DUMMYFUNCTION("""COMPUTED_VALUE"""),"Gravure Output #2")</f>
        <v>Gravure Output #2</v>
      </c>
      <c r="G494" s="95" t="str">
        <f ca="1">IFERROR(__xludf.DUMMYFUNCTION("""COMPUTED_VALUE"""),"New")</f>
        <v>New</v>
      </c>
      <c r="H494" s="96">
        <f ca="1">IFERROR(__xludf.DUMMYFUNCTION("""COMPUTED_VALUE"""),2)</f>
        <v>2</v>
      </c>
      <c r="I494" s="97">
        <f ca="1">IFERROR(__xludf.DUMMYFUNCTION("""COMPUTED_VALUE"""),46200)</f>
        <v>46200</v>
      </c>
      <c r="J494" s="98" t="str">
        <f ca="1">IFERROR(__xludf.DUMMYFUNCTION("""COMPUTED_VALUE"""),"CW37983_Jun26")</f>
        <v>CW37983_Jun26</v>
      </c>
      <c r="K494" s="99" t="str">
        <f ca="1">IFERROR(__xludf.DUMMYFUNCTION("""COMPUTED_VALUE"""),"Brief Submitted")</f>
        <v>Brief Submitted</v>
      </c>
    </row>
    <row r="495" spans="1:11" ht="13.2">
      <c r="A495" s="89" t="str">
        <f ca="1">IFERROR(__xludf.DUMMYFUNCTION("""COMPUTED_VALUE"""),"Mad Max Nachos 30g")</f>
        <v>Mad Max Nachos 30g</v>
      </c>
      <c r="B495" s="90" t="str">
        <f ca="1">IFERROR(__xludf.DUMMYFUNCTION("""COMPUTED_VALUE"""),"PFL")</f>
        <v>PFL</v>
      </c>
      <c r="C495" s="91" t="str">
        <f ca="1">IFERROR(__xludf.DUMMYFUNCTION("""COMPUTED_VALUE"""),"Rafi Vaiya")</f>
        <v>Rafi Vaiya</v>
      </c>
      <c r="D495" s="92" t="str">
        <f ca="1">IFERROR(__xludf.DUMMYFUNCTION("""COMPUTED_VALUE"""),"Faruk Hossain (521288)")</f>
        <v>Faruk Hossain (521288)</v>
      </c>
      <c r="E495" s="93" t="str">
        <f ca="1">IFERROR(__xludf.DUMMYFUNCTION("""COMPUTED_VALUE"""),"CB37589_Jun26")</f>
        <v>CB37589_Jun26</v>
      </c>
      <c r="F495" s="94" t="str">
        <f ca="1">IFERROR(__xludf.DUMMYFUNCTION("""COMPUTED_VALUE"""),"Gravure Output #2")</f>
        <v>Gravure Output #2</v>
      </c>
      <c r="G495" s="95" t="str">
        <f ca="1">IFERROR(__xludf.DUMMYFUNCTION("""COMPUTED_VALUE"""),"New")</f>
        <v>New</v>
      </c>
      <c r="H495" s="96">
        <f ca="1">IFERROR(__xludf.DUMMYFUNCTION("""COMPUTED_VALUE"""),3)</f>
        <v>3</v>
      </c>
      <c r="I495" s="97">
        <f ca="1">IFERROR(__xludf.DUMMYFUNCTION("""COMPUTED_VALUE"""),46201)</f>
        <v>46201</v>
      </c>
      <c r="J495" s="98" t="str">
        <f ca="1">IFERROR(__xludf.DUMMYFUNCTION("""COMPUTED_VALUE"""),"CW38186_Jun26")</f>
        <v>CW38186_Jun26</v>
      </c>
      <c r="K495" s="99" t="str">
        <f ca="1">IFERROR(__xludf.DUMMYFUNCTION("""COMPUTED_VALUE"""),"HoM Approved")</f>
        <v>HoM Approved</v>
      </c>
    </row>
    <row r="496" spans="1:11" ht="13.2">
      <c r="A496" s="89" t="str">
        <f ca="1">IFERROR(__xludf.DUMMYFUNCTION("""COMPUTED_VALUE"""),"Cheer Up label design with new mnemonic")</f>
        <v>Cheer Up label design with new mnemonic</v>
      </c>
      <c r="B496" s="90" t="str">
        <f ca="1">IFERROR(__xludf.DUMMYFUNCTION("""COMPUTED_VALUE"""),"AMCL")</f>
        <v>AMCL</v>
      </c>
      <c r="C496" s="91" t="str">
        <f ca="1">IFERROR(__xludf.DUMMYFUNCTION("""COMPUTED_VALUE"""),"Sharif_PRAN Brand")</f>
        <v>Sharif_PRAN Brand</v>
      </c>
      <c r="D496" s="92" t="str">
        <f ca="1">IFERROR(__xludf.DUMMYFUNCTION("""COMPUTED_VALUE"""),"Faruk Hossain (521288)")</f>
        <v>Faruk Hossain (521288)</v>
      </c>
      <c r="E496" s="93" t="str">
        <f ca="1">IFERROR(__xludf.DUMMYFUNCTION("""COMPUTED_VALUE"""),"CB36502_Jun26")</f>
        <v>CB36502_Jun26</v>
      </c>
      <c r="F496" s="94" t="str">
        <f ca="1">IFERROR(__xludf.DUMMYFUNCTION("""COMPUTED_VALUE"""),"Gravure Output #1")</f>
        <v>Gravure Output #1</v>
      </c>
      <c r="G496" s="95" t="str">
        <f ca="1">IFERROR(__xludf.DUMMYFUNCTION("""COMPUTED_VALUE"""),"New")</f>
        <v>New</v>
      </c>
      <c r="H496" s="96">
        <f ca="1">IFERROR(__xludf.DUMMYFUNCTION("""COMPUTED_VALUE"""),4)</f>
        <v>4</v>
      </c>
      <c r="I496" s="97">
        <f ca="1">IFERROR(__xludf.DUMMYFUNCTION("""COMPUTED_VALUE"""),46202)</f>
        <v>46202</v>
      </c>
      <c r="J496" s="98" t="str">
        <f ca="1">IFERROR(__xludf.DUMMYFUNCTION("""COMPUTED_VALUE"""),"CW38405_Jun26")</f>
        <v>CW38405_Jun26</v>
      </c>
      <c r="K496" s="99" t="str">
        <f ca="1">IFERROR(__xludf.DUMMYFUNCTION("""COMPUTED_VALUE"""),"HoM Approved")</f>
        <v>HoM Approved</v>
      </c>
    </row>
    <row r="497" spans="1:11" ht="13.2">
      <c r="A497" s="89" t="str">
        <f ca="1">IFERROR(__xludf.DUMMYFUNCTION("""COMPUTED_VALUE"""),"Jhotpot frozen Foods")</f>
        <v>Jhotpot frozen Foods</v>
      </c>
      <c r="B497" s="90" t="str">
        <f ca="1">IFERROR(__xludf.DUMMYFUNCTION("""COMPUTED_VALUE"""),"PFF")</f>
        <v>PFF</v>
      </c>
      <c r="C497" s="91" t="str">
        <f ca="1">IFERROR(__xludf.DUMMYFUNCTION("""COMPUTED_VALUE"""),"Rakib Vai")</f>
        <v>Rakib Vai</v>
      </c>
      <c r="D497" s="92" t="str">
        <f ca="1">IFERROR(__xludf.DUMMYFUNCTION("""COMPUTED_VALUE"""),"Faruk Hossain (521288)")</f>
        <v>Faruk Hossain (521288)</v>
      </c>
      <c r="E497" s="93" t="str">
        <f ca="1">IFERROR(__xludf.DUMMYFUNCTION("""COMPUTED_VALUE"""),"CB37449_Jun26")</f>
        <v>CB37449_Jun26</v>
      </c>
      <c r="F497" s="94" t="str">
        <f ca="1">IFERROR(__xludf.DUMMYFUNCTION("""COMPUTED_VALUE"""),"ATC Box Output")</f>
        <v>ATC Box Output</v>
      </c>
      <c r="G497" s="95" t="str">
        <f ca="1">IFERROR(__xludf.DUMMYFUNCTION("""COMPUTED_VALUE"""),"New")</f>
        <v>New</v>
      </c>
      <c r="H497" s="96">
        <f ca="1">IFERROR(__xludf.DUMMYFUNCTION("""COMPUTED_VALUE"""),3)</f>
        <v>3</v>
      </c>
      <c r="I497" s="97">
        <f ca="1">IFERROR(__xludf.DUMMYFUNCTION("""COMPUTED_VALUE"""),46203)</f>
        <v>46203</v>
      </c>
      <c r="J497" s="98" t="str">
        <f ca="1">IFERROR(__xludf.DUMMYFUNCTION("""COMPUTED_VALUE"""),"CW38596_Jun26")</f>
        <v>CW38596_Jun26</v>
      </c>
      <c r="K497" s="99" t="str">
        <f ca="1">IFERROR(__xludf.DUMMYFUNCTION("""COMPUTED_VALUE"""),"Brief Submitted")</f>
        <v>Brief Submitted</v>
      </c>
    </row>
    <row r="498" spans="1:11" ht="13.2">
      <c r="A498" s="89" t="str">
        <f ca="1">IFERROR(__xludf.DUMMYFUNCTION("""COMPUTED_VALUE"""),"Need New design For Kidstar baby soap")</f>
        <v>Need New design For Kidstar baby soap</v>
      </c>
      <c r="B498" s="90" t="str">
        <f ca="1">IFERROR(__xludf.DUMMYFUNCTION("""COMPUTED_VALUE"""),"APCL")</f>
        <v>APCL</v>
      </c>
      <c r="C498" s="91" t="str">
        <f ca="1">IFERROR(__xludf.DUMMYFUNCTION("""COMPUTED_VALUE"""),"Reza_PRAN Brand")</f>
        <v>Reza_PRAN Brand</v>
      </c>
      <c r="D498" s="92" t="str">
        <f ca="1">IFERROR(__xludf.DUMMYFUNCTION("""COMPUTED_VALUE"""),"Faruk Hossain (521288)")</f>
        <v>Faruk Hossain (521288)</v>
      </c>
      <c r="E498" s="93" t="str">
        <f ca="1">IFERROR(__xludf.DUMMYFUNCTION("""COMPUTED_VALUE"""),"CB20450_Mar26")</f>
        <v>CB20450_Mar26</v>
      </c>
      <c r="F498" s="94" t="str">
        <f ca="1">IFERROR(__xludf.DUMMYFUNCTION("""COMPUTED_VALUE"""),"ATC Box Output")</f>
        <v>ATC Box Output</v>
      </c>
      <c r="G498" s="95" t="str">
        <f ca="1">IFERROR(__xludf.DUMMYFUNCTION("""COMPUTED_VALUE"""),"New")</f>
        <v>New</v>
      </c>
      <c r="H498" s="96">
        <f ca="1">IFERROR(__xludf.DUMMYFUNCTION("""COMPUTED_VALUE"""),2)</f>
        <v>2</v>
      </c>
      <c r="I498" s="97">
        <f ca="1">IFERROR(__xludf.DUMMYFUNCTION("""COMPUTED_VALUE"""),46203)</f>
        <v>46203</v>
      </c>
      <c r="J498" s="98" t="str">
        <f ca="1">IFERROR(__xludf.DUMMYFUNCTION("""COMPUTED_VALUE"""),"CW38665_Jun26")</f>
        <v>CW38665_Jun26</v>
      </c>
      <c r="K498" s="99" t="str">
        <f ca="1">IFERROR(__xludf.DUMMYFUNCTION("""COMPUTED_VALUE"""),"HoM Approved")</f>
        <v>HoM Approved</v>
      </c>
    </row>
    <row r="499" spans="1:11" ht="13.2">
      <c r="A499" s="89" t="str">
        <f ca="1">IFERROR(__xludf.DUMMYFUNCTION("""COMPUTED_VALUE"""),"Australia frozen label update (Pran Brand)")</f>
        <v>Australia frozen label update (Pran Brand)</v>
      </c>
      <c r="B499" s="90" t="str">
        <f ca="1">IFERROR(__xludf.DUMMYFUNCTION("""COMPUTED_VALUE"""),"PFF")</f>
        <v>PFF</v>
      </c>
      <c r="C499" s="91" t="str">
        <f ca="1">IFERROR(__xludf.DUMMYFUNCTION("""COMPUTED_VALUE"""),"Rakib Vai")</f>
        <v>Rakib Vai</v>
      </c>
      <c r="D499" s="92" t="str">
        <f ca="1">IFERROR(__xludf.DUMMYFUNCTION("""COMPUTED_VALUE"""),"Faruk Hossain (521288)")</f>
        <v>Faruk Hossain (521288)</v>
      </c>
      <c r="E499" s="93" t="str">
        <f ca="1">IFERROR(__xludf.DUMMYFUNCTION("""COMPUTED_VALUE"""),"CB37448_Jun26")</f>
        <v>CB37448_Jun26</v>
      </c>
      <c r="F499" s="94" t="str">
        <f ca="1">IFERROR(__xludf.DUMMYFUNCTION("""COMPUTED_VALUE"""),"ATC Box Output")</f>
        <v>ATC Box Output</v>
      </c>
      <c r="G499" s="95" t="str">
        <f ca="1">IFERROR(__xludf.DUMMYFUNCTION("""COMPUTED_VALUE"""),"New")</f>
        <v>New</v>
      </c>
      <c r="H499" s="96">
        <f ca="1">IFERROR(__xludf.DUMMYFUNCTION("""COMPUTED_VALUE"""),9)</f>
        <v>9</v>
      </c>
      <c r="I499" s="97">
        <f ca="1">IFERROR(__xludf.DUMMYFUNCTION("""COMPUTED_VALUE"""),46205)</f>
        <v>46205</v>
      </c>
      <c r="J499" s="98" t="str">
        <f ca="1">IFERROR(__xludf.DUMMYFUNCTION("""COMPUTED_VALUE"""),"CW39054_Jul26")</f>
        <v>CW39054_Jul26</v>
      </c>
      <c r="K499" s="99" t="str">
        <f ca="1">IFERROR(__xludf.DUMMYFUNCTION("""COMPUTED_VALUE"""),"Brief Submitted")</f>
        <v>Brief Submitted</v>
      </c>
    </row>
    <row r="500" spans="1:11" ht="13.2">
      <c r="A500" s="89" t="str">
        <f ca="1">IFERROR(__xludf.DUMMYFUNCTION("""COMPUTED_VALUE"""),"Tasty Treat 4 types of Cookies New ATC Pack Design")</f>
        <v>Tasty Treat 4 types of Cookies New ATC Pack Design</v>
      </c>
      <c r="B500" s="90" t="str">
        <f ca="1">IFERROR(__xludf.DUMMYFUNCTION("""COMPUTED_VALUE"""),"Tasty Treat")</f>
        <v>Tasty Treat</v>
      </c>
      <c r="C500" s="91" t="str">
        <f ca="1">IFERROR(__xludf.DUMMYFUNCTION("""COMPUTED_VALUE"""),"Shubhankar Bhai")</f>
        <v>Shubhankar Bhai</v>
      </c>
      <c r="D500" s="92" t="str">
        <f ca="1">IFERROR(__xludf.DUMMYFUNCTION("""COMPUTED_VALUE"""),"Faruk Hossain (521288)")</f>
        <v>Faruk Hossain (521288)</v>
      </c>
      <c r="E500" s="93" t="str">
        <f ca="1">IFERROR(__xludf.DUMMYFUNCTION("""COMPUTED_VALUE"""),"CB22566_Apr26")</f>
        <v>CB22566_Apr26</v>
      </c>
      <c r="F500" s="94" t="str">
        <f ca="1">IFERROR(__xludf.DUMMYFUNCTION("""COMPUTED_VALUE"""),"ATC Box Output")</f>
        <v>ATC Box Output</v>
      </c>
      <c r="G500" s="95" t="str">
        <f ca="1">IFERROR(__xludf.DUMMYFUNCTION("""COMPUTED_VALUE"""),"New")</f>
        <v>New</v>
      </c>
      <c r="H500" s="96">
        <f ca="1">IFERROR(__xludf.DUMMYFUNCTION("""COMPUTED_VALUE"""),4)</f>
        <v>4</v>
      </c>
      <c r="I500" s="97">
        <f ca="1">IFERROR(__xludf.DUMMYFUNCTION("""COMPUTED_VALUE"""),46207)</f>
        <v>46207</v>
      </c>
      <c r="J500" s="98" t="str">
        <f ca="1">IFERROR(__xludf.DUMMYFUNCTION("""COMPUTED_VALUE"""),"CW39305_Jul26")</f>
        <v>CW39305_Jul26</v>
      </c>
      <c r="K500" s="99" t="str">
        <f ca="1">IFERROR(__xludf.DUMMYFUNCTION("""COMPUTED_VALUE"""),"HoM Approved")</f>
        <v>HoM Approved</v>
      </c>
    </row>
    <row r="501" spans="1:11" ht="13.2">
      <c r="A501" s="89" t="str">
        <f ca="1">IFERROR(__xludf.DUMMYFUNCTION("""COMPUTED_VALUE"""),"Kheersha Doi")</f>
        <v>Kheersha Doi</v>
      </c>
      <c r="B501" s="90" t="str">
        <f ca="1">IFERROR(__xludf.DUMMYFUNCTION("""COMPUTED_VALUE"""),"PFF")</f>
        <v>PFF</v>
      </c>
      <c r="C501" s="91" t="str">
        <f ca="1">IFERROR(__xludf.DUMMYFUNCTION("""COMPUTED_VALUE"""),"Zahirul Vai")</f>
        <v>Zahirul Vai</v>
      </c>
      <c r="D501" s="92" t="str">
        <f ca="1">IFERROR(__xludf.DUMMYFUNCTION("""COMPUTED_VALUE"""),"Faruk Hossain (521288)")</f>
        <v>Faruk Hossain (521288)</v>
      </c>
      <c r="E501" s="93" t="str">
        <f ca="1">IFERROR(__xludf.DUMMYFUNCTION("""COMPUTED_VALUE"""),"CB38609_Jul26")</f>
        <v>CB38609_Jul26</v>
      </c>
      <c r="F501" s="94" t="str">
        <f ca="1">IFERROR(__xludf.DUMMYFUNCTION("""COMPUTED_VALUE"""),"ATC Box Output")</f>
        <v>ATC Box Output</v>
      </c>
      <c r="G501" s="95" t="str">
        <f ca="1">IFERROR(__xludf.DUMMYFUNCTION("""COMPUTED_VALUE"""),"New")</f>
        <v>New</v>
      </c>
      <c r="H501" s="96">
        <f ca="1">IFERROR(__xludf.DUMMYFUNCTION("""COMPUTED_VALUE"""),1)</f>
        <v>1</v>
      </c>
      <c r="I501" s="97">
        <f ca="1">IFERROR(__xludf.DUMMYFUNCTION("""COMPUTED_VALUE"""),46207)</f>
        <v>46207</v>
      </c>
      <c r="J501" s="98" t="str">
        <f ca="1">IFERROR(__xludf.DUMMYFUNCTION("""COMPUTED_VALUE"""),"CW39317_Jul26")</f>
        <v>CW39317_Jul26</v>
      </c>
      <c r="K501" s="99" t="str">
        <f ca="1">IFERROR(__xludf.DUMMYFUNCTION("""COMPUTED_VALUE"""),"Brief Submitted")</f>
        <v>Brief Submitted</v>
      </c>
    </row>
    <row r="502" spans="1:11" ht="13.2">
      <c r="A502" s="89" t="str">
        <f ca="1">IFERROR(__xludf.DUMMYFUNCTION("""COMPUTED_VALUE"""),"Mama Crunchy Wafer 120g x 6pcs ATC Box")</f>
        <v>Mama Crunchy Wafer 120g x 6pcs ATC Box</v>
      </c>
      <c r="B502" s="90" t="str">
        <f ca="1">IFERROR(__xludf.DUMMYFUNCTION("""COMPUTED_VALUE"""),"BBL")</f>
        <v>BBL</v>
      </c>
      <c r="C502" s="91" t="str">
        <f ca="1">IFERROR(__xludf.DUMMYFUNCTION("""COMPUTED_VALUE"""),"Rakib Vai")</f>
        <v>Rakib Vai</v>
      </c>
      <c r="D502" s="92" t="str">
        <f ca="1">IFERROR(__xludf.DUMMYFUNCTION("""COMPUTED_VALUE"""),"Faruk Hossain (521288)")</f>
        <v>Faruk Hossain (521288)</v>
      </c>
      <c r="E502" s="93" t="str">
        <f ca="1">IFERROR(__xludf.DUMMYFUNCTION("""COMPUTED_VALUE"""),"CB38680_Jul26")</f>
        <v>CB38680_Jul26</v>
      </c>
      <c r="F502" s="94" t="str">
        <f ca="1">IFERROR(__xludf.DUMMYFUNCTION("""COMPUTED_VALUE"""),"ATC Box Output")</f>
        <v>ATC Box Output</v>
      </c>
      <c r="G502" s="95" t="str">
        <f ca="1">IFERROR(__xludf.DUMMYFUNCTION("""COMPUTED_VALUE"""),"New")</f>
        <v>New</v>
      </c>
      <c r="H502" s="96">
        <f ca="1">IFERROR(__xludf.DUMMYFUNCTION("""COMPUTED_VALUE"""),6)</f>
        <v>6</v>
      </c>
      <c r="I502" s="97">
        <f ca="1">IFERROR(__xludf.DUMMYFUNCTION("""COMPUTED_VALUE"""),46208)</f>
        <v>46208</v>
      </c>
      <c r="J502" s="98" t="str">
        <f ca="1">IFERROR(__xludf.DUMMYFUNCTION("""COMPUTED_VALUE"""),"CW39465_Jul26")</f>
        <v>CW39465_Jul26</v>
      </c>
      <c r="K502" s="99" t="str">
        <f ca="1">IFERROR(__xludf.DUMMYFUNCTION("""COMPUTED_VALUE"""),"Brief Submitted")</f>
        <v>Brief Submitted</v>
      </c>
    </row>
    <row r="503" spans="1:11" ht="13.2">
      <c r="A503" s="89" t="str">
        <f ca="1">IFERROR(__xludf.DUMMYFUNCTION("""COMPUTED_VALUE"""),"Need Printing Description output file for sticker ")</f>
        <v xml:space="preserve">Need Printing Description output file for sticker </v>
      </c>
      <c r="B503" s="90" t="str">
        <f ca="1">IFERROR(__xludf.DUMMYFUNCTION("""COMPUTED_VALUE"""),"UAE")</f>
        <v>UAE</v>
      </c>
      <c r="C503" s="91" t="str">
        <f ca="1">IFERROR(__xludf.DUMMYFUNCTION("""COMPUTED_VALUE"""),"Yeasin Vai")</f>
        <v>Yeasin Vai</v>
      </c>
      <c r="D503" s="92" t="str">
        <f ca="1">IFERROR(__xludf.DUMMYFUNCTION("""COMPUTED_VALUE"""),"Faruk Hossain (521288)")</f>
        <v>Faruk Hossain (521288)</v>
      </c>
      <c r="E503" s="93" t="str">
        <f ca="1">IFERROR(__xludf.DUMMYFUNCTION("""COMPUTED_VALUE"""),"CB38786_Jul26")</f>
        <v>CB38786_Jul26</v>
      </c>
      <c r="F503" s="94" t="str">
        <f ca="1">IFERROR(__xludf.DUMMYFUNCTION("""COMPUTED_VALUE"""),"Leaflet/Poster Output")</f>
        <v>Leaflet/Poster Output</v>
      </c>
      <c r="G503" s="95" t="str">
        <f ca="1">IFERROR(__xludf.DUMMYFUNCTION("""COMPUTED_VALUE"""),"New")</f>
        <v>New</v>
      </c>
      <c r="H503" s="96">
        <f ca="1">IFERROR(__xludf.DUMMYFUNCTION("""COMPUTED_VALUE"""),1)</f>
        <v>1</v>
      </c>
      <c r="I503" s="97">
        <f ca="1">IFERROR(__xludf.DUMMYFUNCTION("""COMPUTED_VALUE"""),46209)</f>
        <v>46209</v>
      </c>
      <c r="J503" s="98" t="str">
        <f ca="1">IFERROR(__xludf.DUMMYFUNCTION("""COMPUTED_VALUE"""),"CW39545_Jul26")</f>
        <v>CW39545_Jul26</v>
      </c>
      <c r="K503" s="99" t="str">
        <f ca="1">IFERROR(__xludf.DUMMYFUNCTION("""COMPUTED_VALUE"""),"HoM Approved")</f>
        <v>HoM Approved</v>
      </c>
    </row>
    <row r="504" spans="1:11" ht="13.2">
      <c r="A504" s="89" t="str">
        <f ca="1">IFERROR(__xludf.DUMMYFUNCTION("""COMPUTED_VALUE"""),"Shelf Talker Design")</f>
        <v>Shelf Talker Design</v>
      </c>
      <c r="B504" s="90" t="str">
        <f ca="1">IFERROR(__xludf.DUMMYFUNCTION("""COMPUTED_VALUE"""),"MLIL")</f>
        <v>MLIL</v>
      </c>
      <c r="C504" s="91" t="str">
        <f ca="1">IFERROR(__xludf.DUMMYFUNCTION("""COMPUTED_VALUE"""),"Anika_RFL Brand")</f>
        <v>Anika_RFL Brand</v>
      </c>
      <c r="D504" s="92" t="str">
        <f ca="1">IFERROR(__xludf.DUMMYFUNCTION("""COMPUTED_VALUE"""),"Faruk Hossain (521288)")</f>
        <v>Faruk Hossain (521288)</v>
      </c>
      <c r="E504" s="93" t="str">
        <f ca="1">IFERROR(__xludf.DUMMYFUNCTION("""COMPUTED_VALUE"""),"CB37719_Jun26")</f>
        <v>CB37719_Jun26</v>
      </c>
      <c r="F504" s="94" t="str">
        <f ca="1">IFERROR(__xludf.DUMMYFUNCTION("""COMPUTED_VALUE"""),"Leaflet/Poster Output")</f>
        <v>Leaflet/Poster Output</v>
      </c>
      <c r="G504" s="95" t="str">
        <f ca="1">IFERROR(__xludf.DUMMYFUNCTION("""COMPUTED_VALUE"""),"New")</f>
        <v>New</v>
      </c>
      <c r="H504" s="96">
        <f ca="1">IFERROR(__xludf.DUMMYFUNCTION("""COMPUTED_VALUE"""),1)</f>
        <v>1</v>
      </c>
      <c r="I504" s="97">
        <f ca="1">IFERROR(__xludf.DUMMYFUNCTION("""COMPUTED_VALUE"""),46209)</f>
        <v>46209</v>
      </c>
      <c r="J504" s="98" t="str">
        <f ca="1">IFERROR(__xludf.DUMMYFUNCTION("""COMPUTED_VALUE"""),"CW39628_Jul26")</f>
        <v>CW39628_Jul26</v>
      </c>
      <c r="K504" s="99" t="str">
        <f ca="1">IFERROR(__xludf.DUMMYFUNCTION("""COMPUTED_VALUE"""),"HoM Approved")</f>
        <v>HoM Approved</v>
      </c>
    </row>
    <row r="505" spans="1:11" ht="13.2">
      <c r="A505" s="89" t="str">
        <f ca="1">IFERROR(__xludf.DUMMYFUNCTION("""COMPUTED_VALUE"""),"POSM for PRAN Soy Sauce")</f>
        <v>POSM for PRAN Soy Sauce</v>
      </c>
      <c r="B505" s="90" t="str">
        <f ca="1">IFERROR(__xludf.DUMMYFUNCTION("""COMPUTED_VALUE"""),"PAL")</f>
        <v>PAL</v>
      </c>
      <c r="C505" s="91" t="str">
        <f ca="1">IFERROR(__xludf.DUMMYFUNCTION("""COMPUTED_VALUE"""),"Sanjida Apu")</f>
        <v>Sanjida Apu</v>
      </c>
      <c r="D505" s="92" t="str">
        <f ca="1">IFERROR(__xludf.DUMMYFUNCTION("""COMPUTED_VALUE"""),"Faruk Hossain (521288)")</f>
        <v>Faruk Hossain (521288)</v>
      </c>
      <c r="E505" s="93" t="str">
        <f ca="1">IFERROR(__xludf.DUMMYFUNCTION("""COMPUTED_VALUE"""),"CB21031_Apr26")</f>
        <v>CB21031_Apr26</v>
      </c>
      <c r="F505" s="94" t="str">
        <f ca="1">IFERROR(__xludf.DUMMYFUNCTION("""COMPUTED_VALUE"""),"Leaflet/Poster Output")</f>
        <v>Leaflet/Poster Output</v>
      </c>
      <c r="G505" s="95" t="str">
        <f ca="1">IFERROR(__xludf.DUMMYFUNCTION("""COMPUTED_VALUE"""),"New")</f>
        <v>New</v>
      </c>
      <c r="H505" s="96">
        <f ca="1">IFERROR(__xludf.DUMMYFUNCTION("""COMPUTED_VALUE"""),1)</f>
        <v>1</v>
      </c>
      <c r="I505" s="97">
        <f ca="1">IFERROR(__xludf.DUMMYFUNCTION("""COMPUTED_VALUE"""),46209)</f>
        <v>46209</v>
      </c>
      <c r="J505" s="98" t="str">
        <f ca="1">IFERROR(__xludf.DUMMYFUNCTION("""COMPUTED_VALUE"""),"CW39644_Jul26")</f>
        <v>CW39644_Jul26</v>
      </c>
      <c r="K505" s="99" t="str">
        <f ca="1">IFERROR(__xludf.DUMMYFUNCTION("""COMPUTED_VALUE"""),"Brief Submitted")</f>
        <v>Brief Submitted</v>
      </c>
    </row>
    <row r="506" spans="1:11" ht="13.2">
      <c r="A506" s="89" t="str">
        <f ca="1">IFERROR(__xludf.DUMMYFUNCTION("""COMPUTED_VALUE"""),"Electronics Mela Leaflet Output")</f>
        <v>Electronics Mela Leaflet Output</v>
      </c>
      <c r="B506" s="90" t="str">
        <f ca="1">IFERROR(__xludf.DUMMYFUNCTION("""COMPUTED_VALUE"""),"RFL - Vision")</f>
        <v>RFL - Vision</v>
      </c>
      <c r="C506" s="91" t="str">
        <f ca="1">IFERROR(__xludf.DUMMYFUNCTION("""COMPUTED_VALUE"""),"Sourav_RFL Brand")</f>
        <v>Sourav_RFL Brand</v>
      </c>
      <c r="D506" s="92" t="str">
        <f ca="1">IFERROR(__xludf.DUMMYFUNCTION("""COMPUTED_VALUE"""),"Faruk Hossain (521288)")</f>
        <v>Faruk Hossain (521288)</v>
      </c>
      <c r="E506" s="93" t="str">
        <f ca="1">IFERROR(__xludf.DUMMYFUNCTION("""COMPUTED_VALUE"""),"CB38718_Jul26")</f>
        <v>CB38718_Jul26</v>
      </c>
      <c r="F506" s="94" t="str">
        <f ca="1">IFERROR(__xludf.DUMMYFUNCTION("""COMPUTED_VALUE"""),"Leaflet/Poster Output")</f>
        <v>Leaflet/Poster Output</v>
      </c>
      <c r="G506" s="95" t="str">
        <f ca="1">IFERROR(__xludf.DUMMYFUNCTION("""COMPUTED_VALUE"""),"New")</f>
        <v>New</v>
      </c>
      <c r="H506" s="96">
        <f ca="1">IFERROR(__xludf.DUMMYFUNCTION("""COMPUTED_VALUE"""),1)</f>
        <v>1</v>
      </c>
      <c r="I506" s="97">
        <f ca="1">IFERROR(__xludf.DUMMYFUNCTION("""COMPUTED_VALUE"""),46210)</f>
        <v>46210</v>
      </c>
      <c r="J506" s="98" t="str">
        <f ca="1">IFERROR(__xludf.DUMMYFUNCTION("""COMPUTED_VALUE"""),"CW39728_Jul26")</f>
        <v>CW39728_Jul26</v>
      </c>
      <c r="K506" s="99" t="str">
        <f ca="1">IFERROR(__xludf.DUMMYFUNCTION("""COMPUTED_VALUE"""),"BM Approved")</f>
        <v>BM Approved</v>
      </c>
    </row>
    <row r="507" spans="1:11" ht="13.2">
      <c r="A507" s="89" t="str">
        <f ca="1">IFERROR(__xludf.DUMMYFUNCTION("""COMPUTED_VALUE"""),"PDQ BOX design required for all Car Category  ")</f>
        <v xml:space="preserve">PDQ BOX design required for all Car Category  </v>
      </c>
      <c r="B507" s="90" t="str">
        <f ca="1">IFERROR(__xludf.DUMMYFUNCTION("""COMPUTED_VALUE"""),"BBMT")</f>
        <v>BBMT</v>
      </c>
      <c r="C507" s="91" t="str">
        <f ca="1">IFERROR(__xludf.DUMMYFUNCTION("""COMPUTED_VALUE"""),"Mifta Apu")</f>
        <v>Mifta Apu</v>
      </c>
      <c r="D507" s="92" t="str">
        <f ca="1">IFERROR(__xludf.DUMMYFUNCTION("""COMPUTED_VALUE"""),"Faruk Hossain (521288)")</f>
        <v>Faruk Hossain (521288)</v>
      </c>
      <c r="E507" s="93" t="str">
        <f ca="1">IFERROR(__xludf.DUMMYFUNCTION("""COMPUTED_VALUE"""),"CB35318_Jun26")</f>
        <v>CB35318_Jun26</v>
      </c>
      <c r="F507" s="94" t="str">
        <f ca="1">IFERROR(__xludf.DUMMYFUNCTION("""COMPUTED_VALUE"""),"Layout/Dieline Making")</f>
        <v>Layout/Dieline Making</v>
      </c>
      <c r="G507" s="95" t="str">
        <f ca="1">IFERROR(__xludf.DUMMYFUNCTION("""COMPUTED_VALUE"""),"New")</f>
        <v>New</v>
      </c>
      <c r="H507" s="96">
        <f ca="1">IFERROR(__xludf.DUMMYFUNCTION("""COMPUTED_VALUE"""),3)</f>
        <v>3</v>
      </c>
      <c r="I507" s="97">
        <f ca="1">IFERROR(__xludf.DUMMYFUNCTION("""COMPUTED_VALUE"""),46210)</f>
        <v>46210</v>
      </c>
      <c r="J507" s="98" t="str">
        <f ca="1">IFERROR(__xludf.DUMMYFUNCTION("""COMPUTED_VALUE"""),"CW39725_Jul26")</f>
        <v>CW39725_Jul26</v>
      </c>
      <c r="K507" s="99" t="str">
        <f ca="1">IFERROR(__xludf.DUMMYFUNCTION("""COMPUTED_VALUE"""),"HoM Approved")</f>
        <v>HoM Approved</v>
      </c>
    </row>
    <row r="508" spans="1:11" ht="13.2">
      <c r="A508" s="89" t="str">
        <f ca="1">IFERROR(__xludf.DUMMYFUNCTION("""COMPUTED_VALUE"""),"Discount Tag to Sale %")</f>
        <v>Discount Tag to Sale %</v>
      </c>
      <c r="B508" s="90" t="str">
        <f ca="1">IFERROR(__xludf.DUMMYFUNCTION("""COMPUTED_VALUE"""),"Retail")</f>
        <v>Retail</v>
      </c>
      <c r="C508" s="91" t="str">
        <f ca="1">IFERROR(__xludf.DUMMYFUNCTION("""COMPUTED_VALUE"""),"Sourav_RFL Brand")</f>
        <v>Sourav_RFL Brand</v>
      </c>
      <c r="D508" s="92" t="str">
        <f ca="1">IFERROR(__xludf.DUMMYFUNCTION("""COMPUTED_VALUE"""),"Faruk Hossain (521288)")</f>
        <v>Faruk Hossain (521288)</v>
      </c>
      <c r="E508" s="93" t="str">
        <f ca="1">IFERROR(__xludf.DUMMYFUNCTION("""COMPUTED_VALUE"""),"CB38464_Jul26")</f>
        <v>CB38464_Jul26</v>
      </c>
      <c r="F508" s="94" t="str">
        <f ca="1">IFERROR(__xludf.DUMMYFUNCTION("""COMPUTED_VALUE"""),"Leaflet/Poster Output")</f>
        <v>Leaflet/Poster Output</v>
      </c>
      <c r="G508" s="95" t="str">
        <f ca="1">IFERROR(__xludf.DUMMYFUNCTION("""COMPUTED_VALUE"""),"New")</f>
        <v>New</v>
      </c>
      <c r="H508" s="96">
        <f ca="1">IFERROR(__xludf.DUMMYFUNCTION("""COMPUTED_VALUE"""),2)</f>
        <v>2</v>
      </c>
      <c r="I508" s="97">
        <f ca="1">IFERROR(__xludf.DUMMYFUNCTION("""COMPUTED_VALUE"""),46210)</f>
        <v>46210</v>
      </c>
      <c r="J508" s="98" t="str">
        <f ca="1">IFERROR(__xludf.DUMMYFUNCTION("""COMPUTED_VALUE"""),"CW39745_Jul26")</f>
        <v>CW39745_Jul26</v>
      </c>
      <c r="K508" s="99" t="str">
        <f ca="1">IFERROR(__xludf.DUMMYFUNCTION("""COMPUTED_VALUE"""),"BM Approved")</f>
        <v>BM Approved</v>
      </c>
    </row>
    <row r="509" spans="1:11" ht="13.2">
      <c r="A509" s="89" t="str">
        <f ca="1">IFERROR(__xludf.DUMMYFUNCTION("""COMPUTED_VALUE"""),"Football &amp; Whirly")</f>
        <v>Football &amp; Whirly</v>
      </c>
      <c r="B509" s="90" t="str">
        <f ca="1">IFERROR(__xludf.DUMMYFUNCTION("""COMPUTED_VALUE"""),"PCL")</f>
        <v>PCL</v>
      </c>
      <c r="C509" s="91" t="str">
        <f ca="1">IFERROR(__xludf.DUMMYFUNCTION("""COMPUTED_VALUE"""),"Zahirul Vai")</f>
        <v>Zahirul Vai</v>
      </c>
      <c r="D509" s="92" t="str">
        <f ca="1">IFERROR(__xludf.DUMMYFUNCTION("""COMPUTED_VALUE"""),"Faruk Hossain (521288)")</f>
        <v>Faruk Hossain (521288)</v>
      </c>
      <c r="E509" s="93" t="str">
        <f ca="1">IFERROR(__xludf.DUMMYFUNCTION("""COMPUTED_VALUE"""),"CB38746_Jul26")</f>
        <v>CB38746_Jul26</v>
      </c>
      <c r="F509" s="94" t="str">
        <f ca="1">IFERROR(__xludf.DUMMYFUNCTION("""COMPUTED_VALUE"""),"ATC Box Output")</f>
        <v>ATC Box Output</v>
      </c>
      <c r="G509" s="95" t="str">
        <f ca="1">IFERROR(__xludf.DUMMYFUNCTION("""COMPUTED_VALUE"""),"New")</f>
        <v>New</v>
      </c>
      <c r="H509" s="96">
        <f ca="1">IFERROR(__xludf.DUMMYFUNCTION("""COMPUTED_VALUE"""),1)</f>
        <v>1</v>
      </c>
      <c r="I509" s="97">
        <f ca="1">IFERROR(__xludf.DUMMYFUNCTION("""COMPUTED_VALUE"""),46211)</f>
        <v>46211</v>
      </c>
      <c r="J509" s="98" t="str">
        <f ca="1">IFERROR(__xludf.DUMMYFUNCTION("""COMPUTED_VALUE"""),"CW39977_Jul26")</f>
        <v>CW39977_Jul26</v>
      </c>
      <c r="K509" s="99" t="str">
        <f ca="1">IFERROR(__xludf.DUMMYFUNCTION("""COMPUTED_VALUE"""),"Brief Submitted")</f>
        <v>Brief Submitted</v>
      </c>
    </row>
    <row r="510" spans="1:11" ht="13.2">
      <c r="A510" s="89" t="str">
        <f ca="1">IFERROR(__xludf.DUMMYFUNCTION("""COMPUTED_VALUE"""),"PRAN Fruit Drinks (TP)-Fruitfun for Nepal")</f>
        <v>PRAN Fruit Drinks (TP)-Fruitfun for Nepal</v>
      </c>
      <c r="B510" s="90" t="str">
        <f ca="1">IFERROR(__xludf.DUMMYFUNCTION("""COMPUTED_VALUE"""),"Dairy")</f>
        <v>Dairy</v>
      </c>
      <c r="C510" s="91" t="str">
        <f ca="1">IFERROR(__xludf.DUMMYFUNCTION("""COMPUTED_VALUE"""),"Zahirul Vai")</f>
        <v>Zahirul Vai</v>
      </c>
      <c r="D510" s="92" t="str">
        <f ca="1">IFERROR(__xludf.DUMMYFUNCTION("""COMPUTED_VALUE"""),"Faruk Hossain (521288)")</f>
        <v>Faruk Hossain (521288)</v>
      </c>
      <c r="E510" s="93" t="str">
        <f ca="1">IFERROR(__xludf.DUMMYFUNCTION("""COMPUTED_VALUE"""),"CB38971_Jul26")</f>
        <v>CB38971_Jul26</v>
      </c>
      <c r="F510" s="94" t="str">
        <f ca="1">IFERROR(__xludf.DUMMYFUNCTION("""COMPUTED_VALUE"""),"ATC Box Output")</f>
        <v>ATC Box Output</v>
      </c>
      <c r="G510" s="95" t="str">
        <f ca="1">IFERROR(__xludf.DUMMYFUNCTION("""COMPUTED_VALUE"""),"New")</f>
        <v>New</v>
      </c>
      <c r="H510" s="96">
        <f ca="1">IFERROR(__xludf.DUMMYFUNCTION("""COMPUTED_VALUE"""),6)</f>
        <v>6</v>
      </c>
      <c r="I510" s="97">
        <f ca="1">IFERROR(__xludf.DUMMYFUNCTION("""COMPUTED_VALUE"""),46212)</f>
        <v>46212</v>
      </c>
      <c r="J510" s="98" t="str">
        <f ca="1">IFERROR(__xludf.DUMMYFUNCTION("""COMPUTED_VALUE"""),"CW40015_Jul26")</f>
        <v>CW40015_Jul26</v>
      </c>
      <c r="K510" s="99" t="str">
        <f ca="1">IFERROR(__xludf.DUMMYFUNCTION("""COMPUTED_VALUE"""),"Brief Submitted")</f>
        <v>Brief Submitted</v>
      </c>
    </row>
    <row r="511" spans="1:11" ht="13.2">
      <c r="A511" s="89" t="str">
        <f ca="1">IFERROR(__xludf.DUMMYFUNCTION("""COMPUTED_VALUE"""),"PRAN Frozen Foods")</f>
        <v>PRAN Frozen Foods</v>
      </c>
      <c r="B511" s="90" t="str">
        <f ca="1">IFERROR(__xludf.DUMMYFUNCTION("""COMPUTED_VALUE"""),"PFF")</f>
        <v>PFF</v>
      </c>
      <c r="C511" s="91" t="str">
        <f ca="1">IFERROR(__xludf.DUMMYFUNCTION("""COMPUTED_VALUE"""),"Zahirul Vai")</f>
        <v>Zahirul Vai</v>
      </c>
      <c r="D511" s="92" t="str">
        <f ca="1">IFERROR(__xludf.DUMMYFUNCTION("""COMPUTED_VALUE"""),"Md Iasin Ahmed Showrov (S204960)")</f>
        <v>Md Iasin Ahmed Showrov (S204960)</v>
      </c>
      <c r="E511" s="93" t="str">
        <f ca="1">IFERROR(__xludf.DUMMYFUNCTION("""COMPUTED_VALUE"""),"CB12692_Nov25")</f>
        <v>CB12692_Nov25</v>
      </c>
      <c r="F511" s="94" t="str">
        <f ca="1">IFERROR(__xludf.DUMMYFUNCTION("""COMPUTED_VALUE"""),"Packaging Text Design #1")</f>
        <v>Packaging Text Design #1</v>
      </c>
      <c r="G511" s="95" t="str">
        <f ca="1">IFERROR(__xludf.DUMMYFUNCTION("""COMPUTED_VALUE"""),"New")</f>
        <v>New</v>
      </c>
      <c r="H511" s="96">
        <f ca="1">IFERROR(__xludf.DUMMYFUNCTION("""COMPUTED_VALUE"""),4)</f>
        <v>4</v>
      </c>
      <c r="I511" s="97">
        <f ca="1">IFERROR(__xludf.DUMMYFUNCTION("""COMPUTED_VALUE"""),46005)</f>
        <v>46005</v>
      </c>
      <c r="J511" s="98" t="str">
        <f ca="1">IFERROR(__xludf.DUMMYFUNCTION("""COMPUTED_VALUE"""),"CW19210_Dec25")</f>
        <v>CW19210_Dec25</v>
      </c>
      <c r="K511" s="99" t="str">
        <f ca="1">IFERROR(__xludf.DUMMYFUNCTION("""COMPUTED_VALUE"""),"HoM Approved")</f>
        <v>HoM Approved</v>
      </c>
    </row>
    <row r="512" spans="1:11" ht="13.2">
      <c r="A512" s="89" t="str">
        <f ca="1">IFERROR(__xludf.DUMMYFUNCTION("""COMPUTED_VALUE"""),"PRAN Frozen Foods")</f>
        <v>PRAN Frozen Foods</v>
      </c>
      <c r="B512" s="90" t="str">
        <f ca="1">IFERROR(__xludf.DUMMYFUNCTION("""COMPUTED_VALUE"""),"PFF")</f>
        <v>PFF</v>
      </c>
      <c r="C512" s="91" t="str">
        <f ca="1">IFERROR(__xludf.DUMMYFUNCTION("""COMPUTED_VALUE"""),"Zahirul Vai")</f>
        <v>Zahirul Vai</v>
      </c>
      <c r="D512" s="92" t="str">
        <f ca="1">IFERROR(__xludf.DUMMYFUNCTION("""COMPUTED_VALUE"""),"Md Iasin Ahmed Showrov (S204960)")</f>
        <v>Md Iasin Ahmed Showrov (S204960)</v>
      </c>
      <c r="E512" s="93" t="str">
        <f ca="1">IFERROR(__xludf.DUMMYFUNCTION("""COMPUTED_VALUE"""),"CB12692_Nov25")</f>
        <v>CB12692_Nov25</v>
      </c>
      <c r="F512" s="94" t="str">
        <f ca="1">IFERROR(__xludf.DUMMYFUNCTION("""COMPUTED_VALUE"""),"Packaging Text Design #1")</f>
        <v>Packaging Text Design #1</v>
      </c>
      <c r="G512" s="95" t="str">
        <f ca="1">IFERROR(__xludf.DUMMYFUNCTION("""COMPUTED_VALUE"""),"New")</f>
        <v>New</v>
      </c>
      <c r="H512" s="96">
        <f ca="1">IFERROR(__xludf.DUMMYFUNCTION("""COMPUTED_VALUE"""),4)</f>
        <v>4</v>
      </c>
      <c r="I512" s="97">
        <f ca="1">IFERROR(__xludf.DUMMYFUNCTION("""COMPUTED_VALUE"""),46005)</f>
        <v>46005</v>
      </c>
      <c r="J512" s="98" t="str">
        <f ca="1">IFERROR(__xludf.DUMMYFUNCTION("""COMPUTED_VALUE"""),"CW19210_Dec25")</f>
        <v>CW19210_Dec25</v>
      </c>
      <c r="K512" s="99" t="str">
        <f ca="1">IFERROR(__xludf.DUMMYFUNCTION("""COMPUTED_VALUE"""),"HoM Approved")</f>
        <v>HoM Approved</v>
      </c>
    </row>
    <row r="513" spans="1:11" ht="13.2">
      <c r="A513" s="89" t="str">
        <f ca="1">IFERROR(__xludf.DUMMYFUNCTION("""COMPUTED_VALUE"""),"Export Common")</f>
        <v>Export Common</v>
      </c>
      <c r="B513" s="90" t="str">
        <f ca="1">IFERROR(__xludf.DUMMYFUNCTION("""COMPUTED_VALUE"""),"Export Common")</f>
        <v>Export Common</v>
      </c>
      <c r="C513" s="91" t="str">
        <f ca="1">IFERROR(__xludf.DUMMYFUNCTION("""COMPUTED_VALUE"""),"Zahirul Vai")</f>
        <v>Zahirul Vai</v>
      </c>
      <c r="D513" s="92" t="str">
        <f ca="1">IFERROR(__xludf.DUMMYFUNCTION("""COMPUTED_VALUE"""),"Md Iasin Ahmed Showrov (S204960)")</f>
        <v>Md Iasin Ahmed Showrov (S204960)</v>
      </c>
      <c r="E513" s="93" t="str">
        <f ca="1">IFERROR(__xludf.DUMMYFUNCTION("""COMPUTED_VALUE"""),"CB12835_Dec25")</f>
        <v>CB12835_Dec25</v>
      </c>
      <c r="F513" s="94" t="str">
        <f ca="1">IFERROR(__xludf.DUMMYFUNCTION("""COMPUTED_VALUE"""),"Text Sticker Design #1")</f>
        <v>Text Sticker Design #1</v>
      </c>
      <c r="G513" s="95" t="str">
        <f ca="1">IFERROR(__xludf.DUMMYFUNCTION("""COMPUTED_VALUE"""),"New")</f>
        <v>New</v>
      </c>
      <c r="H513" s="96">
        <f ca="1">IFERROR(__xludf.DUMMYFUNCTION("""COMPUTED_VALUE"""),6)</f>
        <v>6</v>
      </c>
      <c r="I513" s="97">
        <f ca="1">IFERROR(__xludf.DUMMYFUNCTION("""COMPUTED_VALUE"""),46005)</f>
        <v>46005</v>
      </c>
      <c r="J513" s="98" t="str">
        <f ca="1">IFERROR(__xludf.DUMMYFUNCTION("""COMPUTED_VALUE"""),"CW19213_Dec25")</f>
        <v>CW19213_Dec25</v>
      </c>
      <c r="K513" s="99" t="str">
        <f ca="1">IFERROR(__xludf.DUMMYFUNCTION("""COMPUTED_VALUE"""),"HoM Approved")</f>
        <v>HoM Approved</v>
      </c>
    </row>
    <row r="514" spans="1:11" ht="13.2">
      <c r="A514" s="89" t="str">
        <f ca="1">IFERROR(__xludf.DUMMYFUNCTION("""COMPUTED_VALUE"""),"PRAN Magic Cup")</f>
        <v>PRAN Magic Cup</v>
      </c>
      <c r="B514" s="90" t="str">
        <f ca="1">IFERROR(__xludf.DUMMYFUNCTION("""COMPUTED_VALUE"""),"PAL")</f>
        <v>PAL</v>
      </c>
      <c r="C514" s="91" t="str">
        <f ca="1">IFERROR(__xludf.DUMMYFUNCTION("""COMPUTED_VALUE"""),"Junayed Vai")</f>
        <v>Junayed Vai</v>
      </c>
      <c r="D514" s="92" t="str">
        <f ca="1">IFERROR(__xludf.DUMMYFUNCTION("""COMPUTED_VALUE"""),"Md Iasin Ahmed Showrov (S204960)")</f>
        <v>Md Iasin Ahmed Showrov (S204960)</v>
      </c>
      <c r="E514" s="93" t="str">
        <f ca="1">IFERROR(__xludf.DUMMYFUNCTION("""COMPUTED_VALUE"""),"CB13531_Dec25")</f>
        <v>CB13531_Dec25</v>
      </c>
      <c r="F514" s="94" t="str">
        <f ca="1">IFERROR(__xludf.DUMMYFUNCTION("""COMPUTED_VALUE"""),"Packaging Text Design #1")</f>
        <v>Packaging Text Design #1</v>
      </c>
      <c r="G514" s="95" t="str">
        <f ca="1">IFERROR(__xludf.DUMMYFUNCTION("""COMPUTED_VALUE"""),"New")</f>
        <v>New</v>
      </c>
      <c r="H514" s="96">
        <f ca="1">IFERROR(__xludf.DUMMYFUNCTION("""COMPUTED_VALUE"""),3)</f>
        <v>3</v>
      </c>
      <c r="I514" s="97">
        <f ca="1">IFERROR(__xludf.DUMMYFUNCTION("""COMPUTED_VALUE"""),46009)</f>
        <v>46009</v>
      </c>
      <c r="J514" s="98" t="str">
        <f ca="1">IFERROR(__xludf.DUMMYFUNCTION("""COMPUTED_VALUE"""),"CW19491_Dec25")</f>
        <v>CW19491_Dec25</v>
      </c>
      <c r="K514" s="99" t="str">
        <f ca="1">IFERROR(__xludf.DUMMYFUNCTION("""COMPUTED_VALUE"""),"HoM Approved")</f>
        <v>HoM Approved</v>
      </c>
    </row>
    <row r="515" spans="1:11" ht="13.2">
      <c r="A515" s="89" t="str">
        <f ca="1">IFERROR(__xludf.DUMMYFUNCTION("""COMPUTED_VALUE"""),"PRAN Magic Cup")</f>
        <v>PRAN Magic Cup</v>
      </c>
      <c r="B515" s="90" t="str">
        <f ca="1">IFERROR(__xludf.DUMMYFUNCTION("""COMPUTED_VALUE"""),"PAL")</f>
        <v>PAL</v>
      </c>
      <c r="C515" s="91" t="str">
        <f ca="1">IFERROR(__xludf.DUMMYFUNCTION("""COMPUTED_VALUE"""),"Junayed Vai")</f>
        <v>Junayed Vai</v>
      </c>
      <c r="D515" s="92" t="str">
        <f ca="1">IFERROR(__xludf.DUMMYFUNCTION("""COMPUTED_VALUE"""),"Md Iasin Ahmed Showrov (S204960)")</f>
        <v>Md Iasin Ahmed Showrov (S204960)</v>
      </c>
      <c r="E515" s="93" t="str">
        <f ca="1">IFERROR(__xludf.DUMMYFUNCTION("""COMPUTED_VALUE"""),"CB13531_Dec25")</f>
        <v>CB13531_Dec25</v>
      </c>
      <c r="F515" s="94" t="str">
        <f ca="1">IFERROR(__xludf.DUMMYFUNCTION("""COMPUTED_VALUE"""),"Packaging Text Design #1")</f>
        <v>Packaging Text Design #1</v>
      </c>
      <c r="G515" s="95" t="str">
        <f ca="1">IFERROR(__xludf.DUMMYFUNCTION("""COMPUTED_VALUE"""),"New")</f>
        <v>New</v>
      </c>
      <c r="H515" s="96">
        <f ca="1">IFERROR(__xludf.DUMMYFUNCTION("""COMPUTED_VALUE"""),3)</f>
        <v>3</v>
      </c>
      <c r="I515" s="97">
        <f ca="1">IFERROR(__xludf.DUMMYFUNCTION("""COMPUTED_VALUE"""),46009)</f>
        <v>46009</v>
      </c>
      <c r="J515" s="98" t="str">
        <f ca="1">IFERROR(__xludf.DUMMYFUNCTION("""COMPUTED_VALUE"""),"CW19491_Dec25")</f>
        <v>CW19491_Dec25</v>
      </c>
      <c r="K515" s="99" t="str">
        <f ca="1">IFERROR(__xludf.DUMMYFUNCTION("""COMPUTED_VALUE"""),"HoM Approved")</f>
        <v>HoM Approved</v>
      </c>
    </row>
    <row r="516" spans="1:11" ht="13.2">
      <c r="A516" s="89" t="str">
        <f ca="1">IFERROR(__xludf.DUMMYFUNCTION("""COMPUTED_VALUE"""),"Mr. Noodles")</f>
        <v>Mr. Noodles</v>
      </c>
      <c r="B516" s="90" t="str">
        <f ca="1">IFERROR(__xludf.DUMMYFUNCTION("""COMPUTED_VALUE"""),"PAL")</f>
        <v>PAL</v>
      </c>
      <c r="C516" s="91" t="str">
        <f ca="1">IFERROR(__xludf.DUMMYFUNCTION("""COMPUTED_VALUE"""),"Kafe Vai")</f>
        <v>Kafe Vai</v>
      </c>
      <c r="D516" s="92" t="str">
        <f ca="1">IFERROR(__xludf.DUMMYFUNCTION("""COMPUTED_VALUE"""),"Md Iasin Ahmed Showrov (S204960)")</f>
        <v>Md Iasin Ahmed Showrov (S204960)</v>
      </c>
      <c r="E516" s="93" t="str">
        <f ca="1">IFERROR(__xludf.DUMMYFUNCTION("""COMPUTED_VALUE"""),"CB10004_Oct25")</f>
        <v>CB10004_Oct25</v>
      </c>
      <c r="F516" s="94" t="str">
        <f ca="1">IFERROR(__xludf.DUMMYFUNCTION("""COMPUTED_VALUE"""),"Packaging Text Design #1")</f>
        <v>Packaging Text Design #1</v>
      </c>
      <c r="G516" s="95" t="str">
        <f ca="1">IFERROR(__xludf.DUMMYFUNCTION("""COMPUTED_VALUE"""),"New")</f>
        <v>New</v>
      </c>
      <c r="H516" s="96">
        <f ca="1">IFERROR(__xludf.DUMMYFUNCTION("""COMPUTED_VALUE"""),1)</f>
        <v>1</v>
      </c>
      <c r="I516" s="97">
        <f ca="1">IFERROR(__xludf.DUMMYFUNCTION("""COMPUTED_VALUE"""),46009)</f>
        <v>46009</v>
      </c>
      <c r="J516" s="98" t="str">
        <f ca="1">IFERROR(__xludf.DUMMYFUNCTION("""COMPUTED_VALUE"""),"CW19514_Dec25")</f>
        <v>CW19514_Dec25</v>
      </c>
      <c r="K516" s="99" t="str">
        <f ca="1">IFERROR(__xludf.DUMMYFUNCTION("""COMPUTED_VALUE"""),"BM Approved")</f>
        <v>BM Approved</v>
      </c>
    </row>
    <row r="517" spans="1:11" ht="13.2">
      <c r="A517" s="89" t="str">
        <f ca="1">IFERROR(__xludf.DUMMYFUNCTION("""COMPUTED_VALUE"""),"PRAN Recipe Mix")</f>
        <v>PRAN Recipe Mix</v>
      </c>
      <c r="B517" s="90" t="str">
        <f ca="1">IFERROR(__xludf.DUMMYFUNCTION("""COMPUTED_VALUE"""),"NAL")</f>
        <v>NAL</v>
      </c>
      <c r="C517" s="91" t="str">
        <f ca="1">IFERROR(__xludf.DUMMYFUNCTION("""COMPUTED_VALUE"""),"Minhaz Vai")</f>
        <v>Minhaz Vai</v>
      </c>
      <c r="D517" s="92" t="str">
        <f ca="1">IFERROR(__xludf.DUMMYFUNCTION("""COMPUTED_VALUE"""),"Md Iasin Ahmed Showrov (S204960)")</f>
        <v>Md Iasin Ahmed Showrov (S204960)</v>
      </c>
      <c r="E517" s="93" t="str">
        <f ca="1">IFERROR(__xludf.DUMMYFUNCTION("""COMPUTED_VALUE"""),"CB11549_Nov25")</f>
        <v>CB11549_Nov25</v>
      </c>
      <c r="F517" s="94" t="str">
        <f ca="1">IFERROR(__xludf.DUMMYFUNCTION("""COMPUTED_VALUE"""),"Packaging Text Design #1")</f>
        <v>Packaging Text Design #1</v>
      </c>
      <c r="G517" s="95" t="str">
        <f ca="1">IFERROR(__xludf.DUMMYFUNCTION("""COMPUTED_VALUE"""),"New")</f>
        <v>New</v>
      </c>
      <c r="H517" s="96">
        <f ca="1">IFERROR(__xludf.DUMMYFUNCTION("""COMPUTED_VALUE"""),9)</f>
        <v>9</v>
      </c>
      <c r="I517" s="97">
        <f ca="1">IFERROR(__xludf.DUMMYFUNCTION("""COMPUTED_VALUE"""),46009)</f>
        <v>46009</v>
      </c>
      <c r="J517" s="98" t="str">
        <f ca="1">IFERROR(__xludf.DUMMYFUNCTION("""COMPUTED_VALUE"""),"CW19515_Dec25")</f>
        <v>CW19515_Dec25</v>
      </c>
      <c r="K517" s="99" t="str">
        <f ca="1">IFERROR(__xludf.DUMMYFUNCTION("""COMPUTED_VALUE"""),"HoM Approved")</f>
        <v>HoM Approved</v>
      </c>
    </row>
    <row r="518" spans="1:11" ht="13.2">
      <c r="A518" s="89" t="str">
        <f ca="1">IFERROR(__xludf.DUMMYFUNCTION("""COMPUTED_VALUE"""),"Pran Dry Cake")</f>
        <v>Pran Dry Cake</v>
      </c>
      <c r="B518" s="90" t="str">
        <f ca="1">IFERROR(__xludf.DUMMYFUNCTION("""COMPUTED_VALUE"""),"BBL")</f>
        <v>BBL</v>
      </c>
      <c r="C518" s="91" t="str">
        <f ca="1">IFERROR(__xludf.DUMMYFUNCTION("""COMPUTED_VALUE"""),"Ove Vai")</f>
        <v>Ove Vai</v>
      </c>
      <c r="D518" s="92" t="str">
        <f ca="1">IFERROR(__xludf.DUMMYFUNCTION("""COMPUTED_VALUE"""),"Md Iasin Ahmed Showrov (S204960)")</f>
        <v>Md Iasin Ahmed Showrov (S204960)</v>
      </c>
      <c r="E518" s="93" t="str">
        <f ca="1">IFERROR(__xludf.DUMMYFUNCTION("""COMPUTED_VALUE"""),"CB11585_Nov25")</f>
        <v>CB11585_Nov25</v>
      </c>
      <c r="F518" s="94" t="str">
        <f ca="1">IFERROR(__xludf.DUMMYFUNCTION("""COMPUTED_VALUE"""),"Packaging Text Design #1")</f>
        <v>Packaging Text Design #1</v>
      </c>
      <c r="G518" s="95" t="str">
        <f ca="1">IFERROR(__xludf.DUMMYFUNCTION("""COMPUTED_VALUE"""),"New")</f>
        <v>New</v>
      </c>
      <c r="H518" s="96">
        <f ca="1">IFERROR(__xludf.DUMMYFUNCTION("""COMPUTED_VALUE"""),1)</f>
        <v>1</v>
      </c>
      <c r="I518" s="97">
        <f ca="1">IFERROR(__xludf.DUMMYFUNCTION("""COMPUTED_VALUE"""),46009)</f>
        <v>46009</v>
      </c>
      <c r="J518" s="98" t="str">
        <f ca="1">IFERROR(__xludf.DUMMYFUNCTION("""COMPUTED_VALUE"""),"CW19507_Dec25")</f>
        <v>CW19507_Dec25</v>
      </c>
      <c r="K518" s="99" t="str">
        <f ca="1">IFERROR(__xludf.DUMMYFUNCTION("""COMPUTED_VALUE"""),"Brief Submitted")</f>
        <v>Brief Submitted</v>
      </c>
    </row>
    <row r="519" spans="1:11" ht="13.2">
      <c r="A519" s="89" t="str">
        <f ca="1">IFERROR(__xludf.DUMMYFUNCTION("""COMPUTED_VALUE"""),"PRAN Basic Spice")</f>
        <v>PRAN Basic Spice</v>
      </c>
      <c r="B519" s="90" t="str">
        <f ca="1">IFERROR(__xludf.DUMMYFUNCTION("""COMPUTED_VALUE"""),"NAL")</f>
        <v>NAL</v>
      </c>
      <c r="C519" s="91" t="str">
        <f ca="1">IFERROR(__xludf.DUMMYFUNCTION("""COMPUTED_VALUE"""),"Shamsul Sir")</f>
        <v>Shamsul Sir</v>
      </c>
      <c r="D519" s="92" t="str">
        <f ca="1">IFERROR(__xludf.DUMMYFUNCTION("""COMPUTED_VALUE"""),"Md Iasin Ahmed Showrov (S204960)")</f>
        <v>Md Iasin Ahmed Showrov (S204960)</v>
      </c>
      <c r="E519" s="93" t="str">
        <f ca="1">IFERROR(__xludf.DUMMYFUNCTION("""COMPUTED_VALUE"""),"CB13712_Dec25")</f>
        <v>CB13712_Dec25</v>
      </c>
      <c r="F519" s="94" t="str">
        <f ca="1">IFERROR(__xludf.DUMMYFUNCTION("""COMPUTED_VALUE"""),"Packaging Text Design #2")</f>
        <v>Packaging Text Design #2</v>
      </c>
      <c r="G519" s="95" t="str">
        <f ca="1">IFERROR(__xludf.DUMMYFUNCTION("""COMPUTED_VALUE"""),"New")</f>
        <v>New</v>
      </c>
      <c r="H519" s="96">
        <f ca="1">IFERROR(__xludf.DUMMYFUNCTION("""COMPUTED_VALUE"""),9)</f>
        <v>9</v>
      </c>
      <c r="I519" s="97">
        <f ca="1">IFERROR(__xludf.DUMMYFUNCTION("""COMPUTED_VALUE"""),46009)</f>
        <v>46009</v>
      </c>
      <c r="J519" s="98" t="str">
        <f ca="1">IFERROR(__xludf.DUMMYFUNCTION("""COMPUTED_VALUE"""),"CW19508_Dec25")</f>
        <v>CW19508_Dec25</v>
      </c>
      <c r="K519" s="99" t="str">
        <f ca="1">IFERROR(__xludf.DUMMYFUNCTION("""COMPUTED_VALUE"""),"HoM Approved")</f>
        <v>HoM Approved</v>
      </c>
    </row>
    <row r="520" spans="1:11" ht="13.2">
      <c r="A520" s="89" t="str">
        <f ca="1">IFERROR(__xludf.DUMMYFUNCTION("""COMPUTED_VALUE"""),"PRAN Rusk Premium Bake")</f>
        <v>PRAN Rusk Premium Bake</v>
      </c>
      <c r="B520" s="90" t="str">
        <f ca="1">IFERROR(__xludf.DUMMYFUNCTION("""COMPUTED_VALUE"""),"UAE")</f>
        <v>UAE</v>
      </c>
      <c r="C520" s="91" t="str">
        <f ca="1">IFERROR(__xludf.DUMMYFUNCTION("""COMPUTED_VALUE"""),"Shamsul Sir")</f>
        <v>Shamsul Sir</v>
      </c>
      <c r="D520" s="92" t="str">
        <f ca="1">IFERROR(__xludf.DUMMYFUNCTION("""COMPUTED_VALUE"""),"Md Iasin Ahmed Showrov (S204960)")</f>
        <v>Md Iasin Ahmed Showrov (S204960)</v>
      </c>
      <c r="E520" s="93" t="str">
        <f ca="1">IFERROR(__xludf.DUMMYFUNCTION("""COMPUTED_VALUE"""),"CB12834_Dec25")</f>
        <v>CB12834_Dec25</v>
      </c>
      <c r="F520" s="94" t="str">
        <f ca="1">IFERROR(__xludf.DUMMYFUNCTION("""COMPUTED_VALUE"""),"Packaging Text Design #2")</f>
        <v>Packaging Text Design #2</v>
      </c>
      <c r="G520" s="95" t="str">
        <f ca="1">IFERROR(__xludf.DUMMYFUNCTION("""COMPUTED_VALUE"""),"New")</f>
        <v>New</v>
      </c>
      <c r="H520" s="96">
        <f ca="1">IFERROR(__xludf.DUMMYFUNCTION("""COMPUTED_VALUE"""),4)</f>
        <v>4</v>
      </c>
      <c r="I520" s="97">
        <f ca="1">IFERROR(__xludf.DUMMYFUNCTION("""COMPUTED_VALUE"""),46009)</f>
        <v>46009</v>
      </c>
      <c r="J520" s="98" t="str">
        <f ca="1">IFERROR(__xludf.DUMMYFUNCTION("""COMPUTED_VALUE"""),"CW19519_Dec25")</f>
        <v>CW19519_Dec25</v>
      </c>
      <c r="K520" s="99" t="str">
        <f ca="1">IFERROR(__xludf.DUMMYFUNCTION("""COMPUTED_VALUE"""),"HoM Approved")</f>
        <v>HoM Approved</v>
      </c>
    </row>
    <row r="521" spans="1:11" ht="13.2">
      <c r="A521" s="89" t="str">
        <f ca="1">IFERROR(__xludf.DUMMYFUNCTION("""COMPUTED_VALUE"""),"All Time Cookies")</f>
        <v>All Time Cookies</v>
      </c>
      <c r="B521" s="90" t="str">
        <f ca="1">IFERROR(__xludf.DUMMYFUNCTION("""COMPUTED_VALUE"""),"BBL")</f>
        <v>BBL</v>
      </c>
      <c r="C521" s="91" t="str">
        <f ca="1">IFERROR(__xludf.DUMMYFUNCTION("""COMPUTED_VALUE"""),"Zahirul Vai")</f>
        <v>Zahirul Vai</v>
      </c>
      <c r="D521" s="92" t="str">
        <f ca="1">IFERROR(__xludf.DUMMYFUNCTION("""COMPUTED_VALUE"""),"Md Iasin Ahmed Showrov (S204960)")</f>
        <v>Md Iasin Ahmed Showrov (S204960)</v>
      </c>
      <c r="E521" s="93" t="str">
        <f ca="1">IFERROR(__xludf.DUMMYFUNCTION("""COMPUTED_VALUE"""),"CB13524_Dec25")</f>
        <v>CB13524_Dec25</v>
      </c>
      <c r="F521" s="94" t="str">
        <f ca="1">IFERROR(__xludf.DUMMYFUNCTION("""COMPUTED_VALUE"""),"Packaging Text Design #1")</f>
        <v>Packaging Text Design #1</v>
      </c>
      <c r="G521" s="95" t="str">
        <f ca="1">IFERROR(__xludf.DUMMYFUNCTION("""COMPUTED_VALUE"""),"New")</f>
        <v>New</v>
      </c>
      <c r="H521" s="96">
        <f ca="1">IFERROR(__xludf.DUMMYFUNCTION("""COMPUTED_VALUE"""),1)</f>
        <v>1</v>
      </c>
      <c r="I521" s="97">
        <f ca="1">IFERROR(__xludf.DUMMYFUNCTION("""COMPUTED_VALUE"""),46009)</f>
        <v>46009</v>
      </c>
      <c r="J521" s="98" t="str">
        <f ca="1">IFERROR(__xludf.DUMMYFUNCTION("""COMPUTED_VALUE"""),"CW19502_Dec25")</f>
        <v>CW19502_Dec25</v>
      </c>
      <c r="K521" s="99" t="str">
        <f ca="1">IFERROR(__xludf.DUMMYFUNCTION("""COMPUTED_VALUE"""),"HoM Approved")</f>
        <v>HoM Approved</v>
      </c>
    </row>
    <row r="522" spans="1:11" ht="13.2">
      <c r="A522" s="89" t="str">
        <f ca="1">IFERROR(__xludf.DUMMYFUNCTION("""COMPUTED_VALUE"""),"Xcel Gum")</f>
        <v>Xcel Gum</v>
      </c>
      <c r="B522" s="90" t="str">
        <f ca="1">IFERROR(__xludf.DUMMYFUNCTION("""COMPUTED_VALUE"""),"PCL")</f>
        <v>PCL</v>
      </c>
      <c r="C522" s="91" t="str">
        <f ca="1">IFERROR(__xludf.DUMMYFUNCTION("""COMPUTED_VALUE"""),"Zahirul Vai")</f>
        <v>Zahirul Vai</v>
      </c>
      <c r="D522" s="92" t="str">
        <f ca="1">IFERROR(__xludf.DUMMYFUNCTION("""COMPUTED_VALUE"""),"Md Iasin Ahmed Showrov (S204960)")</f>
        <v>Md Iasin Ahmed Showrov (S204960)</v>
      </c>
      <c r="E522" s="93" t="str">
        <f ca="1">IFERROR(__xludf.DUMMYFUNCTION("""COMPUTED_VALUE"""),"CB13097_Dec25")</f>
        <v>CB13097_Dec25</v>
      </c>
      <c r="F522" s="94" t="str">
        <f ca="1">IFERROR(__xludf.DUMMYFUNCTION("""COMPUTED_VALUE"""),"Packaging Text Design #1")</f>
        <v>Packaging Text Design #1</v>
      </c>
      <c r="G522" s="95" t="str">
        <f ca="1">IFERROR(__xludf.DUMMYFUNCTION("""COMPUTED_VALUE"""),"New")</f>
        <v>New</v>
      </c>
      <c r="H522" s="96">
        <f ca="1">IFERROR(__xludf.DUMMYFUNCTION("""COMPUTED_VALUE"""),6)</f>
        <v>6</v>
      </c>
      <c r="I522" s="97">
        <f ca="1">IFERROR(__xludf.DUMMYFUNCTION("""COMPUTED_VALUE"""),46009)</f>
        <v>46009</v>
      </c>
      <c r="J522" s="98" t="str">
        <f ca="1">IFERROR(__xludf.DUMMYFUNCTION("""COMPUTED_VALUE"""),"CW19511_Dec25")</f>
        <v>CW19511_Dec25</v>
      </c>
      <c r="K522" s="99" t="str">
        <f ca="1">IFERROR(__xludf.DUMMYFUNCTION("""COMPUTED_VALUE"""),"HoM Approved")</f>
        <v>HoM Approved</v>
      </c>
    </row>
    <row r="523" spans="1:11" ht="13.2">
      <c r="A523" s="89" t="str">
        <f ca="1">IFERROR(__xludf.DUMMYFUNCTION("""COMPUTED_VALUE"""),"PRAN Frozen Foods")</f>
        <v>PRAN Frozen Foods</v>
      </c>
      <c r="B523" s="90" t="str">
        <f ca="1">IFERROR(__xludf.DUMMYFUNCTION("""COMPUTED_VALUE"""),"PFF")</f>
        <v>PFF</v>
      </c>
      <c r="C523" s="91" t="str">
        <f ca="1">IFERROR(__xludf.DUMMYFUNCTION("""COMPUTED_VALUE"""),"Saifullah Vai")</f>
        <v>Saifullah Vai</v>
      </c>
      <c r="D523" s="92" t="str">
        <f ca="1">IFERROR(__xludf.DUMMYFUNCTION("""COMPUTED_VALUE"""),"Md Iasin Ahmed Showrov (S204960)")</f>
        <v>Md Iasin Ahmed Showrov (S204960)</v>
      </c>
      <c r="E523" s="93" t="str">
        <f ca="1">IFERROR(__xludf.DUMMYFUNCTION("""COMPUTED_VALUE"""),"CB13813_Dec25")</f>
        <v>CB13813_Dec25</v>
      </c>
      <c r="F523" s="94" t="str">
        <f ca="1">IFERROR(__xludf.DUMMYFUNCTION("""COMPUTED_VALUE"""),"Text Sticker Design #2")</f>
        <v>Text Sticker Design #2</v>
      </c>
      <c r="G523" s="95" t="str">
        <f ca="1">IFERROR(__xludf.DUMMYFUNCTION("""COMPUTED_VALUE"""),"New")</f>
        <v>New</v>
      </c>
      <c r="H523" s="96">
        <f ca="1">IFERROR(__xludf.DUMMYFUNCTION("""COMPUTED_VALUE"""),13)</f>
        <v>13</v>
      </c>
      <c r="I523" s="97">
        <f ca="1">IFERROR(__xludf.DUMMYFUNCTION("""COMPUTED_VALUE"""),46011)</f>
        <v>46011</v>
      </c>
      <c r="J523" s="98" t="str">
        <f ca="1">IFERROR(__xludf.DUMMYFUNCTION("""COMPUTED_VALUE"""),"CW19555_Dec25")</f>
        <v>CW19555_Dec25</v>
      </c>
      <c r="K523" s="99" t="str">
        <f ca="1">IFERROR(__xludf.DUMMYFUNCTION("""COMPUTED_VALUE"""),"HoM Approved")</f>
        <v>HoM Approved</v>
      </c>
    </row>
    <row r="524" spans="1:11" ht="13.2">
      <c r="A524" s="89" t="str">
        <f ca="1">IFERROR(__xludf.DUMMYFUNCTION("""COMPUTED_VALUE"""),"Mr. Noodles")</f>
        <v>Mr. Noodles</v>
      </c>
      <c r="B524" s="90" t="str">
        <f ca="1">IFERROR(__xludf.DUMMYFUNCTION("""COMPUTED_VALUE"""),"PAL")</f>
        <v>PAL</v>
      </c>
      <c r="C524" s="91" t="str">
        <f ca="1">IFERROR(__xludf.DUMMYFUNCTION("""COMPUTED_VALUE"""),"Kafe Vai")</f>
        <v>Kafe Vai</v>
      </c>
      <c r="D524" s="92" t="str">
        <f ca="1">IFERROR(__xludf.DUMMYFUNCTION("""COMPUTED_VALUE"""),"Md Iasin Ahmed Showrov (S204960)")</f>
        <v>Md Iasin Ahmed Showrov (S204960)</v>
      </c>
      <c r="E524" s="93" t="str">
        <f ca="1">IFERROR(__xludf.DUMMYFUNCTION("""COMPUTED_VALUE"""),"CB10004_Oct25")</f>
        <v>CB10004_Oct25</v>
      </c>
      <c r="F524" s="94" t="str">
        <f ca="1">IFERROR(__xludf.DUMMYFUNCTION("""COMPUTED_VALUE"""),"Packaging Text Design #1")</f>
        <v>Packaging Text Design #1</v>
      </c>
      <c r="G524" s="95" t="str">
        <f ca="1">IFERROR(__xludf.DUMMYFUNCTION("""COMPUTED_VALUE"""),"New")</f>
        <v>New</v>
      </c>
      <c r="H524" s="96">
        <f ca="1">IFERROR(__xludf.DUMMYFUNCTION("""COMPUTED_VALUE"""),3)</f>
        <v>3</v>
      </c>
      <c r="I524" s="97">
        <f ca="1">IFERROR(__xludf.DUMMYFUNCTION("""COMPUTED_VALUE"""),46013)</f>
        <v>46013</v>
      </c>
      <c r="J524" s="98" t="str">
        <f ca="1">IFERROR(__xludf.DUMMYFUNCTION("""COMPUTED_VALUE"""),"CW19733_Dec25")</f>
        <v>CW19733_Dec25</v>
      </c>
      <c r="K524" s="99" t="str">
        <f ca="1">IFERROR(__xludf.DUMMYFUNCTION("""COMPUTED_VALUE"""),"HoM Approved")</f>
        <v>HoM Approved</v>
      </c>
    </row>
    <row r="525" spans="1:11" ht="13.2">
      <c r="A525" s="89" t="str">
        <f ca="1">IFERROR(__xludf.DUMMYFUNCTION("""COMPUTED_VALUE"""),"Kofi House")</f>
        <v>Kofi House</v>
      </c>
      <c r="B525" s="90" t="str">
        <f ca="1">IFERROR(__xludf.DUMMYFUNCTION("""COMPUTED_VALUE"""),"AMCL")</f>
        <v>AMCL</v>
      </c>
      <c r="C525" s="91" t="str">
        <f ca="1">IFERROR(__xludf.DUMMYFUNCTION("""COMPUTED_VALUE"""),"Miraj Vai")</f>
        <v>Miraj Vai</v>
      </c>
      <c r="D525" s="92" t="str">
        <f ca="1">IFERROR(__xludf.DUMMYFUNCTION("""COMPUTED_VALUE"""),"Md Iasin Ahmed Showrov (S204960)")</f>
        <v>Md Iasin Ahmed Showrov (S204960)</v>
      </c>
      <c r="E525" s="93" t="str">
        <f ca="1">IFERROR(__xludf.DUMMYFUNCTION("""COMPUTED_VALUE"""),"CB13736_Dec25")</f>
        <v>CB13736_Dec25</v>
      </c>
      <c r="F525" s="94" t="str">
        <f ca="1">IFERROR(__xludf.DUMMYFUNCTION("""COMPUTED_VALUE"""),"Packaging Text Design #1")</f>
        <v>Packaging Text Design #1</v>
      </c>
      <c r="G525" s="95" t="str">
        <f ca="1">IFERROR(__xludf.DUMMYFUNCTION("""COMPUTED_VALUE"""),"New")</f>
        <v>New</v>
      </c>
      <c r="H525" s="96">
        <f ca="1">IFERROR(__xludf.DUMMYFUNCTION("""COMPUTED_VALUE"""),1)</f>
        <v>1</v>
      </c>
      <c r="I525" s="97">
        <f ca="1">IFERROR(__xludf.DUMMYFUNCTION("""COMPUTED_VALUE"""),46013)</f>
        <v>46013</v>
      </c>
      <c r="J525" s="98" t="str">
        <f ca="1">IFERROR(__xludf.DUMMYFUNCTION("""COMPUTED_VALUE"""),"CW19741_Dec25")</f>
        <v>CW19741_Dec25</v>
      </c>
      <c r="K525" s="99" t="str">
        <f ca="1">IFERROR(__xludf.DUMMYFUNCTION("""COMPUTED_VALUE"""),"HoM Approved")</f>
        <v>HoM Approved</v>
      </c>
    </row>
    <row r="526" spans="1:11" ht="13.2">
      <c r="A526" s="89" t="str">
        <f ca="1">IFERROR(__xludf.DUMMYFUNCTION("""COMPUTED_VALUE"""),"PRAN Noodles")</f>
        <v>PRAN Noodles</v>
      </c>
      <c r="B526" s="90" t="str">
        <f ca="1">IFERROR(__xludf.DUMMYFUNCTION("""COMPUTED_VALUE"""),"PAL")</f>
        <v>PAL</v>
      </c>
      <c r="C526" s="91" t="str">
        <f ca="1">IFERROR(__xludf.DUMMYFUNCTION("""COMPUTED_VALUE"""),"Zahirul Vai")</f>
        <v>Zahirul Vai</v>
      </c>
      <c r="D526" s="92" t="str">
        <f ca="1">IFERROR(__xludf.DUMMYFUNCTION("""COMPUTED_VALUE"""),"Md Iasin Ahmed Showrov (S204960)")</f>
        <v>Md Iasin Ahmed Showrov (S204960)</v>
      </c>
      <c r="E526" s="93" t="str">
        <f ca="1">IFERROR(__xludf.DUMMYFUNCTION("""COMPUTED_VALUE"""),"CB13969_Dec25")</f>
        <v>CB13969_Dec25</v>
      </c>
      <c r="F526" s="94" t="str">
        <f ca="1">IFERROR(__xludf.DUMMYFUNCTION("""COMPUTED_VALUE"""),"Packaging Text Design #2")</f>
        <v>Packaging Text Design #2</v>
      </c>
      <c r="G526" s="95" t="str">
        <f ca="1">IFERROR(__xludf.DUMMYFUNCTION("""COMPUTED_VALUE"""),"New")</f>
        <v>New</v>
      </c>
      <c r="H526" s="96">
        <f ca="1">IFERROR(__xludf.DUMMYFUNCTION("""COMPUTED_VALUE"""),3)</f>
        <v>3</v>
      </c>
      <c r="I526" s="97">
        <f ca="1">IFERROR(__xludf.DUMMYFUNCTION("""COMPUTED_VALUE"""),46013)</f>
        <v>46013</v>
      </c>
      <c r="J526" s="98" t="str">
        <f ca="1">IFERROR(__xludf.DUMMYFUNCTION("""COMPUTED_VALUE"""),"CW19735_Dec25")</f>
        <v>CW19735_Dec25</v>
      </c>
      <c r="K526" s="99" t="str">
        <f ca="1">IFERROR(__xludf.DUMMYFUNCTION("""COMPUTED_VALUE"""),"HoM Approved")</f>
        <v>HoM Approved</v>
      </c>
    </row>
    <row r="527" spans="1:11" ht="13.2">
      <c r="A527" s="89" t="str">
        <f ca="1">IFERROR(__xludf.DUMMYFUNCTION("""COMPUTED_VALUE"""),"PRAN Coffee Candy")</f>
        <v>PRAN Coffee Candy</v>
      </c>
      <c r="B527" s="90" t="str">
        <f ca="1">IFERROR(__xludf.DUMMYFUNCTION("""COMPUTED_VALUE"""),"PCL")</f>
        <v>PCL</v>
      </c>
      <c r="C527" s="91" t="str">
        <f ca="1">IFERROR(__xludf.DUMMYFUNCTION("""COMPUTED_VALUE"""),"Mona Apu")</f>
        <v>Mona Apu</v>
      </c>
      <c r="D527" s="92" t="str">
        <f ca="1">IFERROR(__xludf.DUMMYFUNCTION("""COMPUTED_VALUE"""),"Md Iasin Ahmed Showrov (S204960)")</f>
        <v>Md Iasin Ahmed Showrov (S204960)</v>
      </c>
      <c r="E527" s="93" t="str">
        <f ca="1">IFERROR(__xludf.DUMMYFUNCTION("""COMPUTED_VALUE"""),"CB13634_Dec25")</f>
        <v>CB13634_Dec25</v>
      </c>
      <c r="F527" s="94" t="str">
        <f ca="1">IFERROR(__xludf.DUMMYFUNCTION("""COMPUTED_VALUE"""),"Packaging Text Design #1")</f>
        <v>Packaging Text Design #1</v>
      </c>
      <c r="G527" s="95" t="str">
        <f ca="1">IFERROR(__xludf.DUMMYFUNCTION("""COMPUTED_VALUE"""),"New")</f>
        <v>New</v>
      </c>
      <c r="H527" s="96">
        <f ca="1">IFERROR(__xludf.DUMMYFUNCTION("""COMPUTED_VALUE"""),2)</f>
        <v>2</v>
      </c>
      <c r="I527" s="97">
        <f ca="1">IFERROR(__xludf.DUMMYFUNCTION("""COMPUTED_VALUE"""),46014)</f>
        <v>46014</v>
      </c>
      <c r="J527" s="98" t="str">
        <f ca="1">IFERROR(__xludf.DUMMYFUNCTION("""COMPUTED_VALUE"""),"CW19948_Dec25")</f>
        <v>CW19948_Dec25</v>
      </c>
      <c r="K527" s="99" t="str">
        <f ca="1">IFERROR(__xludf.DUMMYFUNCTION("""COMPUTED_VALUE"""),"HoM Approved")</f>
        <v>HoM Approved</v>
      </c>
    </row>
    <row r="528" spans="1:11" ht="13.2">
      <c r="A528" s="89" t="str">
        <f ca="1">IFERROR(__xludf.DUMMYFUNCTION("""COMPUTED_VALUE"""),"Pran Dry Cake")</f>
        <v>Pran Dry Cake</v>
      </c>
      <c r="B528" s="90" t="str">
        <f ca="1">IFERROR(__xludf.DUMMYFUNCTION("""COMPUTED_VALUE"""),"BBL")</f>
        <v>BBL</v>
      </c>
      <c r="C528" s="91" t="str">
        <f ca="1">IFERROR(__xludf.DUMMYFUNCTION("""COMPUTED_VALUE"""),"Shamsul Sir")</f>
        <v>Shamsul Sir</v>
      </c>
      <c r="D528" s="92" t="str">
        <f ca="1">IFERROR(__xludf.DUMMYFUNCTION("""COMPUTED_VALUE"""),"Md Iasin Ahmed Showrov (S204960)")</f>
        <v>Md Iasin Ahmed Showrov (S204960)</v>
      </c>
      <c r="E528" s="93" t="str">
        <f ca="1">IFERROR(__xludf.DUMMYFUNCTION("""COMPUTED_VALUE"""),"CB13714_Dec25")</f>
        <v>CB13714_Dec25</v>
      </c>
      <c r="F528" s="94" t="str">
        <f ca="1">IFERROR(__xludf.DUMMYFUNCTION("""COMPUTED_VALUE"""),"Packaging Text Design #1")</f>
        <v>Packaging Text Design #1</v>
      </c>
      <c r="G528" s="95" t="str">
        <f ca="1">IFERROR(__xludf.DUMMYFUNCTION("""COMPUTED_VALUE"""),"New")</f>
        <v>New</v>
      </c>
      <c r="H528" s="96">
        <f ca="1">IFERROR(__xludf.DUMMYFUNCTION("""COMPUTED_VALUE"""),1)</f>
        <v>1</v>
      </c>
      <c r="I528" s="97">
        <f ca="1">IFERROR(__xludf.DUMMYFUNCTION("""COMPUTED_VALUE"""),46014)</f>
        <v>46014</v>
      </c>
      <c r="J528" s="98" t="str">
        <f ca="1">IFERROR(__xludf.DUMMYFUNCTION("""COMPUTED_VALUE"""),"CW19895_Dec25")</f>
        <v>CW19895_Dec25</v>
      </c>
      <c r="K528" s="99" t="str">
        <f ca="1">IFERROR(__xludf.DUMMYFUNCTION("""COMPUTED_VALUE"""),"HoM Approved")</f>
        <v>HoM Approved</v>
      </c>
    </row>
    <row r="529" spans="1:11" ht="13.2">
      <c r="A529" s="89" t="str">
        <f ca="1">IFERROR(__xludf.DUMMYFUNCTION("""COMPUTED_VALUE"""),"PRAN Cookies")</f>
        <v>PRAN Cookies</v>
      </c>
      <c r="B529" s="90" t="str">
        <f ca="1">IFERROR(__xludf.DUMMYFUNCTION("""COMPUTED_VALUE"""),"BBL")</f>
        <v>BBL</v>
      </c>
      <c r="C529" s="91" t="str">
        <f ca="1">IFERROR(__xludf.DUMMYFUNCTION("""COMPUTED_VALUE"""),"Shamsul Sir")</f>
        <v>Shamsul Sir</v>
      </c>
      <c r="D529" s="92" t="str">
        <f ca="1">IFERROR(__xludf.DUMMYFUNCTION("""COMPUTED_VALUE"""),"Md Iasin Ahmed Showrov (S204960)")</f>
        <v>Md Iasin Ahmed Showrov (S204960)</v>
      </c>
      <c r="E529" s="93" t="str">
        <f ca="1">IFERROR(__xludf.DUMMYFUNCTION("""COMPUTED_VALUE"""),"CB13983_Dec25")</f>
        <v>CB13983_Dec25</v>
      </c>
      <c r="F529" s="94" t="str">
        <f ca="1">IFERROR(__xludf.DUMMYFUNCTION("""COMPUTED_VALUE"""),"Packaging Text Design #1")</f>
        <v>Packaging Text Design #1</v>
      </c>
      <c r="G529" s="95" t="str">
        <f ca="1">IFERROR(__xludf.DUMMYFUNCTION("""COMPUTED_VALUE"""),"New")</f>
        <v>New</v>
      </c>
      <c r="H529" s="96">
        <f ca="1">IFERROR(__xludf.DUMMYFUNCTION("""COMPUTED_VALUE"""),1)</f>
        <v>1</v>
      </c>
      <c r="I529" s="97">
        <f ca="1">IFERROR(__xludf.DUMMYFUNCTION("""COMPUTED_VALUE"""),46014)</f>
        <v>46014</v>
      </c>
      <c r="J529" s="98" t="str">
        <f ca="1">IFERROR(__xludf.DUMMYFUNCTION("""COMPUTED_VALUE"""),"CW19911_Dec25")</f>
        <v>CW19911_Dec25</v>
      </c>
      <c r="K529" s="99" t="str">
        <f ca="1">IFERROR(__xludf.DUMMYFUNCTION("""COMPUTED_VALUE"""),"HoM Approved")</f>
        <v>HoM Approved</v>
      </c>
    </row>
    <row r="530" spans="1:11" ht="13.2">
      <c r="A530" s="89" t="str">
        <f ca="1">IFERROR(__xludf.DUMMYFUNCTION("""COMPUTED_VALUE"""),"Treat Chocolate")</f>
        <v>Treat Chocolate</v>
      </c>
      <c r="B530" s="90" t="str">
        <f ca="1">IFERROR(__xludf.DUMMYFUNCTION("""COMPUTED_VALUE"""),"PCL")</f>
        <v>PCL</v>
      </c>
      <c r="C530" s="91" t="str">
        <f ca="1">IFERROR(__xludf.DUMMYFUNCTION("""COMPUTED_VALUE"""),"Sohel Vai")</f>
        <v>Sohel Vai</v>
      </c>
      <c r="D530" s="92" t="str">
        <f ca="1">IFERROR(__xludf.DUMMYFUNCTION("""COMPUTED_VALUE"""),"Md Iasin Ahmed Showrov (S204960)")</f>
        <v>Md Iasin Ahmed Showrov (S204960)</v>
      </c>
      <c r="E530" s="93" t="str">
        <f ca="1">IFERROR(__xludf.DUMMYFUNCTION("""COMPUTED_VALUE"""),"CB11100_Nov25")</f>
        <v>CB11100_Nov25</v>
      </c>
      <c r="F530" s="94" t="str">
        <f ca="1">IFERROR(__xludf.DUMMYFUNCTION("""COMPUTED_VALUE"""),"Packaging Text Design #1")</f>
        <v>Packaging Text Design #1</v>
      </c>
      <c r="G530" s="95" t="str">
        <f ca="1">IFERROR(__xludf.DUMMYFUNCTION("""COMPUTED_VALUE"""),"New")</f>
        <v>New</v>
      </c>
      <c r="H530" s="96">
        <f ca="1">IFERROR(__xludf.DUMMYFUNCTION("""COMPUTED_VALUE"""),3)</f>
        <v>3</v>
      </c>
      <c r="I530" s="97">
        <f ca="1">IFERROR(__xludf.DUMMYFUNCTION("""COMPUTED_VALUE"""),46014)</f>
        <v>46014</v>
      </c>
      <c r="J530" s="98" t="str">
        <f ca="1">IFERROR(__xludf.DUMMYFUNCTION("""COMPUTED_VALUE"""),"CW19899_Dec25")</f>
        <v>CW19899_Dec25</v>
      </c>
      <c r="K530" s="99" t="str">
        <f ca="1">IFERROR(__xludf.DUMMYFUNCTION("""COMPUTED_VALUE"""),"HoM Approved")</f>
        <v>HoM Approved</v>
      </c>
    </row>
    <row r="531" spans="1:11" ht="13.2">
      <c r="A531" s="89" t="str">
        <f ca="1">IFERROR(__xludf.DUMMYFUNCTION("""COMPUTED_VALUE"""),"Ice Pop")</f>
        <v>Ice Pop</v>
      </c>
      <c r="B531" s="90" t="str">
        <f ca="1">IFERROR(__xludf.DUMMYFUNCTION("""COMPUTED_VALUE"""),"PAL")</f>
        <v>PAL</v>
      </c>
      <c r="C531" s="91" t="str">
        <f ca="1">IFERROR(__xludf.DUMMYFUNCTION("""COMPUTED_VALUE"""),"Zahirul Vai")</f>
        <v>Zahirul Vai</v>
      </c>
      <c r="D531" s="92" t="str">
        <f ca="1">IFERROR(__xludf.DUMMYFUNCTION("""COMPUTED_VALUE"""),"Md Iasin Ahmed Showrov (S204960)")</f>
        <v>Md Iasin Ahmed Showrov (S204960)</v>
      </c>
      <c r="E531" s="93" t="str">
        <f ca="1">IFERROR(__xludf.DUMMYFUNCTION("""COMPUTED_VALUE"""),"CB14221_Dec25")</f>
        <v>CB14221_Dec25</v>
      </c>
      <c r="F531" s="94" t="str">
        <f ca="1">IFERROR(__xludf.DUMMYFUNCTION("""COMPUTED_VALUE"""),"Black Cylinder Output")</f>
        <v>Black Cylinder Output</v>
      </c>
      <c r="G531" s="95" t="str">
        <f ca="1">IFERROR(__xludf.DUMMYFUNCTION("""COMPUTED_VALUE"""),"New")</f>
        <v>New</v>
      </c>
      <c r="H531" s="96">
        <f ca="1">IFERROR(__xludf.DUMMYFUNCTION("""COMPUTED_VALUE"""),1)</f>
        <v>1</v>
      </c>
      <c r="I531" s="97">
        <f ca="1">IFERROR(__xludf.DUMMYFUNCTION("""COMPUTED_VALUE"""),46015)</f>
        <v>46015</v>
      </c>
      <c r="J531" s="98" t="str">
        <f ca="1">IFERROR(__xludf.DUMMYFUNCTION("""COMPUTED_VALUE"""),"CW20061_Dec25")</f>
        <v>CW20061_Dec25</v>
      </c>
      <c r="K531" s="99" t="str">
        <f ca="1">IFERROR(__xludf.DUMMYFUNCTION("""COMPUTED_VALUE"""),"HoM Approved")</f>
        <v>HoM Approved</v>
      </c>
    </row>
    <row r="532" spans="1:11" ht="13.2">
      <c r="A532" s="89" t="str">
        <f ca="1">IFERROR(__xludf.DUMMYFUNCTION("""COMPUTED_VALUE"""),"Ice Pop")</f>
        <v>Ice Pop</v>
      </c>
      <c r="B532" s="90" t="str">
        <f ca="1">IFERROR(__xludf.DUMMYFUNCTION("""COMPUTED_VALUE"""),"PAL")</f>
        <v>PAL</v>
      </c>
      <c r="C532" s="91" t="str">
        <f ca="1">IFERROR(__xludf.DUMMYFUNCTION("""COMPUTED_VALUE"""),"Zahirul Vai")</f>
        <v>Zahirul Vai</v>
      </c>
      <c r="D532" s="92" t="str">
        <f ca="1">IFERROR(__xludf.DUMMYFUNCTION("""COMPUTED_VALUE"""),"Md Iasin Ahmed Showrov (S204960)")</f>
        <v>Md Iasin Ahmed Showrov (S204960)</v>
      </c>
      <c r="E532" s="93" t="str">
        <f ca="1">IFERROR(__xludf.DUMMYFUNCTION("""COMPUTED_VALUE"""),"CB14221_Dec25")</f>
        <v>CB14221_Dec25</v>
      </c>
      <c r="F532" s="94" t="str">
        <f ca="1">IFERROR(__xludf.DUMMYFUNCTION("""COMPUTED_VALUE"""),"Packaging Text Design #1")</f>
        <v>Packaging Text Design #1</v>
      </c>
      <c r="G532" s="95" t="str">
        <f ca="1">IFERROR(__xludf.DUMMYFUNCTION("""COMPUTED_VALUE"""),"New")</f>
        <v>New</v>
      </c>
      <c r="H532" s="96">
        <f ca="1">IFERROR(__xludf.DUMMYFUNCTION("""COMPUTED_VALUE"""),1)</f>
        <v>1</v>
      </c>
      <c r="I532" s="97">
        <f ca="1">IFERROR(__xludf.DUMMYFUNCTION("""COMPUTED_VALUE"""),46015)</f>
        <v>46015</v>
      </c>
      <c r="J532" s="98" t="str">
        <f ca="1">IFERROR(__xludf.DUMMYFUNCTION("""COMPUTED_VALUE"""),"CW20061_Dec25")</f>
        <v>CW20061_Dec25</v>
      </c>
      <c r="K532" s="99" t="str">
        <f ca="1">IFERROR(__xludf.DUMMYFUNCTION("""COMPUTED_VALUE"""),"HoM Approved")</f>
        <v>HoM Approved</v>
      </c>
    </row>
    <row r="533" spans="1:11" ht="13.2">
      <c r="A533" s="89" t="str">
        <f ca="1">IFERROR(__xludf.DUMMYFUNCTION("""COMPUTED_VALUE"""),"IRD ALL")</f>
        <v>IRD ALL</v>
      </c>
      <c r="B533" s="90" t="str">
        <f ca="1">IFERROR(__xludf.DUMMYFUNCTION("""COMPUTED_VALUE"""),"Philippines")</f>
        <v>Philippines</v>
      </c>
      <c r="C533" s="91" t="str">
        <f ca="1">IFERROR(__xludf.DUMMYFUNCTION("""COMPUTED_VALUE"""),"Farjana Apu")</f>
        <v>Farjana Apu</v>
      </c>
      <c r="D533" s="92" t="str">
        <f ca="1">IFERROR(__xludf.DUMMYFUNCTION("""COMPUTED_VALUE"""),"Md Iasin Ahmed Showrov (S204960)")</f>
        <v>Md Iasin Ahmed Showrov (S204960)</v>
      </c>
      <c r="E533" s="93" t="str">
        <f ca="1">IFERROR(__xludf.DUMMYFUNCTION("""COMPUTED_VALUE"""),"CB14203_Dec25")</f>
        <v>CB14203_Dec25</v>
      </c>
      <c r="F533" s="94" t="str">
        <f ca="1">IFERROR(__xludf.DUMMYFUNCTION("""COMPUTED_VALUE"""),"Packaging Text Design #1")</f>
        <v>Packaging Text Design #1</v>
      </c>
      <c r="G533" s="95" t="str">
        <f ca="1">IFERROR(__xludf.DUMMYFUNCTION("""COMPUTED_VALUE"""),"New")</f>
        <v>New</v>
      </c>
      <c r="H533" s="96">
        <f ca="1">IFERROR(__xludf.DUMMYFUNCTION("""COMPUTED_VALUE"""),1)</f>
        <v>1</v>
      </c>
      <c r="I533" s="97">
        <f ca="1">IFERROR(__xludf.DUMMYFUNCTION("""COMPUTED_VALUE"""),46018)</f>
        <v>46018</v>
      </c>
      <c r="J533" s="98" t="str">
        <f ca="1">IFERROR(__xludf.DUMMYFUNCTION("""COMPUTED_VALUE"""),"CW20121_Dec25")</f>
        <v>CW20121_Dec25</v>
      </c>
      <c r="K533" s="99" t="str">
        <f ca="1">IFERROR(__xludf.DUMMYFUNCTION("""COMPUTED_VALUE"""),"HoM Approved")</f>
        <v>HoM Approved</v>
      </c>
    </row>
    <row r="534" spans="1:11" ht="13.2">
      <c r="A534" s="89" t="str">
        <f ca="1">IFERROR(__xludf.DUMMYFUNCTION("""COMPUTED_VALUE"""),"Treat Chocolate Cambodia")</f>
        <v>Treat Chocolate Cambodia</v>
      </c>
      <c r="B534" s="90" t="str">
        <f ca="1">IFERROR(__xludf.DUMMYFUNCTION("""COMPUTED_VALUE"""),"PCL")</f>
        <v>PCL</v>
      </c>
      <c r="C534" s="91" t="str">
        <f ca="1">IFERROR(__xludf.DUMMYFUNCTION("""COMPUTED_VALUE"""),"Mona Apu")</f>
        <v>Mona Apu</v>
      </c>
      <c r="D534" s="92" t="str">
        <f ca="1">IFERROR(__xludf.DUMMYFUNCTION("""COMPUTED_VALUE"""),"Md Iasin Ahmed Showrov (S204960)")</f>
        <v>Md Iasin Ahmed Showrov (S204960)</v>
      </c>
      <c r="E534" s="93" t="str">
        <f ca="1">IFERROR(__xludf.DUMMYFUNCTION("""COMPUTED_VALUE"""),"CB13858_Dec25")</f>
        <v>CB13858_Dec25</v>
      </c>
      <c r="F534" s="94" t="str">
        <f ca="1">IFERROR(__xludf.DUMMYFUNCTION("""COMPUTED_VALUE"""),"Packaging Text Design #2")</f>
        <v>Packaging Text Design #2</v>
      </c>
      <c r="G534" s="95" t="str">
        <f ca="1">IFERROR(__xludf.DUMMYFUNCTION("""COMPUTED_VALUE"""),"New")</f>
        <v>New</v>
      </c>
      <c r="H534" s="96">
        <f ca="1">IFERROR(__xludf.DUMMYFUNCTION("""COMPUTED_VALUE"""),3)</f>
        <v>3</v>
      </c>
      <c r="I534" s="97">
        <f ca="1">IFERROR(__xludf.DUMMYFUNCTION("""COMPUTED_VALUE"""),46018)</f>
        <v>46018</v>
      </c>
      <c r="J534" s="98" t="str">
        <f ca="1">IFERROR(__xludf.DUMMYFUNCTION("""COMPUTED_VALUE"""),"CW20150_Dec25")</f>
        <v>CW20150_Dec25</v>
      </c>
      <c r="K534" s="99" t="str">
        <f ca="1">IFERROR(__xludf.DUMMYFUNCTION("""COMPUTED_VALUE"""),"HoM Approved")</f>
        <v>HoM Approved</v>
      </c>
    </row>
    <row r="535" spans="1:11" ht="13.2">
      <c r="A535" s="89" t="str">
        <f ca="1">IFERROR(__xludf.DUMMYFUNCTION("""COMPUTED_VALUE"""),"Naples Spread Chocolate")</f>
        <v>Naples Spread Chocolate</v>
      </c>
      <c r="B535" s="90" t="str">
        <f ca="1">IFERROR(__xludf.DUMMYFUNCTION("""COMPUTED_VALUE"""),"PAL")</f>
        <v>PAL</v>
      </c>
      <c r="C535" s="91" t="str">
        <f ca="1">IFERROR(__xludf.DUMMYFUNCTION("""COMPUTED_VALUE"""),"Farjana Apu")</f>
        <v>Farjana Apu</v>
      </c>
      <c r="D535" s="92" t="str">
        <f ca="1">IFERROR(__xludf.DUMMYFUNCTION("""COMPUTED_VALUE"""),"Md Iasin Ahmed Showrov (S204960)")</f>
        <v>Md Iasin Ahmed Showrov (S204960)</v>
      </c>
      <c r="E535" s="93" t="str">
        <f ca="1">IFERROR(__xludf.DUMMYFUNCTION("""COMPUTED_VALUE"""),"CB14065_Dec25")</f>
        <v>CB14065_Dec25</v>
      </c>
      <c r="F535" s="94" t="str">
        <f ca="1">IFERROR(__xludf.DUMMYFUNCTION("""COMPUTED_VALUE"""),"Packaging Text Design #1")</f>
        <v>Packaging Text Design #1</v>
      </c>
      <c r="G535" s="95" t="str">
        <f ca="1">IFERROR(__xludf.DUMMYFUNCTION("""COMPUTED_VALUE"""),"New")</f>
        <v>New</v>
      </c>
      <c r="H535" s="96">
        <f ca="1">IFERROR(__xludf.DUMMYFUNCTION("""COMPUTED_VALUE"""),1)</f>
        <v>1</v>
      </c>
      <c r="I535" s="97">
        <f ca="1">IFERROR(__xludf.DUMMYFUNCTION("""COMPUTED_VALUE"""),46019)</f>
        <v>46019</v>
      </c>
      <c r="J535" s="98" t="str">
        <f ca="1">IFERROR(__xludf.DUMMYFUNCTION("""COMPUTED_VALUE"""),"CW20260_Dec25")</f>
        <v>CW20260_Dec25</v>
      </c>
      <c r="K535" s="99" t="str">
        <f ca="1">IFERROR(__xludf.DUMMYFUNCTION("""COMPUTED_VALUE"""),"HoM Approved")</f>
        <v>HoM Approved</v>
      </c>
    </row>
    <row r="536" spans="1:11" ht="13.2">
      <c r="A536" s="89" t="str">
        <f ca="1">IFERROR(__xludf.DUMMYFUNCTION("""COMPUTED_VALUE"""),"HIP-ALL")</f>
        <v>HIP-ALL</v>
      </c>
      <c r="B536" s="90" t="str">
        <f ca="1">IFERROR(__xludf.DUMMYFUNCTION("""COMPUTED_VALUE"""),"Philippines")</f>
        <v>Philippines</v>
      </c>
      <c r="C536" s="91" t="str">
        <f ca="1">IFERROR(__xludf.DUMMYFUNCTION("""COMPUTED_VALUE"""),"Farjana Apu")</f>
        <v>Farjana Apu</v>
      </c>
      <c r="D536" s="92" t="str">
        <f ca="1">IFERROR(__xludf.DUMMYFUNCTION("""COMPUTED_VALUE"""),"Md Iasin Ahmed Showrov (S204960)")</f>
        <v>Md Iasin Ahmed Showrov (S204960)</v>
      </c>
      <c r="E536" s="93" t="str">
        <f ca="1">IFERROR(__xludf.DUMMYFUNCTION("""COMPUTED_VALUE"""),"CB14264_Dec25")</f>
        <v>CB14264_Dec25</v>
      </c>
      <c r="F536" s="94" t="str">
        <f ca="1">IFERROR(__xludf.DUMMYFUNCTION("""COMPUTED_VALUE"""),"Packaging Text Design #1")</f>
        <v>Packaging Text Design #1</v>
      </c>
      <c r="G536" s="95" t="str">
        <f ca="1">IFERROR(__xludf.DUMMYFUNCTION("""COMPUTED_VALUE"""),"New")</f>
        <v>New</v>
      </c>
      <c r="H536" s="96">
        <f ca="1">IFERROR(__xludf.DUMMYFUNCTION("""COMPUTED_VALUE"""),1)</f>
        <v>1</v>
      </c>
      <c r="I536" s="97">
        <f ca="1">IFERROR(__xludf.DUMMYFUNCTION("""COMPUTED_VALUE"""),46019)</f>
        <v>46019</v>
      </c>
      <c r="J536" s="98" t="str">
        <f ca="1">IFERROR(__xludf.DUMMYFUNCTION("""COMPUTED_VALUE"""),"CW20269_Dec25")</f>
        <v>CW20269_Dec25</v>
      </c>
      <c r="K536" s="99" t="str">
        <f ca="1">IFERROR(__xludf.DUMMYFUNCTION("""COMPUTED_VALUE"""),"HoM Approved")</f>
        <v>HoM Approved</v>
      </c>
    </row>
    <row r="537" spans="1:11" ht="13.2">
      <c r="A537" s="89" t="str">
        <f ca="1">IFERROR(__xludf.DUMMYFUNCTION("""COMPUTED_VALUE"""),"PRAN DAIRY LTD. PIP - ALL")</f>
        <v>PRAN DAIRY LTD. PIP - ALL</v>
      </c>
      <c r="B537" s="90" t="str">
        <f ca="1">IFERROR(__xludf.DUMMYFUNCTION("""COMPUTED_VALUE"""),"Philippines")</f>
        <v>Philippines</v>
      </c>
      <c r="C537" s="91" t="str">
        <f ca="1">IFERROR(__xludf.DUMMYFUNCTION("""COMPUTED_VALUE"""),"Farjana Apu")</f>
        <v>Farjana Apu</v>
      </c>
      <c r="D537" s="92" t="str">
        <f ca="1">IFERROR(__xludf.DUMMYFUNCTION("""COMPUTED_VALUE"""),"Md Iasin Ahmed Showrov (S204960)")</f>
        <v>Md Iasin Ahmed Showrov (S204960)</v>
      </c>
      <c r="E537" s="93" t="str">
        <f ca="1">IFERROR(__xludf.DUMMYFUNCTION("""COMPUTED_VALUE"""),"CB14573_Dec25")</f>
        <v>CB14573_Dec25</v>
      </c>
      <c r="F537" s="94" t="str">
        <f ca="1">IFERROR(__xludf.DUMMYFUNCTION("""COMPUTED_VALUE"""),"Packaging Text Design #1")</f>
        <v>Packaging Text Design #1</v>
      </c>
      <c r="G537" s="95" t="str">
        <f ca="1">IFERROR(__xludf.DUMMYFUNCTION("""COMPUTED_VALUE"""),"New")</f>
        <v>New</v>
      </c>
      <c r="H537" s="96">
        <f ca="1">IFERROR(__xludf.DUMMYFUNCTION("""COMPUTED_VALUE"""),2)</f>
        <v>2</v>
      </c>
      <c r="I537" s="97">
        <f ca="1">IFERROR(__xludf.DUMMYFUNCTION("""COMPUTED_VALUE"""),46020)</f>
        <v>46020</v>
      </c>
      <c r="J537" s="98" t="str">
        <f ca="1">IFERROR(__xludf.DUMMYFUNCTION("""COMPUTED_VALUE"""),"CW20412_Dec25")</f>
        <v>CW20412_Dec25</v>
      </c>
      <c r="K537" s="99" t="str">
        <f ca="1">IFERROR(__xludf.DUMMYFUNCTION("""COMPUTED_VALUE"""),"HoM Approved")</f>
        <v>HoM Approved</v>
      </c>
    </row>
    <row r="538" spans="1:11" ht="13.2">
      <c r="A538" s="89" t="str">
        <f ca="1">IFERROR(__xludf.DUMMYFUNCTION("""COMPUTED_VALUE"""),"PRAN DAIRY LTD. PIP - ALL")</f>
        <v>PRAN DAIRY LTD. PIP - ALL</v>
      </c>
      <c r="B538" s="90" t="str">
        <f ca="1">IFERROR(__xludf.DUMMYFUNCTION("""COMPUTED_VALUE"""),"Philippines")</f>
        <v>Philippines</v>
      </c>
      <c r="C538" s="91" t="str">
        <f ca="1">IFERROR(__xludf.DUMMYFUNCTION("""COMPUTED_VALUE"""),"Farjana Apu")</f>
        <v>Farjana Apu</v>
      </c>
      <c r="D538" s="92" t="str">
        <f ca="1">IFERROR(__xludf.DUMMYFUNCTION("""COMPUTED_VALUE"""),"Md Iasin Ahmed Showrov (S204960)")</f>
        <v>Md Iasin Ahmed Showrov (S204960)</v>
      </c>
      <c r="E538" s="93" t="str">
        <f ca="1">IFERROR(__xludf.DUMMYFUNCTION("""COMPUTED_VALUE"""),"CB14577_Dec25")</f>
        <v>CB14577_Dec25</v>
      </c>
      <c r="F538" s="94" t="str">
        <f ca="1">IFERROR(__xludf.DUMMYFUNCTION("""COMPUTED_VALUE"""),"Packaging Text Design #1")</f>
        <v>Packaging Text Design #1</v>
      </c>
      <c r="G538" s="95" t="str">
        <f ca="1">IFERROR(__xludf.DUMMYFUNCTION("""COMPUTED_VALUE"""),"New")</f>
        <v>New</v>
      </c>
      <c r="H538" s="96">
        <f ca="1">IFERROR(__xludf.DUMMYFUNCTION("""COMPUTED_VALUE"""),2)</f>
        <v>2</v>
      </c>
      <c r="I538" s="97">
        <f ca="1">IFERROR(__xludf.DUMMYFUNCTION("""COMPUTED_VALUE"""),46020)</f>
        <v>46020</v>
      </c>
      <c r="J538" s="98" t="str">
        <f ca="1">IFERROR(__xludf.DUMMYFUNCTION("""COMPUTED_VALUE"""),"CW20407_Dec25")</f>
        <v>CW20407_Dec25</v>
      </c>
      <c r="K538" s="99" t="str">
        <f ca="1">IFERROR(__xludf.DUMMYFUNCTION("""COMPUTED_VALUE"""),"HoM Approved")</f>
        <v>HoM Approved</v>
      </c>
    </row>
    <row r="539" spans="1:11" ht="13.2">
      <c r="A539" s="89" t="str">
        <f ca="1">IFERROR(__xludf.DUMMYFUNCTION("""COMPUTED_VALUE"""),"PRAN DAIRY LTD. PIP - ALL")</f>
        <v>PRAN DAIRY LTD. PIP - ALL</v>
      </c>
      <c r="B539" s="90" t="str">
        <f ca="1">IFERROR(__xludf.DUMMYFUNCTION("""COMPUTED_VALUE"""),"Philippines")</f>
        <v>Philippines</v>
      </c>
      <c r="C539" s="91" t="str">
        <f ca="1">IFERROR(__xludf.DUMMYFUNCTION("""COMPUTED_VALUE"""),"Farjana Apu")</f>
        <v>Farjana Apu</v>
      </c>
      <c r="D539" s="92" t="str">
        <f ca="1">IFERROR(__xludf.DUMMYFUNCTION("""COMPUTED_VALUE"""),"Md Iasin Ahmed Showrov (S204960)")</f>
        <v>Md Iasin Ahmed Showrov (S204960)</v>
      </c>
      <c r="E539" s="93" t="str">
        <f ca="1">IFERROR(__xludf.DUMMYFUNCTION("""COMPUTED_VALUE"""),"CB14576_Dec25")</f>
        <v>CB14576_Dec25</v>
      </c>
      <c r="F539" s="94" t="str">
        <f ca="1">IFERROR(__xludf.DUMMYFUNCTION("""COMPUTED_VALUE"""),"Packaging Text Design #1")</f>
        <v>Packaging Text Design #1</v>
      </c>
      <c r="G539" s="95" t="str">
        <f ca="1">IFERROR(__xludf.DUMMYFUNCTION("""COMPUTED_VALUE"""),"New")</f>
        <v>New</v>
      </c>
      <c r="H539" s="96">
        <f ca="1">IFERROR(__xludf.DUMMYFUNCTION("""COMPUTED_VALUE"""),2)</f>
        <v>2</v>
      </c>
      <c r="I539" s="97">
        <f ca="1">IFERROR(__xludf.DUMMYFUNCTION("""COMPUTED_VALUE"""),46020)</f>
        <v>46020</v>
      </c>
      <c r="J539" s="98" t="str">
        <f ca="1">IFERROR(__xludf.DUMMYFUNCTION("""COMPUTED_VALUE"""),"CW20409_Dec25")</f>
        <v>CW20409_Dec25</v>
      </c>
      <c r="K539" s="99" t="str">
        <f ca="1">IFERROR(__xludf.DUMMYFUNCTION("""COMPUTED_VALUE"""),"HoM Approved")</f>
        <v>HoM Approved</v>
      </c>
    </row>
    <row r="540" spans="1:11" ht="13.2">
      <c r="A540" s="89" t="str">
        <f ca="1">IFERROR(__xludf.DUMMYFUNCTION("""COMPUTED_VALUE"""),"PRAN DAIRY LTD. PIP - ALL")</f>
        <v>PRAN DAIRY LTD. PIP - ALL</v>
      </c>
      <c r="B540" s="90" t="str">
        <f ca="1">IFERROR(__xludf.DUMMYFUNCTION("""COMPUTED_VALUE"""),"Philippines")</f>
        <v>Philippines</v>
      </c>
      <c r="C540" s="91" t="str">
        <f ca="1">IFERROR(__xludf.DUMMYFUNCTION("""COMPUTED_VALUE"""),"Farjana Apu")</f>
        <v>Farjana Apu</v>
      </c>
      <c r="D540" s="92" t="str">
        <f ca="1">IFERROR(__xludf.DUMMYFUNCTION("""COMPUTED_VALUE"""),"Md Iasin Ahmed Showrov (S204960)")</f>
        <v>Md Iasin Ahmed Showrov (S204960)</v>
      </c>
      <c r="E540" s="93" t="str">
        <f ca="1">IFERROR(__xludf.DUMMYFUNCTION("""COMPUTED_VALUE"""),"CB14575_Dec25")</f>
        <v>CB14575_Dec25</v>
      </c>
      <c r="F540" s="94" t="str">
        <f ca="1">IFERROR(__xludf.DUMMYFUNCTION("""COMPUTED_VALUE"""),"Packaging Text Design #1")</f>
        <v>Packaging Text Design #1</v>
      </c>
      <c r="G540" s="95" t="str">
        <f ca="1">IFERROR(__xludf.DUMMYFUNCTION("""COMPUTED_VALUE"""),"New")</f>
        <v>New</v>
      </c>
      <c r="H540" s="96">
        <f ca="1">IFERROR(__xludf.DUMMYFUNCTION("""COMPUTED_VALUE"""),2)</f>
        <v>2</v>
      </c>
      <c r="I540" s="97">
        <f ca="1">IFERROR(__xludf.DUMMYFUNCTION("""COMPUTED_VALUE"""),46020)</f>
        <v>46020</v>
      </c>
      <c r="J540" s="98" t="str">
        <f ca="1">IFERROR(__xludf.DUMMYFUNCTION("""COMPUTED_VALUE"""),"CW20410_Dec25")</f>
        <v>CW20410_Dec25</v>
      </c>
      <c r="K540" s="99" t="str">
        <f ca="1">IFERROR(__xludf.DUMMYFUNCTION("""COMPUTED_VALUE"""),"HoM Approved")</f>
        <v>HoM Approved</v>
      </c>
    </row>
    <row r="541" spans="1:11" ht="13.2">
      <c r="A541" s="89" t="str">
        <f ca="1">IFERROR(__xludf.DUMMYFUNCTION("""COMPUTED_VALUE"""),"PRAN DAIRY LTD. PIP - ALL")</f>
        <v>PRAN DAIRY LTD. PIP - ALL</v>
      </c>
      <c r="B541" s="90" t="str">
        <f ca="1">IFERROR(__xludf.DUMMYFUNCTION("""COMPUTED_VALUE"""),"Philippines")</f>
        <v>Philippines</v>
      </c>
      <c r="C541" s="91" t="str">
        <f ca="1">IFERROR(__xludf.DUMMYFUNCTION("""COMPUTED_VALUE"""),"Farjana Apu")</f>
        <v>Farjana Apu</v>
      </c>
      <c r="D541" s="92" t="str">
        <f ca="1">IFERROR(__xludf.DUMMYFUNCTION("""COMPUTED_VALUE"""),"Md Iasin Ahmed Showrov (S204960)")</f>
        <v>Md Iasin Ahmed Showrov (S204960)</v>
      </c>
      <c r="E541" s="93" t="str">
        <f ca="1">IFERROR(__xludf.DUMMYFUNCTION("""COMPUTED_VALUE"""),"CB14572_Dec25")</f>
        <v>CB14572_Dec25</v>
      </c>
      <c r="F541" s="94" t="str">
        <f ca="1">IFERROR(__xludf.DUMMYFUNCTION("""COMPUTED_VALUE"""),"Packaging Text Design #1")</f>
        <v>Packaging Text Design #1</v>
      </c>
      <c r="G541" s="95" t="str">
        <f ca="1">IFERROR(__xludf.DUMMYFUNCTION("""COMPUTED_VALUE"""),"New")</f>
        <v>New</v>
      </c>
      <c r="H541" s="96">
        <f ca="1">IFERROR(__xludf.DUMMYFUNCTION("""COMPUTED_VALUE"""),2)</f>
        <v>2</v>
      </c>
      <c r="I541" s="97">
        <f ca="1">IFERROR(__xludf.DUMMYFUNCTION("""COMPUTED_VALUE"""),46020)</f>
        <v>46020</v>
      </c>
      <c r="J541" s="98" t="str">
        <f ca="1">IFERROR(__xludf.DUMMYFUNCTION("""COMPUTED_VALUE"""),"CW20413_Dec25")</f>
        <v>CW20413_Dec25</v>
      </c>
      <c r="K541" s="99" t="str">
        <f ca="1">IFERROR(__xludf.DUMMYFUNCTION("""COMPUTED_VALUE"""),"HoM Approved")</f>
        <v>HoM Approved</v>
      </c>
    </row>
    <row r="542" spans="1:11" ht="13.2">
      <c r="A542" s="89" t="str">
        <f ca="1">IFERROR(__xludf.DUMMYFUNCTION("""COMPUTED_VALUE"""),"PRAN Noodles")</f>
        <v>PRAN Noodles</v>
      </c>
      <c r="B542" s="90" t="str">
        <f ca="1">IFERROR(__xludf.DUMMYFUNCTION("""COMPUTED_VALUE"""),"PAL")</f>
        <v>PAL</v>
      </c>
      <c r="C542" s="91" t="str">
        <f ca="1">IFERROR(__xludf.DUMMYFUNCTION("""COMPUTED_VALUE"""),"Farjana Apu")</f>
        <v>Farjana Apu</v>
      </c>
      <c r="D542" s="92" t="str">
        <f ca="1">IFERROR(__xludf.DUMMYFUNCTION("""COMPUTED_VALUE"""),"Md Iasin Ahmed Showrov (S204960)")</f>
        <v>Md Iasin Ahmed Showrov (S204960)</v>
      </c>
      <c r="E542" s="93" t="str">
        <f ca="1">IFERROR(__xludf.DUMMYFUNCTION("""COMPUTED_VALUE"""),"CB13975_Dec25")</f>
        <v>CB13975_Dec25</v>
      </c>
      <c r="F542" s="94" t="str">
        <f ca="1">IFERROR(__xludf.DUMMYFUNCTION("""COMPUTED_VALUE"""),"Packaging Text Design #1")</f>
        <v>Packaging Text Design #1</v>
      </c>
      <c r="G542" s="95" t="str">
        <f ca="1">IFERROR(__xludf.DUMMYFUNCTION("""COMPUTED_VALUE"""),"New")</f>
        <v>New</v>
      </c>
      <c r="H542" s="96">
        <f ca="1">IFERROR(__xludf.DUMMYFUNCTION("""COMPUTED_VALUE"""),1)</f>
        <v>1</v>
      </c>
      <c r="I542" s="97">
        <f ca="1">IFERROR(__xludf.DUMMYFUNCTION("""COMPUTED_VALUE"""),46020)</f>
        <v>46020</v>
      </c>
      <c r="J542" s="98" t="str">
        <f ca="1">IFERROR(__xludf.DUMMYFUNCTION("""COMPUTED_VALUE"""),"CW20348_Dec25")</f>
        <v>CW20348_Dec25</v>
      </c>
      <c r="K542" s="99" t="str">
        <f ca="1">IFERROR(__xludf.DUMMYFUNCTION("""COMPUTED_VALUE"""),"HoM Approved")</f>
        <v>HoM Approved</v>
      </c>
    </row>
    <row r="543" spans="1:11" ht="13.2">
      <c r="A543" s="89" t="str">
        <f ca="1">IFERROR(__xludf.DUMMYFUNCTION("""COMPUTED_VALUE"""),"PRAN DAIRY LTD. PIP - ALL")</f>
        <v>PRAN DAIRY LTD. PIP - ALL</v>
      </c>
      <c r="B543" s="90" t="str">
        <f ca="1">IFERROR(__xludf.DUMMYFUNCTION("""COMPUTED_VALUE"""),"Philippines")</f>
        <v>Philippines</v>
      </c>
      <c r="C543" s="91" t="str">
        <f ca="1">IFERROR(__xludf.DUMMYFUNCTION("""COMPUTED_VALUE"""),"Farjana Apu")</f>
        <v>Farjana Apu</v>
      </c>
      <c r="D543" s="92" t="str">
        <f ca="1">IFERROR(__xludf.DUMMYFUNCTION("""COMPUTED_VALUE"""),"Md Iasin Ahmed Showrov (S204960)")</f>
        <v>Md Iasin Ahmed Showrov (S204960)</v>
      </c>
      <c r="E543" s="93" t="str">
        <f ca="1">IFERROR(__xludf.DUMMYFUNCTION("""COMPUTED_VALUE"""),"CB14570_Dec25")</f>
        <v>CB14570_Dec25</v>
      </c>
      <c r="F543" s="94" t="str">
        <f ca="1">IFERROR(__xludf.DUMMYFUNCTION("""COMPUTED_VALUE"""),"Packaging Text Design #1")</f>
        <v>Packaging Text Design #1</v>
      </c>
      <c r="G543" s="95" t="str">
        <f ca="1">IFERROR(__xludf.DUMMYFUNCTION("""COMPUTED_VALUE"""),"New")</f>
        <v>New</v>
      </c>
      <c r="H543" s="96">
        <f ca="1">IFERROR(__xludf.DUMMYFUNCTION("""COMPUTED_VALUE"""),2)</f>
        <v>2</v>
      </c>
      <c r="I543" s="97">
        <f ca="1">IFERROR(__xludf.DUMMYFUNCTION("""COMPUTED_VALUE"""),46020)</f>
        <v>46020</v>
      </c>
      <c r="J543" s="98" t="str">
        <f ca="1">IFERROR(__xludf.DUMMYFUNCTION("""COMPUTED_VALUE"""),"CW20415_Dec25")</f>
        <v>CW20415_Dec25</v>
      </c>
      <c r="K543" s="99" t="str">
        <f ca="1">IFERROR(__xludf.DUMMYFUNCTION("""COMPUTED_VALUE"""),"HoM Approved")</f>
        <v>HoM Approved</v>
      </c>
    </row>
    <row r="544" spans="1:11" ht="13.2">
      <c r="A544" s="89" t="str">
        <f ca="1">IFERROR(__xludf.DUMMYFUNCTION("""COMPUTED_VALUE"""),"Gandour India Food Processing Pvt. Ltd")</f>
        <v>Gandour India Food Processing Pvt. Ltd</v>
      </c>
      <c r="B544" s="90" t="str">
        <f ca="1">IFERROR(__xludf.DUMMYFUNCTION("""COMPUTED_VALUE"""),"Philippines")</f>
        <v>Philippines</v>
      </c>
      <c r="C544" s="91" t="str">
        <f ca="1">IFERROR(__xludf.DUMMYFUNCTION("""COMPUTED_VALUE"""),"Farjana Apu")</f>
        <v>Farjana Apu</v>
      </c>
      <c r="D544" s="92" t="str">
        <f ca="1">IFERROR(__xludf.DUMMYFUNCTION("""COMPUTED_VALUE"""),"Md Iasin Ahmed Showrov (S204960)")</f>
        <v>Md Iasin Ahmed Showrov (S204960)</v>
      </c>
      <c r="E544" s="93" t="str">
        <f ca="1">IFERROR(__xludf.DUMMYFUNCTION("""COMPUTED_VALUE"""),"CB14542_Dec25")</f>
        <v>CB14542_Dec25</v>
      </c>
      <c r="F544" s="94" t="str">
        <f ca="1">IFERROR(__xludf.DUMMYFUNCTION("""COMPUTED_VALUE"""),"Packaging Text Design #1")</f>
        <v>Packaging Text Design #1</v>
      </c>
      <c r="G544" s="95" t="str">
        <f ca="1">IFERROR(__xludf.DUMMYFUNCTION("""COMPUTED_VALUE"""),"New")</f>
        <v>New</v>
      </c>
      <c r="H544" s="96">
        <f ca="1">IFERROR(__xludf.DUMMYFUNCTION("""COMPUTED_VALUE"""),1)</f>
        <v>1</v>
      </c>
      <c r="I544" s="97">
        <f ca="1">IFERROR(__xludf.DUMMYFUNCTION("""COMPUTED_VALUE"""),46020)</f>
        <v>46020</v>
      </c>
      <c r="J544" s="98" t="str">
        <f ca="1">IFERROR(__xludf.DUMMYFUNCTION("""COMPUTED_VALUE"""),"CW20416_Dec25")</f>
        <v>CW20416_Dec25</v>
      </c>
      <c r="K544" s="99" t="str">
        <f ca="1">IFERROR(__xludf.DUMMYFUNCTION("""COMPUTED_VALUE"""),"HoM Approved")</f>
        <v>HoM Approved</v>
      </c>
    </row>
    <row r="545" spans="1:11" ht="13.2">
      <c r="A545" s="89" t="str">
        <f ca="1">IFERROR(__xludf.DUMMYFUNCTION("""COMPUTED_VALUE"""),"PRAN DAIRY LTD. PIP - ALL")</f>
        <v>PRAN DAIRY LTD. PIP - ALL</v>
      </c>
      <c r="B545" s="90" t="str">
        <f ca="1">IFERROR(__xludf.DUMMYFUNCTION("""COMPUTED_VALUE"""),"Philippines")</f>
        <v>Philippines</v>
      </c>
      <c r="C545" s="91" t="str">
        <f ca="1">IFERROR(__xludf.DUMMYFUNCTION("""COMPUTED_VALUE"""),"Farjana Apu")</f>
        <v>Farjana Apu</v>
      </c>
      <c r="D545" s="92" t="str">
        <f ca="1">IFERROR(__xludf.DUMMYFUNCTION("""COMPUTED_VALUE"""),"Md Iasin Ahmed Showrov (S204960)")</f>
        <v>Md Iasin Ahmed Showrov (S204960)</v>
      </c>
      <c r="E545" s="93" t="str">
        <f ca="1">IFERROR(__xludf.DUMMYFUNCTION("""COMPUTED_VALUE"""),"CB14574_Dec25")</f>
        <v>CB14574_Dec25</v>
      </c>
      <c r="F545" s="94" t="str">
        <f ca="1">IFERROR(__xludf.DUMMYFUNCTION("""COMPUTED_VALUE"""),"Packaging Text Design #1")</f>
        <v>Packaging Text Design #1</v>
      </c>
      <c r="G545" s="95" t="str">
        <f ca="1">IFERROR(__xludf.DUMMYFUNCTION("""COMPUTED_VALUE"""),"New")</f>
        <v>New</v>
      </c>
      <c r="H545" s="96">
        <f ca="1">IFERROR(__xludf.DUMMYFUNCTION("""COMPUTED_VALUE"""),2)</f>
        <v>2</v>
      </c>
      <c r="I545" s="97">
        <f ca="1">IFERROR(__xludf.DUMMYFUNCTION("""COMPUTED_VALUE"""),46020)</f>
        <v>46020</v>
      </c>
      <c r="J545" s="98" t="str">
        <f ca="1">IFERROR(__xludf.DUMMYFUNCTION("""COMPUTED_VALUE"""),"CW20411_Dec25")</f>
        <v>CW20411_Dec25</v>
      </c>
      <c r="K545" s="99" t="str">
        <f ca="1">IFERROR(__xludf.DUMMYFUNCTION("""COMPUTED_VALUE"""),"HoM Approved")</f>
        <v>HoM Approved</v>
      </c>
    </row>
    <row r="546" spans="1:11" ht="13.2">
      <c r="A546" s="89" t="str">
        <f ca="1">IFERROR(__xludf.DUMMYFUNCTION("""COMPUTED_VALUE"""),"PRAN DAIRY LTD. PIP - ALL")</f>
        <v>PRAN DAIRY LTD. PIP - ALL</v>
      </c>
      <c r="B546" s="90" t="str">
        <f ca="1">IFERROR(__xludf.DUMMYFUNCTION("""COMPUTED_VALUE"""),"Philippines")</f>
        <v>Philippines</v>
      </c>
      <c r="C546" s="91" t="str">
        <f ca="1">IFERROR(__xludf.DUMMYFUNCTION("""COMPUTED_VALUE"""),"Farjana Apu")</f>
        <v>Farjana Apu</v>
      </c>
      <c r="D546" s="92" t="str">
        <f ca="1">IFERROR(__xludf.DUMMYFUNCTION("""COMPUTED_VALUE"""),"Md Iasin Ahmed Showrov (S204960)")</f>
        <v>Md Iasin Ahmed Showrov (S204960)</v>
      </c>
      <c r="E546" s="93" t="str">
        <f ca="1">IFERROR(__xludf.DUMMYFUNCTION("""COMPUTED_VALUE"""),"CB14571_Dec25")</f>
        <v>CB14571_Dec25</v>
      </c>
      <c r="F546" s="94" t="str">
        <f ca="1">IFERROR(__xludf.DUMMYFUNCTION("""COMPUTED_VALUE"""),"Packaging Text Design #1")</f>
        <v>Packaging Text Design #1</v>
      </c>
      <c r="G546" s="95" t="str">
        <f ca="1">IFERROR(__xludf.DUMMYFUNCTION("""COMPUTED_VALUE"""),"New")</f>
        <v>New</v>
      </c>
      <c r="H546" s="96">
        <f ca="1">IFERROR(__xludf.DUMMYFUNCTION("""COMPUTED_VALUE"""),2)</f>
        <v>2</v>
      </c>
      <c r="I546" s="97">
        <f ca="1">IFERROR(__xludf.DUMMYFUNCTION("""COMPUTED_VALUE"""),46020)</f>
        <v>46020</v>
      </c>
      <c r="J546" s="98" t="str">
        <f ca="1">IFERROR(__xludf.DUMMYFUNCTION("""COMPUTED_VALUE"""),"CW20414_Dec25")</f>
        <v>CW20414_Dec25</v>
      </c>
      <c r="K546" s="99" t="str">
        <f ca="1">IFERROR(__xludf.DUMMYFUNCTION("""COMPUTED_VALUE"""),"HoM Approved")</f>
        <v>HoM Approved</v>
      </c>
    </row>
    <row r="547" spans="1:11" ht="13.2">
      <c r="A547" s="89" t="str">
        <f ca="1">IFERROR(__xludf.DUMMYFUNCTION("""COMPUTED_VALUE"""),"HIP-ALL")</f>
        <v>HIP-ALL</v>
      </c>
      <c r="B547" s="90" t="str">
        <f ca="1">IFERROR(__xludf.DUMMYFUNCTION("""COMPUTED_VALUE"""),"Philippines")</f>
        <v>Philippines</v>
      </c>
      <c r="C547" s="91" t="str">
        <f ca="1">IFERROR(__xludf.DUMMYFUNCTION("""COMPUTED_VALUE"""),"Rabby Vai")</f>
        <v>Rabby Vai</v>
      </c>
      <c r="D547" s="92" t="str">
        <f ca="1">IFERROR(__xludf.DUMMYFUNCTION("""COMPUTED_VALUE"""),"Md Iasin Ahmed Showrov (S204960)")</f>
        <v>Md Iasin Ahmed Showrov (S204960)</v>
      </c>
      <c r="E547" s="93" t="str">
        <f ca="1">IFERROR(__xludf.DUMMYFUNCTION("""COMPUTED_VALUE"""),"CB14085_Dec25")</f>
        <v>CB14085_Dec25</v>
      </c>
      <c r="F547" s="94" t="str">
        <f ca="1">IFERROR(__xludf.DUMMYFUNCTION("""COMPUTED_VALUE"""),"Packaging Text Design #1")</f>
        <v>Packaging Text Design #1</v>
      </c>
      <c r="G547" s="95" t="str">
        <f ca="1">IFERROR(__xludf.DUMMYFUNCTION("""COMPUTED_VALUE"""),"New")</f>
        <v>New</v>
      </c>
      <c r="H547" s="96">
        <f ca="1">IFERROR(__xludf.DUMMYFUNCTION("""COMPUTED_VALUE"""),1)</f>
        <v>1</v>
      </c>
      <c r="I547" s="97">
        <f ca="1">IFERROR(__xludf.DUMMYFUNCTION("""COMPUTED_VALUE"""),46020)</f>
        <v>46020</v>
      </c>
      <c r="J547" s="98" t="str">
        <f ca="1">IFERROR(__xludf.DUMMYFUNCTION("""COMPUTED_VALUE"""),"CW20394_Dec25")</f>
        <v>CW20394_Dec25</v>
      </c>
      <c r="K547" s="99" t="str">
        <f ca="1">IFERROR(__xludf.DUMMYFUNCTION("""COMPUTED_VALUE"""),"HoM Approved")</f>
        <v>HoM Approved</v>
      </c>
    </row>
    <row r="548" spans="1:11" ht="13.2">
      <c r="A548" s="89" t="str">
        <f ca="1">IFERROR(__xludf.DUMMYFUNCTION("""COMPUTED_VALUE"""),"HIP-ALL")</f>
        <v>HIP-ALL</v>
      </c>
      <c r="B548" s="90" t="str">
        <f ca="1">IFERROR(__xludf.DUMMYFUNCTION("""COMPUTED_VALUE"""),"Philippines")</f>
        <v>Philippines</v>
      </c>
      <c r="C548" s="91" t="str">
        <f ca="1">IFERROR(__xludf.DUMMYFUNCTION("""COMPUTED_VALUE"""),"Rabby Vai")</f>
        <v>Rabby Vai</v>
      </c>
      <c r="D548" s="92" t="str">
        <f ca="1">IFERROR(__xludf.DUMMYFUNCTION("""COMPUTED_VALUE"""),"Md Iasin Ahmed Showrov (S204960)")</f>
        <v>Md Iasin Ahmed Showrov (S204960)</v>
      </c>
      <c r="E548" s="93" t="str">
        <f ca="1">IFERROR(__xludf.DUMMYFUNCTION("""COMPUTED_VALUE"""),"CB14200_Dec25")</f>
        <v>CB14200_Dec25</v>
      </c>
      <c r="F548" s="94" t="str">
        <f ca="1">IFERROR(__xludf.DUMMYFUNCTION("""COMPUTED_VALUE"""),"Packaging Text Design #1")</f>
        <v>Packaging Text Design #1</v>
      </c>
      <c r="G548" s="95" t="str">
        <f ca="1">IFERROR(__xludf.DUMMYFUNCTION("""COMPUTED_VALUE"""),"New")</f>
        <v>New</v>
      </c>
      <c r="H548" s="96">
        <f ca="1">IFERROR(__xludf.DUMMYFUNCTION("""COMPUTED_VALUE"""),1)</f>
        <v>1</v>
      </c>
      <c r="I548" s="97">
        <f ca="1">IFERROR(__xludf.DUMMYFUNCTION("""COMPUTED_VALUE"""),46020)</f>
        <v>46020</v>
      </c>
      <c r="J548" s="98" t="str">
        <f ca="1">IFERROR(__xludf.DUMMYFUNCTION("""COMPUTED_VALUE"""),"CW20370_Dec25")</f>
        <v>CW20370_Dec25</v>
      </c>
      <c r="K548" s="99" t="str">
        <f ca="1">IFERROR(__xludf.DUMMYFUNCTION("""COMPUTED_VALUE"""),"HoM Approved")</f>
        <v>HoM Approved</v>
      </c>
    </row>
    <row r="549" spans="1:11" ht="13.2">
      <c r="A549" s="89" t="str">
        <f ca="1">IFERROR(__xludf.DUMMYFUNCTION("""COMPUTED_VALUE"""),"PRAN Choco Choco")</f>
        <v>PRAN Choco Choco</v>
      </c>
      <c r="B549" s="90" t="str">
        <f ca="1">IFERROR(__xludf.DUMMYFUNCTION("""COMPUTED_VALUE"""),"India")</f>
        <v>India</v>
      </c>
      <c r="C549" s="91" t="str">
        <f ca="1">IFERROR(__xludf.DUMMYFUNCTION("""COMPUTED_VALUE"""),"Rabby Vai")</f>
        <v>Rabby Vai</v>
      </c>
      <c r="D549" s="92" t="str">
        <f ca="1">IFERROR(__xludf.DUMMYFUNCTION("""COMPUTED_VALUE"""),"Md Iasin Ahmed Showrov (S204960)")</f>
        <v>Md Iasin Ahmed Showrov (S204960)</v>
      </c>
      <c r="E549" s="93" t="str">
        <f ca="1">IFERROR(__xludf.DUMMYFUNCTION("""COMPUTED_VALUE"""),"CB14637_Dec25")</f>
        <v>CB14637_Dec25</v>
      </c>
      <c r="F549" s="94" t="str">
        <f ca="1">IFERROR(__xludf.DUMMYFUNCTION("""COMPUTED_VALUE"""),"Packaging Text Design #1")</f>
        <v>Packaging Text Design #1</v>
      </c>
      <c r="G549" s="95" t="str">
        <f ca="1">IFERROR(__xludf.DUMMYFUNCTION("""COMPUTED_VALUE"""),"New")</f>
        <v>New</v>
      </c>
      <c r="H549" s="96">
        <f ca="1">IFERROR(__xludf.DUMMYFUNCTION("""COMPUTED_VALUE"""),4)</f>
        <v>4</v>
      </c>
      <c r="I549" s="97">
        <f ca="1">IFERROR(__xludf.DUMMYFUNCTION("""COMPUTED_VALUE"""),46021)</f>
        <v>46021</v>
      </c>
      <c r="J549" s="98" t="str">
        <f ca="1">IFERROR(__xludf.DUMMYFUNCTION("""COMPUTED_VALUE"""),"CW20509_Dec25")</f>
        <v>CW20509_Dec25</v>
      </c>
      <c r="K549" s="99" t="str">
        <f ca="1">IFERROR(__xludf.DUMMYFUNCTION("""COMPUTED_VALUE"""),"HoM Approved")</f>
        <v>HoM Approved</v>
      </c>
    </row>
    <row r="550" spans="1:11" ht="13.2">
      <c r="A550" s="89" t="str">
        <f ca="1">IFERROR(__xludf.DUMMYFUNCTION("""COMPUTED_VALUE"""),"PRAN Noodles")</f>
        <v>PRAN Noodles</v>
      </c>
      <c r="B550" s="90" t="str">
        <f ca="1">IFERROR(__xludf.DUMMYFUNCTION("""COMPUTED_VALUE"""),"PAL")</f>
        <v>PAL</v>
      </c>
      <c r="C550" s="91" t="str">
        <f ca="1">IFERROR(__xludf.DUMMYFUNCTION("""COMPUTED_VALUE"""),"Rakib Vai")</f>
        <v>Rakib Vai</v>
      </c>
      <c r="D550" s="92" t="str">
        <f ca="1">IFERROR(__xludf.DUMMYFUNCTION("""COMPUTED_VALUE"""),"Md Iasin Ahmed Showrov (S204960)")</f>
        <v>Md Iasin Ahmed Showrov (S204960)</v>
      </c>
      <c r="E550" s="93" t="str">
        <f ca="1">IFERROR(__xludf.DUMMYFUNCTION("""COMPUTED_VALUE"""),"CB14693_Dec25")</f>
        <v>CB14693_Dec25</v>
      </c>
      <c r="F550" s="94" t="str">
        <f ca="1">IFERROR(__xludf.DUMMYFUNCTION("""COMPUTED_VALUE"""),"Carton Design")</f>
        <v>Carton Design</v>
      </c>
      <c r="G550" s="95" t="str">
        <f ca="1">IFERROR(__xludf.DUMMYFUNCTION("""COMPUTED_VALUE"""),"New")</f>
        <v>New</v>
      </c>
      <c r="H550" s="96">
        <f ca="1">IFERROR(__xludf.DUMMYFUNCTION("""COMPUTED_VALUE"""),1)</f>
        <v>1</v>
      </c>
      <c r="I550" s="97">
        <f ca="1">IFERROR(__xludf.DUMMYFUNCTION("""COMPUTED_VALUE"""),46021)</f>
        <v>46021</v>
      </c>
      <c r="J550" s="98" t="str">
        <f ca="1">IFERROR(__xludf.DUMMYFUNCTION("""COMPUTED_VALUE"""),"CW20588_Dec25")</f>
        <v>CW20588_Dec25</v>
      </c>
      <c r="K550" s="99" t="str">
        <f ca="1">IFERROR(__xludf.DUMMYFUNCTION("""COMPUTED_VALUE"""),"HoM Approved")</f>
        <v>HoM Approved</v>
      </c>
    </row>
    <row r="551" spans="1:11" ht="13.2">
      <c r="A551" s="89" t="str">
        <f ca="1">IFERROR(__xludf.DUMMYFUNCTION("""COMPUTED_VALUE"""),"HIP-ALL")</f>
        <v>HIP-ALL</v>
      </c>
      <c r="B551" s="90" t="str">
        <f ca="1">IFERROR(__xludf.DUMMYFUNCTION("""COMPUTED_VALUE"""),"Philippines")</f>
        <v>Philippines</v>
      </c>
      <c r="C551" s="91" t="str">
        <f ca="1">IFERROR(__xludf.DUMMYFUNCTION("""COMPUTED_VALUE"""),"Rabby Vai")</f>
        <v>Rabby Vai</v>
      </c>
      <c r="D551" s="92" t="str">
        <f ca="1">IFERROR(__xludf.DUMMYFUNCTION("""COMPUTED_VALUE"""),"Md Iasin Ahmed Showrov (S204960)")</f>
        <v>Md Iasin Ahmed Showrov (S204960)</v>
      </c>
      <c r="E551" s="93" t="str">
        <f ca="1">IFERROR(__xludf.DUMMYFUNCTION("""COMPUTED_VALUE"""),"CB14602_Dec25")</f>
        <v>CB14602_Dec25</v>
      </c>
      <c r="F551" s="94" t="str">
        <f ca="1">IFERROR(__xludf.DUMMYFUNCTION("""COMPUTED_VALUE"""),"Packaging Text Design #1")</f>
        <v>Packaging Text Design #1</v>
      </c>
      <c r="G551" s="95" t="str">
        <f ca="1">IFERROR(__xludf.DUMMYFUNCTION("""COMPUTED_VALUE"""),"New")</f>
        <v>New</v>
      </c>
      <c r="H551" s="96">
        <f ca="1">IFERROR(__xludf.DUMMYFUNCTION("""COMPUTED_VALUE"""),1)</f>
        <v>1</v>
      </c>
      <c r="I551" s="97">
        <f ca="1">IFERROR(__xludf.DUMMYFUNCTION("""COMPUTED_VALUE"""),46028)</f>
        <v>46028</v>
      </c>
      <c r="J551" s="98" t="str">
        <f ca="1">IFERROR(__xludf.DUMMYFUNCTION("""COMPUTED_VALUE"""),"CW21221_Jan26")</f>
        <v>CW21221_Jan26</v>
      </c>
      <c r="K551" s="99" t="str">
        <f ca="1">IFERROR(__xludf.DUMMYFUNCTION("""COMPUTED_VALUE"""),"HoM Approved")</f>
        <v>HoM Approved</v>
      </c>
    </row>
    <row r="552" spans="1:11" ht="13.2">
      <c r="A552" s="89" t="str">
        <f ca="1">IFERROR(__xludf.DUMMYFUNCTION("""COMPUTED_VALUE"""),"HIP-ALL")</f>
        <v>HIP-ALL</v>
      </c>
      <c r="B552" s="90" t="str">
        <f ca="1">IFERROR(__xludf.DUMMYFUNCTION("""COMPUTED_VALUE"""),"Philippines")</f>
        <v>Philippines</v>
      </c>
      <c r="C552" s="91" t="str">
        <f ca="1">IFERROR(__xludf.DUMMYFUNCTION("""COMPUTED_VALUE"""),"Farjana Apu")</f>
        <v>Farjana Apu</v>
      </c>
      <c r="D552" s="92" t="str">
        <f ca="1">IFERROR(__xludf.DUMMYFUNCTION("""COMPUTED_VALUE"""),"Md Iasin Ahmed Showrov (S204960)")</f>
        <v>Md Iasin Ahmed Showrov (S204960)</v>
      </c>
      <c r="E552" s="93" t="str">
        <f ca="1">IFERROR(__xludf.DUMMYFUNCTION("""COMPUTED_VALUE"""),"CB15203_Jan26")</f>
        <v>CB15203_Jan26</v>
      </c>
      <c r="F552" s="94" t="str">
        <f ca="1">IFERROR(__xludf.DUMMYFUNCTION("""COMPUTED_VALUE"""),"Packaging Text Design #1")</f>
        <v>Packaging Text Design #1</v>
      </c>
      <c r="G552" s="95" t="str">
        <f ca="1">IFERROR(__xludf.DUMMYFUNCTION("""COMPUTED_VALUE"""),"New")</f>
        <v>New</v>
      </c>
      <c r="H552" s="96">
        <f ca="1">IFERROR(__xludf.DUMMYFUNCTION("""COMPUTED_VALUE"""),1)</f>
        <v>1</v>
      </c>
      <c r="I552" s="97">
        <f ca="1">IFERROR(__xludf.DUMMYFUNCTION("""COMPUTED_VALUE"""),46032)</f>
        <v>46032</v>
      </c>
      <c r="J552" s="98" t="str">
        <f ca="1">IFERROR(__xludf.DUMMYFUNCTION("""COMPUTED_VALUE"""),"CW21495_Jan26")</f>
        <v>CW21495_Jan26</v>
      </c>
      <c r="K552" s="99" t="str">
        <f ca="1">IFERROR(__xludf.DUMMYFUNCTION("""COMPUTED_VALUE"""),"HoM Approved")</f>
        <v>HoM Approved</v>
      </c>
    </row>
    <row r="553" spans="1:11" ht="13.2">
      <c r="A553" s="89" t="str">
        <f ca="1">IFERROR(__xludf.DUMMYFUNCTION("""COMPUTED_VALUE"""),"PRAN DAIRY LTD. PIP - ALL")</f>
        <v>PRAN DAIRY LTD. PIP - ALL</v>
      </c>
      <c r="B553" s="90" t="str">
        <f ca="1">IFERROR(__xludf.DUMMYFUNCTION("""COMPUTED_VALUE"""),"Philippines")</f>
        <v>Philippines</v>
      </c>
      <c r="C553" s="91" t="str">
        <f ca="1">IFERROR(__xludf.DUMMYFUNCTION("""COMPUTED_VALUE"""),"Farjana Apu")</f>
        <v>Farjana Apu</v>
      </c>
      <c r="D553" s="92" t="str">
        <f ca="1">IFERROR(__xludf.DUMMYFUNCTION("""COMPUTED_VALUE"""),"Md Iasin Ahmed Showrov (S204960)")</f>
        <v>Md Iasin Ahmed Showrov (S204960)</v>
      </c>
      <c r="E553" s="93" t="str">
        <f ca="1">IFERROR(__xludf.DUMMYFUNCTION("""COMPUTED_VALUE"""),"CB15184_Jan26")</f>
        <v>CB15184_Jan26</v>
      </c>
      <c r="F553" s="94" t="str">
        <f ca="1">IFERROR(__xludf.DUMMYFUNCTION("""COMPUTED_VALUE"""),"Packaging Text Design #1")</f>
        <v>Packaging Text Design #1</v>
      </c>
      <c r="G553" s="95" t="str">
        <f ca="1">IFERROR(__xludf.DUMMYFUNCTION("""COMPUTED_VALUE"""),"New")</f>
        <v>New</v>
      </c>
      <c r="H553" s="96">
        <f ca="1">IFERROR(__xludf.DUMMYFUNCTION("""COMPUTED_VALUE"""),1)</f>
        <v>1</v>
      </c>
      <c r="I553" s="97">
        <f ca="1">IFERROR(__xludf.DUMMYFUNCTION("""COMPUTED_VALUE"""),46032)</f>
        <v>46032</v>
      </c>
      <c r="J553" s="98" t="str">
        <f ca="1">IFERROR(__xludf.DUMMYFUNCTION("""COMPUTED_VALUE"""),"CW21496_Jan26")</f>
        <v>CW21496_Jan26</v>
      </c>
      <c r="K553" s="99" t="str">
        <f ca="1">IFERROR(__xludf.DUMMYFUNCTION("""COMPUTED_VALUE"""),"HoM Approved")</f>
        <v>HoM Approved</v>
      </c>
    </row>
    <row r="554" spans="1:11" ht="13.2">
      <c r="A554" s="89" t="str">
        <f ca="1">IFERROR(__xludf.DUMMYFUNCTION("""COMPUTED_VALUE"""),"PRAN DAIRY LTD. PIP - ALL")</f>
        <v>PRAN DAIRY LTD. PIP - ALL</v>
      </c>
      <c r="B554" s="90" t="str">
        <f ca="1">IFERROR(__xludf.DUMMYFUNCTION("""COMPUTED_VALUE"""),"Philippines")</f>
        <v>Philippines</v>
      </c>
      <c r="C554" s="91" t="str">
        <f ca="1">IFERROR(__xludf.DUMMYFUNCTION("""COMPUTED_VALUE"""),"Farjana Apu")</f>
        <v>Farjana Apu</v>
      </c>
      <c r="D554" s="92" t="str">
        <f ca="1">IFERROR(__xludf.DUMMYFUNCTION("""COMPUTED_VALUE"""),"Md Iasin Ahmed Showrov (S204960)")</f>
        <v>Md Iasin Ahmed Showrov (S204960)</v>
      </c>
      <c r="E554" s="93" t="str">
        <f ca="1">IFERROR(__xludf.DUMMYFUNCTION("""COMPUTED_VALUE"""),"CB14772_Jan26")</f>
        <v>CB14772_Jan26</v>
      </c>
      <c r="F554" s="94" t="str">
        <f ca="1">IFERROR(__xludf.DUMMYFUNCTION("""COMPUTED_VALUE"""),"Packaging Text Design #1")</f>
        <v>Packaging Text Design #1</v>
      </c>
      <c r="G554" s="95" t="str">
        <f ca="1">IFERROR(__xludf.DUMMYFUNCTION("""COMPUTED_VALUE"""),"New")</f>
        <v>New</v>
      </c>
      <c r="H554" s="96">
        <f ca="1">IFERROR(__xludf.DUMMYFUNCTION("""COMPUTED_VALUE"""),1)</f>
        <v>1</v>
      </c>
      <c r="I554" s="97">
        <f ca="1">IFERROR(__xludf.DUMMYFUNCTION("""COMPUTED_VALUE"""),46032)</f>
        <v>46032</v>
      </c>
      <c r="J554" s="98" t="str">
        <f ca="1">IFERROR(__xludf.DUMMYFUNCTION("""COMPUTED_VALUE"""),"CW21498_Jan26")</f>
        <v>CW21498_Jan26</v>
      </c>
      <c r="K554" s="99" t="str">
        <f ca="1">IFERROR(__xludf.DUMMYFUNCTION("""COMPUTED_VALUE"""),"HoM Approved")</f>
        <v>HoM Approved</v>
      </c>
    </row>
    <row r="555" spans="1:11" ht="13.2">
      <c r="A555" s="89" t="str">
        <f ca="1">IFERROR(__xludf.DUMMYFUNCTION("""COMPUTED_VALUE"""),"PRAN DAIRY LTD. PIP - ALL")</f>
        <v>PRAN DAIRY LTD. PIP - ALL</v>
      </c>
      <c r="B555" s="90" t="str">
        <f ca="1">IFERROR(__xludf.DUMMYFUNCTION("""COMPUTED_VALUE"""),"Philippines")</f>
        <v>Philippines</v>
      </c>
      <c r="C555" s="91" t="str">
        <f ca="1">IFERROR(__xludf.DUMMYFUNCTION("""COMPUTED_VALUE"""),"Farjana Apu")</f>
        <v>Farjana Apu</v>
      </c>
      <c r="D555" s="92" t="str">
        <f ca="1">IFERROR(__xludf.DUMMYFUNCTION("""COMPUTED_VALUE"""),"Md Iasin Ahmed Showrov (S204960)")</f>
        <v>Md Iasin Ahmed Showrov (S204960)</v>
      </c>
      <c r="E555" s="93" t="str">
        <f ca="1">IFERROR(__xludf.DUMMYFUNCTION("""COMPUTED_VALUE"""),"CB14773_Jan26")</f>
        <v>CB14773_Jan26</v>
      </c>
      <c r="F555" s="94" t="str">
        <f ca="1">IFERROR(__xludf.DUMMYFUNCTION("""COMPUTED_VALUE"""),"Packaging Text Design #1")</f>
        <v>Packaging Text Design #1</v>
      </c>
      <c r="G555" s="95" t="str">
        <f ca="1">IFERROR(__xludf.DUMMYFUNCTION("""COMPUTED_VALUE"""),"New")</f>
        <v>New</v>
      </c>
      <c r="H555" s="96">
        <f ca="1">IFERROR(__xludf.DUMMYFUNCTION("""COMPUTED_VALUE"""),1)</f>
        <v>1</v>
      </c>
      <c r="I555" s="97">
        <f ca="1">IFERROR(__xludf.DUMMYFUNCTION("""COMPUTED_VALUE"""),46032)</f>
        <v>46032</v>
      </c>
      <c r="J555" s="98" t="str">
        <f ca="1">IFERROR(__xludf.DUMMYFUNCTION("""COMPUTED_VALUE"""),"CW21497_Jan26")</f>
        <v>CW21497_Jan26</v>
      </c>
      <c r="K555" s="99" t="str">
        <f ca="1">IFERROR(__xludf.DUMMYFUNCTION("""COMPUTED_VALUE"""),"HoM Approved")</f>
        <v>HoM Approved</v>
      </c>
    </row>
    <row r="556" spans="1:11" ht="13.2">
      <c r="A556" s="89" t="str">
        <f ca="1">IFERROR(__xludf.DUMMYFUNCTION("""COMPUTED_VALUE"""),"PRAN DAIRY LTD. PIP - ALL")</f>
        <v>PRAN DAIRY LTD. PIP - ALL</v>
      </c>
      <c r="B556" s="90" t="str">
        <f ca="1">IFERROR(__xludf.DUMMYFUNCTION("""COMPUTED_VALUE"""),"Philippines")</f>
        <v>Philippines</v>
      </c>
      <c r="C556" s="91" t="str">
        <f ca="1">IFERROR(__xludf.DUMMYFUNCTION("""COMPUTED_VALUE"""),"Farjana Apu")</f>
        <v>Farjana Apu</v>
      </c>
      <c r="D556" s="92" t="str">
        <f ca="1">IFERROR(__xludf.DUMMYFUNCTION("""COMPUTED_VALUE"""),"Md Iasin Ahmed Showrov (S204960)")</f>
        <v>Md Iasin Ahmed Showrov (S204960)</v>
      </c>
      <c r="E556" s="93" t="str">
        <f ca="1">IFERROR(__xludf.DUMMYFUNCTION("""COMPUTED_VALUE"""),"CB14769_Jan26")</f>
        <v>CB14769_Jan26</v>
      </c>
      <c r="F556" s="94" t="str">
        <f ca="1">IFERROR(__xludf.DUMMYFUNCTION("""COMPUTED_VALUE"""),"Packaging Text Design #1")</f>
        <v>Packaging Text Design #1</v>
      </c>
      <c r="G556" s="95" t="str">
        <f ca="1">IFERROR(__xludf.DUMMYFUNCTION("""COMPUTED_VALUE"""),"New")</f>
        <v>New</v>
      </c>
      <c r="H556" s="96">
        <f ca="1">IFERROR(__xludf.DUMMYFUNCTION("""COMPUTED_VALUE"""),1)</f>
        <v>1</v>
      </c>
      <c r="I556" s="97">
        <f ca="1">IFERROR(__xludf.DUMMYFUNCTION("""COMPUTED_VALUE"""),46032)</f>
        <v>46032</v>
      </c>
      <c r="J556" s="98" t="str">
        <f ca="1">IFERROR(__xludf.DUMMYFUNCTION("""COMPUTED_VALUE"""),"CW21550_Jan26")</f>
        <v>CW21550_Jan26</v>
      </c>
      <c r="K556" s="99" t="str">
        <f ca="1">IFERROR(__xludf.DUMMYFUNCTION("""COMPUTED_VALUE"""),"HoM Approved")</f>
        <v>HoM Approved</v>
      </c>
    </row>
    <row r="557" spans="1:11" ht="13.2">
      <c r="A557" s="89" t="str">
        <f ca="1">IFERROR(__xludf.DUMMYFUNCTION("""COMPUTED_VALUE"""),"HIP-ALL")</f>
        <v>HIP-ALL</v>
      </c>
      <c r="B557" s="90" t="str">
        <f ca="1">IFERROR(__xludf.DUMMYFUNCTION("""COMPUTED_VALUE"""),"Philippines")</f>
        <v>Philippines</v>
      </c>
      <c r="C557" s="91" t="str">
        <f ca="1">IFERROR(__xludf.DUMMYFUNCTION("""COMPUTED_VALUE"""),"Farjana Apu")</f>
        <v>Farjana Apu</v>
      </c>
      <c r="D557" s="92" t="str">
        <f ca="1">IFERROR(__xludf.DUMMYFUNCTION("""COMPUTED_VALUE"""),"Md Iasin Ahmed Showrov (S204960)")</f>
        <v>Md Iasin Ahmed Showrov (S204960)</v>
      </c>
      <c r="E557" s="93" t="str">
        <f ca="1">IFERROR(__xludf.DUMMYFUNCTION("""COMPUTED_VALUE"""),"CB14629_Dec25")</f>
        <v>CB14629_Dec25</v>
      </c>
      <c r="F557" s="94" t="str">
        <f ca="1">IFERROR(__xludf.DUMMYFUNCTION("""COMPUTED_VALUE"""),"Packaging Text Design #1")</f>
        <v>Packaging Text Design #1</v>
      </c>
      <c r="G557" s="95" t="str">
        <f ca="1">IFERROR(__xludf.DUMMYFUNCTION("""COMPUTED_VALUE"""),"New")</f>
        <v>New</v>
      </c>
      <c r="H557" s="96">
        <f ca="1">IFERROR(__xludf.DUMMYFUNCTION("""COMPUTED_VALUE"""),1)</f>
        <v>1</v>
      </c>
      <c r="I557" s="97">
        <f ca="1">IFERROR(__xludf.DUMMYFUNCTION("""COMPUTED_VALUE"""),46034)</f>
        <v>46034</v>
      </c>
      <c r="J557" s="98" t="str">
        <f ca="1">IFERROR(__xludf.DUMMYFUNCTION("""COMPUTED_VALUE"""),"CW21654_Jan26")</f>
        <v>CW21654_Jan26</v>
      </c>
      <c r="K557" s="99" t="str">
        <f ca="1">IFERROR(__xludf.DUMMYFUNCTION("""COMPUTED_VALUE"""),"HoM Approved")</f>
        <v>HoM Approved</v>
      </c>
    </row>
    <row r="558" spans="1:11" ht="13.2">
      <c r="A558" s="89" t="str">
        <f ca="1">IFERROR(__xludf.DUMMYFUNCTION("""COMPUTED_VALUE"""),"HIP-ALL")</f>
        <v>HIP-ALL</v>
      </c>
      <c r="B558" s="90" t="str">
        <f ca="1">IFERROR(__xludf.DUMMYFUNCTION("""COMPUTED_VALUE"""),"Philippines")</f>
        <v>Philippines</v>
      </c>
      <c r="C558" s="91" t="str">
        <f ca="1">IFERROR(__xludf.DUMMYFUNCTION("""COMPUTED_VALUE"""),"Farjana Apu")</f>
        <v>Farjana Apu</v>
      </c>
      <c r="D558" s="92" t="str">
        <f ca="1">IFERROR(__xludf.DUMMYFUNCTION("""COMPUTED_VALUE"""),"Md Iasin Ahmed Showrov (S204960)")</f>
        <v>Md Iasin Ahmed Showrov (S204960)</v>
      </c>
      <c r="E558" s="93" t="str">
        <f ca="1">IFERROR(__xludf.DUMMYFUNCTION("""COMPUTED_VALUE"""),"CB14605_Dec25")</f>
        <v>CB14605_Dec25</v>
      </c>
      <c r="F558" s="94" t="str">
        <f ca="1">IFERROR(__xludf.DUMMYFUNCTION("""COMPUTED_VALUE"""),"Packaging Text Design #1")</f>
        <v>Packaging Text Design #1</v>
      </c>
      <c r="G558" s="95" t="str">
        <f ca="1">IFERROR(__xludf.DUMMYFUNCTION("""COMPUTED_VALUE"""),"New")</f>
        <v>New</v>
      </c>
      <c r="H558" s="96">
        <f ca="1">IFERROR(__xludf.DUMMYFUNCTION("""COMPUTED_VALUE"""),1)</f>
        <v>1</v>
      </c>
      <c r="I558" s="97">
        <f ca="1">IFERROR(__xludf.DUMMYFUNCTION("""COMPUTED_VALUE"""),46034)</f>
        <v>46034</v>
      </c>
      <c r="J558" s="98" t="str">
        <f ca="1">IFERROR(__xludf.DUMMYFUNCTION("""COMPUTED_VALUE"""),"CW21655_Jan26")</f>
        <v>CW21655_Jan26</v>
      </c>
      <c r="K558" s="99" t="str">
        <f ca="1">IFERROR(__xludf.DUMMYFUNCTION("""COMPUTED_VALUE"""),"HoM Approved")</f>
        <v>HoM Approved</v>
      </c>
    </row>
    <row r="559" spans="1:11" ht="13.2">
      <c r="A559" s="89" t="str">
        <f ca="1">IFERROR(__xludf.DUMMYFUNCTION("""COMPUTED_VALUE"""),"HIP-ALL")</f>
        <v>HIP-ALL</v>
      </c>
      <c r="B559" s="90" t="str">
        <f ca="1">IFERROR(__xludf.DUMMYFUNCTION("""COMPUTED_VALUE"""),"Philippines")</f>
        <v>Philippines</v>
      </c>
      <c r="C559" s="91" t="str">
        <f ca="1">IFERROR(__xludf.DUMMYFUNCTION("""COMPUTED_VALUE"""),"Farjana Apu")</f>
        <v>Farjana Apu</v>
      </c>
      <c r="D559" s="92" t="str">
        <f ca="1">IFERROR(__xludf.DUMMYFUNCTION("""COMPUTED_VALUE"""),"Md Iasin Ahmed Showrov (S204960)")</f>
        <v>Md Iasin Ahmed Showrov (S204960)</v>
      </c>
      <c r="E559" s="93" t="str">
        <f ca="1">IFERROR(__xludf.DUMMYFUNCTION("""COMPUTED_VALUE"""),"CB14592_Dec25")</f>
        <v>CB14592_Dec25</v>
      </c>
      <c r="F559" s="94" t="str">
        <f ca="1">IFERROR(__xludf.DUMMYFUNCTION("""COMPUTED_VALUE"""),"Packaging Text Design #1")</f>
        <v>Packaging Text Design #1</v>
      </c>
      <c r="G559" s="95" t="str">
        <f ca="1">IFERROR(__xludf.DUMMYFUNCTION("""COMPUTED_VALUE"""),"New")</f>
        <v>New</v>
      </c>
      <c r="H559" s="96">
        <f ca="1">IFERROR(__xludf.DUMMYFUNCTION("""COMPUTED_VALUE"""),1)</f>
        <v>1</v>
      </c>
      <c r="I559" s="97">
        <f ca="1">IFERROR(__xludf.DUMMYFUNCTION("""COMPUTED_VALUE"""),46034)</f>
        <v>46034</v>
      </c>
      <c r="J559" s="98" t="str">
        <f ca="1">IFERROR(__xludf.DUMMYFUNCTION("""COMPUTED_VALUE"""),"CW21656_Jan26")</f>
        <v>CW21656_Jan26</v>
      </c>
      <c r="K559" s="99" t="str">
        <f ca="1">IFERROR(__xludf.DUMMYFUNCTION("""COMPUTED_VALUE"""),"HoM Approved")</f>
        <v>HoM Approved</v>
      </c>
    </row>
    <row r="560" spans="1:11" ht="13.2">
      <c r="A560" s="89" t="str">
        <f ca="1">IFERROR(__xludf.DUMMYFUNCTION("""COMPUTED_VALUE"""),"PRAN DAIRY LTD. PIP - ALL")</f>
        <v>PRAN DAIRY LTD. PIP - ALL</v>
      </c>
      <c r="B560" s="90" t="str">
        <f ca="1">IFERROR(__xludf.DUMMYFUNCTION("""COMPUTED_VALUE"""),"Philippines")</f>
        <v>Philippines</v>
      </c>
      <c r="C560" s="91" t="str">
        <f ca="1">IFERROR(__xludf.DUMMYFUNCTION("""COMPUTED_VALUE"""),"Farjana Apu")</f>
        <v>Farjana Apu</v>
      </c>
      <c r="D560" s="92" t="str">
        <f ca="1">IFERROR(__xludf.DUMMYFUNCTION("""COMPUTED_VALUE"""),"Md Iasin Ahmed Showrov (S204960)")</f>
        <v>Md Iasin Ahmed Showrov (S204960)</v>
      </c>
      <c r="E560" s="93" t="str">
        <f ca="1">IFERROR(__xludf.DUMMYFUNCTION("""COMPUTED_VALUE"""),"CB15161_Jan26")</f>
        <v>CB15161_Jan26</v>
      </c>
      <c r="F560" s="94" t="str">
        <f ca="1">IFERROR(__xludf.DUMMYFUNCTION("""COMPUTED_VALUE"""),"Packaging Text Design #1")</f>
        <v>Packaging Text Design #1</v>
      </c>
      <c r="G560" s="95" t="str">
        <f ca="1">IFERROR(__xludf.DUMMYFUNCTION("""COMPUTED_VALUE"""),"New")</f>
        <v>New</v>
      </c>
      <c r="H560" s="96">
        <f ca="1">IFERROR(__xludf.DUMMYFUNCTION("""COMPUTED_VALUE"""),1)</f>
        <v>1</v>
      </c>
      <c r="I560" s="97">
        <f ca="1">IFERROR(__xludf.DUMMYFUNCTION("""COMPUTED_VALUE"""),46035)</f>
        <v>46035</v>
      </c>
      <c r="J560" s="98" t="str">
        <f ca="1">IFERROR(__xludf.DUMMYFUNCTION("""COMPUTED_VALUE"""),"CW21742_Jan26")</f>
        <v>CW21742_Jan26</v>
      </c>
      <c r="K560" s="99" t="str">
        <f ca="1">IFERROR(__xludf.DUMMYFUNCTION("""COMPUTED_VALUE"""),"HoM Approved")</f>
        <v>HoM Approved</v>
      </c>
    </row>
    <row r="561" spans="1:11" ht="13.2">
      <c r="A561" s="89" t="str">
        <f ca="1">IFERROR(__xludf.DUMMYFUNCTION("""COMPUTED_VALUE"""),"PRAN DAIRY LTD. PIP - ALL")</f>
        <v>PRAN DAIRY LTD. PIP - ALL</v>
      </c>
      <c r="B561" s="90" t="str">
        <f ca="1">IFERROR(__xludf.DUMMYFUNCTION("""COMPUTED_VALUE"""),"Philippines")</f>
        <v>Philippines</v>
      </c>
      <c r="C561" s="91" t="str">
        <f ca="1">IFERROR(__xludf.DUMMYFUNCTION("""COMPUTED_VALUE"""),"Farjana Apu")</f>
        <v>Farjana Apu</v>
      </c>
      <c r="D561" s="92" t="str">
        <f ca="1">IFERROR(__xludf.DUMMYFUNCTION("""COMPUTED_VALUE"""),"Md Iasin Ahmed Showrov (S204960)")</f>
        <v>Md Iasin Ahmed Showrov (S204960)</v>
      </c>
      <c r="E561" s="93" t="str">
        <f ca="1">IFERROR(__xludf.DUMMYFUNCTION("""COMPUTED_VALUE"""),"CB15466_Jan26")</f>
        <v>CB15466_Jan26</v>
      </c>
      <c r="F561" s="94" t="str">
        <f ca="1">IFERROR(__xludf.DUMMYFUNCTION("""COMPUTED_VALUE"""),"Document Text Correction")</f>
        <v>Document Text Correction</v>
      </c>
      <c r="G561" s="95" t="str">
        <f ca="1">IFERROR(__xludf.DUMMYFUNCTION("""COMPUTED_VALUE"""),"New")</f>
        <v>New</v>
      </c>
      <c r="H561" s="96">
        <f ca="1">IFERROR(__xludf.DUMMYFUNCTION("""COMPUTED_VALUE"""),1)</f>
        <v>1</v>
      </c>
      <c r="I561" s="97">
        <f ca="1">IFERROR(__xludf.DUMMYFUNCTION("""COMPUTED_VALUE"""),46036)</f>
        <v>46036</v>
      </c>
      <c r="J561" s="98" t="str">
        <f ca="1">IFERROR(__xludf.DUMMYFUNCTION("""COMPUTED_VALUE"""),"CW21848_Jan26")</f>
        <v>CW21848_Jan26</v>
      </c>
      <c r="K561" s="99" t="str">
        <f ca="1">IFERROR(__xludf.DUMMYFUNCTION("""COMPUTED_VALUE"""),"HoM Approved")</f>
        <v>HoM Approved</v>
      </c>
    </row>
    <row r="562" spans="1:11" ht="13.2">
      <c r="A562" s="89" t="str">
        <f ca="1">IFERROR(__xludf.DUMMYFUNCTION("""COMPUTED_VALUE"""),"HIP-ALL")</f>
        <v>HIP-ALL</v>
      </c>
      <c r="B562" s="90" t="str">
        <f ca="1">IFERROR(__xludf.DUMMYFUNCTION("""COMPUTED_VALUE"""),"Philippines")</f>
        <v>Philippines</v>
      </c>
      <c r="C562" s="91" t="str">
        <f ca="1">IFERROR(__xludf.DUMMYFUNCTION("""COMPUTED_VALUE"""),"Farjana Apu")</f>
        <v>Farjana Apu</v>
      </c>
      <c r="D562" s="92" t="str">
        <f ca="1">IFERROR(__xludf.DUMMYFUNCTION("""COMPUTED_VALUE"""),"Md Iasin Ahmed Showrov (S204960)")</f>
        <v>Md Iasin Ahmed Showrov (S204960)</v>
      </c>
      <c r="E562" s="93" t="str">
        <f ca="1">IFERROR(__xludf.DUMMYFUNCTION("""COMPUTED_VALUE"""),"CB15394_Jan26")</f>
        <v>CB15394_Jan26</v>
      </c>
      <c r="F562" s="94" t="str">
        <f ca="1">IFERROR(__xludf.DUMMYFUNCTION("""COMPUTED_VALUE"""),"Document Text Correction")</f>
        <v>Document Text Correction</v>
      </c>
      <c r="G562" s="95" t="str">
        <f ca="1">IFERROR(__xludf.DUMMYFUNCTION("""COMPUTED_VALUE"""),"New")</f>
        <v>New</v>
      </c>
      <c r="H562" s="96">
        <f ca="1">IFERROR(__xludf.DUMMYFUNCTION("""COMPUTED_VALUE"""),1)</f>
        <v>1</v>
      </c>
      <c r="I562" s="97">
        <f ca="1">IFERROR(__xludf.DUMMYFUNCTION("""COMPUTED_VALUE"""),46036)</f>
        <v>46036</v>
      </c>
      <c r="J562" s="98" t="str">
        <f ca="1">IFERROR(__xludf.DUMMYFUNCTION("""COMPUTED_VALUE"""),"CW21846_Jan26")</f>
        <v>CW21846_Jan26</v>
      </c>
      <c r="K562" s="99" t="str">
        <f ca="1">IFERROR(__xludf.DUMMYFUNCTION("""COMPUTED_VALUE"""),"HoM Approved")</f>
        <v>HoM Approved</v>
      </c>
    </row>
    <row r="563" spans="1:11" ht="13.2">
      <c r="A563" s="89" t="str">
        <f ca="1">IFERROR(__xludf.DUMMYFUNCTION("""COMPUTED_VALUE"""),"PRAN DAIRY LTD. PIP - ALL")</f>
        <v>PRAN DAIRY LTD. PIP - ALL</v>
      </c>
      <c r="B563" s="90" t="str">
        <f ca="1">IFERROR(__xludf.DUMMYFUNCTION("""COMPUTED_VALUE"""),"Philippines")</f>
        <v>Philippines</v>
      </c>
      <c r="C563" s="91" t="str">
        <f ca="1">IFERROR(__xludf.DUMMYFUNCTION("""COMPUTED_VALUE"""),"Farjana Apu")</f>
        <v>Farjana Apu</v>
      </c>
      <c r="D563" s="92" t="str">
        <f ca="1">IFERROR(__xludf.DUMMYFUNCTION("""COMPUTED_VALUE"""),"Md Iasin Ahmed Showrov (S204960)")</f>
        <v>Md Iasin Ahmed Showrov (S204960)</v>
      </c>
      <c r="E563" s="93" t="str">
        <f ca="1">IFERROR(__xludf.DUMMYFUNCTION("""COMPUTED_VALUE"""),"CB15466_Jan26")</f>
        <v>CB15466_Jan26</v>
      </c>
      <c r="F563" s="94" t="str">
        <f ca="1">IFERROR(__xludf.DUMMYFUNCTION("""COMPUTED_VALUE"""),"Packaging Text Design #1")</f>
        <v>Packaging Text Design #1</v>
      </c>
      <c r="G563" s="95" t="str">
        <f ca="1">IFERROR(__xludf.DUMMYFUNCTION("""COMPUTED_VALUE"""),"New")</f>
        <v>New</v>
      </c>
      <c r="H563" s="96">
        <f ca="1">IFERROR(__xludf.DUMMYFUNCTION("""COMPUTED_VALUE"""),1)</f>
        <v>1</v>
      </c>
      <c r="I563" s="97">
        <f ca="1">IFERROR(__xludf.DUMMYFUNCTION("""COMPUTED_VALUE"""),46036)</f>
        <v>46036</v>
      </c>
      <c r="J563" s="98" t="str">
        <f ca="1">IFERROR(__xludf.DUMMYFUNCTION("""COMPUTED_VALUE"""),"CW21848_Jan26")</f>
        <v>CW21848_Jan26</v>
      </c>
      <c r="K563" s="99" t="str">
        <f ca="1">IFERROR(__xludf.DUMMYFUNCTION("""COMPUTED_VALUE"""),"HoM Approved")</f>
        <v>HoM Approved</v>
      </c>
    </row>
    <row r="564" spans="1:11" ht="13.2">
      <c r="A564" s="89" t="str">
        <f ca="1">IFERROR(__xludf.DUMMYFUNCTION("""COMPUTED_VALUE"""),"HIP-ALL")</f>
        <v>HIP-ALL</v>
      </c>
      <c r="B564" s="90" t="str">
        <f ca="1">IFERROR(__xludf.DUMMYFUNCTION("""COMPUTED_VALUE"""),"Philippines")</f>
        <v>Philippines</v>
      </c>
      <c r="C564" s="91" t="str">
        <f ca="1">IFERROR(__xludf.DUMMYFUNCTION("""COMPUTED_VALUE"""),"Farjana Apu")</f>
        <v>Farjana Apu</v>
      </c>
      <c r="D564" s="92" t="str">
        <f ca="1">IFERROR(__xludf.DUMMYFUNCTION("""COMPUTED_VALUE"""),"Md Iasin Ahmed Showrov (S204960)")</f>
        <v>Md Iasin Ahmed Showrov (S204960)</v>
      </c>
      <c r="E564" s="93" t="str">
        <f ca="1">IFERROR(__xludf.DUMMYFUNCTION("""COMPUTED_VALUE"""),"CB15394_Jan26")</f>
        <v>CB15394_Jan26</v>
      </c>
      <c r="F564" s="94" t="str">
        <f ca="1">IFERROR(__xludf.DUMMYFUNCTION("""COMPUTED_VALUE"""),"Packaging Text Design #1")</f>
        <v>Packaging Text Design #1</v>
      </c>
      <c r="G564" s="95" t="str">
        <f ca="1">IFERROR(__xludf.DUMMYFUNCTION("""COMPUTED_VALUE"""),"New")</f>
        <v>New</v>
      </c>
      <c r="H564" s="96">
        <f ca="1">IFERROR(__xludf.DUMMYFUNCTION("""COMPUTED_VALUE"""),1)</f>
        <v>1</v>
      </c>
      <c r="I564" s="97">
        <f ca="1">IFERROR(__xludf.DUMMYFUNCTION("""COMPUTED_VALUE"""),46036)</f>
        <v>46036</v>
      </c>
      <c r="J564" s="98" t="str">
        <f ca="1">IFERROR(__xludf.DUMMYFUNCTION("""COMPUTED_VALUE"""),"CW21846_Jan26")</f>
        <v>CW21846_Jan26</v>
      </c>
      <c r="K564" s="99" t="str">
        <f ca="1">IFERROR(__xludf.DUMMYFUNCTION("""COMPUTED_VALUE"""),"HoM Approved")</f>
        <v>HoM Approved</v>
      </c>
    </row>
    <row r="565" spans="1:11" ht="13.2">
      <c r="A565" s="89" t="str">
        <f ca="1">IFERROR(__xludf.DUMMYFUNCTION("""COMPUTED_VALUE"""),"HIP-ALL")</f>
        <v>HIP-ALL</v>
      </c>
      <c r="B565" s="90" t="str">
        <f ca="1">IFERROR(__xludf.DUMMYFUNCTION("""COMPUTED_VALUE"""),"Philippines")</f>
        <v>Philippines</v>
      </c>
      <c r="C565" s="91" t="str">
        <f ca="1">IFERROR(__xludf.DUMMYFUNCTION("""COMPUTED_VALUE"""),"Farjana Apu")</f>
        <v>Farjana Apu</v>
      </c>
      <c r="D565" s="92" t="str">
        <f ca="1">IFERROR(__xludf.DUMMYFUNCTION("""COMPUTED_VALUE"""),"Md Iasin Ahmed Showrov (S204960)")</f>
        <v>Md Iasin Ahmed Showrov (S204960)</v>
      </c>
      <c r="E565" s="93" t="str">
        <f ca="1">IFERROR(__xludf.DUMMYFUNCTION("""COMPUTED_VALUE"""),"CB15430_Jan26")</f>
        <v>CB15430_Jan26</v>
      </c>
      <c r="F565" s="94" t="str">
        <f ca="1">IFERROR(__xludf.DUMMYFUNCTION("""COMPUTED_VALUE"""),"Packaging Text Design #1")</f>
        <v>Packaging Text Design #1</v>
      </c>
      <c r="G565" s="95" t="str">
        <f ca="1">IFERROR(__xludf.DUMMYFUNCTION("""COMPUTED_VALUE"""),"New")</f>
        <v>New</v>
      </c>
      <c r="H565" s="96">
        <f ca="1">IFERROR(__xludf.DUMMYFUNCTION("""COMPUTED_VALUE"""),1)</f>
        <v>1</v>
      </c>
      <c r="I565" s="97">
        <f ca="1">IFERROR(__xludf.DUMMYFUNCTION("""COMPUTED_VALUE"""),46036)</f>
        <v>46036</v>
      </c>
      <c r="J565" s="98" t="str">
        <f ca="1">IFERROR(__xludf.DUMMYFUNCTION("""COMPUTED_VALUE"""),"CW21847_Jan26")</f>
        <v>CW21847_Jan26</v>
      </c>
      <c r="K565" s="99" t="str">
        <f ca="1">IFERROR(__xludf.DUMMYFUNCTION("""COMPUTED_VALUE"""),"HoM Approved")</f>
        <v>HoM Approved</v>
      </c>
    </row>
    <row r="566" spans="1:11" ht="13.2">
      <c r="A566" s="89" t="str">
        <f ca="1">IFERROR(__xludf.DUMMYFUNCTION("""COMPUTED_VALUE"""),"Common - All PFL")</f>
        <v>Common - All PFL</v>
      </c>
      <c r="B566" s="90" t="str">
        <f ca="1">IFERROR(__xludf.DUMMYFUNCTION("""COMPUTED_VALUE"""),"PFL")</f>
        <v>PFL</v>
      </c>
      <c r="C566" s="91" t="str">
        <f ca="1">IFERROR(__xludf.DUMMYFUNCTION("""COMPUTED_VALUE"""),"Rabby Vai")</f>
        <v>Rabby Vai</v>
      </c>
      <c r="D566" s="92" t="str">
        <f ca="1">IFERROR(__xludf.DUMMYFUNCTION("""COMPUTED_VALUE"""),"Md Iasin Ahmed Showrov (S204960)")</f>
        <v>Md Iasin Ahmed Showrov (S204960)</v>
      </c>
      <c r="E566" s="93" t="str">
        <f ca="1">IFERROR(__xludf.DUMMYFUNCTION("""COMPUTED_VALUE"""),"CB14980_Jan26")</f>
        <v>CB14980_Jan26</v>
      </c>
      <c r="F566" s="94" t="str">
        <f ca="1">IFERROR(__xludf.DUMMYFUNCTION("""COMPUTED_VALUE"""),"Packaging Text Design #1")</f>
        <v>Packaging Text Design #1</v>
      </c>
      <c r="G566" s="95" t="str">
        <f ca="1">IFERROR(__xludf.DUMMYFUNCTION("""COMPUTED_VALUE"""),"New")</f>
        <v>New</v>
      </c>
      <c r="H566" s="96">
        <f ca="1">IFERROR(__xludf.DUMMYFUNCTION("""COMPUTED_VALUE"""),1)</f>
        <v>1</v>
      </c>
      <c r="I566" s="97">
        <f ca="1">IFERROR(__xludf.DUMMYFUNCTION("""COMPUTED_VALUE"""),46036)</f>
        <v>46036</v>
      </c>
      <c r="J566" s="98" t="str">
        <f ca="1">IFERROR(__xludf.DUMMYFUNCTION("""COMPUTED_VALUE"""),"CW21849_Jan26")</f>
        <v>CW21849_Jan26</v>
      </c>
      <c r="K566" s="99" t="str">
        <f ca="1">IFERROR(__xludf.DUMMYFUNCTION("""COMPUTED_VALUE"""),"HoM Approved")</f>
        <v>HoM Approved</v>
      </c>
    </row>
    <row r="567" spans="1:11" ht="13.2">
      <c r="A567" s="89" t="str">
        <f ca="1">IFERROR(__xludf.DUMMYFUNCTION("""COMPUTED_VALUE"""),"Common - All PFL")</f>
        <v>Common - All PFL</v>
      </c>
      <c r="B567" s="90" t="str">
        <f ca="1">IFERROR(__xludf.DUMMYFUNCTION("""COMPUTED_VALUE"""),"PFL")</f>
        <v>PFL</v>
      </c>
      <c r="C567" s="91" t="str">
        <f ca="1">IFERROR(__xludf.DUMMYFUNCTION("""COMPUTED_VALUE"""),"Rabby Vai")</f>
        <v>Rabby Vai</v>
      </c>
      <c r="D567" s="92" t="str">
        <f ca="1">IFERROR(__xludf.DUMMYFUNCTION("""COMPUTED_VALUE"""),"Md Iasin Ahmed Showrov (S204960)")</f>
        <v>Md Iasin Ahmed Showrov (S204960)</v>
      </c>
      <c r="E567" s="93" t="str">
        <f ca="1">IFERROR(__xludf.DUMMYFUNCTION("""COMPUTED_VALUE"""),"CB14980_Jan26")</f>
        <v>CB14980_Jan26</v>
      </c>
      <c r="F567" s="94" t="str">
        <f ca="1">IFERROR(__xludf.DUMMYFUNCTION("""COMPUTED_VALUE"""),"Packaging Text Design #1")</f>
        <v>Packaging Text Design #1</v>
      </c>
      <c r="G567" s="95" t="str">
        <f ca="1">IFERROR(__xludf.DUMMYFUNCTION("""COMPUTED_VALUE"""),"New")</f>
        <v>New</v>
      </c>
      <c r="H567" s="96">
        <f ca="1">IFERROR(__xludf.DUMMYFUNCTION("""COMPUTED_VALUE"""),2)</f>
        <v>2</v>
      </c>
      <c r="I567" s="97">
        <f ca="1">IFERROR(__xludf.DUMMYFUNCTION("""COMPUTED_VALUE"""),46036)</f>
        <v>46036</v>
      </c>
      <c r="J567" s="98" t="str">
        <f ca="1">IFERROR(__xludf.DUMMYFUNCTION("""COMPUTED_VALUE"""),"CW21849_Jan26")</f>
        <v>CW21849_Jan26</v>
      </c>
      <c r="K567" s="99" t="str">
        <f ca="1">IFERROR(__xludf.DUMMYFUNCTION("""COMPUTED_VALUE"""),"HoM Approved")</f>
        <v>HoM Approved</v>
      </c>
    </row>
    <row r="568" spans="1:11" ht="13.2">
      <c r="A568" s="89" t="str">
        <f ca="1">IFERROR(__xludf.DUMMYFUNCTION("""COMPUTED_VALUE"""),"Common - All PFL")</f>
        <v>Common - All PFL</v>
      </c>
      <c r="B568" s="90" t="str">
        <f ca="1">IFERROR(__xludf.DUMMYFUNCTION("""COMPUTED_VALUE"""),"PFL")</f>
        <v>PFL</v>
      </c>
      <c r="C568" s="91" t="str">
        <f ca="1">IFERROR(__xludf.DUMMYFUNCTION("""COMPUTED_VALUE"""),"Rabby Vai")</f>
        <v>Rabby Vai</v>
      </c>
      <c r="D568" s="92" t="str">
        <f ca="1">IFERROR(__xludf.DUMMYFUNCTION("""COMPUTED_VALUE"""),"Md Iasin Ahmed Showrov (S204960)")</f>
        <v>Md Iasin Ahmed Showrov (S204960)</v>
      </c>
      <c r="E568" s="93" t="str">
        <f ca="1">IFERROR(__xludf.DUMMYFUNCTION("""COMPUTED_VALUE"""),"CB14632_Dec25")</f>
        <v>CB14632_Dec25</v>
      </c>
      <c r="F568" s="94" t="str">
        <f ca="1">IFERROR(__xludf.DUMMYFUNCTION("""COMPUTED_VALUE"""),"Packaging Text Design #1")</f>
        <v>Packaging Text Design #1</v>
      </c>
      <c r="G568" s="95" t="str">
        <f ca="1">IFERROR(__xludf.DUMMYFUNCTION("""COMPUTED_VALUE"""),"New")</f>
        <v>New</v>
      </c>
      <c r="H568" s="96">
        <f ca="1">IFERROR(__xludf.DUMMYFUNCTION("""COMPUTED_VALUE"""),2)</f>
        <v>2</v>
      </c>
      <c r="I568" s="97">
        <f ca="1">IFERROR(__xludf.DUMMYFUNCTION("""COMPUTED_VALUE"""),46036)</f>
        <v>46036</v>
      </c>
      <c r="J568" s="98" t="str">
        <f ca="1">IFERROR(__xludf.DUMMYFUNCTION("""COMPUTED_VALUE"""),"CW21850_Jan26")</f>
        <v>CW21850_Jan26</v>
      </c>
      <c r="K568" s="99" t="str">
        <f ca="1">IFERROR(__xludf.DUMMYFUNCTION("""COMPUTED_VALUE"""),"HoM Approved")</f>
        <v>HoM Approved</v>
      </c>
    </row>
    <row r="569" spans="1:11" ht="13.2">
      <c r="A569" s="89" t="str">
        <f ca="1">IFERROR(__xludf.DUMMYFUNCTION("""COMPUTED_VALUE"""),"Common - All PFL")</f>
        <v>Common - All PFL</v>
      </c>
      <c r="B569" s="90" t="str">
        <f ca="1">IFERROR(__xludf.DUMMYFUNCTION("""COMPUTED_VALUE"""),"PFL")</f>
        <v>PFL</v>
      </c>
      <c r="C569" s="91" t="str">
        <f ca="1">IFERROR(__xludf.DUMMYFUNCTION("""COMPUTED_VALUE"""),"Rabby Vai")</f>
        <v>Rabby Vai</v>
      </c>
      <c r="D569" s="92" t="str">
        <f ca="1">IFERROR(__xludf.DUMMYFUNCTION("""COMPUTED_VALUE"""),"Md Iasin Ahmed Showrov (S204960)")</f>
        <v>Md Iasin Ahmed Showrov (S204960)</v>
      </c>
      <c r="E569" s="93" t="str">
        <f ca="1">IFERROR(__xludf.DUMMYFUNCTION("""COMPUTED_VALUE"""),"CB14625_Dec25")</f>
        <v>CB14625_Dec25</v>
      </c>
      <c r="F569" s="94" t="str">
        <f ca="1">IFERROR(__xludf.DUMMYFUNCTION("""COMPUTED_VALUE"""),"Packaging Text Design #1")</f>
        <v>Packaging Text Design #1</v>
      </c>
      <c r="G569" s="95" t="str">
        <f ca="1">IFERROR(__xludf.DUMMYFUNCTION("""COMPUTED_VALUE"""),"New")</f>
        <v>New</v>
      </c>
      <c r="H569" s="96">
        <f ca="1">IFERROR(__xludf.DUMMYFUNCTION("""COMPUTED_VALUE"""),2)</f>
        <v>2</v>
      </c>
      <c r="I569" s="97">
        <f ca="1">IFERROR(__xludf.DUMMYFUNCTION("""COMPUTED_VALUE"""),46036)</f>
        <v>46036</v>
      </c>
      <c r="J569" s="98" t="str">
        <f ca="1">IFERROR(__xludf.DUMMYFUNCTION("""COMPUTED_VALUE"""),"CW21851_Jan26")</f>
        <v>CW21851_Jan26</v>
      </c>
      <c r="K569" s="99" t="str">
        <f ca="1">IFERROR(__xludf.DUMMYFUNCTION("""COMPUTED_VALUE"""),"HoM Approved")</f>
        <v>HoM Approved</v>
      </c>
    </row>
    <row r="570" spans="1:11" ht="13.2">
      <c r="A570" s="89" t="str">
        <f ca="1">IFERROR(__xludf.DUMMYFUNCTION("""COMPUTED_VALUE"""),"Common - All PAL")</f>
        <v>Common - All PAL</v>
      </c>
      <c r="B570" s="90" t="str">
        <f ca="1">IFERROR(__xludf.DUMMYFUNCTION("""COMPUTED_VALUE"""),"PAL")</f>
        <v>PAL</v>
      </c>
      <c r="C570" s="91" t="str">
        <f ca="1">IFERROR(__xludf.DUMMYFUNCTION("""COMPUTED_VALUE"""),"Farjana Apu")</f>
        <v>Farjana Apu</v>
      </c>
      <c r="D570" s="92" t="str">
        <f ca="1">IFERROR(__xludf.DUMMYFUNCTION("""COMPUTED_VALUE"""),"Md Iasin Ahmed Showrov (S204960)")</f>
        <v>Md Iasin Ahmed Showrov (S204960)</v>
      </c>
      <c r="E570" s="93" t="str">
        <f ca="1">IFERROR(__xludf.DUMMYFUNCTION("""COMPUTED_VALUE"""),"CB15502_Jan26")</f>
        <v>CB15502_Jan26</v>
      </c>
      <c r="F570" s="94" t="str">
        <f ca="1">IFERROR(__xludf.DUMMYFUNCTION("""COMPUTED_VALUE"""),"Packaging Text Design #1")</f>
        <v>Packaging Text Design #1</v>
      </c>
      <c r="G570" s="95" t="str">
        <f ca="1">IFERROR(__xludf.DUMMYFUNCTION("""COMPUTED_VALUE"""),"New")</f>
        <v>New</v>
      </c>
      <c r="H570" s="96">
        <f ca="1">IFERROR(__xludf.DUMMYFUNCTION("""COMPUTED_VALUE"""),1)</f>
        <v>1</v>
      </c>
      <c r="I570" s="97">
        <f ca="1">IFERROR(__xludf.DUMMYFUNCTION("""COMPUTED_VALUE"""),46037)</f>
        <v>46037</v>
      </c>
      <c r="J570" s="98" t="str">
        <f ca="1">IFERROR(__xludf.DUMMYFUNCTION("""COMPUTED_VALUE"""),"CW21991_Jan26")</f>
        <v>CW21991_Jan26</v>
      </c>
      <c r="K570" s="99" t="str">
        <f ca="1">IFERROR(__xludf.DUMMYFUNCTION("""COMPUTED_VALUE"""),"HoM Approved")</f>
        <v>HoM Approved</v>
      </c>
    </row>
    <row r="571" spans="1:11" ht="13.2">
      <c r="A571" s="89" t="str">
        <f ca="1">IFERROR(__xludf.DUMMYFUNCTION("""COMPUTED_VALUE"""),"MAL - ALL")</f>
        <v>MAL - ALL</v>
      </c>
      <c r="B571" s="90" t="str">
        <f ca="1">IFERROR(__xludf.DUMMYFUNCTION("""COMPUTED_VALUE"""),"Philippines")</f>
        <v>Philippines</v>
      </c>
      <c r="C571" s="91" t="str">
        <f ca="1">IFERROR(__xludf.DUMMYFUNCTION("""COMPUTED_VALUE"""),"Farjana Apu")</f>
        <v>Farjana Apu</v>
      </c>
      <c r="D571" s="92" t="str">
        <f ca="1">IFERROR(__xludf.DUMMYFUNCTION("""COMPUTED_VALUE"""),"Md Iasin Ahmed Showrov (S204960)")</f>
        <v>Md Iasin Ahmed Showrov (S204960)</v>
      </c>
      <c r="E571" s="93" t="str">
        <f ca="1">IFERROR(__xludf.DUMMYFUNCTION("""COMPUTED_VALUE"""),"CB15554_Jan26")</f>
        <v>CB15554_Jan26</v>
      </c>
      <c r="F571" s="94" t="str">
        <f ca="1">IFERROR(__xludf.DUMMYFUNCTION("""COMPUTED_VALUE"""),"Packaging Text Design #1")</f>
        <v>Packaging Text Design #1</v>
      </c>
      <c r="G571" s="95" t="str">
        <f ca="1">IFERROR(__xludf.DUMMYFUNCTION("""COMPUTED_VALUE"""),"New")</f>
        <v>New</v>
      </c>
      <c r="H571" s="96">
        <f ca="1">IFERROR(__xludf.DUMMYFUNCTION("""COMPUTED_VALUE"""),1)</f>
        <v>1</v>
      </c>
      <c r="I571" s="97">
        <f ca="1">IFERROR(__xludf.DUMMYFUNCTION("""COMPUTED_VALUE"""),46037)</f>
        <v>46037</v>
      </c>
      <c r="J571" s="98" t="str">
        <f ca="1">IFERROR(__xludf.DUMMYFUNCTION("""COMPUTED_VALUE"""),"CW21992_Jan26")</f>
        <v>CW21992_Jan26</v>
      </c>
      <c r="K571" s="99" t="str">
        <f ca="1">IFERROR(__xludf.DUMMYFUNCTION("""COMPUTED_VALUE"""),"HoM Approved")</f>
        <v>HoM Approved</v>
      </c>
    </row>
    <row r="572" spans="1:11" ht="13.2">
      <c r="A572" s="89" t="str">
        <f ca="1">IFERROR(__xludf.DUMMYFUNCTION("""COMPUTED_VALUE"""),"PRAN Basic Spice")</f>
        <v>PRAN Basic Spice</v>
      </c>
      <c r="B572" s="90" t="str">
        <f ca="1">IFERROR(__xludf.DUMMYFUNCTION("""COMPUTED_VALUE"""),"NAL")</f>
        <v>NAL</v>
      </c>
      <c r="C572" s="91" t="str">
        <f ca="1">IFERROR(__xludf.DUMMYFUNCTION("""COMPUTED_VALUE"""),"Shamsul Sir")</f>
        <v>Shamsul Sir</v>
      </c>
      <c r="D572" s="92" t="str">
        <f ca="1">IFERROR(__xludf.DUMMYFUNCTION("""COMPUTED_VALUE"""),"Md Iasin Ahmed Showrov (S204960)")</f>
        <v>Md Iasin Ahmed Showrov (S204960)</v>
      </c>
      <c r="E572" s="93" t="str">
        <f ca="1">IFERROR(__xludf.DUMMYFUNCTION("""COMPUTED_VALUE"""),"CB15584_Jan26")</f>
        <v>CB15584_Jan26</v>
      </c>
      <c r="F572" s="94" t="str">
        <f ca="1">IFERROR(__xludf.DUMMYFUNCTION("""COMPUTED_VALUE"""),"Packaging Text Design #2")</f>
        <v>Packaging Text Design #2</v>
      </c>
      <c r="G572" s="95" t="str">
        <f ca="1">IFERROR(__xludf.DUMMYFUNCTION("""COMPUTED_VALUE"""),"New")</f>
        <v>New</v>
      </c>
      <c r="H572" s="96">
        <f ca="1">IFERROR(__xludf.DUMMYFUNCTION("""COMPUTED_VALUE"""),9)</f>
        <v>9</v>
      </c>
      <c r="I572" s="97">
        <f ca="1">IFERROR(__xludf.DUMMYFUNCTION("""COMPUTED_VALUE"""),46037)</f>
        <v>46037</v>
      </c>
      <c r="J572" s="98" t="str">
        <f ca="1">IFERROR(__xludf.DUMMYFUNCTION("""COMPUTED_VALUE"""),"CW21986_Jan26")</f>
        <v>CW21986_Jan26</v>
      </c>
      <c r="K572" s="99" t="str">
        <f ca="1">IFERROR(__xludf.DUMMYFUNCTION("""COMPUTED_VALUE"""),"HoM Approved")</f>
        <v>HoM Approved</v>
      </c>
    </row>
    <row r="573" spans="1:11" ht="13.2">
      <c r="A573" s="89" t="str">
        <f ca="1">IFERROR(__xludf.DUMMYFUNCTION("""COMPUTED_VALUE"""),"Chocobean")</f>
        <v>Chocobean</v>
      </c>
      <c r="B573" s="90" t="str">
        <f ca="1">IFERROR(__xludf.DUMMYFUNCTION("""COMPUTED_VALUE"""),"PAL")</f>
        <v>PAL</v>
      </c>
      <c r="C573" s="91" t="str">
        <f ca="1">IFERROR(__xludf.DUMMYFUNCTION("""COMPUTED_VALUE"""),"Farjana Apu")</f>
        <v>Farjana Apu</v>
      </c>
      <c r="D573" s="92" t="str">
        <f ca="1">IFERROR(__xludf.DUMMYFUNCTION("""COMPUTED_VALUE"""),"Md Iasin Ahmed Showrov (S204960)")</f>
        <v>Md Iasin Ahmed Showrov (S204960)</v>
      </c>
      <c r="E573" s="93" t="str">
        <f ca="1">IFERROR(__xludf.DUMMYFUNCTION("""COMPUTED_VALUE"""),"CB14058_Dec25")</f>
        <v>CB14058_Dec25</v>
      </c>
      <c r="F573" s="94" t="str">
        <f ca="1">IFERROR(__xludf.DUMMYFUNCTION("""COMPUTED_VALUE"""),"Packaging Text Design #1")</f>
        <v>Packaging Text Design #1</v>
      </c>
      <c r="G573" s="95" t="str">
        <f ca="1">IFERROR(__xludf.DUMMYFUNCTION("""COMPUTED_VALUE"""),"New")</f>
        <v>New</v>
      </c>
      <c r="H573" s="96">
        <f ca="1">IFERROR(__xludf.DUMMYFUNCTION("""COMPUTED_VALUE"""),1)</f>
        <v>1</v>
      </c>
      <c r="I573" s="97">
        <f ca="1">IFERROR(__xludf.DUMMYFUNCTION("""COMPUTED_VALUE"""),46039)</f>
        <v>46039</v>
      </c>
      <c r="J573" s="98" t="str">
        <f ca="1">IFERROR(__xludf.DUMMYFUNCTION("""COMPUTED_VALUE"""),"CW22030_Jan26")</f>
        <v>CW22030_Jan26</v>
      </c>
      <c r="K573" s="99" t="str">
        <f ca="1">IFERROR(__xludf.DUMMYFUNCTION("""COMPUTED_VALUE"""),"HoM Approved")</f>
        <v>HoM Approved</v>
      </c>
    </row>
    <row r="574" spans="1:11" ht="13.2">
      <c r="A574" s="89" t="str">
        <f ca="1">IFERROR(__xludf.DUMMYFUNCTION("""COMPUTED_VALUE"""),"Common - All PAL")</f>
        <v>Common - All PAL</v>
      </c>
      <c r="B574" s="90" t="str">
        <f ca="1">IFERROR(__xludf.DUMMYFUNCTION("""COMPUTED_VALUE"""),"PAL")</f>
        <v>PAL</v>
      </c>
      <c r="C574" s="91" t="str">
        <f ca="1">IFERROR(__xludf.DUMMYFUNCTION("""COMPUTED_VALUE"""),"Farjana Apu")</f>
        <v>Farjana Apu</v>
      </c>
      <c r="D574" s="92" t="str">
        <f ca="1">IFERROR(__xludf.DUMMYFUNCTION("""COMPUTED_VALUE"""),"Md Iasin Ahmed Showrov (S204960)")</f>
        <v>Md Iasin Ahmed Showrov (S204960)</v>
      </c>
      <c r="E574" s="93" t="str">
        <f ca="1">IFERROR(__xludf.DUMMYFUNCTION("""COMPUTED_VALUE"""),"CB14610_Dec25")</f>
        <v>CB14610_Dec25</v>
      </c>
      <c r="F574" s="94" t="str">
        <f ca="1">IFERROR(__xludf.DUMMYFUNCTION("""COMPUTED_VALUE"""),"Packaging Text Design #1")</f>
        <v>Packaging Text Design #1</v>
      </c>
      <c r="G574" s="95" t="str">
        <f ca="1">IFERROR(__xludf.DUMMYFUNCTION("""COMPUTED_VALUE"""),"New")</f>
        <v>New</v>
      </c>
      <c r="H574" s="96">
        <f ca="1">IFERROR(__xludf.DUMMYFUNCTION("""COMPUTED_VALUE"""),1)</f>
        <v>1</v>
      </c>
      <c r="I574" s="97">
        <f ca="1">IFERROR(__xludf.DUMMYFUNCTION("""COMPUTED_VALUE"""),46039)</f>
        <v>46039</v>
      </c>
      <c r="J574" s="98" t="str">
        <f ca="1">IFERROR(__xludf.DUMMYFUNCTION("""COMPUTED_VALUE"""),"CW22028_Jan26")</f>
        <v>CW22028_Jan26</v>
      </c>
      <c r="K574" s="99" t="str">
        <f ca="1">IFERROR(__xludf.DUMMYFUNCTION("""COMPUTED_VALUE"""),"HoM Approved")</f>
        <v>HoM Approved</v>
      </c>
    </row>
    <row r="575" spans="1:11" ht="13.2">
      <c r="A575" s="89" t="str">
        <f ca="1">IFERROR(__xludf.DUMMYFUNCTION("""COMPUTED_VALUE"""),"Chocobean")</f>
        <v>Chocobean</v>
      </c>
      <c r="B575" s="90" t="str">
        <f ca="1">IFERROR(__xludf.DUMMYFUNCTION("""COMPUTED_VALUE"""),"PAL")</f>
        <v>PAL</v>
      </c>
      <c r="C575" s="91" t="str">
        <f ca="1">IFERROR(__xludf.DUMMYFUNCTION("""COMPUTED_VALUE"""),"Farjana Apu")</f>
        <v>Farjana Apu</v>
      </c>
      <c r="D575" s="92" t="str">
        <f ca="1">IFERROR(__xludf.DUMMYFUNCTION("""COMPUTED_VALUE"""),"Md Iasin Ahmed Showrov (S204960)")</f>
        <v>Md Iasin Ahmed Showrov (S204960)</v>
      </c>
      <c r="E575" s="93" t="str">
        <f ca="1">IFERROR(__xludf.DUMMYFUNCTION("""COMPUTED_VALUE"""),"CB14058_Dec25")</f>
        <v>CB14058_Dec25</v>
      </c>
      <c r="F575" s="94" t="str">
        <f ca="1">IFERROR(__xludf.DUMMYFUNCTION("""COMPUTED_VALUE"""),"Packaging Text Design #1")</f>
        <v>Packaging Text Design #1</v>
      </c>
      <c r="G575" s="95" t="str">
        <f ca="1">IFERROR(__xludf.DUMMYFUNCTION("""COMPUTED_VALUE"""),"New")</f>
        <v>New</v>
      </c>
      <c r="H575" s="96">
        <f ca="1">IFERROR(__xludf.DUMMYFUNCTION("""COMPUTED_VALUE"""),1)</f>
        <v>1</v>
      </c>
      <c r="I575" s="97">
        <f ca="1">IFERROR(__xludf.DUMMYFUNCTION("""COMPUTED_VALUE"""),46039)</f>
        <v>46039</v>
      </c>
      <c r="J575" s="98" t="str">
        <f ca="1">IFERROR(__xludf.DUMMYFUNCTION("""COMPUTED_VALUE"""),"CW22030_Jan26")</f>
        <v>CW22030_Jan26</v>
      </c>
      <c r="K575" s="99" t="str">
        <f ca="1">IFERROR(__xludf.DUMMYFUNCTION("""COMPUTED_VALUE"""),"HoM Approved")</f>
        <v>HoM Approved</v>
      </c>
    </row>
    <row r="576" spans="1:11" ht="13.2">
      <c r="A576" s="89" t="str">
        <f ca="1">IFERROR(__xludf.DUMMYFUNCTION("""COMPUTED_VALUE"""),"PRAN DAIRY LTD. PIP - ALL")</f>
        <v>PRAN DAIRY LTD. PIP - ALL</v>
      </c>
      <c r="B576" s="90" t="str">
        <f ca="1">IFERROR(__xludf.DUMMYFUNCTION("""COMPUTED_VALUE"""),"Philippines")</f>
        <v>Philippines</v>
      </c>
      <c r="C576" s="91" t="str">
        <f ca="1">IFERROR(__xludf.DUMMYFUNCTION("""COMPUTED_VALUE"""),"Farjana Apu")</f>
        <v>Farjana Apu</v>
      </c>
      <c r="D576" s="92" t="str">
        <f ca="1">IFERROR(__xludf.DUMMYFUNCTION("""COMPUTED_VALUE"""),"Md Iasin Ahmed Showrov (S204960)")</f>
        <v>Md Iasin Ahmed Showrov (S204960)</v>
      </c>
      <c r="E576" s="93" t="str">
        <f ca="1">IFERROR(__xludf.DUMMYFUNCTION("""COMPUTED_VALUE"""),"CB14499_Dec25")</f>
        <v>CB14499_Dec25</v>
      </c>
      <c r="F576" s="94" t="str">
        <f ca="1">IFERROR(__xludf.DUMMYFUNCTION("""COMPUTED_VALUE"""),"Packaging Text Design #1")</f>
        <v>Packaging Text Design #1</v>
      </c>
      <c r="G576" s="95" t="str">
        <f ca="1">IFERROR(__xludf.DUMMYFUNCTION("""COMPUTED_VALUE"""),"New")</f>
        <v>New</v>
      </c>
      <c r="H576" s="96">
        <f ca="1">IFERROR(__xludf.DUMMYFUNCTION("""COMPUTED_VALUE"""),1)</f>
        <v>1</v>
      </c>
      <c r="I576" s="97">
        <f ca="1">IFERROR(__xludf.DUMMYFUNCTION("""COMPUTED_VALUE"""),46039)</f>
        <v>46039</v>
      </c>
      <c r="J576" s="98" t="str">
        <f ca="1">IFERROR(__xludf.DUMMYFUNCTION("""COMPUTED_VALUE"""),"CW22031_Jan26")</f>
        <v>CW22031_Jan26</v>
      </c>
      <c r="K576" s="99" t="str">
        <f ca="1">IFERROR(__xludf.DUMMYFUNCTION("""COMPUTED_VALUE"""),"HoM Approved")</f>
        <v>HoM Approved</v>
      </c>
    </row>
    <row r="577" spans="1:11" ht="13.2">
      <c r="A577" s="89" t="str">
        <f ca="1">IFERROR(__xludf.DUMMYFUNCTION("""COMPUTED_VALUE"""),"PRAN DAIRY LTD. PIP - ALL")</f>
        <v>PRAN DAIRY LTD. PIP - ALL</v>
      </c>
      <c r="B577" s="90" t="str">
        <f ca="1">IFERROR(__xludf.DUMMYFUNCTION("""COMPUTED_VALUE"""),"Philippines")</f>
        <v>Philippines</v>
      </c>
      <c r="C577" s="91" t="str">
        <f ca="1">IFERROR(__xludf.DUMMYFUNCTION("""COMPUTED_VALUE"""),"Farjana Apu")</f>
        <v>Farjana Apu</v>
      </c>
      <c r="D577" s="92" t="str">
        <f ca="1">IFERROR(__xludf.DUMMYFUNCTION("""COMPUTED_VALUE"""),"Md Iasin Ahmed Showrov (S204960)")</f>
        <v>Md Iasin Ahmed Showrov (S204960)</v>
      </c>
      <c r="E577" s="93" t="str">
        <f ca="1">IFERROR(__xludf.DUMMYFUNCTION("""COMPUTED_VALUE"""),"CB15652_Jan26")</f>
        <v>CB15652_Jan26</v>
      </c>
      <c r="F577" s="94" t="str">
        <f ca="1">IFERROR(__xludf.DUMMYFUNCTION("""COMPUTED_VALUE"""),"Packaging Text Design #1")</f>
        <v>Packaging Text Design #1</v>
      </c>
      <c r="G577" s="95" t="str">
        <f ca="1">IFERROR(__xludf.DUMMYFUNCTION("""COMPUTED_VALUE"""),"New")</f>
        <v>New</v>
      </c>
      <c r="H577" s="96">
        <f ca="1">IFERROR(__xludf.DUMMYFUNCTION("""COMPUTED_VALUE"""),2)</f>
        <v>2</v>
      </c>
      <c r="I577" s="97">
        <f ca="1">IFERROR(__xludf.DUMMYFUNCTION("""COMPUTED_VALUE"""),46039)</f>
        <v>46039</v>
      </c>
      <c r="J577" s="98" t="str">
        <f ca="1">IFERROR(__xludf.DUMMYFUNCTION("""COMPUTED_VALUE"""),"CW22097_Jan26")</f>
        <v>CW22097_Jan26</v>
      </c>
      <c r="K577" s="99" t="str">
        <f ca="1">IFERROR(__xludf.DUMMYFUNCTION("""COMPUTED_VALUE"""),"HoM Approved")</f>
        <v>HoM Approved</v>
      </c>
    </row>
    <row r="578" spans="1:11" ht="13.2">
      <c r="A578" s="89" t="str">
        <f ca="1">IFERROR(__xludf.DUMMYFUNCTION("""COMPUTED_VALUE"""),"Mr. Noodles")</f>
        <v>Mr. Noodles</v>
      </c>
      <c r="B578" s="90" t="str">
        <f ca="1">IFERROR(__xludf.DUMMYFUNCTION("""COMPUTED_VALUE"""),"PAL")</f>
        <v>PAL</v>
      </c>
      <c r="C578" s="91" t="str">
        <f ca="1">IFERROR(__xludf.DUMMYFUNCTION("""COMPUTED_VALUE"""),"Rabby Vai")</f>
        <v>Rabby Vai</v>
      </c>
      <c r="D578" s="92" t="str">
        <f ca="1">IFERROR(__xludf.DUMMYFUNCTION("""COMPUTED_VALUE"""),"Md Iasin Ahmed Showrov (S204960)")</f>
        <v>Md Iasin Ahmed Showrov (S204960)</v>
      </c>
      <c r="E578" s="93" t="str">
        <f ca="1">IFERROR(__xludf.DUMMYFUNCTION("""COMPUTED_VALUE"""),"CB15086_Jan26")</f>
        <v>CB15086_Jan26</v>
      </c>
      <c r="F578" s="94" t="str">
        <f ca="1">IFERROR(__xludf.DUMMYFUNCTION("""COMPUTED_VALUE"""),"Packaging Text Design #1")</f>
        <v>Packaging Text Design #1</v>
      </c>
      <c r="G578" s="95" t="str">
        <f ca="1">IFERROR(__xludf.DUMMYFUNCTION("""COMPUTED_VALUE"""),"New")</f>
        <v>New</v>
      </c>
      <c r="H578" s="96">
        <f ca="1">IFERROR(__xludf.DUMMYFUNCTION("""COMPUTED_VALUE"""),1)</f>
        <v>1</v>
      </c>
      <c r="I578" s="97">
        <f ca="1">IFERROR(__xludf.DUMMYFUNCTION("""COMPUTED_VALUE"""),46039)</f>
        <v>46039</v>
      </c>
      <c r="J578" s="98" t="str">
        <f ca="1">IFERROR(__xludf.DUMMYFUNCTION("""COMPUTED_VALUE"""),"CW22048_Jan26")</f>
        <v>CW22048_Jan26</v>
      </c>
      <c r="K578" s="99" t="str">
        <f ca="1">IFERROR(__xludf.DUMMYFUNCTION("""COMPUTED_VALUE"""),"HoM Approved")</f>
        <v>HoM Approved</v>
      </c>
    </row>
    <row r="579" spans="1:11" ht="13.2">
      <c r="A579" s="89" t="str">
        <f ca="1">IFERROR(__xludf.DUMMYFUNCTION("""COMPUTED_VALUE"""),"PRAN Noodles")</f>
        <v>PRAN Noodles</v>
      </c>
      <c r="B579" s="90" t="str">
        <f ca="1">IFERROR(__xludf.DUMMYFUNCTION("""COMPUTED_VALUE"""),"PAL")</f>
        <v>PAL</v>
      </c>
      <c r="C579" s="91" t="str">
        <f ca="1">IFERROR(__xludf.DUMMYFUNCTION("""COMPUTED_VALUE"""),"Rabby Vai")</f>
        <v>Rabby Vai</v>
      </c>
      <c r="D579" s="92" t="str">
        <f ca="1">IFERROR(__xludf.DUMMYFUNCTION("""COMPUTED_VALUE"""),"Md Iasin Ahmed Showrov (S204960)")</f>
        <v>Md Iasin Ahmed Showrov (S204960)</v>
      </c>
      <c r="E579" s="93" t="str">
        <f ca="1">IFERROR(__xludf.DUMMYFUNCTION("""COMPUTED_VALUE"""),"CB15118_Jan26")</f>
        <v>CB15118_Jan26</v>
      </c>
      <c r="F579" s="94" t="str">
        <f ca="1">IFERROR(__xludf.DUMMYFUNCTION("""COMPUTED_VALUE"""),"Packaging Text Design #1")</f>
        <v>Packaging Text Design #1</v>
      </c>
      <c r="G579" s="95" t="str">
        <f ca="1">IFERROR(__xludf.DUMMYFUNCTION("""COMPUTED_VALUE"""),"New")</f>
        <v>New</v>
      </c>
      <c r="H579" s="96">
        <f ca="1">IFERROR(__xludf.DUMMYFUNCTION("""COMPUTED_VALUE"""),1)</f>
        <v>1</v>
      </c>
      <c r="I579" s="97">
        <f ca="1">IFERROR(__xludf.DUMMYFUNCTION("""COMPUTED_VALUE"""),46039)</f>
        <v>46039</v>
      </c>
      <c r="J579" s="98" t="str">
        <f ca="1">IFERROR(__xludf.DUMMYFUNCTION("""COMPUTED_VALUE"""),"CW22050_Jan26")</f>
        <v>CW22050_Jan26</v>
      </c>
      <c r="K579" s="99" t="str">
        <f ca="1">IFERROR(__xludf.DUMMYFUNCTION("""COMPUTED_VALUE"""),"HoM Approved")</f>
        <v>HoM Approved</v>
      </c>
    </row>
    <row r="580" spans="1:11" ht="13.2">
      <c r="A580" s="89" t="str">
        <f ca="1">IFERROR(__xludf.DUMMYFUNCTION("""COMPUTED_VALUE"""),"Mr. Noodles")</f>
        <v>Mr. Noodles</v>
      </c>
      <c r="B580" s="90" t="str">
        <f ca="1">IFERROR(__xludf.DUMMYFUNCTION("""COMPUTED_VALUE"""),"PAL")</f>
        <v>PAL</v>
      </c>
      <c r="C580" s="91" t="str">
        <f ca="1">IFERROR(__xludf.DUMMYFUNCTION("""COMPUTED_VALUE"""),"Rabby Vai")</f>
        <v>Rabby Vai</v>
      </c>
      <c r="D580" s="92" t="str">
        <f ca="1">IFERROR(__xludf.DUMMYFUNCTION("""COMPUTED_VALUE"""),"Md Iasin Ahmed Showrov (S204960)")</f>
        <v>Md Iasin Ahmed Showrov (S204960)</v>
      </c>
      <c r="E580" s="93" t="str">
        <f ca="1">IFERROR(__xludf.DUMMYFUNCTION("""COMPUTED_VALUE"""),"CB15098_Jan26")</f>
        <v>CB15098_Jan26</v>
      </c>
      <c r="F580" s="94" t="str">
        <f ca="1">IFERROR(__xludf.DUMMYFUNCTION("""COMPUTED_VALUE"""),"Packaging Text Design #1")</f>
        <v>Packaging Text Design #1</v>
      </c>
      <c r="G580" s="95" t="str">
        <f ca="1">IFERROR(__xludf.DUMMYFUNCTION("""COMPUTED_VALUE"""),"New")</f>
        <v>New</v>
      </c>
      <c r="H580" s="96">
        <f ca="1">IFERROR(__xludf.DUMMYFUNCTION("""COMPUTED_VALUE"""),1)</f>
        <v>1</v>
      </c>
      <c r="I580" s="97">
        <f ca="1">IFERROR(__xludf.DUMMYFUNCTION("""COMPUTED_VALUE"""),46039)</f>
        <v>46039</v>
      </c>
      <c r="J580" s="98" t="str">
        <f ca="1">IFERROR(__xludf.DUMMYFUNCTION("""COMPUTED_VALUE"""),"CW22043_Jan26")</f>
        <v>CW22043_Jan26</v>
      </c>
      <c r="K580" s="99" t="str">
        <f ca="1">IFERROR(__xludf.DUMMYFUNCTION("""COMPUTED_VALUE"""),"HoM Approved")</f>
        <v>HoM Approved</v>
      </c>
    </row>
    <row r="581" spans="1:11" ht="13.2">
      <c r="A581" s="89" t="str">
        <f ca="1">IFERROR(__xludf.DUMMYFUNCTION("""COMPUTED_VALUE"""),"Mr. Noodles Korean")</f>
        <v>Mr. Noodles Korean</v>
      </c>
      <c r="B581" s="90" t="str">
        <f ca="1">IFERROR(__xludf.DUMMYFUNCTION("""COMPUTED_VALUE"""),"PAL")</f>
        <v>PAL</v>
      </c>
      <c r="C581" s="91" t="str">
        <f ca="1">IFERROR(__xludf.DUMMYFUNCTION("""COMPUTED_VALUE"""),"Rabby Vai")</f>
        <v>Rabby Vai</v>
      </c>
      <c r="D581" s="92" t="str">
        <f ca="1">IFERROR(__xludf.DUMMYFUNCTION("""COMPUTED_VALUE"""),"Md Iasin Ahmed Showrov (S204960)")</f>
        <v>Md Iasin Ahmed Showrov (S204960)</v>
      </c>
      <c r="E581" s="93" t="str">
        <f ca="1">IFERROR(__xludf.DUMMYFUNCTION("""COMPUTED_VALUE"""),"CB15008_Jan26")</f>
        <v>CB15008_Jan26</v>
      </c>
      <c r="F581" s="94" t="str">
        <f ca="1">IFERROR(__xludf.DUMMYFUNCTION("""COMPUTED_VALUE"""),"Packaging Text Design #1")</f>
        <v>Packaging Text Design #1</v>
      </c>
      <c r="G581" s="95" t="str">
        <f ca="1">IFERROR(__xludf.DUMMYFUNCTION("""COMPUTED_VALUE"""),"New")</f>
        <v>New</v>
      </c>
      <c r="H581" s="96">
        <f ca="1">IFERROR(__xludf.DUMMYFUNCTION("""COMPUTED_VALUE"""),1)</f>
        <v>1</v>
      </c>
      <c r="I581" s="97">
        <f ca="1">IFERROR(__xludf.DUMMYFUNCTION("""COMPUTED_VALUE"""),46039)</f>
        <v>46039</v>
      </c>
      <c r="J581" s="98" t="str">
        <f ca="1">IFERROR(__xludf.DUMMYFUNCTION("""COMPUTED_VALUE"""),"CW22049_Jan26")</f>
        <v>CW22049_Jan26</v>
      </c>
      <c r="K581" s="99" t="str">
        <f ca="1">IFERROR(__xludf.DUMMYFUNCTION("""COMPUTED_VALUE"""),"HoM Approved")</f>
        <v>HoM Approved</v>
      </c>
    </row>
    <row r="582" spans="1:11" ht="13.2">
      <c r="A582" s="89" t="str">
        <f ca="1">IFERROR(__xludf.DUMMYFUNCTION("""COMPUTED_VALUE"""),"PRAN Noodles")</f>
        <v>PRAN Noodles</v>
      </c>
      <c r="B582" s="90" t="str">
        <f ca="1">IFERROR(__xludf.DUMMYFUNCTION("""COMPUTED_VALUE"""),"PAL")</f>
        <v>PAL</v>
      </c>
      <c r="C582" s="91" t="str">
        <f ca="1">IFERROR(__xludf.DUMMYFUNCTION("""COMPUTED_VALUE"""),"Rabby Vai")</f>
        <v>Rabby Vai</v>
      </c>
      <c r="D582" s="92" t="str">
        <f ca="1">IFERROR(__xludf.DUMMYFUNCTION("""COMPUTED_VALUE"""),"Md Iasin Ahmed Showrov (S204960)")</f>
        <v>Md Iasin Ahmed Showrov (S204960)</v>
      </c>
      <c r="E582" s="93" t="str">
        <f ca="1">IFERROR(__xludf.DUMMYFUNCTION("""COMPUTED_VALUE"""),"CB15109_Jan26")</f>
        <v>CB15109_Jan26</v>
      </c>
      <c r="F582" s="94" t="str">
        <f ca="1">IFERROR(__xludf.DUMMYFUNCTION("""COMPUTED_VALUE"""),"Packaging Text Design #1")</f>
        <v>Packaging Text Design #1</v>
      </c>
      <c r="G582" s="95" t="str">
        <f ca="1">IFERROR(__xludf.DUMMYFUNCTION("""COMPUTED_VALUE"""),"New")</f>
        <v>New</v>
      </c>
      <c r="H582" s="96">
        <f ca="1">IFERROR(__xludf.DUMMYFUNCTION("""COMPUTED_VALUE"""),1)</f>
        <v>1</v>
      </c>
      <c r="I582" s="97">
        <f ca="1">IFERROR(__xludf.DUMMYFUNCTION("""COMPUTED_VALUE"""),46039)</f>
        <v>46039</v>
      </c>
      <c r="J582" s="98" t="str">
        <f ca="1">IFERROR(__xludf.DUMMYFUNCTION("""COMPUTED_VALUE"""),"CW22040_Jan26")</f>
        <v>CW22040_Jan26</v>
      </c>
      <c r="K582" s="99" t="str">
        <f ca="1">IFERROR(__xludf.DUMMYFUNCTION("""COMPUTED_VALUE"""),"HoM Approved")</f>
        <v>HoM Approved</v>
      </c>
    </row>
    <row r="583" spans="1:11" ht="13.2">
      <c r="A583" s="89" t="str">
        <f ca="1">IFERROR(__xludf.DUMMYFUNCTION("""COMPUTED_VALUE"""),"Mr. Noodles")</f>
        <v>Mr. Noodles</v>
      </c>
      <c r="B583" s="90" t="str">
        <f ca="1">IFERROR(__xludf.DUMMYFUNCTION("""COMPUTED_VALUE"""),"PAL")</f>
        <v>PAL</v>
      </c>
      <c r="C583" s="91" t="str">
        <f ca="1">IFERROR(__xludf.DUMMYFUNCTION("""COMPUTED_VALUE"""),"Rabby Vai")</f>
        <v>Rabby Vai</v>
      </c>
      <c r="D583" s="92" t="str">
        <f ca="1">IFERROR(__xludf.DUMMYFUNCTION("""COMPUTED_VALUE"""),"Md Iasin Ahmed Showrov (S204960)")</f>
        <v>Md Iasin Ahmed Showrov (S204960)</v>
      </c>
      <c r="E583" s="93" t="str">
        <f ca="1">IFERROR(__xludf.DUMMYFUNCTION("""COMPUTED_VALUE"""),"CB15094_Jan26")</f>
        <v>CB15094_Jan26</v>
      </c>
      <c r="F583" s="94" t="str">
        <f ca="1">IFERROR(__xludf.DUMMYFUNCTION("""COMPUTED_VALUE"""),"Packaging Text Design #1")</f>
        <v>Packaging Text Design #1</v>
      </c>
      <c r="G583" s="95" t="str">
        <f ca="1">IFERROR(__xludf.DUMMYFUNCTION("""COMPUTED_VALUE"""),"New")</f>
        <v>New</v>
      </c>
      <c r="H583" s="96">
        <f ca="1">IFERROR(__xludf.DUMMYFUNCTION("""COMPUTED_VALUE"""),1)</f>
        <v>1</v>
      </c>
      <c r="I583" s="97">
        <f ca="1">IFERROR(__xludf.DUMMYFUNCTION("""COMPUTED_VALUE"""),46039)</f>
        <v>46039</v>
      </c>
      <c r="J583" s="98" t="str">
        <f ca="1">IFERROR(__xludf.DUMMYFUNCTION("""COMPUTED_VALUE"""),"CW22046_Jan26")</f>
        <v>CW22046_Jan26</v>
      </c>
      <c r="K583" s="99" t="str">
        <f ca="1">IFERROR(__xludf.DUMMYFUNCTION("""COMPUTED_VALUE"""),"HoM Approved")</f>
        <v>HoM Approved</v>
      </c>
    </row>
    <row r="584" spans="1:11" ht="13.2">
      <c r="A584" s="89" t="str">
        <f ca="1">IFERROR(__xludf.DUMMYFUNCTION("""COMPUTED_VALUE"""),"PRAN Noodles")</f>
        <v>PRAN Noodles</v>
      </c>
      <c r="B584" s="90" t="str">
        <f ca="1">IFERROR(__xludf.DUMMYFUNCTION("""COMPUTED_VALUE"""),"PAL")</f>
        <v>PAL</v>
      </c>
      <c r="C584" s="91" t="str">
        <f ca="1">IFERROR(__xludf.DUMMYFUNCTION("""COMPUTED_VALUE"""),"Rabby Vai")</f>
        <v>Rabby Vai</v>
      </c>
      <c r="D584" s="92" t="str">
        <f ca="1">IFERROR(__xludf.DUMMYFUNCTION("""COMPUTED_VALUE"""),"Md Iasin Ahmed Showrov (S204960)")</f>
        <v>Md Iasin Ahmed Showrov (S204960)</v>
      </c>
      <c r="E584" s="93" t="str">
        <f ca="1">IFERROR(__xludf.DUMMYFUNCTION("""COMPUTED_VALUE"""),"CB15114_Jan26")</f>
        <v>CB15114_Jan26</v>
      </c>
      <c r="F584" s="94" t="str">
        <f ca="1">IFERROR(__xludf.DUMMYFUNCTION("""COMPUTED_VALUE"""),"Packaging Text Design #1")</f>
        <v>Packaging Text Design #1</v>
      </c>
      <c r="G584" s="95" t="str">
        <f ca="1">IFERROR(__xludf.DUMMYFUNCTION("""COMPUTED_VALUE"""),"New")</f>
        <v>New</v>
      </c>
      <c r="H584" s="96">
        <f ca="1">IFERROR(__xludf.DUMMYFUNCTION("""COMPUTED_VALUE"""),1)</f>
        <v>1</v>
      </c>
      <c r="I584" s="97">
        <f ca="1">IFERROR(__xludf.DUMMYFUNCTION("""COMPUTED_VALUE"""),46039)</f>
        <v>46039</v>
      </c>
      <c r="J584" s="98" t="str">
        <f ca="1">IFERROR(__xludf.DUMMYFUNCTION("""COMPUTED_VALUE"""),"CW22051_Jan26")</f>
        <v>CW22051_Jan26</v>
      </c>
      <c r="K584" s="99" t="str">
        <f ca="1">IFERROR(__xludf.DUMMYFUNCTION("""COMPUTED_VALUE"""),"HoM Approved")</f>
        <v>HoM Approved</v>
      </c>
    </row>
    <row r="585" spans="1:11" ht="13.2">
      <c r="A585" s="89" t="str">
        <f ca="1">IFERROR(__xludf.DUMMYFUNCTION("""COMPUTED_VALUE"""),"HIP-ALL")</f>
        <v>HIP-ALL</v>
      </c>
      <c r="B585" s="90" t="str">
        <f ca="1">IFERROR(__xludf.DUMMYFUNCTION("""COMPUTED_VALUE"""),"Philippines")</f>
        <v>Philippines</v>
      </c>
      <c r="C585" s="91" t="str">
        <f ca="1">IFERROR(__xludf.DUMMYFUNCTION("""COMPUTED_VALUE"""),"Farjana Apu")</f>
        <v>Farjana Apu</v>
      </c>
      <c r="D585" s="92" t="str">
        <f ca="1">IFERROR(__xludf.DUMMYFUNCTION("""COMPUTED_VALUE"""),"Md Iasin Ahmed Showrov (S204960)")</f>
        <v>Md Iasin Ahmed Showrov (S204960)</v>
      </c>
      <c r="E585" s="93" t="str">
        <f ca="1">IFERROR(__xludf.DUMMYFUNCTION("""COMPUTED_VALUE"""),"CB15575_Jan26")</f>
        <v>CB15575_Jan26</v>
      </c>
      <c r="F585" s="94" t="str">
        <f ca="1">IFERROR(__xludf.DUMMYFUNCTION("""COMPUTED_VALUE"""),"Packaging Text Design #1")</f>
        <v>Packaging Text Design #1</v>
      </c>
      <c r="G585" s="95" t="str">
        <f ca="1">IFERROR(__xludf.DUMMYFUNCTION("""COMPUTED_VALUE"""),"New")</f>
        <v>New</v>
      </c>
      <c r="H585" s="96">
        <f ca="1">IFERROR(__xludf.DUMMYFUNCTION("""COMPUTED_VALUE"""),1)</f>
        <v>1</v>
      </c>
      <c r="I585" s="97">
        <f ca="1">IFERROR(__xludf.DUMMYFUNCTION("""COMPUTED_VALUE"""),46040)</f>
        <v>46040</v>
      </c>
      <c r="J585" s="98" t="str">
        <f ca="1">IFERROR(__xludf.DUMMYFUNCTION("""COMPUTED_VALUE"""),"CW22213_Jan26")</f>
        <v>CW22213_Jan26</v>
      </c>
      <c r="K585" s="99" t="str">
        <f ca="1">IFERROR(__xludf.DUMMYFUNCTION("""COMPUTED_VALUE"""),"HoM Approved")</f>
        <v>HoM Approved</v>
      </c>
    </row>
    <row r="586" spans="1:11" ht="13.2">
      <c r="A586" s="89" t="str">
        <f ca="1">IFERROR(__xludf.DUMMYFUNCTION("""COMPUTED_VALUE"""),"PFG ALL")</f>
        <v>PFG ALL</v>
      </c>
      <c r="B586" s="90" t="str">
        <f ca="1">IFERROR(__xludf.DUMMYFUNCTION("""COMPUTED_VALUE"""),"Philippines")</f>
        <v>Philippines</v>
      </c>
      <c r="C586" s="91" t="str">
        <f ca="1">IFERROR(__xludf.DUMMYFUNCTION("""COMPUTED_VALUE"""),"Farjana Apu")</f>
        <v>Farjana Apu</v>
      </c>
      <c r="D586" s="92" t="str">
        <f ca="1">IFERROR(__xludf.DUMMYFUNCTION("""COMPUTED_VALUE"""),"Md Iasin Ahmed Showrov (S204960)")</f>
        <v>Md Iasin Ahmed Showrov (S204960)</v>
      </c>
      <c r="E586" s="93" t="str">
        <f ca="1">IFERROR(__xludf.DUMMYFUNCTION("""COMPUTED_VALUE"""),"CB15769_Jan26")</f>
        <v>CB15769_Jan26</v>
      </c>
      <c r="F586" s="94" t="str">
        <f ca="1">IFERROR(__xludf.DUMMYFUNCTION("""COMPUTED_VALUE"""),"Packaging Text Design #1")</f>
        <v>Packaging Text Design #1</v>
      </c>
      <c r="G586" s="95" t="str">
        <f ca="1">IFERROR(__xludf.DUMMYFUNCTION("""COMPUTED_VALUE"""),"New")</f>
        <v>New</v>
      </c>
      <c r="H586" s="96">
        <f ca="1">IFERROR(__xludf.DUMMYFUNCTION("""COMPUTED_VALUE"""),1)</f>
        <v>1</v>
      </c>
      <c r="I586" s="97">
        <f ca="1">IFERROR(__xludf.DUMMYFUNCTION("""COMPUTED_VALUE"""),46040)</f>
        <v>46040</v>
      </c>
      <c r="J586" s="98" t="str">
        <f ca="1">IFERROR(__xludf.DUMMYFUNCTION("""COMPUTED_VALUE"""),"CW22207_Jan26")</f>
        <v>CW22207_Jan26</v>
      </c>
      <c r="K586" s="99" t="str">
        <f ca="1">IFERROR(__xludf.DUMMYFUNCTION("""COMPUTED_VALUE"""),"HoM Approved")</f>
        <v>HoM Approved</v>
      </c>
    </row>
    <row r="587" spans="1:11" ht="13.2">
      <c r="A587" s="89" t="str">
        <f ca="1">IFERROR(__xludf.DUMMYFUNCTION("""COMPUTED_VALUE"""),"HIP-ALL")</f>
        <v>HIP-ALL</v>
      </c>
      <c r="B587" s="90" t="str">
        <f ca="1">IFERROR(__xludf.DUMMYFUNCTION("""COMPUTED_VALUE"""),"Philippines")</f>
        <v>Philippines</v>
      </c>
      <c r="C587" s="91" t="str">
        <f ca="1">IFERROR(__xludf.DUMMYFUNCTION("""COMPUTED_VALUE"""),"Farjana Apu")</f>
        <v>Farjana Apu</v>
      </c>
      <c r="D587" s="92" t="str">
        <f ca="1">IFERROR(__xludf.DUMMYFUNCTION("""COMPUTED_VALUE"""),"Md Iasin Ahmed Showrov (S204960)")</f>
        <v>Md Iasin Ahmed Showrov (S204960)</v>
      </c>
      <c r="E587" s="93" t="str">
        <f ca="1">IFERROR(__xludf.DUMMYFUNCTION("""COMPUTED_VALUE"""),"CB15588_Jan26")</f>
        <v>CB15588_Jan26</v>
      </c>
      <c r="F587" s="94" t="str">
        <f ca="1">IFERROR(__xludf.DUMMYFUNCTION("""COMPUTED_VALUE"""),"Packaging Text Design #1")</f>
        <v>Packaging Text Design #1</v>
      </c>
      <c r="G587" s="95" t="str">
        <f ca="1">IFERROR(__xludf.DUMMYFUNCTION("""COMPUTED_VALUE"""),"New")</f>
        <v>New</v>
      </c>
      <c r="H587" s="96">
        <f ca="1">IFERROR(__xludf.DUMMYFUNCTION("""COMPUTED_VALUE"""),1)</f>
        <v>1</v>
      </c>
      <c r="I587" s="97">
        <f ca="1">IFERROR(__xludf.DUMMYFUNCTION("""COMPUTED_VALUE"""),46040)</f>
        <v>46040</v>
      </c>
      <c r="J587" s="98" t="str">
        <f ca="1">IFERROR(__xludf.DUMMYFUNCTION("""COMPUTED_VALUE"""),"CW22211_Jan26")</f>
        <v>CW22211_Jan26</v>
      </c>
      <c r="K587" s="99" t="str">
        <f ca="1">IFERROR(__xludf.DUMMYFUNCTION("""COMPUTED_VALUE"""),"HoM Approved")</f>
        <v>HoM Approved</v>
      </c>
    </row>
    <row r="588" spans="1:11" ht="13.2">
      <c r="A588" s="89" t="str">
        <f ca="1">IFERROR(__xludf.DUMMYFUNCTION("""COMPUTED_VALUE"""),"HIP-ALL")</f>
        <v>HIP-ALL</v>
      </c>
      <c r="B588" s="90" t="str">
        <f ca="1">IFERROR(__xludf.DUMMYFUNCTION("""COMPUTED_VALUE"""),"Philippines")</f>
        <v>Philippines</v>
      </c>
      <c r="C588" s="91" t="str">
        <f ca="1">IFERROR(__xludf.DUMMYFUNCTION("""COMPUTED_VALUE"""),"Farjana Apu")</f>
        <v>Farjana Apu</v>
      </c>
      <c r="D588" s="92" t="str">
        <f ca="1">IFERROR(__xludf.DUMMYFUNCTION("""COMPUTED_VALUE"""),"Md Iasin Ahmed Showrov (S204960)")</f>
        <v>Md Iasin Ahmed Showrov (S204960)</v>
      </c>
      <c r="E588" s="93" t="str">
        <f ca="1">IFERROR(__xludf.DUMMYFUNCTION("""COMPUTED_VALUE"""),"CB15577_Jan26")</f>
        <v>CB15577_Jan26</v>
      </c>
      <c r="F588" s="94" t="str">
        <f ca="1">IFERROR(__xludf.DUMMYFUNCTION("""COMPUTED_VALUE"""),"Packaging Text Design #1")</f>
        <v>Packaging Text Design #1</v>
      </c>
      <c r="G588" s="95" t="str">
        <f ca="1">IFERROR(__xludf.DUMMYFUNCTION("""COMPUTED_VALUE"""),"New")</f>
        <v>New</v>
      </c>
      <c r="H588" s="96">
        <f ca="1">IFERROR(__xludf.DUMMYFUNCTION("""COMPUTED_VALUE"""),1)</f>
        <v>1</v>
      </c>
      <c r="I588" s="97">
        <f ca="1">IFERROR(__xludf.DUMMYFUNCTION("""COMPUTED_VALUE"""),46040)</f>
        <v>46040</v>
      </c>
      <c r="J588" s="98" t="str">
        <f ca="1">IFERROR(__xludf.DUMMYFUNCTION("""COMPUTED_VALUE"""),"CW22212_Jan26")</f>
        <v>CW22212_Jan26</v>
      </c>
      <c r="K588" s="99" t="str">
        <f ca="1">IFERROR(__xludf.DUMMYFUNCTION("""COMPUTED_VALUE"""),"HoM Approved")</f>
        <v>HoM Approved</v>
      </c>
    </row>
    <row r="589" spans="1:11" ht="13.2">
      <c r="A589" s="89" t="str">
        <f ca="1">IFERROR(__xludf.DUMMYFUNCTION("""COMPUTED_VALUE"""),"HIP-ALL")</f>
        <v>HIP-ALL</v>
      </c>
      <c r="B589" s="90" t="str">
        <f ca="1">IFERROR(__xludf.DUMMYFUNCTION("""COMPUTED_VALUE"""),"Philippines")</f>
        <v>Philippines</v>
      </c>
      <c r="C589" s="91" t="str">
        <f ca="1">IFERROR(__xludf.DUMMYFUNCTION("""COMPUTED_VALUE"""),"Farjana Apu")</f>
        <v>Farjana Apu</v>
      </c>
      <c r="D589" s="92" t="str">
        <f ca="1">IFERROR(__xludf.DUMMYFUNCTION("""COMPUTED_VALUE"""),"Md Iasin Ahmed Showrov (S204960)")</f>
        <v>Md Iasin Ahmed Showrov (S204960)</v>
      </c>
      <c r="E589" s="93" t="str">
        <f ca="1">IFERROR(__xludf.DUMMYFUNCTION("""COMPUTED_VALUE"""),"CB15589_Jan26")</f>
        <v>CB15589_Jan26</v>
      </c>
      <c r="F589" s="94" t="str">
        <f ca="1">IFERROR(__xludf.DUMMYFUNCTION("""COMPUTED_VALUE"""),"Packaging Text Design #1")</f>
        <v>Packaging Text Design #1</v>
      </c>
      <c r="G589" s="95" t="str">
        <f ca="1">IFERROR(__xludf.DUMMYFUNCTION("""COMPUTED_VALUE"""),"New")</f>
        <v>New</v>
      </c>
      <c r="H589" s="96">
        <f ca="1">IFERROR(__xludf.DUMMYFUNCTION("""COMPUTED_VALUE"""),1)</f>
        <v>1</v>
      </c>
      <c r="I589" s="97">
        <f ca="1">IFERROR(__xludf.DUMMYFUNCTION("""COMPUTED_VALUE"""),46040)</f>
        <v>46040</v>
      </c>
      <c r="J589" s="98" t="str">
        <f ca="1">IFERROR(__xludf.DUMMYFUNCTION("""COMPUTED_VALUE"""),"CW22209_Jan26")</f>
        <v>CW22209_Jan26</v>
      </c>
      <c r="K589" s="99" t="str">
        <f ca="1">IFERROR(__xludf.DUMMYFUNCTION("""COMPUTED_VALUE"""),"HoM Approved")</f>
        <v>HoM Approved</v>
      </c>
    </row>
    <row r="590" spans="1:11" ht="13.2">
      <c r="A590" s="89" t="str">
        <f ca="1">IFERROR(__xludf.DUMMYFUNCTION("""COMPUTED_VALUE"""),"Power")</f>
        <v>Power</v>
      </c>
      <c r="B590" s="90" t="str">
        <f ca="1">IFERROR(__xludf.DUMMYFUNCTION("""COMPUTED_VALUE"""),"PBL")</f>
        <v>PBL</v>
      </c>
      <c r="C590" s="91" t="str">
        <f ca="1">IFERROR(__xludf.DUMMYFUNCTION("""COMPUTED_VALUE"""),"Saifullah Vai")</f>
        <v>Saifullah Vai</v>
      </c>
      <c r="D590" s="92" t="str">
        <f ca="1">IFERROR(__xludf.DUMMYFUNCTION("""COMPUTED_VALUE"""),"Md Iasin Ahmed Showrov (S204960)")</f>
        <v>Md Iasin Ahmed Showrov (S204960)</v>
      </c>
      <c r="E590" s="93" t="str">
        <f ca="1">IFERROR(__xludf.DUMMYFUNCTION("""COMPUTED_VALUE"""),"CB15734_Jan26")</f>
        <v>CB15734_Jan26</v>
      </c>
      <c r="F590" s="94" t="str">
        <f ca="1">IFERROR(__xludf.DUMMYFUNCTION("""COMPUTED_VALUE"""),"Full Cylinder Output")</f>
        <v>Full Cylinder Output</v>
      </c>
      <c r="G590" s="95" t="str">
        <f ca="1">IFERROR(__xludf.DUMMYFUNCTION("""COMPUTED_VALUE"""),"New")</f>
        <v>New</v>
      </c>
      <c r="H590" s="96">
        <f ca="1">IFERROR(__xludf.DUMMYFUNCTION("""COMPUTED_VALUE"""),1)</f>
        <v>1</v>
      </c>
      <c r="I590" s="97">
        <f ca="1">IFERROR(__xludf.DUMMYFUNCTION("""COMPUTED_VALUE"""),46040)</f>
        <v>46040</v>
      </c>
      <c r="J590" s="98" t="str">
        <f ca="1">IFERROR(__xludf.DUMMYFUNCTION("""COMPUTED_VALUE"""),"CW22157_Jan26")</f>
        <v>CW22157_Jan26</v>
      </c>
      <c r="K590" s="99" t="str">
        <f ca="1">IFERROR(__xludf.DUMMYFUNCTION("""COMPUTED_VALUE"""),"HoM Approved")</f>
        <v>HoM Approved</v>
      </c>
    </row>
    <row r="591" spans="1:11" ht="13.2">
      <c r="A591" s="89" t="str">
        <f ca="1">IFERROR(__xludf.DUMMYFUNCTION("""COMPUTED_VALUE"""),"Power")</f>
        <v>Power</v>
      </c>
      <c r="B591" s="90" t="str">
        <f ca="1">IFERROR(__xludf.DUMMYFUNCTION("""COMPUTED_VALUE"""),"PBL")</f>
        <v>PBL</v>
      </c>
      <c r="C591" s="91" t="str">
        <f ca="1">IFERROR(__xludf.DUMMYFUNCTION("""COMPUTED_VALUE"""),"Saifullah Vai")</f>
        <v>Saifullah Vai</v>
      </c>
      <c r="D591" s="92" t="str">
        <f ca="1">IFERROR(__xludf.DUMMYFUNCTION("""COMPUTED_VALUE"""),"Md Iasin Ahmed Showrov (S204960)")</f>
        <v>Md Iasin Ahmed Showrov (S204960)</v>
      </c>
      <c r="E591" s="93" t="str">
        <f ca="1">IFERROR(__xludf.DUMMYFUNCTION("""COMPUTED_VALUE"""),"CB15734_Jan26")</f>
        <v>CB15734_Jan26</v>
      </c>
      <c r="F591" s="94" t="str">
        <f ca="1">IFERROR(__xludf.DUMMYFUNCTION("""COMPUTED_VALUE"""),"Packaging Text Design #1")</f>
        <v>Packaging Text Design #1</v>
      </c>
      <c r="G591" s="95" t="str">
        <f ca="1">IFERROR(__xludf.DUMMYFUNCTION("""COMPUTED_VALUE"""),"New")</f>
        <v>New</v>
      </c>
      <c r="H591" s="96">
        <f ca="1">IFERROR(__xludf.DUMMYFUNCTION("""COMPUTED_VALUE"""),1)</f>
        <v>1</v>
      </c>
      <c r="I591" s="97">
        <f ca="1">IFERROR(__xludf.DUMMYFUNCTION("""COMPUTED_VALUE"""),46040)</f>
        <v>46040</v>
      </c>
      <c r="J591" s="98" t="str">
        <f ca="1">IFERROR(__xludf.DUMMYFUNCTION("""COMPUTED_VALUE"""),"CW22157_Jan26")</f>
        <v>CW22157_Jan26</v>
      </c>
      <c r="K591" s="99" t="str">
        <f ca="1">IFERROR(__xludf.DUMMYFUNCTION("""COMPUTED_VALUE"""),"HoM Approved")</f>
        <v>HoM Approved</v>
      </c>
    </row>
    <row r="592" spans="1:11" ht="13.2">
      <c r="A592" s="89" t="str">
        <f ca="1">IFERROR(__xludf.DUMMYFUNCTION("""COMPUTED_VALUE"""),"PRAN soft chew")</f>
        <v>PRAN soft chew</v>
      </c>
      <c r="B592" s="90" t="str">
        <f ca="1">IFERROR(__xludf.DUMMYFUNCTION("""COMPUTED_VALUE"""),"PCL")</f>
        <v>PCL</v>
      </c>
      <c r="C592" s="91" t="str">
        <f ca="1">IFERROR(__xludf.DUMMYFUNCTION("""COMPUTED_VALUE"""),"Sohel Vai")</f>
        <v>Sohel Vai</v>
      </c>
      <c r="D592" s="92" t="str">
        <f ca="1">IFERROR(__xludf.DUMMYFUNCTION("""COMPUTED_VALUE"""),"Md Iasin Ahmed Showrov (S204960)")</f>
        <v>Md Iasin Ahmed Showrov (S204960)</v>
      </c>
      <c r="E592" s="93" t="str">
        <f ca="1">IFERROR(__xludf.DUMMYFUNCTION("""COMPUTED_VALUE"""),"CB12046_Nov25")</f>
        <v>CB12046_Nov25</v>
      </c>
      <c r="F592" s="94" t="str">
        <f ca="1">IFERROR(__xludf.DUMMYFUNCTION("""COMPUTED_VALUE"""),"Packaging Text Design #1")</f>
        <v>Packaging Text Design #1</v>
      </c>
      <c r="G592" s="95" t="str">
        <f ca="1">IFERROR(__xludf.DUMMYFUNCTION("""COMPUTED_VALUE"""),"New")</f>
        <v>New</v>
      </c>
      <c r="H592" s="96">
        <f ca="1">IFERROR(__xludf.DUMMYFUNCTION("""COMPUTED_VALUE"""),8)</f>
        <v>8</v>
      </c>
      <c r="I592" s="97">
        <f ca="1">IFERROR(__xludf.DUMMYFUNCTION("""COMPUTED_VALUE"""),46040)</f>
        <v>46040</v>
      </c>
      <c r="J592" s="98" t="str">
        <f ca="1">IFERROR(__xludf.DUMMYFUNCTION("""COMPUTED_VALUE"""),"CW22131_Jan26")</f>
        <v>CW22131_Jan26</v>
      </c>
      <c r="K592" s="99" t="str">
        <f ca="1">IFERROR(__xludf.DUMMYFUNCTION("""COMPUTED_VALUE"""),"HoM Approved")</f>
        <v>HoM Approved</v>
      </c>
    </row>
    <row r="593" spans="1:11" ht="13.2">
      <c r="A593" s="89" t="str">
        <f ca="1">IFERROR(__xludf.DUMMYFUNCTION("""COMPUTED_VALUE"""),"Power")</f>
        <v>Power</v>
      </c>
      <c r="B593" s="90" t="str">
        <f ca="1">IFERROR(__xludf.DUMMYFUNCTION("""COMPUTED_VALUE"""),"PBL")</f>
        <v>PBL</v>
      </c>
      <c r="C593" s="91" t="str">
        <f ca="1">IFERROR(__xludf.DUMMYFUNCTION("""COMPUTED_VALUE"""),"Saifullah Vai")</f>
        <v>Saifullah Vai</v>
      </c>
      <c r="D593" s="92" t="str">
        <f ca="1">IFERROR(__xludf.DUMMYFUNCTION("""COMPUTED_VALUE"""),"Md Iasin Ahmed Showrov (S204960)")</f>
        <v>Md Iasin Ahmed Showrov (S204960)</v>
      </c>
      <c r="E593" s="93" t="str">
        <f ca="1">IFERROR(__xludf.DUMMYFUNCTION("""COMPUTED_VALUE"""),"CB15734_Jan26")</f>
        <v>CB15734_Jan26</v>
      </c>
      <c r="F593" s="94" t="str">
        <f ca="1">IFERROR(__xludf.DUMMYFUNCTION("""COMPUTED_VALUE"""),"Full Cylinder Output")</f>
        <v>Full Cylinder Output</v>
      </c>
      <c r="G593" s="95" t="str">
        <f ca="1">IFERROR(__xludf.DUMMYFUNCTION("""COMPUTED_VALUE"""),"New")</f>
        <v>New</v>
      </c>
      <c r="H593" s="96">
        <f ca="1">IFERROR(__xludf.DUMMYFUNCTION("""COMPUTED_VALUE"""),1)</f>
        <v>1</v>
      </c>
      <c r="I593" s="97">
        <f ca="1">IFERROR(__xludf.DUMMYFUNCTION("""COMPUTED_VALUE"""),46041)</f>
        <v>46041</v>
      </c>
      <c r="J593" s="98" t="str">
        <f ca="1">IFERROR(__xludf.DUMMYFUNCTION("""COMPUTED_VALUE"""),"CW22318_Jan26")</f>
        <v>CW22318_Jan26</v>
      </c>
      <c r="K593" s="99" t="str">
        <f ca="1">IFERROR(__xludf.DUMMYFUNCTION("""COMPUTED_VALUE"""),"HoM Approved")</f>
        <v>HoM Approved</v>
      </c>
    </row>
    <row r="594" spans="1:11" ht="13.2">
      <c r="A594" s="89" t="str">
        <f ca="1">IFERROR(__xludf.DUMMYFUNCTION("""COMPUTED_VALUE"""),"Power")</f>
        <v>Power</v>
      </c>
      <c r="B594" s="90" t="str">
        <f ca="1">IFERROR(__xludf.DUMMYFUNCTION("""COMPUTED_VALUE"""),"PBL")</f>
        <v>PBL</v>
      </c>
      <c r="C594" s="91" t="str">
        <f ca="1">IFERROR(__xludf.DUMMYFUNCTION("""COMPUTED_VALUE"""),"Saifullah Vai")</f>
        <v>Saifullah Vai</v>
      </c>
      <c r="D594" s="92" t="str">
        <f ca="1">IFERROR(__xludf.DUMMYFUNCTION("""COMPUTED_VALUE"""),"Md Iasin Ahmed Showrov (S204960)")</f>
        <v>Md Iasin Ahmed Showrov (S204960)</v>
      </c>
      <c r="E594" s="93" t="str">
        <f ca="1">IFERROR(__xludf.DUMMYFUNCTION("""COMPUTED_VALUE"""),"CB15734_Jan26")</f>
        <v>CB15734_Jan26</v>
      </c>
      <c r="F594" s="94" t="str">
        <f ca="1">IFERROR(__xludf.DUMMYFUNCTION("""COMPUTED_VALUE"""),"Packaging Text Design #1")</f>
        <v>Packaging Text Design #1</v>
      </c>
      <c r="G594" s="95" t="str">
        <f ca="1">IFERROR(__xludf.DUMMYFUNCTION("""COMPUTED_VALUE"""),"New")</f>
        <v>New</v>
      </c>
      <c r="H594" s="96">
        <f ca="1">IFERROR(__xludf.DUMMYFUNCTION("""COMPUTED_VALUE"""),1)</f>
        <v>1</v>
      </c>
      <c r="I594" s="97">
        <f ca="1">IFERROR(__xludf.DUMMYFUNCTION("""COMPUTED_VALUE"""),46041)</f>
        <v>46041</v>
      </c>
      <c r="J594" s="98" t="str">
        <f ca="1">IFERROR(__xludf.DUMMYFUNCTION("""COMPUTED_VALUE"""),"CW22318_Jan26")</f>
        <v>CW22318_Jan26</v>
      </c>
      <c r="K594" s="99" t="str">
        <f ca="1">IFERROR(__xludf.DUMMYFUNCTION("""COMPUTED_VALUE"""),"HoM Approved")</f>
        <v>HoM Approved</v>
      </c>
    </row>
    <row r="595" spans="1:11" ht="13.2">
      <c r="A595" s="89" t="str">
        <f ca="1">IFERROR(__xludf.DUMMYFUNCTION("""COMPUTED_VALUE"""),"PRAN Fruit Drink")</f>
        <v>PRAN Fruit Drink</v>
      </c>
      <c r="B595" s="90" t="str">
        <f ca="1">IFERROR(__xludf.DUMMYFUNCTION("""COMPUTED_VALUE"""),"AMCL")</f>
        <v>AMCL</v>
      </c>
      <c r="C595" s="91" t="str">
        <f ca="1">IFERROR(__xludf.DUMMYFUNCTION("""COMPUTED_VALUE"""),"Farjana Apu")</f>
        <v>Farjana Apu</v>
      </c>
      <c r="D595" s="92" t="str">
        <f ca="1">IFERROR(__xludf.DUMMYFUNCTION("""COMPUTED_VALUE"""),"Md Iasin Ahmed Showrov (S204960)")</f>
        <v>Md Iasin Ahmed Showrov (S204960)</v>
      </c>
      <c r="E595" s="93" t="str">
        <f ca="1">IFERROR(__xludf.DUMMYFUNCTION("""COMPUTED_VALUE"""),"CB15956_Jan26")</f>
        <v>CB15956_Jan26</v>
      </c>
      <c r="F595" s="94" t="str">
        <f ca="1">IFERROR(__xludf.DUMMYFUNCTION("""COMPUTED_VALUE"""),"Packaging Text Design #1")</f>
        <v>Packaging Text Design #1</v>
      </c>
      <c r="G595" s="95" t="str">
        <f ca="1">IFERROR(__xludf.DUMMYFUNCTION("""COMPUTED_VALUE"""),"New")</f>
        <v>New</v>
      </c>
      <c r="H595" s="96">
        <f ca="1">IFERROR(__xludf.DUMMYFUNCTION("""COMPUTED_VALUE"""),1)</f>
        <v>1</v>
      </c>
      <c r="I595" s="97">
        <f ca="1">IFERROR(__xludf.DUMMYFUNCTION("""COMPUTED_VALUE"""),46042)</f>
        <v>46042</v>
      </c>
      <c r="J595" s="98" t="str">
        <f ca="1">IFERROR(__xludf.DUMMYFUNCTION("""COMPUTED_VALUE"""),"CW22474_Jan26")</f>
        <v>CW22474_Jan26</v>
      </c>
      <c r="K595" s="99" t="str">
        <f ca="1">IFERROR(__xludf.DUMMYFUNCTION("""COMPUTED_VALUE"""),"HoM Approved")</f>
        <v>HoM Approved</v>
      </c>
    </row>
    <row r="596" spans="1:11" ht="13.2">
      <c r="A596" s="89" t="str">
        <f ca="1">IFERROR(__xludf.DUMMYFUNCTION("""COMPUTED_VALUE"""),"PFG ALL")</f>
        <v>PFG ALL</v>
      </c>
      <c r="B596" s="90" t="str">
        <f ca="1">IFERROR(__xludf.DUMMYFUNCTION("""COMPUTED_VALUE"""),"Philippines")</f>
        <v>Philippines</v>
      </c>
      <c r="C596" s="91" t="str">
        <f ca="1">IFERROR(__xludf.DUMMYFUNCTION("""COMPUTED_VALUE"""),"Rabby Vai")</f>
        <v>Rabby Vai</v>
      </c>
      <c r="D596" s="92" t="str">
        <f ca="1">IFERROR(__xludf.DUMMYFUNCTION("""COMPUTED_VALUE"""),"Md Iasin Ahmed Showrov (S204960)")</f>
        <v>Md Iasin Ahmed Showrov (S204960)</v>
      </c>
      <c r="E596" s="93" t="str">
        <f ca="1">IFERROR(__xludf.DUMMYFUNCTION("""COMPUTED_VALUE"""),"CB15859_Jan26")</f>
        <v>CB15859_Jan26</v>
      </c>
      <c r="F596" s="94" t="str">
        <f ca="1">IFERROR(__xludf.DUMMYFUNCTION("""COMPUTED_VALUE"""),"Packaging Text Design #1")</f>
        <v>Packaging Text Design #1</v>
      </c>
      <c r="G596" s="95" t="str">
        <f ca="1">IFERROR(__xludf.DUMMYFUNCTION("""COMPUTED_VALUE"""),"New")</f>
        <v>New</v>
      </c>
      <c r="H596" s="96">
        <f ca="1">IFERROR(__xludf.DUMMYFUNCTION("""COMPUTED_VALUE"""),1)</f>
        <v>1</v>
      </c>
      <c r="I596" s="97">
        <f ca="1">IFERROR(__xludf.DUMMYFUNCTION("""COMPUTED_VALUE"""),46042)</f>
        <v>46042</v>
      </c>
      <c r="J596" s="98" t="str">
        <f ca="1">IFERROR(__xludf.DUMMYFUNCTION("""COMPUTED_VALUE"""),"CW22379_Jan26")</f>
        <v>CW22379_Jan26</v>
      </c>
      <c r="K596" s="99" t="str">
        <f ca="1">IFERROR(__xludf.DUMMYFUNCTION("""COMPUTED_VALUE"""),"HoM Approved")</f>
        <v>HoM Approved</v>
      </c>
    </row>
    <row r="597" spans="1:11" ht="13.2">
      <c r="A597" s="89" t="str">
        <f ca="1">IFERROR(__xludf.DUMMYFUNCTION("""COMPUTED_VALUE"""),"PFG ALL")</f>
        <v>PFG ALL</v>
      </c>
      <c r="B597" s="90" t="str">
        <f ca="1">IFERROR(__xludf.DUMMYFUNCTION("""COMPUTED_VALUE"""),"Philippines")</f>
        <v>Philippines</v>
      </c>
      <c r="C597" s="91" t="str">
        <f ca="1">IFERROR(__xludf.DUMMYFUNCTION("""COMPUTED_VALUE"""),"Rabby Vai")</f>
        <v>Rabby Vai</v>
      </c>
      <c r="D597" s="92" t="str">
        <f ca="1">IFERROR(__xludf.DUMMYFUNCTION("""COMPUTED_VALUE"""),"Md Iasin Ahmed Showrov (S204960)")</f>
        <v>Md Iasin Ahmed Showrov (S204960)</v>
      </c>
      <c r="E597" s="93" t="str">
        <f ca="1">IFERROR(__xludf.DUMMYFUNCTION("""COMPUTED_VALUE"""),"CB15780_Jan26")</f>
        <v>CB15780_Jan26</v>
      </c>
      <c r="F597" s="94" t="str">
        <f ca="1">IFERROR(__xludf.DUMMYFUNCTION("""COMPUTED_VALUE"""),"Packaging Text Design #1")</f>
        <v>Packaging Text Design #1</v>
      </c>
      <c r="G597" s="95" t="str">
        <f ca="1">IFERROR(__xludf.DUMMYFUNCTION("""COMPUTED_VALUE"""),"New")</f>
        <v>New</v>
      </c>
      <c r="H597" s="96">
        <f ca="1">IFERROR(__xludf.DUMMYFUNCTION("""COMPUTED_VALUE"""),1)</f>
        <v>1</v>
      </c>
      <c r="I597" s="97">
        <f ca="1">IFERROR(__xludf.DUMMYFUNCTION("""COMPUTED_VALUE"""),46042)</f>
        <v>46042</v>
      </c>
      <c r="J597" s="98" t="str">
        <f ca="1">IFERROR(__xludf.DUMMYFUNCTION("""COMPUTED_VALUE"""),"CW22436_Jan26")</f>
        <v>CW22436_Jan26</v>
      </c>
      <c r="K597" s="99" t="str">
        <f ca="1">IFERROR(__xludf.DUMMYFUNCTION("""COMPUTED_VALUE"""),"HoM Approved")</f>
        <v>HoM Approved</v>
      </c>
    </row>
    <row r="598" spans="1:11" ht="13.2">
      <c r="A598" s="89" t="str">
        <f ca="1">IFERROR(__xludf.DUMMYFUNCTION("""COMPUTED_VALUE"""),"PRAN Layer")</f>
        <v>PRAN Layer</v>
      </c>
      <c r="B598" s="90" t="str">
        <f ca="1">IFERROR(__xludf.DUMMYFUNCTION("""COMPUTED_VALUE"""),"PCL")</f>
        <v>PCL</v>
      </c>
      <c r="C598" s="91" t="str">
        <f ca="1">IFERROR(__xludf.DUMMYFUNCTION("""COMPUTED_VALUE"""),"Zahirul Vai")</f>
        <v>Zahirul Vai</v>
      </c>
      <c r="D598" s="92" t="str">
        <f ca="1">IFERROR(__xludf.DUMMYFUNCTION("""COMPUTED_VALUE"""),"Md Iasin Ahmed Showrov (S204960)")</f>
        <v>Md Iasin Ahmed Showrov (S204960)</v>
      </c>
      <c r="E598" s="93" t="str">
        <f ca="1">IFERROR(__xludf.DUMMYFUNCTION("""COMPUTED_VALUE"""),"CB15788_Jan26")</f>
        <v>CB15788_Jan26</v>
      </c>
      <c r="F598" s="94" t="str">
        <f ca="1">IFERROR(__xludf.DUMMYFUNCTION("""COMPUTED_VALUE"""),"Packaging Text Design #2")</f>
        <v>Packaging Text Design #2</v>
      </c>
      <c r="G598" s="95" t="str">
        <f ca="1">IFERROR(__xludf.DUMMYFUNCTION("""COMPUTED_VALUE"""),"New")</f>
        <v>New</v>
      </c>
      <c r="H598" s="96">
        <f ca="1">IFERROR(__xludf.DUMMYFUNCTION("""COMPUTED_VALUE"""),1)</f>
        <v>1</v>
      </c>
      <c r="I598" s="97">
        <f ca="1">IFERROR(__xludf.DUMMYFUNCTION("""COMPUTED_VALUE"""),46042)</f>
        <v>46042</v>
      </c>
      <c r="J598" s="98" t="str">
        <f ca="1">IFERROR(__xludf.DUMMYFUNCTION("""COMPUTED_VALUE"""),"CW22434_Jan26")</f>
        <v>CW22434_Jan26</v>
      </c>
      <c r="K598" s="99" t="str">
        <f ca="1">IFERROR(__xludf.DUMMYFUNCTION("""COMPUTED_VALUE"""),"HoM Approved")</f>
        <v>HoM Approved</v>
      </c>
    </row>
    <row r="599" spans="1:11" ht="13.2">
      <c r="A599" s="89" t="str">
        <f ca="1">IFERROR(__xludf.DUMMYFUNCTION("""COMPUTED_VALUE"""),"Malt Beverage")</f>
        <v>Malt Beverage</v>
      </c>
      <c r="B599" s="90" t="str">
        <f ca="1">IFERROR(__xludf.DUMMYFUNCTION("""COMPUTED_VALUE"""),"AMCL")</f>
        <v>AMCL</v>
      </c>
      <c r="C599" s="91" t="str">
        <f ca="1">IFERROR(__xludf.DUMMYFUNCTION("""COMPUTED_VALUE"""),"Farjana Apu")</f>
        <v>Farjana Apu</v>
      </c>
      <c r="D599" s="92" t="str">
        <f ca="1">IFERROR(__xludf.DUMMYFUNCTION("""COMPUTED_VALUE"""),"Md Iasin Ahmed Showrov (S204960)")</f>
        <v>Md Iasin Ahmed Showrov (S204960)</v>
      </c>
      <c r="E599" s="93" t="str">
        <f ca="1">IFERROR(__xludf.DUMMYFUNCTION("""COMPUTED_VALUE"""),"CB15958_Jan26")</f>
        <v>CB15958_Jan26</v>
      </c>
      <c r="F599" s="94" t="str">
        <f ca="1">IFERROR(__xludf.DUMMYFUNCTION("""COMPUTED_VALUE"""),"Packaging Text Design #1")</f>
        <v>Packaging Text Design #1</v>
      </c>
      <c r="G599" s="95" t="str">
        <f ca="1">IFERROR(__xludf.DUMMYFUNCTION("""COMPUTED_VALUE"""),"New")</f>
        <v>New</v>
      </c>
      <c r="H599" s="96">
        <f ca="1">IFERROR(__xludf.DUMMYFUNCTION("""COMPUTED_VALUE"""),1)</f>
        <v>1</v>
      </c>
      <c r="I599" s="97">
        <f ca="1">IFERROR(__xludf.DUMMYFUNCTION("""COMPUTED_VALUE"""),46043)</f>
        <v>46043</v>
      </c>
      <c r="J599" s="98" t="str">
        <f ca="1">IFERROR(__xludf.DUMMYFUNCTION("""COMPUTED_VALUE"""),"CW22513_Jan26")</f>
        <v>CW22513_Jan26</v>
      </c>
      <c r="K599" s="99" t="str">
        <f ca="1">IFERROR(__xludf.DUMMYFUNCTION("""COMPUTED_VALUE"""),"HoM Approved")</f>
        <v>HoM Approved</v>
      </c>
    </row>
    <row r="600" spans="1:11" ht="13.2">
      <c r="A600" s="89" t="str">
        <f ca="1">IFERROR(__xludf.DUMMYFUNCTION("""COMPUTED_VALUE"""),"HIP-ALL")</f>
        <v>HIP-ALL</v>
      </c>
      <c r="B600" s="90" t="str">
        <f ca="1">IFERROR(__xludf.DUMMYFUNCTION("""COMPUTED_VALUE"""),"Philippines")</f>
        <v>Philippines</v>
      </c>
      <c r="C600" s="91" t="str">
        <f ca="1">IFERROR(__xludf.DUMMYFUNCTION("""COMPUTED_VALUE"""),"Farjana Apu")</f>
        <v>Farjana Apu</v>
      </c>
      <c r="D600" s="92" t="str">
        <f ca="1">IFERROR(__xludf.DUMMYFUNCTION("""COMPUTED_VALUE"""),"Md Iasin Ahmed Showrov (S204960)")</f>
        <v>Md Iasin Ahmed Showrov (S204960)</v>
      </c>
      <c r="E600" s="93" t="str">
        <f ca="1">IFERROR(__xludf.DUMMYFUNCTION("""COMPUTED_VALUE"""),"CB16155_Jan26")</f>
        <v>CB16155_Jan26</v>
      </c>
      <c r="F600" s="94" t="str">
        <f ca="1">IFERROR(__xludf.DUMMYFUNCTION("""COMPUTED_VALUE"""),"Packaging Text Design #1")</f>
        <v>Packaging Text Design #1</v>
      </c>
      <c r="G600" s="95" t="str">
        <f ca="1">IFERROR(__xludf.DUMMYFUNCTION("""COMPUTED_VALUE"""),"New")</f>
        <v>New</v>
      </c>
      <c r="H600" s="96">
        <f ca="1">IFERROR(__xludf.DUMMYFUNCTION("""COMPUTED_VALUE"""),1)</f>
        <v>1</v>
      </c>
      <c r="I600" s="97">
        <f ca="1">IFERROR(__xludf.DUMMYFUNCTION("""COMPUTED_VALUE"""),46046)</f>
        <v>46046</v>
      </c>
      <c r="J600" s="98" t="str">
        <f ca="1">IFERROR(__xludf.DUMMYFUNCTION("""COMPUTED_VALUE"""),"CW22778_Jan26")</f>
        <v>CW22778_Jan26</v>
      </c>
      <c r="K600" s="99" t="str">
        <f ca="1">IFERROR(__xludf.DUMMYFUNCTION("""COMPUTED_VALUE"""),"HoM Approved")</f>
        <v>HoM Approved</v>
      </c>
    </row>
    <row r="601" spans="1:11" ht="13.2">
      <c r="A601" s="89" t="str">
        <f ca="1">IFERROR(__xludf.DUMMYFUNCTION("""COMPUTED_VALUE"""),"HIP-ALL")</f>
        <v>HIP-ALL</v>
      </c>
      <c r="B601" s="90" t="str">
        <f ca="1">IFERROR(__xludf.DUMMYFUNCTION("""COMPUTED_VALUE"""),"Philippines")</f>
        <v>Philippines</v>
      </c>
      <c r="C601" s="91" t="str">
        <f ca="1">IFERROR(__xludf.DUMMYFUNCTION("""COMPUTED_VALUE"""),"Farjana Apu")</f>
        <v>Farjana Apu</v>
      </c>
      <c r="D601" s="92" t="str">
        <f ca="1">IFERROR(__xludf.DUMMYFUNCTION("""COMPUTED_VALUE"""),"Md Iasin Ahmed Showrov (S204960)")</f>
        <v>Md Iasin Ahmed Showrov (S204960)</v>
      </c>
      <c r="E601" s="93" t="str">
        <f ca="1">IFERROR(__xludf.DUMMYFUNCTION("""COMPUTED_VALUE"""),"CB16156_Jan26")</f>
        <v>CB16156_Jan26</v>
      </c>
      <c r="F601" s="94" t="str">
        <f ca="1">IFERROR(__xludf.DUMMYFUNCTION("""COMPUTED_VALUE"""),"Packaging Text Design #1")</f>
        <v>Packaging Text Design #1</v>
      </c>
      <c r="G601" s="95" t="str">
        <f ca="1">IFERROR(__xludf.DUMMYFUNCTION("""COMPUTED_VALUE"""),"New")</f>
        <v>New</v>
      </c>
      <c r="H601" s="96">
        <f ca="1">IFERROR(__xludf.DUMMYFUNCTION("""COMPUTED_VALUE"""),1)</f>
        <v>1</v>
      </c>
      <c r="I601" s="97">
        <f ca="1">IFERROR(__xludf.DUMMYFUNCTION("""COMPUTED_VALUE"""),46046)</f>
        <v>46046</v>
      </c>
      <c r="J601" s="98" t="str">
        <f ca="1">IFERROR(__xludf.DUMMYFUNCTION("""COMPUTED_VALUE"""),"CW22777_Jan26")</f>
        <v>CW22777_Jan26</v>
      </c>
      <c r="K601" s="99" t="str">
        <f ca="1">IFERROR(__xludf.DUMMYFUNCTION("""COMPUTED_VALUE"""),"HoM Approved")</f>
        <v>HoM Approved</v>
      </c>
    </row>
    <row r="602" spans="1:11" ht="13.2">
      <c r="A602" s="89" t="str">
        <f ca="1">IFERROR(__xludf.DUMMYFUNCTION("""COMPUTED_VALUE"""),"HIP-ALL")</f>
        <v>HIP-ALL</v>
      </c>
      <c r="B602" s="90" t="str">
        <f ca="1">IFERROR(__xludf.DUMMYFUNCTION("""COMPUTED_VALUE"""),"Philippines")</f>
        <v>Philippines</v>
      </c>
      <c r="C602" s="91" t="str">
        <f ca="1">IFERROR(__xludf.DUMMYFUNCTION("""COMPUTED_VALUE"""),"Farjana Apu")</f>
        <v>Farjana Apu</v>
      </c>
      <c r="D602" s="92" t="str">
        <f ca="1">IFERROR(__xludf.DUMMYFUNCTION("""COMPUTED_VALUE"""),"Md Iasin Ahmed Showrov (S204960)")</f>
        <v>Md Iasin Ahmed Showrov (S204960)</v>
      </c>
      <c r="E602" s="93" t="str">
        <f ca="1">IFERROR(__xludf.DUMMYFUNCTION("""COMPUTED_VALUE"""),"CB16359_Jan26")</f>
        <v>CB16359_Jan26</v>
      </c>
      <c r="F602" s="94" t="str">
        <f ca="1">IFERROR(__xludf.DUMMYFUNCTION("""COMPUTED_VALUE"""),"Packaging Text Design #1")</f>
        <v>Packaging Text Design #1</v>
      </c>
      <c r="G602" s="95" t="str">
        <f ca="1">IFERROR(__xludf.DUMMYFUNCTION("""COMPUTED_VALUE"""),"New")</f>
        <v>New</v>
      </c>
      <c r="H602" s="96">
        <f ca="1">IFERROR(__xludf.DUMMYFUNCTION("""COMPUTED_VALUE"""),2)</f>
        <v>2</v>
      </c>
      <c r="I602" s="97">
        <f ca="1">IFERROR(__xludf.DUMMYFUNCTION("""COMPUTED_VALUE"""),46050)</f>
        <v>46050</v>
      </c>
      <c r="J602" s="98" t="str">
        <f ca="1">IFERROR(__xludf.DUMMYFUNCTION("""COMPUTED_VALUE"""),"CW23219_Jan26")</f>
        <v>CW23219_Jan26</v>
      </c>
      <c r="K602" s="99" t="str">
        <f ca="1">IFERROR(__xludf.DUMMYFUNCTION("""COMPUTED_VALUE"""),"HoM Approved")</f>
        <v>HoM Approved</v>
      </c>
    </row>
    <row r="603" spans="1:11" ht="13.2">
      <c r="A603" s="89" t="str">
        <f ca="1">IFERROR(__xludf.DUMMYFUNCTION("""COMPUTED_VALUE"""),"HIP-ALL")</f>
        <v>HIP-ALL</v>
      </c>
      <c r="B603" s="90" t="str">
        <f ca="1">IFERROR(__xludf.DUMMYFUNCTION("""COMPUTED_VALUE"""),"Philippines")</f>
        <v>Philippines</v>
      </c>
      <c r="C603" s="91" t="str">
        <f ca="1">IFERROR(__xludf.DUMMYFUNCTION("""COMPUTED_VALUE"""),"Farjana Apu")</f>
        <v>Farjana Apu</v>
      </c>
      <c r="D603" s="92" t="str">
        <f ca="1">IFERROR(__xludf.DUMMYFUNCTION("""COMPUTED_VALUE"""),"Md Iasin Ahmed Showrov (S204960)")</f>
        <v>Md Iasin Ahmed Showrov (S204960)</v>
      </c>
      <c r="E603" s="93" t="str">
        <f ca="1">IFERROR(__xludf.DUMMYFUNCTION("""COMPUTED_VALUE"""),"CB16347_Jan26")</f>
        <v>CB16347_Jan26</v>
      </c>
      <c r="F603" s="94" t="str">
        <f ca="1">IFERROR(__xludf.DUMMYFUNCTION("""COMPUTED_VALUE"""),"Packaging Text Design #1")</f>
        <v>Packaging Text Design #1</v>
      </c>
      <c r="G603" s="95" t="str">
        <f ca="1">IFERROR(__xludf.DUMMYFUNCTION("""COMPUTED_VALUE"""),"New")</f>
        <v>New</v>
      </c>
      <c r="H603" s="96">
        <f ca="1">IFERROR(__xludf.DUMMYFUNCTION("""COMPUTED_VALUE"""),1)</f>
        <v>1</v>
      </c>
      <c r="I603" s="97">
        <f ca="1">IFERROR(__xludf.DUMMYFUNCTION("""COMPUTED_VALUE"""),46050)</f>
        <v>46050</v>
      </c>
      <c r="J603" s="98" t="str">
        <f ca="1">IFERROR(__xludf.DUMMYFUNCTION("""COMPUTED_VALUE"""),"CW23220_Jan26")</f>
        <v>CW23220_Jan26</v>
      </c>
      <c r="K603" s="99" t="str">
        <f ca="1">IFERROR(__xludf.DUMMYFUNCTION("""COMPUTED_VALUE"""),"HoM Approved")</f>
        <v>HoM Approved</v>
      </c>
    </row>
    <row r="604" spans="1:11" ht="13.2">
      <c r="A604" s="89" t="str">
        <f ca="1">IFERROR(__xludf.DUMMYFUNCTION("""COMPUTED_VALUE"""),"Common - All PAL")</f>
        <v>Common - All PAL</v>
      </c>
      <c r="B604" s="90" t="str">
        <f ca="1">IFERROR(__xludf.DUMMYFUNCTION("""COMPUTED_VALUE"""),"PAL")</f>
        <v>PAL</v>
      </c>
      <c r="C604" s="91" t="str">
        <f ca="1">IFERROR(__xludf.DUMMYFUNCTION("""COMPUTED_VALUE"""),"Farjana Apu")</f>
        <v>Farjana Apu</v>
      </c>
      <c r="D604" s="92" t="str">
        <f ca="1">IFERROR(__xludf.DUMMYFUNCTION("""COMPUTED_VALUE"""),"Md Iasin Ahmed Showrov (S204960)")</f>
        <v>Md Iasin Ahmed Showrov (S204960)</v>
      </c>
      <c r="E604" s="93" t="str">
        <f ca="1">IFERROR(__xludf.DUMMYFUNCTION("""COMPUTED_VALUE"""),"CB15821_Jan26")</f>
        <v>CB15821_Jan26</v>
      </c>
      <c r="F604" s="94" t="str">
        <f ca="1">IFERROR(__xludf.DUMMYFUNCTION("""COMPUTED_VALUE"""),"Packaging Text Design #1")</f>
        <v>Packaging Text Design #1</v>
      </c>
      <c r="G604" s="95" t="str">
        <f ca="1">IFERROR(__xludf.DUMMYFUNCTION("""COMPUTED_VALUE"""),"New")</f>
        <v>New</v>
      </c>
      <c r="H604" s="96">
        <f ca="1">IFERROR(__xludf.DUMMYFUNCTION("""COMPUTED_VALUE"""),1)</f>
        <v>1</v>
      </c>
      <c r="I604" s="97">
        <f ca="1">IFERROR(__xludf.DUMMYFUNCTION("""COMPUTED_VALUE"""),46050)</f>
        <v>46050</v>
      </c>
      <c r="J604" s="98" t="str">
        <f ca="1">IFERROR(__xludf.DUMMYFUNCTION("""COMPUTED_VALUE"""),"CW23224_Jan26")</f>
        <v>CW23224_Jan26</v>
      </c>
      <c r="K604" s="99" t="str">
        <f ca="1">IFERROR(__xludf.DUMMYFUNCTION("""COMPUTED_VALUE"""),"HoM Approved")</f>
        <v>HoM Approved</v>
      </c>
    </row>
    <row r="605" spans="1:11" ht="13.2">
      <c r="A605" s="89" t="str">
        <f ca="1">IFERROR(__xludf.DUMMYFUNCTION("""COMPUTED_VALUE"""),"PRAN DAIRY LTD. PIP - ALL")</f>
        <v>PRAN DAIRY LTD. PIP - ALL</v>
      </c>
      <c r="B605" s="90" t="str">
        <f ca="1">IFERROR(__xludf.DUMMYFUNCTION("""COMPUTED_VALUE"""),"Philippines")</f>
        <v>Philippines</v>
      </c>
      <c r="C605" s="91" t="str">
        <f ca="1">IFERROR(__xludf.DUMMYFUNCTION("""COMPUTED_VALUE"""),"Farjana Apu")</f>
        <v>Farjana Apu</v>
      </c>
      <c r="D605" s="92" t="str">
        <f ca="1">IFERROR(__xludf.DUMMYFUNCTION("""COMPUTED_VALUE"""),"Md Iasin Ahmed Showrov (S204960)")</f>
        <v>Md Iasin Ahmed Showrov (S204960)</v>
      </c>
      <c r="E605" s="93" t="str">
        <f ca="1">IFERROR(__xludf.DUMMYFUNCTION("""COMPUTED_VALUE"""),"CB15351_Jan26")</f>
        <v>CB15351_Jan26</v>
      </c>
      <c r="F605" s="94" t="str">
        <f ca="1">IFERROR(__xludf.DUMMYFUNCTION("""COMPUTED_VALUE"""),"Packaging Text Design #1")</f>
        <v>Packaging Text Design #1</v>
      </c>
      <c r="G605" s="95" t="str">
        <f ca="1">IFERROR(__xludf.DUMMYFUNCTION("""COMPUTED_VALUE"""),"New")</f>
        <v>New</v>
      </c>
      <c r="H605" s="96">
        <f ca="1">IFERROR(__xludf.DUMMYFUNCTION("""COMPUTED_VALUE"""),1)</f>
        <v>1</v>
      </c>
      <c r="I605" s="97">
        <f ca="1">IFERROR(__xludf.DUMMYFUNCTION("""COMPUTED_VALUE"""),46050)</f>
        <v>46050</v>
      </c>
      <c r="J605" s="98" t="str">
        <f ca="1">IFERROR(__xludf.DUMMYFUNCTION("""COMPUTED_VALUE"""),"CW23218_Jan26")</f>
        <v>CW23218_Jan26</v>
      </c>
      <c r="K605" s="99" t="str">
        <f ca="1">IFERROR(__xludf.DUMMYFUNCTION("""COMPUTED_VALUE"""),"HoM Approved")</f>
        <v>HoM Approved</v>
      </c>
    </row>
    <row r="606" spans="1:11" ht="13.2">
      <c r="A606" s="89" t="str">
        <f ca="1">IFERROR(__xludf.DUMMYFUNCTION("""COMPUTED_VALUE"""),"Common - All PAL")</f>
        <v>Common - All PAL</v>
      </c>
      <c r="B606" s="90" t="str">
        <f ca="1">IFERROR(__xludf.DUMMYFUNCTION("""COMPUTED_VALUE"""),"PAL")</f>
        <v>PAL</v>
      </c>
      <c r="C606" s="91" t="str">
        <f ca="1">IFERROR(__xludf.DUMMYFUNCTION("""COMPUTED_VALUE"""),"Farjana Apu")</f>
        <v>Farjana Apu</v>
      </c>
      <c r="D606" s="92" t="str">
        <f ca="1">IFERROR(__xludf.DUMMYFUNCTION("""COMPUTED_VALUE"""),"Md Iasin Ahmed Showrov (S204960)")</f>
        <v>Md Iasin Ahmed Showrov (S204960)</v>
      </c>
      <c r="E606" s="93" t="str">
        <f ca="1">IFERROR(__xludf.DUMMYFUNCTION("""COMPUTED_VALUE"""),"CB15825_Jan26")</f>
        <v>CB15825_Jan26</v>
      </c>
      <c r="F606" s="94" t="str">
        <f ca="1">IFERROR(__xludf.DUMMYFUNCTION("""COMPUTED_VALUE"""),"Packaging Text Design #1")</f>
        <v>Packaging Text Design #1</v>
      </c>
      <c r="G606" s="95" t="str">
        <f ca="1">IFERROR(__xludf.DUMMYFUNCTION("""COMPUTED_VALUE"""),"New")</f>
        <v>New</v>
      </c>
      <c r="H606" s="96">
        <f ca="1">IFERROR(__xludf.DUMMYFUNCTION("""COMPUTED_VALUE"""),1)</f>
        <v>1</v>
      </c>
      <c r="I606" s="97">
        <f ca="1">IFERROR(__xludf.DUMMYFUNCTION("""COMPUTED_VALUE"""),46050)</f>
        <v>46050</v>
      </c>
      <c r="J606" s="98" t="str">
        <f ca="1">IFERROR(__xludf.DUMMYFUNCTION("""COMPUTED_VALUE"""),"CW23222_Jan26")</f>
        <v>CW23222_Jan26</v>
      </c>
      <c r="K606" s="99" t="str">
        <f ca="1">IFERROR(__xludf.DUMMYFUNCTION("""COMPUTED_VALUE"""),"HoM Approved")</f>
        <v>HoM Approved</v>
      </c>
    </row>
    <row r="607" spans="1:11" ht="13.2">
      <c r="A607" s="89" t="str">
        <f ca="1">IFERROR(__xludf.DUMMYFUNCTION("""COMPUTED_VALUE"""),"Common - All PAL")</f>
        <v>Common - All PAL</v>
      </c>
      <c r="B607" s="90" t="str">
        <f ca="1">IFERROR(__xludf.DUMMYFUNCTION("""COMPUTED_VALUE"""),"PAL")</f>
        <v>PAL</v>
      </c>
      <c r="C607" s="91" t="str">
        <f ca="1">IFERROR(__xludf.DUMMYFUNCTION("""COMPUTED_VALUE"""),"Farjana Apu")</f>
        <v>Farjana Apu</v>
      </c>
      <c r="D607" s="92" t="str">
        <f ca="1">IFERROR(__xludf.DUMMYFUNCTION("""COMPUTED_VALUE"""),"Md Iasin Ahmed Showrov (S204960)")</f>
        <v>Md Iasin Ahmed Showrov (S204960)</v>
      </c>
      <c r="E607" s="93" t="str">
        <f ca="1">IFERROR(__xludf.DUMMYFUNCTION("""COMPUTED_VALUE"""),"CB15824_Jan26")</f>
        <v>CB15824_Jan26</v>
      </c>
      <c r="F607" s="94" t="str">
        <f ca="1">IFERROR(__xludf.DUMMYFUNCTION("""COMPUTED_VALUE"""),"Packaging Text Design #1")</f>
        <v>Packaging Text Design #1</v>
      </c>
      <c r="G607" s="95" t="str">
        <f ca="1">IFERROR(__xludf.DUMMYFUNCTION("""COMPUTED_VALUE"""),"New")</f>
        <v>New</v>
      </c>
      <c r="H607" s="96">
        <f ca="1">IFERROR(__xludf.DUMMYFUNCTION("""COMPUTED_VALUE"""),1)</f>
        <v>1</v>
      </c>
      <c r="I607" s="97">
        <f ca="1">IFERROR(__xludf.DUMMYFUNCTION("""COMPUTED_VALUE"""),46050)</f>
        <v>46050</v>
      </c>
      <c r="J607" s="98" t="str">
        <f ca="1">IFERROR(__xludf.DUMMYFUNCTION("""COMPUTED_VALUE"""),"CW23223_Jan26")</f>
        <v>CW23223_Jan26</v>
      </c>
      <c r="K607" s="99" t="str">
        <f ca="1">IFERROR(__xludf.DUMMYFUNCTION("""COMPUTED_VALUE"""),"HoM Approved")</f>
        <v>HoM Approved</v>
      </c>
    </row>
    <row r="608" spans="1:11" ht="13.2">
      <c r="A608" s="89" t="str">
        <f ca="1">IFERROR(__xludf.DUMMYFUNCTION("""COMPUTED_VALUE"""),"Bisk Club Shero Biscuit")</f>
        <v>Bisk Club Shero Biscuit</v>
      </c>
      <c r="B608" s="90" t="str">
        <f ca="1">IFERROR(__xludf.DUMMYFUNCTION("""COMPUTED_VALUE"""),"USA &amp; Europe")</f>
        <v>USA &amp; Europe</v>
      </c>
      <c r="C608" s="91" t="str">
        <f ca="1">IFERROR(__xludf.DUMMYFUNCTION("""COMPUTED_VALUE"""),"Zahirul Vai")</f>
        <v>Zahirul Vai</v>
      </c>
      <c r="D608" s="92" t="str">
        <f ca="1">IFERROR(__xludf.DUMMYFUNCTION("""COMPUTED_VALUE"""),"Md Iasin Ahmed Showrov (S204960)")</f>
        <v>Md Iasin Ahmed Showrov (S204960)</v>
      </c>
      <c r="E608" s="93" t="str">
        <f ca="1">IFERROR(__xludf.DUMMYFUNCTION("""COMPUTED_VALUE"""),"CB16184_Jan26")</f>
        <v>CB16184_Jan26</v>
      </c>
      <c r="F608" s="94" t="str">
        <f ca="1">IFERROR(__xludf.DUMMYFUNCTION("""COMPUTED_VALUE"""),"Packaging Text Design #2")</f>
        <v>Packaging Text Design #2</v>
      </c>
      <c r="G608" s="95" t="str">
        <f ca="1">IFERROR(__xludf.DUMMYFUNCTION("""COMPUTED_VALUE"""),"New")</f>
        <v>New</v>
      </c>
      <c r="H608" s="96">
        <f ca="1">IFERROR(__xludf.DUMMYFUNCTION("""COMPUTED_VALUE"""),6)</f>
        <v>6</v>
      </c>
      <c r="I608" s="97">
        <f ca="1">IFERROR(__xludf.DUMMYFUNCTION("""COMPUTED_VALUE"""),46050)</f>
        <v>46050</v>
      </c>
      <c r="J608" s="98" t="str">
        <f ca="1">IFERROR(__xludf.DUMMYFUNCTION("""COMPUTED_VALUE"""),"CW23199_Jan26")</f>
        <v>CW23199_Jan26</v>
      </c>
      <c r="K608" s="99" t="str">
        <f ca="1">IFERROR(__xludf.DUMMYFUNCTION("""COMPUTED_VALUE"""),"HoM Approved")</f>
        <v>HoM Approved</v>
      </c>
    </row>
    <row r="609" spans="1:11" ht="13.2">
      <c r="A609" s="89" t="str">
        <f ca="1">IFERROR(__xludf.DUMMYFUNCTION("""COMPUTED_VALUE"""),"PRAN Éclair")</f>
        <v>PRAN Éclair</v>
      </c>
      <c r="B609" s="90" t="str">
        <f ca="1">IFERROR(__xludf.DUMMYFUNCTION("""COMPUTED_VALUE"""),"PCL")</f>
        <v>PCL</v>
      </c>
      <c r="C609" s="91" t="str">
        <f ca="1">IFERROR(__xludf.DUMMYFUNCTION("""COMPUTED_VALUE"""),"Anika Apu")</f>
        <v>Anika Apu</v>
      </c>
      <c r="D609" s="92" t="str">
        <f ca="1">IFERROR(__xludf.DUMMYFUNCTION("""COMPUTED_VALUE"""),"Md Iasin Ahmed Showrov (S204960)")</f>
        <v>Md Iasin Ahmed Showrov (S204960)</v>
      </c>
      <c r="E609" s="93" t="str">
        <f ca="1">IFERROR(__xludf.DUMMYFUNCTION("""COMPUTED_VALUE"""),"CB16558_Jan26")</f>
        <v>CB16558_Jan26</v>
      </c>
      <c r="F609" s="94" t="str">
        <f ca="1">IFERROR(__xludf.DUMMYFUNCTION("""COMPUTED_VALUE"""),"JAR Label Sticker Output")</f>
        <v>JAR Label Sticker Output</v>
      </c>
      <c r="G609" s="95" t="str">
        <f ca="1">IFERROR(__xludf.DUMMYFUNCTION("""COMPUTED_VALUE"""),"New")</f>
        <v>New</v>
      </c>
      <c r="H609" s="96">
        <f ca="1">IFERROR(__xludf.DUMMYFUNCTION("""COMPUTED_VALUE"""),2)</f>
        <v>2</v>
      </c>
      <c r="I609" s="97">
        <f ca="1">IFERROR(__xludf.DUMMYFUNCTION("""COMPUTED_VALUE"""),46054)</f>
        <v>46054</v>
      </c>
      <c r="J609" s="98" t="str">
        <f ca="1">IFERROR(__xludf.DUMMYFUNCTION("""COMPUTED_VALUE"""),"CW23878_Feb26")</f>
        <v>CW23878_Feb26</v>
      </c>
      <c r="K609" s="99" t="str">
        <f ca="1">IFERROR(__xludf.DUMMYFUNCTION("""COMPUTED_VALUE"""),"HoM Approved")</f>
        <v>HoM Approved</v>
      </c>
    </row>
    <row r="610" spans="1:11" ht="13.2">
      <c r="A610" s="89" t="str">
        <f ca="1">IFERROR(__xludf.DUMMYFUNCTION("""COMPUTED_VALUE"""),"PRAN Lollipop")</f>
        <v>PRAN Lollipop</v>
      </c>
      <c r="B610" s="90" t="str">
        <f ca="1">IFERROR(__xludf.DUMMYFUNCTION("""COMPUTED_VALUE"""),"PCL")</f>
        <v>PCL</v>
      </c>
      <c r="C610" s="91" t="str">
        <f ca="1">IFERROR(__xludf.DUMMYFUNCTION("""COMPUTED_VALUE"""),"Enamul Vai")</f>
        <v>Enamul Vai</v>
      </c>
      <c r="D610" s="92" t="str">
        <f ca="1">IFERROR(__xludf.DUMMYFUNCTION("""COMPUTED_VALUE"""),"Md Iasin Ahmed Showrov (S204960)")</f>
        <v>Md Iasin Ahmed Showrov (S204960)</v>
      </c>
      <c r="E610" s="93" t="str">
        <f ca="1">IFERROR(__xludf.DUMMYFUNCTION("""COMPUTED_VALUE"""),"CB16685_Jan26")</f>
        <v>CB16685_Jan26</v>
      </c>
      <c r="F610" s="94" t="str">
        <f ca="1">IFERROR(__xludf.DUMMYFUNCTION("""COMPUTED_VALUE"""),"JAR Label Sticker Output")</f>
        <v>JAR Label Sticker Output</v>
      </c>
      <c r="G610" s="95" t="str">
        <f ca="1">IFERROR(__xludf.DUMMYFUNCTION("""COMPUTED_VALUE"""),"New")</f>
        <v>New</v>
      </c>
      <c r="H610" s="96">
        <f ca="1">IFERROR(__xludf.DUMMYFUNCTION("""COMPUTED_VALUE"""),1)</f>
        <v>1</v>
      </c>
      <c r="I610" s="97">
        <f ca="1">IFERROR(__xludf.DUMMYFUNCTION("""COMPUTED_VALUE"""),46054)</f>
        <v>46054</v>
      </c>
      <c r="J610" s="98" t="str">
        <f ca="1">IFERROR(__xludf.DUMMYFUNCTION("""COMPUTED_VALUE"""),"CW23907_Feb26")</f>
        <v>CW23907_Feb26</v>
      </c>
      <c r="K610" s="99" t="str">
        <f ca="1">IFERROR(__xludf.DUMMYFUNCTION("""COMPUTED_VALUE"""),"HoM Approved")</f>
        <v>HoM Approved</v>
      </c>
    </row>
    <row r="611" spans="1:11" ht="13.2">
      <c r="A611" s="89" t="str">
        <f ca="1">IFERROR(__xludf.DUMMYFUNCTION("""COMPUTED_VALUE"""),"PRAN DAIRY LTD. PIP - ALL")</f>
        <v>PRAN DAIRY LTD. PIP - ALL</v>
      </c>
      <c r="B611" s="90" t="str">
        <f ca="1">IFERROR(__xludf.DUMMYFUNCTION("""COMPUTED_VALUE"""),"Philippines")</f>
        <v>Philippines</v>
      </c>
      <c r="C611" s="91" t="str">
        <f ca="1">IFERROR(__xludf.DUMMYFUNCTION("""COMPUTED_VALUE"""),"Farjana Apu")</f>
        <v>Farjana Apu</v>
      </c>
      <c r="D611" s="92" t="str">
        <f ca="1">IFERROR(__xludf.DUMMYFUNCTION("""COMPUTED_VALUE"""),"Md Iasin Ahmed Showrov (S204960)")</f>
        <v>Md Iasin Ahmed Showrov (S204960)</v>
      </c>
      <c r="E611" s="93" t="str">
        <f ca="1">IFERROR(__xludf.DUMMYFUNCTION("""COMPUTED_VALUE"""),"CB16604_Jan26")</f>
        <v>CB16604_Jan26</v>
      </c>
      <c r="F611" s="94" t="str">
        <f ca="1">IFERROR(__xludf.DUMMYFUNCTION("""COMPUTED_VALUE"""),"Packaging Text Design #1")</f>
        <v>Packaging Text Design #1</v>
      </c>
      <c r="G611" s="95" t="str">
        <f ca="1">IFERROR(__xludf.DUMMYFUNCTION("""COMPUTED_VALUE"""),"New")</f>
        <v>New</v>
      </c>
      <c r="H611" s="96">
        <f ca="1">IFERROR(__xludf.DUMMYFUNCTION("""COMPUTED_VALUE"""),1)</f>
        <v>1</v>
      </c>
      <c r="I611" s="97">
        <f ca="1">IFERROR(__xludf.DUMMYFUNCTION("""COMPUTED_VALUE"""),46054)</f>
        <v>46054</v>
      </c>
      <c r="J611" s="98" t="str">
        <f ca="1">IFERROR(__xludf.DUMMYFUNCTION("""COMPUTED_VALUE"""),"CW23881_Feb26")</f>
        <v>CW23881_Feb26</v>
      </c>
      <c r="K611" s="99" t="str">
        <f ca="1">IFERROR(__xludf.DUMMYFUNCTION("""COMPUTED_VALUE"""),"HoM Approved")</f>
        <v>HoM Approved</v>
      </c>
    </row>
    <row r="612" spans="1:11" ht="13.2">
      <c r="A612" s="89" t="str">
        <f ca="1">IFERROR(__xludf.DUMMYFUNCTION("""COMPUTED_VALUE"""),"PRAN DAIRY LTD. PIP - ALL")</f>
        <v>PRAN DAIRY LTD. PIP - ALL</v>
      </c>
      <c r="B612" s="90" t="str">
        <f ca="1">IFERROR(__xludf.DUMMYFUNCTION("""COMPUTED_VALUE"""),"Philippines")</f>
        <v>Philippines</v>
      </c>
      <c r="C612" s="91" t="str">
        <f ca="1">IFERROR(__xludf.DUMMYFUNCTION("""COMPUTED_VALUE"""),"Farjana Apu")</f>
        <v>Farjana Apu</v>
      </c>
      <c r="D612" s="92" t="str">
        <f ca="1">IFERROR(__xludf.DUMMYFUNCTION("""COMPUTED_VALUE"""),"Md Iasin Ahmed Showrov (S204960)")</f>
        <v>Md Iasin Ahmed Showrov (S204960)</v>
      </c>
      <c r="E612" s="93" t="str">
        <f ca="1">IFERROR(__xludf.DUMMYFUNCTION("""COMPUTED_VALUE"""),"CB16366_Jan26")</f>
        <v>CB16366_Jan26</v>
      </c>
      <c r="F612" s="94" t="str">
        <f ca="1">IFERROR(__xludf.DUMMYFUNCTION("""COMPUTED_VALUE"""),"Packaging Text Design #1")</f>
        <v>Packaging Text Design #1</v>
      </c>
      <c r="G612" s="95" t="str">
        <f ca="1">IFERROR(__xludf.DUMMYFUNCTION("""COMPUTED_VALUE"""),"New")</f>
        <v>New</v>
      </c>
      <c r="H612" s="96">
        <f ca="1">IFERROR(__xludf.DUMMYFUNCTION("""COMPUTED_VALUE"""),1)</f>
        <v>1</v>
      </c>
      <c r="I612" s="97">
        <f ca="1">IFERROR(__xludf.DUMMYFUNCTION("""COMPUTED_VALUE"""),46054)</f>
        <v>46054</v>
      </c>
      <c r="J612" s="98" t="str">
        <f ca="1">IFERROR(__xludf.DUMMYFUNCTION("""COMPUTED_VALUE"""),"CW23882_Feb26")</f>
        <v>CW23882_Feb26</v>
      </c>
      <c r="K612" s="99" t="str">
        <f ca="1">IFERROR(__xludf.DUMMYFUNCTION("""COMPUTED_VALUE"""),"HoM Approved")</f>
        <v>HoM Approved</v>
      </c>
    </row>
    <row r="613" spans="1:11" ht="13.2">
      <c r="A613" s="89" t="str">
        <f ca="1">IFERROR(__xludf.DUMMYFUNCTION("""COMPUTED_VALUE"""),"Common - All PAL")</f>
        <v>Common - All PAL</v>
      </c>
      <c r="B613" s="90" t="str">
        <f ca="1">IFERROR(__xludf.DUMMYFUNCTION("""COMPUTED_VALUE"""),"PAL")</f>
        <v>PAL</v>
      </c>
      <c r="C613" s="91" t="str">
        <f ca="1">IFERROR(__xludf.DUMMYFUNCTION("""COMPUTED_VALUE"""),"Farjana Apu")</f>
        <v>Farjana Apu</v>
      </c>
      <c r="D613" s="92" t="str">
        <f ca="1">IFERROR(__xludf.DUMMYFUNCTION("""COMPUTED_VALUE"""),"Md Iasin Ahmed Showrov (S204960)")</f>
        <v>Md Iasin Ahmed Showrov (S204960)</v>
      </c>
      <c r="E613" s="93" t="str">
        <f ca="1">IFERROR(__xludf.DUMMYFUNCTION("""COMPUTED_VALUE"""),"CB16587_Jan26")</f>
        <v>CB16587_Jan26</v>
      </c>
      <c r="F613" s="94" t="str">
        <f ca="1">IFERROR(__xludf.DUMMYFUNCTION("""COMPUTED_VALUE"""),"Packaging Text Design #1")</f>
        <v>Packaging Text Design #1</v>
      </c>
      <c r="G613" s="95" t="str">
        <f ca="1">IFERROR(__xludf.DUMMYFUNCTION("""COMPUTED_VALUE"""),"New")</f>
        <v>New</v>
      </c>
      <c r="H613" s="96">
        <f ca="1">IFERROR(__xludf.DUMMYFUNCTION("""COMPUTED_VALUE"""),1)</f>
        <v>1</v>
      </c>
      <c r="I613" s="97">
        <f ca="1">IFERROR(__xludf.DUMMYFUNCTION("""COMPUTED_VALUE"""),46054)</f>
        <v>46054</v>
      </c>
      <c r="J613" s="98" t="str">
        <f ca="1">IFERROR(__xludf.DUMMYFUNCTION("""COMPUTED_VALUE"""),"CW23884_Feb26")</f>
        <v>CW23884_Feb26</v>
      </c>
      <c r="K613" s="99" t="str">
        <f ca="1">IFERROR(__xludf.DUMMYFUNCTION("""COMPUTED_VALUE"""),"HoM Approved")</f>
        <v>HoM Approved</v>
      </c>
    </row>
    <row r="614" spans="1:11" ht="13.2">
      <c r="A614" s="89" t="str">
        <f ca="1">IFERROR(__xludf.DUMMYFUNCTION("""COMPUTED_VALUE"""),"Chocobean")</f>
        <v>Chocobean</v>
      </c>
      <c r="B614" s="90" t="str">
        <f ca="1">IFERROR(__xludf.DUMMYFUNCTION("""COMPUTED_VALUE"""),"PAL")</f>
        <v>PAL</v>
      </c>
      <c r="C614" s="91" t="str">
        <f ca="1">IFERROR(__xludf.DUMMYFUNCTION("""COMPUTED_VALUE"""),"Nusrat Apu")</f>
        <v>Nusrat Apu</v>
      </c>
      <c r="D614" s="92" t="str">
        <f ca="1">IFERROR(__xludf.DUMMYFUNCTION("""COMPUTED_VALUE"""),"Md Iasin Ahmed Showrov (S204960)")</f>
        <v>Md Iasin Ahmed Showrov (S204960)</v>
      </c>
      <c r="E614" s="93" t="str">
        <f ca="1">IFERROR(__xludf.DUMMYFUNCTION("""COMPUTED_VALUE"""),"CB16812_Jan26")</f>
        <v>CB16812_Jan26</v>
      </c>
      <c r="F614" s="94" t="str">
        <f ca="1">IFERROR(__xludf.DUMMYFUNCTION("""COMPUTED_VALUE"""),"JAR Label Sticker Output")</f>
        <v>JAR Label Sticker Output</v>
      </c>
      <c r="G614" s="95" t="str">
        <f ca="1">IFERROR(__xludf.DUMMYFUNCTION("""COMPUTED_VALUE"""),"New")</f>
        <v>New</v>
      </c>
      <c r="H614" s="96">
        <f ca="1">IFERROR(__xludf.DUMMYFUNCTION("""COMPUTED_VALUE"""),1)</f>
        <v>1</v>
      </c>
      <c r="I614" s="97">
        <f ca="1">IFERROR(__xludf.DUMMYFUNCTION("""COMPUTED_VALUE"""),46054)</f>
        <v>46054</v>
      </c>
      <c r="J614" s="98" t="str">
        <f ca="1">IFERROR(__xludf.DUMMYFUNCTION("""COMPUTED_VALUE"""),"CW23921_Feb26")</f>
        <v>CW23921_Feb26</v>
      </c>
      <c r="K614" s="99" t="str">
        <f ca="1">IFERROR(__xludf.DUMMYFUNCTION("""COMPUTED_VALUE"""),"HoM Approved")</f>
        <v>HoM Approved</v>
      </c>
    </row>
    <row r="615" spans="1:11" ht="13.2">
      <c r="A615" s="89" t="str">
        <f ca="1">IFERROR(__xludf.DUMMYFUNCTION("""COMPUTED_VALUE"""),"Chocobean")</f>
        <v>Chocobean</v>
      </c>
      <c r="B615" s="90" t="str">
        <f ca="1">IFERROR(__xludf.DUMMYFUNCTION("""COMPUTED_VALUE"""),"PAL")</f>
        <v>PAL</v>
      </c>
      <c r="C615" s="91" t="str">
        <f ca="1">IFERROR(__xludf.DUMMYFUNCTION("""COMPUTED_VALUE"""),"Rabby Vai")</f>
        <v>Rabby Vai</v>
      </c>
      <c r="D615" s="92" t="str">
        <f ca="1">IFERROR(__xludf.DUMMYFUNCTION("""COMPUTED_VALUE"""),"Md Iasin Ahmed Showrov (S204960)")</f>
        <v>Md Iasin Ahmed Showrov (S204960)</v>
      </c>
      <c r="E615" s="93" t="str">
        <f ca="1">IFERROR(__xludf.DUMMYFUNCTION("""COMPUTED_VALUE"""),"CB16827_Feb26")</f>
        <v>CB16827_Feb26</v>
      </c>
      <c r="F615" s="94" t="str">
        <f ca="1">IFERROR(__xludf.DUMMYFUNCTION("""COMPUTED_VALUE"""),"Document Text Correction")</f>
        <v>Document Text Correction</v>
      </c>
      <c r="G615" s="95" t="str">
        <f ca="1">IFERROR(__xludf.DUMMYFUNCTION("""COMPUTED_VALUE"""),"New")</f>
        <v>New</v>
      </c>
      <c r="H615" s="96">
        <f ca="1">IFERROR(__xludf.DUMMYFUNCTION("""COMPUTED_VALUE"""),2)</f>
        <v>2</v>
      </c>
      <c r="I615" s="97">
        <f ca="1">IFERROR(__xludf.DUMMYFUNCTION("""COMPUTED_VALUE"""),46054)</f>
        <v>46054</v>
      </c>
      <c r="J615" s="98" t="str">
        <f ca="1">IFERROR(__xludf.DUMMYFUNCTION("""COMPUTED_VALUE"""),"CW23925_Feb26")</f>
        <v>CW23925_Feb26</v>
      </c>
      <c r="K615" s="99" t="str">
        <f ca="1">IFERROR(__xludf.DUMMYFUNCTION("""COMPUTED_VALUE"""),"HoM Approved")</f>
        <v>HoM Approved</v>
      </c>
    </row>
    <row r="616" spans="1:11" ht="13.2">
      <c r="A616" s="89" t="str">
        <f ca="1">IFERROR(__xludf.DUMMYFUNCTION("""COMPUTED_VALUE"""),"PRAN Macaroni")</f>
        <v>PRAN Macaroni</v>
      </c>
      <c r="B616" s="90" t="str">
        <f ca="1">IFERROR(__xludf.DUMMYFUNCTION("""COMPUTED_VALUE"""),"PFL")</f>
        <v>PFL</v>
      </c>
      <c r="C616" s="91" t="str">
        <f ca="1">IFERROR(__xludf.DUMMYFUNCTION("""COMPUTED_VALUE"""),"Rabby Vai")</f>
        <v>Rabby Vai</v>
      </c>
      <c r="D616" s="92" t="str">
        <f ca="1">IFERROR(__xludf.DUMMYFUNCTION("""COMPUTED_VALUE"""),"Md Iasin Ahmed Showrov (S204960)")</f>
        <v>Md Iasin Ahmed Showrov (S204960)</v>
      </c>
      <c r="E616" s="93" t="str">
        <f ca="1">IFERROR(__xludf.DUMMYFUNCTION("""COMPUTED_VALUE"""),"CB15902_Jan26")</f>
        <v>CB15902_Jan26</v>
      </c>
      <c r="F616" s="94" t="str">
        <f ca="1">IFERROR(__xludf.DUMMYFUNCTION("""COMPUTED_VALUE"""),"Packaging Text Design #1")</f>
        <v>Packaging Text Design #1</v>
      </c>
      <c r="G616" s="95" t="str">
        <f ca="1">IFERROR(__xludf.DUMMYFUNCTION("""COMPUTED_VALUE"""),"New")</f>
        <v>New</v>
      </c>
      <c r="H616" s="96">
        <f ca="1">IFERROR(__xludf.DUMMYFUNCTION("""COMPUTED_VALUE"""),1)</f>
        <v>1</v>
      </c>
      <c r="I616" s="97">
        <f ca="1">IFERROR(__xludf.DUMMYFUNCTION("""COMPUTED_VALUE"""),46054)</f>
        <v>46054</v>
      </c>
      <c r="J616" s="98" t="str">
        <f ca="1">IFERROR(__xludf.DUMMYFUNCTION("""COMPUTED_VALUE"""),"CW23886_Feb26")</f>
        <v>CW23886_Feb26</v>
      </c>
      <c r="K616" s="99" t="str">
        <f ca="1">IFERROR(__xludf.DUMMYFUNCTION("""COMPUTED_VALUE"""),"HoM Approved")</f>
        <v>HoM Approved</v>
      </c>
    </row>
    <row r="617" spans="1:11" ht="13.2">
      <c r="A617" s="89" t="str">
        <f ca="1">IFERROR(__xludf.DUMMYFUNCTION("""COMPUTED_VALUE"""),"KSA-PRAN Crunchy Wafer")</f>
        <v>KSA-PRAN Crunchy Wafer</v>
      </c>
      <c r="B617" s="90" t="str">
        <f ca="1">IFERROR(__xludf.DUMMYFUNCTION("""COMPUTED_VALUE"""),"PCL")</f>
        <v>PCL</v>
      </c>
      <c r="C617" s="91" t="str">
        <f ca="1">IFERROR(__xludf.DUMMYFUNCTION("""COMPUTED_VALUE"""),"Rakib Vai")</f>
        <v>Rakib Vai</v>
      </c>
      <c r="D617" s="92" t="str">
        <f ca="1">IFERROR(__xludf.DUMMYFUNCTION("""COMPUTED_VALUE"""),"Md Iasin Ahmed Showrov (S204960)")</f>
        <v>Md Iasin Ahmed Showrov (S204960)</v>
      </c>
      <c r="E617" s="93" t="str">
        <f ca="1">IFERROR(__xludf.DUMMYFUNCTION("""COMPUTED_VALUE"""),"CB16651_Jan26")</f>
        <v>CB16651_Jan26</v>
      </c>
      <c r="F617" s="94" t="str">
        <f ca="1">IFERROR(__xludf.DUMMYFUNCTION("""COMPUTED_VALUE"""),"Packaging Text Design #1")</f>
        <v>Packaging Text Design #1</v>
      </c>
      <c r="G617" s="95" t="str">
        <f ca="1">IFERROR(__xludf.DUMMYFUNCTION("""COMPUTED_VALUE"""),"New")</f>
        <v>New</v>
      </c>
      <c r="H617" s="96">
        <f ca="1">IFERROR(__xludf.DUMMYFUNCTION("""COMPUTED_VALUE"""),2)</f>
        <v>2</v>
      </c>
      <c r="I617" s="97">
        <f ca="1">IFERROR(__xludf.DUMMYFUNCTION("""COMPUTED_VALUE"""),46054)</f>
        <v>46054</v>
      </c>
      <c r="J617" s="98" t="str">
        <f ca="1">IFERROR(__xludf.DUMMYFUNCTION("""COMPUTED_VALUE"""),"CW23873_Feb26")</f>
        <v>CW23873_Feb26</v>
      </c>
      <c r="K617" s="99" t="str">
        <f ca="1">IFERROR(__xludf.DUMMYFUNCTION("""COMPUTED_VALUE"""),"HoM Approved")</f>
        <v>HoM Approved</v>
      </c>
    </row>
    <row r="618" spans="1:11" ht="13.2">
      <c r="A618" s="89" t="str">
        <f ca="1">IFERROR(__xludf.DUMMYFUNCTION("""COMPUTED_VALUE"""),"PRAN Pulse candy")</f>
        <v>PRAN Pulse candy</v>
      </c>
      <c r="B618" s="90" t="str">
        <f ca="1">IFERROR(__xludf.DUMMYFUNCTION("""COMPUTED_VALUE"""),"PCL")</f>
        <v>PCL</v>
      </c>
      <c r="C618" s="91" t="str">
        <f ca="1">IFERROR(__xludf.DUMMYFUNCTION("""COMPUTED_VALUE"""),"Sohel Vai")</f>
        <v>Sohel Vai</v>
      </c>
      <c r="D618" s="92" t="str">
        <f ca="1">IFERROR(__xludf.DUMMYFUNCTION("""COMPUTED_VALUE"""),"Md Iasin Ahmed Showrov (S204960)")</f>
        <v>Md Iasin Ahmed Showrov (S204960)</v>
      </c>
      <c r="E618" s="93" t="str">
        <f ca="1">IFERROR(__xludf.DUMMYFUNCTION("""COMPUTED_VALUE"""),"CB16271_Jan26")</f>
        <v>CB16271_Jan26</v>
      </c>
      <c r="F618" s="94" t="str">
        <f ca="1">IFERROR(__xludf.DUMMYFUNCTION("""COMPUTED_VALUE"""),"JAR Label Sticker Output")</f>
        <v>JAR Label Sticker Output</v>
      </c>
      <c r="G618" s="95" t="str">
        <f ca="1">IFERROR(__xludf.DUMMYFUNCTION("""COMPUTED_VALUE"""),"New")</f>
        <v>New</v>
      </c>
      <c r="H618" s="96">
        <f ca="1">IFERROR(__xludf.DUMMYFUNCTION("""COMPUTED_VALUE"""),4)</f>
        <v>4</v>
      </c>
      <c r="I618" s="97">
        <f ca="1">IFERROR(__xludf.DUMMYFUNCTION("""COMPUTED_VALUE"""),46054)</f>
        <v>46054</v>
      </c>
      <c r="J618" s="98" t="str">
        <f ca="1">IFERROR(__xludf.DUMMYFUNCTION("""COMPUTED_VALUE"""),"CW23879_Feb26")</f>
        <v>CW23879_Feb26</v>
      </c>
      <c r="K618" s="99" t="str">
        <f ca="1">IFERROR(__xludf.DUMMYFUNCTION("""COMPUTED_VALUE"""),"HoM Approved")</f>
        <v>HoM Approved</v>
      </c>
    </row>
    <row r="619" spans="1:11" ht="13.2">
      <c r="A619" s="89" t="str">
        <f ca="1">IFERROR(__xludf.DUMMYFUNCTION("""COMPUTED_VALUE"""),"HIP JUICE &amp; DRINK")</f>
        <v>HIP JUICE &amp; DRINK</v>
      </c>
      <c r="B619" s="90" t="str">
        <f ca="1">IFERROR(__xludf.DUMMYFUNCTION("""COMPUTED_VALUE"""),"Philippines")</f>
        <v>Philippines</v>
      </c>
      <c r="C619" s="91" t="str">
        <f ca="1">IFERROR(__xludf.DUMMYFUNCTION("""COMPUTED_VALUE"""),"Farjana Apu")</f>
        <v>Farjana Apu</v>
      </c>
      <c r="D619" s="92" t="str">
        <f ca="1">IFERROR(__xludf.DUMMYFUNCTION("""COMPUTED_VALUE"""),"Md Iasin Ahmed Showrov (S204960)")</f>
        <v>Md Iasin Ahmed Showrov (S204960)</v>
      </c>
      <c r="E619" s="93" t="str">
        <f ca="1">IFERROR(__xludf.DUMMYFUNCTION("""COMPUTED_VALUE"""),"CB14072_Dec25")</f>
        <v>CB14072_Dec25</v>
      </c>
      <c r="F619" s="94" t="str">
        <f ca="1">IFERROR(__xludf.DUMMYFUNCTION("""COMPUTED_VALUE"""),"Packaging Text Design #1")</f>
        <v>Packaging Text Design #1</v>
      </c>
      <c r="G619" s="95" t="str">
        <f ca="1">IFERROR(__xludf.DUMMYFUNCTION("""COMPUTED_VALUE"""),"New")</f>
        <v>New</v>
      </c>
      <c r="H619" s="96">
        <f ca="1">IFERROR(__xludf.DUMMYFUNCTION("""COMPUTED_VALUE"""),1)</f>
        <v>1</v>
      </c>
      <c r="I619" s="97">
        <f ca="1">IFERROR(__xludf.DUMMYFUNCTION("""COMPUTED_VALUE"""),46055)</f>
        <v>46055</v>
      </c>
      <c r="J619" s="98" t="str">
        <f ca="1">IFERROR(__xludf.DUMMYFUNCTION("""COMPUTED_VALUE"""),"CW23999_Feb26")</f>
        <v>CW23999_Feb26</v>
      </c>
      <c r="K619" s="99" t="str">
        <f ca="1">IFERROR(__xludf.DUMMYFUNCTION("""COMPUTED_VALUE"""),"HoM Approved")</f>
        <v>HoM Approved</v>
      </c>
    </row>
    <row r="620" spans="1:11" ht="13.2">
      <c r="A620" s="89" t="str">
        <f ca="1">IFERROR(__xludf.DUMMYFUNCTION("""COMPUTED_VALUE"""),"PRAN DAIRY LTD. PIP - ALL")</f>
        <v>PRAN DAIRY LTD. PIP - ALL</v>
      </c>
      <c r="B620" s="90" t="str">
        <f ca="1">IFERROR(__xludf.DUMMYFUNCTION("""COMPUTED_VALUE"""),"Philippines")</f>
        <v>Philippines</v>
      </c>
      <c r="C620" s="91" t="str">
        <f ca="1">IFERROR(__xludf.DUMMYFUNCTION("""COMPUTED_VALUE"""),"Farjana Apu")</f>
        <v>Farjana Apu</v>
      </c>
      <c r="D620" s="92" t="str">
        <f ca="1">IFERROR(__xludf.DUMMYFUNCTION("""COMPUTED_VALUE"""),"Md Iasin Ahmed Showrov (S204960)")</f>
        <v>Md Iasin Ahmed Showrov (S204960)</v>
      </c>
      <c r="E620" s="93" t="str">
        <f ca="1">IFERROR(__xludf.DUMMYFUNCTION("""COMPUTED_VALUE"""),"CB16957_Feb26")</f>
        <v>CB16957_Feb26</v>
      </c>
      <c r="F620" s="94" t="str">
        <f ca="1">IFERROR(__xludf.DUMMYFUNCTION("""COMPUTED_VALUE"""),"Packaging Text Design #1")</f>
        <v>Packaging Text Design #1</v>
      </c>
      <c r="G620" s="95" t="str">
        <f ca="1">IFERROR(__xludf.DUMMYFUNCTION("""COMPUTED_VALUE"""),"New")</f>
        <v>New</v>
      </c>
      <c r="H620" s="96">
        <f ca="1">IFERROR(__xludf.DUMMYFUNCTION("""COMPUTED_VALUE"""),1)</f>
        <v>1</v>
      </c>
      <c r="I620" s="97">
        <f ca="1">IFERROR(__xludf.DUMMYFUNCTION("""COMPUTED_VALUE"""),46058)</f>
        <v>46058</v>
      </c>
      <c r="J620" s="98" t="str">
        <f ca="1">IFERROR(__xludf.DUMMYFUNCTION("""COMPUTED_VALUE"""),"CW24215_Feb26")</f>
        <v>CW24215_Feb26</v>
      </c>
      <c r="K620" s="99" t="str">
        <f ca="1">IFERROR(__xludf.DUMMYFUNCTION("""COMPUTED_VALUE"""),"HoM Approved")</f>
        <v>HoM Approved</v>
      </c>
    </row>
    <row r="621" spans="1:11" ht="13.2">
      <c r="A621" s="89" t="str">
        <f ca="1">IFERROR(__xludf.DUMMYFUNCTION("""COMPUTED_VALUE"""),"All Time Dry Cake")</f>
        <v>All Time Dry Cake</v>
      </c>
      <c r="B621" s="90" t="str">
        <f ca="1">IFERROR(__xludf.DUMMYFUNCTION("""COMPUTED_VALUE"""),"BBL")</f>
        <v>BBL</v>
      </c>
      <c r="C621" s="91" t="str">
        <f ca="1">IFERROR(__xludf.DUMMYFUNCTION("""COMPUTED_VALUE"""),"Zahirul Vai")</f>
        <v>Zahirul Vai</v>
      </c>
      <c r="D621" s="92" t="str">
        <f ca="1">IFERROR(__xludf.DUMMYFUNCTION("""COMPUTED_VALUE"""),"Md Iasin Ahmed Showrov (S204960)")</f>
        <v>Md Iasin Ahmed Showrov (S204960)</v>
      </c>
      <c r="E621" s="93" t="str">
        <f ca="1">IFERROR(__xludf.DUMMYFUNCTION("""COMPUTED_VALUE"""),"CB15938_Jan26")</f>
        <v>CB15938_Jan26</v>
      </c>
      <c r="F621" s="94" t="str">
        <f ca="1">IFERROR(__xludf.DUMMYFUNCTION("""COMPUTED_VALUE"""),"Packaging Text Design #2")</f>
        <v>Packaging Text Design #2</v>
      </c>
      <c r="G621" s="95" t="str">
        <f ca="1">IFERROR(__xludf.DUMMYFUNCTION("""COMPUTED_VALUE"""),"New")</f>
        <v>New</v>
      </c>
      <c r="H621" s="96">
        <f ca="1">IFERROR(__xludf.DUMMYFUNCTION("""COMPUTED_VALUE"""),8)</f>
        <v>8</v>
      </c>
      <c r="I621" s="97">
        <f ca="1">IFERROR(__xludf.DUMMYFUNCTION("""COMPUTED_VALUE"""),46060)</f>
        <v>46060</v>
      </c>
      <c r="J621" s="98" t="str">
        <f ca="1">IFERROR(__xludf.DUMMYFUNCTION("""COMPUTED_VALUE"""),"CW24379_Feb26")</f>
        <v>CW24379_Feb26</v>
      </c>
      <c r="K621" s="99" t="str">
        <f ca="1">IFERROR(__xludf.DUMMYFUNCTION("""COMPUTED_VALUE"""),"HoM Approved")</f>
        <v>HoM Approved</v>
      </c>
    </row>
    <row r="622" spans="1:11" ht="13.2">
      <c r="A622" s="89" t="str">
        <f ca="1">IFERROR(__xludf.DUMMYFUNCTION("""COMPUTED_VALUE"""),"Hurray Wafer")</f>
        <v>Hurray Wafer</v>
      </c>
      <c r="B622" s="90" t="str">
        <f ca="1">IFERROR(__xludf.DUMMYFUNCTION("""COMPUTED_VALUE"""),"PCL")</f>
        <v>PCL</v>
      </c>
      <c r="C622" s="91" t="str">
        <f ca="1">IFERROR(__xludf.DUMMYFUNCTION("""COMPUTED_VALUE"""),"Rakib Vai")</f>
        <v>Rakib Vai</v>
      </c>
      <c r="D622" s="92" t="str">
        <f ca="1">IFERROR(__xludf.DUMMYFUNCTION("""COMPUTED_VALUE"""),"Md Iasin Ahmed Showrov (S204960)")</f>
        <v>Md Iasin Ahmed Showrov (S204960)</v>
      </c>
      <c r="E622" s="93" t="str">
        <f ca="1">IFERROR(__xludf.DUMMYFUNCTION("""COMPUTED_VALUE"""),"CB16890_Feb26")</f>
        <v>CB16890_Feb26</v>
      </c>
      <c r="F622" s="94" t="str">
        <f ca="1">IFERROR(__xludf.DUMMYFUNCTION("""COMPUTED_VALUE"""),"Packaging Text Design #1")</f>
        <v>Packaging Text Design #1</v>
      </c>
      <c r="G622" s="95" t="str">
        <f ca="1">IFERROR(__xludf.DUMMYFUNCTION("""COMPUTED_VALUE"""),"New")</f>
        <v>New</v>
      </c>
      <c r="H622" s="96">
        <f ca="1">IFERROR(__xludf.DUMMYFUNCTION("""COMPUTED_VALUE"""),4)</f>
        <v>4</v>
      </c>
      <c r="I622" s="97">
        <f ca="1">IFERROR(__xludf.DUMMYFUNCTION("""COMPUTED_VALUE"""),46067)</f>
        <v>46067</v>
      </c>
      <c r="J622" s="98" t="str">
        <f ca="1">IFERROR(__xludf.DUMMYFUNCTION("""COMPUTED_VALUE"""),"CW24803_Feb26")</f>
        <v>CW24803_Feb26</v>
      </c>
      <c r="K622" s="99" t="str">
        <f ca="1">IFERROR(__xludf.DUMMYFUNCTION("""COMPUTED_VALUE"""),"HoM Approved")</f>
        <v>HoM Approved</v>
      </c>
    </row>
    <row r="623" spans="1:11" ht="13.2">
      <c r="A623" s="89" t="str">
        <f ca="1">IFERROR(__xludf.DUMMYFUNCTION("""COMPUTED_VALUE"""),"Common - USA &amp; Europe Export")</f>
        <v>Common - USA &amp; Europe Export</v>
      </c>
      <c r="B623" s="90" t="str">
        <f ca="1">IFERROR(__xludf.DUMMYFUNCTION("""COMPUTED_VALUE"""),"USA &amp; Europe")</f>
        <v>USA &amp; Europe</v>
      </c>
      <c r="C623" s="91" t="str">
        <f ca="1">IFERROR(__xludf.DUMMYFUNCTION("""COMPUTED_VALUE"""),"Saifullah Vai")</f>
        <v>Saifullah Vai</v>
      </c>
      <c r="D623" s="92" t="str">
        <f ca="1">IFERROR(__xludf.DUMMYFUNCTION("""COMPUTED_VALUE"""),"Md Iasin Ahmed Showrov (S204960)")</f>
        <v>Md Iasin Ahmed Showrov (S204960)</v>
      </c>
      <c r="E623" s="93" t="str">
        <f ca="1">IFERROR(__xludf.DUMMYFUNCTION("""COMPUTED_VALUE"""),"CB16990_Feb26")</f>
        <v>CB16990_Feb26</v>
      </c>
      <c r="F623" s="94" t="str">
        <f ca="1">IFERROR(__xludf.DUMMYFUNCTION("""COMPUTED_VALUE"""),"Black Cylinder Output")</f>
        <v>Black Cylinder Output</v>
      </c>
      <c r="G623" s="95" t="str">
        <f ca="1">IFERROR(__xludf.DUMMYFUNCTION("""COMPUTED_VALUE"""),"New")</f>
        <v>New</v>
      </c>
      <c r="H623" s="96">
        <f ca="1">IFERROR(__xludf.DUMMYFUNCTION("""COMPUTED_VALUE"""),1)</f>
        <v>1</v>
      </c>
      <c r="I623" s="97">
        <f ca="1">IFERROR(__xludf.DUMMYFUNCTION("""COMPUTED_VALUE"""),46067)</f>
        <v>46067</v>
      </c>
      <c r="J623" s="98" t="str">
        <f ca="1">IFERROR(__xludf.DUMMYFUNCTION("""COMPUTED_VALUE"""),"CW24805_Feb26")</f>
        <v>CW24805_Feb26</v>
      </c>
      <c r="K623" s="99" t="str">
        <f ca="1">IFERROR(__xludf.DUMMYFUNCTION("""COMPUTED_VALUE"""),"HoM Approved")</f>
        <v>HoM Approved</v>
      </c>
    </row>
    <row r="624" spans="1:11" ht="13.2">
      <c r="A624" s="89" t="str">
        <f ca="1">IFERROR(__xludf.DUMMYFUNCTION("""COMPUTED_VALUE"""),"Power")</f>
        <v>Power</v>
      </c>
      <c r="B624" s="90" t="str">
        <f ca="1">IFERROR(__xludf.DUMMYFUNCTION("""COMPUTED_VALUE"""),"PBL")</f>
        <v>PBL</v>
      </c>
      <c r="C624" s="91" t="str">
        <f ca="1">IFERROR(__xludf.DUMMYFUNCTION("""COMPUTED_VALUE"""),"Saifullah Vai")</f>
        <v>Saifullah Vai</v>
      </c>
      <c r="D624" s="92" t="str">
        <f ca="1">IFERROR(__xludf.DUMMYFUNCTION("""COMPUTED_VALUE"""),"Md Iasin Ahmed Showrov (S204960)")</f>
        <v>Md Iasin Ahmed Showrov (S204960)</v>
      </c>
      <c r="E624" s="93" t="str">
        <f ca="1">IFERROR(__xludf.DUMMYFUNCTION("""COMPUTED_VALUE"""),"CB15734_Jan26")</f>
        <v>CB15734_Jan26</v>
      </c>
      <c r="F624" s="94" t="str">
        <f ca="1">IFERROR(__xludf.DUMMYFUNCTION("""COMPUTED_VALUE"""),"Black Cylinder Output")</f>
        <v>Black Cylinder Output</v>
      </c>
      <c r="G624" s="95" t="str">
        <f ca="1">IFERROR(__xludf.DUMMYFUNCTION("""COMPUTED_VALUE"""),"New")</f>
        <v>New</v>
      </c>
      <c r="H624" s="96">
        <f ca="1">IFERROR(__xludf.DUMMYFUNCTION("""COMPUTED_VALUE"""),1)</f>
        <v>1</v>
      </c>
      <c r="I624" s="97">
        <f ca="1">IFERROR(__xludf.DUMMYFUNCTION("""COMPUTED_VALUE"""),46067)</f>
        <v>46067</v>
      </c>
      <c r="J624" s="98" t="str">
        <f ca="1">IFERROR(__xludf.DUMMYFUNCTION("""COMPUTED_VALUE"""),"CW24804_Feb26")</f>
        <v>CW24804_Feb26</v>
      </c>
      <c r="K624" s="99" t="str">
        <f ca="1">IFERROR(__xludf.DUMMYFUNCTION("""COMPUTED_VALUE"""),"HoM Approved")</f>
        <v>HoM Approved</v>
      </c>
    </row>
    <row r="625" spans="1:11" ht="13.2">
      <c r="A625" s="89" t="str">
        <f ca="1">IFERROR(__xludf.DUMMYFUNCTION("""COMPUTED_VALUE"""),"Power")</f>
        <v>Power</v>
      </c>
      <c r="B625" s="90" t="str">
        <f ca="1">IFERROR(__xludf.DUMMYFUNCTION("""COMPUTED_VALUE"""),"PBL")</f>
        <v>PBL</v>
      </c>
      <c r="C625" s="91" t="str">
        <f ca="1">IFERROR(__xludf.DUMMYFUNCTION("""COMPUTED_VALUE"""),"Saifullah Vai")</f>
        <v>Saifullah Vai</v>
      </c>
      <c r="D625" s="92" t="str">
        <f ca="1">IFERROR(__xludf.DUMMYFUNCTION("""COMPUTED_VALUE"""),"Md Iasin Ahmed Showrov (S204960)")</f>
        <v>Md Iasin Ahmed Showrov (S204960)</v>
      </c>
      <c r="E625" s="93" t="str">
        <f ca="1">IFERROR(__xludf.DUMMYFUNCTION("""COMPUTED_VALUE"""),"CB15734_Jan26")</f>
        <v>CB15734_Jan26</v>
      </c>
      <c r="F625" s="94" t="str">
        <f ca="1">IFERROR(__xludf.DUMMYFUNCTION("""COMPUTED_VALUE"""),"Packaging Text Design #1")</f>
        <v>Packaging Text Design #1</v>
      </c>
      <c r="G625" s="95" t="str">
        <f ca="1">IFERROR(__xludf.DUMMYFUNCTION("""COMPUTED_VALUE"""),"New")</f>
        <v>New</v>
      </c>
      <c r="H625" s="96">
        <f ca="1">IFERROR(__xludf.DUMMYFUNCTION("""COMPUTED_VALUE"""),1)</f>
        <v>1</v>
      </c>
      <c r="I625" s="97">
        <f ca="1">IFERROR(__xludf.DUMMYFUNCTION("""COMPUTED_VALUE"""),46067)</f>
        <v>46067</v>
      </c>
      <c r="J625" s="98" t="str">
        <f ca="1">IFERROR(__xludf.DUMMYFUNCTION("""COMPUTED_VALUE"""),"CW24804_Feb26")</f>
        <v>CW24804_Feb26</v>
      </c>
      <c r="K625" s="99" t="str">
        <f ca="1">IFERROR(__xludf.DUMMYFUNCTION("""COMPUTED_VALUE"""),"HoM Approved")</f>
        <v>HoM Approved</v>
      </c>
    </row>
    <row r="626" spans="1:11" ht="13.2">
      <c r="A626" s="89" t="str">
        <f ca="1">IFERROR(__xludf.DUMMYFUNCTION("""COMPUTED_VALUE"""),"Common - USA &amp; Europe Export")</f>
        <v>Common - USA &amp; Europe Export</v>
      </c>
      <c r="B626" s="90" t="str">
        <f ca="1">IFERROR(__xludf.DUMMYFUNCTION("""COMPUTED_VALUE"""),"USA &amp; Europe")</f>
        <v>USA &amp; Europe</v>
      </c>
      <c r="C626" s="91" t="str">
        <f ca="1">IFERROR(__xludf.DUMMYFUNCTION("""COMPUTED_VALUE"""),"Saifullah Vai")</f>
        <v>Saifullah Vai</v>
      </c>
      <c r="D626" s="92" t="str">
        <f ca="1">IFERROR(__xludf.DUMMYFUNCTION("""COMPUTED_VALUE"""),"Md Iasin Ahmed Showrov (S204960)")</f>
        <v>Md Iasin Ahmed Showrov (S204960)</v>
      </c>
      <c r="E626" s="93" t="str">
        <f ca="1">IFERROR(__xludf.DUMMYFUNCTION("""COMPUTED_VALUE"""),"CB16990_Feb26")</f>
        <v>CB16990_Feb26</v>
      </c>
      <c r="F626" s="94" t="str">
        <f ca="1">IFERROR(__xludf.DUMMYFUNCTION("""COMPUTED_VALUE"""),"Packaging Text Design #2")</f>
        <v>Packaging Text Design #2</v>
      </c>
      <c r="G626" s="95" t="str">
        <f ca="1">IFERROR(__xludf.DUMMYFUNCTION("""COMPUTED_VALUE"""),"New")</f>
        <v>New</v>
      </c>
      <c r="H626" s="96">
        <f ca="1">IFERROR(__xludf.DUMMYFUNCTION("""COMPUTED_VALUE"""),1)</f>
        <v>1</v>
      </c>
      <c r="I626" s="97">
        <f ca="1">IFERROR(__xludf.DUMMYFUNCTION("""COMPUTED_VALUE"""),46067)</f>
        <v>46067</v>
      </c>
      <c r="J626" s="98" t="str">
        <f ca="1">IFERROR(__xludf.DUMMYFUNCTION("""COMPUTED_VALUE"""),"CW24805_Feb26")</f>
        <v>CW24805_Feb26</v>
      </c>
      <c r="K626" s="99" t="str">
        <f ca="1">IFERROR(__xludf.DUMMYFUNCTION("""COMPUTED_VALUE"""),"HoM Approved")</f>
        <v>HoM Approved</v>
      </c>
    </row>
    <row r="627" spans="1:11" ht="13.2">
      <c r="A627" s="89" t="str">
        <f ca="1">IFERROR(__xludf.DUMMYFUNCTION("""COMPUTED_VALUE"""),"PRAN Pulse candy")</f>
        <v>PRAN Pulse candy</v>
      </c>
      <c r="B627" s="90" t="str">
        <f ca="1">IFERROR(__xludf.DUMMYFUNCTION("""COMPUTED_VALUE"""),"PCL")</f>
        <v>PCL</v>
      </c>
      <c r="C627" s="91" t="str">
        <f ca="1">IFERROR(__xludf.DUMMYFUNCTION("""COMPUTED_VALUE"""),"Zahirul Vai")</f>
        <v>Zahirul Vai</v>
      </c>
      <c r="D627" s="92" t="str">
        <f ca="1">IFERROR(__xludf.DUMMYFUNCTION("""COMPUTED_VALUE"""),"Md Iasin Ahmed Showrov (S204960)")</f>
        <v>Md Iasin Ahmed Showrov (S204960)</v>
      </c>
      <c r="E627" s="93" t="str">
        <f ca="1">IFERROR(__xludf.DUMMYFUNCTION("""COMPUTED_VALUE"""),"CB17415_Feb26")</f>
        <v>CB17415_Feb26</v>
      </c>
      <c r="F627" s="94" t="str">
        <f ca="1">IFERROR(__xludf.DUMMYFUNCTION("""COMPUTED_VALUE"""),"Packaging Text Design #1")</f>
        <v>Packaging Text Design #1</v>
      </c>
      <c r="G627" s="95" t="str">
        <f ca="1">IFERROR(__xludf.DUMMYFUNCTION("""COMPUTED_VALUE"""),"New")</f>
        <v>New</v>
      </c>
      <c r="H627" s="96">
        <f ca="1">IFERROR(__xludf.DUMMYFUNCTION("""COMPUTED_VALUE"""),1)</f>
        <v>1</v>
      </c>
      <c r="I627" s="97">
        <f ca="1">IFERROR(__xludf.DUMMYFUNCTION("""COMPUTED_VALUE"""),46067)</f>
        <v>46067</v>
      </c>
      <c r="J627" s="98" t="str">
        <f ca="1">IFERROR(__xludf.DUMMYFUNCTION("""COMPUTED_VALUE"""),"CW24806_Feb26")</f>
        <v>CW24806_Feb26</v>
      </c>
      <c r="K627" s="99" t="str">
        <f ca="1">IFERROR(__xludf.DUMMYFUNCTION("""COMPUTED_VALUE"""),"HoM Approved")</f>
        <v>HoM Approved</v>
      </c>
    </row>
    <row r="628" spans="1:11" ht="13.2">
      <c r="A628" s="89" t="str">
        <f ca="1">IFERROR(__xludf.DUMMYFUNCTION("""COMPUTED_VALUE"""),"Sweetland Chocolate")</f>
        <v>Sweetland Chocolate</v>
      </c>
      <c r="B628" s="90" t="str">
        <f ca="1">IFERROR(__xludf.DUMMYFUNCTION("""COMPUTED_VALUE"""),"PCL")</f>
        <v>PCL</v>
      </c>
      <c r="C628" s="91" t="str">
        <f ca="1">IFERROR(__xludf.DUMMYFUNCTION("""COMPUTED_VALUE"""),"Shamsul Sir")</f>
        <v>Shamsul Sir</v>
      </c>
      <c r="D628" s="92" t="str">
        <f ca="1">IFERROR(__xludf.DUMMYFUNCTION("""COMPUTED_VALUE"""),"Md Iasin Ahmed Showrov (S204960)")</f>
        <v>Md Iasin Ahmed Showrov (S204960)</v>
      </c>
      <c r="E628" s="93" t="str">
        <f ca="1">IFERROR(__xludf.DUMMYFUNCTION("""COMPUTED_VALUE"""),"CB16066_Jan26")</f>
        <v>CB16066_Jan26</v>
      </c>
      <c r="F628" s="94" t="str">
        <f ca="1">IFERROR(__xludf.DUMMYFUNCTION("""COMPUTED_VALUE"""),"Carton Design")</f>
        <v>Carton Design</v>
      </c>
      <c r="G628" s="95" t="str">
        <f ca="1">IFERROR(__xludf.DUMMYFUNCTION("""COMPUTED_VALUE"""),"New")</f>
        <v>New</v>
      </c>
      <c r="H628" s="96">
        <f ca="1">IFERROR(__xludf.DUMMYFUNCTION("""COMPUTED_VALUE"""),2)</f>
        <v>2</v>
      </c>
      <c r="I628" s="97">
        <f ca="1">IFERROR(__xludf.DUMMYFUNCTION("""COMPUTED_VALUE"""),46070)</f>
        <v>46070</v>
      </c>
      <c r="J628" s="98" t="str">
        <f ca="1">IFERROR(__xludf.DUMMYFUNCTION("""COMPUTED_VALUE"""),"CW25072_Feb26")</f>
        <v>CW25072_Feb26</v>
      </c>
      <c r="K628" s="99" t="str">
        <f ca="1">IFERROR(__xludf.DUMMYFUNCTION("""COMPUTED_VALUE"""),"HoM Approved")</f>
        <v>HoM Approved</v>
      </c>
    </row>
    <row r="629" spans="1:11" ht="13.2">
      <c r="A629" s="89" t="str">
        <f ca="1">IFERROR(__xludf.DUMMYFUNCTION("""COMPUTED_VALUE"""),"Sweetland Chocolate")</f>
        <v>Sweetland Chocolate</v>
      </c>
      <c r="B629" s="90" t="str">
        <f ca="1">IFERROR(__xludf.DUMMYFUNCTION("""COMPUTED_VALUE"""),"PCL")</f>
        <v>PCL</v>
      </c>
      <c r="C629" s="91" t="str">
        <f ca="1">IFERROR(__xludf.DUMMYFUNCTION("""COMPUTED_VALUE"""),"Shamsul Sir")</f>
        <v>Shamsul Sir</v>
      </c>
      <c r="D629" s="92" t="str">
        <f ca="1">IFERROR(__xludf.DUMMYFUNCTION("""COMPUTED_VALUE"""),"Md Iasin Ahmed Showrov (S204960)")</f>
        <v>Md Iasin Ahmed Showrov (S204960)</v>
      </c>
      <c r="E629" s="93" t="str">
        <f ca="1">IFERROR(__xludf.DUMMYFUNCTION("""COMPUTED_VALUE"""),"CB16066_Jan26")</f>
        <v>CB16066_Jan26</v>
      </c>
      <c r="F629" s="94" t="str">
        <f ca="1">IFERROR(__xludf.DUMMYFUNCTION("""COMPUTED_VALUE"""),"Packaging Text Design #2")</f>
        <v>Packaging Text Design #2</v>
      </c>
      <c r="G629" s="95" t="str">
        <f ca="1">IFERROR(__xludf.DUMMYFUNCTION("""COMPUTED_VALUE"""),"New")</f>
        <v>New</v>
      </c>
      <c r="H629" s="96">
        <f ca="1">IFERROR(__xludf.DUMMYFUNCTION("""COMPUTED_VALUE"""),4)</f>
        <v>4</v>
      </c>
      <c r="I629" s="97">
        <f ca="1">IFERROR(__xludf.DUMMYFUNCTION("""COMPUTED_VALUE"""),46070)</f>
        <v>46070</v>
      </c>
      <c r="J629" s="98" t="str">
        <f ca="1">IFERROR(__xludf.DUMMYFUNCTION("""COMPUTED_VALUE"""),"CW25072_Feb26")</f>
        <v>CW25072_Feb26</v>
      </c>
      <c r="K629" s="99" t="str">
        <f ca="1">IFERROR(__xludf.DUMMYFUNCTION("""COMPUTED_VALUE"""),"HoM Approved")</f>
        <v>HoM Approved</v>
      </c>
    </row>
    <row r="630" spans="1:11" ht="13.2">
      <c r="A630" s="89" t="str">
        <f ca="1">IFERROR(__xludf.DUMMYFUNCTION("""COMPUTED_VALUE"""),"Common")</f>
        <v>Common</v>
      </c>
      <c r="B630" s="90" t="str">
        <f ca="1">IFERROR(__xludf.DUMMYFUNCTION("""COMPUTED_VALUE"""),"Export Common")</f>
        <v>Export Common</v>
      </c>
      <c r="C630" s="91" t="str">
        <f ca="1">IFERROR(__xludf.DUMMYFUNCTION("""COMPUTED_VALUE"""),"Saifullah Vai")</f>
        <v>Saifullah Vai</v>
      </c>
      <c r="D630" s="92" t="str">
        <f ca="1">IFERROR(__xludf.DUMMYFUNCTION("""COMPUTED_VALUE"""),"Md Iasin Ahmed Showrov (S204960)")</f>
        <v>Md Iasin Ahmed Showrov (S204960)</v>
      </c>
      <c r="E630" s="93" t="str">
        <f ca="1">IFERROR(__xludf.DUMMYFUNCTION("""COMPUTED_VALUE"""),"CB17934_Feb26")</f>
        <v>CB17934_Feb26</v>
      </c>
      <c r="F630" s="94" t="str">
        <f ca="1">IFERROR(__xludf.DUMMYFUNCTION("""COMPUTED_VALUE"""),"Packaging Text Design #2")</f>
        <v>Packaging Text Design #2</v>
      </c>
      <c r="G630" s="95" t="str">
        <f ca="1">IFERROR(__xludf.DUMMYFUNCTION("""COMPUTED_VALUE"""),"New")</f>
        <v>New</v>
      </c>
      <c r="H630" s="96">
        <f ca="1">IFERROR(__xludf.DUMMYFUNCTION("""COMPUTED_VALUE"""),10)</f>
        <v>10</v>
      </c>
      <c r="I630" s="97">
        <f ca="1">IFERROR(__xludf.DUMMYFUNCTION("""COMPUTED_VALUE"""),46072)</f>
        <v>46072</v>
      </c>
      <c r="J630" s="98" t="str">
        <f ca="1">IFERROR(__xludf.DUMMYFUNCTION("""COMPUTED_VALUE"""),"CW25305_Feb26")</f>
        <v>CW25305_Feb26</v>
      </c>
      <c r="K630" s="99" t="str">
        <f ca="1">IFERROR(__xludf.DUMMYFUNCTION("""COMPUTED_VALUE"""),"HoM Approved")</f>
        <v>HoM Approved</v>
      </c>
    </row>
    <row r="631" spans="1:11" ht="13.2">
      <c r="A631" s="89" t="str">
        <f ca="1">IFERROR(__xludf.DUMMYFUNCTION("""COMPUTED_VALUE"""),"PRAN DAIRY LTD. PIP - ALL")</f>
        <v>PRAN DAIRY LTD. PIP - ALL</v>
      </c>
      <c r="B631" s="90" t="str">
        <f ca="1">IFERROR(__xludf.DUMMYFUNCTION("""COMPUTED_VALUE"""),"Philippines")</f>
        <v>Philippines</v>
      </c>
      <c r="C631" s="91" t="str">
        <f ca="1">IFERROR(__xludf.DUMMYFUNCTION("""COMPUTED_VALUE"""),"Farjana Apu")</f>
        <v>Farjana Apu</v>
      </c>
      <c r="D631" s="92" t="str">
        <f ca="1">IFERROR(__xludf.DUMMYFUNCTION("""COMPUTED_VALUE"""),"Md Iasin Ahmed Showrov (S204960)")</f>
        <v>Md Iasin Ahmed Showrov (S204960)</v>
      </c>
      <c r="E631" s="93" t="str">
        <f ca="1">IFERROR(__xludf.DUMMYFUNCTION("""COMPUTED_VALUE"""),"CB17930_Feb26")</f>
        <v>CB17930_Feb26</v>
      </c>
      <c r="F631" s="94" t="str">
        <f ca="1">IFERROR(__xludf.DUMMYFUNCTION("""COMPUTED_VALUE"""),"Document Text Correction")</f>
        <v>Document Text Correction</v>
      </c>
      <c r="G631" s="95" t="str">
        <f ca="1">IFERROR(__xludf.DUMMYFUNCTION("""COMPUTED_VALUE"""),"New")</f>
        <v>New</v>
      </c>
      <c r="H631" s="96">
        <f ca="1">IFERROR(__xludf.DUMMYFUNCTION("""COMPUTED_VALUE"""),1)</f>
        <v>1</v>
      </c>
      <c r="I631" s="97">
        <f ca="1">IFERROR(__xludf.DUMMYFUNCTION("""COMPUTED_VALUE"""),46076)</f>
        <v>46076</v>
      </c>
      <c r="J631" s="98" t="str">
        <f ca="1">IFERROR(__xludf.DUMMYFUNCTION("""COMPUTED_VALUE"""),"CW25475_Feb26")</f>
        <v>CW25475_Feb26</v>
      </c>
      <c r="K631" s="99" t="str">
        <f ca="1">IFERROR(__xludf.DUMMYFUNCTION("""COMPUTED_VALUE"""),"HoM Approved")</f>
        <v>HoM Approved</v>
      </c>
    </row>
    <row r="632" spans="1:11" ht="13.2">
      <c r="A632" s="89" t="str">
        <f ca="1">IFERROR(__xludf.DUMMYFUNCTION("""COMPUTED_VALUE"""),"Common - All PAL")</f>
        <v>Common - All PAL</v>
      </c>
      <c r="B632" s="90" t="str">
        <f ca="1">IFERROR(__xludf.DUMMYFUNCTION("""COMPUTED_VALUE"""),"PAL")</f>
        <v>PAL</v>
      </c>
      <c r="C632" s="91" t="str">
        <f ca="1">IFERROR(__xludf.DUMMYFUNCTION("""COMPUTED_VALUE"""),"Farjana Apu")</f>
        <v>Farjana Apu</v>
      </c>
      <c r="D632" s="92" t="str">
        <f ca="1">IFERROR(__xludf.DUMMYFUNCTION("""COMPUTED_VALUE"""),"Md Iasin Ahmed Showrov (S204960)")</f>
        <v>Md Iasin Ahmed Showrov (S204960)</v>
      </c>
      <c r="E632" s="93" t="str">
        <f ca="1">IFERROR(__xludf.DUMMYFUNCTION("""COMPUTED_VALUE"""),"CB18064_Feb26")</f>
        <v>CB18064_Feb26</v>
      </c>
      <c r="F632" s="94" t="str">
        <f ca="1">IFERROR(__xludf.DUMMYFUNCTION("""COMPUTED_VALUE"""),"Document Text Correction")</f>
        <v>Document Text Correction</v>
      </c>
      <c r="G632" s="95" t="str">
        <f ca="1">IFERROR(__xludf.DUMMYFUNCTION("""COMPUTED_VALUE"""),"New")</f>
        <v>New</v>
      </c>
      <c r="H632" s="96">
        <f ca="1">IFERROR(__xludf.DUMMYFUNCTION("""COMPUTED_VALUE"""),1)</f>
        <v>1</v>
      </c>
      <c r="I632" s="97">
        <f ca="1">IFERROR(__xludf.DUMMYFUNCTION("""COMPUTED_VALUE"""),46076)</f>
        <v>46076</v>
      </c>
      <c r="J632" s="98" t="str">
        <f ca="1">IFERROR(__xludf.DUMMYFUNCTION("""COMPUTED_VALUE"""),"CW25503_Feb26")</f>
        <v>CW25503_Feb26</v>
      </c>
      <c r="K632" s="99" t="str">
        <f ca="1">IFERROR(__xludf.DUMMYFUNCTION("""COMPUTED_VALUE"""),"HoM Approved")</f>
        <v>HoM Approved</v>
      </c>
    </row>
    <row r="633" spans="1:11" ht="13.2">
      <c r="A633" s="89" t="str">
        <f ca="1">IFERROR(__xludf.DUMMYFUNCTION("""COMPUTED_VALUE"""),"PRAN DAIRY LTD. PIP - ALL")</f>
        <v>PRAN DAIRY LTD. PIP - ALL</v>
      </c>
      <c r="B633" s="90" t="str">
        <f ca="1">IFERROR(__xludf.DUMMYFUNCTION("""COMPUTED_VALUE"""),"Philippines")</f>
        <v>Philippines</v>
      </c>
      <c r="C633" s="91" t="str">
        <f ca="1">IFERROR(__xludf.DUMMYFUNCTION("""COMPUTED_VALUE"""),"Farjana Apu")</f>
        <v>Farjana Apu</v>
      </c>
      <c r="D633" s="92" t="str">
        <f ca="1">IFERROR(__xludf.DUMMYFUNCTION("""COMPUTED_VALUE"""),"Md Iasin Ahmed Showrov (S204960)")</f>
        <v>Md Iasin Ahmed Showrov (S204960)</v>
      </c>
      <c r="E633" s="93" t="str">
        <f ca="1">IFERROR(__xludf.DUMMYFUNCTION("""COMPUTED_VALUE"""),"CB18079_Feb26")</f>
        <v>CB18079_Feb26</v>
      </c>
      <c r="F633" s="94" t="str">
        <f ca="1">IFERROR(__xludf.DUMMYFUNCTION("""COMPUTED_VALUE"""),"Document Text Correction")</f>
        <v>Document Text Correction</v>
      </c>
      <c r="G633" s="95" t="str">
        <f ca="1">IFERROR(__xludf.DUMMYFUNCTION("""COMPUTED_VALUE"""),"New")</f>
        <v>New</v>
      </c>
      <c r="H633" s="96">
        <f ca="1">IFERROR(__xludf.DUMMYFUNCTION("""COMPUTED_VALUE"""),2)</f>
        <v>2</v>
      </c>
      <c r="I633" s="97">
        <f ca="1">IFERROR(__xludf.DUMMYFUNCTION("""COMPUTED_VALUE"""),46076)</f>
        <v>46076</v>
      </c>
      <c r="J633" s="98" t="str">
        <f ca="1">IFERROR(__xludf.DUMMYFUNCTION("""COMPUTED_VALUE"""),"CW25502_Feb26")</f>
        <v>CW25502_Feb26</v>
      </c>
      <c r="K633" s="99" t="str">
        <f ca="1">IFERROR(__xludf.DUMMYFUNCTION("""COMPUTED_VALUE"""),"HoM Approved")</f>
        <v>HoM Approved</v>
      </c>
    </row>
    <row r="634" spans="1:11" ht="13.2">
      <c r="A634" s="89" t="str">
        <f ca="1">IFERROR(__xludf.DUMMYFUNCTION("""COMPUTED_VALUE"""),"PRAN DAIRY LTD. PIP - ALL")</f>
        <v>PRAN DAIRY LTD. PIP - ALL</v>
      </c>
      <c r="B634" s="90" t="str">
        <f ca="1">IFERROR(__xludf.DUMMYFUNCTION("""COMPUTED_VALUE"""),"Philippines")</f>
        <v>Philippines</v>
      </c>
      <c r="C634" s="91" t="str">
        <f ca="1">IFERROR(__xludf.DUMMYFUNCTION("""COMPUTED_VALUE"""),"Farjana Apu")</f>
        <v>Farjana Apu</v>
      </c>
      <c r="D634" s="92" t="str">
        <f ca="1">IFERROR(__xludf.DUMMYFUNCTION("""COMPUTED_VALUE"""),"Md Iasin Ahmed Showrov (S204960)")</f>
        <v>Md Iasin Ahmed Showrov (S204960)</v>
      </c>
      <c r="E634" s="93" t="str">
        <f ca="1">IFERROR(__xludf.DUMMYFUNCTION("""COMPUTED_VALUE"""),"CB18079_Feb26")</f>
        <v>CB18079_Feb26</v>
      </c>
      <c r="F634" s="94" t="str">
        <f ca="1">IFERROR(__xludf.DUMMYFUNCTION("""COMPUTED_VALUE"""),"Packaging Text Design #1")</f>
        <v>Packaging Text Design #1</v>
      </c>
      <c r="G634" s="95" t="str">
        <f ca="1">IFERROR(__xludf.DUMMYFUNCTION("""COMPUTED_VALUE"""),"New")</f>
        <v>New</v>
      </c>
      <c r="H634" s="96">
        <f ca="1">IFERROR(__xludf.DUMMYFUNCTION("""COMPUTED_VALUE"""),2)</f>
        <v>2</v>
      </c>
      <c r="I634" s="97">
        <f ca="1">IFERROR(__xludf.DUMMYFUNCTION("""COMPUTED_VALUE"""),46076)</f>
        <v>46076</v>
      </c>
      <c r="J634" s="98" t="str">
        <f ca="1">IFERROR(__xludf.DUMMYFUNCTION("""COMPUTED_VALUE"""),"CW25502_Feb26")</f>
        <v>CW25502_Feb26</v>
      </c>
      <c r="K634" s="99" t="str">
        <f ca="1">IFERROR(__xludf.DUMMYFUNCTION("""COMPUTED_VALUE"""),"HoM Approved")</f>
        <v>HoM Approved</v>
      </c>
    </row>
    <row r="635" spans="1:11" ht="13.2">
      <c r="A635" s="89" t="str">
        <f ca="1">IFERROR(__xludf.DUMMYFUNCTION("""COMPUTED_VALUE"""),"PRAN DAIRY LTD. PIP - ALL")</f>
        <v>PRAN DAIRY LTD. PIP - ALL</v>
      </c>
      <c r="B635" s="90" t="str">
        <f ca="1">IFERROR(__xludf.DUMMYFUNCTION("""COMPUTED_VALUE"""),"Philippines")</f>
        <v>Philippines</v>
      </c>
      <c r="C635" s="91" t="str">
        <f ca="1">IFERROR(__xludf.DUMMYFUNCTION("""COMPUTED_VALUE"""),"Farjana Apu")</f>
        <v>Farjana Apu</v>
      </c>
      <c r="D635" s="92" t="str">
        <f ca="1">IFERROR(__xludf.DUMMYFUNCTION("""COMPUTED_VALUE"""),"Md Iasin Ahmed Showrov (S204960)")</f>
        <v>Md Iasin Ahmed Showrov (S204960)</v>
      </c>
      <c r="E635" s="93" t="str">
        <f ca="1">IFERROR(__xludf.DUMMYFUNCTION("""COMPUTED_VALUE"""),"CB17930_Feb26")</f>
        <v>CB17930_Feb26</v>
      </c>
      <c r="F635" s="94" t="str">
        <f ca="1">IFERROR(__xludf.DUMMYFUNCTION("""COMPUTED_VALUE"""),"Packaging Text Design #1")</f>
        <v>Packaging Text Design #1</v>
      </c>
      <c r="G635" s="95" t="str">
        <f ca="1">IFERROR(__xludf.DUMMYFUNCTION("""COMPUTED_VALUE"""),"New")</f>
        <v>New</v>
      </c>
      <c r="H635" s="96">
        <f ca="1">IFERROR(__xludf.DUMMYFUNCTION("""COMPUTED_VALUE"""),1)</f>
        <v>1</v>
      </c>
      <c r="I635" s="97">
        <f ca="1">IFERROR(__xludf.DUMMYFUNCTION("""COMPUTED_VALUE"""),46076)</f>
        <v>46076</v>
      </c>
      <c r="J635" s="98" t="str">
        <f ca="1">IFERROR(__xludf.DUMMYFUNCTION("""COMPUTED_VALUE"""),"CW25475_Feb26")</f>
        <v>CW25475_Feb26</v>
      </c>
      <c r="K635" s="99" t="str">
        <f ca="1">IFERROR(__xludf.DUMMYFUNCTION("""COMPUTED_VALUE"""),"HoM Approved")</f>
        <v>HoM Approved</v>
      </c>
    </row>
    <row r="636" spans="1:11" ht="13.2">
      <c r="A636" s="89" t="str">
        <f ca="1">IFERROR(__xludf.DUMMYFUNCTION("""COMPUTED_VALUE"""),"HIP-ALL")</f>
        <v>HIP-ALL</v>
      </c>
      <c r="B636" s="90" t="str">
        <f ca="1">IFERROR(__xludf.DUMMYFUNCTION("""COMPUTED_VALUE"""),"Philippines")</f>
        <v>Philippines</v>
      </c>
      <c r="C636" s="91" t="str">
        <f ca="1">IFERROR(__xludf.DUMMYFUNCTION("""COMPUTED_VALUE"""),"Farjana Apu")</f>
        <v>Farjana Apu</v>
      </c>
      <c r="D636" s="92" t="str">
        <f ca="1">IFERROR(__xludf.DUMMYFUNCTION("""COMPUTED_VALUE"""),"Md Iasin Ahmed Showrov (S204960)")</f>
        <v>Md Iasin Ahmed Showrov (S204960)</v>
      </c>
      <c r="E636" s="93" t="str">
        <f ca="1">IFERROR(__xludf.DUMMYFUNCTION("""COMPUTED_VALUE"""),"CB17989_Feb26")</f>
        <v>CB17989_Feb26</v>
      </c>
      <c r="F636" s="94" t="str">
        <f ca="1">IFERROR(__xludf.DUMMYFUNCTION("""COMPUTED_VALUE"""),"Packaging Text Design #1")</f>
        <v>Packaging Text Design #1</v>
      </c>
      <c r="G636" s="95" t="str">
        <f ca="1">IFERROR(__xludf.DUMMYFUNCTION("""COMPUTED_VALUE"""),"New")</f>
        <v>New</v>
      </c>
      <c r="H636" s="96">
        <f ca="1">IFERROR(__xludf.DUMMYFUNCTION("""COMPUTED_VALUE"""),1)</f>
        <v>1</v>
      </c>
      <c r="I636" s="97">
        <f ca="1">IFERROR(__xludf.DUMMYFUNCTION("""COMPUTED_VALUE"""),46076)</f>
        <v>46076</v>
      </c>
      <c r="J636" s="98" t="str">
        <f ca="1">IFERROR(__xludf.DUMMYFUNCTION("""COMPUTED_VALUE"""),"CW25504_Feb26")</f>
        <v>CW25504_Feb26</v>
      </c>
      <c r="K636" s="99" t="str">
        <f ca="1">IFERROR(__xludf.DUMMYFUNCTION("""COMPUTED_VALUE"""),"HoM Approved")</f>
        <v>HoM Approved</v>
      </c>
    </row>
    <row r="637" spans="1:11" ht="13.2">
      <c r="A637" s="89" t="str">
        <f ca="1">IFERROR(__xludf.DUMMYFUNCTION("""COMPUTED_VALUE"""),"PRAN Mustard Oil")</f>
        <v>PRAN Mustard Oil</v>
      </c>
      <c r="B637" s="90" t="str">
        <f ca="1">IFERROR(__xludf.DUMMYFUNCTION("""COMPUTED_VALUE"""),"NAL")</f>
        <v>NAL</v>
      </c>
      <c r="C637" s="91" t="str">
        <f ca="1">IFERROR(__xludf.DUMMYFUNCTION("""COMPUTED_VALUE"""),"Zahirul Vai")</f>
        <v>Zahirul Vai</v>
      </c>
      <c r="D637" s="92" t="str">
        <f ca="1">IFERROR(__xludf.DUMMYFUNCTION("""COMPUTED_VALUE"""),"Md Iasin Ahmed Showrov (S204960)")</f>
        <v>Md Iasin Ahmed Showrov (S204960)</v>
      </c>
      <c r="E637" s="93" t="str">
        <f ca="1">IFERROR(__xludf.DUMMYFUNCTION("""COMPUTED_VALUE"""),"CB17986_Feb26")</f>
        <v>CB17986_Feb26</v>
      </c>
      <c r="F637" s="94" t="str">
        <f ca="1">IFERROR(__xludf.DUMMYFUNCTION("""COMPUTED_VALUE"""),"Packaging Text Design #1")</f>
        <v>Packaging Text Design #1</v>
      </c>
      <c r="G637" s="95" t="str">
        <f ca="1">IFERROR(__xludf.DUMMYFUNCTION("""COMPUTED_VALUE"""),"New")</f>
        <v>New</v>
      </c>
      <c r="H637" s="96">
        <f ca="1">IFERROR(__xludf.DUMMYFUNCTION("""COMPUTED_VALUE"""),2)</f>
        <v>2</v>
      </c>
      <c r="I637" s="97">
        <f ca="1">IFERROR(__xludf.DUMMYFUNCTION("""COMPUTED_VALUE"""),46076)</f>
        <v>46076</v>
      </c>
      <c r="J637" s="98" t="str">
        <f ca="1">IFERROR(__xludf.DUMMYFUNCTION("""COMPUTED_VALUE"""),"CW25524_Feb26")</f>
        <v>CW25524_Feb26</v>
      </c>
      <c r="K637" s="99" t="str">
        <f ca="1">IFERROR(__xludf.DUMMYFUNCTION("""COMPUTED_VALUE"""),"HoM Approved")</f>
        <v>HoM Approved</v>
      </c>
    </row>
    <row r="638" spans="1:11" ht="13.2">
      <c r="A638" s="89" t="str">
        <f ca="1">IFERROR(__xludf.DUMMYFUNCTION("""COMPUTED_VALUE"""),"MAL ALL")</f>
        <v>MAL ALL</v>
      </c>
      <c r="B638" s="90" t="str">
        <f ca="1">IFERROR(__xludf.DUMMYFUNCTION("""COMPUTED_VALUE"""),"Philippines")</f>
        <v>Philippines</v>
      </c>
      <c r="C638" s="91" t="str">
        <f ca="1">IFERROR(__xludf.DUMMYFUNCTION("""COMPUTED_VALUE"""),"Farjana Apu")</f>
        <v>Farjana Apu</v>
      </c>
      <c r="D638" s="92" t="str">
        <f ca="1">IFERROR(__xludf.DUMMYFUNCTION("""COMPUTED_VALUE"""),"Md Iasin Ahmed Showrov (S204960)")</f>
        <v>Md Iasin Ahmed Showrov (S204960)</v>
      </c>
      <c r="E638" s="93" t="str">
        <f ca="1">IFERROR(__xludf.DUMMYFUNCTION("""COMPUTED_VALUE"""),"CB17319_Feb26")</f>
        <v>CB17319_Feb26</v>
      </c>
      <c r="F638" s="94" t="str">
        <f ca="1">IFERROR(__xludf.DUMMYFUNCTION("""COMPUTED_VALUE"""),"Document Text Correction")</f>
        <v>Document Text Correction</v>
      </c>
      <c r="G638" s="95" t="str">
        <f ca="1">IFERROR(__xludf.DUMMYFUNCTION("""COMPUTED_VALUE"""),"New")</f>
        <v>New</v>
      </c>
      <c r="H638" s="96">
        <f ca="1">IFERROR(__xludf.DUMMYFUNCTION("""COMPUTED_VALUE"""),3)</f>
        <v>3</v>
      </c>
      <c r="I638" s="97">
        <f ca="1">IFERROR(__xludf.DUMMYFUNCTION("""COMPUTED_VALUE"""),46077)</f>
        <v>46077</v>
      </c>
      <c r="J638" s="98" t="str">
        <f ca="1">IFERROR(__xludf.DUMMYFUNCTION("""COMPUTED_VALUE"""),"CW25558_Feb26")</f>
        <v>CW25558_Feb26</v>
      </c>
      <c r="K638" s="99" t="str">
        <f ca="1">IFERROR(__xludf.DUMMYFUNCTION("""COMPUTED_VALUE"""),"HoM Approved")</f>
        <v>HoM Approved</v>
      </c>
    </row>
    <row r="639" spans="1:11" ht="13.2">
      <c r="A639" s="89" t="str">
        <f ca="1">IFERROR(__xludf.DUMMYFUNCTION("""COMPUTED_VALUE"""),"PRAN DAIRY LTD. PIP - ALL")</f>
        <v>PRAN DAIRY LTD. PIP - ALL</v>
      </c>
      <c r="B639" s="90" t="str">
        <f ca="1">IFERROR(__xludf.DUMMYFUNCTION("""COMPUTED_VALUE"""),"Philippines")</f>
        <v>Philippines</v>
      </c>
      <c r="C639" s="91" t="str">
        <f ca="1">IFERROR(__xludf.DUMMYFUNCTION("""COMPUTED_VALUE"""),"Farjana Apu")</f>
        <v>Farjana Apu</v>
      </c>
      <c r="D639" s="92" t="str">
        <f ca="1">IFERROR(__xludf.DUMMYFUNCTION("""COMPUTED_VALUE"""),"Md Iasin Ahmed Showrov (S204960)")</f>
        <v>Md Iasin Ahmed Showrov (S204960)</v>
      </c>
      <c r="E639" s="93" t="str">
        <f ca="1">IFERROR(__xludf.DUMMYFUNCTION("""COMPUTED_VALUE"""),"CB17165_Feb26")</f>
        <v>CB17165_Feb26</v>
      </c>
      <c r="F639" s="94" t="str">
        <f ca="1">IFERROR(__xludf.DUMMYFUNCTION("""COMPUTED_VALUE"""),"Document Text Correction")</f>
        <v>Document Text Correction</v>
      </c>
      <c r="G639" s="95" t="str">
        <f ca="1">IFERROR(__xludf.DUMMYFUNCTION("""COMPUTED_VALUE"""),"New")</f>
        <v>New</v>
      </c>
      <c r="H639" s="96">
        <f ca="1">IFERROR(__xludf.DUMMYFUNCTION("""COMPUTED_VALUE"""),2)</f>
        <v>2</v>
      </c>
      <c r="I639" s="97">
        <f ca="1">IFERROR(__xludf.DUMMYFUNCTION("""COMPUTED_VALUE"""),46077)</f>
        <v>46077</v>
      </c>
      <c r="J639" s="98" t="str">
        <f ca="1">IFERROR(__xludf.DUMMYFUNCTION("""COMPUTED_VALUE"""),"CW25611_Feb26")</f>
        <v>CW25611_Feb26</v>
      </c>
      <c r="K639" s="99" t="str">
        <f ca="1">IFERROR(__xludf.DUMMYFUNCTION("""COMPUTED_VALUE"""),"HoM Approved")</f>
        <v>HoM Approved</v>
      </c>
    </row>
    <row r="640" spans="1:11" ht="13.2">
      <c r="A640" s="89" t="str">
        <f ca="1">IFERROR(__xludf.DUMMYFUNCTION("""COMPUTED_VALUE"""),"HIP-ALL")</f>
        <v>HIP-ALL</v>
      </c>
      <c r="B640" s="90" t="str">
        <f ca="1">IFERROR(__xludf.DUMMYFUNCTION("""COMPUTED_VALUE"""),"Philippines")</f>
        <v>Philippines</v>
      </c>
      <c r="C640" s="91" t="str">
        <f ca="1">IFERROR(__xludf.DUMMYFUNCTION("""COMPUTED_VALUE"""),"Farjana Apu")</f>
        <v>Farjana Apu</v>
      </c>
      <c r="D640" s="92" t="str">
        <f ca="1">IFERROR(__xludf.DUMMYFUNCTION("""COMPUTED_VALUE"""),"Md Iasin Ahmed Showrov (S204960)")</f>
        <v>Md Iasin Ahmed Showrov (S204960)</v>
      </c>
      <c r="E640" s="93" t="str">
        <f ca="1">IFERROR(__xludf.DUMMYFUNCTION("""COMPUTED_VALUE"""),"CB18098_Feb26")</f>
        <v>CB18098_Feb26</v>
      </c>
      <c r="F640" s="94" t="str">
        <f ca="1">IFERROR(__xludf.DUMMYFUNCTION("""COMPUTED_VALUE"""),"Document Text Correction")</f>
        <v>Document Text Correction</v>
      </c>
      <c r="G640" s="95" t="str">
        <f ca="1">IFERROR(__xludf.DUMMYFUNCTION("""COMPUTED_VALUE"""),"New")</f>
        <v>New</v>
      </c>
      <c r="H640" s="96">
        <f ca="1">IFERROR(__xludf.DUMMYFUNCTION("""COMPUTED_VALUE"""),1)</f>
        <v>1</v>
      </c>
      <c r="I640" s="97">
        <f ca="1">IFERROR(__xludf.DUMMYFUNCTION("""COMPUTED_VALUE"""),46077)</f>
        <v>46077</v>
      </c>
      <c r="J640" s="98" t="str">
        <f ca="1">IFERROR(__xludf.DUMMYFUNCTION("""COMPUTED_VALUE"""),"CW25551_Feb26")</f>
        <v>CW25551_Feb26</v>
      </c>
      <c r="K640" s="99" t="str">
        <f ca="1">IFERROR(__xludf.DUMMYFUNCTION("""COMPUTED_VALUE"""),"HoM Approved")</f>
        <v>HoM Approved</v>
      </c>
    </row>
    <row r="641" spans="1:11" ht="13.2">
      <c r="A641" s="89" t="str">
        <f ca="1">IFERROR(__xludf.DUMMYFUNCTION("""COMPUTED_VALUE"""),"MAL - ALL")</f>
        <v>MAL - ALL</v>
      </c>
      <c r="B641" s="90" t="str">
        <f ca="1">IFERROR(__xludf.DUMMYFUNCTION("""COMPUTED_VALUE"""),"Philippines")</f>
        <v>Philippines</v>
      </c>
      <c r="C641" s="91" t="str">
        <f ca="1">IFERROR(__xludf.DUMMYFUNCTION("""COMPUTED_VALUE"""),"Farjana Apu")</f>
        <v>Farjana Apu</v>
      </c>
      <c r="D641" s="92" t="str">
        <f ca="1">IFERROR(__xludf.DUMMYFUNCTION("""COMPUTED_VALUE"""),"Md Iasin Ahmed Showrov (S204960)")</f>
        <v>Md Iasin Ahmed Showrov (S204960)</v>
      </c>
      <c r="E641" s="93" t="str">
        <f ca="1">IFERROR(__xludf.DUMMYFUNCTION("""COMPUTED_VALUE"""),"CB17332_Feb26")</f>
        <v>CB17332_Feb26</v>
      </c>
      <c r="F641" s="94" t="str">
        <f ca="1">IFERROR(__xludf.DUMMYFUNCTION("""COMPUTED_VALUE"""),"Document Text Correction")</f>
        <v>Document Text Correction</v>
      </c>
      <c r="G641" s="95" t="str">
        <f ca="1">IFERROR(__xludf.DUMMYFUNCTION("""COMPUTED_VALUE"""),"New")</f>
        <v>New</v>
      </c>
      <c r="H641" s="96">
        <f ca="1">IFERROR(__xludf.DUMMYFUNCTION("""COMPUTED_VALUE"""),3)</f>
        <v>3</v>
      </c>
      <c r="I641" s="97">
        <f ca="1">IFERROR(__xludf.DUMMYFUNCTION("""COMPUTED_VALUE"""),46077)</f>
        <v>46077</v>
      </c>
      <c r="J641" s="98" t="str">
        <f ca="1">IFERROR(__xludf.DUMMYFUNCTION("""COMPUTED_VALUE"""),"CW25552_Feb26")</f>
        <v>CW25552_Feb26</v>
      </c>
      <c r="K641" s="99" t="str">
        <f ca="1">IFERROR(__xludf.DUMMYFUNCTION("""COMPUTED_VALUE"""),"HoM Approved")</f>
        <v>HoM Approved</v>
      </c>
    </row>
    <row r="642" spans="1:11" ht="13.2">
      <c r="A642" s="89" t="str">
        <f ca="1">IFERROR(__xludf.DUMMYFUNCTION("""COMPUTED_VALUE"""),"MAL - ALL")</f>
        <v>MAL - ALL</v>
      </c>
      <c r="B642" s="90" t="str">
        <f ca="1">IFERROR(__xludf.DUMMYFUNCTION("""COMPUTED_VALUE"""),"Philippines")</f>
        <v>Philippines</v>
      </c>
      <c r="C642" s="91" t="str">
        <f ca="1">IFERROR(__xludf.DUMMYFUNCTION("""COMPUTED_VALUE"""),"Farjana Apu")</f>
        <v>Farjana Apu</v>
      </c>
      <c r="D642" s="92" t="str">
        <f ca="1">IFERROR(__xludf.DUMMYFUNCTION("""COMPUTED_VALUE"""),"Md Iasin Ahmed Showrov (S204960)")</f>
        <v>Md Iasin Ahmed Showrov (S204960)</v>
      </c>
      <c r="E642" s="93" t="str">
        <f ca="1">IFERROR(__xludf.DUMMYFUNCTION("""COMPUTED_VALUE"""),"CB17331_Feb26")</f>
        <v>CB17331_Feb26</v>
      </c>
      <c r="F642" s="94" t="str">
        <f ca="1">IFERROR(__xludf.DUMMYFUNCTION("""COMPUTED_VALUE"""),"Document Text Correction")</f>
        <v>Document Text Correction</v>
      </c>
      <c r="G642" s="95" t="str">
        <f ca="1">IFERROR(__xludf.DUMMYFUNCTION("""COMPUTED_VALUE"""),"New")</f>
        <v>New</v>
      </c>
      <c r="H642" s="96">
        <f ca="1">IFERROR(__xludf.DUMMYFUNCTION("""COMPUTED_VALUE"""),1)</f>
        <v>1</v>
      </c>
      <c r="I642" s="97">
        <f ca="1">IFERROR(__xludf.DUMMYFUNCTION("""COMPUTED_VALUE"""),46077)</f>
        <v>46077</v>
      </c>
      <c r="J642" s="98" t="str">
        <f ca="1">IFERROR(__xludf.DUMMYFUNCTION("""COMPUTED_VALUE"""),"CW25553_Feb26")</f>
        <v>CW25553_Feb26</v>
      </c>
      <c r="K642" s="99" t="str">
        <f ca="1">IFERROR(__xludf.DUMMYFUNCTION("""COMPUTED_VALUE"""),"HoM Approved")</f>
        <v>HoM Approved</v>
      </c>
    </row>
    <row r="643" spans="1:11" ht="13.2">
      <c r="A643" s="89" t="str">
        <f ca="1">IFERROR(__xludf.DUMMYFUNCTION("""COMPUTED_VALUE"""),"MAL ALL")</f>
        <v>MAL ALL</v>
      </c>
      <c r="B643" s="90" t="str">
        <f ca="1">IFERROR(__xludf.DUMMYFUNCTION("""COMPUTED_VALUE"""),"Philippines")</f>
        <v>Philippines</v>
      </c>
      <c r="C643" s="91" t="str">
        <f ca="1">IFERROR(__xludf.DUMMYFUNCTION("""COMPUTED_VALUE"""),"Farjana Apu")</f>
        <v>Farjana Apu</v>
      </c>
      <c r="D643" s="92" t="str">
        <f ca="1">IFERROR(__xludf.DUMMYFUNCTION("""COMPUTED_VALUE"""),"Md Iasin Ahmed Showrov (S204960)")</f>
        <v>Md Iasin Ahmed Showrov (S204960)</v>
      </c>
      <c r="E643" s="93" t="str">
        <f ca="1">IFERROR(__xludf.DUMMYFUNCTION("""COMPUTED_VALUE"""),"CB17330_Feb26")</f>
        <v>CB17330_Feb26</v>
      </c>
      <c r="F643" s="94" t="str">
        <f ca="1">IFERROR(__xludf.DUMMYFUNCTION("""COMPUTED_VALUE"""),"Document Text Correction")</f>
        <v>Document Text Correction</v>
      </c>
      <c r="G643" s="95" t="str">
        <f ca="1">IFERROR(__xludf.DUMMYFUNCTION("""COMPUTED_VALUE"""),"New")</f>
        <v>New</v>
      </c>
      <c r="H643" s="96">
        <f ca="1">IFERROR(__xludf.DUMMYFUNCTION("""COMPUTED_VALUE"""),4)</f>
        <v>4</v>
      </c>
      <c r="I643" s="97">
        <f ca="1">IFERROR(__xludf.DUMMYFUNCTION("""COMPUTED_VALUE"""),46077)</f>
        <v>46077</v>
      </c>
      <c r="J643" s="98" t="str">
        <f ca="1">IFERROR(__xludf.DUMMYFUNCTION("""COMPUTED_VALUE"""),"CW25554_Feb26")</f>
        <v>CW25554_Feb26</v>
      </c>
      <c r="K643" s="99" t="str">
        <f ca="1">IFERROR(__xludf.DUMMYFUNCTION("""COMPUTED_VALUE"""),"HoM Approved")</f>
        <v>HoM Approved</v>
      </c>
    </row>
    <row r="644" spans="1:11" ht="13.2">
      <c r="A644" s="89" t="str">
        <f ca="1">IFERROR(__xludf.DUMMYFUNCTION("""COMPUTED_VALUE"""),"MAL ALL")</f>
        <v>MAL ALL</v>
      </c>
      <c r="B644" s="90" t="str">
        <f ca="1">IFERROR(__xludf.DUMMYFUNCTION("""COMPUTED_VALUE"""),"Philippines")</f>
        <v>Philippines</v>
      </c>
      <c r="C644" s="91" t="str">
        <f ca="1">IFERROR(__xludf.DUMMYFUNCTION("""COMPUTED_VALUE"""),"Farjana Apu")</f>
        <v>Farjana Apu</v>
      </c>
      <c r="D644" s="92" t="str">
        <f ca="1">IFERROR(__xludf.DUMMYFUNCTION("""COMPUTED_VALUE"""),"Md Iasin Ahmed Showrov (S204960)")</f>
        <v>Md Iasin Ahmed Showrov (S204960)</v>
      </c>
      <c r="E644" s="93" t="str">
        <f ca="1">IFERROR(__xludf.DUMMYFUNCTION("""COMPUTED_VALUE"""),"CB17326_Feb26")</f>
        <v>CB17326_Feb26</v>
      </c>
      <c r="F644" s="94" t="str">
        <f ca="1">IFERROR(__xludf.DUMMYFUNCTION("""COMPUTED_VALUE"""),"Document Text Correction")</f>
        <v>Document Text Correction</v>
      </c>
      <c r="G644" s="95" t="str">
        <f ca="1">IFERROR(__xludf.DUMMYFUNCTION("""COMPUTED_VALUE"""),"New")</f>
        <v>New</v>
      </c>
      <c r="H644" s="96">
        <f ca="1">IFERROR(__xludf.DUMMYFUNCTION("""COMPUTED_VALUE"""),1)</f>
        <v>1</v>
      </c>
      <c r="I644" s="97">
        <f ca="1">IFERROR(__xludf.DUMMYFUNCTION("""COMPUTED_VALUE"""),46077)</f>
        <v>46077</v>
      </c>
      <c r="J644" s="98" t="str">
        <f ca="1">IFERROR(__xludf.DUMMYFUNCTION("""COMPUTED_VALUE"""),"CW25555_Feb26")</f>
        <v>CW25555_Feb26</v>
      </c>
      <c r="K644" s="99" t="str">
        <f ca="1">IFERROR(__xludf.DUMMYFUNCTION("""COMPUTED_VALUE"""),"HoM Approved")</f>
        <v>HoM Approved</v>
      </c>
    </row>
    <row r="645" spans="1:11" ht="13.2">
      <c r="A645" s="89" t="str">
        <f ca="1">IFERROR(__xludf.DUMMYFUNCTION("""COMPUTED_VALUE"""),"MAL - ALL")</f>
        <v>MAL - ALL</v>
      </c>
      <c r="B645" s="90" t="str">
        <f ca="1">IFERROR(__xludf.DUMMYFUNCTION("""COMPUTED_VALUE"""),"Philippines")</f>
        <v>Philippines</v>
      </c>
      <c r="C645" s="91" t="str">
        <f ca="1">IFERROR(__xludf.DUMMYFUNCTION("""COMPUTED_VALUE"""),"Farjana Apu")</f>
        <v>Farjana Apu</v>
      </c>
      <c r="D645" s="92" t="str">
        <f ca="1">IFERROR(__xludf.DUMMYFUNCTION("""COMPUTED_VALUE"""),"Md Iasin Ahmed Showrov (S204960)")</f>
        <v>Md Iasin Ahmed Showrov (S204960)</v>
      </c>
      <c r="E645" s="93" t="str">
        <f ca="1">IFERROR(__xludf.DUMMYFUNCTION("""COMPUTED_VALUE"""),"CB17313_Feb26")</f>
        <v>CB17313_Feb26</v>
      </c>
      <c r="F645" s="94" t="str">
        <f ca="1">IFERROR(__xludf.DUMMYFUNCTION("""COMPUTED_VALUE"""),"Packaging Text Design #1")</f>
        <v>Packaging Text Design #1</v>
      </c>
      <c r="G645" s="95" t="str">
        <f ca="1">IFERROR(__xludf.DUMMYFUNCTION("""COMPUTED_VALUE"""),"New")</f>
        <v>New</v>
      </c>
      <c r="H645" s="96">
        <f ca="1">IFERROR(__xludf.DUMMYFUNCTION("""COMPUTED_VALUE"""),3)</f>
        <v>3</v>
      </c>
      <c r="I645" s="97">
        <f ca="1">IFERROR(__xludf.DUMMYFUNCTION("""COMPUTED_VALUE"""),46077)</f>
        <v>46077</v>
      </c>
      <c r="J645" s="98" t="str">
        <f ca="1">IFERROR(__xludf.DUMMYFUNCTION("""COMPUTED_VALUE"""),"CW25556_Feb26")</f>
        <v>CW25556_Feb26</v>
      </c>
      <c r="K645" s="99" t="str">
        <f ca="1">IFERROR(__xludf.DUMMYFUNCTION("""COMPUTED_VALUE"""),"HoM Approved")</f>
        <v>HoM Approved</v>
      </c>
    </row>
    <row r="646" spans="1:11" ht="13.2">
      <c r="A646" s="89" t="str">
        <f ca="1">IFERROR(__xludf.DUMMYFUNCTION("""COMPUTED_VALUE"""),"HIP-ALL")</f>
        <v>HIP-ALL</v>
      </c>
      <c r="B646" s="90" t="str">
        <f ca="1">IFERROR(__xludf.DUMMYFUNCTION("""COMPUTED_VALUE"""),"Philippines")</f>
        <v>Philippines</v>
      </c>
      <c r="C646" s="91" t="str">
        <f ca="1">IFERROR(__xludf.DUMMYFUNCTION("""COMPUTED_VALUE"""),"Farjana Apu")</f>
        <v>Farjana Apu</v>
      </c>
      <c r="D646" s="92" t="str">
        <f ca="1">IFERROR(__xludf.DUMMYFUNCTION("""COMPUTED_VALUE"""),"Md Iasin Ahmed Showrov (S204960)")</f>
        <v>Md Iasin Ahmed Showrov (S204960)</v>
      </c>
      <c r="E646" s="93" t="str">
        <f ca="1">IFERROR(__xludf.DUMMYFUNCTION("""COMPUTED_VALUE"""),"CB17102_Feb26")</f>
        <v>CB17102_Feb26</v>
      </c>
      <c r="F646" s="94" t="str">
        <f ca="1">IFERROR(__xludf.DUMMYFUNCTION("""COMPUTED_VALUE"""),"Packaging Text Design #1")</f>
        <v>Packaging Text Design #1</v>
      </c>
      <c r="G646" s="95" t="str">
        <f ca="1">IFERROR(__xludf.DUMMYFUNCTION("""COMPUTED_VALUE"""),"New")</f>
        <v>New</v>
      </c>
      <c r="H646" s="96">
        <f ca="1">IFERROR(__xludf.DUMMYFUNCTION("""COMPUTED_VALUE"""),1)</f>
        <v>1</v>
      </c>
      <c r="I646" s="97">
        <f ca="1">IFERROR(__xludf.DUMMYFUNCTION("""COMPUTED_VALUE"""),46077)</f>
        <v>46077</v>
      </c>
      <c r="J646" s="98" t="str">
        <f ca="1">IFERROR(__xludf.DUMMYFUNCTION("""COMPUTED_VALUE"""),"CW25549_Feb26")</f>
        <v>CW25549_Feb26</v>
      </c>
      <c r="K646" s="99" t="str">
        <f ca="1">IFERROR(__xludf.DUMMYFUNCTION("""COMPUTED_VALUE"""),"HoM Approved")</f>
        <v>HoM Approved</v>
      </c>
    </row>
    <row r="647" spans="1:11" ht="13.2">
      <c r="A647" s="89" t="str">
        <f ca="1">IFERROR(__xludf.DUMMYFUNCTION("""COMPUTED_VALUE"""),"MAL - ALL")</f>
        <v>MAL - ALL</v>
      </c>
      <c r="B647" s="90" t="str">
        <f ca="1">IFERROR(__xludf.DUMMYFUNCTION("""COMPUTED_VALUE"""),"Philippines")</f>
        <v>Philippines</v>
      </c>
      <c r="C647" s="91" t="str">
        <f ca="1">IFERROR(__xludf.DUMMYFUNCTION("""COMPUTED_VALUE"""),"Farjana Apu")</f>
        <v>Farjana Apu</v>
      </c>
      <c r="D647" s="92" t="str">
        <f ca="1">IFERROR(__xludf.DUMMYFUNCTION("""COMPUTED_VALUE"""),"Md Iasin Ahmed Showrov (S204960)")</f>
        <v>Md Iasin Ahmed Showrov (S204960)</v>
      </c>
      <c r="E647" s="93" t="str">
        <f ca="1">IFERROR(__xludf.DUMMYFUNCTION("""COMPUTED_VALUE"""),"CB17316_Feb26")</f>
        <v>CB17316_Feb26</v>
      </c>
      <c r="F647" s="94" t="str">
        <f ca="1">IFERROR(__xludf.DUMMYFUNCTION("""COMPUTED_VALUE"""),"Packaging Text Design #1")</f>
        <v>Packaging Text Design #1</v>
      </c>
      <c r="G647" s="95" t="str">
        <f ca="1">IFERROR(__xludf.DUMMYFUNCTION("""COMPUTED_VALUE"""),"New")</f>
        <v>New</v>
      </c>
      <c r="H647" s="96">
        <f ca="1">IFERROR(__xludf.DUMMYFUNCTION("""COMPUTED_VALUE"""),3)</f>
        <v>3</v>
      </c>
      <c r="I647" s="97">
        <f ca="1">IFERROR(__xludf.DUMMYFUNCTION("""COMPUTED_VALUE"""),46077)</f>
        <v>46077</v>
      </c>
      <c r="J647" s="98" t="str">
        <f ca="1">IFERROR(__xludf.DUMMYFUNCTION("""COMPUTED_VALUE"""),"CW25557_Feb26")</f>
        <v>CW25557_Feb26</v>
      </c>
      <c r="K647" s="99" t="str">
        <f ca="1">IFERROR(__xludf.DUMMYFUNCTION("""COMPUTED_VALUE"""),"HoM Approved")</f>
        <v>HoM Approved</v>
      </c>
    </row>
    <row r="648" spans="1:11" ht="13.2">
      <c r="A648" s="89" t="str">
        <f ca="1">IFERROR(__xludf.DUMMYFUNCTION("""COMPUTED_VALUE"""),"Pran Apple Drink")</f>
        <v>Pran Apple Drink</v>
      </c>
      <c r="B648" s="90" t="str">
        <f ca="1">IFERROR(__xludf.DUMMYFUNCTION("""COMPUTED_VALUE"""),"PBL")</f>
        <v>PBL</v>
      </c>
      <c r="C648" s="91" t="str">
        <f ca="1">IFERROR(__xludf.DUMMYFUNCTION("""COMPUTED_VALUE"""),"Mona Apu")</f>
        <v>Mona Apu</v>
      </c>
      <c r="D648" s="92" t="str">
        <f ca="1">IFERROR(__xludf.DUMMYFUNCTION("""COMPUTED_VALUE"""),"Md Iasin Ahmed Showrov (S204960)")</f>
        <v>Md Iasin Ahmed Showrov (S204960)</v>
      </c>
      <c r="E648" s="93" t="str">
        <f ca="1">IFERROR(__xludf.DUMMYFUNCTION("""COMPUTED_VALUE"""),"CB17053_Feb26")</f>
        <v>CB17053_Feb26</v>
      </c>
      <c r="F648" s="94" t="str">
        <f ca="1">IFERROR(__xludf.DUMMYFUNCTION("""COMPUTED_VALUE"""),"Packaging Text Design #2")</f>
        <v>Packaging Text Design #2</v>
      </c>
      <c r="G648" s="95" t="str">
        <f ca="1">IFERROR(__xludf.DUMMYFUNCTION("""COMPUTED_VALUE"""),"New")</f>
        <v>New</v>
      </c>
      <c r="H648" s="96">
        <f ca="1">IFERROR(__xludf.DUMMYFUNCTION("""COMPUTED_VALUE"""),4)</f>
        <v>4</v>
      </c>
      <c r="I648" s="97">
        <f ca="1">IFERROR(__xludf.DUMMYFUNCTION("""COMPUTED_VALUE"""),46077)</f>
        <v>46077</v>
      </c>
      <c r="J648" s="98" t="str">
        <f ca="1">IFERROR(__xludf.DUMMYFUNCTION("""COMPUTED_VALUE"""),"CW25559_Feb26")</f>
        <v>CW25559_Feb26</v>
      </c>
      <c r="K648" s="99" t="str">
        <f ca="1">IFERROR(__xludf.DUMMYFUNCTION("""COMPUTED_VALUE"""),"HoM Approved")</f>
        <v>HoM Approved</v>
      </c>
    </row>
    <row r="649" spans="1:11" ht="13.2">
      <c r="A649" s="89" t="str">
        <f ca="1">IFERROR(__xludf.DUMMYFUNCTION("""COMPUTED_VALUE"""),"HIP-ALL")</f>
        <v>HIP-ALL</v>
      </c>
      <c r="B649" s="90" t="str">
        <f ca="1">IFERROR(__xludf.DUMMYFUNCTION("""COMPUTED_VALUE"""),"Philippines")</f>
        <v>Philippines</v>
      </c>
      <c r="C649" s="91" t="str">
        <f ca="1">IFERROR(__xludf.DUMMYFUNCTION("""COMPUTED_VALUE"""),"Rabby Vai")</f>
        <v>Rabby Vai</v>
      </c>
      <c r="D649" s="92" t="str">
        <f ca="1">IFERROR(__xludf.DUMMYFUNCTION("""COMPUTED_VALUE"""),"Md Iasin Ahmed Showrov (S204960)")</f>
        <v>Md Iasin Ahmed Showrov (S204960)</v>
      </c>
      <c r="E649" s="93" t="str">
        <f ca="1">IFERROR(__xludf.DUMMYFUNCTION("""COMPUTED_VALUE"""),"CB17693_Feb26")</f>
        <v>CB17693_Feb26</v>
      </c>
      <c r="F649" s="94" t="str">
        <f ca="1">IFERROR(__xludf.DUMMYFUNCTION("""COMPUTED_VALUE"""),"Document Text Correction")</f>
        <v>Document Text Correction</v>
      </c>
      <c r="G649" s="95" t="str">
        <f ca="1">IFERROR(__xludf.DUMMYFUNCTION("""COMPUTED_VALUE"""),"New")</f>
        <v>New</v>
      </c>
      <c r="H649" s="96">
        <f ca="1">IFERROR(__xludf.DUMMYFUNCTION("""COMPUTED_VALUE"""),1)</f>
        <v>1</v>
      </c>
      <c r="I649" s="97">
        <f ca="1">IFERROR(__xludf.DUMMYFUNCTION("""COMPUTED_VALUE"""),46077)</f>
        <v>46077</v>
      </c>
      <c r="J649" s="98" t="str">
        <f ca="1">IFERROR(__xludf.DUMMYFUNCTION("""COMPUTED_VALUE"""),"CW25548_Feb26")</f>
        <v>CW25548_Feb26</v>
      </c>
      <c r="K649" s="99" t="str">
        <f ca="1">IFERROR(__xludf.DUMMYFUNCTION("""COMPUTED_VALUE"""),"HoM Approved")</f>
        <v>HoM Approved</v>
      </c>
    </row>
    <row r="650" spans="1:11" ht="13.2">
      <c r="A650" s="89" t="str">
        <f ca="1">IFERROR(__xludf.DUMMYFUNCTION("""COMPUTED_VALUE"""),"HIP-ALL")</f>
        <v>HIP-ALL</v>
      </c>
      <c r="B650" s="90" t="str">
        <f ca="1">IFERROR(__xludf.DUMMYFUNCTION("""COMPUTED_VALUE"""),"Philippines")</f>
        <v>Philippines</v>
      </c>
      <c r="C650" s="91" t="str">
        <f ca="1">IFERROR(__xludf.DUMMYFUNCTION("""COMPUTED_VALUE"""),"Rabby Vai")</f>
        <v>Rabby Vai</v>
      </c>
      <c r="D650" s="92" t="str">
        <f ca="1">IFERROR(__xludf.DUMMYFUNCTION("""COMPUTED_VALUE"""),"Md Iasin Ahmed Showrov (S204960)")</f>
        <v>Md Iasin Ahmed Showrov (S204960)</v>
      </c>
      <c r="E650" s="93" t="str">
        <f ca="1">IFERROR(__xludf.DUMMYFUNCTION("""COMPUTED_VALUE"""),"CB17693_Feb26")</f>
        <v>CB17693_Feb26</v>
      </c>
      <c r="F650" s="94" t="str">
        <f ca="1">IFERROR(__xludf.DUMMYFUNCTION("""COMPUTED_VALUE"""),"Packaging Text Design #1")</f>
        <v>Packaging Text Design #1</v>
      </c>
      <c r="G650" s="95" t="str">
        <f ca="1">IFERROR(__xludf.DUMMYFUNCTION("""COMPUTED_VALUE"""),"New")</f>
        <v>New</v>
      </c>
      <c r="H650" s="96">
        <f ca="1">IFERROR(__xludf.DUMMYFUNCTION("""COMPUTED_VALUE"""),1)</f>
        <v>1</v>
      </c>
      <c r="I650" s="97">
        <f ca="1">IFERROR(__xludf.DUMMYFUNCTION("""COMPUTED_VALUE"""),46077)</f>
        <v>46077</v>
      </c>
      <c r="J650" s="98" t="str">
        <f ca="1">IFERROR(__xludf.DUMMYFUNCTION("""COMPUTED_VALUE"""),"CW25548_Feb26")</f>
        <v>CW25548_Feb26</v>
      </c>
      <c r="K650" s="99" t="str">
        <f ca="1">IFERROR(__xludf.DUMMYFUNCTION("""COMPUTED_VALUE"""),"HoM Approved")</f>
        <v>HoM Approved</v>
      </c>
    </row>
    <row r="651" spans="1:11" ht="13.2">
      <c r="A651" s="89" t="str">
        <f ca="1">IFERROR(__xludf.DUMMYFUNCTION("""COMPUTED_VALUE"""),"Pran Choice Sweet &amp; Salty Biscuits")</f>
        <v>Pran Choice Sweet &amp; Salty Biscuits</v>
      </c>
      <c r="B651" s="90" t="str">
        <f ca="1">IFERROR(__xludf.DUMMYFUNCTION("""COMPUTED_VALUE"""),"BBL")</f>
        <v>BBL</v>
      </c>
      <c r="C651" s="91" t="str">
        <f ca="1">IFERROR(__xludf.DUMMYFUNCTION("""COMPUTED_VALUE"""),"Shamsul Sir")</f>
        <v>Shamsul Sir</v>
      </c>
      <c r="D651" s="92" t="str">
        <f ca="1">IFERROR(__xludf.DUMMYFUNCTION("""COMPUTED_VALUE"""),"Md Iasin Ahmed Showrov (S204960)")</f>
        <v>Md Iasin Ahmed Showrov (S204960)</v>
      </c>
      <c r="E651" s="93" t="str">
        <f ca="1">IFERROR(__xludf.DUMMYFUNCTION("""COMPUTED_VALUE"""),"CB18279_Feb26")</f>
        <v>CB18279_Feb26</v>
      </c>
      <c r="F651" s="94" t="str">
        <f ca="1">IFERROR(__xludf.DUMMYFUNCTION("""COMPUTED_VALUE"""),"Packaging Text Design #2")</f>
        <v>Packaging Text Design #2</v>
      </c>
      <c r="G651" s="95" t="str">
        <f ca="1">IFERROR(__xludf.DUMMYFUNCTION("""COMPUTED_VALUE"""),"New")</f>
        <v>New</v>
      </c>
      <c r="H651" s="96">
        <f ca="1">IFERROR(__xludf.DUMMYFUNCTION("""COMPUTED_VALUE"""),1)</f>
        <v>1</v>
      </c>
      <c r="I651" s="97">
        <f ca="1">IFERROR(__xludf.DUMMYFUNCTION("""COMPUTED_VALUE"""),46078)</f>
        <v>46078</v>
      </c>
      <c r="J651" s="98" t="str">
        <f ca="1">IFERROR(__xludf.DUMMYFUNCTION("""COMPUTED_VALUE"""),"CW25709_Feb26")</f>
        <v>CW25709_Feb26</v>
      </c>
      <c r="K651" s="99" t="str">
        <f ca="1">IFERROR(__xludf.DUMMYFUNCTION("""COMPUTED_VALUE"""),"HoM Approved")</f>
        <v>HoM Approved</v>
      </c>
    </row>
    <row r="652" spans="1:11" ht="13.2">
      <c r="A652" s="89" t="str">
        <f ca="1">IFERROR(__xludf.DUMMYFUNCTION("""COMPUTED_VALUE"""),"PRAN DAIRY LTD. PIP - ALL")</f>
        <v>PRAN DAIRY LTD. PIP - ALL</v>
      </c>
      <c r="B652" s="90" t="str">
        <f ca="1">IFERROR(__xludf.DUMMYFUNCTION("""COMPUTED_VALUE"""),"Philippines")</f>
        <v>Philippines</v>
      </c>
      <c r="C652" s="91" t="str">
        <f ca="1">IFERROR(__xludf.DUMMYFUNCTION("""COMPUTED_VALUE"""),"Rabby Vai")</f>
        <v>Rabby Vai</v>
      </c>
      <c r="D652" s="92" t="str">
        <f ca="1">IFERROR(__xludf.DUMMYFUNCTION("""COMPUTED_VALUE"""),"Md Iasin Ahmed Showrov (S204960)")</f>
        <v>Md Iasin Ahmed Showrov (S204960)</v>
      </c>
      <c r="E652" s="93" t="str">
        <f ca="1">IFERROR(__xludf.DUMMYFUNCTION("""COMPUTED_VALUE"""),"CB18235_Feb26")</f>
        <v>CB18235_Feb26</v>
      </c>
      <c r="F652" s="94" t="str">
        <f ca="1">IFERROR(__xludf.DUMMYFUNCTION("""COMPUTED_VALUE"""),"Document Text Correction")</f>
        <v>Document Text Correction</v>
      </c>
      <c r="G652" s="95" t="str">
        <f ca="1">IFERROR(__xludf.DUMMYFUNCTION("""COMPUTED_VALUE"""),"New")</f>
        <v>New</v>
      </c>
      <c r="H652" s="96">
        <f ca="1">IFERROR(__xludf.DUMMYFUNCTION("""COMPUTED_VALUE"""),2)</f>
        <v>2</v>
      </c>
      <c r="I652" s="97">
        <f ca="1">IFERROR(__xludf.DUMMYFUNCTION("""COMPUTED_VALUE"""),46079)</f>
        <v>46079</v>
      </c>
      <c r="J652" s="98" t="str">
        <f ca="1">IFERROR(__xludf.DUMMYFUNCTION("""COMPUTED_VALUE"""),"CW25772_Feb26")</f>
        <v>CW25772_Feb26</v>
      </c>
      <c r="K652" s="99" t="str">
        <f ca="1">IFERROR(__xludf.DUMMYFUNCTION("""COMPUTED_VALUE"""),"HoM Approved")</f>
        <v>HoM Approved</v>
      </c>
    </row>
    <row r="653" spans="1:11" ht="13.2">
      <c r="A653" s="89" t="str">
        <f ca="1">IFERROR(__xludf.DUMMYFUNCTION("""COMPUTED_VALUE"""),"MAL ALL")</f>
        <v>MAL ALL</v>
      </c>
      <c r="B653" s="90" t="str">
        <f ca="1">IFERROR(__xludf.DUMMYFUNCTION("""COMPUTED_VALUE"""),"Philippines")</f>
        <v>Philippines</v>
      </c>
      <c r="C653" s="91" t="str">
        <f ca="1">IFERROR(__xludf.DUMMYFUNCTION("""COMPUTED_VALUE"""),"Farjana Apu")</f>
        <v>Farjana Apu</v>
      </c>
      <c r="D653" s="92" t="str">
        <f ca="1">IFERROR(__xludf.DUMMYFUNCTION("""COMPUTED_VALUE"""),"Md Iasin Ahmed Showrov (S204960)")</f>
        <v>Md Iasin Ahmed Showrov (S204960)</v>
      </c>
      <c r="E653" s="93" t="str">
        <f ca="1">IFERROR(__xludf.DUMMYFUNCTION("""COMPUTED_VALUE"""),"CB18627_Mar26")</f>
        <v>CB18627_Mar26</v>
      </c>
      <c r="F653" s="94" t="str">
        <f ca="1">IFERROR(__xludf.DUMMYFUNCTION("""COMPUTED_VALUE"""),"Document Text Correction")</f>
        <v>Document Text Correction</v>
      </c>
      <c r="G653" s="95" t="str">
        <f ca="1">IFERROR(__xludf.DUMMYFUNCTION("""COMPUTED_VALUE"""),"New")</f>
        <v>New</v>
      </c>
      <c r="H653" s="96">
        <f ca="1">IFERROR(__xludf.DUMMYFUNCTION("""COMPUTED_VALUE"""),1)</f>
        <v>1</v>
      </c>
      <c r="I653" s="97">
        <f ca="1">IFERROR(__xludf.DUMMYFUNCTION("""COMPUTED_VALUE"""),46083)</f>
        <v>46083</v>
      </c>
      <c r="J653" s="98" t="str">
        <f ca="1">IFERROR(__xludf.DUMMYFUNCTION("""COMPUTED_VALUE"""),"CW26440_Mar26")</f>
        <v>CW26440_Mar26</v>
      </c>
      <c r="K653" s="99" t="str">
        <f ca="1">IFERROR(__xludf.DUMMYFUNCTION("""COMPUTED_VALUE"""),"HoM Approved")</f>
        <v>HoM Approved</v>
      </c>
    </row>
    <row r="654" spans="1:11" ht="13.2">
      <c r="A654" s="89" t="str">
        <f ca="1">IFERROR(__xludf.DUMMYFUNCTION("""COMPUTED_VALUE"""),"HIP-ALL")</f>
        <v>HIP-ALL</v>
      </c>
      <c r="B654" s="90" t="str">
        <f ca="1">IFERROR(__xludf.DUMMYFUNCTION("""COMPUTED_VALUE"""),"Philippines")</f>
        <v>Philippines</v>
      </c>
      <c r="C654" s="91" t="str">
        <f ca="1">IFERROR(__xludf.DUMMYFUNCTION("""COMPUTED_VALUE"""),"Farjana Apu")</f>
        <v>Farjana Apu</v>
      </c>
      <c r="D654" s="92" t="str">
        <f ca="1">IFERROR(__xludf.DUMMYFUNCTION("""COMPUTED_VALUE"""),"Md Iasin Ahmed Showrov (S204960)")</f>
        <v>Md Iasin Ahmed Showrov (S204960)</v>
      </c>
      <c r="E654" s="93" t="str">
        <f ca="1">IFERROR(__xludf.DUMMYFUNCTION("""COMPUTED_VALUE"""),"CB17925_Feb26")</f>
        <v>CB17925_Feb26</v>
      </c>
      <c r="F654" s="94" t="str">
        <f ca="1">IFERROR(__xludf.DUMMYFUNCTION("""COMPUTED_VALUE"""),"Packaging Text Design #1")</f>
        <v>Packaging Text Design #1</v>
      </c>
      <c r="G654" s="95" t="str">
        <f ca="1">IFERROR(__xludf.DUMMYFUNCTION("""COMPUTED_VALUE"""),"New")</f>
        <v>New</v>
      </c>
      <c r="H654" s="96">
        <f ca="1">IFERROR(__xludf.DUMMYFUNCTION("""COMPUTED_VALUE"""),1)</f>
        <v>1</v>
      </c>
      <c r="I654" s="97">
        <f ca="1">IFERROR(__xludf.DUMMYFUNCTION("""COMPUTED_VALUE"""),46083)</f>
        <v>46083</v>
      </c>
      <c r="J654" s="98" t="str">
        <f ca="1">IFERROR(__xludf.DUMMYFUNCTION("""COMPUTED_VALUE"""),"CW26441_Mar26")</f>
        <v>CW26441_Mar26</v>
      </c>
      <c r="K654" s="99" t="str">
        <f ca="1">IFERROR(__xludf.DUMMYFUNCTION("""COMPUTED_VALUE"""),"HoM Approved")</f>
        <v>HoM Approved</v>
      </c>
    </row>
    <row r="655" spans="1:11" ht="13.2">
      <c r="A655" s="89" t="str">
        <f ca="1">IFERROR(__xludf.DUMMYFUNCTION("""COMPUTED_VALUE"""),"PRAN DAIRY LTD. PIP - ALL")</f>
        <v>PRAN DAIRY LTD. PIP - ALL</v>
      </c>
      <c r="B655" s="90" t="str">
        <f ca="1">IFERROR(__xludf.DUMMYFUNCTION("""COMPUTED_VALUE"""),"Philippines")</f>
        <v>Philippines</v>
      </c>
      <c r="C655" s="91" t="str">
        <f ca="1">IFERROR(__xludf.DUMMYFUNCTION("""COMPUTED_VALUE"""),"Farjana Apu")</f>
        <v>Farjana Apu</v>
      </c>
      <c r="D655" s="92" t="str">
        <f ca="1">IFERROR(__xludf.DUMMYFUNCTION("""COMPUTED_VALUE"""),"Md Iasin Ahmed Showrov (S204960)")</f>
        <v>Md Iasin Ahmed Showrov (S204960)</v>
      </c>
      <c r="E655" s="93" t="str">
        <f ca="1">IFERROR(__xludf.DUMMYFUNCTION("""COMPUTED_VALUE"""),"CB19008_Mar26")</f>
        <v>CB19008_Mar26</v>
      </c>
      <c r="F655" s="94" t="str">
        <f ca="1">IFERROR(__xludf.DUMMYFUNCTION("""COMPUTED_VALUE"""),"Document Text Correction")</f>
        <v>Document Text Correction</v>
      </c>
      <c r="G655" s="95" t="str">
        <f ca="1">IFERROR(__xludf.DUMMYFUNCTION("""COMPUTED_VALUE"""),"New")</f>
        <v>New</v>
      </c>
      <c r="H655" s="96">
        <f ca="1">IFERROR(__xludf.DUMMYFUNCTION("""COMPUTED_VALUE"""),2)</f>
        <v>2</v>
      </c>
      <c r="I655" s="97">
        <f ca="1">IFERROR(__xludf.DUMMYFUNCTION("""COMPUTED_VALUE"""),46088)</f>
        <v>46088</v>
      </c>
      <c r="J655" s="98" t="str">
        <f ca="1">IFERROR(__xludf.DUMMYFUNCTION("""COMPUTED_VALUE"""),"CW26817_Mar26")</f>
        <v>CW26817_Mar26</v>
      </c>
      <c r="K655" s="99" t="str">
        <f ca="1">IFERROR(__xludf.DUMMYFUNCTION("""COMPUTED_VALUE"""),"HoM Approved")</f>
        <v>HoM Approved</v>
      </c>
    </row>
    <row r="656" spans="1:11" ht="13.2">
      <c r="A656" s="89" t="str">
        <f ca="1">IFERROR(__xludf.DUMMYFUNCTION("""COMPUTED_VALUE"""),"Common - India Export")</f>
        <v>Common - India Export</v>
      </c>
      <c r="B656" s="90" t="str">
        <f ca="1">IFERROR(__xludf.DUMMYFUNCTION("""COMPUTED_VALUE"""),"India")</f>
        <v>India</v>
      </c>
      <c r="C656" s="91" t="str">
        <f ca="1">IFERROR(__xludf.DUMMYFUNCTION("""COMPUTED_VALUE"""),"Saifullah Vai")</f>
        <v>Saifullah Vai</v>
      </c>
      <c r="D656" s="92" t="str">
        <f ca="1">IFERROR(__xludf.DUMMYFUNCTION("""COMPUTED_VALUE"""),"Md Iasin Ahmed Showrov (S204960)")</f>
        <v>Md Iasin Ahmed Showrov (S204960)</v>
      </c>
      <c r="E656" s="93" t="str">
        <f ca="1">IFERROR(__xludf.DUMMYFUNCTION("""COMPUTED_VALUE"""),"CB19016_Mar26")</f>
        <v>CB19016_Mar26</v>
      </c>
      <c r="F656" s="94" t="str">
        <f ca="1">IFERROR(__xludf.DUMMYFUNCTION("""COMPUTED_VALUE"""),"Packaging Text Design #1")</f>
        <v>Packaging Text Design #1</v>
      </c>
      <c r="G656" s="95" t="str">
        <f ca="1">IFERROR(__xludf.DUMMYFUNCTION("""COMPUTED_VALUE"""),"New")</f>
        <v>New</v>
      </c>
      <c r="H656" s="96">
        <f ca="1">IFERROR(__xludf.DUMMYFUNCTION("""COMPUTED_VALUE"""),1)</f>
        <v>1</v>
      </c>
      <c r="I656" s="97">
        <f ca="1">IFERROR(__xludf.DUMMYFUNCTION("""COMPUTED_VALUE"""),46089)</f>
        <v>46089</v>
      </c>
      <c r="J656" s="98" t="str">
        <f ca="1">IFERROR(__xludf.DUMMYFUNCTION("""COMPUTED_VALUE"""),"CW26892_Mar26")</f>
        <v>CW26892_Mar26</v>
      </c>
      <c r="K656" s="99" t="str">
        <f ca="1">IFERROR(__xludf.DUMMYFUNCTION("""COMPUTED_VALUE"""),"HoM Approved")</f>
        <v>HoM Approved</v>
      </c>
    </row>
    <row r="657" spans="1:11" ht="13.2">
      <c r="A657" s="89" t="str">
        <f ca="1">IFERROR(__xludf.DUMMYFUNCTION("""COMPUTED_VALUE"""),"Common")</f>
        <v>Common</v>
      </c>
      <c r="B657" s="90" t="str">
        <f ca="1">IFERROR(__xludf.DUMMYFUNCTION("""COMPUTED_VALUE"""),"Export Common")</f>
        <v>Export Common</v>
      </c>
      <c r="C657" s="91" t="str">
        <f ca="1">IFERROR(__xludf.DUMMYFUNCTION("""COMPUTED_VALUE"""),"Saifullah Vai")</f>
        <v>Saifullah Vai</v>
      </c>
      <c r="D657" s="92" t="str">
        <f ca="1">IFERROR(__xludf.DUMMYFUNCTION("""COMPUTED_VALUE"""),"Md Iasin Ahmed Showrov (S204960)")</f>
        <v>Md Iasin Ahmed Showrov (S204960)</v>
      </c>
      <c r="E657" s="93" t="str">
        <f ca="1">IFERROR(__xludf.DUMMYFUNCTION("""COMPUTED_VALUE"""),"CB18324_Feb26")</f>
        <v>CB18324_Feb26</v>
      </c>
      <c r="F657" s="94" t="str">
        <f ca="1">IFERROR(__xludf.DUMMYFUNCTION("""COMPUTED_VALUE"""),"Packaging Text Design #2")</f>
        <v>Packaging Text Design #2</v>
      </c>
      <c r="G657" s="95" t="str">
        <f ca="1">IFERROR(__xludf.DUMMYFUNCTION("""COMPUTED_VALUE"""),"New")</f>
        <v>New</v>
      </c>
      <c r="H657" s="96">
        <f ca="1">IFERROR(__xludf.DUMMYFUNCTION("""COMPUTED_VALUE"""),2)</f>
        <v>2</v>
      </c>
      <c r="I657" s="97">
        <f ca="1">IFERROR(__xludf.DUMMYFUNCTION("""COMPUTED_VALUE"""),46089)</f>
        <v>46089</v>
      </c>
      <c r="J657" s="98" t="str">
        <f ca="1">IFERROR(__xludf.DUMMYFUNCTION("""COMPUTED_VALUE"""),"CW26893_Mar26")</f>
        <v>CW26893_Mar26</v>
      </c>
      <c r="K657" s="99" t="str">
        <f ca="1">IFERROR(__xludf.DUMMYFUNCTION("""COMPUTED_VALUE"""),"HoM Approved")</f>
        <v>HoM Approved</v>
      </c>
    </row>
    <row r="658" spans="1:11" ht="13.2">
      <c r="A658" s="89" t="str">
        <f ca="1">IFERROR(__xludf.DUMMYFUNCTION("""COMPUTED_VALUE"""),"Choco Choco")</f>
        <v>Choco Choco</v>
      </c>
      <c r="B658" s="90" t="str">
        <f ca="1">IFERROR(__xludf.DUMMYFUNCTION("""COMPUTED_VALUE"""),"Africa")</f>
        <v>Africa</v>
      </c>
      <c r="C658" s="91" t="str">
        <f ca="1">IFERROR(__xludf.DUMMYFUNCTION("""COMPUTED_VALUE"""),"Zahirul Vai")</f>
        <v>Zahirul Vai</v>
      </c>
      <c r="D658" s="92" t="str">
        <f ca="1">IFERROR(__xludf.DUMMYFUNCTION("""COMPUTED_VALUE"""),"Md Iasin Ahmed Showrov (S204960)")</f>
        <v>Md Iasin Ahmed Showrov (S204960)</v>
      </c>
      <c r="E658" s="93" t="str">
        <f ca="1">IFERROR(__xludf.DUMMYFUNCTION("""COMPUTED_VALUE"""),"CB18717_Mar26")</f>
        <v>CB18717_Mar26</v>
      </c>
      <c r="F658" s="94" t="str">
        <f ca="1">IFERROR(__xludf.DUMMYFUNCTION("""COMPUTED_VALUE"""),"Packaging Text Design #1")</f>
        <v>Packaging Text Design #1</v>
      </c>
      <c r="G658" s="95" t="str">
        <f ca="1">IFERROR(__xludf.DUMMYFUNCTION("""COMPUTED_VALUE"""),"New")</f>
        <v>New</v>
      </c>
      <c r="H658" s="96">
        <f ca="1">IFERROR(__xludf.DUMMYFUNCTION("""COMPUTED_VALUE"""),11)</f>
        <v>11</v>
      </c>
      <c r="I658" s="97">
        <f ca="1">IFERROR(__xludf.DUMMYFUNCTION("""COMPUTED_VALUE"""),46089)</f>
        <v>46089</v>
      </c>
      <c r="J658" s="98" t="str">
        <f ca="1">IFERROR(__xludf.DUMMYFUNCTION("""COMPUTED_VALUE"""),"CW26891_Mar26")</f>
        <v>CW26891_Mar26</v>
      </c>
      <c r="K658" s="99" t="str">
        <f ca="1">IFERROR(__xludf.DUMMYFUNCTION("""COMPUTED_VALUE"""),"HoM Approved")</f>
        <v>HoM Approved</v>
      </c>
    </row>
    <row r="659" spans="1:11" ht="13.2">
      <c r="A659" s="89" t="str">
        <f ca="1">IFERROR(__xludf.DUMMYFUNCTION("""COMPUTED_VALUE"""),"PRAN Ring Chips")</f>
        <v>PRAN Ring Chips</v>
      </c>
      <c r="B659" s="90" t="str">
        <f ca="1">IFERROR(__xludf.DUMMYFUNCTION("""COMPUTED_VALUE"""),"PFL")</f>
        <v>PFL</v>
      </c>
      <c r="C659" s="91" t="str">
        <f ca="1">IFERROR(__xludf.DUMMYFUNCTION("""COMPUTED_VALUE"""),"Zahirul Vai")</f>
        <v>Zahirul Vai</v>
      </c>
      <c r="D659" s="92" t="str">
        <f ca="1">IFERROR(__xludf.DUMMYFUNCTION("""COMPUTED_VALUE"""),"Md Iasin Ahmed Showrov (S204960)")</f>
        <v>Md Iasin Ahmed Showrov (S204960)</v>
      </c>
      <c r="E659" s="93" t="str">
        <f ca="1">IFERROR(__xludf.DUMMYFUNCTION("""COMPUTED_VALUE"""),"CB19082_Mar26")</f>
        <v>CB19082_Mar26</v>
      </c>
      <c r="F659" s="94" t="str">
        <f ca="1">IFERROR(__xludf.DUMMYFUNCTION("""COMPUTED_VALUE"""),"Packaging Text Design #2")</f>
        <v>Packaging Text Design #2</v>
      </c>
      <c r="G659" s="95" t="str">
        <f ca="1">IFERROR(__xludf.DUMMYFUNCTION("""COMPUTED_VALUE"""),"New")</f>
        <v>New</v>
      </c>
      <c r="H659" s="96">
        <f ca="1">IFERROR(__xludf.DUMMYFUNCTION("""COMPUTED_VALUE"""),1)</f>
        <v>1</v>
      </c>
      <c r="I659" s="97">
        <f ca="1">IFERROR(__xludf.DUMMYFUNCTION("""COMPUTED_VALUE"""),46089)</f>
        <v>46089</v>
      </c>
      <c r="J659" s="98" t="str">
        <f ca="1">IFERROR(__xludf.DUMMYFUNCTION("""COMPUTED_VALUE"""),"CW26890_Mar26")</f>
        <v>CW26890_Mar26</v>
      </c>
      <c r="K659" s="99" t="str">
        <f ca="1">IFERROR(__xludf.DUMMYFUNCTION("""COMPUTED_VALUE"""),"HoM Approved")</f>
        <v>HoM Approved</v>
      </c>
    </row>
    <row r="660" spans="1:11" ht="13.2">
      <c r="A660" s="89" t="str">
        <f ca="1">IFERROR(__xludf.DUMMYFUNCTION("""COMPUTED_VALUE"""),"MAL ALL")</f>
        <v>MAL ALL</v>
      </c>
      <c r="B660" s="90" t="str">
        <f ca="1">IFERROR(__xludf.DUMMYFUNCTION("""COMPUTED_VALUE"""),"Philippines")</f>
        <v>Philippines</v>
      </c>
      <c r="C660" s="91" t="str">
        <f ca="1">IFERROR(__xludf.DUMMYFUNCTION("""COMPUTED_VALUE"""),"Farjana Apu")</f>
        <v>Farjana Apu</v>
      </c>
      <c r="D660" s="92" t="str">
        <f ca="1">IFERROR(__xludf.DUMMYFUNCTION("""COMPUTED_VALUE"""),"Md Iasin Ahmed Showrov (S204960)")</f>
        <v>Md Iasin Ahmed Showrov (S204960)</v>
      </c>
      <c r="E660" s="93" t="str">
        <f ca="1">IFERROR(__xludf.DUMMYFUNCTION("""COMPUTED_VALUE"""),"CB19187_Mar26")</f>
        <v>CB19187_Mar26</v>
      </c>
      <c r="F660" s="94" t="str">
        <f ca="1">IFERROR(__xludf.DUMMYFUNCTION("""COMPUTED_VALUE"""),"Document Text Correction")</f>
        <v>Document Text Correction</v>
      </c>
      <c r="G660" s="95" t="str">
        <f ca="1">IFERROR(__xludf.DUMMYFUNCTION("""COMPUTED_VALUE"""),"New")</f>
        <v>New</v>
      </c>
      <c r="H660" s="96">
        <f ca="1">IFERROR(__xludf.DUMMYFUNCTION("""COMPUTED_VALUE"""),1)</f>
        <v>1</v>
      </c>
      <c r="I660" s="97">
        <f ca="1">IFERROR(__xludf.DUMMYFUNCTION("""COMPUTED_VALUE"""),46090)</f>
        <v>46090</v>
      </c>
      <c r="J660" s="98" t="str">
        <f ca="1">IFERROR(__xludf.DUMMYFUNCTION("""COMPUTED_VALUE"""),"CW27008_Mar26")</f>
        <v>CW27008_Mar26</v>
      </c>
      <c r="K660" s="99" t="str">
        <f ca="1">IFERROR(__xludf.DUMMYFUNCTION("""COMPUTED_VALUE"""),"HoM Approved")</f>
        <v>HoM Approved</v>
      </c>
    </row>
    <row r="661" spans="1:11" ht="13.2">
      <c r="A661" s="89" t="str">
        <f ca="1">IFERROR(__xludf.DUMMYFUNCTION("""COMPUTED_VALUE"""),"MAL ALL")</f>
        <v>MAL ALL</v>
      </c>
      <c r="B661" s="90" t="str">
        <f ca="1">IFERROR(__xludf.DUMMYFUNCTION("""COMPUTED_VALUE"""),"Philippines")</f>
        <v>Philippines</v>
      </c>
      <c r="C661" s="91" t="str">
        <f ca="1">IFERROR(__xludf.DUMMYFUNCTION("""COMPUTED_VALUE"""),"Farjana Apu")</f>
        <v>Farjana Apu</v>
      </c>
      <c r="D661" s="92" t="str">
        <f ca="1">IFERROR(__xludf.DUMMYFUNCTION("""COMPUTED_VALUE"""),"Md Iasin Ahmed Showrov (S204960)")</f>
        <v>Md Iasin Ahmed Showrov (S204960)</v>
      </c>
      <c r="E661" s="93" t="str">
        <f ca="1">IFERROR(__xludf.DUMMYFUNCTION("""COMPUTED_VALUE"""),"CB18694_Mar26")</f>
        <v>CB18694_Mar26</v>
      </c>
      <c r="F661" s="94" t="str">
        <f ca="1">IFERROR(__xludf.DUMMYFUNCTION("""COMPUTED_VALUE"""),"Document Text Correction")</f>
        <v>Document Text Correction</v>
      </c>
      <c r="G661" s="95" t="str">
        <f ca="1">IFERROR(__xludf.DUMMYFUNCTION("""COMPUTED_VALUE"""),"New")</f>
        <v>New</v>
      </c>
      <c r="H661" s="96">
        <f ca="1">IFERROR(__xludf.DUMMYFUNCTION("""COMPUTED_VALUE"""),1)</f>
        <v>1</v>
      </c>
      <c r="I661" s="97">
        <f ca="1">IFERROR(__xludf.DUMMYFUNCTION("""COMPUTED_VALUE"""),46090)</f>
        <v>46090</v>
      </c>
      <c r="J661" s="98" t="str">
        <f ca="1">IFERROR(__xludf.DUMMYFUNCTION("""COMPUTED_VALUE"""),"CW27006_Mar26")</f>
        <v>CW27006_Mar26</v>
      </c>
      <c r="K661" s="99" t="str">
        <f ca="1">IFERROR(__xludf.DUMMYFUNCTION("""COMPUTED_VALUE"""),"HoM Approved")</f>
        <v>HoM Approved</v>
      </c>
    </row>
    <row r="662" spans="1:11" ht="13.2">
      <c r="A662" s="89" t="str">
        <f ca="1">IFERROR(__xludf.DUMMYFUNCTION("""COMPUTED_VALUE"""),"MAL ALL")</f>
        <v>MAL ALL</v>
      </c>
      <c r="B662" s="90" t="str">
        <f ca="1">IFERROR(__xludf.DUMMYFUNCTION("""COMPUTED_VALUE"""),"Philippines")</f>
        <v>Philippines</v>
      </c>
      <c r="C662" s="91" t="str">
        <f ca="1">IFERROR(__xludf.DUMMYFUNCTION("""COMPUTED_VALUE"""),"Farjana Apu")</f>
        <v>Farjana Apu</v>
      </c>
      <c r="D662" s="92" t="str">
        <f ca="1">IFERROR(__xludf.DUMMYFUNCTION("""COMPUTED_VALUE"""),"Md Iasin Ahmed Showrov (S204960)")</f>
        <v>Md Iasin Ahmed Showrov (S204960)</v>
      </c>
      <c r="E662" s="93" t="str">
        <f ca="1">IFERROR(__xludf.DUMMYFUNCTION("""COMPUTED_VALUE"""),"CB17876_Feb26")</f>
        <v>CB17876_Feb26</v>
      </c>
      <c r="F662" s="94" t="str">
        <f ca="1">IFERROR(__xludf.DUMMYFUNCTION("""COMPUTED_VALUE"""),"Document Text Correction")</f>
        <v>Document Text Correction</v>
      </c>
      <c r="G662" s="95" t="str">
        <f ca="1">IFERROR(__xludf.DUMMYFUNCTION("""COMPUTED_VALUE"""),"New")</f>
        <v>New</v>
      </c>
      <c r="H662" s="96">
        <f ca="1">IFERROR(__xludf.DUMMYFUNCTION("""COMPUTED_VALUE"""),1)</f>
        <v>1</v>
      </c>
      <c r="I662" s="97">
        <f ca="1">IFERROR(__xludf.DUMMYFUNCTION("""COMPUTED_VALUE"""),46090)</f>
        <v>46090</v>
      </c>
      <c r="J662" s="98" t="str">
        <f ca="1">IFERROR(__xludf.DUMMYFUNCTION("""COMPUTED_VALUE"""),"CW27007_Mar26")</f>
        <v>CW27007_Mar26</v>
      </c>
      <c r="K662" s="99" t="str">
        <f ca="1">IFERROR(__xludf.DUMMYFUNCTION("""COMPUTED_VALUE"""),"HoM Approved")</f>
        <v>HoM Approved</v>
      </c>
    </row>
    <row r="663" spans="1:11" ht="13.2">
      <c r="A663" s="89" t="str">
        <f ca="1">IFERROR(__xludf.DUMMYFUNCTION("""COMPUTED_VALUE"""),"Common")</f>
        <v>Common</v>
      </c>
      <c r="B663" s="90" t="str">
        <f ca="1">IFERROR(__xludf.DUMMYFUNCTION("""COMPUTED_VALUE"""),"Export Common")</f>
        <v>Export Common</v>
      </c>
      <c r="C663" s="91" t="str">
        <f ca="1">IFERROR(__xludf.DUMMYFUNCTION("""COMPUTED_VALUE"""),"Saifullah Vai")</f>
        <v>Saifullah Vai</v>
      </c>
      <c r="D663" s="92" t="str">
        <f ca="1">IFERROR(__xludf.DUMMYFUNCTION("""COMPUTED_VALUE"""),"Md Iasin Ahmed Showrov (S204960)")</f>
        <v>Md Iasin Ahmed Showrov (S204960)</v>
      </c>
      <c r="E663" s="93" t="str">
        <f ca="1">IFERROR(__xludf.DUMMYFUNCTION("""COMPUTED_VALUE"""),"CB19125_Mar26")</f>
        <v>CB19125_Mar26</v>
      </c>
      <c r="F663" s="94" t="str">
        <f ca="1">IFERROR(__xludf.DUMMYFUNCTION("""COMPUTED_VALUE"""),"Packaging Text Design #1")</f>
        <v>Packaging Text Design #1</v>
      </c>
      <c r="G663" s="95" t="str">
        <f ca="1">IFERROR(__xludf.DUMMYFUNCTION("""COMPUTED_VALUE"""),"New")</f>
        <v>New</v>
      </c>
      <c r="H663" s="96">
        <f ca="1">IFERROR(__xludf.DUMMYFUNCTION("""COMPUTED_VALUE"""),1)</f>
        <v>1</v>
      </c>
      <c r="I663" s="97">
        <f ca="1">IFERROR(__xludf.DUMMYFUNCTION("""COMPUTED_VALUE"""),46090)</f>
        <v>46090</v>
      </c>
      <c r="J663" s="98" t="str">
        <f ca="1">IFERROR(__xludf.DUMMYFUNCTION("""COMPUTED_VALUE"""),"CW26986_Mar26")</f>
        <v>CW26986_Mar26</v>
      </c>
      <c r="K663" s="99" t="str">
        <f ca="1">IFERROR(__xludf.DUMMYFUNCTION("""COMPUTED_VALUE"""),"HoM Approved")</f>
        <v>HoM Approved</v>
      </c>
    </row>
    <row r="664" spans="1:11" ht="13.2">
      <c r="A664" s="89" t="str">
        <f ca="1">IFERROR(__xludf.DUMMYFUNCTION("""COMPUTED_VALUE"""),"Common")</f>
        <v>Common</v>
      </c>
      <c r="B664" s="90" t="str">
        <f ca="1">IFERROR(__xludf.DUMMYFUNCTION("""COMPUTED_VALUE"""),"Export Common")</f>
        <v>Export Common</v>
      </c>
      <c r="C664" s="91" t="str">
        <f ca="1">IFERROR(__xludf.DUMMYFUNCTION("""COMPUTED_VALUE"""),"Saifullah Vai")</f>
        <v>Saifullah Vai</v>
      </c>
      <c r="D664" s="92" t="str">
        <f ca="1">IFERROR(__xludf.DUMMYFUNCTION("""COMPUTED_VALUE"""),"Md Iasin Ahmed Showrov (S204960)")</f>
        <v>Md Iasin Ahmed Showrov (S204960)</v>
      </c>
      <c r="E664" s="93" t="str">
        <f ca="1">IFERROR(__xludf.DUMMYFUNCTION("""COMPUTED_VALUE"""),"CB19125_Mar26")</f>
        <v>CB19125_Mar26</v>
      </c>
      <c r="F664" s="94" t="str">
        <f ca="1">IFERROR(__xludf.DUMMYFUNCTION("""COMPUTED_VALUE"""),"Packaging Text Design #2")</f>
        <v>Packaging Text Design #2</v>
      </c>
      <c r="G664" s="95" t="str">
        <f ca="1">IFERROR(__xludf.DUMMYFUNCTION("""COMPUTED_VALUE"""),"New")</f>
        <v>New</v>
      </c>
      <c r="H664" s="96">
        <f ca="1">IFERROR(__xludf.DUMMYFUNCTION("""COMPUTED_VALUE"""),1)</f>
        <v>1</v>
      </c>
      <c r="I664" s="97">
        <f ca="1">IFERROR(__xludf.DUMMYFUNCTION("""COMPUTED_VALUE"""),46090)</f>
        <v>46090</v>
      </c>
      <c r="J664" s="98" t="str">
        <f ca="1">IFERROR(__xludf.DUMMYFUNCTION("""COMPUTED_VALUE"""),"CW26986_Mar26")</f>
        <v>CW26986_Mar26</v>
      </c>
      <c r="K664" s="99" t="str">
        <f ca="1">IFERROR(__xludf.DUMMYFUNCTION("""COMPUTED_VALUE"""),"HoM Approved")</f>
        <v>HoM Approved</v>
      </c>
    </row>
    <row r="665" spans="1:11" ht="13.2">
      <c r="A665" s="89" t="str">
        <f ca="1">IFERROR(__xludf.DUMMYFUNCTION("""COMPUTED_VALUE"""),"PRAN Basic Spice")</f>
        <v>PRAN Basic Spice</v>
      </c>
      <c r="B665" s="90" t="str">
        <f ca="1">IFERROR(__xludf.DUMMYFUNCTION("""COMPUTED_VALUE"""),"NAL")</f>
        <v>NAL</v>
      </c>
      <c r="C665" s="91" t="str">
        <f ca="1">IFERROR(__xludf.DUMMYFUNCTION("""COMPUTED_VALUE"""),"Shamsul Sir")</f>
        <v>Shamsul Sir</v>
      </c>
      <c r="D665" s="92" t="str">
        <f ca="1">IFERROR(__xludf.DUMMYFUNCTION("""COMPUTED_VALUE"""),"Md Iasin Ahmed Showrov (S204960)")</f>
        <v>Md Iasin Ahmed Showrov (S204960)</v>
      </c>
      <c r="E665" s="93" t="str">
        <f ca="1">IFERROR(__xludf.DUMMYFUNCTION("""COMPUTED_VALUE"""),"CB18829_Mar26")</f>
        <v>CB18829_Mar26</v>
      </c>
      <c r="F665" s="94" t="str">
        <f ca="1">IFERROR(__xludf.DUMMYFUNCTION("""COMPUTED_VALUE"""),"Packaging Text Design #2")</f>
        <v>Packaging Text Design #2</v>
      </c>
      <c r="G665" s="95" t="str">
        <f ca="1">IFERROR(__xludf.DUMMYFUNCTION("""COMPUTED_VALUE"""),"New")</f>
        <v>New</v>
      </c>
      <c r="H665" s="96">
        <f ca="1">IFERROR(__xludf.DUMMYFUNCTION("""COMPUTED_VALUE"""),3)</f>
        <v>3</v>
      </c>
      <c r="I665" s="97">
        <f ca="1">IFERROR(__xludf.DUMMYFUNCTION("""COMPUTED_VALUE"""),46091)</f>
        <v>46091</v>
      </c>
      <c r="J665" s="98" t="str">
        <f ca="1">IFERROR(__xludf.DUMMYFUNCTION("""COMPUTED_VALUE"""),"CW27148_Mar26")</f>
        <v>CW27148_Mar26</v>
      </c>
      <c r="K665" s="99" t="str">
        <f ca="1">IFERROR(__xludf.DUMMYFUNCTION("""COMPUTED_VALUE"""),"HoM Approved")</f>
        <v>HoM Approved</v>
      </c>
    </row>
    <row r="666" spans="1:11" ht="13.2">
      <c r="A666" s="89" t="str">
        <f ca="1">IFERROR(__xludf.DUMMYFUNCTION("""COMPUTED_VALUE"""),"PRAN Basic Spice")</f>
        <v>PRAN Basic Spice</v>
      </c>
      <c r="B666" s="90" t="str">
        <f ca="1">IFERROR(__xludf.DUMMYFUNCTION("""COMPUTED_VALUE"""),"NAL")</f>
        <v>NAL</v>
      </c>
      <c r="C666" s="91" t="str">
        <f ca="1">IFERROR(__xludf.DUMMYFUNCTION("""COMPUTED_VALUE"""),"Shamsul Sir")</f>
        <v>Shamsul Sir</v>
      </c>
      <c r="D666" s="92" t="str">
        <f ca="1">IFERROR(__xludf.DUMMYFUNCTION("""COMPUTED_VALUE"""),"Md Iasin Ahmed Showrov (S204960)")</f>
        <v>Md Iasin Ahmed Showrov (S204960)</v>
      </c>
      <c r="E666" s="93" t="str">
        <f ca="1">IFERROR(__xludf.DUMMYFUNCTION("""COMPUTED_VALUE"""),"CB19027_Mar26")</f>
        <v>CB19027_Mar26</v>
      </c>
      <c r="F666" s="94" t="str">
        <f ca="1">IFERROR(__xludf.DUMMYFUNCTION("""COMPUTED_VALUE"""),"Packaging Text Design #2")</f>
        <v>Packaging Text Design #2</v>
      </c>
      <c r="G666" s="95" t="str">
        <f ca="1">IFERROR(__xludf.DUMMYFUNCTION("""COMPUTED_VALUE"""),"New")</f>
        <v>New</v>
      </c>
      <c r="H666" s="96">
        <f ca="1">IFERROR(__xludf.DUMMYFUNCTION("""COMPUTED_VALUE"""),2)</f>
        <v>2</v>
      </c>
      <c r="I666" s="97">
        <f ca="1">IFERROR(__xludf.DUMMYFUNCTION("""COMPUTED_VALUE"""),46091)</f>
        <v>46091</v>
      </c>
      <c r="J666" s="98" t="str">
        <f ca="1">IFERROR(__xludf.DUMMYFUNCTION("""COMPUTED_VALUE"""),"CW27147_Mar26")</f>
        <v>CW27147_Mar26</v>
      </c>
      <c r="K666" s="99" t="str">
        <f ca="1">IFERROR(__xludf.DUMMYFUNCTION("""COMPUTED_VALUE"""),"HoM Approved")</f>
        <v>HoM Approved</v>
      </c>
    </row>
    <row r="667" spans="1:11" ht="13.2">
      <c r="A667" s="89" t="str">
        <f ca="1">IFERROR(__xludf.DUMMYFUNCTION("""COMPUTED_VALUE"""),"Cosmic Door")</f>
        <v>Cosmic Door</v>
      </c>
      <c r="B667" s="90" t="str">
        <f ca="1">IFERROR(__xludf.DUMMYFUNCTION("""COMPUTED_VALUE"""),"BBML")</f>
        <v>BBML</v>
      </c>
      <c r="C667" s="91" t="str">
        <f ca="1">IFERROR(__xludf.DUMMYFUNCTION("""COMPUTED_VALUE"""),"Rabby Vai")</f>
        <v>Rabby Vai</v>
      </c>
      <c r="D667" s="92" t="str">
        <f ca="1">IFERROR(__xludf.DUMMYFUNCTION("""COMPUTED_VALUE"""),"Md Iasin Ahmed Showrov (S204960)")</f>
        <v>Md Iasin Ahmed Showrov (S204960)</v>
      </c>
      <c r="E667" s="93" t="str">
        <f ca="1">IFERROR(__xludf.DUMMYFUNCTION("""COMPUTED_VALUE"""),"CB19610_Mar26")</f>
        <v>CB19610_Mar26</v>
      </c>
      <c r="F667" s="94" t="str">
        <f ca="1">IFERROR(__xludf.DUMMYFUNCTION("""COMPUTED_VALUE"""),"Document Text Correction")</f>
        <v>Document Text Correction</v>
      </c>
      <c r="G667" s="95" t="str">
        <f ca="1">IFERROR(__xludf.DUMMYFUNCTION("""COMPUTED_VALUE"""),"New")</f>
        <v>New</v>
      </c>
      <c r="H667" s="96">
        <f ca="1">IFERROR(__xludf.DUMMYFUNCTION("""COMPUTED_VALUE"""),1)</f>
        <v>1</v>
      </c>
      <c r="I667" s="97">
        <f ca="1">IFERROR(__xludf.DUMMYFUNCTION("""COMPUTED_VALUE"""),46095)</f>
        <v>46095</v>
      </c>
      <c r="J667" s="98" t="str">
        <f ca="1">IFERROR(__xludf.DUMMYFUNCTION("""COMPUTED_VALUE"""),"CW27527_Mar26")</f>
        <v>CW27527_Mar26</v>
      </c>
      <c r="K667" s="99" t="str">
        <f ca="1">IFERROR(__xludf.DUMMYFUNCTION("""COMPUTED_VALUE"""),"HoM Approved")</f>
        <v>HoM Approved</v>
      </c>
    </row>
    <row r="668" spans="1:11" ht="13.2">
      <c r="A668" s="89" t="str">
        <f ca="1">IFERROR(__xludf.DUMMYFUNCTION("""COMPUTED_VALUE"""),"Cosmic Door")</f>
        <v>Cosmic Door</v>
      </c>
      <c r="B668" s="90" t="str">
        <f ca="1">IFERROR(__xludf.DUMMYFUNCTION("""COMPUTED_VALUE"""),"BBML")</f>
        <v>BBML</v>
      </c>
      <c r="C668" s="91" t="str">
        <f ca="1">IFERROR(__xludf.DUMMYFUNCTION("""COMPUTED_VALUE"""),"Rabby Vai")</f>
        <v>Rabby Vai</v>
      </c>
      <c r="D668" s="92" t="str">
        <f ca="1">IFERROR(__xludf.DUMMYFUNCTION("""COMPUTED_VALUE"""),"Md Iasin Ahmed Showrov (S204960)")</f>
        <v>Md Iasin Ahmed Showrov (S204960)</v>
      </c>
      <c r="E668" s="93" t="str">
        <f ca="1">IFERROR(__xludf.DUMMYFUNCTION("""COMPUTED_VALUE"""),"CB19446_Mar26")</f>
        <v>CB19446_Mar26</v>
      </c>
      <c r="F668" s="94" t="str">
        <f ca="1">IFERROR(__xludf.DUMMYFUNCTION("""COMPUTED_VALUE"""),"Document Text Correction")</f>
        <v>Document Text Correction</v>
      </c>
      <c r="G668" s="95" t="str">
        <f ca="1">IFERROR(__xludf.DUMMYFUNCTION("""COMPUTED_VALUE"""),"New")</f>
        <v>New</v>
      </c>
      <c r="H668" s="96">
        <f ca="1">IFERROR(__xludf.DUMMYFUNCTION("""COMPUTED_VALUE"""),1)</f>
        <v>1</v>
      </c>
      <c r="I668" s="97">
        <f ca="1">IFERROR(__xludf.DUMMYFUNCTION("""COMPUTED_VALUE"""),46095)</f>
        <v>46095</v>
      </c>
      <c r="J668" s="98" t="str">
        <f ca="1">IFERROR(__xludf.DUMMYFUNCTION("""COMPUTED_VALUE"""),"CW27529_Mar26")</f>
        <v>CW27529_Mar26</v>
      </c>
      <c r="K668" s="99" t="str">
        <f ca="1">IFERROR(__xludf.DUMMYFUNCTION("""COMPUTED_VALUE"""),"HoM Approved")</f>
        <v>HoM Approved</v>
      </c>
    </row>
    <row r="669" spans="1:11" ht="13.2">
      <c r="A669" s="89" t="str">
        <f ca="1">IFERROR(__xludf.DUMMYFUNCTION("""COMPUTED_VALUE"""),"Cosmic Door")</f>
        <v>Cosmic Door</v>
      </c>
      <c r="B669" s="90" t="str">
        <f ca="1">IFERROR(__xludf.DUMMYFUNCTION("""COMPUTED_VALUE"""),"BBML")</f>
        <v>BBML</v>
      </c>
      <c r="C669" s="91" t="str">
        <f ca="1">IFERROR(__xludf.DUMMYFUNCTION("""COMPUTED_VALUE"""),"Rabby Vai")</f>
        <v>Rabby Vai</v>
      </c>
      <c r="D669" s="92" t="str">
        <f ca="1">IFERROR(__xludf.DUMMYFUNCTION("""COMPUTED_VALUE"""),"Md Iasin Ahmed Showrov (S204960)")</f>
        <v>Md Iasin Ahmed Showrov (S204960)</v>
      </c>
      <c r="E669" s="93" t="str">
        <f ca="1">IFERROR(__xludf.DUMMYFUNCTION("""COMPUTED_VALUE"""),"CB19611_Mar26")</f>
        <v>CB19611_Mar26</v>
      </c>
      <c r="F669" s="94" t="str">
        <f ca="1">IFERROR(__xludf.DUMMYFUNCTION("""COMPUTED_VALUE"""),"Document Text Correction")</f>
        <v>Document Text Correction</v>
      </c>
      <c r="G669" s="95" t="str">
        <f ca="1">IFERROR(__xludf.DUMMYFUNCTION("""COMPUTED_VALUE"""),"New")</f>
        <v>New</v>
      </c>
      <c r="H669" s="96">
        <f ca="1">IFERROR(__xludf.DUMMYFUNCTION("""COMPUTED_VALUE"""),1)</f>
        <v>1</v>
      </c>
      <c r="I669" s="97">
        <f ca="1">IFERROR(__xludf.DUMMYFUNCTION("""COMPUTED_VALUE"""),46095)</f>
        <v>46095</v>
      </c>
      <c r="J669" s="98" t="str">
        <f ca="1">IFERROR(__xludf.DUMMYFUNCTION("""COMPUTED_VALUE"""),"CW27526_Mar26")</f>
        <v>CW27526_Mar26</v>
      </c>
      <c r="K669" s="99" t="str">
        <f ca="1">IFERROR(__xludf.DUMMYFUNCTION("""COMPUTED_VALUE"""),"HoM Approved")</f>
        <v>HoM Approved</v>
      </c>
    </row>
    <row r="670" spans="1:11" ht="13.2">
      <c r="A670" s="89" t="str">
        <f ca="1">IFERROR(__xludf.DUMMYFUNCTION("""COMPUTED_VALUE"""),"Cosmic Door")</f>
        <v>Cosmic Door</v>
      </c>
      <c r="B670" s="90" t="str">
        <f ca="1">IFERROR(__xludf.DUMMYFUNCTION("""COMPUTED_VALUE"""),"BBML")</f>
        <v>BBML</v>
      </c>
      <c r="C670" s="91" t="str">
        <f ca="1">IFERROR(__xludf.DUMMYFUNCTION("""COMPUTED_VALUE"""),"Rabby Vai")</f>
        <v>Rabby Vai</v>
      </c>
      <c r="D670" s="92" t="str">
        <f ca="1">IFERROR(__xludf.DUMMYFUNCTION("""COMPUTED_VALUE"""),"Md Iasin Ahmed Showrov (S204960)")</f>
        <v>Md Iasin Ahmed Showrov (S204960)</v>
      </c>
      <c r="E670" s="93" t="str">
        <f ca="1">IFERROR(__xludf.DUMMYFUNCTION("""COMPUTED_VALUE"""),"CB19609_Mar26")</f>
        <v>CB19609_Mar26</v>
      </c>
      <c r="F670" s="94" t="str">
        <f ca="1">IFERROR(__xludf.DUMMYFUNCTION("""COMPUTED_VALUE"""),"Document Text Correction")</f>
        <v>Document Text Correction</v>
      </c>
      <c r="G670" s="95" t="str">
        <f ca="1">IFERROR(__xludf.DUMMYFUNCTION("""COMPUTED_VALUE"""),"New")</f>
        <v>New</v>
      </c>
      <c r="H670" s="96">
        <f ca="1">IFERROR(__xludf.DUMMYFUNCTION("""COMPUTED_VALUE"""),1)</f>
        <v>1</v>
      </c>
      <c r="I670" s="97">
        <f ca="1">IFERROR(__xludf.DUMMYFUNCTION("""COMPUTED_VALUE"""),46095)</f>
        <v>46095</v>
      </c>
      <c r="J670" s="98" t="str">
        <f ca="1">IFERROR(__xludf.DUMMYFUNCTION("""COMPUTED_VALUE"""),"CW27528_Mar26")</f>
        <v>CW27528_Mar26</v>
      </c>
      <c r="K670" s="99" t="str">
        <f ca="1">IFERROR(__xludf.DUMMYFUNCTION("""COMPUTED_VALUE"""),"HoM Approved")</f>
        <v>HoM Approved</v>
      </c>
    </row>
    <row r="671" spans="1:11" ht="13.2">
      <c r="A671" s="89" t="str">
        <f ca="1">IFERROR(__xludf.DUMMYFUNCTION("""COMPUTED_VALUE"""),"PRAN Ball Gum")</f>
        <v>PRAN Ball Gum</v>
      </c>
      <c r="B671" s="90" t="str">
        <f ca="1">IFERROR(__xludf.DUMMYFUNCTION("""COMPUTED_VALUE"""),"PCL")</f>
        <v>PCL</v>
      </c>
      <c r="C671" s="91" t="str">
        <f ca="1">IFERROR(__xludf.DUMMYFUNCTION("""COMPUTED_VALUE"""),"Rakib Vai")</f>
        <v>Rakib Vai</v>
      </c>
      <c r="D671" s="92" t="str">
        <f ca="1">IFERROR(__xludf.DUMMYFUNCTION("""COMPUTED_VALUE"""),"Md Iasin Ahmed Showrov (S204960)")</f>
        <v>Md Iasin Ahmed Showrov (S204960)</v>
      </c>
      <c r="E671" s="93" t="str">
        <f ca="1">IFERROR(__xludf.DUMMYFUNCTION("""COMPUTED_VALUE"""),"CB19556_Mar26")</f>
        <v>CB19556_Mar26</v>
      </c>
      <c r="F671" s="94" t="str">
        <f ca="1">IFERROR(__xludf.DUMMYFUNCTION("""COMPUTED_VALUE"""),"Packaging Text Design #1")</f>
        <v>Packaging Text Design #1</v>
      </c>
      <c r="G671" s="95" t="str">
        <f ca="1">IFERROR(__xludf.DUMMYFUNCTION("""COMPUTED_VALUE"""),"New")</f>
        <v>New</v>
      </c>
      <c r="H671" s="96">
        <f ca="1">IFERROR(__xludf.DUMMYFUNCTION("""COMPUTED_VALUE"""),1)</f>
        <v>1</v>
      </c>
      <c r="I671" s="97">
        <f ca="1">IFERROR(__xludf.DUMMYFUNCTION("""COMPUTED_VALUE"""),46095)</f>
        <v>46095</v>
      </c>
      <c r="J671" s="98" t="str">
        <f ca="1">IFERROR(__xludf.DUMMYFUNCTION("""COMPUTED_VALUE"""),"CW27532_Mar26")</f>
        <v>CW27532_Mar26</v>
      </c>
      <c r="K671" s="99" t="str">
        <f ca="1">IFERROR(__xludf.DUMMYFUNCTION("""COMPUTED_VALUE"""),"HoM Approved")</f>
        <v>HoM Approved</v>
      </c>
    </row>
    <row r="672" spans="1:11" ht="13.2">
      <c r="A672" s="89" t="str">
        <f ca="1">IFERROR(__xludf.DUMMYFUNCTION("""COMPUTED_VALUE"""),"Super Milk FCMP")</f>
        <v>Super Milk FCMP</v>
      </c>
      <c r="B672" s="90" t="str">
        <f ca="1">IFERROR(__xludf.DUMMYFUNCTION("""COMPUTED_VALUE"""),"Dairy")</f>
        <v>Dairy</v>
      </c>
      <c r="C672" s="91" t="str">
        <f ca="1">IFERROR(__xludf.DUMMYFUNCTION("""COMPUTED_VALUE"""),"Mona Apu")</f>
        <v>Mona Apu</v>
      </c>
      <c r="D672" s="92" t="str">
        <f ca="1">IFERROR(__xludf.DUMMYFUNCTION("""COMPUTED_VALUE"""),"Md Iasin Ahmed Showrov (S204960)")</f>
        <v>Md Iasin Ahmed Showrov (S204960)</v>
      </c>
      <c r="E672" s="93" t="str">
        <f ca="1">IFERROR(__xludf.DUMMYFUNCTION("""COMPUTED_VALUE"""),"CB18287_Feb26")</f>
        <v>CB18287_Feb26</v>
      </c>
      <c r="F672" s="94" t="str">
        <f ca="1">IFERROR(__xludf.DUMMYFUNCTION("""COMPUTED_VALUE"""),"Packaging Text Design #2")</f>
        <v>Packaging Text Design #2</v>
      </c>
      <c r="G672" s="95" t="str">
        <f ca="1">IFERROR(__xludf.DUMMYFUNCTION("""COMPUTED_VALUE"""),"New")</f>
        <v>New</v>
      </c>
      <c r="H672" s="96">
        <f ca="1">IFERROR(__xludf.DUMMYFUNCTION("""COMPUTED_VALUE"""),10)</f>
        <v>10</v>
      </c>
      <c r="I672" s="97">
        <f ca="1">IFERROR(__xludf.DUMMYFUNCTION("""COMPUTED_VALUE"""),46098)</f>
        <v>46098</v>
      </c>
      <c r="J672" s="98" t="str">
        <f ca="1">IFERROR(__xludf.DUMMYFUNCTION("""COMPUTED_VALUE"""),"CW27838_Mar26")</f>
        <v>CW27838_Mar26</v>
      </c>
      <c r="K672" s="99" t="str">
        <f ca="1">IFERROR(__xludf.DUMMYFUNCTION("""COMPUTED_VALUE"""),"HoM Approved")</f>
        <v>HoM Approved</v>
      </c>
    </row>
    <row r="673" spans="1:11" ht="13.2">
      <c r="A673" s="89" t="str">
        <f ca="1">IFERROR(__xludf.DUMMYFUNCTION("""COMPUTED_VALUE"""),"PRAN Basic Spice")</f>
        <v>PRAN Basic Spice</v>
      </c>
      <c r="B673" s="90" t="str">
        <f ca="1">IFERROR(__xludf.DUMMYFUNCTION("""COMPUTED_VALUE"""),"NAL")</f>
        <v>NAL</v>
      </c>
      <c r="C673" s="91" t="str">
        <f ca="1">IFERROR(__xludf.DUMMYFUNCTION("""COMPUTED_VALUE"""),"Shamsul Sir")</f>
        <v>Shamsul Sir</v>
      </c>
      <c r="D673" s="92" t="str">
        <f ca="1">IFERROR(__xludf.DUMMYFUNCTION("""COMPUTED_VALUE"""),"Md Iasin Ahmed Showrov (S204960)")</f>
        <v>Md Iasin Ahmed Showrov (S204960)</v>
      </c>
      <c r="E673" s="93" t="str">
        <f ca="1">IFERROR(__xludf.DUMMYFUNCTION("""COMPUTED_VALUE"""),"CB20204_Mar26")</f>
        <v>CB20204_Mar26</v>
      </c>
      <c r="F673" s="94" t="str">
        <f ca="1">IFERROR(__xludf.DUMMYFUNCTION("""COMPUTED_VALUE"""),"Packaging Text Design #2")</f>
        <v>Packaging Text Design #2</v>
      </c>
      <c r="G673" s="95" t="str">
        <f ca="1">IFERROR(__xludf.DUMMYFUNCTION("""COMPUTED_VALUE"""),"New")</f>
        <v>New</v>
      </c>
      <c r="H673" s="96">
        <f ca="1">IFERROR(__xludf.DUMMYFUNCTION("""COMPUTED_VALUE"""),3)</f>
        <v>3</v>
      </c>
      <c r="I673" s="97">
        <f ca="1">IFERROR(__xludf.DUMMYFUNCTION("""COMPUTED_VALUE"""),46110)</f>
        <v>46110</v>
      </c>
      <c r="J673" s="98" t="str">
        <f ca="1">IFERROR(__xludf.DUMMYFUNCTION("""COMPUTED_VALUE"""),"CW28291_Mar26")</f>
        <v>CW28291_Mar26</v>
      </c>
      <c r="K673" s="99" t="str">
        <f ca="1">IFERROR(__xludf.DUMMYFUNCTION("""COMPUTED_VALUE"""),"HoM Approved")</f>
        <v>HoM Approved</v>
      </c>
    </row>
    <row r="674" spans="1:11" ht="13.2">
      <c r="A674" s="89" t="str">
        <f ca="1">IFERROR(__xludf.DUMMYFUNCTION("""COMPUTED_VALUE"""),"Common - All PAL")</f>
        <v>Common - All PAL</v>
      </c>
      <c r="B674" s="90" t="str">
        <f ca="1">IFERROR(__xludf.DUMMYFUNCTION("""COMPUTED_VALUE"""),"PAL")</f>
        <v>PAL</v>
      </c>
      <c r="C674" s="91" t="str">
        <f ca="1">IFERROR(__xludf.DUMMYFUNCTION("""COMPUTED_VALUE"""),"Rabby Vai")</f>
        <v>Rabby Vai</v>
      </c>
      <c r="D674" s="92" t="str">
        <f ca="1">IFERROR(__xludf.DUMMYFUNCTION("""COMPUTED_VALUE"""),"Md Iasin Ahmed Showrov (S204960)")</f>
        <v>Md Iasin Ahmed Showrov (S204960)</v>
      </c>
      <c r="E674" s="93" t="str">
        <f ca="1">IFERROR(__xludf.DUMMYFUNCTION("""COMPUTED_VALUE"""),"CB20610_Apr26")</f>
        <v>CB20610_Apr26</v>
      </c>
      <c r="F674" s="94" t="str">
        <f ca="1">IFERROR(__xludf.DUMMYFUNCTION("""COMPUTED_VALUE"""),"Document Text Correction")</f>
        <v>Document Text Correction</v>
      </c>
      <c r="G674" s="95" t="str">
        <f ca="1">IFERROR(__xludf.DUMMYFUNCTION("""COMPUTED_VALUE"""),"New")</f>
        <v>New</v>
      </c>
      <c r="H674" s="96">
        <f ca="1">IFERROR(__xludf.DUMMYFUNCTION("""COMPUTED_VALUE"""),1)</f>
        <v>1</v>
      </c>
      <c r="I674" s="97">
        <f ca="1">IFERROR(__xludf.DUMMYFUNCTION("""COMPUTED_VALUE"""),46113)</f>
        <v>46113</v>
      </c>
      <c r="J674" s="98" t="str">
        <f ca="1">IFERROR(__xludf.DUMMYFUNCTION("""COMPUTED_VALUE"""),"CW28908_Apr26")</f>
        <v>CW28908_Apr26</v>
      </c>
      <c r="K674" s="99" t="str">
        <f ca="1">IFERROR(__xludf.DUMMYFUNCTION("""COMPUTED_VALUE"""),"HoM Approved")</f>
        <v>HoM Approved</v>
      </c>
    </row>
    <row r="675" spans="1:11" ht="13.2">
      <c r="A675" s="89" t="str">
        <f ca="1">IFERROR(__xludf.DUMMYFUNCTION("""COMPUTED_VALUE"""),"Common - All PAL")</f>
        <v>Common - All PAL</v>
      </c>
      <c r="B675" s="90" t="str">
        <f ca="1">IFERROR(__xludf.DUMMYFUNCTION("""COMPUTED_VALUE"""),"PAL")</f>
        <v>PAL</v>
      </c>
      <c r="C675" s="91" t="str">
        <f ca="1">IFERROR(__xludf.DUMMYFUNCTION("""COMPUTED_VALUE"""),"Rabby Vai")</f>
        <v>Rabby Vai</v>
      </c>
      <c r="D675" s="92" t="str">
        <f ca="1">IFERROR(__xludf.DUMMYFUNCTION("""COMPUTED_VALUE"""),"Md Iasin Ahmed Showrov (S204960)")</f>
        <v>Md Iasin Ahmed Showrov (S204960)</v>
      </c>
      <c r="E675" s="93" t="str">
        <f ca="1">IFERROR(__xludf.DUMMYFUNCTION("""COMPUTED_VALUE"""),"CB20610_Apr26")</f>
        <v>CB20610_Apr26</v>
      </c>
      <c r="F675" s="94" t="str">
        <f ca="1">IFERROR(__xludf.DUMMYFUNCTION("""COMPUTED_VALUE"""),"Packaging Text Design #1")</f>
        <v>Packaging Text Design #1</v>
      </c>
      <c r="G675" s="95" t="str">
        <f ca="1">IFERROR(__xludf.DUMMYFUNCTION("""COMPUTED_VALUE"""),"New")</f>
        <v>New</v>
      </c>
      <c r="H675" s="96">
        <f ca="1">IFERROR(__xludf.DUMMYFUNCTION("""COMPUTED_VALUE"""),1)</f>
        <v>1</v>
      </c>
      <c r="I675" s="97">
        <f ca="1">IFERROR(__xludf.DUMMYFUNCTION("""COMPUTED_VALUE"""),46113)</f>
        <v>46113</v>
      </c>
      <c r="J675" s="98" t="str">
        <f ca="1">IFERROR(__xludf.DUMMYFUNCTION("""COMPUTED_VALUE"""),"CW28908_Apr26")</f>
        <v>CW28908_Apr26</v>
      </c>
      <c r="K675" s="99" t="str">
        <f ca="1">IFERROR(__xludf.DUMMYFUNCTION("""COMPUTED_VALUE"""),"HoM Approved")</f>
        <v>HoM Approved</v>
      </c>
    </row>
    <row r="676" spans="1:11" ht="13.2">
      <c r="A676" s="89" t="str">
        <f ca="1">IFERROR(__xludf.DUMMYFUNCTION("""COMPUTED_VALUE"""),"VISION Fan")</f>
        <v>VISION Fan</v>
      </c>
      <c r="B676" s="90" t="str">
        <f ca="1">IFERROR(__xludf.DUMMYFUNCTION("""COMPUTED_VALUE"""),"RPLE")</f>
        <v>RPLE</v>
      </c>
      <c r="C676" s="91" t="str">
        <f ca="1">IFERROR(__xludf.DUMMYFUNCTION("""COMPUTED_VALUE"""),"Afroja Apu")</f>
        <v>Afroja Apu</v>
      </c>
      <c r="D676" s="92" t="str">
        <f ca="1">IFERROR(__xludf.DUMMYFUNCTION("""COMPUTED_VALUE"""),"Md Iasin Ahmed Showrov (S204960)")</f>
        <v>Md Iasin Ahmed Showrov (S204960)</v>
      </c>
      <c r="E676" s="93" t="str">
        <f ca="1">IFERROR(__xludf.DUMMYFUNCTION("""COMPUTED_VALUE"""),"CB19430_Mar26")</f>
        <v>CB19430_Mar26</v>
      </c>
      <c r="F676" s="94" t="str">
        <f ca="1">IFERROR(__xludf.DUMMYFUNCTION("""COMPUTED_VALUE"""),"Text Sticker Design #2")</f>
        <v>Text Sticker Design #2</v>
      </c>
      <c r="G676" s="95" t="str">
        <f ca="1">IFERROR(__xludf.DUMMYFUNCTION("""COMPUTED_VALUE"""),"New")</f>
        <v>New</v>
      </c>
      <c r="H676" s="96">
        <f ca="1">IFERROR(__xludf.DUMMYFUNCTION("""COMPUTED_VALUE"""),1)</f>
        <v>1</v>
      </c>
      <c r="I676" s="97">
        <f ca="1">IFERROR(__xludf.DUMMYFUNCTION("""COMPUTED_VALUE"""),46119)</f>
        <v>46119</v>
      </c>
      <c r="J676" s="98" t="str">
        <f ca="1">IFERROR(__xludf.DUMMYFUNCTION("""COMPUTED_VALUE"""),"CW29381_Apr26")</f>
        <v>CW29381_Apr26</v>
      </c>
      <c r="K676" s="99" t="str">
        <f ca="1">IFERROR(__xludf.DUMMYFUNCTION("""COMPUTED_VALUE"""),"Brief Submitted")</f>
        <v>Brief Submitted</v>
      </c>
    </row>
    <row r="677" spans="1:11" ht="13.2">
      <c r="A677" s="89" t="str">
        <f ca="1">IFERROR(__xludf.DUMMYFUNCTION("""COMPUTED_VALUE"""),"Rainbow Paints")</f>
        <v>Rainbow Paints</v>
      </c>
      <c r="B677" s="90" t="str">
        <f ca="1">IFERROR(__xludf.DUMMYFUNCTION("""COMPUTED_VALUE"""),"MLIL")</f>
        <v>MLIL</v>
      </c>
      <c r="C677" s="91" t="str">
        <f ca="1">IFERROR(__xludf.DUMMYFUNCTION("""COMPUTED_VALUE"""),"Asif Ahmed Vai")</f>
        <v>Asif Ahmed Vai</v>
      </c>
      <c r="D677" s="92" t="str">
        <f ca="1">IFERROR(__xludf.DUMMYFUNCTION("""COMPUTED_VALUE"""),"Md Iasin Ahmed Showrov (S204960)")</f>
        <v>Md Iasin Ahmed Showrov (S204960)</v>
      </c>
      <c r="E677" s="93" t="str">
        <f ca="1">IFERROR(__xludf.DUMMYFUNCTION("""COMPUTED_VALUE"""),"CB18203_Feb26")</f>
        <v>CB18203_Feb26</v>
      </c>
      <c r="F677" s="94" t="str">
        <f ca="1">IFERROR(__xludf.DUMMYFUNCTION("""COMPUTED_VALUE"""),"Packaging Text Design #2")</f>
        <v>Packaging Text Design #2</v>
      </c>
      <c r="G677" s="95" t="str">
        <f ca="1">IFERROR(__xludf.DUMMYFUNCTION("""COMPUTED_VALUE"""),"New")</f>
        <v>New</v>
      </c>
      <c r="H677" s="96">
        <f ca="1">IFERROR(__xludf.DUMMYFUNCTION("""COMPUTED_VALUE"""),2)</f>
        <v>2</v>
      </c>
      <c r="I677" s="97">
        <f ca="1">IFERROR(__xludf.DUMMYFUNCTION("""COMPUTED_VALUE"""),46119)</f>
        <v>46119</v>
      </c>
      <c r="J677" s="98" t="str">
        <f ca="1">IFERROR(__xludf.DUMMYFUNCTION("""COMPUTED_VALUE"""),"CW29379_Apr26")</f>
        <v>CW29379_Apr26</v>
      </c>
      <c r="K677" s="99" t="str">
        <f ca="1">IFERROR(__xludf.DUMMYFUNCTION("""COMPUTED_VALUE"""),"BM Approved")</f>
        <v>BM Approved</v>
      </c>
    </row>
    <row r="678" spans="1:11" ht="13.2">
      <c r="A678" s="89" t="str">
        <f ca="1">IFERROR(__xludf.DUMMYFUNCTION("""COMPUTED_VALUE"""),"PRAN DAIRY LTD. PIP - ALL")</f>
        <v>PRAN DAIRY LTD. PIP - ALL</v>
      </c>
      <c r="B678" s="90" t="str">
        <f ca="1">IFERROR(__xludf.DUMMYFUNCTION("""COMPUTED_VALUE"""),"Philippines")</f>
        <v>Philippines</v>
      </c>
      <c r="C678" s="91" t="str">
        <f ca="1">IFERROR(__xludf.DUMMYFUNCTION("""COMPUTED_VALUE"""),"Farjana Apu")</f>
        <v>Farjana Apu</v>
      </c>
      <c r="D678" s="92" t="str">
        <f ca="1">IFERROR(__xludf.DUMMYFUNCTION("""COMPUTED_VALUE"""),"Md Iasin Ahmed Showrov (S204960)")</f>
        <v>Md Iasin Ahmed Showrov (S204960)</v>
      </c>
      <c r="E678" s="93" t="str">
        <f ca="1">IFERROR(__xludf.DUMMYFUNCTION("""COMPUTED_VALUE"""),"CB20753_Apr26")</f>
        <v>CB20753_Apr26</v>
      </c>
      <c r="F678" s="94" t="str">
        <f ca="1">IFERROR(__xludf.DUMMYFUNCTION("""COMPUTED_VALUE"""),"Packaging Text Design #1")</f>
        <v>Packaging Text Design #1</v>
      </c>
      <c r="G678" s="95" t="str">
        <f ca="1">IFERROR(__xludf.DUMMYFUNCTION("""COMPUTED_VALUE"""),"New")</f>
        <v>New</v>
      </c>
      <c r="H678" s="96">
        <f ca="1">IFERROR(__xludf.DUMMYFUNCTION("""COMPUTED_VALUE"""),6)</f>
        <v>6</v>
      </c>
      <c r="I678" s="97">
        <f ca="1">IFERROR(__xludf.DUMMYFUNCTION("""COMPUTED_VALUE"""),46119)</f>
        <v>46119</v>
      </c>
      <c r="J678" s="98" t="str">
        <f ca="1">IFERROR(__xludf.DUMMYFUNCTION("""COMPUTED_VALUE"""),"CW29391_Apr26")</f>
        <v>CW29391_Apr26</v>
      </c>
      <c r="K678" s="99" t="str">
        <f ca="1">IFERROR(__xludf.DUMMYFUNCTION("""COMPUTED_VALUE"""),"HoM Approved")</f>
        <v>HoM Approved</v>
      </c>
    </row>
    <row r="679" spans="1:11" ht="13.2">
      <c r="A679" s="89" t="str">
        <f ca="1">IFERROR(__xludf.DUMMYFUNCTION("""COMPUTED_VALUE"""),"PRAN DAIRY LTD. PIP - ALL")</f>
        <v>PRAN DAIRY LTD. PIP - ALL</v>
      </c>
      <c r="B679" s="90" t="str">
        <f ca="1">IFERROR(__xludf.DUMMYFUNCTION("""COMPUTED_VALUE"""),"Philippines")</f>
        <v>Philippines</v>
      </c>
      <c r="C679" s="91" t="str">
        <f ca="1">IFERROR(__xludf.DUMMYFUNCTION("""COMPUTED_VALUE"""),"Farjana Apu")</f>
        <v>Farjana Apu</v>
      </c>
      <c r="D679" s="92" t="str">
        <f ca="1">IFERROR(__xludf.DUMMYFUNCTION("""COMPUTED_VALUE"""),"Md Iasin Ahmed Showrov (S204960)")</f>
        <v>Md Iasin Ahmed Showrov (S204960)</v>
      </c>
      <c r="E679" s="93" t="str">
        <f ca="1">IFERROR(__xludf.DUMMYFUNCTION("""COMPUTED_VALUE"""),"CB20714_Apr26")</f>
        <v>CB20714_Apr26</v>
      </c>
      <c r="F679" s="94" t="str">
        <f ca="1">IFERROR(__xludf.DUMMYFUNCTION("""COMPUTED_VALUE"""),"Packaging Text Design #1")</f>
        <v>Packaging Text Design #1</v>
      </c>
      <c r="G679" s="95" t="str">
        <f ca="1">IFERROR(__xludf.DUMMYFUNCTION("""COMPUTED_VALUE"""),"New")</f>
        <v>New</v>
      </c>
      <c r="H679" s="96">
        <f ca="1">IFERROR(__xludf.DUMMYFUNCTION("""COMPUTED_VALUE"""),6)</f>
        <v>6</v>
      </c>
      <c r="I679" s="97">
        <f ca="1">IFERROR(__xludf.DUMMYFUNCTION("""COMPUTED_VALUE"""),46119)</f>
        <v>46119</v>
      </c>
      <c r="J679" s="98" t="str">
        <f ca="1">IFERROR(__xludf.DUMMYFUNCTION("""COMPUTED_VALUE"""),"CW29392_Apr26")</f>
        <v>CW29392_Apr26</v>
      </c>
      <c r="K679" s="99" t="str">
        <f ca="1">IFERROR(__xludf.DUMMYFUNCTION("""COMPUTED_VALUE"""),"HoM Approved")</f>
        <v>HoM Approved</v>
      </c>
    </row>
    <row r="680" spans="1:11" ht="13.2">
      <c r="A680" s="89" t="str">
        <f ca="1">IFERROR(__xludf.DUMMYFUNCTION("""COMPUTED_VALUE"""),"Kick Out Aerosol")</f>
        <v>Kick Out Aerosol</v>
      </c>
      <c r="B680" s="90" t="str">
        <f ca="1">IFERROR(__xludf.DUMMYFUNCTION("""COMPUTED_VALUE"""),"APCL")</f>
        <v>APCL</v>
      </c>
      <c r="C680" s="91" t="str">
        <f ca="1">IFERROR(__xludf.DUMMYFUNCTION("""COMPUTED_VALUE"""),"Kishower Vai")</f>
        <v>Kishower Vai</v>
      </c>
      <c r="D680" s="92" t="str">
        <f ca="1">IFERROR(__xludf.DUMMYFUNCTION("""COMPUTED_VALUE"""),"Md Iasin Ahmed Showrov (S204960)")</f>
        <v>Md Iasin Ahmed Showrov (S204960)</v>
      </c>
      <c r="E680" s="93" t="str">
        <f ca="1">IFERROR(__xludf.DUMMYFUNCTION("""COMPUTED_VALUE"""),"CB20188_Mar26")</f>
        <v>CB20188_Mar26</v>
      </c>
      <c r="F680" s="94" t="str">
        <f ca="1">IFERROR(__xludf.DUMMYFUNCTION("""COMPUTED_VALUE"""),"Packaging Text Design #2")</f>
        <v>Packaging Text Design #2</v>
      </c>
      <c r="G680" s="95" t="str">
        <f ca="1">IFERROR(__xludf.DUMMYFUNCTION("""COMPUTED_VALUE"""),"New")</f>
        <v>New</v>
      </c>
      <c r="H680" s="96">
        <f ca="1">IFERROR(__xludf.DUMMYFUNCTION("""COMPUTED_VALUE"""),1)</f>
        <v>1</v>
      </c>
      <c r="I680" s="97">
        <f ca="1">IFERROR(__xludf.DUMMYFUNCTION("""COMPUTED_VALUE"""),46119)</f>
        <v>46119</v>
      </c>
      <c r="J680" s="98" t="str">
        <f ca="1">IFERROR(__xludf.DUMMYFUNCTION("""COMPUTED_VALUE"""),"CW29375_Apr26")</f>
        <v>CW29375_Apr26</v>
      </c>
      <c r="K680" s="99" t="str">
        <f ca="1">IFERROR(__xludf.DUMMYFUNCTION("""COMPUTED_VALUE"""),"HoM Approved")</f>
        <v>HoM Approved</v>
      </c>
    </row>
    <row r="681" spans="1:11" ht="13.2">
      <c r="A681" s="89" t="str">
        <f ca="1">IFERROR(__xludf.DUMMYFUNCTION("""COMPUTED_VALUE"""),"Mithai")</f>
        <v>Mithai</v>
      </c>
      <c r="B681" s="90" t="str">
        <f ca="1">IFERROR(__xludf.DUMMYFUNCTION("""COMPUTED_VALUE"""),"BBL")</f>
        <v>BBL</v>
      </c>
      <c r="C681" s="91" t="str">
        <f ca="1">IFERROR(__xludf.DUMMYFUNCTION("""COMPUTED_VALUE"""),"Masum Vai")</f>
        <v>Masum Vai</v>
      </c>
      <c r="D681" s="92" t="str">
        <f ca="1">IFERROR(__xludf.DUMMYFUNCTION("""COMPUTED_VALUE"""),"Md Iasin Ahmed Showrov (S204960)")</f>
        <v>Md Iasin Ahmed Showrov (S204960)</v>
      </c>
      <c r="E681" s="93" t="str">
        <f ca="1">IFERROR(__xludf.DUMMYFUNCTION("""COMPUTED_VALUE"""),"CB17873_Feb26")</f>
        <v>CB17873_Feb26</v>
      </c>
      <c r="F681" s="94" t="str">
        <f ca="1">IFERROR(__xludf.DUMMYFUNCTION("""COMPUTED_VALUE"""),"Packaging Text Design #2")</f>
        <v>Packaging Text Design #2</v>
      </c>
      <c r="G681" s="95" t="str">
        <f ca="1">IFERROR(__xludf.DUMMYFUNCTION("""COMPUTED_VALUE"""),"New")</f>
        <v>New</v>
      </c>
      <c r="H681" s="96">
        <f ca="1">IFERROR(__xludf.DUMMYFUNCTION("""COMPUTED_VALUE"""),2)</f>
        <v>2</v>
      </c>
      <c r="I681" s="97">
        <f ca="1">IFERROR(__xludf.DUMMYFUNCTION("""COMPUTED_VALUE"""),46119)</f>
        <v>46119</v>
      </c>
      <c r="J681" s="98" t="str">
        <f ca="1">IFERROR(__xludf.DUMMYFUNCTION("""COMPUTED_VALUE"""),"CW29376_Apr26")</f>
        <v>CW29376_Apr26</v>
      </c>
      <c r="K681" s="99" t="str">
        <f ca="1">IFERROR(__xludf.DUMMYFUNCTION("""COMPUTED_VALUE"""),"HoM Approved")</f>
        <v>HoM Approved</v>
      </c>
    </row>
    <row r="682" spans="1:11" ht="13.2">
      <c r="A682" s="89" t="str">
        <f ca="1">IFERROR(__xludf.DUMMYFUNCTION("""COMPUTED_VALUE"""),"HIP-ALL")</f>
        <v>HIP-ALL</v>
      </c>
      <c r="B682" s="90" t="str">
        <f ca="1">IFERROR(__xludf.DUMMYFUNCTION("""COMPUTED_VALUE"""),"Philippines")</f>
        <v>Philippines</v>
      </c>
      <c r="C682" s="91" t="str">
        <f ca="1">IFERROR(__xludf.DUMMYFUNCTION("""COMPUTED_VALUE"""),"Rabby Vai")</f>
        <v>Rabby Vai</v>
      </c>
      <c r="D682" s="92" t="str">
        <f ca="1">IFERROR(__xludf.DUMMYFUNCTION("""COMPUTED_VALUE"""),"Md Iasin Ahmed Showrov (S204960)")</f>
        <v>Md Iasin Ahmed Showrov (S204960)</v>
      </c>
      <c r="E682" s="93" t="str">
        <f ca="1">IFERROR(__xludf.DUMMYFUNCTION("""COMPUTED_VALUE"""),"CB20573_Apr26")</f>
        <v>CB20573_Apr26</v>
      </c>
      <c r="F682" s="94" t="str">
        <f ca="1">IFERROR(__xludf.DUMMYFUNCTION("""COMPUTED_VALUE"""),"Document Text Correction")</f>
        <v>Document Text Correction</v>
      </c>
      <c r="G682" s="95" t="str">
        <f ca="1">IFERROR(__xludf.DUMMYFUNCTION("""COMPUTED_VALUE"""),"New")</f>
        <v>New</v>
      </c>
      <c r="H682" s="96">
        <f ca="1">IFERROR(__xludf.DUMMYFUNCTION("""COMPUTED_VALUE"""),12)</f>
        <v>12</v>
      </c>
      <c r="I682" s="97">
        <f ca="1">IFERROR(__xludf.DUMMYFUNCTION("""COMPUTED_VALUE"""),46119)</f>
        <v>46119</v>
      </c>
      <c r="J682" s="98" t="str">
        <f ca="1">IFERROR(__xludf.DUMMYFUNCTION("""COMPUTED_VALUE"""),"CW29394_Apr26")</f>
        <v>CW29394_Apr26</v>
      </c>
      <c r="K682" s="99" t="str">
        <f ca="1">IFERROR(__xludf.DUMMYFUNCTION("""COMPUTED_VALUE"""),"HoM Approved")</f>
        <v>HoM Approved</v>
      </c>
    </row>
    <row r="683" spans="1:11" ht="13.2">
      <c r="A683" s="89" t="str">
        <f ca="1">IFERROR(__xludf.DUMMYFUNCTION("""COMPUTED_VALUE"""),"Oliver Biscuits")</f>
        <v>Oliver Biscuits</v>
      </c>
      <c r="B683" s="90" t="str">
        <f ca="1">IFERROR(__xludf.DUMMYFUNCTION("""COMPUTED_VALUE"""),"PBL")</f>
        <v>PBL</v>
      </c>
      <c r="C683" s="91" t="str">
        <f ca="1">IFERROR(__xludf.DUMMYFUNCTION("""COMPUTED_VALUE"""),"Rakib Vai")</f>
        <v>Rakib Vai</v>
      </c>
      <c r="D683" s="92" t="str">
        <f ca="1">IFERROR(__xludf.DUMMYFUNCTION("""COMPUTED_VALUE"""),"Md Iasin Ahmed Showrov (S204960)")</f>
        <v>Md Iasin Ahmed Showrov (S204960)</v>
      </c>
      <c r="E683" s="93" t="str">
        <f ca="1">IFERROR(__xludf.DUMMYFUNCTION("""COMPUTED_VALUE"""),"CB20675_Apr26")</f>
        <v>CB20675_Apr26</v>
      </c>
      <c r="F683" s="94" t="str">
        <f ca="1">IFERROR(__xludf.DUMMYFUNCTION("""COMPUTED_VALUE"""),"Packaging Text Design #2")</f>
        <v>Packaging Text Design #2</v>
      </c>
      <c r="G683" s="95" t="str">
        <f ca="1">IFERROR(__xludf.DUMMYFUNCTION("""COMPUTED_VALUE"""),"New")</f>
        <v>New</v>
      </c>
      <c r="H683" s="96">
        <f ca="1">IFERROR(__xludf.DUMMYFUNCTION("""COMPUTED_VALUE"""),4)</f>
        <v>4</v>
      </c>
      <c r="I683" s="97">
        <f ca="1">IFERROR(__xludf.DUMMYFUNCTION("""COMPUTED_VALUE"""),46119)</f>
        <v>46119</v>
      </c>
      <c r="J683" s="98" t="str">
        <f ca="1">IFERROR(__xludf.DUMMYFUNCTION("""COMPUTED_VALUE"""),"CW29385_Apr26")</f>
        <v>CW29385_Apr26</v>
      </c>
      <c r="K683" s="99" t="str">
        <f ca="1">IFERROR(__xludf.DUMMYFUNCTION("""COMPUTED_VALUE"""),"HoM Approved")</f>
        <v>HoM Approved</v>
      </c>
    </row>
    <row r="684" spans="1:11" ht="13.2">
      <c r="A684" s="89" t="str">
        <f ca="1">IFERROR(__xludf.DUMMYFUNCTION("""COMPUTED_VALUE"""),"Oliver Biscuits")</f>
        <v>Oliver Biscuits</v>
      </c>
      <c r="B684" s="90" t="str">
        <f ca="1">IFERROR(__xludf.DUMMYFUNCTION("""COMPUTED_VALUE"""),"PBL")</f>
        <v>PBL</v>
      </c>
      <c r="C684" s="91" t="str">
        <f ca="1">IFERROR(__xludf.DUMMYFUNCTION("""COMPUTED_VALUE"""),"Rakib Vai")</f>
        <v>Rakib Vai</v>
      </c>
      <c r="D684" s="92" t="str">
        <f ca="1">IFERROR(__xludf.DUMMYFUNCTION("""COMPUTED_VALUE"""),"Md Iasin Ahmed Showrov (S204960)")</f>
        <v>Md Iasin Ahmed Showrov (S204960)</v>
      </c>
      <c r="E684" s="93" t="str">
        <f ca="1">IFERROR(__xludf.DUMMYFUNCTION("""COMPUTED_VALUE"""),"CB20691_Apr26")</f>
        <v>CB20691_Apr26</v>
      </c>
      <c r="F684" s="94" t="str">
        <f ca="1">IFERROR(__xludf.DUMMYFUNCTION("""COMPUTED_VALUE"""),"Packaging Text Design #2")</f>
        <v>Packaging Text Design #2</v>
      </c>
      <c r="G684" s="95" t="str">
        <f ca="1">IFERROR(__xludf.DUMMYFUNCTION("""COMPUTED_VALUE"""),"New")</f>
        <v>New</v>
      </c>
      <c r="H684" s="96">
        <f ca="1">IFERROR(__xludf.DUMMYFUNCTION("""COMPUTED_VALUE"""),4)</f>
        <v>4</v>
      </c>
      <c r="I684" s="97">
        <f ca="1">IFERROR(__xludf.DUMMYFUNCTION("""COMPUTED_VALUE"""),46119)</f>
        <v>46119</v>
      </c>
      <c r="J684" s="98" t="str">
        <f ca="1">IFERROR(__xludf.DUMMYFUNCTION("""COMPUTED_VALUE"""),"CW29388_Apr26")</f>
        <v>CW29388_Apr26</v>
      </c>
      <c r="K684" s="99" t="str">
        <f ca="1">IFERROR(__xludf.DUMMYFUNCTION("""COMPUTED_VALUE"""),"HoM Approved")</f>
        <v>HoM Approved</v>
      </c>
    </row>
    <row r="685" spans="1:11" ht="13.2">
      <c r="A685" s="89" t="str">
        <f ca="1">IFERROR(__xludf.DUMMYFUNCTION("""COMPUTED_VALUE"""),"Common - USA &amp; Europe Export")</f>
        <v>Common - USA &amp; Europe Export</v>
      </c>
      <c r="B685" s="90" t="str">
        <f ca="1">IFERROR(__xludf.DUMMYFUNCTION("""COMPUTED_VALUE"""),"USA &amp; Europe")</f>
        <v>USA &amp; Europe</v>
      </c>
      <c r="C685" s="91" t="str">
        <f ca="1">IFERROR(__xludf.DUMMYFUNCTION("""COMPUTED_VALUE"""),"Saifullah Vai")</f>
        <v>Saifullah Vai</v>
      </c>
      <c r="D685" s="92" t="str">
        <f ca="1">IFERROR(__xludf.DUMMYFUNCTION("""COMPUTED_VALUE"""),"Md Iasin Ahmed Showrov (S204960)")</f>
        <v>Md Iasin Ahmed Showrov (S204960)</v>
      </c>
      <c r="E685" s="93" t="str">
        <f ca="1">IFERROR(__xludf.DUMMYFUNCTION("""COMPUTED_VALUE"""),"CB20652_Apr26")</f>
        <v>CB20652_Apr26</v>
      </c>
      <c r="F685" s="94" t="str">
        <f ca="1">IFERROR(__xludf.DUMMYFUNCTION("""COMPUTED_VALUE"""),"Black Cylinder Output")</f>
        <v>Black Cylinder Output</v>
      </c>
      <c r="G685" s="95" t="str">
        <f ca="1">IFERROR(__xludf.DUMMYFUNCTION("""COMPUTED_VALUE"""),"New")</f>
        <v>New</v>
      </c>
      <c r="H685" s="96">
        <f ca="1">IFERROR(__xludf.DUMMYFUNCTION("""COMPUTED_VALUE"""),8)</f>
        <v>8</v>
      </c>
      <c r="I685" s="97">
        <f ca="1">IFERROR(__xludf.DUMMYFUNCTION("""COMPUTED_VALUE"""),46119)</f>
        <v>46119</v>
      </c>
      <c r="J685" s="98" t="str">
        <f ca="1">IFERROR(__xludf.DUMMYFUNCTION("""COMPUTED_VALUE"""),"CW29389_Apr26")</f>
        <v>CW29389_Apr26</v>
      </c>
      <c r="K685" s="99" t="str">
        <f ca="1">IFERROR(__xludf.DUMMYFUNCTION("""COMPUTED_VALUE"""),"HoM Approved")</f>
        <v>HoM Approved</v>
      </c>
    </row>
    <row r="686" spans="1:11" ht="13.2">
      <c r="A686" s="89" t="str">
        <f ca="1">IFERROR(__xludf.DUMMYFUNCTION("""COMPUTED_VALUE"""),"Common - USA &amp; Europe Export")</f>
        <v>Common - USA &amp; Europe Export</v>
      </c>
      <c r="B686" s="90" t="str">
        <f ca="1">IFERROR(__xludf.DUMMYFUNCTION("""COMPUTED_VALUE"""),"USA &amp; Europe")</f>
        <v>USA &amp; Europe</v>
      </c>
      <c r="C686" s="91" t="str">
        <f ca="1">IFERROR(__xludf.DUMMYFUNCTION("""COMPUTED_VALUE"""),"Saifullah Vai")</f>
        <v>Saifullah Vai</v>
      </c>
      <c r="D686" s="92" t="str">
        <f ca="1">IFERROR(__xludf.DUMMYFUNCTION("""COMPUTED_VALUE"""),"Md Iasin Ahmed Showrov (S204960)")</f>
        <v>Md Iasin Ahmed Showrov (S204960)</v>
      </c>
      <c r="E686" s="93" t="str">
        <f ca="1">IFERROR(__xludf.DUMMYFUNCTION("""COMPUTED_VALUE"""),"CB20686_Apr26")</f>
        <v>CB20686_Apr26</v>
      </c>
      <c r="F686" s="94" t="str">
        <f ca="1">IFERROR(__xludf.DUMMYFUNCTION("""COMPUTED_VALUE"""),"Carton Design")</f>
        <v>Carton Design</v>
      </c>
      <c r="G686" s="95" t="str">
        <f ca="1">IFERROR(__xludf.DUMMYFUNCTION("""COMPUTED_VALUE"""),"New")</f>
        <v>New</v>
      </c>
      <c r="H686" s="96">
        <f ca="1">IFERROR(__xludf.DUMMYFUNCTION("""COMPUTED_VALUE"""),5)</f>
        <v>5</v>
      </c>
      <c r="I686" s="97">
        <f ca="1">IFERROR(__xludf.DUMMYFUNCTION("""COMPUTED_VALUE"""),46119)</f>
        <v>46119</v>
      </c>
      <c r="J686" s="98" t="str">
        <f ca="1">IFERROR(__xludf.DUMMYFUNCTION("""COMPUTED_VALUE"""),"CW29373_Apr26")</f>
        <v>CW29373_Apr26</v>
      </c>
      <c r="K686" s="99" t="str">
        <f ca="1">IFERROR(__xludf.DUMMYFUNCTION("""COMPUTED_VALUE"""),"HoM Approved")</f>
        <v>HoM Approved</v>
      </c>
    </row>
    <row r="687" spans="1:11" ht="13.2">
      <c r="A687" s="89" t="str">
        <f ca="1">IFERROR(__xludf.DUMMYFUNCTION("""COMPUTED_VALUE"""),"Bisk Club Lexus Biscuits")</f>
        <v>Bisk Club Lexus Biscuits</v>
      </c>
      <c r="B687" s="90" t="str">
        <f ca="1">IFERROR(__xludf.DUMMYFUNCTION("""COMPUTED_VALUE"""),"BBL")</f>
        <v>BBL</v>
      </c>
      <c r="C687" s="91" t="str">
        <f ca="1">IFERROR(__xludf.DUMMYFUNCTION("""COMPUTED_VALUE"""),"Saifullah Vai")</f>
        <v>Saifullah Vai</v>
      </c>
      <c r="D687" s="92" t="str">
        <f ca="1">IFERROR(__xludf.DUMMYFUNCTION("""COMPUTED_VALUE"""),"Md Iasin Ahmed Showrov (S204960)")</f>
        <v>Md Iasin Ahmed Showrov (S204960)</v>
      </c>
      <c r="E687" s="93" t="str">
        <f ca="1">IFERROR(__xludf.DUMMYFUNCTION("""COMPUTED_VALUE"""),"CB19875_Mar26")</f>
        <v>CB19875_Mar26</v>
      </c>
      <c r="F687" s="94" t="str">
        <f ca="1">IFERROR(__xludf.DUMMYFUNCTION("""COMPUTED_VALUE"""),"Carton Design")</f>
        <v>Carton Design</v>
      </c>
      <c r="G687" s="95" t="str">
        <f ca="1">IFERROR(__xludf.DUMMYFUNCTION("""COMPUTED_VALUE"""),"New")</f>
        <v>New</v>
      </c>
      <c r="H687" s="96">
        <f ca="1">IFERROR(__xludf.DUMMYFUNCTION("""COMPUTED_VALUE"""),1)</f>
        <v>1</v>
      </c>
      <c r="I687" s="97">
        <f ca="1">IFERROR(__xludf.DUMMYFUNCTION("""COMPUTED_VALUE"""),46119)</f>
        <v>46119</v>
      </c>
      <c r="J687" s="98" t="str">
        <f ca="1">IFERROR(__xludf.DUMMYFUNCTION("""COMPUTED_VALUE"""),"CW29374_Apr26")</f>
        <v>CW29374_Apr26</v>
      </c>
      <c r="K687" s="99" t="str">
        <f ca="1">IFERROR(__xludf.DUMMYFUNCTION("""COMPUTED_VALUE"""),"HoM Approved")</f>
        <v>HoM Approved</v>
      </c>
    </row>
    <row r="688" spans="1:11" ht="13.2">
      <c r="A688" s="89" t="str">
        <f ca="1">IFERROR(__xludf.DUMMYFUNCTION("""COMPUTED_VALUE"""),"Bisk Club Lexus Biscuits")</f>
        <v>Bisk Club Lexus Biscuits</v>
      </c>
      <c r="B688" s="90" t="str">
        <f ca="1">IFERROR(__xludf.DUMMYFUNCTION("""COMPUTED_VALUE"""),"BBL")</f>
        <v>BBL</v>
      </c>
      <c r="C688" s="91" t="str">
        <f ca="1">IFERROR(__xludf.DUMMYFUNCTION("""COMPUTED_VALUE"""),"Saifullah Vai")</f>
        <v>Saifullah Vai</v>
      </c>
      <c r="D688" s="92" t="str">
        <f ca="1">IFERROR(__xludf.DUMMYFUNCTION("""COMPUTED_VALUE"""),"Md Iasin Ahmed Showrov (S204960)")</f>
        <v>Md Iasin Ahmed Showrov (S204960)</v>
      </c>
      <c r="E688" s="93" t="str">
        <f ca="1">IFERROR(__xludf.DUMMYFUNCTION("""COMPUTED_VALUE"""),"CB19875_Mar26")</f>
        <v>CB19875_Mar26</v>
      </c>
      <c r="F688" s="94" t="str">
        <f ca="1">IFERROR(__xludf.DUMMYFUNCTION("""COMPUTED_VALUE"""),"Packaging Text Design #2")</f>
        <v>Packaging Text Design #2</v>
      </c>
      <c r="G688" s="95" t="str">
        <f ca="1">IFERROR(__xludf.DUMMYFUNCTION("""COMPUTED_VALUE"""),"New")</f>
        <v>New</v>
      </c>
      <c r="H688" s="96">
        <f ca="1">IFERROR(__xludf.DUMMYFUNCTION("""COMPUTED_VALUE"""),2)</f>
        <v>2</v>
      </c>
      <c r="I688" s="97">
        <f ca="1">IFERROR(__xludf.DUMMYFUNCTION("""COMPUTED_VALUE"""),46119)</f>
        <v>46119</v>
      </c>
      <c r="J688" s="98" t="str">
        <f ca="1">IFERROR(__xludf.DUMMYFUNCTION("""COMPUTED_VALUE"""),"CW29374_Apr26")</f>
        <v>CW29374_Apr26</v>
      </c>
      <c r="K688" s="99" t="str">
        <f ca="1">IFERROR(__xludf.DUMMYFUNCTION("""COMPUTED_VALUE"""),"HoM Approved")</f>
        <v>HoM Approved</v>
      </c>
    </row>
    <row r="689" spans="1:11" ht="13.2">
      <c r="A689" s="89" t="str">
        <f ca="1">IFERROR(__xludf.DUMMYFUNCTION("""COMPUTED_VALUE"""),"Common - USA &amp; Europe Export")</f>
        <v>Common - USA &amp; Europe Export</v>
      </c>
      <c r="B689" s="90" t="str">
        <f ca="1">IFERROR(__xludf.DUMMYFUNCTION("""COMPUTED_VALUE"""),"USA &amp; Europe")</f>
        <v>USA &amp; Europe</v>
      </c>
      <c r="C689" s="91" t="str">
        <f ca="1">IFERROR(__xludf.DUMMYFUNCTION("""COMPUTED_VALUE"""),"Saifullah Vai")</f>
        <v>Saifullah Vai</v>
      </c>
      <c r="D689" s="92" t="str">
        <f ca="1">IFERROR(__xludf.DUMMYFUNCTION("""COMPUTED_VALUE"""),"Md Iasin Ahmed Showrov (S204960)")</f>
        <v>Md Iasin Ahmed Showrov (S204960)</v>
      </c>
      <c r="E689" s="93" t="str">
        <f ca="1">IFERROR(__xludf.DUMMYFUNCTION("""COMPUTED_VALUE"""),"CB20652_Apr26")</f>
        <v>CB20652_Apr26</v>
      </c>
      <c r="F689" s="94" t="str">
        <f ca="1">IFERROR(__xludf.DUMMYFUNCTION("""COMPUTED_VALUE"""),"Packaging Text Design #2")</f>
        <v>Packaging Text Design #2</v>
      </c>
      <c r="G689" s="95" t="str">
        <f ca="1">IFERROR(__xludf.DUMMYFUNCTION("""COMPUTED_VALUE"""),"New")</f>
        <v>New</v>
      </c>
      <c r="H689" s="96">
        <f ca="1">IFERROR(__xludf.DUMMYFUNCTION("""COMPUTED_VALUE"""),8)</f>
        <v>8</v>
      </c>
      <c r="I689" s="97">
        <f ca="1">IFERROR(__xludf.DUMMYFUNCTION("""COMPUTED_VALUE"""),46119)</f>
        <v>46119</v>
      </c>
      <c r="J689" s="98" t="str">
        <f ca="1">IFERROR(__xludf.DUMMYFUNCTION("""COMPUTED_VALUE"""),"CW29389_Apr26")</f>
        <v>CW29389_Apr26</v>
      </c>
      <c r="K689" s="99" t="str">
        <f ca="1">IFERROR(__xludf.DUMMYFUNCTION("""COMPUTED_VALUE"""),"HoM Approved")</f>
        <v>HoM Approved</v>
      </c>
    </row>
    <row r="690" spans="1:11" ht="13.2">
      <c r="A690" s="89" t="str">
        <f ca="1">IFERROR(__xludf.DUMMYFUNCTION("""COMPUTED_VALUE"""),"Common - USA &amp; Europe Export")</f>
        <v>Common - USA &amp; Europe Export</v>
      </c>
      <c r="B690" s="90" t="str">
        <f ca="1">IFERROR(__xludf.DUMMYFUNCTION("""COMPUTED_VALUE"""),"USA &amp; Europe")</f>
        <v>USA &amp; Europe</v>
      </c>
      <c r="C690" s="91" t="str">
        <f ca="1">IFERROR(__xludf.DUMMYFUNCTION("""COMPUTED_VALUE"""),"Saifullah Vai")</f>
        <v>Saifullah Vai</v>
      </c>
      <c r="D690" s="92" t="str">
        <f ca="1">IFERROR(__xludf.DUMMYFUNCTION("""COMPUTED_VALUE"""),"Md Iasin Ahmed Showrov (S204960)")</f>
        <v>Md Iasin Ahmed Showrov (S204960)</v>
      </c>
      <c r="E690" s="93" t="str">
        <f ca="1">IFERROR(__xludf.DUMMYFUNCTION("""COMPUTED_VALUE"""),"CB20686_Apr26")</f>
        <v>CB20686_Apr26</v>
      </c>
      <c r="F690" s="94" t="str">
        <f ca="1">IFERROR(__xludf.DUMMYFUNCTION("""COMPUTED_VALUE"""),"Packaging Text Design #2")</f>
        <v>Packaging Text Design #2</v>
      </c>
      <c r="G690" s="95" t="str">
        <f ca="1">IFERROR(__xludf.DUMMYFUNCTION("""COMPUTED_VALUE"""),"New")</f>
        <v>New</v>
      </c>
      <c r="H690" s="96">
        <f ca="1">IFERROR(__xludf.DUMMYFUNCTION("""COMPUTED_VALUE"""),5)</f>
        <v>5</v>
      </c>
      <c r="I690" s="97">
        <f ca="1">IFERROR(__xludf.DUMMYFUNCTION("""COMPUTED_VALUE"""),46119)</f>
        <v>46119</v>
      </c>
      <c r="J690" s="98" t="str">
        <f ca="1">IFERROR(__xludf.DUMMYFUNCTION("""COMPUTED_VALUE"""),"CW29373_Apr26")</f>
        <v>CW29373_Apr26</v>
      </c>
      <c r="K690" s="99" t="str">
        <f ca="1">IFERROR(__xludf.DUMMYFUNCTION("""COMPUTED_VALUE"""),"HoM Approved")</f>
        <v>HoM Approved</v>
      </c>
    </row>
    <row r="691" spans="1:11" ht="13.2">
      <c r="A691" s="89" t="str">
        <f ca="1">IFERROR(__xludf.DUMMYFUNCTION("""COMPUTED_VALUE"""),"PRAN Basic Spice")</f>
        <v>PRAN Basic Spice</v>
      </c>
      <c r="B691" s="90" t="str">
        <f ca="1">IFERROR(__xludf.DUMMYFUNCTION("""COMPUTED_VALUE"""),"NAL")</f>
        <v>NAL</v>
      </c>
      <c r="C691" s="91" t="str">
        <f ca="1">IFERROR(__xludf.DUMMYFUNCTION("""COMPUTED_VALUE"""),"Shamsul Sir")</f>
        <v>Shamsul Sir</v>
      </c>
      <c r="D691" s="92" t="str">
        <f ca="1">IFERROR(__xludf.DUMMYFUNCTION("""COMPUTED_VALUE"""),"Md Iasin Ahmed Showrov (S204960)")</f>
        <v>Md Iasin Ahmed Showrov (S204960)</v>
      </c>
      <c r="E691" s="93" t="str">
        <f ca="1">IFERROR(__xludf.DUMMYFUNCTION("""COMPUTED_VALUE"""),"CB20560_Apr26")</f>
        <v>CB20560_Apr26</v>
      </c>
      <c r="F691" s="94" t="str">
        <f ca="1">IFERROR(__xludf.DUMMYFUNCTION("""COMPUTED_VALUE"""),"Packaging Text Design #2")</f>
        <v>Packaging Text Design #2</v>
      </c>
      <c r="G691" s="95" t="str">
        <f ca="1">IFERROR(__xludf.DUMMYFUNCTION("""COMPUTED_VALUE"""),"New")</f>
        <v>New</v>
      </c>
      <c r="H691" s="96">
        <f ca="1">IFERROR(__xludf.DUMMYFUNCTION("""COMPUTED_VALUE"""),3)</f>
        <v>3</v>
      </c>
      <c r="I691" s="97">
        <f ca="1">IFERROR(__xludf.DUMMYFUNCTION("""COMPUTED_VALUE"""),46119)</f>
        <v>46119</v>
      </c>
      <c r="J691" s="98" t="str">
        <f ca="1">IFERROR(__xludf.DUMMYFUNCTION("""COMPUTED_VALUE"""),"CW29386_Apr26")</f>
        <v>CW29386_Apr26</v>
      </c>
      <c r="K691" s="99" t="str">
        <f ca="1">IFERROR(__xludf.DUMMYFUNCTION("""COMPUTED_VALUE"""),"HoM Approved")</f>
        <v>HoM Approved</v>
      </c>
    </row>
    <row r="692" spans="1:11" ht="13.2">
      <c r="A692" s="89" t="str">
        <f ca="1">IFERROR(__xludf.DUMMYFUNCTION("""COMPUTED_VALUE"""),"Mr. Noodles")</f>
        <v>Mr. Noodles</v>
      </c>
      <c r="B692" s="90" t="str">
        <f ca="1">IFERROR(__xludf.DUMMYFUNCTION("""COMPUTED_VALUE"""),"PAL")</f>
        <v>PAL</v>
      </c>
      <c r="C692" s="91" t="str">
        <f ca="1">IFERROR(__xludf.DUMMYFUNCTION("""COMPUTED_VALUE"""),"Shamsul Sir")</f>
        <v>Shamsul Sir</v>
      </c>
      <c r="D692" s="92" t="str">
        <f ca="1">IFERROR(__xludf.DUMMYFUNCTION("""COMPUTED_VALUE"""),"Md Iasin Ahmed Showrov (S204960)")</f>
        <v>Md Iasin Ahmed Showrov (S204960)</v>
      </c>
      <c r="E692" s="93" t="str">
        <f ca="1">IFERROR(__xludf.DUMMYFUNCTION("""COMPUTED_VALUE"""),"CB20559_Apr26")</f>
        <v>CB20559_Apr26</v>
      </c>
      <c r="F692" s="94" t="str">
        <f ca="1">IFERROR(__xludf.DUMMYFUNCTION("""COMPUTED_VALUE"""),"Packaging Text Design #2")</f>
        <v>Packaging Text Design #2</v>
      </c>
      <c r="G692" s="95" t="str">
        <f ca="1">IFERROR(__xludf.DUMMYFUNCTION("""COMPUTED_VALUE"""),"New")</f>
        <v>New</v>
      </c>
      <c r="H692" s="96">
        <f ca="1">IFERROR(__xludf.DUMMYFUNCTION("""COMPUTED_VALUE"""),3)</f>
        <v>3</v>
      </c>
      <c r="I692" s="97">
        <f ca="1">IFERROR(__xludf.DUMMYFUNCTION("""COMPUTED_VALUE"""),46119)</f>
        <v>46119</v>
      </c>
      <c r="J692" s="98" t="str">
        <f ca="1">IFERROR(__xludf.DUMMYFUNCTION("""COMPUTED_VALUE"""),"CW29387_Apr26")</f>
        <v>CW29387_Apr26</v>
      </c>
      <c r="K692" s="99" t="str">
        <f ca="1">IFERROR(__xludf.DUMMYFUNCTION("""COMPUTED_VALUE"""),"HoM Approved")</f>
        <v>HoM Approved</v>
      </c>
    </row>
    <row r="693" spans="1:11" ht="13.2">
      <c r="A693" s="89" t="str">
        <f ca="1">IFERROR(__xludf.DUMMYFUNCTION("""COMPUTED_VALUE"""),"PRAN Pickle")</f>
        <v>PRAN Pickle</v>
      </c>
      <c r="B693" s="90" t="str">
        <f ca="1">IFERROR(__xludf.DUMMYFUNCTION("""COMPUTED_VALUE"""),"PAL")</f>
        <v>PAL</v>
      </c>
      <c r="C693" s="91" t="str">
        <f ca="1">IFERROR(__xludf.DUMMYFUNCTION("""COMPUTED_VALUE"""),"Sharika Apu")</f>
        <v>Sharika Apu</v>
      </c>
      <c r="D693" s="92" t="str">
        <f ca="1">IFERROR(__xludf.DUMMYFUNCTION("""COMPUTED_VALUE"""),"Md Iasin Ahmed Showrov (S204960)")</f>
        <v>Md Iasin Ahmed Showrov (S204960)</v>
      </c>
      <c r="E693" s="93" t="str">
        <f ca="1">IFERROR(__xludf.DUMMYFUNCTION("""COMPUTED_VALUE"""),"CB20446_Mar26")</f>
        <v>CB20446_Mar26</v>
      </c>
      <c r="F693" s="94" t="str">
        <f ca="1">IFERROR(__xludf.DUMMYFUNCTION("""COMPUTED_VALUE"""),"FOP Sticker Making")</f>
        <v>FOP Sticker Making</v>
      </c>
      <c r="G693" s="95" t="str">
        <f ca="1">IFERROR(__xludf.DUMMYFUNCTION("""COMPUTED_VALUE"""),"New")</f>
        <v>New</v>
      </c>
      <c r="H693" s="96">
        <f ca="1">IFERROR(__xludf.DUMMYFUNCTION("""COMPUTED_VALUE"""),1)</f>
        <v>1</v>
      </c>
      <c r="I693" s="97">
        <f ca="1">IFERROR(__xludf.DUMMYFUNCTION("""COMPUTED_VALUE"""),46119)</f>
        <v>46119</v>
      </c>
      <c r="J693" s="98" t="str">
        <f ca="1">IFERROR(__xludf.DUMMYFUNCTION("""COMPUTED_VALUE"""),"CW29382_Apr26")</f>
        <v>CW29382_Apr26</v>
      </c>
      <c r="K693" s="99" t="str">
        <f ca="1">IFERROR(__xludf.DUMMYFUNCTION("""COMPUTED_VALUE"""),"HoM Approved")</f>
        <v>HoM Approved</v>
      </c>
    </row>
    <row r="694" spans="1:11" ht="13.2">
      <c r="A694" s="89" t="str">
        <f ca="1">IFERROR(__xludf.DUMMYFUNCTION("""COMPUTED_VALUE"""),"PRAN Potato Cracker")</f>
        <v>PRAN Potato Cracker</v>
      </c>
      <c r="B694" s="90" t="str">
        <f ca="1">IFERROR(__xludf.DUMMYFUNCTION("""COMPUTED_VALUE"""),"PFL")</f>
        <v>PFL</v>
      </c>
      <c r="C694" s="91" t="str">
        <f ca="1">IFERROR(__xludf.DUMMYFUNCTION("""COMPUTED_VALUE"""),"Sharika Apu")</f>
        <v>Sharika Apu</v>
      </c>
      <c r="D694" s="92" t="str">
        <f ca="1">IFERROR(__xludf.DUMMYFUNCTION("""COMPUTED_VALUE"""),"Md Iasin Ahmed Showrov (S204960)")</f>
        <v>Md Iasin Ahmed Showrov (S204960)</v>
      </c>
      <c r="E694" s="93" t="str">
        <f ca="1">IFERROR(__xludf.DUMMYFUNCTION("""COMPUTED_VALUE"""),"CB20469_Mar26")</f>
        <v>CB20469_Mar26</v>
      </c>
      <c r="F694" s="94" t="str">
        <f ca="1">IFERROR(__xludf.DUMMYFUNCTION("""COMPUTED_VALUE"""),"Packaging Text Design #2")</f>
        <v>Packaging Text Design #2</v>
      </c>
      <c r="G694" s="95" t="str">
        <f ca="1">IFERROR(__xludf.DUMMYFUNCTION("""COMPUTED_VALUE"""),"New")</f>
        <v>New</v>
      </c>
      <c r="H694" s="96">
        <f ca="1">IFERROR(__xludf.DUMMYFUNCTION("""COMPUTED_VALUE"""),1)</f>
        <v>1</v>
      </c>
      <c r="I694" s="97">
        <f ca="1">IFERROR(__xludf.DUMMYFUNCTION("""COMPUTED_VALUE"""),46119)</f>
        <v>46119</v>
      </c>
      <c r="J694" s="98" t="str">
        <f ca="1">IFERROR(__xludf.DUMMYFUNCTION("""COMPUTED_VALUE"""),"CW29383_Apr26")</f>
        <v>CW29383_Apr26</v>
      </c>
      <c r="K694" s="99" t="str">
        <f ca="1">IFERROR(__xludf.DUMMYFUNCTION("""COMPUTED_VALUE"""),"HoM Approved")</f>
        <v>HoM Approved</v>
      </c>
    </row>
    <row r="695" spans="1:11" ht="13.2">
      <c r="A695" s="89" t="str">
        <f ca="1">IFERROR(__xludf.DUMMYFUNCTION("""COMPUTED_VALUE"""),"PRAN Junior Fruit Drink")</f>
        <v>PRAN Junior Fruit Drink</v>
      </c>
      <c r="B695" s="90" t="str">
        <f ca="1">IFERROR(__xludf.DUMMYFUNCTION("""COMPUTED_VALUE"""),"Dairy")</f>
        <v>Dairy</v>
      </c>
      <c r="C695" s="91" t="str">
        <f ca="1">IFERROR(__xludf.DUMMYFUNCTION("""COMPUTED_VALUE"""),"Zahirul Vai")</f>
        <v>Zahirul Vai</v>
      </c>
      <c r="D695" s="92" t="str">
        <f ca="1">IFERROR(__xludf.DUMMYFUNCTION("""COMPUTED_VALUE"""),"Md Iasin Ahmed Showrov (S204960)")</f>
        <v>Md Iasin Ahmed Showrov (S204960)</v>
      </c>
      <c r="E695" s="93" t="str">
        <f ca="1">IFERROR(__xludf.DUMMYFUNCTION("""COMPUTED_VALUE"""),"CB20246_Mar26")</f>
        <v>CB20246_Mar26</v>
      </c>
      <c r="F695" s="94" t="str">
        <f ca="1">IFERROR(__xludf.DUMMYFUNCTION("""COMPUTED_VALUE"""),"Packaging Text Design #2")</f>
        <v>Packaging Text Design #2</v>
      </c>
      <c r="G695" s="95" t="str">
        <f ca="1">IFERROR(__xludf.DUMMYFUNCTION("""COMPUTED_VALUE"""),"New")</f>
        <v>New</v>
      </c>
      <c r="H695" s="96">
        <f ca="1">IFERROR(__xludf.DUMMYFUNCTION("""COMPUTED_VALUE"""),1)</f>
        <v>1</v>
      </c>
      <c r="I695" s="97">
        <f ca="1">IFERROR(__xludf.DUMMYFUNCTION("""COMPUTED_VALUE"""),46119)</f>
        <v>46119</v>
      </c>
      <c r="J695" s="98" t="str">
        <f ca="1">IFERROR(__xludf.DUMMYFUNCTION("""COMPUTED_VALUE"""),"CW29377_Apr26")</f>
        <v>CW29377_Apr26</v>
      </c>
      <c r="K695" s="99" t="str">
        <f ca="1">IFERROR(__xludf.DUMMYFUNCTION("""COMPUTED_VALUE"""),"HoM Approved")</f>
        <v>HoM Approved</v>
      </c>
    </row>
    <row r="696" spans="1:11" ht="13.2">
      <c r="A696" s="89" t="str">
        <f ca="1">IFERROR(__xludf.DUMMYFUNCTION("""COMPUTED_VALUE"""),"PRAN Coffee Candy")</f>
        <v>PRAN Coffee Candy</v>
      </c>
      <c r="B696" s="90" t="str">
        <f ca="1">IFERROR(__xludf.DUMMYFUNCTION("""COMPUTED_VALUE"""),"PCL")</f>
        <v>PCL</v>
      </c>
      <c r="C696" s="91" t="str">
        <f ca="1">IFERROR(__xludf.DUMMYFUNCTION("""COMPUTED_VALUE"""),"Zahirul Vai")</f>
        <v>Zahirul Vai</v>
      </c>
      <c r="D696" s="92" t="str">
        <f ca="1">IFERROR(__xludf.DUMMYFUNCTION("""COMPUTED_VALUE"""),"Md Iasin Ahmed Showrov (S204960)")</f>
        <v>Md Iasin Ahmed Showrov (S204960)</v>
      </c>
      <c r="E696" s="93" t="str">
        <f ca="1">IFERROR(__xludf.DUMMYFUNCTION("""COMPUTED_VALUE"""),"CB20548_Mar26")</f>
        <v>CB20548_Mar26</v>
      </c>
      <c r="F696" s="94" t="str">
        <f ca="1">IFERROR(__xludf.DUMMYFUNCTION("""COMPUTED_VALUE"""),"Packaging Text Design #2")</f>
        <v>Packaging Text Design #2</v>
      </c>
      <c r="G696" s="95" t="str">
        <f ca="1">IFERROR(__xludf.DUMMYFUNCTION("""COMPUTED_VALUE"""),"New")</f>
        <v>New</v>
      </c>
      <c r="H696" s="96">
        <f ca="1">IFERROR(__xludf.DUMMYFUNCTION("""COMPUTED_VALUE"""),2)</f>
        <v>2</v>
      </c>
      <c r="I696" s="97">
        <f ca="1">IFERROR(__xludf.DUMMYFUNCTION("""COMPUTED_VALUE"""),46119)</f>
        <v>46119</v>
      </c>
      <c r="J696" s="98" t="str">
        <f ca="1">IFERROR(__xludf.DUMMYFUNCTION("""COMPUTED_VALUE"""),"CW29384_Apr26")</f>
        <v>CW29384_Apr26</v>
      </c>
      <c r="K696" s="99" t="str">
        <f ca="1">IFERROR(__xludf.DUMMYFUNCTION("""COMPUTED_VALUE"""),"HoM Approved")</f>
        <v>HoM Approved</v>
      </c>
    </row>
    <row r="697" spans="1:11" ht="13.2">
      <c r="A697" s="89" t="str">
        <f ca="1">IFERROR(__xludf.DUMMYFUNCTION("""COMPUTED_VALUE"""),"Staysafe Sanitary Napkin")</f>
        <v>Staysafe Sanitary Napkin</v>
      </c>
      <c r="B697" s="90" t="str">
        <f ca="1">IFERROR(__xludf.DUMMYFUNCTION("""COMPUTED_VALUE"""),"APCL")</f>
        <v>APCL</v>
      </c>
      <c r="C697" s="91" t="str">
        <f ca="1">IFERROR(__xludf.DUMMYFUNCTION("""COMPUTED_VALUE"""),"Shamsul Sir")</f>
        <v>Shamsul Sir</v>
      </c>
      <c r="D697" s="92" t="str">
        <f ca="1">IFERROR(__xludf.DUMMYFUNCTION("""COMPUTED_VALUE"""),"Md Iasin Ahmed Showrov (S204960)")</f>
        <v>Md Iasin Ahmed Showrov (S204960)</v>
      </c>
      <c r="E697" s="93" t="str">
        <f ca="1">IFERROR(__xludf.DUMMYFUNCTION("""COMPUTED_VALUE"""),"CB19028_Mar26")</f>
        <v>CB19028_Mar26</v>
      </c>
      <c r="F697" s="94" t="str">
        <f ca="1">IFERROR(__xludf.DUMMYFUNCTION("""COMPUTED_VALUE"""),"Packaging Text Design #2")</f>
        <v>Packaging Text Design #2</v>
      </c>
      <c r="G697" s="95" t="str">
        <f ca="1">IFERROR(__xludf.DUMMYFUNCTION("""COMPUTED_VALUE"""),"New")</f>
        <v>New</v>
      </c>
      <c r="H697" s="96">
        <f ca="1">IFERROR(__xludf.DUMMYFUNCTION("""COMPUTED_VALUE"""),1)</f>
        <v>1</v>
      </c>
      <c r="I697" s="97">
        <f ca="1">IFERROR(__xludf.DUMMYFUNCTION("""COMPUTED_VALUE"""),46120)</f>
        <v>46120</v>
      </c>
      <c r="J697" s="98" t="str">
        <f ca="1">IFERROR(__xludf.DUMMYFUNCTION("""COMPUTED_VALUE"""),"CW29487_Apr26")</f>
        <v>CW29487_Apr26</v>
      </c>
      <c r="K697" s="99" t="str">
        <f ca="1">IFERROR(__xludf.DUMMYFUNCTION("""COMPUTED_VALUE"""),"HoM Approved")</f>
        <v>HoM Approved</v>
      </c>
    </row>
    <row r="698" spans="1:11" ht="13.2">
      <c r="A698" s="89" t="str">
        <f ca="1">IFERROR(__xludf.DUMMYFUNCTION("""COMPUTED_VALUE"""),"VISION Fan")</f>
        <v>VISION Fan</v>
      </c>
      <c r="B698" s="90" t="str">
        <f ca="1">IFERROR(__xludf.DUMMYFUNCTION("""COMPUTED_VALUE"""),"RPLE")</f>
        <v>RPLE</v>
      </c>
      <c r="C698" s="91" t="str">
        <f ca="1">IFERROR(__xludf.DUMMYFUNCTION("""COMPUTED_VALUE"""),"Afroja Apu")</f>
        <v>Afroja Apu</v>
      </c>
      <c r="D698" s="92" t="str">
        <f ca="1">IFERROR(__xludf.DUMMYFUNCTION("""COMPUTED_VALUE"""),"Md Iasin Ahmed Showrov (S204960)")</f>
        <v>Md Iasin Ahmed Showrov (S204960)</v>
      </c>
      <c r="E698" s="93" t="str">
        <f ca="1">IFERROR(__xludf.DUMMYFUNCTION("""COMPUTED_VALUE"""),"CB21501_Apr26")</f>
        <v>CB21501_Apr26</v>
      </c>
      <c r="F698" s="94" t="str">
        <f ca="1">IFERROR(__xludf.DUMMYFUNCTION("""COMPUTED_VALUE"""),"Packaging Text Design #2")</f>
        <v>Packaging Text Design #2</v>
      </c>
      <c r="G698" s="95" t="str">
        <f ca="1">IFERROR(__xludf.DUMMYFUNCTION("""COMPUTED_VALUE"""),"New")</f>
        <v>New</v>
      </c>
      <c r="H698" s="96">
        <f ca="1">IFERROR(__xludf.DUMMYFUNCTION("""COMPUTED_VALUE"""),1)</f>
        <v>1</v>
      </c>
      <c r="I698" s="97">
        <f ca="1">IFERROR(__xludf.DUMMYFUNCTION("""COMPUTED_VALUE"""),46127)</f>
        <v>46127</v>
      </c>
      <c r="J698" s="98" t="str">
        <f ca="1">IFERROR(__xludf.DUMMYFUNCTION("""COMPUTED_VALUE"""),"CW30160_Apr26")</f>
        <v>CW30160_Apr26</v>
      </c>
      <c r="K698" s="99" t="str">
        <f ca="1">IFERROR(__xludf.DUMMYFUNCTION("""COMPUTED_VALUE"""),"Brief Submitted")</f>
        <v>Brief Submitted</v>
      </c>
    </row>
    <row r="699" spans="1:11" ht="13.2">
      <c r="A699" s="89" t="str">
        <f ca="1">IFERROR(__xludf.DUMMYFUNCTION("""COMPUTED_VALUE"""),"Livana")</f>
        <v>Livana</v>
      </c>
      <c r="B699" s="90" t="str">
        <f ca="1">IFERROR(__xludf.DUMMYFUNCTION("""COMPUTED_VALUE"""),"APCL")</f>
        <v>APCL</v>
      </c>
      <c r="C699" s="91" t="str">
        <f ca="1">IFERROR(__xludf.DUMMYFUNCTION("""COMPUTED_VALUE"""),"Kishower Vai")</f>
        <v>Kishower Vai</v>
      </c>
      <c r="D699" s="92" t="str">
        <f ca="1">IFERROR(__xludf.DUMMYFUNCTION("""COMPUTED_VALUE"""),"Md Iasin Ahmed Showrov (S204960)")</f>
        <v>Md Iasin Ahmed Showrov (S204960)</v>
      </c>
      <c r="E699" s="93" t="str">
        <f ca="1">IFERROR(__xludf.DUMMYFUNCTION("""COMPUTED_VALUE"""),"CB18691_Mar26")</f>
        <v>CB18691_Mar26</v>
      </c>
      <c r="F699" s="94" t="str">
        <f ca="1">IFERROR(__xludf.DUMMYFUNCTION("""COMPUTED_VALUE"""),"Packaging Text Design #2")</f>
        <v>Packaging Text Design #2</v>
      </c>
      <c r="G699" s="95" t="str">
        <f ca="1">IFERROR(__xludf.DUMMYFUNCTION("""COMPUTED_VALUE"""),"New")</f>
        <v>New</v>
      </c>
      <c r="H699" s="96">
        <f ca="1">IFERROR(__xludf.DUMMYFUNCTION("""COMPUTED_VALUE"""),1)</f>
        <v>1</v>
      </c>
      <c r="I699" s="97">
        <f ca="1">IFERROR(__xludf.DUMMYFUNCTION("""COMPUTED_VALUE"""),46127)</f>
        <v>46127</v>
      </c>
      <c r="J699" s="98" t="str">
        <f ca="1">IFERROR(__xludf.DUMMYFUNCTION("""COMPUTED_VALUE"""),"CW30158_Apr26")</f>
        <v>CW30158_Apr26</v>
      </c>
      <c r="K699" s="99" t="str">
        <f ca="1">IFERROR(__xludf.DUMMYFUNCTION("""COMPUTED_VALUE"""),"HoM Approved")</f>
        <v>HoM Approved</v>
      </c>
    </row>
    <row r="700" spans="1:11" ht="13.2">
      <c r="A700" s="89" t="str">
        <f ca="1">IFERROR(__xludf.DUMMYFUNCTION("""COMPUTED_VALUE"""),"PRAN Chanachur")</f>
        <v>PRAN Chanachur</v>
      </c>
      <c r="B700" s="90" t="str">
        <f ca="1">IFERROR(__xludf.DUMMYFUNCTION("""COMPUTED_VALUE"""),"PFL")</f>
        <v>PFL</v>
      </c>
      <c r="C700" s="91" t="str">
        <f ca="1">IFERROR(__xludf.DUMMYFUNCTION("""COMPUTED_VALUE"""),"Mona Apu")</f>
        <v>Mona Apu</v>
      </c>
      <c r="D700" s="92" t="str">
        <f ca="1">IFERROR(__xludf.DUMMYFUNCTION("""COMPUTED_VALUE"""),"Md Iasin Ahmed Showrov (S204960)")</f>
        <v>Md Iasin Ahmed Showrov (S204960)</v>
      </c>
      <c r="E700" s="93" t="str">
        <f ca="1">IFERROR(__xludf.DUMMYFUNCTION("""COMPUTED_VALUE"""),"CB19442_Mar26")</f>
        <v>CB19442_Mar26</v>
      </c>
      <c r="F700" s="94" t="str">
        <f ca="1">IFERROR(__xludf.DUMMYFUNCTION("""COMPUTED_VALUE"""),"Packaging Text Design #2")</f>
        <v>Packaging Text Design #2</v>
      </c>
      <c r="G700" s="95" t="str">
        <f ca="1">IFERROR(__xludf.DUMMYFUNCTION("""COMPUTED_VALUE"""),"New")</f>
        <v>New</v>
      </c>
      <c r="H700" s="96">
        <f ca="1">IFERROR(__xludf.DUMMYFUNCTION("""COMPUTED_VALUE"""),1)</f>
        <v>1</v>
      </c>
      <c r="I700" s="97">
        <f ca="1">IFERROR(__xludf.DUMMYFUNCTION("""COMPUTED_VALUE"""),46127)</f>
        <v>46127</v>
      </c>
      <c r="J700" s="98" t="str">
        <f ca="1">IFERROR(__xludf.DUMMYFUNCTION("""COMPUTED_VALUE"""),"CW30166_Apr26")</f>
        <v>CW30166_Apr26</v>
      </c>
      <c r="K700" s="99" t="str">
        <f ca="1">IFERROR(__xludf.DUMMYFUNCTION("""COMPUTED_VALUE"""),"HoM Approved")</f>
        <v>HoM Approved</v>
      </c>
    </row>
    <row r="701" spans="1:11" ht="13.2">
      <c r="A701" s="89" t="str">
        <f ca="1">IFERROR(__xludf.DUMMYFUNCTION("""COMPUTED_VALUE"""),"Pingo")</f>
        <v>Pingo</v>
      </c>
      <c r="B701" s="90" t="str">
        <f ca="1">IFERROR(__xludf.DUMMYFUNCTION("""COMPUTED_VALUE"""),"PAL")</f>
        <v>PAL</v>
      </c>
      <c r="C701" s="91" t="str">
        <f ca="1">IFERROR(__xludf.DUMMYFUNCTION("""COMPUTED_VALUE"""),"Nazmul Vai")</f>
        <v>Nazmul Vai</v>
      </c>
      <c r="D701" s="92" t="str">
        <f ca="1">IFERROR(__xludf.DUMMYFUNCTION("""COMPUTED_VALUE"""),"Md Iasin Ahmed Showrov (S204960)")</f>
        <v>Md Iasin Ahmed Showrov (S204960)</v>
      </c>
      <c r="E701" s="93" t="str">
        <f ca="1">IFERROR(__xludf.DUMMYFUNCTION("""COMPUTED_VALUE"""),"CB21085_Apr26")</f>
        <v>CB21085_Apr26</v>
      </c>
      <c r="F701" s="94" t="str">
        <f ca="1">IFERROR(__xludf.DUMMYFUNCTION("""COMPUTED_VALUE"""),"Packaging Text Design #2")</f>
        <v>Packaging Text Design #2</v>
      </c>
      <c r="G701" s="95" t="str">
        <f ca="1">IFERROR(__xludf.DUMMYFUNCTION("""COMPUTED_VALUE"""),"New")</f>
        <v>New</v>
      </c>
      <c r="H701" s="96">
        <f ca="1">IFERROR(__xludf.DUMMYFUNCTION("""COMPUTED_VALUE"""),4)</f>
        <v>4</v>
      </c>
      <c r="I701" s="97">
        <f ca="1">IFERROR(__xludf.DUMMYFUNCTION("""COMPUTED_VALUE"""),46127)</f>
        <v>46127</v>
      </c>
      <c r="J701" s="98" t="str">
        <f ca="1">IFERROR(__xludf.DUMMYFUNCTION("""COMPUTED_VALUE"""),"CW30165_Apr26")</f>
        <v>CW30165_Apr26</v>
      </c>
      <c r="K701" s="99" t="str">
        <f ca="1">IFERROR(__xludf.DUMMYFUNCTION("""COMPUTED_VALUE"""),"HoM Approved")</f>
        <v>HoM Approved</v>
      </c>
    </row>
    <row r="702" spans="1:11" ht="13.2">
      <c r="A702" s="89" t="str">
        <f ca="1">IFERROR(__xludf.DUMMYFUNCTION("""COMPUTED_VALUE"""),"Canton Noodles")</f>
        <v>Canton Noodles</v>
      </c>
      <c r="B702" s="90" t="str">
        <f ca="1">IFERROR(__xludf.DUMMYFUNCTION("""COMPUTED_VALUE"""),"PAL")</f>
        <v>PAL</v>
      </c>
      <c r="C702" s="91" t="str">
        <f ca="1">IFERROR(__xludf.DUMMYFUNCTION("""COMPUTED_VALUE"""),"Rakib Vai")</f>
        <v>Rakib Vai</v>
      </c>
      <c r="D702" s="92" t="str">
        <f ca="1">IFERROR(__xludf.DUMMYFUNCTION("""COMPUTED_VALUE"""),"Md Iasin Ahmed Showrov (S204960)")</f>
        <v>Md Iasin Ahmed Showrov (S204960)</v>
      </c>
      <c r="E702" s="93" t="str">
        <f ca="1">IFERROR(__xludf.DUMMYFUNCTION("""COMPUTED_VALUE"""),"CB19672_Mar26")</f>
        <v>CB19672_Mar26</v>
      </c>
      <c r="F702" s="94" t="str">
        <f ca="1">IFERROR(__xludf.DUMMYFUNCTION("""COMPUTED_VALUE"""),"Packaging Text Design #1")</f>
        <v>Packaging Text Design #1</v>
      </c>
      <c r="G702" s="95" t="str">
        <f ca="1">IFERROR(__xludf.DUMMYFUNCTION("""COMPUTED_VALUE"""),"New")</f>
        <v>New</v>
      </c>
      <c r="H702" s="96">
        <f ca="1">IFERROR(__xludf.DUMMYFUNCTION("""COMPUTED_VALUE"""),1)</f>
        <v>1</v>
      </c>
      <c r="I702" s="97">
        <f ca="1">IFERROR(__xludf.DUMMYFUNCTION("""COMPUTED_VALUE"""),46127)</f>
        <v>46127</v>
      </c>
      <c r="J702" s="98" t="str">
        <f ca="1">IFERROR(__xludf.DUMMYFUNCTION("""COMPUTED_VALUE"""),"CW30168_Apr26")</f>
        <v>CW30168_Apr26</v>
      </c>
      <c r="K702" s="99" t="str">
        <f ca="1">IFERROR(__xludf.DUMMYFUNCTION("""COMPUTED_VALUE"""),"HoM Approved")</f>
        <v>HoM Approved</v>
      </c>
    </row>
    <row r="703" spans="1:11" ht="13.2">
      <c r="A703" s="89" t="str">
        <f ca="1">IFERROR(__xludf.DUMMYFUNCTION("""COMPUTED_VALUE"""),"Bisk Club Flavored Cream biscuit")</f>
        <v>Bisk Club Flavored Cream biscuit</v>
      </c>
      <c r="B703" s="90" t="str">
        <f ca="1">IFERROR(__xludf.DUMMYFUNCTION("""COMPUTED_VALUE"""),"BBL")</f>
        <v>BBL</v>
      </c>
      <c r="C703" s="91" t="str">
        <f ca="1">IFERROR(__xludf.DUMMYFUNCTION("""COMPUTED_VALUE"""),"Rakib Vai")</f>
        <v>Rakib Vai</v>
      </c>
      <c r="D703" s="92" t="str">
        <f ca="1">IFERROR(__xludf.DUMMYFUNCTION("""COMPUTED_VALUE"""),"Md Iasin Ahmed Showrov (S204960)")</f>
        <v>Md Iasin Ahmed Showrov (S204960)</v>
      </c>
      <c r="E703" s="93" t="str">
        <f ca="1">IFERROR(__xludf.DUMMYFUNCTION("""COMPUTED_VALUE"""),"CB21088_Apr26")</f>
        <v>CB21088_Apr26</v>
      </c>
      <c r="F703" s="94" t="str">
        <f ca="1">IFERROR(__xludf.DUMMYFUNCTION("""COMPUTED_VALUE"""),"Packaging Text Design #2")</f>
        <v>Packaging Text Design #2</v>
      </c>
      <c r="G703" s="95" t="str">
        <f ca="1">IFERROR(__xludf.DUMMYFUNCTION("""COMPUTED_VALUE"""),"New")</f>
        <v>New</v>
      </c>
      <c r="H703" s="96">
        <f ca="1">IFERROR(__xludf.DUMMYFUNCTION("""COMPUTED_VALUE"""),6)</f>
        <v>6</v>
      </c>
      <c r="I703" s="97">
        <f ca="1">IFERROR(__xludf.DUMMYFUNCTION("""COMPUTED_VALUE"""),46127)</f>
        <v>46127</v>
      </c>
      <c r="J703" s="98" t="str">
        <f ca="1">IFERROR(__xludf.DUMMYFUNCTION("""COMPUTED_VALUE"""),"CW30159_Apr26")</f>
        <v>CW30159_Apr26</v>
      </c>
      <c r="K703" s="99" t="str">
        <f ca="1">IFERROR(__xludf.DUMMYFUNCTION("""COMPUTED_VALUE"""),"HoM Approved")</f>
        <v>HoM Approved</v>
      </c>
    </row>
    <row r="704" spans="1:11" ht="13.2">
      <c r="A704" s="89" t="str">
        <f ca="1">IFERROR(__xludf.DUMMYFUNCTION("""COMPUTED_VALUE"""),"PRAN Potata Biscuit")</f>
        <v>PRAN Potata Biscuit</v>
      </c>
      <c r="B704" s="90" t="str">
        <f ca="1">IFERROR(__xludf.DUMMYFUNCTION("""COMPUTED_VALUE"""),"India")</f>
        <v>India</v>
      </c>
      <c r="C704" s="91" t="str">
        <f ca="1">IFERROR(__xludf.DUMMYFUNCTION("""COMPUTED_VALUE"""),"Saema Apu")</f>
        <v>Saema Apu</v>
      </c>
      <c r="D704" s="92" t="str">
        <f ca="1">IFERROR(__xludf.DUMMYFUNCTION("""COMPUTED_VALUE"""),"Md Iasin Ahmed Showrov (S204960)")</f>
        <v>Md Iasin Ahmed Showrov (S204960)</v>
      </c>
      <c r="E704" s="93" t="str">
        <f ca="1">IFERROR(__xludf.DUMMYFUNCTION("""COMPUTED_VALUE"""),"CB21595_Apr26")</f>
        <v>CB21595_Apr26</v>
      </c>
      <c r="F704" s="94" t="str">
        <f ca="1">IFERROR(__xludf.DUMMYFUNCTION("""COMPUTED_VALUE"""),"Packaging Text Design #2")</f>
        <v>Packaging Text Design #2</v>
      </c>
      <c r="G704" s="95" t="str">
        <f ca="1">IFERROR(__xludf.DUMMYFUNCTION("""COMPUTED_VALUE"""),"New")</f>
        <v>New</v>
      </c>
      <c r="H704" s="96">
        <f ca="1">IFERROR(__xludf.DUMMYFUNCTION("""COMPUTED_VALUE"""),5)</f>
        <v>5</v>
      </c>
      <c r="I704" s="97">
        <f ca="1">IFERROR(__xludf.DUMMYFUNCTION("""COMPUTED_VALUE"""),46127)</f>
        <v>46127</v>
      </c>
      <c r="J704" s="98" t="str">
        <f ca="1">IFERROR(__xludf.DUMMYFUNCTION("""COMPUTED_VALUE"""),"CW30167_Apr26")</f>
        <v>CW30167_Apr26</v>
      </c>
      <c r="K704" s="99" t="str">
        <f ca="1">IFERROR(__xludf.DUMMYFUNCTION("""COMPUTED_VALUE"""),"HoM Approved")</f>
        <v>HoM Approved</v>
      </c>
    </row>
    <row r="705" spans="1:11" ht="13.2">
      <c r="A705" s="89" t="str">
        <f ca="1">IFERROR(__xludf.DUMMYFUNCTION("""COMPUTED_VALUE"""),"Common - USA &amp; Europe Export")</f>
        <v>Common - USA &amp; Europe Export</v>
      </c>
      <c r="B705" s="90" t="str">
        <f ca="1">IFERROR(__xludf.DUMMYFUNCTION("""COMPUTED_VALUE"""),"USA &amp; Europe")</f>
        <v>USA &amp; Europe</v>
      </c>
      <c r="C705" s="91" t="str">
        <f ca="1">IFERROR(__xludf.DUMMYFUNCTION("""COMPUTED_VALUE"""),"Saifullah Vai")</f>
        <v>Saifullah Vai</v>
      </c>
      <c r="D705" s="92" t="str">
        <f ca="1">IFERROR(__xludf.DUMMYFUNCTION("""COMPUTED_VALUE"""),"Md Iasin Ahmed Showrov (S204960)")</f>
        <v>Md Iasin Ahmed Showrov (S204960)</v>
      </c>
      <c r="E705" s="93" t="str">
        <f ca="1">IFERROR(__xludf.DUMMYFUNCTION("""COMPUTED_VALUE"""),"CB21232_Apr26")</f>
        <v>CB21232_Apr26</v>
      </c>
      <c r="F705" s="94" t="str">
        <f ca="1">IFERROR(__xludf.DUMMYFUNCTION("""COMPUTED_VALUE"""),"Packaging Text Design #1")</f>
        <v>Packaging Text Design #1</v>
      </c>
      <c r="G705" s="95" t="str">
        <f ca="1">IFERROR(__xludf.DUMMYFUNCTION("""COMPUTED_VALUE"""),"New")</f>
        <v>New</v>
      </c>
      <c r="H705" s="96">
        <f ca="1">IFERROR(__xludf.DUMMYFUNCTION("""COMPUTED_VALUE"""),5)</f>
        <v>5</v>
      </c>
      <c r="I705" s="97">
        <f ca="1">IFERROR(__xludf.DUMMYFUNCTION("""COMPUTED_VALUE"""),46127)</f>
        <v>46127</v>
      </c>
      <c r="J705" s="98" t="str">
        <f ca="1">IFERROR(__xludf.DUMMYFUNCTION("""COMPUTED_VALUE"""),"CW30169_Apr26")</f>
        <v>CW30169_Apr26</v>
      </c>
      <c r="K705" s="99" t="str">
        <f ca="1">IFERROR(__xludf.DUMMYFUNCTION("""COMPUTED_VALUE"""),"HoM Approved")</f>
        <v>HoM Approved</v>
      </c>
    </row>
    <row r="706" spans="1:11" ht="13.2">
      <c r="A706" s="89" t="str">
        <f ca="1">IFERROR(__xludf.DUMMYFUNCTION("""COMPUTED_VALUE"""),"Common - USA &amp; Europe Export")</f>
        <v>Common - USA &amp; Europe Export</v>
      </c>
      <c r="B706" s="90" t="str">
        <f ca="1">IFERROR(__xludf.DUMMYFUNCTION("""COMPUTED_VALUE"""),"USA &amp; Europe")</f>
        <v>USA &amp; Europe</v>
      </c>
      <c r="C706" s="91" t="str">
        <f ca="1">IFERROR(__xludf.DUMMYFUNCTION("""COMPUTED_VALUE"""),"Saifullah Vai")</f>
        <v>Saifullah Vai</v>
      </c>
      <c r="D706" s="92" t="str">
        <f ca="1">IFERROR(__xludf.DUMMYFUNCTION("""COMPUTED_VALUE"""),"Md Iasin Ahmed Showrov (S204960)")</f>
        <v>Md Iasin Ahmed Showrov (S204960)</v>
      </c>
      <c r="E706" s="93" t="str">
        <f ca="1">IFERROR(__xludf.DUMMYFUNCTION("""COMPUTED_VALUE"""),"CB21382_Apr26")</f>
        <v>CB21382_Apr26</v>
      </c>
      <c r="F706" s="94" t="str">
        <f ca="1">IFERROR(__xludf.DUMMYFUNCTION("""COMPUTED_VALUE"""),"Packaging Text Design #1")</f>
        <v>Packaging Text Design #1</v>
      </c>
      <c r="G706" s="95" t="str">
        <f ca="1">IFERROR(__xludf.DUMMYFUNCTION("""COMPUTED_VALUE"""),"New")</f>
        <v>New</v>
      </c>
      <c r="H706" s="96">
        <f ca="1">IFERROR(__xludf.DUMMYFUNCTION("""COMPUTED_VALUE"""),1)</f>
        <v>1</v>
      </c>
      <c r="I706" s="97">
        <f ca="1">IFERROR(__xludf.DUMMYFUNCTION("""COMPUTED_VALUE"""),46127)</f>
        <v>46127</v>
      </c>
      <c r="J706" s="98" t="str">
        <f ca="1">IFERROR(__xludf.DUMMYFUNCTION("""COMPUTED_VALUE"""),"CW30163_Apr26")</f>
        <v>CW30163_Apr26</v>
      </c>
      <c r="K706" s="99" t="str">
        <f ca="1">IFERROR(__xludf.DUMMYFUNCTION("""COMPUTED_VALUE"""),"HoM Approved")</f>
        <v>HoM Approved</v>
      </c>
    </row>
    <row r="707" spans="1:11" ht="13.2">
      <c r="A707" s="89" t="str">
        <f ca="1">IFERROR(__xludf.DUMMYFUNCTION("""COMPUTED_VALUE"""),"PRAN Chocolord")</f>
        <v>PRAN Chocolord</v>
      </c>
      <c r="B707" s="90" t="str">
        <f ca="1">IFERROR(__xludf.DUMMYFUNCTION("""COMPUTED_VALUE"""),"PAL")</f>
        <v>PAL</v>
      </c>
      <c r="C707" s="91" t="str">
        <f ca="1">IFERROR(__xludf.DUMMYFUNCTION("""COMPUTED_VALUE"""),"Samantha Apu")</f>
        <v>Samantha Apu</v>
      </c>
      <c r="D707" s="92" t="str">
        <f ca="1">IFERROR(__xludf.DUMMYFUNCTION("""COMPUTED_VALUE"""),"Md Iasin Ahmed Showrov (S204960)")</f>
        <v>Md Iasin Ahmed Showrov (S204960)</v>
      </c>
      <c r="E707" s="93" t="str">
        <f ca="1">IFERROR(__xludf.DUMMYFUNCTION("""COMPUTED_VALUE"""),"CB19515_Mar26")</f>
        <v>CB19515_Mar26</v>
      </c>
      <c r="F707" s="94" t="str">
        <f ca="1">IFERROR(__xludf.DUMMYFUNCTION("""COMPUTED_VALUE"""),"Packaging Text Design #2")</f>
        <v>Packaging Text Design #2</v>
      </c>
      <c r="G707" s="95" t="str">
        <f ca="1">IFERROR(__xludf.DUMMYFUNCTION("""COMPUTED_VALUE"""),"New")</f>
        <v>New</v>
      </c>
      <c r="H707" s="96">
        <f ca="1">IFERROR(__xludf.DUMMYFUNCTION("""COMPUTED_VALUE"""),1)</f>
        <v>1</v>
      </c>
      <c r="I707" s="97">
        <f ca="1">IFERROR(__xludf.DUMMYFUNCTION("""COMPUTED_VALUE"""),46127)</f>
        <v>46127</v>
      </c>
      <c r="J707" s="98" t="str">
        <f ca="1">IFERROR(__xludf.DUMMYFUNCTION("""COMPUTED_VALUE"""),"CW30164_Apr26")</f>
        <v>CW30164_Apr26</v>
      </c>
      <c r="K707" s="99" t="str">
        <f ca="1">IFERROR(__xludf.DUMMYFUNCTION("""COMPUTED_VALUE"""),"Brief Submitted")</f>
        <v>Brief Submitted</v>
      </c>
    </row>
    <row r="708" spans="1:11" ht="13.2">
      <c r="A708" s="89" t="str">
        <f ca="1">IFERROR(__xludf.DUMMYFUNCTION("""COMPUTED_VALUE"""),"PRAN Cookies")</f>
        <v>PRAN Cookies</v>
      </c>
      <c r="B708" s="90" t="str">
        <f ca="1">IFERROR(__xludf.DUMMYFUNCTION("""COMPUTED_VALUE"""),"BBL")</f>
        <v>BBL</v>
      </c>
      <c r="C708" s="91" t="str">
        <f ca="1">IFERROR(__xludf.DUMMYFUNCTION("""COMPUTED_VALUE"""),"Shamsul Sir")</f>
        <v>Shamsul Sir</v>
      </c>
      <c r="D708" s="92" t="str">
        <f ca="1">IFERROR(__xludf.DUMMYFUNCTION("""COMPUTED_VALUE"""),"Md Iasin Ahmed Showrov (S204960)")</f>
        <v>Md Iasin Ahmed Showrov (S204960)</v>
      </c>
      <c r="E708" s="93" t="str">
        <f ca="1">IFERROR(__xludf.DUMMYFUNCTION("""COMPUTED_VALUE"""),"CB21516_Apr26")</f>
        <v>CB21516_Apr26</v>
      </c>
      <c r="F708" s="94" t="str">
        <f ca="1">IFERROR(__xludf.DUMMYFUNCTION("""COMPUTED_VALUE"""),"Packaging Text Design #2")</f>
        <v>Packaging Text Design #2</v>
      </c>
      <c r="G708" s="95" t="str">
        <f ca="1">IFERROR(__xludf.DUMMYFUNCTION("""COMPUTED_VALUE"""),"New")</f>
        <v>New</v>
      </c>
      <c r="H708" s="96">
        <f ca="1">IFERROR(__xludf.DUMMYFUNCTION("""COMPUTED_VALUE"""),1)</f>
        <v>1</v>
      </c>
      <c r="I708" s="97">
        <f ca="1">IFERROR(__xludf.DUMMYFUNCTION("""COMPUTED_VALUE"""),46127)</f>
        <v>46127</v>
      </c>
      <c r="J708" s="98" t="str">
        <f ca="1">IFERROR(__xludf.DUMMYFUNCTION("""COMPUTED_VALUE"""),"CW30155_Apr26")</f>
        <v>CW30155_Apr26</v>
      </c>
      <c r="K708" s="99" t="str">
        <f ca="1">IFERROR(__xludf.DUMMYFUNCTION("""COMPUTED_VALUE"""),"HoM Approved")</f>
        <v>HoM Approved</v>
      </c>
    </row>
    <row r="709" spans="1:11" ht="13.2">
      <c r="A709" s="89" t="str">
        <f ca="1">IFERROR(__xludf.DUMMYFUNCTION("""COMPUTED_VALUE"""),"PRAN Recipe Mix")</f>
        <v>PRAN Recipe Mix</v>
      </c>
      <c r="B709" s="90" t="str">
        <f ca="1">IFERROR(__xludf.DUMMYFUNCTION("""COMPUTED_VALUE"""),"NAL")</f>
        <v>NAL</v>
      </c>
      <c r="C709" s="91" t="str">
        <f ca="1">IFERROR(__xludf.DUMMYFUNCTION("""COMPUTED_VALUE"""),"Shamsul Sir")</f>
        <v>Shamsul Sir</v>
      </c>
      <c r="D709" s="92" t="str">
        <f ca="1">IFERROR(__xludf.DUMMYFUNCTION("""COMPUTED_VALUE"""),"Md Iasin Ahmed Showrov (S204960)")</f>
        <v>Md Iasin Ahmed Showrov (S204960)</v>
      </c>
      <c r="E709" s="93" t="str">
        <f ca="1">IFERROR(__xludf.DUMMYFUNCTION("""COMPUTED_VALUE"""),"CB21188_Apr26")</f>
        <v>CB21188_Apr26</v>
      </c>
      <c r="F709" s="94" t="str">
        <f ca="1">IFERROR(__xludf.DUMMYFUNCTION("""COMPUTED_VALUE"""),"Packaging Text Design #2")</f>
        <v>Packaging Text Design #2</v>
      </c>
      <c r="G709" s="95" t="str">
        <f ca="1">IFERROR(__xludf.DUMMYFUNCTION("""COMPUTED_VALUE"""),"New")</f>
        <v>New</v>
      </c>
      <c r="H709" s="96">
        <f ca="1">IFERROR(__xludf.DUMMYFUNCTION("""COMPUTED_VALUE"""),9)</f>
        <v>9</v>
      </c>
      <c r="I709" s="97">
        <f ca="1">IFERROR(__xludf.DUMMYFUNCTION("""COMPUTED_VALUE"""),46127)</f>
        <v>46127</v>
      </c>
      <c r="J709" s="98" t="str">
        <f ca="1">IFERROR(__xludf.DUMMYFUNCTION("""COMPUTED_VALUE"""),"CW30161_Apr26")</f>
        <v>CW30161_Apr26</v>
      </c>
      <c r="K709" s="99" t="str">
        <f ca="1">IFERROR(__xludf.DUMMYFUNCTION("""COMPUTED_VALUE"""),"HoM Approved")</f>
        <v>HoM Approved</v>
      </c>
    </row>
    <row r="710" spans="1:11" ht="13.2">
      <c r="A710" s="89" t="str">
        <f ca="1">IFERROR(__xludf.DUMMYFUNCTION("""COMPUTED_VALUE"""),"Pluto Chocolate Gems")</f>
        <v>Pluto Chocolate Gems</v>
      </c>
      <c r="B710" s="90" t="str">
        <f ca="1">IFERROR(__xludf.DUMMYFUNCTION("""COMPUTED_VALUE"""),"PCL")</f>
        <v>PCL</v>
      </c>
      <c r="C710" s="91" t="str">
        <f ca="1">IFERROR(__xludf.DUMMYFUNCTION("""COMPUTED_VALUE"""),"Zahirul Vai")</f>
        <v>Zahirul Vai</v>
      </c>
      <c r="D710" s="92" t="str">
        <f ca="1">IFERROR(__xludf.DUMMYFUNCTION("""COMPUTED_VALUE"""),"Md Iasin Ahmed Showrov (S204960)")</f>
        <v>Md Iasin Ahmed Showrov (S204960)</v>
      </c>
      <c r="E710" s="93" t="str">
        <f ca="1">IFERROR(__xludf.DUMMYFUNCTION("""COMPUTED_VALUE"""),"CB19199_Mar26")</f>
        <v>CB19199_Mar26</v>
      </c>
      <c r="F710" s="94" t="str">
        <f ca="1">IFERROR(__xludf.DUMMYFUNCTION("""COMPUTED_VALUE"""),"Black Cylinder Output")</f>
        <v>Black Cylinder Output</v>
      </c>
      <c r="G710" s="95" t="str">
        <f ca="1">IFERROR(__xludf.DUMMYFUNCTION("""COMPUTED_VALUE"""),"New")</f>
        <v>New</v>
      </c>
      <c r="H710" s="96">
        <f ca="1">IFERROR(__xludf.DUMMYFUNCTION("""COMPUTED_VALUE"""),1)</f>
        <v>1</v>
      </c>
      <c r="I710" s="97">
        <f ca="1">IFERROR(__xludf.DUMMYFUNCTION("""COMPUTED_VALUE"""),46128)</f>
        <v>46128</v>
      </c>
      <c r="J710" s="98" t="str">
        <f ca="1">IFERROR(__xludf.DUMMYFUNCTION("""COMPUTED_VALUE"""),"CW30280_Apr26")</f>
        <v>CW30280_Apr26</v>
      </c>
      <c r="K710" s="99" t="str">
        <f ca="1">IFERROR(__xludf.DUMMYFUNCTION("""COMPUTED_VALUE"""),"HoM Approved")</f>
        <v>HoM Approved</v>
      </c>
    </row>
    <row r="711" spans="1:11" ht="13.2">
      <c r="A711" s="89" t="str">
        <f ca="1">IFERROR(__xludf.DUMMYFUNCTION("""COMPUTED_VALUE"""),"Pluto Chocolate Gems")</f>
        <v>Pluto Chocolate Gems</v>
      </c>
      <c r="B711" s="90" t="str">
        <f ca="1">IFERROR(__xludf.DUMMYFUNCTION("""COMPUTED_VALUE"""),"PCL")</f>
        <v>PCL</v>
      </c>
      <c r="C711" s="91" t="str">
        <f ca="1">IFERROR(__xludf.DUMMYFUNCTION("""COMPUTED_VALUE"""),"Zahirul Vai")</f>
        <v>Zahirul Vai</v>
      </c>
      <c r="D711" s="92" t="str">
        <f ca="1">IFERROR(__xludf.DUMMYFUNCTION("""COMPUTED_VALUE"""),"Md Iasin Ahmed Showrov (S204960)")</f>
        <v>Md Iasin Ahmed Showrov (S204960)</v>
      </c>
      <c r="E711" s="93" t="str">
        <f ca="1">IFERROR(__xludf.DUMMYFUNCTION("""COMPUTED_VALUE"""),"CB19199_Mar26")</f>
        <v>CB19199_Mar26</v>
      </c>
      <c r="F711" s="94" t="str">
        <f ca="1">IFERROR(__xludf.DUMMYFUNCTION("""COMPUTED_VALUE"""),"Packaging Text Design #1")</f>
        <v>Packaging Text Design #1</v>
      </c>
      <c r="G711" s="95" t="str">
        <f ca="1">IFERROR(__xludf.DUMMYFUNCTION("""COMPUTED_VALUE"""),"New")</f>
        <v>New</v>
      </c>
      <c r="H711" s="96">
        <f ca="1">IFERROR(__xludf.DUMMYFUNCTION("""COMPUTED_VALUE"""),1)</f>
        <v>1</v>
      </c>
      <c r="I711" s="97">
        <f ca="1">IFERROR(__xludf.DUMMYFUNCTION("""COMPUTED_VALUE"""),46128)</f>
        <v>46128</v>
      </c>
      <c r="J711" s="98" t="str">
        <f ca="1">IFERROR(__xludf.DUMMYFUNCTION("""COMPUTED_VALUE"""),"CW30280_Apr26")</f>
        <v>CW30280_Apr26</v>
      </c>
      <c r="K711" s="99" t="str">
        <f ca="1">IFERROR(__xludf.DUMMYFUNCTION("""COMPUTED_VALUE"""),"HoM Approved")</f>
        <v>HoM Approved</v>
      </c>
    </row>
    <row r="712" spans="1:11" ht="13.2">
      <c r="A712" s="89" t="str">
        <f ca="1">IFERROR(__xludf.DUMMYFUNCTION("""COMPUTED_VALUE"""),"Choco Choco")</f>
        <v>Choco Choco</v>
      </c>
      <c r="B712" s="90" t="str">
        <f ca="1">IFERROR(__xludf.DUMMYFUNCTION("""COMPUTED_VALUE"""),"Africa")</f>
        <v>Africa</v>
      </c>
      <c r="C712" s="91" t="str">
        <f ca="1">IFERROR(__xludf.DUMMYFUNCTION("""COMPUTED_VALUE"""),"Zahirul Vai")</f>
        <v>Zahirul Vai</v>
      </c>
      <c r="D712" s="92" t="str">
        <f ca="1">IFERROR(__xludf.DUMMYFUNCTION("""COMPUTED_VALUE"""),"Md Iasin Ahmed Showrov (S204960)")</f>
        <v>Md Iasin Ahmed Showrov (S204960)</v>
      </c>
      <c r="E712" s="93" t="str">
        <f ca="1">IFERROR(__xludf.DUMMYFUNCTION("""COMPUTED_VALUE"""),"CB21008_Apr26")</f>
        <v>CB21008_Apr26</v>
      </c>
      <c r="F712" s="94" t="str">
        <f ca="1">IFERROR(__xludf.DUMMYFUNCTION("""COMPUTED_VALUE"""),"Packaging Text Design #2")</f>
        <v>Packaging Text Design #2</v>
      </c>
      <c r="G712" s="95" t="str">
        <f ca="1">IFERROR(__xludf.DUMMYFUNCTION("""COMPUTED_VALUE"""),"New")</f>
        <v>New</v>
      </c>
      <c r="H712" s="96">
        <f ca="1">IFERROR(__xludf.DUMMYFUNCTION("""COMPUTED_VALUE"""),2)</f>
        <v>2</v>
      </c>
      <c r="I712" s="97">
        <f ca="1">IFERROR(__xludf.DUMMYFUNCTION("""COMPUTED_VALUE"""),46128)</f>
        <v>46128</v>
      </c>
      <c r="J712" s="98" t="str">
        <f ca="1">IFERROR(__xludf.DUMMYFUNCTION("""COMPUTED_VALUE"""),"CW30234_Apr26")</f>
        <v>CW30234_Apr26</v>
      </c>
      <c r="K712" s="99" t="str">
        <f ca="1">IFERROR(__xludf.DUMMYFUNCTION("""COMPUTED_VALUE"""),"HoM Approved")</f>
        <v>HoM Approved</v>
      </c>
    </row>
    <row r="713" spans="1:11" ht="13.2">
      <c r="A713" s="89" t="str">
        <f ca="1">IFERROR(__xludf.DUMMYFUNCTION("""COMPUTED_VALUE"""),"HIP-ALL")</f>
        <v>HIP-ALL</v>
      </c>
      <c r="B713" s="90" t="str">
        <f ca="1">IFERROR(__xludf.DUMMYFUNCTION("""COMPUTED_VALUE"""),"Philippines")</f>
        <v>Philippines</v>
      </c>
      <c r="C713" s="91" t="str">
        <f ca="1">IFERROR(__xludf.DUMMYFUNCTION("""COMPUTED_VALUE"""),"Mubassira Apu")</f>
        <v>Mubassira Apu</v>
      </c>
      <c r="D713" s="92" t="str">
        <f ca="1">IFERROR(__xludf.DUMMYFUNCTION("""COMPUTED_VALUE"""),"Md Iasin Ahmed Showrov (S204960)")</f>
        <v>Md Iasin Ahmed Showrov (S204960)</v>
      </c>
      <c r="E713" s="93" t="str">
        <f ca="1">IFERROR(__xludf.DUMMYFUNCTION("""COMPUTED_VALUE"""),"CB21474_Apr26")</f>
        <v>CB21474_Apr26</v>
      </c>
      <c r="F713" s="94" t="str">
        <f ca="1">IFERROR(__xludf.DUMMYFUNCTION("""COMPUTED_VALUE"""),"Document Text Correction")</f>
        <v>Document Text Correction</v>
      </c>
      <c r="G713" s="95" t="str">
        <f ca="1">IFERROR(__xludf.DUMMYFUNCTION("""COMPUTED_VALUE"""),"New")</f>
        <v>New</v>
      </c>
      <c r="H713" s="96">
        <f ca="1">IFERROR(__xludf.DUMMYFUNCTION("""COMPUTED_VALUE"""),12)</f>
        <v>12</v>
      </c>
      <c r="I713" s="97">
        <f ca="1">IFERROR(__xludf.DUMMYFUNCTION("""COMPUTED_VALUE"""),46130)</f>
        <v>46130</v>
      </c>
      <c r="J713" s="98" t="str">
        <f ca="1">IFERROR(__xludf.DUMMYFUNCTION("""COMPUTED_VALUE"""),"CW30309_Apr26")</f>
        <v>CW30309_Apr26</v>
      </c>
      <c r="K713" s="99" t="str">
        <f ca="1">IFERROR(__xludf.DUMMYFUNCTION("""COMPUTED_VALUE"""),"HoM Approved")</f>
        <v>HoM Approved</v>
      </c>
    </row>
    <row r="714" spans="1:11" ht="13.2">
      <c r="A714" s="89" t="str">
        <f ca="1">IFERROR(__xludf.DUMMYFUNCTION("""COMPUTED_VALUE"""),"PRAN Noodles")</f>
        <v>PRAN Noodles</v>
      </c>
      <c r="B714" s="90" t="str">
        <f ca="1">IFERROR(__xludf.DUMMYFUNCTION("""COMPUTED_VALUE"""),"PAL")</f>
        <v>PAL</v>
      </c>
      <c r="C714" s="91" t="str">
        <f ca="1">IFERROR(__xludf.DUMMYFUNCTION("""COMPUTED_VALUE"""),"Zahirul Vai")</f>
        <v>Zahirul Vai</v>
      </c>
      <c r="D714" s="92" t="str">
        <f ca="1">IFERROR(__xludf.DUMMYFUNCTION("""COMPUTED_VALUE"""),"Md Iasin Ahmed Showrov (S204960)")</f>
        <v>Md Iasin Ahmed Showrov (S204960)</v>
      </c>
      <c r="E714" s="93" t="str">
        <f ca="1">IFERROR(__xludf.DUMMYFUNCTION("""COMPUTED_VALUE"""),"CB13969_Dec25")</f>
        <v>CB13969_Dec25</v>
      </c>
      <c r="F714" s="94" t="str">
        <f ca="1">IFERROR(__xludf.DUMMYFUNCTION("""COMPUTED_VALUE"""),"Black Cylinder Output")</f>
        <v>Black Cylinder Output</v>
      </c>
      <c r="G714" s="95" t="str">
        <f ca="1">IFERROR(__xludf.DUMMYFUNCTION("""COMPUTED_VALUE"""),"New")</f>
        <v>New</v>
      </c>
      <c r="H714" s="96">
        <f ca="1">IFERROR(__xludf.DUMMYFUNCTION("""COMPUTED_VALUE"""),3)</f>
        <v>3</v>
      </c>
      <c r="I714" s="97">
        <f ca="1">IFERROR(__xludf.DUMMYFUNCTION("""COMPUTED_VALUE"""),46134)</f>
        <v>46134</v>
      </c>
      <c r="J714" s="98" t="str">
        <f ca="1">IFERROR(__xludf.DUMMYFUNCTION("""COMPUTED_VALUE"""),"CW30809_Apr26")</f>
        <v>CW30809_Apr26</v>
      </c>
      <c r="K714" s="99" t="str">
        <f ca="1">IFERROR(__xludf.DUMMYFUNCTION("""COMPUTED_VALUE"""),"HoM Approved")</f>
        <v>HoM Approved</v>
      </c>
    </row>
    <row r="715" spans="1:11" ht="13.2">
      <c r="A715" s="89" t="str">
        <f ca="1">IFERROR(__xludf.DUMMYFUNCTION("""COMPUTED_VALUE"""),"MAL ALL")</f>
        <v>MAL ALL</v>
      </c>
      <c r="B715" s="90" t="str">
        <f ca="1">IFERROR(__xludf.DUMMYFUNCTION("""COMPUTED_VALUE"""),"Philippines")</f>
        <v>Philippines</v>
      </c>
      <c r="C715" s="91" t="str">
        <f ca="1">IFERROR(__xludf.DUMMYFUNCTION("""COMPUTED_VALUE"""),"Farjana Apu")</f>
        <v>Farjana Apu</v>
      </c>
      <c r="D715" s="92" t="str">
        <f ca="1">IFERROR(__xludf.DUMMYFUNCTION("""COMPUTED_VALUE"""),"Md Iasin Ahmed Showrov (S204960)")</f>
        <v>Md Iasin Ahmed Showrov (S204960)</v>
      </c>
      <c r="E715" s="93" t="str">
        <f ca="1">IFERROR(__xludf.DUMMYFUNCTION("""COMPUTED_VALUE"""),"CB23146_May26")</f>
        <v>CB23146_May26</v>
      </c>
      <c r="F715" s="94" t="str">
        <f ca="1">IFERROR(__xludf.DUMMYFUNCTION("""COMPUTED_VALUE"""),"Packaging Text Design #1")</f>
        <v>Packaging Text Design #1</v>
      </c>
      <c r="G715" s="95" t="str">
        <f ca="1">IFERROR(__xludf.DUMMYFUNCTION("""COMPUTED_VALUE"""),"New")</f>
        <v>New</v>
      </c>
      <c r="H715" s="96">
        <f ca="1">IFERROR(__xludf.DUMMYFUNCTION("""COMPUTED_VALUE"""),4)</f>
        <v>4</v>
      </c>
      <c r="I715" s="97">
        <f ca="1">IFERROR(__xludf.DUMMYFUNCTION("""COMPUTED_VALUE"""),46148)</f>
        <v>46148</v>
      </c>
      <c r="J715" s="98" t="str">
        <f ca="1">IFERROR(__xludf.DUMMYFUNCTION("""COMPUTED_VALUE"""),"CW32582_May26")</f>
        <v>CW32582_May26</v>
      </c>
      <c r="K715" s="99" t="str">
        <f ca="1">IFERROR(__xludf.DUMMYFUNCTION("""COMPUTED_VALUE"""),"HoM Approved")</f>
        <v>HoM Approved</v>
      </c>
    </row>
    <row r="716" spans="1:11" ht="13.2">
      <c r="A716" s="89" t="str">
        <f ca="1">IFERROR(__xludf.DUMMYFUNCTION("""COMPUTED_VALUE"""),"Common - USA &amp; Europe Export")</f>
        <v>Common - USA &amp; Europe Export</v>
      </c>
      <c r="B716" s="90" t="str">
        <f ca="1">IFERROR(__xludf.DUMMYFUNCTION("""COMPUTED_VALUE"""),"USA &amp; Europe")</f>
        <v>USA &amp; Europe</v>
      </c>
      <c r="C716" s="91" t="str">
        <f ca="1">IFERROR(__xludf.DUMMYFUNCTION("""COMPUTED_VALUE"""),"Saifullah Vai")</f>
        <v>Saifullah Vai</v>
      </c>
      <c r="D716" s="92" t="str">
        <f ca="1">IFERROR(__xludf.DUMMYFUNCTION("""COMPUTED_VALUE"""),"Md Iasin Ahmed Showrov (S204960)")</f>
        <v>Md Iasin Ahmed Showrov (S204960)</v>
      </c>
      <c r="E716" s="93" t="str">
        <f ca="1">IFERROR(__xludf.DUMMYFUNCTION("""COMPUTED_VALUE"""),"CB23429_May26")</f>
        <v>CB23429_May26</v>
      </c>
      <c r="F716" s="94" t="str">
        <f ca="1">IFERROR(__xludf.DUMMYFUNCTION("""COMPUTED_VALUE"""),"Packaging Text Design #2")</f>
        <v>Packaging Text Design #2</v>
      </c>
      <c r="G716" s="95" t="str">
        <f ca="1">IFERROR(__xludf.DUMMYFUNCTION("""COMPUTED_VALUE"""),"New")</f>
        <v>New</v>
      </c>
      <c r="H716" s="96">
        <f ca="1">IFERROR(__xludf.DUMMYFUNCTION("""COMPUTED_VALUE"""),2)</f>
        <v>2</v>
      </c>
      <c r="I716" s="97">
        <f ca="1">IFERROR(__xludf.DUMMYFUNCTION("""COMPUTED_VALUE"""),46148)</f>
        <v>46148</v>
      </c>
      <c r="J716" s="98" t="str">
        <f ca="1">IFERROR(__xludf.DUMMYFUNCTION("""COMPUTED_VALUE"""),"CW32581_May26")</f>
        <v>CW32581_May26</v>
      </c>
      <c r="K716" s="99" t="str">
        <f ca="1">IFERROR(__xludf.DUMMYFUNCTION("""COMPUTED_VALUE"""),"HoM Approved")</f>
        <v>HoM Approved</v>
      </c>
    </row>
    <row r="717" spans="1:11" ht="13.2">
      <c r="A717" s="89" t="str">
        <f ca="1">IFERROR(__xludf.DUMMYFUNCTION("""COMPUTED_VALUE"""),"HIP-ALL")</f>
        <v>HIP-ALL</v>
      </c>
      <c r="B717" s="90" t="str">
        <f ca="1">IFERROR(__xludf.DUMMYFUNCTION("""COMPUTED_VALUE"""),"Philippines")</f>
        <v>Philippines</v>
      </c>
      <c r="C717" s="91" t="str">
        <f ca="1">IFERROR(__xludf.DUMMYFUNCTION("""COMPUTED_VALUE"""),"Fiza Apu")</f>
        <v>Fiza Apu</v>
      </c>
      <c r="D717" s="92" t="str">
        <f ca="1">IFERROR(__xludf.DUMMYFUNCTION("""COMPUTED_VALUE"""),"Md Iasin Ahmed Showrov (S204960)")</f>
        <v>Md Iasin Ahmed Showrov (S204960)</v>
      </c>
      <c r="E717" s="93" t="str">
        <f ca="1">IFERROR(__xludf.DUMMYFUNCTION("""COMPUTED_VALUE"""),"CB21782_Apr26")</f>
        <v>CB21782_Apr26</v>
      </c>
      <c r="F717" s="94" t="str">
        <f ca="1">IFERROR(__xludf.DUMMYFUNCTION("""COMPUTED_VALUE"""),"Packaging Text Design #2")</f>
        <v>Packaging Text Design #2</v>
      </c>
      <c r="G717" s="95" t="str">
        <f ca="1">IFERROR(__xludf.DUMMYFUNCTION("""COMPUTED_VALUE"""),"New")</f>
        <v>New</v>
      </c>
      <c r="H717" s="96">
        <f ca="1">IFERROR(__xludf.DUMMYFUNCTION("""COMPUTED_VALUE"""),1)</f>
        <v>1</v>
      </c>
      <c r="I717" s="97">
        <f ca="1">IFERROR(__xludf.DUMMYFUNCTION("""COMPUTED_VALUE"""),46154)</f>
        <v>46154</v>
      </c>
      <c r="J717" s="98" t="str">
        <f ca="1">IFERROR(__xludf.DUMMYFUNCTION("""COMPUTED_VALUE"""),"CW33273_May26")</f>
        <v>CW33273_May26</v>
      </c>
      <c r="K717" s="99" t="str">
        <f ca="1">IFERROR(__xludf.DUMMYFUNCTION("""COMPUTED_VALUE"""),"HoM Approved")</f>
        <v>HoM Approved</v>
      </c>
    </row>
    <row r="718" spans="1:11" ht="13.2">
      <c r="A718" s="89" t="str">
        <f ca="1">IFERROR(__xludf.DUMMYFUNCTION("""COMPUTED_VALUE"""),"Sabiha Spice Powder")</f>
        <v>Sabiha Spice Powder</v>
      </c>
      <c r="B718" s="90" t="str">
        <f ca="1">IFERROR(__xludf.DUMMYFUNCTION("""COMPUTED_VALUE"""),"PAL")</f>
        <v>PAL</v>
      </c>
      <c r="C718" s="91" t="str">
        <f ca="1">IFERROR(__xludf.DUMMYFUNCTION("""COMPUTED_VALUE"""),"Nusrat Apu")</f>
        <v>Nusrat Apu</v>
      </c>
      <c r="D718" s="92" t="str">
        <f ca="1">IFERROR(__xludf.DUMMYFUNCTION("""COMPUTED_VALUE"""),"Md Iasin Ahmed Showrov (S204960)")</f>
        <v>Md Iasin Ahmed Showrov (S204960)</v>
      </c>
      <c r="E718" s="93" t="str">
        <f ca="1">IFERROR(__xludf.DUMMYFUNCTION("""COMPUTED_VALUE"""),"CB19948_Mar26")</f>
        <v>CB19948_Mar26</v>
      </c>
      <c r="F718" s="94" t="str">
        <f ca="1">IFERROR(__xludf.DUMMYFUNCTION("""COMPUTED_VALUE"""),"Packaging Text Design #1")</f>
        <v>Packaging Text Design #1</v>
      </c>
      <c r="G718" s="95" t="str">
        <f ca="1">IFERROR(__xludf.DUMMYFUNCTION("""COMPUTED_VALUE"""),"New")</f>
        <v>New</v>
      </c>
      <c r="H718" s="96">
        <f ca="1">IFERROR(__xludf.DUMMYFUNCTION("""COMPUTED_VALUE"""),1)</f>
        <v>1</v>
      </c>
      <c r="I718" s="97">
        <f ca="1">IFERROR(__xludf.DUMMYFUNCTION("""COMPUTED_VALUE"""),46154)</f>
        <v>46154</v>
      </c>
      <c r="J718" s="98" t="str">
        <f ca="1">IFERROR(__xludf.DUMMYFUNCTION("""COMPUTED_VALUE"""),"CW33270_May26")</f>
        <v>CW33270_May26</v>
      </c>
      <c r="K718" s="99" t="str">
        <f ca="1">IFERROR(__xludf.DUMMYFUNCTION("""COMPUTED_VALUE"""),"HoM Approved")</f>
        <v>HoM Approved</v>
      </c>
    </row>
    <row r="719" spans="1:11" ht="13.2">
      <c r="A719" s="89" t="str">
        <f ca="1">IFERROR(__xludf.DUMMYFUNCTION("""COMPUTED_VALUE"""),"Common - All PAL")</f>
        <v>Common - All PAL</v>
      </c>
      <c r="B719" s="90" t="str">
        <f ca="1">IFERROR(__xludf.DUMMYFUNCTION("""COMPUTED_VALUE"""),"PAL")</f>
        <v>PAL</v>
      </c>
      <c r="C719" s="91" t="str">
        <f ca="1">IFERROR(__xludf.DUMMYFUNCTION("""COMPUTED_VALUE"""),"Rabby Vai")</f>
        <v>Rabby Vai</v>
      </c>
      <c r="D719" s="92" t="str">
        <f ca="1">IFERROR(__xludf.DUMMYFUNCTION("""COMPUTED_VALUE"""),"Md Iasin Ahmed Showrov (S204960)")</f>
        <v>Md Iasin Ahmed Showrov (S204960)</v>
      </c>
      <c r="E719" s="93" t="str">
        <f ca="1">IFERROR(__xludf.DUMMYFUNCTION("""COMPUTED_VALUE"""),"CB23803_May26")</f>
        <v>CB23803_May26</v>
      </c>
      <c r="F719" s="94" t="str">
        <f ca="1">IFERROR(__xludf.DUMMYFUNCTION("""COMPUTED_VALUE"""),"Document Text Correction")</f>
        <v>Document Text Correction</v>
      </c>
      <c r="G719" s="95" t="str">
        <f ca="1">IFERROR(__xludf.DUMMYFUNCTION("""COMPUTED_VALUE"""),"New")</f>
        <v>New</v>
      </c>
      <c r="H719" s="96">
        <f ca="1">IFERROR(__xludf.DUMMYFUNCTION("""COMPUTED_VALUE"""),34)</f>
        <v>34</v>
      </c>
      <c r="I719" s="97">
        <f ca="1">IFERROR(__xludf.DUMMYFUNCTION("""COMPUTED_VALUE"""),46154)</f>
        <v>46154</v>
      </c>
      <c r="J719" s="98" t="str">
        <f ca="1">IFERROR(__xludf.DUMMYFUNCTION("""COMPUTED_VALUE"""),"CW33261_May26")</f>
        <v>CW33261_May26</v>
      </c>
      <c r="K719" s="99" t="str">
        <f ca="1">IFERROR(__xludf.DUMMYFUNCTION("""COMPUTED_VALUE"""),"HoM Approved")</f>
        <v>HoM Approved</v>
      </c>
    </row>
    <row r="720" spans="1:11" ht="13.2">
      <c r="A720" s="89" t="str">
        <f ca="1">IFERROR(__xludf.DUMMYFUNCTION("""COMPUTED_VALUE"""),"Eco Door")</f>
        <v>Eco Door</v>
      </c>
      <c r="B720" s="90" t="str">
        <f ca="1">IFERROR(__xludf.DUMMYFUNCTION("""COMPUTED_VALUE"""),"BBML")</f>
        <v>BBML</v>
      </c>
      <c r="C720" s="91" t="str">
        <f ca="1">IFERROR(__xludf.DUMMYFUNCTION("""COMPUTED_VALUE"""),"Rabby Vai")</f>
        <v>Rabby Vai</v>
      </c>
      <c r="D720" s="92" t="str">
        <f ca="1">IFERROR(__xludf.DUMMYFUNCTION("""COMPUTED_VALUE"""),"Md Iasin Ahmed Showrov (S204960)")</f>
        <v>Md Iasin Ahmed Showrov (S204960)</v>
      </c>
      <c r="E720" s="93" t="str">
        <f ca="1">IFERROR(__xludf.DUMMYFUNCTION("""COMPUTED_VALUE"""),"CB22355_Apr26")</f>
        <v>CB22355_Apr26</v>
      </c>
      <c r="F720" s="94" t="str">
        <f ca="1">IFERROR(__xludf.DUMMYFUNCTION("""COMPUTED_VALUE"""),"Packaging Text Design #1")</f>
        <v>Packaging Text Design #1</v>
      </c>
      <c r="G720" s="95" t="str">
        <f ca="1">IFERROR(__xludf.DUMMYFUNCTION("""COMPUTED_VALUE"""),"New")</f>
        <v>New</v>
      </c>
      <c r="H720" s="96">
        <f ca="1">IFERROR(__xludf.DUMMYFUNCTION("""COMPUTED_VALUE"""),8)</f>
        <v>8</v>
      </c>
      <c r="I720" s="97">
        <f ca="1">IFERROR(__xludf.DUMMYFUNCTION("""COMPUTED_VALUE"""),46154)</f>
        <v>46154</v>
      </c>
      <c r="J720" s="98" t="str">
        <f ca="1">IFERROR(__xludf.DUMMYFUNCTION("""COMPUTED_VALUE"""),"CW33278_May26")</f>
        <v>CW33278_May26</v>
      </c>
      <c r="K720" s="99" t="str">
        <f ca="1">IFERROR(__xludf.DUMMYFUNCTION("""COMPUTED_VALUE"""),"HoM Approved")</f>
        <v>HoM Approved</v>
      </c>
    </row>
    <row r="721" spans="1:11" ht="13.2">
      <c r="A721" s="89" t="str">
        <f ca="1">IFERROR(__xludf.DUMMYFUNCTION("""COMPUTED_VALUE"""),"Common - USA &amp; Europe Export")</f>
        <v>Common - USA &amp; Europe Export</v>
      </c>
      <c r="B721" s="90" t="str">
        <f ca="1">IFERROR(__xludf.DUMMYFUNCTION("""COMPUTED_VALUE"""),"USA &amp; Europe")</f>
        <v>USA &amp; Europe</v>
      </c>
      <c r="C721" s="91" t="str">
        <f ca="1">IFERROR(__xludf.DUMMYFUNCTION("""COMPUTED_VALUE"""),"Saifullah Vai")</f>
        <v>Saifullah Vai</v>
      </c>
      <c r="D721" s="92" t="str">
        <f ca="1">IFERROR(__xludf.DUMMYFUNCTION("""COMPUTED_VALUE"""),"Md Iasin Ahmed Showrov (S204960)")</f>
        <v>Md Iasin Ahmed Showrov (S204960)</v>
      </c>
      <c r="E721" s="93" t="str">
        <f ca="1">IFERROR(__xludf.DUMMYFUNCTION("""COMPUTED_VALUE"""),"CB22407_Apr26")</f>
        <v>CB22407_Apr26</v>
      </c>
      <c r="F721" s="94" t="str">
        <f ca="1">IFERROR(__xludf.DUMMYFUNCTION("""COMPUTED_VALUE"""),"Packaging Text Design #2")</f>
        <v>Packaging Text Design #2</v>
      </c>
      <c r="G721" s="95" t="str">
        <f ca="1">IFERROR(__xludf.DUMMYFUNCTION("""COMPUTED_VALUE"""),"New")</f>
        <v>New</v>
      </c>
      <c r="H721" s="96">
        <f ca="1">IFERROR(__xludf.DUMMYFUNCTION("""COMPUTED_VALUE"""),2)</f>
        <v>2</v>
      </c>
      <c r="I721" s="97">
        <f ca="1">IFERROR(__xludf.DUMMYFUNCTION("""COMPUTED_VALUE"""),46154)</f>
        <v>46154</v>
      </c>
      <c r="J721" s="98" t="str">
        <f ca="1">IFERROR(__xludf.DUMMYFUNCTION("""COMPUTED_VALUE"""),"CW33274_May26")</f>
        <v>CW33274_May26</v>
      </c>
      <c r="K721" s="99" t="str">
        <f ca="1">IFERROR(__xludf.DUMMYFUNCTION("""COMPUTED_VALUE"""),"HoM Approved")</f>
        <v>HoM Approved</v>
      </c>
    </row>
    <row r="722" spans="1:11" ht="13.2">
      <c r="A722" s="89" t="str">
        <f ca="1">IFERROR(__xludf.DUMMYFUNCTION("""COMPUTED_VALUE"""),"Chocobean")</f>
        <v>Chocobean</v>
      </c>
      <c r="B722" s="90" t="str">
        <f ca="1">IFERROR(__xludf.DUMMYFUNCTION("""COMPUTED_VALUE"""),"PAL")</f>
        <v>PAL</v>
      </c>
      <c r="C722" s="91" t="str">
        <f ca="1">IFERROR(__xludf.DUMMYFUNCTION("""COMPUTED_VALUE"""),"Samantha Apu")</f>
        <v>Samantha Apu</v>
      </c>
      <c r="D722" s="92" t="str">
        <f ca="1">IFERROR(__xludf.DUMMYFUNCTION("""COMPUTED_VALUE"""),"Md Iasin Ahmed Showrov (S204960)")</f>
        <v>Md Iasin Ahmed Showrov (S204960)</v>
      </c>
      <c r="E722" s="93" t="str">
        <f ca="1">IFERROR(__xludf.DUMMYFUNCTION("""COMPUTED_VALUE"""),"CB21735_Apr26")</f>
        <v>CB21735_Apr26</v>
      </c>
      <c r="F722" s="94" t="str">
        <f ca="1">IFERROR(__xludf.DUMMYFUNCTION("""COMPUTED_VALUE"""),"Packaging Text Design #2")</f>
        <v>Packaging Text Design #2</v>
      </c>
      <c r="G722" s="95" t="str">
        <f ca="1">IFERROR(__xludf.DUMMYFUNCTION("""COMPUTED_VALUE"""),"New")</f>
        <v>New</v>
      </c>
      <c r="H722" s="96">
        <f ca="1">IFERROR(__xludf.DUMMYFUNCTION("""COMPUTED_VALUE"""),6)</f>
        <v>6</v>
      </c>
      <c r="I722" s="97">
        <f ca="1">IFERROR(__xludf.DUMMYFUNCTION("""COMPUTED_VALUE"""),46154)</f>
        <v>46154</v>
      </c>
      <c r="J722" s="98" t="str">
        <f ca="1">IFERROR(__xludf.DUMMYFUNCTION("""COMPUTED_VALUE"""),"CW33277_May26")</f>
        <v>CW33277_May26</v>
      </c>
      <c r="K722" s="99" t="str">
        <f ca="1">IFERROR(__xludf.DUMMYFUNCTION("""COMPUTED_VALUE"""),"Brief Submitted")</f>
        <v>Brief Submitted</v>
      </c>
    </row>
    <row r="723" spans="1:11" ht="13.2">
      <c r="A723" s="89" t="str">
        <f ca="1">IFERROR(__xludf.DUMMYFUNCTION("""COMPUTED_VALUE"""),"PRAN SOUP")</f>
        <v>PRAN SOUP</v>
      </c>
      <c r="B723" s="90" t="str">
        <f ca="1">IFERROR(__xludf.DUMMYFUNCTION("""COMPUTED_VALUE"""),"PAL")</f>
        <v>PAL</v>
      </c>
      <c r="C723" s="91" t="str">
        <f ca="1">IFERROR(__xludf.DUMMYFUNCTION("""COMPUTED_VALUE"""),"Shamsul Sir")</f>
        <v>Shamsul Sir</v>
      </c>
      <c r="D723" s="92" t="str">
        <f ca="1">IFERROR(__xludf.DUMMYFUNCTION("""COMPUTED_VALUE"""),"Md Iasin Ahmed Showrov (S204960)")</f>
        <v>Md Iasin Ahmed Showrov (S204960)</v>
      </c>
      <c r="E723" s="93" t="str">
        <f ca="1">IFERROR(__xludf.DUMMYFUNCTION("""COMPUTED_VALUE"""),"CB22593_Apr26")</f>
        <v>CB22593_Apr26</v>
      </c>
      <c r="F723" s="94" t="str">
        <f ca="1">IFERROR(__xludf.DUMMYFUNCTION("""COMPUTED_VALUE"""),"FOP Sticker Making")</f>
        <v>FOP Sticker Making</v>
      </c>
      <c r="G723" s="95" t="str">
        <f ca="1">IFERROR(__xludf.DUMMYFUNCTION("""COMPUTED_VALUE"""),"New")</f>
        <v>New</v>
      </c>
      <c r="H723" s="96">
        <f ca="1">IFERROR(__xludf.DUMMYFUNCTION("""COMPUTED_VALUE"""),5)</f>
        <v>5</v>
      </c>
      <c r="I723" s="97">
        <f ca="1">IFERROR(__xludf.DUMMYFUNCTION("""COMPUTED_VALUE"""),46154)</f>
        <v>46154</v>
      </c>
      <c r="J723" s="98" t="str">
        <f ca="1">IFERROR(__xludf.DUMMYFUNCTION("""COMPUTED_VALUE"""),"CW33279_May26")</f>
        <v>CW33279_May26</v>
      </c>
      <c r="K723" s="99" t="str">
        <f ca="1">IFERROR(__xludf.DUMMYFUNCTION("""COMPUTED_VALUE"""),"HoM Approved")</f>
        <v>HoM Approved</v>
      </c>
    </row>
    <row r="724" spans="1:11" ht="13.2">
      <c r="A724" s="89" t="str">
        <f ca="1">IFERROR(__xludf.DUMMYFUNCTION("""COMPUTED_VALUE"""),"PRAN SOUP")</f>
        <v>PRAN SOUP</v>
      </c>
      <c r="B724" s="90" t="str">
        <f ca="1">IFERROR(__xludf.DUMMYFUNCTION("""COMPUTED_VALUE"""),"PAL")</f>
        <v>PAL</v>
      </c>
      <c r="C724" s="91" t="str">
        <f ca="1">IFERROR(__xludf.DUMMYFUNCTION("""COMPUTED_VALUE"""),"Shamsul Sir")</f>
        <v>Shamsul Sir</v>
      </c>
      <c r="D724" s="92" t="str">
        <f ca="1">IFERROR(__xludf.DUMMYFUNCTION("""COMPUTED_VALUE"""),"Md Iasin Ahmed Showrov (S204960)")</f>
        <v>Md Iasin Ahmed Showrov (S204960)</v>
      </c>
      <c r="E724" s="93" t="str">
        <f ca="1">IFERROR(__xludf.DUMMYFUNCTION("""COMPUTED_VALUE"""),"CB22593_Apr26")</f>
        <v>CB22593_Apr26</v>
      </c>
      <c r="F724" s="94" t="str">
        <f ca="1">IFERROR(__xludf.DUMMYFUNCTION("""COMPUTED_VALUE"""),"Packaging Text Design #2")</f>
        <v>Packaging Text Design #2</v>
      </c>
      <c r="G724" s="95" t="str">
        <f ca="1">IFERROR(__xludf.DUMMYFUNCTION("""COMPUTED_VALUE"""),"New")</f>
        <v>New</v>
      </c>
      <c r="H724" s="96">
        <f ca="1">IFERROR(__xludf.DUMMYFUNCTION("""COMPUTED_VALUE"""),3)</f>
        <v>3</v>
      </c>
      <c r="I724" s="97">
        <f ca="1">IFERROR(__xludf.DUMMYFUNCTION("""COMPUTED_VALUE"""),46154)</f>
        <v>46154</v>
      </c>
      <c r="J724" s="98" t="str">
        <f ca="1">IFERROR(__xludf.DUMMYFUNCTION("""COMPUTED_VALUE"""),"CW33279_May26")</f>
        <v>CW33279_May26</v>
      </c>
      <c r="K724" s="99" t="str">
        <f ca="1">IFERROR(__xludf.DUMMYFUNCTION("""COMPUTED_VALUE"""),"HoM Approved")</f>
        <v>HoM Approved</v>
      </c>
    </row>
    <row r="725" spans="1:11" ht="13.2">
      <c r="A725" s="89" t="str">
        <f ca="1">IFERROR(__xludf.DUMMYFUNCTION("""COMPUTED_VALUE"""),"Frooto")</f>
        <v>Frooto</v>
      </c>
      <c r="B725" s="90" t="str">
        <f ca="1">IFERROR(__xludf.DUMMYFUNCTION("""COMPUTED_VALUE"""),"PBL")</f>
        <v>PBL</v>
      </c>
      <c r="C725" s="91" t="str">
        <f ca="1">IFERROR(__xludf.DUMMYFUNCTION("""COMPUTED_VALUE"""),"Zahirul Vai")</f>
        <v>Zahirul Vai</v>
      </c>
      <c r="D725" s="92" t="str">
        <f ca="1">IFERROR(__xludf.DUMMYFUNCTION("""COMPUTED_VALUE"""),"Md Iasin Ahmed Showrov (S204960)")</f>
        <v>Md Iasin Ahmed Showrov (S204960)</v>
      </c>
      <c r="E725" s="93" t="str">
        <f ca="1">IFERROR(__xludf.DUMMYFUNCTION("""COMPUTED_VALUE"""),"CB21688_Apr26")</f>
        <v>CB21688_Apr26</v>
      </c>
      <c r="F725" s="94" t="str">
        <f ca="1">IFERROR(__xludf.DUMMYFUNCTION("""COMPUTED_VALUE"""),"Black Cylinder Output")</f>
        <v>Black Cylinder Output</v>
      </c>
      <c r="G725" s="95" t="str">
        <f ca="1">IFERROR(__xludf.DUMMYFUNCTION("""COMPUTED_VALUE"""),"New")</f>
        <v>New</v>
      </c>
      <c r="H725" s="96">
        <f ca="1">IFERROR(__xludf.DUMMYFUNCTION("""COMPUTED_VALUE"""),1)</f>
        <v>1</v>
      </c>
      <c r="I725" s="97">
        <f ca="1">IFERROR(__xludf.DUMMYFUNCTION("""COMPUTED_VALUE"""),46154)</f>
        <v>46154</v>
      </c>
      <c r="J725" s="98" t="str">
        <f ca="1">IFERROR(__xludf.DUMMYFUNCTION("""COMPUTED_VALUE"""),"CW33272_May26")</f>
        <v>CW33272_May26</v>
      </c>
      <c r="K725" s="99" t="str">
        <f ca="1">IFERROR(__xludf.DUMMYFUNCTION("""COMPUTED_VALUE"""),"HoM Approved")</f>
        <v>HoM Approved</v>
      </c>
    </row>
    <row r="726" spans="1:11" ht="13.2">
      <c r="A726" s="89" t="str">
        <f ca="1">IFERROR(__xludf.DUMMYFUNCTION("""COMPUTED_VALUE"""),"PRAN Frozen Foods")</f>
        <v>PRAN Frozen Foods</v>
      </c>
      <c r="B726" s="90" t="str">
        <f ca="1">IFERROR(__xludf.DUMMYFUNCTION("""COMPUTED_VALUE"""),"PFF")</f>
        <v>PFF</v>
      </c>
      <c r="C726" s="91" t="str">
        <f ca="1">IFERROR(__xludf.DUMMYFUNCTION("""COMPUTED_VALUE"""),"Zahirul Vai")</f>
        <v>Zahirul Vai</v>
      </c>
      <c r="D726" s="92" t="str">
        <f ca="1">IFERROR(__xludf.DUMMYFUNCTION("""COMPUTED_VALUE"""),"Md Iasin Ahmed Showrov (S204960)")</f>
        <v>Md Iasin Ahmed Showrov (S204960)</v>
      </c>
      <c r="E726" s="93" t="str">
        <f ca="1">IFERROR(__xludf.DUMMYFUNCTION("""COMPUTED_VALUE"""),"CB21676_Apr26")</f>
        <v>CB21676_Apr26</v>
      </c>
      <c r="F726" s="94" t="str">
        <f ca="1">IFERROR(__xludf.DUMMYFUNCTION("""COMPUTED_VALUE"""),"Carton Design")</f>
        <v>Carton Design</v>
      </c>
      <c r="G726" s="95" t="str">
        <f ca="1">IFERROR(__xludf.DUMMYFUNCTION("""COMPUTED_VALUE"""),"New")</f>
        <v>New</v>
      </c>
      <c r="H726" s="96">
        <f ca="1">IFERROR(__xludf.DUMMYFUNCTION("""COMPUTED_VALUE"""),1)</f>
        <v>1</v>
      </c>
      <c r="I726" s="97">
        <f ca="1">IFERROR(__xludf.DUMMYFUNCTION("""COMPUTED_VALUE"""),46154)</f>
        <v>46154</v>
      </c>
      <c r="J726" s="98" t="str">
        <f ca="1">IFERROR(__xludf.DUMMYFUNCTION("""COMPUTED_VALUE"""),"CW33271_May26")</f>
        <v>CW33271_May26</v>
      </c>
      <c r="K726" s="99" t="str">
        <f ca="1">IFERROR(__xludf.DUMMYFUNCTION("""COMPUTED_VALUE"""),"HoM Approved")</f>
        <v>HoM Approved</v>
      </c>
    </row>
    <row r="727" spans="1:11" ht="13.2">
      <c r="A727" s="89" t="str">
        <f ca="1">IFERROR(__xludf.DUMMYFUNCTION("""COMPUTED_VALUE"""),"PRAN Frozen Foods")</f>
        <v>PRAN Frozen Foods</v>
      </c>
      <c r="B727" s="90" t="str">
        <f ca="1">IFERROR(__xludf.DUMMYFUNCTION("""COMPUTED_VALUE"""),"PFF")</f>
        <v>PFF</v>
      </c>
      <c r="C727" s="91" t="str">
        <f ca="1">IFERROR(__xludf.DUMMYFUNCTION("""COMPUTED_VALUE"""),"Zahirul Vai")</f>
        <v>Zahirul Vai</v>
      </c>
      <c r="D727" s="92" t="str">
        <f ca="1">IFERROR(__xludf.DUMMYFUNCTION("""COMPUTED_VALUE"""),"Md Iasin Ahmed Showrov (S204960)")</f>
        <v>Md Iasin Ahmed Showrov (S204960)</v>
      </c>
      <c r="E727" s="93" t="str">
        <f ca="1">IFERROR(__xludf.DUMMYFUNCTION("""COMPUTED_VALUE"""),"CB21676_Apr26")</f>
        <v>CB21676_Apr26</v>
      </c>
      <c r="F727" s="94" t="str">
        <f ca="1">IFERROR(__xludf.DUMMYFUNCTION("""COMPUTED_VALUE"""),"Packaging Text Design #2")</f>
        <v>Packaging Text Design #2</v>
      </c>
      <c r="G727" s="95" t="str">
        <f ca="1">IFERROR(__xludf.DUMMYFUNCTION("""COMPUTED_VALUE"""),"New")</f>
        <v>New</v>
      </c>
      <c r="H727" s="96">
        <f ca="1">IFERROR(__xludf.DUMMYFUNCTION("""COMPUTED_VALUE"""),1)</f>
        <v>1</v>
      </c>
      <c r="I727" s="97">
        <f ca="1">IFERROR(__xludf.DUMMYFUNCTION("""COMPUTED_VALUE"""),46154)</f>
        <v>46154</v>
      </c>
      <c r="J727" s="98" t="str">
        <f ca="1">IFERROR(__xludf.DUMMYFUNCTION("""COMPUTED_VALUE"""),"CW33271_May26")</f>
        <v>CW33271_May26</v>
      </c>
      <c r="K727" s="99" t="str">
        <f ca="1">IFERROR(__xludf.DUMMYFUNCTION("""COMPUTED_VALUE"""),"HoM Approved")</f>
        <v>HoM Approved</v>
      </c>
    </row>
    <row r="728" spans="1:11" ht="13.2">
      <c r="A728" s="89" t="str">
        <f ca="1">IFERROR(__xludf.DUMMYFUNCTION("""COMPUTED_VALUE"""),"Frooto")</f>
        <v>Frooto</v>
      </c>
      <c r="B728" s="90" t="str">
        <f ca="1">IFERROR(__xludf.DUMMYFUNCTION("""COMPUTED_VALUE"""),"PBL")</f>
        <v>PBL</v>
      </c>
      <c r="C728" s="91" t="str">
        <f ca="1">IFERROR(__xludf.DUMMYFUNCTION("""COMPUTED_VALUE"""),"Zahirul Vai")</f>
        <v>Zahirul Vai</v>
      </c>
      <c r="D728" s="92" t="str">
        <f ca="1">IFERROR(__xludf.DUMMYFUNCTION("""COMPUTED_VALUE"""),"Md Iasin Ahmed Showrov (S204960)")</f>
        <v>Md Iasin Ahmed Showrov (S204960)</v>
      </c>
      <c r="E728" s="93" t="str">
        <f ca="1">IFERROR(__xludf.DUMMYFUNCTION("""COMPUTED_VALUE"""),"CB21688_Apr26")</f>
        <v>CB21688_Apr26</v>
      </c>
      <c r="F728" s="94" t="str">
        <f ca="1">IFERROR(__xludf.DUMMYFUNCTION("""COMPUTED_VALUE"""),"Packaging Text Design #2")</f>
        <v>Packaging Text Design #2</v>
      </c>
      <c r="G728" s="95" t="str">
        <f ca="1">IFERROR(__xludf.DUMMYFUNCTION("""COMPUTED_VALUE"""),"New")</f>
        <v>New</v>
      </c>
      <c r="H728" s="96">
        <f ca="1">IFERROR(__xludf.DUMMYFUNCTION("""COMPUTED_VALUE"""),1)</f>
        <v>1</v>
      </c>
      <c r="I728" s="97">
        <f ca="1">IFERROR(__xludf.DUMMYFUNCTION("""COMPUTED_VALUE"""),46154)</f>
        <v>46154</v>
      </c>
      <c r="J728" s="98" t="str">
        <f ca="1">IFERROR(__xludf.DUMMYFUNCTION("""COMPUTED_VALUE"""),"CW33272_May26")</f>
        <v>CW33272_May26</v>
      </c>
      <c r="K728" s="99" t="str">
        <f ca="1">IFERROR(__xludf.DUMMYFUNCTION("""COMPUTED_VALUE"""),"HoM Approved")</f>
        <v>HoM Approved</v>
      </c>
    </row>
    <row r="729" spans="1:11" ht="13.2">
      <c r="A729" s="89" t="str">
        <f ca="1">IFERROR(__xludf.DUMMYFUNCTION("""COMPUTED_VALUE"""),"Common - All PAL")</f>
        <v>Common - All PAL</v>
      </c>
      <c r="B729" s="90" t="str">
        <f ca="1">IFERROR(__xludf.DUMMYFUNCTION("""COMPUTED_VALUE"""),"PAL")</f>
        <v>PAL</v>
      </c>
      <c r="C729" s="91" t="str">
        <f ca="1">IFERROR(__xludf.DUMMYFUNCTION("""COMPUTED_VALUE"""),"Farjana Apu")</f>
        <v>Farjana Apu</v>
      </c>
      <c r="D729" s="92" t="str">
        <f ca="1">IFERROR(__xludf.DUMMYFUNCTION("""COMPUTED_VALUE"""),"Md Iasin Ahmed Showrov (S204960)")</f>
        <v>Md Iasin Ahmed Showrov (S204960)</v>
      </c>
      <c r="E729" s="93" t="str">
        <f ca="1">IFERROR(__xludf.DUMMYFUNCTION("""COMPUTED_VALUE"""),"CB22747_Apr26")</f>
        <v>CB22747_Apr26</v>
      </c>
      <c r="F729" s="94" t="str">
        <f ca="1">IFERROR(__xludf.DUMMYFUNCTION("""COMPUTED_VALUE"""),"Packaging Text Design #1")</f>
        <v>Packaging Text Design #1</v>
      </c>
      <c r="G729" s="95" t="str">
        <f ca="1">IFERROR(__xludf.DUMMYFUNCTION("""COMPUTED_VALUE"""),"New")</f>
        <v>New</v>
      </c>
      <c r="H729" s="96">
        <f ca="1">IFERROR(__xludf.DUMMYFUNCTION("""COMPUTED_VALUE"""),1)</f>
        <v>1</v>
      </c>
      <c r="I729" s="97">
        <f ca="1">IFERROR(__xludf.DUMMYFUNCTION("""COMPUTED_VALUE"""),46155)</f>
        <v>46155</v>
      </c>
      <c r="J729" s="98" t="str">
        <f ca="1">IFERROR(__xludf.DUMMYFUNCTION("""COMPUTED_VALUE"""),"CW33404_May26")</f>
        <v>CW33404_May26</v>
      </c>
      <c r="K729" s="99" t="str">
        <f ca="1">IFERROR(__xludf.DUMMYFUNCTION("""COMPUTED_VALUE"""),"HoM Approved")</f>
        <v>HoM Approved</v>
      </c>
    </row>
    <row r="730" spans="1:11" ht="13.2">
      <c r="A730" s="89" t="str">
        <f ca="1">IFERROR(__xludf.DUMMYFUNCTION("""COMPUTED_VALUE"""),"Common - All PAL")</f>
        <v>Common - All PAL</v>
      </c>
      <c r="B730" s="90" t="str">
        <f ca="1">IFERROR(__xludf.DUMMYFUNCTION("""COMPUTED_VALUE"""),"PAL")</f>
        <v>PAL</v>
      </c>
      <c r="C730" s="91" t="str">
        <f ca="1">IFERROR(__xludf.DUMMYFUNCTION("""COMPUTED_VALUE"""),"Farjana Apu")</f>
        <v>Farjana Apu</v>
      </c>
      <c r="D730" s="92" t="str">
        <f ca="1">IFERROR(__xludf.DUMMYFUNCTION("""COMPUTED_VALUE"""),"Md Iasin Ahmed Showrov (S204960)")</f>
        <v>Md Iasin Ahmed Showrov (S204960)</v>
      </c>
      <c r="E730" s="93" t="str">
        <f ca="1">IFERROR(__xludf.DUMMYFUNCTION("""COMPUTED_VALUE"""),"CB22691_Apr26")</f>
        <v>CB22691_Apr26</v>
      </c>
      <c r="F730" s="94" t="str">
        <f ca="1">IFERROR(__xludf.DUMMYFUNCTION("""COMPUTED_VALUE"""),"Packaging Text Design #1")</f>
        <v>Packaging Text Design #1</v>
      </c>
      <c r="G730" s="95" t="str">
        <f ca="1">IFERROR(__xludf.DUMMYFUNCTION("""COMPUTED_VALUE"""),"New")</f>
        <v>New</v>
      </c>
      <c r="H730" s="96">
        <f ca="1">IFERROR(__xludf.DUMMYFUNCTION("""COMPUTED_VALUE"""),1)</f>
        <v>1</v>
      </c>
      <c r="I730" s="97">
        <f ca="1">IFERROR(__xludf.DUMMYFUNCTION("""COMPUTED_VALUE"""),46155)</f>
        <v>46155</v>
      </c>
      <c r="J730" s="98" t="str">
        <f ca="1">IFERROR(__xludf.DUMMYFUNCTION("""COMPUTED_VALUE"""),"CW33388_May26")</f>
        <v>CW33388_May26</v>
      </c>
      <c r="K730" s="99" t="str">
        <f ca="1">IFERROR(__xludf.DUMMYFUNCTION("""COMPUTED_VALUE"""),"HoM Approved")</f>
        <v>HoM Approved</v>
      </c>
    </row>
    <row r="731" spans="1:11" ht="13.2">
      <c r="A731" s="89" t="str">
        <f ca="1">IFERROR(__xludf.DUMMYFUNCTION("""COMPUTED_VALUE"""),"Common - All PAL")</f>
        <v>Common - All PAL</v>
      </c>
      <c r="B731" s="90" t="str">
        <f ca="1">IFERROR(__xludf.DUMMYFUNCTION("""COMPUTED_VALUE"""),"PAL")</f>
        <v>PAL</v>
      </c>
      <c r="C731" s="91" t="str">
        <f ca="1">IFERROR(__xludf.DUMMYFUNCTION("""COMPUTED_VALUE"""),"Rabby Vai")</f>
        <v>Rabby Vai</v>
      </c>
      <c r="D731" s="92" t="str">
        <f ca="1">IFERROR(__xludf.DUMMYFUNCTION("""COMPUTED_VALUE"""),"Md Iasin Ahmed Showrov (S204960)")</f>
        <v>Md Iasin Ahmed Showrov (S204960)</v>
      </c>
      <c r="E731" s="93" t="str">
        <f ca="1">IFERROR(__xludf.DUMMYFUNCTION("""COMPUTED_VALUE"""),"CB22979_Apr26")</f>
        <v>CB22979_Apr26</v>
      </c>
      <c r="F731" s="94" t="str">
        <f ca="1">IFERROR(__xludf.DUMMYFUNCTION("""COMPUTED_VALUE"""),"Document Text Correction")</f>
        <v>Document Text Correction</v>
      </c>
      <c r="G731" s="95" t="str">
        <f ca="1">IFERROR(__xludf.DUMMYFUNCTION("""COMPUTED_VALUE"""),"New")</f>
        <v>New</v>
      </c>
      <c r="H731" s="96">
        <f ca="1">IFERROR(__xludf.DUMMYFUNCTION("""COMPUTED_VALUE"""),30)</f>
        <v>30</v>
      </c>
      <c r="I731" s="97">
        <f ca="1">IFERROR(__xludf.DUMMYFUNCTION("""COMPUTED_VALUE"""),46155)</f>
        <v>46155</v>
      </c>
      <c r="J731" s="98" t="str">
        <f ca="1">IFERROR(__xludf.DUMMYFUNCTION("""COMPUTED_VALUE"""),"CW33407_May26")</f>
        <v>CW33407_May26</v>
      </c>
      <c r="K731" s="99" t="str">
        <f ca="1">IFERROR(__xludf.DUMMYFUNCTION("""COMPUTED_VALUE"""),"HoM Approved")</f>
        <v>HoM Approved</v>
      </c>
    </row>
    <row r="732" spans="1:11" ht="13.2">
      <c r="A732" s="89" t="str">
        <f ca="1">IFERROR(__xludf.DUMMYFUNCTION("""COMPUTED_VALUE"""),"Common - All PAL")</f>
        <v>Common - All PAL</v>
      </c>
      <c r="B732" s="90" t="str">
        <f ca="1">IFERROR(__xludf.DUMMYFUNCTION("""COMPUTED_VALUE"""),"PAL")</f>
        <v>PAL</v>
      </c>
      <c r="C732" s="91" t="str">
        <f ca="1">IFERROR(__xludf.DUMMYFUNCTION("""COMPUTED_VALUE"""),"Rabby Vai")</f>
        <v>Rabby Vai</v>
      </c>
      <c r="D732" s="92" t="str">
        <f ca="1">IFERROR(__xludf.DUMMYFUNCTION("""COMPUTED_VALUE"""),"Md Iasin Ahmed Showrov (S204960)")</f>
        <v>Md Iasin Ahmed Showrov (S204960)</v>
      </c>
      <c r="E732" s="93" t="str">
        <f ca="1">IFERROR(__xludf.DUMMYFUNCTION("""COMPUTED_VALUE"""),"CB22979_Apr26")</f>
        <v>CB22979_Apr26</v>
      </c>
      <c r="F732" s="94" t="str">
        <f ca="1">IFERROR(__xludf.DUMMYFUNCTION("""COMPUTED_VALUE"""),"Document Text Correction")</f>
        <v>Document Text Correction</v>
      </c>
      <c r="G732" s="95" t="str">
        <f ca="1">IFERROR(__xludf.DUMMYFUNCTION("""COMPUTED_VALUE"""),"New")</f>
        <v>New</v>
      </c>
      <c r="H732" s="96">
        <f ca="1">IFERROR(__xludf.DUMMYFUNCTION("""COMPUTED_VALUE"""),30)</f>
        <v>30</v>
      </c>
      <c r="I732" s="97">
        <f ca="1">IFERROR(__xludf.DUMMYFUNCTION("""COMPUTED_VALUE"""),46155)</f>
        <v>46155</v>
      </c>
      <c r="J732" s="98" t="str">
        <f ca="1">IFERROR(__xludf.DUMMYFUNCTION("""COMPUTED_VALUE"""),"CW33408_May26")</f>
        <v>CW33408_May26</v>
      </c>
      <c r="K732" s="99" t="str">
        <f ca="1">IFERROR(__xludf.DUMMYFUNCTION("""COMPUTED_VALUE"""),"HoM Approved")</f>
        <v>HoM Approved</v>
      </c>
    </row>
    <row r="733" spans="1:11" ht="13.2">
      <c r="A733" s="89" t="str">
        <f ca="1">IFERROR(__xludf.DUMMYFUNCTION("""COMPUTED_VALUE"""),"Comfy PVC Rexin")</f>
        <v>Comfy PVC Rexin</v>
      </c>
      <c r="B733" s="90" t="str">
        <f ca="1">IFERROR(__xludf.DUMMYFUNCTION("""COMPUTED_VALUE"""),"BBML")</f>
        <v>BBML</v>
      </c>
      <c r="C733" s="91" t="str">
        <f ca="1">IFERROR(__xludf.DUMMYFUNCTION("""COMPUTED_VALUE"""),"Rabby Vai")</f>
        <v>Rabby Vai</v>
      </c>
      <c r="D733" s="92" t="str">
        <f ca="1">IFERROR(__xludf.DUMMYFUNCTION("""COMPUTED_VALUE"""),"Md Iasin Ahmed Showrov (S204960)")</f>
        <v>Md Iasin Ahmed Showrov (S204960)</v>
      </c>
      <c r="E733" s="93" t="str">
        <f ca="1">IFERROR(__xludf.DUMMYFUNCTION("""COMPUTED_VALUE"""),"CB22695_Apr26")</f>
        <v>CB22695_Apr26</v>
      </c>
      <c r="F733" s="94" t="str">
        <f ca="1">IFERROR(__xludf.DUMMYFUNCTION("""COMPUTED_VALUE"""),"Packaging Text Design #1")</f>
        <v>Packaging Text Design #1</v>
      </c>
      <c r="G733" s="95" t="str">
        <f ca="1">IFERROR(__xludf.DUMMYFUNCTION("""COMPUTED_VALUE"""),"New")</f>
        <v>New</v>
      </c>
      <c r="H733" s="96">
        <f ca="1">IFERROR(__xludf.DUMMYFUNCTION("""COMPUTED_VALUE"""),2)</f>
        <v>2</v>
      </c>
      <c r="I733" s="97">
        <f ca="1">IFERROR(__xludf.DUMMYFUNCTION("""COMPUTED_VALUE"""),46155)</f>
        <v>46155</v>
      </c>
      <c r="J733" s="98" t="str">
        <f ca="1">IFERROR(__xludf.DUMMYFUNCTION("""COMPUTED_VALUE"""),"CW33387_May26")</f>
        <v>CW33387_May26</v>
      </c>
      <c r="K733" s="99" t="str">
        <f ca="1">IFERROR(__xludf.DUMMYFUNCTION("""COMPUTED_VALUE"""),"HoM Approved")</f>
        <v>HoM Approved</v>
      </c>
    </row>
    <row r="734" spans="1:11" ht="13.2">
      <c r="A734" s="89" t="str">
        <f ca="1">IFERROR(__xludf.DUMMYFUNCTION("""COMPUTED_VALUE"""),"Common - India Export")</f>
        <v>Common - India Export</v>
      </c>
      <c r="B734" s="90" t="str">
        <f ca="1">IFERROR(__xludf.DUMMYFUNCTION("""COMPUTED_VALUE"""),"India")</f>
        <v>India</v>
      </c>
      <c r="C734" s="91" t="str">
        <f ca="1">IFERROR(__xludf.DUMMYFUNCTION("""COMPUTED_VALUE"""),"Saifullah Vai")</f>
        <v>Saifullah Vai</v>
      </c>
      <c r="D734" s="92" t="str">
        <f ca="1">IFERROR(__xludf.DUMMYFUNCTION("""COMPUTED_VALUE"""),"Md Iasin Ahmed Showrov (S204960)")</f>
        <v>Md Iasin Ahmed Showrov (S204960)</v>
      </c>
      <c r="E734" s="93" t="str">
        <f ca="1">IFERROR(__xludf.DUMMYFUNCTION("""COMPUTED_VALUE"""),"CB23395_May26")</f>
        <v>CB23395_May26</v>
      </c>
      <c r="F734" s="94" t="str">
        <f ca="1">IFERROR(__xludf.DUMMYFUNCTION("""COMPUTED_VALUE"""),"Packaging Text Design #1")</f>
        <v>Packaging Text Design #1</v>
      </c>
      <c r="G734" s="95" t="str">
        <f ca="1">IFERROR(__xludf.DUMMYFUNCTION("""COMPUTED_VALUE"""),"New")</f>
        <v>New</v>
      </c>
      <c r="H734" s="96">
        <f ca="1">IFERROR(__xludf.DUMMYFUNCTION("""COMPUTED_VALUE"""),2)</f>
        <v>2</v>
      </c>
      <c r="I734" s="97">
        <f ca="1">IFERROR(__xludf.DUMMYFUNCTION("""COMPUTED_VALUE"""),46155)</f>
        <v>46155</v>
      </c>
      <c r="J734" s="98" t="str">
        <f ca="1">IFERROR(__xludf.DUMMYFUNCTION("""COMPUTED_VALUE"""),"CW33410_May26")</f>
        <v>CW33410_May26</v>
      </c>
      <c r="K734" s="99" t="str">
        <f ca="1">IFERROR(__xludf.DUMMYFUNCTION("""COMPUTED_VALUE"""),"HoM Approved")</f>
        <v>HoM Approved</v>
      </c>
    </row>
    <row r="735" spans="1:11" ht="13.2">
      <c r="A735" s="89" t="str">
        <f ca="1">IFERROR(__xludf.DUMMYFUNCTION("""COMPUTED_VALUE"""),"Common - India Export")</f>
        <v>Common - India Export</v>
      </c>
      <c r="B735" s="90" t="str">
        <f ca="1">IFERROR(__xludf.DUMMYFUNCTION("""COMPUTED_VALUE"""),"India")</f>
        <v>India</v>
      </c>
      <c r="C735" s="91" t="str">
        <f ca="1">IFERROR(__xludf.DUMMYFUNCTION("""COMPUTED_VALUE"""),"Saifullah Vai")</f>
        <v>Saifullah Vai</v>
      </c>
      <c r="D735" s="92" t="str">
        <f ca="1">IFERROR(__xludf.DUMMYFUNCTION("""COMPUTED_VALUE"""),"Md Iasin Ahmed Showrov (S204960)")</f>
        <v>Md Iasin Ahmed Showrov (S204960)</v>
      </c>
      <c r="E735" s="93" t="str">
        <f ca="1">IFERROR(__xludf.DUMMYFUNCTION("""COMPUTED_VALUE"""),"CB23542_May26")</f>
        <v>CB23542_May26</v>
      </c>
      <c r="F735" s="94" t="str">
        <f ca="1">IFERROR(__xludf.DUMMYFUNCTION("""COMPUTED_VALUE"""),"Packaging Text Design #2")</f>
        <v>Packaging Text Design #2</v>
      </c>
      <c r="G735" s="95" t="str">
        <f ca="1">IFERROR(__xludf.DUMMYFUNCTION("""COMPUTED_VALUE"""),"New")</f>
        <v>New</v>
      </c>
      <c r="H735" s="96">
        <f ca="1">IFERROR(__xludf.DUMMYFUNCTION("""COMPUTED_VALUE"""),2)</f>
        <v>2</v>
      </c>
      <c r="I735" s="97">
        <f ca="1">IFERROR(__xludf.DUMMYFUNCTION("""COMPUTED_VALUE"""),46155)</f>
        <v>46155</v>
      </c>
      <c r="J735" s="98" t="str">
        <f ca="1">IFERROR(__xludf.DUMMYFUNCTION("""COMPUTED_VALUE"""),"CW33409_May26")</f>
        <v>CW33409_May26</v>
      </c>
      <c r="K735" s="99" t="str">
        <f ca="1">IFERROR(__xludf.DUMMYFUNCTION("""COMPUTED_VALUE"""),"HoM Approved")</f>
        <v>HoM Approved</v>
      </c>
    </row>
    <row r="736" spans="1:11" ht="13.2">
      <c r="A736" s="89" t="str">
        <f ca="1">IFERROR(__xludf.DUMMYFUNCTION("""COMPUTED_VALUE"""),"All Time Cookies")</f>
        <v>All Time Cookies</v>
      </c>
      <c r="B736" s="90" t="str">
        <f ca="1">IFERROR(__xludf.DUMMYFUNCTION("""COMPUTED_VALUE"""),"BBL")</f>
        <v>BBL</v>
      </c>
      <c r="C736" s="91" t="str">
        <f ca="1">IFERROR(__xludf.DUMMYFUNCTION("""COMPUTED_VALUE"""),"Shamsul Sir")</f>
        <v>Shamsul Sir</v>
      </c>
      <c r="D736" s="92" t="str">
        <f ca="1">IFERROR(__xludf.DUMMYFUNCTION("""COMPUTED_VALUE"""),"Md Iasin Ahmed Showrov (S204960)")</f>
        <v>Md Iasin Ahmed Showrov (S204960)</v>
      </c>
      <c r="E736" s="93" t="str">
        <f ca="1">IFERROR(__xludf.DUMMYFUNCTION("""COMPUTED_VALUE"""),"CB22490_Apr26")</f>
        <v>CB22490_Apr26</v>
      </c>
      <c r="F736" s="94" t="str">
        <f ca="1">IFERROR(__xludf.DUMMYFUNCTION("""COMPUTED_VALUE"""),"Packaging Text Design #2")</f>
        <v>Packaging Text Design #2</v>
      </c>
      <c r="G736" s="95" t="str">
        <f ca="1">IFERROR(__xludf.DUMMYFUNCTION("""COMPUTED_VALUE"""),"New")</f>
        <v>New</v>
      </c>
      <c r="H736" s="96">
        <f ca="1">IFERROR(__xludf.DUMMYFUNCTION("""COMPUTED_VALUE"""),5)</f>
        <v>5</v>
      </c>
      <c r="I736" s="97">
        <f ca="1">IFERROR(__xludf.DUMMYFUNCTION("""COMPUTED_VALUE"""),46155)</f>
        <v>46155</v>
      </c>
      <c r="J736" s="98" t="str">
        <f ca="1">IFERROR(__xludf.DUMMYFUNCTION("""COMPUTED_VALUE"""),"CW33384_May26")</f>
        <v>CW33384_May26</v>
      </c>
      <c r="K736" s="99" t="str">
        <f ca="1">IFERROR(__xludf.DUMMYFUNCTION("""COMPUTED_VALUE"""),"HoM Approved")</f>
        <v>HoM Approved</v>
      </c>
    </row>
    <row r="737" spans="1:11" ht="13.2">
      <c r="A737" s="89" t="str">
        <f ca="1">IFERROR(__xludf.DUMMYFUNCTION("""COMPUTED_VALUE"""),"All Time Cookies")</f>
        <v>All Time Cookies</v>
      </c>
      <c r="B737" s="90" t="str">
        <f ca="1">IFERROR(__xludf.DUMMYFUNCTION("""COMPUTED_VALUE"""),"BBL")</f>
        <v>BBL</v>
      </c>
      <c r="C737" s="91" t="str">
        <f ca="1">IFERROR(__xludf.DUMMYFUNCTION("""COMPUTED_VALUE"""),"Shamsul Sir")</f>
        <v>Shamsul Sir</v>
      </c>
      <c r="D737" s="92" t="str">
        <f ca="1">IFERROR(__xludf.DUMMYFUNCTION("""COMPUTED_VALUE"""),"Md Iasin Ahmed Showrov (S204960)")</f>
        <v>Md Iasin Ahmed Showrov (S204960)</v>
      </c>
      <c r="E737" s="93" t="str">
        <f ca="1">IFERROR(__xludf.DUMMYFUNCTION("""COMPUTED_VALUE"""),"CB22489_Apr26")</f>
        <v>CB22489_Apr26</v>
      </c>
      <c r="F737" s="94" t="str">
        <f ca="1">IFERROR(__xludf.DUMMYFUNCTION("""COMPUTED_VALUE"""),"Packaging Text Design #2")</f>
        <v>Packaging Text Design #2</v>
      </c>
      <c r="G737" s="95" t="str">
        <f ca="1">IFERROR(__xludf.DUMMYFUNCTION("""COMPUTED_VALUE"""),"New")</f>
        <v>New</v>
      </c>
      <c r="H737" s="96">
        <f ca="1">IFERROR(__xludf.DUMMYFUNCTION("""COMPUTED_VALUE"""),5)</f>
        <v>5</v>
      </c>
      <c r="I737" s="97">
        <f ca="1">IFERROR(__xludf.DUMMYFUNCTION("""COMPUTED_VALUE"""),46155)</f>
        <v>46155</v>
      </c>
      <c r="J737" s="98" t="str">
        <f ca="1">IFERROR(__xludf.DUMMYFUNCTION("""COMPUTED_VALUE"""),"CW33385_May26")</f>
        <v>CW33385_May26</v>
      </c>
      <c r="K737" s="99" t="str">
        <f ca="1">IFERROR(__xludf.DUMMYFUNCTION("""COMPUTED_VALUE"""),"HoM Approved")</f>
        <v>HoM Approved</v>
      </c>
    </row>
    <row r="738" spans="1:11" ht="13.2">
      <c r="A738" s="89" t="str">
        <f ca="1">IFERROR(__xludf.DUMMYFUNCTION("""COMPUTED_VALUE"""),"PRAN Frozen Foods")</f>
        <v>PRAN Frozen Foods</v>
      </c>
      <c r="B738" s="90" t="str">
        <f ca="1">IFERROR(__xludf.DUMMYFUNCTION("""COMPUTED_VALUE"""),"PFF")</f>
        <v>PFF</v>
      </c>
      <c r="C738" s="91" t="str">
        <f ca="1">IFERROR(__xludf.DUMMYFUNCTION("""COMPUTED_VALUE"""),"Zahirul Vai")</f>
        <v>Zahirul Vai</v>
      </c>
      <c r="D738" s="92" t="str">
        <f ca="1">IFERROR(__xludf.DUMMYFUNCTION("""COMPUTED_VALUE"""),"Md Iasin Ahmed Showrov (S204960)")</f>
        <v>Md Iasin Ahmed Showrov (S204960)</v>
      </c>
      <c r="E738" s="93" t="str">
        <f ca="1">IFERROR(__xludf.DUMMYFUNCTION("""COMPUTED_VALUE"""),"CB22767_Apr26")</f>
        <v>CB22767_Apr26</v>
      </c>
      <c r="F738" s="94" t="str">
        <f ca="1">IFERROR(__xludf.DUMMYFUNCTION("""COMPUTED_VALUE"""),"Packaging Text Design #2")</f>
        <v>Packaging Text Design #2</v>
      </c>
      <c r="G738" s="95" t="str">
        <f ca="1">IFERROR(__xludf.DUMMYFUNCTION("""COMPUTED_VALUE"""),"New")</f>
        <v>New</v>
      </c>
      <c r="H738" s="96">
        <f ca="1">IFERROR(__xludf.DUMMYFUNCTION("""COMPUTED_VALUE"""),6)</f>
        <v>6</v>
      </c>
      <c r="I738" s="97">
        <f ca="1">IFERROR(__xludf.DUMMYFUNCTION("""COMPUTED_VALUE"""),46155)</f>
        <v>46155</v>
      </c>
      <c r="J738" s="98" t="str">
        <f ca="1">IFERROR(__xludf.DUMMYFUNCTION("""COMPUTED_VALUE"""),"CW33406_May26")</f>
        <v>CW33406_May26</v>
      </c>
      <c r="K738" s="99" t="str">
        <f ca="1">IFERROR(__xludf.DUMMYFUNCTION("""COMPUTED_VALUE"""),"HoM Approved")</f>
        <v>HoM Approved</v>
      </c>
    </row>
    <row r="739" spans="1:11" ht="13.2">
      <c r="A739" s="89" t="str">
        <f ca="1">IFERROR(__xludf.DUMMYFUNCTION("""COMPUTED_VALUE"""),"PRAN DAIRY LTD. PIP - ALL")</f>
        <v>PRAN DAIRY LTD. PIP - ALL</v>
      </c>
      <c r="B739" s="90" t="str">
        <f ca="1">IFERROR(__xludf.DUMMYFUNCTION("""COMPUTED_VALUE"""),"Philippines")</f>
        <v>Philippines</v>
      </c>
      <c r="C739" s="91" t="str">
        <f ca="1">IFERROR(__xludf.DUMMYFUNCTION("""COMPUTED_VALUE"""),"Farjana Apu")</f>
        <v>Farjana Apu</v>
      </c>
      <c r="D739" s="92" t="str">
        <f ca="1">IFERROR(__xludf.DUMMYFUNCTION("""COMPUTED_VALUE"""),"Md Iasin Ahmed Showrov (S204960)")</f>
        <v>Md Iasin Ahmed Showrov (S204960)</v>
      </c>
      <c r="E739" s="93" t="str">
        <f ca="1">IFERROR(__xludf.DUMMYFUNCTION("""COMPUTED_VALUE"""),"CB22986_Apr26")</f>
        <v>CB22986_Apr26</v>
      </c>
      <c r="F739" s="94" t="str">
        <f ca="1">IFERROR(__xludf.DUMMYFUNCTION("""COMPUTED_VALUE"""),"Document Text Correction")</f>
        <v>Document Text Correction</v>
      </c>
      <c r="G739" s="95" t="str">
        <f ca="1">IFERROR(__xludf.DUMMYFUNCTION("""COMPUTED_VALUE"""),"New")</f>
        <v>New</v>
      </c>
      <c r="H739" s="96">
        <f ca="1">IFERROR(__xludf.DUMMYFUNCTION("""COMPUTED_VALUE"""),8)</f>
        <v>8</v>
      </c>
      <c r="I739" s="97">
        <f ca="1">IFERROR(__xludf.DUMMYFUNCTION("""COMPUTED_VALUE"""),46156)</f>
        <v>46156</v>
      </c>
      <c r="J739" s="98" t="str">
        <f ca="1">IFERROR(__xludf.DUMMYFUNCTION("""COMPUTED_VALUE"""),"CW33529_May26")</f>
        <v>CW33529_May26</v>
      </c>
      <c r="K739" s="99" t="str">
        <f ca="1">IFERROR(__xludf.DUMMYFUNCTION("""COMPUTED_VALUE"""),"HoM Approved")</f>
        <v>HoM Approved</v>
      </c>
    </row>
    <row r="740" spans="1:11" ht="13.2">
      <c r="A740" s="89" t="str">
        <f ca="1">IFERROR(__xludf.DUMMYFUNCTION("""COMPUTED_VALUE"""),"HIP-ALL")</f>
        <v>HIP-ALL</v>
      </c>
      <c r="B740" s="90" t="str">
        <f ca="1">IFERROR(__xludf.DUMMYFUNCTION("""COMPUTED_VALUE"""),"Philippines")</f>
        <v>Philippines</v>
      </c>
      <c r="C740" s="91" t="str">
        <f ca="1">IFERROR(__xludf.DUMMYFUNCTION("""COMPUTED_VALUE"""),"Farjana Apu")</f>
        <v>Farjana Apu</v>
      </c>
      <c r="D740" s="92" t="str">
        <f ca="1">IFERROR(__xludf.DUMMYFUNCTION("""COMPUTED_VALUE"""),"Md Iasin Ahmed Showrov (S204960)")</f>
        <v>Md Iasin Ahmed Showrov (S204960)</v>
      </c>
      <c r="E740" s="93" t="str">
        <f ca="1">IFERROR(__xludf.DUMMYFUNCTION("""COMPUTED_VALUE"""),"CB23030_May26")</f>
        <v>CB23030_May26</v>
      </c>
      <c r="F740" s="94" t="str">
        <f ca="1">IFERROR(__xludf.DUMMYFUNCTION("""COMPUTED_VALUE"""),"Document Text Correction")</f>
        <v>Document Text Correction</v>
      </c>
      <c r="G740" s="95" t="str">
        <f ca="1">IFERROR(__xludf.DUMMYFUNCTION("""COMPUTED_VALUE"""),"New")</f>
        <v>New</v>
      </c>
      <c r="H740" s="96">
        <f ca="1">IFERROR(__xludf.DUMMYFUNCTION("""COMPUTED_VALUE"""),3)</f>
        <v>3</v>
      </c>
      <c r="I740" s="97">
        <f ca="1">IFERROR(__xludf.DUMMYFUNCTION("""COMPUTED_VALUE"""),46156)</f>
        <v>46156</v>
      </c>
      <c r="J740" s="98" t="str">
        <f ca="1">IFERROR(__xludf.DUMMYFUNCTION("""COMPUTED_VALUE"""),"CW33539_May26")</f>
        <v>CW33539_May26</v>
      </c>
      <c r="K740" s="99" t="str">
        <f ca="1">IFERROR(__xludf.DUMMYFUNCTION("""COMPUTED_VALUE"""),"HoM Approved")</f>
        <v>HoM Approved</v>
      </c>
    </row>
    <row r="741" spans="1:11" ht="13.2">
      <c r="A741" s="89" t="str">
        <f ca="1">IFERROR(__xludf.DUMMYFUNCTION("""COMPUTED_VALUE"""),"PRAN DAIRY LTD. PIP - ALL")</f>
        <v>PRAN DAIRY LTD. PIP - ALL</v>
      </c>
      <c r="B741" s="90" t="str">
        <f ca="1">IFERROR(__xludf.DUMMYFUNCTION("""COMPUTED_VALUE"""),"Philippines")</f>
        <v>Philippines</v>
      </c>
      <c r="C741" s="91" t="str">
        <f ca="1">IFERROR(__xludf.DUMMYFUNCTION("""COMPUTED_VALUE"""),"Farjana Apu")</f>
        <v>Farjana Apu</v>
      </c>
      <c r="D741" s="92" t="str">
        <f ca="1">IFERROR(__xludf.DUMMYFUNCTION("""COMPUTED_VALUE"""),"Md Iasin Ahmed Showrov (S204960)")</f>
        <v>Md Iasin Ahmed Showrov (S204960)</v>
      </c>
      <c r="E741" s="93" t="str">
        <f ca="1">IFERROR(__xludf.DUMMYFUNCTION("""COMPUTED_VALUE"""),"CB22680_Apr26")</f>
        <v>CB22680_Apr26</v>
      </c>
      <c r="F741" s="94" t="str">
        <f ca="1">IFERROR(__xludf.DUMMYFUNCTION("""COMPUTED_VALUE"""),"Packaging Text Design #1")</f>
        <v>Packaging Text Design #1</v>
      </c>
      <c r="G741" s="95" t="str">
        <f ca="1">IFERROR(__xludf.DUMMYFUNCTION("""COMPUTED_VALUE"""),"New")</f>
        <v>New</v>
      </c>
      <c r="H741" s="96">
        <f ca="1">IFERROR(__xludf.DUMMYFUNCTION("""COMPUTED_VALUE"""),2)</f>
        <v>2</v>
      </c>
      <c r="I741" s="97">
        <f ca="1">IFERROR(__xludf.DUMMYFUNCTION("""COMPUTED_VALUE"""),46156)</f>
        <v>46156</v>
      </c>
      <c r="J741" s="98" t="str">
        <f ca="1">IFERROR(__xludf.DUMMYFUNCTION("""COMPUTED_VALUE"""),"CW33509_May26")</f>
        <v>CW33509_May26</v>
      </c>
      <c r="K741" s="99" t="str">
        <f ca="1">IFERROR(__xludf.DUMMYFUNCTION("""COMPUTED_VALUE"""),"HoM Approved")</f>
        <v>HoM Approved</v>
      </c>
    </row>
    <row r="742" spans="1:11" ht="13.2">
      <c r="A742" s="89" t="str">
        <f ca="1">IFERROR(__xludf.DUMMYFUNCTION("""COMPUTED_VALUE"""),"Bisk Club Flavored Cream biscuit")</f>
        <v>Bisk Club Flavored Cream biscuit</v>
      </c>
      <c r="B742" s="90" t="str">
        <f ca="1">IFERROR(__xludf.DUMMYFUNCTION("""COMPUTED_VALUE"""),"BBL")</f>
        <v>BBL</v>
      </c>
      <c r="C742" s="91" t="str">
        <f ca="1">IFERROR(__xludf.DUMMYFUNCTION("""COMPUTED_VALUE"""),"Farjana Apu")</f>
        <v>Farjana Apu</v>
      </c>
      <c r="D742" s="92" t="str">
        <f ca="1">IFERROR(__xludf.DUMMYFUNCTION("""COMPUTED_VALUE"""),"Md Iasin Ahmed Showrov (S204960)")</f>
        <v>Md Iasin Ahmed Showrov (S204960)</v>
      </c>
      <c r="E742" s="93" t="str">
        <f ca="1">IFERROR(__xludf.DUMMYFUNCTION("""COMPUTED_VALUE"""),"CB23917_May26")</f>
        <v>CB23917_May26</v>
      </c>
      <c r="F742" s="94" t="str">
        <f ca="1">IFERROR(__xludf.DUMMYFUNCTION("""COMPUTED_VALUE"""),"Packaging Text Design #1")</f>
        <v>Packaging Text Design #1</v>
      </c>
      <c r="G742" s="95" t="str">
        <f ca="1">IFERROR(__xludf.DUMMYFUNCTION("""COMPUTED_VALUE"""),"New")</f>
        <v>New</v>
      </c>
      <c r="H742" s="96">
        <f ca="1">IFERROR(__xludf.DUMMYFUNCTION("""COMPUTED_VALUE"""),2)</f>
        <v>2</v>
      </c>
      <c r="I742" s="97">
        <f ca="1">IFERROR(__xludf.DUMMYFUNCTION("""COMPUTED_VALUE"""),46156)</f>
        <v>46156</v>
      </c>
      <c r="J742" s="98" t="str">
        <f ca="1">IFERROR(__xludf.DUMMYFUNCTION("""COMPUTED_VALUE"""),"CW33567_May26")</f>
        <v>CW33567_May26</v>
      </c>
      <c r="K742" s="99" t="str">
        <f ca="1">IFERROR(__xludf.DUMMYFUNCTION("""COMPUTED_VALUE"""),"HoM Approved")</f>
        <v>HoM Approved</v>
      </c>
    </row>
    <row r="743" spans="1:11" ht="13.2">
      <c r="A743" s="89" t="str">
        <f ca="1">IFERROR(__xludf.DUMMYFUNCTION("""COMPUTED_VALUE"""),"Common - All PAL")</f>
        <v>Common - All PAL</v>
      </c>
      <c r="B743" s="90" t="str">
        <f ca="1">IFERROR(__xludf.DUMMYFUNCTION("""COMPUTED_VALUE"""),"PAL")</f>
        <v>PAL</v>
      </c>
      <c r="C743" s="91" t="str">
        <f ca="1">IFERROR(__xludf.DUMMYFUNCTION("""COMPUTED_VALUE"""),"Farjana Apu")</f>
        <v>Farjana Apu</v>
      </c>
      <c r="D743" s="92" t="str">
        <f ca="1">IFERROR(__xludf.DUMMYFUNCTION("""COMPUTED_VALUE"""),"Md Iasin Ahmed Showrov (S204960)")</f>
        <v>Md Iasin Ahmed Showrov (S204960)</v>
      </c>
      <c r="E743" s="93" t="str">
        <f ca="1">IFERROR(__xludf.DUMMYFUNCTION("""COMPUTED_VALUE"""),"CB22751_Apr26")</f>
        <v>CB22751_Apr26</v>
      </c>
      <c r="F743" s="94" t="str">
        <f ca="1">IFERROR(__xludf.DUMMYFUNCTION("""COMPUTED_VALUE"""),"Packaging Text Design #1")</f>
        <v>Packaging Text Design #1</v>
      </c>
      <c r="G743" s="95" t="str">
        <f ca="1">IFERROR(__xludf.DUMMYFUNCTION("""COMPUTED_VALUE"""),"New")</f>
        <v>New</v>
      </c>
      <c r="H743" s="96">
        <f ca="1">IFERROR(__xludf.DUMMYFUNCTION("""COMPUTED_VALUE"""),1)</f>
        <v>1</v>
      </c>
      <c r="I743" s="97">
        <f ca="1">IFERROR(__xludf.DUMMYFUNCTION("""COMPUTED_VALUE"""),46156)</f>
        <v>46156</v>
      </c>
      <c r="J743" s="98" t="str">
        <f ca="1">IFERROR(__xludf.DUMMYFUNCTION("""COMPUTED_VALUE"""),"CW33513_May26")</f>
        <v>CW33513_May26</v>
      </c>
      <c r="K743" s="99" t="str">
        <f ca="1">IFERROR(__xludf.DUMMYFUNCTION("""COMPUTED_VALUE"""),"HoM Approved")</f>
        <v>HoM Approved</v>
      </c>
    </row>
    <row r="744" spans="1:11" ht="13.2">
      <c r="A744" s="89" t="str">
        <f ca="1">IFERROR(__xludf.DUMMYFUNCTION("""COMPUTED_VALUE"""),"MAL ALL")</f>
        <v>MAL ALL</v>
      </c>
      <c r="B744" s="90" t="str">
        <f ca="1">IFERROR(__xludf.DUMMYFUNCTION("""COMPUTED_VALUE"""),"Philippines")</f>
        <v>Philippines</v>
      </c>
      <c r="C744" s="91" t="str">
        <f ca="1">IFERROR(__xludf.DUMMYFUNCTION("""COMPUTED_VALUE"""),"Farjana Apu")</f>
        <v>Farjana Apu</v>
      </c>
      <c r="D744" s="92" t="str">
        <f ca="1">IFERROR(__xludf.DUMMYFUNCTION("""COMPUTED_VALUE"""),"Md Iasin Ahmed Showrov (S204960)")</f>
        <v>Md Iasin Ahmed Showrov (S204960)</v>
      </c>
      <c r="E744" s="93" t="str">
        <f ca="1">IFERROR(__xludf.DUMMYFUNCTION("""COMPUTED_VALUE"""),"CB22857_Apr26")</f>
        <v>CB22857_Apr26</v>
      </c>
      <c r="F744" s="94" t="str">
        <f ca="1">IFERROR(__xludf.DUMMYFUNCTION("""COMPUTED_VALUE"""),"Packaging Text Design #1")</f>
        <v>Packaging Text Design #1</v>
      </c>
      <c r="G744" s="95" t="str">
        <f ca="1">IFERROR(__xludf.DUMMYFUNCTION("""COMPUTED_VALUE"""),"New")</f>
        <v>New</v>
      </c>
      <c r="H744" s="96">
        <f ca="1">IFERROR(__xludf.DUMMYFUNCTION("""COMPUTED_VALUE"""),2)</f>
        <v>2</v>
      </c>
      <c r="I744" s="97">
        <f ca="1">IFERROR(__xludf.DUMMYFUNCTION("""COMPUTED_VALUE"""),46156)</f>
        <v>46156</v>
      </c>
      <c r="J744" s="98" t="str">
        <f ca="1">IFERROR(__xludf.DUMMYFUNCTION("""COMPUTED_VALUE"""),"CW33514_May26")</f>
        <v>CW33514_May26</v>
      </c>
      <c r="K744" s="99" t="str">
        <f ca="1">IFERROR(__xludf.DUMMYFUNCTION("""COMPUTED_VALUE"""),"HoM Approved")</f>
        <v>HoM Approved</v>
      </c>
    </row>
    <row r="745" spans="1:11" ht="13.2">
      <c r="A745" s="89" t="str">
        <f ca="1">IFERROR(__xludf.DUMMYFUNCTION("""COMPUTED_VALUE"""),"HIP-ALL")</f>
        <v>HIP-ALL</v>
      </c>
      <c r="B745" s="90" t="str">
        <f ca="1">IFERROR(__xludf.DUMMYFUNCTION("""COMPUTED_VALUE"""),"Philippines")</f>
        <v>Philippines</v>
      </c>
      <c r="C745" s="91" t="str">
        <f ca="1">IFERROR(__xludf.DUMMYFUNCTION("""COMPUTED_VALUE"""),"Farjana Apu")</f>
        <v>Farjana Apu</v>
      </c>
      <c r="D745" s="92" t="str">
        <f ca="1">IFERROR(__xludf.DUMMYFUNCTION("""COMPUTED_VALUE"""),"Md Iasin Ahmed Showrov (S204960)")</f>
        <v>Md Iasin Ahmed Showrov (S204960)</v>
      </c>
      <c r="E745" s="93" t="str">
        <f ca="1">IFERROR(__xludf.DUMMYFUNCTION("""COMPUTED_VALUE"""),"CB23030_May26")</f>
        <v>CB23030_May26</v>
      </c>
      <c r="F745" s="94" t="str">
        <f ca="1">IFERROR(__xludf.DUMMYFUNCTION("""COMPUTED_VALUE"""),"Packaging Text Design #1")</f>
        <v>Packaging Text Design #1</v>
      </c>
      <c r="G745" s="95" t="str">
        <f ca="1">IFERROR(__xludf.DUMMYFUNCTION("""COMPUTED_VALUE"""),"New")</f>
        <v>New</v>
      </c>
      <c r="H745" s="96">
        <f ca="1">IFERROR(__xludf.DUMMYFUNCTION("""COMPUTED_VALUE"""),1)</f>
        <v>1</v>
      </c>
      <c r="I745" s="97">
        <f ca="1">IFERROR(__xludf.DUMMYFUNCTION("""COMPUTED_VALUE"""),46156)</f>
        <v>46156</v>
      </c>
      <c r="J745" s="98" t="str">
        <f ca="1">IFERROR(__xludf.DUMMYFUNCTION("""COMPUTED_VALUE"""),"CW33539_May26")</f>
        <v>CW33539_May26</v>
      </c>
      <c r="K745" s="99" t="str">
        <f ca="1">IFERROR(__xludf.DUMMYFUNCTION("""COMPUTED_VALUE"""),"HoM Approved")</f>
        <v>HoM Approved</v>
      </c>
    </row>
    <row r="746" spans="1:11" ht="13.2">
      <c r="A746" s="89" t="str">
        <f ca="1">IFERROR(__xludf.DUMMYFUNCTION("""COMPUTED_VALUE"""),"MAL ALL")</f>
        <v>MAL ALL</v>
      </c>
      <c r="B746" s="90" t="str">
        <f ca="1">IFERROR(__xludf.DUMMYFUNCTION("""COMPUTED_VALUE"""),"Philippines")</f>
        <v>Philippines</v>
      </c>
      <c r="C746" s="91" t="str">
        <f ca="1">IFERROR(__xludf.DUMMYFUNCTION("""COMPUTED_VALUE"""),"Farjana Apu")</f>
        <v>Farjana Apu</v>
      </c>
      <c r="D746" s="92" t="str">
        <f ca="1">IFERROR(__xludf.DUMMYFUNCTION("""COMPUTED_VALUE"""),"Md Iasin Ahmed Showrov (S204960)")</f>
        <v>Md Iasin Ahmed Showrov (S204960)</v>
      </c>
      <c r="E746" s="93" t="str">
        <f ca="1">IFERROR(__xludf.DUMMYFUNCTION("""COMPUTED_VALUE"""),"CB23619_May26")</f>
        <v>CB23619_May26</v>
      </c>
      <c r="F746" s="94" t="str">
        <f ca="1">IFERROR(__xludf.DUMMYFUNCTION("""COMPUTED_VALUE"""),"Packaging Text Design #1")</f>
        <v>Packaging Text Design #1</v>
      </c>
      <c r="G746" s="95" t="str">
        <f ca="1">IFERROR(__xludf.DUMMYFUNCTION("""COMPUTED_VALUE"""),"New")</f>
        <v>New</v>
      </c>
      <c r="H746" s="96">
        <f ca="1">IFERROR(__xludf.DUMMYFUNCTION("""COMPUTED_VALUE"""),5)</f>
        <v>5</v>
      </c>
      <c r="I746" s="97">
        <f ca="1">IFERROR(__xludf.DUMMYFUNCTION("""COMPUTED_VALUE"""),46156)</f>
        <v>46156</v>
      </c>
      <c r="J746" s="98" t="str">
        <f ca="1">IFERROR(__xludf.DUMMYFUNCTION("""COMPUTED_VALUE"""),"CW33555_May26")</f>
        <v>CW33555_May26</v>
      </c>
      <c r="K746" s="99" t="str">
        <f ca="1">IFERROR(__xludf.DUMMYFUNCTION("""COMPUTED_VALUE"""),"HoM Approved")</f>
        <v>HoM Approved</v>
      </c>
    </row>
    <row r="747" spans="1:11" ht="13.2">
      <c r="A747" s="89" t="str">
        <f ca="1">IFERROR(__xludf.DUMMYFUNCTION("""COMPUTED_VALUE"""),"Common - All PAL")</f>
        <v>Common - All PAL</v>
      </c>
      <c r="B747" s="90" t="str">
        <f ca="1">IFERROR(__xludf.DUMMYFUNCTION("""COMPUTED_VALUE"""),"PAL")</f>
        <v>PAL</v>
      </c>
      <c r="C747" s="91" t="str">
        <f ca="1">IFERROR(__xludf.DUMMYFUNCTION("""COMPUTED_VALUE"""),"Farjana Apu")</f>
        <v>Farjana Apu</v>
      </c>
      <c r="D747" s="92" t="str">
        <f ca="1">IFERROR(__xludf.DUMMYFUNCTION("""COMPUTED_VALUE"""),"Md Iasin Ahmed Showrov (S204960)")</f>
        <v>Md Iasin Ahmed Showrov (S204960)</v>
      </c>
      <c r="E747" s="93" t="str">
        <f ca="1">IFERROR(__xludf.DUMMYFUNCTION("""COMPUTED_VALUE"""),"CB23720_May26")</f>
        <v>CB23720_May26</v>
      </c>
      <c r="F747" s="94" t="str">
        <f ca="1">IFERROR(__xludf.DUMMYFUNCTION("""COMPUTED_VALUE"""),"Packaging Text Design #1")</f>
        <v>Packaging Text Design #1</v>
      </c>
      <c r="G747" s="95" t="str">
        <f ca="1">IFERROR(__xludf.DUMMYFUNCTION("""COMPUTED_VALUE"""),"New")</f>
        <v>New</v>
      </c>
      <c r="H747" s="96">
        <f ca="1">IFERROR(__xludf.DUMMYFUNCTION("""COMPUTED_VALUE"""),7)</f>
        <v>7</v>
      </c>
      <c r="I747" s="97">
        <f ca="1">IFERROR(__xludf.DUMMYFUNCTION("""COMPUTED_VALUE"""),46156)</f>
        <v>46156</v>
      </c>
      <c r="J747" s="98" t="str">
        <f ca="1">IFERROR(__xludf.DUMMYFUNCTION("""COMPUTED_VALUE"""),"CW33557_May26")</f>
        <v>CW33557_May26</v>
      </c>
      <c r="K747" s="99" t="str">
        <f ca="1">IFERROR(__xludf.DUMMYFUNCTION("""COMPUTED_VALUE"""),"HoM Approved")</f>
        <v>HoM Approved</v>
      </c>
    </row>
    <row r="748" spans="1:11" ht="13.2">
      <c r="A748" s="89" t="str">
        <f ca="1">IFERROR(__xludf.DUMMYFUNCTION("""COMPUTED_VALUE"""),"Common - All PAL")</f>
        <v>Common - All PAL</v>
      </c>
      <c r="B748" s="90" t="str">
        <f ca="1">IFERROR(__xludf.DUMMYFUNCTION("""COMPUTED_VALUE"""),"PAL")</f>
        <v>PAL</v>
      </c>
      <c r="C748" s="91" t="str">
        <f ca="1">IFERROR(__xludf.DUMMYFUNCTION("""COMPUTED_VALUE"""),"Farjana Apu")</f>
        <v>Farjana Apu</v>
      </c>
      <c r="D748" s="92" t="str">
        <f ca="1">IFERROR(__xludf.DUMMYFUNCTION("""COMPUTED_VALUE"""),"Md Iasin Ahmed Showrov (S204960)")</f>
        <v>Md Iasin Ahmed Showrov (S204960)</v>
      </c>
      <c r="E748" s="93" t="str">
        <f ca="1">IFERROR(__xludf.DUMMYFUNCTION("""COMPUTED_VALUE"""),"CB22623_Apr26")</f>
        <v>CB22623_Apr26</v>
      </c>
      <c r="F748" s="94" t="str">
        <f ca="1">IFERROR(__xludf.DUMMYFUNCTION("""COMPUTED_VALUE"""),"Packaging Text Design #1")</f>
        <v>Packaging Text Design #1</v>
      </c>
      <c r="G748" s="95" t="str">
        <f ca="1">IFERROR(__xludf.DUMMYFUNCTION("""COMPUTED_VALUE"""),"New")</f>
        <v>New</v>
      </c>
      <c r="H748" s="96">
        <f ca="1">IFERROR(__xludf.DUMMYFUNCTION("""COMPUTED_VALUE"""),1)</f>
        <v>1</v>
      </c>
      <c r="I748" s="97">
        <f ca="1">IFERROR(__xludf.DUMMYFUNCTION("""COMPUTED_VALUE"""),46156)</f>
        <v>46156</v>
      </c>
      <c r="J748" s="98" t="str">
        <f ca="1">IFERROR(__xludf.DUMMYFUNCTION("""COMPUTED_VALUE"""),"CW33507_May26")</f>
        <v>CW33507_May26</v>
      </c>
      <c r="K748" s="99" t="str">
        <f ca="1">IFERROR(__xludf.DUMMYFUNCTION("""COMPUTED_VALUE"""),"HoM Approved")</f>
        <v>HoM Approved</v>
      </c>
    </row>
    <row r="749" spans="1:11" ht="13.2">
      <c r="A749" s="89" t="str">
        <f ca="1">IFERROR(__xludf.DUMMYFUNCTION("""COMPUTED_VALUE"""),"PRAN DAIRY LTD. PIP - ALL")</f>
        <v>PRAN DAIRY LTD. PIP - ALL</v>
      </c>
      <c r="B749" s="90" t="str">
        <f ca="1">IFERROR(__xludf.DUMMYFUNCTION("""COMPUTED_VALUE"""),"Philippines")</f>
        <v>Philippines</v>
      </c>
      <c r="C749" s="91" t="str">
        <f ca="1">IFERROR(__xludf.DUMMYFUNCTION("""COMPUTED_VALUE"""),"Farjana Apu")</f>
        <v>Farjana Apu</v>
      </c>
      <c r="D749" s="92" t="str">
        <f ca="1">IFERROR(__xludf.DUMMYFUNCTION("""COMPUTED_VALUE"""),"Md Iasin Ahmed Showrov (S204960)")</f>
        <v>Md Iasin Ahmed Showrov (S204960)</v>
      </c>
      <c r="E749" s="93" t="str">
        <f ca="1">IFERROR(__xludf.DUMMYFUNCTION("""COMPUTED_VALUE"""),"CB22986_Apr26")</f>
        <v>CB22986_Apr26</v>
      </c>
      <c r="F749" s="94" t="str">
        <f ca="1">IFERROR(__xludf.DUMMYFUNCTION("""COMPUTED_VALUE"""),"Packaging Text Design #1")</f>
        <v>Packaging Text Design #1</v>
      </c>
      <c r="G749" s="95" t="str">
        <f ca="1">IFERROR(__xludf.DUMMYFUNCTION("""COMPUTED_VALUE"""),"New")</f>
        <v>New</v>
      </c>
      <c r="H749" s="96">
        <f ca="1">IFERROR(__xludf.DUMMYFUNCTION("""COMPUTED_VALUE"""),2)</f>
        <v>2</v>
      </c>
      <c r="I749" s="97">
        <f ca="1">IFERROR(__xludf.DUMMYFUNCTION("""COMPUTED_VALUE"""),46156)</f>
        <v>46156</v>
      </c>
      <c r="J749" s="98" t="str">
        <f ca="1">IFERROR(__xludf.DUMMYFUNCTION("""COMPUTED_VALUE"""),"CW33529_May26")</f>
        <v>CW33529_May26</v>
      </c>
      <c r="K749" s="99" t="str">
        <f ca="1">IFERROR(__xludf.DUMMYFUNCTION("""COMPUTED_VALUE"""),"HoM Approved")</f>
        <v>HoM Approved</v>
      </c>
    </row>
    <row r="750" spans="1:11" ht="13.2">
      <c r="A750" s="89" t="str">
        <f ca="1">IFERROR(__xludf.DUMMYFUNCTION("""COMPUTED_VALUE"""),"All Time Cream Roll")</f>
        <v>All Time Cream Roll</v>
      </c>
      <c r="B750" s="90" t="str">
        <f ca="1">IFERROR(__xludf.DUMMYFUNCTION("""COMPUTED_VALUE"""),"BBL")</f>
        <v>BBL</v>
      </c>
      <c r="C750" s="91" t="str">
        <f ca="1">IFERROR(__xludf.DUMMYFUNCTION("""COMPUTED_VALUE"""),"Lisa Apu")</f>
        <v>Lisa Apu</v>
      </c>
      <c r="D750" s="92" t="str">
        <f ca="1">IFERROR(__xludf.DUMMYFUNCTION("""COMPUTED_VALUE"""),"Md Iasin Ahmed Showrov (S204960)")</f>
        <v>Md Iasin Ahmed Showrov (S204960)</v>
      </c>
      <c r="E750" s="93" t="str">
        <f ca="1">IFERROR(__xludf.DUMMYFUNCTION("""COMPUTED_VALUE"""),"CB20575_Apr26")</f>
        <v>CB20575_Apr26</v>
      </c>
      <c r="F750" s="94" t="str">
        <f ca="1">IFERROR(__xludf.DUMMYFUNCTION("""COMPUTED_VALUE"""),"Packaging Text Design #2")</f>
        <v>Packaging Text Design #2</v>
      </c>
      <c r="G750" s="95" t="str">
        <f ca="1">IFERROR(__xludf.DUMMYFUNCTION("""COMPUTED_VALUE"""),"New")</f>
        <v>New</v>
      </c>
      <c r="H750" s="96">
        <f ca="1">IFERROR(__xludf.DUMMYFUNCTION("""COMPUTED_VALUE"""),4)</f>
        <v>4</v>
      </c>
      <c r="I750" s="97">
        <f ca="1">IFERROR(__xludf.DUMMYFUNCTION("""COMPUTED_VALUE"""),46156)</f>
        <v>46156</v>
      </c>
      <c r="J750" s="98" t="str">
        <f ca="1">IFERROR(__xludf.DUMMYFUNCTION("""COMPUTED_VALUE"""),"CW33553_May26")</f>
        <v>CW33553_May26</v>
      </c>
      <c r="K750" s="99" t="str">
        <f ca="1">IFERROR(__xludf.DUMMYFUNCTION("""COMPUTED_VALUE"""),"HoM Approved")</f>
        <v>HoM Approved</v>
      </c>
    </row>
    <row r="751" spans="1:11" ht="13.2">
      <c r="A751" s="89" t="str">
        <f ca="1">IFERROR(__xludf.DUMMYFUNCTION("""COMPUTED_VALUE"""),"Sabiha Spice Powder")</f>
        <v>Sabiha Spice Powder</v>
      </c>
      <c r="B751" s="90" t="str">
        <f ca="1">IFERROR(__xludf.DUMMYFUNCTION("""COMPUTED_VALUE"""),"PAL")</f>
        <v>PAL</v>
      </c>
      <c r="C751" s="91" t="str">
        <f ca="1">IFERROR(__xludf.DUMMYFUNCTION("""COMPUTED_VALUE"""),"Nusrat Apu")</f>
        <v>Nusrat Apu</v>
      </c>
      <c r="D751" s="92" t="str">
        <f ca="1">IFERROR(__xludf.DUMMYFUNCTION("""COMPUTED_VALUE"""),"Md Iasin Ahmed Showrov (S204960)")</f>
        <v>Md Iasin Ahmed Showrov (S204960)</v>
      </c>
      <c r="E751" s="93" t="str">
        <f ca="1">IFERROR(__xludf.DUMMYFUNCTION("""COMPUTED_VALUE"""),"CB22557_Apr26")</f>
        <v>CB22557_Apr26</v>
      </c>
      <c r="F751" s="94" t="str">
        <f ca="1">IFERROR(__xludf.DUMMYFUNCTION("""COMPUTED_VALUE"""),"Packaging Text Design #1")</f>
        <v>Packaging Text Design #1</v>
      </c>
      <c r="G751" s="95" t="str">
        <f ca="1">IFERROR(__xludf.DUMMYFUNCTION("""COMPUTED_VALUE"""),"New")</f>
        <v>New</v>
      </c>
      <c r="H751" s="96">
        <f ca="1">IFERROR(__xludf.DUMMYFUNCTION("""COMPUTED_VALUE"""),1)</f>
        <v>1</v>
      </c>
      <c r="I751" s="97">
        <f ca="1">IFERROR(__xludf.DUMMYFUNCTION("""COMPUTED_VALUE"""),46156)</f>
        <v>46156</v>
      </c>
      <c r="J751" s="98" t="str">
        <f ca="1">IFERROR(__xludf.DUMMYFUNCTION("""COMPUTED_VALUE"""),"CW33505_May26")</f>
        <v>CW33505_May26</v>
      </c>
      <c r="K751" s="99" t="str">
        <f ca="1">IFERROR(__xludf.DUMMYFUNCTION("""COMPUTED_VALUE"""),"HoM Approved")</f>
        <v>HoM Approved</v>
      </c>
    </row>
    <row r="752" spans="1:11" ht="13.2">
      <c r="A752" s="89" t="str">
        <f ca="1">IFERROR(__xludf.DUMMYFUNCTION("""COMPUTED_VALUE"""),"PRAN DAIRY LTD. PIP - ALL")</f>
        <v>PRAN DAIRY LTD. PIP - ALL</v>
      </c>
      <c r="B752" s="90" t="str">
        <f ca="1">IFERROR(__xludf.DUMMYFUNCTION("""COMPUTED_VALUE"""),"Philippines")</f>
        <v>Philippines</v>
      </c>
      <c r="C752" s="91" t="str">
        <f ca="1">IFERROR(__xludf.DUMMYFUNCTION("""COMPUTED_VALUE"""),"Rabby Vai")</f>
        <v>Rabby Vai</v>
      </c>
      <c r="D752" s="92" t="str">
        <f ca="1">IFERROR(__xludf.DUMMYFUNCTION("""COMPUTED_VALUE"""),"Md Iasin Ahmed Showrov (S204960)")</f>
        <v>Md Iasin Ahmed Showrov (S204960)</v>
      </c>
      <c r="E752" s="93" t="str">
        <f ca="1">IFERROR(__xludf.DUMMYFUNCTION("""COMPUTED_VALUE"""),"CB22902_Apr26")</f>
        <v>CB22902_Apr26</v>
      </c>
      <c r="F752" s="94" t="str">
        <f ca="1">IFERROR(__xludf.DUMMYFUNCTION("""COMPUTED_VALUE"""),"Packaging Text Design #1")</f>
        <v>Packaging Text Design #1</v>
      </c>
      <c r="G752" s="95" t="str">
        <f ca="1">IFERROR(__xludf.DUMMYFUNCTION("""COMPUTED_VALUE"""),"New")</f>
        <v>New</v>
      </c>
      <c r="H752" s="96">
        <f ca="1">IFERROR(__xludf.DUMMYFUNCTION("""COMPUTED_VALUE"""),3)</f>
        <v>3</v>
      </c>
      <c r="I752" s="97">
        <f ca="1">IFERROR(__xludf.DUMMYFUNCTION("""COMPUTED_VALUE"""),46156)</f>
        <v>46156</v>
      </c>
      <c r="J752" s="98" t="str">
        <f ca="1">IFERROR(__xludf.DUMMYFUNCTION("""COMPUTED_VALUE"""),"CW33527_May26")</f>
        <v>CW33527_May26</v>
      </c>
      <c r="K752" s="99" t="str">
        <f ca="1">IFERROR(__xludf.DUMMYFUNCTION("""COMPUTED_VALUE"""),"HoM Approved")</f>
        <v>HoM Approved</v>
      </c>
    </row>
    <row r="753" spans="1:11" ht="13.2">
      <c r="A753" s="89" t="str">
        <f ca="1">IFERROR(__xludf.DUMMYFUNCTION("""COMPUTED_VALUE"""),"Common - All PAL")</f>
        <v>Common - All PAL</v>
      </c>
      <c r="B753" s="90" t="str">
        <f ca="1">IFERROR(__xludf.DUMMYFUNCTION("""COMPUTED_VALUE"""),"PAL")</f>
        <v>PAL</v>
      </c>
      <c r="C753" s="91" t="str">
        <f ca="1">IFERROR(__xludf.DUMMYFUNCTION("""COMPUTED_VALUE"""),"Rabby Vai")</f>
        <v>Rabby Vai</v>
      </c>
      <c r="D753" s="92" t="str">
        <f ca="1">IFERROR(__xludf.DUMMYFUNCTION("""COMPUTED_VALUE"""),"Md Iasin Ahmed Showrov (S204960)")</f>
        <v>Md Iasin Ahmed Showrov (S204960)</v>
      </c>
      <c r="E753" s="93" t="str">
        <f ca="1">IFERROR(__xludf.DUMMYFUNCTION("""COMPUTED_VALUE"""),"CB23742_May26")</f>
        <v>CB23742_May26</v>
      </c>
      <c r="F753" s="94" t="str">
        <f ca="1">IFERROR(__xludf.DUMMYFUNCTION("""COMPUTED_VALUE"""),"Packaging Text Design #1")</f>
        <v>Packaging Text Design #1</v>
      </c>
      <c r="G753" s="95" t="str">
        <f ca="1">IFERROR(__xludf.DUMMYFUNCTION("""COMPUTED_VALUE"""),"New")</f>
        <v>New</v>
      </c>
      <c r="H753" s="96">
        <f ca="1">IFERROR(__xludf.DUMMYFUNCTION("""COMPUTED_VALUE"""),3)</f>
        <v>3</v>
      </c>
      <c r="I753" s="97">
        <f ca="1">IFERROR(__xludf.DUMMYFUNCTION("""COMPUTED_VALUE"""),46156)</f>
        <v>46156</v>
      </c>
      <c r="J753" s="98" t="str">
        <f ca="1">IFERROR(__xludf.DUMMYFUNCTION("""COMPUTED_VALUE"""),"CW33558_May26")</f>
        <v>CW33558_May26</v>
      </c>
      <c r="K753" s="99" t="str">
        <f ca="1">IFERROR(__xludf.DUMMYFUNCTION("""COMPUTED_VALUE"""),"HoM Approved")</f>
        <v>HoM Approved</v>
      </c>
    </row>
    <row r="754" spans="1:11" ht="13.2">
      <c r="A754" s="89" t="str">
        <f ca="1">IFERROR(__xludf.DUMMYFUNCTION("""COMPUTED_VALUE"""),"PRAN DAIRY LTD. PIP - ALL")</f>
        <v>PRAN DAIRY LTD. PIP - ALL</v>
      </c>
      <c r="B754" s="90" t="str">
        <f ca="1">IFERROR(__xludf.DUMMYFUNCTION("""COMPUTED_VALUE"""),"Philippines")</f>
        <v>Philippines</v>
      </c>
      <c r="C754" s="91" t="str">
        <f ca="1">IFERROR(__xludf.DUMMYFUNCTION("""COMPUTED_VALUE"""),"Rabby Vai")</f>
        <v>Rabby Vai</v>
      </c>
      <c r="D754" s="92" t="str">
        <f ca="1">IFERROR(__xludf.DUMMYFUNCTION("""COMPUTED_VALUE"""),"Md Iasin Ahmed Showrov (S204960)")</f>
        <v>Md Iasin Ahmed Showrov (S204960)</v>
      </c>
      <c r="E754" s="93" t="str">
        <f ca="1">IFERROR(__xludf.DUMMYFUNCTION("""COMPUTED_VALUE"""),"CB22901_Apr26")</f>
        <v>CB22901_Apr26</v>
      </c>
      <c r="F754" s="94" t="str">
        <f ca="1">IFERROR(__xludf.DUMMYFUNCTION("""COMPUTED_VALUE"""),"Packaging Text Design #1")</f>
        <v>Packaging Text Design #1</v>
      </c>
      <c r="G754" s="95" t="str">
        <f ca="1">IFERROR(__xludf.DUMMYFUNCTION("""COMPUTED_VALUE"""),"New")</f>
        <v>New</v>
      </c>
      <c r="H754" s="96">
        <f ca="1">IFERROR(__xludf.DUMMYFUNCTION("""COMPUTED_VALUE"""),1)</f>
        <v>1</v>
      </c>
      <c r="I754" s="97">
        <f ca="1">IFERROR(__xludf.DUMMYFUNCTION("""COMPUTED_VALUE"""),46156)</f>
        <v>46156</v>
      </c>
      <c r="J754" s="98" t="str">
        <f ca="1">IFERROR(__xludf.DUMMYFUNCTION("""COMPUTED_VALUE"""),"CW33525_May26")</f>
        <v>CW33525_May26</v>
      </c>
      <c r="K754" s="99" t="str">
        <f ca="1">IFERROR(__xludf.DUMMYFUNCTION("""COMPUTED_VALUE"""),"HoM Approved")</f>
        <v>HoM Approved</v>
      </c>
    </row>
    <row r="755" spans="1:11" ht="13.2">
      <c r="A755" s="89" t="str">
        <f ca="1">IFERROR(__xludf.DUMMYFUNCTION("""COMPUTED_VALUE"""),"HIP-ALL")</f>
        <v>HIP-ALL</v>
      </c>
      <c r="B755" s="90" t="str">
        <f ca="1">IFERROR(__xludf.DUMMYFUNCTION("""COMPUTED_VALUE"""),"Philippines")</f>
        <v>Philippines</v>
      </c>
      <c r="C755" s="91" t="str">
        <f ca="1">IFERROR(__xludf.DUMMYFUNCTION("""COMPUTED_VALUE"""),"Rabby Vai")</f>
        <v>Rabby Vai</v>
      </c>
      <c r="D755" s="92" t="str">
        <f ca="1">IFERROR(__xludf.DUMMYFUNCTION("""COMPUTED_VALUE"""),"Md Iasin Ahmed Showrov (S204960)")</f>
        <v>Md Iasin Ahmed Showrov (S204960)</v>
      </c>
      <c r="E755" s="93" t="str">
        <f ca="1">IFERROR(__xludf.DUMMYFUNCTION("""COMPUTED_VALUE"""),"CB23133_May26")</f>
        <v>CB23133_May26</v>
      </c>
      <c r="F755" s="94" t="str">
        <f ca="1">IFERROR(__xludf.DUMMYFUNCTION("""COMPUTED_VALUE"""),"Packaging Text Design #1")</f>
        <v>Packaging Text Design #1</v>
      </c>
      <c r="G755" s="95" t="str">
        <f ca="1">IFERROR(__xludf.DUMMYFUNCTION("""COMPUTED_VALUE"""),"New")</f>
        <v>New</v>
      </c>
      <c r="H755" s="96">
        <f ca="1">IFERROR(__xludf.DUMMYFUNCTION("""COMPUTED_VALUE"""),4)</f>
        <v>4</v>
      </c>
      <c r="I755" s="97">
        <f ca="1">IFERROR(__xludf.DUMMYFUNCTION("""COMPUTED_VALUE"""),46156)</f>
        <v>46156</v>
      </c>
      <c r="J755" s="98" t="str">
        <f ca="1">IFERROR(__xludf.DUMMYFUNCTION("""COMPUTED_VALUE"""),"CW33550_May26")</f>
        <v>CW33550_May26</v>
      </c>
      <c r="K755" s="99" t="str">
        <f ca="1">IFERROR(__xludf.DUMMYFUNCTION("""COMPUTED_VALUE"""),"HoM Approved")</f>
        <v>HoM Approved</v>
      </c>
    </row>
    <row r="756" spans="1:11" ht="13.2">
      <c r="A756" s="89" t="str">
        <f ca="1">IFERROR(__xludf.DUMMYFUNCTION("""COMPUTED_VALUE"""),"PRAN DAIRY LTD. PIP - ALL")</f>
        <v>PRAN DAIRY LTD. PIP - ALL</v>
      </c>
      <c r="B756" s="90" t="str">
        <f ca="1">IFERROR(__xludf.DUMMYFUNCTION("""COMPUTED_VALUE"""),"Philippines")</f>
        <v>Philippines</v>
      </c>
      <c r="C756" s="91" t="str">
        <f ca="1">IFERROR(__xludf.DUMMYFUNCTION("""COMPUTED_VALUE"""),"Rabby Vai")</f>
        <v>Rabby Vai</v>
      </c>
      <c r="D756" s="92" t="str">
        <f ca="1">IFERROR(__xludf.DUMMYFUNCTION("""COMPUTED_VALUE"""),"Md Iasin Ahmed Showrov (S204960)")</f>
        <v>Md Iasin Ahmed Showrov (S204960)</v>
      </c>
      <c r="E756" s="93" t="str">
        <f ca="1">IFERROR(__xludf.DUMMYFUNCTION("""COMPUTED_VALUE"""),"CB24038_May26")</f>
        <v>CB24038_May26</v>
      </c>
      <c r="F756" s="94" t="str">
        <f ca="1">IFERROR(__xludf.DUMMYFUNCTION("""COMPUTED_VALUE"""),"Packaging Text Design #1")</f>
        <v>Packaging Text Design #1</v>
      </c>
      <c r="G756" s="95" t="str">
        <f ca="1">IFERROR(__xludf.DUMMYFUNCTION("""COMPUTED_VALUE"""),"New")</f>
        <v>New</v>
      </c>
      <c r="H756" s="96">
        <f ca="1">IFERROR(__xludf.DUMMYFUNCTION("""COMPUTED_VALUE"""),1)</f>
        <v>1</v>
      </c>
      <c r="I756" s="97">
        <f ca="1">IFERROR(__xludf.DUMMYFUNCTION("""COMPUTED_VALUE"""),46156)</f>
        <v>46156</v>
      </c>
      <c r="J756" s="98" t="str">
        <f ca="1">IFERROR(__xludf.DUMMYFUNCTION("""COMPUTED_VALUE"""),"CW33571_May26")</f>
        <v>CW33571_May26</v>
      </c>
      <c r="K756" s="99" t="str">
        <f ca="1">IFERROR(__xludf.DUMMYFUNCTION("""COMPUTED_VALUE"""),"HoM Approved")</f>
        <v>HoM Approved</v>
      </c>
    </row>
    <row r="757" spans="1:11" ht="13.2">
      <c r="A757" s="89" t="str">
        <f ca="1">IFERROR(__xludf.DUMMYFUNCTION("""COMPUTED_VALUE"""),"PRAN Ball Gum")</f>
        <v>PRAN Ball Gum</v>
      </c>
      <c r="B757" s="90" t="str">
        <f ca="1">IFERROR(__xludf.DUMMYFUNCTION("""COMPUTED_VALUE"""),"PCL")</f>
        <v>PCL</v>
      </c>
      <c r="C757" s="91" t="str">
        <f ca="1">IFERROR(__xludf.DUMMYFUNCTION("""COMPUTED_VALUE"""),"Rakib Vai")</f>
        <v>Rakib Vai</v>
      </c>
      <c r="D757" s="92" t="str">
        <f ca="1">IFERROR(__xludf.DUMMYFUNCTION("""COMPUTED_VALUE"""),"Md Iasin Ahmed Showrov (S204960)")</f>
        <v>Md Iasin Ahmed Showrov (S204960)</v>
      </c>
      <c r="E757" s="93" t="str">
        <f ca="1">IFERROR(__xludf.DUMMYFUNCTION("""COMPUTED_VALUE"""),"CB22520_Apr26")</f>
        <v>CB22520_Apr26</v>
      </c>
      <c r="F757" s="94" t="str">
        <f ca="1">IFERROR(__xludf.DUMMYFUNCTION("""COMPUTED_VALUE"""),"Carton Design")</f>
        <v>Carton Design</v>
      </c>
      <c r="G757" s="95" t="str">
        <f ca="1">IFERROR(__xludf.DUMMYFUNCTION("""COMPUTED_VALUE"""),"New")</f>
        <v>New</v>
      </c>
      <c r="H757" s="96">
        <f ca="1">IFERROR(__xludf.DUMMYFUNCTION("""COMPUTED_VALUE"""),2)</f>
        <v>2</v>
      </c>
      <c r="I757" s="97">
        <f ca="1">IFERROR(__xludf.DUMMYFUNCTION("""COMPUTED_VALUE"""),46156)</f>
        <v>46156</v>
      </c>
      <c r="J757" s="98" t="str">
        <f ca="1">IFERROR(__xludf.DUMMYFUNCTION("""COMPUTED_VALUE"""),"CW33516_May26")</f>
        <v>CW33516_May26</v>
      </c>
      <c r="K757" s="99" t="str">
        <f ca="1">IFERROR(__xludf.DUMMYFUNCTION("""COMPUTED_VALUE"""),"HoM Approved")</f>
        <v>HoM Approved</v>
      </c>
    </row>
    <row r="758" spans="1:11" ht="13.2">
      <c r="A758" s="89" t="str">
        <f ca="1">IFERROR(__xludf.DUMMYFUNCTION("""COMPUTED_VALUE"""),"PRAN Fruit Drinks (TP)-")</f>
        <v>PRAN Fruit Drinks (TP)-</v>
      </c>
      <c r="B758" s="90" t="str">
        <f ca="1">IFERROR(__xludf.DUMMYFUNCTION("""COMPUTED_VALUE"""),"Dairy")</f>
        <v>Dairy</v>
      </c>
      <c r="C758" s="91" t="str">
        <f ca="1">IFERROR(__xludf.DUMMYFUNCTION("""COMPUTED_VALUE"""),"Rakib Vai")</f>
        <v>Rakib Vai</v>
      </c>
      <c r="D758" s="92" t="str">
        <f ca="1">IFERROR(__xludf.DUMMYFUNCTION("""COMPUTED_VALUE"""),"Md Iasin Ahmed Showrov (S204960)")</f>
        <v>Md Iasin Ahmed Showrov (S204960)</v>
      </c>
      <c r="E758" s="93" t="str">
        <f ca="1">IFERROR(__xludf.DUMMYFUNCTION("""COMPUTED_VALUE"""),"CB23978_May26")</f>
        <v>CB23978_May26</v>
      </c>
      <c r="F758" s="94" t="str">
        <f ca="1">IFERROR(__xludf.DUMMYFUNCTION("""COMPUTED_VALUE"""),"Packaging Text Design #1")</f>
        <v>Packaging Text Design #1</v>
      </c>
      <c r="G758" s="95" t="str">
        <f ca="1">IFERROR(__xludf.DUMMYFUNCTION("""COMPUTED_VALUE"""),"New")</f>
        <v>New</v>
      </c>
      <c r="H758" s="96">
        <f ca="1">IFERROR(__xludf.DUMMYFUNCTION("""COMPUTED_VALUE"""),5)</f>
        <v>5</v>
      </c>
      <c r="I758" s="97">
        <f ca="1">IFERROR(__xludf.DUMMYFUNCTION("""COMPUTED_VALUE"""),46156)</f>
        <v>46156</v>
      </c>
      <c r="J758" s="98" t="str">
        <f ca="1">IFERROR(__xludf.DUMMYFUNCTION("""COMPUTED_VALUE"""),"CW33566_May26")</f>
        <v>CW33566_May26</v>
      </c>
      <c r="K758" s="99" t="str">
        <f ca="1">IFERROR(__xludf.DUMMYFUNCTION("""COMPUTED_VALUE"""),"HoM Approved")</f>
        <v>HoM Approved</v>
      </c>
    </row>
    <row r="759" spans="1:11" ht="13.2">
      <c r="A759" s="89" t="str">
        <f ca="1">IFERROR(__xludf.DUMMYFUNCTION("""COMPUTED_VALUE"""),"Wonder Kids")</f>
        <v>Wonder Kids</v>
      </c>
      <c r="B759" s="90" t="str">
        <f ca="1">IFERROR(__xludf.DUMMYFUNCTION("""COMPUTED_VALUE"""),"PCL")</f>
        <v>PCL</v>
      </c>
      <c r="C759" s="91" t="str">
        <f ca="1">IFERROR(__xludf.DUMMYFUNCTION("""COMPUTED_VALUE"""),"Rakib Vai")</f>
        <v>Rakib Vai</v>
      </c>
      <c r="D759" s="92" t="str">
        <f ca="1">IFERROR(__xludf.DUMMYFUNCTION("""COMPUTED_VALUE"""),"Md Iasin Ahmed Showrov (S204960)")</f>
        <v>Md Iasin Ahmed Showrov (S204960)</v>
      </c>
      <c r="E759" s="93" t="str">
        <f ca="1">IFERROR(__xludf.DUMMYFUNCTION("""COMPUTED_VALUE"""),"CB23859_May26")</f>
        <v>CB23859_May26</v>
      </c>
      <c r="F759" s="94" t="str">
        <f ca="1">IFERROR(__xludf.DUMMYFUNCTION("""COMPUTED_VALUE"""),"Packaging Text Design #1")</f>
        <v>Packaging Text Design #1</v>
      </c>
      <c r="G759" s="95" t="str">
        <f ca="1">IFERROR(__xludf.DUMMYFUNCTION("""COMPUTED_VALUE"""),"New")</f>
        <v>New</v>
      </c>
      <c r="H759" s="96">
        <f ca="1">IFERROR(__xludf.DUMMYFUNCTION("""COMPUTED_VALUE"""),2)</f>
        <v>2</v>
      </c>
      <c r="I759" s="97">
        <f ca="1">IFERROR(__xludf.DUMMYFUNCTION("""COMPUTED_VALUE"""),46156)</f>
        <v>46156</v>
      </c>
      <c r="J759" s="98" t="str">
        <f ca="1">IFERROR(__xludf.DUMMYFUNCTION("""COMPUTED_VALUE"""),"CW33564_May26")</f>
        <v>CW33564_May26</v>
      </c>
      <c r="K759" s="99" t="str">
        <f ca="1">IFERROR(__xludf.DUMMYFUNCTION("""COMPUTED_VALUE"""),"HoM Approved")</f>
        <v>HoM Approved</v>
      </c>
    </row>
    <row r="760" spans="1:11" ht="13.2">
      <c r="A760" s="89" t="str">
        <f ca="1">IFERROR(__xludf.DUMMYFUNCTION("""COMPUTED_VALUE"""),"Oliver Biscuits")</f>
        <v>Oliver Biscuits</v>
      </c>
      <c r="B760" s="90" t="str">
        <f ca="1">IFERROR(__xludf.DUMMYFUNCTION("""COMPUTED_VALUE"""),"PBL")</f>
        <v>PBL</v>
      </c>
      <c r="C760" s="91" t="str">
        <f ca="1">IFERROR(__xludf.DUMMYFUNCTION("""COMPUTED_VALUE"""),"Rakib Vai")</f>
        <v>Rakib Vai</v>
      </c>
      <c r="D760" s="92" t="str">
        <f ca="1">IFERROR(__xludf.DUMMYFUNCTION("""COMPUTED_VALUE"""),"Md Iasin Ahmed Showrov (S204960)")</f>
        <v>Md Iasin Ahmed Showrov (S204960)</v>
      </c>
      <c r="E760" s="93" t="str">
        <f ca="1">IFERROR(__xludf.DUMMYFUNCTION("""COMPUTED_VALUE"""),"CB22983_Apr26")</f>
        <v>CB22983_Apr26</v>
      </c>
      <c r="F760" s="94" t="str">
        <f ca="1">IFERROR(__xludf.DUMMYFUNCTION("""COMPUTED_VALUE"""),"Packaging Text Design #2")</f>
        <v>Packaging Text Design #2</v>
      </c>
      <c r="G760" s="95" t="str">
        <f ca="1">IFERROR(__xludf.DUMMYFUNCTION("""COMPUTED_VALUE"""),"New")</f>
        <v>New</v>
      </c>
      <c r="H760" s="96">
        <f ca="1">IFERROR(__xludf.DUMMYFUNCTION("""COMPUTED_VALUE"""),3)</f>
        <v>3</v>
      </c>
      <c r="I760" s="97">
        <f ca="1">IFERROR(__xludf.DUMMYFUNCTION("""COMPUTED_VALUE"""),46156)</f>
        <v>46156</v>
      </c>
      <c r="J760" s="98" t="str">
        <f ca="1">IFERROR(__xludf.DUMMYFUNCTION("""COMPUTED_VALUE"""),"CW33530_May26")</f>
        <v>CW33530_May26</v>
      </c>
      <c r="K760" s="99" t="str">
        <f ca="1">IFERROR(__xludf.DUMMYFUNCTION("""COMPUTED_VALUE"""),"HoM Approved")</f>
        <v>HoM Approved</v>
      </c>
    </row>
    <row r="761" spans="1:11" ht="13.2">
      <c r="A761" s="89" t="str">
        <f ca="1">IFERROR(__xludf.DUMMYFUNCTION("""COMPUTED_VALUE"""),"PRAN Noodles")</f>
        <v>PRAN Noodles</v>
      </c>
      <c r="B761" s="90" t="str">
        <f ca="1">IFERROR(__xludf.DUMMYFUNCTION("""COMPUTED_VALUE"""),"PAL")</f>
        <v>PAL</v>
      </c>
      <c r="C761" s="91" t="str">
        <f ca="1">IFERROR(__xludf.DUMMYFUNCTION("""COMPUTED_VALUE"""),"Saifullah Vai")</f>
        <v>Saifullah Vai</v>
      </c>
      <c r="D761" s="92" t="str">
        <f ca="1">IFERROR(__xludf.DUMMYFUNCTION("""COMPUTED_VALUE"""),"Md Iasin Ahmed Showrov (S204960)")</f>
        <v>Md Iasin Ahmed Showrov (S204960)</v>
      </c>
      <c r="E761" s="93" t="str">
        <f ca="1">IFERROR(__xludf.DUMMYFUNCTION("""COMPUTED_VALUE"""),"CB19604_Mar26")</f>
        <v>CB19604_Mar26</v>
      </c>
      <c r="F761" s="94" t="str">
        <f ca="1">IFERROR(__xludf.DUMMYFUNCTION("""COMPUTED_VALUE"""),"Carton Design")</f>
        <v>Carton Design</v>
      </c>
      <c r="G761" s="95" t="str">
        <f ca="1">IFERROR(__xludf.DUMMYFUNCTION("""COMPUTED_VALUE"""),"New")</f>
        <v>New</v>
      </c>
      <c r="H761" s="96">
        <f ca="1">IFERROR(__xludf.DUMMYFUNCTION("""COMPUTED_VALUE"""),12)</f>
        <v>12</v>
      </c>
      <c r="I761" s="97">
        <f ca="1">IFERROR(__xludf.DUMMYFUNCTION("""COMPUTED_VALUE"""),46156)</f>
        <v>46156</v>
      </c>
      <c r="J761" s="98" t="str">
        <f ca="1">IFERROR(__xludf.DUMMYFUNCTION("""COMPUTED_VALUE"""),"CW33526_May26")</f>
        <v>CW33526_May26</v>
      </c>
      <c r="K761" s="99" t="str">
        <f ca="1">IFERROR(__xludf.DUMMYFUNCTION("""COMPUTED_VALUE"""),"HoM Approved")</f>
        <v>HoM Approved</v>
      </c>
    </row>
    <row r="762" spans="1:11" ht="13.2">
      <c r="A762" s="89" t="str">
        <f ca="1">IFERROR(__xludf.DUMMYFUNCTION("""COMPUTED_VALUE"""),"Common - India Export")</f>
        <v>Common - India Export</v>
      </c>
      <c r="B762" s="90" t="str">
        <f ca="1">IFERROR(__xludf.DUMMYFUNCTION("""COMPUTED_VALUE"""),"India")</f>
        <v>India</v>
      </c>
      <c r="C762" s="91" t="str">
        <f ca="1">IFERROR(__xludf.DUMMYFUNCTION("""COMPUTED_VALUE"""),"Saifullah Vai")</f>
        <v>Saifullah Vai</v>
      </c>
      <c r="D762" s="92" t="str">
        <f ca="1">IFERROR(__xludf.DUMMYFUNCTION("""COMPUTED_VALUE"""),"Md Iasin Ahmed Showrov (S204960)")</f>
        <v>Md Iasin Ahmed Showrov (S204960)</v>
      </c>
      <c r="E762" s="93" t="str">
        <f ca="1">IFERROR(__xludf.DUMMYFUNCTION("""COMPUTED_VALUE"""),"CB23336_May26")</f>
        <v>CB23336_May26</v>
      </c>
      <c r="F762" s="94" t="str">
        <f ca="1">IFERROR(__xludf.DUMMYFUNCTION("""COMPUTED_VALUE"""),"Packaging Text Design #1")</f>
        <v>Packaging Text Design #1</v>
      </c>
      <c r="G762" s="95" t="str">
        <f ca="1">IFERROR(__xludf.DUMMYFUNCTION("""COMPUTED_VALUE"""),"New")</f>
        <v>New</v>
      </c>
      <c r="H762" s="96">
        <f ca="1">IFERROR(__xludf.DUMMYFUNCTION("""COMPUTED_VALUE"""),2)</f>
        <v>2</v>
      </c>
      <c r="I762" s="97">
        <f ca="1">IFERROR(__xludf.DUMMYFUNCTION("""COMPUTED_VALUE"""),46156)</f>
        <v>46156</v>
      </c>
      <c r="J762" s="98" t="str">
        <f ca="1">IFERROR(__xludf.DUMMYFUNCTION("""COMPUTED_VALUE"""),"CW33532_May26")</f>
        <v>CW33532_May26</v>
      </c>
      <c r="K762" s="99" t="str">
        <f ca="1">IFERROR(__xludf.DUMMYFUNCTION("""COMPUTED_VALUE"""),"HoM Approved")</f>
        <v>HoM Approved</v>
      </c>
    </row>
    <row r="763" spans="1:11" ht="13.2">
      <c r="A763" s="89" t="str">
        <f ca="1">IFERROR(__xludf.DUMMYFUNCTION("""COMPUTED_VALUE"""),"Common - USA &amp; Europe Export")</f>
        <v>Common - USA &amp; Europe Export</v>
      </c>
      <c r="B763" s="90" t="str">
        <f ca="1">IFERROR(__xludf.DUMMYFUNCTION("""COMPUTED_VALUE"""),"USA &amp; Europe")</f>
        <v>USA &amp; Europe</v>
      </c>
      <c r="C763" s="91" t="str">
        <f ca="1">IFERROR(__xludf.DUMMYFUNCTION("""COMPUTED_VALUE"""),"Saifullah Vai")</f>
        <v>Saifullah Vai</v>
      </c>
      <c r="D763" s="92" t="str">
        <f ca="1">IFERROR(__xludf.DUMMYFUNCTION("""COMPUTED_VALUE"""),"Md Iasin Ahmed Showrov (S204960)")</f>
        <v>Md Iasin Ahmed Showrov (S204960)</v>
      </c>
      <c r="E763" s="93" t="str">
        <f ca="1">IFERROR(__xludf.DUMMYFUNCTION("""COMPUTED_VALUE"""),"CB23864_May26")</f>
        <v>CB23864_May26</v>
      </c>
      <c r="F763" s="94" t="str">
        <f ca="1">IFERROR(__xludf.DUMMYFUNCTION("""COMPUTED_VALUE"""),"Packaging Text Design #2")</f>
        <v>Packaging Text Design #2</v>
      </c>
      <c r="G763" s="95" t="str">
        <f ca="1">IFERROR(__xludf.DUMMYFUNCTION("""COMPUTED_VALUE"""),"New")</f>
        <v>New</v>
      </c>
      <c r="H763" s="96">
        <f ca="1">IFERROR(__xludf.DUMMYFUNCTION("""COMPUTED_VALUE"""),1)</f>
        <v>1</v>
      </c>
      <c r="I763" s="97">
        <f ca="1">IFERROR(__xludf.DUMMYFUNCTION("""COMPUTED_VALUE"""),46156)</f>
        <v>46156</v>
      </c>
      <c r="J763" s="98" t="str">
        <f ca="1">IFERROR(__xludf.DUMMYFUNCTION("""COMPUTED_VALUE"""),"CW33506_May26")</f>
        <v>CW33506_May26</v>
      </c>
      <c r="K763" s="99" t="str">
        <f ca="1">IFERROR(__xludf.DUMMYFUNCTION("""COMPUTED_VALUE"""),"HoM Approved")</f>
        <v>HoM Approved</v>
      </c>
    </row>
    <row r="764" spans="1:11" ht="13.2">
      <c r="A764" s="89" t="str">
        <f ca="1">IFERROR(__xludf.DUMMYFUNCTION("""COMPUTED_VALUE"""),"Common - USA &amp; Europe Export")</f>
        <v>Common - USA &amp; Europe Export</v>
      </c>
      <c r="B764" s="90" t="str">
        <f ca="1">IFERROR(__xludf.DUMMYFUNCTION("""COMPUTED_VALUE"""),"USA &amp; Europe")</f>
        <v>USA &amp; Europe</v>
      </c>
      <c r="C764" s="91" t="str">
        <f ca="1">IFERROR(__xludf.DUMMYFUNCTION("""COMPUTED_VALUE"""),"Saifullah Vai")</f>
        <v>Saifullah Vai</v>
      </c>
      <c r="D764" s="92" t="str">
        <f ca="1">IFERROR(__xludf.DUMMYFUNCTION("""COMPUTED_VALUE"""),"Md Iasin Ahmed Showrov (S204960)")</f>
        <v>Md Iasin Ahmed Showrov (S204960)</v>
      </c>
      <c r="E764" s="93" t="str">
        <f ca="1">IFERROR(__xludf.DUMMYFUNCTION("""COMPUTED_VALUE"""),"CB23037_May26")</f>
        <v>CB23037_May26</v>
      </c>
      <c r="F764" s="94" t="str">
        <f ca="1">IFERROR(__xludf.DUMMYFUNCTION("""COMPUTED_VALUE"""),"Packaging Text Design #2")</f>
        <v>Packaging Text Design #2</v>
      </c>
      <c r="G764" s="95" t="str">
        <f ca="1">IFERROR(__xludf.DUMMYFUNCTION("""COMPUTED_VALUE"""),"New")</f>
        <v>New</v>
      </c>
      <c r="H764" s="96">
        <f ca="1">IFERROR(__xludf.DUMMYFUNCTION("""COMPUTED_VALUE"""),4)</f>
        <v>4</v>
      </c>
      <c r="I764" s="97">
        <f ca="1">IFERROR(__xludf.DUMMYFUNCTION("""COMPUTED_VALUE"""),46156)</f>
        <v>46156</v>
      </c>
      <c r="J764" s="98" t="str">
        <f ca="1">IFERROR(__xludf.DUMMYFUNCTION("""COMPUTED_VALUE"""),"CW33543_May26")</f>
        <v>CW33543_May26</v>
      </c>
      <c r="K764" s="99" t="str">
        <f ca="1">IFERROR(__xludf.DUMMYFUNCTION("""COMPUTED_VALUE"""),"HoM Approved")</f>
        <v>HoM Approved</v>
      </c>
    </row>
    <row r="765" spans="1:11" ht="13.2">
      <c r="A765" s="89" t="str">
        <f ca="1">IFERROR(__xludf.DUMMYFUNCTION("""COMPUTED_VALUE"""),"Common - USA &amp; Europe Export")</f>
        <v>Common - USA &amp; Europe Export</v>
      </c>
      <c r="B765" s="90" t="str">
        <f ca="1">IFERROR(__xludf.DUMMYFUNCTION("""COMPUTED_VALUE"""),"USA &amp; Europe")</f>
        <v>USA &amp; Europe</v>
      </c>
      <c r="C765" s="91" t="str">
        <f ca="1">IFERROR(__xludf.DUMMYFUNCTION("""COMPUTED_VALUE"""),"Saifullah Vai")</f>
        <v>Saifullah Vai</v>
      </c>
      <c r="D765" s="92" t="str">
        <f ca="1">IFERROR(__xludf.DUMMYFUNCTION("""COMPUTED_VALUE"""),"Md Iasin Ahmed Showrov (S204960)")</f>
        <v>Md Iasin Ahmed Showrov (S204960)</v>
      </c>
      <c r="E765" s="93" t="str">
        <f ca="1">IFERROR(__xludf.DUMMYFUNCTION("""COMPUTED_VALUE"""),"CB23996_May26")</f>
        <v>CB23996_May26</v>
      </c>
      <c r="F765" s="94" t="str">
        <f ca="1">IFERROR(__xludf.DUMMYFUNCTION("""COMPUTED_VALUE"""),"Packaging Text Design #2")</f>
        <v>Packaging Text Design #2</v>
      </c>
      <c r="G765" s="95" t="str">
        <f ca="1">IFERROR(__xludf.DUMMYFUNCTION("""COMPUTED_VALUE"""),"New")</f>
        <v>New</v>
      </c>
      <c r="H765" s="96">
        <f ca="1">IFERROR(__xludf.DUMMYFUNCTION("""COMPUTED_VALUE"""),2)</f>
        <v>2</v>
      </c>
      <c r="I765" s="97">
        <f ca="1">IFERROR(__xludf.DUMMYFUNCTION("""COMPUTED_VALUE"""),46156)</f>
        <v>46156</v>
      </c>
      <c r="J765" s="98" t="str">
        <f ca="1">IFERROR(__xludf.DUMMYFUNCTION("""COMPUTED_VALUE"""),"CW33534_May26")</f>
        <v>CW33534_May26</v>
      </c>
      <c r="K765" s="99" t="str">
        <f ca="1">IFERROR(__xludf.DUMMYFUNCTION("""COMPUTED_VALUE"""),"HoM Approved")</f>
        <v>HoM Approved</v>
      </c>
    </row>
    <row r="766" spans="1:11" ht="13.2">
      <c r="A766" s="89" t="str">
        <f ca="1">IFERROR(__xludf.DUMMYFUNCTION("""COMPUTED_VALUE"""),"Common - USA &amp; Europe Export")</f>
        <v>Common - USA &amp; Europe Export</v>
      </c>
      <c r="B766" s="90" t="str">
        <f ca="1">IFERROR(__xludf.DUMMYFUNCTION("""COMPUTED_VALUE"""),"USA &amp; Europe")</f>
        <v>USA &amp; Europe</v>
      </c>
      <c r="C766" s="91" t="str">
        <f ca="1">IFERROR(__xludf.DUMMYFUNCTION("""COMPUTED_VALUE"""),"Saifullah Vai")</f>
        <v>Saifullah Vai</v>
      </c>
      <c r="D766" s="92" t="str">
        <f ca="1">IFERROR(__xludf.DUMMYFUNCTION("""COMPUTED_VALUE"""),"Md Iasin Ahmed Showrov (S204960)")</f>
        <v>Md Iasin Ahmed Showrov (S204960)</v>
      </c>
      <c r="E766" s="93" t="str">
        <f ca="1">IFERROR(__xludf.DUMMYFUNCTION("""COMPUTED_VALUE"""),"CB24266_May26")</f>
        <v>CB24266_May26</v>
      </c>
      <c r="F766" s="94" t="str">
        <f ca="1">IFERROR(__xludf.DUMMYFUNCTION("""COMPUTED_VALUE"""),"Text Sticker Design #2")</f>
        <v>Text Sticker Design #2</v>
      </c>
      <c r="G766" s="95" t="str">
        <f ca="1">IFERROR(__xludf.DUMMYFUNCTION("""COMPUTED_VALUE"""),"New")</f>
        <v>New</v>
      </c>
      <c r="H766" s="96">
        <f ca="1">IFERROR(__xludf.DUMMYFUNCTION("""COMPUTED_VALUE"""),2)</f>
        <v>2</v>
      </c>
      <c r="I766" s="97">
        <f ca="1">IFERROR(__xludf.DUMMYFUNCTION("""COMPUTED_VALUE"""),46156)</f>
        <v>46156</v>
      </c>
      <c r="J766" s="98" t="str">
        <f ca="1">IFERROR(__xludf.DUMMYFUNCTION("""COMPUTED_VALUE"""),"CW33500_May26")</f>
        <v>CW33500_May26</v>
      </c>
      <c r="K766" s="99" t="str">
        <f ca="1">IFERROR(__xludf.DUMMYFUNCTION("""COMPUTED_VALUE"""),"HoM Approved")</f>
        <v>HoM Approved</v>
      </c>
    </row>
    <row r="767" spans="1:11" ht="13.2">
      <c r="A767" s="89" t="str">
        <f ca="1">IFERROR(__xludf.DUMMYFUNCTION("""COMPUTED_VALUE"""),"Pran Mama Wafer")</f>
        <v>Pran Mama Wafer</v>
      </c>
      <c r="B767" s="90" t="str">
        <f ca="1">IFERROR(__xludf.DUMMYFUNCTION("""COMPUTED_VALUE"""),"BBL")</f>
        <v>BBL</v>
      </c>
      <c r="C767" s="91" t="str">
        <f ca="1">IFERROR(__xludf.DUMMYFUNCTION("""COMPUTED_VALUE"""),"Shamsul Sir")</f>
        <v>Shamsul Sir</v>
      </c>
      <c r="D767" s="92" t="str">
        <f ca="1">IFERROR(__xludf.DUMMYFUNCTION("""COMPUTED_VALUE"""),"Md Iasin Ahmed Showrov (S204960)")</f>
        <v>Md Iasin Ahmed Showrov (S204960)</v>
      </c>
      <c r="E767" s="93" t="str">
        <f ca="1">IFERROR(__xludf.DUMMYFUNCTION("""COMPUTED_VALUE"""),"CB22830_Apr26")</f>
        <v>CB22830_Apr26</v>
      </c>
      <c r="F767" s="94" t="str">
        <f ca="1">IFERROR(__xludf.DUMMYFUNCTION("""COMPUTED_VALUE"""),"Packaging Text Design #2")</f>
        <v>Packaging Text Design #2</v>
      </c>
      <c r="G767" s="95" t="str">
        <f ca="1">IFERROR(__xludf.DUMMYFUNCTION("""COMPUTED_VALUE"""),"New")</f>
        <v>New</v>
      </c>
      <c r="H767" s="96">
        <f ca="1">IFERROR(__xludf.DUMMYFUNCTION("""COMPUTED_VALUE"""),3)</f>
        <v>3</v>
      </c>
      <c r="I767" s="97">
        <f ca="1">IFERROR(__xludf.DUMMYFUNCTION("""COMPUTED_VALUE"""),46156)</f>
        <v>46156</v>
      </c>
      <c r="J767" s="98" t="str">
        <f ca="1">IFERROR(__xludf.DUMMYFUNCTION("""COMPUTED_VALUE"""),"CW33528_May26")</f>
        <v>CW33528_May26</v>
      </c>
      <c r="K767" s="99" t="str">
        <f ca="1">IFERROR(__xludf.DUMMYFUNCTION("""COMPUTED_VALUE"""),"HoM Approved")</f>
        <v>HoM Approved</v>
      </c>
    </row>
    <row r="768" spans="1:11" ht="13.2">
      <c r="A768" s="89" t="str">
        <f ca="1">IFERROR(__xludf.DUMMYFUNCTION("""COMPUTED_VALUE"""),"PRAN Fruit Drinks (TP)-")</f>
        <v>PRAN Fruit Drinks (TP)-</v>
      </c>
      <c r="B768" s="90" t="str">
        <f ca="1">IFERROR(__xludf.DUMMYFUNCTION("""COMPUTED_VALUE"""),"Dairy")</f>
        <v>Dairy</v>
      </c>
      <c r="C768" s="91" t="str">
        <f ca="1">IFERROR(__xludf.DUMMYFUNCTION("""COMPUTED_VALUE"""),"Zahirul Vai")</f>
        <v>Zahirul Vai</v>
      </c>
      <c r="D768" s="92" t="str">
        <f ca="1">IFERROR(__xludf.DUMMYFUNCTION("""COMPUTED_VALUE"""),"Md Iasin Ahmed Showrov (S204960)")</f>
        <v>Md Iasin Ahmed Showrov (S204960)</v>
      </c>
      <c r="E768" s="93" t="str">
        <f ca="1">IFERROR(__xludf.DUMMYFUNCTION("""COMPUTED_VALUE"""),"CB22763_Apr26")</f>
        <v>CB22763_Apr26</v>
      </c>
      <c r="F768" s="94" t="str">
        <f ca="1">IFERROR(__xludf.DUMMYFUNCTION("""COMPUTED_VALUE"""),"Packaging Text Design #2")</f>
        <v>Packaging Text Design #2</v>
      </c>
      <c r="G768" s="95" t="str">
        <f ca="1">IFERROR(__xludf.DUMMYFUNCTION("""COMPUTED_VALUE"""),"New")</f>
        <v>New</v>
      </c>
      <c r="H768" s="96">
        <f ca="1">IFERROR(__xludf.DUMMYFUNCTION("""COMPUTED_VALUE"""),6)</f>
        <v>6</v>
      </c>
      <c r="I768" s="97">
        <f ca="1">IFERROR(__xludf.DUMMYFUNCTION("""COMPUTED_VALUE"""),46156)</f>
        <v>46156</v>
      </c>
      <c r="J768" s="98" t="str">
        <f ca="1">IFERROR(__xludf.DUMMYFUNCTION("""COMPUTED_VALUE"""),"CW33512_May26")</f>
        <v>CW33512_May26</v>
      </c>
      <c r="K768" s="99" t="str">
        <f ca="1">IFERROR(__xludf.DUMMYFUNCTION("""COMPUTED_VALUE"""),"HoM Approved")</f>
        <v>HoM Approved</v>
      </c>
    </row>
    <row r="769" spans="1:11" ht="13.2">
      <c r="A769" s="89" t="str">
        <f ca="1">IFERROR(__xludf.DUMMYFUNCTION("""COMPUTED_VALUE"""),"PRAN BASIL SEED STRAWBERY FLAVORED DRINK 250ML")</f>
        <v>PRAN BASIL SEED STRAWBERY FLAVORED DRINK 250ML</v>
      </c>
      <c r="B769" s="90" t="str">
        <f ca="1">IFERROR(__xludf.DUMMYFUNCTION("""COMPUTED_VALUE"""),"Philippines")</f>
        <v>Philippines</v>
      </c>
      <c r="C769" s="91" t="str">
        <f ca="1">IFERROR(__xludf.DUMMYFUNCTION("""COMPUTED_VALUE"""),"Farjana Apu")</f>
        <v>Farjana Apu</v>
      </c>
      <c r="D769" s="92" t="str">
        <f ca="1">IFERROR(__xludf.DUMMYFUNCTION("""COMPUTED_VALUE"""),"Md Iasin Ahmed Showrov (S204960)")</f>
        <v>Md Iasin Ahmed Showrov (S204960)</v>
      </c>
      <c r="E769" s="93" t="str">
        <f ca="1">IFERROR(__xludf.DUMMYFUNCTION("""COMPUTED_VALUE"""),"CB24304_May26")</f>
        <v>CB24304_May26</v>
      </c>
      <c r="F769" s="94" t="str">
        <f ca="1">IFERROR(__xludf.DUMMYFUNCTION("""COMPUTED_VALUE"""),"Packaging Text Design #1")</f>
        <v>Packaging Text Design #1</v>
      </c>
      <c r="G769" s="95" t="str">
        <f ca="1">IFERROR(__xludf.DUMMYFUNCTION("""COMPUTED_VALUE"""),"New")</f>
        <v>New</v>
      </c>
      <c r="H769" s="96">
        <f ca="1">IFERROR(__xludf.DUMMYFUNCTION("""COMPUTED_VALUE"""),1)</f>
        <v>1</v>
      </c>
      <c r="I769" s="97">
        <f ca="1">IFERROR(__xludf.DUMMYFUNCTION("""COMPUTED_VALUE"""),46177)</f>
        <v>46177</v>
      </c>
      <c r="J769" s="98" t="str">
        <f ca="1">IFERROR(__xludf.DUMMYFUNCTION("""COMPUTED_VALUE"""),"CW35528_Jun26")</f>
        <v>CW35528_Jun26</v>
      </c>
      <c r="K769" s="99" t="str">
        <f ca="1">IFERROR(__xludf.DUMMYFUNCTION("""COMPUTED_VALUE"""),"HoM Approved")</f>
        <v>HoM Approved</v>
      </c>
    </row>
    <row r="770" spans="1:11" ht="13.2">
      <c r="A770" s="89" t="str">
        <f ca="1">IFERROR(__xludf.DUMMYFUNCTION("""COMPUTED_VALUE"""),"Text correction of Herbs &amp; Seasoning")</f>
        <v>Text correction of Herbs &amp; Seasoning</v>
      </c>
      <c r="B770" s="90" t="str">
        <f ca="1">IFERROR(__xludf.DUMMYFUNCTION("""COMPUTED_VALUE"""),"NAL")</f>
        <v>NAL</v>
      </c>
      <c r="C770" s="91" t="str">
        <f ca="1">IFERROR(__xludf.DUMMYFUNCTION("""COMPUTED_VALUE"""),"Shamsul Sir")</f>
        <v>Shamsul Sir</v>
      </c>
      <c r="D770" s="92" t="str">
        <f ca="1">IFERROR(__xludf.DUMMYFUNCTION("""COMPUTED_VALUE"""),"Md Iasin Ahmed Showrov (S204960)")</f>
        <v>Md Iasin Ahmed Showrov (S204960)</v>
      </c>
      <c r="E770" s="93" t="str">
        <f ca="1">IFERROR(__xludf.DUMMYFUNCTION("""COMPUTED_VALUE"""),"CB24308_May26")</f>
        <v>CB24308_May26</v>
      </c>
      <c r="F770" s="94" t="str">
        <f ca="1">IFERROR(__xludf.DUMMYFUNCTION("""COMPUTED_VALUE"""),"Packaging Text Design #2")</f>
        <v>Packaging Text Design #2</v>
      </c>
      <c r="G770" s="95" t="str">
        <f ca="1">IFERROR(__xludf.DUMMYFUNCTION("""COMPUTED_VALUE"""),"New")</f>
        <v>New</v>
      </c>
      <c r="H770" s="96">
        <f ca="1">IFERROR(__xludf.DUMMYFUNCTION("""COMPUTED_VALUE"""),8)</f>
        <v>8</v>
      </c>
      <c r="I770" s="97">
        <f ca="1">IFERROR(__xludf.DUMMYFUNCTION("""COMPUTED_VALUE"""),46176)</f>
        <v>46176</v>
      </c>
      <c r="J770" s="98" t="str">
        <f ca="1">IFERROR(__xludf.DUMMYFUNCTION("""COMPUTED_VALUE"""),"CW35446_Jun26")</f>
        <v>CW35446_Jun26</v>
      </c>
      <c r="K770" s="99" t="str">
        <f ca="1">IFERROR(__xludf.DUMMYFUNCTION("""COMPUTED_VALUE"""),"HoM Approved")</f>
        <v>HoM Approved</v>
      </c>
    </row>
    <row r="771" spans="1:11" ht="13.2">
      <c r="A771" s="89" t="str">
        <f ca="1">IFERROR(__xludf.DUMMYFUNCTION("""COMPUTED_VALUE"""),"BBL Powder drinks pouch design ")</f>
        <v xml:space="preserve">BBL Powder drinks pouch design </v>
      </c>
      <c r="B771" s="90" t="str">
        <f ca="1">IFERROR(__xludf.DUMMYFUNCTION("""COMPUTED_VALUE"""),"BBL")</f>
        <v>BBL</v>
      </c>
      <c r="C771" s="91" t="str">
        <f ca="1">IFERROR(__xludf.DUMMYFUNCTION("""COMPUTED_VALUE"""),"Masum Vai")</f>
        <v>Masum Vai</v>
      </c>
      <c r="D771" s="92" t="str">
        <f ca="1">IFERROR(__xludf.DUMMYFUNCTION("""COMPUTED_VALUE"""),"Md Iasin Ahmed Showrov (S204960)")</f>
        <v>Md Iasin Ahmed Showrov (S204960)</v>
      </c>
      <c r="E771" s="93" t="str">
        <f ca="1">IFERROR(__xludf.DUMMYFUNCTION("""COMPUTED_VALUE"""),"CB23212_May26")</f>
        <v>CB23212_May26</v>
      </c>
      <c r="F771" s="94" t="str">
        <f ca="1">IFERROR(__xludf.DUMMYFUNCTION("""COMPUTED_VALUE"""),"Packaging Text Design #2")</f>
        <v>Packaging Text Design #2</v>
      </c>
      <c r="G771" s="95" t="str">
        <f ca="1">IFERROR(__xludf.DUMMYFUNCTION("""COMPUTED_VALUE"""),"New")</f>
        <v>New</v>
      </c>
      <c r="H771" s="96">
        <f ca="1">IFERROR(__xludf.DUMMYFUNCTION("""COMPUTED_VALUE"""),5)</f>
        <v>5</v>
      </c>
      <c r="I771" s="97">
        <f ca="1">IFERROR(__xludf.DUMMYFUNCTION("""COMPUTED_VALUE"""),46177)</f>
        <v>46177</v>
      </c>
      <c r="J771" s="98" t="str">
        <f ca="1">IFERROR(__xludf.DUMMYFUNCTION("""COMPUTED_VALUE"""),"CW35524_Jun26")</f>
        <v>CW35524_Jun26</v>
      </c>
      <c r="K771" s="99" t="str">
        <f ca="1">IFERROR(__xludf.DUMMYFUNCTION("""COMPUTED_VALUE"""),"Brief Submitted")</f>
        <v>Brief Submitted</v>
      </c>
    </row>
    <row r="772" spans="1:11" ht="13.2">
      <c r="A772" s="89" t="str">
        <f ca="1">IFERROR(__xludf.DUMMYFUNCTION("""COMPUTED_VALUE"""),"Common - All PAL")</f>
        <v>Common - All PAL</v>
      </c>
      <c r="B772" s="90" t="str">
        <f ca="1">IFERROR(__xludf.DUMMYFUNCTION("""COMPUTED_VALUE"""),"Philippines")</f>
        <v>Philippines</v>
      </c>
      <c r="C772" s="91" t="str">
        <f ca="1">IFERROR(__xludf.DUMMYFUNCTION("""COMPUTED_VALUE"""),"Farjana Apu")</f>
        <v>Farjana Apu</v>
      </c>
      <c r="D772" s="92" t="str">
        <f ca="1">IFERROR(__xludf.DUMMYFUNCTION("""COMPUTED_VALUE"""),"Md Iasin Ahmed Showrov (S204960)")</f>
        <v>Md Iasin Ahmed Showrov (S204960)</v>
      </c>
      <c r="E772" s="93" t="str">
        <f ca="1">IFERROR(__xludf.DUMMYFUNCTION("""COMPUTED_VALUE"""),"CB24553_May26")</f>
        <v>CB24553_May26</v>
      </c>
      <c r="F772" s="94" t="str">
        <f ca="1">IFERROR(__xludf.DUMMYFUNCTION("""COMPUTED_VALUE"""),"Document Text Correction")</f>
        <v>Document Text Correction</v>
      </c>
      <c r="G772" s="95" t="str">
        <f ca="1">IFERROR(__xludf.DUMMYFUNCTION("""COMPUTED_VALUE"""),"New")</f>
        <v>New</v>
      </c>
      <c r="H772" s="96">
        <f ca="1">IFERROR(__xludf.DUMMYFUNCTION("""COMPUTED_VALUE"""),23)</f>
        <v>23</v>
      </c>
      <c r="I772" s="97">
        <f ca="1">IFERROR(__xludf.DUMMYFUNCTION("""COMPUTED_VALUE"""),46176)</f>
        <v>46176</v>
      </c>
      <c r="J772" s="98" t="str">
        <f ca="1">IFERROR(__xludf.DUMMYFUNCTION("""COMPUTED_VALUE"""),"CW35449_Jun26")</f>
        <v>CW35449_Jun26</v>
      </c>
      <c r="K772" s="99" t="str">
        <f ca="1">IFERROR(__xludf.DUMMYFUNCTION("""COMPUTED_VALUE"""),"BM Approved")</f>
        <v>BM Approved</v>
      </c>
    </row>
    <row r="773" spans="1:11" ht="13.2">
      <c r="A773" s="89" t="str">
        <f ca="1">IFERROR(__xludf.DUMMYFUNCTION("""COMPUTED_VALUE"""),"Text correction of Bhujia")</f>
        <v>Text correction of Bhujia</v>
      </c>
      <c r="B773" s="90" t="str">
        <f ca="1">IFERROR(__xludf.DUMMYFUNCTION("""COMPUTED_VALUE"""),"PFL")</f>
        <v>PFL</v>
      </c>
      <c r="C773" s="91" t="str">
        <f ca="1">IFERROR(__xludf.DUMMYFUNCTION("""COMPUTED_VALUE"""),"Shamsul Sir")</f>
        <v>Shamsul Sir</v>
      </c>
      <c r="D773" s="92" t="str">
        <f ca="1">IFERROR(__xludf.DUMMYFUNCTION("""COMPUTED_VALUE"""),"Md Iasin Ahmed Showrov (S204960)")</f>
        <v>Md Iasin Ahmed Showrov (S204960)</v>
      </c>
      <c r="E773" s="93" t="str">
        <f ca="1">IFERROR(__xludf.DUMMYFUNCTION("""COMPUTED_VALUE"""),"CB35363_Jun26")</f>
        <v>CB35363_Jun26</v>
      </c>
      <c r="F773" s="94" t="str">
        <f ca="1">IFERROR(__xludf.DUMMYFUNCTION("""COMPUTED_VALUE"""),"Packaging Text Design #2")</f>
        <v>Packaging Text Design #2</v>
      </c>
      <c r="G773" s="95" t="str">
        <f ca="1">IFERROR(__xludf.DUMMYFUNCTION("""COMPUTED_VALUE"""),"New")</f>
        <v>New</v>
      </c>
      <c r="H773" s="96">
        <f ca="1">IFERROR(__xludf.DUMMYFUNCTION("""COMPUTED_VALUE"""),2)</f>
        <v>2</v>
      </c>
      <c r="I773" s="97">
        <f ca="1">IFERROR(__xludf.DUMMYFUNCTION("""COMPUTED_VALUE"""),46179)</f>
        <v>46179</v>
      </c>
      <c r="J773" s="98" t="str">
        <f ca="1">IFERROR(__xludf.DUMMYFUNCTION("""COMPUTED_VALUE"""),"CW35735_Jun26")</f>
        <v>CW35735_Jun26</v>
      </c>
      <c r="K773" s="99" t="str">
        <f ca="1">IFERROR(__xludf.DUMMYFUNCTION("""COMPUTED_VALUE"""),"HoM Approved")</f>
        <v>HoM Approved</v>
      </c>
    </row>
    <row r="774" spans="1:11" ht="13.2">
      <c r="A774" s="89" t="str">
        <f ca="1">IFERROR(__xludf.DUMMYFUNCTION("""COMPUTED_VALUE"""),"KOFI HOUSE COFFEE CANDY (3G x 50 PCS)")</f>
        <v>KOFI HOUSE COFFEE CANDY (3G x 50 PCS)</v>
      </c>
      <c r="B774" s="90" t="str">
        <f ca="1">IFERROR(__xludf.DUMMYFUNCTION("""COMPUTED_VALUE"""),"PDL")</f>
        <v>PDL</v>
      </c>
      <c r="C774" s="91" t="str">
        <f ca="1">IFERROR(__xludf.DUMMYFUNCTION("""COMPUTED_VALUE"""),"Rabby Vai")</f>
        <v>Rabby Vai</v>
      </c>
      <c r="D774" s="92" t="str">
        <f ca="1">IFERROR(__xludf.DUMMYFUNCTION("""COMPUTED_VALUE"""),"Md Iasin Ahmed Showrov (S204960)")</f>
        <v>Md Iasin Ahmed Showrov (S204960)</v>
      </c>
      <c r="E774" s="93" t="str">
        <f ca="1">IFERROR(__xludf.DUMMYFUNCTION("""COMPUTED_VALUE"""),"CB23616_May26")</f>
        <v>CB23616_May26</v>
      </c>
      <c r="F774" s="94" t="str">
        <f ca="1">IFERROR(__xludf.DUMMYFUNCTION("""COMPUTED_VALUE"""),"Packaging Text Design #2")</f>
        <v>Packaging Text Design #2</v>
      </c>
      <c r="G774" s="95" t="str">
        <f ca="1">IFERROR(__xludf.DUMMYFUNCTION("""COMPUTED_VALUE"""),"New")</f>
        <v>New</v>
      </c>
      <c r="H774" s="96">
        <f ca="1">IFERROR(__xludf.DUMMYFUNCTION("""COMPUTED_VALUE"""),2)</f>
        <v>2</v>
      </c>
      <c r="I774" s="97">
        <f ca="1">IFERROR(__xludf.DUMMYFUNCTION("""COMPUTED_VALUE"""),46177)</f>
        <v>46177</v>
      </c>
      <c r="J774" s="98" t="str">
        <f ca="1">IFERROR(__xludf.DUMMYFUNCTION("""COMPUTED_VALUE"""),"CW35526_Jun26")</f>
        <v>CW35526_Jun26</v>
      </c>
      <c r="K774" s="99" t="str">
        <f ca="1">IFERROR(__xludf.DUMMYFUNCTION("""COMPUTED_VALUE"""),"HoM Approved")</f>
        <v>HoM Approved</v>
      </c>
    </row>
    <row r="775" spans="1:11" ht="13.2">
      <c r="A775" s="89" t="str">
        <f ca="1">IFERROR(__xludf.DUMMYFUNCTION("""COMPUTED_VALUE"""),"PRAN Kala Bhuna Masala 50g")</f>
        <v>PRAN Kala Bhuna Masala 50g</v>
      </c>
      <c r="B775" s="90" t="str">
        <f ca="1">IFERROR(__xludf.DUMMYFUNCTION("""COMPUTED_VALUE"""),"USA &amp; Europe")</f>
        <v>USA &amp; Europe</v>
      </c>
      <c r="C775" s="91" t="str">
        <f ca="1">IFERROR(__xludf.DUMMYFUNCTION("""COMPUTED_VALUE"""),"Saifullah Vai")</f>
        <v>Saifullah Vai</v>
      </c>
      <c r="D775" s="92" t="str">
        <f ca="1">IFERROR(__xludf.DUMMYFUNCTION("""COMPUTED_VALUE"""),"Md Iasin Ahmed Showrov (S204960)")</f>
        <v>Md Iasin Ahmed Showrov (S204960)</v>
      </c>
      <c r="E775" s="93" t="str">
        <f ca="1">IFERROR(__xludf.DUMMYFUNCTION("""COMPUTED_VALUE"""),"CB25053_May26")</f>
        <v>CB25053_May26</v>
      </c>
      <c r="F775" s="94" t="str">
        <f ca="1">IFERROR(__xludf.DUMMYFUNCTION("""COMPUTED_VALUE"""),"Packaging Text Design #2")</f>
        <v>Packaging Text Design #2</v>
      </c>
      <c r="G775" s="95" t="str">
        <f ca="1">IFERROR(__xludf.DUMMYFUNCTION("""COMPUTED_VALUE"""),"New")</f>
        <v>New</v>
      </c>
      <c r="H775" s="96">
        <f ca="1">IFERROR(__xludf.DUMMYFUNCTION("""COMPUTED_VALUE"""),1)</f>
        <v>1</v>
      </c>
      <c r="I775" s="97">
        <f ca="1">IFERROR(__xludf.DUMMYFUNCTION("""COMPUTED_VALUE"""),46177)</f>
        <v>46177</v>
      </c>
      <c r="J775" s="98" t="str">
        <f ca="1">IFERROR(__xludf.DUMMYFUNCTION("""COMPUTED_VALUE"""),"CW35525_Jun26")</f>
        <v>CW35525_Jun26</v>
      </c>
      <c r="K775" s="99" t="str">
        <f ca="1">IFERROR(__xludf.DUMMYFUNCTION("""COMPUTED_VALUE"""),"HoM Approved")</f>
        <v>HoM Approved</v>
      </c>
    </row>
    <row r="776" spans="1:11" ht="13.2">
      <c r="A776" s="89" t="str">
        <f ca="1">IFERROR(__xludf.DUMMYFUNCTION("""COMPUTED_VALUE"""),"Text correction of Malt beverage")</f>
        <v>Text correction of Malt beverage</v>
      </c>
      <c r="B776" s="90" t="str">
        <f ca="1">IFERROR(__xludf.DUMMYFUNCTION("""COMPUTED_VALUE"""),"PBL")</f>
        <v>PBL</v>
      </c>
      <c r="C776" s="91" t="str">
        <f ca="1">IFERROR(__xludf.DUMMYFUNCTION("""COMPUTED_VALUE"""),"Shamsul Sir")</f>
        <v>Shamsul Sir</v>
      </c>
      <c r="D776" s="92" t="str">
        <f ca="1">IFERROR(__xludf.DUMMYFUNCTION("""COMPUTED_VALUE"""),"Md Iasin Ahmed Showrov (S204960)")</f>
        <v>Md Iasin Ahmed Showrov (S204960)</v>
      </c>
      <c r="E776" s="93" t="str">
        <f ca="1">IFERROR(__xludf.DUMMYFUNCTION("""COMPUTED_VALUE"""),"CB25154_May26")</f>
        <v>CB25154_May26</v>
      </c>
      <c r="F776" s="94" t="str">
        <f ca="1">IFERROR(__xludf.DUMMYFUNCTION("""COMPUTED_VALUE"""),"Packaging Text Design #2")</f>
        <v>Packaging Text Design #2</v>
      </c>
      <c r="G776" s="95" t="str">
        <f ca="1">IFERROR(__xludf.DUMMYFUNCTION("""COMPUTED_VALUE"""),"New")</f>
        <v>New</v>
      </c>
      <c r="H776" s="96">
        <f ca="1">IFERROR(__xludf.DUMMYFUNCTION("""COMPUTED_VALUE"""),3)</f>
        <v>3</v>
      </c>
      <c r="I776" s="97">
        <f ca="1">IFERROR(__xludf.DUMMYFUNCTION("""COMPUTED_VALUE"""),46177)</f>
        <v>46177</v>
      </c>
      <c r="J776" s="98" t="str">
        <f ca="1">IFERROR(__xludf.DUMMYFUNCTION("""COMPUTED_VALUE"""),"CW35523_Jun26")</f>
        <v>CW35523_Jun26</v>
      </c>
      <c r="K776" s="99" t="str">
        <f ca="1">IFERROR(__xludf.DUMMYFUNCTION("""COMPUTED_VALUE"""),"HoM Approved")</f>
        <v>HoM Approved</v>
      </c>
    </row>
    <row r="777" spans="1:11" ht="13.2">
      <c r="A777" s="89" t="str">
        <f ca="1">IFERROR(__xludf.DUMMYFUNCTION("""COMPUTED_VALUE"""),"PRAN NOODLES SUPER SPICY FLAVOR 85G")</f>
        <v>PRAN NOODLES SUPER SPICY FLAVOR 85G</v>
      </c>
      <c r="B777" s="90" t="str">
        <f ca="1">IFERROR(__xludf.DUMMYFUNCTION("""COMPUTED_VALUE"""),"PAL")</f>
        <v>PAL</v>
      </c>
      <c r="C777" s="91" t="str">
        <f ca="1">IFERROR(__xludf.DUMMYFUNCTION("""COMPUTED_VALUE"""),"Rabby Vai")</f>
        <v>Rabby Vai</v>
      </c>
      <c r="D777" s="92" t="str">
        <f ca="1">IFERROR(__xludf.DUMMYFUNCTION("""COMPUTED_VALUE"""),"Md Iasin Ahmed Showrov (S204960)")</f>
        <v>Md Iasin Ahmed Showrov (S204960)</v>
      </c>
      <c r="E777" s="93" t="str">
        <f ca="1">IFERROR(__xludf.DUMMYFUNCTION("""COMPUTED_VALUE"""),"CB24445_May26")</f>
        <v>CB24445_May26</v>
      </c>
      <c r="F777" s="94" t="str">
        <f ca="1">IFERROR(__xludf.DUMMYFUNCTION("""COMPUTED_VALUE"""),"Packaging Text Design #1")</f>
        <v>Packaging Text Design #1</v>
      </c>
      <c r="G777" s="95" t="str">
        <f ca="1">IFERROR(__xludf.DUMMYFUNCTION("""COMPUTED_VALUE"""),"New")</f>
        <v>New</v>
      </c>
      <c r="H777" s="96">
        <f ca="1">IFERROR(__xludf.DUMMYFUNCTION("""COMPUTED_VALUE"""),1)</f>
        <v>1</v>
      </c>
      <c r="I777" s="97">
        <f ca="1">IFERROR(__xludf.DUMMYFUNCTION("""COMPUTED_VALUE"""),46179)</f>
        <v>46179</v>
      </c>
      <c r="J777" s="98" t="str">
        <f ca="1">IFERROR(__xludf.DUMMYFUNCTION("""COMPUTED_VALUE"""),"CW35741_Jun26")</f>
        <v>CW35741_Jun26</v>
      </c>
      <c r="K777" s="99" t="str">
        <f ca="1">IFERROR(__xludf.DUMMYFUNCTION("""COMPUTED_VALUE"""),"HoM Approved")</f>
        <v>HoM Approved</v>
      </c>
    </row>
    <row r="778" spans="1:11" ht="13.2">
      <c r="A778" s="89" t="str">
        <f ca="1">IFERROR(__xludf.DUMMYFUNCTION("""COMPUTED_VALUE"""),"HURRAY CHOCOLATE BAR 12G ; HURRAY MILKY BAR 12G")</f>
        <v>HURRAY CHOCOLATE BAR 12G ; HURRAY MILKY BAR 12G</v>
      </c>
      <c r="B778" s="90" t="str">
        <f ca="1">IFERROR(__xludf.DUMMYFUNCTION("""COMPUTED_VALUE"""),"Philippines")</f>
        <v>Philippines</v>
      </c>
      <c r="C778" s="91" t="str">
        <f ca="1">IFERROR(__xludf.DUMMYFUNCTION("""COMPUTED_VALUE"""),"Rabby Vai")</f>
        <v>Rabby Vai</v>
      </c>
      <c r="D778" s="92" t="str">
        <f ca="1">IFERROR(__xludf.DUMMYFUNCTION("""COMPUTED_VALUE"""),"Md Iasin Ahmed Showrov (S204960)")</f>
        <v>Md Iasin Ahmed Showrov (S204960)</v>
      </c>
      <c r="E778" s="93" t="str">
        <f ca="1">IFERROR(__xludf.DUMMYFUNCTION("""COMPUTED_VALUE"""),"CB24357_May26")</f>
        <v>CB24357_May26</v>
      </c>
      <c r="F778" s="94" t="str">
        <f ca="1">IFERROR(__xludf.DUMMYFUNCTION("""COMPUTED_VALUE"""),"Packaging Text Design #1")</f>
        <v>Packaging Text Design #1</v>
      </c>
      <c r="G778" s="95" t="str">
        <f ca="1">IFERROR(__xludf.DUMMYFUNCTION("""COMPUTED_VALUE"""),"New")</f>
        <v>New</v>
      </c>
      <c r="H778" s="96">
        <f ca="1">IFERROR(__xludf.DUMMYFUNCTION("""COMPUTED_VALUE"""),2)</f>
        <v>2</v>
      </c>
      <c r="I778" s="97">
        <f ca="1">IFERROR(__xludf.DUMMYFUNCTION("""COMPUTED_VALUE"""),46179)</f>
        <v>46179</v>
      </c>
      <c r="J778" s="98" t="str">
        <f ca="1">IFERROR(__xludf.DUMMYFUNCTION("""COMPUTED_VALUE"""),"CW35742_Jun26")</f>
        <v>CW35742_Jun26</v>
      </c>
      <c r="K778" s="99" t="str">
        <f ca="1">IFERROR(__xludf.DUMMYFUNCTION("""COMPUTED_VALUE"""),"HoM Approved")</f>
        <v>HoM Approved</v>
      </c>
    </row>
    <row r="779" spans="1:11" ht="13.2">
      <c r="A779" s="89" t="str">
        <f ca="1">IFERROR(__xludf.DUMMYFUNCTION("""COMPUTED_VALUE"""),"OLIVER CARAMELO CARAMEL FLAVOR BISCUITS 60G")</f>
        <v>OLIVER CARAMELO CARAMEL FLAVOR BISCUITS 60G</v>
      </c>
      <c r="B779" s="90" t="str">
        <f ca="1">IFERROR(__xludf.DUMMYFUNCTION("""COMPUTED_VALUE"""),"Philippines")</f>
        <v>Philippines</v>
      </c>
      <c r="C779" s="91" t="str">
        <f ca="1">IFERROR(__xludf.DUMMYFUNCTION("""COMPUTED_VALUE"""),"Rabby Vai")</f>
        <v>Rabby Vai</v>
      </c>
      <c r="D779" s="92" t="str">
        <f ca="1">IFERROR(__xludf.DUMMYFUNCTION("""COMPUTED_VALUE"""),"Md Iasin Ahmed Showrov (S204960)")</f>
        <v>Md Iasin Ahmed Showrov (S204960)</v>
      </c>
      <c r="E779" s="93" t="str">
        <f ca="1">IFERROR(__xludf.DUMMYFUNCTION("""COMPUTED_VALUE"""),"CB24826_May26")</f>
        <v>CB24826_May26</v>
      </c>
      <c r="F779" s="94" t="str">
        <f ca="1">IFERROR(__xludf.DUMMYFUNCTION("""COMPUTED_VALUE"""),"Packaging Text Design #1")</f>
        <v>Packaging Text Design #1</v>
      </c>
      <c r="G779" s="95" t="str">
        <f ca="1">IFERROR(__xludf.DUMMYFUNCTION("""COMPUTED_VALUE"""),"New")</f>
        <v>New</v>
      </c>
      <c r="H779" s="96">
        <f ca="1">IFERROR(__xludf.DUMMYFUNCTION("""COMPUTED_VALUE"""),1)</f>
        <v>1</v>
      </c>
      <c r="I779" s="97">
        <f ca="1">IFERROR(__xludf.DUMMYFUNCTION("""COMPUTED_VALUE"""),46179)</f>
        <v>46179</v>
      </c>
      <c r="J779" s="98" t="str">
        <f ca="1">IFERROR(__xludf.DUMMYFUNCTION("""COMPUTED_VALUE"""),"CW35743_Jun26")</f>
        <v>CW35743_Jun26</v>
      </c>
      <c r="K779" s="99" t="str">
        <f ca="1">IFERROR(__xludf.DUMMYFUNCTION("""COMPUTED_VALUE"""),"HoM Approved")</f>
        <v>HoM Approved</v>
      </c>
    </row>
    <row r="780" spans="1:11" ht="13.2">
      <c r="A780" s="89" t="str">
        <f ca="1">IFERROR(__xludf.DUMMYFUNCTION("""COMPUTED_VALUE"""),"CANTON  SOUP 2 ITEMS ")</f>
        <v xml:space="preserve">CANTON  SOUP 2 ITEMS </v>
      </c>
      <c r="B780" s="90" t="str">
        <f ca="1">IFERROR(__xludf.DUMMYFUNCTION("""COMPUTED_VALUE"""),"PAL")</f>
        <v>PAL</v>
      </c>
      <c r="C780" s="91" t="str">
        <f ca="1">IFERROR(__xludf.DUMMYFUNCTION("""COMPUTED_VALUE"""),"Rabby Vai")</f>
        <v>Rabby Vai</v>
      </c>
      <c r="D780" s="92" t="str">
        <f ca="1">IFERROR(__xludf.DUMMYFUNCTION("""COMPUTED_VALUE"""),"Md Iasin Ahmed Showrov (S204960)")</f>
        <v>Md Iasin Ahmed Showrov (S204960)</v>
      </c>
      <c r="E780" s="93" t="str">
        <f ca="1">IFERROR(__xludf.DUMMYFUNCTION("""COMPUTED_VALUE"""),"CB25025_May26")</f>
        <v>CB25025_May26</v>
      </c>
      <c r="F780" s="94" t="str">
        <f ca="1">IFERROR(__xludf.DUMMYFUNCTION("""COMPUTED_VALUE"""),"Packaging Text Design #2")</f>
        <v>Packaging Text Design #2</v>
      </c>
      <c r="G780" s="95" t="str">
        <f ca="1">IFERROR(__xludf.DUMMYFUNCTION("""COMPUTED_VALUE"""),"New")</f>
        <v>New</v>
      </c>
      <c r="H780" s="96">
        <f ca="1">IFERROR(__xludf.DUMMYFUNCTION("""COMPUTED_VALUE"""),2)</f>
        <v>2</v>
      </c>
      <c r="I780" s="97">
        <f ca="1">IFERROR(__xludf.DUMMYFUNCTION("""COMPUTED_VALUE"""),46180)</f>
        <v>46180</v>
      </c>
      <c r="J780" s="98" t="str">
        <f ca="1">IFERROR(__xludf.DUMMYFUNCTION("""COMPUTED_VALUE"""),"CW35810_Jun26")</f>
        <v>CW35810_Jun26</v>
      </c>
      <c r="K780" s="99" t="str">
        <f ca="1">IFERROR(__xludf.DUMMYFUNCTION("""COMPUTED_VALUE"""),"HoM Approved")</f>
        <v>HoM Approved</v>
      </c>
    </row>
    <row r="781" spans="1:11" ht="13.2">
      <c r="A781" s="89" t="str">
        <f ca="1">IFERROR(__xludf.DUMMYFUNCTION("""COMPUTED_VALUE"""),"PRAN Cheera Mix 150g for Europe")</f>
        <v>PRAN Cheera Mix 150g for Europe</v>
      </c>
      <c r="B781" s="90" t="str">
        <f ca="1">IFERROR(__xludf.DUMMYFUNCTION("""COMPUTED_VALUE"""),"USA &amp; Europe")</f>
        <v>USA &amp; Europe</v>
      </c>
      <c r="C781" s="91" t="str">
        <f ca="1">IFERROR(__xludf.DUMMYFUNCTION("""COMPUTED_VALUE"""),"Saifullah Vai")</f>
        <v>Saifullah Vai</v>
      </c>
      <c r="D781" s="92" t="str">
        <f ca="1">IFERROR(__xludf.DUMMYFUNCTION("""COMPUTED_VALUE"""),"Md Iasin Ahmed Showrov (S204960)")</f>
        <v>Md Iasin Ahmed Showrov (S204960)</v>
      </c>
      <c r="E781" s="93" t="str">
        <f ca="1">IFERROR(__xludf.DUMMYFUNCTION("""COMPUTED_VALUE"""),"CB25052_May26")</f>
        <v>CB25052_May26</v>
      </c>
      <c r="F781" s="94" t="str">
        <f ca="1">IFERROR(__xludf.DUMMYFUNCTION("""COMPUTED_VALUE"""),"Packaging Text Design #2")</f>
        <v>Packaging Text Design #2</v>
      </c>
      <c r="G781" s="95" t="str">
        <f ca="1">IFERROR(__xludf.DUMMYFUNCTION("""COMPUTED_VALUE"""),"New")</f>
        <v>New</v>
      </c>
      <c r="H781" s="96">
        <f ca="1">IFERROR(__xludf.DUMMYFUNCTION("""COMPUTED_VALUE"""),1)</f>
        <v>1</v>
      </c>
      <c r="I781" s="97">
        <f ca="1">IFERROR(__xludf.DUMMYFUNCTION("""COMPUTED_VALUE"""),46180)</f>
        <v>46180</v>
      </c>
      <c r="J781" s="98" t="str">
        <f ca="1">IFERROR(__xludf.DUMMYFUNCTION("""COMPUTED_VALUE"""),"CW35811_Jun26")</f>
        <v>CW35811_Jun26</v>
      </c>
      <c r="K781" s="99" t="str">
        <f ca="1">IFERROR(__xludf.DUMMYFUNCTION("""COMPUTED_VALUE"""),"HoM Approved")</f>
        <v>HoM Approved</v>
      </c>
    </row>
    <row r="782" spans="1:11" ht="13.2">
      <c r="A782" s="89" t="str">
        <f ca="1">IFERROR(__xludf.DUMMYFUNCTION("""COMPUTED_VALUE"""),"Certificate Correction")</f>
        <v>Certificate Correction</v>
      </c>
      <c r="B782" s="90" t="str">
        <f ca="1">IFERROR(__xludf.DUMMYFUNCTION("""COMPUTED_VALUE"""),"Philippines")</f>
        <v>Philippines</v>
      </c>
      <c r="C782" s="91" t="str">
        <f ca="1">IFERROR(__xludf.DUMMYFUNCTION("""COMPUTED_VALUE"""),"Rabby Vai")</f>
        <v>Rabby Vai</v>
      </c>
      <c r="D782" s="92" t="str">
        <f ca="1">IFERROR(__xludf.DUMMYFUNCTION("""COMPUTED_VALUE"""),"Md Iasin Ahmed Showrov (S204960)")</f>
        <v>Md Iasin Ahmed Showrov (S204960)</v>
      </c>
      <c r="E782" s="93" t="str">
        <f ca="1">IFERROR(__xludf.DUMMYFUNCTION("""COMPUTED_VALUE"""),"CB35445_Jun26")</f>
        <v>CB35445_Jun26</v>
      </c>
      <c r="F782" s="94" t="str">
        <f ca="1">IFERROR(__xludf.DUMMYFUNCTION("""COMPUTED_VALUE"""),"Document Text Correction")</f>
        <v>Document Text Correction</v>
      </c>
      <c r="G782" s="95" t="str">
        <f ca="1">IFERROR(__xludf.DUMMYFUNCTION("""COMPUTED_VALUE"""),"New")</f>
        <v>New</v>
      </c>
      <c r="H782" s="96">
        <f ca="1">IFERROR(__xludf.DUMMYFUNCTION("""COMPUTED_VALUE"""),30)</f>
        <v>30</v>
      </c>
      <c r="I782" s="97">
        <f ca="1">IFERROR(__xludf.DUMMYFUNCTION("""COMPUTED_VALUE"""),46179)</f>
        <v>46179</v>
      </c>
      <c r="J782" s="98" t="str">
        <f ca="1">IFERROR(__xludf.DUMMYFUNCTION("""COMPUTED_VALUE"""),"CW35721_Jun26")</f>
        <v>CW35721_Jun26</v>
      </c>
      <c r="K782" s="99" t="str">
        <f ca="1">IFERROR(__xludf.DUMMYFUNCTION("""COMPUTED_VALUE"""),"HoM Approved")</f>
        <v>HoM Approved</v>
      </c>
    </row>
    <row r="783" spans="1:11" ht="13.2">
      <c r="A783" s="89" t="str">
        <f ca="1">IFERROR(__xludf.DUMMYFUNCTION("""COMPUTED_VALUE"""),"Certificate Correction")</f>
        <v>Certificate Correction</v>
      </c>
      <c r="B783" s="90" t="str">
        <f ca="1">IFERROR(__xludf.DUMMYFUNCTION("""COMPUTED_VALUE"""),"Philippines")</f>
        <v>Philippines</v>
      </c>
      <c r="C783" s="91" t="str">
        <f ca="1">IFERROR(__xludf.DUMMYFUNCTION("""COMPUTED_VALUE"""),"Rabby Vai")</f>
        <v>Rabby Vai</v>
      </c>
      <c r="D783" s="92" t="str">
        <f ca="1">IFERROR(__xludf.DUMMYFUNCTION("""COMPUTED_VALUE"""),"Md Iasin Ahmed Showrov (S204960)")</f>
        <v>Md Iasin Ahmed Showrov (S204960)</v>
      </c>
      <c r="E783" s="93" t="str">
        <f ca="1">IFERROR(__xludf.DUMMYFUNCTION("""COMPUTED_VALUE"""),"CB35444_Jun26")</f>
        <v>CB35444_Jun26</v>
      </c>
      <c r="F783" s="94" t="str">
        <f ca="1">IFERROR(__xludf.DUMMYFUNCTION("""COMPUTED_VALUE"""),"Document Text Correction")</f>
        <v>Document Text Correction</v>
      </c>
      <c r="G783" s="95" t="str">
        <f ca="1">IFERROR(__xludf.DUMMYFUNCTION("""COMPUTED_VALUE"""),"New")</f>
        <v>New</v>
      </c>
      <c r="H783" s="96">
        <f ca="1">IFERROR(__xludf.DUMMYFUNCTION("""COMPUTED_VALUE"""),30)</f>
        <v>30</v>
      </c>
      <c r="I783" s="97">
        <f ca="1">IFERROR(__xludf.DUMMYFUNCTION("""COMPUTED_VALUE"""),46179)</f>
        <v>46179</v>
      </c>
      <c r="J783" s="98" t="str">
        <f ca="1">IFERROR(__xludf.DUMMYFUNCTION("""COMPUTED_VALUE"""),"CW35726_Jun26")</f>
        <v>CW35726_Jun26</v>
      </c>
      <c r="K783" s="99" t="str">
        <f ca="1">IFERROR(__xludf.DUMMYFUNCTION("""COMPUTED_VALUE"""),"HoM Approved")</f>
        <v>HoM Approved</v>
      </c>
    </row>
    <row r="784" spans="1:11" ht="13.2">
      <c r="A784" s="89" t="str">
        <f ca="1">IFERROR(__xludf.DUMMYFUNCTION("""COMPUTED_VALUE"""),"Certificate Correction")</f>
        <v>Certificate Correction</v>
      </c>
      <c r="B784" s="90" t="str">
        <f ca="1">IFERROR(__xludf.DUMMYFUNCTION("""COMPUTED_VALUE"""),"Philippines")</f>
        <v>Philippines</v>
      </c>
      <c r="C784" s="91" t="str">
        <f ca="1">IFERROR(__xludf.DUMMYFUNCTION("""COMPUTED_VALUE"""),"Rabby Vai")</f>
        <v>Rabby Vai</v>
      </c>
      <c r="D784" s="92" t="str">
        <f ca="1">IFERROR(__xludf.DUMMYFUNCTION("""COMPUTED_VALUE"""),"Md Iasin Ahmed Showrov (S204960)")</f>
        <v>Md Iasin Ahmed Showrov (S204960)</v>
      </c>
      <c r="E784" s="93" t="str">
        <f ca="1">IFERROR(__xludf.DUMMYFUNCTION("""COMPUTED_VALUE"""),"CB35443_Jun26")</f>
        <v>CB35443_Jun26</v>
      </c>
      <c r="F784" s="94" t="str">
        <f ca="1">IFERROR(__xludf.DUMMYFUNCTION("""COMPUTED_VALUE"""),"Document Text Correction")</f>
        <v>Document Text Correction</v>
      </c>
      <c r="G784" s="95" t="str">
        <f ca="1">IFERROR(__xludf.DUMMYFUNCTION("""COMPUTED_VALUE"""),"New")</f>
        <v>New</v>
      </c>
      <c r="H784" s="96">
        <f ca="1">IFERROR(__xludf.DUMMYFUNCTION("""COMPUTED_VALUE"""),30)</f>
        <v>30</v>
      </c>
      <c r="I784" s="97">
        <f ca="1">IFERROR(__xludf.DUMMYFUNCTION("""COMPUTED_VALUE"""),46179)</f>
        <v>46179</v>
      </c>
      <c r="J784" s="98" t="str">
        <f ca="1">IFERROR(__xludf.DUMMYFUNCTION("""COMPUTED_VALUE"""),"CW35729_Jun26")</f>
        <v>CW35729_Jun26</v>
      </c>
      <c r="K784" s="99" t="str">
        <f ca="1">IFERROR(__xludf.DUMMYFUNCTION("""COMPUTED_VALUE"""),"HoM Approved")</f>
        <v>HoM Approved</v>
      </c>
    </row>
    <row r="785" spans="1:11" ht="13.2">
      <c r="A785" s="89" t="str">
        <f ca="1">IFERROR(__xludf.DUMMYFUNCTION("""COMPUTED_VALUE"""),"PRAN CRUNCHY WAFER CHOCOLATE FLAVORED CREAMY WAFER BISCUIT 150G")</f>
        <v>PRAN CRUNCHY WAFER CHOCOLATE FLAVORED CREAMY WAFER BISCUIT 150G</v>
      </c>
      <c r="B785" s="90" t="str">
        <f ca="1">IFERROR(__xludf.DUMMYFUNCTION("""COMPUTED_VALUE"""),"Philippines")</f>
        <v>Philippines</v>
      </c>
      <c r="C785" s="91" t="str">
        <f ca="1">IFERROR(__xludf.DUMMYFUNCTION("""COMPUTED_VALUE"""),"Farjana Apu")</f>
        <v>Farjana Apu</v>
      </c>
      <c r="D785" s="92" t="str">
        <f ca="1">IFERROR(__xludf.DUMMYFUNCTION("""COMPUTED_VALUE"""),"Md Iasin Ahmed Showrov (S204960)")</f>
        <v>Md Iasin Ahmed Showrov (S204960)</v>
      </c>
      <c r="E785" s="93" t="str">
        <f ca="1">IFERROR(__xludf.DUMMYFUNCTION("""COMPUTED_VALUE"""),"CB35347_Jun26")</f>
        <v>CB35347_Jun26</v>
      </c>
      <c r="F785" s="94" t="str">
        <f ca="1">IFERROR(__xludf.DUMMYFUNCTION("""COMPUTED_VALUE"""),"Packaging Text Design #1")</f>
        <v>Packaging Text Design #1</v>
      </c>
      <c r="G785" s="95" t="str">
        <f ca="1">IFERROR(__xludf.DUMMYFUNCTION("""COMPUTED_VALUE"""),"New")</f>
        <v>New</v>
      </c>
      <c r="H785" s="96">
        <f ca="1">IFERROR(__xludf.DUMMYFUNCTION("""COMPUTED_VALUE"""),1)</f>
        <v>1</v>
      </c>
      <c r="I785" s="97">
        <f ca="1">IFERROR(__xludf.DUMMYFUNCTION("""COMPUTED_VALUE"""),46180)</f>
        <v>46180</v>
      </c>
      <c r="J785" s="98" t="str">
        <f ca="1">IFERROR(__xludf.DUMMYFUNCTION("""COMPUTED_VALUE"""),"CW35814_Jun26")</f>
        <v>CW35814_Jun26</v>
      </c>
      <c r="K785" s="99" t="str">
        <f ca="1">IFERROR(__xludf.DUMMYFUNCTION("""COMPUTED_VALUE"""),"HoM Approved")</f>
        <v>HoM Approved</v>
      </c>
    </row>
    <row r="786" spans="1:11" ht="13.2">
      <c r="A786" s="89" t="str">
        <f ca="1">IFERROR(__xludf.DUMMYFUNCTION("""COMPUTED_VALUE"""),"PRAN CHOCO CHOCO (ASSORTED FLAVOR) (4G x 50 Pcs) ")</f>
        <v xml:space="preserve">PRAN CHOCO CHOCO (ASSORTED FLAVOR) (4G x 50 Pcs) </v>
      </c>
      <c r="B786" s="90" t="str">
        <f ca="1">IFERROR(__xludf.DUMMYFUNCTION("""COMPUTED_VALUE"""),"Philippines")</f>
        <v>Philippines</v>
      </c>
      <c r="C786" s="91" t="str">
        <f ca="1">IFERROR(__xludf.DUMMYFUNCTION("""COMPUTED_VALUE"""),"Farjana Apu")</f>
        <v>Farjana Apu</v>
      </c>
      <c r="D786" s="92" t="str">
        <f ca="1">IFERROR(__xludf.DUMMYFUNCTION("""COMPUTED_VALUE"""),"Md Iasin Ahmed Showrov (S204960)")</f>
        <v>Md Iasin Ahmed Showrov (S204960)</v>
      </c>
      <c r="E786" s="93" t="str">
        <f ca="1">IFERROR(__xludf.DUMMYFUNCTION("""COMPUTED_VALUE"""),"CB35284_Jun26")</f>
        <v>CB35284_Jun26</v>
      </c>
      <c r="F786" s="94" t="str">
        <f ca="1">IFERROR(__xludf.DUMMYFUNCTION("""COMPUTED_VALUE"""),"Packaging Text Design #2")</f>
        <v>Packaging Text Design #2</v>
      </c>
      <c r="G786" s="95" t="str">
        <f ca="1">IFERROR(__xludf.DUMMYFUNCTION("""COMPUTED_VALUE"""),"New")</f>
        <v>New</v>
      </c>
      <c r="H786" s="96">
        <f ca="1">IFERROR(__xludf.DUMMYFUNCTION("""COMPUTED_VALUE"""),1)</f>
        <v>1</v>
      </c>
      <c r="I786" s="97">
        <f ca="1">IFERROR(__xludf.DUMMYFUNCTION("""COMPUTED_VALUE"""),46180)</f>
        <v>46180</v>
      </c>
      <c r="J786" s="98" t="str">
        <f ca="1">IFERROR(__xludf.DUMMYFUNCTION("""COMPUTED_VALUE"""),"CW35818_Jun26")</f>
        <v>CW35818_Jun26</v>
      </c>
      <c r="K786" s="99" t="str">
        <f ca="1">IFERROR(__xludf.DUMMYFUNCTION("""COMPUTED_VALUE"""),"HoM Approved")</f>
        <v>HoM Approved</v>
      </c>
    </row>
    <row r="787" spans="1:11" ht="13.2">
      <c r="A787" s="89" t="str">
        <f ca="1">IFERROR(__xludf.DUMMYFUNCTION("""COMPUTED_VALUE"""),"PRAN EASY INSTANT NOODLES VEGETABLE FLAVOR 60G")</f>
        <v>PRAN EASY INSTANT NOODLES VEGETABLE FLAVOR 60G</v>
      </c>
      <c r="B787" s="90" t="str">
        <f ca="1">IFERROR(__xludf.DUMMYFUNCTION("""COMPUTED_VALUE"""),"Philippines")</f>
        <v>Philippines</v>
      </c>
      <c r="C787" s="91" t="str">
        <f ca="1">IFERROR(__xludf.DUMMYFUNCTION("""COMPUTED_VALUE"""),"Farjana Apu")</f>
        <v>Farjana Apu</v>
      </c>
      <c r="D787" s="92" t="str">
        <f ca="1">IFERROR(__xludf.DUMMYFUNCTION("""COMPUTED_VALUE"""),"Md Iasin Ahmed Showrov (S204960)")</f>
        <v>Md Iasin Ahmed Showrov (S204960)</v>
      </c>
      <c r="E787" s="93" t="str">
        <f ca="1">IFERROR(__xludf.DUMMYFUNCTION("""COMPUTED_VALUE"""),"CB35303_Jun26")</f>
        <v>CB35303_Jun26</v>
      </c>
      <c r="F787" s="94" t="str">
        <f ca="1">IFERROR(__xludf.DUMMYFUNCTION("""COMPUTED_VALUE"""),"Packaging Text Design #1")</f>
        <v>Packaging Text Design #1</v>
      </c>
      <c r="G787" s="95" t="str">
        <f ca="1">IFERROR(__xludf.DUMMYFUNCTION("""COMPUTED_VALUE"""),"New")</f>
        <v>New</v>
      </c>
      <c r="H787" s="96">
        <f ca="1">IFERROR(__xludf.DUMMYFUNCTION("""COMPUTED_VALUE"""),1)</f>
        <v>1</v>
      </c>
      <c r="I787" s="97">
        <f ca="1">IFERROR(__xludf.DUMMYFUNCTION("""COMPUTED_VALUE"""),46181)</f>
        <v>46181</v>
      </c>
      <c r="J787" s="98" t="str">
        <f ca="1">IFERROR(__xludf.DUMMYFUNCTION("""COMPUTED_VALUE"""),"CW35990_Jun26")</f>
        <v>CW35990_Jun26</v>
      </c>
      <c r="K787" s="99" t="str">
        <f ca="1">IFERROR(__xludf.DUMMYFUNCTION("""COMPUTED_VALUE"""),"HoM Approved")</f>
        <v>HoM Approved</v>
      </c>
    </row>
    <row r="788" spans="1:11" ht="13.2">
      <c r="A788" s="89" t="str">
        <f ca="1">IFERROR(__xludf.DUMMYFUNCTION("""COMPUTED_VALUE"""),"PRAN EASY INSTANT NOODLES CHICKEN FLAVOR 60G")</f>
        <v>PRAN EASY INSTANT NOODLES CHICKEN FLAVOR 60G</v>
      </c>
      <c r="B788" s="90" t="str">
        <f ca="1">IFERROR(__xludf.DUMMYFUNCTION("""COMPUTED_VALUE"""),"Philippines")</f>
        <v>Philippines</v>
      </c>
      <c r="C788" s="91" t="str">
        <f ca="1">IFERROR(__xludf.DUMMYFUNCTION("""COMPUTED_VALUE"""),"Farjana Apu")</f>
        <v>Farjana Apu</v>
      </c>
      <c r="D788" s="92" t="str">
        <f ca="1">IFERROR(__xludf.DUMMYFUNCTION("""COMPUTED_VALUE"""),"Md Iasin Ahmed Showrov (S204960)")</f>
        <v>Md Iasin Ahmed Showrov (S204960)</v>
      </c>
      <c r="E788" s="93" t="str">
        <f ca="1">IFERROR(__xludf.DUMMYFUNCTION("""COMPUTED_VALUE"""),"CB35310_Jun26")</f>
        <v>CB35310_Jun26</v>
      </c>
      <c r="F788" s="94" t="str">
        <f ca="1">IFERROR(__xludf.DUMMYFUNCTION("""COMPUTED_VALUE"""),"Packaging Text Design #1")</f>
        <v>Packaging Text Design #1</v>
      </c>
      <c r="G788" s="95" t="str">
        <f ca="1">IFERROR(__xludf.DUMMYFUNCTION("""COMPUTED_VALUE"""),"New")</f>
        <v>New</v>
      </c>
      <c r="H788" s="96">
        <f ca="1">IFERROR(__xludf.DUMMYFUNCTION("""COMPUTED_VALUE"""),1)</f>
        <v>1</v>
      </c>
      <c r="I788" s="97">
        <f ca="1">IFERROR(__xludf.DUMMYFUNCTION("""COMPUTED_VALUE"""),46181)</f>
        <v>46181</v>
      </c>
      <c r="J788" s="98" t="str">
        <f ca="1">IFERROR(__xludf.DUMMYFUNCTION("""COMPUTED_VALUE"""),"CW35993_Jun26")</f>
        <v>CW35993_Jun26</v>
      </c>
      <c r="K788" s="99" t="str">
        <f ca="1">IFERROR(__xludf.DUMMYFUNCTION("""COMPUTED_VALUE"""),"HoM Approved")</f>
        <v>HoM Approved</v>
      </c>
    </row>
    <row r="789" spans="1:11" ht="13.2">
      <c r="A789" s="89" t="str">
        <f ca="1">IFERROR(__xludf.DUMMYFUNCTION("""COMPUTED_VALUE"""),"HURRAY 3 FLAVORED PASTE (4G)")</f>
        <v>HURRAY 3 FLAVORED PASTE (4G)</v>
      </c>
      <c r="B789" s="90" t="str">
        <f ca="1">IFERROR(__xludf.DUMMYFUNCTION("""COMPUTED_VALUE"""),"Philippines")</f>
        <v>Philippines</v>
      </c>
      <c r="C789" s="91" t="str">
        <f ca="1">IFERROR(__xludf.DUMMYFUNCTION("""COMPUTED_VALUE"""),"Farjana Apu")</f>
        <v>Farjana Apu</v>
      </c>
      <c r="D789" s="92" t="str">
        <f ca="1">IFERROR(__xludf.DUMMYFUNCTION("""COMPUTED_VALUE"""),"Md Iasin Ahmed Showrov (S204960)")</f>
        <v>Md Iasin Ahmed Showrov (S204960)</v>
      </c>
      <c r="E789" s="93" t="str">
        <f ca="1">IFERROR(__xludf.DUMMYFUNCTION("""COMPUTED_VALUE"""),"CB25226_Jun26")</f>
        <v>CB25226_Jun26</v>
      </c>
      <c r="F789" s="94" t="str">
        <f ca="1">IFERROR(__xludf.DUMMYFUNCTION("""COMPUTED_VALUE"""),"Packaging Text Design #1")</f>
        <v>Packaging Text Design #1</v>
      </c>
      <c r="G789" s="95" t="str">
        <f ca="1">IFERROR(__xludf.DUMMYFUNCTION("""COMPUTED_VALUE"""),"New")</f>
        <v>New</v>
      </c>
      <c r="H789" s="96">
        <f ca="1">IFERROR(__xludf.DUMMYFUNCTION("""COMPUTED_VALUE"""),3)</f>
        <v>3</v>
      </c>
      <c r="I789" s="97">
        <f ca="1">IFERROR(__xludf.DUMMYFUNCTION("""COMPUTED_VALUE"""),46180)</f>
        <v>46180</v>
      </c>
      <c r="J789" s="98" t="str">
        <f ca="1">IFERROR(__xludf.DUMMYFUNCTION("""COMPUTED_VALUE"""),"CW35812_Jun26")</f>
        <v>CW35812_Jun26</v>
      </c>
      <c r="K789" s="99" t="str">
        <f ca="1">IFERROR(__xludf.DUMMYFUNCTION("""COMPUTED_VALUE"""),"HoM Approved")</f>
        <v>HoM Approved</v>
      </c>
    </row>
    <row r="790" spans="1:11" ht="13.2">
      <c r="A790" s="89" t="str">
        <f ca="1">IFERROR(__xludf.DUMMYFUNCTION("""COMPUTED_VALUE"""),"PRAN COATED PEANUT PUNJABI TASTY MIX 150G")</f>
        <v>PRAN COATED PEANUT PUNJABI TASTY MIX 150G</v>
      </c>
      <c r="B790" s="90" t="str">
        <f ca="1">IFERROR(__xludf.DUMMYFUNCTION("""COMPUTED_VALUE"""),"Philippines")</f>
        <v>Philippines</v>
      </c>
      <c r="C790" s="91" t="str">
        <f ca="1">IFERROR(__xludf.DUMMYFUNCTION("""COMPUTED_VALUE"""),"Farjana Apu")</f>
        <v>Farjana Apu</v>
      </c>
      <c r="D790" s="92" t="str">
        <f ca="1">IFERROR(__xludf.DUMMYFUNCTION("""COMPUTED_VALUE"""),"Md Iasin Ahmed Showrov (S204960)")</f>
        <v>Md Iasin Ahmed Showrov (S204960)</v>
      </c>
      <c r="E790" s="93" t="str">
        <f ca="1">IFERROR(__xludf.DUMMYFUNCTION("""COMPUTED_VALUE"""),"CB25193_May26")</f>
        <v>CB25193_May26</v>
      </c>
      <c r="F790" s="94" t="str">
        <f ca="1">IFERROR(__xludf.DUMMYFUNCTION("""COMPUTED_VALUE"""),"Packaging Text Design #1")</f>
        <v>Packaging Text Design #1</v>
      </c>
      <c r="G790" s="95" t="str">
        <f ca="1">IFERROR(__xludf.DUMMYFUNCTION("""COMPUTED_VALUE"""),"New")</f>
        <v>New</v>
      </c>
      <c r="H790" s="96">
        <f ca="1">IFERROR(__xludf.DUMMYFUNCTION("""COMPUTED_VALUE"""),1)</f>
        <v>1</v>
      </c>
      <c r="I790" s="97">
        <f ca="1">IFERROR(__xludf.DUMMYFUNCTION("""COMPUTED_VALUE"""),46180)</f>
        <v>46180</v>
      </c>
      <c r="J790" s="98" t="str">
        <f ca="1">IFERROR(__xludf.DUMMYFUNCTION("""COMPUTED_VALUE"""),"CW35819_Jun26")</f>
        <v>CW35819_Jun26</v>
      </c>
      <c r="K790" s="99" t="str">
        <f ca="1">IFERROR(__xludf.DUMMYFUNCTION("""COMPUTED_VALUE"""),"HoM Approved")</f>
        <v>HoM Approved</v>
      </c>
    </row>
    <row r="791" spans="1:11" ht="13.2">
      <c r="A791" s="89" t="str">
        <f ca="1">IFERROR(__xludf.DUMMYFUNCTION("""COMPUTED_VALUE"""),"HUMTY DUMTY MILK,COCOA &amp; HAZELNUT FLAVOURED CREAM (20G x 16 pcs)")</f>
        <v>HUMTY DUMTY MILK,COCOA &amp; HAZELNUT FLAVOURED CREAM (20G x 16 pcs)</v>
      </c>
      <c r="B791" s="90" t="str">
        <f ca="1">IFERROR(__xludf.DUMMYFUNCTION("""COMPUTED_VALUE"""),"Philippines")</f>
        <v>Philippines</v>
      </c>
      <c r="C791" s="91" t="str">
        <f ca="1">IFERROR(__xludf.DUMMYFUNCTION("""COMPUTED_VALUE"""),"Rabby Vai")</f>
        <v>Rabby Vai</v>
      </c>
      <c r="D791" s="92" t="str">
        <f ca="1">IFERROR(__xludf.DUMMYFUNCTION("""COMPUTED_VALUE"""),"Md Iasin Ahmed Showrov (S204960)")</f>
        <v>Md Iasin Ahmed Showrov (S204960)</v>
      </c>
      <c r="E791" s="93" t="str">
        <f ca="1">IFERROR(__xludf.DUMMYFUNCTION("""COMPUTED_VALUE"""),"CB25205_May26")</f>
        <v>CB25205_May26</v>
      </c>
      <c r="F791" s="94" t="str">
        <f ca="1">IFERROR(__xludf.DUMMYFUNCTION("""COMPUTED_VALUE"""),"Packaging Text Design #1")</f>
        <v>Packaging Text Design #1</v>
      </c>
      <c r="G791" s="95" t="str">
        <f ca="1">IFERROR(__xludf.DUMMYFUNCTION("""COMPUTED_VALUE"""),"New")</f>
        <v>New</v>
      </c>
      <c r="H791" s="96">
        <f ca="1">IFERROR(__xludf.DUMMYFUNCTION("""COMPUTED_VALUE"""),2)</f>
        <v>2</v>
      </c>
      <c r="I791" s="97">
        <f ca="1">IFERROR(__xludf.DUMMYFUNCTION("""COMPUTED_VALUE"""),46180)</f>
        <v>46180</v>
      </c>
      <c r="J791" s="98" t="str">
        <f ca="1">IFERROR(__xludf.DUMMYFUNCTION("""COMPUTED_VALUE"""),"CW35813_Jun26")</f>
        <v>CW35813_Jun26</v>
      </c>
      <c r="K791" s="99" t="str">
        <f ca="1">IFERROR(__xludf.DUMMYFUNCTION("""COMPUTED_VALUE"""),"HoM Approved")</f>
        <v>HoM Approved</v>
      </c>
    </row>
    <row r="792" spans="1:11" ht="13.2">
      <c r="A792" s="89" t="str">
        <f ca="1">IFERROR(__xludf.DUMMYFUNCTION("""COMPUTED_VALUE"""),"Need New design For Kidstar baby soap")</f>
        <v>Need New design For Kidstar baby soap</v>
      </c>
      <c r="B792" s="90" t="str">
        <f ca="1">IFERROR(__xludf.DUMMYFUNCTION("""COMPUTED_VALUE"""),"APCL")</f>
        <v>APCL</v>
      </c>
      <c r="C792" s="91" t="str">
        <f ca="1">IFERROR(__xludf.DUMMYFUNCTION("""COMPUTED_VALUE"""),"Reza Vai")</f>
        <v>Reza Vai</v>
      </c>
      <c r="D792" s="92" t="str">
        <f ca="1">IFERROR(__xludf.DUMMYFUNCTION("""COMPUTED_VALUE"""),"Md Iasin Ahmed Showrov (S204960)")</f>
        <v>Md Iasin Ahmed Showrov (S204960)</v>
      </c>
      <c r="E792" s="93" t="str">
        <f ca="1">IFERROR(__xludf.DUMMYFUNCTION("""COMPUTED_VALUE"""),"CB20450_Mar26")</f>
        <v>CB20450_Mar26</v>
      </c>
      <c r="F792" s="94" t="str">
        <f ca="1">IFERROR(__xludf.DUMMYFUNCTION("""COMPUTED_VALUE"""),"Packaging Text Design #2")</f>
        <v>Packaging Text Design #2</v>
      </c>
      <c r="G792" s="95" t="str">
        <f ca="1">IFERROR(__xludf.DUMMYFUNCTION("""COMPUTED_VALUE"""),"New")</f>
        <v>New</v>
      </c>
      <c r="H792" s="96">
        <f ca="1">IFERROR(__xludf.DUMMYFUNCTION("""COMPUTED_VALUE"""),2)</f>
        <v>2</v>
      </c>
      <c r="I792" s="97">
        <f ca="1">IFERROR(__xludf.DUMMYFUNCTION("""COMPUTED_VALUE"""),46180)</f>
        <v>46180</v>
      </c>
      <c r="J792" s="98" t="str">
        <f ca="1">IFERROR(__xludf.DUMMYFUNCTION("""COMPUTED_VALUE"""),"CW35816_Jun26")</f>
        <v>CW35816_Jun26</v>
      </c>
      <c r="K792" s="99" t="str">
        <f ca="1">IFERROR(__xludf.DUMMYFUNCTION("""COMPUTED_VALUE"""),"HoM Approved")</f>
        <v>HoM Approved</v>
      </c>
    </row>
    <row r="793" spans="1:11" ht="13.2">
      <c r="A793" s="89" t="str">
        <f ca="1">IFERROR(__xludf.DUMMYFUNCTION("""COMPUTED_VALUE"""),"ALL TIME POTATO CRUNCH CREAM AND ONION FLAVORED BISCUITS 100G")</f>
        <v>ALL TIME POTATO CRUNCH CREAM AND ONION FLAVORED BISCUITS 100G</v>
      </c>
      <c r="B793" s="90" t="str">
        <f ca="1">IFERROR(__xludf.DUMMYFUNCTION("""COMPUTED_VALUE"""),"Philippines")</f>
        <v>Philippines</v>
      </c>
      <c r="C793" s="91" t="str">
        <f ca="1">IFERROR(__xludf.DUMMYFUNCTION("""COMPUTED_VALUE"""),"Farjana Apu")</f>
        <v>Farjana Apu</v>
      </c>
      <c r="D793" s="92" t="str">
        <f ca="1">IFERROR(__xludf.DUMMYFUNCTION("""COMPUTED_VALUE"""),"Md Iasin Ahmed Showrov (S204960)")</f>
        <v>Md Iasin Ahmed Showrov (S204960)</v>
      </c>
      <c r="E793" s="93" t="str">
        <f ca="1">IFERROR(__xludf.DUMMYFUNCTION("""COMPUTED_VALUE"""),"CB25138_May26")</f>
        <v>CB25138_May26</v>
      </c>
      <c r="F793" s="94" t="str">
        <f ca="1">IFERROR(__xludf.DUMMYFUNCTION("""COMPUTED_VALUE"""),"Packaging Text Design #1")</f>
        <v>Packaging Text Design #1</v>
      </c>
      <c r="G793" s="95" t="str">
        <f ca="1">IFERROR(__xludf.DUMMYFUNCTION("""COMPUTED_VALUE"""),"New")</f>
        <v>New</v>
      </c>
      <c r="H793" s="96">
        <f ca="1">IFERROR(__xludf.DUMMYFUNCTION("""COMPUTED_VALUE"""),1)</f>
        <v>1</v>
      </c>
      <c r="I793" s="97">
        <f ca="1">IFERROR(__xludf.DUMMYFUNCTION("""COMPUTED_VALUE"""),46180)</f>
        <v>46180</v>
      </c>
      <c r="J793" s="98" t="str">
        <f ca="1">IFERROR(__xludf.DUMMYFUNCTION("""COMPUTED_VALUE"""),"CW35820_Jun26")</f>
        <v>CW35820_Jun26</v>
      </c>
      <c r="K793" s="99" t="str">
        <f ca="1">IFERROR(__xludf.DUMMYFUNCTION("""COMPUTED_VALUE"""),"Brief Submitted")</f>
        <v>Brief Submitted</v>
      </c>
    </row>
    <row r="794" spans="1:11" ht="13.2">
      <c r="A794" s="89" t="str">
        <f ca="1">IFERROR(__xludf.DUMMYFUNCTION("""COMPUTED_VALUE"""),"ALL TIME POTATO CRUNCH SPICY BISCUITS 100G")</f>
        <v>ALL TIME POTATO CRUNCH SPICY BISCUITS 100G</v>
      </c>
      <c r="B794" s="90" t="str">
        <f ca="1">IFERROR(__xludf.DUMMYFUNCTION("""COMPUTED_VALUE"""),"Philippines")</f>
        <v>Philippines</v>
      </c>
      <c r="C794" s="91" t="str">
        <f ca="1">IFERROR(__xludf.DUMMYFUNCTION("""COMPUTED_VALUE"""),"Farjana Apu")</f>
        <v>Farjana Apu</v>
      </c>
      <c r="D794" s="92" t="str">
        <f ca="1">IFERROR(__xludf.DUMMYFUNCTION("""COMPUTED_VALUE"""),"Md Iasin Ahmed Showrov (S204960)")</f>
        <v>Md Iasin Ahmed Showrov (S204960)</v>
      </c>
      <c r="E794" s="93" t="str">
        <f ca="1">IFERROR(__xludf.DUMMYFUNCTION("""COMPUTED_VALUE"""),"CB25134_May26")</f>
        <v>CB25134_May26</v>
      </c>
      <c r="F794" s="94" t="str">
        <f ca="1">IFERROR(__xludf.DUMMYFUNCTION("""COMPUTED_VALUE"""),"Packaging Text Design #1")</f>
        <v>Packaging Text Design #1</v>
      </c>
      <c r="G794" s="95" t="str">
        <f ca="1">IFERROR(__xludf.DUMMYFUNCTION("""COMPUTED_VALUE"""),"New")</f>
        <v>New</v>
      </c>
      <c r="H794" s="96">
        <f ca="1">IFERROR(__xludf.DUMMYFUNCTION("""COMPUTED_VALUE"""),1)</f>
        <v>1</v>
      </c>
      <c r="I794" s="97">
        <f ca="1">IFERROR(__xludf.DUMMYFUNCTION("""COMPUTED_VALUE"""),46180)</f>
        <v>46180</v>
      </c>
      <c r="J794" s="98" t="str">
        <f ca="1">IFERROR(__xludf.DUMMYFUNCTION("""COMPUTED_VALUE"""),"CW35821_Jun26")</f>
        <v>CW35821_Jun26</v>
      </c>
      <c r="K794" s="99" t="str">
        <f ca="1">IFERROR(__xludf.DUMMYFUNCTION("""COMPUTED_VALUE"""),"HoM Approved")</f>
        <v>HoM Approved</v>
      </c>
    </row>
    <row r="795" spans="1:11" ht="13.2">
      <c r="A795" s="89" t="str">
        <f ca="1">IFERROR(__xludf.DUMMYFUNCTION("""COMPUTED_VALUE"""),"ALL TIME POTATO CRUNCH BBQ FLAVORED BISCUITS 100G")</f>
        <v>ALL TIME POTATO CRUNCH BBQ FLAVORED BISCUITS 100G</v>
      </c>
      <c r="B795" s="90" t="str">
        <f ca="1">IFERROR(__xludf.DUMMYFUNCTION("""COMPUTED_VALUE"""),"Philippines")</f>
        <v>Philippines</v>
      </c>
      <c r="C795" s="91" t="str">
        <f ca="1">IFERROR(__xludf.DUMMYFUNCTION("""COMPUTED_VALUE"""),"Farjana Apu")</f>
        <v>Farjana Apu</v>
      </c>
      <c r="D795" s="92" t="str">
        <f ca="1">IFERROR(__xludf.DUMMYFUNCTION("""COMPUTED_VALUE"""),"Md Iasin Ahmed Showrov (S204960)")</f>
        <v>Md Iasin Ahmed Showrov (S204960)</v>
      </c>
      <c r="E795" s="93" t="str">
        <f ca="1">IFERROR(__xludf.DUMMYFUNCTION("""COMPUTED_VALUE"""),"CB25131_May26")</f>
        <v>CB25131_May26</v>
      </c>
      <c r="F795" s="94" t="str">
        <f ca="1">IFERROR(__xludf.DUMMYFUNCTION("""COMPUTED_VALUE"""),"Packaging Text Design #1")</f>
        <v>Packaging Text Design #1</v>
      </c>
      <c r="G795" s="95" t="str">
        <f ca="1">IFERROR(__xludf.DUMMYFUNCTION("""COMPUTED_VALUE"""),"New")</f>
        <v>New</v>
      </c>
      <c r="H795" s="96">
        <f ca="1">IFERROR(__xludf.DUMMYFUNCTION("""COMPUTED_VALUE"""),1)</f>
        <v>1</v>
      </c>
      <c r="I795" s="97">
        <f ca="1">IFERROR(__xludf.DUMMYFUNCTION("""COMPUTED_VALUE"""),46180)</f>
        <v>46180</v>
      </c>
      <c r="J795" s="98" t="str">
        <f ca="1">IFERROR(__xludf.DUMMYFUNCTION("""COMPUTED_VALUE"""),"CW35822_Jun26")</f>
        <v>CW35822_Jun26</v>
      </c>
      <c r="K795" s="99" t="str">
        <f ca="1">IFERROR(__xludf.DUMMYFUNCTION("""COMPUTED_VALUE"""),"HoM Approved")</f>
        <v>HoM Approved</v>
      </c>
    </row>
    <row r="796" spans="1:11" ht="13.2">
      <c r="A796" s="89" t="str">
        <f ca="1">IFERROR(__xludf.DUMMYFUNCTION("""COMPUTED_VALUE"""),"ALL TIME POTATO FLAVORED BISCUITS 100G")</f>
        <v>ALL TIME POTATO FLAVORED BISCUITS 100G</v>
      </c>
      <c r="B796" s="90" t="str">
        <f ca="1">IFERROR(__xludf.DUMMYFUNCTION("""COMPUTED_VALUE"""),"Philippines")</f>
        <v>Philippines</v>
      </c>
      <c r="C796" s="91" t="str">
        <f ca="1">IFERROR(__xludf.DUMMYFUNCTION("""COMPUTED_VALUE"""),"Farjana Apu")</f>
        <v>Farjana Apu</v>
      </c>
      <c r="D796" s="92" t="str">
        <f ca="1">IFERROR(__xludf.DUMMYFUNCTION("""COMPUTED_VALUE"""),"Md Iasin Ahmed Showrov (S204960)")</f>
        <v>Md Iasin Ahmed Showrov (S204960)</v>
      </c>
      <c r="E796" s="93" t="str">
        <f ca="1">IFERROR(__xludf.DUMMYFUNCTION("""COMPUTED_VALUE"""),"CB25132_May26")</f>
        <v>CB25132_May26</v>
      </c>
      <c r="F796" s="94" t="str">
        <f ca="1">IFERROR(__xludf.DUMMYFUNCTION("""COMPUTED_VALUE"""),"Packaging Text Design #1")</f>
        <v>Packaging Text Design #1</v>
      </c>
      <c r="G796" s="95" t="str">
        <f ca="1">IFERROR(__xludf.DUMMYFUNCTION("""COMPUTED_VALUE"""),"New")</f>
        <v>New</v>
      </c>
      <c r="H796" s="96">
        <f ca="1">IFERROR(__xludf.DUMMYFUNCTION("""COMPUTED_VALUE"""),1)</f>
        <v>1</v>
      </c>
      <c r="I796" s="97">
        <f ca="1">IFERROR(__xludf.DUMMYFUNCTION("""COMPUTED_VALUE"""),46180)</f>
        <v>46180</v>
      </c>
      <c r="J796" s="98" t="str">
        <f ca="1">IFERROR(__xludf.DUMMYFUNCTION("""COMPUTED_VALUE"""),"CW35823_Jun26")</f>
        <v>CW35823_Jun26</v>
      </c>
      <c r="K796" s="99" t="str">
        <f ca="1">IFERROR(__xludf.DUMMYFUNCTION("""COMPUTED_VALUE"""),"HoM Approved")</f>
        <v>HoM Approved</v>
      </c>
    </row>
    <row r="797" spans="1:11" ht="13.2">
      <c r="A797" s="89" t="str">
        <f ca="1">IFERROR(__xludf.DUMMYFUNCTION("""COMPUTED_VALUE"""),"Tropical Drinks ")</f>
        <v xml:space="preserve">Tropical Drinks </v>
      </c>
      <c r="B797" s="90" t="str">
        <f ca="1">IFERROR(__xludf.DUMMYFUNCTION("""COMPUTED_VALUE"""),"USA &amp; Europe")</f>
        <v>USA &amp; Europe</v>
      </c>
      <c r="C797" s="91" t="str">
        <f ca="1">IFERROR(__xludf.DUMMYFUNCTION("""COMPUTED_VALUE"""),"Saifullah Vai")</f>
        <v>Saifullah Vai</v>
      </c>
      <c r="D797" s="92" t="str">
        <f ca="1">IFERROR(__xludf.DUMMYFUNCTION("""COMPUTED_VALUE"""),"Md Iasin Ahmed Showrov (S204960)")</f>
        <v>Md Iasin Ahmed Showrov (S204960)</v>
      </c>
      <c r="E797" s="93" t="str">
        <f ca="1">IFERROR(__xludf.DUMMYFUNCTION("""COMPUTED_VALUE"""),"CB36115_Jun26")</f>
        <v>CB36115_Jun26</v>
      </c>
      <c r="F797" s="94" t="str">
        <f ca="1">IFERROR(__xludf.DUMMYFUNCTION("""COMPUTED_VALUE"""),"Packaging Text Design #2")</f>
        <v>Packaging Text Design #2</v>
      </c>
      <c r="G797" s="95" t="str">
        <f ca="1">IFERROR(__xludf.DUMMYFUNCTION("""COMPUTED_VALUE"""),"New")</f>
        <v>New</v>
      </c>
      <c r="H797" s="96">
        <f ca="1">IFERROR(__xludf.DUMMYFUNCTION("""COMPUTED_VALUE"""),4)</f>
        <v>4</v>
      </c>
      <c r="I797" s="97">
        <f ca="1">IFERROR(__xludf.DUMMYFUNCTION("""COMPUTED_VALUE"""),46183)</f>
        <v>46183</v>
      </c>
      <c r="J797" s="98" t="str">
        <f ca="1">IFERROR(__xludf.DUMMYFUNCTION("""COMPUTED_VALUE"""),"CW36219_Jun26")</f>
        <v>CW36219_Jun26</v>
      </c>
      <c r="K797" s="99" t="str">
        <f ca="1">IFERROR(__xludf.DUMMYFUNCTION("""COMPUTED_VALUE"""),"HoM Approved")</f>
        <v>HoM Approved</v>
      </c>
    </row>
    <row r="798" spans="1:11" ht="13.2">
      <c r="A798" s="89" t="str">
        <f ca="1">IFERROR(__xludf.DUMMYFUNCTION("""COMPUTED_VALUE"""),"CERTIFICATE CORRECTION - 10 ")</f>
        <v xml:space="preserve">CERTIFICATE CORRECTION - 10 </v>
      </c>
      <c r="B798" s="90" t="str">
        <f ca="1">IFERROR(__xludf.DUMMYFUNCTION("""COMPUTED_VALUE"""),"Philippines")</f>
        <v>Philippines</v>
      </c>
      <c r="C798" s="91" t="str">
        <f ca="1">IFERROR(__xludf.DUMMYFUNCTION("""COMPUTED_VALUE"""),"Rabby Vai")</f>
        <v>Rabby Vai</v>
      </c>
      <c r="D798" s="92" t="str">
        <f ca="1">IFERROR(__xludf.DUMMYFUNCTION("""COMPUTED_VALUE"""),"Md Iasin Ahmed Showrov (S204960)")</f>
        <v>Md Iasin Ahmed Showrov (S204960)</v>
      </c>
      <c r="E798" s="93" t="str">
        <f ca="1">IFERROR(__xludf.DUMMYFUNCTION("""COMPUTED_VALUE"""),"CB35829_Jun26")</f>
        <v>CB35829_Jun26</v>
      </c>
      <c r="F798" s="94" t="str">
        <f ca="1">IFERROR(__xludf.DUMMYFUNCTION("""COMPUTED_VALUE"""),"Document Text Correction")</f>
        <v>Document Text Correction</v>
      </c>
      <c r="G798" s="95" t="str">
        <f ca="1">IFERROR(__xludf.DUMMYFUNCTION("""COMPUTED_VALUE"""),"New")</f>
        <v>New</v>
      </c>
      <c r="H798" s="96">
        <f ca="1">IFERROR(__xludf.DUMMYFUNCTION("""COMPUTED_VALUE"""),10)</f>
        <v>10</v>
      </c>
      <c r="I798" s="97">
        <f ca="1">IFERROR(__xludf.DUMMYFUNCTION("""COMPUTED_VALUE"""),46180)</f>
        <v>46180</v>
      </c>
      <c r="J798" s="98" t="str">
        <f ca="1">IFERROR(__xludf.DUMMYFUNCTION("""COMPUTED_VALUE"""),"CW35830_Jun26")</f>
        <v>CW35830_Jun26</v>
      </c>
      <c r="K798" s="99" t="str">
        <f ca="1">IFERROR(__xludf.DUMMYFUNCTION("""COMPUTED_VALUE"""),"HoM Approved")</f>
        <v>HoM Approved</v>
      </c>
    </row>
    <row r="799" spans="1:11" ht="13.2">
      <c r="A799" s="89" t="str">
        <f ca="1">IFERROR(__xludf.DUMMYFUNCTION("""COMPUTED_VALUE"""),"PRAN CHEW CANDY STRAWBERRY FLAVOR (3G x 250 PCS)")</f>
        <v>PRAN CHEW CANDY STRAWBERRY FLAVOR (3G x 250 PCS)</v>
      </c>
      <c r="B799" s="90" t="str">
        <f ca="1">IFERROR(__xludf.DUMMYFUNCTION("""COMPUTED_VALUE"""),"Philippines")</f>
        <v>Philippines</v>
      </c>
      <c r="C799" s="91" t="str">
        <f ca="1">IFERROR(__xludf.DUMMYFUNCTION("""COMPUTED_VALUE"""),"Farjana Apu")</f>
        <v>Farjana Apu</v>
      </c>
      <c r="D799" s="92" t="str">
        <f ca="1">IFERROR(__xludf.DUMMYFUNCTION("""COMPUTED_VALUE"""),"Md Iasin Ahmed Showrov (S204960)")</f>
        <v>Md Iasin Ahmed Showrov (S204960)</v>
      </c>
      <c r="E799" s="93" t="str">
        <f ca="1">IFERROR(__xludf.DUMMYFUNCTION("""COMPUTED_VALUE"""),"CB35500_Jun26")</f>
        <v>CB35500_Jun26</v>
      </c>
      <c r="F799" s="94" t="str">
        <f ca="1">IFERROR(__xludf.DUMMYFUNCTION("""COMPUTED_VALUE"""),"Packaging Text Design #1")</f>
        <v>Packaging Text Design #1</v>
      </c>
      <c r="G799" s="95" t="str">
        <f ca="1">IFERROR(__xludf.DUMMYFUNCTION("""COMPUTED_VALUE"""),"New")</f>
        <v>New</v>
      </c>
      <c r="H799" s="96">
        <f ca="1">IFERROR(__xludf.DUMMYFUNCTION("""COMPUTED_VALUE"""),1)</f>
        <v>1</v>
      </c>
      <c r="I799" s="97">
        <f ca="1">IFERROR(__xludf.DUMMYFUNCTION("""COMPUTED_VALUE"""),46181)</f>
        <v>46181</v>
      </c>
      <c r="J799" s="98" t="str">
        <f ca="1">IFERROR(__xludf.DUMMYFUNCTION("""COMPUTED_VALUE"""),"CW35965_Jun26")</f>
        <v>CW35965_Jun26</v>
      </c>
      <c r="K799" s="99" t="str">
        <f ca="1">IFERROR(__xludf.DUMMYFUNCTION("""COMPUTED_VALUE"""),"HoM Approved")</f>
        <v>HoM Approved</v>
      </c>
    </row>
    <row r="800" spans="1:11" ht="13.2">
      <c r="A800" s="89" t="str">
        <f ca="1">IFERROR(__xludf.DUMMYFUNCTION("""COMPUTED_VALUE"""),"PRAN Choco Stick 20g")</f>
        <v>PRAN Choco Stick 20g</v>
      </c>
      <c r="B800" s="90" t="str">
        <f ca="1">IFERROR(__xludf.DUMMYFUNCTION("""COMPUTED_VALUE"""),"BBL")</f>
        <v>BBL</v>
      </c>
      <c r="C800" s="91" t="str">
        <f ca="1">IFERROR(__xludf.DUMMYFUNCTION("""COMPUTED_VALUE"""),"Saema Apu")</f>
        <v>Saema Apu</v>
      </c>
      <c r="D800" s="92" t="str">
        <f ca="1">IFERROR(__xludf.DUMMYFUNCTION("""COMPUTED_VALUE"""),"Md Iasin Ahmed Showrov (S204960)")</f>
        <v>Md Iasin Ahmed Showrov (S204960)</v>
      </c>
      <c r="E800" s="93" t="str">
        <f ca="1">IFERROR(__xludf.DUMMYFUNCTION("""COMPUTED_VALUE"""),"CB35557_Jun26")</f>
        <v>CB35557_Jun26</v>
      </c>
      <c r="F800" s="94" t="str">
        <f ca="1">IFERROR(__xludf.DUMMYFUNCTION("""COMPUTED_VALUE"""),"Packaging Text Design #2")</f>
        <v>Packaging Text Design #2</v>
      </c>
      <c r="G800" s="95" t="str">
        <f ca="1">IFERROR(__xludf.DUMMYFUNCTION("""COMPUTED_VALUE"""),"New")</f>
        <v>New</v>
      </c>
      <c r="H800" s="96">
        <f ca="1">IFERROR(__xludf.DUMMYFUNCTION("""COMPUTED_VALUE"""),1)</f>
        <v>1</v>
      </c>
      <c r="I800" s="97">
        <f ca="1">IFERROR(__xludf.DUMMYFUNCTION("""COMPUTED_VALUE"""),46181)</f>
        <v>46181</v>
      </c>
      <c r="J800" s="98" t="str">
        <f ca="1">IFERROR(__xludf.DUMMYFUNCTION("""COMPUTED_VALUE"""),"CW35963_Jun26")</f>
        <v>CW35963_Jun26</v>
      </c>
      <c r="K800" s="99" t="str">
        <f ca="1">IFERROR(__xludf.DUMMYFUNCTION("""COMPUTED_VALUE"""),"HoM Approved")</f>
        <v>HoM Approved</v>
      </c>
    </row>
    <row r="801" spans="1:11" ht="13.2">
      <c r="A801" s="89" t="str">
        <f ca="1">IFERROR(__xludf.DUMMYFUNCTION("""COMPUTED_VALUE"""),"PRAN OH CREAM PINEAPPLE FLAVORED CREAM BISCUITS 25G")</f>
        <v>PRAN OH CREAM PINEAPPLE FLAVORED CREAM BISCUITS 25G</v>
      </c>
      <c r="B801" s="90" t="str">
        <f ca="1">IFERROR(__xludf.DUMMYFUNCTION("""COMPUTED_VALUE"""),"Philippines")</f>
        <v>Philippines</v>
      </c>
      <c r="C801" s="91" t="str">
        <f ca="1">IFERROR(__xludf.DUMMYFUNCTION("""COMPUTED_VALUE"""),"Farjana Apu")</f>
        <v>Farjana Apu</v>
      </c>
      <c r="D801" s="92" t="str">
        <f ca="1">IFERROR(__xludf.DUMMYFUNCTION("""COMPUTED_VALUE"""),"Md Iasin Ahmed Showrov (S204960)")</f>
        <v>Md Iasin Ahmed Showrov (S204960)</v>
      </c>
      <c r="E801" s="93" t="str">
        <f ca="1">IFERROR(__xludf.DUMMYFUNCTION("""COMPUTED_VALUE"""),"CB35562_Jun26")</f>
        <v>CB35562_Jun26</v>
      </c>
      <c r="F801" s="94" t="str">
        <f ca="1">IFERROR(__xludf.DUMMYFUNCTION("""COMPUTED_VALUE"""),"Packaging Text Design #1")</f>
        <v>Packaging Text Design #1</v>
      </c>
      <c r="G801" s="95" t="str">
        <f ca="1">IFERROR(__xludf.DUMMYFUNCTION("""COMPUTED_VALUE"""),"New")</f>
        <v>New</v>
      </c>
      <c r="H801" s="96">
        <f ca="1">IFERROR(__xludf.DUMMYFUNCTION("""COMPUTED_VALUE"""),1)</f>
        <v>1</v>
      </c>
      <c r="I801" s="97">
        <f ca="1">IFERROR(__xludf.DUMMYFUNCTION("""COMPUTED_VALUE"""),46181)</f>
        <v>46181</v>
      </c>
      <c r="J801" s="98" t="str">
        <f ca="1">IFERROR(__xludf.DUMMYFUNCTION("""COMPUTED_VALUE"""),"CW35966_Jun26")</f>
        <v>CW35966_Jun26</v>
      </c>
      <c r="K801" s="99" t="str">
        <f ca="1">IFERROR(__xludf.DUMMYFUNCTION("""COMPUTED_VALUE"""),"BM Approved")</f>
        <v>BM Approved</v>
      </c>
    </row>
    <row r="802" spans="1:11" ht="13.2">
      <c r="A802" s="89" t="str">
        <f ca="1">IFERROR(__xludf.DUMMYFUNCTION("""COMPUTED_VALUE"""),"PINGO HOLO CHIPS 12G")</f>
        <v>PINGO HOLO CHIPS 12G</v>
      </c>
      <c r="B802" s="90" t="str">
        <f ca="1">IFERROR(__xludf.DUMMYFUNCTION("""COMPUTED_VALUE"""),"Philippines")</f>
        <v>Philippines</v>
      </c>
      <c r="C802" s="91" t="str">
        <f ca="1">IFERROR(__xludf.DUMMYFUNCTION("""COMPUTED_VALUE"""),"Rabby Vai")</f>
        <v>Rabby Vai</v>
      </c>
      <c r="D802" s="92" t="str">
        <f ca="1">IFERROR(__xludf.DUMMYFUNCTION("""COMPUTED_VALUE"""),"Md Iasin Ahmed Showrov (S204960)")</f>
        <v>Md Iasin Ahmed Showrov (S204960)</v>
      </c>
      <c r="E802" s="93" t="str">
        <f ca="1">IFERROR(__xludf.DUMMYFUNCTION("""COMPUTED_VALUE"""),"CB24818_May26")</f>
        <v>CB24818_May26</v>
      </c>
      <c r="F802" s="94" t="str">
        <f ca="1">IFERROR(__xludf.DUMMYFUNCTION("""COMPUTED_VALUE"""),"Packaging Text Design #1")</f>
        <v>Packaging Text Design #1</v>
      </c>
      <c r="G802" s="95" t="str">
        <f ca="1">IFERROR(__xludf.DUMMYFUNCTION("""COMPUTED_VALUE"""),"New")</f>
        <v>New</v>
      </c>
      <c r="H802" s="96">
        <f ca="1">IFERROR(__xludf.DUMMYFUNCTION("""COMPUTED_VALUE"""),1)</f>
        <v>1</v>
      </c>
      <c r="I802" s="97">
        <f ca="1">IFERROR(__xludf.DUMMYFUNCTION("""COMPUTED_VALUE"""),46181)</f>
        <v>46181</v>
      </c>
      <c r="J802" s="98" t="str">
        <f ca="1">IFERROR(__xludf.DUMMYFUNCTION("""COMPUTED_VALUE"""),"CW35968_Jun26")</f>
        <v>CW35968_Jun26</v>
      </c>
      <c r="K802" s="99" t="str">
        <f ca="1">IFERROR(__xludf.DUMMYFUNCTION("""COMPUTED_VALUE"""),"HoM Approved")</f>
        <v>HoM Approved</v>
      </c>
    </row>
    <row r="803" spans="1:11" ht="13.2">
      <c r="A803" s="89" t="str">
        <f ca="1">IFERROR(__xludf.DUMMYFUNCTION("""COMPUTED_VALUE"""),"ALL TIME PEANUT COOKIES BISCUITS 165G")</f>
        <v>ALL TIME PEANUT COOKIES BISCUITS 165G</v>
      </c>
      <c r="B803" s="90" t="str">
        <f ca="1">IFERROR(__xludf.DUMMYFUNCTION("""COMPUTED_VALUE"""),"Philippines")</f>
        <v>Philippines</v>
      </c>
      <c r="C803" s="91" t="str">
        <f ca="1">IFERROR(__xludf.DUMMYFUNCTION("""COMPUTED_VALUE"""),"Rabby Vai")</f>
        <v>Rabby Vai</v>
      </c>
      <c r="D803" s="92" t="str">
        <f ca="1">IFERROR(__xludf.DUMMYFUNCTION("""COMPUTED_VALUE"""),"Md Iasin Ahmed Showrov (S204960)")</f>
        <v>Md Iasin Ahmed Showrov (S204960)</v>
      </c>
      <c r="E803" s="93" t="str">
        <f ca="1">IFERROR(__xludf.DUMMYFUNCTION("""COMPUTED_VALUE"""),"CB35720_Jun26")</f>
        <v>CB35720_Jun26</v>
      </c>
      <c r="F803" s="94" t="str">
        <f ca="1">IFERROR(__xludf.DUMMYFUNCTION("""COMPUTED_VALUE"""),"Packaging Text Design #1")</f>
        <v>Packaging Text Design #1</v>
      </c>
      <c r="G803" s="95" t="str">
        <f ca="1">IFERROR(__xludf.DUMMYFUNCTION("""COMPUTED_VALUE"""),"New")</f>
        <v>New</v>
      </c>
      <c r="H803" s="96">
        <f ca="1">IFERROR(__xludf.DUMMYFUNCTION("""COMPUTED_VALUE"""),1)</f>
        <v>1</v>
      </c>
      <c r="I803" s="97">
        <f ca="1">IFERROR(__xludf.DUMMYFUNCTION("""COMPUTED_VALUE"""),46181)</f>
        <v>46181</v>
      </c>
      <c r="J803" s="98" t="str">
        <f ca="1">IFERROR(__xludf.DUMMYFUNCTION("""COMPUTED_VALUE"""),"CW35971_Jun26")</f>
        <v>CW35971_Jun26</v>
      </c>
      <c r="K803" s="99" t="str">
        <f ca="1">IFERROR(__xludf.DUMMYFUNCTION("""COMPUTED_VALUE"""),"HoM Approved")</f>
        <v>HoM Approved</v>
      </c>
    </row>
    <row r="804" spans="1:11" ht="13.2">
      <c r="A804" s="89" t="str">
        <f ca="1">IFERROR(__xludf.DUMMYFUNCTION("""COMPUTED_VALUE"""),"ALL TIME PEANUT COOKIES BISCUITS 45G")</f>
        <v>ALL TIME PEANUT COOKIES BISCUITS 45G</v>
      </c>
      <c r="B804" s="90" t="str">
        <f ca="1">IFERROR(__xludf.DUMMYFUNCTION("""COMPUTED_VALUE"""),"Philippines")</f>
        <v>Philippines</v>
      </c>
      <c r="C804" s="91" t="str">
        <f ca="1">IFERROR(__xludf.DUMMYFUNCTION("""COMPUTED_VALUE"""),"Rabby Vai")</f>
        <v>Rabby Vai</v>
      </c>
      <c r="D804" s="92" t="str">
        <f ca="1">IFERROR(__xludf.DUMMYFUNCTION("""COMPUTED_VALUE"""),"Md Iasin Ahmed Showrov (S204960)")</f>
        <v>Md Iasin Ahmed Showrov (S204960)</v>
      </c>
      <c r="E804" s="93" t="str">
        <f ca="1">IFERROR(__xludf.DUMMYFUNCTION("""COMPUTED_VALUE"""),"CB35721_Jun26")</f>
        <v>CB35721_Jun26</v>
      </c>
      <c r="F804" s="94" t="str">
        <f ca="1">IFERROR(__xludf.DUMMYFUNCTION("""COMPUTED_VALUE"""),"Packaging Text Design #1")</f>
        <v>Packaging Text Design #1</v>
      </c>
      <c r="G804" s="95" t="str">
        <f ca="1">IFERROR(__xludf.DUMMYFUNCTION("""COMPUTED_VALUE"""),"New")</f>
        <v>New</v>
      </c>
      <c r="H804" s="96">
        <f ca="1">IFERROR(__xludf.DUMMYFUNCTION("""COMPUTED_VALUE"""),1)</f>
        <v>1</v>
      </c>
      <c r="I804" s="97">
        <f ca="1">IFERROR(__xludf.DUMMYFUNCTION("""COMPUTED_VALUE"""),46181)</f>
        <v>46181</v>
      </c>
      <c r="J804" s="98" t="str">
        <f ca="1">IFERROR(__xludf.DUMMYFUNCTION("""COMPUTED_VALUE"""),"CW35972_Jun26_")</f>
        <v>CW35972_Jun26_</v>
      </c>
      <c r="K804" s="99" t="str">
        <f ca="1">IFERROR(__xludf.DUMMYFUNCTION("""COMPUTED_VALUE"""),"HoM Approved")</f>
        <v>HoM Approved</v>
      </c>
    </row>
    <row r="805" spans="1:11" ht="13.2">
      <c r="A805" s="89" t="str">
        <f ca="1">IFERROR(__xludf.DUMMYFUNCTION("""COMPUTED_VALUE"""),"ALL TIME COCONUT COOKIES BISCUITS 45G")</f>
        <v>ALL TIME COCONUT COOKIES BISCUITS 45G</v>
      </c>
      <c r="B805" s="90" t="str">
        <f ca="1">IFERROR(__xludf.DUMMYFUNCTION("""COMPUTED_VALUE"""),"Philippines")</f>
        <v>Philippines</v>
      </c>
      <c r="C805" s="91" t="str">
        <f ca="1">IFERROR(__xludf.DUMMYFUNCTION("""COMPUTED_VALUE"""),"Rabby Vai")</f>
        <v>Rabby Vai</v>
      </c>
      <c r="D805" s="92" t="str">
        <f ca="1">IFERROR(__xludf.DUMMYFUNCTION("""COMPUTED_VALUE"""),"Md Iasin Ahmed Showrov (S204960)")</f>
        <v>Md Iasin Ahmed Showrov (S204960)</v>
      </c>
      <c r="E805" s="93" t="str">
        <f ca="1">IFERROR(__xludf.DUMMYFUNCTION("""COMPUTED_VALUE"""),"CB35812_Jun26")</f>
        <v>CB35812_Jun26</v>
      </c>
      <c r="F805" s="94" t="str">
        <f ca="1">IFERROR(__xludf.DUMMYFUNCTION("""COMPUTED_VALUE"""),"Packaging Text Design #1")</f>
        <v>Packaging Text Design #1</v>
      </c>
      <c r="G805" s="95" t="str">
        <f ca="1">IFERROR(__xludf.DUMMYFUNCTION("""COMPUTED_VALUE"""),"New")</f>
        <v>New</v>
      </c>
      <c r="H805" s="96">
        <f ca="1">IFERROR(__xludf.DUMMYFUNCTION("""COMPUTED_VALUE"""),1)</f>
        <v>1</v>
      </c>
      <c r="I805" s="97">
        <f ca="1">IFERROR(__xludf.DUMMYFUNCTION("""COMPUTED_VALUE"""),46181)</f>
        <v>46181</v>
      </c>
      <c r="J805" s="98" t="str">
        <f ca="1">IFERROR(__xludf.DUMMYFUNCTION("""COMPUTED_VALUE"""),"CW35973_Jun26")</f>
        <v>CW35973_Jun26</v>
      </c>
      <c r="K805" s="99" t="str">
        <f ca="1">IFERROR(__xludf.DUMMYFUNCTION("""COMPUTED_VALUE"""),"HoM Approved")</f>
        <v>HoM Approved</v>
      </c>
    </row>
    <row r="806" spans="1:11" ht="13.2">
      <c r="A806" s="89" t="str">
        <f ca="1">IFERROR(__xludf.DUMMYFUNCTION("""COMPUTED_VALUE""")," CERTIFICATE CORRECTION ")</f>
        <v xml:space="preserve"> CERTIFICATE CORRECTION </v>
      </c>
      <c r="B806" s="90" t="str">
        <f ca="1">IFERROR(__xludf.DUMMYFUNCTION("""COMPUTED_VALUE"""),"Philippines")</f>
        <v>Philippines</v>
      </c>
      <c r="C806" s="91" t="str">
        <f ca="1">IFERROR(__xludf.DUMMYFUNCTION("""COMPUTED_VALUE"""),"Rabby Vai")</f>
        <v>Rabby Vai</v>
      </c>
      <c r="D806" s="92" t="str">
        <f ca="1">IFERROR(__xludf.DUMMYFUNCTION("""COMPUTED_VALUE"""),"Md Iasin Ahmed Showrov (S204960)")</f>
        <v>Md Iasin Ahmed Showrov (S204960)</v>
      </c>
      <c r="E806" s="93" t="str">
        <f ca="1">IFERROR(__xludf.DUMMYFUNCTION("""COMPUTED_VALUE"""),"CB35445_Jun26")</f>
        <v>CB35445_Jun26</v>
      </c>
      <c r="F806" s="94" t="str">
        <f ca="1">IFERROR(__xludf.DUMMYFUNCTION("""COMPUTED_VALUE"""),"Document Text Correction")</f>
        <v>Document Text Correction</v>
      </c>
      <c r="G806" s="95" t="str">
        <f ca="1">IFERROR(__xludf.DUMMYFUNCTION("""COMPUTED_VALUE"""),"New")</f>
        <v>New</v>
      </c>
      <c r="H806" s="96">
        <f ca="1">IFERROR(__xludf.DUMMYFUNCTION("""COMPUTED_VALUE"""),30)</f>
        <v>30</v>
      </c>
      <c r="I806" s="97">
        <f ca="1">IFERROR(__xludf.DUMMYFUNCTION("""COMPUTED_VALUE"""),46181)</f>
        <v>46181</v>
      </c>
      <c r="J806" s="98" t="str">
        <f ca="1">IFERROR(__xludf.DUMMYFUNCTION("""COMPUTED_VALUE"""),"CW35975_Jun26")</f>
        <v>CW35975_Jun26</v>
      </c>
      <c r="K806" s="99" t="str">
        <f ca="1">IFERROR(__xludf.DUMMYFUNCTION("""COMPUTED_VALUE"""),"HoM Approved")</f>
        <v>HoM Approved</v>
      </c>
    </row>
    <row r="807" spans="1:11" ht="13.2">
      <c r="A807" s="89" t="str">
        <f ca="1">IFERROR(__xludf.DUMMYFUNCTION("""COMPUTED_VALUE"""),"PREMIO CHOCO BUENO WHITE MILK WAFER 45G")</f>
        <v>PREMIO CHOCO BUENO WHITE MILK WAFER 45G</v>
      </c>
      <c r="B807" s="90" t="str">
        <f ca="1">IFERROR(__xludf.DUMMYFUNCTION("""COMPUTED_VALUE"""),"Philippines")</f>
        <v>Philippines</v>
      </c>
      <c r="C807" s="91" t="str">
        <f ca="1">IFERROR(__xludf.DUMMYFUNCTION("""COMPUTED_VALUE"""),"Farjana Apu")</f>
        <v>Farjana Apu</v>
      </c>
      <c r="D807" s="92" t="str">
        <f ca="1">IFERROR(__xludf.DUMMYFUNCTION("""COMPUTED_VALUE"""),"Md Iasin Ahmed Showrov (S204960)")</f>
        <v>Md Iasin Ahmed Showrov (S204960)</v>
      </c>
      <c r="E807" s="93" t="str">
        <f ca="1">IFERROR(__xludf.DUMMYFUNCTION("""COMPUTED_VALUE"""),"CB35587_Jun26")</f>
        <v>CB35587_Jun26</v>
      </c>
      <c r="F807" s="94" t="str">
        <f ca="1">IFERROR(__xludf.DUMMYFUNCTION("""COMPUTED_VALUE"""),"Packaging Text Design #1")</f>
        <v>Packaging Text Design #1</v>
      </c>
      <c r="G807" s="95" t="str">
        <f ca="1">IFERROR(__xludf.DUMMYFUNCTION("""COMPUTED_VALUE"""),"New")</f>
        <v>New</v>
      </c>
      <c r="H807" s="96">
        <f ca="1">IFERROR(__xludf.DUMMYFUNCTION("""COMPUTED_VALUE"""),1)</f>
        <v>1</v>
      </c>
      <c r="I807" s="97">
        <f ca="1">IFERROR(__xludf.DUMMYFUNCTION("""COMPUTED_VALUE"""),46181)</f>
        <v>46181</v>
      </c>
      <c r="J807" s="98" t="str">
        <f ca="1">IFERROR(__xludf.DUMMYFUNCTION("""COMPUTED_VALUE"""),"CW35979_Jun26")</f>
        <v>CW35979_Jun26</v>
      </c>
      <c r="K807" s="99" t="str">
        <f ca="1">IFERROR(__xludf.DUMMYFUNCTION("""COMPUTED_VALUE"""),"HoM Approved")</f>
        <v>HoM Approved</v>
      </c>
    </row>
    <row r="808" spans="1:11" ht="13.2">
      <c r="A808" s="89" t="str">
        <f ca="1">IFERROR(__xludf.DUMMYFUNCTION("""COMPUTED_VALUE"""),"CERTIFICATE CORRECTION ")</f>
        <v xml:space="preserve">CERTIFICATE CORRECTION </v>
      </c>
      <c r="B808" s="90" t="str">
        <f ca="1">IFERROR(__xludf.DUMMYFUNCTION("""COMPUTED_VALUE"""),"Philippines")</f>
        <v>Philippines</v>
      </c>
      <c r="C808" s="91" t="str">
        <f ca="1">IFERROR(__xludf.DUMMYFUNCTION("""COMPUTED_VALUE"""),"Rabby Vai")</f>
        <v>Rabby Vai</v>
      </c>
      <c r="D808" s="92" t="str">
        <f ca="1">IFERROR(__xludf.DUMMYFUNCTION("""COMPUTED_VALUE"""),"Md Iasin Ahmed Showrov (S204960)")</f>
        <v>Md Iasin Ahmed Showrov (S204960)</v>
      </c>
      <c r="E808" s="93" t="str">
        <f ca="1">IFERROR(__xludf.DUMMYFUNCTION("""COMPUTED_VALUE"""),"CB35713_Jun26")</f>
        <v>CB35713_Jun26</v>
      </c>
      <c r="F808" s="94" t="str">
        <f ca="1">IFERROR(__xludf.DUMMYFUNCTION("""COMPUTED_VALUE"""),"Document Text Correction")</f>
        <v>Document Text Correction</v>
      </c>
      <c r="G808" s="95" t="str">
        <f ca="1">IFERROR(__xludf.DUMMYFUNCTION("""COMPUTED_VALUE"""),"New")</f>
        <v>New</v>
      </c>
      <c r="H808" s="96">
        <f ca="1">IFERROR(__xludf.DUMMYFUNCTION("""COMPUTED_VALUE"""),21)</f>
        <v>21</v>
      </c>
      <c r="I808" s="97">
        <f ca="1">IFERROR(__xludf.DUMMYFUNCTION("""COMPUTED_VALUE"""),46181)</f>
        <v>46181</v>
      </c>
      <c r="J808" s="98" t="str">
        <f ca="1">IFERROR(__xludf.DUMMYFUNCTION("""COMPUTED_VALUE"""),"CW35980_Jun26")</f>
        <v>CW35980_Jun26</v>
      </c>
      <c r="K808" s="99" t="str">
        <f ca="1">IFERROR(__xludf.DUMMYFUNCTION("""COMPUTED_VALUE"""),"HoM Approved")</f>
        <v>HoM Approved</v>
      </c>
    </row>
    <row r="809" spans="1:11" ht="13.2">
      <c r="A809" s="89" t="str">
        <f ca="1">IFERROR(__xludf.DUMMYFUNCTION("""COMPUTED_VALUE"""),"ALL TIME CHOCO CHIPS COOKIES 45G")</f>
        <v>ALL TIME CHOCO CHIPS COOKIES 45G</v>
      </c>
      <c r="B809" s="90" t="str">
        <f ca="1">IFERROR(__xludf.DUMMYFUNCTION("""COMPUTED_VALUE"""),"Philippines")</f>
        <v>Philippines</v>
      </c>
      <c r="C809" s="91" t="str">
        <f ca="1">IFERROR(__xludf.DUMMYFUNCTION("""COMPUTED_VALUE"""),"Rabby Vai")</f>
        <v>Rabby Vai</v>
      </c>
      <c r="D809" s="92" t="str">
        <f ca="1">IFERROR(__xludf.DUMMYFUNCTION("""COMPUTED_VALUE"""),"Md Iasin Ahmed Showrov (S204960)")</f>
        <v>Md Iasin Ahmed Showrov (S204960)</v>
      </c>
      <c r="E809" s="93" t="str">
        <f ca="1">IFERROR(__xludf.DUMMYFUNCTION("""COMPUTED_VALUE"""),"CB35816_Jun26")</f>
        <v>CB35816_Jun26</v>
      </c>
      <c r="F809" s="94" t="str">
        <f ca="1">IFERROR(__xludf.DUMMYFUNCTION("""COMPUTED_VALUE"""),"Packaging Text Design #1")</f>
        <v>Packaging Text Design #1</v>
      </c>
      <c r="G809" s="95" t="str">
        <f ca="1">IFERROR(__xludf.DUMMYFUNCTION("""COMPUTED_VALUE"""),"New")</f>
        <v>New</v>
      </c>
      <c r="H809" s="96">
        <f ca="1">IFERROR(__xludf.DUMMYFUNCTION("""COMPUTED_VALUE"""),1)</f>
        <v>1</v>
      </c>
      <c r="I809" s="97">
        <f ca="1">IFERROR(__xludf.DUMMYFUNCTION("""COMPUTED_VALUE"""),46181)</f>
        <v>46181</v>
      </c>
      <c r="J809" s="98" t="str">
        <f ca="1">IFERROR(__xludf.DUMMYFUNCTION("""COMPUTED_VALUE"""),"CW35983_Jun26")</f>
        <v>CW35983_Jun26</v>
      </c>
      <c r="K809" s="99" t="str">
        <f ca="1">IFERROR(__xludf.DUMMYFUNCTION("""COMPUTED_VALUE"""),"HoM Approved")</f>
        <v>HoM Approved</v>
      </c>
    </row>
    <row r="810" spans="1:11" ht="13.2">
      <c r="A810" s="89" t="str">
        <f ca="1">IFERROR(__xludf.DUMMYFUNCTION("""COMPUTED_VALUE"""),"ALL TIME CHOCO CHIPS COOKIES 165G")</f>
        <v>ALL TIME CHOCO CHIPS COOKIES 165G</v>
      </c>
      <c r="B810" s="90" t="str">
        <f ca="1">IFERROR(__xludf.DUMMYFUNCTION("""COMPUTED_VALUE"""),"Philippines")</f>
        <v>Philippines</v>
      </c>
      <c r="C810" s="91" t="str">
        <f ca="1">IFERROR(__xludf.DUMMYFUNCTION("""COMPUTED_VALUE"""),"Rabby Vai")</f>
        <v>Rabby Vai</v>
      </c>
      <c r="D810" s="92" t="str">
        <f ca="1">IFERROR(__xludf.DUMMYFUNCTION("""COMPUTED_VALUE"""),"Md Iasin Ahmed Showrov (S204960)")</f>
        <v>Md Iasin Ahmed Showrov (S204960)</v>
      </c>
      <c r="E810" s="93" t="str">
        <f ca="1">IFERROR(__xludf.DUMMYFUNCTION("""COMPUTED_VALUE"""),"CB35814_Jun26")</f>
        <v>CB35814_Jun26</v>
      </c>
      <c r="F810" s="94" t="str">
        <f ca="1">IFERROR(__xludf.DUMMYFUNCTION("""COMPUTED_VALUE"""),"Packaging Text Design #1")</f>
        <v>Packaging Text Design #1</v>
      </c>
      <c r="G810" s="95" t="str">
        <f ca="1">IFERROR(__xludf.DUMMYFUNCTION("""COMPUTED_VALUE"""),"New")</f>
        <v>New</v>
      </c>
      <c r="H810" s="96">
        <f ca="1">IFERROR(__xludf.DUMMYFUNCTION("""COMPUTED_VALUE"""),1)</f>
        <v>1</v>
      </c>
      <c r="I810" s="97">
        <f ca="1">IFERROR(__xludf.DUMMYFUNCTION("""COMPUTED_VALUE"""),46181)</f>
        <v>46181</v>
      </c>
      <c r="J810" s="98" t="str">
        <f ca="1">IFERROR(__xludf.DUMMYFUNCTION("""COMPUTED_VALUE"""),"CW35984_Jun26")</f>
        <v>CW35984_Jun26</v>
      </c>
      <c r="K810" s="99" t="str">
        <f ca="1">IFERROR(__xludf.DUMMYFUNCTION("""COMPUTED_VALUE"""),"HoM Approved")</f>
        <v>HoM Approved</v>
      </c>
    </row>
    <row r="811" spans="1:11" ht="13.2">
      <c r="A811" s="89" t="str">
        <f ca="1">IFERROR(__xludf.DUMMYFUNCTION("""COMPUTED_VALUE"""),"Treat Cappuccino Candy 3.5g x 40 Pcs Pouch")</f>
        <v>Treat Cappuccino Candy 3.5g x 40 Pcs Pouch</v>
      </c>
      <c r="B811" s="90" t="str">
        <f ca="1">IFERROR(__xludf.DUMMYFUNCTION("""COMPUTED_VALUE"""),"PCL")</f>
        <v>PCL</v>
      </c>
      <c r="C811" s="91" t="str">
        <f ca="1">IFERROR(__xludf.DUMMYFUNCTION("""COMPUTED_VALUE"""),"Mona Apu")</f>
        <v>Mona Apu</v>
      </c>
      <c r="D811" s="92" t="str">
        <f ca="1">IFERROR(__xludf.DUMMYFUNCTION("""COMPUTED_VALUE"""),"Md Iasin Ahmed Showrov (S204960)")</f>
        <v>Md Iasin Ahmed Showrov (S204960)</v>
      </c>
      <c r="E811" s="93" t="str">
        <f ca="1">IFERROR(__xludf.DUMMYFUNCTION("""COMPUTED_VALUE"""),"CB13634_Dec25")</f>
        <v>CB13634_Dec25</v>
      </c>
      <c r="F811" s="94" t="str">
        <f ca="1">IFERROR(__xludf.DUMMYFUNCTION("""COMPUTED_VALUE"""),"Packaging Text Design #2")</f>
        <v>Packaging Text Design #2</v>
      </c>
      <c r="G811" s="95" t="str">
        <f ca="1">IFERROR(__xludf.DUMMYFUNCTION("""COMPUTED_VALUE"""),"Revision")</f>
        <v>Revision</v>
      </c>
      <c r="H811" s="96">
        <f ca="1">IFERROR(__xludf.DUMMYFUNCTION("""COMPUTED_VALUE"""),2)</f>
        <v>2</v>
      </c>
      <c r="I811" s="97">
        <f ca="1">IFERROR(__xludf.DUMMYFUNCTION("""COMPUTED_VALUE"""),46182)</f>
        <v>46182</v>
      </c>
      <c r="J811" s="98" t="str">
        <f ca="1">IFERROR(__xludf.DUMMYFUNCTION("""COMPUTED_VALUE"""),"CW36093_Jun26")</f>
        <v>CW36093_Jun26</v>
      </c>
      <c r="K811" s="99" t="str">
        <f ca="1">IFERROR(__xludf.DUMMYFUNCTION("""COMPUTED_VALUE"""),"HoM Approved")</f>
        <v>HoM Approved</v>
      </c>
    </row>
    <row r="812" spans="1:11" ht="13.2">
      <c r="A812" s="89" t="str">
        <f ca="1">IFERROR(__xludf.DUMMYFUNCTION("""COMPUTED_VALUE"""),"PRAN Nata Float 250ml")</f>
        <v>PRAN Nata Float 250ml</v>
      </c>
      <c r="B812" s="90" t="str">
        <f ca="1">IFERROR(__xludf.DUMMYFUNCTION("""COMPUTED_VALUE"""),"USA &amp; Europe")</f>
        <v>USA &amp; Europe</v>
      </c>
      <c r="C812" s="91" t="str">
        <f ca="1">IFERROR(__xludf.DUMMYFUNCTION("""COMPUTED_VALUE"""),"Saifullah Vai")</f>
        <v>Saifullah Vai</v>
      </c>
      <c r="D812" s="92" t="str">
        <f ca="1">IFERROR(__xludf.DUMMYFUNCTION("""COMPUTED_VALUE"""),"Md Iasin Ahmed Showrov (S204960)")</f>
        <v>Md Iasin Ahmed Showrov (S204960)</v>
      </c>
      <c r="E812" s="93" t="str">
        <f ca="1">IFERROR(__xludf.DUMMYFUNCTION("""COMPUTED_VALUE"""),"CB23037_May26")</f>
        <v>CB23037_May26</v>
      </c>
      <c r="F812" s="94" t="str">
        <f ca="1">IFERROR(__xludf.DUMMYFUNCTION("""COMPUTED_VALUE"""),"Packaging Text Design #2")</f>
        <v>Packaging Text Design #2</v>
      </c>
      <c r="G812" s="95" t="str">
        <f ca="1">IFERROR(__xludf.DUMMYFUNCTION("""COMPUTED_VALUE"""),"Revision")</f>
        <v>Revision</v>
      </c>
      <c r="H812" s="96">
        <f ca="1">IFERROR(__xludf.DUMMYFUNCTION("""COMPUTED_VALUE"""),4)</f>
        <v>4</v>
      </c>
      <c r="I812" s="97">
        <f ca="1">IFERROR(__xludf.DUMMYFUNCTION("""COMPUTED_VALUE"""),46182)</f>
        <v>46182</v>
      </c>
      <c r="J812" s="98" t="str">
        <f ca="1">IFERROR(__xludf.DUMMYFUNCTION("""COMPUTED_VALUE"""),"CW36095_Jun26")</f>
        <v>CW36095_Jun26</v>
      </c>
      <c r="K812" s="99" t="str">
        <f ca="1">IFERROR(__xludf.DUMMYFUNCTION("""COMPUTED_VALUE"""),"HoM Approved")</f>
        <v>HoM Approved</v>
      </c>
    </row>
    <row r="813" spans="1:11" ht="13.2">
      <c r="A813" s="89" t="str">
        <f ca="1">IFERROR(__xludf.DUMMYFUNCTION("""COMPUTED_VALUE"""),"Bro puffy text corrections - Blister pack ")</f>
        <v xml:space="preserve">Bro puffy text corrections - Blister pack </v>
      </c>
      <c r="B813" s="90" t="str">
        <f ca="1">IFERROR(__xludf.DUMMYFUNCTION("""COMPUTED_VALUE"""),"PAL")</f>
        <v>PAL</v>
      </c>
      <c r="C813" s="91" t="str">
        <f ca="1">IFERROR(__xludf.DUMMYFUNCTION("""COMPUTED_VALUE"""),"Anika Apu")</f>
        <v>Anika Apu</v>
      </c>
      <c r="D813" s="92" t="str">
        <f ca="1">IFERROR(__xludf.DUMMYFUNCTION("""COMPUTED_VALUE"""),"Md Iasin Ahmed Showrov (S204960)")</f>
        <v>Md Iasin Ahmed Showrov (S204960)</v>
      </c>
      <c r="E813" s="93" t="str">
        <f ca="1">IFERROR(__xludf.DUMMYFUNCTION("""COMPUTED_VALUE"""),"CB36062_Jun26")</f>
        <v>CB36062_Jun26</v>
      </c>
      <c r="F813" s="94" t="str">
        <f ca="1">IFERROR(__xludf.DUMMYFUNCTION("""COMPUTED_VALUE"""),"Packaging Text Design #1")</f>
        <v>Packaging Text Design #1</v>
      </c>
      <c r="G813" s="95" t="str">
        <f ca="1">IFERROR(__xludf.DUMMYFUNCTION("""COMPUTED_VALUE"""),"New")</f>
        <v>New</v>
      </c>
      <c r="H813" s="96">
        <f ca="1">IFERROR(__xludf.DUMMYFUNCTION("""COMPUTED_VALUE"""),2)</f>
        <v>2</v>
      </c>
      <c r="I813" s="97">
        <f ca="1">IFERROR(__xludf.DUMMYFUNCTION("""COMPUTED_VALUE"""),46183)</f>
        <v>46183</v>
      </c>
      <c r="J813" s="98" t="str">
        <f ca="1">IFERROR(__xludf.DUMMYFUNCTION("""COMPUTED_VALUE"""),"CW36221_Jun26")</f>
        <v>CW36221_Jun26</v>
      </c>
      <c r="K813" s="99" t="str">
        <f ca="1">IFERROR(__xludf.DUMMYFUNCTION("""COMPUTED_VALUE"""),"HoM Approved")</f>
        <v>HoM Approved</v>
      </c>
    </row>
    <row r="814" spans="1:11" ht="13.2">
      <c r="A814" s="89" t="str">
        <f ca="1">IFERROR(__xludf.DUMMYFUNCTION("""COMPUTED_VALUE"""),"Tropical Drinks ")</f>
        <v xml:space="preserve">Tropical Drinks </v>
      </c>
      <c r="B814" s="90" t="str">
        <f ca="1">IFERROR(__xludf.DUMMYFUNCTION("""COMPUTED_VALUE"""),"USA &amp; Europe")</f>
        <v>USA &amp; Europe</v>
      </c>
      <c r="C814" s="91" t="str">
        <f ca="1">IFERROR(__xludf.DUMMYFUNCTION("""COMPUTED_VALUE"""),"Saifullah Vai")</f>
        <v>Saifullah Vai</v>
      </c>
      <c r="D814" s="92" t="str">
        <f ca="1">IFERROR(__xludf.DUMMYFUNCTION("""COMPUTED_VALUE"""),"Md Iasin Ahmed Showrov (S204960)")</f>
        <v>Md Iasin Ahmed Showrov (S204960)</v>
      </c>
      <c r="E814" s="93" t="str">
        <f ca="1">IFERROR(__xludf.DUMMYFUNCTION("""COMPUTED_VALUE"""),"CB36115_Jun26")</f>
        <v>CB36115_Jun26</v>
      </c>
      <c r="F814" s="94" t="str">
        <f ca="1">IFERROR(__xludf.DUMMYFUNCTION("""COMPUTED_VALUE"""),"Black Cylinder Output")</f>
        <v>Black Cylinder Output</v>
      </c>
      <c r="G814" s="95" t="str">
        <f ca="1">IFERROR(__xludf.DUMMYFUNCTION("""COMPUTED_VALUE"""),"New")</f>
        <v>New</v>
      </c>
      <c r="H814" s="96">
        <f ca="1">IFERROR(__xludf.DUMMYFUNCTION("""COMPUTED_VALUE"""),4)</f>
        <v>4</v>
      </c>
      <c r="I814" s="97">
        <f ca="1">IFERROR(__xludf.DUMMYFUNCTION("""COMPUTED_VALUE"""),46183)</f>
        <v>46183</v>
      </c>
      <c r="J814" s="98" t="str">
        <f ca="1">IFERROR(__xludf.DUMMYFUNCTION("""COMPUTED_VALUE"""),"CW36219_Jun26")</f>
        <v>CW36219_Jun26</v>
      </c>
      <c r="K814" s="99" t="str">
        <f ca="1">IFERROR(__xludf.DUMMYFUNCTION("""COMPUTED_VALUE"""),"HoM Approved")</f>
        <v>HoM Approved</v>
      </c>
    </row>
    <row r="815" spans="1:11" ht="13.2">
      <c r="A815" s="89" t="str">
        <f ca="1">IFERROR(__xludf.DUMMYFUNCTION("""COMPUTED_VALUE"""),"PCL - Treat Chocolate")</f>
        <v>PCL - Treat Chocolate</v>
      </c>
      <c r="B815" s="90" t="str">
        <f ca="1">IFERROR(__xludf.DUMMYFUNCTION("""COMPUTED_VALUE"""),"PCL")</f>
        <v>PCL</v>
      </c>
      <c r="C815" s="91" t="str">
        <f ca="1">IFERROR(__xludf.DUMMYFUNCTION("""COMPUTED_VALUE"""),"Mona Apu")</f>
        <v>Mona Apu</v>
      </c>
      <c r="D815" s="92" t="str">
        <f ca="1">IFERROR(__xludf.DUMMYFUNCTION("""COMPUTED_VALUE"""),"Md Iasin Ahmed Showrov (S204960)")</f>
        <v>Md Iasin Ahmed Showrov (S204960)</v>
      </c>
      <c r="E815" s="93" t="str">
        <f ca="1">IFERROR(__xludf.DUMMYFUNCTION("""COMPUTED_VALUE"""),"CB36216_Jun26")</f>
        <v>CB36216_Jun26</v>
      </c>
      <c r="F815" s="94" t="str">
        <f ca="1">IFERROR(__xludf.DUMMYFUNCTION("""COMPUTED_VALUE"""),"Packaging Text Design #2")</f>
        <v>Packaging Text Design #2</v>
      </c>
      <c r="G815" s="95" t="str">
        <f ca="1">IFERROR(__xludf.DUMMYFUNCTION("""COMPUTED_VALUE"""),"New")</f>
        <v>New</v>
      </c>
      <c r="H815" s="96">
        <f ca="1">IFERROR(__xludf.DUMMYFUNCTION("""COMPUTED_VALUE"""),3)</f>
        <v>3</v>
      </c>
      <c r="I815" s="97">
        <f ca="1">IFERROR(__xludf.DUMMYFUNCTION("""COMPUTED_VALUE"""),46202)</f>
        <v>46202</v>
      </c>
      <c r="J815" s="98" t="str">
        <f ca="1">IFERROR(__xludf.DUMMYFUNCTION("""COMPUTED_VALUE"""),"CW38284_Jun26")</f>
        <v>CW38284_Jun26</v>
      </c>
      <c r="K815" s="99" t="str">
        <f ca="1">IFERROR(__xludf.DUMMYFUNCTION("""COMPUTED_VALUE"""),"Brief Submitted")</f>
        <v>Brief Submitted</v>
      </c>
    </row>
    <row r="816" spans="1:11" ht="13.2">
      <c r="A816" s="89" t="str">
        <f ca="1">IFERROR(__xludf.DUMMYFUNCTION("""COMPUTED_VALUE"""),"Treat Milk Candy")</f>
        <v>Treat Milk Candy</v>
      </c>
      <c r="B816" s="90" t="str">
        <f ca="1">IFERROR(__xludf.DUMMYFUNCTION("""COMPUTED_VALUE"""),"PCL")</f>
        <v>PCL</v>
      </c>
      <c r="C816" s="91" t="str">
        <f ca="1">IFERROR(__xludf.DUMMYFUNCTION("""COMPUTED_VALUE"""),"Mona Apu")</f>
        <v>Mona Apu</v>
      </c>
      <c r="D816" s="92" t="str">
        <f ca="1">IFERROR(__xludf.DUMMYFUNCTION("""COMPUTED_VALUE"""),"Md Iasin Ahmed Showrov (S204960)")</f>
        <v>Md Iasin Ahmed Showrov (S204960)</v>
      </c>
      <c r="E816" s="93" t="str">
        <f ca="1">IFERROR(__xludf.DUMMYFUNCTION("""COMPUTED_VALUE"""),"CB36219_Jun26")</f>
        <v>CB36219_Jun26</v>
      </c>
      <c r="F816" s="94" t="str">
        <f ca="1">IFERROR(__xludf.DUMMYFUNCTION("""COMPUTED_VALUE"""),"Packaging Text Design #2")</f>
        <v>Packaging Text Design #2</v>
      </c>
      <c r="G816" s="95" t="str">
        <f ca="1">IFERROR(__xludf.DUMMYFUNCTION("""COMPUTED_VALUE"""),"New")</f>
        <v>New</v>
      </c>
      <c r="H816" s="96">
        <f ca="1">IFERROR(__xludf.DUMMYFUNCTION("""COMPUTED_VALUE"""),2)</f>
        <v>2</v>
      </c>
      <c r="I816" s="97"/>
      <c r="J816" s="98" t="str">
        <f ca="1">IFERROR(__xludf.DUMMYFUNCTION("""COMPUTED_VALUE"""),"Unknown")</f>
        <v>Unknown</v>
      </c>
      <c r="K816" s="99" t="str">
        <f ca="1">IFERROR(__xludf.DUMMYFUNCTION("""COMPUTED_VALUE"""),"Running")</f>
        <v>Running</v>
      </c>
    </row>
    <row r="817" spans="1:11" ht="13.2">
      <c r="A817" s="89" t="str">
        <f ca="1">IFERROR(__xludf.DUMMYFUNCTION("""COMPUTED_VALUE"""),"Treat Coco Cup 10g x 20 Pcs Pouch")</f>
        <v>Treat Coco Cup 10g x 20 Pcs Pouch</v>
      </c>
      <c r="B817" s="90" t="str">
        <f ca="1">IFERROR(__xludf.DUMMYFUNCTION("""COMPUTED_VALUE"""),"PCL")</f>
        <v>PCL</v>
      </c>
      <c r="C817" s="91" t="str">
        <f ca="1">IFERROR(__xludf.DUMMYFUNCTION("""COMPUTED_VALUE"""),"Mona Apu")</f>
        <v>Mona Apu</v>
      </c>
      <c r="D817" s="92" t="str">
        <f ca="1">IFERROR(__xludf.DUMMYFUNCTION("""COMPUTED_VALUE"""),"Md Iasin Ahmed Showrov (S204960)")</f>
        <v>Md Iasin Ahmed Showrov (S204960)</v>
      </c>
      <c r="E817" s="93" t="str">
        <f ca="1">IFERROR(__xludf.DUMMYFUNCTION("""COMPUTED_VALUE"""),"CB36221_Jun26")</f>
        <v>CB36221_Jun26</v>
      </c>
      <c r="F817" s="94" t="str">
        <f ca="1">IFERROR(__xludf.DUMMYFUNCTION("""COMPUTED_VALUE"""),"Packaging Text Design #2")</f>
        <v>Packaging Text Design #2</v>
      </c>
      <c r="G817" s="95" t="str">
        <f ca="1">IFERROR(__xludf.DUMMYFUNCTION("""COMPUTED_VALUE"""),"New")</f>
        <v>New</v>
      </c>
      <c r="H817" s="96">
        <f ca="1">IFERROR(__xludf.DUMMYFUNCTION("""COMPUTED_VALUE"""),2)</f>
        <v>2</v>
      </c>
      <c r="I817" s="97">
        <f ca="1">IFERROR(__xludf.DUMMYFUNCTION("""COMPUTED_VALUE"""),46205)</f>
        <v>46205</v>
      </c>
      <c r="J817" s="98" t="str">
        <f ca="1">IFERROR(__xludf.DUMMYFUNCTION("""COMPUTED_VALUE"""),"CW38991_Jul26")</f>
        <v>CW38991_Jul26</v>
      </c>
      <c r="K817" s="99" t="str">
        <f ca="1">IFERROR(__xludf.DUMMYFUNCTION("""COMPUTED_VALUE"""),"Brief Submitted")</f>
        <v>Brief Submitted</v>
      </c>
    </row>
    <row r="818" spans="1:11" ht="13.2">
      <c r="A818" s="89" t="str">
        <f ca="1">IFERROR(__xludf.DUMMYFUNCTION("""COMPUTED_VALUE"""),"Text correction of lollipop 16g x 48 pcs")</f>
        <v>Text correction of lollipop 16g x 48 pcs</v>
      </c>
      <c r="B818" s="90" t="str">
        <f ca="1">IFERROR(__xludf.DUMMYFUNCTION("""COMPUTED_VALUE"""),"PCL")</f>
        <v>PCL</v>
      </c>
      <c r="C818" s="91" t="str">
        <f ca="1">IFERROR(__xludf.DUMMYFUNCTION("""COMPUTED_VALUE"""),"Shamsul Sir")</f>
        <v>Shamsul Sir</v>
      </c>
      <c r="D818" s="92" t="str">
        <f ca="1">IFERROR(__xludf.DUMMYFUNCTION("""COMPUTED_VALUE"""),"Md Iasin Ahmed Showrov (S204960)")</f>
        <v>Md Iasin Ahmed Showrov (S204960)</v>
      </c>
      <c r="E818" s="93" t="str">
        <f ca="1">IFERROR(__xludf.DUMMYFUNCTION("""COMPUTED_VALUE"""),"CB36220_Jun26")</f>
        <v>CB36220_Jun26</v>
      </c>
      <c r="F818" s="94" t="str">
        <f ca="1">IFERROR(__xludf.DUMMYFUNCTION("""COMPUTED_VALUE"""),"Packaging Text Design #2")</f>
        <v>Packaging Text Design #2</v>
      </c>
      <c r="G818" s="95" t="str">
        <f ca="1">IFERROR(__xludf.DUMMYFUNCTION("""COMPUTED_VALUE"""),"New")</f>
        <v>New</v>
      </c>
      <c r="H818" s="96">
        <f ca="1">IFERROR(__xludf.DUMMYFUNCTION("""COMPUTED_VALUE"""),4)</f>
        <v>4</v>
      </c>
      <c r="I818" s="97">
        <f ca="1">IFERROR(__xludf.DUMMYFUNCTION("""COMPUTED_VALUE"""),46188)</f>
        <v>46188</v>
      </c>
      <c r="J818" s="98" t="str">
        <f ca="1">IFERROR(__xludf.DUMMYFUNCTION("""COMPUTED_VALUE"""),"CW36629_Jun26")</f>
        <v>CW36629_Jun26</v>
      </c>
      <c r="K818" s="99" t="str">
        <f ca="1">IFERROR(__xludf.DUMMYFUNCTION("""COMPUTED_VALUE"""),"HoM Approved")</f>
        <v>HoM Approved</v>
      </c>
    </row>
    <row r="819" spans="1:11" ht="13.2">
      <c r="A819" s="89" t="str">
        <f ca="1">IFERROR(__xludf.DUMMYFUNCTION("""COMPUTED_VALUE"""),"KOFI HOUSE BROWN 3 IN 1 27.5G")</f>
        <v>KOFI HOUSE BROWN 3 IN 1 27.5G</v>
      </c>
      <c r="B819" s="90" t="str">
        <f ca="1">IFERROR(__xludf.DUMMYFUNCTION("""COMPUTED_VALUE"""),"PAL")</f>
        <v>PAL</v>
      </c>
      <c r="C819" s="91" t="str">
        <f ca="1">IFERROR(__xludf.DUMMYFUNCTION("""COMPUTED_VALUE"""),"Rabby Vai")</f>
        <v>Rabby Vai</v>
      </c>
      <c r="D819" s="92" t="str">
        <f ca="1">IFERROR(__xludf.DUMMYFUNCTION("""COMPUTED_VALUE"""),"Md Iasin Ahmed Showrov (S204960)")</f>
        <v>Md Iasin Ahmed Showrov (S204960)</v>
      </c>
      <c r="E819" s="93" t="str">
        <f ca="1">IFERROR(__xludf.DUMMYFUNCTION("""COMPUTED_VALUE"""),"CB36144_Jun26")</f>
        <v>CB36144_Jun26</v>
      </c>
      <c r="F819" s="94" t="str">
        <f ca="1">IFERROR(__xludf.DUMMYFUNCTION("""COMPUTED_VALUE"""),"Packaging Text Design #1")</f>
        <v>Packaging Text Design #1</v>
      </c>
      <c r="G819" s="95" t="str">
        <f ca="1">IFERROR(__xludf.DUMMYFUNCTION("""COMPUTED_VALUE"""),"New")</f>
        <v>New</v>
      </c>
      <c r="H819" s="96">
        <f ca="1">IFERROR(__xludf.DUMMYFUNCTION("""COMPUTED_VALUE"""),1)</f>
        <v>1</v>
      </c>
      <c r="I819" s="97">
        <f ca="1">IFERROR(__xludf.DUMMYFUNCTION("""COMPUTED_VALUE"""),46188)</f>
        <v>46188</v>
      </c>
      <c r="J819" s="98" t="str">
        <f ca="1">IFERROR(__xludf.DUMMYFUNCTION("""COMPUTED_VALUE"""),"CW36622_Jun26")</f>
        <v>CW36622_Jun26</v>
      </c>
      <c r="K819" s="99" t="str">
        <f ca="1">IFERROR(__xludf.DUMMYFUNCTION("""COMPUTED_VALUE"""),"HoM Approved")</f>
        <v>HoM Approved</v>
      </c>
    </row>
    <row r="820" spans="1:11" ht="13.2">
      <c r="A820" s="89" t="str">
        <f ca="1">IFERROR(__xludf.DUMMYFUNCTION("""COMPUTED_VALUE"""),"PRAN SIPA (5 FLAVORED) FRUIT DRINK 250ML")</f>
        <v>PRAN SIPA (5 FLAVORED) FRUIT DRINK 250ML</v>
      </c>
      <c r="B820" s="90" t="str">
        <f ca="1">IFERROR(__xludf.DUMMYFUNCTION("""COMPUTED_VALUE"""),"PAL")</f>
        <v>PAL</v>
      </c>
      <c r="C820" s="91" t="str">
        <f ca="1">IFERROR(__xludf.DUMMYFUNCTION("""COMPUTED_VALUE"""),"Farjana Apu")</f>
        <v>Farjana Apu</v>
      </c>
      <c r="D820" s="92" t="str">
        <f ca="1">IFERROR(__xludf.DUMMYFUNCTION("""COMPUTED_VALUE"""),"Md Iasin Ahmed Showrov (S204960)")</f>
        <v>Md Iasin Ahmed Showrov (S204960)</v>
      </c>
      <c r="E820" s="93" t="str">
        <f ca="1">IFERROR(__xludf.DUMMYFUNCTION("""COMPUTED_VALUE"""),"CB36128_Jun26")</f>
        <v>CB36128_Jun26</v>
      </c>
      <c r="F820" s="94" t="str">
        <f ca="1">IFERROR(__xludf.DUMMYFUNCTION("""COMPUTED_VALUE"""),"Packaging Text Design #1")</f>
        <v>Packaging Text Design #1</v>
      </c>
      <c r="G820" s="95" t="str">
        <f ca="1">IFERROR(__xludf.DUMMYFUNCTION("""COMPUTED_VALUE"""),"New")</f>
        <v>New</v>
      </c>
      <c r="H820" s="96">
        <f ca="1">IFERROR(__xludf.DUMMYFUNCTION("""COMPUTED_VALUE"""),3)</f>
        <v>3</v>
      </c>
      <c r="I820" s="97">
        <f ca="1">IFERROR(__xludf.DUMMYFUNCTION("""COMPUTED_VALUE"""),46188)</f>
        <v>46188</v>
      </c>
      <c r="J820" s="98" t="str">
        <f ca="1">IFERROR(__xludf.DUMMYFUNCTION("""COMPUTED_VALUE"""),"CW36621_Jun26")</f>
        <v>CW36621_Jun26</v>
      </c>
      <c r="K820" s="99" t="str">
        <f ca="1">IFERROR(__xludf.DUMMYFUNCTION("""COMPUTED_VALUE"""),"HoM Approved")</f>
        <v>HoM Approved</v>
      </c>
    </row>
    <row r="821" spans="1:11" ht="13.2">
      <c r="A821" s="89" t="str">
        <f ca="1">IFERROR(__xludf.DUMMYFUNCTION("""COMPUTED_VALUE"""),"KANDY MAN ASSORTED ÉCLAIR (ASSORTED FLAVORED ÉCLAIR) 160G")</f>
        <v>KANDY MAN ASSORTED ÉCLAIR (ASSORTED FLAVORED ÉCLAIR) 160G</v>
      </c>
      <c r="B821" s="90" t="str">
        <f ca="1">IFERROR(__xludf.DUMMYFUNCTION("""COMPUTED_VALUE"""),"PAL")</f>
        <v>PAL</v>
      </c>
      <c r="C821" s="91" t="str">
        <f ca="1">IFERROR(__xludf.DUMMYFUNCTION("""COMPUTED_VALUE"""),"Farjana Apu")</f>
        <v>Farjana Apu</v>
      </c>
      <c r="D821" s="92" t="str">
        <f ca="1">IFERROR(__xludf.DUMMYFUNCTION("""COMPUTED_VALUE"""),"Md Iasin Ahmed Showrov (S204960)")</f>
        <v>Md Iasin Ahmed Showrov (S204960)</v>
      </c>
      <c r="E821" s="93" t="str">
        <f ca="1">IFERROR(__xludf.DUMMYFUNCTION("""COMPUTED_VALUE"""),"CB36288_Jun26")</f>
        <v>CB36288_Jun26</v>
      </c>
      <c r="F821" s="94" t="str">
        <f ca="1">IFERROR(__xludf.DUMMYFUNCTION("""COMPUTED_VALUE"""),"Packaging Text Design #1")</f>
        <v>Packaging Text Design #1</v>
      </c>
      <c r="G821" s="95" t="str">
        <f ca="1">IFERROR(__xludf.DUMMYFUNCTION("""COMPUTED_VALUE"""),"New")</f>
        <v>New</v>
      </c>
      <c r="H821" s="96">
        <f ca="1">IFERROR(__xludf.DUMMYFUNCTION("""COMPUTED_VALUE"""),1)</f>
        <v>1</v>
      </c>
      <c r="I821" s="97">
        <f ca="1">IFERROR(__xludf.DUMMYFUNCTION("""COMPUTED_VALUE"""),46188)</f>
        <v>46188</v>
      </c>
      <c r="J821" s="98" t="str">
        <f ca="1">IFERROR(__xludf.DUMMYFUNCTION("""COMPUTED_VALUE"""),"CW36620_Jun26")</f>
        <v>CW36620_Jun26</v>
      </c>
      <c r="K821" s="99" t="str">
        <f ca="1">IFERROR(__xludf.DUMMYFUNCTION("""COMPUTED_VALUE"""),"HoM Approved")</f>
        <v>HoM Approved</v>
      </c>
    </row>
    <row r="822" spans="1:11" ht="13.2">
      <c r="A822" s="89" t="str">
        <f ca="1">IFERROR(__xludf.DUMMYFUNCTION("""COMPUTED_VALUE"""),"KOFI HOUSE BLACK 3 IN 1 30G")</f>
        <v>KOFI HOUSE BLACK 3 IN 1 30G</v>
      </c>
      <c r="B822" s="90" t="str">
        <f ca="1">IFERROR(__xludf.DUMMYFUNCTION("""COMPUTED_VALUE"""),"PAL")</f>
        <v>PAL</v>
      </c>
      <c r="C822" s="91" t="str">
        <f ca="1">IFERROR(__xludf.DUMMYFUNCTION("""COMPUTED_VALUE"""),"Rabby Vai")</f>
        <v>Rabby Vai</v>
      </c>
      <c r="D822" s="92" t="str">
        <f ca="1">IFERROR(__xludf.DUMMYFUNCTION("""COMPUTED_VALUE"""),"Md Iasin Ahmed Showrov (S204960)")</f>
        <v>Md Iasin Ahmed Showrov (S204960)</v>
      </c>
      <c r="E822" s="93" t="str">
        <f ca="1">IFERROR(__xludf.DUMMYFUNCTION("""COMPUTED_VALUE"""),"CB36145_Jun26")</f>
        <v>CB36145_Jun26</v>
      </c>
      <c r="F822" s="94" t="str">
        <f ca="1">IFERROR(__xludf.DUMMYFUNCTION("""COMPUTED_VALUE"""),"Packaging Text Design #1")</f>
        <v>Packaging Text Design #1</v>
      </c>
      <c r="G822" s="95" t="str">
        <f ca="1">IFERROR(__xludf.DUMMYFUNCTION("""COMPUTED_VALUE"""),"New")</f>
        <v>New</v>
      </c>
      <c r="H822" s="96">
        <f ca="1">IFERROR(__xludf.DUMMYFUNCTION("""COMPUTED_VALUE"""),1)</f>
        <v>1</v>
      </c>
      <c r="I822" s="97">
        <f ca="1">IFERROR(__xludf.DUMMYFUNCTION("""COMPUTED_VALUE"""),46188)</f>
        <v>46188</v>
      </c>
      <c r="J822" s="98" t="str">
        <f ca="1">IFERROR(__xludf.DUMMYFUNCTION("""COMPUTED_VALUE"""),"CW36618_Jun26")</f>
        <v>CW36618_Jun26</v>
      </c>
      <c r="K822" s="99" t="str">
        <f ca="1">IFERROR(__xludf.DUMMYFUNCTION("""COMPUTED_VALUE"""),"HoM Approved")</f>
        <v>HoM Approved</v>
      </c>
    </row>
    <row r="823" spans="1:11" ht="13.2">
      <c r="A823" s="89" t="str">
        <f ca="1">IFERROR(__xludf.DUMMYFUNCTION("""COMPUTED_VALUE"""),"PRAN ORANGE JELLY 8G")</f>
        <v>PRAN ORANGE JELLY 8G</v>
      </c>
      <c r="B823" s="90" t="str">
        <f ca="1">IFERROR(__xludf.DUMMYFUNCTION("""COMPUTED_VALUE"""),"PAL")</f>
        <v>PAL</v>
      </c>
      <c r="C823" s="91" t="str">
        <f ca="1">IFERROR(__xludf.DUMMYFUNCTION("""COMPUTED_VALUE"""),"Farjana Apu")</f>
        <v>Farjana Apu</v>
      </c>
      <c r="D823" s="92" t="str">
        <f ca="1">IFERROR(__xludf.DUMMYFUNCTION("""COMPUTED_VALUE"""),"Md Iasin Ahmed Showrov (S204960)")</f>
        <v>Md Iasin Ahmed Showrov (S204960)</v>
      </c>
      <c r="E823" s="93" t="str">
        <f ca="1">IFERROR(__xludf.DUMMYFUNCTION("""COMPUTED_VALUE"""),"CB36386_Jun26")</f>
        <v>CB36386_Jun26</v>
      </c>
      <c r="F823" s="94" t="str">
        <f ca="1">IFERROR(__xludf.DUMMYFUNCTION("""COMPUTED_VALUE"""),"Packaging Text Design #1")</f>
        <v>Packaging Text Design #1</v>
      </c>
      <c r="G823" s="95" t="str">
        <f ca="1">IFERROR(__xludf.DUMMYFUNCTION("""COMPUTED_VALUE"""),"New")</f>
        <v>New</v>
      </c>
      <c r="H823" s="96">
        <f ca="1">IFERROR(__xludf.DUMMYFUNCTION("""COMPUTED_VALUE"""),1)</f>
        <v>1</v>
      </c>
      <c r="I823" s="97">
        <f ca="1">IFERROR(__xludf.DUMMYFUNCTION("""COMPUTED_VALUE"""),46188)</f>
        <v>46188</v>
      </c>
      <c r="J823" s="98" t="str">
        <f ca="1">IFERROR(__xludf.DUMMYFUNCTION("""COMPUTED_VALUE"""),"CW36617_Jun26")</f>
        <v>CW36617_Jun26</v>
      </c>
      <c r="K823" s="99" t="str">
        <f ca="1">IFERROR(__xludf.DUMMYFUNCTION("""COMPUTED_VALUE"""),"HoM Approved")</f>
        <v>HoM Approved</v>
      </c>
    </row>
    <row r="824" spans="1:11" ht="13.2">
      <c r="A824" s="89" t="str">
        <f ca="1">IFERROR(__xludf.DUMMYFUNCTION("""COMPUTED_VALUE"""),"MOO JOY GREEN APPLE FLAVORED MILK ADDED DRINK 80ML")</f>
        <v>MOO JOY GREEN APPLE FLAVORED MILK ADDED DRINK 80ML</v>
      </c>
      <c r="B824" s="90" t="str">
        <f ca="1">IFERROR(__xludf.DUMMYFUNCTION("""COMPUTED_VALUE"""),"PBL")</f>
        <v>PBL</v>
      </c>
      <c r="C824" s="91" t="str">
        <f ca="1">IFERROR(__xludf.DUMMYFUNCTION("""COMPUTED_VALUE"""),"Saema Apu")</f>
        <v>Saema Apu</v>
      </c>
      <c r="D824" s="92" t="str">
        <f ca="1">IFERROR(__xludf.DUMMYFUNCTION("""COMPUTED_VALUE"""),"Md Iasin Ahmed Showrov (S204960)")</f>
        <v>Md Iasin Ahmed Showrov (S204960)</v>
      </c>
      <c r="E824" s="93" t="str">
        <f ca="1">IFERROR(__xludf.DUMMYFUNCTION("""COMPUTED_VALUE"""),"CB23972_May26")</f>
        <v>CB23972_May26</v>
      </c>
      <c r="F824" s="94" t="str">
        <f ca="1">IFERROR(__xludf.DUMMYFUNCTION("""COMPUTED_VALUE"""),"Packaging Text Design #2")</f>
        <v>Packaging Text Design #2</v>
      </c>
      <c r="G824" s="95" t="str">
        <f ca="1">IFERROR(__xludf.DUMMYFUNCTION("""COMPUTED_VALUE"""),"New")</f>
        <v>New</v>
      </c>
      <c r="H824" s="96">
        <f ca="1">IFERROR(__xludf.DUMMYFUNCTION("""COMPUTED_VALUE"""),1)</f>
        <v>1</v>
      </c>
      <c r="I824" s="97">
        <f ca="1">IFERROR(__xludf.DUMMYFUNCTION("""COMPUTED_VALUE"""),46188)</f>
        <v>46188</v>
      </c>
      <c r="J824" s="98" t="str">
        <f ca="1">IFERROR(__xludf.DUMMYFUNCTION("""COMPUTED_VALUE"""),"CW36625_Jun26")</f>
        <v>CW36625_Jun26</v>
      </c>
      <c r="K824" s="99" t="str">
        <f ca="1">IFERROR(__xludf.DUMMYFUNCTION("""COMPUTED_VALUE"""),"HoM Approved")</f>
        <v>HoM Approved</v>
      </c>
    </row>
    <row r="825" spans="1:11" ht="13.2">
      <c r="A825" s="89" t="str">
        <f ca="1">IFERROR(__xludf.DUMMYFUNCTION("""COMPUTED_VALUE"""),"MOO JOY MANGO FLAVORED MILK ADDED DRINK 80ML")</f>
        <v>MOO JOY MANGO FLAVORED MILK ADDED DRINK 80ML</v>
      </c>
      <c r="B825" s="90" t="str">
        <f ca="1">IFERROR(__xludf.DUMMYFUNCTION("""COMPUTED_VALUE"""),"PBL")</f>
        <v>PBL</v>
      </c>
      <c r="C825" s="91" t="str">
        <f ca="1">IFERROR(__xludf.DUMMYFUNCTION("""COMPUTED_VALUE"""),"Saema Apu")</f>
        <v>Saema Apu</v>
      </c>
      <c r="D825" s="92" t="str">
        <f ca="1">IFERROR(__xludf.DUMMYFUNCTION("""COMPUTED_VALUE"""),"Md Iasin Ahmed Showrov (S204960)")</f>
        <v>Md Iasin Ahmed Showrov (S204960)</v>
      </c>
      <c r="E825" s="93" t="str">
        <f ca="1">IFERROR(__xludf.DUMMYFUNCTION("""COMPUTED_VALUE"""),"CB23974_May26")</f>
        <v>CB23974_May26</v>
      </c>
      <c r="F825" s="94" t="str">
        <f ca="1">IFERROR(__xludf.DUMMYFUNCTION("""COMPUTED_VALUE"""),"Packaging Text Design #2")</f>
        <v>Packaging Text Design #2</v>
      </c>
      <c r="G825" s="95" t="str">
        <f ca="1">IFERROR(__xludf.DUMMYFUNCTION("""COMPUTED_VALUE"""),"New")</f>
        <v>New</v>
      </c>
      <c r="H825" s="96">
        <f ca="1">IFERROR(__xludf.DUMMYFUNCTION("""COMPUTED_VALUE"""),1)</f>
        <v>1</v>
      </c>
      <c r="I825" s="97">
        <f ca="1">IFERROR(__xludf.DUMMYFUNCTION("""COMPUTED_VALUE"""),46188)</f>
        <v>46188</v>
      </c>
      <c r="J825" s="98" t="str">
        <f ca="1">IFERROR(__xludf.DUMMYFUNCTION("""COMPUTED_VALUE"""),"CW36626_Jun26")</f>
        <v>CW36626_Jun26</v>
      </c>
      <c r="K825" s="99" t="str">
        <f ca="1">IFERROR(__xludf.DUMMYFUNCTION("""COMPUTED_VALUE"""),"HoM Approved")</f>
        <v>HoM Approved</v>
      </c>
    </row>
    <row r="826" spans="1:11" ht="13.2">
      <c r="A826" s="89" t="str">
        <f ca="1">IFERROR(__xludf.DUMMYFUNCTION("""COMPUTED_VALUE"""),"MOO JOY ORANGE FLAVORED MILK ADDED DRINK 80ML")</f>
        <v>MOO JOY ORANGE FLAVORED MILK ADDED DRINK 80ML</v>
      </c>
      <c r="B826" s="90" t="str">
        <f ca="1">IFERROR(__xludf.DUMMYFUNCTION("""COMPUTED_VALUE"""),"PBL")</f>
        <v>PBL</v>
      </c>
      <c r="C826" s="91" t="str">
        <f ca="1">IFERROR(__xludf.DUMMYFUNCTION("""COMPUTED_VALUE"""),"Saema Apu")</f>
        <v>Saema Apu</v>
      </c>
      <c r="D826" s="92" t="str">
        <f ca="1">IFERROR(__xludf.DUMMYFUNCTION("""COMPUTED_VALUE"""),"Md Iasin Ahmed Showrov (S204960)")</f>
        <v>Md Iasin Ahmed Showrov (S204960)</v>
      </c>
      <c r="E826" s="93" t="str">
        <f ca="1">IFERROR(__xludf.DUMMYFUNCTION("""COMPUTED_VALUE"""),"CB23975_May26")</f>
        <v>CB23975_May26</v>
      </c>
      <c r="F826" s="94" t="str">
        <f ca="1">IFERROR(__xludf.DUMMYFUNCTION("""COMPUTED_VALUE"""),"Packaging Text Design #1")</f>
        <v>Packaging Text Design #1</v>
      </c>
      <c r="G826" s="95" t="str">
        <f ca="1">IFERROR(__xludf.DUMMYFUNCTION("""COMPUTED_VALUE"""),"New")</f>
        <v>New</v>
      </c>
      <c r="H826" s="96">
        <f ca="1">IFERROR(__xludf.DUMMYFUNCTION("""COMPUTED_VALUE"""),1)</f>
        <v>1</v>
      </c>
      <c r="I826" s="97">
        <f ca="1">IFERROR(__xludf.DUMMYFUNCTION("""COMPUTED_VALUE"""),46188)</f>
        <v>46188</v>
      </c>
      <c r="J826" s="98" t="str">
        <f ca="1">IFERROR(__xludf.DUMMYFUNCTION("""COMPUTED_VALUE"""),"CW36627_Jun26")</f>
        <v>CW36627_Jun26</v>
      </c>
      <c r="K826" s="99" t="str">
        <f ca="1">IFERROR(__xludf.DUMMYFUNCTION("""COMPUTED_VALUE"""),"HoM Approved")</f>
        <v>HoM Approved</v>
      </c>
    </row>
    <row r="827" spans="1:11" ht="13.2">
      <c r="A827" s="89" t="str">
        <f ca="1">IFERROR(__xludf.DUMMYFUNCTION("""COMPUTED_VALUE"""),"MOO JOY YOGURT FLAVORED MILK ADDED DRINK 80ML")</f>
        <v>MOO JOY YOGURT FLAVORED MILK ADDED DRINK 80ML</v>
      </c>
      <c r="B827" s="90" t="str">
        <f ca="1">IFERROR(__xludf.DUMMYFUNCTION("""COMPUTED_VALUE"""),"PBL")</f>
        <v>PBL</v>
      </c>
      <c r="C827" s="91" t="str">
        <f ca="1">IFERROR(__xludf.DUMMYFUNCTION("""COMPUTED_VALUE"""),"Saema Apu")</f>
        <v>Saema Apu</v>
      </c>
      <c r="D827" s="92" t="str">
        <f ca="1">IFERROR(__xludf.DUMMYFUNCTION("""COMPUTED_VALUE"""),"Md Iasin Ahmed Showrov (S204960)")</f>
        <v>Md Iasin Ahmed Showrov (S204960)</v>
      </c>
      <c r="E827" s="93" t="str">
        <f ca="1">IFERROR(__xludf.DUMMYFUNCTION("""COMPUTED_VALUE"""),"CB24279_May26")</f>
        <v>CB24279_May26</v>
      </c>
      <c r="F827" s="94" t="str">
        <f ca="1">IFERROR(__xludf.DUMMYFUNCTION("""COMPUTED_VALUE"""),"Packaging Text Design #2")</f>
        <v>Packaging Text Design #2</v>
      </c>
      <c r="G827" s="95" t="str">
        <f ca="1">IFERROR(__xludf.DUMMYFUNCTION("""COMPUTED_VALUE"""),"New")</f>
        <v>New</v>
      </c>
      <c r="H827" s="96">
        <f ca="1">IFERROR(__xludf.DUMMYFUNCTION("""COMPUTED_VALUE"""),1)</f>
        <v>1</v>
      </c>
      <c r="I827" s="97">
        <f ca="1">IFERROR(__xludf.DUMMYFUNCTION("""COMPUTED_VALUE"""),46188)</f>
        <v>46188</v>
      </c>
      <c r="J827" s="98" t="str">
        <f ca="1">IFERROR(__xludf.DUMMYFUNCTION("""COMPUTED_VALUE"""),"CW36628_Jun26")</f>
        <v>CW36628_Jun26</v>
      </c>
      <c r="K827" s="99" t="str">
        <f ca="1">IFERROR(__xludf.DUMMYFUNCTION("""COMPUTED_VALUE"""),"HoM Approved")</f>
        <v>HoM Approved</v>
      </c>
    </row>
    <row r="828" spans="1:11" ht="13.2">
      <c r="A828" s="89" t="str">
        <f ca="1">IFERROR(__xludf.DUMMYFUNCTION("""COMPUTED_VALUE"""),"Pack design: PRAN Noodles - Ramen Series")</f>
        <v>Pack design: PRAN Noodles - Ramen Series</v>
      </c>
      <c r="B828" s="90" t="str">
        <f ca="1">IFERROR(__xludf.DUMMYFUNCTION("""COMPUTED_VALUE"""),"PAL")</f>
        <v>PAL</v>
      </c>
      <c r="C828" s="91" t="str">
        <f ca="1">IFERROR(__xludf.DUMMYFUNCTION("""COMPUTED_VALUE"""),"Sanjida Apu")</f>
        <v>Sanjida Apu</v>
      </c>
      <c r="D828" s="92" t="str">
        <f ca="1">IFERROR(__xludf.DUMMYFUNCTION("""COMPUTED_VALUE"""),"Md Iasin Ahmed Showrov (S204960)")</f>
        <v>Md Iasin Ahmed Showrov (S204960)</v>
      </c>
      <c r="E828" s="93" t="str">
        <f ca="1">IFERROR(__xludf.DUMMYFUNCTION("""COMPUTED_VALUE"""),"CB16267_Jan26")</f>
        <v>CB16267_Jan26</v>
      </c>
      <c r="F828" s="94" t="str">
        <f ca="1">IFERROR(__xludf.DUMMYFUNCTION("""COMPUTED_VALUE"""),"Packaging Text Design #2")</f>
        <v>Packaging Text Design #2</v>
      </c>
      <c r="G828" s="95" t="str">
        <f ca="1">IFERROR(__xludf.DUMMYFUNCTION("""COMPUTED_VALUE"""),"New")</f>
        <v>New</v>
      </c>
      <c r="H828" s="96">
        <f ca="1">IFERROR(__xludf.DUMMYFUNCTION("""COMPUTED_VALUE"""),4)</f>
        <v>4</v>
      </c>
      <c r="I828" s="97">
        <f ca="1">IFERROR(__xludf.DUMMYFUNCTION("""COMPUTED_VALUE"""),46188)</f>
        <v>46188</v>
      </c>
      <c r="J828" s="98" t="str">
        <f ca="1">IFERROR(__xludf.DUMMYFUNCTION("""COMPUTED_VALUE"""),"CW36630_Jun26")</f>
        <v>CW36630_Jun26</v>
      </c>
      <c r="K828" s="99" t="str">
        <f ca="1">IFERROR(__xludf.DUMMYFUNCTION("""COMPUTED_VALUE"""),"HoM Approved")</f>
        <v>HoM Approved</v>
      </c>
    </row>
    <row r="829" spans="1:11" ht="13.2">
      <c r="A829" s="89" t="str">
        <f ca="1">IFERROR(__xludf.DUMMYFUNCTION("""COMPUTED_VALUE"""),"Veira Aloe Vera 1.5L for UK")</f>
        <v>Veira Aloe Vera 1.5L for UK</v>
      </c>
      <c r="B829" s="90" t="str">
        <f ca="1">IFERROR(__xludf.DUMMYFUNCTION("""COMPUTED_VALUE"""),"USA &amp; Europe")</f>
        <v>USA &amp; Europe</v>
      </c>
      <c r="C829" s="91" t="str">
        <f ca="1">IFERROR(__xludf.DUMMYFUNCTION("""COMPUTED_VALUE"""),"Saifullah Vai")</f>
        <v>Saifullah Vai</v>
      </c>
      <c r="D829" s="92" t="str">
        <f ca="1">IFERROR(__xludf.DUMMYFUNCTION("""COMPUTED_VALUE"""),"Md Iasin Ahmed Showrov (S204960)")</f>
        <v>Md Iasin Ahmed Showrov (S204960)</v>
      </c>
      <c r="E829" s="93" t="str">
        <f ca="1">IFERROR(__xludf.DUMMYFUNCTION("""COMPUTED_VALUE"""),"CB36523_Jun26")</f>
        <v>CB36523_Jun26</v>
      </c>
      <c r="F829" s="94" t="str">
        <f ca="1">IFERROR(__xludf.DUMMYFUNCTION("""COMPUTED_VALUE"""),"Packaging Text Design #2")</f>
        <v>Packaging Text Design #2</v>
      </c>
      <c r="G829" s="95" t="str">
        <f ca="1">IFERROR(__xludf.DUMMYFUNCTION("""COMPUTED_VALUE"""),"New")</f>
        <v>New</v>
      </c>
      <c r="H829" s="96">
        <f ca="1">IFERROR(__xludf.DUMMYFUNCTION("""COMPUTED_VALUE"""),4)</f>
        <v>4</v>
      </c>
      <c r="I829" s="97">
        <f ca="1">IFERROR(__xludf.DUMMYFUNCTION("""COMPUTED_VALUE"""),46188)</f>
        <v>46188</v>
      </c>
      <c r="J829" s="98" t="str">
        <f ca="1">IFERROR(__xludf.DUMMYFUNCTION("""COMPUTED_VALUE"""),"CW36676_Jun26")</f>
        <v>CW36676_Jun26</v>
      </c>
      <c r="K829" s="99" t="str">
        <f ca="1">IFERROR(__xludf.DUMMYFUNCTION("""COMPUTED_VALUE"""),"HoM Approved")</f>
        <v>HoM Approved</v>
      </c>
    </row>
    <row r="830" spans="1:11" ht="13.2">
      <c r="A830" s="89" t="str">
        <f ca="1">IFERROR(__xludf.DUMMYFUNCTION("""COMPUTED_VALUE"""),"PRAN Frooto Mango Punch 1L")</f>
        <v>PRAN Frooto Mango Punch 1L</v>
      </c>
      <c r="B830" s="90" t="str">
        <f ca="1">IFERROR(__xludf.DUMMYFUNCTION("""COMPUTED_VALUE"""),"USA &amp; Europe")</f>
        <v>USA &amp; Europe</v>
      </c>
      <c r="C830" s="91" t="str">
        <f ca="1">IFERROR(__xludf.DUMMYFUNCTION("""COMPUTED_VALUE"""),"Saifullah Vai")</f>
        <v>Saifullah Vai</v>
      </c>
      <c r="D830" s="92" t="str">
        <f ca="1">IFERROR(__xludf.DUMMYFUNCTION("""COMPUTED_VALUE"""),"Md Iasin Ahmed Showrov (S204960)")</f>
        <v>Md Iasin Ahmed Showrov (S204960)</v>
      </c>
      <c r="E830" s="93" t="str">
        <f ca="1">IFERROR(__xludf.DUMMYFUNCTION("""COMPUTED_VALUE"""),"CB36524_Jun26")</f>
        <v>CB36524_Jun26</v>
      </c>
      <c r="F830" s="94" t="str">
        <f ca="1">IFERROR(__xludf.DUMMYFUNCTION("""COMPUTED_VALUE"""),"Packaging Text Design #2")</f>
        <v>Packaging Text Design #2</v>
      </c>
      <c r="G830" s="95" t="str">
        <f ca="1">IFERROR(__xludf.DUMMYFUNCTION("""COMPUTED_VALUE"""),"New")</f>
        <v>New</v>
      </c>
      <c r="H830" s="96">
        <f ca="1">IFERROR(__xludf.DUMMYFUNCTION("""COMPUTED_VALUE"""),1)</f>
        <v>1</v>
      </c>
      <c r="I830" s="97">
        <f ca="1">IFERROR(__xludf.DUMMYFUNCTION("""COMPUTED_VALUE"""),46188)</f>
        <v>46188</v>
      </c>
      <c r="J830" s="98" t="str">
        <f ca="1">IFERROR(__xludf.DUMMYFUNCTION("""COMPUTED_VALUE"""),"CW36674_Jun26")</f>
        <v>CW36674_Jun26</v>
      </c>
      <c r="K830" s="99" t="str">
        <f ca="1">IFERROR(__xludf.DUMMYFUNCTION("""COMPUTED_VALUE"""),"HoM Approved")</f>
        <v>HoM Approved</v>
      </c>
    </row>
    <row r="831" spans="1:11" ht="13.2">
      <c r="A831" s="89" t="str">
        <f ca="1">IFERROR(__xludf.DUMMYFUNCTION("""COMPUTED_VALUE"""),"Text correction of Braver Malt Beverage ")</f>
        <v xml:space="preserve">Text correction of Braver Malt Beverage </v>
      </c>
      <c r="B831" s="90" t="str">
        <f ca="1">IFERROR(__xludf.DUMMYFUNCTION("""COMPUTED_VALUE"""),"AMCL")</f>
        <v>AMCL</v>
      </c>
      <c r="C831" s="91" t="str">
        <f ca="1">IFERROR(__xludf.DUMMYFUNCTION("""COMPUTED_VALUE"""),"Shamsul Sir")</f>
        <v>Shamsul Sir</v>
      </c>
      <c r="D831" s="92" t="str">
        <f ca="1">IFERROR(__xludf.DUMMYFUNCTION("""COMPUTED_VALUE"""),"Md Iasin Ahmed Showrov (S204960)")</f>
        <v>Md Iasin Ahmed Showrov (S204960)</v>
      </c>
      <c r="E831" s="93" t="str">
        <f ca="1">IFERROR(__xludf.DUMMYFUNCTION("""COMPUTED_VALUE"""),"CB36491_Jun26")</f>
        <v>CB36491_Jun26</v>
      </c>
      <c r="F831" s="94" t="str">
        <f ca="1">IFERROR(__xludf.DUMMYFUNCTION("""COMPUTED_VALUE"""),"Packaging Text Design #2")</f>
        <v>Packaging Text Design #2</v>
      </c>
      <c r="G831" s="95" t="str">
        <f ca="1">IFERROR(__xludf.DUMMYFUNCTION("""COMPUTED_VALUE"""),"New")</f>
        <v>New</v>
      </c>
      <c r="H831" s="96">
        <f ca="1">IFERROR(__xludf.DUMMYFUNCTION("""COMPUTED_VALUE"""),3)</f>
        <v>3</v>
      </c>
      <c r="I831" s="97">
        <f ca="1">IFERROR(__xludf.DUMMYFUNCTION("""COMPUTED_VALUE"""),46189)</f>
        <v>46189</v>
      </c>
      <c r="J831" s="98" t="str">
        <f ca="1">IFERROR(__xludf.DUMMYFUNCTION("""COMPUTED_VALUE"""),"CW36739_Jun26")</f>
        <v>CW36739_Jun26</v>
      </c>
      <c r="K831" s="99" t="str">
        <f ca="1">IFERROR(__xludf.DUMMYFUNCTION("""COMPUTED_VALUE"""),"HoM Approved")</f>
        <v>HoM Approved</v>
      </c>
    </row>
    <row r="832" spans="1:11" ht="13.2">
      <c r="A832" s="89" t="str">
        <f ca="1">IFERROR(__xludf.DUMMYFUNCTION("""COMPUTED_VALUE"""),"PRAN Litchi Packaging and text correction")</f>
        <v>PRAN Litchi Packaging and text correction</v>
      </c>
      <c r="B832" s="90" t="str">
        <f ca="1">IFERROR(__xludf.DUMMYFUNCTION("""COMPUTED_VALUE"""),"AMCL")</f>
        <v>AMCL</v>
      </c>
      <c r="C832" s="91" t="str">
        <f ca="1">IFERROR(__xludf.DUMMYFUNCTION("""COMPUTED_VALUE"""),"Meher Parthona Apu")</f>
        <v>Meher Parthona Apu</v>
      </c>
      <c r="D832" s="92" t="str">
        <f ca="1">IFERROR(__xludf.DUMMYFUNCTION("""COMPUTED_VALUE"""),"Md Iasin Ahmed Showrov (S204960)")</f>
        <v>Md Iasin Ahmed Showrov (S204960)</v>
      </c>
      <c r="E832" s="93" t="str">
        <f ca="1">IFERROR(__xludf.DUMMYFUNCTION("""COMPUTED_VALUE"""),"CB36408_Jun26")</f>
        <v>CB36408_Jun26</v>
      </c>
      <c r="F832" s="94" t="str">
        <f ca="1">IFERROR(__xludf.DUMMYFUNCTION("""COMPUTED_VALUE"""),"Packaging Text Design #2")</f>
        <v>Packaging Text Design #2</v>
      </c>
      <c r="G832" s="95" t="str">
        <f ca="1">IFERROR(__xludf.DUMMYFUNCTION("""COMPUTED_VALUE"""),"New")</f>
        <v>New</v>
      </c>
      <c r="H832" s="96">
        <f ca="1">IFERROR(__xludf.DUMMYFUNCTION("""COMPUTED_VALUE"""),2)</f>
        <v>2</v>
      </c>
      <c r="I832" s="97">
        <f ca="1">IFERROR(__xludf.DUMMYFUNCTION("""COMPUTED_VALUE"""),46188)</f>
        <v>46188</v>
      </c>
      <c r="J832" s="98" t="str">
        <f ca="1">IFERROR(__xludf.DUMMYFUNCTION("""COMPUTED_VALUE"""),"CW36679_Jun26")</f>
        <v>CW36679_Jun26</v>
      </c>
      <c r="K832" s="99" t="str">
        <f ca="1">IFERROR(__xludf.DUMMYFUNCTION("""COMPUTED_VALUE"""),"HoM Approved")</f>
        <v>HoM Approved</v>
      </c>
    </row>
    <row r="833" spans="1:11" ht="13.2">
      <c r="A833" s="89" t="str">
        <f ca="1">IFERROR(__xludf.DUMMYFUNCTION("""COMPUTED_VALUE"""),"PRAN_Mango_Bar_10pcs_Pouch_Foil_Design")</f>
        <v>PRAN_Mango_Bar_10pcs_Pouch_Foil_Design</v>
      </c>
      <c r="B833" s="90" t="str">
        <f ca="1">IFERROR(__xludf.DUMMYFUNCTION("""COMPUTED_VALUE"""),"AMCL")</f>
        <v>AMCL</v>
      </c>
      <c r="C833" s="91" t="str">
        <f ca="1">IFERROR(__xludf.DUMMYFUNCTION("""COMPUTED_VALUE"""),"Yeasin Vai")</f>
        <v>Yeasin Vai</v>
      </c>
      <c r="D833" s="92" t="str">
        <f ca="1">IFERROR(__xludf.DUMMYFUNCTION("""COMPUTED_VALUE"""),"Md Iasin Ahmed Showrov (S204960)")</f>
        <v>Md Iasin Ahmed Showrov (S204960)</v>
      </c>
      <c r="E833" s="93" t="str">
        <f ca="1">IFERROR(__xludf.DUMMYFUNCTION("""COMPUTED_VALUE"""),"CB35269_Jun26")</f>
        <v>CB35269_Jun26</v>
      </c>
      <c r="F833" s="94" t="str">
        <f ca="1">IFERROR(__xludf.DUMMYFUNCTION("""COMPUTED_VALUE"""),"Packaging Text Design #2")</f>
        <v>Packaging Text Design #2</v>
      </c>
      <c r="G833" s="95" t="str">
        <f ca="1">IFERROR(__xludf.DUMMYFUNCTION("""COMPUTED_VALUE"""),"New")</f>
        <v>New</v>
      </c>
      <c r="H833" s="96">
        <f ca="1">IFERROR(__xludf.DUMMYFUNCTION("""COMPUTED_VALUE"""),1)</f>
        <v>1</v>
      </c>
      <c r="I833" s="97">
        <f ca="1">IFERROR(__xludf.DUMMYFUNCTION("""COMPUTED_VALUE"""),46189)</f>
        <v>46189</v>
      </c>
      <c r="J833" s="98" t="str">
        <f ca="1">IFERROR(__xludf.DUMMYFUNCTION("""COMPUTED_VALUE"""),"CW36772_Jun26")</f>
        <v>CW36772_Jun26</v>
      </c>
      <c r="K833" s="99" t="str">
        <f ca="1">IFERROR(__xludf.DUMMYFUNCTION("""COMPUTED_VALUE"""),"HoM Approved")</f>
        <v>HoM Approved</v>
      </c>
    </row>
    <row r="834" spans="1:11" ht="13.2">
      <c r="A834" s="89" t="str">
        <f ca="1">IFERROR(__xludf.DUMMYFUNCTION("""COMPUTED_VALUE"""),"Make new carton of Pran Herbs &amp; Spice")</f>
        <v>Make new carton of Pran Herbs &amp; Spice</v>
      </c>
      <c r="B834" s="90" t="str">
        <f ca="1">IFERROR(__xludf.DUMMYFUNCTION("""COMPUTED_VALUE"""),"NAL")</f>
        <v>NAL</v>
      </c>
      <c r="C834" s="91" t="str">
        <f ca="1">IFERROR(__xludf.DUMMYFUNCTION("""COMPUTED_VALUE"""),"Shamsul Sir")</f>
        <v>Shamsul Sir</v>
      </c>
      <c r="D834" s="92" t="str">
        <f ca="1">IFERROR(__xludf.DUMMYFUNCTION("""COMPUTED_VALUE"""),"Md Iasin Ahmed Showrov (S204960)")</f>
        <v>Md Iasin Ahmed Showrov (S204960)</v>
      </c>
      <c r="E834" s="93" t="str">
        <f ca="1">IFERROR(__xludf.DUMMYFUNCTION("""COMPUTED_VALUE"""),"CB36507_Jun26")</f>
        <v>CB36507_Jun26</v>
      </c>
      <c r="F834" s="94" t="str">
        <f ca="1">IFERROR(__xludf.DUMMYFUNCTION("""COMPUTED_VALUE"""),"Carton Design")</f>
        <v>Carton Design</v>
      </c>
      <c r="G834" s="95" t="str">
        <f ca="1">IFERROR(__xludf.DUMMYFUNCTION("""COMPUTED_VALUE"""),"New")</f>
        <v>New</v>
      </c>
      <c r="H834" s="96">
        <f ca="1">IFERROR(__xludf.DUMMYFUNCTION("""COMPUTED_VALUE"""),2)</f>
        <v>2</v>
      </c>
      <c r="I834" s="97">
        <f ca="1">IFERROR(__xludf.DUMMYFUNCTION("""COMPUTED_VALUE"""),46194)</f>
        <v>46194</v>
      </c>
      <c r="J834" s="98" t="str">
        <f ca="1">IFERROR(__xludf.DUMMYFUNCTION("""COMPUTED_VALUE"""),"CW37278_Jun26")</f>
        <v>CW37278_Jun26</v>
      </c>
      <c r="K834" s="99" t="str">
        <f ca="1">IFERROR(__xludf.DUMMYFUNCTION("""COMPUTED_VALUE"""),"Brief Submitted")</f>
        <v>Brief Submitted</v>
      </c>
    </row>
    <row r="835" spans="1:11" ht="13.2">
      <c r="A835" s="89" t="str">
        <f ca="1">IFERROR(__xludf.DUMMYFUNCTION("""COMPUTED_VALUE"""),"PRAN SALTINO COOKIES BISCUITS 75G and PRAN YUMMY CHOCOLATE CHIPS &amp; OATS COOKIES 42G")</f>
        <v>PRAN SALTINO COOKIES BISCUITS 75G and PRAN YUMMY CHOCOLATE CHIPS &amp; OATS COOKIES 42G</v>
      </c>
      <c r="B835" s="90" t="str">
        <f ca="1">IFERROR(__xludf.DUMMYFUNCTION("""COMPUTED_VALUE"""),"PAL")</f>
        <v>PAL</v>
      </c>
      <c r="C835" s="91" t="str">
        <f ca="1">IFERROR(__xludf.DUMMYFUNCTION("""COMPUTED_VALUE"""),"Saema Apu")</f>
        <v>Saema Apu</v>
      </c>
      <c r="D835" s="92" t="str">
        <f ca="1">IFERROR(__xludf.DUMMYFUNCTION("""COMPUTED_VALUE"""),"Md Iasin Ahmed Showrov (S204960)")</f>
        <v>Md Iasin Ahmed Showrov (S204960)</v>
      </c>
      <c r="E835" s="93" t="str">
        <f ca="1">IFERROR(__xludf.DUMMYFUNCTION("""COMPUTED_VALUE"""),"CB36773_Jun26")</f>
        <v>CB36773_Jun26</v>
      </c>
      <c r="F835" s="94" t="str">
        <f ca="1">IFERROR(__xludf.DUMMYFUNCTION("""COMPUTED_VALUE"""),"Document Text Correction")</f>
        <v>Document Text Correction</v>
      </c>
      <c r="G835" s="95" t="str">
        <f ca="1">IFERROR(__xludf.DUMMYFUNCTION("""COMPUTED_VALUE"""),"New")</f>
        <v>New</v>
      </c>
      <c r="H835" s="96">
        <f ca="1">IFERROR(__xludf.DUMMYFUNCTION("""COMPUTED_VALUE"""),3)</f>
        <v>3</v>
      </c>
      <c r="I835" s="97">
        <f ca="1">IFERROR(__xludf.DUMMYFUNCTION("""COMPUTED_VALUE"""),46194)</f>
        <v>46194</v>
      </c>
      <c r="J835" s="98" t="str">
        <f ca="1">IFERROR(__xludf.DUMMYFUNCTION("""COMPUTED_VALUE"""),"CW37275_Jun26")</f>
        <v>CW37275_Jun26</v>
      </c>
      <c r="K835" s="99" t="str">
        <f ca="1">IFERROR(__xludf.DUMMYFUNCTION("""COMPUTED_VALUE"""),"Brief Submitted")</f>
        <v>Brief Submitted</v>
      </c>
    </row>
    <row r="836" spans="1:11" ht="13.2">
      <c r="A836" s="89" t="str">
        <f ca="1">IFERROR(__xludf.DUMMYFUNCTION("""COMPUTED_VALUE"""),"Text correction of Jolpai Pickle 400g")</f>
        <v>Text correction of Jolpai Pickle 400g</v>
      </c>
      <c r="B836" s="90" t="str">
        <f ca="1">IFERROR(__xludf.DUMMYFUNCTION("""COMPUTED_VALUE"""),"PAL")</f>
        <v>PAL</v>
      </c>
      <c r="C836" s="91" t="str">
        <f ca="1">IFERROR(__xludf.DUMMYFUNCTION("""COMPUTED_VALUE"""),"Shamsul Sir")</f>
        <v>Shamsul Sir</v>
      </c>
      <c r="D836" s="92" t="str">
        <f ca="1">IFERROR(__xludf.DUMMYFUNCTION("""COMPUTED_VALUE"""),"Md Iasin Ahmed Showrov (S204960)")</f>
        <v>Md Iasin Ahmed Showrov (S204960)</v>
      </c>
      <c r="E836" s="93" t="str">
        <f ca="1">IFERROR(__xludf.DUMMYFUNCTION("""COMPUTED_VALUE"""),"CB36934_Jun26")</f>
        <v>CB36934_Jun26</v>
      </c>
      <c r="F836" s="94" t="str">
        <f ca="1">IFERROR(__xludf.DUMMYFUNCTION("""COMPUTED_VALUE"""),"Packaging Text Design #2")</f>
        <v>Packaging Text Design #2</v>
      </c>
      <c r="G836" s="95" t="str">
        <f ca="1">IFERROR(__xludf.DUMMYFUNCTION("""COMPUTED_VALUE"""),"New")</f>
        <v>New</v>
      </c>
      <c r="H836" s="96">
        <f ca="1">IFERROR(__xludf.DUMMYFUNCTION("""COMPUTED_VALUE"""),1)</f>
        <v>1</v>
      </c>
      <c r="I836" s="97">
        <f ca="1">IFERROR(__xludf.DUMMYFUNCTION("""COMPUTED_VALUE"""),46194)</f>
        <v>46194</v>
      </c>
      <c r="J836" s="98" t="str">
        <f ca="1">IFERROR(__xludf.DUMMYFUNCTION("""COMPUTED_VALUE"""),"CW37276_Jun26")</f>
        <v>CW37276_Jun26</v>
      </c>
      <c r="K836" s="99" t="str">
        <f ca="1">IFERROR(__xludf.DUMMYFUNCTION("""COMPUTED_VALUE"""),"Brief Submitted")</f>
        <v>Brief Submitted</v>
      </c>
    </row>
    <row r="837" spans="1:11" ht="13.2">
      <c r="A837" s="89" t="str">
        <f ca="1">IFERROR(__xludf.DUMMYFUNCTION("""COMPUTED_VALUE"""),"CERTIFICATE CORRECTION - 25")</f>
        <v>CERTIFICATE CORRECTION - 25</v>
      </c>
      <c r="B837" s="90" t="str">
        <f ca="1">IFERROR(__xludf.DUMMYFUNCTION("""COMPUTED_VALUE"""),"PAL")</f>
        <v>PAL</v>
      </c>
      <c r="C837" s="91" t="str">
        <f ca="1">IFERROR(__xludf.DUMMYFUNCTION("""COMPUTED_VALUE"""),"Rabby Vai")</f>
        <v>Rabby Vai</v>
      </c>
      <c r="D837" s="92" t="str">
        <f ca="1">IFERROR(__xludf.DUMMYFUNCTION("""COMPUTED_VALUE"""),"Md Iasin Ahmed Showrov (S204960)")</f>
        <v>Md Iasin Ahmed Showrov (S204960)</v>
      </c>
      <c r="E837" s="93" t="str">
        <f ca="1">IFERROR(__xludf.DUMMYFUNCTION("""COMPUTED_VALUE"""),"CB36829_Jun26")</f>
        <v>CB36829_Jun26</v>
      </c>
      <c r="F837" s="94" t="str">
        <f ca="1">IFERROR(__xludf.DUMMYFUNCTION("""COMPUTED_VALUE"""),"Document Text Correction")</f>
        <v>Document Text Correction</v>
      </c>
      <c r="G837" s="95" t="str">
        <f ca="1">IFERROR(__xludf.DUMMYFUNCTION("""COMPUTED_VALUE"""),"New")</f>
        <v>New</v>
      </c>
      <c r="H837" s="96">
        <f ca="1">IFERROR(__xludf.DUMMYFUNCTION("""COMPUTED_VALUE"""),25)</f>
        <v>25</v>
      </c>
      <c r="I837" s="97">
        <f ca="1">IFERROR(__xludf.DUMMYFUNCTION("""COMPUTED_VALUE"""),46193)</f>
        <v>46193</v>
      </c>
      <c r="J837" s="98" t="str">
        <f ca="1">IFERROR(__xludf.DUMMYFUNCTION("""COMPUTED_VALUE"""),"CW37277_Jun26")</f>
        <v>CW37277_Jun26</v>
      </c>
      <c r="K837" s="99" t="str">
        <f ca="1">IFERROR(__xludf.DUMMYFUNCTION("""COMPUTED_VALUE"""),"HoM Approved")</f>
        <v>HoM Approved</v>
      </c>
    </row>
    <row r="838" spans="1:11" ht="13.2">
      <c r="A838" s="89" t="str">
        <f ca="1">IFERROR(__xludf.DUMMYFUNCTION("""COMPUTED_VALUE"""),"Make new carton of Pran Herbs &amp; Spice")</f>
        <v>Make new carton of Pran Herbs &amp; Spice</v>
      </c>
      <c r="B838" s="90" t="str">
        <f ca="1">IFERROR(__xludf.DUMMYFUNCTION("""COMPUTED_VALUE"""),"NAL")</f>
        <v>NAL</v>
      </c>
      <c r="C838" s="91" t="str">
        <f ca="1">IFERROR(__xludf.DUMMYFUNCTION("""COMPUTED_VALUE"""),"Shamsul Sir")</f>
        <v>Shamsul Sir</v>
      </c>
      <c r="D838" s="92" t="str">
        <f ca="1">IFERROR(__xludf.DUMMYFUNCTION("""COMPUTED_VALUE"""),"Md Iasin Ahmed Showrov (S204960)")</f>
        <v>Md Iasin Ahmed Showrov (S204960)</v>
      </c>
      <c r="E838" s="93" t="str">
        <f ca="1">IFERROR(__xludf.DUMMYFUNCTION("""COMPUTED_VALUE"""),"CB36507_Jun26")</f>
        <v>CB36507_Jun26</v>
      </c>
      <c r="F838" s="94" t="str">
        <f ca="1">IFERROR(__xludf.DUMMYFUNCTION("""COMPUTED_VALUE"""),"Carton Design")</f>
        <v>Carton Design</v>
      </c>
      <c r="G838" s="95" t="str">
        <f ca="1">IFERROR(__xludf.DUMMYFUNCTION("""COMPUTED_VALUE"""),"New")</f>
        <v>New</v>
      </c>
      <c r="H838" s="96">
        <f ca="1">IFERROR(__xludf.DUMMYFUNCTION("""COMPUTED_VALUE"""),2)</f>
        <v>2</v>
      </c>
      <c r="I838" s="97">
        <f ca="1">IFERROR(__xludf.DUMMYFUNCTION("""COMPUTED_VALUE"""),46194)</f>
        <v>46194</v>
      </c>
      <c r="J838" s="98" t="str">
        <f ca="1">IFERROR(__xludf.DUMMYFUNCTION("""COMPUTED_VALUE"""),"CW37278_Jun26")</f>
        <v>CW37278_Jun26</v>
      </c>
      <c r="K838" s="99" t="str">
        <f ca="1">IFERROR(__xludf.DUMMYFUNCTION("""COMPUTED_VALUE"""),"Brief Submitted")</f>
        <v>Brief Submitted</v>
      </c>
    </row>
    <row r="839" spans="1:11" ht="13.2">
      <c r="A839" s="89" t="str">
        <f ca="1">IFERROR(__xludf.DUMMYFUNCTION("""COMPUTED_VALUE"""),"True milk, Pran yogurt drink")</f>
        <v>True milk, Pran yogurt drink</v>
      </c>
      <c r="B839" s="90" t="str">
        <f ca="1">IFERROR(__xludf.DUMMYFUNCTION("""COMPUTED_VALUE"""),"Philippines")</f>
        <v>Philippines</v>
      </c>
      <c r="C839" s="91" t="str">
        <f ca="1">IFERROR(__xludf.DUMMYFUNCTION("""COMPUTED_VALUE"""),"Farjana Apu")</f>
        <v>Farjana Apu</v>
      </c>
      <c r="D839" s="92" t="str">
        <f ca="1">IFERROR(__xludf.DUMMYFUNCTION("""COMPUTED_VALUE"""),"Md Iasin Ahmed Showrov (S204960)")</f>
        <v>Md Iasin Ahmed Showrov (S204960)</v>
      </c>
      <c r="E839" s="93" t="str">
        <f ca="1">IFERROR(__xludf.DUMMYFUNCTION("""COMPUTED_VALUE"""),"CB36987_Jun26")</f>
        <v>CB36987_Jun26</v>
      </c>
      <c r="F839" s="94" t="str">
        <f ca="1">IFERROR(__xludf.DUMMYFUNCTION("""COMPUTED_VALUE"""),"Packaging Text Design #1")</f>
        <v>Packaging Text Design #1</v>
      </c>
      <c r="G839" s="95" t="str">
        <f ca="1">IFERROR(__xludf.DUMMYFUNCTION("""COMPUTED_VALUE"""),"New")</f>
        <v>New</v>
      </c>
      <c r="H839" s="96">
        <f ca="1">IFERROR(__xludf.DUMMYFUNCTION("""COMPUTED_VALUE"""),6)</f>
        <v>6</v>
      </c>
      <c r="I839" s="97">
        <f ca="1">IFERROR(__xludf.DUMMYFUNCTION("""COMPUTED_VALUE"""),46194)</f>
        <v>46194</v>
      </c>
      <c r="J839" s="98" t="str">
        <f ca="1">IFERROR(__xludf.DUMMYFUNCTION("""COMPUTED_VALUE"""),"CW37300_Jun26")</f>
        <v>CW37300_Jun26</v>
      </c>
      <c r="K839" s="99" t="str">
        <f ca="1">IFERROR(__xludf.DUMMYFUNCTION("""COMPUTED_VALUE"""),"Brief Submitted")</f>
        <v>Brief Submitted</v>
      </c>
    </row>
    <row r="840" spans="1:11" ht="13.2">
      <c r="A840" s="89" t="str">
        <f ca="1">IFERROR(__xludf.DUMMYFUNCTION("""COMPUTED_VALUE"""),"Veggie Crisp 20g foil and ATC for USA")</f>
        <v>Veggie Crisp 20g foil and ATC for USA</v>
      </c>
      <c r="B840" s="90" t="str">
        <f ca="1">IFERROR(__xludf.DUMMYFUNCTION("""COMPUTED_VALUE"""),"USA &amp; Europe")</f>
        <v>USA &amp; Europe</v>
      </c>
      <c r="C840" s="91" t="str">
        <f ca="1">IFERROR(__xludf.DUMMYFUNCTION("""COMPUTED_VALUE"""),"Zahirul Vai")</f>
        <v>Zahirul Vai</v>
      </c>
      <c r="D840" s="92" t="str">
        <f ca="1">IFERROR(__xludf.DUMMYFUNCTION("""COMPUTED_VALUE"""),"Md Iasin Ahmed Showrov (S204960)")</f>
        <v>Md Iasin Ahmed Showrov (S204960)</v>
      </c>
      <c r="E840" s="93" t="str">
        <f ca="1">IFERROR(__xludf.DUMMYFUNCTION("""COMPUTED_VALUE"""),"CB37604_Jun26")</f>
        <v>CB37604_Jun26</v>
      </c>
      <c r="F840" s="94" t="str">
        <f ca="1">IFERROR(__xludf.DUMMYFUNCTION("""COMPUTED_VALUE"""),"Packaging Text Design #2")</f>
        <v>Packaging Text Design #2</v>
      </c>
      <c r="G840" s="95" t="str">
        <f ca="1">IFERROR(__xludf.DUMMYFUNCTION("""COMPUTED_VALUE"""),"New")</f>
        <v>New</v>
      </c>
      <c r="H840" s="96">
        <f ca="1">IFERROR(__xludf.DUMMYFUNCTION("""COMPUTED_VALUE"""),2)</f>
        <v>2</v>
      </c>
      <c r="I840" s="97">
        <f ca="1">IFERROR(__xludf.DUMMYFUNCTION("""COMPUTED_VALUE"""),46202)</f>
        <v>46202</v>
      </c>
      <c r="J840" s="98" t="str">
        <f ca="1">IFERROR(__xludf.DUMMYFUNCTION("""COMPUTED_VALUE"""),"CW38402_Jun26")</f>
        <v>CW38402_Jun26</v>
      </c>
      <c r="K840" s="99" t="str">
        <f ca="1">IFERROR(__xludf.DUMMYFUNCTION("""COMPUTED_VALUE"""),"Brief Submitted")</f>
        <v>Brief Submitted</v>
      </c>
    </row>
    <row r="841" spans="1:11" ht="13.2">
      <c r="A841" s="89" t="str">
        <f ca="1">IFERROR(__xludf.DUMMYFUNCTION("""COMPUTED_VALUE"""),"Lolli Island Assorted 60g for Italy")</f>
        <v>Lolli Island Assorted 60g for Italy</v>
      </c>
      <c r="B841" s="90" t="str">
        <f ca="1">IFERROR(__xludf.DUMMYFUNCTION("""COMPUTED_VALUE"""),"USA &amp; Europe")</f>
        <v>USA &amp; Europe</v>
      </c>
      <c r="C841" s="91" t="str">
        <f ca="1">IFERROR(__xludf.DUMMYFUNCTION("""COMPUTED_VALUE"""),"Saifullah Vai")</f>
        <v>Saifullah Vai</v>
      </c>
      <c r="D841" s="92" t="str">
        <f ca="1">IFERROR(__xludf.DUMMYFUNCTION("""COMPUTED_VALUE"""),"Md Iasin Ahmed Showrov (S204960)")</f>
        <v>Md Iasin Ahmed Showrov (S204960)</v>
      </c>
      <c r="E841" s="93" t="str">
        <f ca="1">IFERROR(__xludf.DUMMYFUNCTION("""COMPUTED_VALUE"""),"Unknown")</f>
        <v>Unknown</v>
      </c>
      <c r="F841" s="94" t="str">
        <f ca="1">IFERROR(__xludf.DUMMYFUNCTION("""COMPUTED_VALUE"""),"Packaging Text Design #2")</f>
        <v>Packaging Text Design #2</v>
      </c>
      <c r="G841" s="95" t="str">
        <f ca="1">IFERROR(__xludf.DUMMYFUNCTION("""COMPUTED_VALUE"""),"New")</f>
        <v>New</v>
      </c>
      <c r="H841" s="96">
        <f ca="1">IFERROR(__xludf.DUMMYFUNCTION("""COMPUTED_VALUE"""),2)</f>
        <v>2</v>
      </c>
      <c r="I841" s="97"/>
      <c r="J841" s="98" t="str">
        <f ca="1">IFERROR(__xludf.DUMMYFUNCTION("""COMPUTED_VALUE"""),"Unknown")</f>
        <v>Unknown</v>
      </c>
      <c r="K841" s="99" t="str">
        <f ca="1">IFERROR(__xludf.DUMMYFUNCTION("""COMPUTED_VALUE"""),"Running")</f>
        <v>Running</v>
      </c>
    </row>
    <row r="842" spans="1:11" ht="13.2">
      <c r="A842" s="89" t="str">
        <f ca="1">IFERROR(__xludf.DUMMYFUNCTION("""COMPUTED_VALUE"""),"Pran Mustard Oil 200ml, 500ml, 1000ml for Italy")</f>
        <v>Pran Mustard Oil 200ml, 500ml, 1000ml for Italy</v>
      </c>
      <c r="B842" s="90" t="str">
        <f ca="1">IFERROR(__xludf.DUMMYFUNCTION("""COMPUTED_VALUE"""),"USA &amp; Europe")</f>
        <v>USA &amp; Europe</v>
      </c>
      <c r="C842" s="91" t="str">
        <f ca="1">IFERROR(__xludf.DUMMYFUNCTION("""COMPUTED_VALUE"""),"Saifullah Vai")</f>
        <v>Saifullah Vai</v>
      </c>
      <c r="D842" s="92" t="str">
        <f ca="1">IFERROR(__xludf.DUMMYFUNCTION("""COMPUTED_VALUE"""),"Md Iasin Ahmed Showrov (S204960)")</f>
        <v>Md Iasin Ahmed Showrov (S204960)</v>
      </c>
      <c r="E842" s="93" t="str">
        <f ca="1">IFERROR(__xludf.DUMMYFUNCTION("""COMPUTED_VALUE"""),"CB37219_Jun26")</f>
        <v>CB37219_Jun26</v>
      </c>
      <c r="F842" s="94" t="str">
        <f ca="1">IFERROR(__xludf.DUMMYFUNCTION("""COMPUTED_VALUE"""),"Packaging Text Design #2")</f>
        <v>Packaging Text Design #2</v>
      </c>
      <c r="G842" s="95" t="str">
        <f ca="1">IFERROR(__xludf.DUMMYFUNCTION("""COMPUTED_VALUE"""),"New")</f>
        <v>New</v>
      </c>
      <c r="H842" s="96">
        <f ca="1">IFERROR(__xludf.DUMMYFUNCTION("""COMPUTED_VALUE"""),3)</f>
        <v>3</v>
      </c>
      <c r="I842" s="97">
        <f ca="1">IFERROR(__xludf.DUMMYFUNCTION("""COMPUTED_VALUE"""),46196)</f>
        <v>46196</v>
      </c>
      <c r="J842" s="98" t="str">
        <f ca="1">IFERROR(__xludf.DUMMYFUNCTION("""COMPUTED_VALUE"""),"CW37630_Jun26")</f>
        <v>CW37630_Jun26</v>
      </c>
      <c r="K842" s="99" t="str">
        <f ca="1">IFERROR(__xludf.DUMMYFUNCTION("""COMPUTED_VALUE"""),"Brief Submitted")</f>
        <v>Brief Submitted</v>
      </c>
    </row>
    <row r="843" spans="1:11" ht="13.2">
      <c r="A843" s="89" t="str">
        <f ca="1">IFERROR(__xludf.DUMMYFUNCTION("""COMPUTED_VALUE"""),"Tea Biscuit 100g for KSA")</f>
        <v>Tea Biscuit 100g for KSA</v>
      </c>
      <c r="B843" s="90" t="str">
        <f ca="1">IFERROR(__xludf.DUMMYFUNCTION("""COMPUTED_VALUE"""),"KSA")</f>
        <v>KSA</v>
      </c>
      <c r="C843" s="91" t="str">
        <f ca="1">IFERROR(__xludf.DUMMYFUNCTION("""COMPUTED_VALUE"""),"Shamsul Sir")</f>
        <v>Shamsul Sir</v>
      </c>
      <c r="D843" s="92" t="str">
        <f ca="1">IFERROR(__xludf.DUMMYFUNCTION("""COMPUTED_VALUE"""),"Md Iasin Ahmed Showrov (S204960)")</f>
        <v>Md Iasin Ahmed Showrov (S204960)</v>
      </c>
      <c r="E843" s="93" t="str">
        <f ca="1">IFERROR(__xludf.DUMMYFUNCTION("""COMPUTED_VALUE"""),"CB37041_Jun26")</f>
        <v>CB37041_Jun26</v>
      </c>
      <c r="F843" s="94" t="str">
        <f ca="1">IFERROR(__xludf.DUMMYFUNCTION("""COMPUTED_VALUE"""),"Packaging Text Design #2")</f>
        <v>Packaging Text Design #2</v>
      </c>
      <c r="G843" s="95" t="str">
        <f ca="1">IFERROR(__xludf.DUMMYFUNCTION("""COMPUTED_VALUE"""),"New")</f>
        <v>New</v>
      </c>
      <c r="H843" s="96">
        <f ca="1">IFERROR(__xludf.DUMMYFUNCTION("""COMPUTED_VALUE"""),1)</f>
        <v>1</v>
      </c>
      <c r="I843" s="97">
        <f ca="1">IFERROR(__xludf.DUMMYFUNCTION("""COMPUTED_VALUE"""),46196)</f>
        <v>46196</v>
      </c>
      <c r="J843" s="98" t="str">
        <f ca="1">IFERROR(__xludf.DUMMYFUNCTION("""COMPUTED_VALUE"""),"CW37631_Jun26")</f>
        <v>CW37631_Jun26</v>
      </c>
      <c r="K843" s="99" t="str">
        <f ca="1">IFERROR(__xludf.DUMMYFUNCTION("""COMPUTED_VALUE"""),"Brief Submitted")</f>
        <v>Brief Submitted</v>
      </c>
    </row>
    <row r="844" spans="1:11" ht="13.2">
      <c r="A844" s="89" t="str">
        <f ca="1">IFERROR(__xludf.DUMMYFUNCTION("""COMPUTED_VALUE"""),"Pran Noodles Ramen 85g for KSA")</f>
        <v>Pran Noodles Ramen 85g for KSA</v>
      </c>
      <c r="B844" s="90" t="str">
        <f ca="1">IFERROR(__xludf.DUMMYFUNCTION("""COMPUTED_VALUE"""),"KSA")</f>
        <v>KSA</v>
      </c>
      <c r="C844" s="91" t="str">
        <f ca="1">IFERROR(__xludf.DUMMYFUNCTION("""COMPUTED_VALUE"""),"Shamsul Sir")</f>
        <v>Shamsul Sir</v>
      </c>
      <c r="D844" s="92" t="str">
        <f ca="1">IFERROR(__xludf.DUMMYFUNCTION("""COMPUTED_VALUE"""),"Md Iasin Ahmed Showrov (S204960)")</f>
        <v>Md Iasin Ahmed Showrov (S204960)</v>
      </c>
      <c r="E844" s="93" t="str">
        <f ca="1">IFERROR(__xludf.DUMMYFUNCTION("""COMPUTED_VALUE"""),"CB36692_Jun26")</f>
        <v>CB36692_Jun26</v>
      </c>
      <c r="F844" s="94" t="str">
        <f ca="1">IFERROR(__xludf.DUMMYFUNCTION("""COMPUTED_VALUE"""),"Packaging Text Design #2")</f>
        <v>Packaging Text Design #2</v>
      </c>
      <c r="G844" s="95" t="str">
        <f ca="1">IFERROR(__xludf.DUMMYFUNCTION("""COMPUTED_VALUE"""),"New")</f>
        <v>New</v>
      </c>
      <c r="H844" s="96">
        <f ca="1">IFERROR(__xludf.DUMMYFUNCTION("""COMPUTED_VALUE"""),4)</f>
        <v>4</v>
      </c>
      <c r="I844" s="97">
        <f ca="1">IFERROR(__xludf.DUMMYFUNCTION("""COMPUTED_VALUE"""),46205)</f>
        <v>46205</v>
      </c>
      <c r="J844" s="98" t="str">
        <f ca="1">IFERROR(__xludf.DUMMYFUNCTION("""COMPUTED_VALUE"""),"CW39017_Jul26")</f>
        <v>CW39017_Jul26</v>
      </c>
      <c r="K844" s="99" t="str">
        <f ca="1">IFERROR(__xludf.DUMMYFUNCTION("""COMPUTED_VALUE"""),"Brief Submitted")</f>
        <v>Brief Submitted</v>
      </c>
    </row>
    <row r="845" spans="1:11" ht="13.2">
      <c r="A845" s="89" t="str">
        <f ca="1">IFERROR(__xludf.DUMMYFUNCTION("""COMPUTED_VALUE"""),"PRAN LItchi Drink Cartoon Design")</f>
        <v>PRAN LItchi Drink Cartoon Design</v>
      </c>
      <c r="B845" s="90" t="str">
        <f ca="1">IFERROR(__xludf.DUMMYFUNCTION("""COMPUTED_VALUE"""),"AMCL")</f>
        <v>AMCL</v>
      </c>
      <c r="C845" s="91" t="str">
        <f ca="1">IFERROR(__xludf.DUMMYFUNCTION("""COMPUTED_VALUE"""),"meher Parthona Apu")</f>
        <v>meher Parthona Apu</v>
      </c>
      <c r="D845" s="92" t="str">
        <f ca="1">IFERROR(__xludf.DUMMYFUNCTION("""COMPUTED_VALUE"""),"Md Iasin Ahmed Showrov (S204960)")</f>
        <v>Md Iasin Ahmed Showrov (S204960)</v>
      </c>
      <c r="E845" s="93" t="str">
        <f ca="1">IFERROR(__xludf.DUMMYFUNCTION("""COMPUTED_VALUE"""),"CB36970_Jun26")</f>
        <v>CB36970_Jun26</v>
      </c>
      <c r="F845" s="94" t="str">
        <f ca="1">IFERROR(__xludf.DUMMYFUNCTION("""COMPUTED_VALUE"""),"Carton Design")</f>
        <v>Carton Design</v>
      </c>
      <c r="G845" s="95" t="str">
        <f ca="1">IFERROR(__xludf.DUMMYFUNCTION("""COMPUTED_VALUE"""),"New")</f>
        <v>New</v>
      </c>
      <c r="H845" s="96">
        <f ca="1">IFERROR(__xludf.DUMMYFUNCTION("""COMPUTED_VALUE"""),1)</f>
        <v>1</v>
      </c>
      <c r="I845" s="97"/>
      <c r="J845" s="98" t="str">
        <f ca="1">IFERROR(__xludf.DUMMYFUNCTION("""COMPUTED_VALUE"""),"Unknown")</f>
        <v>Unknown</v>
      </c>
      <c r="K845" s="99" t="str">
        <f ca="1">IFERROR(__xludf.DUMMYFUNCTION("""COMPUTED_VALUE"""),"Running")</f>
        <v>Running</v>
      </c>
    </row>
    <row r="846" spans="1:11" ht="13.2">
      <c r="A846" s="89" t="str">
        <f ca="1">IFERROR(__xludf.DUMMYFUNCTION("""COMPUTED_VALUE"""),"Cheer Up text correction for local")</f>
        <v>Cheer Up text correction for local</v>
      </c>
      <c r="B846" s="90" t="str">
        <f ca="1">IFERROR(__xludf.DUMMYFUNCTION("""COMPUTED_VALUE"""),"AMCL")</f>
        <v>AMCL</v>
      </c>
      <c r="C846" s="91" t="str">
        <f ca="1">IFERROR(__xludf.DUMMYFUNCTION("""COMPUTED_VALUE"""),"Sharif Vai")</f>
        <v>Sharif Vai</v>
      </c>
      <c r="D846" s="92" t="str">
        <f ca="1">IFERROR(__xludf.DUMMYFUNCTION("""COMPUTED_VALUE"""),"Md Iasin Ahmed Showrov (S204960)")</f>
        <v>Md Iasin Ahmed Showrov (S204960)</v>
      </c>
      <c r="E846" s="93" t="str">
        <f ca="1">IFERROR(__xludf.DUMMYFUNCTION("""COMPUTED_VALUE"""),"CB36502_Jun26")</f>
        <v>CB36502_Jun26</v>
      </c>
      <c r="F846" s="94" t="str">
        <f ca="1">IFERROR(__xludf.DUMMYFUNCTION("""COMPUTED_VALUE"""),"Packaging Text Design #2")</f>
        <v>Packaging Text Design #2</v>
      </c>
      <c r="G846" s="95" t="str">
        <f ca="1">IFERROR(__xludf.DUMMYFUNCTION("""COMPUTED_VALUE"""),"New")</f>
        <v>New</v>
      </c>
      <c r="H846" s="96">
        <f ca="1">IFERROR(__xludf.DUMMYFUNCTION("""COMPUTED_VALUE"""),4)</f>
        <v>4</v>
      </c>
      <c r="I846" s="97">
        <f ca="1">IFERROR(__xludf.DUMMYFUNCTION("""COMPUTED_VALUE"""),46202)</f>
        <v>46202</v>
      </c>
      <c r="J846" s="98" t="str">
        <f ca="1">IFERROR(__xludf.DUMMYFUNCTION("""COMPUTED_VALUE"""),"CW38400_Jun26")</f>
        <v>CW38400_Jun26</v>
      </c>
      <c r="K846" s="99" t="str">
        <f ca="1">IFERROR(__xludf.DUMMYFUNCTION("""COMPUTED_VALUE"""),"Brief Submitted")</f>
        <v>Brief Submitted</v>
      </c>
    </row>
    <row r="847" spans="1:11" ht="13.2">
      <c r="A847" s="89" t="str">
        <f ca="1">IFERROR(__xludf.DUMMYFUNCTION("""COMPUTED_VALUE"""),"PRAN Bhujia Both Masala and Mint 40g, 300g for Export")</f>
        <v>PRAN Bhujia Both Masala and Mint 40g, 300g for Export</v>
      </c>
      <c r="B847" s="90" t="str">
        <f ca="1">IFERROR(__xludf.DUMMYFUNCTION("""COMPUTED_VALUE"""),"PFL")</f>
        <v>PFL</v>
      </c>
      <c r="C847" s="91" t="str">
        <f ca="1">IFERROR(__xludf.DUMMYFUNCTION("""COMPUTED_VALUE"""),"Shamsul Sir")</f>
        <v>Shamsul Sir</v>
      </c>
      <c r="D847" s="92" t="str">
        <f ca="1">IFERROR(__xludf.DUMMYFUNCTION("""COMPUTED_VALUE"""),"Md Iasin Ahmed Showrov (S204960)")</f>
        <v>Md Iasin Ahmed Showrov (S204960)</v>
      </c>
      <c r="E847" s="93" t="str">
        <f ca="1">IFERROR(__xludf.DUMMYFUNCTION("""COMPUTED_VALUE"""),"CB37192_Jun26")</f>
        <v>CB37192_Jun26</v>
      </c>
      <c r="F847" s="94" t="str">
        <f ca="1">IFERROR(__xludf.DUMMYFUNCTION("""COMPUTED_VALUE"""),"Packaging Text Design #2")</f>
        <v>Packaging Text Design #2</v>
      </c>
      <c r="G847" s="95" t="str">
        <f ca="1">IFERROR(__xludf.DUMMYFUNCTION("""COMPUTED_VALUE"""),"New")</f>
        <v>New</v>
      </c>
      <c r="H847" s="96">
        <f ca="1">IFERROR(__xludf.DUMMYFUNCTION("""COMPUTED_VALUE"""),4)</f>
        <v>4</v>
      </c>
      <c r="I847" s="97"/>
      <c r="J847" s="98" t="str">
        <f ca="1">IFERROR(__xludf.DUMMYFUNCTION("""COMPUTED_VALUE"""),"Unknown")</f>
        <v>Unknown</v>
      </c>
      <c r="K847" s="99" t="str">
        <f ca="1">IFERROR(__xludf.DUMMYFUNCTION("""COMPUTED_VALUE"""),"Running")</f>
        <v>Running</v>
      </c>
    </row>
    <row r="848" spans="1:11" ht="13.2">
      <c r="A848" s="89" t="str">
        <f ca="1">IFERROR(__xludf.DUMMYFUNCTION("""COMPUTED_VALUE"""),"Pran Chilli, Turmeric, Cumin for Vietnam")</f>
        <v>Pran Chilli, Turmeric, Cumin for Vietnam</v>
      </c>
      <c r="B848" s="90" t="str">
        <f ca="1">IFERROR(__xludf.DUMMYFUNCTION("""COMPUTED_VALUE"""),"NAL")</f>
        <v>NAL</v>
      </c>
      <c r="C848" s="91" t="str">
        <f ca="1">IFERROR(__xludf.DUMMYFUNCTION("""COMPUTED_VALUE"""),"Mona Apu")</f>
        <v>Mona Apu</v>
      </c>
      <c r="D848" s="92" t="str">
        <f ca="1">IFERROR(__xludf.DUMMYFUNCTION("""COMPUTED_VALUE"""),"Md Iasin Ahmed Showrov (S204960)")</f>
        <v>Md Iasin Ahmed Showrov (S204960)</v>
      </c>
      <c r="E848" s="93" t="str">
        <f ca="1">IFERROR(__xludf.DUMMYFUNCTION("""COMPUTED_VALUE"""),"CB37300_Jun26")</f>
        <v>CB37300_Jun26</v>
      </c>
      <c r="F848" s="94" t="str">
        <f ca="1">IFERROR(__xludf.DUMMYFUNCTION("""COMPUTED_VALUE"""),"Packaging Text Design #1")</f>
        <v>Packaging Text Design #1</v>
      </c>
      <c r="G848" s="95" t="str">
        <f ca="1">IFERROR(__xludf.DUMMYFUNCTION("""COMPUTED_VALUE"""),"New")</f>
        <v>New</v>
      </c>
      <c r="H848" s="96">
        <f ca="1">IFERROR(__xludf.DUMMYFUNCTION("""COMPUTED_VALUE"""),6)</f>
        <v>6</v>
      </c>
      <c r="I848" s="97">
        <f ca="1">IFERROR(__xludf.DUMMYFUNCTION("""COMPUTED_VALUE"""),46198)</f>
        <v>46198</v>
      </c>
      <c r="J848" s="98" t="str">
        <f ca="1">IFERROR(__xludf.DUMMYFUNCTION("""COMPUTED_VALUE"""),"CW37915_Jun26")</f>
        <v>CW37915_Jun26</v>
      </c>
      <c r="K848" s="99" t="str">
        <f ca="1">IFERROR(__xludf.DUMMYFUNCTION("""COMPUTED_VALUE"""),"Brief Submitted")</f>
        <v>Brief Submitted</v>
      </c>
    </row>
    <row r="849" spans="1:11" ht="13.2">
      <c r="A849" s="89" t="str">
        <f ca="1">IFERROR(__xludf.DUMMYFUNCTION("""COMPUTED_VALUE"""),"Princes Hair Brush")</f>
        <v>Princes Hair Brush</v>
      </c>
      <c r="B849" s="90" t="str">
        <f ca="1">IFERROR(__xludf.DUMMYFUNCTION("""COMPUTED_VALUE"""),"BBML")</f>
        <v>BBML</v>
      </c>
      <c r="C849" s="91" t="str">
        <f ca="1">IFERROR(__xludf.DUMMYFUNCTION("""COMPUTED_VALUE"""),"haimonti apu")</f>
        <v>haimonti apu</v>
      </c>
      <c r="D849" s="92" t="str">
        <f ca="1">IFERROR(__xludf.DUMMYFUNCTION("""COMPUTED_VALUE"""),"Md Iasin Ahmed Showrov (S204960)")</f>
        <v>Md Iasin Ahmed Showrov (S204960)</v>
      </c>
      <c r="E849" s="93" t="str">
        <f ca="1">IFERROR(__xludf.DUMMYFUNCTION("""COMPUTED_VALUE"""),"CB37070_Jun26")</f>
        <v>CB37070_Jun26</v>
      </c>
      <c r="F849" s="94" t="str">
        <f ca="1">IFERROR(__xludf.DUMMYFUNCTION("""COMPUTED_VALUE"""),"Packaging Text Design #1")</f>
        <v>Packaging Text Design #1</v>
      </c>
      <c r="G849" s="95" t="str">
        <f ca="1">IFERROR(__xludf.DUMMYFUNCTION("""COMPUTED_VALUE"""),"New")</f>
        <v>New</v>
      </c>
      <c r="H849" s="96">
        <f ca="1">IFERROR(__xludf.DUMMYFUNCTION("""COMPUTED_VALUE"""),4)</f>
        <v>4</v>
      </c>
      <c r="I849" s="97">
        <f ca="1">IFERROR(__xludf.DUMMYFUNCTION("""COMPUTED_VALUE"""),46198)</f>
        <v>46198</v>
      </c>
      <c r="J849" s="98" t="str">
        <f ca="1">IFERROR(__xludf.DUMMYFUNCTION("""COMPUTED_VALUE"""),"CW37910_Jun26")</f>
        <v>CW37910_Jun26</v>
      </c>
      <c r="K849" s="99" t="str">
        <f ca="1">IFERROR(__xludf.DUMMYFUNCTION("""COMPUTED_VALUE"""),"Brief Submitted")</f>
        <v>Brief Submitted</v>
      </c>
    </row>
    <row r="850" spans="1:11" ht="13.2">
      <c r="A850" s="89" t="str">
        <f ca="1">IFERROR(__xludf.DUMMYFUNCTION("""COMPUTED_VALUE"""),"Jolpai Pickle 900g")</f>
        <v>Jolpai Pickle 900g</v>
      </c>
      <c r="B850" s="90" t="str">
        <f ca="1">IFERROR(__xludf.DUMMYFUNCTION("""COMPUTED_VALUE"""),"PAL")</f>
        <v>PAL</v>
      </c>
      <c r="C850" s="91" t="str">
        <f ca="1">IFERROR(__xludf.DUMMYFUNCTION("""COMPUTED_VALUE"""),"Shamsul Sir")</f>
        <v>Shamsul Sir</v>
      </c>
      <c r="D850" s="92" t="str">
        <f ca="1">IFERROR(__xludf.DUMMYFUNCTION("""COMPUTED_VALUE"""),"Md Iasin Ahmed Showrov (S204960)")</f>
        <v>Md Iasin Ahmed Showrov (S204960)</v>
      </c>
      <c r="E850" s="93" t="str">
        <f ca="1">IFERROR(__xludf.DUMMYFUNCTION("""COMPUTED_VALUE"""),"Unknown")</f>
        <v>Unknown</v>
      </c>
      <c r="F850" s="94" t="str">
        <f ca="1">IFERROR(__xludf.DUMMYFUNCTION("""COMPUTED_VALUE"""),"Packaging Text Design #2")</f>
        <v>Packaging Text Design #2</v>
      </c>
      <c r="G850" s="95" t="str">
        <f ca="1">IFERROR(__xludf.DUMMYFUNCTION("""COMPUTED_VALUE"""),"New")</f>
        <v>New</v>
      </c>
      <c r="H850" s="96">
        <f ca="1">IFERROR(__xludf.DUMMYFUNCTION("""COMPUTED_VALUE"""),1)</f>
        <v>1</v>
      </c>
      <c r="I850" s="97"/>
      <c r="J850" s="98" t="str">
        <f ca="1">IFERROR(__xludf.DUMMYFUNCTION("""COMPUTED_VALUE"""),"Unknown")</f>
        <v>Unknown</v>
      </c>
      <c r="K850" s="99" t="str">
        <f ca="1">IFERROR(__xludf.DUMMYFUNCTION("""COMPUTED_VALUE"""),"Running")</f>
        <v>Running</v>
      </c>
    </row>
    <row r="851" spans="1:11" ht="13.2">
      <c r="A851" s="89" t="str">
        <f ca="1">IFERROR(__xludf.DUMMYFUNCTION("""COMPUTED_VALUE"""),"PRAN CHOCOBEAN TOFFEE (FEEDER SHAPE) (35G x 20 PCS)")</f>
        <v>PRAN CHOCOBEAN TOFFEE (FEEDER SHAPE) (35G x 20 PCS)</v>
      </c>
      <c r="B851" s="90" t="str">
        <f ca="1">IFERROR(__xludf.DUMMYFUNCTION("""COMPUTED_VALUE"""),"PAL")</f>
        <v>PAL</v>
      </c>
      <c r="C851" s="91" t="str">
        <f ca="1">IFERROR(__xludf.DUMMYFUNCTION("""COMPUTED_VALUE"""),"Rabby Vai")</f>
        <v>Rabby Vai</v>
      </c>
      <c r="D851" s="92" t="str">
        <f ca="1">IFERROR(__xludf.DUMMYFUNCTION("""COMPUTED_VALUE"""),"Md Iasin Ahmed Showrov (S204960)")</f>
        <v>Md Iasin Ahmed Showrov (S204960)</v>
      </c>
      <c r="E851" s="93" t="str">
        <f ca="1">IFERROR(__xludf.DUMMYFUNCTION("""COMPUTED_VALUE"""),"CB37291_Jun26")</f>
        <v>CB37291_Jun26</v>
      </c>
      <c r="F851" s="94" t="str">
        <f ca="1">IFERROR(__xludf.DUMMYFUNCTION("""COMPUTED_VALUE"""),"Packaging Text Design #1")</f>
        <v>Packaging Text Design #1</v>
      </c>
      <c r="G851" s="95" t="str">
        <f ca="1">IFERROR(__xludf.DUMMYFUNCTION("""COMPUTED_VALUE"""),"New")</f>
        <v>New</v>
      </c>
      <c r="H851" s="96">
        <f ca="1">IFERROR(__xludf.DUMMYFUNCTION("""COMPUTED_VALUE"""),2)</f>
        <v>2</v>
      </c>
      <c r="I851" s="97">
        <f ca="1">IFERROR(__xludf.DUMMYFUNCTION("""COMPUTED_VALUE"""),46202)</f>
        <v>46202</v>
      </c>
      <c r="J851" s="98" t="str">
        <f ca="1">IFERROR(__xludf.DUMMYFUNCTION("""COMPUTED_VALUE"""),"CW38288_Jun26")</f>
        <v>CW38288_Jun26</v>
      </c>
      <c r="K851" s="99" t="str">
        <f ca="1">IFERROR(__xludf.DUMMYFUNCTION("""COMPUTED_VALUE"""),"Brief Submitted")</f>
        <v>Brief Submitted</v>
      </c>
    </row>
    <row r="852" spans="1:11" ht="13.2">
      <c r="A852" s="89" t="str">
        <f ca="1">IFERROR(__xludf.DUMMYFUNCTION("""COMPUTED_VALUE"""),"M&amp;S CHOCOLATE YUMMY CHOCOLATE BEAN 11G")</f>
        <v>M&amp;S CHOCOLATE YUMMY CHOCOLATE BEAN 11G</v>
      </c>
      <c r="B852" s="90" t="str">
        <f ca="1">IFERROR(__xludf.DUMMYFUNCTION("""COMPUTED_VALUE"""),"PAL")</f>
        <v>PAL</v>
      </c>
      <c r="C852" s="91" t="str">
        <f ca="1">IFERROR(__xludf.DUMMYFUNCTION("""COMPUTED_VALUE"""),"Farjana Apu")</f>
        <v>Farjana Apu</v>
      </c>
      <c r="D852" s="92" t="str">
        <f ca="1">IFERROR(__xludf.DUMMYFUNCTION("""COMPUTED_VALUE"""),"Md Iasin Ahmed Showrov (S204960)")</f>
        <v>Md Iasin Ahmed Showrov (S204960)</v>
      </c>
      <c r="E852" s="93" t="str">
        <f ca="1">IFERROR(__xludf.DUMMYFUNCTION("""COMPUTED_VALUE"""),"CB36572_Jun26")</f>
        <v>CB36572_Jun26</v>
      </c>
      <c r="F852" s="94" t="str">
        <f ca="1">IFERROR(__xludf.DUMMYFUNCTION("""COMPUTED_VALUE"""),"Packaging Text Design #1")</f>
        <v>Packaging Text Design #1</v>
      </c>
      <c r="G852" s="95" t="str">
        <f ca="1">IFERROR(__xludf.DUMMYFUNCTION("""COMPUTED_VALUE"""),"New")</f>
        <v>New</v>
      </c>
      <c r="H852" s="96">
        <f ca="1">IFERROR(__xludf.DUMMYFUNCTION("""COMPUTED_VALUE"""),2)</f>
        <v>2</v>
      </c>
      <c r="I852" s="97">
        <f ca="1">IFERROR(__xludf.DUMMYFUNCTION("""COMPUTED_VALUE"""),46202)</f>
        <v>46202</v>
      </c>
      <c r="J852" s="98" t="str">
        <f ca="1">IFERROR(__xludf.DUMMYFUNCTION("""COMPUTED_VALUE"""),"CW38290_Jun26")</f>
        <v>CW38290_Jun26</v>
      </c>
      <c r="K852" s="99" t="str">
        <f ca="1">IFERROR(__xludf.DUMMYFUNCTION("""COMPUTED_VALUE"""),"Brief Submitted")</f>
        <v>Brief Submitted</v>
      </c>
    </row>
    <row r="853" spans="1:11" ht="13.2">
      <c r="A853" s="89" t="str">
        <f ca="1">IFERROR(__xludf.DUMMYFUNCTION("""COMPUTED_VALUE"""),"Text Corrections for Mama Wafer Chocolate ")</f>
        <v xml:space="preserve">Text Corrections for Mama Wafer Chocolate </v>
      </c>
      <c r="B853" s="90" t="str">
        <f ca="1">IFERROR(__xludf.DUMMYFUNCTION("""COMPUTED_VALUE"""),"BBL")</f>
        <v>BBL</v>
      </c>
      <c r="C853" s="91" t="str">
        <f ca="1">IFERROR(__xludf.DUMMYFUNCTION("""COMPUTED_VALUE"""),"Shaifuddin Vai")</f>
        <v>Shaifuddin Vai</v>
      </c>
      <c r="D853" s="92" t="str">
        <f ca="1">IFERROR(__xludf.DUMMYFUNCTION("""COMPUTED_VALUE"""),"Md Iasin Ahmed Showrov (S204960)")</f>
        <v>Md Iasin Ahmed Showrov (S204960)</v>
      </c>
      <c r="E853" s="93" t="str">
        <f ca="1">IFERROR(__xludf.DUMMYFUNCTION("""COMPUTED_VALUE"""),"CB37488_Jun26")</f>
        <v>CB37488_Jun26</v>
      </c>
      <c r="F853" s="94" t="str">
        <f ca="1">IFERROR(__xludf.DUMMYFUNCTION("""COMPUTED_VALUE"""),"Packaging Text Design #2")</f>
        <v>Packaging Text Design #2</v>
      </c>
      <c r="G853" s="95" t="str">
        <f ca="1">IFERROR(__xludf.DUMMYFUNCTION("""COMPUTED_VALUE"""),"New")</f>
        <v>New</v>
      </c>
      <c r="H853" s="96">
        <f ca="1">IFERROR(__xludf.DUMMYFUNCTION("""COMPUTED_VALUE"""),2)</f>
        <v>2</v>
      </c>
      <c r="I853" s="97">
        <f ca="1">IFERROR(__xludf.DUMMYFUNCTION("""COMPUTED_VALUE"""),46205)</f>
        <v>46205</v>
      </c>
      <c r="J853" s="98" t="str">
        <f ca="1">IFERROR(__xludf.DUMMYFUNCTION("""COMPUTED_VALUE"""),"CW39000_Jul26")</f>
        <v>CW39000_Jul26</v>
      </c>
      <c r="K853" s="99" t="str">
        <f ca="1">IFERROR(__xludf.DUMMYFUNCTION("""COMPUTED_VALUE"""),"Brief Submitted")</f>
        <v>Brief Submitted</v>
      </c>
    </row>
    <row r="854" spans="1:11" ht="13.2">
      <c r="A854" s="89" t="str">
        <f ca="1">IFERROR(__xludf.DUMMYFUNCTION("""COMPUTED_VALUE"""),"PRAN Garam Masala 50g")</f>
        <v>PRAN Garam Masala 50g</v>
      </c>
      <c r="B854" s="90" t="str">
        <f ca="1">IFERROR(__xludf.DUMMYFUNCTION("""COMPUTED_VALUE"""),"Export Common")</f>
        <v>Export Common</v>
      </c>
      <c r="C854" s="91" t="str">
        <f ca="1">IFERROR(__xludf.DUMMYFUNCTION("""COMPUTED_VALUE"""),"Saifullah Vai")</f>
        <v>Saifullah Vai</v>
      </c>
      <c r="D854" s="92" t="str">
        <f ca="1">IFERROR(__xludf.DUMMYFUNCTION("""COMPUTED_VALUE"""),"Md Iasin Ahmed Showrov (S204960)")</f>
        <v>Md Iasin Ahmed Showrov (S204960)</v>
      </c>
      <c r="E854" s="93" t="str">
        <f ca="1">IFERROR(__xludf.DUMMYFUNCTION("""COMPUTED_VALUE"""),"CB37514_Jun26")</f>
        <v>CB37514_Jun26</v>
      </c>
      <c r="F854" s="94" t="str">
        <f ca="1">IFERROR(__xludf.DUMMYFUNCTION("""COMPUTED_VALUE"""),"Packaging Text Design #2")</f>
        <v>Packaging Text Design #2</v>
      </c>
      <c r="G854" s="95" t="str">
        <f ca="1">IFERROR(__xludf.DUMMYFUNCTION("""COMPUTED_VALUE"""),"New")</f>
        <v>New</v>
      </c>
      <c r="H854" s="96">
        <f ca="1">IFERROR(__xludf.DUMMYFUNCTION("""COMPUTED_VALUE"""),1)</f>
        <v>1</v>
      </c>
      <c r="I854" s="97">
        <f ca="1">IFERROR(__xludf.DUMMYFUNCTION("""COMPUTED_VALUE"""),46202)</f>
        <v>46202</v>
      </c>
      <c r="J854" s="98" t="str">
        <f ca="1">IFERROR(__xludf.DUMMYFUNCTION("""COMPUTED_VALUE"""),"CW38285_Jun26")</f>
        <v>CW38285_Jun26</v>
      </c>
      <c r="K854" s="99" t="str">
        <f ca="1">IFERROR(__xludf.DUMMYFUNCTION("""COMPUTED_VALUE"""),"Brief Submitted")</f>
        <v>Brief Submitted</v>
      </c>
    </row>
    <row r="855" spans="1:11" ht="13.2">
      <c r="A855" s="89" t="str">
        <f ca="1">IFERROR(__xludf.DUMMYFUNCTION("""COMPUTED_VALUE"""),"Jhotpot Chicken Pizza")</f>
        <v>Jhotpot Chicken Pizza</v>
      </c>
      <c r="B855" s="90" t="str">
        <f ca="1">IFERROR(__xludf.DUMMYFUNCTION("""COMPUTED_VALUE"""),"Philippines")</f>
        <v>Philippines</v>
      </c>
      <c r="C855" s="91" t="str">
        <f ca="1">IFERROR(__xludf.DUMMYFUNCTION("""COMPUTED_VALUE"""),"Farjana Apu")</f>
        <v>Farjana Apu</v>
      </c>
      <c r="D855" s="92" t="str">
        <f ca="1">IFERROR(__xludf.DUMMYFUNCTION("""COMPUTED_VALUE"""),"Md Iasin Ahmed Showrov (S204960)")</f>
        <v>Md Iasin Ahmed Showrov (S204960)</v>
      </c>
      <c r="E855" s="93" t="str">
        <f ca="1">IFERROR(__xludf.DUMMYFUNCTION("""COMPUTED_VALUE"""),"CB37647_Jun26")</f>
        <v>CB37647_Jun26</v>
      </c>
      <c r="F855" s="94" t="str">
        <f ca="1">IFERROR(__xludf.DUMMYFUNCTION("""COMPUTED_VALUE"""),"Packaging Text Design #1")</f>
        <v>Packaging Text Design #1</v>
      </c>
      <c r="G855" s="95" t="str">
        <f ca="1">IFERROR(__xludf.DUMMYFUNCTION("""COMPUTED_VALUE"""),"New")</f>
        <v>New</v>
      </c>
      <c r="H855" s="96">
        <f ca="1">IFERROR(__xludf.DUMMYFUNCTION("""COMPUTED_VALUE"""),1)</f>
        <v>1</v>
      </c>
      <c r="I855" s="97">
        <f ca="1">IFERROR(__xludf.DUMMYFUNCTION("""COMPUTED_VALUE"""),46202)</f>
        <v>46202</v>
      </c>
      <c r="J855" s="98" t="str">
        <f ca="1">IFERROR(__xludf.DUMMYFUNCTION("""COMPUTED_VALUE"""),"CW38287_Jun26")</f>
        <v>CW38287_Jun26</v>
      </c>
      <c r="K855" s="99" t="str">
        <f ca="1">IFERROR(__xludf.DUMMYFUNCTION("""COMPUTED_VALUE"""),"Brief Submitted")</f>
        <v>Brief Submitted</v>
      </c>
    </row>
    <row r="856" spans="1:11" ht="13.2">
      <c r="A856" s="89" t="str">
        <f ca="1">IFERROR(__xludf.DUMMYFUNCTION("""COMPUTED_VALUE"""),"Pran Plus Plus Tamarind Candy")</f>
        <v>Pran Plus Plus Tamarind Candy</v>
      </c>
      <c r="B856" s="90" t="str">
        <f ca="1">IFERROR(__xludf.DUMMYFUNCTION("""COMPUTED_VALUE"""),"Philippines")</f>
        <v>Philippines</v>
      </c>
      <c r="C856" s="91" t="str">
        <f ca="1">IFERROR(__xludf.DUMMYFUNCTION("""COMPUTED_VALUE"""),"Farjana Apu")</f>
        <v>Farjana Apu</v>
      </c>
      <c r="D856" s="92" t="str">
        <f ca="1">IFERROR(__xludf.DUMMYFUNCTION("""COMPUTED_VALUE"""),"Md Iasin Ahmed Showrov (S204960)")</f>
        <v>Md Iasin Ahmed Showrov (S204960)</v>
      </c>
      <c r="E856" s="93" t="str">
        <f ca="1">IFERROR(__xludf.DUMMYFUNCTION("""COMPUTED_VALUE"""),"CB37769_Jun26")</f>
        <v>CB37769_Jun26</v>
      </c>
      <c r="F856" s="94" t="str">
        <f ca="1">IFERROR(__xludf.DUMMYFUNCTION("""COMPUTED_VALUE"""),"Packaging Text Design #1")</f>
        <v>Packaging Text Design #1</v>
      </c>
      <c r="G856" s="95" t="str">
        <f ca="1">IFERROR(__xludf.DUMMYFUNCTION("""COMPUTED_VALUE"""),"New")</f>
        <v>New</v>
      </c>
      <c r="H856" s="96">
        <f ca="1">IFERROR(__xludf.DUMMYFUNCTION("""COMPUTED_VALUE"""),2)</f>
        <v>2</v>
      </c>
      <c r="I856" s="97">
        <f ca="1">IFERROR(__xludf.DUMMYFUNCTION("""COMPUTED_VALUE"""),46202)</f>
        <v>46202</v>
      </c>
      <c r="J856" s="98" t="str">
        <f ca="1">IFERROR(__xludf.DUMMYFUNCTION("""COMPUTED_VALUE"""),"CW38398_Jun26")</f>
        <v>CW38398_Jun26</v>
      </c>
      <c r="K856" s="99" t="str">
        <f ca="1">IFERROR(__xludf.DUMMYFUNCTION("""COMPUTED_VALUE"""),"Brief Submitted")</f>
        <v>Brief Submitted</v>
      </c>
    </row>
    <row r="857" spans="1:11" ht="13.2">
      <c r="A857" s="89" t="str">
        <f ca="1">IFERROR(__xludf.DUMMYFUNCTION("""COMPUTED_VALUE"""),"Choco Choco Paste 4g for Phillipine")</f>
        <v>Choco Choco Paste 4g for Phillipine</v>
      </c>
      <c r="B857" s="90" t="str">
        <f ca="1">IFERROR(__xludf.DUMMYFUNCTION("""COMPUTED_VALUE"""),"Philippines")</f>
        <v>Philippines</v>
      </c>
      <c r="C857" s="91" t="str">
        <f ca="1">IFERROR(__xludf.DUMMYFUNCTION("""COMPUTED_VALUE"""),"Farjana Apu")</f>
        <v>Farjana Apu</v>
      </c>
      <c r="D857" s="92" t="str">
        <f ca="1">IFERROR(__xludf.DUMMYFUNCTION("""COMPUTED_VALUE"""),"Md Iasin Ahmed Showrov (S204960)")</f>
        <v>Md Iasin Ahmed Showrov (S204960)</v>
      </c>
      <c r="E857" s="93" t="str">
        <f ca="1">IFERROR(__xludf.DUMMYFUNCTION("""COMPUTED_VALUE"""),"CB37770_Jun26")</f>
        <v>CB37770_Jun26</v>
      </c>
      <c r="F857" s="94" t="str">
        <f ca="1">IFERROR(__xludf.DUMMYFUNCTION("""COMPUTED_VALUE"""),"Packaging Text Design #1")</f>
        <v>Packaging Text Design #1</v>
      </c>
      <c r="G857" s="95" t="str">
        <f ca="1">IFERROR(__xludf.DUMMYFUNCTION("""COMPUTED_VALUE"""),"New")</f>
        <v>New</v>
      </c>
      <c r="H857" s="96">
        <f ca="1">IFERROR(__xludf.DUMMYFUNCTION("""COMPUTED_VALUE"""),5)</f>
        <v>5</v>
      </c>
      <c r="I857" s="97">
        <f ca="1">IFERROR(__xludf.DUMMYFUNCTION("""COMPUTED_VALUE"""),46202)</f>
        <v>46202</v>
      </c>
      <c r="J857" s="98" t="str">
        <f ca="1">IFERROR(__xludf.DUMMYFUNCTION("""COMPUTED_VALUE"""),"CW38397_Jun26")</f>
        <v>CW38397_Jun26</v>
      </c>
      <c r="K857" s="99" t="str">
        <f ca="1">IFERROR(__xludf.DUMMYFUNCTION("""COMPUTED_VALUE"""),"Brief Submitted")</f>
        <v>Brief Submitted</v>
      </c>
    </row>
    <row r="858" spans="1:11" ht="13.2">
      <c r="A858" s="89" t="str">
        <f ca="1">IFERROR(__xludf.DUMMYFUNCTION("""COMPUTED_VALUE"""),"Treat Choco Candy Carton Design")</f>
        <v>Treat Choco Candy Carton Design</v>
      </c>
      <c r="B858" s="90" t="str">
        <f ca="1">IFERROR(__xludf.DUMMYFUNCTION("""COMPUTED_VALUE"""),"PCL")</f>
        <v>PCL</v>
      </c>
      <c r="C858" s="91" t="str">
        <f ca="1">IFERROR(__xludf.DUMMYFUNCTION("""COMPUTED_VALUE"""),"Enamul Vai")</f>
        <v>Enamul Vai</v>
      </c>
      <c r="D858" s="92" t="str">
        <f ca="1">IFERROR(__xludf.DUMMYFUNCTION("""COMPUTED_VALUE"""),"Md Iasin Ahmed Showrov (S204960)")</f>
        <v>Md Iasin Ahmed Showrov (S204960)</v>
      </c>
      <c r="E858" s="93" t="str">
        <f ca="1">IFERROR(__xludf.DUMMYFUNCTION("""COMPUTED_VALUE"""),"CB37524_Jun26")</f>
        <v>CB37524_Jun26</v>
      </c>
      <c r="F858" s="94" t="str">
        <f ca="1">IFERROR(__xludf.DUMMYFUNCTION("""COMPUTED_VALUE"""),"Carton Design")</f>
        <v>Carton Design</v>
      </c>
      <c r="G858" s="95" t="str">
        <f ca="1">IFERROR(__xludf.DUMMYFUNCTION("""COMPUTED_VALUE"""),"New")</f>
        <v>New</v>
      </c>
      <c r="H858" s="96">
        <f ca="1">IFERROR(__xludf.DUMMYFUNCTION("""COMPUTED_VALUE"""),1)</f>
        <v>1</v>
      </c>
      <c r="I858" s="97">
        <f ca="1">IFERROR(__xludf.DUMMYFUNCTION("""COMPUTED_VALUE"""),46209)</f>
        <v>46209</v>
      </c>
      <c r="J858" s="98" t="str">
        <f ca="1">IFERROR(__xludf.DUMMYFUNCTION("""COMPUTED_VALUE"""),"CW39602_Jul26")</f>
        <v>CW39602_Jul26</v>
      </c>
      <c r="K858" s="99" t="str">
        <f ca="1">IFERROR(__xludf.DUMMYFUNCTION("""COMPUTED_VALUE"""),"Brief Submitted")</f>
        <v>Brief Submitted</v>
      </c>
    </row>
    <row r="859" spans="1:11" ht="13.2">
      <c r="A859" s="89" t="str">
        <f ca="1">IFERROR(__xludf.DUMMYFUNCTION("""COMPUTED_VALUE"""),"Pran Yummy Casew, Pistachio, Oats Cookies 42g for Phillipine")</f>
        <v>Pran Yummy Casew, Pistachio, Oats Cookies 42g for Phillipine</v>
      </c>
      <c r="B859" s="90" t="str">
        <f ca="1">IFERROR(__xludf.DUMMYFUNCTION("""COMPUTED_VALUE"""),"Philippines")</f>
        <v>Philippines</v>
      </c>
      <c r="C859" s="91" t="str">
        <f ca="1">IFERROR(__xludf.DUMMYFUNCTION("""COMPUTED_VALUE"""),"Farjana Apu")</f>
        <v>Farjana Apu</v>
      </c>
      <c r="D859" s="92" t="str">
        <f ca="1">IFERROR(__xludf.DUMMYFUNCTION("""COMPUTED_VALUE"""),"Md Iasin Ahmed Showrov (S204960)")</f>
        <v>Md Iasin Ahmed Showrov (S204960)</v>
      </c>
      <c r="E859" s="93" t="str">
        <f ca="1">IFERROR(__xludf.DUMMYFUNCTION("""COMPUTED_VALUE"""),"CB37771_Jun26")</f>
        <v>CB37771_Jun26</v>
      </c>
      <c r="F859" s="94" t="str">
        <f ca="1">IFERROR(__xludf.DUMMYFUNCTION("""COMPUTED_VALUE"""),"Packaging Text Design #1")</f>
        <v>Packaging Text Design #1</v>
      </c>
      <c r="G859" s="95" t="str">
        <f ca="1">IFERROR(__xludf.DUMMYFUNCTION("""COMPUTED_VALUE"""),"New")</f>
        <v>New</v>
      </c>
      <c r="H859" s="96">
        <f ca="1">IFERROR(__xludf.DUMMYFUNCTION("""COMPUTED_VALUE"""),1)</f>
        <v>1</v>
      </c>
      <c r="I859" s="97">
        <f ca="1">IFERROR(__xludf.DUMMYFUNCTION("""COMPUTED_VALUE"""),46202)</f>
        <v>46202</v>
      </c>
      <c r="J859" s="98" t="str">
        <f ca="1">IFERROR(__xludf.DUMMYFUNCTION("""COMPUTED_VALUE"""),"CW38396_Jun26")</f>
        <v>CW38396_Jun26</v>
      </c>
      <c r="K859" s="99" t="str">
        <f ca="1">IFERROR(__xludf.DUMMYFUNCTION("""COMPUTED_VALUE"""),"Brief Submitted")</f>
        <v>Brief Submitted</v>
      </c>
    </row>
    <row r="860" spans="1:11" ht="13.2">
      <c r="A860" s="89" t="str">
        <f ca="1">IFERROR(__xludf.DUMMYFUNCTION("""COMPUTED_VALUE"""),"Pran Instant Noodles Chicken Flavour")</f>
        <v>Pran Instant Noodles Chicken Flavour</v>
      </c>
      <c r="B860" s="90" t="str">
        <f ca="1">IFERROR(__xludf.DUMMYFUNCTION("""COMPUTED_VALUE"""),"PAL")</f>
        <v>PAL</v>
      </c>
      <c r="C860" s="91" t="str">
        <f ca="1">IFERROR(__xludf.DUMMYFUNCTION("""COMPUTED_VALUE"""),"Farjana Apu")</f>
        <v>Farjana Apu</v>
      </c>
      <c r="D860" s="92" t="str">
        <f ca="1">IFERROR(__xludf.DUMMYFUNCTION("""COMPUTED_VALUE"""),"Md Iasin Ahmed Showrov (S204960)")</f>
        <v>Md Iasin Ahmed Showrov (S204960)</v>
      </c>
      <c r="E860" s="93" t="str">
        <f ca="1">IFERROR(__xludf.DUMMYFUNCTION("""COMPUTED_VALUE"""),"CB37772_Jun26")</f>
        <v>CB37772_Jun26</v>
      </c>
      <c r="F860" s="94" t="str">
        <f ca="1">IFERROR(__xludf.DUMMYFUNCTION("""COMPUTED_VALUE"""),"Packaging Text Design #1")</f>
        <v>Packaging Text Design #1</v>
      </c>
      <c r="G860" s="95" t="str">
        <f ca="1">IFERROR(__xludf.DUMMYFUNCTION("""COMPUTED_VALUE"""),"New")</f>
        <v>New</v>
      </c>
      <c r="H860" s="96">
        <f ca="1">IFERROR(__xludf.DUMMYFUNCTION("""COMPUTED_VALUE"""),1)</f>
        <v>1</v>
      </c>
      <c r="I860" s="97">
        <f ca="1">IFERROR(__xludf.DUMMYFUNCTION("""COMPUTED_VALUE"""),46202)</f>
        <v>46202</v>
      </c>
      <c r="J860" s="98" t="str">
        <f ca="1">IFERROR(__xludf.DUMMYFUNCTION("""COMPUTED_VALUE"""),"CW38395_Jun26")</f>
        <v>CW38395_Jun26</v>
      </c>
      <c r="K860" s="99" t="str">
        <f ca="1">IFERROR(__xludf.DUMMYFUNCTION("""COMPUTED_VALUE"""),"Brief Submitted")</f>
        <v>Brief Submitted</v>
      </c>
    </row>
    <row r="861" spans="1:11" ht="13.2">
      <c r="A861" s="89" t="str">
        <f ca="1">IFERROR(__xludf.DUMMYFUNCTION("""COMPUTED_VALUE"""),"Document Correction")</f>
        <v>Document Correction</v>
      </c>
      <c r="B861" s="90" t="str">
        <f ca="1">IFERROR(__xludf.DUMMYFUNCTION("""COMPUTED_VALUE"""),"PAL")</f>
        <v>PAL</v>
      </c>
      <c r="C861" s="91" t="str">
        <f ca="1">IFERROR(__xludf.DUMMYFUNCTION("""COMPUTED_VALUE"""),"Saema Apu")</f>
        <v>Saema Apu</v>
      </c>
      <c r="D861" s="92" t="str">
        <f ca="1">IFERROR(__xludf.DUMMYFUNCTION("""COMPUTED_VALUE"""),"Md Iasin Ahmed Showrov (S204960)")</f>
        <v>Md Iasin Ahmed Showrov (S204960)</v>
      </c>
      <c r="E861" s="93" t="str">
        <f ca="1">IFERROR(__xludf.DUMMYFUNCTION("""COMPUTED_VALUE"""),"CB37797_Jun26")</f>
        <v>CB37797_Jun26</v>
      </c>
      <c r="F861" s="94" t="str">
        <f ca="1">IFERROR(__xludf.DUMMYFUNCTION("""COMPUTED_VALUE"""),"Document Text Correction")</f>
        <v>Document Text Correction</v>
      </c>
      <c r="G861" s="95" t="str">
        <f ca="1">IFERROR(__xludf.DUMMYFUNCTION("""COMPUTED_VALUE"""),"New")</f>
        <v>New</v>
      </c>
      <c r="H861" s="96">
        <f ca="1">IFERROR(__xludf.DUMMYFUNCTION("""COMPUTED_VALUE"""),1)</f>
        <v>1</v>
      </c>
      <c r="I861" s="97"/>
      <c r="J861" s="98" t="str">
        <f ca="1">IFERROR(__xludf.DUMMYFUNCTION("""COMPUTED_VALUE"""),"Unknown")</f>
        <v>Unknown</v>
      </c>
      <c r="K861" s="99" t="str">
        <f ca="1">IFERROR(__xludf.DUMMYFUNCTION("""COMPUTED_VALUE"""),"Running")</f>
        <v>Running</v>
      </c>
    </row>
    <row r="862" spans="1:11" ht="13.2">
      <c r="A862" s="89" t="str">
        <f ca="1">IFERROR(__xludf.DUMMYFUNCTION("""COMPUTED_VALUE"""),"PRAN SALTINO COOKIES BISCUITS 75G")</f>
        <v>PRAN SALTINO COOKIES BISCUITS 75G</v>
      </c>
      <c r="B862" s="90" t="str">
        <f ca="1">IFERROR(__xludf.DUMMYFUNCTION("""COMPUTED_VALUE"""),"BBL")</f>
        <v>BBL</v>
      </c>
      <c r="C862" s="91" t="str">
        <f ca="1">IFERROR(__xludf.DUMMYFUNCTION("""COMPUTED_VALUE"""),"Saema Apu")</f>
        <v>Saema Apu</v>
      </c>
      <c r="D862" s="92" t="str">
        <f ca="1">IFERROR(__xludf.DUMMYFUNCTION("""COMPUTED_VALUE"""),"Md Iasin Ahmed Showrov (S204960)")</f>
        <v>Md Iasin Ahmed Showrov (S204960)</v>
      </c>
      <c r="E862" s="93" t="str">
        <f ca="1">IFERROR(__xludf.DUMMYFUNCTION("""COMPUTED_VALUE"""),"CB21782_Apr26")</f>
        <v>CB21782_Apr26</v>
      </c>
      <c r="F862" s="94" t="str">
        <f ca="1">IFERROR(__xludf.DUMMYFUNCTION("""COMPUTED_VALUE"""),"Packaging Text Design #2")</f>
        <v>Packaging Text Design #2</v>
      </c>
      <c r="G862" s="95" t="str">
        <f ca="1">IFERROR(__xludf.DUMMYFUNCTION("""COMPUTED_VALUE"""),"New")</f>
        <v>New</v>
      </c>
      <c r="H862" s="96">
        <f ca="1">IFERROR(__xludf.DUMMYFUNCTION("""COMPUTED_VALUE"""),1)</f>
        <v>1</v>
      </c>
      <c r="I862" s="97">
        <f ca="1">IFERROR(__xludf.DUMMYFUNCTION("""COMPUTED_VALUE"""),46202)</f>
        <v>46202</v>
      </c>
      <c r="J862" s="98" t="str">
        <f ca="1">IFERROR(__xludf.DUMMYFUNCTION("""COMPUTED_VALUE"""),"CW38394_Jun26")</f>
        <v>CW38394_Jun26</v>
      </c>
      <c r="K862" s="99" t="str">
        <f ca="1">IFERROR(__xludf.DUMMYFUNCTION("""COMPUTED_VALUE"""),"Brief Submitted")</f>
        <v>Brief Submitted</v>
      </c>
    </row>
    <row r="863" spans="1:11" ht="13.2">
      <c r="A863" s="89" t="str">
        <f ca="1">IFERROR(__xludf.DUMMYFUNCTION("""COMPUTED_VALUE"""),"Pran Twiest Candy foil for KSA")</f>
        <v>Pran Twiest Candy foil for KSA</v>
      </c>
      <c r="B863" s="90" t="str">
        <f ca="1">IFERROR(__xludf.DUMMYFUNCTION("""COMPUTED_VALUE"""),"PCL")</f>
        <v>PCL</v>
      </c>
      <c r="C863" s="91" t="str">
        <f ca="1">IFERROR(__xludf.DUMMYFUNCTION("""COMPUTED_VALUE"""),"Shamsul Sir")</f>
        <v>Shamsul Sir</v>
      </c>
      <c r="D863" s="92" t="str">
        <f ca="1">IFERROR(__xludf.DUMMYFUNCTION("""COMPUTED_VALUE"""),"Md Iasin Ahmed Showrov (S204960)")</f>
        <v>Md Iasin Ahmed Showrov (S204960)</v>
      </c>
      <c r="E863" s="93" t="str">
        <f ca="1">IFERROR(__xludf.DUMMYFUNCTION("""COMPUTED_VALUE"""),"CB38442_Jul26")</f>
        <v>CB38442_Jul26</v>
      </c>
      <c r="F863" s="94" t="str">
        <f ca="1">IFERROR(__xludf.DUMMYFUNCTION("""COMPUTED_VALUE"""),"Packaging Text Design #2")</f>
        <v>Packaging Text Design #2</v>
      </c>
      <c r="G863" s="95" t="str">
        <f ca="1">IFERROR(__xludf.DUMMYFUNCTION("""COMPUTED_VALUE"""),"New")</f>
        <v>New</v>
      </c>
      <c r="H863" s="96">
        <f ca="1">IFERROR(__xludf.DUMMYFUNCTION("""COMPUTED_VALUE"""),1)</f>
        <v>1</v>
      </c>
      <c r="I863" s="97">
        <f ca="1">IFERROR(__xludf.DUMMYFUNCTION("""COMPUTED_VALUE"""),46209)</f>
        <v>46209</v>
      </c>
      <c r="J863" s="98" t="str">
        <f ca="1">IFERROR(__xludf.DUMMYFUNCTION("""COMPUTED_VALUE"""),"CW39603_Jul26")</f>
        <v>CW39603_Jul26</v>
      </c>
      <c r="K863" s="99" t="str">
        <f ca="1">IFERROR(__xludf.DUMMYFUNCTION("""COMPUTED_VALUE"""),"Brief Submitted")</f>
        <v>Brief Submitted</v>
      </c>
    </row>
    <row r="864" spans="1:11" ht="13.2">
      <c r="A864" s="89" t="str">
        <f ca="1">IFERROR(__xludf.DUMMYFUNCTION("""COMPUTED_VALUE"""),"Pran Shero Cream Biscuit for Gulf Market")</f>
        <v>Pran Shero Cream Biscuit for Gulf Market</v>
      </c>
      <c r="B864" s="90" t="str">
        <f ca="1">IFERROR(__xludf.DUMMYFUNCTION("""COMPUTED_VALUE"""),"BBL")</f>
        <v>BBL</v>
      </c>
      <c r="C864" s="91" t="str">
        <f ca="1">IFERROR(__xludf.DUMMYFUNCTION("""COMPUTED_VALUE"""),"Shamsul Sir")</f>
        <v>Shamsul Sir</v>
      </c>
      <c r="D864" s="92" t="str">
        <f ca="1">IFERROR(__xludf.DUMMYFUNCTION("""COMPUTED_VALUE"""),"Md Iasin Ahmed Showrov (S204960)")</f>
        <v>Md Iasin Ahmed Showrov (S204960)</v>
      </c>
      <c r="E864" s="93" t="str">
        <f ca="1">IFERROR(__xludf.DUMMYFUNCTION("""COMPUTED_VALUE"""),"Unknown")</f>
        <v>Unknown</v>
      </c>
      <c r="F864" s="94" t="str">
        <f ca="1">IFERROR(__xludf.DUMMYFUNCTION("""COMPUTED_VALUE"""),"Packaging Text Design #2")</f>
        <v>Packaging Text Design #2</v>
      </c>
      <c r="G864" s="95" t="str">
        <f ca="1">IFERROR(__xludf.DUMMYFUNCTION("""COMPUTED_VALUE"""),"New")</f>
        <v>New</v>
      </c>
      <c r="H864" s="96">
        <f ca="1">IFERROR(__xludf.DUMMYFUNCTION("""COMPUTED_VALUE"""),3)</f>
        <v>3</v>
      </c>
      <c r="I864" s="97"/>
      <c r="J864" s="98" t="str">
        <f ca="1">IFERROR(__xludf.DUMMYFUNCTION("""COMPUTED_VALUE"""),"Unknown")</f>
        <v>Unknown</v>
      </c>
      <c r="K864" s="99" t="str">
        <f ca="1">IFERROR(__xludf.DUMMYFUNCTION("""COMPUTED_VALUE"""),"Running")</f>
        <v>Running</v>
      </c>
    </row>
    <row r="865" spans="1:11" ht="13.2">
      <c r="A865" s="89" t="str">
        <f ca="1">IFERROR(__xludf.DUMMYFUNCTION("""COMPUTED_VALUE"""),"Coffee Bite 42g for Indonesia")</f>
        <v>Coffee Bite 42g for Indonesia</v>
      </c>
      <c r="B865" s="90" t="str">
        <f ca="1">IFERROR(__xludf.DUMMYFUNCTION("""COMPUTED_VALUE"""),"BBL")</f>
        <v>BBL</v>
      </c>
      <c r="C865" s="91" t="str">
        <f ca="1">IFERROR(__xludf.DUMMYFUNCTION("""COMPUTED_VALUE"""),"Saema Apu")</f>
        <v>Saema Apu</v>
      </c>
      <c r="D865" s="92" t="str">
        <f ca="1">IFERROR(__xludf.DUMMYFUNCTION("""COMPUTED_VALUE"""),"Md Iasin Ahmed Showrov (S204960)")</f>
        <v>Md Iasin Ahmed Showrov (S204960)</v>
      </c>
      <c r="E865" s="93" t="str">
        <f ca="1">IFERROR(__xludf.DUMMYFUNCTION("""COMPUTED_VALUE"""),"CB38227_Jun26")</f>
        <v>CB38227_Jun26</v>
      </c>
      <c r="F865" s="94" t="str">
        <f ca="1">IFERROR(__xludf.DUMMYFUNCTION("""COMPUTED_VALUE"""),"Packaging Text Design #2")</f>
        <v>Packaging Text Design #2</v>
      </c>
      <c r="G865" s="95" t="str">
        <f ca="1">IFERROR(__xludf.DUMMYFUNCTION("""COMPUTED_VALUE"""),"New")</f>
        <v>New</v>
      </c>
      <c r="H865" s="96">
        <f ca="1">IFERROR(__xludf.DUMMYFUNCTION("""COMPUTED_VALUE"""),1)</f>
        <v>1</v>
      </c>
      <c r="I865" s="97">
        <f ca="1">IFERROR(__xludf.DUMMYFUNCTION("""COMPUTED_VALUE"""),46209)</f>
        <v>46209</v>
      </c>
      <c r="J865" s="98" t="str">
        <f ca="1">IFERROR(__xludf.DUMMYFUNCTION("""COMPUTED_VALUE"""),"CW39604_Jul26")</f>
        <v>CW39604_Jul26</v>
      </c>
      <c r="K865" s="99" t="str">
        <f ca="1">IFERROR(__xludf.DUMMYFUNCTION("""COMPUTED_VALUE"""),"Brief Submitted")</f>
        <v>Brief Submitted</v>
      </c>
    </row>
    <row r="866" spans="1:11" ht="13.2">
      <c r="A866" s="89" t="str">
        <f ca="1">IFERROR(__xludf.DUMMYFUNCTION("""COMPUTED_VALUE"""),"Treat Chocolate Indonesia")</f>
        <v>Treat Chocolate Indonesia</v>
      </c>
      <c r="B866" s="90" t="str">
        <f ca="1">IFERROR(__xludf.DUMMYFUNCTION("""COMPUTED_VALUE"""),"PCL")</f>
        <v>PCL</v>
      </c>
      <c r="C866" s="91" t="str">
        <f ca="1">IFERROR(__xludf.DUMMYFUNCTION("""COMPUTED_VALUE"""),"Sharika Apu")</f>
        <v>Sharika Apu</v>
      </c>
      <c r="D866" s="92" t="str">
        <f ca="1">IFERROR(__xludf.DUMMYFUNCTION("""COMPUTED_VALUE"""),"Md Iasin Ahmed Showrov (S204960)")</f>
        <v>Md Iasin Ahmed Showrov (S204960)</v>
      </c>
      <c r="E866" s="93" t="str">
        <f ca="1">IFERROR(__xludf.DUMMYFUNCTION("""COMPUTED_VALUE"""),"CB38206_Jun26")</f>
        <v>CB38206_Jun26</v>
      </c>
      <c r="F866" s="94" t="str">
        <f ca="1">IFERROR(__xludf.DUMMYFUNCTION("""COMPUTED_VALUE"""),"Packaging Text Design #2")</f>
        <v>Packaging Text Design #2</v>
      </c>
      <c r="G866" s="95" t="str">
        <f ca="1">IFERROR(__xludf.DUMMYFUNCTION("""COMPUTED_VALUE"""),"New")</f>
        <v>New</v>
      </c>
      <c r="H866" s="96">
        <f ca="1">IFERROR(__xludf.DUMMYFUNCTION("""COMPUTED_VALUE"""),2)</f>
        <v>2</v>
      </c>
      <c r="I866" s="97">
        <f ca="1">IFERROR(__xludf.DUMMYFUNCTION("""COMPUTED_VALUE"""),46209)</f>
        <v>46209</v>
      </c>
      <c r="J866" s="98" t="str">
        <f ca="1">IFERROR(__xludf.DUMMYFUNCTION("""COMPUTED_VALUE"""),"CW39605_Jul26")</f>
        <v>CW39605_Jul26</v>
      </c>
      <c r="K866" s="99" t="str">
        <f ca="1">IFERROR(__xludf.DUMMYFUNCTION("""COMPUTED_VALUE"""),"Brief Submitted")</f>
        <v>Brief Submitted</v>
      </c>
    </row>
    <row r="867" spans="1:11" ht="13.2">
      <c r="A867" s="89" t="str">
        <f ca="1">IFERROR(__xludf.DUMMYFUNCTION("""COMPUTED_VALUE"""),"Certificate Correction")</f>
        <v>Certificate Correction</v>
      </c>
      <c r="B867" s="90" t="str">
        <f ca="1">IFERROR(__xludf.DUMMYFUNCTION("""COMPUTED_VALUE"""),"Philippines")</f>
        <v>Philippines</v>
      </c>
      <c r="C867" s="91" t="str">
        <f ca="1">IFERROR(__xludf.DUMMYFUNCTION("""COMPUTED_VALUE"""),"Rabby Vai")</f>
        <v>Rabby Vai</v>
      </c>
      <c r="D867" s="92" t="str">
        <f ca="1">IFERROR(__xludf.DUMMYFUNCTION("""COMPUTED_VALUE"""),"Md Iasin Ahmed Showrov (S204960)")</f>
        <v>Md Iasin Ahmed Showrov (S204960)</v>
      </c>
      <c r="E867" s="93" t="str">
        <f ca="1">IFERROR(__xludf.DUMMYFUNCTION("""COMPUTED_VALUE"""),"CB38228_Jun26")</f>
        <v>CB38228_Jun26</v>
      </c>
      <c r="F867" s="94" t="str">
        <f ca="1">IFERROR(__xludf.DUMMYFUNCTION("""COMPUTED_VALUE"""),"Document Text Correction")</f>
        <v>Document Text Correction</v>
      </c>
      <c r="G867" s="95" t="str">
        <f ca="1">IFERROR(__xludf.DUMMYFUNCTION("""COMPUTED_VALUE"""),"New")</f>
        <v>New</v>
      </c>
      <c r="H867" s="96">
        <f ca="1">IFERROR(__xludf.DUMMYFUNCTION("""COMPUTED_VALUE"""),25)</f>
        <v>25</v>
      </c>
      <c r="I867" s="97">
        <f ca="1">IFERROR(__xludf.DUMMYFUNCTION("""COMPUTED_VALUE"""),46205)</f>
        <v>46205</v>
      </c>
      <c r="J867" s="98" t="str">
        <f ca="1">IFERROR(__xludf.DUMMYFUNCTION("""COMPUTED_VALUE"""),"CW39028_Jul26")</f>
        <v>CW39028_Jul26</v>
      </c>
      <c r="K867" s="99" t="str">
        <f ca="1">IFERROR(__xludf.DUMMYFUNCTION("""COMPUTED_VALUE"""),"Brief Submitted")</f>
        <v>Brief Submitted</v>
      </c>
    </row>
    <row r="868" spans="1:11" ht="13.2">
      <c r="A868" s="89" t="str">
        <f ca="1">IFERROR(__xludf.DUMMYFUNCTION("""COMPUTED_VALUE"""),"Naples Maynoise 485g for Phillipine")</f>
        <v>Naples Maynoise 485g for Phillipine</v>
      </c>
      <c r="B868" s="90" t="str">
        <f ca="1">IFERROR(__xludf.DUMMYFUNCTION("""COMPUTED_VALUE"""),"Philippines")</f>
        <v>Philippines</v>
      </c>
      <c r="C868" s="91" t="str">
        <f ca="1">IFERROR(__xludf.DUMMYFUNCTION("""COMPUTED_VALUE"""),"Farjana Apu")</f>
        <v>Farjana Apu</v>
      </c>
      <c r="D868" s="92" t="str">
        <f ca="1">IFERROR(__xludf.DUMMYFUNCTION("""COMPUTED_VALUE"""),"Md Iasin Ahmed Showrov (S204960)")</f>
        <v>Md Iasin Ahmed Showrov (S204960)</v>
      </c>
      <c r="E868" s="93" t="str">
        <f ca="1">IFERROR(__xludf.DUMMYFUNCTION("""COMPUTED_VALUE"""),"CB38296_Jul26")</f>
        <v>CB38296_Jul26</v>
      </c>
      <c r="F868" s="94" t="str">
        <f ca="1">IFERROR(__xludf.DUMMYFUNCTION("""COMPUTED_VALUE"""),"Packaging Text Design #1")</f>
        <v>Packaging Text Design #1</v>
      </c>
      <c r="G868" s="95" t="str">
        <f ca="1">IFERROR(__xludf.DUMMYFUNCTION("""COMPUTED_VALUE"""),"New")</f>
        <v>New</v>
      </c>
      <c r="H868" s="96">
        <f ca="1">IFERROR(__xludf.DUMMYFUNCTION("""COMPUTED_VALUE"""),1)</f>
        <v>1</v>
      </c>
      <c r="I868" s="97"/>
      <c r="J868" s="98" t="str">
        <f ca="1">IFERROR(__xludf.DUMMYFUNCTION("""COMPUTED_VALUE"""),"Unknown")</f>
        <v>Unknown</v>
      </c>
      <c r="K868" s="99" t="str">
        <f ca="1">IFERROR(__xludf.DUMMYFUNCTION("""COMPUTED_VALUE"""),"Running")</f>
        <v>Running</v>
      </c>
    </row>
    <row r="869" spans="1:11" ht="13.2">
      <c r="A869" s="89" t="str">
        <f ca="1">IFERROR(__xludf.DUMMYFUNCTION("""COMPUTED_VALUE"""),"PRAN APPLE FRUIT DRINK 1000M")</f>
        <v>PRAN APPLE FRUIT DRINK 1000M</v>
      </c>
      <c r="B869" s="90" t="str">
        <f ca="1">IFERROR(__xludf.DUMMYFUNCTION("""COMPUTED_VALUE"""),"Philippines")</f>
        <v>Philippines</v>
      </c>
      <c r="C869" s="91" t="str">
        <f ca="1">IFERROR(__xludf.DUMMYFUNCTION("""COMPUTED_VALUE"""),"Farjana Apu")</f>
        <v>Farjana Apu</v>
      </c>
      <c r="D869" s="92" t="str">
        <f ca="1">IFERROR(__xludf.DUMMYFUNCTION("""COMPUTED_VALUE"""),"Md Iasin Ahmed Showrov (S204960)")</f>
        <v>Md Iasin Ahmed Showrov (S204960)</v>
      </c>
      <c r="E869" s="93" t="str">
        <f ca="1">IFERROR(__xludf.DUMMYFUNCTION("""COMPUTED_VALUE"""),"CB38357_Jul26")</f>
        <v>CB38357_Jul26</v>
      </c>
      <c r="F869" s="94" t="str">
        <f ca="1">IFERROR(__xludf.DUMMYFUNCTION("""COMPUTED_VALUE"""),"Packaging Text Design #1")</f>
        <v>Packaging Text Design #1</v>
      </c>
      <c r="G869" s="95" t="str">
        <f ca="1">IFERROR(__xludf.DUMMYFUNCTION("""COMPUTED_VALUE"""),"New")</f>
        <v>New</v>
      </c>
      <c r="H869" s="96">
        <f ca="1">IFERROR(__xludf.DUMMYFUNCTION("""COMPUTED_VALUE"""),1)</f>
        <v>1</v>
      </c>
      <c r="I869" s="97">
        <f ca="1">IFERROR(__xludf.DUMMYFUNCTION("""COMPUTED_VALUE"""),46209)</f>
        <v>46209</v>
      </c>
      <c r="J869" s="98" t="str">
        <f ca="1">IFERROR(__xludf.DUMMYFUNCTION("""COMPUTED_VALUE"""),"CW39607_Jul26")</f>
        <v>CW39607_Jul26</v>
      </c>
      <c r="K869" s="99" t="str">
        <f ca="1">IFERROR(__xludf.DUMMYFUNCTION("""COMPUTED_VALUE"""),"Brief Submitted")</f>
        <v>Brief Submitted</v>
      </c>
    </row>
    <row r="870" spans="1:11" ht="13.2">
      <c r="A870" s="89" t="str">
        <f ca="1">IFERROR(__xludf.DUMMYFUNCTION("""COMPUTED_VALUE"""),"Pran Noodles BBQ Chicken Flavor 85g")</f>
        <v>Pran Noodles BBQ Chicken Flavor 85g</v>
      </c>
      <c r="B870" s="90" t="str">
        <f ca="1">IFERROR(__xludf.DUMMYFUNCTION("""COMPUTED_VALUE"""),"PAL")</f>
        <v>PAL</v>
      </c>
      <c r="C870" s="91" t="str">
        <f ca="1">IFERROR(__xludf.DUMMYFUNCTION("""COMPUTED_VALUE"""),"Rabby Vai")</f>
        <v>Rabby Vai</v>
      </c>
      <c r="D870" s="92" t="str">
        <f ca="1">IFERROR(__xludf.DUMMYFUNCTION("""COMPUTED_VALUE"""),"Md Iasin Ahmed Showrov (S204960)")</f>
        <v>Md Iasin Ahmed Showrov (S204960)</v>
      </c>
      <c r="E870" s="93" t="str">
        <f ca="1">IFERROR(__xludf.DUMMYFUNCTION("""COMPUTED_VALUE"""),"CB38358_Jul26")</f>
        <v>CB38358_Jul26</v>
      </c>
      <c r="F870" s="94" t="str">
        <f ca="1">IFERROR(__xludf.DUMMYFUNCTION("""COMPUTED_VALUE"""),"Packaging Text Design #1")</f>
        <v>Packaging Text Design #1</v>
      </c>
      <c r="G870" s="95" t="str">
        <f ca="1">IFERROR(__xludf.DUMMYFUNCTION("""COMPUTED_VALUE"""),"New")</f>
        <v>New</v>
      </c>
      <c r="H870" s="96">
        <f ca="1">IFERROR(__xludf.DUMMYFUNCTION("""COMPUTED_VALUE"""),1)</f>
        <v>1</v>
      </c>
      <c r="I870" s="97">
        <f ca="1">IFERROR(__xludf.DUMMYFUNCTION("""COMPUTED_VALUE"""),46209)</f>
        <v>46209</v>
      </c>
      <c r="J870" s="98" t="str">
        <f ca="1">IFERROR(__xludf.DUMMYFUNCTION("""COMPUTED_VALUE"""),"CW39612_Jul26")</f>
        <v>CW39612_Jul26</v>
      </c>
      <c r="K870" s="99" t="str">
        <f ca="1">IFERROR(__xludf.DUMMYFUNCTION("""COMPUTED_VALUE"""),"Brief Submitted")</f>
        <v>Brief Submitted</v>
      </c>
    </row>
    <row r="871" spans="1:11" ht="13.2">
      <c r="A871" s="89" t="str">
        <f ca="1">IFERROR(__xludf.DUMMYFUNCTION("""COMPUTED_VALUE"""),"Pran Noodles Thailand 30g Chain Pack")</f>
        <v>Pran Noodles Thailand 30g Chain Pack</v>
      </c>
      <c r="B871" s="90" t="str">
        <f ca="1">IFERROR(__xludf.DUMMYFUNCTION("""COMPUTED_VALUE"""),"PAL")</f>
        <v>PAL</v>
      </c>
      <c r="C871" s="91" t="str">
        <f ca="1">IFERROR(__xludf.DUMMYFUNCTION("""COMPUTED_VALUE"""),"Zahirul Vai")</f>
        <v>Zahirul Vai</v>
      </c>
      <c r="D871" s="92" t="str">
        <f ca="1">IFERROR(__xludf.DUMMYFUNCTION("""COMPUTED_VALUE"""),"Md Iasin Ahmed Showrov (S204960)")</f>
        <v>Md Iasin Ahmed Showrov (S204960)</v>
      </c>
      <c r="E871" s="93" t="str">
        <f ca="1">IFERROR(__xludf.DUMMYFUNCTION("""COMPUTED_VALUE"""),"Unknown")</f>
        <v>Unknown</v>
      </c>
      <c r="F871" s="94" t="str">
        <f ca="1">IFERROR(__xludf.DUMMYFUNCTION("""COMPUTED_VALUE"""),"Packaging Text Design #2")</f>
        <v>Packaging Text Design #2</v>
      </c>
      <c r="G871" s="95" t="str">
        <f ca="1">IFERROR(__xludf.DUMMYFUNCTION("""COMPUTED_VALUE"""),"New")</f>
        <v>New</v>
      </c>
      <c r="H871" s="96">
        <f ca="1">IFERROR(__xludf.DUMMYFUNCTION("""COMPUTED_VALUE"""),5)</f>
        <v>5</v>
      </c>
      <c r="I871" s="97"/>
      <c r="J871" s="98" t="str">
        <f ca="1">IFERROR(__xludf.DUMMYFUNCTION("""COMPUTED_VALUE"""),"Unknown")</f>
        <v>Unknown</v>
      </c>
      <c r="K871" s="99" t="str">
        <f ca="1">IFERROR(__xludf.DUMMYFUNCTION("""COMPUTED_VALUE"""),"Running")</f>
        <v>Running</v>
      </c>
    </row>
    <row r="872" spans="1:11" ht="13.2">
      <c r="A872" s="89" t="str">
        <f ca="1">IFERROR(__xludf.DUMMYFUNCTION("""COMPUTED_VALUE"""),"PRAN DRY CAKE ATC for EU")</f>
        <v>PRAN DRY CAKE ATC for EU</v>
      </c>
      <c r="B872" s="90" t="str">
        <f ca="1">IFERROR(__xludf.DUMMYFUNCTION("""COMPUTED_VALUE"""),"Unknown")</f>
        <v>Unknown</v>
      </c>
      <c r="C872" s="91" t="str">
        <f ca="1">IFERROR(__xludf.DUMMYFUNCTION("""COMPUTED_VALUE"""),"Sharika Apu")</f>
        <v>Sharika Apu</v>
      </c>
      <c r="D872" s="92" t="str">
        <f ca="1">IFERROR(__xludf.DUMMYFUNCTION("""COMPUTED_VALUE"""),"Md Iasin Ahmed Showrov (S204960)")</f>
        <v>Md Iasin Ahmed Showrov (S204960)</v>
      </c>
      <c r="E872" s="93" t="str">
        <f ca="1">IFERROR(__xludf.DUMMYFUNCTION("""COMPUTED_VALUE"""),"CB38429_Jul26")</f>
        <v>CB38429_Jul26</v>
      </c>
      <c r="F872" s="94" t="str">
        <f ca="1">IFERROR(__xludf.DUMMYFUNCTION("""COMPUTED_VALUE"""),"Packaging Text Design #2")</f>
        <v>Packaging Text Design #2</v>
      </c>
      <c r="G872" s="95" t="str">
        <f ca="1">IFERROR(__xludf.DUMMYFUNCTION("""COMPUTED_VALUE"""),"New")</f>
        <v>New</v>
      </c>
      <c r="H872" s="96">
        <f ca="1">IFERROR(__xludf.DUMMYFUNCTION("""COMPUTED_VALUE"""),1)</f>
        <v>1</v>
      </c>
      <c r="I872" s="97">
        <f ca="1">IFERROR(__xludf.DUMMYFUNCTION("""COMPUTED_VALUE"""),46209)</f>
        <v>46209</v>
      </c>
      <c r="J872" s="98" t="str">
        <f ca="1">IFERROR(__xludf.DUMMYFUNCTION("""COMPUTED_VALUE"""),"CW39613_Jul26")</f>
        <v>CW39613_Jul26</v>
      </c>
      <c r="K872" s="99" t="str">
        <f ca="1">IFERROR(__xludf.DUMMYFUNCTION("""COMPUTED_VALUE"""),"Brief Submitted")</f>
        <v>Brief Submitted</v>
      </c>
    </row>
    <row r="873" spans="1:11" ht="13.2">
      <c r="A873" s="89" t="str">
        <f ca="1">IFERROR(__xludf.DUMMYFUNCTION("""COMPUTED_VALUE"""),"Certificate Correction")</f>
        <v>Certificate Correction</v>
      </c>
      <c r="B873" s="90" t="str">
        <f ca="1">IFERROR(__xludf.DUMMYFUNCTION("""COMPUTED_VALUE"""),"Philippines")</f>
        <v>Philippines</v>
      </c>
      <c r="C873" s="91" t="str">
        <f ca="1">IFERROR(__xludf.DUMMYFUNCTION("""COMPUTED_VALUE"""),"Rabby Vai")</f>
        <v>Rabby Vai</v>
      </c>
      <c r="D873" s="92" t="str">
        <f ca="1">IFERROR(__xludf.DUMMYFUNCTION("""COMPUTED_VALUE"""),"Md Iasin Ahmed Showrov (S204960)")</f>
        <v>Md Iasin Ahmed Showrov (S204960)</v>
      </c>
      <c r="E873" s="93" t="str">
        <f ca="1">IFERROR(__xludf.DUMMYFUNCTION("""COMPUTED_VALUE"""),"CB38228_Jun26")</f>
        <v>CB38228_Jun26</v>
      </c>
      <c r="F873" s="94" t="str">
        <f ca="1">IFERROR(__xludf.DUMMYFUNCTION("""COMPUTED_VALUE"""),"Document Text Correction")</f>
        <v>Document Text Correction</v>
      </c>
      <c r="G873" s="95" t="str">
        <f ca="1">IFERROR(__xludf.DUMMYFUNCTION("""COMPUTED_VALUE"""),"New")</f>
        <v>New</v>
      </c>
      <c r="H873" s="96">
        <f ca="1">IFERROR(__xludf.DUMMYFUNCTION("""COMPUTED_VALUE"""),30)</f>
        <v>30</v>
      </c>
      <c r="I873" s="97">
        <f ca="1">IFERROR(__xludf.DUMMYFUNCTION("""COMPUTED_VALUE"""),46209)</f>
        <v>46209</v>
      </c>
      <c r="J873" s="98" t="str">
        <f ca="1">IFERROR(__xludf.DUMMYFUNCTION("""COMPUTED_VALUE"""),"CW39615_Jul26")</f>
        <v>CW39615_Jul26</v>
      </c>
      <c r="K873" s="99" t="str">
        <f ca="1">IFERROR(__xludf.DUMMYFUNCTION("""COMPUTED_VALUE"""),"Brief Submitted")</f>
        <v>Brief Submitted</v>
      </c>
    </row>
    <row r="874" spans="1:11" ht="13.2">
      <c r="A874" s="89" t="str">
        <f ca="1">IFERROR(__xludf.DUMMYFUNCTION("""COMPUTED_VALUE"""),"PRAN NOODLES SUPER SPICY FLAVOR 85G")</f>
        <v>PRAN NOODLES SUPER SPICY FLAVOR 85G</v>
      </c>
      <c r="B874" s="90" t="str">
        <f ca="1">IFERROR(__xludf.DUMMYFUNCTION("""COMPUTED_VALUE"""),"PAL")</f>
        <v>PAL</v>
      </c>
      <c r="C874" s="91" t="str">
        <f ca="1">IFERROR(__xludf.DUMMYFUNCTION("""COMPUTED_VALUE"""),"Rabby Vai")</f>
        <v>Rabby Vai</v>
      </c>
      <c r="D874" s="92" t="str">
        <f ca="1">IFERROR(__xludf.DUMMYFUNCTION("""COMPUTED_VALUE"""),"Md Iasin Ahmed Showrov (S204960)")</f>
        <v>Md Iasin Ahmed Showrov (S204960)</v>
      </c>
      <c r="E874" s="93" t="str">
        <f ca="1">IFERROR(__xludf.DUMMYFUNCTION("""COMPUTED_VALUE"""),"CB38459_Jul26")</f>
        <v>CB38459_Jul26</v>
      </c>
      <c r="F874" s="94" t="str">
        <f ca="1">IFERROR(__xludf.DUMMYFUNCTION("""COMPUTED_VALUE"""),"Packaging Text Design #1")</f>
        <v>Packaging Text Design #1</v>
      </c>
      <c r="G874" s="95" t="str">
        <f ca="1">IFERROR(__xludf.DUMMYFUNCTION("""COMPUTED_VALUE"""),"New")</f>
        <v>New</v>
      </c>
      <c r="H874" s="96">
        <f ca="1">IFERROR(__xludf.DUMMYFUNCTION("""COMPUTED_VALUE"""),1)</f>
        <v>1</v>
      </c>
      <c r="I874" s="97">
        <f ca="1">IFERROR(__xludf.DUMMYFUNCTION("""COMPUTED_VALUE"""),46209)</f>
        <v>46209</v>
      </c>
      <c r="J874" s="98" t="str">
        <f ca="1">IFERROR(__xludf.DUMMYFUNCTION("""COMPUTED_VALUE"""),"CW39618_Jul26")</f>
        <v>CW39618_Jul26</v>
      </c>
      <c r="K874" s="99" t="str">
        <f ca="1">IFERROR(__xludf.DUMMYFUNCTION("""COMPUTED_VALUE"""),"Brief Submitted")</f>
        <v>Brief Submitted</v>
      </c>
    </row>
    <row r="875" spans="1:11" ht="13.2">
      <c r="A875" s="89" t="str">
        <f ca="1">IFERROR(__xludf.DUMMYFUNCTION("""COMPUTED_VALUE"""),"Bisk Club Shero Cream Roll for Phillipine")</f>
        <v>Bisk Club Shero Cream Roll for Phillipine</v>
      </c>
      <c r="B875" s="90" t="str">
        <f ca="1">IFERROR(__xludf.DUMMYFUNCTION("""COMPUTED_VALUE"""),"Philippines")</f>
        <v>Philippines</v>
      </c>
      <c r="C875" s="91" t="str">
        <f ca="1">IFERROR(__xludf.DUMMYFUNCTION("""COMPUTED_VALUE"""),"Farjana Apu")</f>
        <v>Farjana Apu</v>
      </c>
      <c r="D875" s="92" t="str">
        <f ca="1">IFERROR(__xludf.DUMMYFUNCTION("""COMPUTED_VALUE"""),"Md Iasin Ahmed Showrov (S204960)")</f>
        <v>Md Iasin Ahmed Showrov (S204960)</v>
      </c>
      <c r="E875" s="93" t="str">
        <f ca="1">IFERROR(__xludf.DUMMYFUNCTION("""COMPUTED_VALUE"""),"CB38428_Jul26")</f>
        <v>CB38428_Jul26</v>
      </c>
      <c r="F875" s="94" t="str">
        <f ca="1">IFERROR(__xludf.DUMMYFUNCTION("""COMPUTED_VALUE"""),"Packaging Text Design #1")</f>
        <v>Packaging Text Design #1</v>
      </c>
      <c r="G875" s="95" t="str">
        <f ca="1">IFERROR(__xludf.DUMMYFUNCTION("""COMPUTED_VALUE"""),"New")</f>
        <v>New</v>
      </c>
      <c r="H875" s="96">
        <f ca="1">IFERROR(__xludf.DUMMYFUNCTION("""COMPUTED_VALUE"""),2)</f>
        <v>2</v>
      </c>
      <c r="I875" s="97"/>
      <c r="J875" s="98" t="str">
        <f ca="1">IFERROR(__xludf.DUMMYFUNCTION("""COMPUTED_VALUE"""),"Unknown")</f>
        <v>Unknown</v>
      </c>
      <c r="K875" s="99" t="str">
        <f ca="1">IFERROR(__xludf.DUMMYFUNCTION("""COMPUTED_VALUE"""),"Running")</f>
        <v>Running</v>
      </c>
    </row>
    <row r="876" spans="1:11" ht="13.2">
      <c r="A876" s="89" t="str">
        <f ca="1">IFERROR(__xludf.DUMMYFUNCTION("""COMPUTED_VALUE"""),"All time Bun")</f>
        <v>All time Bun</v>
      </c>
      <c r="B876" s="90" t="str">
        <f ca="1">IFERROR(__xludf.DUMMYFUNCTION("""COMPUTED_VALUE"""),"BBL")</f>
        <v>BBL</v>
      </c>
      <c r="C876" s="91" t="str">
        <f ca="1">IFERROR(__xludf.DUMMYFUNCTION("""COMPUTED_VALUE"""),"Saidul Vai")</f>
        <v>Saidul Vai</v>
      </c>
      <c r="D876" s="92" t="str">
        <f ca="1">IFERROR(__xludf.DUMMYFUNCTION("""COMPUTED_VALUE"""),"Md Iasin Ahmed Showrov (S204960)")</f>
        <v>Md Iasin Ahmed Showrov (S204960)</v>
      </c>
      <c r="E876" s="93" t="str">
        <f ca="1">IFERROR(__xludf.DUMMYFUNCTION("""COMPUTED_VALUE"""),"CB36187_Jun26")</f>
        <v>CB36187_Jun26</v>
      </c>
      <c r="F876" s="94" t="str">
        <f ca="1">IFERROR(__xludf.DUMMYFUNCTION("""COMPUTED_VALUE"""),"Packaging Text Design #2")</f>
        <v>Packaging Text Design #2</v>
      </c>
      <c r="G876" s="95" t="str">
        <f ca="1">IFERROR(__xludf.DUMMYFUNCTION("""COMPUTED_VALUE"""),"New")</f>
        <v>New</v>
      </c>
      <c r="H876" s="96">
        <f ca="1">IFERROR(__xludf.DUMMYFUNCTION("""COMPUTED_VALUE"""),1)</f>
        <v>1</v>
      </c>
      <c r="I876" s="97"/>
      <c r="J876" s="98" t="str">
        <f ca="1">IFERROR(__xludf.DUMMYFUNCTION("""COMPUTED_VALUE"""),"Unknown")</f>
        <v>Unknown</v>
      </c>
      <c r="K876" s="99" t="str">
        <f ca="1">IFERROR(__xludf.DUMMYFUNCTION("""COMPUTED_VALUE"""),"Running")</f>
        <v>Running</v>
      </c>
    </row>
    <row r="877" spans="1:11" ht="13.2">
      <c r="A877" s="89" t="str">
        <f ca="1">IFERROR(__xludf.DUMMYFUNCTION("""COMPUTED_VALUE"""),"Developing format of Bran Belvita (Cinnamon flavor) Biscuits- 48g (Export) - KSA")</f>
        <v>Developing format of Bran Belvita (Cinnamon flavor) Biscuits- 48g (Export) - KSA</v>
      </c>
      <c r="B877" s="90" t="str">
        <f ca="1">IFERROR(__xludf.DUMMYFUNCTION("""COMPUTED_VALUE"""),"BBL")</f>
        <v>BBL</v>
      </c>
      <c r="C877" s="91" t="str">
        <f ca="1">IFERROR(__xludf.DUMMYFUNCTION("""COMPUTED_VALUE"""),"Shamsul Sir")</f>
        <v>Shamsul Sir</v>
      </c>
      <c r="D877" s="92" t="str">
        <f ca="1">IFERROR(__xludf.DUMMYFUNCTION("""COMPUTED_VALUE"""),"Md Iasin Ahmed Showrov (S204960)")</f>
        <v>Md Iasin Ahmed Showrov (S204960)</v>
      </c>
      <c r="E877" s="93" t="str">
        <f ca="1">IFERROR(__xludf.DUMMYFUNCTION("""COMPUTED_VALUE"""),"CB38606_Jul26")</f>
        <v>CB38606_Jul26</v>
      </c>
      <c r="F877" s="94" t="str">
        <f ca="1">IFERROR(__xludf.DUMMYFUNCTION("""COMPUTED_VALUE"""),"Packaging Text Design #2")</f>
        <v>Packaging Text Design #2</v>
      </c>
      <c r="G877" s="95" t="str">
        <f ca="1">IFERROR(__xludf.DUMMYFUNCTION("""COMPUTED_VALUE"""),"New")</f>
        <v>New</v>
      </c>
      <c r="H877" s="96">
        <f ca="1">IFERROR(__xludf.DUMMYFUNCTION("""COMPUTED_VALUE"""),1)</f>
        <v>1</v>
      </c>
      <c r="I877" s="97"/>
      <c r="J877" s="98" t="str">
        <f ca="1">IFERROR(__xludf.DUMMYFUNCTION("""COMPUTED_VALUE"""),"Unknown")</f>
        <v>Unknown</v>
      </c>
      <c r="K877" s="99" t="str">
        <f ca="1">IFERROR(__xludf.DUMMYFUNCTION("""COMPUTED_VALUE"""),"Running")</f>
        <v>Running</v>
      </c>
    </row>
    <row r="878" spans="1:11" ht="13.2">
      <c r="A878" s="89" t="str">
        <f ca="1">IFERROR(__xludf.DUMMYFUNCTION("""COMPUTED_VALUE"""),"Emira Paratha 1.6kg for EU")</f>
        <v>Emira Paratha 1.6kg for EU</v>
      </c>
      <c r="B878" s="90" t="str">
        <f ca="1">IFERROR(__xludf.DUMMYFUNCTION("""COMPUTED_VALUE"""),"USA &amp; Europe")</f>
        <v>USA &amp; Europe</v>
      </c>
      <c r="C878" s="91" t="str">
        <f ca="1">IFERROR(__xludf.DUMMYFUNCTION("""COMPUTED_VALUE"""),"Saifullah Vai")</f>
        <v>Saifullah Vai</v>
      </c>
      <c r="D878" s="92" t="str">
        <f ca="1">IFERROR(__xludf.DUMMYFUNCTION("""COMPUTED_VALUE"""),"Md Iasin Ahmed Showrov (S204960)")</f>
        <v>Md Iasin Ahmed Showrov (S204960)</v>
      </c>
      <c r="E878" s="93" t="str">
        <f ca="1">IFERROR(__xludf.DUMMYFUNCTION("""COMPUTED_VALUE"""),"CB38762")</f>
        <v>CB38762</v>
      </c>
      <c r="F878" s="94" t="str">
        <f ca="1">IFERROR(__xludf.DUMMYFUNCTION("""COMPUTED_VALUE"""),"Packaging Text Design #2")</f>
        <v>Packaging Text Design #2</v>
      </c>
      <c r="G878" s="95" t="str">
        <f ca="1">IFERROR(__xludf.DUMMYFUNCTION("""COMPUTED_VALUE"""),"New")</f>
        <v>New</v>
      </c>
      <c r="H878" s="96">
        <f ca="1">IFERROR(__xludf.DUMMYFUNCTION("""COMPUTED_VALUE"""),1)</f>
        <v>1</v>
      </c>
      <c r="I878" s="97"/>
      <c r="J878" s="98" t="str">
        <f ca="1">IFERROR(__xludf.DUMMYFUNCTION("""COMPUTED_VALUE"""),"Unknown")</f>
        <v>Unknown</v>
      </c>
      <c r="K878" s="99" t="str">
        <f ca="1">IFERROR(__xludf.DUMMYFUNCTION("""COMPUTED_VALUE"""),"Running")</f>
        <v>Running</v>
      </c>
    </row>
    <row r="879" spans="1:11" ht="13.2">
      <c r="A879" s="89" t="str">
        <f ca="1">IFERROR(__xludf.DUMMYFUNCTION("""COMPUTED_VALUE"""),"Kulfigo Packaging")</f>
        <v>Kulfigo Packaging</v>
      </c>
      <c r="B879" s="90" t="str">
        <f ca="1">IFERROR(__xludf.DUMMYFUNCTION("""COMPUTED_VALUE"""),"PDL")</f>
        <v>PDL</v>
      </c>
      <c r="C879" s="91" t="str">
        <f ca="1">IFERROR(__xludf.DUMMYFUNCTION("""COMPUTED_VALUE"""),"Tamim Vai")</f>
        <v>Tamim Vai</v>
      </c>
      <c r="D879" s="92" t="str">
        <f ca="1">IFERROR(__xludf.DUMMYFUNCTION("""COMPUTED_VALUE"""),"Md Iasin Ahmed Showrov (S204960)")</f>
        <v>Md Iasin Ahmed Showrov (S204960)</v>
      </c>
      <c r="E879" s="93" t="str">
        <f ca="1">IFERROR(__xludf.DUMMYFUNCTION("""COMPUTED_VALUE"""),"CB21808_Apr26")</f>
        <v>CB21808_Apr26</v>
      </c>
      <c r="F879" s="94" t="str">
        <f ca="1">IFERROR(__xludf.DUMMYFUNCTION("""COMPUTED_VALUE"""),"Packaging Text Design #2")</f>
        <v>Packaging Text Design #2</v>
      </c>
      <c r="G879" s="95" t="str">
        <f ca="1">IFERROR(__xludf.DUMMYFUNCTION("""COMPUTED_VALUE"""),"New")</f>
        <v>New</v>
      </c>
      <c r="H879" s="96">
        <f ca="1">IFERROR(__xludf.DUMMYFUNCTION("""COMPUTED_VALUE"""),3)</f>
        <v>3</v>
      </c>
      <c r="I879" s="97"/>
      <c r="J879" s="98" t="str">
        <f ca="1">IFERROR(__xludf.DUMMYFUNCTION("""COMPUTED_VALUE"""),"Unknown")</f>
        <v>Unknown</v>
      </c>
      <c r="K879" s="99" t="str">
        <f ca="1">IFERROR(__xludf.DUMMYFUNCTION("""COMPUTED_VALUE"""),"Running")</f>
        <v>Running</v>
      </c>
    </row>
    <row r="880" spans="1:11" ht="13.2">
      <c r="A880" s="89" t="str">
        <f ca="1">IFERROR(__xludf.DUMMYFUNCTION("""COMPUTED_VALUE"""),"Treat Choco Bis 12g")</f>
        <v>Treat Choco Bis 12g</v>
      </c>
      <c r="B880" s="90" t="str">
        <f ca="1">IFERROR(__xludf.DUMMYFUNCTION("""COMPUTED_VALUE"""),"PCL")</f>
        <v>PCL</v>
      </c>
      <c r="C880" s="91" t="str">
        <f ca="1">IFERROR(__xludf.DUMMYFUNCTION("""COMPUTED_VALUE"""),"Farjana Apu")</f>
        <v>Farjana Apu</v>
      </c>
      <c r="D880" s="92" t="str">
        <f ca="1">IFERROR(__xludf.DUMMYFUNCTION("""COMPUTED_VALUE"""),"Md Iasin Ahmed Showrov (S204960)")</f>
        <v>Md Iasin Ahmed Showrov (S204960)</v>
      </c>
      <c r="E880" s="93" t="str">
        <f ca="1">IFERROR(__xludf.DUMMYFUNCTION("""COMPUTED_VALUE"""),"CB38833_Jul26")</f>
        <v>CB38833_Jul26</v>
      </c>
      <c r="F880" s="94" t="str">
        <f ca="1">IFERROR(__xludf.DUMMYFUNCTION("""COMPUTED_VALUE"""),"Packaging Text Design #1")</f>
        <v>Packaging Text Design #1</v>
      </c>
      <c r="G880" s="95" t="str">
        <f ca="1">IFERROR(__xludf.DUMMYFUNCTION("""COMPUTED_VALUE"""),"New")</f>
        <v>New</v>
      </c>
      <c r="H880" s="96">
        <f ca="1">IFERROR(__xludf.DUMMYFUNCTION("""COMPUTED_VALUE"""),1)</f>
        <v>1</v>
      </c>
      <c r="I880" s="97"/>
      <c r="J880" s="98" t="str">
        <f ca="1">IFERROR(__xludf.DUMMYFUNCTION("""COMPUTED_VALUE"""),"Unknown")</f>
        <v>Unknown</v>
      </c>
      <c r="K880" s="99" t="str">
        <f ca="1">IFERROR(__xludf.DUMMYFUNCTION("""COMPUTED_VALUE"""),"Running")</f>
        <v>Running</v>
      </c>
    </row>
    <row r="881" spans="1:11" ht="13.2">
      <c r="A881" s="89" t="str">
        <f ca="1">IFERROR(__xludf.DUMMYFUNCTION("""COMPUTED_VALUE"""),"Pran Elachi Cookies")</f>
        <v>Pran Elachi Cookies</v>
      </c>
      <c r="B881" s="90" t="str">
        <f ca="1">IFERROR(__xludf.DUMMYFUNCTION("""COMPUTED_VALUE"""),"BBL")</f>
        <v>BBL</v>
      </c>
      <c r="C881" s="91" t="str">
        <f ca="1">IFERROR(__xludf.DUMMYFUNCTION("""COMPUTED_VALUE"""),"Farjana Apu")</f>
        <v>Farjana Apu</v>
      </c>
      <c r="D881" s="92" t="str">
        <f ca="1">IFERROR(__xludf.DUMMYFUNCTION("""COMPUTED_VALUE"""),"Md Iasin Ahmed Showrov (S204960)")</f>
        <v>Md Iasin Ahmed Showrov (S204960)</v>
      </c>
      <c r="E881" s="93" t="str">
        <f ca="1">IFERROR(__xludf.DUMMYFUNCTION("""COMPUTED_VALUE"""),"CB38554_Jul26")</f>
        <v>CB38554_Jul26</v>
      </c>
      <c r="F881" s="94" t="str">
        <f ca="1">IFERROR(__xludf.DUMMYFUNCTION("""COMPUTED_VALUE"""),"Packaging Text Design #1")</f>
        <v>Packaging Text Design #1</v>
      </c>
      <c r="G881" s="95" t="str">
        <f ca="1">IFERROR(__xludf.DUMMYFUNCTION("""COMPUTED_VALUE"""),"New")</f>
        <v>New</v>
      </c>
      <c r="H881" s="96">
        <f ca="1">IFERROR(__xludf.DUMMYFUNCTION("""COMPUTED_VALUE"""),1)</f>
        <v>1</v>
      </c>
      <c r="I881" s="97"/>
      <c r="J881" s="98" t="str">
        <f ca="1">IFERROR(__xludf.DUMMYFUNCTION("""COMPUTED_VALUE"""),"Unknown")</f>
        <v>Unknown</v>
      </c>
      <c r="K881" s="99" t="str">
        <f ca="1">IFERROR(__xludf.DUMMYFUNCTION("""COMPUTED_VALUE"""),"Running")</f>
        <v>Running</v>
      </c>
    </row>
    <row r="882" spans="1:11" ht="13.2">
      <c r="A882" s="89" t="str">
        <f ca="1">IFERROR(__xludf.DUMMYFUNCTION("""COMPUTED_VALUE"""),"Candy man acory for Phillipine")</f>
        <v>Candy man acory for Phillipine</v>
      </c>
      <c r="B882" s="90" t="str">
        <f ca="1">IFERROR(__xludf.DUMMYFUNCTION("""COMPUTED_VALUE"""),"PCL")</f>
        <v>PCL</v>
      </c>
      <c r="C882" s="91" t="str">
        <f ca="1">IFERROR(__xludf.DUMMYFUNCTION("""COMPUTED_VALUE"""),"Farjana Apu")</f>
        <v>Farjana Apu</v>
      </c>
      <c r="D882" s="92" t="str">
        <f ca="1">IFERROR(__xludf.DUMMYFUNCTION("""COMPUTED_VALUE"""),"Md Iasin Ahmed Showrov (S204960)")</f>
        <v>Md Iasin Ahmed Showrov (S204960)</v>
      </c>
      <c r="E882" s="93" t="str">
        <f ca="1">IFERROR(__xludf.DUMMYFUNCTION("""COMPUTED_VALUE"""),"CB38829_Jul26")</f>
        <v>CB38829_Jul26</v>
      </c>
      <c r="F882" s="94" t="str">
        <f ca="1">IFERROR(__xludf.DUMMYFUNCTION("""COMPUTED_VALUE"""),"Packaging Text Design #1")</f>
        <v>Packaging Text Design #1</v>
      </c>
      <c r="G882" s="95" t="str">
        <f ca="1">IFERROR(__xludf.DUMMYFUNCTION("""COMPUTED_VALUE"""),"New")</f>
        <v>New</v>
      </c>
      <c r="H882" s="96">
        <f ca="1">IFERROR(__xludf.DUMMYFUNCTION("""COMPUTED_VALUE"""),6)</f>
        <v>6</v>
      </c>
      <c r="I882" s="97">
        <f ca="1">IFERROR(__xludf.DUMMYFUNCTION("""COMPUTED_VALUE"""),46209)</f>
        <v>46209</v>
      </c>
      <c r="J882" s="98" t="str">
        <f ca="1">IFERROR(__xludf.DUMMYFUNCTION("""COMPUTED_VALUE"""),"CW39656_Jul26")</f>
        <v>CW39656_Jul26</v>
      </c>
      <c r="K882" s="99" t="str">
        <f ca="1">IFERROR(__xludf.DUMMYFUNCTION("""COMPUTED_VALUE"""),"Brief Submitted")</f>
        <v>Brief Submitted</v>
      </c>
    </row>
    <row r="883" spans="1:11" ht="13.2">
      <c r="A883" s="89" t="str">
        <f ca="1">IFERROR(__xludf.DUMMYFUNCTION("""COMPUTED_VALUE"""),"NAPLES WASSABI MAYONNAISE 400 G")</f>
        <v>NAPLES WASSABI MAYONNAISE 400 G</v>
      </c>
      <c r="B883" s="90" t="str">
        <f ca="1">IFERROR(__xludf.DUMMYFUNCTION("""COMPUTED_VALUE"""),"PAL")</f>
        <v>PAL</v>
      </c>
      <c r="C883" s="91" t="str">
        <f ca="1">IFERROR(__xludf.DUMMYFUNCTION("""COMPUTED_VALUE"""),"Farjana Apu")</f>
        <v>Farjana Apu</v>
      </c>
      <c r="D883" s="92" t="str">
        <f ca="1">IFERROR(__xludf.DUMMYFUNCTION("""COMPUTED_VALUE"""),"Md Iasin Ahmed Showrov (S204960)")</f>
        <v>Md Iasin Ahmed Showrov (S204960)</v>
      </c>
      <c r="E883" s="93" t="str">
        <f ca="1">IFERROR(__xludf.DUMMYFUNCTION("""COMPUTED_VALUE"""),"CB38360_Jul26")</f>
        <v>CB38360_Jul26</v>
      </c>
      <c r="F883" s="94" t="str">
        <f ca="1">IFERROR(__xludf.DUMMYFUNCTION("""COMPUTED_VALUE"""),"Packaging Text Design #1")</f>
        <v>Packaging Text Design #1</v>
      </c>
      <c r="G883" s="95" t="str">
        <f ca="1">IFERROR(__xludf.DUMMYFUNCTION("""COMPUTED_VALUE"""),"New")</f>
        <v>New</v>
      </c>
      <c r="H883" s="96">
        <f ca="1">IFERROR(__xludf.DUMMYFUNCTION("""COMPUTED_VALUE"""),1)</f>
        <v>1</v>
      </c>
      <c r="I883" s="97"/>
      <c r="J883" s="98" t="str">
        <f ca="1">IFERROR(__xludf.DUMMYFUNCTION("""COMPUTED_VALUE"""),"Unknown")</f>
        <v>Unknown</v>
      </c>
      <c r="K883" s="99" t="str">
        <f ca="1">IFERROR(__xludf.DUMMYFUNCTION("""COMPUTED_VALUE"""),"Running")</f>
        <v>Running</v>
      </c>
    </row>
    <row r="884" spans="1:11" ht="13.2">
      <c r="A884" s="89" t="str">
        <f ca="1">IFERROR(__xludf.DUMMYFUNCTION("""COMPUTED_VALUE"""),"Sabiha Spice  recipe Mix Text Correction")</f>
        <v>Sabiha Spice  recipe Mix Text Correction</v>
      </c>
      <c r="B884" s="90" t="str">
        <f ca="1">IFERROR(__xludf.DUMMYFUNCTION("""COMPUTED_VALUE"""),"PAL")</f>
        <v>PAL</v>
      </c>
      <c r="C884" s="91" t="str">
        <f ca="1">IFERROR(__xludf.DUMMYFUNCTION("""COMPUTED_VALUE"""),"Nusrat Apu")</f>
        <v>Nusrat Apu</v>
      </c>
      <c r="D884" s="92" t="str">
        <f ca="1">IFERROR(__xludf.DUMMYFUNCTION("""COMPUTED_VALUE"""),"Md Iasin Ahmed Showrov (S204960)")</f>
        <v>Md Iasin Ahmed Showrov (S204960)</v>
      </c>
      <c r="E884" s="93" t="str">
        <f ca="1">IFERROR(__xludf.DUMMYFUNCTION("""COMPUTED_VALUE"""),"CB37317_Jun26")</f>
        <v>CB37317_Jun26</v>
      </c>
      <c r="F884" s="94" t="str">
        <f ca="1">IFERROR(__xludf.DUMMYFUNCTION("""COMPUTED_VALUE"""),"Packaging Text Design #1")</f>
        <v>Packaging Text Design #1</v>
      </c>
      <c r="G884" s="95" t="str">
        <f ca="1">IFERROR(__xludf.DUMMYFUNCTION("""COMPUTED_VALUE"""),"New")</f>
        <v>New</v>
      </c>
      <c r="H884" s="96">
        <f ca="1">IFERROR(__xludf.DUMMYFUNCTION("""COMPUTED_VALUE"""),6)</f>
        <v>6</v>
      </c>
      <c r="I884" s="97"/>
      <c r="J884" s="98" t="str">
        <f ca="1">IFERROR(__xludf.DUMMYFUNCTION("""COMPUTED_VALUE"""),"Unknown")</f>
        <v>Unknown</v>
      </c>
      <c r="K884" s="99" t="str">
        <f ca="1">IFERROR(__xludf.DUMMYFUNCTION("""COMPUTED_VALUE"""),"Running")</f>
        <v>Running</v>
      </c>
    </row>
    <row r="885" spans="1:11" ht="13.2">
      <c r="A885" s="89" t="str">
        <f ca="1">IFERROR(__xludf.DUMMYFUNCTION("""COMPUTED_VALUE"""),"Certificate correction")</f>
        <v>Certificate correction</v>
      </c>
      <c r="B885" s="90" t="str">
        <f ca="1">IFERROR(__xludf.DUMMYFUNCTION("""COMPUTED_VALUE"""),"PAL")</f>
        <v>PAL</v>
      </c>
      <c r="C885" s="91" t="str">
        <f ca="1">IFERROR(__xludf.DUMMYFUNCTION("""COMPUTED_VALUE"""),"Rabby Vai")</f>
        <v>Rabby Vai</v>
      </c>
      <c r="D885" s="92" t="str">
        <f ca="1">IFERROR(__xludf.DUMMYFUNCTION("""COMPUTED_VALUE"""),"Md Iasin Ahmed Showrov (S204960)")</f>
        <v>Md Iasin Ahmed Showrov (S204960)</v>
      </c>
      <c r="E885" s="93" t="str">
        <f ca="1">IFERROR(__xludf.DUMMYFUNCTION("""COMPUTED_VALUE"""),"CB37863_Jun26")</f>
        <v>CB37863_Jun26</v>
      </c>
      <c r="F885" s="94" t="str">
        <f ca="1">IFERROR(__xludf.DUMMYFUNCTION("""COMPUTED_VALUE"""),"Document Text Correction")</f>
        <v>Document Text Correction</v>
      </c>
      <c r="G885" s="95" t="str">
        <f ca="1">IFERROR(__xludf.DUMMYFUNCTION("""COMPUTED_VALUE"""),"New")</f>
        <v>New</v>
      </c>
      <c r="H885" s="96">
        <f ca="1">IFERROR(__xludf.DUMMYFUNCTION("""COMPUTED_VALUE"""),2)</f>
        <v>2</v>
      </c>
      <c r="I885" s="97">
        <f ca="1">IFERROR(__xludf.DUMMYFUNCTION("""COMPUTED_VALUE"""),46209)</f>
        <v>46209</v>
      </c>
      <c r="J885" s="98" t="str">
        <f ca="1">IFERROR(__xludf.DUMMYFUNCTION("""COMPUTED_VALUE"""),"CW39132_Jul26")</f>
        <v>CW39132_Jul26</v>
      </c>
      <c r="K885" s="99" t="str">
        <f ca="1">IFERROR(__xludf.DUMMYFUNCTION("""COMPUTED_VALUE"""),"Brief Submitted")</f>
        <v>Brief Submitted</v>
      </c>
    </row>
    <row r="886" spans="1:11" ht="13.2">
      <c r="A886" s="89" t="str">
        <f ca="1">IFERROR(__xludf.DUMMYFUNCTION("""COMPUTED_VALUE""")," MOO JOY YOGURT FLAVORED MILK ADDED DRINK 80ML")</f>
        <v xml:space="preserve"> MOO JOY YOGURT FLAVORED MILK ADDED DRINK 80ML</v>
      </c>
      <c r="B886" s="90" t="str">
        <f ca="1">IFERROR(__xludf.DUMMYFUNCTION("""COMPUTED_VALUE"""),"Dairy")</f>
        <v>Dairy</v>
      </c>
      <c r="C886" s="91" t="str">
        <f ca="1">IFERROR(__xludf.DUMMYFUNCTION("""COMPUTED_VALUE"""),"Saema Apu")</f>
        <v>Saema Apu</v>
      </c>
      <c r="D886" s="92" t="str">
        <f ca="1">IFERROR(__xludf.DUMMYFUNCTION("""COMPUTED_VALUE"""),"Md Iasin Ahmed Showrov (S204960)")</f>
        <v>Md Iasin Ahmed Showrov (S204960)</v>
      </c>
      <c r="E886" s="93" t="str">
        <f ca="1">IFERROR(__xludf.DUMMYFUNCTION("""COMPUTED_VALUE"""),"CB38924_Jul26")</f>
        <v>CB38924_Jul26</v>
      </c>
      <c r="F886" s="94" t="str">
        <f ca="1">IFERROR(__xludf.DUMMYFUNCTION("""COMPUTED_VALUE"""),"Packaging Text Design #2")</f>
        <v>Packaging Text Design #2</v>
      </c>
      <c r="G886" s="95" t="str">
        <f ca="1">IFERROR(__xludf.DUMMYFUNCTION("""COMPUTED_VALUE"""),"New")</f>
        <v>New</v>
      </c>
      <c r="H886" s="96">
        <f ca="1">IFERROR(__xludf.DUMMYFUNCTION("""COMPUTED_VALUE"""),1)</f>
        <v>1</v>
      </c>
      <c r="I886" s="97">
        <f ca="1">IFERROR(__xludf.DUMMYFUNCTION("""COMPUTED_VALUE"""),46211)</f>
        <v>46211</v>
      </c>
      <c r="J886" s="98" t="str">
        <f ca="1">IFERROR(__xludf.DUMMYFUNCTION("""COMPUTED_VALUE"""),"CW39812_Jul26")</f>
        <v>CW39812_Jul26</v>
      </c>
      <c r="K886" s="99" t="str">
        <f ca="1">IFERROR(__xludf.DUMMYFUNCTION("""COMPUTED_VALUE"""),"Brief Submitted")</f>
        <v>Brief Submitted</v>
      </c>
    </row>
    <row r="887" spans="1:11" ht="13.2">
      <c r="A887" s="89" t="str">
        <f ca="1">IFERROR(__xludf.DUMMYFUNCTION("""COMPUTED_VALUE""")," MOO JOY YOGURT FLAVORED MILK ADDED DRINK 80ML")</f>
        <v xml:space="preserve"> MOO JOY YOGURT FLAVORED MILK ADDED DRINK 80ML</v>
      </c>
      <c r="B887" s="90" t="str">
        <f ca="1">IFERROR(__xludf.DUMMYFUNCTION("""COMPUTED_VALUE"""),"Dairy")</f>
        <v>Dairy</v>
      </c>
      <c r="C887" s="91" t="str">
        <f ca="1">IFERROR(__xludf.DUMMYFUNCTION("""COMPUTED_VALUE"""),"Saema Apu")</f>
        <v>Saema Apu</v>
      </c>
      <c r="D887" s="92" t="str">
        <f ca="1">IFERROR(__xludf.DUMMYFUNCTION("""COMPUTED_VALUE"""),"Md Iasin Ahmed Showrov (S204960)")</f>
        <v>Md Iasin Ahmed Showrov (S204960)</v>
      </c>
      <c r="E887" s="93" t="str">
        <f ca="1">IFERROR(__xludf.DUMMYFUNCTION("""COMPUTED_VALUE"""),"CB38924_Jul26")</f>
        <v>CB38924_Jul26</v>
      </c>
      <c r="F887" s="94" t="str">
        <f ca="1">IFERROR(__xludf.DUMMYFUNCTION("""COMPUTED_VALUE"""),"Document Text Correction")</f>
        <v>Document Text Correction</v>
      </c>
      <c r="G887" s="95" t="str">
        <f ca="1">IFERROR(__xludf.DUMMYFUNCTION("""COMPUTED_VALUE"""),"New")</f>
        <v>New</v>
      </c>
      <c r="H887" s="96">
        <f ca="1">IFERROR(__xludf.DUMMYFUNCTION("""COMPUTED_VALUE"""),6)</f>
        <v>6</v>
      </c>
      <c r="I887" s="97">
        <f ca="1">IFERROR(__xludf.DUMMYFUNCTION("""COMPUTED_VALUE"""),46211)</f>
        <v>46211</v>
      </c>
      <c r="J887" s="98" t="str">
        <f ca="1">IFERROR(__xludf.DUMMYFUNCTION("""COMPUTED_VALUE"""),"CW39812_Jul26")</f>
        <v>CW39812_Jul26</v>
      </c>
      <c r="K887" s="99" t="str">
        <f ca="1">IFERROR(__xludf.DUMMYFUNCTION("""COMPUTED_VALUE"""),"Brief Submitted")</f>
        <v>Brief Submitted</v>
      </c>
    </row>
    <row r="888" spans="1:11" ht="13.2">
      <c r="A888" s="89" t="str">
        <f ca="1">IFERROR(__xludf.DUMMYFUNCTION("""COMPUTED_VALUE""")," MOO JOY GREEN APPLE FLAVORED MILK ADDED DRINK 80ML")</f>
        <v xml:space="preserve"> MOO JOY GREEN APPLE FLAVORED MILK ADDED DRINK 80ML</v>
      </c>
      <c r="B888" s="90" t="str">
        <f ca="1">IFERROR(__xludf.DUMMYFUNCTION("""COMPUTED_VALUE"""),"Dairy")</f>
        <v>Dairy</v>
      </c>
      <c r="C888" s="91" t="str">
        <f ca="1">IFERROR(__xludf.DUMMYFUNCTION("""COMPUTED_VALUE"""),"Saema Apu")</f>
        <v>Saema Apu</v>
      </c>
      <c r="D888" s="92" t="str">
        <f ca="1">IFERROR(__xludf.DUMMYFUNCTION("""COMPUTED_VALUE"""),"Md Iasin Ahmed Showrov (S204960)")</f>
        <v>Md Iasin Ahmed Showrov (S204960)</v>
      </c>
      <c r="E888" s="93" t="str">
        <f ca="1">IFERROR(__xludf.DUMMYFUNCTION("""COMPUTED_VALUE"""),"CB38923_Jul26")</f>
        <v>CB38923_Jul26</v>
      </c>
      <c r="F888" s="94" t="str">
        <f ca="1">IFERROR(__xludf.DUMMYFUNCTION("""COMPUTED_VALUE"""),"Packaging Text Design #2")</f>
        <v>Packaging Text Design #2</v>
      </c>
      <c r="G888" s="95" t="str">
        <f ca="1">IFERROR(__xludf.DUMMYFUNCTION("""COMPUTED_VALUE"""),"New")</f>
        <v>New</v>
      </c>
      <c r="H888" s="96">
        <f ca="1">IFERROR(__xludf.DUMMYFUNCTION("""COMPUTED_VALUE"""),1)</f>
        <v>1</v>
      </c>
      <c r="I888" s="97">
        <f ca="1">IFERROR(__xludf.DUMMYFUNCTION("""COMPUTED_VALUE"""),46211)</f>
        <v>46211</v>
      </c>
      <c r="J888" s="98" t="str">
        <f ca="1">IFERROR(__xludf.DUMMYFUNCTION("""COMPUTED_VALUE"""),"CW39814_Jul26")</f>
        <v>CW39814_Jul26</v>
      </c>
      <c r="K888" s="99" t="str">
        <f ca="1">IFERROR(__xludf.DUMMYFUNCTION("""COMPUTED_VALUE"""),"Brief Submitted")</f>
        <v>Brief Submitted</v>
      </c>
    </row>
    <row r="889" spans="1:11" ht="13.2">
      <c r="A889" s="89" t="str">
        <f ca="1">IFERROR(__xludf.DUMMYFUNCTION("""COMPUTED_VALUE""")," MOO JOY GREEN APPLE FLAVORED MILK ADDED DRINK 80ML")</f>
        <v xml:space="preserve"> MOO JOY GREEN APPLE FLAVORED MILK ADDED DRINK 80ML</v>
      </c>
      <c r="B889" s="90" t="str">
        <f ca="1">IFERROR(__xludf.DUMMYFUNCTION("""COMPUTED_VALUE"""),"Dairy")</f>
        <v>Dairy</v>
      </c>
      <c r="C889" s="91" t="str">
        <f ca="1">IFERROR(__xludf.DUMMYFUNCTION("""COMPUTED_VALUE"""),"Saema Apu")</f>
        <v>Saema Apu</v>
      </c>
      <c r="D889" s="92" t="str">
        <f ca="1">IFERROR(__xludf.DUMMYFUNCTION("""COMPUTED_VALUE"""),"Md Iasin Ahmed Showrov (S204960)")</f>
        <v>Md Iasin Ahmed Showrov (S204960)</v>
      </c>
      <c r="E889" s="93" t="str">
        <f ca="1">IFERROR(__xludf.DUMMYFUNCTION("""COMPUTED_VALUE"""),"CB38923_Jul26")</f>
        <v>CB38923_Jul26</v>
      </c>
      <c r="F889" s="94" t="str">
        <f ca="1">IFERROR(__xludf.DUMMYFUNCTION("""COMPUTED_VALUE"""),"Document Text Correction")</f>
        <v>Document Text Correction</v>
      </c>
      <c r="G889" s="95" t="str">
        <f ca="1">IFERROR(__xludf.DUMMYFUNCTION("""COMPUTED_VALUE"""),"New")</f>
        <v>New</v>
      </c>
      <c r="H889" s="96">
        <f ca="1">IFERROR(__xludf.DUMMYFUNCTION("""COMPUTED_VALUE"""),6)</f>
        <v>6</v>
      </c>
      <c r="I889" s="97">
        <f ca="1">IFERROR(__xludf.DUMMYFUNCTION("""COMPUTED_VALUE"""),46211)</f>
        <v>46211</v>
      </c>
      <c r="J889" s="98" t="str">
        <f ca="1">IFERROR(__xludf.DUMMYFUNCTION("""COMPUTED_VALUE"""),"CW39814_Jul26")</f>
        <v>CW39814_Jul26</v>
      </c>
      <c r="K889" s="99" t="str">
        <f ca="1">IFERROR(__xludf.DUMMYFUNCTION("""COMPUTED_VALUE"""),"Brief Submitted")</f>
        <v>Brief Submitted</v>
      </c>
    </row>
    <row r="890" spans="1:11" ht="13.2">
      <c r="A890" s="89" t="str">
        <f ca="1">IFERROR(__xludf.DUMMYFUNCTION("""COMPUTED_VALUE""")," MOO JOY ORANGE FLAVORED MILK ADDED DRINK 80ML")</f>
        <v xml:space="preserve"> MOO JOY ORANGE FLAVORED MILK ADDED DRINK 80ML</v>
      </c>
      <c r="B890" s="90" t="str">
        <f ca="1">IFERROR(__xludf.DUMMYFUNCTION("""COMPUTED_VALUE"""),"Dairy")</f>
        <v>Dairy</v>
      </c>
      <c r="C890" s="91" t="str">
        <f ca="1">IFERROR(__xludf.DUMMYFUNCTION("""COMPUTED_VALUE"""),"Saema Apu")</f>
        <v>Saema Apu</v>
      </c>
      <c r="D890" s="92" t="str">
        <f ca="1">IFERROR(__xludf.DUMMYFUNCTION("""COMPUTED_VALUE"""),"Md Iasin Ahmed Showrov (S204960)")</f>
        <v>Md Iasin Ahmed Showrov (S204960)</v>
      </c>
      <c r="E890" s="93" t="str">
        <f ca="1">IFERROR(__xludf.DUMMYFUNCTION("""COMPUTED_VALUE"""),"CB38922_Jul26")</f>
        <v>CB38922_Jul26</v>
      </c>
      <c r="F890" s="94" t="str">
        <f ca="1">IFERROR(__xludf.DUMMYFUNCTION("""COMPUTED_VALUE"""),"Packaging Text Design #2")</f>
        <v>Packaging Text Design #2</v>
      </c>
      <c r="G890" s="95" t="str">
        <f ca="1">IFERROR(__xludf.DUMMYFUNCTION("""COMPUTED_VALUE"""),"New")</f>
        <v>New</v>
      </c>
      <c r="H890" s="96">
        <f ca="1">IFERROR(__xludf.DUMMYFUNCTION("""COMPUTED_VALUE"""),1)</f>
        <v>1</v>
      </c>
      <c r="I890" s="97">
        <f ca="1">IFERROR(__xludf.DUMMYFUNCTION("""COMPUTED_VALUE"""),46211)</f>
        <v>46211</v>
      </c>
      <c r="J890" s="98" t="str">
        <f ca="1">IFERROR(__xludf.DUMMYFUNCTION("""COMPUTED_VALUE"""),"CW39818_Jul26")</f>
        <v>CW39818_Jul26</v>
      </c>
      <c r="K890" s="99" t="str">
        <f ca="1">IFERROR(__xludf.DUMMYFUNCTION("""COMPUTED_VALUE"""),"Brief Submitted")</f>
        <v>Brief Submitted</v>
      </c>
    </row>
    <row r="891" spans="1:11" ht="13.2">
      <c r="A891" s="89" t="str">
        <f ca="1">IFERROR(__xludf.DUMMYFUNCTION("""COMPUTED_VALUE""")," MOO JOY ORANGE FLAVORED MILK ADDED DRINK 80ML")</f>
        <v xml:space="preserve"> MOO JOY ORANGE FLAVORED MILK ADDED DRINK 80ML</v>
      </c>
      <c r="B891" s="90" t="str">
        <f ca="1">IFERROR(__xludf.DUMMYFUNCTION("""COMPUTED_VALUE"""),"Dairy")</f>
        <v>Dairy</v>
      </c>
      <c r="C891" s="91" t="str">
        <f ca="1">IFERROR(__xludf.DUMMYFUNCTION("""COMPUTED_VALUE"""),"Saema Apu")</f>
        <v>Saema Apu</v>
      </c>
      <c r="D891" s="92" t="str">
        <f ca="1">IFERROR(__xludf.DUMMYFUNCTION("""COMPUTED_VALUE"""),"Md Iasin Ahmed Showrov (S204960)")</f>
        <v>Md Iasin Ahmed Showrov (S204960)</v>
      </c>
      <c r="E891" s="93" t="str">
        <f ca="1">IFERROR(__xludf.DUMMYFUNCTION("""COMPUTED_VALUE"""),"CB38922_Jul26")</f>
        <v>CB38922_Jul26</v>
      </c>
      <c r="F891" s="94" t="str">
        <f ca="1">IFERROR(__xludf.DUMMYFUNCTION("""COMPUTED_VALUE"""),"Document Text Correction")</f>
        <v>Document Text Correction</v>
      </c>
      <c r="G891" s="95" t="str">
        <f ca="1">IFERROR(__xludf.DUMMYFUNCTION("""COMPUTED_VALUE"""),"New")</f>
        <v>New</v>
      </c>
      <c r="H891" s="96">
        <f ca="1">IFERROR(__xludf.DUMMYFUNCTION("""COMPUTED_VALUE"""),6)</f>
        <v>6</v>
      </c>
      <c r="I891" s="97">
        <f ca="1">IFERROR(__xludf.DUMMYFUNCTION("""COMPUTED_VALUE"""),46211)</f>
        <v>46211</v>
      </c>
      <c r="J891" s="98" t="str">
        <f ca="1">IFERROR(__xludf.DUMMYFUNCTION("""COMPUTED_VALUE"""),"CW39818_Jul26")</f>
        <v>CW39818_Jul26</v>
      </c>
      <c r="K891" s="99" t="str">
        <f ca="1">IFERROR(__xludf.DUMMYFUNCTION("""COMPUTED_VALUE"""),"Brief Submitted")</f>
        <v>Brief Submitted</v>
      </c>
    </row>
    <row r="892" spans="1:11" ht="13.2">
      <c r="A892" s="89" t="str">
        <f ca="1">IFERROR(__xludf.DUMMYFUNCTION("""COMPUTED_VALUE""")," MOO JOY MANGO FLAVORED MILK ADDED DRINK 80ML")</f>
        <v xml:space="preserve"> MOO JOY MANGO FLAVORED MILK ADDED DRINK 80ML</v>
      </c>
      <c r="B892" s="90" t="str">
        <f ca="1">IFERROR(__xludf.DUMMYFUNCTION("""COMPUTED_VALUE"""),"Dairy")</f>
        <v>Dairy</v>
      </c>
      <c r="C892" s="91" t="str">
        <f ca="1">IFERROR(__xludf.DUMMYFUNCTION("""COMPUTED_VALUE"""),"Saema Apu")</f>
        <v>Saema Apu</v>
      </c>
      <c r="D892" s="92" t="str">
        <f ca="1">IFERROR(__xludf.DUMMYFUNCTION("""COMPUTED_VALUE"""),"Md Iasin Ahmed Showrov (S204960)")</f>
        <v>Md Iasin Ahmed Showrov (S204960)</v>
      </c>
      <c r="E892" s="93" t="str">
        <f ca="1">IFERROR(__xludf.DUMMYFUNCTION("""COMPUTED_VALUE"""),"CB38921_Jul26")</f>
        <v>CB38921_Jul26</v>
      </c>
      <c r="F892" s="94" t="str">
        <f ca="1">IFERROR(__xludf.DUMMYFUNCTION("""COMPUTED_VALUE"""),"Packaging Text Design #2")</f>
        <v>Packaging Text Design #2</v>
      </c>
      <c r="G892" s="95" t="str">
        <f ca="1">IFERROR(__xludf.DUMMYFUNCTION("""COMPUTED_VALUE"""),"New")</f>
        <v>New</v>
      </c>
      <c r="H892" s="96">
        <f ca="1">IFERROR(__xludf.DUMMYFUNCTION("""COMPUTED_VALUE"""),1)</f>
        <v>1</v>
      </c>
      <c r="I892" s="97">
        <f ca="1">IFERROR(__xludf.DUMMYFUNCTION("""COMPUTED_VALUE"""),46211)</f>
        <v>46211</v>
      </c>
      <c r="J892" s="98" t="str">
        <f ca="1">IFERROR(__xludf.DUMMYFUNCTION("""COMPUTED_VALUE"""),"CW39820_Jul26")</f>
        <v>CW39820_Jul26</v>
      </c>
      <c r="K892" s="99" t="str">
        <f ca="1">IFERROR(__xludf.DUMMYFUNCTION("""COMPUTED_VALUE"""),"Brief Submitted")</f>
        <v>Brief Submitted</v>
      </c>
    </row>
    <row r="893" spans="1:11" ht="13.2">
      <c r="A893" s="89" t="str">
        <f ca="1">IFERROR(__xludf.DUMMYFUNCTION("""COMPUTED_VALUE""")," MOO JOY MANGO FLAVORED MILK ADDED DRINK 80ML")</f>
        <v xml:space="preserve"> MOO JOY MANGO FLAVORED MILK ADDED DRINK 80ML</v>
      </c>
      <c r="B893" s="90" t="str">
        <f ca="1">IFERROR(__xludf.DUMMYFUNCTION("""COMPUTED_VALUE"""),"Dairy")</f>
        <v>Dairy</v>
      </c>
      <c r="C893" s="91" t="str">
        <f ca="1">IFERROR(__xludf.DUMMYFUNCTION("""COMPUTED_VALUE"""),"Saema Apu")</f>
        <v>Saema Apu</v>
      </c>
      <c r="D893" s="92" t="str">
        <f ca="1">IFERROR(__xludf.DUMMYFUNCTION("""COMPUTED_VALUE"""),"Md Iasin Ahmed Showrov (S204960)")</f>
        <v>Md Iasin Ahmed Showrov (S204960)</v>
      </c>
      <c r="E893" s="93" t="str">
        <f ca="1">IFERROR(__xludf.DUMMYFUNCTION("""COMPUTED_VALUE"""),"CB38921_Jul26")</f>
        <v>CB38921_Jul26</v>
      </c>
      <c r="F893" s="94" t="str">
        <f ca="1">IFERROR(__xludf.DUMMYFUNCTION("""COMPUTED_VALUE"""),"Document Text Correction")</f>
        <v>Document Text Correction</v>
      </c>
      <c r="G893" s="95" t="str">
        <f ca="1">IFERROR(__xludf.DUMMYFUNCTION("""COMPUTED_VALUE"""),"New")</f>
        <v>New</v>
      </c>
      <c r="H893" s="96">
        <f ca="1">IFERROR(__xludf.DUMMYFUNCTION("""COMPUTED_VALUE"""),6)</f>
        <v>6</v>
      </c>
      <c r="I893" s="97">
        <f ca="1">IFERROR(__xludf.DUMMYFUNCTION("""COMPUTED_VALUE"""),46211)</f>
        <v>46211</v>
      </c>
      <c r="J893" s="98" t="str">
        <f ca="1">IFERROR(__xludf.DUMMYFUNCTION("""COMPUTED_VALUE"""),"CW39820_Jul26")</f>
        <v>CW39820_Jul26</v>
      </c>
      <c r="K893" s="99" t="str">
        <f ca="1">IFERROR(__xludf.DUMMYFUNCTION("""COMPUTED_VALUE"""),"Brief Submitted")</f>
        <v>Brief Submitted</v>
      </c>
    </row>
    <row r="894" spans="1:11" ht="13.2">
      <c r="A894" s="89" t="str">
        <f ca="1">IFERROR(__xludf.DUMMYFUNCTION("""COMPUTED_VALUE""")," TREAT PULSE MANGO MASALA FLAVORED CANDY (3.6G x 200 Pcs)")</f>
        <v xml:space="preserve"> TREAT PULSE MANGO MASALA FLAVORED CANDY (3.6G x 200 Pcs)</v>
      </c>
      <c r="B894" s="90" t="str">
        <f ca="1">IFERROR(__xludf.DUMMYFUNCTION("""COMPUTED_VALUE"""),"Philippines")</f>
        <v>Philippines</v>
      </c>
      <c r="C894" s="91" t="str">
        <f ca="1">IFERROR(__xludf.DUMMYFUNCTION("""COMPUTED_VALUE"""),"Farjana Apu")</f>
        <v>Farjana Apu</v>
      </c>
      <c r="D894" s="92" t="str">
        <f ca="1">IFERROR(__xludf.DUMMYFUNCTION("""COMPUTED_VALUE"""),"Md Iasin Ahmed Showrov (S204960)")</f>
        <v>Md Iasin Ahmed Showrov (S204960)</v>
      </c>
      <c r="E894" s="93" t="str">
        <f ca="1">IFERROR(__xludf.DUMMYFUNCTION("""COMPUTED_VALUE"""),"CB38908_Jul26")</f>
        <v>CB38908_Jul26</v>
      </c>
      <c r="F894" s="94" t="str">
        <f ca="1">IFERROR(__xludf.DUMMYFUNCTION("""COMPUTED_VALUE"""),"Packaging Text Design #1")</f>
        <v>Packaging Text Design #1</v>
      </c>
      <c r="G894" s="95" t="str">
        <f ca="1">IFERROR(__xludf.DUMMYFUNCTION("""COMPUTED_VALUE"""),"New")</f>
        <v>New</v>
      </c>
      <c r="H894" s="96">
        <f ca="1">IFERROR(__xludf.DUMMYFUNCTION("""COMPUTED_VALUE"""),2)</f>
        <v>2</v>
      </c>
      <c r="I894" s="97">
        <f ca="1">IFERROR(__xludf.DUMMYFUNCTION("""COMPUTED_VALUE"""),46211)</f>
        <v>46211</v>
      </c>
      <c r="J894" s="98" t="str">
        <f ca="1">IFERROR(__xludf.DUMMYFUNCTION("""COMPUTED_VALUE"""),"CW39824_Jul26")</f>
        <v>CW39824_Jul26</v>
      </c>
      <c r="K894" s="99" t="str">
        <f ca="1">IFERROR(__xludf.DUMMYFUNCTION("""COMPUTED_VALUE"""),"Brief Submitted")</f>
        <v>Brief Submitted</v>
      </c>
    </row>
    <row r="895" spans="1:11" ht="13.2">
      <c r="A895" s="89" t="str">
        <f ca="1">IFERROR(__xludf.DUMMYFUNCTION("""COMPUTED_VALUE"""),"PRAN CHOCO CHOCO MEGA MANGO FLAVORED PASTE (8G x 100PCS)")</f>
        <v>PRAN CHOCO CHOCO MEGA MANGO FLAVORED PASTE (8G x 100PCS)</v>
      </c>
      <c r="B895" s="90" t="str">
        <f ca="1">IFERROR(__xludf.DUMMYFUNCTION("""COMPUTED_VALUE"""),"Philippines")</f>
        <v>Philippines</v>
      </c>
      <c r="C895" s="91" t="str">
        <f ca="1">IFERROR(__xludf.DUMMYFUNCTION("""COMPUTED_VALUE"""),"Farjana Apu")</f>
        <v>Farjana Apu</v>
      </c>
      <c r="D895" s="92" t="str">
        <f ca="1">IFERROR(__xludf.DUMMYFUNCTION("""COMPUTED_VALUE"""),"Md Iasin Ahmed Showrov (S204960)")</f>
        <v>Md Iasin Ahmed Showrov (S204960)</v>
      </c>
      <c r="E895" s="93" t="str">
        <f ca="1">IFERROR(__xludf.DUMMYFUNCTION("""COMPUTED_VALUE"""),"CB38835_Jul26")</f>
        <v>CB38835_Jul26</v>
      </c>
      <c r="F895" s="94" t="str">
        <f ca="1">IFERROR(__xludf.DUMMYFUNCTION("""COMPUTED_VALUE"""),"Packaging Text Design #1")</f>
        <v>Packaging Text Design #1</v>
      </c>
      <c r="G895" s="95" t="str">
        <f ca="1">IFERROR(__xludf.DUMMYFUNCTION("""COMPUTED_VALUE"""),"New")</f>
        <v>New</v>
      </c>
      <c r="H895" s="96">
        <f ca="1">IFERROR(__xludf.DUMMYFUNCTION("""COMPUTED_VALUE"""),2)</f>
        <v>2</v>
      </c>
      <c r="I895" s="97">
        <f ca="1">IFERROR(__xludf.DUMMYFUNCTION("""COMPUTED_VALUE"""),46211)</f>
        <v>46211</v>
      </c>
      <c r="J895" s="98" t="str">
        <f ca="1">IFERROR(__xludf.DUMMYFUNCTION("""COMPUTED_VALUE"""),"CW39825_Jul26")</f>
        <v>CW39825_Jul26</v>
      </c>
      <c r="K895" s="99" t="str">
        <f ca="1">IFERROR(__xludf.DUMMYFUNCTION("""COMPUTED_VALUE"""),"Brief Submitted")</f>
        <v>Brief Submitted</v>
      </c>
    </row>
    <row r="896" spans="1:11" ht="13.2">
      <c r="A896" s="89" t="str">
        <f ca="1">IFERROR(__xludf.DUMMYFUNCTION("""COMPUTED_VALUE"""),"Pran Instant Noodles Chicken Curry Flavour 70g")</f>
        <v>Pran Instant Noodles Chicken Curry Flavour 70g</v>
      </c>
      <c r="B896" s="90" t="str">
        <f ca="1">IFERROR(__xludf.DUMMYFUNCTION("""COMPUTED_VALUE"""),"PAL")</f>
        <v>PAL</v>
      </c>
      <c r="C896" s="91" t="str">
        <f ca="1">IFERROR(__xludf.DUMMYFUNCTION("""COMPUTED_VALUE"""),"Rabby Vai")</f>
        <v>Rabby Vai</v>
      </c>
      <c r="D896" s="92" t="str">
        <f ca="1">IFERROR(__xludf.DUMMYFUNCTION("""COMPUTED_VALUE"""),"Md Iasin Ahmed Showrov (S204960)")</f>
        <v>Md Iasin Ahmed Showrov (S204960)</v>
      </c>
      <c r="E896" s="93" t="str">
        <f ca="1">IFERROR(__xludf.DUMMYFUNCTION("""COMPUTED_VALUE"""),"CB39030_Jul26")</f>
        <v>CB39030_Jul26</v>
      </c>
      <c r="F896" s="94" t="str">
        <f ca="1">IFERROR(__xludf.DUMMYFUNCTION("""COMPUTED_VALUE"""),"Packaging Text Design #1")</f>
        <v>Packaging Text Design #1</v>
      </c>
      <c r="G896" s="95" t="str">
        <f ca="1">IFERROR(__xludf.DUMMYFUNCTION("""COMPUTED_VALUE"""),"New")</f>
        <v>New</v>
      </c>
      <c r="H896" s="96">
        <f ca="1">IFERROR(__xludf.DUMMYFUNCTION("""COMPUTED_VALUE"""),1)</f>
        <v>1</v>
      </c>
      <c r="I896" s="97">
        <f ca="1">IFERROR(__xludf.DUMMYFUNCTION("""COMPUTED_VALUE"""),46211)</f>
        <v>46211</v>
      </c>
      <c r="J896" s="98" t="str">
        <f ca="1">IFERROR(__xludf.DUMMYFUNCTION("""COMPUTED_VALUE"""),"CW39884_Jul26")</f>
        <v>CW39884_Jul26</v>
      </c>
      <c r="K896" s="99" t="str">
        <f ca="1">IFERROR(__xludf.DUMMYFUNCTION("""COMPUTED_VALUE"""),"Brief Submitted")</f>
        <v>Brief Submitted</v>
      </c>
    </row>
    <row r="897" spans="1:11" ht="13.2">
      <c r="A897" s="89" t="str">
        <f ca="1">IFERROR(__xludf.DUMMYFUNCTION("""COMPUTED_VALUE"""),"Divino Chocolate")</f>
        <v>Divino Chocolate</v>
      </c>
      <c r="B897" s="90" t="str">
        <f ca="1">IFERROR(__xludf.DUMMYFUNCTION("""COMPUTED_VALUE"""),"PCL")</f>
        <v>PCL</v>
      </c>
      <c r="C897" s="91" t="str">
        <f ca="1">IFERROR(__xludf.DUMMYFUNCTION("""COMPUTED_VALUE"""),"Sohel Vai")</f>
        <v>Sohel Vai</v>
      </c>
      <c r="D897" s="92" t="str">
        <f ca="1">IFERROR(__xludf.DUMMYFUNCTION("""COMPUTED_VALUE"""),"Md Iasin Ahmed Showrov (S204960)")</f>
        <v>Md Iasin Ahmed Showrov (S204960)</v>
      </c>
      <c r="E897" s="93" t="str">
        <f ca="1">IFERROR(__xludf.DUMMYFUNCTION("""COMPUTED_VALUE"""),"CB38978")</f>
        <v>CB38978</v>
      </c>
      <c r="F897" s="94" t="str">
        <f ca="1">IFERROR(__xludf.DUMMYFUNCTION("""COMPUTED_VALUE"""),"Packaging Text Design #1")</f>
        <v>Packaging Text Design #1</v>
      </c>
      <c r="G897" s="95" t="str">
        <f ca="1">IFERROR(__xludf.DUMMYFUNCTION("""COMPUTED_VALUE"""),"New")</f>
        <v>New</v>
      </c>
      <c r="H897" s="96">
        <f ca="1">IFERROR(__xludf.DUMMYFUNCTION("""COMPUTED_VALUE"""),5)</f>
        <v>5</v>
      </c>
      <c r="I897" s="97"/>
      <c r="J897" s="98" t="str">
        <f ca="1">IFERROR(__xludf.DUMMYFUNCTION("""COMPUTED_VALUE"""),"Unknown")</f>
        <v>Unknown</v>
      </c>
      <c r="K897" s="99" t="str">
        <f ca="1">IFERROR(__xludf.DUMMYFUNCTION("""COMPUTED_VALUE"""),"Running")</f>
        <v>Running</v>
      </c>
    </row>
    <row r="898" spans="1:11" ht="13.2">
      <c r="A898" s="89" t="str">
        <f ca="1">IFERROR(__xludf.DUMMYFUNCTION("""COMPUTED_VALUE"""),"CERTIFICATE CORRECTION ")</f>
        <v xml:space="preserve">CERTIFICATE CORRECTION </v>
      </c>
      <c r="B898" s="90" t="str">
        <f ca="1">IFERROR(__xludf.DUMMYFUNCTION("""COMPUTED_VALUE"""),"PAL")</f>
        <v>PAL</v>
      </c>
      <c r="C898" s="91" t="str">
        <f ca="1">IFERROR(__xludf.DUMMYFUNCTION("""COMPUTED_VALUE"""),"Rabby Vai")</f>
        <v>Rabby Vai</v>
      </c>
      <c r="D898" s="92" t="str">
        <f ca="1">IFERROR(__xludf.DUMMYFUNCTION("""COMPUTED_VALUE"""),"Md Iasin Ahmed Showrov (S204960)")</f>
        <v>Md Iasin Ahmed Showrov (S204960)</v>
      </c>
      <c r="E898" s="93" t="str">
        <f ca="1">IFERROR(__xludf.DUMMYFUNCTION("""COMPUTED_VALUE"""),"CB39067_Jul26")</f>
        <v>CB39067_Jul26</v>
      </c>
      <c r="F898" s="94" t="str">
        <f ca="1">IFERROR(__xludf.DUMMYFUNCTION("""COMPUTED_VALUE"""),"Document Text Correction")</f>
        <v>Document Text Correction</v>
      </c>
      <c r="G898" s="95" t="str">
        <f ca="1">IFERROR(__xludf.DUMMYFUNCTION("""COMPUTED_VALUE"""),"New")</f>
        <v>New</v>
      </c>
      <c r="H898" s="96">
        <f ca="1">IFERROR(__xludf.DUMMYFUNCTION("""COMPUTED_VALUE"""),2)</f>
        <v>2</v>
      </c>
      <c r="I898" s="97">
        <f ca="1">IFERROR(__xludf.DUMMYFUNCTION("""COMPUTED_VALUE"""),46211)</f>
        <v>46211</v>
      </c>
      <c r="J898" s="98" t="str">
        <f ca="1">IFERROR(__xludf.DUMMYFUNCTION("""COMPUTED_VALUE"""),"CW39880_Jul26")</f>
        <v>CW39880_Jul26</v>
      </c>
      <c r="K898" s="99" t="str">
        <f ca="1">IFERROR(__xludf.DUMMYFUNCTION("""COMPUTED_VALUE"""),"Brief Submitted")</f>
        <v>Brief Submitted</v>
      </c>
    </row>
    <row r="899" spans="1:11" ht="13.2">
      <c r="A899" s="89" t="str">
        <f ca="1">IFERROR(__xludf.DUMMYFUNCTION("""COMPUTED_VALUE"""),"PRAN GREEN PEAS 400G")</f>
        <v>PRAN GREEN PEAS 400G</v>
      </c>
      <c r="B899" s="90" t="str">
        <f ca="1">IFERROR(__xludf.DUMMYFUNCTION("""COMPUTED_VALUE"""),"PAL")</f>
        <v>PAL</v>
      </c>
      <c r="C899" s="91" t="str">
        <f ca="1">IFERROR(__xludf.DUMMYFUNCTION("""COMPUTED_VALUE"""),"Rabby Vai")</f>
        <v>Rabby Vai</v>
      </c>
      <c r="D899" s="92" t="str">
        <f ca="1">IFERROR(__xludf.DUMMYFUNCTION("""COMPUTED_VALUE"""),"Md Iasin Ahmed Showrov (S204960)")</f>
        <v>Md Iasin Ahmed Showrov (S204960)</v>
      </c>
      <c r="E899" s="93" t="str">
        <f ca="1">IFERROR(__xludf.DUMMYFUNCTION("""COMPUTED_VALUE"""),"CB39065_Jul26")</f>
        <v>CB39065_Jul26</v>
      </c>
      <c r="F899" s="94" t="str">
        <f ca="1">IFERROR(__xludf.DUMMYFUNCTION("""COMPUTED_VALUE"""),"Packaging Text Design #1")</f>
        <v>Packaging Text Design #1</v>
      </c>
      <c r="G899" s="95" t="str">
        <f ca="1">IFERROR(__xludf.DUMMYFUNCTION("""COMPUTED_VALUE"""),"New")</f>
        <v>New</v>
      </c>
      <c r="H899" s="96">
        <f ca="1">IFERROR(__xludf.DUMMYFUNCTION("""COMPUTED_VALUE"""),1)</f>
        <v>1</v>
      </c>
      <c r="I899" s="97">
        <f ca="1">IFERROR(__xludf.DUMMYFUNCTION("""COMPUTED_VALUE"""),46211)</f>
        <v>46211</v>
      </c>
      <c r="J899" s="98" t="str">
        <f ca="1">IFERROR(__xludf.DUMMYFUNCTION("""COMPUTED_VALUE"""),"CW39882_Jul26")</f>
        <v>CW39882_Jul26</v>
      </c>
      <c r="K899" s="99" t="str">
        <f ca="1">IFERROR(__xludf.DUMMYFUNCTION("""COMPUTED_VALUE"""),"Brief Submitted")</f>
        <v>Brief Submitted</v>
      </c>
    </row>
    <row r="900" spans="1:11" ht="13.2">
      <c r="A900" s="89" t="str">
        <f ca="1">IFERROR(__xludf.DUMMYFUNCTION("""COMPUTED_VALUE"""),"PRAN SWEET CORN 400G")</f>
        <v>PRAN SWEET CORN 400G</v>
      </c>
      <c r="B900" s="90" t="str">
        <f ca="1">IFERROR(__xludf.DUMMYFUNCTION("""COMPUTED_VALUE"""),"PAL")</f>
        <v>PAL</v>
      </c>
      <c r="C900" s="91" t="str">
        <f ca="1">IFERROR(__xludf.DUMMYFUNCTION("""COMPUTED_VALUE"""),"Rabby Vai")</f>
        <v>Rabby Vai</v>
      </c>
      <c r="D900" s="92" t="str">
        <f ca="1">IFERROR(__xludf.DUMMYFUNCTION("""COMPUTED_VALUE"""),"Md Iasin Ahmed Showrov (S204960)")</f>
        <v>Md Iasin Ahmed Showrov (S204960)</v>
      </c>
      <c r="E900" s="93" t="str">
        <f ca="1">IFERROR(__xludf.DUMMYFUNCTION("""COMPUTED_VALUE"""),"CB39064_Jul26")</f>
        <v>CB39064_Jul26</v>
      </c>
      <c r="F900" s="94" t="str">
        <f ca="1">IFERROR(__xludf.DUMMYFUNCTION("""COMPUTED_VALUE"""),"Packaging Text Design #1")</f>
        <v>Packaging Text Design #1</v>
      </c>
      <c r="G900" s="95" t="str">
        <f ca="1">IFERROR(__xludf.DUMMYFUNCTION("""COMPUTED_VALUE"""),"New")</f>
        <v>New</v>
      </c>
      <c r="H900" s="96">
        <f ca="1">IFERROR(__xludf.DUMMYFUNCTION("""COMPUTED_VALUE"""),1)</f>
        <v>1</v>
      </c>
      <c r="I900" s="97">
        <f ca="1">IFERROR(__xludf.DUMMYFUNCTION("""COMPUTED_VALUE"""),46211)</f>
        <v>46211</v>
      </c>
      <c r="J900" s="98" t="str">
        <f ca="1">IFERROR(__xludf.DUMMYFUNCTION("""COMPUTED_VALUE"""),"CW39883_Jul26")</f>
        <v>CW39883_Jul26</v>
      </c>
      <c r="K900" s="99" t="str">
        <f ca="1">IFERROR(__xludf.DUMMYFUNCTION("""COMPUTED_VALUE"""),"Brief Submitted")</f>
        <v>Brief Submitted</v>
      </c>
    </row>
    <row r="901" spans="1:11" ht="13.2">
      <c r="A901" s="89" t="str">
        <f ca="1">IFERROR(__xludf.DUMMYFUNCTION("""COMPUTED_VALUE"""),"Hurray Fruit Fantasy Phillipine")</f>
        <v>Hurray Fruit Fantasy Phillipine</v>
      </c>
      <c r="B901" s="90" t="str">
        <f ca="1">IFERROR(__xludf.DUMMYFUNCTION("""COMPUTED_VALUE"""),"Philippines")</f>
        <v>Philippines</v>
      </c>
      <c r="C901" s="91" t="str">
        <f ca="1">IFERROR(__xludf.DUMMYFUNCTION("""COMPUTED_VALUE"""),"Rabby Vai")</f>
        <v>Rabby Vai</v>
      </c>
      <c r="D901" s="92" t="str">
        <f ca="1">IFERROR(__xludf.DUMMYFUNCTION("""COMPUTED_VALUE"""),"Md Iasin Ahmed Showrov (S204960)")</f>
        <v>Md Iasin Ahmed Showrov (S204960)</v>
      </c>
      <c r="E901" s="93" t="str">
        <f ca="1">IFERROR(__xludf.DUMMYFUNCTION("""COMPUTED_VALUE"""),"39180")</f>
        <v>39180</v>
      </c>
      <c r="F901" s="94" t="str">
        <f ca="1">IFERROR(__xludf.DUMMYFUNCTION("""COMPUTED_VALUE"""),"Packaging Text Design #1")</f>
        <v>Packaging Text Design #1</v>
      </c>
      <c r="G901" s="95" t="str">
        <f ca="1">IFERROR(__xludf.DUMMYFUNCTION("""COMPUTED_VALUE"""),"New")</f>
        <v>New</v>
      </c>
      <c r="H901" s="96">
        <f ca="1">IFERROR(__xludf.DUMMYFUNCTION("""COMPUTED_VALUE"""),2)</f>
        <v>2</v>
      </c>
      <c r="I901" s="97"/>
      <c r="J901" s="98" t="str">
        <f ca="1">IFERROR(__xludf.DUMMYFUNCTION("""COMPUTED_VALUE"""),"Unknown")</f>
        <v>Unknown</v>
      </c>
      <c r="K901" s="99" t="str">
        <f ca="1">IFERROR(__xludf.DUMMYFUNCTION("""COMPUTED_VALUE"""),"Running")</f>
        <v>Running</v>
      </c>
    </row>
    <row r="902" spans="1:11" ht="13.2">
      <c r="A902" s="89" t="str">
        <f ca="1">IFERROR(__xludf.DUMMYFUNCTION("""COMPUTED_VALUE"""),"The Shef Basil/ Chilli Leaves")</f>
        <v>The Shef Basil/ Chilli Leaves</v>
      </c>
      <c r="B902" s="90" t="str">
        <f ca="1">IFERROR(__xludf.DUMMYFUNCTION("""COMPUTED_VALUE"""),"NAL")</f>
        <v>NAL</v>
      </c>
      <c r="C902" s="91" t="str">
        <f ca="1">IFERROR(__xludf.DUMMYFUNCTION("""COMPUTED_VALUE"""),"Sanjana Apu")</f>
        <v>Sanjana Apu</v>
      </c>
      <c r="D902" s="92" t="str">
        <f ca="1">IFERROR(__xludf.DUMMYFUNCTION("""COMPUTED_VALUE"""),"Md Iasin Ahmed Showrov (S204960)")</f>
        <v>Md Iasin Ahmed Showrov (S204960)</v>
      </c>
      <c r="E902" s="93" t="str">
        <f ca="1">IFERROR(__xludf.DUMMYFUNCTION("""COMPUTED_VALUE"""),"CB24555")</f>
        <v>CB24555</v>
      </c>
      <c r="F902" s="94" t="str">
        <f ca="1">IFERROR(__xludf.DUMMYFUNCTION("""COMPUTED_VALUE"""),"Packaging Text Design #2")</f>
        <v>Packaging Text Design #2</v>
      </c>
      <c r="G902" s="95" t="str">
        <f ca="1">IFERROR(__xludf.DUMMYFUNCTION("""COMPUTED_VALUE"""),"New")</f>
        <v>New</v>
      </c>
      <c r="H902" s="96">
        <f ca="1">IFERROR(__xludf.DUMMYFUNCTION("""COMPUTED_VALUE"""),2)</f>
        <v>2</v>
      </c>
      <c r="I902" s="97"/>
      <c r="J902" s="98" t="str">
        <f ca="1">IFERROR(__xludf.DUMMYFUNCTION("""COMPUTED_VALUE"""),"Unknown")</f>
        <v>Unknown</v>
      </c>
      <c r="K902" s="99" t="str">
        <f ca="1">IFERROR(__xludf.DUMMYFUNCTION("""COMPUTED_VALUE"""),"In Review")</f>
        <v>In Review</v>
      </c>
    </row>
    <row r="903" spans="1:11" ht="13.2">
      <c r="A903" s="89" t="str">
        <f ca="1">IFERROR(__xludf.DUMMYFUNCTION("""COMPUTED_VALUE"""),"Pluto Chocolate Gems")</f>
        <v>Pluto Chocolate Gems</v>
      </c>
      <c r="B903" s="90" t="str">
        <f ca="1">IFERROR(__xludf.DUMMYFUNCTION("""COMPUTED_VALUE"""),"PCL")</f>
        <v>PCL</v>
      </c>
      <c r="C903" s="91" t="str">
        <f ca="1">IFERROR(__xludf.DUMMYFUNCTION("""COMPUTED_VALUE"""),"Mona Apu")</f>
        <v>Mona Apu</v>
      </c>
      <c r="D903" s="92" t="str">
        <f ca="1">IFERROR(__xludf.DUMMYFUNCTION("""COMPUTED_VALUE"""),"Masud Parvez Sani (S223034)")</f>
        <v>Masud Parvez Sani (S223034)</v>
      </c>
      <c r="E903" s="93" t="str">
        <f ca="1">IFERROR(__xludf.DUMMYFUNCTION("""COMPUTED_VALUE"""),"CB18251_Feb26")</f>
        <v>CB18251_Feb26</v>
      </c>
      <c r="F903" s="94" t="str">
        <f ca="1">IFERROR(__xludf.DUMMYFUNCTION("""COMPUTED_VALUE"""),"Carton Design")</f>
        <v>Carton Design</v>
      </c>
      <c r="G903" s="95" t="str">
        <f ca="1">IFERROR(__xludf.DUMMYFUNCTION("""COMPUTED_VALUE"""),"New")</f>
        <v>New</v>
      </c>
      <c r="H903" s="96">
        <f ca="1">IFERROR(__xludf.DUMMYFUNCTION("""COMPUTED_VALUE"""),2)</f>
        <v>2</v>
      </c>
      <c r="I903" s="97">
        <f ca="1">IFERROR(__xludf.DUMMYFUNCTION("""COMPUTED_VALUE"""),46110)</f>
        <v>46110</v>
      </c>
      <c r="J903" s="98" t="str">
        <f ca="1">IFERROR(__xludf.DUMMYFUNCTION("""COMPUTED_VALUE"""),"CW28341_Mar26")</f>
        <v>CW28341_Mar26</v>
      </c>
      <c r="K903" s="99" t="str">
        <f ca="1">IFERROR(__xludf.DUMMYFUNCTION("""COMPUTED_VALUE"""),"HoM Approved")</f>
        <v>HoM Approved</v>
      </c>
    </row>
    <row r="904" spans="1:11" ht="13.2">
      <c r="A904" s="89" t="str">
        <f ca="1">IFERROR(__xludf.DUMMYFUNCTION("""COMPUTED_VALUE"""),"Bisk Club Glucose Based Biscuit")</f>
        <v>Bisk Club Glucose Based Biscuit</v>
      </c>
      <c r="B904" s="90" t="str">
        <f ca="1">IFERROR(__xludf.DUMMYFUNCTION("""COMPUTED_VALUE"""),"BBL")</f>
        <v>BBL</v>
      </c>
      <c r="C904" s="91" t="str">
        <f ca="1">IFERROR(__xludf.DUMMYFUNCTION("""COMPUTED_VALUE"""),"Mona Apu")</f>
        <v>Mona Apu</v>
      </c>
      <c r="D904" s="92" t="str">
        <f ca="1">IFERROR(__xludf.DUMMYFUNCTION("""COMPUTED_VALUE"""),"Masud Parvez Sani (S223034)")</f>
        <v>Masud Parvez Sani (S223034)</v>
      </c>
      <c r="E904" s="93" t="str">
        <f ca="1">IFERROR(__xludf.DUMMYFUNCTION("""COMPUTED_VALUE"""),"CB19037_Mar26")</f>
        <v>CB19037_Mar26</v>
      </c>
      <c r="F904" s="94" t="str">
        <f ca="1">IFERROR(__xludf.DUMMYFUNCTION("""COMPUTED_VALUE"""),"Carton Design")</f>
        <v>Carton Design</v>
      </c>
      <c r="G904" s="95" t="str">
        <f ca="1">IFERROR(__xludf.DUMMYFUNCTION("""COMPUTED_VALUE"""),"New")</f>
        <v>New</v>
      </c>
      <c r="H904" s="96">
        <f ca="1">IFERROR(__xludf.DUMMYFUNCTION("""COMPUTED_VALUE"""),1)</f>
        <v>1</v>
      </c>
      <c r="I904" s="97">
        <f ca="1">IFERROR(__xludf.DUMMYFUNCTION("""COMPUTED_VALUE"""),46110)</f>
        <v>46110</v>
      </c>
      <c r="J904" s="98" t="str">
        <f ca="1">IFERROR(__xludf.DUMMYFUNCTION("""COMPUTED_VALUE"""),"CW28347_Mar26")</f>
        <v>CW28347_Mar26</v>
      </c>
      <c r="K904" s="99" t="str">
        <f ca="1">IFERROR(__xludf.DUMMYFUNCTION("""COMPUTED_VALUE"""),"HoM Approved")</f>
        <v>HoM Approved</v>
      </c>
    </row>
    <row r="905" spans="1:11" ht="13.2">
      <c r="A905" s="89" t="str">
        <f ca="1">IFERROR(__xludf.DUMMYFUNCTION("""COMPUTED_VALUE"""),"Drinko Litchi/Orange")</f>
        <v>Drinko Litchi/Orange</v>
      </c>
      <c r="B905" s="90" t="str">
        <f ca="1">IFERROR(__xludf.DUMMYFUNCTION("""COMPUTED_VALUE"""),"PBL")</f>
        <v>PBL</v>
      </c>
      <c r="C905" s="91" t="str">
        <f ca="1">IFERROR(__xludf.DUMMYFUNCTION("""COMPUTED_VALUE"""),"Mona Apu")</f>
        <v>Mona Apu</v>
      </c>
      <c r="D905" s="92" t="str">
        <f ca="1">IFERROR(__xludf.DUMMYFUNCTION("""COMPUTED_VALUE"""),"Masud Parvez Sani (S223034)")</f>
        <v>Masud Parvez Sani (S223034)</v>
      </c>
      <c r="E905" s="93" t="str">
        <f ca="1">IFERROR(__xludf.DUMMYFUNCTION("""COMPUTED_VALUE"""),"CB18284_Feb26")</f>
        <v>CB18284_Feb26</v>
      </c>
      <c r="F905" s="94" t="str">
        <f ca="1">IFERROR(__xludf.DUMMYFUNCTION("""COMPUTED_VALUE"""),"Packaging Text Design #1")</f>
        <v>Packaging Text Design #1</v>
      </c>
      <c r="G905" s="95" t="str">
        <f ca="1">IFERROR(__xludf.DUMMYFUNCTION("""COMPUTED_VALUE"""),"New")</f>
        <v>New</v>
      </c>
      <c r="H905" s="96">
        <f ca="1">IFERROR(__xludf.DUMMYFUNCTION("""COMPUTED_VALUE"""),1)</f>
        <v>1</v>
      </c>
      <c r="I905" s="97">
        <f ca="1">IFERROR(__xludf.DUMMYFUNCTION("""COMPUTED_VALUE"""),46110)</f>
        <v>46110</v>
      </c>
      <c r="J905" s="98" t="str">
        <f ca="1">IFERROR(__xludf.DUMMYFUNCTION("""COMPUTED_VALUE"""),"CW28343_Mar26")</f>
        <v>CW28343_Mar26</v>
      </c>
      <c r="K905" s="99" t="str">
        <f ca="1">IFERROR(__xludf.DUMMYFUNCTION("""COMPUTED_VALUE"""),"HoM Approved")</f>
        <v>HoM Approved</v>
      </c>
    </row>
    <row r="906" spans="1:11" ht="13.2">
      <c r="A906" s="89" t="str">
        <f ca="1">IFERROR(__xludf.DUMMYFUNCTION("""COMPUTED_VALUE"""),"Pluto Chocolate Gems")</f>
        <v>Pluto Chocolate Gems</v>
      </c>
      <c r="B906" s="90" t="str">
        <f ca="1">IFERROR(__xludf.DUMMYFUNCTION("""COMPUTED_VALUE"""),"PCL")</f>
        <v>PCL</v>
      </c>
      <c r="C906" s="91" t="str">
        <f ca="1">IFERROR(__xludf.DUMMYFUNCTION("""COMPUTED_VALUE"""),"Mona Apu")</f>
        <v>Mona Apu</v>
      </c>
      <c r="D906" s="92" t="str">
        <f ca="1">IFERROR(__xludf.DUMMYFUNCTION("""COMPUTED_VALUE"""),"Masud Parvez Sani (S223034)")</f>
        <v>Masud Parvez Sani (S223034)</v>
      </c>
      <c r="E906" s="93" t="str">
        <f ca="1">IFERROR(__xludf.DUMMYFUNCTION("""COMPUTED_VALUE"""),"CB18249_Feb26")</f>
        <v>CB18249_Feb26</v>
      </c>
      <c r="F906" s="94" t="str">
        <f ca="1">IFERROR(__xludf.DUMMYFUNCTION("""COMPUTED_VALUE"""),"Packaging Text Design #2")</f>
        <v>Packaging Text Design #2</v>
      </c>
      <c r="G906" s="95" t="str">
        <f ca="1">IFERROR(__xludf.DUMMYFUNCTION("""COMPUTED_VALUE"""),"New")</f>
        <v>New</v>
      </c>
      <c r="H906" s="96">
        <f ca="1">IFERROR(__xludf.DUMMYFUNCTION("""COMPUTED_VALUE"""),6)</f>
        <v>6</v>
      </c>
      <c r="I906" s="97">
        <f ca="1">IFERROR(__xludf.DUMMYFUNCTION("""COMPUTED_VALUE"""),46110)</f>
        <v>46110</v>
      </c>
      <c r="J906" s="98" t="str">
        <f ca="1">IFERROR(__xludf.DUMMYFUNCTION("""COMPUTED_VALUE"""),"CW28340_Mar26")</f>
        <v>CW28340_Mar26</v>
      </c>
      <c r="K906" s="99" t="str">
        <f ca="1">IFERROR(__xludf.DUMMYFUNCTION("""COMPUTED_VALUE"""),"HoM Approved")</f>
        <v>HoM Approved</v>
      </c>
    </row>
    <row r="907" spans="1:11" ht="13.2">
      <c r="A907" s="89" t="str">
        <f ca="1">IFERROR(__xludf.DUMMYFUNCTION("""COMPUTED_VALUE"""),"Canton Noodles")</f>
        <v>Canton Noodles</v>
      </c>
      <c r="B907" s="90" t="str">
        <f ca="1">IFERROR(__xludf.DUMMYFUNCTION("""COMPUTED_VALUE"""),"PAL")</f>
        <v>PAL</v>
      </c>
      <c r="C907" s="91" t="str">
        <f ca="1">IFERROR(__xludf.DUMMYFUNCTION("""COMPUTED_VALUE"""),"Rakib Vai")</f>
        <v>Rakib Vai</v>
      </c>
      <c r="D907" s="92" t="str">
        <f ca="1">IFERROR(__xludf.DUMMYFUNCTION("""COMPUTED_VALUE"""),"Masud Parvez Sani (S223034)")</f>
        <v>Masud Parvez Sani (S223034)</v>
      </c>
      <c r="E907" s="93" t="str">
        <f ca="1">IFERROR(__xludf.DUMMYFUNCTION("""COMPUTED_VALUE"""),"CB18265_Feb26")</f>
        <v>CB18265_Feb26</v>
      </c>
      <c r="F907" s="94" t="str">
        <f ca="1">IFERROR(__xludf.DUMMYFUNCTION("""COMPUTED_VALUE"""),"Packaging Text Design #1")</f>
        <v>Packaging Text Design #1</v>
      </c>
      <c r="G907" s="95" t="str">
        <f ca="1">IFERROR(__xludf.DUMMYFUNCTION("""COMPUTED_VALUE"""),"New")</f>
        <v>New</v>
      </c>
      <c r="H907" s="96">
        <f ca="1">IFERROR(__xludf.DUMMYFUNCTION("""COMPUTED_VALUE"""),8)</f>
        <v>8</v>
      </c>
      <c r="I907" s="97">
        <f ca="1">IFERROR(__xludf.DUMMYFUNCTION("""COMPUTED_VALUE"""),46110)</f>
        <v>46110</v>
      </c>
      <c r="J907" s="98" t="str">
        <f ca="1">IFERROR(__xludf.DUMMYFUNCTION("""COMPUTED_VALUE"""),"CW28342_Mar26")</f>
        <v>CW28342_Mar26</v>
      </c>
      <c r="K907" s="99" t="str">
        <f ca="1">IFERROR(__xludf.DUMMYFUNCTION("""COMPUTED_VALUE"""),"HoM Approved")</f>
        <v>HoM Approved</v>
      </c>
    </row>
    <row r="908" spans="1:11" ht="13.2">
      <c r="A908" s="89" t="str">
        <f ca="1">IFERROR(__xludf.DUMMYFUNCTION("""COMPUTED_VALUE"""),"Canton Sauce")</f>
        <v>Canton Sauce</v>
      </c>
      <c r="B908" s="90" t="str">
        <f ca="1">IFERROR(__xludf.DUMMYFUNCTION("""COMPUTED_VALUE"""),"PAL")</f>
        <v>PAL</v>
      </c>
      <c r="C908" s="91" t="str">
        <f ca="1">IFERROR(__xludf.DUMMYFUNCTION("""COMPUTED_VALUE"""),"Rakib Vai")</f>
        <v>Rakib Vai</v>
      </c>
      <c r="D908" s="92" t="str">
        <f ca="1">IFERROR(__xludf.DUMMYFUNCTION("""COMPUTED_VALUE"""),"Masud Parvez Sani (S223034)")</f>
        <v>Masud Parvez Sani (S223034)</v>
      </c>
      <c r="E908" s="93" t="str">
        <f ca="1">IFERROR(__xludf.DUMMYFUNCTION("""COMPUTED_VALUE"""),"CB18316_Feb26")</f>
        <v>CB18316_Feb26</v>
      </c>
      <c r="F908" s="94" t="str">
        <f ca="1">IFERROR(__xludf.DUMMYFUNCTION("""COMPUTED_VALUE"""),"Packaging Text Design #1")</f>
        <v>Packaging Text Design #1</v>
      </c>
      <c r="G908" s="95" t="str">
        <f ca="1">IFERROR(__xludf.DUMMYFUNCTION("""COMPUTED_VALUE"""),"New")</f>
        <v>New</v>
      </c>
      <c r="H908" s="96">
        <f ca="1">IFERROR(__xludf.DUMMYFUNCTION("""COMPUTED_VALUE"""),1)</f>
        <v>1</v>
      </c>
      <c r="I908" s="97">
        <f ca="1">IFERROR(__xludf.DUMMYFUNCTION("""COMPUTED_VALUE"""),46110)</f>
        <v>46110</v>
      </c>
      <c r="J908" s="98" t="str">
        <f ca="1">IFERROR(__xludf.DUMMYFUNCTION("""COMPUTED_VALUE"""),"CW28344_Mar26")</f>
        <v>CW28344_Mar26</v>
      </c>
      <c r="K908" s="99" t="str">
        <f ca="1">IFERROR(__xludf.DUMMYFUNCTION("""COMPUTED_VALUE"""),"HoM Approved")</f>
        <v>HoM Approved</v>
      </c>
    </row>
    <row r="909" spans="1:11" ht="13.2">
      <c r="A909" s="89" t="str">
        <f ca="1">IFERROR(__xludf.DUMMYFUNCTION("""COMPUTED_VALUE"""),"Common - USA &amp; Europe Export")</f>
        <v>Common - USA &amp; Europe Export</v>
      </c>
      <c r="B909" s="90" t="str">
        <f ca="1">IFERROR(__xludf.DUMMYFUNCTION("""COMPUTED_VALUE"""),"USA &amp; Europe")</f>
        <v>USA &amp; Europe</v>
      </c>
      <c r="C909" s="91" t="str">
        <f ca="1">IFERROR(__xludf.DUMMYFUNCTION("""COMPUTED_VALUE"""),"Saifullah Vai")</f>
        <v>Saifullah Vai</v>
      </c>
      <c r="D909" s="92" t="str">
        <f ca="1">IFERROR(__xludf.DUMMYFUNCTION("""COMPUTED_VALUE"""),"Masud Parvez Sani (S223034)")</f>
        <v>Masud Parvez Sani (S223034)</v>
      </c>
      <c r="E909" s="93" t="str">
        <f ca="1">IFERROR(__xludf.DUMMYFUNCTION("""COMPUTED_VALUE"""),"CB16987_Feb26")</f>
        <v>CB16987_Feb26</v>
      </c>
      <c r="F909" s="94" t="str">
        <f ca="1">IFERROR(__xludf.DUMMYFUNCTION("""COMPUTED_VALUE"""),"Carton Design")</f>
        <v>Carton Design</v>
      </c>
      <c r="G909" s="95" t="str">
        <f ca="1">IFERROR(__xludf.DUMMYFUNCTION("""COMPUTED_VALUE"""),"New")</f>
        <v>New</v>
      </c>
      <c r="H909" s="96">
        <f ca="1">IFERROR(__xludf.DUMMYFUNCTION("""COMPUTED_VALUE"""),1)</f>
        <v>1</v>
      </c>
      <c r="I909" s="97">
        <f ca="1">IFERROR(__xludf.DUMMYFUNCTION("""COMPUTED_VALUE"""),46110)</f>
        <v>46110</v>
      </c>
      <c r="J909" s="98" t="str">
        <f ca="1">IFERROR(__xludf.DUMMYFUNCTION("""COMPUTED_VALUE"""),"CW28338_Mar26")</f>
        <v>CW28338_Mar26</v>
      </c>
      <c r="K909" s="99" t="str">
        <f ca="1">IFERROR(__xludf.DUMMYFUNCTION("""COMPUTED_VALUE"""),"HoM Approved")</f>
        <v>HoM Approved</v>
      </c>
    </row>
    <row r="910" spans="1:11" ht="13.2">
      <c r="A910" s="89" t="str">
        <f ca="1">IFERROR(__xludf.DUMMYFUNCTION("""COMPUTED_VALUE"""),"Common")</f>
        <v>Common</v>
      </c>
      <c r="B910" s="90" t="str">
        <f ca="1">IFERROR(__xludf.DUMMYFUNCTION("""COMPUTED_VALUE"""),"Export Common")</f>
        <v>Export Common</v>
      </c>
      <c r="C910" s="91" t="str">
        <f ca="1">IFERROR(__xludf.DUMMYFUNCTION("""COMPUTED_VALUE"""),"Saifullah Vai")</f>
        <v>Saifullah Vai</v>
      </c>
      <c r="D910" s="92" t="str">
        <f ca="1">IFERROR(__xludf.DUMMYFUNCTION("""COMPUTED_VALUE"""),"Masud Parvez Sani (S223034)")</f>
        <v>Masud Parvez Sani (S223034)</v>
      </c>
      <c r="E910" s="93" t="str">
        <f ca="1">IFERROR(__xludf.DUMMYFUNCTION("""COMPUTED_VALUE"""),"CB18554_Feb26")</f>
        <v>CB18554_Feb26</v>
      </c>
      <c r="F910" s="94" t="str">
        <f ca="1">IFERROR(__xludf.DUMMYFUNCTION("""COMPUTED_VALUE"""),"Packaging Text Design #1")</f>
        <v>Packaging Text Design #1</v>
      </c>
      <c r="G910" s="95" t="str">
        <f ca="1">IFERROR(__xludf.DUMMYFUNCTION("""COMPUTED_VALUE"""),"New")</f>
        <v>New</v>
      </c>
      <c r="H910" s="96">
        <f ca="1">IFERROR(__xludf.DUMMYFUNCTION("""COMPUTED_VALUE"""),1)</f>
        <v>1</v>
      </c>
      <c r="I910" s="97">
        <f ca="1">IFERROR(__xludf.DUMMYFUNCTION("""COMPUTED_VALUE"""),46110)</f>
        <v>46110</v>
      </c>
      <c r="J910" s="98" t="str">
        <f ca="1">IFERROR(__xludf.DUMMYFUNCTION("""COMPUTED_VALUE"""),"CW28345_Mar26")</f>
        <v>CW28345_Mar26</v>
      </c>
      <c r="K910" s="99" t="str">
        <f ca="1">IFERROR(__xludf.DUMMYFUNCTION("""COMPUTED_VALUE"""),"HoM Approved")</f>
        <v>HoM Approved</v>
      </c>
    </row>
    <row r="911" spans="1:11" ht="13.2">
      <c r="A911" s="89" t="str">
        <f ca="1">IFERROR(__xludf.DUMMYFUNCTION("""COMPUTED_VALUE"""),"Common - USA &amp; Europe Export")</f>
        <v>Common - USA &amp; Europe Export</v>
      </c>
      <c r="B911" s="90" t="str">
        <f ca="1">IFERROR(__xludf.DUMMYFUNCTION("""COMPUTED_VALUE"""),"USA &amp; Europe")</f>
        <v>USA &amp; Europe</v>
      </c>
      <c r="C911" s="91" t="str">
        <f ca="1">IFERROR(__xludf.DUMMYFUNCTION("""COMPUTED_VALUE"""),"Saifullah Vai")</f>
        <v>Saifullah Vai</v>
      </c>
      <c r="D911" s="92" t="str">
        <f ca="1">IFERROR(__xludf.DUMMYFUNCTION("""COMPUTED_VALUE"""),"Masud Parvez Sani (S223034)")</f>
        <v>Masud Parvez Sani (S223034)</v>
      </c>
      <c r="E911" s="93" t="str">
        <f ca="1">IFERROR(__xludf.DUMMYFUNCTION("""COMPUTED_VALUE"""),"CB17961_Feb26")</f>
        <v>CB17961_Feb26</v>
      </c>
      <c r="F911" s="94" t="str">
        <f ca="1">IFERROR(__xludf.DUMMYFUNCTION("""COMPUTED_VALUE"""),"Packaging Text Design #2")</f>
        <v>Packaging Text Design #2</v>
      </c>
      <c r="G911" s="95" t="str">
        <f ca="1">IFERROR(__xludf.DUMMYFUNCTION("""COMPUTED_VALUE"""),"New")</f>
        <v>New</v>
      </c>
      <c r="H911" s="96">
        <f ca="1">IFERROR(__xludf.DUMMYFUNCTION("""COMPUTED_VALUE"""),2)</f>
        <v>2</v>
      </c>
      <c r="I911" s="97">
        <f ca="1">IFERROR(__xludf.DUMMYFUNCTION("""COMPUTED_VALUE"""),46110)</f>
        <v>46110</v>
      </c>
      <c r="J911" s="98" t="str">
        <f ca="1">IFERROR(__xludf.DUMMYFUNCTION("""COMPUTED_VALUE"""),"CW28332_Mar26")</f>
        <v>CW28332_Mar26</v>
      </c>
      <c r="K911" s="99" t="str">
        <f ca="1">IFERROR(__xludf.DUMMYFUNCTION("""COMPUTED_VALUE"""),"HoM Approved")</f>
        <v>HoM Approved</v>
      </c>
    </row>
    <row r="912" spans="1:11" ht="13.2">
      <c r="A912" s="89" t="str">
        <f ca="1">IFERROR(__xludf.DUMMYFUNCTION("""COMPUTED_VALUE"""),"PRAN Bubble Gum")</f>
        <v>PRAN Bubble Gum</v>
      </c>
      <c r="B912" s="90" t="str">
        <f ca="1">IFERROR(__xludf.DUMMYFUNCTION("""COMPUTED_VALUE"""),"PCL")</f>
        <v>PCL</v>
      </c>
      <c r="C912" s="91" t="str">
        <f ca="1">IFERROR(__xludf.DUMMYFUNCTION("""COMPUTED_VALUE"""),"Zahirul Vai")</f>
        <v>Zahirul Vai</v>
      </c>
      <c r="D912" s="92" t="str">
        <f ca="1">IFERROR(__xludf.DUMMYFUNCTION("""COMPUTED_VALUE"""),"Masud Parvez Sani (S223034)")</f>
        <v>Masud Parvez Sani (S223034)</v>
      </c>
      <c r="E912" s="93" t="str">
        <f ca="1">IFERROR(__xludf.DUMMYFUNCTION("""COMPUTED_VALUE"""),"CB17290_Feb26")</f>
        <v>CB17290_Feb26</v>
      </c>
      <c r="F912" s="94" t="str">
        <f ca="1">IFERROR(__xludf.DUMMYFUNCTION("""COMPUTED_VALUE"""),"Packaging Text Design #2")</f>
        <v>Packaging Text Design #2</v>
      </c>
      <c r="G912" s="95" t="str">
        <f ca="1">IFERROR(__xludf.DUMMYFUNCTION("""COMPUTED_VALUE"""),"New")</f>
        <v>New</v>
      </c>
      <c r="H912" s="96">
        <f ca="1">IFERROR(__xludf.DUMMYFUNCTION("""COMPUTED_VALUE"""),1)</f>
        <v>1</v>
      </c>
      <c r="I912" s="97">
        <f ca="1">IFERROR(__xludf.DUMMYFUNCTION("""COMPUTED_VALUE"""),46110)</f>
        <v>46110</v>
      </c>
      <c r="J912" s="98" t="str">
        <f ca="1">IFERROR(__xludf.DUMMYFUNCTION("""COMPUTED_VALUE"""),"CW28298_Mar26")</f>
        <v>CW28298_Mar26</v>
      </c>
      <c r="K912" s="99" t="str">
        <f ca="1">IFERROR(__xludf.DUMMYFUNCTION("""COMPUTED_VALUE"""),"HoM Approved")</f>
        <v>HoM Approved</v>
      </c>
    </row>
    <row r="913" spans="1:11" ht="13.2">
      <c r="A913" s="89" t="str">
        <f ca="1">IFERROR(__xludf.DUMMYFUNCTION("""COMPUTED_VALUE"""),"Bisk Club Coffee Bite")</f>
        <v>Bisk Club Coffee Bite</v>
      </c>
      <c r="B913" s="90" t="str">
        <f ca="1">IFERROR(__xludf.DUMMYFUNCTION("""COMPUTED_VALUE"""),"BBL")</f>
        <v>BBL</v>
      </c>
      <c r="C913" s="91" t="str">
        <f ca="1">IFERROR(__xludf.DUMMYFUNCTION("""COMPUTED_VALUE"""),"Zahirul Vai")</f>
        <v>Zahirul Vai</v>
      </c>
      <c r="D913" s="92" t="str">
        <f ca="1">IFERROR(__xludf.DUMMYFUNCTION("""COMPUTED_VALUE"""),"Masud Parvez Sani (S223034)")</f>
        <v>Masud Parvez Sani (S223034)</v>
      </c>
      <c r="E913" s="93" t="str">
        <f ca="1">IFERROR(__xludf.DUMMYFUNCTION("""COMPUTED_VALUE"""),"CB18702_Mar26")</f>
        <v>CB18702_Mar26</v>
      </c>
      <c r="F913" s="94" t="str">
        <f ca="1">IFERROR(__xludf.DUMMYFUNCTION("""COMPUTED_VALUE"""),"Packaging Text Design #2")</f>
        <v>Packaging Text Design #2</v>
      </c>
      <c r="G913" s="95" t="str">
        <f ca="1">IFERROR(__xludf.DUMMYFUNCTION("""COMPUTED_VALUE"""),"New")</f>
        <v>New</v>
      </c>
      <c r="H913" s="96">
        <f ca="1">IFERROR(__xludf.DUMMYFUNCTION("""COMPUTED_VALUE"""),2)</f>
        <v>2</v>
      </c>
      <c r="I913" s="97">
        <f ca="1">IFERROR(__xludf.DUMMYFUNCTION("""COMPUTED_VALUE"""),46110)</f>
        <v>46110</v>
      </c>
      <c r="J913" s="98" t="str">
        <f ca="1">IFERROR(__xludf.DUMMYFUNCTION("""COMPUTED_VALUE"""),"CW28346_Mar26")</f>
        <v>CW28346_Mar26</v>
      </c>
      <c r="K913" s="99" t="str">
        <f ca="1">IFERROR(__xludf.DUMMYFUNCTION("""COMPUTED_VALUE"""),"HoM Approved")</f>
        <v>HoM Approved</v>
      </c>
    </row>
    <row r="914" spans="1:11" ht="13.2">
      <c r="A914" s="89" t="str">
        <f ca="1">IFERROR(__xludf.DUMMYFUNCTION("""COMPUTED_VALUE"""),"Mango Roll")</f>
        <v>Mango Roll</v>
      </c>
      <c r="B914" s="90" t="str">
        <f ca="1">IFERROR(__xludf.DUMMYFUNCTION("""COMPUTED_VALUE"""),"PAL")</f>
        <v>PAL</v>
      </c>
      <c r="C914" s="91" t="str">
        <f ca="1">IFERROR(__xludf.DUMMYFUNCTION("""COMPUTED_VALUE"""),"Zahirul Vai")</f>
        <v>Zahirul Vai</v>
      </c>
      <c r="D914" s="92" t="str">
        <f ca="1">IFERROR(__xludf.DUMMYFUNCTION("""COMPUTED_VALUE"""),"Masud Parvez Sani (S223034)")</f>
        <v>Masud Parvez Sani (S223034)</v>
      </c>
      <c r="E914" s="93" t="str">
        <f ca="1">IFERROR(__xludf.DUMMYFUNCTION("""COMPUTED_VALUE"""),"CB18090_Feb26")</f>
        <v>CB18090_Feb26</v>
      </c>
      <c r="F914" s="94" t="str">
        <f ca="1">IFERROR(__xludf.DUMMYFUNCTION("""COMPUTED_VALUE"""),"Packaging Text Design #2")</f>
        <v>Packaging Text Design #2</v>
      </c>
      <c r="G914" s="95" t="str">
        <f ca="1">IFERROR(__xludf.DUMMYFUNCTION("""COMPUTED_VALUE"""),"New")</f>
        <v>New</v>
      </c>
      <c r="H914" s="96">
        <f ca="1">IFERROR(__xludf.DUMMYFUNCTION("""COMPUTED_VALUE"""),1)</f>
        <v>1</v>
      </c>
      <c r="I914" s="97">
        <f ca="1">IFERROR(__xludf.DUMMYFUNCTION("""COMPUTED_VALUE"""),46110)</f>
        <v>46110</v>
      </c>
      <c r="J914" s="98" t="str">
        <f ca="1">IFERROR(__xludf.DUMMYFUNCTION("""COMPUTED_VALUE"""),"CW28339_Mar26")</f>
        <v>CW28339_Mar26</v>
      </c>
      <c r="K914" s="99" t="str">
        <f ca="1">IFERROR(__xludf.DUMMYFUNCTION("""COMPUTED_VALUE"""),"HoM Approved")</f>
        <v>HoM Approved</v>
      </c>
    </row>
    <row r="915" spans="1:11" ht="13.2">
      <c r="A915" s="89" t="str">
        <f ca="1">IFERROR(__xludf.DUMMYFUNCTION("""COMPUTED_VALUE"""),"PRAN Lollipop")</f>
        <v>PRAN Lollipop</v>
      </c>
      <c r="B915" s="90" t="str">
        <f ca="1">IFERROR(__xludf.DUMMYFUNCTION("""COMPUTED_VALUE"""),"PCL")</f>
        <v>PCL</v>
      </c>
      <c r="C915" s="91" t="str">
        <f ca="1">IFERROR(__xludf.DUMMYFUNCTION("""COMPUTED_VALUE"""),"Enamul Vai")</f>
        <v>Enamul Vai</v>
      </c>
      <c r="D915" s="92" t="str">
        <f ca="1">IFERROR(__xludf.DUMMYFUNCTION("""COMPUTED_VALUE"""),"Masud Parvez Sani (S223034)")</f>
        <v>Masud Parvez Sani (S223034)</v>
      </c>
      <c r="E915" s="93" t="str">
        <f ca="1">IFERROR(__xludf.DUMMYFUNCTION("""COMPUTED_VALUE"""),"CB18880_Mar26")</f>
        <v>CB18880_Mar26</v>
      </c>
      <c r="F915" s="94" t="str">
        <f ca="1">IFERROR(__xludf.DUMMYFUNCTION("""COMPUTED_VALUE"""),"Packaging Text Design #1")</f>
        <v>Packaging Text Design #1</v>
      </c>
      <c r="G915" s="95" t="str">
        <f ca="1">IFERROR(__xludf.DUMMYFUNCTION("""COMPUTED_VALUE"""),"New")</f>
        <v>New</v>
      </c>
      <c r="H915" s="96">
        <f ca="1">IFERROR(__xludf.DUMMYFUNCTION("""COMPUTED_VALUE"""),1)</f>
        <v>1</v>
      </c>
      <c r="I915" s="97">
        <f ca="1">IFERROR(__xludf.DUMMYFUNCTION("""COMPUTED_VALUE"""),46111)</f>
        <v>46111</v>
      </c>
      <c r="J915" s="98" t="str">
        <f ca="1">IFERROR(__xludf.DUMMYFUNCTION("""COMPUTED_VALUE"""),"CW28460_Mar26")</f>
        <v>CW28460_Mar26</v>
      </c>
      <c r="K915" s="99" t="str">
        <f ca="1">IFERROR(__xludf.DUMMYFUNCTION("""COMPUTED_VALUE"""),"HoM Approved")</f>
        <v>HoM Approved</v>
      </c>
    </row>
    <row r="916" spans="1:11" ht="13.2">
      <c r="A916" s="89" t="str">
        <f ca="1">IFERROR(__xludf.DUMMYFUNCTION("""COMPUTED_VALUE"""),"Jiggly Jells")</f>
        <v>Jiggly Jells</v>
      </c>
      <c r="B916" s="90" t="str">
        <f ca="1">IFERROR(__xludf.DUMMYFUNCTION("""COMPUTED_VALUE"""),"PAL")</f>
        <v>PAL</v>
      </c>
      <c r="C916" s="91" t="str">
        <f ca="1">IFERROR(__xludf.DUMMYFUNCTION("""COMPUTED_VALUE"""),"Junayed Vai")</f>
        <v>Junayed Vai</v>
      </c>
      <c r="D916" s="92" t="str">
        <f ca="1">IFERROR(__xludf.DUMMYFUNCTION("""COMPUTED_VALUE"""),"Masud Parvez Sani (S223034)")</f>
        <v>Masud Parvez Sani (S223034)</v>
      </c>
      <c r="E916" s="93" t="str">
        <f ca="1">IFERROR(__xludf.DUMMYFUNCTION("""COMPUTED_VALUE"""),"CB19696_Mar26")</f>
        <v>CB19696_Mar26</v>
      </c>
      <c r="F916" s="94" t="str">
        <f ca="1">IFERROR(__xludf.DUMMYFUNCTION("""COMPUTED_VALUE"""),"Packaging Text Design #2")</f>
        <v>Packaging Text Design #2</v>
      </c>
      <c r="G916" s="95" t="str">
        <f ca="1">IFERROR(__xludf.DUMMYFUNCTION("""COMPUTED_VALUE"""),"New")</f>
        <v>New</v>
      </c>
      <c r="H916" s="96">
        <f ca="1">IFERROR(__xludf.DUMMYFUNCTION("""COMPUTED_VALUE"""),3)</f>
        <v>3</v>
      </c>
      <c r="I916" s="97">
        <f ca="1">IFERROR(__xludf.DUMMYFUNCTION("""COMPUTED_VALUE"""),46111)</f>
        <v>46111</v>
      </c>
      <c r="J916" s="98" t="str">
        <f ca="1">IFERROR(__xludf.DUMMYFUNCTION("""COMPUTED_VALUE"""),"CW28449_Mar26")</f>
        <v>CW28449_Mar26</v>
      </c>
      <c r="K916" s="99" t="str">
        <f ca="1">IFERROR(__xludf.DUMMYFUNCTION("""COMPUTED_VALUE"""),"HoM Approved")</f>
        <v>HoM Approved</v>
      </c>
    </row>
    <row r="917" spans="1:11" ht="13.2">
      <c r="A917" s="89" t="str">
        <f ca="1">IFERROR(__xludf.DUMMYFUNCTION("""COMPUTED_VALUE"""),"Treat Chocolate")</f>
        <v>Treat Chocolate</v>
      </c>
      <c r="B917" s="90" t="str">
        <f ca="1">IFERROR(__xludf.DUMMYFUNCTION("""COMPUTED_VALUE"""),"PCL")</f>
        <v>PCL</v>
      </c>
      <c r="C917" s="91" t="str">
        <f ca="1">IFERROR(__xludf.DUMMYFUNCTION("""COMPUTED_VALUE"""),"Mona Apu")</f>
        <v>Mona Apu</v>
      </c>
      <c r="D917" s="92" t="str">
        <f ca="1">IFERROR(__xludf.DUMMYFUNCTION("""COMPUTED_VALUE"""),"Masud Parvez Sani (S223034)")</f>
        <v>Masud Parvez Sani (S223034)</v>
      </c>
      <c r="E917" s="93" t="str">
        <f ca="1">IFERROR(__xludf.DUMMYFUNCTION("""COMPUTED_VALUE"""),"CB19084_Mar26")</f>
        <v>CB19084_Mar26</v>
      </c>
      <c r="F917" s="94" t="str">
        <f ca="1">IFERROR(__xludf.DUMMYFUNCTION("""COMPUTED_VALUE"""),"Carton Design")</f>
        <v>Carton Design</v>
      </c>
      <c r="G917" s="95" t="str">
        <f ca="1">IFERROR(__xludf.DUMMYFUNCTION("""COMPUTED_VALUE"""),"New")</f>
        <v>New</v>
      </c>
      <c r="H917" s="96">
        <f ca="1">IFERROR(__xludf.DUMMYFUNCTION("""COMPUTED_VALUE"""),1)</f>
        <v>1</v>
      </c>
      <c r="I917" s="97">
        <f ca="1">IFERROR(__xludf.DUMMYFUNCTION("""COMPUTED_VALUE"""),46111)</f>
        <v>46111</v>
      </c>
      <c r="J917" s="98" t="str">
        <f ca="1">IFERROR(__xludf.DUMMYFUNCTION("""COMPUTED_VALUE"""),"CW28450_Mar26")</f>
        <v>CW28450_Mar26</v>
      </c>
      <c r="K917" s="99" t="str">
        <f ca="1">IFERROR(__xludf.DUMMYFUNCTION("""COMPUTED_VALUE"""),"HoM Approved")</f>
        <v>HoM Approved</v>
      </c>
    </row>
    <row r="918" spans="1:11" ht="13.2">
      <c r="A918" s="89" t="str">
        <f ca="1">IFERROR(__xludf.DUMMYFUNCTION("""COMPUTED_VALUE"""),"PRAN Ice Lolly")</f>
        <v>PRAN Ice Lolly</v>
      </c>
      <c r="B918" s="90" t="str">
        <f ca="1">IFERROR(__xludf.DUMMYFUNCTION("""COMPUTED_VALUE"""),"PAL")</f>
        <v>PAL</v>
      </c>
      <c r="C918" s="91" t="str">
        <f ca="1">IFERROR(__xludf.DUMMYFUNCTION("""COMPUTED_VALUE"""),"Mona Apu")</f>
        <v>Mona Apu</v>
      </c>
      <c r="D918" s="92" t="str">
        <f ca="1">IFERROR(__xludf.DUMMYFUNCTION("""COMPUTED_VALUE"""),"Masud Parvez Sani (S223034)")</f>
        <v>Masud Parvez Sani (S223034)</v>
      </c>
      <c r="E918" s="93" t="str">
        <f ca="1">IFERROR(__xludf.DUMMYFUNCTION("""COMPUTED_VALUE"""),"CB19115_Mar26")</f>
        <v>CB19115_Mar26</v>
      </c>
      <c r="F918" s="94" t="str">
        <f ca="1">IFERROR(__xludf.DUMMYFUNCTION("""COMPUTED_VALUE"""),"Carton Design")</f>
        <v>Carton Design</v>
      </c>
      <c r="G918" s="95" t="str">
        <f ca="1">IFERROR(__xludf.DUMMYFUNCTION("""COMPUTED_VALUE"""),"New")</f>
        <v>New</v>
      </c>
      <c r="H918" s="96">
        <f ca="1">IFERROR(__xludf.DUMMYFUNCTION("""COMPUTED_VALUE"""),1)</f>
        <v>1</v>
      </c>
      <c r="I918" s="97">
        <f ca="1">IFERROR(__xludf.DUMMYFUNCTION("""COMPUTED_VALUE"""),46111)</f>
        <v>46111</v>
      </c>
      <c r="J918" s="98" t="str">
        <f ca="1">IFERROR(__xludf.DUMMYFUNCTION("""COMPUTED_VALUE"""),"CW28455_Mar26")</f>
        <v>CW28455_Mar26</v>
      </c>
      <c r="K918" s="99" t="str">
        <f ca="1">IFERROR(__xludf.DUMMYFUNCTION("""COMPUTED_VALUE"""),"HoM Approved")</f>
        <v>HoM Approved</v>
      </c>
    </row>
    <row r="919" spans="1:11" ht="13.2">
      <c r="A919" s="89" t="str">
        <f ca="1">IFERROR(__xludf.DUMMYFUNCTION("""COMPUTED_VALUE"""),"Mr. Noodles")</f>
        <v>Mr. Noodles</v>
      </c>
      <c r="B919" s="90" t="str">
        <f ca="1">IFERROR(__xludf.DUMMYFUNCTION("""COMPUTED_VALUE"""),"PAL")</f>
        <v>PAL</v>
      </c>
      <c r="C919" s="91" t="str">
        <f ca="1">IFERROR(__xludf.DUMMYFUNCTION("""COMPUTED_VALUE"""),"Mona Apu")</f>
        <v>Mona Apu</v>
      </c>
      <c r="D919" s="92" t="str">
        <f ca="1">IFERROR(__xludf.DUMMYFUNCTION("""COMPUTED_VALUE"""),"Masud Parvez Sani (S223034)")</f>
        <v>Masud Parvez Sani (S223034)</v>
      </c>
      <c r="E919" s="93" t="str">
        <f ca="1">IFERROR(__xludf.DUMMYFUNCTION("""COMPUTED_VALUE"""),"CB18614_Mar26")</f>
        <v>CB18614_Mar26</v>
      </c>
      <c r="F919" s="94" t="str">
        <f ca="1">IFERROR(__xludf.DUMMYFUNCTION("""COMPUTED_VALUE"""),"FOP Sticker Making")</f>
        <v>FOP Sticker Making</v>
      </c>
      <c r="G919" s="95" t="str">
        <f ca="1">IFERROR(__xludf.DUMMYFUNCTION("""COMPUTED_VALUE"""),"New")</f>
        <v>New</v>
      </c>
      <c r="H919" s="96">
        <f ca="1">IFERROR(__xludf.DUMMYFUNCTION("""COMPUTED_VALUE"""),3)</f>
        <v>3</v>
      </c>
      <c r="I919" s="97">
        <f ca="1">IFERROR(__xludf.DUMMYFUNCTION("""COMPUTED_VALUE"""),46111)</f>
        <v>46111</v>
      </c>
      <c r="J919" s="98" t="str">
        <f ca="1">IFERROR(__xludf.DUMMYFUNCTION("""COMPUTED_VALUE"""),"CW28453_Mar26")</f>
        <v>CW28453_Mar26</v>
      </c>
      <c r="K919" s="99" t="str">
        <f ca="1">IFERROR(__xludf.DUMMYFUNCTION("""COMPUTED_VALUE"""),"HoM Approved")</f>
        <v>HoM Approved</v>
      </c>
    </row>
    <row r="920" spans="1:11" ht="13.2">
      <c r="A920" s="89" t="str">
        <f ca="1">IFERROR(__xludf.DUMMYFUNCTION("""COMPUTED_VALUE"""),"Premio")</f>
        <v>Premio</v>
      </c>
      <c r="B920" s="90" t="str">
        <f ca="1">IFERROR(__xludf.DUMMYFUNCTION("""COMPUTED_VALUE"""),"PCL")</f>
        <v>PCL</v>
      </c>
      <c r="C920" s="91" t="str">
        <f ca="1">IFERROR(__xludf.DUMMYFUNCTION("""COMPUTED_VALUE"""),"Saifullah Vai")</f>
        <v>Saifullah Vai</v>
      </c>
      <c r="D920" s="92" t="str">
        <f ca="1">IFERROR(__xludf.DUMMYFUNCTION("""COMPUTED_VALUE"""),"Masud Parvez Sani (S223034)")</f>
        <v>Masud Parvez Sani (S223034)</v>
      </c>
      <c r="E920" s="93" t="str">
        <f ca="1">IFERROR(__xludf.DUMMYFUNCTION("""COMPUTED_VALUE"""),"CB19627_Mar26")</f>
        <v>CB19627_Mar26</v>
      </c>
      <c r="F920" s="94" t="str">
        <f ca="1">IFERROR(__xludf.DUMMYFUNCTION("""COMPUTED_VALUE"""),"Packaging Text Design #1")</f>
        <v>Packaging Text Design #1</v>
      </c>
      <c r="G920" s="95" t="str">
        <f ca="1">IFERROR(__xludf.DUMMYFUNCTION("""COMPUTED_VALUE"""),"New")</f>
        <v>New</v>
      </c>
      <c r="H920" s="96">
        <f ca="1">IFERROR(__xludf.DUMMYFUNCTION("""COMPUTED_VALUE"""),2)</f>
        <v>2</v>
      </c>
      <c r="I920" s="97">
        <f ca="1">IFERROR(__xludf.DUMMYFUNCTION("""COMPUTED_VALUE"""),46111)</f>
        <v>46111</v>
      </c>
      <c r="J920" s="98" t="str">
        <f ca="1">IFERROR(__xludf.DUMMYFUNCTION("""COMPUTED_VALUE"""),"CW28461_Mar26")</f>
        <v>CW28461_Mar26</v>
      </c>
      <c r="K920" s="99" t="str">
        <f ca="1">IFERROR(__xludf.DUMMYFUNCTION("""COMPUTED_VALUE"""),"HoM Approved")</f>
        <v>HoM Approved</v>
      </c>
    </row>
    <row r="921" spans="1:11" ht="13.2">
      <c r="A921" s="89" t="str">
        <f ca="1">IFERROR(__xludf.DUMMYFUNCTION("""COMPUTED_VALUE"""),"Daily Fresh")</f>
        <v>Daily Fresh</v>
      </c>
      <c r="B921" s="90" t="str">
        <f ca="1">IFERROR(__xludf.DUMMYFUNCTION("""COMPUTED_VALUE"""),"Tasty Treat")</f>
        <v>Tasty Treat</v>
      </c>
      <c r="C921" s="91" t="str">
        <f ca="1">IFERROR(__xludf.DUMMYFUNCTION("""COMPUTED_VALUE"""),"Shubhankar Vai")</f>
        <v>Shubhankar Vai</v>
      </c>
      <c r="D921" s="92" t="str">
        <f ca="1">IFERROR(__xludf.DUMMYFUNCTION("""COMPUTED_VALUE"""),"Masud Parvez Sani (S223034)")</f>
        <v>Masud Parvez Sani (S223034)</v>
      </c>
      <c r="E921" s="93" t="str">
        <f ca="1">IFERROR(__xludf.DUMMYFUNCTION("""COMPUTED_VALUE"""),"CB19329_Mar26")</f>
        <v>CB19329_Mar26</v>
      </c>
      <c r="F921" s="94" t="str">
        <f ca="1">IFERROR(__xludf.DUMMYFUNCTION("""COMPUTED_VALUE"""),"Packaging Text Design #1")</f>
        <v>Packaging Text Design #1</v>
      </c>
      <c r="G921" s="95" t="str">
        <f ca="1">IFERROR(__xludf.DUMMYFUNCTION("""COMPUTED_VALUE"""),"New")</f>
        <v>New</v>
      </c>
      <c r="H921" s="96">
        <f ca="1">IFERROR(__xludf.DUMMYFUNCTION("""COMPUTED_VALUE"""),1)</f>
        <v>1</v>
      </c>
      <c r="I921" s="97">
        <f ca="1">IFERROR(__xludf.DUMMYFUNCTION("""COMPUTED_VALUE"""),46111)</f>
        <v>46111</v>
      </c>
      <c r="J921" s="98" t="str">
        <f ca="1">IFERROR(__xludf.DUMMYFUNCTION("""COMPUTED_VALUE"""),"CW28502_Mar26")</f>
        <v>CW28502_Mar26</v>
      </c>
      <c r="K921" s="99" t="str">
        <f ca="1">IFERROR(__xludf.DUMMYFUNCTION("""COMPUTED_VALUE"""),"HoM Approved")</f>
        <v>HoM Approved</v>
      </c>
    </row>
    <row r="922" spans="1:11" ht="13.2">
      <c r="A922" s="89" t="str">
        <f ca="1">IFERROR(__xludf.DUMMYFUNCTION("""COMPUTED_VALUE"""),"Divino Chocolate")</f>
        <v>Divino Chocolate</v>
      </c>
      <c r="B922" s="90" t="str">
        <f ca="1">IFERROR(__xludf.DUMMYFUNCTION("""COMPUTED_VALUE"""),"PCL")</f>
        <v>PCL</v>
      </c>
      <c r="C922" s="91" t="str">
        <f ca="1">IFERROR(__xludf.DUMMYFUNCTION("""COMPUTED_VALUE"""),"Sohel Vai")</f>
        <v>Sohel Vai</v>
      </c>
      <c r="D922" s="92" t="str">
        <f ca="1">IFERROR(__xludf.DUMMYFUNCTION("""COMPUTED_VALUE"""),"Masud Parvez Sani (S223034)")</f>
        <v>Masud Parvez Sani (S223034)</v>
      </c>
      <c r="E922" s="93" t="str">
        <f ca="1">IFERROR(__xludf.DUMMYFUNCTION("""COMPUTED_VALUE"""),"CB20139_Mar26")</f>
        <v>CB20139_Mar26</v>
      </c>
      <c r="F922" s="94" t="str">
        <f ca="1">IFERROR(__xludf.DUMMYFUNCTION("""COMPUTED_VALUE"""),"Packaging Text Design #1")</f>
        <v>Packaging Text Design #1</v>
      </c>
      <c r="G922" s="95" t="str">
        <f ca="1">IFERROR(__xludf.DUMMYFUNCTION("""COMPUTED_VALUE"""),"New")</f>
        <v>New</v>
      </c>
      <c r="H922" s="96">
        <f ca="1">IFERROR(__xludf.DUMMYFUNCTION("""COMPUTED_VALUE"""),4)</f>
        <v>4</v>
      </c>
      <c r="I922" s="97">
        <f ca="1">IFERROR(__xludf.DUMMYFUNCTION("""COMPUTED_VALUE"""),46113)</f>
        <v>46113</v>
      </c>
      <c r="J922" s="98" t="str">
        <f ca="1">IFERROR(__xludf.DUMMYFUNCTION("""COMPUTED_VALUE"""),"CW28913_Apr26")</f>
        <v>CW28913_Apr26</v>
      </c>
      <c r="K922" s="99" t="str">
        <f ca="1">IFERROR(__xludf.DUMMYFUNCTION("""COMPUTED_VALUE"""),"HoM Approved")</f>
        <v>HoM Approved</v>
      </c>
    </row>
    <row r="923" spans="1:11" ht="13.2">
      <c r="A923" s="89" t="str">
        <f ca="1">IFERROR(__xludf.DUMMYFUNCTION("""COMPUTED_VALUE"""),"PRAN Badam Bhaja")</f>
        <v>PRAN Badam Bhaja</v>
      </c>
      <c r="B923" s="90" t="str">
        <f ca="1">IFERROR(__xludf.DUMMYFUNCTION("""COMPUTED_VALUE"""),"PFL")</f>
        <v>PFL</v>
      </c>
      <c r="C923" s="91" t="str">
        <f ca="1">IFERROR(__xludf.DUMMYFUNCTION("""COMPUTED_VALUE"""),"Sharika Apu")</f>
        <v>Sharika Apu</v>
      </c>
      <c r="D923" s="92" t="str">
        <f ca="1">IFERROR(__xludf.DUMMYFUNCTION("""COMPUTED_VALUE"""),"Masud Parvez Sani (S223034)")</f>
        <v>Masud Parvez Sani (S223034)</v>
      </c>
      <c r="E923" s="93" t="str">
        <f ca="1">IFERROR(__xludf.DUMMYFUNCTION("""COMPUTED_VALUE"""),"CB20159_Mar26")</f>
        <v>CB20159_Mar26</v>
      </c>
      <c r="F923" s="94" t="str">
        <f ca="1">IFERROR(__xludf.DUMMYFUNCTION("""COMPUTED_VALUE"""),"FOP Sticker Making")</f>
        <v>FOP Sticker Making</v>
      </c>
      <c r="G923" s="95" t="str">
        <f ca="1">IFERROR(__xludf.DUMMYFUNCTION("""COMPUTED_VALUE"""),"New")</f>
        <v>New</v>
      </c>
      <c r="H923" s="96">
        <f ca="1">IFERROR(__xludf.DUMMYFUNCTION("""COMPUTED_VALUE"""),1)</f>
        <v>1</v>
      </c>
      <c r="I923" s="97">
        <f ca="1">IFERROR(__xludf.DUMMYFUNCTION("""COMPUTED_VALUE"""),46116)</f>
        <v>46116</v>
      </c>
      <c r="J923" s="98" t="str">
        <f ca="1">IFERROR(__xludf.DUMMYFUNCTION("""COMPUTED_VALUE"""),"CW29103_Apr26")</f>
        <v>CW29103_Apr26</v>
      </c>
      <c r="K923" s="99" t="str">
        <f ca="1">IFERROR(__xludf.DUMMYFUNCTION("""COMPUTED_VALUE"""),"HoM Approved")</f>
        <v>HoM Approved</v>
      </c>
    </row>
    <row r="924" spans="1:11" ht="13.2">
      <c r="A924" s="89" t="str">
        <f ca="1">IFERROR(__xludf.DUMMYFUNCTION("""COMPUTED_VALUE"""),"PRAN Oh Cake")</f>
        <v>PRAN Oh Cake</v>
      </c>
      <c r="B924" s="90" t="str">
        <f ca="1">IFERROR(__xludf.DUMMYFUNCTION("""COMPUTED_VALUE"""),"Malaysia")</f>
        <v>Malaysia</v>
      </c>
      <c r="C924" s="91" t="str">
        <f ca="1">IFERROR(__xludf.DUMMYFUNCTION("""COMPUTED_VALUE"""),"Mona Apu")</f>
        <v>Mona Apu</v>
      </c>
      <c r="D924" s="92" t="str">
        <f ca="1">IFERROR(__xludf.DUMMYFUNCTION("""COMPUTED_VALUE"""),"Masud Parvez Sani (S223034)")</f>
        <v>Masud Parvez Sani (S223034)</v>
      </c>
      <c r="E924" s="93" t="str">
        <f ca="1">IFERROR(__xludf.DUMMYFUNCTION("""COMPUTED_VALUE"""),"CB19411_Mar26")</f>
        <v>CB19411_Mar26</v>
      </c>
      <c r="F924" s="94" t="str">
        <f ca="1">IFERROR(__xludf.DUMMYFUNCTION("""COMPUTED_VALUE"""),"Black Cylinder Output")</f>
        <v>Black Cylinder Output</v>
      </c>
      <c r="G924" s="95" t="str">
        <f ca="1">IFERROR(__xludf.DUMMYFUNCTION("""COMPUTED_VALUE"""),"New")</f>
        <v>New</v>
      </c>
      <c r="H924" s="96">
        <f ca="1">IFERROR(__xludf.DUMMYFUNCTION("""COMPUTED_VALUE"""),2)</f>
        <v>2</v>
      </c>
      <c r="I924" s="97">
        <f ca="1">IFERROR(__xludf.DUMMYFUNCTION("""COMPUTED_VALUE"""),46117)</f>
        <v>46117</v>
      </c>
      <c r="J924" s="98" t="str">
        <f ca="1">IFERROR(__xludf.DUMMYFUNCTION("""COMPUTED_VALUE"""),"CW29179_Apr26")</f>
        <v>CW29179_Apr26</v>
      </c>
      <c r="K924" s="99" t="str">
        <f ca="1">IFERROR(__xludf.DUMMYFUNCTION("""COMPUTED_VALUE"""),"HoM Approved")</f>
        <v>HoM Approved</v>
      </c>
    </row>
    <row r="925" spans="1:11" ht="13.2">
      <c r="A925" s="89" t="str">
        <f ca="1">IFERROR(__xludf.DUMMYFUNCTION("""COMPUTED_VALUE"""),"Bisk Club Glucose Biscuits")</f>
        <v>Bisk Club Glucose Biscuits</v>
      </c>
      <c r="B925" s="90" t="str">
        <f ca="1">IFERROR(__xludf.DUMMYFUNCTION("""COMPUTED_VALUE"""),"BBL")</f>
        <v>BBL</v>
      </c>
      <c r="C925" s="91" t="str">
        <f ca="1">IFERROR(__xludf.DUMMYFUNCTION("""COMPUTED_VALUE"""),"Mona Apu")</f>
        <v>Mona Apu</v>
      </c>
      <c r="D925" s="92" t="str">
        <f ca="1">IFERROR(__xludf.DUMMYFUNCTION("""COMPUTED_VALUE"""),"Masud Parvez Sani (S223034)")</f>
        <v>Masud Parvez Sani (S223034)</v>
      </c>
      <c r="E925" s="93" t="str">
        <f ca="1">IFERROR(__xludf.DUMMYFUNCTION("""COMPUTED_VALUE"""),"CB19240_Mar26")</f>
        <v>CB19240_Mar26</v>
      </c>
      <c r="F925" s="94" t="str">
        <f ca="1">IFERROR(__xludf.DUMMYFUNCTION("""COMPUTED_VALUE"""),"Carton Design")</f>
        <v>Carton Design</v>
      </c>
      <c r="G925" s="95" t="str">
        <f ca="1">IFERROR(__xludf.DUMMYFUNCTION("""COMPUTED_VALUE"""),"New")</f>
        <v>New</v>
      </c>
      <c r="H925" s="96">
        <f ca="1">IFERROR(__xludf.DUMMYFUNCTION("""COMPUTED_VALUE"""),1)</f>
        <v>1</v>
      </c>
      <c r="I925" s="97">
        <f ca="1">IFERROR(__xludf.DUMMYFUNCTION("""COMPUTED_VALUE"""),46117)</f>
        <v>46117</v>
      </c>
      <c r="J925" s="98" t="str">
        <f ca="1">IFERROR(__xludf.DUMMYFUNCTION("""COMPUTED_VALUE"""),"CW29193_Apr26")</f>
        <v>CW29193_Apr26</v>
      </c>
      <c r="K925" s="99" t="str">
        <f ca="1">IFERROR(__xludf.DUMMYFUNCTION("""COMPUTED_VALUE"""),"HoM Approved")</f>
        <v>HoM Approved</v>
      </c>
    </row>
    <row r="926" spans="1:11" ht="13.2">
      <c r="A926" s="89" t="str">
        <f ca="1">IFERROR(__xludf.DUMMYFUNCTION("""COMPUTED_VALUE"""),"PRAN Oh Cake")</f>
        <v>PRAN Oh Cake</v>
      </c>
      <c r="B926" s="90" t="str">
        <f ca="1">IFERROR(__xludf.DUMMYFUNCTION("""COMPUTED_VALUE"""),"Malaysia")</f>
        <v>Malaysia</v>
      </c>
      <c r="C926" s="91" t="str">
        <f ca="1">IFERROR(__xludf.DUMMYFUNCTION("""COMPUTED_VALUE"""),"Mona Apu")</f>
        <v>Mona Apu</v>
      </c>
      <c r="D926" s="92" t="str">
        <f ca="1">IFERROR(__xludf.DUMMYFUNCTION("""COMPUTED_VALUE"""),"Masud Parvez Sani (S223034)")</f>
        <v>Masud Parvez Sani (S223034)</v>
      </c>
      <c r="E926" s="93" t="str">
        <f ca="1">IFERROR(__xludf.DUMMYFUNCTION("""COMPUTED_VALUE"""),"CB19411_Mar26")</f>
        <v>CB19411_Mar26</v>
      </c>
      <c r="F926" s="94" t="str">
        <f ca="1">IFERROR(__xludf.DUMMYFUNCTION("""COMPUTED_VALUE"""),"Packaging Text Design #2")</f>
        <v>Packaging Text Design #2</v>
      </c>
      <c r="G926" s="95" t="str">
        <f ca="1">IFERROR(__xludf.DUMMYFUNCTION("""COMPUTED_VALUE"""),"New")</f>
        <v>New</v>
      </c>
      <c r="H926" s="96">
        <f ca="1">IFERROR(__xludf.DUMMYFUNCTION("""COMPUTED_VALUE"""),2)</f>
        <v>2</v>
      </c>
      <c r="I926" s="97">
        <f ca="1">IFERROR(__xludf.DUMMYFUNCTION("""COMPUTED_VALUE"""),46117)</f>
        <v>46117</v>
      </c>
      <c r="J926" s="98" t="str">
        <f ca="1">IFERROR(__xludf.DUMMYFUNCTION("""COMPUTED_VALUE"""),"CW29179_Apr26")</f>
        <v>CW29179_Apr26</v>
      </c>
      <c r="K926" s="99" t="str">
        <f ca="1">IFERROR(__xludf.DUMMYFUNCTION("""COMPUTED_VALUE"""),"HoM Approved")</f>
        <v>HoM Approved</v>
      </c>
    </row>
    <row r="927" spans="1:11" ht="13.2">
      <c r="A927" s="89" t="str">
        <f ca="1">IFERROR(__xludf.DUMMYFUNCTION("""COMPUTED_VALUE"""),"All Time Cookies")</f>
        <v>All Time Cookies</v>
      </c>
      <c r="B927" s="90" t="str">
        <f ca="1">IFERROR(__xludf.DUMMYFUNCTION("""COMPUTED_VALUE"""),"BBL")</f>
        <v>BBL</v>
      </c>
      <c r="C927" s="91" t="str">
        <f ca="1">IFERROR(__xludf.DUMMYFUNCTION("""COMPUTED_VALUE"""),"Mona Apu")</f>
        <v>Mona Apu</v>
      </c>
      <c r="D927" s="92" t="str">
        <f ca="1">IFERROR(__xludf.DUMMYFUNCTION("""COMPUTED_VALUE"""),"Masud Parvez Sani (S223034)")</f>
        <v>Masud Parvez Sani (S223034)</v>
      </c>
      <c r="E927" s="93" t="str">
        <f ca="1">IFERROR(__xludf.DUMMYFUNCTION("""COMPUTED_VALUE"""),"CB19520_Mar26")</f>
        <v>CB19520_Mar26</v>
      </c>
      <c r="F927" s="94" t="str">
        <f ca="1">IFERROR(__xludf.DUMMYFUNCTION("""COMPUTED_VALUE"""),"Packaging Text Design #2")</f>
        <v>Packaging Text Design #2</v>
      </c>
      <c r="G927" s="95" t="str">
        <f ca="1">IFERROR(__xludf.DUMMYFUNCTION("""COMPUTED_VALUE"""),"New")</f>
        <v>New</v>
      </c>
      <c r="H927" s="96">
        <f ca="1">IFERROR(__xludf.DUMMYFUNCTION("""COMPUTED_VALUE"""),1)</f>
        <v>1</v>
      </c>
      <c r="I927" s="97">
        <f ca="1">IFERROR(__xludf.DUMMYFUNCTION("""COMPUTED_VALUE"""),46117)</f>
        <v>46117</v>
      </c>
      <c r="J927" s="98" t="str">
        <f ca="1">IFERROR(__xludf.DUMMYFUNCTION("""COMPUTED_VALUE"""),"CW29181_Apr26")</f>
        <v>CW29181_Apr26</v>
      </c>
      <c r="K927" s="99" t="str">
        <f ca="1">IFERROR(__xludf.DUMMYFUNCTION("""COMPUTED_VALUE"""),"HoM Approved")</f>
        <v>HoM Approved</v>
      </c>
    </row>
    <row r="928" spans="1:11" ht="13.2">
      <c r="A928" s="89" t="str">
        <f ca="1">IFERROR(__xludf.DUMMYFUNCTION("""COMPUTED_VALUE"""),"Common")</f>
        <v>Common</v>
      </c>
      <c r="B928" s="90" t="str">
        <f ca="1">IFERROR(__xludf.DUMMYFUNCTION("""COMPUTED_VALUE"""),"Export Common")</f>
        <v>Export Common</v>
      </c>
      <c r="C928" s="91" t="str">
        <f ca="1">IFERROR(__xludf.DUMMYFUNCTION("""COMPUTED_VALUE"""),"Saifullah Vai")</f>
        <v>Saifullah Vai</v>
      </c>
      <c r="D928" s="92" t="str">
        <f ca="1">IFERROR(__xludf.DUMMYFUNCTION("""COMPUTED_VALUE"""),"Masud Parvez Sani (S223034)")</f>
        <v>Masud Parvez Sani (S223034)</v>
      </c>
      <c r="E928" s="93" t="str">
        <f ca="1">IFERROR(__xludf.DUMMYFUNCTION("""COMPUTED_VALUE"""),"CB19197_Mar26")</f>
        <v>CB19197_Mar26</v>
      </c>
      <c r="F928" s="94" t="str">
        <f ca="1">IFERROR(__xludf.DUMMYFUNCTION("""COMPUTED_VALUE"""),"Carton Design")</f>
        <v>Carton Design</v>
      </c>
      <c r="G928" s="95" t="str">
        <f ca="1">IFERROR(__xludf.DUMMYFUNCTION("""COMPUTED_VALUE"""),"New")</f>
        <v>New</v>
      </c>
      <c r="H928" s="96">
        <f ca="1">IFERROR(__xludf.DUMMYFUNCTION("""COMPUTED_VALUE"""),4)</f>
        <v>4</v>
      </c>
      <c r="I928" s="97">
        <f ca="1">IFERROR(__xludf.DUMMYFUNCTION("""COMPUTED_VALUE"""),46117)</f>
        <v>46117</v>
      </c>
      <c r="J928" s="98" t="str">
        <f ca="1">IFERROR(__xludf.DUMMYFUNCTION("""COMPUTED_VALUE"""),"CW29192_Apr26")</f>
        <v>CW29192_Apr26</v>
      </c>
      <c r="K928" s="99" t="str">
        <f ca="1">IFERROR(__xludf.DUMMYFUNCTION("""COMPUTED_VALUE"""),"HoM Approved")</f>
        <v>HoM Approved</v>
      </c>
    </row>
    <row r="929" spans="1:11" ht="13.2">
      <c r="A929" s="89" t="str">
        <f ca="1">IFERROR(__xludf.DUMMYFUNCTION("""COMPUTED_VALUE"""),"Common")</f>
        <v>Common</v>
      </c>
      <c r="B929" s="90" t="str">
        <f ca="1">IFERROR(__xludf.DUMMYFUNCTION("""COMPUTED_VALUE"""),"Export Common")</f>
        <v>Export Common</v>
      </c>
      <c r="C929" s="91" t="str">
        <f ca="1">IFERROR(__xludf.DUMMYFUNCTION("""COMPUTED_VALUE"""),"Saifullah Vai")</f>
        <v>Saifullah Vai</v>
      </c>
      <c r="D929" s="92" t="str">
        <f ca="1">IFERROR(__xludf.DUMMYFUNCTION("""COMPUTED_VALUE"""),"Masud Parvez Sani (S223034)")</f>
        <v>Masud Parvez Sani (S223034)</v>
      </c>
      <c r="E929" s="93" t="str">
        <f ca="1">IFERROR(__xludf.DUMMYFUNCTION("""COMPUTED_VALUE"""),"CB19197_Mar26")</f>
        <v>CB19197_Mar26</v>
      </c>
      <c r="F929" s="94" t="str">
        <f ca="1">IFERROR(__xludf.DUMMYFUNCTION("""COMPUTED_VALUE"""),"FOP Sticker Making")</f>
        <v>FOP Sticker Making</v>
      </c>
      <c r="G929" s="95" t="str">
        <f ca="1">IFERROR(__xludf.DUMMYFUNCTION("""COMPUTED_VALUE"""),"New")</f>
        <v>New</v>
      </c>
      <c r="H929" s="96">
        <f ca="1">IFERROR(__xludf.DUMMYFUNCTION("""COMPUTED_VALUE"""),6)</f>
        <v>6</v>
      </c>
      <c r="I929" s="97">
        <f ca="1">IFERROR(__xludf.DUMMYFUNCTION("""COMPUTED_VALUE"""),46117)</f>
        <v>46117</v>
      </c>
      <c r="J929" s="98" t="str">
        <f ca="1">IFERROR(__xludf.DUMMYFUNCTION("""COMPUTED_VALUE"""),"CW29192_Apr26")</f>
        <v>CW29192_Apr26</v>
      </c>
      <c r="K929" s="99" t="str">
        <f ca="1">IFERROR(__xludf.DUMMYFUNCTION("""COMPUTED_VALUE"""),"HoM Approved")</f>
        <v>HoM Approved</v>
      </c>
    </row>
    <row r="930" spans="1:11" ht="13.2">
      <c r="A930" s="89" t="str">
        <f ca="1">IFERROR(__xludf.DUMMYFUNCTION("""COMPUTED_VALUE"""),"Common")</f>
        <v>Common</v>
      </c>
      <c r="B930" s="90" t="str">
        <f ca="1">IFERROR(__xludf.DUMMYFUNCTION("""COMPUTED_VALUE"""),"Export Common")</f>
        <v>Export Common</v>
      </c>
      <c r="C930" s="91" t="str">
        <f ca="1">IFERROR(__xludf.DUMMYFUNCTION("""COMPUTED_VALUE"""),"Saifullah Vai")</f>
        <v>Saifullah Vai</v>
      </c>
      <c r="D930" s="92" t="str">
        <f ca="1">IFERROR(__xludf.DUMMYFUNCTION("""COMPUTED_VALUE"""),"Masud Parvez Sani (S223034)")</f>
        <v>Masud Parvez Sani (S223034)</v>
      </c>
      <c r="E930" s="93" t="str">
        <f ca="1">IFERROR(__xludf.DUMMYFUNCTION("""COMPUTED_VALUE"""),"CB19197_Mar26")</f>
        <v>CB19197_Mar26</v>
      </c>
      <c r="F930" s="94" t="str">
        <f ca="1">IFERROR(__xludf.DUMMYFUNCTION("""COMPUTED_VALUE"""),"Text Sticker Design #2")</f>
        <v>Text Sticker Design #2</v>
      </c>
      <c r="G930" s="95" t="str">
        <f ca="1">IFERROR(__xludf.DUMMYFUNCTION("""COMPUTED_VALUE"""),"New")</f>
        <v>New</v>
      </c>
      <c r="H930" s="96">
        <f ca="1">IFERROR(__xludf.DUMMYFUNCTION("""COMPUTED_VALUE"""),4)</f>
        <v>4</v>
      </c>
      <c r="I930" s="97">
        <f ca="1">IFERROR(__xludf.DUMMYFUNCTION("""COMPUTED_VALUE"""),46117)</f>
        <v>46117</v>
      </c>
      <c r="J930" s="98" t="str">
        <f ca="1">IFERROR(__xludf.DUMMYFUNCTION("""COMPUTED_VALUE"""),"CW29192_Apr26")</f>
        <v>CW29192_Apr26</v>
      </c>
      <c r="K930" s="99" t="str">
        <f ca="1">IFERROR(__xludf.DUMMYFUNCTION("""COMPUTED_VALUE"""),"HoM Approved")</f>
        <v>HoM Approved</v>
      </c>
    </row>
    <row r="931" spans="1:11" ht="13.2">
      <c r="A931" s="89" t="str">
        <f ca="1">IFERROR(__xludf.DUMMYFUNCTION("""COMPUTED_VALUE"""),"Bisk Club Coffee Bite")</f>
        <v>Bisk Club Coffee Bite</v>
      </c>
      <c r="B931" s="90" t="str">
        <f ca="1">IFERROR(__xludf.DUMMYFUNCTION("""COMPUTED_VALUE"""),"BBL")</f>
        <v>BBL</v>
      </c>
      <c r="C931" s="91" t="str">
        <f ca="1">IFERROR(__xludf.DUMMYFUNCTION("""COMPUTED_VALUE"""),"Zahirul Vai")</f>
        <v>Zahirul Vai</v>
      </c>
      <c r="D931" s="92" t="str">
        <f ca="1">IFERROR(__xludf.DUMMYFUNCTION("""COMPUTED_VALUE"""),"Masud Parvez Sani (S223034)")</f>
        <v>Masud Parvez Sani (S223034)</v>
      </c>
      <c r="E931" s="93" t="str">
        <f ca="1">IFERROR(__xludf.DUMMYFUNCTION("""COMPUTED_VALUE"""),"CB18702_Mar26")</f>
        <v>CB18702_Mar26</v>
      </c>
      <c r="F931" s="94" t="str">
        <f ca="1">IFERROR(__xludf.DUMMYFUNCTION("""COMPUTED_VALUE"""),"Packaging Text Design #2")</f>
        <v>Packaging Text Design #2</v>
      </c>
      <c r="G931" s="95" t="str">
        <f ca="1">IFERROR(__xludf.DUMMYFUNCTION("""COMPUTED_VALUE"""),"New")</f>
        <v>New</v>
      </c>
      <c r="H931" s="96">
        <f ca="1">IFERROR(__xludf.DUMMYFUNCTION("""COMPUTED_VALUE"""),2)</f>
        <v>2</v>
      </c>
      <c r="I931" s="97">
        <f ca="1">IFERROR(__xludf.DUMMYFUNCTION("""COMPUTED_VALUE"""),46117)</f>
        <v>46117</v>
      </c>
      <c r="J931" s="98" t="str">
        <f ca="1">IFERROR(__xludf.DUMMYFUNCTION("""COMPUTED_VALUE"""),"CW29190_Apr26")</f>
        <v>CW29190_Apr26</v>
      </c>
      <c r="K931" s="99" t="str">
        <f ca="1">IFERROR(__xludf.DUMMYFUNCTION("""COMPUTED_VALUE"""),"HoM Approved")</f>
        <v>HoM Approved</v>
      </c>
    </row>
    <row r="932" spans="1:11" ht="13.2">
      <c r="A932" s="89" t="str">
        <f ca="1">IFERROR(__xludf.DUMMYFUNCTION("""COMPUTED_VALUE"""),"Common - USA &amp; Europe Export")</f>
        <v>Common - USA &amp; Europe Export</v>
      </c>
      <c r="B932" s="90" t="str">
        <f ca="1">IFERROR(__xludf.DUMMYFUNCTION("""COMPUTED_VALUE"""),"USA &amp; Europe")</f>
        <v>USA &amp; Europe</v>
      </c>
      <c r="C932" s="91" t="str">
        <f ca="1">IFERROR(__xludf.DUMMYFUNCTION("""COMPUTED_VALUE"""),"Saifullah Vai")</f>
        <v>Saifullah Vai</v>
      </c>
      <c r="D932" s="92" t="str">
        <f ca="1">IFERROR(__xludf.DUMMYFUNCTION("""COMPUTED_VALUE"""),"Masud Parvez Sani (S223034)")</f>
        <v>Masud Parvez Sani (S223034)</v>
      </c>
      <c r="E932" s="93" t="str">
        <f ca="1">IFERROR(__xludf.DUMMYFUNCTION("""COMPUTED_VALUE"""),"CB15571_Jan26")</f>
        <v>CB15571_Jan26</v>
      </c>
      <c r="F932" s="94" t="str">
        <f ca="1">IFERROR(__xludf.DUMMYFUNCTION("""COMPUTED_VALUE"""),"Packaging Text Design #2")</f>
        <v>Packaging Text Design #2</v>
      </c>
      <c r="G932" s="95" t="str">
        <f ca="1">IFERROR(__xludf.DUMMYFUNCTION("""COMPUTED_VALUE"""),"New")</f>
        <v>New</v>
      </c>
      <c r="H932" s="96">
        <f ca="1">IFERROR(__xludf.DUMMYFUNCTION("""COMPUTED_VALUE"""),1)</f>
        <v>1</v>
      </c>
      <c r="I932" s="97">
        <f ca="1">IFERROR(__xludf.DUMMYFUNCTION("""COMPUTED_VALUE"""),46118)</f>
        <v>46118</v>
      </c>
      <c r="J932" s="98" t="str">
        <f ca="1">IFERROR(__xludf.DUMMYFUNCTION("""COMPUTED_VALUE"""),"CW29281_Apr26")</f>
        <v>CW29281_Apr26</v>
      </c>
      <c r="K932" s="99" t="str">
        <f ca="1">IFERROR(__xludf.DUMMYFUNCTION("""COMPUTED_VALUE"""),"HoM Approved")</f>
        <v>HoM Approved</v>
      </c>
    </row>
    <row r="933" spans="1:11" ht="13.2">
      <c r="A933" s="89" t="str">
        <f ca="1">IFERROR(__xludf.DUMMYFUNCTION("""COMPUTED_VALUE"""),"PRAN Recipe Mix")</f>
        <v>PRAN Recipe Mix</v>
      </c>
      <c r="B933" s="90" t="str">
        <f ca="1">IFERROR(__xludf.DUMMYFUNCTION("""COMPUTED_VALUE"""),"NAL")</f>
        <v>NAL</v>
      </c>
      <c r="C933" s="91" t="str">
        <f ca="1">IFERROR(__xludf.DUMMYFUNCTION("""COMPUTED_VALUE"""),"Minhaz Vai")</f>
        <v>Minhaz Vai</v>
      </c>
      <c r="D933" s="92" t="str">
        <f ca="1">IFERROR(__xludf.DUMMYFUNCTION("""COMPUTED_VALUE"""),"Masud Parvez Sani (S223034)")</f>
        <v>Masud Parvez Sani (S223034)</v>
      </c>
      <c r="E933" s="93" t="str">
        <f ca="1">IFERROR(__xludf.DUMMYFUNCTION("""COMPUTED_VALUE"""),"CB20490_Mar26")</f>
        <v>CB20490_Mar26</v>
      </c>
      <c r="F933" s="94" t="str">
        <f ca="1">IFERROR(__xludf.DUMMYFUNCTION("""COMPUTED_VALUE"""),"Packaging Text Design #2")</f>
        <v>Packaging Text Design #2</v>
      </c>
      <c r="G933" s="95" t="str">
        <f ca="1">IFERROR(__xludf.DUMMYFUNCTION("""COMPUTED_VALUE"""),"New")</f>
        <v>New</v>
      </c>
      <c r="H933" s="96">
        <f ca="1">IFERROR(__xludf.DUMMYFUNCTION("""COMPUTED_VALUE"""),1)</f>
        <v>1</v>
      </c>
      <c r="I933" s="97">
        <f ca="1">IFERROR(__xludf.DUMMYFUNCTION("""COMPUTED_VALUE"""),46123)</f>
        <v>46123</v>
      </c>
      <c r="J933" s="98" t="str">
        <f ca="1">IFERROR(__xludf.DUMMYFUNCTION("""COMPUTED_VALUE"""),"CW29763_Apr26")</f>
        <v>CW29763_Apr26</v>
      </c>
      <c r="K933" s="99" t="str">
        <f ca="1">IFERROR(__xludf.DUMMYFUNCTION("""COMPUTED_VALUE"""),"HoM Approved")</f>
        <v>HoM Approved</v>
      </c>
    </row>
    <row r="934" spans="1:11" ht="13.2">
      <c r="A934" s="89" t="str">
        <f ca="1">IFERROR(__xludf.DUMMYFUNCTION("""COMPUTED_VALUE"""),"Pran Potata")</f>
        <v>Pran Potata</v>
      </c>
      <c r="B934" s="90" t="str">
        <f ca="1">IFERROR(__xludf.DUMMYFUNCTION("""COMPUTED_VALUE"""),"BBL")</f>
        <v>BBL</v>
      </c>
      <c r="C934" s="91" t="str">
        <f ca="1">IFERROR(__xludf.DUMMYFUNCTION("""COMPUTED_VALUE"""),"Mona Apu")</f>
        <v>Mona Apu</v>
      </c>
      <c r="D934" s="92" t="str">
        <f ca="1">IFERROR(__xludf.DUMMYFUNCTION("""COMPUTED_VALUE"""),"Masud Parvez Sani (S223034)")</f>
        <v>Masud Parvez Sani (S223034)</v>
      </c>
      <c r="E934" s="93" t="str">
        <f ca="1">IFERROR(__xludf.DUMMYFUNCTION("""COMPUTED_VALUE"""),"CB18705_Mar26")</f>
        <v>CB18705_Mar26</v>
      </c>
      <c r="F934" s="94" t="str">
        <f ca="1">IFERROR(__xludf.DUMMYFUNCTION("""COMPUTED_VALUE"""),"Black Cylinder Output")</f>
        <v>Black Cylinder Output</v>
      </c>
      <c r="G934" s="95" t="str">
        <f ca="1">IFERROR(__xludf.DUMMYFUNCTION("""COMPUTED_VALUE"""),"New")</f>
        <v>New</v>
      </c>
      <c r="H934" s="96">
        <f ca="1">IFERROR(__xludf.DUMMYFUNCTION("""COMPUTED_VALUE"""),4)</f>
        <v>4</v>
      </c>
      <c r="I934" s="97">
        <f ca="1">IFERROR(__xludf.DUMMYFUNCTION("""COMPUTED_VALUE"""),46123)</f>
        <v>46123</v>
      </c>
      <c r="J934" s="98" t="str">
        <f ca="1">IFERROR(__xludf.DUMMYFUNCTION("""COMPUTED_VALUE"""),"CW29774_Apr26")</f>
        <v>CW29774_Apr26</v>
      </c>
      <c r="K934" s="99" t="str">
        <f ca="1">IFERROR(__xludf.DUMMYFUNCTION("""COMPUTED_VALUE"""),"HoM Approved")</f>
        <v>HoM Approved</v>
      </c>
    </row>
    <row r="935" spans="1:11" ht="13.2">
      <c r="A935" s="89" t="str">
        <f ca="1">IFERROR(__xludf.DUMMYFUNCTION("""COMPUTED_VALUE"""),"Pluto Chocolate Gems")</f>
        <v>Pluto Chocolate Gems</v>
      </c>
      <c r="B935" s="90" t="str">
        <f ca="1">IFERROR(__xludf.DUMMYFUNCTION("""COMPUTED_VALUE"""),"PCL")</f>
        <v>PCL</v>
      </c>
      <c r="C935" s="91" t="str">
        <f ca="1">IFERROR(__xludf.DUMMYFUNCTION("""COMPUTED_VALUE"""),"Zahirul Vai")</f>
        <v>Zahirul Vai</v>
      </c>
      <c r="D935" s="92" t="str">
        <f ca="1">IFERROR(__xludf.DUMMYFUNCTION("""COMPUTED_VALUE"""),"Masud Parvez Sani (S223034)")</f>
        <v>Masud Parvez Sani (S223034)</v>
      </c>
      <c r="E935" s="93" t="str">
        <f ca="1">IFERROR(__xludf.DUMMYFUNCTION("""COMPUTED_VALUE"""),"CB19199_Mar26")</f>
        <v>CB19199_Mar26</v>
      </c>
      <c r="F935" s="94" t="str">
        <f ca="1">IFERROR(__xludf.DUMMYFUNCTION("""COMPUTED_VALUE"""),"Packaging Text Design #2")</f>
        <v>Packaging Text Design #2</v>
      </c>
      <c r="G935" s="95" t="str">
        <f ca="1">IFERROR(__xludf.DUMMYFUNCTION("""COMPUTED_VALUE"""),"New")</f>
        <v>New</v>
      </c>
      <c r="H935" s="96">
        <f ca="1">IFERROR(__xludf.DUMMYFUNCTION("""COMPUTED_VALUE"""),7)</f>
        <v>7</v>
      </c>
      <c r="I935" s="97">
        <f ca="1">IFERROR(__xludf.DUMMYFUNCTION("""COMPUTED_VALUE"""),46123)</f>
        <v>46123</v>
      </c>
      <c r="J935" s="98" t="str">
        <f ca="1">IFERROR(__xludf.DUMMYFUNCTION("""COMPUTED_VALUE"""),"CW29775_Apr26")</f>
        <v>CW29775_Apr26</v>
      </c>
      <c r="K935" s="99" t="str">
        <f ca="1">IFERROR(__xludf.DUMMYFUNCTION("""COMPUTED_VALUE"""),"HoM Approved")</f>
        <v>HoM Approved</v>
      </c>
    </row>
    <row r="936" spans="1:11" ht="13.2">
      <c r="A936" s="89" t="str">
        <f ca="1">IFERROR(__xludf.DUMMYFUNCTION("""COMPUTED_VALUE"""),"Common - USA &amp; Europe Export")</f>
        <v>Common - USA &amp; Europe Export</v>
      </c>
      <c r="B936" s="90" t="str">
        <f ca="1">IFERROR(__xludf.DUMMYFUNCTION("""COMPUTED_VALUE"""),"USA &amp; Europe")</f>
        <v>USA &amp; Europe</v>
      </c>
      <c r="C936" s="91" t="str">
        <f ca="1">IFERROR(__xludf.DUMMYFUNCTION("""COMPUTED_VALUE"""),"Saifullah Vai")</f>
        <v>Saifullah Vai</v>
      </c>
      <c r="D936" s="92" t="str">
        <f ca="1">IFERROR(__xludf.DUMMYFUNCTION("""COMPUTED_VALUE"""),"Masud Parvez Sani (S223034)")</f>
        <v>Masud Parvez Sani (S223034)</v>
      </c>
      <c r="E936" s="93" t="str">
        <f ca="1">IFERROR(__xludf.DUMMYFUNCTION("""COMPUTED_VALUE"""),"CB21068_Apr26")</f>
        <v>CB21068_Apr26</v>
      </c>
      <c r="F936" s="94" t="str">
        <f ca="1">IFERROR(__xludf.DUMMYFUNCTION("""COMPUTED_VALUE"""),"Carton Design")</f>
        <v>Carton Design</v>
      </c>
      <c r="G936" s="95" t="str">
        <f ca="1">IFERROR(__xludf.DUMMYFUNCTION("""COMPUTED_VALUE"""),"New")</f>
        <v>New</v>
      </c>
      <c r="H936" s="96">
        <f ca="1">IFERROR(__xludf.DUMMYFUNCTION("""COMPUTED_VALUE"""),1)</f>
        <v>1</v>
      </c>
      <c r="I936" s="97">
        <f ca="1">IFERROR(__xludf.DUMMYFUNCTION("""COMPUTED_VALUE"""),46126)</f>
        <v>46126</v>
      </c>
      <c r="J936" s="98" t="str">
        <f ca="1">IFERROR(__xludf.DUMMYFUNCTION("""COMPUTED_VALUE"""),"CW30064_Apr26")</f>
        <v>CW30064_Apr26</v>
      </c>
      <c r="K936" s="99" t="str">
        <f ca="1">IFERROR(__xludf.DUMMYFUNCTION("""COMPUTED_VALUE"""),"HoM Approved")</f>
        <v>HoM Approved</v>
      </c>
    </row>
    <row r="937" spans="1:11" ht="13.2">
      <c r="A937" s="89" t="str">
        <f ca="1">IFERROR(__xludf.DUMMYFUNCTION("""COMPUTED_VALUE"""),"PRAN Crunchy Wafer")</f>
        <v>PRAN Crunchy Wafer</v>
      </c>
      <c r="B937" s="90" t="str">
        <f ca="1">IFERROR(__xludf.DUMMYFUNCTION("""COMPUTED_VALUE"""),"KSA")</f>
        <v>KSA</v>
      </c>
      <c r="C937" s="91" t="str">
        <f ca="1">IFERROR(__xludf.DUMMYFUNCTION("""COMPUTED_VALUE"""),"Zahirul Vai")</f>
        <v>Zahirul Vai</v>
      </c>
      <c r="D937" s="92" t="str">
        <f ca="1">IFERROR(__xludf.DUMMYFUNCTION("""COMPUTED_VALUE"""),"Masud Parvez Sani (S223034)")</f>
        <v>Masud Parvez Sani (S223034)</v>
      </c>
      <c r="E937" s="93" t="str">
        <f ca="1">IFERROR(__xludf.DUMMYFUNCTION("""COMPUTED_VALUE"""),"CB17769_Feb26")</f>
        <v>CB17769_Feb26</v>
      </c>
      <c r="F937" s="94" t="str">
        <f ca="1">IFERROR(__xludf.DUMMYFUNCTION("""COMPUTED_VALUE"""),"Packaging Text Design #2")</f>
        <v>Packaging Text Design #2</v>
      </c>
      <c r="G937" s="95" t="str">
        <f ca="1">IFERROR(__xludf.DUMMYFUNCTION("""COMPUTED_VALUE"""),"New")</f>
        <v>New</v>
      </c>
      <c r="H937" s="96">
        <f ca="1">IFERROR(__xludf.DUMMYFUNCTION("""COMPUTED_VALUE"""),4)</f>
        <v>4</v>
      </c>
      <c r="I937" s="97">
        <f ca="1">IFERROR(__xludf.DUMMYFUNCTION("""COMPUTED_VALUE"""),46127)</f>
        <v>46127</v>
      </c>
      <c r="J937" s="98" t="str">
        <f ca="1">IFERROR(__xludf.DUMMYFUNCTION("""COMPUTED_VALUE"""),"CW30170_Apr26")</f>
        <v>CW30170_Apr26</v>
      </c>
      <c r="K937" s="99" t="str">
        <f ca="1">IFERROR(__xludf.DUMMYFUNCTION("""COMPUTED_VALUE"""),"HoM Approved")</f>
        <v>HoM Approved</v>
      </c>
    </row>
    <row r="938" spans="1:11" ht="13.2">
      <c r="A938" s="89" t="str">
        <f ca="1">IFERROR(__xludf.DUMMYFUNCTION("""COMPUTED_VALUE"""),"Treat Chocolate")</f>
        <v>Treat Chocolate</v>
      </c>
      <c r="B938" s="90" t="str">
        <f ca="1">IFERROR(__xludf.DUMMYFUNCTION("""COMPUTED_VALUE"""),"PCL")</f>
        <v>PCL</v>
      </c>
      <c r="C938" s="91" t="str">
        <f ca="1">IFERROR(__xludf.DUMMYFUNCTION("""COMPUTED_VALUE"""),"Mona Apu")</f>
        <v>Mona Apu</v>
      </c>
      <c r="D938" s="92" t="str">
        <f ca="1">IFERROR(__xludf.DUMMYFUNCTION("""COMPUTED_VALUE"""),"Masud Parvez Sani (S223034)")</f>
        <v>Masud Parvez Sani (S223034)</v>
      </c>
      <c r="E938" s="93" t="str">
        <f ca="1">IFERROR(__xludf.DUMMYFUNCTION("""COMPUTED_VALUE"""),"CB15103_Jan26")</f>
        <v>CB15103_Jan26</v>
      </c>
      <c r="F938" s="94" t="str">
        <f ca="1">IFERROR(__xludf.DUMMYFUNCTION("""COMPUTED_VALUE"""),"Packaging Text Design #2")</f>
        <v>Packaging Text Design #2</v>
      </c>
      <c r="G938" s="95" t="str">
        <f ca="1">IFERROR(__xludf.DUMMYFUNCTION("""COMPUTED_VALUE"""),"New")</f>
        <v>New</v>
      </c>
      <c r="H938" s="96">
        <f ca="1">IFERROR(__xludf.DUMMYFUNCTION("""COMPUTED_VALUE"""),7)</f>
        <v>7</v>
      </c>
      <c r="I938" s="97">
        <f ca="1">IFERROR(__xludf.DUMMYFUNCTION("""COMPUTED_VALUE"""),46128)</f>
        <v>46128</v>
      </c>
      <c r="J938" s="98" t="str">
        <f ca="1">IFERROR(__xludf.DUMMYFUNCTION("""COMPUTED_VALUE"""),"CW30256_Apr26")</f>
        <v>CW30256_Apr26</v>
      </c>
      <c r="K938" s="99" t="str">
        <f ca="1">IFERROR(__xludf.DUMMYFUNCTION("""COMPUTED_VALUE"""),"HoM Approved")</f>
        <v>HoM Approved</v>
      </c>
    </row>
    <row r="939" spans="1:11" ht="13.2">
      <c r="A939" s="89" t="str">
        <f ca="1">IFERROR(__xludf.DUMMYFUNCTION("""COMPUTED_VALUE"""),"Treat Chocolate")</f>
        <v>Treat Chocolate</v>
      </c>
      <c r="B939" s="90" t="str">
        <f ca="1">IFERROR(__xludf.DUMMYFUNCTION("""COMPUTED_VALUE"""),"PCL")</f>
        <v>PCL</v>
      </c>
      <c r="C939" s="91" t="str">
        <f ca="1">IFERROR(__xludf.DUMMYFUNCTION("""COMPUTED_VALUE"""),"Zahirul Vai")</f>
        <v>Zahirul Vai</v>
      </c>
      <c r="D939" s="92" t="str">
        <f ca="1">IFERROR(__xludf.DUMMYFUNCTION("""COMPUTED_VALUE"""),"Masud Parvez Sani (S223034)")</f>
        <v>Masud Parvez Sani (S223034)</v>
      </c>
      <c r="E939" s="93" t="str">
        <f ca="1">IFERROR(__xludf.DUMMYFUNCTION("""COMPUTED_VALUE"""),"CB17865_Feb26")</f>
        <v>CB17865_Feb26</v>
      </c>
      <c r="F939" s="94" t="str">
        <f ca="1">IFERROR(__xludf.DUMMYFUNCTION("""COMPUTED_VALUE"""),"Packaging Text Design #2")</f>
        <v>Packaging Text Design #2</v>
      </c>
      <c r="G939" s="95" t="str">
        <f ca="1">IFERROR(__xludf.DUMMYFUNCTION("""COMPUTED_VALUE"""),"New")</f>
        <v>New</v>
      </c>
      <c r="H939" s="96">
        <f ca="1">IFERROR(__xludf.DUMMYFUNCTION("""COMPUTED_VALUE"""),2)</f>
        <v>2</v>
      </c>
      <c r="I939" s="97">
        <f ca="1">IFERROR(__xludf.DUMMYFUNCTION("""COMPUTED_VALUE"""),46128)</f>
        <v>46128</v>
      </c>
      <c r="J939" s="98" t="str">
        <f ca="1">IFERROR(__xludf.DUMMYFUNCTION("""COMPUTED_VALUE"""),"CW30258_Apr26")</f>
        <v>CW30258_Apr26</v>
      </c>
      <c r="K939" s="99" t="str">
        <f ca="1">IFERROR(__xludf.DUMMYFUNCTION("""COMPUTED_VALUE"""),"HoM Approved")</f>
        <v>HoM Approved</v>
      </c>
    </row>
    <row r="940" spans="1:11" ht="13.2">
      <c r="A940" s="89" t="str">
        <f ca="1">IFERROR(__xludf.DUMMYFUNCTION("""COMPUTED_VALUE"""),"PRAN Dry Cake")</f>
        <v>PRAN Dry Cake</v>
      </c>
      <c r="B940" s="90" t="str">
        <f ca="1">IFERROR(__xludf.DUMMYFUNCTION("""COMPUTED_VALUE"""),"KSA")</f>
        <v>KSA</v>
      </c>
      <c r="C940" s="91" t="str">
        <f ca="1">IFERROR(__xludf.DUMMYFUNCTION("""COMPUTED_VALUE"""),"Zahirul Vai")</f>
        <v>Zahirul Vai</v>
      </c>
      <c r="D940" s="92" t="str">
        <f ca="1">IFERROR(__xludf.DUMMYFUNCTION("""COMPUTED_VALUE"""),"Masud Parvez Sani (S223034)")</f>
        <v>Masud Parvez Sani (S223034)</v>
      </c>
      <c r="E940" s="93" t="str">
        <f ca="1">IFERROR(__xludf.DUMMYFUNCTION("""COMPUTED_VALUE"""),"CB17952_Feb26")</f>
        <v>CB17952_Feb26</v>
      </c>
      <c r="F940" s="94" t="str">
        <f ca="1">IFERROR(__xludf.DUMMYFUNCTION("""COMPUTED_VALUE"""),"Packaging Text Design #2")</f>
        <v>Packaging Text Design #2</v>
      </c>
      <c r="G940" s="95" t="str">
        <f ca="1">IFERROR(__xludf.DUMMYFUNCTION("""COMPUTED_VALUE"""),"New")</f>
        <v>New</v>
      </c>
      <c r="H940" s="96">
        <f ca="1">IFERROR(__xludf.DUMMYFUNCTION("""COMPUTED_VALUE"""),1)</f>
        <v>1</v>
      </c>
      <c r="I940" s="97">
        <f ca="1">IFERROR(__xludf.DUMMYFUNCTION("""COMPUTED_VALUE"""),46130)</f>
        <v>46130</v>
      </c>
      <c r="J940" s="98" t="str">
        <f ca="1">IFERROR(__xludf.DUMMYFUNCTION("""COMPUTED_VALUE"""),"CW30316_Apr26")</f>
        <v>CW30316_Apr26</v>
      </c>
      <c r="K940" s="99" t="str">
        <f ca="1">IFERROR(__xludf.DUMMYFUNCTION("""COMPUTED_VALUE"""),"HoM Approved")</f>
        <v>HoM Approved</v>
      </c>
    </row>
    <row r="941" spans="1:11" ht="13.2">
      <c r="A941" s="89" t="str">
        <f ca="1">IFERROR(__xludf.DUMMYFUNCTION("""COMPUTED_VALUE"""),"PRAN Ball Gum")</f>
        <v>PRAN Ball Gum</v>
      </c>
      <c r="B941" s="90" t="str">
        <f ca="1">IFERROR(__xludf.DUMMYFUNCTION("""COMPUTED_VALUE"""),"PCL")</f>
        <v>PCL</v>
      </c>
      <c r="C941" s="91" t="str">
        <f ca="1">IFERROR(__xludf.DUMMYFUNCTION("""COMPUTED_VALUE"""),"Zahirul Vai")</f>
        <v>Zahirul Vai</v>
      </c>
      <c r="D941" s="92" t="str">
        <f ca="1">IFERROR(__xludf.DUMMYFUNCTION("""COMPUTED_VALUE"""),"Masud Parvez Sani (S223034)")</f>
        <v>Masud Parvez Sani (S223034)</v>
      </c>
      <c r="E941" s="93" t="str">
        <f ca="1">IFERROR(__xludf.DUMMYFUNCTION("""COMPUTED_VALUE"""),"CB18710_Mar26")</f>
        <v>CB18710_Mar26</v>
      </c>
      <c r="F941" s="94" t="str">
        <f ca="1">IFERROR(__xludf.DUMMYFUNCTION("""COMPUTED_VALUE"""),"Packaging Text Design #2")</f>
        <v>Packaging Text Design #2</v>
      </c>
      <c r="G941" s="95" t="str">
        <f ca="1">IFERROR(__xludf.DUMMYFUNCTION("""COMPUTED_VALUE"""),"New")</f>
        <v>New</v>
      </c>
      <c r="H941" s="96">
        <f ca="1">IFERROR(__xludf.DUMMYFUNCTION("""COMPUTED_VALUE"""),2)</f>
        <v>2</v>
      </c>
      <c r="I941" s="97">
        <f ca="1">IFERROR(__xludf.DUMMYFUNCTION("""COMPUTED_VALUE"""),46130)</f>
        <v>46130</v>
      </c>
      <c r="J941" s="98" t="str">
        <f ca="1">IFERROR(__xludf.DUMMYFUNCTION("""COMPUTED_VALUE"""),"CW30318_Apr26")</f>
        <v>CW30318_Apr26</v>
      </c>
      <c r="K941" s="99" t="str">
        <f ca="1">IFERROR(__xludf.DUMMYFUNCTION("""COMPUTED_VALUE"""),"HoM Approved")</f>
        <v>HoM Approved</v>
      </c>
    </row>
    <row r="942" spans="1:11" ht="13.2">
      <c r="A942" s="89" t="str">
        <f ca="1">IFERROR(__xludf.DUMMYFUNCTION("""COMPUTED_VALUE"""),"Treat Chocolate")</f>
        <v>Treat Chocolate</v>
      </c>
      <c r="B942" s="90" t="str">
        <f ca="1">IFERROR(__xludf.DUMMYFUNCTION("""COMPUTED_VALUE"""),"PCL")</f>
        <v>PCL</v>
      </c>
      <c r="C942" s="91" t="str">
        <f ca="1">IFERROR(__xludf.DUMMYFUNCTION("""COMPUTED_VALUE"""),"Zahirul Vai")</f>
        <v>Zahirul Vai</v>
      </c>
      <c r="D942" s="92" t="str">
        <f ca="1">IFERROR(__xludf.DUMMYFUNCTION("""COMPUTED_VALUE"""),"Masud Parvez Sani (S223034)")</f>
        <v>Masud Parvez Sani (S223034)</v>
      </c>
      <c r="E942" s="93" t="str">
        <f ca="1">IFERROR(__xludf.DUMMYFUNCTION("""COMPUTED_VALUE"""),"CB20677_Apr26")</f>
        <v>CB20677_Apr26</v>
      </c>
      <c r="F942" s="94" t="str">
        <f ca="1">IFERROR(__xludf.DUMMYFUNCTION("""COMPUTED_VALUE"""),"Packaging Text Design #2")</f>
        <v>Packaging Text Design #2</v>
      </c>
      <c r="G942" s="95" t="str">
        <f ca="1">IFERROR(__xludf.DUMMYFUNCTION("""COMPUTED_VALUE"""),"New")</f>
        <v>New</v>
      </c>
      <c r="H942" s="96">
        <f ca="1">IFERROR(__xludf.DUMMYFUNCTION("""COMPUTED_VALUE"""),2)</f>
        <v>2</v>
      </c>
      <c r="I942" s="97">
        <f ca="1">IFERROR(__xludf.DUMMYFUNCTION("""COMPUTED_VALUE"""),46130)</f>
        <v>46130</v>
      </c>
      <c r="J942" s="98" t="str">
        <f ca="1">IFERROR(__xludf.DUMMYFUNCTION("""COMPUTED_VALUE"""),"CW30337_Apr26")</f>
        <v>CW30337_Apr26</v>
      </c>
      <c r="K942" s="99" t="str">
        <f ca="1">IFERROR(__xludf.DUMMYFUNCTION("""COMPUTED_VALUE"""),"HoM Approved")</f>
        <v>HoM Approved</v>
      </c>
    </row>
    <row r="943" spans="1:11" ht="13.2">
      <c r="A943" s="89" t="str">
        <f ca="1">IFERROR(__xludf.DUMMYFUNCTION("""COMPUTED_VALUE"""),"PRAN UHT Milk")</f>
        <v>PRAN UHT Milk</v>
      </c>
      <c r="B943" s="90" t="str">
        <f ca="1">IFERROR(__xludf.DUMMYFUNCTION("""COMPUTED_VALUE"""),"Dairy")</f>
        <v>Dairy</v>
      </c>
      <c r="C943" s="91" t="str">
        <f ca="1">IFERROR(__xludf.DUMMYFUNCTION("""COMPUTED_VALUE"""),"Mona Apu")</f>
        <v>Mona Apu</v>
      </c>
      <c r="D943" s="92" t="str">
        <f ca="1">IFERROR(__xludf.DUMMYFUNCTION("""COMPUTED_VALUE"""),"Masud Parvez Sani (S223034)")</f>
        <v>Masud Parvez Sani (S223034)</v>
      </c>
      <c r="E943" s="93" t="str">
        <f ca="1">IFERROR(__xludf.DUMMYFUNCTION("""COMPUTED_VALUE"""),"CB21774_Apr26")</f>
        <v>CB21774_Apr26</v>
      </c>
      <c r="F943" s="94" t="str">
        <f ca="1">IFERROR(__xludf.DUMMYFUNCTION("""COMPUTED_VALUE"""),"Carton Design")</f>
        <v>Carton Design</v>
      </c>
      <c r="G943" s="95" t="str">
        <f ca="1">IFERROR(__xludf.DUMMYFUNCTION("""COMPUTED_VALUE"""),"New")</f>
        <v>New</v>
      </c>
      <c r="H943" s="96">
        <f ca="1">IFERROR(__xludf.DUMMYFUNCTION("""COMPUTED_VALUE"""),1)</f>
        <v>1</v>
      </c>
      <c r="I943" s="97">
        <f ca="1">IFERROR(__xludf.DUMMYFUNCTION("""COMPUTED_VALUE"""),46131)</f>
        <v>46131</v>
      </c>
      <c r="J943" s="98" t="str">
        <f ca="1">IFERROR(__xludf.DUMMYFUNCTION("""COMPUTED_VALUE"""),"CW30422_Apr26")</f>
        <v>CW30422_Apr26</v>
      </c>
      <c r="K943" s="99" t="str">
        <f ca="1">IFERROR(__xludf.DUMMYFUNCTION("""COMPUTED_VALUE"""),"HoM Approved")</f>
        <v>HoM Approved</v>
      </c>
    </row>
    <row r="944" spans="1:11" ht="13.2">
      <c r="A944" s="89" t="str">
        <f ca="1">IFERROR(__xludf.DUMMYFUNCTION("""COMPUTED_VALUE"""),"All Time Cookies")</f>
        <v>All Time Cookies</v>
      </c>
      <c r="B944" s="90" t="str">
        <f ca="1">IFERROR(__xludf.DUMMYFUNCTION("""COMPUTED_VALUE"""),"BBL")</f>
        <v>BBL</v>
      </c>
      <c r="C944" s="91" t="str">
        <f ca="1">IFERROR(__xludf.DUMMYFUNCTION("""COMPUTED_VALUE"""),"Afrin Apu")</f>
        <v>Afrin Apu</v>
      </c>
      <c r="D944" s="92" t="str">
        <f ca="1">IFERROR(__xludf.DUMMYFUNCTION("""COMPUTED_VALUE"""),"Masud Parvez Sani (S223034)")</f>
        <v>Masud Parvez Sani (S223034)</v>
      </c>
      <c r="E944" s="93" t="str">
        <f ca="1">IFERROR(__xludf.DUMMYFUNCTION("""COMPUTED_VALUE"""),"CB13450_Dec25")</f>
        <v>CB13450_Dec25</v>
      </c>
      <c r="F944" s="94" t="str">
        <f ca="1">IFERROR(__xludf.DUMMYFUNCTION("""COMPUTED_VALUE"""),"Packaging Text Design #2")</f>
        <v>Packaging Text Design #2</v>
      </c>
      <c r="G944" s="95" t="str">
        <f ca="1">IFERROR(__xludf.DUMMYFUNCTION("""COMPUTED_VALUE"""),"New")</f>
        <v>New</v>
      </c>
      <c r="H944" s="96">
        <f ca="1">IFERROR(__xludf.DUMMYFUNCTION("""COMPUTED_VALUE"""),1)</f>
        <v>1</v>
      </c>
      <c r="I944" s="97">
        <f ca="1">IFERROR(__xludf.DUMMYFUNCTION("""COMPUTED_VALUE"""),46132)</f>
        <v>46132</v>
      </c>
      <c r="J944" s="98" t="str">
        <f ca="1">IFERROR(__xludf.DUMMYFUNCTION("""COMPUTED_VALUE"""),"CW30531_Apr26")</f>
        <v>CW30531_Apr26</v>
      </c>
      <c r="K944" s="99" t="str">
        <f ca="1">IFERROR(__xludf.DUMMYFUNCTION("""COMPUTED_VALUE"""),"HoM Approved")</f>
        <v>HoM Approved</v>
      </c>
    </row>
    <row r="945" spans="1:11" ht="13.2">
      <c r="A945" s="89" t="str">
        <f ca="1">IFERROR(__xludf.DUMMYFUNCTION("""COMPUTED_VALUE"""),"Tasty Treat")</f>
        <v>Tasty Treat</v>
      </c>
      <c r="B945" s="90" t="str">
        <f ca="1">IFERROR(__xludf.DUMMYFUNCTION("""COMPUTED_VALUE"""),"Tasty Treat")</f>
        <v>Tasty Treat</v>
      </c>
      <c r="C945" s="91" t="str">
        <f ca="1">IFERROR(__xludf.DUMMYFUNCTION("""COMPUTED_VALUE"""),"Shubhankar Vai")</f>
        <v>Shubhankar Vai</v>
      </c>
      <c r="D945" s="92" t="str">
        <f ca="1">IFERROR(__xludf.DUMMYFUNCTION("""COMPUTED_VALUE"""),"Masud Parvez Sani (S223034)")</f>
        <v>Masud Parvez Sani (S223034)</v>
      </c>
      <c r="E945" s="93" t="str">
        <f ca="1">IFERROR(__xludf.DUMMYFUNCTION("""COMPUTED_VALUE"""),"CB19717_Mar26")</f>
        <v>CB19717_Mar26</v>
      </c>
      <c r="F945" s="94" t="str">
        <f ca="1">IFERROR(__xludf.DUMMYFUNCTION("""COMPUTED_VALUE"""),"Packaging Text Design #2")</f>
        <v>Packaging Text Design #2</v>
      </c>
      <c r="G945" s="95" t="str">
        <f ca="1">IFERROR(__xludf.DUMMYFUNCTION("""COMPUTED_VALUE"""),"New")</f>
        <v>New</v>
      </c>
      <c r="H945" s="96">
        <f ca="1">IFERROR(__xludf.DUMMYFUNCTION("""COMPUTED_VALUE"""),1)</f>
        <v>1</v>
      </c>
      <c r="I945" s="97">
        <f ca="1">IFERROR(__xludf.DUMMYFUNCTION("""COMPUTED_VALUE"""),46132)</f>
        <v>46132</v>
      </c>
      <c r="J945" s="98" t="str">
        <f ca="1">IFERROR(__xludf.DUMMYFUNCTION("""COMPUTED_VALUE"""),"CW30536_Apr26")</f>
        <v>CW30536_Apr26</v>
      </c>
      <c r="K945" s="99" t="str">
        <f ca="1">IFERROR(__xludf.DUMMYFUNCTION("""COMPUTED_VALUE"""),"HoM Approved")</f>
        <v>HoM Approved</v>
      </c>
    </row>
    <row r="946" spans="1:11" ht="13.2">
      <c r="A946" s="89" t="str">
        <f ca="1">IFERROR(__xludf.DUMMYFUNCTION("""COMPUTED_VALUE"""),"Export Common")</f>
        <v>Export Common</v>
      </c>
      <c r="B946" s="90" t="str">
        <f ca="1">IFERROR(__xludf.DUMMYFUNCTION("""COMPUTED_VALUE"""),"Export Common")</f>
        <v>Export Common</v>
      </c>
      <c r="C946" s="91" t="str">
        <f ca="1">IFERROR(__xludf.DUMMYFUNCTION("""COMPUTED_VALUE"""),"Saifullah Vai")</f>
        <v>Saifullah Vai</v>
      </c>
      <c r="D946" s="92" t="str">
        <f ca="1">IFERROR(__xludf.DUMMYFUNCTION("""COMPUTED_VALUE"""),"Masud Parvez Sani (S223034)")</f>
        <v>Masud Parvez Sani (S223034)</v>
      </c>
      <c r="E946" s="93" t="str">
        <f ca="1">IFERROR(__xludf.DUMMYFUNCTION("""COMPUTED_VALUE"""),"CB16886_Feb26")</f>
        <v>CB16886_Feb26</v>
      </c>
      <c r="F946" s="94" t="str">
        <f ca="1">IFERROR(__xludf.DUMMYFUNCTION("""COMPUTED_VALUE"""),"Digital Static For Social Media")</f>
        <v>Digital Static For Social Media</v>
      </c>
      <c r="G946" s="95" t="str">
        <f ca="1">IFERROR(__xludf.DUMMYFUNCTION("""COMPUTED_VALUE"""),"New")</f>
        <v>New</v>
      </c>
      <c r="H946" s="96">
        <f ca="1">IFERROR(__xludf.DUMMYFUNCTION("""COMPUTED_VALUE"""),1)</f>
        <v>1</v>
      </c>
      <c r="I946" s="97">
        <f ca="1">IFERROR(__xludf.DUMMYFUNCTION("""COMPUTED_VALUE"""),46138)</f>
        <v>46138</v>
      </c>
      <c r="J946" s="98" t="str">
        <f ca="1">IFERROR(__xludf.DUMMYFUNCTION("""COMPUTED_VALUE"""),"CW31352_Apr26")</f>
        <v>CW31352_Apr26</v>
      </c>
      <c r="K946" s="99" t="str">
        <f ca="1">IFERROR(__xludf.DUMMYFUNCTION("""COMPUTED_VALUE"""),"HoM Approved")</f>
        <v>HoM Approved</v>
      </c>
    </row>
    <row r="947" spans="1:11" ht="13.2">
      <c r="A947" s="89" t="str">
        <f ca="1">IFERROR(__xludf.DUMMYFUNCTION("""COMPUTED_VALUE"""),"PRAN Crunchy Wafer")</f>
        <v>PRAN Crunchy Wafer</v>
      </c>
      <c r="B947" s="90" t="str">
        <f ca="1">IFERROR(__xludf.DUMMYFUNCTION("""COMPUTED_VALUE"""),"KSA")</f>
        <v>KSA</v>
      </c>
      <c r="C947" s="91" t="str">
        <f ca="1">IFERROR(__xludf.DUMMYFUNCTION("""COMPUTED_VALUE"""),"Zahirul Vai")</f>
        <v>Zahirul Vai</v>
      </c>
      <c r="D947" s="92" t="str">
        <f ca="1">IFERROR(__xludf.DUMMYFUNCTION("""COMPUTED_VALUE"""),"Masud Parvez Sani (S223034)")</f>
        <v>Masud Parvez Sani (S223034)</v>
      </c>
      <c r="E947" s="93" t="str">
        <f ca="1">IFERROR(__xludf.DUMMYFUNCTION("""COMPUTED_VALUE"""),"CB17769_Feb26")</f>
        <v>CB17769_Feb26</v>
      </c>
      <c r="F947" s="94" t="str">
        <f ca="1">IFERROR(__xludf.DUMMYFUNCTION("""COMPUTED_VALUE"""),"Carton Design")</f>
        <v>Carton Design</v>
      </c>
      <c r="G947" s="95" t="str">
        <f ca="1">IFERROR(__xludf.DUMMYFUNCTION("""COMPUTED_VALUE"""),"New")</f>
        <v>New</v>
      </c>
      <c r="H947" s="96">
        <f ca="1">IFERROR(__xludf.DUMMYFUNCTION("""COMPUTED_VALUE"""),4)</f>
        <v>4</v>
      </c>
      <c r="I947" s="97">
        <f ca="1">IFERROR(__xludf.DUMMYFUNCTION("""COMPUTED_VALUE"""),46141)</f>
        <v>46141</v>
      </c>
      <c r="J947" s="98" t="str">
        <f ca="1">IFERROR(__xludf.DUMMYFUNCTION("""COMPUTED_VALUE"""),"CW31771_Apr26")</f>
        <v>CW31771_Apr26</v>
      </c>
      <c r="K947" s="99" t="str">
        <f ca="1">IFERROR(__xludf.DUMMYFUNCTION("""COMPUTED_VALUE"""),"HoM Approved")</f>
        <v>HoM Approved</v>
      </c>
    </row>
    <row r="948" spans="1:11" ht="13.2">
      <c r="A948" s="89" t="str">
        <f ca="1">IFERROR(__xludf.DUMMYFUNCTION("""COMPUTED_VALUE"""),"Mr. Noodles")</f>
        <v>Mr. Noodles</v>
      </c>
      <c r="B948" s="90" t="str">
        <f ca="1">IFERROR(__xludf.DUMMYFUNCTION("""COMPUTED_VALUE"""),"PAL")</f>
        <v>PAL</v>
      </c>
      <c r="C948" s="91" t="str">
        <f ca="1">IFERROR(__xludf.DUMMYFUNCTION("""COMPUTED_VALUE"""),"Zahirul Vai")</f>
        <v>Zahirul Vai</v>
      </c>
      <c r="D948" s="92" t="str">
        <f ca="1">IFERROR(__xludf.DUMMYFUNCTION("""COMPUTED_VALUE"""),"Masud Parvez Sani (S223034)")</f>
        <v>Masud Parvez Sani (S223034)</v>
      </c>
      <c r="E948" s="93" t="str">
        <f ca="1">IFERROR(__xludf.DUMMYFUNCTION("""COMPUTED_VALUE"""),"CB22337_Apr26")</f>
        <v>CB22337_Apr26</v>
      </c>
      <c r="F948" s="94" t="str">
        <f ca="1">IFERROR(__xludf.DUMMYFUNCTION("""COMPUTED_VALUE"""),"Carton Design")</f>
        <v>Carton Design</v>
      </c>
      <c r="G948" s="95" t="str">
        <f ca="1">IFERROR(__xludf.DUMMYFUNCTION("""COMPUTED_VALUE"""),"New")</f>
        <v>New</v>
      </c>
      <c r="H948" s="96">
        <f ca="1">IFERROR(__xludf.DUMMYFUNCTION("""COMPUTED_VALUE"""),4)</f>
        <v>4</v>
      </c>
      <c r="I948" s="97">
        <f ca="1">IFERROR(__xludf.DUMMYFUNCTION("""COMPUTED_VALUE"""),46141)</f>
        <v>46141</v>
      </c>
      <c r="J948" s="98" t="str">
        <f ca="1">IFERROR(__xludf.DUMMYFUNCTION("""COMPUTED_VALUE"""),"CW31773_Apr26")</f>
        <v>CW31773_Apr26</v>
      </c>
      <c r="K948" s="99" t="str">
        <f ca="1">IFERROR(__xludf.DUMMYFUNCTION("""COMPUTED_VALUE"""),"HoM Approved")</f>
        <v>HoM Approved</v>
      </c>
    </row>
    <row r="949" spans="1:11" ht="13.2">
      <c r="A949" s="89" t="str">
        <f ca="1">IFERROR(__xludf.DUMMYFUNCTION("""COMPUTED_VALUE"""),"Treat Chocolate")</f>
        <v>Treat Chocolate</v>
      </c>
      <c r="B949" s="90" t="str">
        <f ca="1">IFERROR(__xludf.DUMMYFUNCTION("""COMPUTED_VALUE"""),"PCL")</f>
        <v>PCL</v>
      </c>
      <c r="C949" s="91" t="str">
        <f ca="1">IFERROR(__xludf.DUMMYFUNCTION("""COMPUTED_VALUE"""),"Mona Apu")</f>
        <v>Mona Apu</v>
      </c>
      <c r="D949" s="92" t="str">
        <f ca="1">IFERROR(__xludf.DUMMYFUNCTION("""COMPUTED_VALUE"""),"Masud Parvez Sani (S223034)")</f>
        <v>Masud Parvez Sani (S223034)</v>
      </c>
      <c r="E949" s="93" t="str">
        <f ca="1">IFERROR(__xludf.DUMMYFUNCTION("""COMPUTED_VALUE"""),"CB19084_Mar26")</f>
        <v>CB19084_Mar26</v>
      </c>
      <c r="F949" s="94" t="str">
        <f ca="1">IFERROR(__xludf.DUMMYFUNCTION("""COMPUTED_VALUE"""),"Carton Design")</f>
        <v>Carton Design</v>
      </c>
      <c r="G949" s="95" t="str">
        <f ca="1">IFERROR(__xludf.DUMMYFUNCTION("""COMPUTED_VALUE"""),"New")</f>
        <v>New</v>
      </c>
      <c r="H949" s="96">
        <f ca="1">IFERROR(__xludf.DUMMYFUNCTION("""COMPUTED_VALUE"""),1)</f>
        <v>1</v>
      </c>
      <c r="I949" s="97">
        <f ca="1">IFERROR(__xludf.DUMMYFUNCTION("""COMPUTED_VALUE"""),46142)</f>
        <v>46142</v>
      </c>
      <c r="J949" s="98" t="str">
        <f ca="1">IFERROR(__xludf.DUMMYFUNCTION("""COMPUTED_VALUE"""),"CW31997_Apr26")</f>
        <v>CW31997_Apr26</v>
      </c>
      <c r="K949" s="99" t="str">
        <f ca="1">IFERROR(__xludf.DUMMYFUNCTION("""COMPUTED_VALUE"""),"HoM Approved")</f>
        <v>HoM Approved</v>
      </c>
    </row>
    <row r="950" spans="1:11" ht="13.2">
      <c r="A950" s="89" t="str">
        <f ca="1">IFERROR(__xludf.DUMMYFUNCTION("""COMPUTED_VALUE"""),"Daily Fresh")</f>
        <v>Daily Fresh</v>
      </c>
      <c r="B950" s="90" t="str">
        <f ca="1">IFERROR(__xludf.DUMMYFUNCTION("""COMPUTED_VALUE"""),"Tasty Treat")</f>
        <v>Tasty Treat</v>
      </c>
      <c r="C950" s="91" t="str">
        <f ca="1">IFERROR(__xludf.DUMMYFUNCTION("""COMPUTED_VALUE"""),"Shubhankar Vai")</f>
        <v>Shubhankar Vai</v>
      </c>
      <c r="D950" s="92" t="str">
        <f ca="1">IFERROR(__xludf.DUMMYFUNCTION("""COMPUTED_VALUE"""),"Masud Parvez Sani (S223034)")</f>
        <v>Masud Parvez Sani (S223034)</v>
      </c>
      <c r="E950" s="93" t="str">
        <f ca="1">IFERROR(__xludf.DUMMYFUNCTION("""COMPUTED_VALUE"""),"CB21032_Apr26")</f>
        <v>CB21032_Apr26</v>
      </c>
      <c r="F950" s="94" t="str">
        <f ca="1">IFERROR(__xludf.DUMMYFUNCTION("""COMPUTED_VALUE"""),"Packaging Text Design #2")</f>
        <v>Packaging Text Design #2</v>
      </c>
      <c r="G950" s="95" t="str">
        <f ca="1">IFERROR(__xludf.DUMMYFUNCTION("""COMPUTED_VALUE"""),"New")</f>
        <v>New</v>
      </c>
      <c r="H950" s="96">
        <f ca="1">IFERROR(__xludf.DUMMYFUNCTION("""COMPUTED_VALUE"""),3)</f>
        <v>3</v>
      </c>
      <c r="I950" s="97">
        <f ca="1">IFERROR(__xludf.DUMMYFUNCTION("""COMPUTED_VALUE"""),46144)</f>
        <v>46144</v>
      </c>
      <c r="J950" s="98" t="str">
        <f ca="1">IFERROR(__xludf.DUMMYFUNCTION("""COMPUTED_VALUE"""),"CW32190_May26")</f>
        <v>CW32190_May26</v>
      </c>
      <c r="K950" s="99" t="str">
        <f ca="1">IFERROR(__xludf.DUMMYFUNCTION("""COMPUTED_VALUE"""),"HoM Approved")</f>
        <v>HoM Approved</v>
      </c>
    </row>
    <row r="951" spans="1:11" ht="13.2">
      <c r="A951" s="89" t="str">
        <f ca="1">IFERROR(__xludf.DUMMYFUNCTION("""COMPUTED_VALUE"""),"Kleen")</f>
        <v>Kleen</v>
      </c>
      <c r="B951" s="90" t="str">
        <f ca="1">IFERROR(__xludf.DUMMYFUNCTION("""COMPUTED_VALUE"""),"APCL")</f>
        <v>APCL</v>
      </c>
      <c r="C951" s="91" t="str">
        <f ca="1">IFERROR(__xludf.DUMMYFUNCTION("""COMPUTED_VALUE"""),"Mona Apu")</f>
        <v>Mona Apu</v>
      </c>
      <c r="D951" s="92" t="str">
        <f ca="1">IFERROR(__xludf.DUMMYFUNCTION("""COMPUTED_VALUE"""),"Masud Parvez Sani (S223034)")</f>
        <v>Masud Parvez Sani (S223034)</v>
      </c>
      <c r="E951" s="93" t="str">
        <f ca="1">IFERROR(__xludf.DUMMYFUNCTION("""COMPUTED_VALUE"""),"CB22998_Apr26")</f>
        <v>CB22998_Apr26</v>
      </c>
      <c r="F951" s="94" t="str">
        <f ca="1">IFERROR(__xludf.DUMMYFUNCTION("""COMPUTED_VALUE"""),"Text Sticker Design #1")</f>
        <v>Text Sticker Design #1</v>
      </c>
      <c r="G951" s="95" t="str">
        <f ca="1">IFERROR(__xludf.DUMMYFUNCTION("""COMPUTED_VALUE"""),"New")</f>
        <v>New</v>
      </c>
      <c r="H951" s="96">
        <f ca="1">IFERROR(__xludf.DUMMYFUNCTION("""COMPUTED_VALUE"""),1)</f>
        <v>1</v>
      </c>
      <c r="I951" s="97">
        <f ca="1">IFERROR(__xludf.DUMMYFUNCTION("""COMPUTED_VALUE"""),46146)</f>
        <v>46146</v>
      </c>
      <c r="J951" s="98" t="str">
        <f ca="1">IFERROR(__xludf.DUMMYFUNCTION("""COMPUTED_VALUE"""),"CW32345_May26")</f>
        <v>CW32345_May26</v>
      </c>
      <c r="K951" s="99" t="str">
        <f ca="1">IFERROR(__xludf.DUMMYFUNCTION("""COMPUTED_VALUE"""),"HoM Approved")</f>
        <v>HoM Approved</v>
      </c>
    </row>
    <row r="952" spans="1:11" ht="13.2">
      <c r="A952" s="89" t="str">
        <f ca="1">IFERROR(__xludf.DUMMYFUNCTION("""COMPUTED_VALUE"""),"Common - All PAL")</f>
        <v>Common - All PAL</v>
      </c>
      <c r="B952" s="90" t="str">
        <f ca="1">IFERROR(__xludf.DUMMYFUNCTION("""COMPUTED_VALUE"""),"PAL")</f>
        <v>PAL</v>
      </c>
      <c r="C952" s="91" t="str">
        <f ca="1">IFERROR(__xludf.DUMMYFUNCTION("""COMPUTED_VALUE"""),"Rabby Vai")</f>
        <v>Rabby Vai</v>
      </c>
      <c r="D952" s="92" t="str">
        <f ca="1">IFERROR(__xludf.DUMMYFUNCTION("""COMPUTED_VALUE"""),"Masud Parvez Sani (S223034)")</f>
        <v>Masud Parvez Sani (S223034)</v>
      </c>
      <c r="E952" s="93" t="str">
        <f ca="1">IFERROR(__xludf.DUMMYFUNCTION("""COMPUTED_VALUE"""),"CB23246_May26")</f>
        <v>CB23246_May26</v>
      </c>
      <c r="F952" s="94" t="str">
        <f ca="1">IFERROR(__xludf.DUMMYFUNCTION("""COMPUTED_VALUE"""),"Packaging Text Design #1")</f>
        <v>Packaging Text Design #1</v>
      </c>
      <c r="G952" s="95" t="str">
        <f ca="1">IFERROR(__xludf.DUMMYFUNCTION("""COMPUTED_VALUE"""),"New")</f>
        <v>New</v>
      </c>
      <c r="H952" s="96">
        <f ca="1">IFERROR(__xludf.DUMMYFUNCTION("""COMPUTED_VALUE"""),3)</f>
        <v>3</v>
      </c>
      <c r="I952" s="97">
        <f ca="1">IFERROR(__xludf.DUMMYFUNCTION("""COMPUTED_VALUE"""),46146)</f>
        <v>46146</v>
      </c>
      <c r="J952" s="98" t="str">
        <f ca="1">IFERROR(__xludf.DUMMYFUNCTION("""COMPUTED_VALUE"""),"CW32372_May26")</f>
        <v>CW32372_May26</v>
      </c>
      <c r="K952" s="99" t="str">
        <f ca="1">IFERROR(__xludf.DUMMYFUNCTION("""COMPUTED_VALUE"""),"HoM Approved")</f>
        <v>HoM Approved</v>
      </c>
    </row>
    <row r="953" spans="1:11" ht="13.2">
      <c r="A953" s="89" t="str">
        <f ca="1">IFERROR(__xludf.DUMMYFUNCTION("""COMPUTED_VALUE"""),"Comfy")</f>
        <v>Comfy</v>
      </c>
      <c r="B953" s="90" t="str">
        <f ca="1">IFERROR(__xludf.DUMMYFUNCTION("""COMPUTED_VALUE"""),"BBMT")</f>
        <v>BBMT</v>
      </c>
      <c r="C953" s="91" t="str">
        <f ca="1">IFERROR(__xludf.DUMMYFUNCTION("""COMPUTED_VALUE"""),"Sanjan Vai")</f>
        <v>Sanjan Vai</v>
      </c>
      <c r="D953" s="92" t="str">
        <f ca="1">IFERROR(__xludf.DUMMYFUNCTION("""COMPUTED_VALUE"""),"Masud Parvez Sani (S223034)")</f>
        <v>Masud Parvez Sani (S223034)</v>
      </c>
      <c r="E953" s="93" t="str">
        <f ca="1">IFERROR(__xludf.DUMMYFUNCTION("""COMPUTED_VALUE"""),"CB22974_Apr26")</f>
        <v>CB22974_Apr26</v>
      </c>
      <c r="F953" s="94" t="str">
        <f ca="1">IFERROR(__xludf.DUMMYFUNCTION("""COMPUTED_VALUE"""),"Packaging Text Design #1")</f>
        <v>Packaging Text Design #1</v>
      </c>
      <c r="G953" s="95" t="str">
        <f ca="1">IFERROR(__xludf.DUMMYFUNCTION("""COMPUTED_VALUE"""),"New")</f>
        <v>New</v>
      </c>
      <c r="H953" s="96">
        <f ca="1">IFERROR(__xludf.DUMMYFUNCTION("""COMPUTED_VALUE"""),1)</f>
        <v>1</v>
      </c>
      <c r="I953" s="97">
        <f ca="1">IFERROR(__xludf.DUMMYFUNCTION("""COMPUTED_VALUE"""),46146)</f>
        <v>46146</v>
      </c>
      <c r="J953" s="98" t="str">
        <f ca="1">IFERROR(__xludf.DUMMYFUNCTION("""COMPUTED_VALUE"""),"CW32343_May26")</f>
        <v>CW32343_May26</v>
      </c>
      <c r="K953" s="99" t="str">
        <f ca="1">IFERROR(__xludf.DUMMYFUNCTION("""COMPUTED_VALUE"""),"HoM Approved")</f>
        <v>HoM Approved</v>
      </c>
    </row>
    <row r="954" spans="1:11" ht="13.2">
      <c r="A954" s="89" t="str">
        <f ca="1">IFERROR(__xludf.DUMMYFUNCTION("""COMPUTED_VALUE"""),"PRAN Crunchy Wafer")</f>
        <v>PRAN Crunchy Wafer</v>
      </c>
      <c r="B954" s="90" t="str">
        <f ca="1">IFERROR(__xludf.DUMMYFUNCTION("""COMPUTED_VALUE"""),"KSA")</f>
        <v>KSA</v>
      </c>
      <c r="C954" s="91" t="str">
        <f ca="1">IFERROR(__xludf.DUMMYFUNCTION("""COMPUTED_VALUE"""),"Zahirul Vai")</f>
        <v>Zahirul Vai</v>
      </c>
      <c r="D954" s="92" t="str">
        <f ca="1">IFERROR(__xludf.DUMMYFUNCTION("""COMPUTED_VALUE"""),"Masud Parvez Sani (S223034)")</f>
        <v>Masud Parvez Sani (S223034)</v>
      </c>
      <c r="E954" s="93" t="str">
        <f ca="1">IFERROR(__xludf.DUMMYFUNCTION("""COMPUTED_VALUE"""),"CB21856_Apr26")</f>
        <v>CB21856_Apr26</v>
      </c>
      <c r="F954" s="94" t="str">
        <f ca="1">IFERROR(__xludf.DUMMYFUNCTION("""COMPUTED_VALUE"""),"Black Cylinder Output")</f>
        <v>Black Cylinder Output</v>
      </c>
      <c r="G954" s="95" t="str">
        <f ca="1">IFERROR(__xludf.DUMMYFUNCTION("""COMPUTED_VALUE"""),"New")</f>
        <v>New</v>
      </c>
      <c r="H954" s="96">
        <f ca="1">IFERROR(__xludf.DUMMYFUNCTION("""COMPUTED_VALUE"""),6)</f>
        <v>6</v>
      </c>
      <c r="I954" s="97">
        <f ca="1">IFERROR(__xludf.DUMMYFUNCTION("""COMPUTED_VALUE"""),46146)</f>
        <v>46146</v>
      </c>
      <c r="J954" s="98" t="str">
        <f ca="1">IFERROR(__xludf.DUMMYFUNCTION("""COMPUTED_VALUE"""),"CW32347_May26")</f>
        <v>CW32347_May26</v>
      </c>
      <c r="K954" s="99" t="str">
        <f ca="1">IFERROR(__xludf.DUMMYFUNCTION("""COMPUTED_VALUE"""),"HoM Approved")</f>
        <v>HoM Approved</v>
      </c>
    </row>
    <row r="955" spans="1:11" ht="13.2">
      <c r="A955" s="89" t="str">
        <f ca="1">IFERROR(__xludf.DUMMYFUNCTION("""COMPUTED_VALUE"""),"Bisk Club Flavored Cream biscuit")</f>
        <v>Bisk Club Flavored Cream biscuit</v>
      </c>
      <c r="B955" s="90" t="str">
        <f ca="1">IFERROR(__xludf.DUMMYFUNCTION("""COMPUTED_VALUE"""),"BBL")</f>
        <v>BBL</v>
      </c>
      <c r="C955" s="91" t="str">
        <f ca="1">IFERROR(__xludf.DUMMYFUNCTION("""COMPUTED_VALUE"""),"Rakib Vai")</f>
        <v>Rakib Vai</v>
      </c>
      <c r="D955" s="92" t="str">
        <f ca="1">IFERROR(__xludf.DUMMYFUNCTION("""COMPUTED_VALUE"""),"Masud Parvez Sani (S223034)")</f>
        <v>Masud Parvez Sani (S223034)</v>
      </c>
      <c r="E955" s="93" t="str">
        <f ca="1">IFERROR(__xludf.DUMMYFUNCTION("""COMPUTED_VALUE"""),"CB19045_Mar26")</f>
        <v>CB19045_Mar26</v>
      </c>
      <c r="F955" s="94" t="str">
        <f ca="1">IFERROR(__xludf.DUMMYFUNCTION("""COMPUTED_VALUE"""),"Packaging Text Design #1")</f>
        <v>Packaging Text Design #1</v>
      </c>
      <c r="G955" s="95" t="str">
        <f ca="1">IFERROR(__xludf.DUMMYFUNCTION("""COMPUTED_VALUE"""),"New")</f>
        <v>New</v>
      </c>
      <c r="H955" s="96">
        <f ca="1">IFERROR(__xludf.DUMMYFUNCTION("""COMPUTED_VALUE"""),1)</f>
        <v>1</v>
      </c>
      <c r="I955" s="97">
        <f ca="1">IFERROR(__xludf.DUMMYFUNCTION("""COMPUTED_VALUE"""),46147)</f>
        <v>46147</v>
      </c>
      <c r="J955" s="98" t="str">
        <f ca="1">IFERROR(__xludf.DUMMYFUNCTION("""COMPUTED_VALUE"""),"CW32460_May26")</f>
        <v>CW32460_May26</v>
      </c>
      <c r="K955" s="99" t="str">
        <f ca="1">IFERROR(__xludf.DUMMYFUNCTION("""COMPUTED_VALUE"""),"HoM Approved")</f>
        <v>HoM Approved</v>
      </c>
    </row>
    <row r="956" spans="1:11" ht="13.2">
      <c r="A956" s="89" t="str">
        <f ca="1">IFERROR(__xludf.DUMMYFUNCTION("""COMPUTED_VALUE"""),"Pran Glucose Biscuits")</f>
        <v>Pran Glucose Biscuits</v>
      </c>
      <c r="B956" s="90" t="str">
        <f ca="1">IFERROR(__xludf.DUMMYFUNCTION("""COMPUTED_VALUE"""),"BBL")</f>
        <v>BBL</v>
      </c>
      <c r="C956" s="91" t="str">
        <f ca="1">IFERROR(__xludf.DUMMYFUNCTION("""COMPUTED_VALUE"""),"Mona Apu")</f>
        <v>Mona Apu</v>
      </c>
      <c r="D956" s="92" t="str">
        <f ca="1">IFERROR(__xludf.DUMMYFUNCTION("""COMPUTED_VALUE"""),"Masud Parvez Sani (S223034)")</f>
        <v>Masud Parvez Sani (S223034)</v>
      </c>
      <c r="E956" s="93" t="str">
        <f ca="1">IFERROR(__xludf.DUMMYFUNCTION("""COMPUTED_VALUE"""),"CB23342_May26")</f>
        <v>CB23342_May26</v>
      </c>
      <c r="F956" s="94" t="str">
        <f ca="1">IFERROR(__xludf.DUMMYFUNCTION("""COMPUTED_VALUE"""),"Carton Design")</f>
        <v>Carton Design</v>
      </c>
      <c r="G956" s="95" t="str">
        <f ca="1">IFERROR(__xludf.DUMMYFUNCTION("""COMPUTED_VALUE"""),"New")</f>
        <v>New</v>
      </c>
      <c r="H956" s="96">
        <f ca="1">IFERROR(__xludf.DUMMYFUNCTION("""COMPUTED_VALUE"""),1)</f>
        <v>1</v>
      </c>
      <c r="I956" s="97">
        <f ca="1">IFERROR(__xludf.DUMMYFUNCTION("""COMPUTED_VALUE"""),46149)</f>
        <v>46149</v>
      </c>
      <c r="J956" s="98" t="str">
        <f ca="1">IFERROR(__xludf.DUMMYFUNCTION("""COMPUTED_VALUE"""),"CW32673_May26")</f>
        <v>CW32673_May26</v>
      </c>
      <c r="K956" s="99" t="str">
        <f ca="1">IFERROR(__xludf.DUMMYFUNCTION("""COMPUTED_VALUE"""),"HoM Approved")</f>
        <v>HoM Approved</v>
      </c>
    </row>
    <row r="957" spans="1:11" ht="13.2">
      <c r="A957" s="89" t="str">
        <f ca="1">IFERROR(__xludf.DUMMYFUNCTION("""COMPUTED_VALUE"""),"Potata Biscuit")</f>
        <v>Potata Biscuit</v>
      </c>
      <c r="B957" s="90" t="str">
        <f ca="1">IFERROR(__xludf.DUMMYFUNCTION("""COMPUTED_VALUE"""),"Africa")</f>
        <v>Africa</v>
      </c>
      <c r="C957" s="91" t="str">
        <f ca="1">IFERROR(__xludf.DUMMYFUNCTION("""COMPUTED_VALUE"""),"Mona Apu")</f>
        <v>Mona Apu</v>
      </c>
      <c r="D957" s="92" t="str">
        <f ca="1">IFERROR(__xludf.DUMMYFUNCTION("""COMPUTED_VALUE"""),"Masud Parvez Sani (S223034)")</f>
        <v>Masud Parvez Sani (S223034)</v>
      </c>
      <c r="E957" s="93" t="str">
        <f ca="1">IFERROR(__xludf.DUMMYFUNCTION("""COMPUTED_VALUE"""),"CB23350_May26")</f>
        <v>CB23350_May26</v>
      </c>
      <c r="F957" s="94" t="str">
        <f ca="1">IFERROR(__xludf.DUMMYFUNCTION("""COMPUTED_VALUE"""),"Carton Design")</f>
        <v>Carton Design</v>
      </c>
      <c r="G957" s="95" t="str">
        <f ca="1">IFERROR(__xludf.DUMMYFUNCTION("""COMPUTED_VALUE"""),"New")</f>
        <v>New</v>
      </c>
      <c r="H957" s="96">
        <f ca="1">IFERROR(__xludf.DUMMYFUNCTION("""COMPUTED_VALUE"""),1)</f>
        <v>1</v>
      </c>
      <c r="I957" s="97">
        <f ca="1">IFERROR(__xludf.DUMMYFUNCTION("""COMPUTED_VALUE"""),46149)</f>
        <v>46149</v>
      </c>
      <c r="J957" s="98" t="str">
        <f ca="1">IFERROR(__xludf.DUMMYFUNCTION("""COMPUTED_VALUE"""),"CW32649_May26")</f>
        <v>CW32649_May26</v>
      </c>
      <c r="K957" s="99" t="str">
        <f ca="1">IFERROR(__xludf.DUMMYFUNCTION("""COMPUTED_VALUE"""),"HoM Approved")</f>
        <v>HoM Approved</v>
      </c>
    </row>
    <row r="958" spans="1:11" ht="13.2">
      <c r="A958" s="89" t="str">
        <f ca="1">IFERROR(__xludf.DUMMYFUNCTION("""COMPUTED_VALUE"""),"Potata Biscuit")</f>
        <v>Potata Biscuit</v>
      </c>
      <c r="B958" s="90" t="str">
        <f ca="1">IFERROR(__xludf.DUMMYFUNCTION("""COMPUTED_VALUE"""),"Africa")</f>
        <v>Africa</v>
      </c>
      <c r="C958" s="91" t="str">
        <f ca="1">IFERROR(__xludf.DUMMYFUNCTION("""COMPUTED_VALUE"""),"Mona Apu")</f>
        <v>Mona Apu</v>
      </c>
      <c r="D958" s="92" t="str">
        <f ca="1">IFERROR(__xludf.DUMMYFUNCTION("""COMPUTED_VALUE"""),"Masud Parvez Sani (S223034)")</f>
        <v>Masud Parvez Sani (S223034)</v>
      </c>
      <c r="E958" s="93" t="str">
        <f ca="1">IFERROR(__xludf.DUMMYFUNCTION("""COMPUTED_VALUE"""),"CB23350_May26")</f>
        <v>CB23350_May26</v>
      </c>
      <c r="F958" s="94" t="str">
        <f ca="1">IFERROR(__xludf.DUMMYFUNCTION("""COMPUTED_VALUE"""),"Packaging Text Design #1")</f>
        <v>Packaging Text Design #1</v>
      </c>
      <c r="G958" s="95" t="str">
        <f ca="1">IFERROR(__xludf.DUMMYFUNCTION("""COMPUTED_VALUE"""),"New")</f>
        <v>New</v>
      </c>
      <c r="H958" s="96">
        <f ca="1">IFERROR(__xludf.DUMMYFUNCTION("""COMPUTED_VALUE"""),1)</f>
        <v>1</v>
      </c>
      <c r="I958" s="97">
        <f ca="1">IFERROR(__xludf.DUMMYFUNCTION("""COMPUTED_VALUE"""),46149)</f>
        <v>46149</v>
      </c>
      <c r="J958" s="98" t="str">
        <f ca="1">IFERROR(__xludf.DUMMYFUNCTION("""COMPUTED_VALUE"""),"CW32649_May26")</f>
        <v>CW32649_May26</v>
      </c>
      <c r="K958" s="99" t="str">
        <f ca="1">IFERROR(__xludf.DUMMYFUNCTION("""COMPUTED_VALUE"""),"HoM Approved")</f>
        <v>HoM Approved</v>
      </c>
    </row>
    <row r="959" spans="1:11" ht="13.2">
      <c r="A959" s="89" t="str">
        <f ca="1">IFERROR(__xludf.DUMMYFUNCTION("""COMPUTED_VALUE"""),"PRAN DAIRY LTD. PIP - ALL")</f>
        <v>PRAN DAIRY LTD. PIP - ALL</v>
      </c>
      <c r="B959" s="90" t="str">
        <f ca="1">IFERROR(__xludf.DUMMYFUNCTION("""COMPUTED_VALUE"""),"Philippines")</f>
        <v>Philippines</v>
      </c>
      <c r="C959" s="91" t="str">
        <f ca="1">IFERROR(__xludf.DUMMYFUNCTION("""COMPUTED_VALUE"""),"Rabby Vai")</f>
        <v>Rabby Vai</v>
      </c>
      <c r="D959" s="92" t="str">
        <f ca="1">IFERROR(__xludf.DUMMYFUNCTION("""COMPUTED_VALUE"""),"Masud Parvez Sani (S223034)")</f>
        <v>Masud Parvez Sani (S223034)</v>
      </c>
      <c r="E959" s="93" t="str">
        <f ca="1">IFERROR(__xludf.DUMMYFUNCTION("""COMPUTED_VALUE"""),"CB23534_May26")</f>
        <v>CB23534_May26</v>
      </c>
      <c r="F959" s="94" t="str">
        <f ca="1">IFERROR(__xludf.DUMMYFUNCTION("""COMPUTED_VALUE"""),"Packaging Text Design #1")</f>
        <v>Packaging Text Design #1</v>
      </c>
      <c r="G959" s="95" t="str">
        <f ca="1">IFERROR(__xludf.DUMMYFUNCTION("""COMPUTED_VALUE"""),"New")</f>
        <v>New</v>
      </c>
      <c r="H959" s="96">
        <f ca="1">IFERROR(__xludf.DUMMYFUNCTION("""COMPUTED_VALUE"""),2)</f>
        <v>2</v>
      </c>
      <c r="I959" s="97">
        <f ca="1">IFERROR(__xludf.DUMMYFUNCTION("""COMPUTED_VALUE"""),46149)</f>
        <v>46149</v>
      </c>
      <c r="J959" s="98" t="str">
        <f ca="1">IFERROR(__xludf.DUMMYFUNCTION("""COMPUTED_VALUE"""),"CW32694_May26")</f>
        <v>CW32694_May26</v>
      </c>
      <c r="K959" s="99" t="str">
        <f ca="1">IFERROR(__xludf.DUMMYFUNCTION("""COMPUTED_VALUE"""),"HoM Approved")</f>
        <v>HoM Approved</v>
      </c>
    </row>
    <row r="960" spans="1:11" ht="13.2">
      <c r="A960" s="89" t="str">
        <f ca="1">IFERROR(__xludf.DUMMYFUNCTION("""COMPUTED_VALUE"""),"PRAN DAIRY LTD. PIP - ALL")</f>
        <v>PRAN DAIRY LTD. PIP - ALL</v>
      </c>
      <c r="B960" s="90" t="str">
        <f ca="1">IFERROR(__xludf.DUMMYFUNCTION("""COMPUTED_VALUE"""),"Philippines")</f>
        <v>Philippines</v>
      </c>
      <c r="C960" s="91" t="str">
        <f ca="1">IFERROR(__xludf.DUMMYFUNCTION("""COMPUTED_VALUE"""),"Rabby Vai")</f>
        <v>Rabby Vai</v>
      </c>
      <c r="D960" s="92" t="str">
        <f ca="1">IFERROR(__xludf.DUMMYFUNCTION("""COMPUTED_VALUE"""),"Masud Parvez Sani (S223034)")</f>
        <v>Masud Parvez Sani (S223034)</v>
      </c>
      <c r="E960" s="93" t="str">
        <f ca="1">IFERROR(__xludf.DUMMYFUNCTION("""COMPUTED_VALUE"""),"CB23541_May26")</f>
        <v>CB23541_May26</v>
      </c>
      <c r="F960" s="94" t="str">
        <f ca="1">IFERROR(__xludf.DUMMYFUNCTION("""COMPUTED_VALUE"""),"Packaging Text Design #1")</f>
        <v>Packaging Text Design #1</v>
      </c>
      <c r="G960" s="95" t="str">
        <f ca="1">IFERROR(__xludf.DUMMYFUNCTION("""COMPUTED_VALUE"""),"New")</f>
        <v>New</v>
      </c>
      <c r="H960" s="96">
        <f ca="1">IFERROR(__xludf.DUMMYFUNCTION("""COMPUTED_VALUE"""),2)</f>
        <v>2</v>
      </c>
      <c r="I960" s="97">
        <f ca="1">IFERROR(__xludf.DUMMYFUNCTION("""COMPUTED_VALUE"""),46149)</f>
        <v>46149</v>
      </c>
      <c r="J960" s="98" t="str">
        <f ca="1">IFERROR(__xludf.DUMMYFUNCTION("""COMPUTED_VALUE"""),"CW32696_May26")</f>
        <v>CW32696_May26</v>
      </c>
      <c r="K960" s="99" t="str">
        <f ca="1">IFERROR(__xludf.DUMMYFUNCTION("""COMPUTED_VALUE"""),"HoM Approved")</f>
        <v>HoM Approved</v>
      </c>
    </row>
    <row r="961" spans="1:11" ht="13.2">
      <c r="A961" s="89" t="str">
        <f ca="1">IFERROR(__xludf.DUMMYFUNCTION("""COMPUTED_VALUE"""),"Common - USA &amp; Europe Export")</f>
        <v>Common - USA &amp; Europe Export</v>
      </c>
      <c r="B961" s="90" t="str">
        <f ca="1">IFERROR(__xludf.DUMMYFUNCTION("""COMPUTED_VALUE"""),"USA &amp; Europe")</f>
        <v>USA &amp; Europe</v>
      </c>
      <c r="C961" s="91" t="str">
        <f ca="1">IFERROR(__xludf.DUMMYFUNCTION("""COMPUTED_VALUE"""),"Saifullah Vai")</f>
        <v>Saifullah Vai</v>
      </c>
      <c r="D961" s="92" t="str">
        <f ca="1">IFERROR(__xludf.DUMMYFUNCTION("""COMPUTED_VALUE"""),"Masud Parvez Sani (S223034)")</f>
        <v>Masud Parvez Sani (S223034)</v>
      </c>
      <c r="E961" s="93" t="str">
        <f ca="1">IFERROR(__xludf.DUMMYFUNCTION("""COMPUTED_VALUE"""),"CB21513_Apr26")</f>
        <v>CB21513_Apr26</v>
      </c>
      <c r="F961" s="94" t="str">
        <f ca="1">IFERROR(__xludf.DUMMYFUNCTION("""COMPUTED_VALUE"""),"FOP Sticker Making")</f>
        <v>FOP Sticker Making</v>
      </c>
      <c r="G961" s="95" t="str">
        <f ca="1">IFERROR(__xludf.DUMMYFUNCTION("""COMPUTED_VALUE"""),"New")</f>
        <v>New</v>
      </c>
      <c r="H961" s="96">
        <f ca="1">IFERROR(__xludf.DUMMYFUNCTION("""COMPUTED_VALUE"""),1)</f>
        <v>1</v>
      </c>
      <c r="I961" s="97">
        <f ca="1">IFERROR(__xludf.DUMMYFUNCTION("""COMPUTED_VALUE"""),46149)</f>
        <v>46149</v>
      </c>
      <c r="J961" s="98" t="str">
        <f ca="1">IFERROR(__xludf.DUMMYFUNCTION("""COMPUTED_VALUE"""),"CW32651_May26")</f>
        <v>CW32651_May26</v>
      </c>
      <c r="K961" s="99" t="str">
        <f ca="1">IFERROR(__xludf.DUMMYFUNCTION("""COMPUTED_VALUE"""),"HoM Approved")</f>
        <v>HoM Approved</v>
      </c>
    </row>
    <row r="962" spans="1:11" ht="13.2">
      <c r="A962" s="89" t="str">
        <f ca="1">IFERROR(__xludf.DUMMYFUNCTION("""COMPUTED_VALUE"""),"PRAN Cream Biscuit")</f>
        <v>PRAN Cream Biscuit</v>
      </c>
      <c r="B962" s="90" t="str">
        <f ca="1">IFERROR(__xludf.DUMMYFUNCTION("""COMPUTED_VALUE"""),"BBL")</f>
        <v>BBL</v>
      </c>
      <c r="C962" s="91" t="str">
        <f ca="1">IFERROR(__xludf.DUMMYFUNCTION("""COMPUTED_VALUE"""),"Saifullah Vai")</f>
        <v>Saifullah Vai</v>
      </c>
      <c r="D962" s="92" t="str">
        <f ca="1">IFERROR(__xludf.DUMMYFUNCTION("""COMPUTED_VALUE"""),"Masud Parvez Sani (S223034)")</f>
        <v>Masud Parvez Sani (S223034)</v>
      </c>
      <c r="E962" s="93" t="str">
        <f ca="1">IFERROR(__xludf.DUMMYFUNCTION("""COMPUTED_VALUE"""),"CB19897_Mar26")</f>
        <v>CB19897_Mar26</v>
      </c>
      <c r="F962" s="94" t="str">
        <f ca="1">IFERROR(__xludf.DUMMYFUNCTION("""COMPUTED_VALUE"""),"Text Sticker Design #2")</f>
        <v>Text Sticker Design #2</v>
      </c>
      <c r="G962" s="95" t="str">
        <f ca="1">IFERROR(__xludf.DUMMYFUNCTION("""COMPUTED_VALUE"""),"New")</f>
        <v>New</v>
      </c>
      <c r="H962" s="96">
        <f ca="1">IFERROR(__xludf.DUMMYFUNCTION("""COMPUTED_VALUE"""),1)</f>
        <v>1</v>
      </c>
      <c r="I962" s="97">
        <f ca="1">IFERROR(__xludf.DUMMYFUNCTION("""COMPUTED_VALUE"""),46149)</f>
        <v>46149</v>
      </c>
      <c r="J962" s="98" t="str">
        <f ca="1">IFERROR(__xludf.DUMMYFUNCTION("""COMPUTED_VALUE"""),"CW32650_May26")</f>
        <v>CW32650_May26</v>
      </c>
      <c r="K962" s="99" t="str">
        <f ca="1">IFERROR(__xludf.DUMMYFUNCTION("""COMPUTED_VALUE"""),"HoM Approved")</f>
        <v>HoM Approved</v>
      </c>
    </row>
    <row r="963" spans="1:11" ht="13.2">
      <c r="A963" s="89" t="str">
        <f ca="1">IFERROR(__xludf.DUMMYFUNCTION("""COMPUTED_VALUE"""),"Common - USA &amp; Europe Export")</f>
        <v>Common - USA &amp; Europe Export</v>
      </c>
      <c r="B963" s="90" t="str">
        <f ca="1">IFERROR(__xludf.DUMMYFUNCTION("""COMPUTED_VALUE"""),"USA &amp; Europe")</f>
        <v>USA &amp; Europe</v>
      </c>
      <c r="C963" s="91" t="str">
        <f ca="1">IFERROR(__xludf.DUMMYFUNCTION("""COMPUTED_VALUE"""),"Saifullah Vai")</f>
        <v>Saifullah Vai</v>
      </c>
      <c r="D963" s="92" t="str">
        <f ca="1">IFERROR(__xludf.DUMMYFUNCTION("""COMPUTED_VALUE"""),"Masud Parvez Sani (S223034)")</f>
        <v>Masud Parvez Sani (S223034)</v>
      </c>
      <c r="E963" s="93" t="str">
        <f ca="1">IFERROR(__xludf.DUMMYFUNCTION("""COMPUTED_VALUE"""),"CB21513_Apr26")</f>
        <v>CB21513_Apr26</v>
      </c>
      <c r="F963" s="94" t="str">
        <f ca="1">IFERROR(__xludf.DUMMYFUNCTION("""COMPUTED_VALUE"""),"Text Sticker Design #2")</f>
        <v>Text Sticker Design #2</v>
      </c>
      <c r="G963" s="95" t="str">
        <f ca="1">IFERROR(__xludf.DUMMYFUNCTION("""COMPUTED_VALUE"""),"New")</f>
        <v>New</v>
      </c>
      <c r="H963" s="96">
        <f ca="1">IFERROR(__xludf.DUMMYFUNCTION("""COMPUTED_VALUE"""),3)</f>
        <v>3</v>
      </c>
      <c r="I963" s="97">
        <f ca="1">IFERROR(__xludf.DUMMYFUNCTION("""COMPUTED_VALUE"""),46149)</f>
        <v>46149</v>
      </c>
      <c r="J963" s="98" t="str">
        <f ca="1">IFERROR(__xludf.DUMMYFUNCTION("""COMPUTED_VALUE"""),"CW32651_May26")</f>
        <v>CW32651_May26</v>
      </c>
      <c r="K963" s="99" t="str">
        <f ca="1">IFERROR(__xludf.DUMMYFUNCTION("""COMPUTED_VALUE"""),"HoM Approved")</f>
        <v>HoM Approved</v>
      </c>
    </row>
    <row r="964" spans="1:11" ht="13.2">
      <c r="A964" s="89" t="str">
        <f ca="1">IFERROR(__xludf.DUMMYFUNCTION("""COMPUTED_VALUE"""),"Mr. Noodles")</f>
        <v>Mr. Noodles</v>
      </c>
      <c r="B964" s="90" t="str">
        <f ca="1">IFERROR(__xludf.DUMMYFUNCTION("""COMPUTED_VALUE"""),"PAL")</f>
        <v>PAL</v>
      </c>
      <c r="C964" s="91" t="str">
        <f ca="1">IFERROR(__xludf.DUMMYFUNCTION("""COMPUTED_VALUE"""),"Rakib Vai")</f>
        <v>Rakib Vai</v>
      </c>
      <c r="D964" s="92" t="str">
        <f ca="1">IFERROR(__xludf.DUMMYFUNCTION("""COMPUTED_VALUE"""),"Masud Parvez Sani (S223034)")</f>
        <v>Masud Parvez Sani (S223034)</v>
      </c>
      <c r="E964" s="93" t="str">
        <f ca="1">IFERROR(__xludf.DUMMYFUNCTION("""COMPUTED_VALUE"""),"CB20426_Mar26")</f>
        <v>CB20426_Mar26</v>
      </c>
      <c r="F964" s="94" t="str">
        <f ca="1">IFERROR(__xludf.DUMMYFUNCTION("""COMPUTED_VALUE"""),"Carton Design")</f>
        <v>Carton Design</v>
      </c>
      <c r="G964" s="95" t="str">
        <f ca="1">IFERROR(__xludf.DUMMYFUNCTION("""COMPUTED_VALUE"""),"New")</f>
        <v>New</v>
      </c>
      <c r="H964" s="96">
        <f ca="1">IFERROR(__xludf.DUMMYFUNCTION("""COMPUTED_VALUE"""),1)</f>
        <v>1</v>
      </c>
      <c r="I964" s="97">
        <f ca="1">IFERROR(__xludf.DUMMYFUNCTION("""COMPUTED_VALUE"""),46153)</f>
        <v>46153</v>
      </c>
      <c r="J964" s="98" t="str">
        <f ca="1">IFERROR(__xludf.DUMMYFUNCTION("""COMPUTED_VALUE"""),"CW33119_May26")</f>
        <v>CW33119_May26</v>
      </c>
      <c r="K964" s="99" t="str">
        <f ca="1">IFERROR(__xludf.DUMMYFUNCTION("""COMPUTED_VALUE"""),"HoM Approved")</f>
        <v>HoM Approved</v>
      </c>
    </row>
    <row r="965" spans="1:11" ht="13.2">
      <c r="A965" s="89" t="str">
        <f ca="1">IFERROR(__xludf.DUMMYFUNCTION("""COMPUTED_VALUE"""),"Mr. Noodles")</f>
        <v>Mr. Noodles</v>
      </c>
      <c r="B965" s="90" t="str">
        <f ca="1">IFERROR(__xludf.DUMMYFUNCTION("""COMPUTED_VALUE"""),"PAL")</f>
        <v>PAL</v>
      </c>
      <c r="C965" s="91" t="str">
        <f ca="1">IFERROR(__xludf.DUMMYFUNCTION("""COMPUTED_VALUE"""),"Rakib Vai")</f>
        <v>Rakib Vai</v>
      </c>
      <c r="D965" s="92" t="str">
        <f ca="1">IFERROR(__xludf.DUMMYFUNCTION("""COMPUTED_VALUE"""),"Masud Parvez Sani (S223034)")</f>
        <v>Masud Parvez Sani (S223034)</v>
      </c>
      <c r="E965" s="93" t="str">
        <f ca="1">IFERROR(__xludf.DUMMYFUNCTION("""COMPUTED_VALUE"""),"CB20426_Mar26")</f>
        <v>CB20426_Mar26</v>
      </c>
      <c r="F965" s="94" t="str">
        <f ca="1">IFERROR(__xludf.DUMMYFUNCTION("""COMPUTED_VALUE"""),"Packaging Text Design #1")</f>
        <v>Packaging Text Design #1</v>
      </c>
      <c r="G965" s="95" t="str">
        <f ca="1">IFERROR(__xludf.DUMMYFUNCTION("""COMPUTED_VALUE"""),"New")</f>
        <v>New</v>
      </c>
      <c r="H965" s="96">
        <f ca="1">IFERROR(__xludf.DUMMYFUNCTION("""COMPUTED_VALUE"""),2)</f>
        <v>2</v>
      </c>
      <c r="I965" s="97">
        <f ca="1">IFERROR(__xludf.DUMMYFUNCTION("""COMPUTED_VALUE"""),46153)</f>
        <v>46153</v>
      </c>
      <c r="J965" s="98" t="str">
        <f ca="1">IFERROR(__xludf.DUMMYFUNCTION("""COMPUTED_VALUE"""),"CW33119_May26")</f>
        <v>CW33119_May26</v>
      </c>
      <c r="K965" s="99" t="str">
        <f ca="1">IFERROR(__xludf.DUMMYFUNCTION("""COMPUTED_VALUE"""),"HoM Approved")</f>
        <v>HoM Approved</v>
      </c>
    </row>
    <row r="966" spans="1:11" ht="13.2">
      <c r="A966" s="89" t="str">
        <f ca="1">IFERROR(__xludf.DUMMYFUNCTION("""COMPUTED_VALUE"""),"Treat Chocolate")</f>
        <v>Treat Chocolate</v>
      </c>
      <c r="B966" s="90" t="str">
        <f ca="1">IFERROR(__xludf.DUMMYFUNCTION("""COMPUTED_VALUE"""),"PCL")</f>
        <v>PCL</v>
      </c>
      <c r="C966" s="91" t="str">
        <f ca="1">IFERROR(__xludf.DUMMYFUNCTION("""COMPUTED_VALUE"""),"Zahirul Vai")</f>
        <v>Zahirul Vai</v>
      </c>
      <c r="D966" s="92" t="str">
        <f ca="1">IFERROR(__xludf.DUMMYFUNCTION("""COMPUTED_VALUE"""),"Masud Parvez Sani (S223034)")</f>
        <v>Masud Parvez Sani (S223034)</v>
      </c>
      <c r="E966" s="93" t="str">
        <f ca="1">IFERROR(__xludf.DUMMYFUNCTION("""COMPUTED_VALUE"""),"CB23992_May26")</f>
        <v>CB23992_May26</v>
      </c>
      <c r="F966" s="94" t="str">
        <f ca="1">IFERROR(__xludf.DUMMYFUNCTION("""COMPUTED_VALUE"""),"Packaging Text Design #1")</f>
        <v>Packaging Text Design #1</v>
      </c>
      <c r="G966" s="95" t="str">
        <f ca="1">IFERROR(__xludf.DUMMYFUNCTION("""COMPUTED_VALUE"""),"New")</f>
        <v>New</v>
      </c>
      <c r="H966" s="96">
        <f ca="1">IFERROR(__xludf.DUMMYFUNCTION("""COMPUTED_VALUE"""),1)</f>
        <v>1</v>
      </c>
      <c r="I966" s="97">
        <f ca="1">IFERROR(__xludf.DUMMYFUNCTION("""COMPUTED_VALUE"""),46153)</f>
        <v>46153</v>
      </c>
      <c r="J966" s="98" t="str">
        <f ca="1">IFERROR(__xludf.DUMMYFUNCTION("""COMPUTED_VALUE"""),"CW33161_May26")</f>
        <v>CW33161_May26</v>
      </c>
      <c r="K966" s="99" t="str">
        <f ca="1">IFERROR(__xludf.DUMMYFUNCTION("""COMPUTED_VALUE"""),"HoM Approved")</f>
        <v>HoM Approved</v>
      </c>
    </row>
    <row r="967" spans="1:11" ht="13.2">
      <c r="A967" s="89" t="str">
        <f ca="1">IFERROR(__xludf.DUMMYFUNCTION("""COMPUTED_VALUE"""),"All Time Slice Cake")</f>
        <v>All Time Slice Cake</v>
      </c>
      <c r="B967" s="90" t="str">
        <f ca="1">IFERROR(__xludf.DUMMYFUNCTION("""COMPUTED_VALUE"""),"BBL")</f>
        <v>BBL</v>
      </c>
      <c r="C967" s="91" t="str">
        <f ca="1">IFERROR(__xludf.DUMMYFUNCTION("""COMPUTED_VALUE"""),"Fatema Apu")</f>
        <v>Fatema Apu</v>
      </c>
      <c r="D967" s="92" t="str">
        <f ca="1">IFERROR(__xludf.DUMMYFUNCTION("""COMPUTED_VALUE"""),"Masud Parvez Sani (S223034)")</f>
        <v>Masud Parvez Sani (S223034)</v>
      </c>
      <c r="E967" s="93" t="str">
        <f ca="1">IFERROR(__xludf.DUMMYFUNCTION("""COMPUTED_VALUE"""),"CB22785_Apr26")</f>
        <v>CB22785_Apr26</v>
      </c>
      <c r="F967" s="94" t="str">
        <f ca="1">IFERROR(__xludf.DUMMYFUNCTION("""COMPUTED_VALUE"""),"Packaging Text Design #2")</f>
        <v>Packaging Text Design #2</v>
      </c>
      <c r="G967" s="95" t="str">
        <f ca="1">IFERROR(__xludf.DUMMYFUNCTION("""COMPUTED_VALUE"""),"New")</f>
        <v>New</v>
      </c>
      <c r="H967" s="96">
        <f ca="1">IFERROR(__xludf.DUMMYFUNCTION("""COMPUTED_VALUE"""),1)</f>
        <v>1</v>
      </c>
      <c r="I967" s="97">
        <f ca="1">IFERROR(__xludf.DUMMYFUNCTION("""COMPUTED_VALUE"""),46155)</f>
        <v>46155</v>
      </c>
      <c r="J967" s="98" t="str">
        <f ca="1">IFERROR(__xludf.DUMMYFUNCTION("""COMPUTED_VALUE"""),"CW33396_May26")</f>
        <v>CW33396_May26</v>
      </c>
      <c r="K967" s="99" t="str">
        <f ca="1">IFERROR(__xludf.DUMMYFUNCTION("""COMPUTED_VALUE"""),"HoM Approved")</f>
        <v>HoM Approved</v>
      </c>
    </row>
    <row r="968" spans="1:11" ht="13.2">
      <c r="A968" s="89" t="str">
        <f ca="1">IFERROR(__xludf.DUMMYFUNCTION("""COMPUTED_VALUE"""),"Treat Chocolate")</f>
        <v>Treat Chocolate</v>
      </c>
      <c r="B968" s="90" t="str">
        <f ca="1">IFERROR(__xludf.DUMMYFUNCTION("""COMPUTED_VALUE"""),"PCL")</f>
        <v>PCL</v>
      </c>
      <c r="C968" s="91" t="str">
        <f ca="1">IFERROR(__xludf.DUMMYFUNCTION("""COMPUTED_VALUE"""),"Mona Apu")</f>
        <v>Mona Apu</v>
      </c>
      <c r="D968" s="92" t="str">
        <f ca="1">IFERROR(__xludf.DUMMYFUNCTION("""COMPUTED_VALUE"""),"Masud Parvez Sani (S223034)")</f>
        <v>Masud Parvez Sani (S223034)</v>
      </c>
      <c r="E968" s="93" t="str">
        <f ca="1">IFERROR(__xludf.DUMMYFUNCTION("""COMPUTED_VALUE"""),"CB22064_Apr26")</f>
        <v>CB22064_Apr26</v>
      </c>
      <c r="F968" s="94" t="str">
        <f ca="1">IFERROR(__xludf.DUMMYFUNCTION("""COMPUTED_VALUE"""),"Carton Design")</f>
        <v>Carton Design</v>
      </c>
      <c r="G968" s="95" t="str">
        <f ca="1">IFERROR(__xludf.DUMMYFUNCTION("""COMPUTED_VALUE"""),"New")</f>
        <v>New</v>
      </c>
      <c r="H968" s="96">
        <f ca="1">IFERROR(__xludf.DUMMYFUNCTION("""COMPUTED_VALUE"""),1)</f>
        <v>1</v>
      </c>
      <c r="I968" s="97">
        <f ca="1">IFERROR(__xludf.DUMMYFUNCTION("""COMPUTED_VALUE"""),46155)</f>
        <v>46155</v>
      </c>
      <c r="J968" s="98" t="str">
        <f ca="1">IFERROR(__xludf.DUMMYFUNCTION("""COMPUTED_VALUE"""),"CW33358_May26")</f>
        <v>CW33358_May26</v>
      </c>
      <c r="K968" s="99" t="str">
        <f ca="1">IFERROR(__xludf.DUMMYFUNCTION("""COMPUTED_VALUE"""),"HoM Approved")</f>
        <v>HoM Approved</v>
      </c>
    </row>
    <row r="969" spans="1:11" ht="13.2">
      <c r="A969" s="89" t="str">
        <f ca="1">IFERROR(__xludf.DUMMYFUNCTION("""COMPUTED_VALUE"""),"Pluto Chocolate Gems")</f>
        <v>Pluto Chocolate Gems</v>
      </c>
      <c r="B969" s="90" t="str">
        <f ca="1">IFERROR(__xludf.DUMMYFUNCTION("""COMPUTED_VALUE"""),"PCL")</f>
        <v>PCL</v>
      </c>
      <c r="C969" s="91" t="str">
        <f ca="1">IFERROR(__xludf.DUMMYFUNCTION("""COMPUTED_VALUE"""),"Mona Apu")</f>
        <v>Mona Apu</v>
      </c>
      <c r="D969" s="92" t="str">
        <f ca="1">IFERROR(__xludf.DUMMYFUNCTION("""COMPUTED_VALUE"""),"Masud Parvez Sani (S223034)")</f>
        <v>Masud Parvez Sani (S223034)</v>
      </c>
      <c r="E969" s="93" t="str">
        <f ca="1">IFERROR(__xludf.DUMMYFUNCTION("""COMPUTED_VALUE"""),"CB23333_May26")</f>
        <v>CB23333_May26</v>
      </c>
      <c r="F969" s="94" t="str">
        <f ca="1">IFERROR(__xludf.DUMMYFUNCTION("""COMPUTED_VALUE"""),"Carton Design")</f>
        <v>Carton Design</v>
      </c>
      <c r="G969" s="95" t="str">
        <f ca="1">IFERROR(__xludf.DUMMYFUNCTION("""COMPUTED_VALUE"""),"New")</f>
        <v>New</v>
      </c>
      <c r="H969" s="96">
        <f ca="1">IFERROR(__xludf.DUMMYFUNCTION("""COMPUTED_VALUE"""),1)</f>
        <v>1</v>
      </c>
      <c r="I969" s="97">
        <f ca="1">IFERROR(__xludf.DUMMYFUNCTION("""COMPUTED_VALUE"""),46155)</f>
        <v>46155</v>
      </c>
      <c r="J969" s="98" t="str">
        <f ca="1">IFERROR(__xludf.DUMMYFUNCTION("""COMPUTED_VALUE"""),"CW33349_May26")</f>
        <v>CW33349_May26</v>
      </c>
      <c r="K969" s="99" t="str">
        <f ca="1">IFERROR(__xludf.DUMMYFUNCTION("""COMPUTED_VALUE"""),"HoM Approved")</f>
        <v>HoM Approved</v>
      </c>
    </row>
    <row r="970" spans="1:11" ht="13.2">
      <c r="A970" s="89" t="str">
        <f ca="1">IFERROR(__xludf.DUMMYFUNCTION("""COMPUTED_VALUE"""),"Common - India Export")</f>
        <v>Common - India Export</v>
      </c>
      <c r="B970" s="90" t="str">
        <f ca="1">IFERROR(__xludf.DUMMYFUNCTION("""COMPUTED_VALUE"""),"India")</f>
        <v>India</v>
      </c>
      <c r="C970" s="91" t="str">
        <f ca="1">IFERROR(__xludf.DUMMYFUNCTION("""COMPUTED_VALUE"""),"Saifullah Vai")</f>
        <v>Saifullah Vai</v>
      </c>
      <c r="D970" s="92" t="str">
        <f ca="1">IFERROR(__xludf.DUMMYFUNCTION("""COMPUTED_VALUE"""),"Masud Parvez Sani (S223034)")</f>
        <v>Masud Parvez Sani (S223034)</v>
      </c>
      <c r="E970" s="93" t="str">
        <f ca="1">IFERROR(__xludf.DUMMYFUNCTION("""COMPUTED_VALUE"""),"CB24100_May26")</f>
        <v>CB24100_May26</v>
      </c>
      <c r="F970" s="94" t="str">
        <f ca="1">IFERROR(__xludf.DUMMYFUNCTION("""COMPUTED_VALUE"""),"Carton Design")</f>
        <v>Carton Design</v>
      </c>
      <c r="G970" s="95" t="str">
        <f ca="1">IFERROR(__xludf.DUMMYFUNCTION("""COMPUTED_VALUE"""),"New")</f>
        <v>New</v>
      </c>
      <c r="H970" s="96">
        <f ca="1">IFERROR(__xludf.DUMMYFUNCTION("""COMPUTED_VALUE"""),1)</f>
        <v>1</v>
      </c>
      <c r="I970" s="97">
        <f ca="1">IFERROR(__xludf.DUMMYFUNCTION("""COMPUTED_VALUE"""),46155)</f>
        <v>46155</v>
      </c>
      <c r="J970" s="98" t="str">
        <f ca="1">IFERROR(__xludf.DUMMYFUNCTION("""COMPUTED_VALUE"""),"CW33348_May26")</f>
        <v>CW33348_May26</v>
      </c>
      <c r="K970" s="99" t="str">
        <f ca="1">IFERROR(__xludf.DUMMYFUNCTION("""COMPUTED_VALUE"""),"HoM Approved")</f>
        <v>HoM Approved</v>
      </c>
    </row>
    <row r="971" spans="1:11" ht="13.2">
      <c r="A971" s="89" t="str">
        <f ca="1">IFERROR(__xludf.DUMMYFUNCTION("""COMPUTED_VALUE"""),"All Time Slice Cake")</f>
        <v>All Time Slice Cake</v>
      </c>
      <c r="B971" s="90" t="str">
        <f ca="1">IFERROR(__xludf.DUMMYFUNCTION("""COMPUTED_VALUE"""),"BBL")</f>
        <v>BBL</v>
      </c>
      <c r="C971" s="91" t="str">
        <f ca="1">IFERROR(__xludf.DUMMYFUNCTION("""COMPUTED_VALUE"""),"Saifullah Vai")</f>
        <v>Saifullah Vai</v>
      </c>
      <c r="D971" s="92" t="str">
        <f ca="1">IFERROR(__xludf.DUMMYFUNCTION("""COMPUTED_VALUE"""),"Masud Parvez Sani (S223034)")</f>
        <v>Masud Parvez Sani (S223034)</v>
      </c>
      <c r="E971" s="93" t="str">
        <f ca="1">IFERROR(__xludf.DUMMYFUNCTION("""COMPUTED_VALUE"""),"CB21089_Apr26")</f>
        <v>CB21089_Apr26</v>
      </c>
      <c r="F971" s="94" t="str">
        <f ca="1">IFERROR(__xludf.DUMMYFUNCTION("""COMPUTED_VALUE"""),"Carton Design")</f>
        <v>Carton Design</v>
      </c>
      <c r="G971" s="95" t="str">
        <f ca="1">IFERROR(__xludf.DUMMYFUNCTION("""COMPUTED_VALUE"""),"New")</f>
        <v>New</v>
      </c>
      <c r="H971" s="96">
        <f ca="1">IFERROR(__xludf.DUMMYFUNCTION("""COMPUTED_VALUE"""),1)</f>
        <v>1</v>
      </c>
      <c r="I971" s="97">
        <f ca="1">IFERROR(__xludf.DUMMYFUNCTION("""COMPUTED_VALUE"""),46155)</f>
        <v>46155</v>
      </c>
      <c r="J971" s="98" t="str">
        <f ca="1">IFERROR(__xludf.DUMMYFUNCTION("""COMPUTED_VALUE"""),"CW33352_May26")</f>
        <v>CW33352_May26</v>
      </c>
      <c r="K971" s="99" t="str">
        <f ca="1">IFERROR(__xludf.DUMMYFUNCTION("""COMPUTED_VALUE"""),"HoM Approved")</f>
        <v>HoM Approved</v>
      </c>
    </row>
    <row r="972" spans="1:11" ht="13.2">
      <c r="A972" s="89" t="str">
        <f ca="1">IFERROR(__xludf.DUMMYFUNCTION("""COMPUTED_VALUE"""),"Common - India Export")</f>
        <v>Common - India Export</v>
      </c>
      <c r="B972" s="90" t="str">
        <f ca="1">IFERROR(__xludf.DUMMYFUNCTION("""COMPUTED_VALUE"""),"India")</f>
        <v>India</v>
      </c>
      <c r="C972" s="91" t="str">
        <f ca="1">IFERROR(__xludf.DUMMYFUNCTION("""COMPUTED_VALUE"""),"Saifullah Vai")</f>
        <v>Saifullah Vai</v>
      </c>
      <c r="D972" s="92" t="str">
        <f ca="1">IFERROR(__xludf.DUMMYFUNCTION("""COMPUTED_VALUE"""),"Masud Parvez Sani (S223034)")</f>
        <v>Masud Parvez Sani (S223034)</v>
      </c>
      <c r="E972" s="93" t="str">
        <f ca="1">IFERROR(__xludf.DUMMYFUNCTION("""COMPUTED_VALUE"""),"CB24100_May26")</f>
        <v>CB24100_May26</v>
      </c>
      <c r="F972" s="94" t="str">
        <f ca="1">IFERROR(__xludf.DUMMYFUNCTION("""COMPUTED_VALUE"""),"Packaging Text Design #1")</f>
        <v>Packaging Text Design #1</v>
      </c>
      <c r="G972" s="95" t="str">
        <f ca="1">IFERROR(__xludf.DUMMYFUNCTION("""COMPUTED_VALUE"""),"New")</f>
        <v>New</v>
      </c>
      <c r="H972" s="96">
        <f ca="1">IFERROR(__xludf.DUMMYFUNCTION("""COMPUTED_VALUE"""),1)</f>
        <v>1</v>
      </c>
      <c r="I972" s="97">
        <f ca="1">IFERROR(__xludf.DUMMYFUNCTION("""COMPUTED_VALUE"""),46155)</f>
        <v>46155</v>
      </c>
      <c r="J972" s="98" t="str">
        <f ca="1">IFERROR(__xludf.DUMMYFUNCTION("""COMPUTED_VALUE"""),"CW33348_May26")</f>
        <v>CW33348_May26</v>
      </c>
      <c r="K972" s="99" t="str">
        <f ca="1">IFERROR(__xludf.DUMMYFUNCTION("""COMPUTED_VALUE"""),"HoM Approved")</f>
        <v>HoM Approved</v>
      </c>
    </row>
    <row r="973" spans="1:11" ht="13.2">
      <c r="A973" s="89" t="str">
        <f ca="1">IFERROR(__xludf.DUMMYFUNCTION("""COMPUTED_VALUE"""),"Common - USA &amp; Europe Export")</f>
        <v>Common - USA &amp; Europe Export</v>
      </c>
      <c r="B973" s="90" t="str">
        <f ca="1">IFERROR(__xludf.DUMMYFUNCTION("""COMPUTED_VALUE"""),"USA &amp; Europe")</f>
        <v>USA &amp; Europe</v>
      </c>
      <c r="C973" s="91" t="str">
        <f ca="1">IFERROR(__xludf.DUMMYFUNCTION("""COMPUTED_VALUE"""),"Saifullah Vai")</f>
        <v>Saifullah Vai</v>
      </c>
      <c r="D973" s="92" t="str">
        <f ca="1">IFERROR(__xludf.DUMMYFUNCTION("""COMPUTED_VALUE"""),"Masud Parvez Sani (S223034)")</f>
        <v>Masud Parvez Sani (S223034)</v>
      </c>
      <c r="E973" s="93" t="str">
        <f ca="1">IFERROR(__xludf.DUMMYFUNCTION("""COMPUTED_VALUE"""),"CB22313_Apr26")</f>
        <v>CB22313_Apr26</v>
      </c>
      <c r="F973" s="94" t="str">
        <f ca="1">IFERROR(__xludf.DUMMYFUNCTION("""COMPUTED_VALUE"""),"Packaging Text Design #1")</f>
        <v>Packaging Text Design #1</v>
      </c>
      <c r="G973" s="95" t="str">
        <f ca="1">IFERROR(__xludf.DUMMYFUNCTION("""COMPUTED_VALUE"""),"New")</f>
        <v>New</v>
      </c>
      <c r="H973" s="96">
        <f ca="1">IFERROR(__xludf.DUMMYFUNCTION("""COMPUTED_VALUE"""),2)</f>
        <v>2</v>
      </c>
      <c r="I973" s="97">
        <f ca="1">IFERROR(__xludf.DUMMYFUNCTION("""COMPUTED_VALUE"""),46155)</f>
        <v>46155</v>
      </c>
      <c r="J973" s="98" t="str">
        <f ca="1">IFERROR(__xludf.DUMMYFUNCTION("""COMPUTED_VALUE"""),"CW33371_May26")</f>
        <v>CW33371_May26</v>
      </c>
      <c r="K973" s="99" t="str">
        <f ca="1">IFERROR(__xludf.DUMMYFUNCTION("""COMPUTED_VALUE"""),"HoM Approved")</f>
        <v>HoM Approved</v>
      </c>
    </row>
    <row r="974" spans="1:11" ht="13.2">
      <c r="A974" s="89" t="str">
        <f ca="1">IFERROR(__xludf.DUMMYFUNCTION("""COMPUTED_VALUE"""),"Common - USA &amp; Europe Export")</f>
        <v>Common - USA &amp; Europe Export</v>
      </c>
      <c r="B974" s="90" t="str">
        <f ca="1">IFERROR(__xludf.DUMMYFUNCTION("""COMPUTED_VALUE"""),"USA &amp; Europe")</f>
        <v>USA &amp; Europe</v>
      </c>
      <c r="C974" s="91" t="str">
        <f ca="1">IFERROR(__xludf.DUMMYFUNCTION("""COMPUTED_VALUE"""),"Saifullah Vai")</f>
        <v>Saifullah Vai</v>
      </c>
      <c r="D974" s="92" t="str">
        <f ca="1">IFERROR(__xludf.DUMMYFUNCTION("""COMPUTED_VALUE"""),"Masud Parvez Sani (S223034)")</f>
        <v>Masud Parvez Sani (S223034)</v>
      </c>
      <c r="E974" s="93" t="str">
        <f ca="1">IFERROR(__xludf.DUMMYFUNCTION("""COMPUTED_VALUE"""),"CB21517_Apr26")</f>
        <v>CB21517_Apr26</v>
      </c>
      <c r="F974" s="94" t="str">
        <f ca="1">IFERROR(__xludf.DUMMYFUNCTION("""COMPUTED_VALUE"""),"Packaging Text Design #2")</f>
        <v>Packaging Text Design #2</v>
      </c>
      <c r="G974" s="95" t="str">
        <f ca="1">IFERROR(__xludf.DUMMYFUNCTION("""COMPUTED_VALUE"""),"New")</f>
        <v>New</v>
      </c>
      <c r="H974" s="96">
        <f ca="1">IFERROR(__xludf.DUMMYFUNCTION("""COMPUTED_VALUE"""),3)</f>
        <v>3</v>
      </c>
      <c r="I974" s="97">
        <f ca="1">IFERROR(__xludf.DUMMYFUNCTION("""COMPUTED_VALUE"""),46155)</f>
        <v>46155</v>
      </c>
      <c r="J974" s="98" t="str">
        <f ca="1">IFERROR(__xludf.DUMMYFUNCTION("""COMPUTED_VALUE"""),"CW33368_May26")</f>
        <v>CW33368_May26</v>
      </c>
      <c r="K974" s="99" t="str">
        <f ca="1">IFERROR(__xludf.DUMMYFUNCTION("""COMPUTED_VALUE"""),"HoM Approved")</f>
        <v>HoM Approved</v>
      </c>
    </row>
    <row r="975" spans="1:11" ht="13.2">
      <c r="A975" s="89" t="str">
        <f ca="1">IFERROR(__xludf.DUMMYFUNCTION("""COMPUTED_VALUE"""),"PRAN Chutney")</f>
        <v>PRAN Chutney</v>
      </c>
      <c r="B975" s="90" t="str">
        <f ca="1">IFERROR(__xludf.DUMMYFUNCTION("""COMPUTED_VALUE"""),"PAL")</f>
        <v>PAL</v>
      </c>
      <c r="C975" s="91" t="str">
        <f ca="1">IFERROR(__xludf.DUMMYFUNCTION("""COMPUTED_VALUE"""),"Sharika Apu")</f>
        <v>Sharika Apu</v>
      </c>
      <c r="D975" s="92" t="str">
        <f ca="1">IFERROR(__xludf.DUMMYFUNCTION("""COMPUTED_VALUE"""),"Masud Parvez Sani (S223034)")</f>
        <v>Masud Parvez Sani (S223034)</v>
      </c>
      <c r="E975" s="93" t="str">
        <f ca="1">IFERROR(__xludf.DUMMYFUNCTION("""COMPUTED_VALUE"""),"CB20501_Apr26")</f>
        <v>CB20501_Apr26</v>
      </c>
      <c r="F975" s="94" t="str">
        <f ca="1">IFERROR(__xludf.DUMMYFUNCTION("""COMPUTED_VALUE"""),"Text Sticker Design #2")</f>
        <v>Text Sticker Design #2</v>
      </c>
      <c r="G975" s="95" t="str">
        <f ca="1">IFERROR(__xludf.DUMMYFUNCTION("""COMPUTED_VALUE"""),"New")</f>
        <v>New</v>
      </c>
      <c r="H975" s="96">
        <f ca="1">IFERROR(__xludf.DUMMYFUNCTION("""COMPUTED_VALUE"""),1)</f>
        <v>1</v>
      </c>
      <c r="I975" s="97">
        <f ca="1">IFERROR(__xludf.DUMMYFUNCTION("""COMPUTED_VALUE"""),46155)</f>
        <v>46155</v>
      </c>
      <c r="J975" s="98" t="str">
        <f ca="1">IFERROR(__xludf.DUMMYFUNCTION("""COMPUTED_VALUE"""),"CW33350_May26")</f>
        <v>CW33350_May26</v>
      </c>
      <c r="K975" s="99" t="str">
        <f ca="1">IFERROR(__xludf.DUMMYFUNCTION("""COMPUTED_VALUE"""),"HoM Approved")</f>
        <v>HoM Approved</v>
      </c>
    </row>
    <row r="976" spans="1:11" ht="13.2">
      <c r="A976" s="89" t="str">
        <f ca="1">IFERROR(__xludf.DUMMYFUNCTION("""COMPUTED_VALUE"""),"Drinko Float")</f>
        <v>Drinko Float</v>
      </c>
      <c r="B976" s="90" t="str">
        <f ca="1">IFERROR(__xludf.DUMMYFUNCTION("""COMPUTED_VALUE"""),"PBL")</f>
        <v>PBL</v>
      </c>
      <c r="C976" s="91" t="str">
        <f ca="1">IFERROR(__xludf.DUMMYFUNCTION("""COMPUTED_VALUE"""),"Zahirul Vai")</f>
        <v>Zahirul Vai</v>
      </c>
      <c r="D976" s="92" t="str">
        <f ca="1">IFERROR(__xludf.DUMMYFUNCTION("""COMPUTED_VALUE"""),"Masud Parvez Sani (S223034)")</f>
        <v>Masud Parvez Sani (S223034)</v>
      </c>
      <c r="E976" s="93" t="str">
        <f ca="1">IFERROR(__xludf.DUMMYFUNCTION("""COMPUTED_VALUE"""),"CB22148_Apr26")</f>
        <v>CB22148_Apr26</v>
      </c>
      <c r="F976" s="94" t="str">
        <f ca="1">IFERROR(__xludf.DUMMYFUNCTION("""COMPUTED_VALUE"""),"Text Sticker Design #2")</f>
        <v>Text Sticker Design #2</v>
      </c>
      <c r="G976" s="95" t="str">
        <f ca="1">IFERROR(__xludf.DUMMYFUNCTION("""COMPUTED_VALUE"""),"New")</f>
        <v>New</v>
      </c>
      <c r="H976" s="96">
        <f ca="1">IFERROR(__xludf.DUMMYFUNCTION("""COMPUTED_VALUE"""),4)</f>
        <v>4</v>
      </c>
      <c r="I976" s="97">
        <f ca="1">IFERROR(__xludf.DUMMYFUNCTION("""COMPUTED_VALUE"""),46155)</f>
        <v>46155</v>
      </c>
      <c r="J976" s="98" t="str">
        <f ca="1">IFERROR(__xludf.DUMMYFUNCTION("""COMPUTED_VALUE"""),"CW33364_May26")</f>
        <v>CW33364_May26</v>
      </c>
      <c r="K976" s="99" t="str">
        <f ca="1">IFERROR(__xludf.DUMMYFUNCTION("""COMPUTED_VALUE"""),"HoM Approved")</f>
        <v>HoM Approved</v>
      </c>
    </row>
    <row r="977" spans="1:11" ht="13.2">
      <c r="A977" s="89" t="str">
        <f ca="1">IFERROR(__xludf.DUMMYFUNCTION("""COMPUTED_VALUE"""),"Common - India Export")</f>
        <v>Common - India Export</v>
      </c>
      <c r="B977" s="90" t="str">
        <f ca="1">IFERROR(__xludf.DUMMYFUNCTION("""COMPUTED_VALUE"""),"India")</f>
        <v>India</v>
      </c>
      <c r="C977" s="91" t="str">
        <f ca="1">IFERROR(__xludf.DUMMYFUNCTION("""COMPUTED_VALUE"""),"Saifullah Vai")</f>
        <v>Saifullah Vai</v>
      </c>
      <c r="D977" s="92" t="str">
        <f ca="1">IFERROR(__xludf.DUMMYFUNCTION("""COMPUTED_VALUE"""),"Masud Parvez Sani (S223034)")</f>
        <v>Masud Parvez Sani (S223034)</v>
      </c>
      <c r="E977" s="93" t="str">
        <f ca="1">IFERROR(__xludf.DUMMYFUNCTION("""COMPUTED_VALUE"""),"CB23871_May26")</f>
        <v>CB23871_May26</v>
      </c>
      <c r="F977" s="94" t="str">
        <f ca="1">IFERROR(__xludf.DUMMYFUNCTION("""COMPUTED_VALUE"""),"Packaging Text Design #1")</f>
        <v>Packaging Text Design #1</v>
      </c>
      <c r="G977" s="95" t="str">
        <f ca="1">IFERROR(__xludf.DUMMYFUNCTION("""COMPUTED_VALUE"""),"New")</f>
        <v>New</v>
      </c>
      <c r="H977" s="96">
        <f ca="1">IFERROR(__xludf.DUMMYFUNCTION("""COMPUTED_VALUE"""),8)</f>
        <v>8</v>
      </c>
      <c r="I977" s="97">
        <f ca="1">IFERROR(__xludf.DUMMYFUNCTION("""COMPUTED_VALUE"""),46156)</f>
        <v>46156</v>
      </c>
      <c r="J977" s="98" t="str">
        <f ca="1">IFERROR(__xludf.DUMMYFUNCTION("""COMPUTED_VALUE"""),"CW33493_May26")</f>
        <v>CW33493_May26</v>
      </c>
      <c r="K977" s="99" t="str">
        <f ca="1">IFERROR(__xludf.DUMMYFUNCTION("""COMPUTED_VALUE"""),"HoM Approved")</f>
        <v>HoM Approved</v>
      </c>
    </row>
    <row r="978" spans="1:11" ht="13.2">
      <c r="A978" s="89" t="str">
        <f ca="1">IFERROR(__xludf.DUMMYFUNCTION("""COMPUTED_VALUE"""),"Pran Potata")</f>
        <v>Pran Potata</v>
      </c>
      <c r="B978" s="90" t="str">
        <f ca="1">IFERROR(__xludf.DUMMYFUNCTION("""COMPUTED_VALUE"""),"BBL")</f>
        <v>BBL</v>
      </c>
      <c r="C978" s="91" t="str">
        <f ca="1">IFERROR(__xludf.DUMMYFUNCTION("""COMPUTED_VALUE"""),"Rakib Vai")</f>
        <v>Rakib Vai</v>
      </c>
      <c r="D978" s="92" t="str">
        <f ca="1">IFERROR(__xludf.DUMMYFUNCTION("""COMPUTED_VALUE"""),"Masud Parvez Sani (S223034)")</f>
        <v>Masud Parvez Sani (S223034)</v>
      </c>
      <c r="E978" s="93" t="str">
        <f ca="1">IFERROR(__xludf.DUMMYFUNCTION("""COMPUTED_VALUE"""),"CB21686_Apr26")</f>
        <v>CB21686_Apr26</v>
      </c>
      <c r="F978" s="94" t="str">
        <f ca="1">IFERROR(__xludf.DUMMYFUNCTION("""COMPUTED_VALUE"""),"Black Cylinder Output")</f>
        <v>Black Cylinder Output</v>
      </c>
      <c r="G978" s="95" t="str">
        <f ca="1">IFERROR(__xludf.DUMMYFUNCTION("""COMPUTED_VALUE"""),"New")</f>
        <v>New</v>
      </c>
      <c r="H978" s="96">
        <f ca="1">IFERROR(__xludf.DUMMYFUNCTION("""COMPUTED_VALUE"""),1)</f>
        <v>1</v>
      </c>
      <c r="I978" s="97">
        <f ca="1">IFERROR(__xludf.DUMMYFUNCTION("""COMPUTED_VALUE"""),46158)</f>
        <v>46158</v>
      </c>
      <c r="J978" s="98" t="str">
        <f ca="1">IFERROR(__xludf.DUMMYFUNCTION("""COMPUTED_VALUE"""),"CW33598_May26")</f>
        <v>CW33598_May26</v>
      </c>
      <c r="K978" s="99" t="str">
        <f ca="1">IFERROR(__xludf.DUMMYFUNCTION("""COMPUTED_VALUE"""),"HoM Approved")</f>
        <v>HoM Approved</v>
      </c>
    </row>
    <row r="979" spans="1:11" ht="13.2">
      <c r="A979" s="89" t="str">
        <f ca="1">IFERROR(__xludf.DUMMYFUNCTION("""COMPUTED_VALUE"""),"Chao Chao Lollipop")</f>
        <v>Chao Chao Lollipop</v>
      </c>
      <c r="B979" s="90" t="str">
        <f ca="1">IFERROR(__xludf.DUMMYFUNCTION("""COMPUTED_VALUE"""),"PCL")</f>
        <v>PCL</v>
      </c>
      <c r="C979" s="91" t="str">
        <f ca="1">IFERROR(__xludf.DUMMYFUNCTION("""COMPUTED_VALUE"""),"Rakib Vai")</f>
        <v>Rakib Vai</v>
      </c>
      <c r="D979" s="92" t="str">
        <f ca="1">IFERROR(__xludf.DUMMYFUNCTION("""COMPUTED_VALUE"""),"Masud Parvez Sani (S223034)")</f>
        <v>Masud Parvez Sani (S223034)</v>
      </c>
      <c r="E979" s="93" t="str">
        <f ca="1">IFERROR(__xludf.DUMMYFUNCTION("""COMPUTED_VALUE"""),"CB24187_May26")</f>
        <v>CB24187_May26</v>
      </c>
      <c r="F979" s="94" t="str">
        <f ca="1">IFERROR(__xludf.DUMMYFUNCTION("""COMPUTED_VALUE"""),"Packaging Text Design #1")</f>
        <v>Packaging Text Design #1</v>
      </c>
      <c r="G979" s="95" t="str">
        <f ca="1">IFERROR(__xludf.DUMMYFUNCTION("""COMPUTED_VALUE"""),"New")</f>
        <v>New</v>
      </c>
      <c r="H979" s="96">
        <f ca="1">IFERROR(__xludf.DUMMYFUNCTION("""COMPUTED_VALUE"""),1)</f>
        <v>1</v>
      </c>
      <c r="I979" s="97">
        <f ca="1">IFERROR(__xludf.DUMMYFUNCTION("""COMPUTED_VALUE"""),46158)</f>
        <v>46158</v>
      </c>
      <c r="J979" s="98" t="str">
        <f ca="1">IFERROR(__xludf.DUMMYFUNCTION("""COMPUTED_VALUE"""),"CW33600_May26")</f>
        <v>CW33600_May26</v>
      </c>
      <c r="K979" s="99" t="str">
        <f ca="1">IFERROR(__xludf.DUMMYFUNCTION("""COMPUTED_VALUE"""),"HoM Approved")</f>
        <v>HoM Approved</v>
      </c>
    </row>
    <row r="980" spans="1:11" ht="13.2">
      <c r="A980" s="89" t="str">
        <f ca="1">IFERROR(__xludf.DUMMYFUNCTION("""COMPUTED_VALUE"""),"Common - India Export")</f>
        <v>Common - India Export</v>
      </c>
      <c r="B980" s="90" t="str">
        <f ca="1">IFERROR(__xludf.DUMMYFUNCTION("""COMPUTED_VALUE"""),"India")</f>
        <v>India</v>
      </c>
      <c r="C980" s="91" t="str">
        <f ca="1">IFERROR(__xludf.DUMMYFUNCTION("""COMPUTED_VALUE"""),"Saifullah Vai")</f>
        <v>Saifullah Vai</v>
      </c>
      <c r="D980" s="92" t="str">
        <f ca="1">IFERROR(__xludf.DUMMYFUNCTION("""COMPUTED_VALUE"""),"Masud Parvez Sani (S223034)")</f>
        <v>Masud Parvez Sani (S223034)</v>
      </c>
      <c r="E980" s="93" t="str">
        <f ca="1">IFERROR(__xludf.DUMMYFUNCTION("""COMPUTED_VALUE"""),"CB24281_May26")</f>
        <v>CB24281_May26</v>
      </c>
      <c r="F980" s="94" t="str">
        <f ca="1">IFERROR(__xludf.DUMMYFUNCTION("""COMPUTED_VALUE"""),"Carton Design")</f>
        <v>Carton Design</v>
      </c>
      <c r="G980" s="95" t="str">
        <f ca="1">IFERROR(__xludf.DUMMYFUNCTION("""COMPUTED_VALUE"""),"New")</f>
        <v>New</v>
      </c>
      <c r="H980" s="96">
        <f ca="1">IFERROR(__xludf.DUMMYFUNCTION("""COMPUTED_VALUE"""),2)</f>
        <v>2</v>
      </c>
      <c r="I980" s="97">
        <f ca="1">IFERROR(__xludf.DUMMYFUNCTION("""COMPUTED_VALUE"""),46158)</f>
        <v>46158</v>
      </c>
      <c r="J980" s="98" t="str">
        <f ca="1">IFERROR(__xludf.DUMMYFUNCTION("""COMPUTED_VALUE"""),"CW33634_May26")</f>
        <v>CW33634_May26</v>
      </c>
      <c r="K980" s="99" t="str">
        <f ca="1">IFERROR(__xludf.DUMMYFUNCTION("""COMPUTED_VALUE"""),"HoM Approved")</f>
        <v>HoM Approved</v>
      </c>
    </row>
    <row r="981" spans="1:11" ht="13.2">
      <c r="A981" s="89" t="str">
        <f ca="1">IFERROR(__xludf.DUMMYFUNCTION("""COMPUTED_VALUE"""),"PRAN Potata")</f>
        <v>PRAN Potata</v>
      </c>
      <c r="B981" s="90" t="str">
        <f ca="1">IFERROR(__xludf.DUMMYFUNCTION("""COMPUTED_VALUE"""),"UAE")</f>
        <v>UAE</v>
      </c>
      <c r="C981" s="91" t="str">
        <f ca="1">IFERROR(__xludf.DUMMYFUNCTION("""COMPUTED_VALUE"""),"Mona Apu")</f>
        <v>Mona Apu</v>
      </c>
      <c r="D981" s="92" t="str">
        <f ca="1">IFERROR(__xludf.DUMMYFUNCTION("""COMPUTED_VALUE"""),"Masud Parvez Sani (S223034)")</f>
        <v>Masud Parvez Sani (S223034)</v>
      </c>
      <c r="E981" s="93" t="str">
        <f ca="1">IFERROR(__xludf.DUMMYFUNCTION("""COMPUTED_VALUE"""),"CB20483_Mar26")</f>
        <v>CB20483_Mar26</v>
      </c>
      <c r="F981" s="94" t="str">
        <f ca="1">IFERROR(__xludf.DUMMYFUNCTION("""COMPUTED_VALUE"""),"Carton Design")</f>
        <v>Carton Design</v>
      </c>
      <c r="G981" s="95" t="str">
        <f ca="1">IFERROR(__xludf.DUMMYFUNCTION("""COMPUTED_VALUE"""),"New")</f>
        <v>New</v>
      </c>
      <c r="H981" s="96">
        <f ca="1">IFERROR(__xludf.DUMMYFUNCTION("""COMPUTED_VALUE"""),4)</f>
        <v>4</v>
      </c>
      <c r="I981" s="97">
        <f ca="1">IFERROR(__xludf.DUMMYFUNCTION("""COMPUTED_VALUE"""),46159)</f>
        <v>46159</v>
      </c>
      <c r="J981" s="98" t="str">
        <f ca="1">IFERROR(__xludf.DUMMYFUNCTION("""COMPUTED_VALUE"""),"CW33787_May26")</f>
        <v>CW33787_May26</v>
      </c>
      <c r="K981" s="99" t="str">
        <f ca="1">IFERROR(__xludf.DUMMYFUNCTION("""COMPUTED_VALUE"""),"HoM Approved")</f>
        <v>HoM Approved</v>
      </c>
    </row>
    <row r="982" spans="1:11" ht="13.2">
      <c r="A982" s="89" t="str">
        <f ca="1">IFERROR(__xludf.DUMMYFUNCTION("""COMPUTED_VALUE"""),"Pluto Chocolate Gems")</f>
        <v>Pluto Chocolate Gems</v>
      </c>
      <c r="B982" s="90" t="str">
        <f ca="1">IFERROR(__xludf.DUMMYFUNCTION("""COMPUTED_VALUE"""),"PCL")</f>
        <v>PCL</v>
      </c>
      <c r="C982" s="91" t="str">
        <f ca="1">IFERROR(__xludf.DUMMYFUNCTION("""COMPUTED_VALUE"""),"Mona Apu")</f>
        <v>Mona Apu</v>
      </c>
      <c r="D982" s="92" t="str">
        <f ca="1">IFERROR(__xludf.DUMMYFUNCTION("""COMPUTED_VALUE"""),"Masud Parvez Sani (S223034)")</f>
        <v>Masud Parvez Sani (S223034)</v>
      </c>
      <c r="E982" s="93" t="str">
        <f ca="1">IFERROR(__xludf.DUMMYFUNCTION("""COMPUTED_VALUE"""),"CB20745_Apr26")</f>
        <v>CB20745_Apr26</v>
      </c>
      <c r="F982" s="94" t="str">
        <f ca="1">IFERROR(__xludf.DUMMYFUNCTION("""COMPUTED_VALUE"""),"Packaging Text Design #1")</f>
        <v>Packaging Text Design #1</v>
      </c>
      <c r="G982" s="95" t="str">
        <f ca="1">IFERROR(__xludf.DUMMYFUNCTION("""COMPUTED_VALUE"""),"New")</f>
        <v>New</v>
      </c>
      <c r="H982" s="96">
        <f ca="1">IFERROR(__xludf.DUMMYFUNCTION("""COMPUTED_VALUE"""),12)</f>
        <v>12</v>
      </c>
      <c r="I982" s="97">
        <f ca="1">IFERROR(__xludf.DUMMYFUNCTION("""COMPUTED_VALUE"""),46159)</f>
        <v>46159</v>
      </c>
      <c r="J982" s="98" t="str">
        <f ca="1">IFERROR(__xludf.DUMMYFUNCTION("""COMPUTED_VALUE"""),"CW33788_May26")</f>
        <v>CW33788_May26</v>
      </c>
      <c r="K982" s="99" t="str">
        <f ca="1">IFERROR(__xludf.DUMMYFUNCTION("""COMPUTED_VALUE"""),"HoM Approved")</f>
        <v>HoM Approved</v>
      </c>
    </row>
    <row r="983" spans="1:11" ht="13.2">
      <c r="A983" s="89" t="str">
        <f ca="1">IFERROR(__xludf.DUMMYFUNCTION("""COMPUTED_VALUE"""),"Pluto Chocolate Gems")</f>
        <v>Pluto Chocolate Gems</v>
      </c>
      <c r="B983" s="90" t="str">
        <f ca="1">IFERROR(__xludf.DUMMYFUNCTION("""COMPUTED_VALUE"""),"PCL")</f>
        <v>PCL</v>
      </c>
      <c r="C983" s="91" t="str">
        <f ca="1">IFERROR(__xludf.DUMMYFUNCTION("""COMPUTED_VALUE"""),"Mona Apu")</f>
        <v>Mona Apu</v>
      </c>
      <c r="D983" s="92" t="str">
        <f ca="1">IFERROR(__xludf.DUMMYFUNCTION("""COMPUTED_VALUE"""),"Masud Parvez Sani (S223034)")</f>
        <v>Masud Parvez Sani (S223034)</v>
      </c>
      <c r="E983" s="93" t="str">
        <f ca="1">IFERROR(__xludf.DUMMYFUNCTION("""COMPUTED_VALUE"""),"CB20745_Apr26")</f>
        <v>CB20745_Apr26</v>
      </c>
      <c r="F983" s="94" t="str">
        <f ca="1">IFERROR(__xludf.DUMMYFUNCTION("""COMPUTED_VALUE"""),"Packaging Text Design #2")</f>
        <v>Packaging Text Design #2</v>
      </c>
      <c r="G983" s="95" t="str">
        <f ca="1">IFERROR(__xludf.DUMMYFUNCTION("""COMPUTED_VALUE"""),"New")</f>
        <v>New</v>
      </c>
      <c r="H983" s="96">
        <f ca="1">IFERROR(__xludf.DUMMYFUNCTION("""COMPUTED_VALUE"""),6)</f>
        <v>6</v>
      </c>
      <c r="I983" s="97">
        <f ca="1">IFERROR(__xludf.DUMMYFUNCTION("""COMPUTED_VALUE"""),46159)</f>
        <v>46159</v>
      </c>
      <c r="J983" s="98" t="str">
        <f ca="1">IFERROR(__xludf.DUMMYFUNCTION("""COMPUTED_VALUE"""),"CW33788_May26")</f>
        <v>CW33788_May26</v>
      </c>
      <c r="K983" s="99" t="str">
        <f ca="1">IFERROR(__xludf.DUMMYFUNCTION("""COMPUTED_VALUE"""),"HoM Approved")</f>
        <v>HoM Approved</v>
      </c>
    </row>
    <row r="984" spans="1:11" ht="13.2">
      <c r="A984" s="89" t="str">
        <f ca="1">IFERROR(__xludf.DUMMYFUNCTION("""COMPUTED_VALUE"""),"PRAN Crunchy Wafer")</f>
        <v>PRAN Crunchy Wafer</v>
      </c>
      <c r="B984" s="90" t="str">
        <f ca="1">IFERROR(__xludf.DUMMYFUNCTION("""COMPUTED_VALUE"""),"Malaysia")</f>
        <v>Malaysia</v>
      </c>
      <c r="C984" s="91" t="str">
        <f ca="1">IFERROR(__xludf.DUMMYFUNCTION("""COMPUTED_VALUE"""),"Rakib Vai")</f>
        <v>Rakib Vai</v>
      </c>
      <c r="D984" s="92" t="str">
        <f ca="1">IFERROR(__xludf.DUMMYFUNCTION("""COMPUTED_VALUE"""),"Masud Parvez Sani (S223034)")</f>
        <v>Masud Parvez Sani (S223034)</v>
      </c>
      <c r="E984" s="93" t="str">
        <f ca="1">IFERROR(__xludf.DUMMYFUNCTION("""COMPUTED_VALUE"""),"CB19820_Mar26")</f>
        <v>CB19820_Mar26</v>
      </c>
      <c r="F984" s="94" t="str">
        <f ca="1">IFERROR(__xludf.DUMMYFUNCTION("""COMPUTED_VALUE"""),"Black Cylinder Output")</f>
        <v>Black Cylinder Output</v>
      </c>
      <c r="G984" s="95" t="str">
        <f ca="1">IFERROR(__xludf.DUMMYFUNCTION("""COMPUTED_VALUE"""),"New")</f>
        <v>New</v>
      </c>
      <c r="H984" s="96">
        <f ca="1">IFERROR(__xludf.DUMMYFUNCTION("""COMPUTED_VALUE"""),4)</f>
        <v>4</v>
      </c>
      <c r="I984" s="97">
        <f ca="1">IFERROR(__xludf.DUMMYFUNCTION("""COMPUTED_VALUE"""),46159)</f>
        <v>46159</v>
      </c>
      <c r="J984" s="98" t="str">
        <f ca="1">IFERROR(__xludf.DUMMYFUNCTION("""COMPUTED_VALUE"""),"CW33694_May26")</f>
        <v>CW33694_May26</v>
      </c>
      <c r="K984" s="99" t="str">
        <f ca="1">IFERROR(__xludf.DUMMYFUNCTION("""COMPUTED_VALUE"""),"HoM Approved")</f>
        <v>HoM Approved</v>
      </c>
    </row>
    <row r="985" spans="1:11" ht="13.2">
      <c r="A985" s="89" t="str">
        <f ca="1">IFERROR(__xludf.DUMMYFUNCTION("""COMPUTED_VALUE"""),"Kandyman")</f>
        <v>Kandyman</v>
      </c>
      <c r="B985" s="90" t="str">
        <f ca="1">IFERROR(__xludf.DUMMYFUNCTION("""COMPUTED_VALUE"""),"PCL")</f>
        <v>PCL</v>
      </c>
      <c r="C985" s="91" t="str">
        <f ca="1">IFERROR(__xludf.DUMMYFUNCTION("""COMPUTED_VALUE"""),"Rakib Vai")</f>
        <v>Rakib Vai</v>
      </c>
      <c r="D985" s="92" t="str">
        <f ca="1">IFERROR(__xludf.DUMMYFUNCTION("""COMPUTED_VALUE"""),"Masud Parvez Sani (S223034)")</f>
        <v>Masud Parvez Sani (S223034)</v>
      </c>
      <c r="E985" s="93" t="str">
        <f ca="1">IFERROR(__xludf.DUMMYFUNCTION("""COMPUTED_VALUE"""),"CB22746_Apr26")</f>
        <v>CB22746_Apr26</v>
      </c>
      <c r="F985" s="94" t="str">
        <f ca="1">IFERROR(__xludf.DUMMYFUNCTION("""COMPUTED_VALUE"""),"Carton Design")</f>
        <v>Carton Design</v>
      </c>
      <c r="G985" s="95" t="str">
        <f ca="1">IFERROR(__xludf.DUMMYFUNCTION("""COMPUTED_VALUE"""),"New")</f>
        <v>New</v>
      </c>
      <c r="H985" s="96">
        <f ca="1">IFERROR(__xludf.DUMMYFUNCTION("""COMPUTED_VALUE"""),4)</f>
        <v>4</v>
      </c>
      <c r="I985" s="97">
        <f ca="1">IFERROR(__xludf.DUMMYFUNCTION("""COMPUTED_VALUE"""),46159)</f>
        <v>46159</v>
      </c>
      <c r="J985" s="98" t="str">
        <f ca="1">IFERROR(__xludf.DUMMYFUNCTION("""COMPUTED_VALUE"""),"CW33792_May26")</f>
        <v>CW33792_May26</v>
      </c>
      <c r="K985" s="99" t="str">
        <f ca="1">IFERROR(__xludf.DUMMYFUNCTION("""COMPUTED_VALUE"""),"HoM Approved")</f>
        <v>HoM Approved</v>
      </c>
    </row>
    <row r="986" spans="1:11" ht="13.2">
      <c r="A986" s="89" t="str">
        <f ca="1">IFERROR(__xludf.DUMMYFUNCTION("""COMPUTED_VALUE"""),"Bro Crispy Candy")</f>
        <v>Bro Crispy Candy</v>
      </c>
      <c r="B986" s="90" t="str">
        <f ca="1">IFERROR(__xludf.DUMMYFUNCTION("""COMPUTED_VALUE"""),"PCL")</f>
        <v>PCL</v>
      </c>
      <c r="C986" s="91" t="str">
        <f ca="1">IFERROR(__xludf.DUMMYFUNCTION("""COMPUTED_VALUE"""),"Rakib Vai")</f>
        <v>Rakib Vai</v>
      </c>
      <c r="D986" s="92" t="str">
        <f ca="1">IFERROR(__xludf.DUMMYFUNCTION("""COMPUTED_VALUE"""),"Masud Parvez Sani (S223034)")</f>
        <v>Masud Parvez Sani (S223034)</v>
      </c>
      <c r="E986" s="93" t="str">
        <f ca="1">IFERROR(__xludf.DUMMYFUNCTION("""COMPUTED_VALUE"""),"CB24436_May26")</f>
        <v>CB24436_May26</v>
      </c>
      <c r="F986" s="94" t="str">
        <f ca="1">IFERROR(__xludf.DUMMYFUNCTION("""COMPUTED_VALUE"""),"Carton Design")</f>
        <v>Carton Design</v>
      </c>
      <c r="G986" s="95" t="str">
        <f ca="1">IFERROR(__xludf.DUMMYFUNCTION("""COMPUTED_VALUE"""),"New")</f>
        <v>New</v>
      </c>
      <c r="H986" s="96">
        <f ca="1">IFERROR(__xludf.DUMMYFUNCTION("""COMPUTED_VALUE"""),4)</f>
        <v>4</v>
      </c>
      <c r="I986" s="97">
        <f ca="1">IFERROR(__xludf.DUMMYFUNCTION("""COMPUTED_VALUE"""),46159)</f>
        <v>46159</v>
      </c>
      <c r="J986" s="98" t="str">
        <f ca="1">IFERROR(__xludf.DUMMYFUNCTION("""COMPUTED_VALUE"""),"CW33789_May26")</f>
        <v>CW33789_May26</v>
      </c>
      <c r="K986" s="99" t="str">
        <f ca="1">IFERROR(__xludf.DUMMYFUNCTION("""COMPUTED_VALUE"""),"HoM Approved")</f>
        <v>HoM Approved</v>
      </c>
    </row>
    <row r="987" spans="1:11" ht="13.2">
      <c r="A987" s="89" t="str">
        <f ca="1">IFERROR(__xludf.DUMMYFUNCTION("""COMPUTED_VALUE"""),"Kandyman")</f>
        <v>Kandyman</v>
      </c>
      <c r="B987" s="90" t="str">
        <f ca="1">IFERROR(__xludf.DUMMYFUNCTION("""COMPUTED_VALUE"""),"PCL")</f>
        <v>PCL</v>
      </c>
      <c r="C987" s="91" t="str">
        <f ca="1">IFERROR(__xludf.DUMMYFUNCTION("""COMPUTED_VALUE"""),"Rakib Vai")</f>
        <v>Rakib Vai</v>
      </c>
      <c r="D987" s="92" t="str">
        <f ca="1">IFERROR(__xludf.DUMMYFUNCTION("""COMPUTED_VALUE"""),"Masud Parvez Sani (S223034)")</f>
        <v>Masud Parvez Sani (S223034)</v>
      </c>
      <c r="E987" s="93" t="str">
        <f ca="1">IFERROR(__xludf.DUMMYFUNCTION("""COMPUTED_VALUE"""),"CB22746_Apr26")</f>
        <v>CB22746_Apr26</v>
      </c>
      <c r="F987" s="94" t="str">
        <f ca="1">IFERROR(__xludf.DUMMYFUNCTION("""COMPUTED_VALUE"""),"Packaging Text Design #1")</f>
        <v>Packaging Text Design #1</v>
      </c>
      <c r="G987" s="95" t="str">
        <f ca="1">IFERROR(__xludf.DUMMYFUNCTION("""COMPUTED_VALUE"""),"New")</f>
        <v>New</v>
      </c>
      <c r="H987" s="96">
        <f ca="1">IFERROR(__xludf.DUMMYFUNCTION("""COMPUTED_VALUE"""),1)</f>
        <v>1</v>
      </c>
      <c r="I987" s="97">
        <f ca="1">IFERROR(__xludf.DUMMYFUNCTION("""COMPUTED_VALUE"""),46159)</f>
        <v>46159</v>
      </c>
      <c r="J987" s="98" t="str">
        <f ca="1">IFERROR(__xludf.DUMMYFUNCTION("""COMPUTED_VALUE"""),"CW33792_May26")</f>
        <v>CW33792_May26</v>
      </c>
      <c r="K987" s="99" t="str">
        <f ca="1">IFERROR(__xludf.DUMMYFUNCTION("""COMPUTED_VALUE"""),"HoM Approved")</f>
        <v>HoM Approved</v>
      </c>
    </row>
    <row r="988" spans="1:11" ht="13.2">
      <c r="A988" s="89" t="str">
        <f ca="1">IFERROR(__xludf.DUMMYFUNCTION("""COMPUTED_VALUE"""),"Bro Crispy Candy")</f>
        <v>Bro Crispy Candy</v>
      </c>
      <c r="B988" s="90" t="str">
        <f ca="1">IFERROR(__xludf.DUMMYFUNCTION("""COMPUTED_VALUE"""),"PCL")</f>
        <v>PCL</v>
      </c>
      <c r="C988" s="91" t="str">
        <f ca="1">IFERROR(__xludf.DUMMYFUNCTION("""COMPUTED_VALUE"""),"Rakib Vai")</f>
        <v>Rakib Vai</v>
      </c>
      <c r="D988" s="92" t="str">
        <f ca="1">IFERROR(__xludf.DUMMYFUNCTION("""COMPUTED_VALUE"""),"Masud Parvez Sani (S223034)")</f>
        <v>Masud Parvez Sani (S223034)</v>
      </c>
      <c r="E988" s="93" t="str">
        <f ca="1">IFERROR(__xludf.DUMMYFUNCTION("""COMPUTED_VALUE"""),"CB24436_May26")</f>
        <v>CB24436_May26</v>
      </c>
      <c r="F988" s="94" t="str">
        <f ca="1">IFERROR(__xludf.DUMMYFUNCTION("""COMPUTED_VALUE"""),"Packaging Text Design #1")</f>
        <v>Packaging Text Design #1</v>
      </c>
      <c r="G988" s="95" t="str">
        <f ca="1">IFERROR(__xludf.DUMMYFUNCTION("""COMPUTED_VALUE"""),"New")</f>
        <v>New</v>
      </c>
      <c r="H988" s="96">
        <f ca="1">IFERROR(__xludf.DUMMYFUNCTION("""COMPUTED_VALUE"""),2)</f>
        <v>2</v>
      </c>
      <c r="I988" s="97">
        <f ca="1">IFERROR(__xludf.DUMMYFUNCTION("""COMPUTED_VALUE"""),46159)</f>
        <v>46159</v>
      </c>
      <c r="J988" s="98" t="str">
        <f ca="1">IFERROR(__xludf.DUMMYFUNCTION("""COMPUTED_VALUE"""),"CW33789_May26")</f>
        <v>CW33789_May26</v>
      </c>
      <c r="K988" s="99" t="str">
        <f ca="1">IFERROR(__xludf.DUMMYFUNCTION("""COMPUTED_VALUE"""),"HoM Approved")</f>
        <v>HoM Approved</v>
      </c>
    </row>
    <row r="989" spans="1:11" ht="13.2">
      <c r="A989" s="89" t="str">
        <f ca="1">IFERROR(__xludf.DUMMYFUNCTION("""COMPUTED_VALUE"""),"PRAN Ball Gum")</f>
        <v>PRAN Ball Gum</v>
      </c>
      <c r="B989" s="90" t="str">
        <f ca="1">IFERROR(__xludf.DUMMYFUNCTION("""COMPUTED_VALUE"""),"PCL")</f>
        <v>PCL</v>
      </c>
      <c r="C989" s="91" t="str">
        <f ca="1">IFERROR(__xludf.DUMMYFUNCTION("""COMPUTED_VALUE"""),"Rakib Vai")</f>
        <v>Rakib Vai</v>
      </c>
      <c r="D989" s="92" t="str">
        <f ca="1">IFERROR(__xludf.DUMMYFUNCTION("""COMPUTED_VALUE"""),"Masud Parvez Sani (S223034)")</f>
        <v>Masud Parvez Sani (S223034)</v>
      </c>
      <c r="E989" s="93" t="str">
        <f ca="1">IFERROR(__xludf.DUMMYFUNCTION("""COMPUTED_VALUE"""),"CB24438_May26")</f>
        <v>CB24438_May26</v>
      </c>
      <c r="F989" s="94" t="str">
        <f ca="1">IFERROR(__xludf.DUMMYFUNCTION("""COMPUTED_VALUE"""),"Carton Design")</f>
        <v>Carton Design</v>
      </c>
      <c r="G989" s="95" t="str">
        <f ca="1">IFERROR(__xludf.DUMMYFUNCTION("""COMPUTED_VALUE"""),"New")</f>
        <v>New</v>
      </c>
      <c r="H989" s="96">
        <f ca="1">IFERROR(__xludf.DUMMYFUNCTION("""COMPUTED_VALUE"""),4)</f>
        <v>4</v>
      </c>
      <c r="I989" s="97">
        <f ca="1">IFERROR(__xludf.DUMMYFUNCTION("""COMPUTED_VALUE"""),46160)</f>
        <v>46160</v>
      </c>
      <c r="J989" s="98" t="str">
        <f ca="1">IFERROR(__xludf.DUMMYFUNCTION("""COMPUTED_VALUE"""),"CW33842_May26")</f>
        <v>CW33842_May26</v>
      </c>
      <c r="K989" s="99" t="str">
        <f ca="1">IFERROR(__xludf.DUMMYFUNCTION("""COMPUTED_VALUE"""),"HoM Approved")</f>
        <v>HoM Approved</v>
      </c>
    </row>
    <row r="990" spans="1:11" ht="13.2">
      <c r="A990" s="89" t="str">
        <f ca="1">IFERROR(__xludf.DUMMYFUNCTION("""COMPUTED_VALUE"""),"PRAN Jelly")</f>
        <v>PRAN Jelly</v>
      </c>
      <c r="B990" s="90" t="str">
        <f ca="1">IFERROR(__xludf.DUMMYFUNCTION("""COMPUTED_VALUE"""),"PAL")</f>
        <v>PAL</v>
      </c>
      <c r="C990" s="91" t="str">
        <f ca="1">IFERROR(__xludf.DUMMYFUNCTION("""COMPUTED_VALUE"""),"Rakib Vai")</f>
        <v>Rakib Vai</v>
      </c>
      <c r="D990" s="92" t="str">
        <f ca="1">IFERROR(__xludf.DUMMYFUNCTION("""COMPUTED_VALUE"""),"Masud Parvez Sani (S223034)")</f>
        <v>Masud Parvez Sani (S223034)</v>
      </c>
      <c r="E990" s="93" t="str">
        <f ca="1">IFERROR(__xludf.DUMMYFUNCTION("""COMPUTED_VALUE"""),"CB24439_May26")</f>
        <v>CB24439_May26</v>
      </c>
      <c r="F990" s="94" t="str">
        <f ca="1">IFERROR(__xludf.DUMMYFUNCTION("""COMPUTED_VALUE"""),"Carton Design")</f>
        <v>Carton Design</v>
      </c>
      <c r="G990" s="95" t="str">
        <f ca="1">IFERROR(__xludf.DUMMYFUNCTION("""COMPUTED_VALUE"""),"New")</f>
        <v>New</v>
      </c>
      <c r="H990" s="96">
        <f ca="1">IFERROR(__xludf.DUMMYFUNCTION("""COMPUTED_VALUE"""),4)</f>
        <v>4</v>
      </c>
      <c r="I990" s="97">
        <f ca="1">IFERROR(__xludf.DUMMYFUNCTION("""COMPUTED_VALUE"""),46160)</f>
        <v>46160</v>
      </c>
      <c r="J990" s="98" t="str">
        <f ca="1">IFERROR(__xludf.DUMMYFUNCTION("""COMPUTED_VALUE"""),"CW33845_May26")</f>
        <v>CW33845_May26</v>
      </c>
      <c r="K990" s="99" t="str">
        <f ca="1">IFERROR(__xludf.DUMMYFUNCTION("""COMPUTED_VALUE"""),"HoM Approved")</f>
        <v>HoM Approved</v>
      </c>
    </row>
    <row r="991" spans="1:11" ht="13.2">
      <c r="A991" s="89" t="str">
        <f ca="1">IFERROR(__xludf.DUMMYFUNCTION("""COMPUTED_VALUE"""),"PRAN Ball Gum")</f>
        <v>PRAN Ball Gum</v>
      </c>
      <c r="B991" s="90" t="str">
        <f ca="1">IFERROR(__xludf.DUMMYFUNCTION("""COMPUTED_VALUE"""),"PCL")</f>
        <v>PCL</v>
      </c>
      <c r="C991" s="91" t="str">
        <f ca="1">IFERROR(__xludf.DUMMYFUNCTION("""COMPUTED_VALUE"""),"Rakib Vai")</f>
        <v>Rakib Vai</v>
      </c>
      <c r="D991" s="92" t="str">
        <f ca="1">IFERROR(__xludf.DUMMYFUNCTION("""COMPUTED_VALUE"""),"Masud Parvez Sani (S223034)")</f>
        <v>Masud Parvez Sani (S223034)</v>
      </c>
      <c r="E991" s="93" t="str">
        <f ca="1">IFERROR(__xludf.DUMMYFUNCTION("""COMPUTED_VALUE"""),"CB24438_May26")</f>
        <v>CB24438_May26</v>
      </c>
      <c r="F991" s="94" t="str">
        <f ca="1">IFERROR(__xludf.DUMMYFUNCTION("""COMPUTED_VALUE"""),"Packaging Text Design #1")</f>
        <v>Packaging Text Design #1</v>
      </c>
      <c r="G991" s="95" t="str">
        <f ca="1">IFERROR(__xludf.DUMMYFUNCTION("""COMPUTED_VALUE"""),"New")</f>
        <v>New</v>
      </c>
      <c r="H991" s="96">
        <f ca="1">IFERROR(__xludf.DUMMYFUNCTION("""COMPUTED_VALUE"""),1)</f>
        <v>1</v>
      </c>
      <c r="I991" s="97">
        <f ca="1">IFERROR(__xludf.DUMMYFUNCTION("""COMPUTED_VALUE"""),46160)</f>
        <v>46160</v>
      </c>
      <c r="J991" s="98" t="str">
        <f ca="1">IFERROR(__xludf.DUMMYFUNCTION("""COMPUTED_VALUE"""),"CW33842_May26")</f>
        <v>CW33842_May26</v>
      </c>
      <c r="K991" s="99" t="str">
        <f ca="1">IFERROR(__xludf.DUMMYFUNCTION("""COMPUTED_VALUE"""),"HoM Approved")</f>
        <v>HoM Approved</v>
      </c>
    </row>
    <row r="992" spans="1:11" ht="13.2">
      <c r="A992" s="89" t="str">
        <f ca="1">IFERROR(__xludf.DUMMYFUNCTION("""COMPUTED_VALUE"""),"PRAN Jelly")</f>
        <v>PRAN Jelly</v>
      </c>
      <c r="B992" s="90" t="str">
        <f ca="1">IFERROR(__xludf.DUMMYFUNCTION("""COMPUTED_VALUE"""),"PAL")</f>
        <v>PAL</v>
      </c>
      <c r="C992" s="91" t="str">
        <f ca="1">IFERROR(__xludf.DUMMYFUNCTION("""COMPUTED_VALUE"""),"Rakib Vai")</f>
        <v>Rakib Vai</v>
      </c>
      <c r="D992" s="92" t="str">
        <f ca="1">IFERROR(__xludf.DUMMYFUNCTION("""COMPUTED_VALUE"""),"Masud Parvez Sani (S223034)")</f>
        <v>Masud Parvez Sani (S223034)</v>
      </c>
      <c r="E992" s="93" t="str">
        <f ca="1">IFERROR(__xludf.DUMMYFUNCTION("""COMPUTED_VALUE"""),"CB24439_May26")</f>
        <v>CB24439_May26</v>
      </c>
      <c r="F992" s="94" t="str">
        <f ca="1">IFERROR(__xludf.DUMMYFUNCTION("""COMPUTED_VALUE"""),"Packaging Text Design #1")</f>
        <v>Packaging Text Design #1</v>
      </c>
      <c r="G992" s="95" t="str">
        <f ca="1">IFERROR(__xludf.DUMMYFUNCTION("""COMPUTED_VALUE"""),"New")</f>
        <v>New</v>
      </c>
      <c r="H992" s="96">
        <f ca="1">IFERROR(__xludf.DUMMYFUNCTION("""COMPUTED_VALUE"""),1)</f>
        <v>1</v>
      </c>
      <c r="I992" s="97">
        <f ca="1">IFERROR(__xludf.DUMMYFUNCTION("""COMPUTED_VALUE"""),46160)</f>
        <v>46160</v>
      </c>
      <c r="J992" s="98" t="str">
        <f ca="1">IFERROR(__xludf.DUMMYFUNCTION("""COMPUTED_VALUE"""),"CW33845_May26")</f>
        <v>CW33845_May26</v>
      </c>
      <c r="K992" s="99" t="str">
        <f ca="1">IFERROR(__xludf.DUMMYFUNCTION("""COMPUTED_VALUE"""),"HoM Approved")</f>
        <v>HoM Approved</v>
      </c>
    </row>
    <row r="993" spans="1:11" ht="13.2">
      <c r="A993" s="89" t="str">
        <f ca="1">IFERROR(__xludf.DUMMYFUNCTION("""COMPUTED_VALUE"""),"PRAN Chutney")</f>
        <v>PRAN Chutney</v>
      </c>
      <c r="B993" s="90" t="str">
        <f ca="1">IFERROR(__xludf.DUMMYFUNCTION("""COMPUTED_VALUE"""),"PAL")</f>
        <v>PAL</v>
      </c>
      <c r="C993" s="91" t="str">
        <f ca="1">IFERROR(__xludf.DUMMYFUNCTION("""COMPUTED_VALUE"""),"Saifullah Vai")</f>
        <v>Saifullah Vai</v>
      </c>
      <c r="D993" s="92" t="str">
        <f ca="1">IFERROR(__xludf.DUMMYFUNCTION("""COMPUTED_VALUE"""),"Masud Parvez Sani (S223034)")</f>
        <v>Masud Parvez Sani (S223034)</v>
      </c>
      <c r="E993" s="93" t="str">
        <f ca="1">IFERROR(__xludf.DUMMYFUNCTION("""COMPUTED_VALUE"""),"CB21807_Apr26")</f>
        <v>CB21807_Apr26</v>
      </c>
      <c r="F993" s="94" t="str">
        <f ca="1">IFERROR(__xludf.DUMMYFUNCTION("""COMPUTED_VALUE"""),"Packaging Text Design #1")</f>
        <v>Packaging Text Design #1</v>
      </c>
      <c r="G993" s="95" t="str">
        <f ca="1">IFERROR(__xludf.DUMMYFUNCTION("""COMPUTED_VALUE"""),"New")</f>
        <v>New</v>
      </c>
      <c r="H993" s="96">
        <f ca="1">IFERROR(__xludf.DUMMYFUNCTION("""COMPUTED_VALUE"""),1)</f>
        <v>1</v>
      </c>
      <c r="I993" s="97">
        <f ca="1">IFERROR(__xludf.DUMMYFUNCTION("""COMPUTED_VALUE"""),46160)</f>
        <v>46160</v>
      </c>
      <c r="J993" s="98" t="str">
        <f ca="1">IFERROR(__xludf.DUMMYFUNCTION("""COMPUTED_VALUE"""),"CW33872_May26")</f>
        <v>CW33872_May26</v>
      </c>
      <c r="K993" s="99" t="str">
        <f ca="1">IFERROR(__xludf.DUMMYFUNCTION("""COMPUTED_VALUE"""),"HoM Approved")</f>
        <v>HoM Approved</v>
      </c>
    </row>
    <row r="994" spans="1:11" ht="13.2">
      <c r="A994" s="89" t="str">
        <f ca="1">IFERROR(__xludf.DUMMYFUNCTION("""COMPUTED_VALUE"""),"Common - India Export")</f>
        <v>Common - India Export</v>
      </c>
      <c r="B994" s="90" t="str">
        <f ca="1">IFERROR(__xludf.DUMMYFUNCTION("""COMPUTED_VALUE"""),"India")</f>
        <v>India</v>
      </c>
      <c r="C994" s="91" t="str">
        <f ca="1">IFERROR(__xludf.DUMMYFUNCTION("""COMPUTED_VALUE"""),"Saifullah Vai")</f>
        <v>Saifullah Vai</v>
      </c>
      <c r="D994" s="92" t="str">
        <f ca="1">IFERROR(__xludf.DUMMYFUNCTION("""COMPUTED_VALUE"""),"Masud Parvez Sani (S223034)")</f>
        <v>Masud Parvez Sani (S223034)</v>
      </c>
      <c r="E994" s="93" t="str">
        <f ca="1">IFERROR(__xludf.DUMMYFUNCTION("""COMPUTED_VALUE"""),"CB22470_Apr26")</f>
        <v>CB22470_Apr26</v>
      </c>
      <c r="F994" s="94" t="str">
        <f ca="1">IFERROR(__xludf.DUMMYFUNCTION("""COMPUTED_VALUE"""),"Packaging Text Design #1")</f>
        <v>Packaging Text Design #1</v>
      </c>
      <c r="G994" s="95" t="str">
        <f ca="1">IFERROR(__xludf.DUMMYFUNCTION("""COMPUTED_VALUE"""),"New")</f>
        <v>New</v>
      </c>
      <c r="H994" s="96">
        <f ca="1">IFERROR(__xludf.DUMMYFUNCTION("""COMPUTED_VALUE"""),1)</f>
        <v>1</v>
      </c>
      <c r="I994" s="97">
        <f ca="1">IFERROR(__xludf.DUMMYFUNCTION("""COMPUTED_VALUE"""),46161)</f>
        <v>46161</v>
      </c>
      <c r="J994" s="98" t="str">
        <f ca="1">IFERROR(__xludf.DUMMYFUNCTION("""COMPUTED_VALUE"""),"CW33971_May26")</f>
        <v>CW33971_May26</v>
      </c>
      <c r="K994" s="99" t="str">
        <f ca="1">IFERROR(__xludf.DUMMYFUNCTION("""COMPUTED_VALUE"""),"HoM Approved")</f>
        <v>HoM Approved</v>
      </c>
    </row>
    <row r="995" spans="1:11" ht="13.2">
      <c r="A995" s="89" t="str">
        <f ca="1">IFERROR(__xludf.DUMMYFUNCTION("""COMPUTED_VALUE"""),"Treat Coco Choco")</f>
        <v>Treat Coco Choco</v>
      </c>
      <c r="B995" s="90" t="str">
        <f ca="1">IFERROR(__xludf.DUMMYFUNCTION("""COMPUTED_VALUE"""),"PCL")</f>
        <v>PCL</v>
      </c>
      <c r="C995" s="91" t="str">
        <f ca="1">IFERROR(__xludf.DUMMYFUNCTION("""COMPUTED_VALUE"""),"Zahirul Vai")</f>
        <v>Zahirul Vai</v>
      </c>
      <c r="D995" s="92" t="str">
        <f ca="1">IFERROR(__xludf.DUMMYFUNCTION("""COMPUTED_VALUE"""),"Masud Parvez Sani (S223034)")</f>
        <v>Masud Parvez Sani (S223034)</v>
      </c>
      <c r="E995" s="93" t="str">
        <f ca="1">IFERROR(__xludf.DUMMYFUNCTION("""COMPUTED_VALUE"""),"CB24424_May26")</f>
        <v>CB24424_May26</v>
      </c>
      <c r="F995" s="94" t="str">
        <f ca="1">IFERROR(__xludf.DUMMYFUNCTION("""COMPUTED_VALUE"""),"Visiting/ ID Card design")</f>
        <v>Visiting/ ID Card design</v>
      </c>
      <c r="G995" s="95" t="str">
        <f ca="1">IFERROR(__xludf.DUMMYFUNCTION("""COMPUTED_VALUE"""),"New")</f>
        <v>New</v>
      </c>
      <c r="H995" s="96">
        <f ca="1">IFERROR(__xludf.DUMMYFUNCTION("""COMPUTED_VALUE"""),2)</f>
        <v>2</v>
      </c>
      <c r="I995" s="97">
        <f ca="1">IFERROR(__xludf.DUMMYFUNCTION("""COMPUTED_VALUE"""),46161)</f>
        <v>46161</v>
      </c>
      <c r="J995" s="98" t="str">
        <f ca="1">IFERROR(__xludf.DUMMYFUNCTION("""COMPUTED_VALUE"""),"CW34051_May26")</f>
        <v>CW34051_May26</v>
      </c>
      <c r="K995" s="99" t="str">
        <f ca="1">IFERROR(__xludf.DUMMYFUNCTION("""COMPUTED_VALUE"""),"HoM Approved")</f>
        <v>HoM Approved</v>
      </c>
    </row>
    <row r="996" spans="1:11" ht="13.2">
      <c r="A996" s="89" t="str">
        <f ca="1">IFERROR(__xludf.DUMMYFUNCTION("""COMPUTED_VALUE"""),"PRAN Oh Cake")</f>
        <v>PRAN Oh Cake</v>
      </c>
      <c r="B996" s="90" t="str">
        <f ca="1">IFERROR(__xludf.DUMMYFUNCTION("""COMPUTED_VALUE"""),"Malaysia")</f>
        <v>Malaysia</v>
      </c>
      <c r="C996" s="91" t="str">
        <f ca="1">IFERROR(__xludf.DUMMYFUNCTION("""COMPUTED_VALUE"""),"Mona Apu")</f>
        <v>Mona Apu</v>
      </c>
      <c r="D996" s="92" t="str">
        <f ca="1">IFERROR(__xludf.DUMMYFUNCTION("""COMPUTED_VALUE"""),"Masud Parvez Sani (S223034)")</f>
        <v>Masud Parvez Sani (S223034)</v>
      </c>
      <c r="E996" s="93" t="str">
        <f ca="1">IFERROR(__xludf.DUMMYFUNCTION("""COMPUTED_VALUE"""),"CB19247_Mar26")</f>
        <v>CB19247_Mar26</v>
      </c>
      <c r="F996" s="94" t="str">
        <f ca="1">IFERROR(__xludf.DUMMYFUNCTION("""COMPUTED_VALUE"""),"Carton Design")</f>
        <v>Carton Design</v>
      </c>
      <c r="G996" s="95" t="str">
        <f ca="1">IFERROR(__xludf.DUMMYFUNCTION("""COMPUTED_VALUE"""),"New")</f>
        <v>New</v>
      </c>
      <c r="H996" s="96">
        <f ca="1">IFERROR(__xludf.DUMMYFUNCTION("""COMPUTED_VALUE"""),4)</f>
        <v>4</v>
      </c>
      <c r="I996" s="97">
        <f ca="1">IFERROR(__xludf.DUMMYFUNCTION("""COMPUTED_VALUE"""),46162)</f>
        <v>46162</v>
      </c>
      <c r="J996" s="98" t="str">
        <f ca="1">IFERROR(__xludf.DUMMYFUNCTION("""COMPUTED_VALUE"""),"CW34131_May26")</f>
        <v>CW34131_May26</v>
      </c>
      <c r="K996" s="99" t="str">
        <f ca="1">IFERROR(__xludf.DUMMYFUNCTION("""COMPUTED_VALUE"""),"HoM Approved")</f>
        <v>HoM Approved</v>
      </c>
    </row>
    <row r="997" spans="1:11" ht="13.2">
      <c r="A997" s="89" t="str">
        <f ca="1">IFERROR(__xludf.DUMMYFUNCTION("""COMPUTED_VALUE"""),"PRAN Ball Gum")</f>
        <v>PRAN Ball Gum</v>
      </c>
      <c r="B997" s="90" t="str">
        <f ca="1">IFERROR(__xludf.DUMMYFUNCTION("""COMPUTED_VALUE"""),"PCL")</f>
        <v>PCL</v>
      </c>
      <c r="C997" s="91" t="str">
        <f ca="1">IFERROR(__xludf.DUMMYFUNCTION("""COMPUTED_VALUE"""),"Rakib Vai")</f>
        <v>Rakib Vai</v>
      </c>
      <c r="D997" s="92" t="str">
        <f ca="1">IFERROR(__xludf.DUMMYFUNCTION("""COMPUTED_VALUE"""),"Masud Parvez Sani (S223034)")</f>
        <v>Masud Parvez Sani (S223034)</v>
      </c>
      <c r="E997" s="93" t="str">
        <f ca="1">IFERROR(__xludf.DUMMYFUNCTION("""COMPUTED_VALUE"""),"CB24744_May26")</f>
        <v>CB24744_May26</v>
      </c>
      <c r="F997" s="94" t="str">
        <f ca="1">IFERROR(__xludf.DUMMYFUNCTION("""COMPUTED_VALUE"""),"Carton Design")</f>
        <v>Carton Design</v>
      </c>
      <c r="G997" s="95" t="str">
        <f ca="1">IFERROR(__xludf.DUMMYFUNCTION("""COMPUTED_VALUE"""),"New")</f>
        <v>New</v>
      </c>
      <c r="H997" s="96">
        <f ca="1">IFERROR(__xludf.DUMMYFUNCTION("""COMPUTED_VALUE"""),4)</f>
        <v>4</v>
      </c>
      <c r="I997" s="97">
        <f ca="1">IFERROR(__xludf.DUMMYFUNCTION("""COMPUTED_VALUE"""),46162)</f>
        <v>46162</v>
      </c>
      <c r="J997" s="98" t="str">
        <f ca="1">IFERROR(__xludf.DUMMYFUNCTION("""COMPUTED_VALUE"""),"CW34202_May26")</f>
        <v>CW34202_May26</v>
      </c>
      <c r="K997" s="99" t="str">
        <f ca="1">IFERROR(__xludf.DUMMYFUNCTION("""COMPUTED_VALUE"""),"HoM Approved")</f>
        <v>HoM Approved</v>
      </c>
    </row>
    <row r="998" spans="1:11" ht="13.2">
      <c r="A998" s="89" t="str">
        <f ca="1">IFERROR(__xludf.DUMMYFUNCTION("""COMPUTED_VALUE"""),"PRAN Ball Gum")</f>
        <v>PRAN Ball Gum</v>
      </c>
      <c r="B998" s="90" t="str">
        <f ca="1">IFERROR(__xludf.DUMMYFUNCTION("""COMPUTED_VALUE"""),"PCL")</f>
        <v>PCL</v>
      </c>
      <c r="C998" s="91" t="str">
        <f ca="1">IFERROR(__xludf.DUMMYFUNCTION("""COMPUTED_VALUE"""),"Rakib Vai")</f>
        <v>Rakib Vai</v>
      </c>
      <c r="D998" s="92" t="str">
        <f ca="1">IFERROR(__xludf.DUMMYFUNCTION("""COMPUTED_VALUE"""),"Masud Parvez Sani (S223034)")</f>
        <v>Masud Parvez Sani (S223034)</v>
      </c>
      <c r="E998" s="93" t="str">
        <f ca="1">IFERROR(__xludf.DUMMYFUNCTION("""COMPUTED_VALUE"""),"CB24744_May26")</f>
        <v>CB24744_May26</v>
      </c>
      <c r="F998" s="94" t="str">
        <f ca="1">IFERROR(__xludf.DUMMYFUNCTION("""COMPUTED_VALUE"""),"Packaging Text Design #1")</f>
        <v>Packaging Text Design #1</v>
      </c>
      <c r="G998" s="95" t="str">
        <f ca="1">IFERROR(__xludf.DUMMYFUNCTION("""COMPUTED_VALUE"""),"New")</f>
        <v>New</v>
      </c>
      <c r="H998" s="96">
        <f ca="1">IFERROR(__xludf.DUMMYFUNCTION("""COMPUTED_VALUE"""),1)</f>
        <v>1</v>
      </c>
      <c r="I998" s="97">
        <f ca="1">IFERROR(__xludf.DUMMYFUNCTION("""COMPUTED_VALUE"""),46162)</f>
        <v>46162</v>
      </c>
      <c r="J998" s="98" t="str">
        <f ca="1">IFERROR(__xludf.DUMMYFUNCTION("""COMPUTED_VALUE"""),"CW34202_May26")</f>
        <v>CW34202_May26</v>
      </c>
      <c r="K998" s="99" t="str">
        <f ca="1">IFERROR(__xludf.DUMMYFUNCTION("""COMPUTED_VALUE"""),"HoM Approved")</f>
        <v>HoM Approved</v>
      </c>
    </row>
    <row r="999" spans="1:11" ht="13.2">
      <c r="A999" s="89" t="str">
        <f ca="1">IFERROR(__xludf.DUMMYFUNCTION("""COMPUTED_VALUE"""),"PRAN Chewy")</f>
        <v>PRAN Chewy</v>
      </c>
      <c r="B999" s="90" t="str">
        <f ca="1">IFERROR(__xludf.DUMMYFUNCTION("""COMPUTED_VALUE"""),"PCL")</f>
        <v>PCL</v>
      </c>
      <c r="C999" s="91" t="str">
        <f ca="1">IFERROR(__xludf.DUMMYFUNCTION("""COMPUTED_VALUE"""),"Mona Apu")</f>
        <v>Mona Apu</v>
      </c>
      <c r="D999" s="92" t="str">
        <f ca="1">IFERROR(__xludf.DUMMYFUNCTION("""COMPUTED_VALUE"""),"Masud Parvez Sani (S223034)")</f>
        <v>Masud Parvez Sani (S223034)</v>
      </c>
      <c r="E999" s="93" t="str">
        <f ca="1">IFERROR(__xludf.DUMMYFUNCTION("""COMPUTED_VALUE"""),"CB21932_Apr26")</f>
        <v>CB21932_Apr26</v>
      </c>
      <c r="F999" s="94" t="str">
        <f ca="1">IFERROR(__xludf.DUMMYFUNCTION("""COMPUTED_VALUE"""),"Packaging Text Design #2")</f>
        <v>Packaging Text Design #2</v>
      </c>
      <c r="G999" s="95" t="str">
        <f ca="1">IFERROR(__xludf.DUMMYFUNCTION("""COMPUTED_VALUE"""),"New")</f>
        <v>New</v>
      </c>
      <c r="H999" s="96">
        <f ca="1">IFERROR(__xludf.DUMMYFUNCTION("""COMPUTED_VALUE"""),8)</f>
        <v>8</v>
      </c>
      <c r="I999" s="97">
        <f ca="1">IFERROR(__xludf.DUMMYFUNCTION("""COMPUTED_VALUE"""),46163)</f>
        <v>46163</v>
      </c>
      <c r="J999" s="98" t="str">
        <f ca="1">IFERROR(__xludf.DUMMYFUNCTION("""COMPUTED_VALUE"""),"CW34370_May26")</f>
        <v>CW34370_May26</v>
      </c>
      <c r="K999" s="99" t="str">
        <f ca="1">IFERROR(__xludf.DUMMYFUNCTION("""COMPUTED_VALUE"""),"HoM Approved")</f>
        <v>HoM Approved</v>
      </c>
    </row>
    <row r="1000" spans="1:11" ht="13.2">
      <c r="A1000" s="89" t="str">
        <f ca="1">IFERROR(__xludf.DUMMYFUNCTION("""COMPUTED_VALUE"""),"Common - All PAL")</f>
        <v>Common - All PAL</v>
      </c>
      <c r="B1000" s="90" t="str">
        <f ca="1">IFERROR(__xludf.DUMMYFUNCTION("""COMPUTED_VALUE"""),"PAL")</f>
        <v>PAL</v>
      </c>
      <c r="C1000" s="91" t="str">
        <f ca="1">IFERROR(__xludf.DUMMYFUNCTION("""COMPUTED_VALUE"""),"Farjana Apu")</f>
        <v>Farjana Apu</v>
      </c>
      <c r="D1000" s="92" t="str">
        <f ca="1">IFERROR(__xludf.DUMMYFUNCTION("""COMPUTED_VALUE"""),"Masud Parvez Sani (S223034)")</f>
        <v>Masud Parvez Sani (S223034)</v>
      </c>
      <c r="E1000" s="93" t="str">
        <f ca="1">IFERROR(__xludf.DUMMYFUNCTION("""COMPUTED_VALUE"""),"CB24743_May26")</f>
        <v>CB24743_May26</v>
      </c>
      <c r="F1000" s="94" t="str">
        <f ca="1">IFERROR(__xludf.DUMMYFUNCTION("""COMPUTED_VALUE"""),"Packaging Text Design #1")</f>
        <v>Packaging Text Design #1</v>
      </c>
      <c r="G1000" s="95" t="str">
        <f ca="1">IFERROR(__xludf.DUMMYFUNCTION("""COMPUTED_VALUE"""),"New")</f>
        <v>New</v>
      </c>
      <c r="H1000" s="96">
        <f ca="1">IFERROR(__xludf.DUMMYFUNCTION("""COMPUTED_VALUE"""),1)</f>
        <v>1</v>
      </c>
      <c r="I1000" s="97">
        <f ca="1">IFERROR(__xludf.DUMMYFUNCTION("""COMPUTED_VALUE"""),46164)</f>
        <v>46164</v>
      </c>
      <c r="J1000" s="98" t="str">
        <f ca="1">IFERROR(__xludf.DUMMYFUNCTION("""COMPUTED_VALUE"""),"CW34476_May26")</f>
        <v>CW34476_May26</v>
      </c>
      <c r="K1000" s="99" t="str">
        <f ca="1">IFERROR(__xludf.DUMMYFUNCTION("""COMPUTED_VALUE"""),"HoM Approved")</f>
        <v>HoM Approved</v>
      </c>
    </row>
    <row r="1001" spans="1:11" ht="13.2">
      <c r="A1001" s="89" t="str">
        <f ca="1">IFERROR(__xludf.DUMMYFUNCTION("""COMPUTED_VALUE"""),"HIP-ALL")</f>
        <v>HIP-ALL</v>
      </c>
      <c r="B1001" s="90" t="str">
        <f ca="1">IFERROR(__xludf.DUMMYFUNCTION("""COMPUTED_VALUE"""),"Philippines")</f>
        <v>Philippines</v>
      </c>
      <c r="C1001" s="91" t="str">
        <f ca="1">IFERROR(__xludf.DUMMYFUNCTION("""COMPUTED_VALUE"""),"Farjana Apu")</f>
        <v>Farjana Apu</v>
      </c>
      <c r="D1001" s="92" t="str">
        <f ca="1">IFERROR(__xludf.DUMMYFUNCTION("""COMPUTED_VALUE"""),"Masud Parvez Sani (S223034)")</f>
        <v>Masud Parvez Sani (S223034)</v>
      </c>
      <c r="E1001" s="93" t="str">
        <f ca="1">IFERROR(__xludf.DUMMYFUNCTION("""COMPUTED_VALUE"""),"CB24733_May26")</f>
        <v>CB24733_May26</v>
      </c>
      <c r="F1001" s="94" t="str">
        <f ca="1">IFERROR(__xludf.DUMMYFUNCTION("""COMPUTED_VALUE"""),"Packaging Text Design #1")</f>
        <v>Packaging Text Design #1</v>
      </c>
      <c r="G1001" s="95" t="str">
        <f ca="1">IFERROR(__xludf.DUMMYFUNCTION("""COMPUTED_VALUE"""),"New")</f>
        <v>New</v>
      </c>
      <c r="H1001" s="96">
        <f ca="1">IFERROR(__xludf.DUMMYFUNCTION("""COMPUTED_VALUE"""),1)</f>
        <v>1</v>
      </c>
      <c r="I1001" s="97">
        <f ca="1">IFERROR(__xludf.DUMMYFUNCTION("""COMPUTED_VALUE"""),46164)</f>
        <v>46164</v>
      </c>
      <c r="J1001" s="98" t="str">
        <f ca="1">IFERROR(__xludf.DUMMYFUNCTION("""COMPUTED_VALUE"""),"CW34475_May26")</f>
        <v>CW34475_May26</v>
      </c>
      <c r="K1001" s="99" t="str">
        <f ca="1">IFERROR(__xludf.DUMMYFUNCTION("""COMPUTED_VALUE"""),"HoM Approved")</f>
        <v>HoM Approved</v>
      </c>
    </row>
    <row r="1002" spans="1:11" ht="13.2">
      <c r="A1002" s="89" t="str">
        <f ca="1">IFERROR(__xludf.DUMMYFUNCTION("""COMPUTED_VALUE"""),"PRAN Lollipop")</f>
        <v>PRAN Lollipop</v>
      </c>
      <c r="B1002" s="90" t="str">
        <f ca="1">IFERROR(__xludf.DUMMYFUNCTION("""COMPUTED_VALUE"""),"PCL")</f>
        <v>PCL</v>
      </c>
      <c r="C1002" s="91" t="str">
        <f ca="1">IFERROR(__xludf.DUMMYFUNCTION("""COMPUTED_VALUE"""),"Mona Apu")</f>
        <v>Mona Apu</v>
      </c>
      <c r="D1002" s="92" t="str">
        <f ca="1">IFERROR(__xludf.DUMMYFUNCTION("""COMPUTED_VALUE"""),"Masud Parvez Sani (S223034)")</f>
        <v>Masud Parvez Sani (S223034)</v>
      </c>
      <c r="E1002" s="93" t="str">
        <f ca="1">IFERROR(__xludf.DUMMYFUNCTION("""COMPUTED_VALUE"""),"CB19525_Mar26")</f>
        <v>CB19525_Mar26</v>
      </c>
      <c r="F1002" s="94" t="str">
        <f ca="1">IFERROR(__xludf.DUMMYFUNCTION("""COMPUTED_VALUE"""),"Packaging Text Design #2")</f>
        <v>Packaging Text Design #2</v>
      </c>
      <c r="G1002" s="95" t="str">
        <f ca="1">IFERROR(__xludf.DUMMYFUNCTION("""COMPUTED_VALUE"""),"New")</f>
        <v>New</v>
      </c>
      <c r="H1002" s="96">
        <f ca="1">IFERROR(__xludf.DUMMYFUNCTION("""COMPUTED_VALUE"""),1)</f>
        <v>1</v>
      </c>
      <c r="I1002" s="97">
        <f ca="1">IFERROR(__xludf.DUMMYFUNCTION("""COMPUTED_VALUE"""),46164)</f>
        <v>46164</v>
      </c>
      <c r="J1002" s="98" t="str">
        <f ca="1">IFERROR(__xludf.DUMMYFUNCTION("""COMPUTED_VALUE"""),"CW34473_May26")</f>
        <v>CW34473_May26</v>
      </c>
      <c r="K1002" s="99" t="str">
        <f ca="1">IFERROR(__xludf.DUMMYFUNCTION("""COMPUTED_VALUE"""),"HoM Approved")</f>
        <v>HoM Approved</v>
      </c>
    </row>
    <row r="1003" spans="1:11" ht="13.2">
      <c r="A1003" s="89" t="str">
        <f ca="1">IFERROR(__xludf.DUMMYFUNCTION("""COMPUTED_VALUE"""),"Tasty Treat")</f>
        <v>Tasty Treat</v>
      </c>
      <c r="B1003" s="90" t="str">
        <f ca="1">IFERROR(__xludf.DUMMYFUNCTION("""COMPUTED_VALUE"""),"Tasty Treat")</f>
        <v>Tasty Treat</v>
      </c>
      <c r="C1003" s="91" t="str">
        <f ca="1">IFERROR(__xludf.DUMMYFUNCTION("""COMPUTED_VALUE"""),"Nahian Vai")</f>
        <v>Nahian Vai</v>
      </c>
      <c r="D1003" s="92" t="str">
        <f ca="1">IFERROR(__xludf.DUMMYFUNCTION("""COMPUTED_VALUE"""),"Masud Parvez Sani (S223034)")</f>
        <v>Masud Parvez Sani (S223034)</v>
      </c>
      <c r="E1003" s="93" t="str">
        <f ca="1">IFERROR(__xludf.DUMMYFUNCTION("""COMPUTED_VALUE"""),"CB24328_May26")</f>
        <v>CB24328_May26</v>
      </c>
      <c r="F1003" s="94" t="str">
        <f ca="1">IFERROR(__xludf.DUMMYFUNCTION("""COMPUTED_VALUE"""),"Packaging Text Design #1")</f>
        <v>Packaging Text Design #1</v>
      </c>
      <c r="G1003" s="95" t="str">
        <f ca="1">IFERROR(__xludf.DUMMYFUNCTION("""COMPUTED_VALUE"""),"New")</f>
        <v>New</v>
      </c>
      <c r="H1003" s="96">
        <f ca="1">IFERROR(__xludf.DUMMYFUNCTION("""COMPUTED_VALUE"""),1)</f>
        <v>1</v>
      </c>
      <c r="I1003" s="97">
        <f ca="1">IFERROR(__xludf.DUMMYFUNCTION("""COMPUTED_VALUE"""),46165)</f>
        <v>46165</v>
      </c>
      <c r="J1003" s="98" t="str">
        <f ca="1">IFERROR(__xludf.DUMMYFUNCTION("""COMPUTED_VALUE"""),"CW34653_May26")</f>
        <v>CW34653_May26</v>
      </c>
      <c r="K1003" s="99" t="str">
        <f ca="1">IFERROR(__xludf.DUMMYFUNCTION("""COMPUTED_VALUE"""),"HoM Approved")</f>
        <v>HoM Approved</v>
      </c>
    </row>
    <row r="1004" spans="1:11" ht="13.2">
      <c r="A1004" s="89" t="str">
        <f ca="1">IFERROR(__xludf.DUMMYFUNCTION("""COMPUTED_VALUE"""),"Treat Chocolate")</f>
        <v>Treat Chocolate</v>
      </c>
      <c r="B1004" s="90" t="str">
        <f ca="1">IFERROR(__xludf.DUMMYFUNCTION("""COMPUTED_VALUE"""),"PCL")</f>
        <v>PCL</v>
      </c>
      <c r="C1004" s="91" t="str">
        <f ca="1">IFERROR(__xludf.DUMMYFUNCTION("""COMPUTED_VALUE"""),"Mona Apu")</f>
        <v>Mona Apu</v>
      </c>
      <c r="D1004" s="92" t="str">
        <f ca="1">IFERROR(__xludf.DUMMYFUNCTION("""COMPUTED_VALUE"""),"Masud Parvez Sani (S223034)")</f>
        <v>Masud Parvez Sani (S223034)</v>
      </c>
      <c r="E1004" s="93" t="str">
        <f ca="1">IFERROR(__xludf.DUMMYFUNCTION("""COMPUTED_VALUE"""),"CB25041_May26")</f>
        <v>CB25041_May26</v>
      </c>
      <c r="F1004" s="94" t="str">
        <f ca="1">IFERROR(__xludf.DUMMYFUNCTION("""COMPUTED_VALUE"""),"Packaging Text Design #2")</f>
        <v>Packaging Text Design #2</v>
      </c>
      <c r="G1004" s="95" t="str">
        <f ca="1">IFERROR(__xludf.DUMMYFUNCTION("""COMPUTED_VALUE"""),"New")</f>
        <v>New</v>
      </c>
      <c r="H1004" s="96">
        <f ca="1">IFERROR(__xludf.DUMMYFUNCTION("""COMPUTED_VALUE"""),4)</f>
        <v>4</v>
      </c>
      <c r="I1004" s="97">
        <f ca="1">IFERROR(__xludf.DUMMYFUNCTION("""COMPUTED_VALUE"""),46166)</f>
        <v>46166</v>
      </c>
      <c r="J1004" s="98" t="str">
        <f ca="1">IFERROR(__xludf.DUMMYFUNCTION("""COMPUTED_VALUE"""),"CW34863_May26")</f>
        <v>CW34863_May26</v>
      </c>
      <c r="K1004" s="99" t="str">
        <f ca="1">IFERROR(__xludf.DUMMYFUNCTION("""COMPUTED_VALUE"""),"HoM Approved")</f>
        <v>HoM Approved</v>
      </c>
    </row>
    <row r="1005" spans="1:11" ht="13.2">
      <c r="A1005" s="89" t="str">
        <f ca="1">IFERROR(__xludf.DUMMYFUNCTION("""COMPUTED_VALUE"""),"Pran Potata")</f>
        <v>Pran Potata</v>
      </c>
      <c r="B1005" s="90" t="str">
        <f ca="1">IFERROR(__xludf.DUMMYFUNCTION("""COMPUTED_VALUE"""),"BBL")</f>
        <v>BBL</v>
      </c>
      <c r="C1005" s="91" t="str">
        <f ca="1">IFERROR(__xludf.DUMMYFUNCTION("""COMPUTED_VALUE"""),"Mona Apu")</f>
        <v>Mona Apu</v>
      </c>
      <c r="D1005" s="92" t="str">
        <f ca="1">IFERROR(__xludf.DUMMYFUNCTION("""COMPUTED_VALUE"""),"Masud Parvez Sani (S223034)")</f>
        <v>Masud Parvez Sani (S223034)</v>
      </c>
      <c r="E1005" s="93" t="str">
        <f ca="1">IFERROR(__xludf.DUMMYFUNCTION("""COMPUTED_VALUE"""),"CB18705_Mar26")</f>
        <v>CB18705_Mar26</v>
      </c>
      <c r="F1005" s="94" t="str">
        <f ca="1">IFERROR(__xludf.DUMMYFUNCTION("""COMPUTED_VALUE"""),"Packaging Text Design #2")</f>
        <v>Packaging Text Design #2</v>
      </c>
      <c r="G1005" s="95" t="str">
        <f ca="1">IFERROR(__xludf.DUMMYFUNCTION("""COMPUTED_VALUE"""),"New")</f>
        <v>New</v>
      </c>
      <c r="H1005" s="96">
        <f ca="1">IFERROR(__xludf.DUMMYFUNCTION("""COMPUTED_VALUE"""),4)</f>
        <v>4</v>
      </c>
      <c r="I1005" s="97">
        <f ca="1">IFERROR(__xludf.DUMMYFUNCTION("""COMPUTED_VALUE"""),46166)</f>
        <v>46166</v>
      </c>
      <c r="J1005" s="98" t="str">
        <f ca="1">IFERROR(__xludf.DUMMYFUNCTION("""COMPUTED_VALUE"""),"CW34921_May26")</f>
        <v>CW34921_May26</v>
      </c>
      <c r="K1005" s="99" t="str">
        <f ca="1">IFERROR(__xludf.DUMMYFUNCTION("""COMPUTED_VALUE"""),"HoM Approved")</f>
        <v>HoM Approved</v>
      </c>
    </row>
    <row r="1006" spans="1:11" ht="13.2">
      <c r="A1006" s="89" t="str">
        <f ca="1">IFERROR(__xludf.DUMMYFUNCTION("""COMPUTED_VALUE"""),"PRAN Oh Cake")</f>
        <v>PRAN Oh Cake</v>
      </c>
      <c r="B1006" s="90" t="str">
        <f ca="1">IFERROR(__xludf.DUMMYFUNCTION("""COMPUTED_VALUE"""),"Malaysia")</f>
        <v>Malaysia</v>
      </c>
      <c r="C1006" s="91" t="str">
        <f ca="1">IFERROR(__xludf.DUMMYFUNCTION("""COMPUTED_VALUE"""),"Mona Apu")</f>
        <v>Mona Apu</v>
      </c>
      <c r="D1006" s="92" t="str">
        <f ca="1">IFERROR(__xludf.DUMMYFUNCTION("""COMPUTED_VALUE"""),"Masud Parvez Sani (S223034)")</f>
        <v>Masud Parvez Sani (S223034)</v>
      </c>
      <c r="E1006" s="93" t="str">
        <f ca="1">IFERROR(__xludf.DUMMYFUNCTION("""COMPUTED_VALUE"""),"CB19411_Mar26")</f>
        <v>CB19411_Mar26</v>
      </c>
      <c r="F1006" s="94" t="str">
        <f ca="1">IFERROR(__xludf.DUMMYFUNCTION("""COMPUTED_VALUE"""),"Packaging Text Design #2")</f>
        <v>Packaging Text Design #2</v>
      </c>
      <c r="G1006" s="95" t="str">
        <f ca="1">IFERROR(__xludf.DUMMYFUNCTION("""COMPUTED_VALUE"""),"New")</f>
        <v>New</v>
      </c>
      <c r="H1006" s="96">
        <f ca="1">IFERROR(__xludf.DUMMYFUNCTION("""COMPUTED_VALUE"""),2)</f>
        <v>2</v>
      </c>
      <c r="I1006" s="97">
        <f ca="1">IFERROR(__xludf.DUMMYFUNCTION("""COMPUTED_VALUE"""),46166)</f>
        <v>46166</v>
      </c>
      <c r="J1006" s="98" t="str">
        <f ca="1">IFERROR(__xludf.DUMMYFUNCTION("""COMPUTED_VALUE"""),"CW34925_May26")</f>
        <v>CW34925_May26</v>
      </c>
      <c r="K1006" s="99" t="str">
        <f ca="1">IFERROR(__xludf.DUMMYFUNCTION("""COMPUTED_VALUE"""),"HoM Approved")</f>
        <v>HoM Approved</v>
      </c>
    </row>
    <row r="1007" spans="1:11" ht="13.2">
      <c r="A1007" s="89" t="str">
        <f ca="1">IFERROR(__xludf.DUMMYFUNCTION("""COMPUTED_VALUE"""),"Pran Potata")</f>
        <v>Pran Potata</v>
      </c>
      <c r="B1007" s="90" t="str">
        <f ca="1">IFERROR(__xludf.DUMMYFUNCTION("""COMPUTED_VALUE"""),"BBL")</f>
        <v>BBL</v>
      </c>
      <c r="C1007" s="91" t="str">
        <f ca="1">IFERROR(__xludf.DUMMYFUNCTION("""COMPUTED_VALUE"""),"Rakib Vai")</f>
        <v>Rakib Vai</v>
      </c>
      <c r="D1007" s="92" t="str">
        <f ca="1">IFERROR(__xludf.DUMMYFUNCTION("""COMPUTED_VALUE"""),"Masud Parvez Sani (S223034)")</f>
        <v>Masud Parvez Sani (S223034)</v>
      </c>
      <c r="E1007" s="93" t="str">
        <f ca="1">IFERROR(__xludf.DUMMYFUNCTION("""COMPUTED_VALUE"""),"CB21686_Apr26")</f>
        <v>CB21686_Apr26</v>
      </c>
      <c r="F1007" s="94" t="str">
        <f ca="1">IFERROR(__xludf.DUMMYFUNCTION("""COMPUTED_VALUE"""),"Packaging Text Design #1")</f>
        <v>Packaging Text Design #1</v>
      </c>
      <c r="G1007" s="95" t="str">
        <f ca="1">IFERROR(__xludf.DUMMYFUNCTION("""COMPUTED_VALUE"""),"New")</f>
        <v>New</v>
      </c>
      <c r="H1007" s="96">
        <f ca="1">IFERROR(__xludf.DUMMYFUNCTION("""COMPUTED_VALUE"""),1)</f>
        <v>1</v>
      </c>
      <c r="I1007" s="97">
        <f ca="1">IFERROR(__xludf.DUMMYFUNCTION("""COMPUTED_VALUE"""),46166)</f>
        <v>46166</v>
      </c>
      <c r="J1007" s="98" t="str">
        <f ca="1">IFERROR(__xludf.DUMMYFUNCTION("""COMPUTED_VALUE"""),"CW34929_May26")</f>
        <v>CW34929_May26</v>
      </c>
      <c r="K1007" s="99" t="str">
        <f ca="1">IFERROR(__xludf.DUMMYFUNCTION("""COMPUTED_VALUE"""),"HoM Approved")</f>
        <v>HoM Approved</v>
      </c>
    </row>
    <row r="1008" spans="1:11" ht="13.2">
      <c r="A1008" s="89" t="str">
        <f ca="1">IFERROR(__xludf.DUMMYFUNCTION("""COMPUTED_VALUE"""),"PRAN Crunchy Wafer")</f>
        <v>PRAN Crunchy Wafer</v>
      </c>
      <c r="B1008" s="90" t="str">
        <f ca="1">IFERROR(__xludf.DUMMYFUNCTION("""COMPUTED_VALUE"""),"Malaysia")</f>
        <v>Malaysia</v>
      </c>
      <c r="C1008" s="91" t="str">
        <f ca="1">IFERROR(__xludf.DUMMYFUNCTION("""COMPUTED_VALUE"""),"Rakib Vai")</f>
        <v>Rakib Vai</v>
      </c>
      <c r="D1008" s="92" t="str">
        <f ca="1">IFERROR(__xludf.DUMMYFUNCTION("""COMPUTED_VALUE"""),"Masud Parvez Sani (S223034)")</f>
        <v>Masud Parvez Sani (S223034)</v>
      </c>
      <c r="E1008" s="93" t="str">
        <f ca="1">IFERROR(__xludf.DUMMYFUNCTION("""COMPUTED_VALUE"""),"CB19820_Mar26")</f>
        <v>CB19820_Mar26</v>
      </c>
      <c r="F1008" s="94" t="str">
        <f ca="1">IFERROR(__xludf.DUMMYFUNCTION("""COMPUTED_VALUE"""),"Packaging Text Design #1")</f>
        <v>Packaging Text Design #1</v>
      </c>
      <c r="G1008" s="95" t="str">
        <f ca="1">IFERROR(__xludf.DUMMYFUNCTION("""COMPUTED_VALUE"""),"New")</f>
        <v>New</v>
      </c>
      <c r="H1008" s="96">
        <f ca="1">IFERROR(__xludf.DUMMYFUNCTION("""COMPUTED_VALUE"""),4)</f>
        <v>4</v>
      </c>
      <c r="I1008" s="97">
        <f ca="1">IFERROR(__xludf.DUMMYFUNCTION("""COMPUTED_VALUE"""),46166)</f>
        <v>46166</v>
      </c>
      <c r="J1008" s="98" t="str">
        <f ca="1">IFERROR(__xludf.DUMMYFUNCTION("""COMPUTED_VALUE"""),"CW34931_May26")</f>
        <v>CW34931_May26</v>
      </c>
      <c r="K1008" s="99" t="str">
        <f ca="1">IFERROR(__xludf.DUMMYFUNCTION("""COMPUTED_VALUE"""),"HoM Approved")</f>
        <v>HoM Approved</v>
      </c>
    </row>
    <row r="1009" spans="1:11" ht="13.2">
      <c r="A1009" s="89" t="str">
        <f ca="1">IFERROR(__xludf.DUMMYFUNCTION("""COMPUTED_VALUE"""),"Bisk Club Coffee Bite")</f>
        <v>Bisk Club Coffee Bite</v>
      </c>
      <c r="B1009" s="90" t="str">
        <f ca="1">IFERROR(__xludf.DUMMYFUNCTION("""COMPUTED_VALUE"""),"BBL")</f>
        <v>BBL</v>
      </c>
      <c r="C1009" s="91" t="str">
        <f ca="1">IFERROR(__xludf.DUMMYFUNCTION("""COMPUTED_VALUE"""),"Zahirul Vai")</f>
        <v>Zahirul Vai</v>
      </c>
      <c r="D1009" s="92" t="str">
        <f ca="1">IFERROR(__xludf.DUMMYFUNCTION("""COMPUTED_VALUE"""),"Masud Parvez Sani (S223034)")</f>
        <v>Masud Parvez Sani (S223034)</v>
      </c>
      <c r="E1009" s="93" t="str">
        <f ca="1">IFERROR(__xludf.DUMMYFUNCTION("""COMPUTED_VALUE"""),"CB18702_Mar26")</f>
        <v>CB18702_Mar26</v>
      </c>
      <c r="F1009" s="94" t="str">
        <f ca="1">IFERROR(__xludf.DUMMYFUNCTION("""COMPUTED_VALUE"""),"Packaging Text Design #2")</f>
        <v>Packaging Text Design #2</v>
      </c>
      <c r="G1009" s="95" t="str">
        <f ca="1">IFERROR(__xludf.DUMMYFUNCTION("""COMPUTED_VALUE"""),"New")</f>
        <v>New</v>
      </c>
      <c r="H1009" s="96">
        <f ca="1">IFERROR(__xludf.DUMMYFUNCTION("""COMPUTED_VALUE"""),2)</f>
        <v>2</v>
      </c>
      <c r="I1009" s="97">
        <f ca="1">IFERROR(__xludf.DUMMYFUNCTION("""COMPUTED_VALUE"""),46166)</f>
        <v>46166</v>
      </c>
      <c r="J1009" s="98" t="str">
        <f ca="1">IFERROR(__xludf.DUMMYFUNCTION("""COMPUTED_VALUE"""),"CW34932_May26")</f>
        <v>CW34932_May26</v>
      </c>
      <c r="K1009" s="99" t="str">
        <f ca="1">IFERROR(__xludf.DUMMYFUNCTION("""COMPUTED_VALUE"""),"HoM Approved")</f>
        <v>HoM Approved</v>
      </c>
    </row>
    <row r="1010" spans="1:11" ht="13.2">
      <c r="A1010" s="89" t="str">
        <f ca="1">IFERROR(__xludf.DUMMYFUNCTION("""COMPUTED_VALUE"""),"PRAN Ball Gum")</f>
        <v>PRAN Ball Gum</v>
      </c>
      <c r="B1010" s="90" t="str">
        <f ca="1">IFERROR(__xludf.DUMMYFUNCTION("""COMPUTED_VALUE"""),"PCL")</f>
        <v>PCL</v>
      </c>
      <c r="C1010" s="91" t="str">
        <f ca="1">IFERROR(__xludf.DUMMYFUNCTION("""COMPUTED_VALUE"""),"Rakib Vai")</f>
        <v>Rakib Vai</v>
      </c>
      <c r="D1010" s="92" t="str">
        <f ca="1">IFERROR(__xludf.DUMMYFUNCTION("""COMPUTED_VALUE"""),"Masud Parvez Sani (S223034)")</f>
        <v>Masud Parvez Sani (S223034)</v>
      </c>
      <c r="E1010" s="93" t="str">
        <f ca="1">IFERROR(__xludf.DUMMYFUNCTION("""COMPUTED_VALUE"""),"CB24744_May26")</f>
        <v>CB24744_May26</v>
      </c>
      <c r="F1010" s="94" t="str">
        <f ca="1">IFERROR(__xludf.DUMMYFUNCTION("""COMPUTED_VALUE"""),"Packaging Text Design #1")</f>
        <v>Packaging Text Design #1</v>
      </c>
      <c r="G1010" s="95" t="str">
        <f ca="1">IFERROR(__xludf.DUMMYFUNCTION("""COMPUTED_VALUE"""),"New")</f>
        <v>New</v>
      </c>
      <c r="H1010" s="96">
        <f ca="1">IFERROR(__xludf.DUMMYFUNCTION("""COMPUTED_VALUE"""),1)</f>
        <v>1</v>
      </c>
      <c r="I1010" s="97">
        <f ca="1">IFERROR(__xludf.DUMMYFUNCTION("""COMPUTED_VALUE"""),46174)</f>
        <v>46174</v>
      </c>
      <c r="J1010" s="98" t="str">
        <f ca="1">IFERROR(__xludf.DUMMYFUNCTION("""COMPUTED_VALUE"""),"CW35284_Jun26")</f>
        <v>CW35284_Jun26</v>
      </c>
      <c r="K1010" s="99" t="str">
        <f ca="1">IFERROR(__xludf.DUMMYFUNCTION("""COMPUTED_VALUE"""),"HoM Approved")</f>
        <v>HoM Approved</v>
      </c>
    </row>
    <row r="1011" spans="1:11" ht="13.2">
      <c r="A1011" s="89" t="str">
        <f ca="1">IFERROR(__xludf.DUMMYFUNCTION("""COMPUTED_VALUE"""),"Divino Chocolate")</f>
        <v>Divino Chocolate</v>
      </c>
      <c r="B1011" s="90" t="str">
        <f ca="1">IFERROR(__xludf.DUMMYFUNCTION("""COMPUTED_VALUE"""),"PCL")</f>
        <v>PCL</v>
      </c>
      <c r="C1011" s="91" t="str">
        <f ca="1">IFERROR(__xludf.DUMMYFUNCTION("""COMPUTED_VALUE"""),"Rakib Vai")</f>
        <v>Rakib Vai</v>
      </c>
      <c r="D1011" s="92" t="str">
        <f ca="1">IFERROR(__xludf.DUMMYFUNCTION("""COMPUTED_VALUE"""),"Masud Parvez Sani (S223034)")</f>
        <v>Masud Parvez Sani (S223034)</v>
      </c>
      <c r="E1011" s="93" t="str">
        <f ca="1">IFERROR(__xludf.DUMMYFUNCTION("""COMPUTED_VALUE"""),"CB25224_May26")</f>
        <v>CB25224_May26</v>
      </c>
      <c r="F1011" s="94" t="str">
        <f ca="1">IFERROR(__xludf.DUMMYFUNCTION("""COMPUTED_VALUE"""),"Packaging Text Design #1")</f>
        <v>Packaging Text Design #1</v>
      </c>
      <c r="G1011" s="95" t="str">
        <f ca="1">IFERROR(__xludf.DUMMYFUNCTION("""COMPUTED_VALUE"""),"New")</f>
        <v>New</v>
      </c>
      <c r="H1011" s="96">
        <f ca="1">IFERROR(__xludf.DUMMYFUNCTION("""COMPUTED_VALUE"""),1)</f>
        <v>1</v>
      </c>
      <c r="I1011" s="97">
        <f ca="1">IFERROR(__xludf.DUMMYFUNCTION("""COMPUTED_VALUE"""),46175)</f>
        <v>46175</v>
      </c>
      <c r="J1011" s="98" t="str">
        <f ca="1">IFERROR(__xludf.DUMMYFUNCTION("""COMPUTED_VALUE"""),"CW35348_Jun26")</f>
        <v>CW35348_Jun26</v>
      </c>
      <c r="K1011" s="99" t="str">
        <f ca="1">IFERROR(__xludf.DUMMYFUNCTION("""COMPUTED_VALUE"""),"HoM Approved")</f>
        <v>HoM Approved</v>
      </c>
    </row>
    <row r="1012" spans="1:11" ht="13.2">
      <c r="A1012" s="89" t="str">
        <f ca="1">IFERROR(__xludf.DUMMYFUNCTION("""COMPUTED_VALUE"""),"Drinko Float")</f>
        <v>Drinko Float</v>
      </c>
      <c r="B1012" s="90" t="str">
        <f ca="1">IFERROR(__xludf.DUMMYFUNCTION("""COMPUTED_VALUE"""),"PBL")</f>
        <v>PBL</v>
      </c>
      <c r="C1012" s="91" t="str">
        <f ca="1">IFERROR(__xludf.DUMMYFUNCTION("""COMPUTED_VALUE"""),"Zahirul Vai")</f>
        <v>Zahirul Vai</v>
      </c>
      <c r="D1012" s="92" t="str">
        <f ca="1">IFERROR(__xludf.DUMMYFUNCTION("""COMPUTED_VALUE"""),"Masud Parvez Sani (S223034)")</f>
        <v>Masud Parvez Sani (S223034)</v>
      </c>
      <c r="E1012" s="93" t="str">
        <f ca="1">IFERROR(__xludf.DUMMYFUNCTION("""COMPUTED_VALUE"""),"CB25239_Jun26")</f>
        <v>CB25239_Jun26</v>
      </c>
      <c r="F1012" s="94" t="str">
        <f ca="1">IFERROR(__xludf.DUMMYFUNCTION("""COMPUTED_VALUE"""),"Black Cylinder Output")</f>
        <v>Black Cylinder Output</v>
      </c>
      <c r="G1012" s="95" t="str">
        <f ca="1">IFERROR(__xludf.DUMMYFUNCTION("""COMPUTED_VALUE"""),"New")</f>
        <v>New</v>
      </c>
      <c r="H1012" s="96">
        <f ca="1">IFERROR(__xludf.DUMMYFUNCTION("""COMPUTED_VALUE"""),6)</f>
        <v>6</v>
      </c>
      <c r="I1012" s="97">
        <f ca="1">IFERROR(__xludf.DUMMYFUNCTION("""COMPUTED_VALUE"""),46175)</f>
        <v>46175</v>
      </c>
      <c r="J1012" s="98" t="str">
        <f ca="1">IFERROR(__xludf.DUMMYFUNCTION("""COMPUTED_VALUE"""),"CW35331_Jun26")</f>
        <v>CW35331_Jun26</v>
      </c>
      <c r="K1012" s="99" t="str">
        <f ca="1">IFERROR(__xludf.DUMMYFUNCTION("""COMPUTED_VALUE"""),"HoM Approved")</f>
        <v>HoM Approved</v>
      </c>
    </row>
    <row r="1013" spans="1:11" ht="13.2">
      <c r="A1013" s="89" t="str">
        <f ca="1">IFERROR(__xludf.DUMMYFUNCTION("""COMPUTED_VALUE"""),"Drinko Float")</f>
        <v>Drinko Float</v>
      </c>
      <c r="B1013" s="90" t="str">
        <f ca="1">IFERROR(__xludf.DUMMYFUNCTION("""COMPUTED_VALUE"""),"PBL")</f>
        <v>PBL</v>
      </c>
      <c r="C1013" s="91" t="str">
        <f ca="1">IFERROR(__xludf.DUMMYFUNCTION("""COMPUTED_VALUE"""),"Zahirul Vai")</f>
        <v>Zahirul Vai</v>
      </c>
      <c r="D1013" s="92" t="str">
        <f ca="1">IFERROR(__xludf.DUMMYFUNCTION("""COMPUTED_VALUE"""),"Masud Parvez Sani (S223034)")</f>
        <v>Masud Parvez Sani (S223034)</v>
      </c>
      <c r="E1013" s="93" t="str">
        <f ca="1">IFERROR(__xludf.DUMMYFUNCTION("""COMPUTED_VALUE"""),"CB25239_Jun26")</f>
        <v>CB25239_Jun26</v>
      </c>
      <c r="F1013" s="94" t="str">
        <f ca="1">IFERROR(__xludf.DUMMYFUNCTION("""COMPUTED_VALUE"""),"Packaging Text Design #2")</f>
        <v>Packaging Text Design #2</v>
      </c>
      <c r="G1013" s="95" t="str">
        <f ca="1">IFERROR(__xludf.DUMMYFUNCTION("""COMPUTED_VALUE"""),"New")</f>
        <v>New</v>
      </c>
      <c r="H1013" s="96">
        <f ca="1">IFERROR(__xludf.DUMMYFUNCTION("""COMPUTED_VALUE"""),6)</f>
        <v>6</v>
      </c>
      <c r="I1013" s="97">
        <f ca="1">IFERROR(__xludf.DUMMYFUNCTION("""COMPUTED_VALUE"""),46175)</f>
        <v>46175</v>
      </c>
      <c r="J1013" s="98" t="str">
        <f ca="1">IFERROR(__xludf.DUMMYFUNCTION("""COMPUTED_VALUE"""),"CW35329_Jun26")</f>
        <v>CW35329_Jun26</v>
      </c>
      <c r="K1013" s="99" t="str">
        <f ca="1">IFERROR(__xludf.DUMMYFUNCTION("""COMPUTED_VALUE"""),"HoM Approved")</f>
        <v>HoM Approved</v>
      </c>
    </row>
    <row r="1014" spans="1:11" ht="13.2">
      <c r="A1014" s="89" t="str">
        <f ca="1">IFERROR(__xludf.DUMMYFUNCTION("""COMPUTED_VALUE"""),"Drinko Float")</f>
        <v>Drinko Float</v>
      </c>
      <c r="B1014" s="90" t="str">
        <f ca="1">IFERROR(__xludf.DUMMYFUNCTION("""COMPUTED_VALUE"""),"PBL")</f>
        <v>PBL</v>
      </c>
      <c r="C1014" s="91" t="str">
        <f ca="1">IFERROR(__xludf.DUMMYFUNCTION("""COMPUTED_VALUE"""),"Zahirul Vai")</f>
        <v>Zahirul Vai</v>
      </c>
      <c r="D1014" s="92" t="str">
        <f ca="1">IFERROR(__xludf.DUMMYFUNCTION("""COMPUTED_VALUE"""),"Masud Parvez Sani (S223034)")</f>
        <v>Masud Parvez Sani (S223034)</v>
      </c>
      <c r="E1014" s="93" t="str">
        <f ca="1">IFERROR(__xludf.DUMMYFUNCTION("""COMPUTED_VALUE"""),"CB25240_Jun26")</f>
        <v>CB25240_Jun26</v>
      </c>
      <c r="F1014" s="94" t="str">
        <f ca="1">IFERROR(__xludf.DUMMYFUNCTION("""COMPUTED_VALUE"""),"Text Sticker Design #1")</f>
        <v>Text Sticker Design #1</v>
      </c>
      <c r="G1014" s="95" t="str">
        <f ca="1">IFERROR(__xludf.DUMMYFUNCTION("""COMPUTED_VALUE"""),"New")</f>
        <v>New</v>
      </c>
      <c r="H1014" s="96">
        <f ca="1">IFERROR(__xludf.DUMMYFUNCTION("""COMPUTED_VALUE"""),6)</f>
        <v>6</v>
      </c>
      <c r="I1014" s="97">
        <f ca="1">IFERROR(__xludf.DUMMYFUNCTION("""COMPUTED_VALUE"""),46175)</f>
        <v>46175</v>
      </c>
      <c r="J1014" s="98" t="str">
        <f ca="1">IFERROR(__xludf.DUMMYFUNCTION("""COMPUTED_VALUE"""),"CW35332_Jun26")</f>
        <v>CW35332_Jun26</v>
      </c>
      <c r="K1014" s="99" t="str">
        <f ca="1">IFERROR(__xludf.DUMMYFUNCTION("""COMPUTED_VALUE"""),"HoM Approved")</f>
        <v>HoM Approved</v>
      </c>
    </row>
    <row r="1015" spans="1:11" ht="13.2">
      <c r="A1015" s="89" t="str">
        <f ca="1">IFERROR(__xludf.DUMMYFUNCTION("""COMPUTED_VALUE"""),"PRAN Lollipop Kulfi Caramel ")</f>
        <v xml:space="preserve">PRAN Lollipop Kulfi Caramel </v>
      </c>
      <c r="B1015" s="90" t="str">
        <f ca="1">IFERROR(__xludf.DUMMYFUNCTION("""COMPUTED_VALUE"""),"PCL")</f>
        <v>PCL</v>
      </c>
      <c r="C1015" s="91" t="str">
        <f ca="1">IFERROR(__xludf.DUMMYFUNCTION("""COMPUTED_VALUE"""),"Enamul Vai")</f>
        <v>Enamul Vai</v>
      </c>
      <c r="D1015" s="92" t="str">
        <f ca="1">IFERROR(__xludf.DUMMYFUNCTION("""COMPUTED_VALUE"""),"Masud Parvez Sani (S223034)")</f>
        <v>Masud Parvez Sani (S223034)</v>
      </c>
      <c r="E1015" s="93" t="str">
        <f ca="1">IFERROR(__xludf.DUMMYFUNCTION("""COMPUTED_VALUE"""),"CB19393_Mar26")</f>
        <v>CB19393_Mar26</v>
      </c>
      <c r="F1015" s="94" t="str">
        <f ca="1">IFERROR(__xludf.DUMMYFUNCTION("""COMPUTED_VALUE"""),"Packaging Text Design #1")</f>
        <v>Packaging Text Design #1</v>
      </c>
      <c r="G1015" s="95" t="str">
        <f ca="1">IFERROR(__xludf.DUMMYFUNCTION("""COMPUTED_VALUE"""),"New")</f>
        <v>New</v>
      </c>
      <c r="H1015" s="96">
        <f ca="1">IFERROR(__xludf.DUMMYFUNCTION("""COMPUTED_VALUE"""),4)</f>
        <v>4</v>
      </c>
      <c r="I1015" s="97"/>
      <c r="J1015" s="98" t="str">
        <f ca="1">IFERROR(__xludf.DUMMYFUNCTION("""COMPUTED_VALUE"""),"Unknown")</f>
        <v>Unknown</v>
      </c>
      <c r="K1015" s="99" t="str">
        <f ca="1">IFERROR(__xludf.DUMMYFUNCTION("""COMPUTED_VALUE"""),"Unknown")</f>
        <v>Unknown</v>
      </c>
    </row>
    <row r="1016" spans="1:11" ht="13.2">
      <c r="A1016" s="89" t="str">
        <f ca="1">IFERROR(__xludf.DUMMYFUNCTION("""COMPUTED_VALUE"""),"PRAN ORANGE FLAVOURED CREAM BISCITS")</f>
        <v>PRAN ORANGE FLAVOURED CREAM BISCITS</v>
      </c>
      <c r="B1016" s="90" t="str">
        <f ca="1">IFERROR(__xludf.DUMMYFUNCTION("""COMPUTED_VALUE"""),"BBML")</f>
        <v>BBML</v>
      </c>
      <c r="C1016" s="91" t="str">
        <f ca="1">IFERROR(__xludf.DUMMYFUNCTION("""COMPUTED_VALUE"""),"Fiza Apu")</f>
        <v>Fiza Apu</v>
      </c>
      <c r="D1016" s="92" t="str">
        <f ca="1">IFERROR(__xludf.DUMMYFUNCTION("""COMPUTED_VALUE"""),"Masud Parvez Sani (S223034)")</f>
        <v>Masud Parvez Sani (S223034)</v>
      </c>
      <c r="E1016" s="93" t="str">
        <f ca="1">IFERROR(__xludf.DUMMYFUNCTION("""COMPUTED_VALUE"""),"CB20524_Mar26")</f>
        <v>CB20524_Mar26</v>
      </c>
      <c r="F1016" s="94" t="str">
        <f ca="1">IFERROR(__xludf.DUMMYFUNCTION("""COMPUTED_VALUE"""),"Packaging Text Design #2")</f>
        <v>Packaging Text Design #2</v>
      </c>
      <c r="G1016" s="95" t="str">
        <f ca="1">IFERROR(__xludf.DUMMYFUNCTION("""COMPUTED_VALUE"""),"New")</f>
        <v>New</v>
      </c>
      <c r="H1016" s="96">
        <f ca="1">IFERROR(__xludf.DUMMYFUNCTION("""COMPUTED_VALUE"""),1)</f>
        <v>1</v>
      </c>
      <c r="I1016" s="97">
        <f ca="1">IFERROR(__xludf.DUMMYFUNCTION("""COMPUTED_VALUE"""),46186)</f>
        <v>46186</v>
      </c>
      <c r="J1016" s="98" t="str">
        <f ca="1">IFERROR(__xludf.DUMMYFUNCTION("""COMPUTED_VALUE"""),"CW36384_Jun26")</f>
        <v>CW36384_Jun26</v>
      </c>
      <c r="K1016" s="99" t="str">
        <f ca="1">IFERROR(__xludf.DUMMYFUNCTION("""COMPUTED_VALUE"""),"HoM Approved")</f>
        <v>HoM Approved</v>
      </c>
    </row>
    <row r="1017" spans="1:11" ht="13.2">
      <c r="A1017" s="89" t="str">
        <f ca="1">IFERROR(__xludf.DUMMYFUNCTION("""COMPUTED_VALUE"""),"Lentil Soup-Pack Design")</f>
        <v>Lentil Soup-Pack Design</v>
      </c>
      <c r="B1017" s="90" t="str">
        <f ca="1">IFERROR(__xludf.DUMMYFUNCTION("""COMPUTED_VALUE"""),"PAL")</f>
        <v>PAL</v>
      </c>
      <c r="C1017" s="91" t="str">
        <f ca="1">IFERROR(__xludf.DUMMYFUNCTION("""COMPUTED_VALUE"""),"Sumaiya Apu")</f>
        <v>Sumaiya Apu</v>
      </c>
      <c r="D1017" s="92" t="str">
        <f ca="1">IFERROR(__xludf.DUMMYFUNCTION("""COMPUTED_VALUE"""),"Masud Parvez Sani (S223034)")</f>
        <v>Masud Parvez Sani (S223034)</v>
      </c>
      <c r="E1017" s="93" t="str">
        <f ca="1">IFERROR(__xludf.DUMMYFUNCTION("""COMPUTED_VALUE"""),"CB21014_Apr26")</f>
        <v>CB21014_Apr26</v>
      </c>
      <c r="F1017" s="94" t="str">
        <f ca="1">IFERROR(__xludf.DUMMYFUNCTION("""COMPUTED_VALUE"""),"Packaging Text Design #2")</f>
        <v>Packaging Text Design #2</v>
      </c>
      <c r="G1017" s="95" t="str">
        <f ca="1">IFERROR(__xludf.DUMMYFUNCTION("""COMPUTED_VALUE"""),"New")</f>
        <v>New</v>
      </c>
      <c r="H1017" s="96">
        <f ca="1">IFERROR(__xludf.DUMMYFUNCTION("""COMPUTED_VALUE"""),1)</f>
        <v>1</v>
      </c>
      <c r="I1017" s="97"/>
      <c r="J1017" s="98" t="str">
        <f ca="1">IFERROR(__xludf.DUMMYFUNCTION("""COMPUTED_VALUE"""),"Unknown")</f>
        <v>Unknown</v>
      </c>
      <c r="K1017" s="99" t="str">
        <f ca="1">IFERROR(__xludf.DUMMYFUNCTION("""COMPUTED_VALUE"""),"Unknown")</f>
        <v>Unknown</v>
      </c>
    </row>
    <row r="1018" spans="1:11" ht="13.2">
      <c r="A1018" s="89" t="str">
        <f ca="1">IFERROR(__xludf.DUMMYFUNCTION("""COMPUTED_VALUE"""),"Treat Choco Stick  20g X 24 Pcs X 6 Tray ")</f>
        <v xml:space="preserve">Treat Choco Stick  20g X 24 Pcs X 6 Tray </v>
      </c>
      <c r="B1018" s="90" t="str">
        <f ca="1">IFERROR(__xludf.DUMMYFUNCTION("""COMPUTED_VALUE"""),"PCL")</f>
        <v>PCL</v>
      </c>
      <c r="C1018" s="91" t="str">
        <f ca="1">IFERROR(__xludf.DUMMYFUNCTION("""COMPUTED_VALUE"""),"Mona Apu")</f>
        <v>Mona Apu</v>
      </c>
      <c r="D1018" s="92" t="str">
        <f ca="1">IFERROR(__xludf.DUMMYFUNCTION("""COMPUTED_VALUE"""),"Masud Parvez Sani (S223034)")</f>
        <v>Masud Parvez Sani (S223034)</v>
      </c>
      <c r="E1018" s="93" t="str">
        <f ca="1">IFERROR(__xludf.DUMMYFUNCTION("""COMPUTED_VALUE"""),"CB21178_Apr26")</f>
        <v>CB21178_Apr26</v>
      </c>
      <c r="F1018" s="94" t="str">
        <f ca="1">IFERROR(__xludf.DUMMYFUNCTION("""COMPUTED_VALUE"""),"Carton Design")</f>
        <v>Carton Design</v>
      </c>
      <c r="G1018" s="95" t="str">
        <f ca="1">IFERROR(__xludf.DUMMYFUNCTION("""COMPUTED_VALUE"""),"New")</f>
        <v>New</v>
      </c>
      <c r="H1018" s="96">
        <f ca="1">IFERROR(__xludf.DUMMYFUNCTION("""COMPUTED_VALUE"""),1)</f>
        <v>1</v>
      </c>
      <c r="I1018" s="97"/>
      <c r="J1018" s="98" t="str">
        <f ca="1">IFERROR(__xludf.DUMMYFUNCTION("""COMPUTED_VALUE"""),"Unknown")</f>
        <v>Unknown</v>
      </c>
      <c r="K1018" s="99" t="str">
        <f ca="1">IFERROR(__xludf.DUMMYFUNCTION("""COMPUTED_VALUE"""),"Unknown")</f>
        <v>Unknown</v>
      </c>
    </row>
    <row r="1019" spans="1:11" ht="13.2">
      <c r="A1019" s="89" t="str">
        <f ca="1">IFERROR(__xludf.DUMMYFUNCTION("""COMPUTED_VALUE"""),"PRAN Bhujia Mix Pack Design for Export")</f>
        <v>PRAN Bhujia Mix Pack Design for Export</v>
      </c>
      <c r="B1019" s="90" t="str">
        <f ca="1">IFERROR(__xludf.DUMMYFUNCTION("""COMPUTED_VALUE"""),"PFL")</f>
        <v>PFL</v>
      </c>
      <c r="C1019" s="91" t="str">
        <f ca="1">IFERROR(__xludf.DUMMYFUNCTION("""COMPUTED_VALUE"""),"Shamrid Vaiya")</f>
        <v>Shamrid Vaiya</v>
      </c>
      <c r="D1019" s="92" t="str">
        <f ca="1">IFERROR(__xludf.DUMMYFUNCTION("""COMPUTED_VALUE"""),"Masud Parvez Sani (S223034)")</f>
        <v>Masud Parvez Sani (S223034)</v>
      </c>
      <c r="E1019" s="93" t="str">
        <f ca="1">IFERROR(__xludf.DUMMYFUNCTION("""COMPUTED_VALUE"""),"CB17258_Feb26")</f>
        <v>CB17258_Feb26</v>
      </c>
      <c r="F1019" s="94" t="str">
        <f ca="1">IFERROR(__xludf.DUMMYFUNCTION("""COMPUTED_VALUE"""),"Packaging Text Design #1")</f>
        <v>Packaging Text Design #1</v>
      </c>
      <c r="G1019" s="95" t="str">
        <f ca="1">IFERROR(__xludf.DUMMYFUNCTION("""COMPUTED_VALUE"""),"New")</f>
        <v>New</v>
      </c>
      <c r="H1019" s="96">
        <f ca="1">IFERROR(__xludf.DUMMYFUNCTION("""COMPUTED_VALUE"""),3)</f>
        <v>3</v>
      </c>
      <c r="I1019" s="97"/>
      <c r="J1019" s="98" t="str">
        <f ca="1">IFERROR(__xludf.DUMMYFUNCTION("""COMPUTED_VALUE"""),"Unknown")</f>
        <v>Unknown</v>
      </c>
      <c r="K1019" s="99" t="str">
        <f ca="1">IFERROR(__xludf.DUMMYFUNCTION("""COMPUTED_VALUE"""),"Unknown")</f>
        <v>Unknown</v>
      </c>
    </row>
    <row r="1020" spans="1:11" ht="13.2">
      <c r="A1020" s="89" t="str">
        <f ca="1">IFERROR(__xludf.DUMMYFUNCTION("""COMPUTED_VALUE"""),"Pran Oh Cake Pandan &amp; Strawberry Flavor")</f>
        <v>Pran Oh Cake Pandan &amp; Strawberry Flavor</v>
      </c>
      <c r="B1020" s="90" t="str">
        <f ca="1">IFERROR(__xludf.DUMMYFUNCTION("""COMPUTED_VALUE"""),"BBL")</f>
        <v>BBL</v>
      </c>
      <c r="C1020" s="91" t="str">
        <f ca="1">IFERROR(__xludf.DUMMYFUNCTION("""COMPUTED_VALUE"""),"Mona Apu")</f>
        <v>Mona Apu</v>
      </c>
      <c r="D1020" s="92" t="str">
        <f ca="1">IFERROR(__xludf.DUMMYFUNCTION("""COMPUTED_VALUE"""),"Masud Parvez Sani (S223034)")</f>
        <v>Masud Parvez Sani (S223034)</v>
      </c>
      <c r="E1020" s="93" t="str">
        <f ca="1">IFERROR(__xludf.DUMMYFUNCTION("""COMPUTED_VALUE"""),"CB21095_Apr26")</f>
        <v>CB21095_Apr26</v>
      </c>
      <c r="F1020" s="94" t="str">
        <f ca="1">IFERROR(__xludf.DUMMYFUNCTION("""COMPUTED_VALUE"""),"Carton Design")</f>
        <v>Carton Design</v>
      </c>
      <c r="G1020" s="95" t="str">
        <f ca="1">IFERROR(__xludf.DUMMYFUNCTION("""COMPUTED_VALUE"""),"New")</f>
        <v>New</v>
      </c>
      <c r="H1020" s="96">
        <f ca="1">IFERROR(__xludf.DUMMYFUNCTION("""COMPUTED_VALUE"""),2)</f>
        <v>2</v>
      </c>
      <c r="I1020" s="97">
        <f ca="1">IFERROR(__xludf.DUMMYFUNCTION("""COMPUTED_VALUE"""),46176)</f>
        <v>46176</v>
      </c>
      <c r="J1020" s="98" t="str">
        <f ca="1">IFERROR(__xludf.DUMMYFUNCTION("""COMPUTED_VALUE"""),"CW35431_Jun26")</f>
        <v>CW35431_Jun26</v>
      </c>
      <c r="K1020" s="99" t="str">
        <f ca="1">IFERROR(__xludf.DUMMYFUNCTION("""COMPUTED_VALUE"""),"HoM Approved")</f>
        <v>HoM Approved</v>
      </c>
    </row>
    <row r="1021" spans="1:11" ht="13.2">
      <c r="A1021" s="89" t="str">
        <f ca="1">IFERROR(__xludf.DUMMYFUNCTION("""COMPUTED_VALUE"""),"Pran Ice Lolly Assorted 78ml X 8 Pcs X 10 Pouch")</f>
        <v>Pran Ice Lolly Assorted 78ml X 8 Pcs X 10 Pouch</v>
      </c>
      <c r="B1021" s="90" t="str">
        <f ca="1">IFERROR(__xludf.DUMMYFUNCTION("""COMPUTED_VALUE"""),"PAL")</f>
        <v>PAL</v>
      </c>
      <c r="C1021" s="91" t="str">
        <f ca="1">IFERROR(__xludf.DUMMYFUNCTION("""COMPUTED_VALUE"""),"Mona Apu")</f>
        <v>Mona Apu</v>
      </c>
      <c r="D1021" s="92" t="str">
        <f ca="1">IFERROR(__xludf.DUMMYFUNCTION("""COMPUTED_VALUE"""),"Masud Parvez Sani (S223034)")</f>
        <v>Masud Parvez Sani (S223034)</v>
      </c>
      <c r="E1021" s="93" t="str">
        <f ca="1">IFERROR(__xludf.DUMMYFUNCTION("""COMPUTED_VALUE"""),"CB21765_Apr26")</f>
        <v>CB21765_Apr26</v>
      </c>
      <c r="F1021" s="94" t="str">
        <f ca="1">IFERROR(__xludf.DUMMYFUNCTION("""COMPUTED_VALUE"""),"Carton Design")</f>
        <v>Carton Design</v>
      </c>
      <c r="G1021" s="95" t="str">
        <f ca="1">IFERROR(__xludf.DUMMYFUNCTION("""COMPUTED_VALUE"""),"New")</f>
        <v>New</v>
      </c>
      <c r="H1021" s="96">
        <f ca="1">IFERROR(__xludf.DUMMYFUNCTION("""COMPUTED_VALUE"""),1)</f>
        <v>1</v>
      </c>
      <c r="I1021" s="97"/>
      <c r="J1021" s="98" t="str">
        <f ca="1">IFERROR(__xludf.DUMMYFUNCTION("""COMPUTED_VALUE"""),"Unknown")</f>
        <v>Unknown</v>
      </c>
      <c r="K1021" s="99" t="str">
        <f ca="1">IFERROR(__xludf.DUMMYFUNCTION("""COMPUTED_VALUE"""),"Unknown")</f>
        <v>Unknown</v>
      </c>
    </row>
    <row r="1022" spans="1:11" ht="13.2">
      <c r="A1022" s="89" t="str">
        <f ca="1">IFERROR(__xludf.DUMMYFUNCTION("""COMPUTED_VALUE"""),"Mayonnaise Africa")</f>
        <v>Mayonnaise Africa</v>
      </c>
      <c r="B1022" s="90" t="str">
        <f ca="1">IFERROR(__xludf.DUMMYFUNCTION("""COMPUTED_VALUE"""),"PAL")</f>
        <v>PAL</v>
      </c>
      <c r="C1022" s="91" t="str">
        <f ca="1">IFERROR(__xludf.DUMMYFUNCTION("""COMPUTED_VALUE"""),"Zahirul Vai")</f>
        <v>Zahirul Vai</v>
      </c>
      <c r="D1022" s="92" t="str">
        <f ca="1">IFERROR(__xludf.DUMMYFUNCTION("""COMPUTED_VALUE"""),"Masud Parvez Sani (S223034)")</f>
        <v>Masud Parvez Sani (S223034)</v>
      </c>
      <c r="E1022" s="93" t="str">
        <f ca="1">IFERROR(__xludf.DUMMYFUNCTION("""COMPUTED_VALUE"""),"CB21819_Apr26")</f>
        <v>CB21819_Apr26</v>
      </c>
      <c r="F1022" s="94" t="str">
        <f ca="1">IFERROR(__xludf.DUMMYFUNCTION("""COMPUTED_VALUE"""),"Packaging Text Design #2")</f>
        <v>Packaging Text Design #2</v>
      </c>
      <c r="G1022" s="95" t="str">
        <f ca="1">IFERROR(__xludf.DUMMYFUNCTION("""COMPUTED_VALUE"""),"New")</f>
        <v>New</v>
      </c>
      <c r="H1022" s="96">
        <f ca="1">IFERROR(__xludf.DUMMYFUNCTION("""COMPUTED_VALUE"""),1)</f>
        <v>1</v>
      </c>
      <c r="I1022" s="97"/>
      <c r="J1022" s="98" t="str">
        <f ca="1">IFERROR(__xludf.DUMMYFUNCTION("""COMPUTED_VALUE"""),"Unknown")</f>
        <v>Unknown</v>
      </c>
      <c r="K1022" s="99" t="str">
        <f ca="1">IFERROR(__xludf.DUMMYFUNCTION("""COMPUTED_VALUE"""),"Unknown")</f>
        <v>Unknown</v>
      </c>
    </row>
    <row r="1023" spans="1:11" ht="13.2">
      <c r="A1023" s="89" t="str">
        <f ca="1">IFERROR(__xludf.DUMMYFUNCTION("""COMPUTED_VALUE"""),"Ko-Lee Cup Noodles 65g")</f>
        <v>Ko-Lee Cup Noodles 65g</v>
      </c>
      <c r="B1023" s="90" t="str">
        <f ca="1">IFERROR(__xludf.DUMMYFUNCTION("""COMPUTED_VALUE"""),"PAL")</f>
        <v>PAL</v>
      </c>
      <c r="C1023" s="91" t="str">
        <f ca="1">IFERROR(__xludf.DUMMYFUNCTION("""COMPUTED_VALUE"""),"Saifullah Vai")</f>
        <v>Saifullah Vai</v>
      </c>
      <c r="D1023" s="92" t="str">
        <f ca="1">IFERROR(__xludf.DUMMYFUNCTION("""COMPUTED_VALUE"""),"Masud Parvez Sani (S223034)")</f>
        <v>Masud Parvez Sani (S223034)</v>
      </c>
      <c r="E1023" s="93" t="str">
        <f ca="1">IFERROR(__xludf.DUMMYFUNCTION("""COMPUTED_VALUE"""),"CB21510_Apr26")</f>
        <v>CB21510_Apr26</v>
      </c>
      <c r="F1023" s="94" t="str">
        <f ca="1">IFERROR(__xludf.DUMMYFUNCTION("""COMPUTED_VALUE"""),"Packaging Text Design #2")</f>
        <v>Packaging Text Design #2</v>
      </c>
      <c r="G1023" s="95" t="str">
        <f ca="1">IFERROR(__xludf.DUMMYFUNCTION("""COMPUTED_VALUE"""),"New")</f>
        <v>New</v>
      </c>
      <c r="H1023" s="96">
        <f ca="1">IFERROR(__xludf.DUMMYFUNCTION("""COMPUTED_VALUE"""),3)</f>
        <v>3</v>
      </c>
      <c r="I1023" s="97"/>
      <c r="J1023" s="98" t="str">
        <f ca="1">IFERROR(__xludf.DUMMYFUNCTION("""COMPUTED_VALUE"""),"Unknown")</f>
        <v>Unknown</v>
      </c>
      <c r="K1023" s="99" t="str">
        <f ca="1">IFERROR(__xludf.DUMMYFUNCTION("""COMPUTED_VALUE"""),"Unknown")</f>
        <v>Unknown</v>
      </c>
    </row>
    <row r="1024" spans="1:11" ht="13.2">
      <c r="A1024" s="89" t="str">
        <f ca="1">IFERROR(__xludf.DUMMYFUNCTION("""COMPUTED_VALUE"""),"PRAN Spice Powder")</f>
        <v>PRAN Spice Powder</v>
      </c>
      <c r="B1024" s="90" t="str">
        <f ca="1">IFERROR(__xludf.DUMMYFUNCTION("""COMPUTED_VALUE"""),"NAL")</f>
        <v>NAL</v>
      </c>
      <c r="C1024" s="91" t="str">
        <f ca="1">IFERROR(__xludf.DUMMYFUNCTION("""COMPUTED_VALUE"""),"Mona Apu")</f>
        <v>Mona Apu</v>
      </c>
      <c r="D1024" s="92" t="str">
        <f ca="1">IFERROR(__xludf.DUMMYFUNCTION("""COMPUTED_VALUE"""),"Masud Parvez Sani (S223034)")</f>
        <v>Masud Parvez Sani (S223034)</v>
      </c>
      <c r="E1024" s="93" t="str">
        <f ca="1">IFERROR(__xludf.DUMMYFUNCTION("""COMPUTED_VALUE"""),"CB22500_Apr26")</f>
        <v>CB22500_Apr26</v>
      </c>
      <c r="F1024" s="94" t="str">
        <f ca="1">IFERROR(__xludf.DUMMYFUNCTION("""COMPUTED_VALUE"""),"Packaging Text Design #2")</f>
        <v>Packaging Text Design #2</v>
      </c>
      <c r="G1024" s="95" t="str">
        <f ca="1">IFERROR(__xludf.DUMMYFUNCTION("""COMPUTED_VALUE"""),"New")</f>
        <v>New</v>
      </c>
      <c r="H1024" s="96">
        <f ca="1">IFERROR(__xludf.DUMMYFUNCTION("""COMPUTED_VALUE"""),3)</f>
        <v>3</v>
      </c>
      <c r="I1024" s="97"/>
      <c r="J1024" s="98" t="str">
        <f ca="1">IFERROR(__xludf.DUMMYFUNCTION("""COMPUTED_VALUE"""),"Unknown")</f>
        <v>Unknown</v>
      </c>
      <c r="K1024" s="99" t="str">
        <f ca="1">IFERROR(__xludf.DUMMYFUNCTION("""COMPUTED_VALUE"""),"Unknown")</f>
        <v>Unknown</v>
      </c>
    </row>
    <row r="1025" spans="1:11" ht="13.2">
      <c r="A1025" s="89" t="str">
        <f ca="1">IFERROR(__xludf.DUMMYFUNCTION("""COMPUTED_VALUE"""),"PRAN Frozen Foods")</f>
        <v>PRAN Frozen Foods</v>
      </c>
      <c r="B1025" s="90" t="str">
        <f ca="1">IFERROR(__xludf.DUMMYFUNCTION("""COMPUTED_VALUE"""),"PFF")</f>
        <v>PFF</v>
      </c>
      <c r="C1025" s="91" t="str">
        <f ca="1">IFERROR(__xludf.DUMMYFUNCTION("""COMPUTED_VALUE"""),"Mona Apu")</f>
        <v>Mona Apu</v>
      </c>
      <c r="D1025" s="92" t="str">
        <f ca="1">IFERROR(__xludf.DUMMYFUNCTION("""COMPUTED_VALUE"""),"Masud Parvez Sani (S223034)")</f>
        <v>Masud Parvez Sani (S223034)</v>
      </c>
      <c r="E1025" s="93" t="str">
        <f ca="1">IFERROR(__xludf.DUMMYFUNCTION("""COMPUTED_VALUE"""),"CB22597_Apr26")</f>
        <v>CB22597_Apr26</v>
      </c>
      <c r="F1025" s="94" t="str">
        <f ca="1">IFERROR(__xludf.DUMMYFUNCTION("""COMPUTED_VALUE"""),"Text Sticker Design #2")</f>
        <v>Text Sticker Design #2</v>
      </c>
      <c r="G1025" s="95" t="str">
        <f ca="1">IFERROR(__xludf.DUMMYFUNCTION("""COMPUTED_VALUE"""),"New")</f>
        <v>New</v>
      </c>
      <c r="H1025" s="96">
        <f ca="1">IFERROR(__xludf.DUMMYFUNCTION("""COMPUTED_VALUE"""),1)</f>
        <v>1</v>
      </c>
      <c r="I1025" s="97">
        <f ca="1">IFERROR(__xludf.DUMMYFUNCTION("""COMPUTED_VALUE"""),46179)</f>
        <v>46179</v>
      </c>
      <c r="J1025" s="98" t="str">
        <f ca="1">IFERROR(__xludf.DUMMYFUNCTION("""COMPUTED_VALUE"""),"CW35697_Jun26")</f>
        <v>CW35697_Jun26</v>
      </c>
      <c r="K1025" s="99" t="str">
        <f ca="1">IFERROR(__xludf.DUMMYFUNCTION("""COMPUTED_VALUE"""),"HoM Approved")</f>
        <v>HoM Approved</v>
      </c>
    </row>
    <row r="1026" spans="1:11" ht="13.2">
      <c r="A1026" s="89" t="str">
        <f ca="1">IFERROR(__xludf.DUMMYFUNCTION("""COMPUTED_VALUE"""),"Choco Choco")</f>
        <v>Choco Choco</v>
      </c>
      <c r="B1026" s="90" t="str">
        <f ca="1">IFERROR(__xludf.DUMMYFUNCTION("""COMPUTED_VALUE"""),"PCL")</f>
        <v>PCL</v>
      </c>
      <c r="C1026" s="91" t="str">
        <f ca="1">IFERROR(__xludf.DUMMYFUNCTION("""COMPUTED_VALUE"""),"Mona Apu")</f>
        <v>Mona Apu</v>
      </c>
      <c r="D1026" s="92" t="str">
        <f ca="1">IFERROR(__xludf.DUMMYFUNCTION("""COMPUTED_VALUE"""),"Masud Parvez Sani (S223034)")</f>
        <v>Masud Parvez Sani (S223034)</v>
      </c>
      <c r="E1026" s="93" t="str">
        <f ca="1">IFERROR(__xludf.DUMMYFUNCTION("""COMPUTED_VALUE"""),"CB22598_Apr26")</f>
        <v>CB22598_Apr26</v>
      </c>
      <c r="F1026" s="94" t="str">
        <f ca="1">IFERROR(__xludf.DUMMYFUNCTION("""COMPUTED_VALUE"""),"Packaging Text Design #2")</f>
        <v>Packaging Text Design #2</v>
      </c>
      <c r="G1026" s="95" t="str">
        <f ca="1">IFERROR(__xludf.DUMMYFUNCTION("""COMPUTED_VALUE"""),"New")</f>
        <v>New</v>
      </c>
      <c r="H1026" s="96">
        <f ca="1">IFERROR(__xludf.DUMMYFUNCTION("""COMPUTED_VALUE"""),1)</f>
        <v>1</v>
      </c>
      <c r="I1026" s="97">
        <f ca="1">IFERROR(__xludf.DUMMYFUNCTION("""COMPUTED_VALUE"""),46177)</f>
        <v>46177</v>
      </c>
      <c r="J1026" s="98" t="str">
        <f ca="1">IFERROR(__xludf.DUMMYFUNCTION("""COMPUTED_VALUE"""),"CW35586_Jun26")</f>
        <v>CW35586_Jun26</v>
      </c>
      <c r="K1026" s="99" t="str">
        <f ca="1">IFERROR(__xludf.DUMMYFUNCTION("""COMPUTED_VALUE"""),"HoM Approved")</f>
        <v>HoM Approved</v>
      </c>
    </row>
    <row r="1027" spans="1:11" ht="13.2">
      <c r="A1027" s="89" t="str">
        <f ca="1">IFERROR(__xludf.DUMMYFUNCTION("""COMPUTED_VALUE"""),"Drinko Float- Combodia")</f>
        <v>Drinko Float- Combodia</v>
      </c>
      <c r="B1027" s="90" t="str">
        <f ca="1">IFERROR(__xludf.DUMMYFUNCTION("""COMPUTED_VALUE"""),"PBL")</f>
        <v>PBL</v>
      </c>
      <c r="C1027" s="91" t="str">
        <f ca="1">IFERROR(__xludf.DUMMYFUNCTION("""COMPUTED_VALUE"""),"Mona Apu")</f>
        <v>Mona Apu</v>
      </c>
      <c r="D1027" s="92" t="str">
        <f ca="1">IFERROR(__xludf.DUMMYFUNCTION("""COMPUTED_VALUE"""),"Masud Parvez Sani (S223034)")</f>
        <v>Masud Parvez Sani (S223034)</v>
      </c>
      <c r="E1027" s="93" t="str">
        <f ca="1">IFERROR(__xludf.DUMMYFUNCTION("""COMPUTED_VALUE"""),"CB22766_Apr26")</f>
        <v>CB22766_Apr26</v>
      </c>
      <c r="F1027" s="94" t="str">
        <f ca="1">IFERROR(__xludf.DUMMYFUNCTION("""COMPUTED_VALUE"""),"Packaging Text Design #2")</f>
        <v>Packaging Text Design #2</v>
      </c>
      <c r="G1027" s="95" t="str">
        <f ca="1">IFERROR(__xludf.DUMMYFUNCTION("""COMPUTED_VALUE"""),"New")</f>
        <v>New</v>
      </c>
      <c r="H1027" s="96">
        <f ca="1">IFERROR(__xludf.DUMMYFUNCTION("""COMPUTED_VALUE"""),8)</f>
        <v>8</v>
      </c>
      <c r="I1027" s="97">
        <f ca="1">IFERROR(__xludf.DUMMYFUNCTION("""COMPUTED_VALUE"""),46191)</f>
        <v>46191</v>
      </c>
      <c r="J1027" s="98" t="str">
        <f ca="1">IFERROR(__xludf.DUMMYFUNCTION("""COMPUTED_VALUE"""),"CW37110_Jun26")</f>
        <v>CW37110_Jun26</v>
      </c>
      <c r="K1027" s="99" t="str">
        <f ca="1">IFERROR(__xludf.DUMMYFUNCTION("""COMPUTED_VALUE"""),"HoM Approved")</f>
        <v>HoM Approved</v>
      </c>
    </row>
    <row r="1028" spans="1:11" ht="13.2">
      <c r="A1028" s="89" t="str">
        <f ca="1">IFERROR(__xludf.DUMMYFUNCTION("""COMPUTED_VALUE"""),"Drinko Float- Vietnam")</f>
        <v>Drinko Float- Vietnam</v>
      </c>
      <c r="B1028" s="90" t="str">
        <f ca="1">IFERROR(__xludf.DUMMYFUNCTION("""COMPUTED_VALUE"""),"PBL")</f>
        <v>PBL</v>
      </c>
      <c r="C1028" s="91" t="str">
        <f ca="1">IFERROR(__xludf.DUMMYFUNCTION("""COMPUTED_VALUE"""),"Mona Apu")</f>
        <v>Mona Apu</v>
      </c>
      <c r="D1028" s="92" t="str">
        <f ca="1">IFERROR(__xludf.DUMMYFUNCTION("""COMPUTED_VALUE"""),"Masud Parvez Sani (S223034)")</f>
        <v>Masud Parvez Sani (S223034)</v>
      </c>
      <c r="E1028" s="93" t="str">
        <f ca="1">IFERROR(__xludf.DUMMYFUNCTION("""COMPUTED_VALUE"""),"CB22770_Apr26")</f>
        <v>CB22770_Apr26</v>
      </c>
      <c r="F1028" s="94" t="str">
        <f ca="1">IFERROR(__xludf.DUMMYFUNCTION("""COMPUTED_VALUE"""),"Packaging Text Design #2")</f>
        <v>Packaging Text Design #2</v>
      </c>
      <c r="G1028" s="95" t="str">
        <f ca="1">IFERROR(__xludf.DUMMYFUNCTION("""COMPUTED_VALUE"""),"New")</f>
        <v>New</v>
      </c>
      <c r="H1028" s="96">
        <f ca="1">IFERROR(__xludf.DUMMYFUNCTION("""COMPUTED_VALUE"""),6)</f>
        <v>6</v>
      </c>
      <c r="I1028" s="97">
        <f ca="1">IFERROR(__xludf.DUMMYFUNCTION("""COMPUTED_VALUE"""),46193)</f>
        <v>46193</v>
      </c>
      <c r="J1028" s="98" t="str">
        <f ca="1">IFERROR(__xludf.DUMMYFUNCTION("""COMPUTED_VALUE"""),"CW37230_Jun26")</f>
        <v>CW37230_Jun26</v>
      </c>
      <c r="K1028" s="99" t="str">
        <f ca="1">IFERROR(__xludf.DUMMYFUNCTION("""COMPUTED_VALUE"""),"HoM Approved")</f>
        <v>HoM Approved</v>
      </c>
    </row>
    <row r="1029" spans="1:11" ht="13.2">
      <c r="A1029" s="89" t="str">
        <f ca="1">IFERROR(__xludf.DUMMYFUNCTION("""COMPUTED_VALUE"""),"Danish Butter Cookies Design")</f>
        <v>Danish Butter Cookies Design</v>
      </c>
      <c r="B1029" s="90" t="str">
        <f ca="1">IFERROR(__xludf.DUMMYFUNCTION("""COMPUTED_VALUE"""),"Tasty Treat")</f>
        <v>Tasty Treat</v>
      </c>
      <c r="C1029" s="91" t="str">
        <f ca="1">IFERROR(__xludf.DUMMYFUNCTION("""COMPUTED_VALUE"""),"Shubhankar Vai")</f>
        <v>Shubhankar Vai</v>
      </c>
      <c r="D1029" s="92" t="str">
        <f ca="1">IFERROR(__xludf.DUMMYFUNCTION("""COMPUTED_VALUE"""),"Masud Parvez Sani (S223034)")</f>
        <v>Masud Parvez Sani (S223034)</v>
      </c>
      <c r="E1029" s="93" t="str">
        <f ca="1">IFERROR(__xludf.DUMMYFUNCTION("""COMPUTED_VALUE"""),"CB19083_Mar26")</f>
        <v>CB19083_Mar26</v>
      </c>
      <c r="F1029" s="94" t="str">
        <f ca="1">IFERROR(__xludf.DUMMYFUNCTION("""COMPUTED_VALUE"""),"Packaging Text Design #2")</f>
        <v>Packaging Text Design #2</v>
      </c>
      <c r="G1029" s="95" t="str">
        <f ca="1">IFERROR(__xludf.DUMMYFUNCTION("""COMPUTED_VALUE"""),"New")</f>
        <v>New</v>
      </c>
      <c r="H1029" s="96">
        <f ca="1">IFERROR(__xludf.DUMMYFUNCTION("""COMPUTED_VALUE"""),1)</f>
        <v>1</v>
      </c>
      <c r="I1029" s="97">
        <f ca="1">IFERROR(__xludf.DUMMYFUNCTION("""COMPUTED_VALUE"""),46182)</f>
        <v>46182</v>
      </c>
      <c r="J1029" s="98" t="str">
        <f ca="1">IFERROR(__xludf.DUMMYFUNCTION("""COMPUTED_VALUE"""),"CW36118_Jun26")</f>
        <v>CW36118_Jun26</v>
      </c>
      <c r="K1029" s="99" t="str">
        <f ca="1">IFERROR(__xludf.DUMMYFUNCTION("""COMPUTED_VALUE"""),"HoM Approved")</f>
        <v>HoM Approved</v>
      </c>
    </row>
    <row r="1030" spans="1:11" ht="13.2">
      <c r="A1030" s="89" t="str">
        <f ca="1">IFERROR(__xludf.DUMMYFUNCTION("""COMPUTED_VALUE"""),"Jar label of pran magic cup butterfly")</f>
        <v>Jar label of pran magic cup butterfly</v>
      </c>
      <c r="B1030" s="90" t="str">
        <f ca="1">IFERROR(__xludf.DUMMYFUNCTION("""COMPUTED_VALUE"""),"PAL")</f>
        <v>PAL</v>
      </c>
      <c r="C1030" s="91" t="str">
        <f ca="1">IFERROR(__xludf.DUMMYFUNCTION("""COMPUTED_VALUE"""),"Junayed Vai")</f>
        <v>Junayed Vai</v>
      </c>
      <c r="D1030" s="92" t="str">
        <f ca="1">IFERROR(__xludf.DUMMYFUNCTION("""COMPUTED_VALUE"""),"Masud Parvez Sani (S223034)")</f>
        <v>Masud Parvez Sani (S223034)</v>
      </c>
      <c r="E1030" s="93" t="str">
        <f ca="1">IFERROR(__xludf.DUMMYFUNCTION("""COMPUTED_VALUE"""),"CB22762_Apr26")</f>
        <v>CB22762_Apr26</v>
      </c>
      <c r="F1030" s="94" t="str">
        <f ca="1">IFERROR(__xludf.DUMMYFUNCTION("""COMPUTED_VALUE"""),"Packaging Text Design #2")</f>
        <v>Packaging Text Design #2</v>
      </c>
      <c r="G1030" s="95" t="str">
        <f ca="1">IFERROR(__xludf.DUMMYFUNCTION("""COMPUTED_VALUE"""),"New")</f>
        <v>New</v>
      </c>
      <c r="H1030" s="96">
        <f ca="1">IFERROR(__xludf.DUMMYFUNCTION("""COMPUTED_VALUE"""),1)</f>
        <v>1</v>
      </c>
      <c r="I1030" s="97"/>
      <c r="J1030" s="98" t="str">
        <f ca="1">IFERROR(__xludf.DUMMYFUNCTION("""COMPUTED_VALUE"""),"Unknown")</f>
        <v>Unknown</v>
      </c>
      <c r="K1030" s="99" t="str">
        <f ca="1">IFERROR(__xludf.DUMMYFUNCTION("""COMPUTED_VALUE"""),"Unknown")</f>
        <v>Unknown</v>
      </c>
    </row>
    <row r="1031" spans="1:11" ht="13.2">
      <c r="A1031" s="89" t="str">
        <f ca="1">IFERROR(__xludf.DUMMYFUNCTION("""COMPUTED_VALUE"""),"Wonder Kids")</f>
        <v>Wonder Kids</v>
      </c>
      <c r="B1031" s="90" t="str">
        <f ca="1">IFERROR(__xludf.DUMMYFUNCTION("""COMPUTED_VALUE"""),"PCL")</f>
        <v>PCL</v>
      </c>
      <c r="C1031" s="91" t="str">
        <f ca="1">IFERROR(__xludf.DUMMYFUNCTION("""COMPUTED_VALUE"""),"Anika Apu")</f>
        <v>Anika Apu</v>
      </c>
      <c r="D1031" s="92" t="str">
        <f ca="1">IFERROR(__xludf.DUMMYFUNCTION("""COMPUTED_VALUE"""),"Masud Parvez Sani (S223034)")</f>
        <v>Masud Parvez Sani (S223034)</v>
      </c>
      <c r="E1031" s="93" t="str">
        <f ca="1">IFERROR(__xludf.DUMMYFUNCTION("""COMPUTED_VALUE"""),"CB22266_Apr26")</f>
        <v>CB22266_Apr26</v>
      </c>
      <c r="F1031" s="94" t="str">
        <f ca="1">IFERROR(__xludf.DUMMYFUNCTION("""COMPUTED_VALUE"""),"Packaging Text Design #2")</f>
        <v>Packaging Text Design #2</v>
      </c>
      <c r="G1031" s="95" t="str">
        <f ca="1">IFERROR(__xludf.DUMMYFUNCTION("""COMPUTED_VALUE"""),"New")</f>
        <v>New</v>
      </c>
      <c r="H1031" s="96">
        <f ca="1">IFERROR(__xludf.DUMMYFUNCTION("""COMPUTED_VALUE"""),1)</f>
        <v>1</v>
      </c>
      <c r="I1031" s="97"/>
      <c r="J1031" s="98" t="str">
        <f ca="1">IFERROR(__xludf.DUMMYFUNCTION("""COMPUTED_VALUE"""),"Unknown")</f>
        <v>Unknown</v>
      </c>
      <c r="K1031" s="99" t="str">
        <f ca="1">IFERROR(__xludf.DUMMYFUNCTION("""COMPUTED_VALUE"""),"Unknown")</f>
        <v>Unknown</v>
      </c>
    </row>
    <row r="1032" spans="1:11" ht="13.2">
      <c r="A1032" s="89" t="str">
        <f ca="1">IFERROR(__xludf.DUMMYFUNCTION("""COMPUTED_VALUE"""),"Tasty Treat Sandwich Packaging")</f>
        <v>Tasty Treat Sandwich Packaging</v>
      </c>
      <c r="B1032" s="90" t="str">
        <f ca="1">IFERROR(__xludf.DUMMYFUNCTION("""COMPUTED_VALUE"""),"Tasty Treat")</f>
        <v>Tasty Treat</v>
      </c>
      <c r="C1032" s="91" t="str">
        <f ca="1">IFERROR(__xludf.DUMMYFUNCTION("""COMPUTED_VALUE"""),"Shubhankar Vai")</f>
        <v>Shubhankar Vai</v>
      </c>
      <c r="D1032" s="92" t="str">
        <f ca="1">IFERROR(__xludf.DUMMYFUNCTION("""COMPUTED_VALUE"""),"Masud Parvez Sani (S223034)")</f>
        <v>Masud Parvez Sani (S223034)</v>
      </c>
      <c r="E1032" s="93" t="str">
        <f ca="1">IFERROR(__xludf.DUMMYFUNCTION("""COMPUTED_VALUE"""),"CB21316_Apr26")</f>
        <v>CB21316_Apr26</v>
      </c>
      <c r="F1032" s="94" t="str">
        <f ca="1">IFERROR(__xludf.DUMMYFUNCTION("""COMPUTED_VALUE"""),"Packaging Text Design #1")</f>
        <v>Packaging Text Design #1</v>
      </c>
      <c r="G1032" s="95" t="str">
        <f ca="1">IFERROR(__xludf.DUMMYFUNCTION("""COMPUTED_VALUE"""),"New")</f>
        <v>New</v>
      </c>
      <c r="H1032" s="96">
        <f ca="1">IFERROR(__xludf.DUMMYFUNCTION("""COMPUTED_VALUE"""),1)</f>
        <v>1</v>
      </c>
      <c r="I1032" s="97">
        <f ca="1">IFERROR(__xludf.DUMMYFUNCTION("""COMPUTED_VALUE"""),46191)</f>
        <v>46191</v>
      </c>
      <c r="J1032" s="98" t="str">
        <f ca="1">IFERROR(__xludf.DUMMYFUNCTION("""COMPUTED_VALUE"""),"CW37173_Jun26")</f>
        <v>CW37173_Jun26</v>
      </c>
      <c r="K1032" s="99" t="str">
        <f ca="1">IFERROR(__xludf.DUMMYFUNCTION("""COMPUTED_VALUE"""),"HoM Approved")</f>
        <v>HoM Approved</v>
      </c>
    </row>
    <row r="1033" spans="1:11" ht="13.2">
      <c r="A1033" s="89" t="str">
        <f ca="1">IFERROR(__xludf.DUMMYFUNCTION("""COMPUTED_VALUE"""),"Treat Chocolate")</f>
        <v>Treat Chocolate</v>
      </c>
      <c r="B1033" s="90" t="str">
        <f ca="1">IFERROR(__xludf.DUMMYFUNCTION("""COMPUTED_VALUE"""),"PCL")</f>
        <v>PCL</v>
      </c>
      <c r="C1033" s="91" t="str">
        <f ca="1">IFERROR(__xludf.DUMMYFUNCTION("""COMPUTED_VALUE"""),"Mona Apu")</f>
        <v>Mona Apu</v>
      </c>
      <c r="D1033" s="92" t="str">
        <f ca="1">IFERROR(__xludf.DUMMYFUNCTION("""COMPUTED_VALUE"""),"Masud Parvez Sani (S223034)")</f>
        <v>Masud Parvez Sani (S223034)</v>
      </c>
      <c r="E1033" s="93" t="str">
        <f ca="1">IFERROR(__xludf.DUMMYFUNCTION("""COMPUTED_VALUE"""),"CB24175_May26")</f>
        <v>CB24175_May26</v>
      </c>
      <c r="F1033" s="94" t="str">
        <f ca="1">IFERROR(__xludf.DUMMYFUNCTION("""COMPUTED_VALUE"""),"Packaging Text Design #2")</f>
        <v>Packaging Text Design #2</v>
      </c>
      <c r="G1033" s="95" t="str">
        <f ca="1">IFERROR(__xludf.DUMMYFUNCTION("""COMPUTED_VALUE"""),"New")</f>
        <v>New</v>
      </c>
      <c r="H1033" s="96">
        <f ca="1">IFERROR(__xludf.DUMMYFUNCTION("""COMPUTED_VALUE"""),6)</f>
        <v>6</v>
      </c>
      <c r="I1033" s="97"/>
      <c r="J1033" s="98" t="str">
        <f ca="1">IFERROR(__xludf.DUMMYFUNCTION("""COMPUTED_VALUE"""),"Unknown")</f>
        <v>Unknown</v>
      </c>
      <c r="K1033" s="99" t="str">
        <f ca="1">IFERROR(__xludf.DUMMYFUNCTION("""COMPUTED_VALUE"""),"Unknown")</f>
        <v>Unknown</v>
      </c>
    </row>
    <row r="1034" spans="1:11" ht="13.2">
      <c r="A1034" s="89" t="str">
        <f ca="1">IFERROR(__xludf.DUMMYFUNCTION("""COMPUTED_VALUE"""),"Treat Chocolate")</f>
        <v>Treat Chocolate</v>
      </c>
      <c r="B1034" s="90" t="str">
        <f ca="1">IFERROR(__xludf.DUMMYFUNCTION("""COMPUTED_VALUE"""),"PCL")</f>
        <v>PCL</v>
      </c>
      <c r="C1034" s="91" t="str">
        <f ca="1">IFERROR(__xludf.DUMMYFUNCTION("""COMPUTED_VALUE"""),"Mona Apu")</f>
        <v>Mona Apu</v>
      </c>
      <c r="D1034" s="92" t="str">
        <f ca="1">IFERROR(__xludf.DUMMYFUNCTION("""COMPUTED_VALUE"""),"Masud Parvez Sani (S223034)")</f>
        <v>Masud Parvez Sani (S223034)</v>
      </c>
      <c r="E1034" s="93" t="str">
        <f ca="1">IFERROR(__xludf.DUMMYFUNCTION("""COMPUTED_VALUE"""),"CB24168_May26")</f>
        <v>CB24168_May26</v>
      </c>
      <c r="F1034" s="94" t="str">
        <f ca="1">IFERROR(__xludf.DUMMYFUNCTION("""COMPUTED_VALUE"""),"Packaging Text Design #2")</f>
        <v>Packaging Text Design #2</v>
      </c>
      <c r="G1034" s="95" t="str">
        <f ca="1">IFERROR(__xludf.DUMMYFUNCTION("""COMPUTED_VALUE"""),"New")</f>
        <v>New</v>
      </c>
      <c r="H1034" s="96">
        <f ca="1">IFERROR(__xludf.DUMMYFUNCTION("""COMPUTED_VALUE"""),2)</f>
        <v>2</v>
      </c>
      <c r="I1034" s="97">
        <f ca="1">IFERROR(__xludf.DUMMYFUNCTION("""COMPUTED_VALUE"""),46208)</f>
        <v>46208</v>
      </c>
      <c r="J1034" s="98" t="str">
        <f ca="1">IFERROR(__xludf.DUMMYFUNCTION("""COMPUTED_VALUE"""),"CW39426_Jul26")</f>
        <v>CW39426_Jul26</v>
      </c>
      <c r="K1034" s="99" t="str">
        <f ca="1">IFERROR(__xludf.DUMMYFUNCTION("""COMPUTED_VALUE"""),"Brief Submitted")</f>
        <v>Brief Submitted</v>
      </c>
    </row>
    <row r="1035" spans="1:11" ht="13.2">
      <c r="A1035" s="89" t="str">
        <f ca="1">IFERROR(__xludf.DUMMYFUNCTION("""COMPUTED_VALUE"""),"Fruit Fun Vanilla 18gm Local Output")</f>
        <v>Fruit Fun Vanilla 18gm Local Output</v>
      </c>
      <c r="B1035" s="90" t="str">
        <f ca="1">IFERROR(__xludf.DUMMYFUNCTION("""COMPUTED_VALUE"""),"BBL")</f>
        <v>BBL</v>
      </c>
      <c r="C1035" s="91" t="str">
        <f ca="1">IFERROR(__xludf.DUMMYFUNCTION("""COMPUTED_VALUE"""),"Sabbir Vai")</f>
        <v>Sabbir Vai</v>
      </c>
      <c r="D1035" s="92" t="str">
        <f ca="1">IFERROR(__xludf.DUMMYFUNCTION("""COMPUTED_VALUE"""),"Masud Parvez Sani (S223034)")</f>
        <v>Masud Parvez Sani (S223034)</v>
      </c>
      <c r="E1035" s="93" t="str">
        <f ca="1">IFERROR(__xludf.DUMMYFUNCTION("""COMPUTED_VALUE"""),"CB24272_May26")</f>
        <v>CB24272_May26</v>
      </c>
      <c r="F1035" s="94" t="str">
        <f ca="1">IFERROR(__xludf.DUMMYFUNCTION("""COMPUTED_VALUE"""),"Packaging Text Design #2")</f>
        <v>Packaging Text Design #2</v>
      </c>
      <c r="G1035" s="95" t="str">
        <f ca="1">IFERROR(__xludf.DUMMYFUNCTION("""COMPUTED_VALUE"""),"New")</f>
        <v>New</v>
      </c>
      <c r="H1035" s="96">
        <f ca="1">IFERROR(__xludf.DUMMYFUNCTION("""COMPUTED_VALUE"""),1)</f>
        <v>1</v>
      </c>
      <c r="I1035" s="97">
        <f ca="1">IFERROR(__xludf.DUMMYFUNCTION("""COMPUTED_VALUE"""),46196)</f>
        <v>46196</v>
      </c>
      <c r="J1035" s="98" t="str">
        <f ca="1">IFERROR(__xludf.DUMMYFUNCTION("""COMPUTED_VALUE"""),"CW37505_Jun26")</f>
        <v>CW37505_Jun26</v>
      </c>
      <c r="K1035" s="99" t="str">
        <f ca="1">IFERROR(__xludf.DUMMYFUNCTION("""COMPUTED_VALUE"""),"Brief Submitted")</f>
        <v>Brief Submitted</v>
      </c>
    </row>
    <row r="1036" spans="1:11" ht="13.2">
      <c r="A1036" s="89" t="str">
        <f ca="1">IFERROR(__xludf.DUMMYFUNCTION("""COMPUTED_VALUE"""),"Radwa unprinted carton sticker for UK")</f>
        <v>Radwa unprinted carton sticker for UK</v>
      </c>
      <c r="B1036" s="90" t="str">
        <f ca="1">IFERROR(__xludf.DUMMYFUNCTION("""COMPUTED_VALUE"""),"PFF")</f>
        <v>PFF</v>
      </c>
      <c r="C1036" s="91" t="str">
        <f ca="1">IFERROR(__xludf.DUMMYFUNCTION("""COMPUTED_VALUE"""),"Saifullah Vai")</f>
        <v>Saifullah Vai</v>
      </c>
      <c r="D1036" s="92" t="str">
        <f ca="1">IFERROR(__xludf.DUMMYFUNCTION("""COMPUTED_VALUE"""),"Masud Parvez Sani (S223034)")</f>
        <v>Masud Parvez Sani (S223034)</v>
      </c>
      <c r="E1036" s="93" t="str">
        <f ca="1">IFERROR(__xludf.DUMMYFUNCTION("""COMPUTED_VALUE"""),"CB24479_May26")</f>
        <v>CB24479_May26</v>
      </c>
      <c r="F1036" s="94" t="str">
        <f ca="1">IFERROR(__xludf.DUMMYFUNCTION("""COMPUTED_VALUE"""),"Text Sticker Design #1")</f>
        <v>Text Sticker Design #1</v>
      </c>
      <c r="G1036" s="95" t="str">
        <f ca="1">IFERROR(__xludf.DUMMYFUNCTION("""COMPUTED_VALUE"""),"New")</f>
        <v>New</v>
      </c>
      <c r="H1036" s="96">
        <f ca="1">IFERROR(__xludf.DUMMYFUNCTION("""COMPUTED_VALUE"""),6)</f>
        <v>6</v>
      </c>
      <c r="I1036" s="97">
        <f ca="1">IFERROR(__xludf.DUMMYFUNCTION("""COMPUTED_VALUE"""),46176)</f>
        <v>46176</v>
      </c>
      <c r="J1036" s="98" t="str">
        <f ca="1">IFERROR(__xludf.DUMMYFUNCTION("""COMPUTED_VALUE"""),"CW35435_Jun26")</f>
        <v>CW35435_Jun26</v>
      </c>
      <c r="K1036" s="99" t="str">
        <f ca="1">IFERROR(__xludf.DUMMYFUNCTION("""COMPUTED_VALUE"""),"HoM Approved")</f>
        <v>HoM Approved</v>
      </c>
    </row>
    <row r="1037" spans="1:11" ht="13.2">
      <c r="A1037" s="89" t="str">
        <f ca="1">IFERROR(__xludf.DUMMYFUNCTION("""COMPUTED_VALUE"""),"FRUITFIL CHEWING GUM ")</f>
        <v xml:space="preserve">FRUITFIL CHEWING GUM </v>
      </c>
      <c r="B1037" s="90" t="str">
        <f ca="1">IFERROR(__xludf.DUMMYFUNCTION("""COMPUTED_VALUE"""),"PCL")</f>
        <v>PCL</v>
      </c>
      <c r="C1037" s="91" t="str">
        <f ca="1">IFERROR(__xludf.DUMMYFUNCTION("""COMPUTED_VALUE"""),"Sharika Apu")</f>
        <v>Sharika Apu</v>
      </c>
      <c r="D1037" s="92" t="str">
        <f ca="1">IFERROR(__xludf.DUMMYFUNCTION("""COMPUTED_VALUE"""),"Masud Parvez Sani (S223034)")</f>
        <v>Masud Parvez Sani (S223034)</v>
      </c>
      <c r="E1037" s="93" t="str">
        <f ca="1">IFERROR(__xludf.DUMMYFUNCTION("""COMPUTED_VALUE"""),"CB24582_May26")</f>
        <v>CB24582_May26</v>
      </c>
      <c r="F1037" s="94" t="str">
        <f ca="1">IFERROR(__xludf.DUMMYFUNCTION("""COMPUTED_VALUE"""),"Packaging Text Design #1")</f>
        <v>Packaging Text Design #1</v>
      </c>
      <c r="G1037" s="95" t="str">
        <f ca="1">IFERROR(__xludf.DUMMYFUNCTION("""COMPUTED_VALUE"""),"New")</f>
        <v>New</v>
      </c>
      <c r="H1037" s="96">
        <f ca="1">IFERROR(__xludf.DUMMYFUNCTION("""COMPUTED_VALUE"""),2)</f>
        <v>2</v>
      </c>
      <c r="I1037" s="97"/>
      <c r="J1037" s="98" t="str">
        <f ca="1">IFERROR(__xludf.DUMMYFUNCTION("""COMPUTED_VALUE"""),"Unknown")</f>
        <v>Unknown</v>
      </c>
      <c r="K1037" s="99" t="str">
        <f ca="1">IFERROR(__xludf.DUMMYFUNCTION("""COMPUTED_VALUE"""),"Unknown")</f>
        <v>Unknown</v>
      </c>
    </row>
    <row r="1038" spans="1:11" ht="13.2">
      <c r="A1038" s="89" t="str">
        <f ca="1">IFERROR(__xludf.DUMMYFUNCTION("""COMPUTED_VALUE"""),"Treat Chocolate")</f>
        <v>Treat Chocolate</v>
      </c>
      <c r="B1038" s="90" t="str">
        <f ca="1">IFERROR(__xludf.DUMMYFUNCTION("""COMPUTED_VALUE"""),"PCL")</f>
        <v>PCL</v>
      </c>
      <c r="C1038" s="91" t="str">
        <f ca="1">IFERROR(__xludf.DUMMYFUNCTION("""COMPUTED_VALUE"""),"Mona Apu")</f>
        <v>Mona Apu</v>
      </c>
      <c r="D1038" s="92" t="str">
        <f ca="1">IFERROR(__xludf.DUMMYFUNCTION("""COMPUTED_VALUE"""),"Masud Parvez Sani (S223034)")</f>
        <v>Masud Parvez Sani (S223034)</v>
      </c>
      <c r="E1038" s="93" t="str">
        <f ca="1">IFERROR(__xludf.DUMMYFUNCTION("""COMPUTED_VALUE"""),"CB24607_May26")</f>
        <v>CB24607_May26</v>
      </c>
      <c r="F1038" s="94" t="str">
        <f ca="1">IFERROR(__xludf.DUMMYFUNCTION("""COMPUTED_VALUE"""),"Packaging Text Design #2")</f>
        <v>Packaging Text Design #2</v>
      </c>
      <c r="G1038" s="95" t="str">
        <f ca="1">IFERROR(__xludf.DUMMYFUNCTION("""COMPUTED_VALUE"""),"New")</f>
        <v>New</v>
      </c>
      <c r="H1038" s="96">
        <f ca="1">IFERROR(__xludf.DUMMYFUNCTION("""COMPUTED_VALUE"""),2)</f>
        <v>2</v>
      </c>
      <c r="I1038" s="97">
        <f ca="1">IFERROR(__xludf.DUMMYFUNCTION("""COMPUTED_VALUE"""),46177)</f>
        <v>46177</v>
      </c>
      <c r="J1038" s="98" t="str">
        <f ca="1">IFERROR(__xludf.DUMMYFUNCTION("""COMPUTED_VALUE"""),"CW35587_Jun26")</f>
        <v>CW35587_Jun26</v>
      </c>
      <c r="K1038" s="99" t="str">
        <f ca="1">IFERROR(__xludf.DUMMYFUNCTION("""COMPUTED_VALUE"""),"HoM Approved")</f>
        <v>HoM Approved</v>
      </c>
    </row>
    <row r="1039" spans="1:11" ht="13.2">
      <c r="A1039" s="89" t="str">
        <f ca="1">IFERROR(__xludf.DUMMYFUNCTION("""COMPUTED_VALUE"""),"Europa wafer")</f>
        <v>Europa wafer</v>
      </c>
      <c r="B1039" s="90" t="str">
        <f ca="1">IFERROR(__xludf.DUMMYFUNCTION("""COMPUTED_VALUE"""),"BBL")</f>
        <v>BBL</v>
      </c>
      <c r="C1039" s="91" t="str">
        <f ca="1">IFERROR(__xludf.DUMMYFUNCTION("""COMPUTED_VALUE"""),"Shaifuddin Vai")</f>
        <v>Shaifuddin Vai</v>
      </c>
      <c r="D1039" s="92" t="str">
        <f ca="1">IFERROR(__xludf.DUMMYFUNCTION("""COMPUTED_VALUE"""),"Masud Parvez Sani (S223034)")</f>
        <v>Masud Parvez Sani (S223034)</v>
      </c>
      <c r="E1039" s="93" t="str">
        <f ca="1">IFERROR(__xludf.DUMMYFUNCTION("""COMPUTED_VALUE"""),"CB24525_May26")</f>
        <v>CB24525_May26</v>
      </c>
      <c r="F1039" s="94" t="str">
        <f ca="1">IFERROR(__xludf.DUMMYFUNCTION("""COMPUTED_VALUE"""),"Packaging Text Design #2")</f>
        <v>Packaging Text Design #2</v>
      </c>
      <c r="G1039" s="95" t="str">
        <f ca="1">IFERROR(__xludf.DUMMYFUNCTION("""COMPUTED_VALUE"""),"New")</f>
        <v>New</v>
      </c>
      <c r="H1039" s="96">
        <f ca="1">IFERROR(__xludf.DUMMYFUNCTION("""COMPUTED_VALUE"""),1)</f>
        <v>1</v>
      </c>
      <c r="I1039" s="97"/>
      <c r="J1039" s="98" t="str">
        <f ca="1">IFERROR(__xludf.DUMMYFUNCTION("""COMPUTED_VALUE"""),"Unknown")</f>
        <v>Unknown</v>
      </c>
      <c r="K1039" s="99" t="str">
        <f ca="1">IFERROR(__xludf.DUMMYFUNCTION("""COMPUTED_VALUE"""),"Unknown")</f>
        <v>Unknown</v>
      </c>
    </row>
    <row r="1040" spans="1:11" ht="13.2">
      <c r="A1040" s="89" t="str">
        <f ca="1">IFERROR(__xludf.DUMMYFUNCTION("""COMPUTED_VALUE"""),"Bisk Club SHERO Biscuit")</f>
        <v>Bisk Club SHERO Biscuit</v>
      </c>
      <c r="B1040" s="90" t="str">
        <f ca="1">IFERROR(__xludf.DUMMYFUNCTION("""COMPUTED_VALUE"""),"BBL")</f>
        <v>BBL</v>
      </c>
      <c r="C1040" s="91" t="str">
        <f ca="1">IFERROR(__xludf.DUMMYFUNCTION("""COMPUTED_VALUE"""),"Sabbir Vai")</f>
        <v>Sabbir Vai</v>
      </c>
      <c r="D1040" s="92" t="str">
        <f ca="1">IFERROR(__xludf.DUMMYFUNCTION("""COMPUTED_VALUE"""),"Masud Parvez Sani (S223034)")</f>
        <v>Masud Parvez Sani (S223034)</v>
      </c>
      <c r="E1040" s="93" t="str">
        <f ca="1">IFERROR(__xludf.DUMMYFUNCTION("""COMPUTED_VALUE"""),"CB21839_Apr26")</f>
        <v>CB21839_Apr26</v>
      </c>
      <c r="F1040" s="94" t="str">
        <f ca="1">IFERROR(__xludf.DUMMYFUNCTION("""COMPUTED_VALUE"""),"Packaging Text Design #2")</f>
        <v>Packaging Text Design #2</v>
      </c>
      <c r="G1040" s="95" t="str">
        <f ca="1">IFERROR(__xludf.DUMMYFUNCTION("""COMPUTED_VALUE"""),"New")</f>
        <v>New</v>
      </c>
      <c r="H1040" s="96">
        <f ca="1">IFERROR(__xludf.DUMMYFUNCTION("""COMPUTED_VALUE"""),1)</f>
        <v>1</v>
      </c>
      <c r="I1040" s="97">
        <f ca="1">IFERROR(__xludf.DUMMYFUNCTION("""COMPUTED_VALUE"""),46181)</f>
        <v>46181</v>
      </c>
      <c r="J1040" s="98" t="str">
        <f ca="1">IFERROR(__xludf.DUMMYFUNCTION("""COMPUTED_VALUE"""),"CW35931_Jun26")</f>
        <v>CW35931_Jun26</v>
      </c>
      <c r="K1040" s="99" t="str">
        <f ca="1">IFERROR(__xludf.DUMMYFUNCTION("""COMPUTED_VALUE"""),"HoM Approved")</f>
        <v>HoM Approved</v>
      </c>
    </row>
    <row r="1041" spans="1:11" ht="13.2">
      <c r="A1041" s="89" t="str">
        <f ca="1">IFERROR(__xludf.DUMMYFUNCTION("""COMPUTED_VALUE"""),"Ripe N Fresh Sourcing")</f>
        <v>Ripe N Fresh Sourcing</v>
      </c>
      <c r="B1041" s="90" t="str">
        <f ca="1">IFERROR(__xludf.DUMMYFUNCTION("""COMPUTED_VALUE"""),"PBL")</f>
        <v>PBL</v>
      </c>
      <c r="C1041" s="91" t="str">
        <f ca="1">IFERROR(__xludf.DUMMYFUNCTION("""COMPUTED_VALUE"""),"Zahirul Vai")</f>
        <v>Zahirul Vai</v>
      </c>
      <c r="D1041" s="92" t="str">
        <f ca="1">IFERROR(__xludf.DUMMYFUNCTION("""COMPUTED_VALUE"""),"Masud Parvez Sani (S223034)")</f>
        <v>Masud Parvez Sani (S223034)</v>
      </c>
      <c r="E1041" s="93" t="str">
        <f ca="1">IFERROR(__xludf.DUMMYFUNCTION("""COMPUTED_VALUE"""),"CB24868_May26")</f>
        <v>CB24868_May26</v>
      </c>
      <c r="F1041" s="94" t="str">
        <f ca="1">IFERROR(__xludf.DUMMYFUNCTION("""COMPUTED_VALUE"""),"Packaging Text Design #1")</f>
        <v>Packaging Text Design #1</v>
      </c>
      <c r="G1041" s="95" t="str">
        <f ca="1">IFERROR(__xludf.DUMMYFUNCTION("""COMPUTED_VALUE"""),"New")</f>
        <v>New</v>
      </c>
      <c r="H1041" s="96">
        <f ca="1">IFERROR(__xludf.DUMMYFUNCTION("""COMPUTED_VALUE"""),5)</f>
        <v>5</v>
      </c>
      <c r="I1041" s="97">
        <f ca="1">IFERROR(__xludf.DUMMYFUNCTION("""COMPUTED_VALUE"""),46181)</f>
        <v>46181</v>
      </c>
      <c r="J1041" s="98" t="str">
        <f ca="1">IFERROR(__xludf.DUMMYFUNCTION("""COMPUTED_VALUE"""),"CW35959_Jun26")</f>
        <v>CW35959_Jun26</v>
      </c>
      <c r="K1041" s="99" t="str">
        <f ca="1">IFERROR(__xludf.DUMMYFUNCTION("""COMPUTED_VALUE"""),"HoM Approved")</f>
        <v>HoM Approved</v>
      </c>
    </row>
    <row r="1042" spans="1:11" ht="13.2">
      <c r="A1042" s="89" t="str">
        <f ca="1">IFERROR(__xludf.DUMMYFUNCTION("""COMPUTED_VALUE"""),"PRAN Ball Gum")</f>
        <v>PRAN Ball Gum</v>
      </c>
      <c r="B1042" s="90" t="str">
        <f ca="1">IFERROR(__xludf.DUMMYFUNCTION("""COMPUTED_VALUE"""),"PCL")</f>
        <v>PCL</v>
      </c>
      <c r="C1042" s="91" t="str">
        <f ca="1">IFERROR(__xludf.DUMMYFUNCTION("""COMPUTED_VALUE"""),"Rakib Vai")</f>
        <v>Rakib Vai</v>
      </c>
      <c r="D1042" s="92" t="str">
        <f ca="1">IFERROR(__xludf.DUMMYFUNCTION("""COMPUTED_VALUE"""),"Masud Parvez Sani (S223034)")</f>
        <v>Masud Parvez Sani (S223034)</v>
      </c>
      <c r="E1042" s="93" t="str">
        <f ca="1">IFERROR(__xludf.DUMMYFUNCTION("""COMPUTED_VALUE"""),"CB25046_May26")</f>
        <v>CB25046_May26</v>
      </c>
      <c r="F1042" s="94" t="str">
        <f ca="1">IFERROR(__xludf.DUMMYFUNCTION("""COMPUTED_VALUE"""),"Packaging Text Design #1")</f>
        <v>Packaging Text Design #1</v>
      </c>
      <c r="G1042" s="95" t="str">
        <f ca="1">IFERROR(__xludf.DUMMYFUNCTION("""COMPUTED_VALUE"""),"New")</f>
        <v>New</v>
      </c>
      <c r="H1042" s="96">
        <f ca="1">IFERROR(__xludf.DUMMYFUNCTION("""COMPUTED_VALUE"""),8)</f>
        <v>8</v>
      </c>
      <c r="I1042" s="97">
        <f ca="1">IFERROR(__xludf.DUMMYFUNCTION("""COMPUTED_VALUE"""),46187)</f>
        <v>46187</v>
      </c>
      <c r="J1042" s="98" t="str">
        <f ca="1">IFERROR(__xludf.DUMMYFUNCTION("""COMPUTED_VALUE"""),"CW36494_Jun26")</f>
        <v>CW36494_Jun26</v>
      </c>
      <c r="K1042" s="99" t="str">
        <f ca="1">IFERROR(__xludf.DUMMYFUNCTION("""COMPUTED_VALUE"""),"HoM Approved")</f>
        <v>HoM Approved</v>
      </c>
    </row>
    <row r="1043" spans="1:11" ht="13.2">
      <c r="A1043" s="89" t="str">
        <f ca="1">IFERROR(__xludf.DUMMYFUNCTION("""COMPUTED_VALUE"""),"Snako Ring Chips")</f>
        <v>Snako Ring Chips</v>
      </c>
      <c r="B1043" s="90" t="str">
        <f ca="1">IFERROR(__xludf.DUMMYFUNCTION("""COMPUTED_VALUE"""),"PFL")</f>
        <v>PFL</v>
      </c>
      <c r="C1043" s="91" t="str">
        <f ca="1">IFERROR(__xludf.DUMMYFUNCTION("""COMPUTED_VALUE"""),"Shamrid Vaiya")</f>
        <v>Shamrid Vaiya</v>
      </c>
      <c r="D1043" s="92" t="str">
        <f ca="1">IFERROR(__xludf.DUMMYFUNCTION("""COMPUTED_VALUE"""),"Masud Parvez Sani (S223034)")</f>
        <v>Masud Parvez Sani (S223034)</v>
      </c>
      <c r="E1043" s="93" t="str">
        <f ca="1">IFERROR(__xludf.DUMMYFUNCTION("""COMPUTED_VALUE"""),"CB25121_May26")</f>
        <v>CB25121_May26</v>
      </c>
      <c r="F1043" s="94" t="str">
        <f ca="1">IFERROR(__xludf.DUMMYFUNCTION("""COMPUTED_VALUE"""),"Packaging Text Design #2")</f>
        <v>Packaging Text Design #2</v>
      </c>
      <c r="G1043" s="95" t="str">
        <f ca="1">IFERROR(__xludf.DUMMYFUNCTION("""COMPUTED_VALUE"""),"New")</f>
        <v>New</v>
      </c>
      <c r="H1043" s="96">
        <f ca="1">IFERROR(__xludf.DUMMYFUNCTION("""COMPUTED_VALUE"""),1)</f>
        <v>1</v>
      </c>
      <c r="I1043" s="97">
        <f ca="1">IFERROR(__xludf.DUMMYFUNCTION("""COMPUTED_VALUE"""),46188)</f>
        <v>46188</v>
      </c>
      <c r="J1043" s="98" t="str">
        <f ca="1">IFERROR(__xludf.DUMMYFUNCTION("""COMPUTED_VALUE"""),"CW36657_Jun26")</f>
        <v>CW36657_Jun26</v>
      </c>
      <c r="K1043" s="99" t="str">
        <f ca="1">IFERROR(__xludf.DUMMYFUNCTION("""COMPUTED_VALUE"""),"HoM Approved")</f>
        <v>HoM Approved</v>
      </c>
    </row>
    <row r="1044" spans="1:11" ht="13.2">
      <c r="A1044" s="89" t="str">
        <f ca="1">IFERROR(__xludf.DUMMYFUNCTION("""COMPUTED_VALUE"""),"PRAN Pudding")</f>
        <v>PRAN Pudding</v>
      </c>
      <c r="B1044" s="90" t="str">
        <f ca="1">IFERROR(__xludf.DUMMYFUNCTION("""COMPUTED_VALUE"""),"PAL")</f>
        <v>PAL</v>
      </c>
      <c r="C1044" s="91" t="str">
        <f ca="1">IFERROR(__xludf.DUMMYFUNCTION("""COMPUTED_VALUE"""),"Mona Apu")</f>
        <v>Mona Apu</v>
      </c>
      <c r="D1044" s="92" t="str">
        <f ca="1">IFERROR(__xludf.DUMMYFUNCTION("""COMPUTED_VALUE"""),"Masud Parvez Sani (S223034)")</f>
        <v>Masud Parvez Sani (S223034)</v>
      </c>
      <c r="E1044" s="93" t="str">
        <f ca="1">IFERROR(__xludf.DUMMYFUNCTION("""COMPUTED_VALUE"""),"CB35371_Jun26")</f>
        <v>CB35371_Jun26</v>
      </c>
      <c r="F1044" s="94" t="str">
        <f ca="1">IFERROR(__xludf.DUMMYFUNCTION("""COMPUTED_VALUE"""),"Carton Design")</f>
        <v>Carton Design</v>
      </c>
      <c r="G1044" s="95" t="str">
        <f ca="1">IFERROR(__xludf.DUMMYFUNCTION("""COMPUTED_VALUE"""),"New")</f>
        <v>New</v>
      </c>
      <c r="H1044" s="96">
        <f ca="1">IFERROR(__xludf.DUMMYFUNCTION("""COMPUTED_VALUE"""),1)</f>
        <v>1</v>
      </c>
      <c r="I1044" s="97">
        <f ca="1">IFERROR(__xludf.DUMMYFUNCTION("""COMPUTED_VALUE"""),46190)</f>
        <v>46190</v>
      </c>
      <c r="J1044" s="98" t="str">
        <f ca="1">IFERROR(__xludf.DUMMYFUNCTION("""COMPUTED_VALUE"""),"CW36872_Jun26")</f>
        <v>CW36872_Jun26</v>
      </c>
      <c r="K1044" s="99" t="str">
        <f ca="1">IFERROR(__xludf.DUMMYFUNCTION("""COMPUTED_VALUE"""),"HoM Approved")</f>
        <v>HoM Approved</v>
      </c>
    </row>
    <row r="1045" spans="1:11" ht="13.2">
      <c r="A1045" s="89" t="str">
        <f ca="1">IFERROR(__xludf.DUMMYFUNCTION("""COMPUTED_VALUE"""),"TREAT COCO CHOCO 30G x 20Pcs")</f>
        <v>TREAT COCO CHOCO 30G x 20Pcs</v>
      </c>
      <c r="B1045" s="90" t="str">
        <f ca="1">IFERROR(__xludf.DUMMYFUNCTION("""COMPUTED_VALUE"""),"PCL")</f>
        <v>PCL</v>
      </c>
      <c r="C1045" s="91" t="str">
        <f ca="1">IFERROR(__xludf.DUMMYFUNCTION("""COMPUTED_VALUE"""),"Rakib Vai")</f>
        <v>Rakib Vai</v>
      </c>
      <c r="D1045" s="92" t="str">
        <f ca="1">IFERROR(__xludf.DUMMYFUNCTION("""COMPUTED_VALUE"""),"Masud Parvez Sani (S223034)")</f>
        <v>Masud Parvez Sani (S223034)</v>
      </c>
      <c r="E1045" s="93" t="str">
        <f ca="1">IFERROR(__xludf.DUMMYFUNCTION("""COMPUTED_VALUE"""),"CB35367_Jun26")</f>
        <v>CB35367_Jun26</v>
      </c>
      <c r="F1045" s="94" t="str">
        <f ca="1">IFERROR(__xludf.DUMMYFUNCTION("""COMPUTED_VALUE"""),"Packaging Text Design #1")</f>
        <v>Packaging Text Design #1</v>
      </c>
      <c r="G1045" s="95" t="str">
        <f ca="1">IFERROR(__xludf.DUMMYFUNCTION("""COMPUTED_VALUE"""),"New")</f>
        <v>New</v>
      </c>
      <c r="H1045" s="96">
        <f ca="1">IFERROR(__xludf.DUMMYFUNCTION("""COMPUTED_VALUE"""),2)</f>
        <v>2</v>
      </c>
      <c r="I1045" s="97">
        <f ca="1">IFERROR(__xludf.DUMMYFUNCTION("""COMPUTED_VALUE"""),46176)</f>
        <v>46176</v>
      </c>
      <c r="J1045" s="98" t="str">
        <f ca="1">IFERROR(__xludf.DUMMYFUNCTION("""COMPUTED_VALUE"""),"CW35458_Jun26")</f>
        <v>CW35458_Jun26</v>
      </c>
      <c r="K1045" s="99" t="str">
        <f ca="1">IFERROR(__xludf.DUMMYFUNCTION("""COMPUTED_VALUE"""),"HoM Approved")</f>
        <v>HoM Approved</v>
      </c>
    </row>
    <row r="1046" spans="1:11" ht="13.2">
      <c r="A1046" s="89" t="str">
        <f ca="1">IFERROR(__xludf.DUMMYFUNCTION("""COMPUTED_VALUE"""),"Treat Coco Choco Coconut Bar 30g x 20 Pcs x 12 Box")</f>
        <v>Treat Coco Choco Coconut Bar 30g x 20 Pcs x 12 Box</v>
      </c>
      <c r="B1046" s="90" t="str">
        <f ca="1">IFERROR(__xludf.DUMMYFUNCTION("""COMPUTED_VALUE"""),"PCL")</f>
        <v>PCL</v>
      </c>
      <c r="C1046" s="91" t="str">
        <f ca="1">IFERROR(__xludf.DUMMYFUNCTION("""COMPUTED_VALUE"""),"Mona Apu")</f>
        <v>Mona Apu</v>
      </c>
      <c r="D1046" s="92" t="str">
        <f ca="1">IFERROR(__xludf.DUMMYFUNCTION("""COMPUTED_VALUE"""),"Masud Parvez Sani (S223034)")</f>
        <v>Masud Parvez Sani (S223034)</v>
      </c>
      <c r="E1046" s="93" t="str">
        <f ca="1">IFERROR(__xludf.DUMMYFUNCTION("""COMPUTED_VALUE"""),"CB35375_Jun26")</f>
        <v>CB35375_Jun26</v>
      </c>
      <c r="F1046" s="94" t="str">
        <f ca="1">IFERROR(__xludf.DUMMYFUNCTION("""COMPUTED_VALUE"""),"Carton Design")</f>
        <v>Carton Design</v>
      </c>
      <c r="G1046" s="95" t="str">
        <f ca="1">IFERROR(__xludf.DUMMYFUNCTION("""COMPUTED_VALUE"""),"New")</f>
        <v>New</v>
      </c>
      <c r="H1046" s="96">
        <f ca="1">IFERROR(__xludf.DUMMYFUNCTION("""COMPUTED_VALUE"""),1)</f>
        <v>1</v>
      </c>
      <c r="I1046" s="97">
        <f ca="1">IFERROR(__xludf.DUMMYFUNCTION("""COMPUTED_VALUE"""),46190)</f>
        <v>46190</v>
      </c>
      <c r="J1046" s="98" t="str">
        <f ca="1">IFERROR(__xludf.DUMMYFUNCTION("""COMPUTED_VALUE"""),"CW36870_Jun26")</f>
        <v>CW36870_Jun26</v>
      </c>
      <c r="K1046" s="99" t="str">
        <f ca="1">IFERROR(__xludf.DUMMYFUNCTION("""COMPUTED_VALUE"""),"HoM Approved")</f>
        <v>HoM Approved</v>
      </c>
    </row>
    <row r="1047" spans="1:11" ht="13.2">
      <c r="A1047" s="89" t="str">
        <f ca="1">IFERROR(__xludf.DUMMYFUNCTION("""COMPUTED_VALUE"""),"Pran Coffee Bite Biscuits 12g")</f>
        <v>Pran Coffee Bite Biscuits 12g</v>
      </c>
      <c r="B1047" s="90" t="str">
        <f ca="1">IFERROR(__xludf.DUMMYFUNCTION("""COMPUTED_VALUE"""),"BBL")</f>
        <v>BBL</v>
      </c>
      <c r="C1047" s="91" t="str">
        <f ca="1">IFERROR(__xludf.DUMMYFUNCTION("""COMPUTED_VALUE"""),"Mona Apu")</f>
        <v>Mona Apu</v>
      </c>
      <c r="D1047" s="92" t="str">
        <f ca="1">IFERROR(__xludf.DUMMYFUNCTION("""COMPUTED_VALUE"""),"Masud Parvez Sani (S223034)")</f>
        <v>Masud Parvez Sani (S223034)</v>
      </c>
      <c r="E1047" s="93" t="str">
        <f ca="1">IFERROR(__xludf.DUMMYFUNCTION("""COMPUTED_VALUE"""),"CB35484_Jun26")</f>
        <v>CB35484_Jun26</v>
      </c>
      <c r="F1047" s="94" t="str">
        <f ca="1">IFERROR(__xludf.DUMMYFUNCTION("""COMPUTED_VALUE"""),"Packaging Text Design #2")</f>
        <v>Packaging Text Design #2</v>
      </c>
      <c r="G1047" s="95" t="str">
        <f ca="1">IFERROR(__xludf.DUMMYFUNCTION("""COMPUTED_VALUE"""),"New")</f>
        <v>New</v>
      </c>
      <c r="H1047" s="96">
        <f ca="1">IFERROR(__xludf.DUMMYFUNCTION("""COMPUTED_VALUE"""),1)</f>
        <v>1</v>
      </c>
      <c r="I1047" s="97"/>
      <c r="J1047" s="98" t="str">
        <f ca="1">IFERROR(__xludf.DUMMYFUNCTION("""COMPUTED_VALUE"""),"Unknown")</f>
        <v>Unknown</v>
      </c>
      <c r="K1047" s="99" t="str">
        <f ca="1">IFERROR(__xludf.DUMMYFUNCTION("""COMPUTED_VALUE"""),"Unknown")</f>
        <v>Unknown</v>
      </c>
    </row>
    <row r="1048" spans="1:11" ht="13.2">
      <c r="A1048" s="89" t="str">
        <f ca="1">IFERROR(__xludf.DUMMYFUNCTION("""COMPUTED_VALUE"""),"Treat Pop Mega 10gm X15 Pcs X 20 Sticks")</f>
        <v>Treat Pop Mega 10gm X15 Pcs X 20 Sticks</v>
      </c>
      <c r="B1048" s="90" t="str">
        <f ca="1">IFERROR(__xludf.DUMMYFUNCTION("""COMPUTED_VALUE"""),"PCL")</f>
        <v>PCL</v>
      </c>
      <c r="C1048" s="91" t="str">
        <f ca="1">IFERROR(__xludf.DUMMYFUNCTION("""COMPUTED_VALUE"""),"Mona Apu")</f>
        <v>Mona Apu</v>
      </c>
      <c r="D1048" s="92" t="str">
        <f ca="1">IFERROR(__xludf.DUMMYFUNCTION("""COMPUTED_VALUE"""),"Masud Parvez Sani (S223034)")</f>
        <v>Masud Parvez Sani (S223034)</v>
      </c>
      <c r="E1048" s="93" t="str">
        <f ca="1">IFERROR(__xludf.DUMMYFUNCTION("""COMPUTED_VALUE"""),"CB35550_Jun26")</f>
        <v>CB35550_Jun26</v>
      </c>
      <c r="F1048" s="94" t="str">
        <f ca="1">IFERROR(__xludf.DUMMYFUNCTION("""COMPUTED_VALUE"""),"Carton Design")</f>
        <v>Carton Design</v>
      </c>
      <c r="G1048" s="95" t="str">
        <f ca="1">IFERROR(__xludf.DUMMYFUNCTION("""COMPUTED_VALUE"""),"New")</f>
        <v>New</v>
      </c>
      <c r="H1048" s="96">
        <f ca="1">IFERROR(__xludf.DUMMYFUNCTION("""COMPUTED_VALUE"""),1)</f>
        <v>1</v>
      </c>
      <c r="I1048" s="97"/>
      <c r="J1048" s="98" t="str">
        <f ca="1">IFERROR(__xludf.DUMMYFUNCTION("""COMPUTED_VALUE"""),"Unknown")</f>
        <v>Unknown</v>
      </c>
      <c r="K1048" s="99" t="str">
        <f ca="1">IFERROR(__xludf.DUMMYFUNCTION("""COMPUTED_VALUE"""),"Unknown")</f>
        <v>Unknown</v>
      </c>
    </row>
    <row r="1049" spans="1:11" ht="13.2">
      <c r="A1049" s="89" t="str">
        <f ca="1">IFERROR(__xludf.DUMMYFUNCTION("""COMPUTED_VALUE"""),"Treat Goldy Chocolate Coin 3g x 60 Pcs")</f>
        <v>Treat Goldy Chocolate Coin 3g x 60 Pcs</v>
      </c>
      <c r="B1049" s="90" t="str">
        <f ca="1">IFERROR(__xludf.DUMMYFUNCTION("""COMPUTED_VALUE"""),"PCL")</f>
        <v>PCL</v>
      </c>
      <c r="C1049" s="91" t="str">
        <f ca="1">IFERROR(__xludf.DUMMYFUNCTION("""COMPUTED_VALUE"""),"Mona Apu")</f>
        <v>Mona Apu</v>
      </c>
      <c r="D1049" s="92" t="str">
        <f ca="1">IFERROR(__xludf.DUMMYFUNCTION("""COMPUTED_VALUE"""),"Masud Parvez Sani (S223034)")</f>
        <v>Masud Parvez Sani (S223034)</v>
      </c>
      <c r="E1049" s="93" t="str">
        <f ca="1">IFERROR(__xludf.DUMMYFUNCTION("""COMPUTED_VALUE"""),"CB35588_Jun26")</f>
        <v>CB35588_Jun26</v>
      </c>
      <c r="F1049" s="94" t="str">
        <f ca="1">IFERROR(__xludf.DUMMYFUNCTION("""COMPUTED_VALUE"""),"Packaging Text Design #2")</f>
        <v>Packaging Text Design #2</v>
      </c>
      <c r="G1049" s="95" t="str">
        <f ca="1">IFERROR(__xludf.DUMMYFUNCTION("""COMPUTED_VALUE"""),"New")</f>
        <v>New</v>
      </c>
      <c r="H1049" s="96">
        <f ca="1">IFERROR(__xludf.DUMMYFUNCTION("""COMPUTED_VALUE"""),2)</f>
        <v>2</v>
      </c>
      <c r="I1049" s="97">
        <f ca="1">IFERROR(__xludf.DUMMYFUNCTION("""COMPUTED_VALUE"""),46201)</f>
        <v>46201</v>
      </c>
      <c r="J1049" s="98" t="str">
        <f ca="1">IFERROR(__xludf.DUMMYFUNCTION("""COMPUTED_VALUE"""),"CW38141_Jun26")</f>
        <v>CW38141_Jun26</v>
      </c>
      <c r="K1049" s="99" t="str">
        <f ca="1">IFERROR(__xludf.DUMMYFUNCTION("""COMPUTED_VALUE"""),"Brief Submitted")</f>
        <v>Brief Submitted</v>
      </c>
    </row>
    <row r="1050" spans="1:11" ht="13.2">
      <c r="A1050" s="89" t="str">
        <f ca="1">IFERROR(__xludf.DUMMYFUNCTION("""COMPUTED_VALUE"""),"1L TP Malaysia")</f>
        <v>1L TP Malaysia</v>
      </c>
      <c r="B1050" s="90" t="str">
        <f ca="1">IFERROR(__xludf.DUMMYFUNCTION("""COMPUTED_VALUE"""),"PDL")</f>
        <v>PDL</v>
      </c>
      <c r="C1050" s="91" t="str">
        <f ca="1">IFERROR(__xludf.DUMMYFUNCTION("""COMPUTED_VALUE"""),"Zahirul Vai")</f>
        <v>Zahirul Vai</v>
      </c>
      <c r="D1050" s="92" t="str">
        <f ca="1">IFERROR(__xludf.DUMMYFUNCTION("""COMPUTED_VALUE"""),"Masud Parvez Sani (S223034)")</f>
        <v>Masud Parvez Sani (S223034)</v>
      </c>
      <c r="E1050" s="93" t="str">
        <f ca="1">IFERROR(__xludf.DUMMYFUNCTION("""COMPUTED_VALUE"""),"CB35608_Jun26")</f>
        <v>CB35608_Jun26</v>
      </c>
      <c r="F1050" s="94" t="str">
        <f ca="1">IFERROR(__xludf.DUMMYFUNCTION("""COMPUTED_VALUE"""),"Packaging Text Design #2")</f>
        <v>Packaging Text Design #2</v>
      </c>
      <c r="G1050" s="95" t="str">
        <f ca="1">IFERROR(__xludf.DUMMYFUNCTION("""COMPUTED_VALUE"""),"New")</f>
        <v>New</v>
      </c>
      <c r="H1050" s="96">
        <f ca="1">IFERROR(__xludf.DUMMYFUNCTION("""COMPUTED_VALUE"""),6)</f>
        <v>6</v>
      </c>
      <c r="I1050" s="97">
        <f ca="1">IFERROR(__xludf.DUMMYFUNCTION("""COMPUTED_VALUE"""),46177)</f>
        <v>46177</v>
      </c>
      <c r="J1050" s="98" t="str">
        <f ca="1">IFERROR(__xludf.DUMMYFUNCTION("""COMPUTED_VALUE"""),"CW35594_Jun26")</f>
        <v>CW35594_Jun26</v>
      </c>
      <c r="K1050" s="99" t="str">
        <f ca="1">IFERROR(__xludf.DUMMYFUNCTION("""COMPUTED_VALUE"""),"HoM Approved")</f>
        <v>HoM Approved</v>
      </c>
    </row>
    <row r="1051" spans="1:11" ht="13.2">
      <c r="A1051" s="89" t="str">
        <f ca="1">IFERROR(__xludf.DUMMYFUNCTION("""COMPUTED_VALUE"""),"PRAN Vegetable &amp; Sweet Stickers")</f>
        <v>PRAN Vegetable &amp; Sweet Stickers</v>
      </c>
      <c r="B1051" s="90" t="str">
        <f ca="1">IFERROR(__xludf.DUMMYFUNCTION("""COMPUTED_VALUE"""),"BBL")</f>
        <v>BBL</v>
      </c>
      <c r="C1051" s="91" t="str">
        <f ca="1">IFERROR(__xludf.DUMMYFUNCTION("""COMPUTED_VALUE"""),"Zahirul Vai")</f>
        <v>Zahirul Vai</v>
      </c>
      <c r="D1051" s="92" t="str">
        <f ca="1">IFERROR(__xludf.DUMMYFUNCTION("""COMPUTED_VALUE"""),"Masud Parvez Sani (S223034)")</f>
        <v>Masud Parvez Sani (S223034)</v>
      </c>
      <c r="E1051" s="93" t="str">
        <f ca="1">IFERROR(__xludf.DUMMYFUNCTION("""COMPUTED_VALUE"""),"CB35609_Jun26")</f>
        <v>CB35609_Jun26</v>
      </c>
      <c r="F1051" s="94" t="str">
        <f ca="1">IFERROR(__xludf.DUMMYFUNCTION("""COMPUTED_VALUE"""),"Packaging Text Design #1")</f>
        <v>Packaging Text Design #1</v>
      </c>
      <c r="G1051" s="95" t="str">
        <f ca="1">IFERROR(__xludf.DUMMYFUNCTION("""COMPUTED_VALUE"""),"New")</f>
        <v>New</v>
      </c>
      <c r="H1051" s="96">
        <f ca="1">IFERROR(__xludf.DUMMYFUNCTION("""COMPUTED_VALUE"""),10)</f>
        <v>10</v>
      </c>
      <c r="I1051" s="97">
        <f ca="1">IFERROR(__xludf.DUMMYFUNCTION("""COMPUTED_VALUE"""),46177)</f>
        <v>46177</v>
      </c>
      <c r="J1051" s="98" t="str">
        <f ca="1">IFERROR(__xludf.DUMMYFUNCTION("""COMPUTED_VALUE"""),"CW35595_Jun26")</f>
        <v>CW35595_Jun26</v>
      </c>
      <c r="K1051" s="99" t="str">
        <f ca="1">IFERROR(__xludf.DUMMYFUNCTION("""COMPUTED_VALUE"""),"HoM Approved")</f>
        <v>HoM Approved</v>
      </c>
    </row>
    <row r="1052" spans="1:11" ht="13.2">
      <c r="A1052" s="89" t="str">
        <f ca="1">IFERROR(__xludf.DUMMYFUNCTION("""COMPUTED_VALUE"""),"PRAN Frozen Foods")</f>
        <v>PRAN Frozen Foods</v>
      </c>
      <c r="B1052" s="90" t="str">
        <f ca="1">IFERROR(__xludf.DUMMYFUNCTION("""COMPUTED_VALUE"""),"PFF")</f>
        <v>PFF</v>
      </c>
      <c r="C1052" s="91" t="str">
        <f ca="1">IFERROR(__xludf.DUMMYFUNCTION("""COMPUTED_VALUE"""),"Rakib Vai")</f>
        <v>Rakib Vai</v>
      </c>
      <c r="D1052" s="92" t="str">
        <f ca="1">IFERROR(__xludf.DUMMYFUNCTION("""COMPUTED_VALUE"""),"Masud Parvez Sani (S223034)")</f>
        <v>Masud Parvez Sani (S223034)</v>
      </c>
      <c r="E1052" s="93" t="str">
        <f ca="1">IFERROR(__xludf.DUMMYFUNCTION("""COMPUTED_VALUE"""),"CB35478_Jun26")</f>
        <v>CB35478_Jun26</v>
      </c>
      <c r="F1052" s="94" t="str">
        <f ca="1">IFERROR(__xludf.DUMMYFUNCTION("""COMPUTED_VALUE"""),"Packaging Text Design #1")</f>
        <v>Packaging Text Design #1</v>
      </c>
      <c r="G1052" s="95" t="str">
        <f ca="1">IFERROR(__xludf.DUMMYFUNCTION("""COMPUTED_VALUE"""),"New")</f>
        <v>New</v>
      </c>
      <c r="H1052" s="96">
        <f ca="1">IFERROR(__xludf.DUMMYFUNCTION("""COMPUTED_VALUE"""),3)</f>
        <v>3</v>
      </c>
      <c r="I1052" s="97"/>
      <c r="J1052" s="98" t="str">
        <f ca="1">IFERROR(__xludf.DUMMYFUNCTION("""COMPUTED_VALUE"""),"Unknown")</f>
        <v>Unknown</v>
      </c>
      <c r="K1052" s="99" t="str">
        <f ca="1">IFERROR(__xludf.DUMMYFUNCTION("""COMPUTED_VALUE"""),"Unknown")</f>
        <v>Unknown</v>
      </c>
    </row>
    <row r="1053" spans="1:11" ht="13.2">
      <c r="A1053" s="89" t="str">
        <f ca="1">IFERROR(__xludf.DUMMYFUNCTION("""COMPUTED_VALUE"""),"PRAN Cream Biscuit")</f>
        <v>PRAN Cream Biscuit</v>
      </c>
      <c r="B1053" s="90" t="str">
        <f ca="1">IFERROR(__xludf.DUMMYFUNCTION("""COMPUTED_VALUE"""),"BBL")</f>
        <v>BBL</v>
      </c>
      <c r="C1053" s="91" t="str">
        <f ca="1">IFERROR(__xludf.DUMMYFUNCTION("""COMPUTED_VALUE"""),"Mona Apu")</f>
        <v>Mona Apu</v>
      </c>
      <c r="D1053" s="92" t="str">
        <f ca="1">IFERROR(__xludf.DUMMYFUNCTION("""COMPUTED_VALUE"""),"Masud Parvez Sani (S223034)")</f>
        <v>Masud Parvez Sani (S223034)</v>
      </c>
      <c r="E1053" s="93" t="str">
        <f ca="1">IFERROR(__xludf.DUMMYFUNCTION("""COMPUTED_VALUE"""),"CB35737_Jun26")</f>
        <v>CB35737_Jun26</v>
      </c>
      <c r="F1053" s="94" t="str">
        <f ca="1">IFERROR(__xludf.DUMMYFUNCTION("""COMPUTED_VALUE"""),"Packaging Text Design #2")</f>
        <v>Packaging Text Design #2</v>
      </c>
      <c r="G1053" s="95" t="str">
        <f ca="1">IFERROR(__xludf.DUMMYFUNCTION("""COMPUTED_VALUE"""),"New")</f>
        <v>New</v>
      </c>
      <c r="H1053" s="96">
        <f ca="1">IFERROR(__xludf.DUMMYFUNCTION("""COMPUTED_VALUE"""),2)</f>
        <v>2</v>
      </c>
      <c r="I1053" s="97">
        <f ca="1">IFERROR(__xludf.DUMMYFUNCTION("""COMPUTED_VALUE"""),46202)</f>
        <v>46202</v>
      </c>
      <c r="J1053" s="98" t="str">
        <f ca="1">IFERROR(__xludf.DUMMYFUNCTION("""COMPUTED_VALUE"""),"CW38359_Jun26")</f>
        <v>CW38359_Jun26</v>
      </c>
      <c r="K1053" s="99" t="str">
        <f ca="1">IFERROR(__xludf.DUMMYFUNCTION("""COMPUTED_VALUE"""),"Brief Submitted")</f>
        <v>Brief Submitted</v>
      </c>
    </row>
    <row r="1054" spans="1:11" ht="13.2">
      <c r="A1054" s="89" t="str">
        <f ca="1">IFERROR(__xludf.DUMMYFUNCTION("""COMPUTED_VALUE"""),"Indya Jelly Fruits 18g x 75pcs Jar Label")</f>
        <v>Indya Jelly Fruits 18g x 75pcs Jar Label</v>
      </c>
      <c r="B1054" s="90" t="str">
        <f ca="1">IFERROR(__xludf.DUMMYFUNCTION("""COMPUTED_VALUE"""),"PAL")</f>
        <v>PAL</v>
      </c>
      <c r="C1054" s="91" t="str">
        <f ca="1">IFERROR(__xludf.DUMMYFUNCTION("""COMPUTED_VALUE"""),"Rakib Vai")</f>
        <v>Rakib Vai</v>
      </c>
      <c r="D1054" s="92" t="str">
        <f ca="1">IFERROR(__xludf.DUMMYFUNCTION("""COMPUTED_VALUE"""),"Masud Parvez Sani (S223034)")</f>
        <v>Masud Parvez Sani (S223034)</v>
      </c>
      <c r="E1054" s="93" t="str">
        <f ca="1">IFERROR(__xludf.DUMMYFUNCTION("""COMPUTED_VALUE"""),"CB35705_Jun26")</f>
        <v>CB35705_Jun26</v>
      </c>
      <c r="F1054" s="94" t="str">
        <f ca="1">IFERROR(__xludf.DUMMYFUNCTION("""COMPUTED_VALUE"""),"Packaging Text Design #1")</f>
        <v>Packaging Text Design #1</v>
      </c>
      <c r="G1054" s="95" t="str">
        <f ca="1">IFERROR(__xludf.DUMMYFUNCTION("""COMPUTED_VALUE"""),"New")</f>
        <v>New</v>
      </c>
      <c r="H1054" s="96">
        <f ca="1">IFERROR(__xludf.DUMMYFUNCTION("""COMPUTED_VALUE"""),1)</f>
        <v>1</v>
      </c>
      <c r="I1054" s="97">
        <f ca="1">IFERROR(__xludf.DUMMYFUNCTION("""COMPUTED_VALUE"""),46180)</f>
        <v>46180</v>
      </c>
      <c r="J1054" s="98" t="str">
        <f ca="1">IFERROR(__xludf.DUMMYFUNCTION("""COMPUTED_VALUE"""),"CW35803_Jun26")</f>
        <v>CW35803_Jun26</v>
      </c>
      <c r="K1054" s="99" t="str">
        <f ca="1">IFERROR(__xludf.DUMMYFUNCTION("""COMPUTED_VALUE"""),"HoM Approved")</f>
        <v>HoM Approved</v>
      </c>
    </row>
    <row r="1055" spans="1:11" ht="13.2">
      <c r="A1055" s="89" t="str">
        <f ca="1">IFERROR(__xludf.DUMMYFUNCTION("""COMPUTED_VALUE"""),"Potata Biscuit")</f>
        <v>Potata Biscuit</v>
      </c>
      <c r="B1055" s="90" t="str">
        <f ca="1">IFERROR(__xludf.DUMMYFUNCTION("""COMPUTED_VALUE"""),"PAL")</f>
        <v>PAL</v>
      </c>
      <c r="C1055" s="91" t="str">
        <f ca="1">IFERROR(__xludf.DUMMYFUNCTION("""COMPUTED_VALUE"""),"Mona Apu")</f>
        <v>Mona Apu</v>
      </c>
      <c r="D1055" s="92" t="str">
        <f ca="1">IFERROR(__xludf.DUMMYFUNCTION("""COMPUTED_VALUE"""),"Masud Parvez Sani (S223034)")</f>
        <v>Masud Parvez Sani (S223034)</v>
      </c>
      <c r="E1055" s="93" t="str">
        <f ca="1">IFERROR(__xludf.DUMMYFUNCTION("""COMPUTED_VALUE"""),"CB35822_Jun26")</f>
        <v>CB35822_Jun26</v>
      </c>
      <c r="F1055" s="94" t="str">
        <f ca="1">IFERROR(__xludf.DUMMYFUNCTION("""COMPUTED_VALUE"""),"Packaging Text Design #2")</f>
        <v>Packaging Text Design #2</v>
      </c>
      <c r="G1055" s="95" t="str">
        <f ca="1">IFERROR(__xludf.DUMMYFUNCTION("""COMPUTED_VALUE"""),"New")</f>
        <v>New</v>
      </c>
      <c r="H1055" s="96">
        <f ca="1">IFERROR(__xludf.DUMMYFUNCTION("""COMPUTED_VALUE"""),3)</f>
        <v>3</v>
      </c>
      <c r="I1055" s="97">
        <f ca="1">IFERROR(__xludf.DUMMYFUNCTION("""COMPUTED_VALUE"""),46202)</f>
        <v>46202</v>
      </c>
      <c r="J1055" s="98" t="str">
        <f ca="1">IFERROR(__xludf.DUMMYFUNCTION("""COMPUTED_VALUE"""),"CW38358_Jun26")</f>
        <v>CW38358_Jun26</v>
      </c>
      <c r="K1055" s="99" t="str">
        <f ca="1">IFERROR(__xludf.DUMMYFUNCTION("""COMPUTED_VALUE"""),"Brief Submitted")</f>
        <v>Brief Submitted</v>
      </c>
    </row>
    <row r="1056" spans="1:11" ht="13.2">
      <c r="A1056" s="89" t="str">
        <f ca="1">IFERROR(__xludf.DUMMYFUNCTION("""COMPUTED_VALUE"""),"Treat Soft Chewy Candy ")</f>
        <v xml:space="preserve">Treat Soft Chewy Candy </v>
      </c>
      <c r="B1056" s="90" t="str">
        <f ca="1">IFERROR(__xludf.DUMMYFUNCTION("""COMPUTED_VALUE"""),"PCL")</f>
        <v>PCL</v>
      </c>
      <c r="C1056" s="91" t="str">
        <f ca="1">IFERROR(__xludf.DUMMYFUNCTION("""COMPUTED_VALUE"""),"Mona Apu")</f>
        <v>Mona Apu</v>
      </c>
      <c r="D1056" s="92" t="str">
        <f ca="1">IFERROR(__xludf.DUMMYFUNCTION("""COMPUTED_VALUE"""),"Masud Parvez Sani (S223034)")</f>
        <v>Masud Parvez Sani (S223034)</v>
      </c>
      <c r="E1056" s="93" t="str">
        <f ca="1">IFERROR(__xludf.DUMMYFUNCTION("""COMPUTED_VALUE"""),"CB35830_Jun26")</f>
        <v>CB35830_Jun26</v>
      </c>
      <c r="F1056" s="94" t="str">
        <f ca="1">IFERROR(__xludf.DUMMYFUNCTION("""COMPUTED_VALUE"""),"Carton Design")</f>
        <v>Carton Design</v>
      </c>
      <c r="G1056" s="95" t="str">
        <f ca="1">IFERROR(__xludf.DUMMYFUNCTION("""COMPUTED_VALUE"""),"New")</f>
        <v>New</v>
      </c>
      <c r="H1056" s="96">
        <f ca="1">IFERROR(__xludf.DUMMYFUNCTION("""COMPUTED_VALUE"""),2)</f>
        <v>2</v>
      </c>
      <c r="I1056" s="97">
        <f ca="1">IFERROR(__xludf.DUMMYFUNCTION("""COMPUTED_VALUE"""),46190)</f>
        <v>46190</v>
      </c>
      <c r="J1056" s="98" t="str">
        <f ca="1">IFERROR(__xludf.DUMMYFUNCTION("""COMPUTED_VALUE"""),"CW36874_Jun26")</f>
        <v>CW36874_Jun26</v>
      </c>
      <c r="K1056" s="99" t="str">
        <f ca="1">IFERROR(__xludf.DUMMYFUNCTION("""COMPUTED_VALUE"""),"HoM Approved")</f>
        <v>HoM Approved</v>
      </c>
    </row>
    <row r="1057" spans="1:11" ht="13.2">
      <c r="A1057" s="89" t="str">
        <f ca="1">IFERROR(__xludf.DUMMYFUNCTION("""COMPUTED_VALUE"""),"Pran Potata  Biscuits Regular 12.5g &amp; Spicy 12.5g")</f>
        <v>Pran Potata  Biscuits Regular 12.5g &amp; Spicy 12.5g</v>
      </c>
      <c r="B1057" s="90" t="str">
        <f ca="1">IFERROR(__xludf.DUMMYFUNCTION("""COMPUTED_VALUE"""),"PAL")</f>
        <v>PAL</v>
      </c>
      <c r="C1057" s="91" t="str">
        <f ca="1">IFERROR(__xludf.DUMMYFUNCTION("""COMPUTED_VALUE"""),"Mona Apu")</f>
        <v>Mona Apu</v>
      </c>
      <c r="D1057" s="92" t="str">
        <f ca="1">IFERROR(__xludf.DUMMYFUNCTION("""COMPUTED_VALUE"""),"Masud Parvez Sani (S223034)")</f>
        <v>Masud Parvez Sani (S223034)</v>
      </c>
      <c r="E1057" s="93" t="str">
        <f ca="1">IFERROR(__xludf.DUMMYFUNCTION("""COMPUTED_VALUE"""),"CB35918_Jun26")</f>
        <v>CB35918_Jun26</v>
      </c>
      <c r="F1057" s="94" t="str">
        <f ca="1">IFERROR(__xludf.DUMMYFUNCTION("""COMPUTED_VALUE"""),"Packaging Text Design #1")</f>
        <v>Packaging Text Design #1</v>
      </c>
      <c r="G1057" s="95" t="str">
        <f ca="1">IFERROR(__xludf.DUMMYFUNCTION("""COMPUTED_VALUE"""),"New")</f>
        <v>New</v>
      </c>
      <c r="H1057" s="96">
        <f ca="1">IFERROR(__xludf.DUMMYFUNCTION("""COMPUTED_VALUE"""),2)</f>
        <v>2</v>
      </c>
      <c r="I1057" s="97"/>
      <c r="J1057" s="98" t="str">
        <f ca="1">IFERROR(__xludf.DUMMYFUNCTION("""COMPUTED_VALUE"""),"Unknown")</f>
        <v>Unknown</v>
      </c>
      <c r="K1057" s="99" t="str">
        <f ca="1">IFERROR(__xludf.DUMMYFUNCTION("""COMPUTED_VALUE"""),"Unknown")</f>
        <v>Unknown</v>
      </c>
    </row>
    <row r="1058" spans="1:11" ht="13.2">
      <c r="A1058" s="89" t="str">
        <f ca="1">IFERROR(__xludf.DUMMYFUNCTION("""COMPUTED_VALUE"""),"Treat Choco Choco Mega Chocolate, Strawberry, Milk Flavor 8g X 80 Pcs Jar")</f>
        <v>Treat Choco Choco Mega Chocolate, Strawberry, Milk Flavor 8g X 80 Pcs Jar</v>
      </c>
      <c r="B1058" s="90" t="str">
        <f ca="1">IFERROR(__xludf.DUMMYFUNCTION("""COMPUTED_VALUE"""),"PCL")</f>
        <v>PCL</v>
      </c>
      <c r="C1058" s="91" t="str">
        <f ca="1">IFERROR(__xludf.DUMMYFUNCTION("""COMPUTED_VALUE"""),"Mona Apu")</f>
        <v>Mona Apu</v>
      </c>
      <c r="D1058" s="92" t="str">
        <f ca="1">IFERROR(__xludf.DUMMYFUNCTION("""COMPUTED_VALUE"""),"Masud Parvez Sani (S223034)")</f>
        <v>Masud Parvez Sani (S223034)</v>
      </c>
      <c r="E1058" s="93" t="str">
        <f ca="1">IFERROR(__xludf.DUMMYFUNCTION("""COMPUTED_VALUE"""),"CB35919_Jun26")</f>
        <v>CB35919_Jun26</v>
      </c>
      <c r="F1058" s="94" t="str">
        <f ca="1">IFERROR(__xludf.DUMMYFUNCTION("""COMPUTED_VALUE"""),"Text Sticker Design #1")</f>
        <v>Text Sticker Design #1</v>
      </c>
      <c r="G1058" s="95" t="str">
        <f ca="1">IFERROR(__xludf.DUMMYFUNCTION("""COMPUTED_VALUE"""),"New")</f>
        <v>New</v>
      </c>
      <c r="H1058" s="96">
        <f ca="1">IFERROR(__xludf.DUMMYFUNCTION("""COMPUTED_VALUE"""),3)</f>
        <v>3</v>
      </c>
      <c r="I1058" s="97"/>
      <c r="J1058" s="98" t="str">
        <f ca="1">IFERROR(__xludf.DUMMYFUNCTION("""COMPUTED_VALUE"""),"Unknown")</f>
        <v>Unknown</v>
      </c>
      <c r="K1058" s="99" t="str">
        <f ca="1">IFERROR(__xludf.DUMMYFUNCTION("""COMPUTED_VALUE"""),"Unknown")</f>
        <v>Unknown</v>
      </c>
    </row>
    <row r="1059" spans="1:11" ht="13.2">
      <c r="A1059" s="89" t="str">
        <f ca="1">IFERROR(__xludf.DUMMYFUNCTION("""COMPUTED_VALUE"""),"PRAN Frozen Foods")</f>
        <v>PRAN Frozen Foods</v>
      </c>
      <c r="B1059" s="90" t="str">
        <f ca="1">IFERROR(__xludf.DUMMYFUNCTION("""COMPUTED_VALUE"""),"PFF")</f>
        <v>PFF</v>
      </c>
      <c r="C1059" s="91" t="str">
        <f ca="1">IFERROR(__xludf.DUMMYFUNCTION("""COMPUTED_VALUE"""),"Zahirul Vai")</f>
        <v>Zahirul Vai</v>
      </c>
      <c r="D1059" s="92" t="str">
        <f ca="1">IFERROR(__xludf.DUMMYFUNCTION("""COMPUTED_VALUE"""),"Masud Parvez Sani (S223034)")</f>
        <v>Masud Parvez Sani (S223034)</v>
      </c>
      <c r="E1059" s="93" t="str">
        <f ca="1">IFERROR(__xludf.DUMMYFUNCTION("""COMPUTED_VALUE"""),"CB35960_Jun26")</f>
        <v>CB35960_Jun26</v>
      </c>
      <c r="F1059" s="94" t="str">
        <f ca="1">IFERROR(__xludf.DUMMYFUNCTION("""COMPUTED_VALUE"""),"Carton Design")</f>
        <v>Carton Design</v>
      </c>
      <c r="G1059" s="95" t="str">
        <f ca="1">IFERROR(__xludf.DUMMYFUNCTION("""COMPUTED_VALUE"""),"New")</f>
        <v>New</v>
      </c>
      <c r="H1059" s="96">
        <f ca="1">IFERROR(__xludf.DUMMYFUNCTION("""COMPUTED_VALUE"""),7)</f>
        <v>7</v>
      </c>
      <c r="I1059" s="97"/>
      <c r="J1059" s="98" t="str">
        <f ca="1">IFERROR(__xludf.DUMMYFUNCTION("""COMPUTED_VALUE"""),"Unknown")</f>
        <v>Unknown</v>
      </c>
      <c r="K1059" s="99" t="str">
        <f ca="1">IFERROR(__xludf.DUMMYFUNCTION("""COMPUTED_VALUE"""),"Unknown")</f>
        <v>Unknown</v>
      </c>
    </row>
    <row r="1060" spans="1:11" ht="13.2">
      <c r="A1060" s="89" t="str">
        <f ca="1">IFERROR(__xludf.DUMMYFUNCTION("""COMPUTED_VALUE"""),"PRAN Lollipop")</f>
        <v>PRAN Lollipop</v>
      </c>
      <c r="B1060" s="90" t="str">
        <f ca="1">IFERROR(__xludf.DUMMYFUNCTION("""COMPUTED_VALUE"""),"PCL")</f>
        <v>PCL</v>
      </c>
      <c r="C1060" s="91" t="str">
        <f ca="1">IFERROR(__xludf.DUMMYFUNCTION("""COMPUTED_VALUE"""),"Enamul Vai")</f>
        <v>Enamul Vai</v>
      </c>
      <c r="D1060" s="92" t="str">
        <f ca="1">IFERROR(__xludf.DUMMYFUNCTION("""COMPUTED_VALUE"""),"Masud Parvez Sani (S223034)")</f>
        <v>Masud Parvez Sani (S223034)</v>
      </c>
      <c r="E1060" s="93" t="str">
        <f ca="1">IFERROR(__xludf.DUMMYFUNCTION("""COMPUTED_VALUE"""),"CB19409_Mar26")</f>
        <v>CB19409_Mar26</v>
      </c>
      <c r="F1060" s="94" t="str">
        <f ca="1">IFERROR(__xludf.DUMMYFUNCTION("""COMPUTED_VALUE"""),"Packaging Text Design #2")</f>
        <v>Packaging Text Design #2</v>
      </c>
      <c r="G1060" s="95" t="str">
        <f ca="1">IFERROR(__xludf.DUMMYFUNCTION("""COMPUTED_VALUE"""),"New")</f>
        <v>New</v>
      </c>
      <c r="H1060" s="96">
        <f ca="1">IFERROR(__xludf.DUMMYFUNCTION("""COMPUTED_VALUE"""),4)</f>
        <v>4</v>
      </c>
      <c r="I1060" s="97"/>
      <c r="J1060" s="98" t="str">
        <f ca="1">IFERROR(__xludf.DUMMYFUNCTION("""COMPUTED_VALUE"""),"Unknown")</f>
        <v>Unknown</v>
      </c>
      <c r="K1060" s="99" t="str">
        <f ca="1">IFERROR(__xludf.DUMMYFUNCTION("""COMPUTED_VALUE"""),"Unknown")</f>
        <v>Unknown</v>
      </c>
    </row>
    <row r="1061" spans="1:11" ht="13.2">
      <c r="A1061" s="89" t="str">
        <f ca="1">IFERROR(__xludf.DUMMYFUNCTION("""COMPUTED_VALUE"""),"PRAN Sauce Ketchup")</f>
        <v>PRAN Sauce Ketchup</v>
      </c>
      <c r="B1061" s="90" t="str">
        <f ca="1">IFERROR(__xludf.DUMMYFUNCTION("""COMPUTED_VALUE"""),"PAL")</f>
        <v>PAL</v>
      </c>
      <c r="C1061" s="91" t="str">
        <f ca="1">IFERROR(__xludf.DUMMYFUNCTION("""COMPUTED_VALUE"""),"Sharika Apu")</f>
        <v>Sharika Apu</v>
      </c>
      <c r="D1061" s="92" t="str">
        <f ca="1">IFERROR(__xludf.DUMMYFUNCTION("""COMPUTED_VALUE"""),"Masud Parvez Sani (S223034)")</f>
        <v>Masud Parvez Sani (S223034)</v>
      </c>
      <c r="E1061" s="93" t="str">
        <f ca="1">IFERROR(__xludf.DUMMYFUNCTION("""COMPUTED_VALUE"""),"CB22627_Apr26")</f>
        <v>CB22627_Apr26</v>
      </c>
      <c r="F1061" s="94" t="str">
        <f ca="1">IFERROR(__xludf.DUMMYFUNCTION("""COMPUTED_VALUE"""),"Packaging Text Design #2")</f>
        <v>Packaging Text Design #2</v>
      </c>
      <c r="G1061" s="95" t="str">
        <f ca="1">IFERROR(__xludf.DUMMYFUNCTION("""COMPUTED_VALUE"""),"New")</f>
        <v>New</v>
      </c>
      <c r="H1061" s="96">
        <f ca="1">IFERROR(__xludf.DUMMYFUNCTION("""COMPUTED_VALUE"""),4)</f>
        <v>4</v>
      </c>
      <c r="I1061" s="97"/>
      <c r="J1061" s="98" t="str">
        <f ca="1">IFERROR(__xludf.DUMMYFUNCTION("""COMPUTED_VALUE"""),"Unknown")</f>
        <v>Unknown</v>
      </c>
      <c r="K1061" s="99" t="str">
        <f ca="1">IFERROR(__xludf.DUMMYFUNCTION("""COMPUTED_VALUE"""),"Unknown")</f>
        <v>Unknown</v>
      </c>
    </row>
    <row r="1062" spans="1:11" ht="13.2">
      <c r="A1062" s="89" t="str">
        <f ca="1">IFERROR(__xludf.DUMMYFUNCTION("""COMPUTED_VALUE"""),"Lolliking Assorted Ecliar New design 300g")</f>
        <v>Lolliking Assorted Ecliar New design 300g</v>
      </c>
      <c r="B1062" s="90" t="str">
        <f ca="1">IFERROR(__xludf.DUMMYFUNCTION("""COMPUTED_VALUE"""),"PCL")</f>
        <v>PCL</v>
      </c>
      <c r="C1062" s="91" t="str">
        <f ca="1">IFERROR(__xludf.DUMMYFUNCTION("""COMPUTED_VALUE"""),"Rakib Vai")</f>
        <v>Rakib Vai</v>
      </c>
      <c r="D1062" s="92" t="str">
        <f ca="1">IFERROR(__xludf.DUMMYFUNCTION("""COMPUTED_VALUE"""),"Masud Parvez Sani (S223034)")</f>
        <v>Masud Parvez Sani (S223034)</v>
      </c>
      <c r="E1062" s="93" t="str">
        <f ca="1">IFERROR(__xludf.DUMMYFUNCTION("""COMPUTED_VALUE"""),"CB35997_Jun26")</f>
        <v>CB35997_Jun26</v>
      </c>
      <c r="F1062" s="94" t="str">
        <f ca="1">IFERROR(__xludf.DUMMYFUNCTION("""COMPUTED_VALUE"""),"Packaging Text Design #1")</f>
        <v>Packaging Text Design #1</v>
      </c>
      <c r="G1062" s="95" t="str">
        <f ca="1">IFERROR(__xludf.DUMMYFUNCTION("""COMPUTED_VALUE"""),"New")</f>
        <v>New</v>
      </c>
      <c r="H1062" s="96">
        <f ca="1">IFERROR(__xludf.DUMMYFUNCTION("""COMPUTED_VALUE"""),1)</f>
        <v>1</v>
      </c>
      <c r="I1062" s="97">
        <f ca="1">IFERROR(__xludf.DUMMYFUNCTION("""COMPUTED_VALUE"""),46184)</f>
        <v>46184</v>
      </c>
      <c r="J1062" s="98" t="str">
        <f ca="1">IFERROR(__xludf.DUMMYFUNCTION("""COMPUTED_VALUE"""),"CW36351_Jun26")</f>
        <v>CW36351_Jun26</v>
      </c>
      <c r="K1062" s="99" t="str">
        <f ca="1">IFERROR(__xludf.DUMMYFUNCTION("""COMPUTED_VALUE"""),"HoM Approved")</f>
        <v>HoM Approved</v>
      </c>
    </row>
    <row r="1063" spans="1:11" ht="13.2">
      <c r="A1063" s="89" t="str">
        <f ca="1">IFERROR(__xludf.DUMMYFUNCTION("""COMPUTED_VALUE""")," PRAN YUMMY BUTTER &amp; OATS COOKIES 42G")</f>
        <v xml:space="preserve"> PRAN YUMMY BUTTER &amp; OATS COOKIES 42G</v>
      </c>
      <c r="B1063" s="90" t="str">
        <f ca="1">IFERROR(__xludf.DUMMYFUNCTION("""COMPUTED_VALUE"""),"BBL")</f>
        <v>BBL</v>
      </c>
      <c r="C1063" s="91" t="str">
        <f ca="1">IFERROR(__xludf.DUMMYFUNCTION("""COMPUTED_VALUE"""),"Sharika Apu")</f>
        <v>Sharika Apu</v>
      </c>
      <c r="D1063" s="92" t="str">
        <f ca="1">IFERROR(__xludf.DUMMYFUNCTION("""COMPUTED_VALUE"""),"Masud Parvez Sani (S223034)")</f>
        <v>Masud Parvez Sani (S223034)</v>
      </c>
      <c r="E1063" s="93" t="str">
        <f ca="1">IFERROR(__xludf.DUMMYFUNCTION("""COMPUTED_VALUE"""),"CB36277_Jun26")</f>
        <v>CB36277_Jun26</v>
      </c>
      <c r="F1063" s="94" t="str">
        <f ca="1">IFERROR(__xludf.DUMMYFUNCTION("""COMPUTED_VALUE"""),"Packaging Text Design #2")</f>
        <v>Packaging Text Design #2</v>
      </c>
      <c r="G1063" s="95" t="str">
        <f ca="1">IFERROR(__xludf.DUMMYFUNCTION("""COMPUTED_VALUE"""),"New")</f>
        <v>New</v>
      </c>
      <c r="H1063" s="96">
        <f ca="1">IFERROR(__xludf.DUMMYFUNCTION("""COMPUTED_VALUE"""),2)</f>
        <v>2</v>
      </c>
      <c r="I1063" s="97"/>
      <c r="J1063" s="98" t="str">
        <f ca="1">IFERROR(__xludf.DUMMYFUNCTION("""COMPUTED_VALUE"""),"Unknown")</f>
        <v>Unknown</v>
      </c>
      <c r="K1063" s="99" t="str">
        <f ca="1">IFERROR(__xludf.DUMMYFUNCTION("""COMPUTED_VALUE"""),"Unknown")</f>
        <v>Unknown</v>
      </c>
    </row>
    <row r="1064" spans="1:11" ht="13.2">
      <c r="A1064" s="89" t="str">
        <f ca="1">IFERROR(__xludf.DUMMYFUNCTION("""COMPUTED_VALUE"""),"PRAN Chewy")</f>
        <v>PRAN Chewy</v>
      </c>
      <c r="B1064" s="90" t="str">
        <f ca="1">IFERROR(__xludf.DUMMYFUNCTION("""COMPUTED_VALUE"""),"PCL")</f>
        <v>PCL</v>
      </c>
      <c r="C1064" s="91" t="str">
        <f ca="1">IFERROR(__xludf.DUMMYFUNCTION("""COMPUTED_VALUE"""),"Rakib Vai")</f>
        <v>Rakib Vai</v>
      </c>
      <c r="D1064" s="92" t="str">
        <f ca="1">IFERROR(__xludf.DUMMYFUNCTION("""COMPUTED_VALUE"""),"Masud Parvez Sani (S223034)")</f>
        <v>Masud Parvez Sani (S223034)</v>
      </c>
      <c r="E1064" s="93" t="str">
        <f ca="1">IFERROR(__xludf.DUMMYFUNCTION("""COMPUTED_VALUE"""),"CB36301_Jun26")</f>
        <v>CB36301_Jun26</v>
      </c>
      <c r="F1064" s="94" t="str">
        <f ca="1">IFERROR(__xludf.DUMMYFUNCTION("""COMPUTED_VALUE"""),"Carton Design")</f>
        <v>Carton Design</v>
      </c>
      <c r="G1064" s="95" t="str">
        <f ca="1">IFERROR(__xludf.DUMMYFUNCTION("""COMPUTED_VALUE"""),"New")</f>
        <v>New</v>
      </c>
      <c r="H1064" s="96">
        <f ca="1">IFERROR(__xludf.DUMMYFUNCTION("""COMPUTED_VALUE"""),4)</f>
        <v>4</v>
      </c>
      <c r="I1064" s="97">
        <f ca="1">IFERROR(__xludf.DUMMYFUNCTION("""COMPUTED_VALUE"""),46186)</f>
        <v>46186</v>
      </c>
      <c r="J1064" s="98" t="str">
        <f ca="1">IFERROR(__xludf.DUMMYFUNCTION("""COMPUTED_VALUE"""),"CW36416_Jun26")</f>
        <v>CW36416_Jun26</v>
      </c>
      <c r="K1064" s="99" t="str">
        <f ca="1">IFERROR(__xludf.DUMMYFUNCTION("""COMPUTED_VALUE"""),"HoM Approved")</f>
        <v>HoM Approved</v>
      </c>
    </row>
    <row r="1065" spans="1:11" ht="13.2">
      <c r="A1065" s="89" t="str">
        <f ca="1">IFERROR(__xludf.DUMMYFUNCTION("""COMPUTED_VALUE"""),"Soan Papdi Packaging")</f>
        <v>Soan Papdi Packaging</v>
      </c>
      <c r="B1065" s="90" t="str">
        <f ca="1">IFERROR(__xludf.DUMMYFUNCTION("""COMPUTED_VALUE"""),"Tasty Treat")</f>
        <v>Tasty Treat</v>
      </c>
      <c r="C1065" s="91" t="str">
        <f ca="1">IFERROR(__xludf.DUMMYFUNCTION("""COMPUTED_VALUE"""),"Nahian Vai")</f>
        <v>Nahian Vai</v>
      </c>
      <c r="D1065" s="92" t="str">
        <f ca="1">IFERROR(__xludf.DUMMYFUNCTION("""COMPUTED_VALUE"""),"Masud Parvez Sani (S223034)")</f>
        <v>Masud Parvez Sani (S223034)</v>
      </c>
      <c r="E1065" s="93" t="str">
        <f ca="1">IFERROR(__xludf.DUMMYFUNCTION("""COMPUTED_VALUE"""),"CB36041_Jun26")</f>
        <v>CB36041_Jun26</v>
      </c>
      <c r="F1065" s="94" t="str">
        <f ca="1">IFERROR(__xludf.DUMMYFUNCTION("""COMPUTED_VALUE"""),"Packaging Text Design #2")</f>
        <v>Packaging Text Design #2</v>
      </c>
      <c r="G1065" s="95" t="str">
        <f ca="1">IFERROR(__xludf.DUMMYFUNCTION("""COMPUTED_VALUE"""),"New")</f>
        <v>New</v>
      </c>
      <c r="H1065" s="96">
        <f ca="1">IFERROR(__xludf.DUMMYFUNCTION("""COMPUTED_VALUE"""),3)</f>
        <v>3</v>
      </c>
      <c r="I1065" s="97">
        <f ca="1">IFERROR(__xludf.DUMMYFUNCTION("""COMPUTED_VALUE"""),46201)</f>
        <v>46201</v>
      </c>
      <c r="J1065" s="98" t="str">
        <f ca="1">IFERROR(__xludf.DUMMYFUNCTION("""COMPUTED_VALUE"""),"CW38151_Jun26")</f>
        <v>CW38151_Jun26</v>
      </c>
      <c r="K1065" s="99" t="str">
        <f ca="1">IFERROR(__xludf.DUMMYFUNCTION("""COMPUTED_VALUE"""),"Brief Submitted")</f>
        <v>Brief Submitted</v>
      </c>
    </row>
    <row r="1066" spans="1:11" ht="13.2">
      <c r="A1066" s="89" t="str">
        <f ca="1">IFERROR(__xludf.DUMMYFUNCTION("""COMPUTED_VALUE"""),"Butter Bun 55g")</f>
        <v>Butter Bun 55g</v>
      </c>
      <c r="B1066" s="90" t="str">
        <f ca="1">IFERROR(__xludf.DUMMYFUNCTION("""COMPUTED_VALUE"""),"Tasty Treat")</f>
        <v>Tasty Treat</v>
      </c>
      <c r="C1066" s="91" t="str">
        <f ca="1">IFERROR(__xludf.DUMMYFUNCTION("""COMPUTED_VALUE"""),"Nahian Vai")</f>
        <v>Nahian Vai</v>
      </c>
      <c r="D1066" s="92" t="str">
        <f ca="1">IFERROR(__xludf.DUMMYFUNCTION("""COMPUTED_VALUE"""),"Masud Parvez Sani (S223034)")</f>
        <v>Masud Parvez Sani (S223034)</v>
      </c>
      <c r="E1066" s="93" t="str">
        <f ca="1">IFERROR(__xludf.DUMMYFUNCTION("""COMPUTED_VALUE"""),"CB36086_Jun26")</f>
        <v>CB36086_Jun26</v>
      </c>
      <c r="F1066" s="94" t="str">
        <f ca="1">IFERROR(__xludf.DUMMYFUNCTION("""COMPUTED_VALUE"""),"Packaging Text Design #2")</f>
        <v>Packaging Text Design #2</v>
      </c>
      <c r="G1066" s="95" t="str">
        <f ca="1">IFERROR(__xludf.DUMMYFUNCTION("""COMPUTED_VALUE"""),"New")</f>
        <v>New</v>
      </c>
      <c r="H1066" s="96">
        <f ca="1">IFERROR(__xludf.DUMMYFUNCTION("""COMPUTED_VALUE"""),2)</f>
        <v>2</v>
      </c>
      <c r="I1066" s="97">
        <f ca="1">IFERROR(__xludf.DUMMYFUNCTION("""COMPUTED_VALUE"""),46212)</f>
        <v>46212</v>
      </c>
      <c r="J1066" s="98" t="str">
        <f ca="1">IFERROR(__xludf.DUMMYFUNCTION("""COMPUTED_VALUE"""),"CW39974_Jul26")</f>
        <v>CW39974_Jul26</v>
      </c>
      <c r="K1066" s="99" t="str">
        <f ca="1">IFERROR(__xludf.DUMMYFUNCTION("""COMPUTED_VALUE"""),"Brief Submitted")</f>
        <v>Brief Submitted</v>
      </c>
    </row>
    <row r="1067" spans="1:11" ht="13.2">
      <c r="A1067" s="89" t="str">
        <f ca="1">IFERROR(__xludf.DUMMYFUNCTION("""COMPUTED_VALUE"""),"All time Big Cookies Peanut, Sesame, Vanilla ")</f>
        <v xml:space="preserve">All time Big Cookies Peanut, Sesame, Vanilla </v>
      </c>
      <c r="B1067" s="90" t="str">
        <f ca="1">IFERROR(__xludf.DUMMYFUNCTION("""COMPUTED_VALUE"""),"BBL")</f>
        <v>BBL</v>
      </c>
      <c r="C1067" s="91" t="str">
        <f ca="1">IFERROR(__xludf.DUMMYFUNCTION("""COMPUTED_VALUE"""),"Zahirul Vai")</f>
        <v>Zahirul Vai</v>
      </c>
      <c r="D1067" s="92" t="str">
        <f ca="1">IFERROR(__xludf.DUMMYFUNCTION("""COMPUTED_VALUE"""),"Masud Parvez Sani (S223034)")</f>
        <v>Masud Parvez Sani (S223034)</v>
      </c>
      <c r="E1067" s="93" t="str">
        <f ca="1">IFERROR(__xludf.DUMMYFUNCTION("""COMPUTED_VALUE"""),"CB36451_Jun26")</f>
        <v>CB36451_Jun26</v>
      </c>
      <c r="F1067" s="94" t="str">
        <f ca="1">IFERROR(__xludf.DUMMYFUNCTION("""COMPUTED_VALUE"""),"Packaging Text Design #2")</f>
        <v>Packaging Text Design #2</v>
      </c>
      <c r="G1067" s="95" t="str">
        <f ca="1">IFERROR(__xludf.DUMMYFUNCTION("""COMPUTED_VALUE"""),"New")</f>
        <v>New</v>
      </c>
      <c r="H1067" s="96">
        <f ca="1">IFERROR(__xludf.DUMMYFUNCTION("""COMPUTED_VALUE"""),4)</f>
        <v>4</v>
      </c>
      <c r="I1067" s="97">
        <f ca="1">IFERROR(__xludf.DUMMYFUNCTION("""COMPUTED_VALUE"""),46188)</f>
        <v>46188</v>
      </c>
      <c r="J1067" s="98" t="str">
        <f ca="1">IFERROR(__xludf.DUMMYFUNCTION("""COMPUTED_VALUE"""),"CW36635_Jun26")</f>
        <v>CW36635_Jun26</v>
      </c>
      <c r="K1067" s="99" t="str">
        <f ca="1">IFERROR(__xludf.DUMMYFUNCTION("""COMPUTED_VALUE"""),"HoM Approved")</f>
        <v>HoM Approved</v>
      </c>
    </row>
    <row r="1068" spans="1:11" ht="13.2">
      <c r="A1068" s="89" t="str">
        <f ca="1">IFERROR(__xludf.DUMMYFUNCTION("""COMPUTED_VALUE"""),"All Time Butter Toast Pouch Pack")</f>
        <v>All Time Butter Toast Pouch Pack</v>
      </c>
      <c r="B1068" s="90" t="str">
        <f ca="1">IFERROR(__xludf.DUMMYFUNCTION("""COMPUTED_VALUE"""),"BBL")</f>
        <v>BBL</v>
      </c>
      <c r="C1068" s="91" t="str">
        <f ca="1">IFERROR(__xludf.DUMMYFUNCTION("""COMPUTED_VALUE"""),"Nuhal Vai")</f>
        <v>Nuhal Vai</v>
      </c>
      <c r="D1068" s="92" t="str">
        <f ca="1">IFERROR(__xludf.DUMMYFUNCTION("""COMPUTED_VALUE"""),"Masud Parvez Sani (S223034)")</f>
        <v>Masud Parvez Sani (S223034)</v>
      </c>
      <c r="E1068" s="93" t="str">
        <f ca="1">IFERROR(__xludf.DUMMYFUNCTION("""COMPUTED_VALUE"""),"CB24796_May26")</f>
        <v>CB24796_May26</v>
      </c>
      <c r="F1068" s="94" t="str">
        <f ca="1">IFERROR(__xludf.DUMMYFUNCTION("""COMPUTED_VALUE"""),"Packaging Text Design #2")</f>
        <v>Packaging Text Design #2</v>
      </c>
      <c r="G1068" s="95" t="str">
        <f ca="1">IFERROR(__xludf.DUMMYFUNCTION("""COMPUTED_VALUE"""),"New")</f>
        <v>New</v>
      </c>
      <c r="H1068" s="96">
        <f ca="1">IFERROR(__xludf.DUMMYFUNCTION("""COMPUTED_VALUE"""),1)</f>
        <v>1</v>
      </c>
      <c r="I1068" s="97"/>
      <c r="J1068" s="98" t="str">
        <f ca="1">IFERROR(__xludf.DUMMYFUNCTION("""COMPUTED_VALUE"""),"Unknown")</f>
        <v>Unknown</v>
      </c>
      <c r="K1068" s="99" t="str">
        <f ca="1">IFERROR(__xludf.DUMMYFUNCTION("""COMPUTED_VALUE"""),"Unknown")</f>
        <v>Unknown</v>
      </c>
    </row>
    <row r="1069" spans="1:11" ht="13.2">
      <c r="A1069" s="89" t="str">
        <f ca="1">IFERROR(__xludf.DUMMYFUNCTION("""COMPUTED_VALUE"""),"Tasty Treat 4 types of Cookies")</f>
        <v>Tasty Treat 4 types of Cookies</v>
      </c>
      <c r="B1069" s="90" t="str">
        <f ca="1">IFERROR(__xludf.DUMMYFUNCTION("""COMPUTED_VALUE"""),"Tasty Treat")</f>
        <v>Tasty Treat</v>
      </c>
      <c r="C1069" s="91" t="str">
        <f ca="1">IFERROR(__xludf.DUMMYFUNCTION("""COMPUTED_VALUE"""),"Shubhankar Vai")</f>
        <v>Shubhankar Vai</v>
      </c>
      <c r="D1069" s="92" t="str">
        <f ca="1">IFERROR(__xludf.DUMMYFUNCTION("""COMPUTED_VALUE"""),"Masud Parvez Sani (S223034)")</f>
        <v>Masud Parvez Sani (S223034)</v>
      </c>
      <c r="E1069" s="93" t="str">
        <f ca="1">IFERROR(__xludf.DUMMYFUNCTION("""COMPUTED_VALUE"""),"CB22566_Apr26")</f>
        <v>CB22566_Apr26</v>
      </c>
      <c r="F1069" s="94" t="str">
        <f ca="1">IFERROR(__xludf.DUMMYFUNCTION("""COMPUTED_VALUE"""),"Packaging Text Design #2")</f>
        <v>Packaging Text Design #2</v>
      </c>
      <c r="G1069" s="95" t="str">
        <f ca="1">IFERROR(__xludf.DUMMYFUNCTION("""COMPUTED_VALUE"""),"New")</f>
        <v>New</v>
      </c>
      <c r="H1069" s="96">
        <f ca="1">IFERROR(__xludf.DUMMYFUNCTION("""COMPUTED_VALUE"""),4)</f>
        <v>4</v>
      </c>
      <c r="I1069" s="97">
        <f ca="1">IFERROR(__xludf.DUMMYFUNCTION("""COMPUTED_VALUE"""),46207)</f>
        <v>46207</v>
      </c>
      <c r="J1069" s="98" t="str">
        <f ca="1">IFERROR(__xludf.DUMMYFUNCTION("""COMPUTED_VALUE"""),"CW39288_Jul26")</f>
        <v>CW39288_Jul26</v>
      </c>
      <c r="K1069" s="99" t="str">
        <f ca="1">IFERROR(__xludf.DUMMYFUNCTION("""COMPUTED_VALUE"""),"Brief Submitted")</f>
        <v>Brief Submitted</v>
      </c>
    </row>
    <row r="1070" spans="1:11" ht="13.2">
      <c r="A1070" s="89" t="str">
        <f ca="1">IFERROR(__xludf.DUMMYFUNCTION("""COMPUTED_VALUE"""),"All Time Big Cookies carton")</f>
        <v>All Time Big Cookies carton</v>
      </c>
      <c r="B1070" s="90" t="str">
        <f ca="1">IFERROR(__xludf.DUMMYFUNCTION("""COMPUTED_VALUE"""),"BBL")</f>
        <v>BBL</v>
      </c>
      <c r="C1070" s="91" t="str">
        <f ca="1">IFERROR(__xludf.DUMMYFUNCTION("""COMPUTED_VALUE"""),"Saifullah Vai")</f>
        <v>Saifullah Vai</v>
      </c>
      <c r="D1070" s="92" t="str">
        <f ca="1">IFERROR(__xludf.DUMMYFUNCTION("""COMPUTED_VALUE"""),"Masud Parvez Sani (S223034)")</f>
        <v>Masud Parvez Sani (S223034)</v>
      </c>
      <c r="E1070" s="93" t="str">
        <f ca="1">IFERROR(__xludf.DUMMYFUNCTION("""COMPUTED_VALUE"""),"CB36704_Jun26")</f>
        <v>CB36704_Jun26</v>
      </c>
      <c r="F1070" s="94" t="str">
        <f ca="1">IFERROR(__xludf.DUMMYFUNCTION("""COMPUTED_VALUE"""),"Carton Design")</f>
        <v>Carton Design</v>
      </c>
      <c r="G1070" s="95" t="str">
        <f ca="1">IFERROR(__xludf.DUMMYFUNCTION("""COMPUTED_VALUE"""),"New")</f>
        <v>New</v>
      </c>
      <c r="H1070" s="96">
        <f ca="1">IFERROR(__xludf.DUMMYFUNCTION("""COMPUTED_VALUE"""),1)</f>
        <v>1</v>
      </c>
      <c r="I1070" s="97">
        <f ca="1">IFERROR(__xludf.DUMMYFUNCTION("""COMPUTED_VALUE"""),46190)</f>
        <v>46190</v>
      </c>
      <c r="J1070" s="98" t="str">
        <f ca="1">IFERROR(__xludf.DUMMYFUNCTION("""COMPUTED_VALUE"""),"CW36901_Jun26")</f>
        <v>CW36901_Jun26</v>
      </c>
      <c r="K1070" s="99" t="str">
        <f ca="1">IFERROR(__xludf.DUMMYFUNCTION("""COMPUTED_VALUE"""),"HoM Approved")</f>
        <v>HoM Approved</v>
      </c>
    </row>
    <row r="1071" spans="1:11" ht="13.2">
      <c r="A1071" s="89" t="str">
        <f ca="1">IFERROR(__xludf.DUMMYFUNCTION("""COMPUTED_VALUE"""),"PRAN NOODLES ( SPECIAL CHICKEN FLAVOR) 70G")</f>
        <v>PRAN NOODLES ( SPECIAL CHICKEN FLAVOR) 70G</v>
      </c>
      <c r="B1071" s="90" t="str">
        <f ca="1">IFERROR(__xludf.DUMMYFUNCTION("""COMPUTED_VALUE"""),"PAL")</f>
        <v>PAL</v>
      </c>
      <c r="C1071" s="91" t="str">
        <f ca="1">IFERROR(__xludf.DUMMYFUNCTION("""COMPUTED_VALUE"""),"Farjana Apu")</f>
        <v>Farjana Apu</v>
      </c>
      <c r="D1071" s="92" t="str">
        <f ca="1">IFERROR(__xludf.DUMMYFUNCTION("""COMPUTED_VALUE"""),"Masud Parvez Sani (S223034)")</f>
        <v>Masud Parvez Sani (S223034)</v>
      </c>
      <c r="E1071" s="93" t="str">
        <f ca="1">IFERROR(__xludf.DUMMYFUNCTION("""COMPUTED_VALUE"""),"CB36725_Jun26")</f>
        <v>CB36725_Jun26</v>
      </c>
      <c r="F1071" s="94" t="str">
        <f ca="1">IFERROR(__xludf.DUMMYFUNCTION("""COMPUTED_VALUE"""),"Packaging Text Design #1")</f>
        <v>Packaging Text Design #1</v>
      </c>
      <c r="G1071" s="95" t="str">
        <f ca="1">IFERROR(__xludf.DUMMYFUNCTION("""COMPUTED_VALUE"""),"New")</f>
        <v>New</v>
      </c>
      <c r="H1071" s="96">
        <f ca="1">IFERROR(__xludf.DUMMYFUNCTION("""COMPUTED_VALUE"""),1)</f>
        <v>1</v>
      </c>
      <c r="I1071" s="97">
        <f ca="1">IFERROR(__xludf.DUMMYFUNCTION("""COMPUTED_VALUE"""),46193)</f>
        <v>46193</v>
      </c>
      <c r="J1071" s="98" t="str">
        <f ca="1">IFERROR(__xludf.DUMMYFUNCTION("""COMPUTED_VALUE"""),"CW37231_Jun26")</f>
        <v>CW37231_Jun26</v>
      </c>
      <c r="K1071" s="99" t="str">
        <f ca="1">IFERROR(__xludf.DUMMYFUNCTION("""COMPUTED_VALUE"""),"HoM Approved")</f>
        <v>HoM Approved</v>
      </c>
    </row>
    <row r="1072" spans="1:11" ht="13.2">
      <c r="A1072" s="89" t="str">
        <f ca="1">IFERROR(__xludf.DUMMYFUNCTION("""COMPUTED_VALUE"""),"All Time Pineapple Cream Biscuit CTN Design")</f>
        <v>All Time Pineapple Cream Biscuit CTN Design</v>
      </c>
      <c r="B1072" s="90" t="str">
        <f ca="1">IFERROR(__xludf.DUMMYFUNCTION("""COMPUTED_VALUE"""),"BBL")</f>
        <v>BBL</v>
      </c>
      <c r="C1072" s="91" t="str">
        <f ca="1">IFERROR(__xludf.DUMMYFUNCTION("""COMPUTED_VALUE"""),"Sabbir Vai")</f>
        <v>Sabbir Vai</v>
      </c>
      <c r="D1072" s="92" t="str">
        <f ca="1">IFERROR(__xludf.DUMMYFUNCTION("""COMPUTED_VALUE"""),"Masud Parvez Sani (S223034)")</f>
        <v>Masud Parvez Sani (S223034)</v>
      </c>
      <c r="E1072" s="93" t="str">
        <f ca="1">IFERROR(__xludf.DUMMYFUNCTION("""COMPUTED_VALUE"""),"CB36751_Jun26")</f>
        <v>CB36751_Jun26</v>
      </c>
      <c r="F1072" s="94" t="str">
        <f ca="1">IFERROR(__xludf.DUMMYFUNCTION("""COMPUTED_VALUE"""),"Carton Design")</f>
        <v>Carton Design</v>
      </c>
      <c r="G1072" s="95" t="str">
        <f ca="1">IFERROR(__xludf.DUMMYFUNCTION("""COMPUTED_VALUE"""),"New")</f>
        <v>New</v>
      </c>
      <c r="H1072" s="96">
        <f ca="1">IFERROR(__xludf.DUMMYFUNCTION("""COMPUTED_VALUE"""),1)</f>
        <v>1</v>
      </c>
      <c r="I1072" s="97">
        <f ca="1">IFERROR(__xludf.DUMMYFUNCTION("""COMPUTED_VALUE"""),46190)</f>
        <v>46190</v>
      </c>
      <c r="J1072" s="98" t="str">
        <f ca="1">IFERROR(__xludf.DUMMYFUNCTION("""COMPUTED_VALUE"""),"CW36982_Jun26")</f>
        <v>CW36982_Jun26</v>
      </c>
      <c r="K1072" s="99" t="str">
        <f ca="1">IFERROR(__xludf.DUMMYFUNCTION("""COMPUTED_VALUE"""),"HoM Approved")</f>
        <v>HoM Approved</v>
      </c>
    </row>
    <row r="1073" spans="1:11" ht="13.2">
      <c r="A1073" s="89" t="str">
        <f ca="1">IFERROR(__xludf.DUMMYFUNCTION("""COMPUTED_VALUE"""),"Soft bite packaging ")</f>
        <v xml:space="preserve">Soft bite packaging </v>
      </c>
      <c r="B1073" s="90" t="str">
        <f ca="1">IFERROR(__xludf.DUMMYFUNCTION("""COMPUTED_VALUE"""),"PSC")</f>
        <v>PSC</v>
      </c>
      <c r="C1073" s="91" t="str">
        <f ca="1">IFERROR(__xludf.DUMMYFUNCTION("""COMPUTED_VALUE"""),"Sohel Vai")</f>
        <v>Sohel Vai</v>
      </c>
      <c r="D1073" s="92" t="str">
        <f ca="1">IFERROR(__xludf.DUMMYFUNCTION("""COMPUTED_VALUE"""),"Masud Parvez Sani (S223034)")</f>
        <v>Masud Parvez Sani (S223034)</v>
      </c>
      <c r="E1073" s="93" t="str">
        <f ca="1">IFERROR(__xludf.DUMMYFUNCTION("""COMPUTED_VALUE"""),"CB36732_Jun26")</f>
        <v>CB36732_Jun26</v>
      </c>
      <c r="F1073" s="94" t="str">
        <f ca="1">IFERROR(__xludf.DUMMYFUNCTION("""COMPUTED_VALUE"""),"Packaging Text Design #1")</f>
        <v>Packaging Text Design #1</v>
      </c>
      <c r="G1073" s="95" t="str">
        <f ca="1">IFERROR(__xludf.DUMMYFUNCTION("""COMPUTED_VALUE"""),"New")</f>
        <v>New</v>
      </c>
      <c r="H1073" s="96">
        <f ca="1">IFERROR(__xludf.DUMMYFUNCTION("""COMPUTED_VALUE"""),8)</f>
        <v>8</v>
      </c>
      <c r="I1073" s="97">
        <f ca="1">IFERROR(__xludf.DUMMYFUNCTION("""COMPUTED_VALUE"""),46191)</f>
        <v>46191</v>
      </c>
      <c r="J1073" s="98" t="str">
        <f ca="1">IFERROR(__xludf.DUMMYFUNCTION("""COMPUTED_VALUE"""),"CW37186_Jun26")</f>
        <v>CW37186_Jun26</v>
      </c>
      <c r="K1073" s="99" t="str">
        <f ca="1">IFERROR(__xludf.DUMMYFUNCTION("""COMPUTED_VALUE"""),"HoM Approved")</f>
        <v>HoM Approved</v>
      </c>
    </row>
    <row r="1074" spans="1:11" ht="13.2">
      <c r="A1074" s="89" t="str">
        <f ca="1">IFERROR(__xludf.DUMMYFUNCTION("""COMPUTED_VALUE"""),"Vinegar Africa")</f>
        <v>Vinegar Africa</v>
      </c>
      <c r="B1074" s="90" t="str">
        <f ca="1">IFERROR(__xludf.DUMMYFUNCTION("""COMPUTED_VALUE"""),"NAL")</f>
        <v>NAL</v>
      </c>
      <c r="C1074" s="91" t="str">
        <f ca="1">IFERROR(__xludf.DUMMYFUNCTION("""COMPUTED_VALUE"""),"Zahirul Vai")</f>
        <v>Zahirul Vai</v>
      </c>
      <c r="D1074" s="92" t="str">
        <f ca="1">IFERROR(__xludf.DUMMYFUNCTION("""COMPUTED_VALUE"""),"Masud Parvez Sani (S223034)")</f>
        <v>Masud Parvez Sani (S223034)</v>
      </c>
      <c r="E1074" s="93" t="str">
        <f ca="1">IFERROR(__xludf.DUMMYFUNCTION("""COMPUTED_VALUE"""),"CB36753_Jun26")</f>
        <v>CB36753_Jun26</v>
      </c>
      <c r="F1074" s="94" t="str">
        <f ca="1">IFERROR(__xludf.DUMMYFUNCTION("""COMPUTED_VALUE"""),"Packaging Text Design #2")</f>
        <v>Packaging Text Design #2</v>
      </c>
      <c r="G1074" s="95" t="str">
        <f ca="1">IFERROR(__xludf.DUMMYFUNCTION("""COMPUTED_VALUE"""),"New")</f>
        <v>New</v>
      </c>
      <c r="H1074" s="96">
        <f ca="1">IFERROR(__xludf.DUMMYFUNCTION("""COMPUTED_VALUE"""),2)</f>
        <v>2</v>
      </c>
      <c r="I1074" s="97">
        <f ca="1">IFERROR(__xludf.DUMMYFUNCTION("""COMPUTED_VALUE"""),46190)</f>
        <v>46190</v>
      </c>
      <c r="J1074" s="98" t="str">
        <f ca="1">IFERROR(__xludf.DUMMYFUNCTION("""COMPUTED_VALUE"""),"CW37009_Jun26")</f>
        <v>CW37009_Jun26</v>
      </c>
      <c r="K1074" s="99" t="str">
        <f ca="1">IFERROR(__xludf.DUMMYFUNCTION("""COMPUTED_VALUE"""),"HoM Approved")</f>
        <v>HoM Approved</v>
      </c>
    </row>
    <row r="1075" spans="1:11" ht="13.2">
      <c r="A1075" s="89" t="str">
        <f ca="1">IFERROR(__xludf.DUMMYFUNCTION("""COMPUTED_VALUE"""),"Pack design - Spaghetti")</f>
        <v>Pack design - Spaghetti</v>
      </c>
      <c r="B1075" s="90" t="str">
        <f ca="1">IFERROR(__xludf.DUMMYFUNCTION("""COMPUTED_VALUE"""),"PAL")</f>
        <v>PAL</v>
      </c>
      <c r="C1075" s="91" t="str">
        <f ca="1">IFERROR(__xludf.DUMMYFUNCTION("""COMPUTED_VALUE"""),"Zahirul Vai")</f>
        <v>Zahirul Vai</v>
      </c>
      <c r="D1075" s="92" t="str">
        <f ca="1">IFERROR(__xludf.DUMMYFUNCTION("""COMPUTED_VALUE"""),"Masud Parvez Sani (S223034)")</f>
        <v>Masud Parvez Sani (S223034)</v>
      </c>
      <c r="E1075" s="93" t="str">
        <f ca="1">IFERROR(__xludf.DUMMYFUNCTION("""COMPUTED_VALUE"""),"CB18738_Mar26")</f>
        <v>CB18738_Mar26</v>
      </c>
      <c r="F1075" s="94" t="str">
        <f ca="1">IFERROR(__xludf.DUMMYFUNCTION("""COMPUTED_VALUE"""),"Packaging Text Design #2")</f>
        <v>Packaging Text Design #2</v>
      </c>
      <c r="G1075" s="95" t="str">
        <f ca="1">IFERROR(__xludf.DUMMYFUNCTION("""COMPUTED_VALUE"""),"New")</f>
        <v>New</v>
      </c>
      <c r="H1075" s="96">
        <f ca="1">IFERROR(__xludf.DUMMYFUNCTION("""COMPUTED_VALUE"""),3)</f>
        <v>3</v>
      </c>
      <c r="I1075" s="97">
        <f ca="1">IFERROR(__xludf.DUMMYFUNCTION("""COMPUTED_VALUE"""),46191)</f>
        <v>46191</v>
      </c>
      <c r="J1075" s="98" t="str">
        <f ca="1">IFERROR(__xludf.DUMMYFUNCTION("""COMPUTED_VALUE"""),"CW37111_Jun26")</f>
        <v>CW37111_Jun26</v>
      </c>
      <c r="K1075" s="99" t="str">
        <f ca="1">IFERROR(__xludf.DUMMYFUNCTION("""COMPUTED_VALUE"""),"HoM Approved")</f>
        <v>HoM Approved</v>
      </c>
    </row>
    <row r="1076" spans="1:11" ht="13.2">
      <c r="A1076" s="89" t="str">
        <f ca="1">IFERROR(__xludf.DUMMYFUNCTION("""COMPUTED_VALUE"""),"Bisk Club SHERO Biscuit")</f>
        <v>Bisk Club SHERO Biscuit</v>
      </c>
      <c r="B1076" s="90" t="str">
        <f ca="1">IFERROR(__xludf.DUMMYFUNCTION("""COMPUTED_VALUE"""),"BBL")</f>
        <v>BBL</v>
      </c>
      <c r="C1076" s="91" t="str">
        <f ca="1">IFERROR(__xludf.DUMMYFUNCTION("""COMPUTED_VALUE"""),"Mona Apu")</f>
        <v>Mona Apu</v>
      </c>
      <c r="D1076" s="92" t="str">
        <f ca="1">IFERROR(__xludf.DUMMYFUNCTION("""COMPUTED_VALUE"""),"Masud Parvez Sani (S223034)")</f>
        <v>Masud Parvez Sani (S223034)</v>
      </c>
      <c r="E1076" s="93" t="str">
        <f ca="1">IFERROR(__xludf.DUMMYFUNCTION("""COMPUTED_VALUE"""),"CB36739_Jun26")</f>
        <v>CB36739_Jun26</v>
      </c>
      <c r="F1076" s="94" t="str">
        <f ca="1">IFERROR(__xludf.DUMMYFUNCTION("""COMPUTED_VALUE"""),"Packaging Text Design #2")</f>
        <v>Packaging Text Design #2</v>
      </c>
      <c r="G1076" s="95" t="str">
        <f ca="1">IFERROR(__xludf.DUMMYFUNCTION("""COMPUTED_VALUE"""),"New")</f>
        <v>New</v>
      </c>
      <c r="H1076" s="96">
        <f ca="1">IFERROR(__xludf.DUMMYFUNCTION("""COMPUTED_VALUE"""),2)</f>
        <v>2</v>
      </c>
      <c r="I1076" s="97"/>
      <c r="J1076" s="98" t="str">
        <f ca="1">IFERROR(__xludf.DUMMYFUNCTION("""COMPUTED_VALUE"""),"Unknown")</f>
        <v>Unknown</v>
      </c>
      <c r="K1076" s="99" t="str">
        <f ca="1">IFERROR(__xludf.DUMMYFUNCTION("""COMPUTED_VALUE"""),"Unknown")</f>
        <v>Unknown</v>
      </c>
    </row>
    <row r="1077" spans="1:11" ht="13.2">
      <c r="A1077" s="89" t="str">
        <f ca="1">IFERROR(__xludf.DUMMYFUNCTION("""COMPUTED_VALUE"""),"PRAN Oh Cake")</f>
        <v>PRAN Oh Cake</v>
      </c>
      <c r="B1077" s="90" t="str">
        <f ca="1">IFERROR(__xludf.DUMMYFUNCTION("""COMPUTED_VALUE"""),"BBL")</f>
        <v>BBL</v>
      </c>
      <c r="C1077" s="91" t="str">
        <f ca="1">IFERROR(__xludf.DUMMYFUNCTION("""COMPUTED_VALUE"""),"Mona Apu")</f>
        <v>Mona Apu</v>
      </c>
      <c r="D1077" s="92" t="str">
        <f ca="1">IFERROR(__xludf.DUMMYFUNCTION("""COMPUTED_VALUE"""),"Masud Parvez Sani (S223034)")</f>
        <v>Masud Parvez Sani (S223034)</v>
      </c>
      <c r="E1077" s="93" t="str">
        <f ca="1">IFERROR(__xludf.DUMMYFUNCTION("""COMPUTED_VALUE"""),"CB36818_Jun26")</f>
        <v>CB36818_Jun26</v>
      </c>
      <c r="F1077" s="94" t="str">
        <f ca="1">IFERROR(__xludf.DUMMYFUNCTION("""COMPUTED_VALUE"""),"Packaging Text Design #2")</f>
        <v>Packaging Text Design #2</v>
      </c>
      <c r="G1077" s="95" t="str">
        <f ca="1">IFERROR(__xludf.DUMMYFUNCTION("""COMPUTED_VALUE"""),"New")</f>
        <v>New</v>
      </c>
      <c r="H1077" s="96">
        <f ca="1">IFERROR(__xludf.DUMMYFUNCTION("""COMPUTED_VALUE"""),4)</f>
        <v>4</v>
      </c>
      <c r="I1077" s="97">
        <f ca="1">IFERROR(__xludf.DUMMYFUNCTION("""COMPUTED_VALUE"""),46198)</f>
        <v>46198</v>
      </c>
      <c r="J1077" s="98" t="str">
        <f ca="1">IFERROR(__xludf.DUMMYFUNCTION("""COMPUTED_VALUE"""),"CW37914_Jun26")</f>
        <v>CW37914_Jun26</v>
      </c>
      <c r="K1077" s="99" t="str">
        <f ca="1">IFERROR(__xludf.DUMMYFUNCTION("""COMPUTED_VALUE"""),"Brief Submitted")</f>
        <v>Brief Submitted</v>
      </c>
    </row>
    <row r="1078" spans="1:11" ht="13.2">
      <c r="A1078" s="89" t="str">
        <f ca="1">IFERROR(__xludf.DUMMYFUNCTION("""COMPUTED_VALUE"""),"Lolliking Assorted Eclair New design")</f>
        <v>Lolliking Assorted Eclair New design</v>
      </c>
      <c r="B1078" s="90" t="str">
        <f ca="1">IFERROR(__xludf.DUMMYFUNCTION("""COMPUTED_VALUE"""),"PCL")</f>
        <v>PCL</v>
      </c>
      <c r="C1078" s="91" t="str">
        <f ca="1">IFERROR(__xludf.DUMMYFUNCTION("""COMPUTED_VALUE"""),"Rakib Vai")</f>
        <v>Rakib Vai</v>
      </c>
      <c r="D1078" s="92" t="str">
        <f ca="1">IFERROR(__xludf.DUMMYFUNCTION("""COMPUTED_VALUE"""),"Masud Parvez Sani (S223034)")</f>
        <v>Masud Parvez Sani (S223034)</v>
      </c>
      <c r="E1078" s="93" t="str">
        <f ca="1">IFERROR(__xludf.DUMMYFUNCTION("""COMPUTED_VALUE"""),"CB36838_Jun26")</f>
        <v>CB36838_Jun26</v>
      </c>
      <c r="F1078" s="94" t="str">
        <f ca="1">IFERROR(__xludf.DUMMYFUNCTION("""COMPUTED_VALUE"""),"Packaging Text Design #1")</f>
        <v>Packaging Text Design #1</v>
      </c>
      <c r="G1078" s="95" t="str">
        <f ca="1">IFERROR(__xludf.DUMMYFUNCTION("""COMPUTED_VALUE"""),"New")</f>
        <v>New</v>
      </c>
      <c r="H1078" s="96">
        <f ca="1">IFERROR(__xludf.DUMMYFUNCTION("""COMPUTED_VALUE"""),5)</f>
        <v>5</v>
      </c>
      <c r="I1078" s="97">
        <f ca="1">IFERROR(__xludf.DUMMYFUNCTION("""COMPUTED_VALUE"""),46191)</f>
        <v>46191</v>
      </c>
      <c r="J1078" s="98" t="str">
        <f ca="1">IFERROR(__xludf.DUMMYFUNCTION("""COMPUTED_VALUE"""),"CW37112_Jun26")</f>
        <v>CW37112_Jun26</v>
      </c>
      <c r="K1078" s="99" t="str">
        <f ca="1">IFERROR(__xludf.DUMMYFUNCTION("""COMPUTED_VALUE"""),"HoM Approved")</f>
        <v>HoM Approved</v>
      </c>
    </row>
    <row r="1079" spans="1:11" ht="13.2">
      <c r="A1079" s="89" t="str">
        <f ca="1">IFERROR(__xludf.DUMMYFUNCTION("""COMPUTED_VALUE"""),"Xcel Chewing Gum 8g")</f>
        <v>Xcel Chewing Gum 8g</v>
      </c>
      <c r="B1079" s="90" t="str">
        <f ca="1">IFERROR(__xludf.DUMMYFUNCTION("""COMPUTED_VALUE"""),"PCL")</f>
        <v>PCL</v>
      </c>
      <c r="C1079" s="91" t="str">
        <f ca="1">IFERROR(__xludf.DUMMYFUNCTION("""COMPUTED_VALUE"""),"Rakib Vai")</f>
        <v>Rakib Vai</v>
      </c>
      <c r="D1079" s="92" t="str">
        <f ca="1">IFERROR(__xludf.DUMMYFUNCTION("""COMPUTED_VALUE"""),"Masud Parvez Sani (S223034)")</f>
        <v>Masud Parvez Sani (S223034)</v>
      </c>
      <c r="E1079" s="93" t="str">
        <f ca="1">IFERROR(__xludf.DUMMYFUNCTION("""COMPUTED_VALUE"""),"CB36841_Jun26")</f>
        <v>CB36841_Jun26</v>
      </c>
      <c r="F1079" s="94" t="str">
        <f ca="1">IFERROR(__xludf.DUMMYFUNCTION("""COMPUTED_VALUE"""),"Packaging Text Design #1")</f>
        <v>Packaging Text Design #1</v>
      </c>
      <c r="G1079" s="95" t="str">
        <f ca="1">IFERROR(__xludf.DUMMYFUNCTION("""COMPUTED_VALUE"""),"New")</f>
        <v>New</v>
      </c>
      <c r="H1079" s="96">
        <f ca="1">IFERROR(__xludf.DUMMYFUNCTION("""COMPUTED_VALUE"""),3)</f>
        <v>3</v>
      </c>
      <c r="I1079" s="97">
        <f ca="1">IFERROR(__xludf.DUMMYFUNCTION("""COMPUTED_VALUE"""),46211)</f>
        <v>46211</v>
      </c>
      <c r="J1079" s="98" t="str">
        <f ca="1">IFERROR(__xludf.DUMMYFUNCTION("""COMPUTED_VALUE"""),"CW39856_Jul26")</f>
        <v>CW39856_Jul26</v>
      </c>
      <c r="K1079" s="99" t="str">
        <f ca="1">IFERROR(__xludf.DUMMYFUNCTION("""COMPUTED_VALUE"""),"Brief Submitted")</f>
        <v>Brief Submitted</v>
      </c>
    </row>
    <row r="1080" spans="1:11" ht="13.2">
      <c r="A1080" s="89" t="str">
        <f ca="1">IFERROR(__xludf.DUMMYFUNCTION("""COMPUTED_VALUE"""),"PRAN DW Cartoon")</f>
        <v>PRAN DW Cartoon</v>
      </c>
      <c r="B1080" s="90" t="str">
        <f ca="1">IFERROR(__xludf.DUMMYFUNCTION("""COMPUTED_VALUE"""),"PBL")</f>
        <v>PBL</v>
      </c>
      <c r="C1080" s="91" t="str">
        <f ca="1">IFERROR(__xludf.DUMMYFUNCTION("""COMPUTED_VALUE"""),"Waliul Vai")</f>
        <v>Waliul Vai</v>
      </c>
      <c r="D1080" s="92" t="str">
        <f ca="1">IFERROR(__xludf.DUMMYFUNCTION("""COMPUTED_VALUE"""),"Masud Parvez Sani (S223034)")</f>
        <v>Masud Parvez Sani (S223034)</v>
      </c>
      <c r="E1080" s="93" t="str">
        <f ca="1">IFERROR(__xludf.DUMMYFUNCTION("""COMPUTED_VALUE"""),"CB36793_Jun26")</f>
        <v>CB36793_Jun26</v>
      </c>
      <c r="F1080" s="94" t="str">
        <f ca="1">IFERROR(__xludf.DUMMYFUNCTION("""COMPUTED_VALUE"""),"Carton Design")</f>
        <v>Carton Design</v>
      </c>
      <c r="G1080" s="95" t="str">
        <f ca="1">IFERROR(__xludf.DUMMYFUNCTION("""COMPUTED_VALUE"""),"New")</f>
        <v>New</v>
      </c>
      <c r="H1080" s="96">
        <f ca="1">IFERROR(__xludf.DUMMYFUNCTION("""COMPUTED_VALUE"""),4)</f>
        <v>4</v>
      </c>
      <c r="I1080" s="97">
        <f ca="1">IFERROR(__xludf.DUMMYFUNCTION("""COMPUTED_VALUE"""),46191)</f>
        <v>46191</v>
      </c>
      <c r="J1080" s="98" t="str">
        <f ca="1">IFERROR(__xludf.DUMMYFUNCTION("""COMPUTED_VALUE"""),"CW37118_Jun26")</f>
        <v>CW37118_Jun26</v>
      </c>
      <c r="K1080" s="99" t="str">
        <f ca="1">IFERROR(__xludf.DUMMYFUNCTION("""COMPUTED_VALUE"""),"HoM Approved")</f>
        <v>HoM Approved</v>
      </c>
    </row>
    <row r="1081" spans="1:11" ht="13.2">
      <c r="A1081" s="89" t="str">
        <f ca="1">IFERROR(__xludf.DUMMYFUNCTION("""COMPUTED_VALUE"""),"Crunchy Wafer USA")</f>
        <v>Crunchy Wafer USA</v>
      </c>
      <c r="B1081" s="90" t="str">
        <f ca="1">IFERROR(__xludf.DUMMYFUNCTION("""COMPUTED_VALUE"""),"PAL")</f>
        <v>PAL</v>
      </c>
      <c r="C1081" s="91" t="str">
        <f ca="1">IFERROR(__xludf.DUMMYFUNCTION("""COMPUTED_VALUE"""),"Zahirul Vai")</f>
        <v>Zahirul Vai</v>
      </c>
      <c r="D1081" s="92" t="str">
        <f ca="1">IFERROR(__xludf.DUMMYFUNCTION("""COMPUTED_VALUE"""),"Masud Parvez Sani (S223034)")</f>
        <v>Masud Parvez Sani (S223034)</v>
      </c>
      <c r="E1081" s="93" t="str">
        <f ca="1">IFERROR(__xludf.DUMMYFUNCTION("""COMPUTED_VALUE"""),"CB36884_Jun26")</f>
        <v>CB36884_Jun26</v>
      </c>
      <c r="F1081" s="94" t="str">
        <f ca="1">IFERROR(__xludf.DUMMYFUNCTION("""COMPUTED_VALUE"""),"Packaging Text Design #2")</f>
        <v>Packaging Text Design #2</v>
      </c>
      <c r="G1081" s="95" t="str">
        <f ca="1">IFERROR(__xludf.DUMMYFUNCTION("""COMPUTED_VALUE"""),"New")</f>
        <v>New</v>
      </c>
      <c r="H1081" s="96">
        <f ca="1">IFERROR(__xludf.DUMMYFUNCTION("""COMPUTED_VALUE"""),6)</f>
        <v>6</v>
      </c>
      <c r="I1081" s="97">
        <f ca="1">IFERROR(__xludf.DUMMYFUNCTION("""COMPUTED_VALUE"""),46193)</f>
        <v>46193</v>
      </c>
      <c r="J1081" s="98" t="str">
        <f ca="1">IFERROR(__xludf.DUMMYFUNCTION("""COMPUTED_VALUE"""),"CW37233_Jun26")</f>
        <v>CW37233_Jun26</v>
      </c>
      <c r="K1081" s="99" t="str">
        <f ca="1">IFERROR(__xludf.DUMMYFUNCTION("""COMPUTED_VALUE"""),"HoM Approved")</f>
        <v>HoM Approved</v>
      </c>
    </row>
    <row r="1082" spans="1:11" ht="13.2">
      <c r="A1082" s="89" t="str">
        <f ca="1">IFERROR(__xludf.DUMMYFUNCTION("""COMPUTED_VALUE"""),"PRAN Oh Cake 4 Flabvour (Combodia)")</f>
        <v>PRAN Oh Cake 4 Flabvour (Combodia)</v>
      </c>
      <c r="B1082" s="90" t="str">
        <f ca="1">IFERROR(__xludf.DUMMYFUNCTION("""COMPUTED_VALUE"""),"BBL")</f>
        <v>BBL</v>
      </c>
      <c r="C1082" s="91" t="str">
        <f ca="1">IFERROR(__xludf.DUMMYFUNCTION("""COMPUTED_VALUE"""),"Mona Apu")</f>
        <v>Mona Apu</v>
      </c>
      <c r="D1082" s="92" t="str">
        <f ca="1">IFERROR(__xludf.DUMMYFUNCTION("""COMPUTED_VALUE"""),"Masud Parvez Sani (S223034)")</f>
        <v>Masud Parvez Sani (S223034)</v>
      </c>
      <c r="E1082" s="93" t="str">
        <f ca="1">IFERROR(__xludf.DUMMYFUNCTION("""COMPUTED_VALUE"""),"CB37084_Jun26")</f>
        <v>CB37084_Jun26</v>
      </c>
      <c r="F1082" s="94" t="str">
        <f ca="1">IFERROR(__xludf.DUMMYFUNCTION("""COMPUTED_VALUE"""),"Packaging Text Design #2")</f>
        <v>Packaging Text Design #2</v>
      </c>
      <c r="G1082" s="95" t="str">
        <f ca="1">IFERROR(__xludf.DUMMYFUNCTION("""COMPUTED_VALUE"""),"New")</f>
        <v>New</v>
      </c>
      <c r="H1082" s="96">
        <f ca="1">IFERROR(__xludf.DUMMYFUNCTION("""COMPUTED_VALUE"""),4)</f>
        <v>4</v>
      </c>
      <c r="I1082" s="97">
        <f ca="1">IFERROR(__xludf.DUMMYFUNCTION("""COMPUTED_VALUE"""),46198)</f>
        <v>46198</v>
      </c>
      <c r="J1082" s="98" t="str">
        <f ca="1">IFERROR(__xludf.DUMMYFUNCTION("""COMPUTED_VALUE"""),"CW37911_Jun26")</f>
        <v>CW37911_Jun26</v>
      </c>
      <c r="K1082" s="99" t="str">
        <f ca="1">IFERROR(__xludf.DUMMYFUNCTION("""COMPUTED_VALUE"""),"Brief Submitted")</f>
        <v>Brief Submitted</v>
      </c>
    </row>
    <row r="1083" spans="1:11" ht="13.2">
      <c r="A1083" s="89" t="str">
        <f ca="1">IFERROR(__xludf.DUMMYFUNCTION("""COMPUTED_VALUE"""),"Indya Jelly Drinks New design Australia Lid &amp; label")</f>
        <v>Indya Jelly Drinks New design Australia Lid &amp; label</v>
      </c>
      <c r="B1083" s="90" t="str">
        <f ca="1">IFERROR(__xludf.DUMMYFUNCTION("""COMPUTED_VALUE"""),"PAL")</f>
        <v>PAL</v>
      </c>
      <c r="C1083" s="91" t="str">
        <f ca="1">IFERROR(__xludf.DUMMYFUNCTION("""COMPUTED_VALUE"""),"Rakib Vai")</f>
        <v>Rakib Vai</v>
      </c>
      <c r="D1083" s="92" t="str">
        <f ca="1">IFERROR(__xludf.DUMMYFUNCTION("""COMPUTED_VALUE"""),"Masud Parvez Sani (S223034)")</f>
        <v>Masud Parvez Sani (S223034)</v>
      </c>
      <c r="E1083" s="93" t="str">
        <f ca="1">IFERROR(__xludf.DUMMYFUNCTION("""COMPUTED_VALUE"""),"CB37143_Jun26")</f>
        <v>CB37143_Jun26</v>
      </c>
      <c r="F1083" s="94" t="str">
        <f ca="1">IFERROR(__xludf.DUMMYFUNCTION("""COMPUTED_VALUE"""),"Packaging Text Design #1")</f>
        <v>Packaging Text Design #1</v>
      </c>
      <c r="G1083" s="95" t="str">
        <f ca="1">IFERROR(__xludf.DUMMYFUNCTION("""COMPUTED_VALUE"""),"New")</f>
        <v>New</v>
      </c>
      <c r="H1083" s="96">
        <f ca="1">IFERROR(__xludf.DUMMYFUNCTION("""COMPUTED_VALUE"""),4)</f>
        <v>4</v>
      </c>
      <c r="I1083" s="97">
        <f ca="1">IFERROR(__xludf.DUMMYFUNCTION("""COMPUTED_VALUE"""),46195)</f>
        <v>46195</v>
      </c>
      <c r="J1083" s="98" t="str">
        <f ca="1">IFERROR(__xludf.DUMMYFUNCTION("""COMPUTED_VALUE"""),"CW37460_Jun26")</f>
        <v>CW37460_Jun26</v>
      </c>
      <c r="K1083" s="99" t="str">
        <f ca="1">IFERROR(__xludf.DUMMYFUNCTION("""COMPUTED_VALUE"""),"Brief Submitted")</f>
        <v>Brief Submitted</v>
      </c>
    </row>
    <row r="1084" spans="1:11" ht="13.2">
      <c r="A1084" s="89" t="str">
        <f ca="1">IFERROR(__xludf.DUMMYFUNCTION("""COMPUTED_VALUE"""),"Australia frozen label update (Pran Brand)")</f>
        <v>Australia frozen label update (Pran Brand)</v>
      </c>
      <c r="B1084" s="90" t="str">
        <f ca="1">IFERROR(__xludf.DUMMYFUNCTION("""COMPUTED_VALUE"""),"PFF")</f>
        <v>PFF</v>
      </c>
      <c r="C1084" s="91" t="str">
        <f ca="1">IFERROR(__xludf.DUMMYFUNCTION("""COMPUTED_VALUE"""),"Rakib Vai")</f>
        <v>Rakib Vai</v>
      </c>
      <c r="D1084" s="92" t="str">
        <f ca="1">IFERROR(__xludf.DUMMYFUNCTION("""COMPUTED_VALUE"""),"Masud Parvez Sani (S223034)")</f>
        <v>Masud Parvez Sani (S223034)</v>
      </c>
      <c r="E1084" s="93" t="str">
        <f ca="1">IFERROR(__xludf.DUMMYFUNCTION("""COMPUTED_VALUE"""),"CB37448_Jun26")</f>
        <v>CB37448_Jun26</v>
      </c>
      <c r="F1084" s="94" t="str">
        <f ca="1">IFERROR(__xludf.DUMMYFUNCTION("""COMPUTED_VALUE"""),"Packaging Text Design #1")</f>
        <v>Packaging Text Design #1</v>
      </c>
      <c r="G1084" s="95" t="str">
        <f ca="1">IFERROR(__xludf.DUMMYFUNCTION("""COMPUTED_VALUE"""),"New")</f>
        <v>New</v>
      </c>
      <c r="H1084" s="96">
        <f ca="1">IFERROR(__xludf.DUMMYFUNCTION("""COMPUTED_VALUE"""),9)</f>
        <v>9</v>
      </c>
      <c r="I1084" s="97">
        <f ca="1">IFERROR(__xludf.DUMMYFUNCTION("""COMPUTED_VALUE"""),46203)</f>
        <v>46203</v>
      </c>
      <c r="J1084" s="98" t="str">
        <f ca="1">IFERROR(__xludf.DUMMYFUNCTION("""COMPUTED_VALUE"""),"CW38614_Jun26")</f>
        <v>CW38614_Jun26</v>
      </c>
      <c r="K1084" s="99" t="str">
        <f ca="1">IFERROR(__xludf.DUMMYFUNCTION("""COMPUTED_VALUE"""),"Brief Submitted")</f>
        <v>Brief Submitted</v>
      </c>
    </row>
    <row r="1085" spans="1:11" ht="13.2">
      <c r="A1085" s="89" t="str">
        <f ca="1">IFERROR(__xludf.DUMMYFUNCTION("""COMPUTED_VALUE"""),"Jhotpot frozen label")</f>
        <v>Jhotpot frozen label</v>
      </c>
      <c r="B1085" s="90" t="str">
        <f ca="1">IFERROR(__xludf.DUMMYFUNCTION("""COMPUTED_VALUE"""),"PFF")</f>
        <v>PFF</v>
      </c>
      <c r="C1085" s="91" t="str">
        <f ca="1">IFERROR(__xludf.DUMMYFUNCTION("""COMPUTED_VALUE"""),"Rakib Vai")</f>
        <v>Rakib Vai</v>
      </c>
      <c r="D1085" s="92" t="str">
        <f ca="1">IFERROR(__xludf.DUMMYFUNCTION("""COMPUTED_VALUE"""),"Masud Parvez Sani (S223034)")</f>
        <v>Masud Parvez Sani (S223034)</v>
      </c>
      <c r="E1085" s="93" t="str">
        <f ca="1">IFERROR(__xludf.DUMMYFUNCTION("""COMPUTED_VALUE"""),"CB37449_Jun26")</f>
        <v>CB37449_Jun26</v>
      </c>
      <c r="F1085" s="94" t="str">
        <f ca="1">IFERROR(__xludf.DUMMYFUNCTION("""COMPUTED_VALUE"""),"Packaging Text Design #1")</f>
        <v>Packaging Text Design #1</v>
      </c>
      <c r="G1085" s="95" t="str">
        <f ca="1">IFERROR(__xludf.DUMMYFUNCTION("""COMPUTED_VALUE"""),"New")</f>
        <v>New</v>
      </c>
      <c r="H1085" s="96">
        <f ca="1">IFERROR(__xludf.DUMMYFUNCTION("""COMPUTED_VALUE"""),3)</f>
        <v>3</v>
      </c>
      <c r="I1085" s="97">
        <f ca="1">IFERROR(__xludf.DUMMYFUNCTION("""COMPUTED_VALUE"""),46203)</f>
        <v>46203</v>
      </c>
      <c r="J1085" s="98" t="str">
        <f ca="1">IFERROR(__xludf.DUMMYFUNCTION("""COMPUTED_VALUE"""),"CW38611_Jun26")</f>
        <v>CW38611_Jun26</v>
      </c>
      <c r="K1085" s="99" t="str">
        <f ca="1">IFERROR(__xludf.DUMMYFUNCTION("""COMPUTED_VALUE"""),"Brief Submitted")</f>
        <v>Brief Submitted</v>
      </c>
    </row>
    <row r="1086" spans="1:11" ht="13.2">
      <c r="A1086" s="89" t="str">
        <f ca="1">IFERROR(__xludf.DUMMYFUNCTION("""COMPUTED_VALUE"""),"OSI CLASSIC PUNJABI SAMOSA 75GMX25P BOX X 6 BOXES")</f>
        <v>OSI CLASSIC PUNJABI SAMOSA 75GMX25P BOX X 6 BOXES</v>
      </c>
      <c r="B1086" s="90" t="str">
        <f ca="1">IFERROR(__xludf.DUMMYFUNCTION("""COMPUTED_VALUE"""),"PFF")</f>
        <v>PFF</v>
      </c>
      <c r="C1086" s="91" t="str">
        <f ca="1">IFERROR(__xludf.DUMMYFUNCTION("""COMPUTED_VALUE"""),"Rakib Vai")</f>
        <v>Rakib Vai</v>
      </c>
      <c r="D1086" s="92" t="str">
        <f ca="1">IFERROR(__xludf.DUMMYFUNCTION("""COMPUTED_VALUE"""),"Masud Parvez Sani (S223034)")</f>
        <v>Masud Parvez Sani (S223034)</v>
      </c>
      <c r="E1086" s="93" t="str">
        <f ca="1">IFERROR(__xludf.DUMMYFUNCTION("""COMPUTED_VALUE"""),"CB37450_Jun26")</f>
        <v>CB37450_Jun26</v>
      </c>
      <c r="F1086" s="94" t="str">
        <f ca="1">IFERROR(__xludf.DUMMYFUNCTION("""COMPUTED_VALUE"""),"Packaging Text Design #1")</f>
        <v>Packaging Text Design #1</v>
      </c>
      <c r="G1086" s="95" t="str">
        <f ca="1">IFERROR(__xludf.DUMMYFUNCTION("""COMPUTED_VALUE"""),"New")</f>
        <v>New</v>
      </c>
      <c r="H1086" s="96">
        <f ca="1">IFERROR(__xludf.DUMMYFUNCTION("""COMPUTED_VALUE"""),1)</f>
        <v>1</v>
      </c>
      <c r="I1086" s="97"/>
      <c r="J1086" s="98" t="str">
        <f ca="1">IFERROR(__xludf.DUMMYFUNCTION("""COMPUTED_VALUE"""),"Unknown")</f>
        <v>Unknown</v>
      </c>
      <c r="K1086" s="99" t="str">
        <f ca="1">IFERROR(__xludf.DUMMYFUNCTION("""COMPUTED_VALUE"""),"Unknown")</f>
        <v>Unknown</v>
      </c>
    </row>
    <row r="1087" spans="1:11" ht="13.2">
      <c r="A1087" s="89" t="str">
        <f ca="1">IFERROR(__xludf.DUMMYFUNCTION("""COMPUTED_VALUE"""),"Pran Fruit Drink Sticker for Australia ")</f>
        <v xml:space="preserve">Pran Fruit Drink Sticker for Australia </v>
      </c>
      <c r="B1087" s="90" t="str">
        <f ca="1">IFERROR(__xludf.DUMMYFUNCTION("""COMPUTED_VALUE"""),"PBL")</f>
        <v>PBL</v>
      </c>
      <c r="C1087" s="91" t="str">
        <f ca="1">IFERROR(__xludf.DUMMYFUNCTION("""COMPUTED_VALUE"""),"Rakib Vai")</f>
        <v>Rakib Vai</v>
      </c>
      <c r="D1087" s="92" t="str">
        <f ca="1">IFERROR(__xludf.DUMMYFUNCTION("""COMPUTED_VALUE"""),"Masud Parvez Sani (S223034)")</f>
        <v>Masud Parvez Sani (S223034)</v>
      </c>
      <c r="E1087" s="93" t="str">
        <f ca="1">IFERROR(__xludf.DUMMYFUNCTION("""COMPUTED_VALUE"""),"CB37451_Jun26")</f>
        <v>CB37451_Jun26</v>
      </c>
      <c r="F1087" s="94" t="str">
        <f ca="1">IFERROR(__xludf.DUMMYFUNCTION("""COMPUTED_VALUE"""),"Text Sticker Design #1")</f>
        <v>Text Sticker Design #1</v>
      </c>
      <c r="G1087" s="95" t="str">
        <f ca="1">IFERROR(__xludf.DUMMYFUNCTION("""COMPUTED_VALUE"""),"New")</f>
        <v>New</v>
      </c>
      <c r="H1087" s="96">
        <f ca="1">IFERROR(__xludf.DUMMYFUNCTION("""COMPUTED_VALUE"""),2)</f>
        <v>2</v>
      </c>
      <c r="I1087" s="97">
        <f ca="1">IFERROR(__xludf.DUMMYFUNCTION("""COMPUTED_VALUE"""),46198)</f>
        <v>46198</v>
      </c>
      <c r="J1087" s="98" t="str">
        <f ca="1">IFERROR(__xludf.DUMMYFUNCTION("""COMPUTED_VALUE"""),"CW37925_Jun26")</f>
        <v>CW37925_Jun26</v>
      </c>
      <c r="K1087" s="99" t="str">
        <f ca="1">IFERROR(__xludf.DUMMYFUNCTION("""COMPUTED_VALUE"""),"Brief Submitted")</f>
        <v>Brief Submitted</v>
      </c>
    </row>
    <row r="1088" spans="1:11" ht="13.2">
      <c r="A1088" s="89" t="str">
        <f ca="1">IFERROR(__xludf.DUMMYFUNCTION("""COMPUTED_VALUE"""),"Treat Chocolate Bean Bar 15g, 15g X 18 Pcs Plastic Box, 15g X 24 Pcs Atc Box")</f>
        <v>Treat Chocolate Bean Bar 15g, 15g X 18 Pcs Plastic Box, 15g X 24 Pcs Atc Box</v>
      </c>
      <c r="B1088" s="90" t="str">
        <f ca="1">IFERROR(__xludf.DUMMYFUNCTION("""COMPUTED_VALUE"""),"PAL")</f>
        <v>PAL</v>
      </c>
      <c r="C1088" s="91" t="str">
        <f ca="1">IFERROR(__xludf.DUMMYFUNCTION("""COMPUTED_VALUE"""),"Mona Apu")</f>
        <v>Mona Apu</v>
      </c>
      <c r="D1088" s="92" t="str">
        <f ca="1">IFERROR(__xludf.DUMMYFUNCTION("""COMPUTED_VALUE"""),"Masud Parvez Sani (S223034)")</f>
        <v>Masud Parvez Sani (S223034)</v>
      </c>
      <c r="E1088" s="93" t="str">
        <f ca="1">IFERROR(__xludf.DUMMYFUNCTION("""COMPUTED_VALUE"""),"CB17570_Feb26")</f>
        <v>CB17570_Feb26</v>
      </c>
      <c r="F1088" s="94" t="str">
        <f ca="1">IFERROR(__xludf.DUMMYFUNCTION("""COMPUTED_VALUE"""),"Packaging Text Design #2")</f>
        <v>Packaging Text Design #2</v>
      </c>
      <c r="G1088" s="95" t="str">
        <f ca="1">IFERROR(__xludf.DUMMYFUNCTION("""COMPUTED_VALUE"""),"New")</f>
        <v>New</v>
      </c>
      <c r="H1088" s="96">
        <f ca="1">IFERROR(__xludf.DUMMYFUNCTION("""COMPUTED_VALUE"""),3)</f>
        <v>3</v>
      </c>
      <c r="I1088" s="97">
        <f ca="1">IFERROR(__xludf.DUMMYFUNCTION("""COMPUTED_VALUE"""),46200)</f>
        <v>46200</v>
      </c>
      <c r="J1088" s="98" t="str">
        <f ca="1">IFERROR(__xludf.DUMMYFUNCTION("""COMPUTED_VALUE"""),"CW37959_Jun26")</f>
        <v>CW37959_Jun26</v>
      </c>
      <c r="K1088" s="99" t="str">
        <f ca="1">IFERROR(__xludf.DUMMYFUNCTION("""COMPUTED_VALUE"""),"HoM Approved")</f>
        <v>HoM Approved</v>
      </c>
    </row>
    <row r="1089" spans="1:11" ht="13.2">
      <c r="A1089" s="89" t="str">
        <f ca="1">IFERROR(__xludf.DUMMYFUNCTION("""COMPUTED_VALUE"""),"DIVINO CHOCOLATE SMILE BOX 12G")</f>
        <v>DIVINO CHOCOLATE SMILE BOX 12G</v>
      </c>
      <c r="B1089" s="90" t="str">
        <f ca="1">IFERROR(__xludf.DUMMYFUNCTION("""COMPUTED_VALUE"""),"PCL")</f>
        <v>PCL</v>
      </c>
      <c r="C1089" s="91" t="str">
        <f ca="1">IFERROR(__xludf.DUMMYFUNCTION("""COMPUTED_VALUE"""),"Sharika Apu")</f>
        <v>Sharika Apu</v>
      </c>
      <c r="D1089" s="92" t="str">
        <f ca="1">IFERROR(__xludf.DUMMYFUNCTION("""COMPUTED_VALUE"""),"Masud Parvez Sani (S223034)")</f>
        <v>Masud Parvez Sani (S223034)</v>
      </c>
      <c r="E1089" s="93" t="str">
        <f ca="1">IFERROR(__xludf.DUMMYFUNCTION("""COMPUTED_VALUE"""),"CB38234_Jun26")</f>
        <v>CB38234_Jun26</v>
      </c>
      <c r="F1089" s="94" t="str">
        <f ca="1">IFERROR(__xludf.DUMMYFUNCTION("""COMPUTED_VALUE"""),"Packaging Text Design #2")</f>
        <v>Packaging Text Design #2</v>
      </c>
      <c r="G1089" s="95" t="str">
        <f ca="1">IFERROR(__xludf.DUMMYFUNCTION("""COMPUTED_VALUE"""),"New")</f>
        <v>New</v>
      </c>
      <c r="H1089" s="96">
        <f ca="1">IFERROR(__xludf.DUMMYFUNCTION("""COMPUTED_VALUE"""),1)</f>
        <v>1</v>
      </c>
      <c r="I1089" s="97"/>
      <c r="J1089" s="98" t="str">
        <f ca="1">IFERROR(__xludf.DUMMYFUNCTION("""COMPUTED_VALUE"""),"Unknown")</f>
        <v>Unknown</v>
      </c>
      <c r="K1089" s="99" t="str">
        <f ca="1">IFERROR(__xludf.DUMMYFUNCTION("""COMPUTED_VALUE"""),"Unknown")</f>
        <v>Unknown</v>
      </c>
    </row>
    <row r="1090" spans="1:11" ht="13.2">
      <c r="A1090" s="89" t="str">
        <f ca="1">IFERROR(__xludf.DUMMYFUNCTION("""COMPUTED_VALUE"""),"Treat Chocolate Gems Hanger 48 Pcs ")</f>
        <v xml:space="preserve">Treat Chocolate Gems Hanger 48 Pcs </v>
      </c>
      <c r="B1090" s="90" t="str">
        <f ca="1">IFERROR(__xludf.DUMMYFUNCTION("""COMPUTED_VALUE"""),"PCL")</f>
        <v>PCL</v>
      </c>
      <c r="C1090" s="91" t="str">
        <f ca="1">IFERROR(__xludf.DUMMYFUNCTION("""COMPUTED_VALUE"""),"Mona Apu")</f>
        <v>Mona Apu</v>
      </c>
      <c r="D1090" s="92" t="str">
        <f ca="1">IFERROR(__xludf.DUMMYFUNCTION("""COMPUTED_VALUE"""),"Masud Parvez Sani (S223034)")</f>
        <v>Masud Parvez Sani (S223034)</v>
      </c>
      <c r="E1090" s="93" t="str">
        <f ca="1">IFERROR(__xludf.DUMMYFUNCTION("""COMPUTED_VALUE"""),"CB38420_Jul26")</f>
        <v>CB38420_Jul26</v>
      </c>
      <c r="F1090" s="94" t="str">
        <f ca="1">IFERROR(__xludf.DUMMYFUNCTION("""COMPUTED_VALUE"""),"Packaging Text Design #2")</f>
        <v>Packaging Text Design #2</v>
      </c>
      <c r="G1090" s="95" t="str">
        <f ca="1">IFERROR(__xludf.DUMMYFUNCTION("""COMPUTED_VALUE"""),"New")</f>
        <v>New</v>
      </c>
      <c r="H1090" s="96">
        <f ca="1">IFERROR(__xludf.DUMMYFUNCTION("""COMPUTED_VALUE"""),1)</f>
        <v>1</v>
      </c>
      <c r="I1090" s="97"/>
      <c r="J1090" s="98" t="str">
        <f ca="1">IFERROR(__xludf.DUMMYFUNCTION("""COMPUTED_VALUE"""),"Unknown")</f>
        <v>Unknown</v>
      </c>
      <c r="K1090" s="99" t="str">
        <f ca="1">IFERROR(__xludf.DUMMYFUNCTION("""COMPUTED_VALUE"""),"Unknown")</f>
        <v>Unknown</v>
      </c>
    </row>
    <row r="1091" spans="1:11" ht="13.2">
      <c r="A1091" s="89" t="str">
        <f ca="1">IFERROR(__xludf.DUMMYFUNCTION("""COMPUTED_VALUE"""),"Super Milk Yoghurt Drinks Yoghurt, Mango, Orange, Green Apple, Strawberry Flavor 125ml")</f>
        <v>Super Milk Yoghurt Drinks Yoghurt, Mango, Orange, Green Apple, Strawberry Flavor 125ml</v>
      </c>
      <c r="B1091" s="90" t="str">
        <f ca="1">IFERROR(__xludf.DUMMYFUNCTION("""COMPUTED_VALUE"""),"PCL")</f>
        <v>PCL</v>
      </c>
      <c r="C1091" s="91" t="str">
        <f ca="1">IFERROR(__xludf.DUMMYFUNCTION("""COMPUTED_VALUE"""),"Mona Apu")</f>
        <v>Mona Apu</v>
      </c>
      <c r="D1091" s="92" t="str">
        <f ca="1">IFERROR(__xludf.DUMMYFUNCTION("""COMPUTED_VALUE"""),"Masud Parvez Sani (S223034)")</f>
        <v>Masud Parvez Sani (S223034)</v>
      </c>
      <c r="E1091" s="93" t="str">
        <f ca="1">IFERROR(__xludf.DUMMYFUNCTION("""COMPUTED_VALUE"""),"CB38418_Jul26")</f>
        <v>CB38418_Jul26</v>
      </c>
      <c r="F1091" s="94" t="str">
        <f ca="1">IFERROR(__xludf.DUMMYFUNCTION("""COMPUTED_VALUE"""),"Packaging Text Design #2")</f>
        <v>Packaging Text Design #2</v>
      </c>
      <c r="G1091" s="95" t="str">
        <f ca="1">IFERROR(__xludf.DUMMYFUNCTION("""COMPUTED_VALUE"""),"New")</f>
        <v>New</v>
      </c>
      <c r="H1091" s="96">
        <f ca="1">IFERROR(__xludf.DUMMYFUNCTION("""COMPUTED_VALUE"""),5)</f>
        <v>5</v>
      </c>
      <c r="I1091" s="97"/>
      <c r="J1091" s="98" t="str">
        <f ca="1">IFERROR(__xludf.DUMMYFUNCTION("""COMPUTED_VALUE"""),"Unknown")</f>
        <v>Unknown</v>
      </c>
      <c r="K1091" s="99" t="str">
        <f ca="1">IFERROR(__xludf.DUMMYFUNCTION("""COMPUTED_VALUE"""),"Unknown")</f>
        <v>Unknown</v>
      </c>
    </row>
    <row r="1092" spans="1:11" ht="13.2">
      <c r="A1092" s="89" t="str">
        <f ca="1">IFERROR(__xludf.DUMMYFUNCTION("""COMPUTED_VALUE"""),"Henman's Hard Boiled Sweet Sherbet Shot Assorted 200g x 12 Pcs pouch")</f>
        <v>Henman's Hard Boiled Sweet Sherbet Shot Assorted 200g x 12 Pcs pouch</v>
      </c>
      <c r="B1092" s="90" t="str">
        <f ca="1">IFERROR(__xludf.DUMMYFUNCTION("""COMPUTED_VALUE"""),"PCL")</f>
        <v>PCL</v>
      </c>
      <c r="C1092" s="91" t="str">
        <f ca="1">IFERROR(__xludf.DUMMYFUNCTION("""COMPUTED_VALUE"""),"Mona Apu")</f>
        <v>Mona Apu</v>
      </c>
      <c r="D1092" s="92" t="str">
        <f ca="1">IFERROR(__xludf.DUMMYFUNCTION("""COMPUTED_VALUE"""),"Masud Parvez Sani (S223034)")</f>
        <v>Masud Parvez Sani (S223034)</v>
      </c>
      <c r="E1092" s="93" t="str">
        <f ca="1">IFERROR(__xludf.DUMMYFUNCTION("""COMPUTED_VALUE"""),"CB38448_Jul26")</f>
        <v>CB38448_Jul26</v>
      </c>
      <c r="F1092" s="94" t="str">
        <f ca="1">IFERROR(__xludf.DUMMYFUNCTION("""COMPUTED_VALUE"""),"Packaging Text Design #1")</f>
        <v>Packaging Text Design #1</v>
      </c>
      <c r="G1092" s="95" t="str">
        <f ca="1">IFERROR(__xludf.DUMMYFUNCTION("""COMPUTED_VALUE"""),"New")</f>
        <v>New</v>
      </c>
      <c r="H1092" s="96">
        <f ca="1">IFERROR(__xludf.DUMMYFUNCTION("""COMPUTED_VALUE"""),2)</f>
        <v>2</v>
      </c>
      <c r="I1092" s="97">
        <f ca="1">IFERROR(__xludf.DUMMYFUNCTION("""COMPUTED_VALUE"""),46205)</f>
        <v>46205</v>
      </c>
      <c r="J1092" s="98" t="str">
        <f ca="1">IFERROR(__xludf.DUMMYFUNCTION("""COMPUTED_VALUE"""),"CW39074_Jul26")</f>
        <v>CW39074_Jul26</v>
      </c>
      <c r="K1092" s="99" t="str">
        <f ca="1">IFERROR(__xludf.DUMMYFUNCTION("""COMPUTED_VALUE"""),"Brief Submitted")</f>
        <v>Brief Submitted</v>
      </c>
    </row>
    <row r="1093" spans="1:11" ht="13.2">
      <c r="A1093" s="89" t="str">
        <f ca="1">IFERROR(__xludf.DUMMYFUNCTION("""COMPUTED_VALUE"""),"Treat Menthol Candy 3.5g x 40 Pcs Pouch")</f>
        <v>Treat Menthol Candy 3.5g x 40 Pcs Pouch</v>
      </c>
      <c r="B1093" s="90" t="str">
        <f ca="1">IFERROR(__xludf.DUMMYFUNCTION("""COMPUTED_VALUE"""),"PCL")</f>
        <v>PCL</v>
      </c>
      <c r="C1093" s="91" t="str">
        <f ca="1">IFERROR(__xludf.DUMMYFUNCTION("""COMPUTED_VALUE"""),"Mona Apu")</f>
        <v>Mona Apu</v>
      </c>
      <c r="D1093" s="92" t="str">
        <f ca="1">IFERROR(__xludf.DUMMYFUNCTION("""COMPUTED_VALUE"""),"Masud Parvez Sani (S223034)")</f>
        <v>Masud Parvez Sani (S223034)</v>
      </c>
      <c r="E1093" s="93" t="str">
        <f ca="1">IFERROR(__xludf.DUMMYFUNCTION("""COMPUTED_VALUE"""),"CB38472_Jul26")</f>
        <v>CB38472_Jul26</v>
      </c>
      <c r="F1093" s="94" t="str">
        <f ca="1">IFERROR(__xludf.DUMMYFUNCTION("""COMPUTED_VALUE"""),"Packaging Text Design #2")</f>
        <v>Packaging Text Design #2</v>
      </c>
      <c r="G1093" s="95" t="str">
        <f ca="1">IFERROR(__xludf.DUMMYFUNCTION("""COMPUTED_VALUE"""),"New")</f>
        <v>New</v>
      </c>
      <c r="H1093" s="96">
        <f ca="1">IFERROR(__xludf.DUMMYFUNCTION("""COMPUTED_VALUE"""),2)</f>
        <v>2</v>
      </c>
      <c r="I1093" s="97"/>
      <c r="J1093" s="98" t="str">
        <f ca="1">IFERROR(__xludf.DUMMYFUNCTION("""COMPUTED_VALUE"""),"Unknown")</f>
        <v>Unknown</v>
      </c>
      <c r="K1093" s="99" t="str">
        <f ca="1">IFERROR(__xludf.DUMMYFUNCTION("""COMPUTED_VALUE"""),"Unknown")</f>
        <v>Unknown</v>
      </c>
    </row>
    <row r="1094" spans="1:11" ht="13.2">
      <c r="A1094" s="89" t="str">
        <f ca="1">IFERROR(__xludf.DUMMYFUNCTION("""COMPUTED_VALUE"""),"Tasty Treat Dub Pudding Packaging Label(Patira Factory)")</f>
        <v>Tasty Treat Dub Pudding Packaging Label(Patira Factory)</v>
      </c>
      <c r="B1094" s="90" t="str">
        <f ca="1">IFERROR(__xludf.DUMMYFUNCTION("""COMPUTED_VALUE"""),"Tasty Treat")</f>
        <v>Tasty Treat</v>
      </c>
      <c r="C1094" s="91" t="str">
        <f ca="1">IFERROR(__xludf.DUMMYFUNCTION("""COMPUTED_VALUE"""),"Shubhankar Vai")</f>
        <v>Shubhankar Vai</v>
      </c>
      <c r="D1094" s="92" t="str">
        <f ca="1">IFERROR(__xludf.DUMMYFUNCTION("""COMPUTED_VALUE"""),"Masud Parvez Sani (S223034)")</f>
        <v>Masud Parvez Sani (S223034)</v>
      </c>
      <c r="E1094" s="93" t="str">
        <f ca="1">IFERROR(__xludf.DUMMYFUNCTION("""COMPUTED_VALUE"""),"CB37679_Jun26")</f>
        <v>CB37679_Jun26</v>
      </c>
      <c r="F1094" s="94" t="str">
        <f ca="1">IFERROR(__xludf.DUMMYFUNCTION("""COMPUTED_VALUE"""),"Packaging Text Design #2")</f>
        <v>Packaging Text Design #2</v>
      </c>
      <c r="G1094" s="95" t="str">
        <f ca="1">IFERROR(__xludf.DUMMYFUNCTION("""COMPUTED_VALUE"""),"New")</f>
        <v>New</v>
      </c>
      <c r="H1094" s="96">
        <f ca="1">IFERROR(__xludf.DUMMYFUNCTION("""COMPUTED_VALUE"""),2)</f>
        <v>2</v>
      </c>
      <c r="I1094" s="97">
        <f ca="1">IFERROR(__xludf.DUMMYFUNCTION("""COMPUTED_VALUE"""),46207)</f>
        <v>46207</v>
      </c>
      <c r="J1094" s="98" t="str">
        <f ca="1">IFERROR(__xludf.DUMMYFUNCTION("""COMPUTED_VALUE"""),"CW39281_Jul26")</f>
        <v>CW39281_Jul26</v>
      </c>
      <c r="K1094" s="99" t="str">
        <f ca="1">IFERROR(__xludf.DUMMYFUNCTION("""COMPUTED_VALUE"""),"Brief Submitted")</f>
        <v>Brief Submitted</v>
      </c>
    </row>
    <row r="1095" spans="1:11" ht="13.2">
      <c r="A1095" s="89" t="str">
        <f ca="1">IFERROR(__xludf.DUMMYFUNCTION("""COMPUTED_VALUE"""),"Drinko Float 330ml Philippines Black Correction")</f>
        <v>Drinko Float 330ml Philippines Black Correction</v>
      </c>
      <c r="B1095" s="90" t="str">
        <f ca="1">IFERROR(__xludf.DUMMYFUNCTION("""COMPUTED_VALUE"""),"PBL")</f>
        <v>PBL</v>
      </c>
      <c r="C1095" s="91" t="str">
        <f ca="1">IFERROR(__xludf.DUMMYFUNCTION("""COMPUTED_VALUE"""),"Rakib Vai")</f>
        <v>Rakib Vai</v>
      </c>
      <c r="D1095" s="92" t="str">
        <f ca="1">IFERROR(__xludf.DUMMYFUNCTION("""COMPUTED_VALUE"""),"Masud Parvez Sani (S223034)")</f>
        <v>Masud Parvez Sani (S223034)</v>
      </c>
      <c r="E1095" s="93" t="str">
        <f ca="1">IFERROR(__xludf.DUMMYFUNCTION("""COMPUTED_VALUE"""),"CB38614_Jul26")</f>
        <v>CB38614_Jul26</v>
      </c>
      <c r="F1095" s="94" t="str">
        <f ca="1">IFERROR(__xludf.DUMMYFUNCTION("""COMPUTED_VALUE"""),"Packaging Text Design #1")</f>
        <v>Packaging Text Design #1</v>
      </c>
      <c r="G1095" s="95" t="str">
        <f ca="1">IFERROR(__xludf.DUMMYFUNCTION("""COMPUTED_VALUE"""),"New")</f>
        <v>New</v>
      </c>
      <c r="H1095" s="96">
        <f ca="1">IFERROR(__xludf.DUMMYFUNCTION("""COMPUTED_VALUE"""),6)</f>
        <v>6</v>
      </c>
      <c r="I1095" s="97">
        <f ca="1">IFERROR(__xludf.DUMMYFUNCTION("""COMPUTED_VALUE"""),46211)</f>
        <v>46211</v>
      </c>
      <c r="J1095" s="98" t="str">
        <f ca="1">IFERROR(__xludf.DUMMYFUNCTION("""COMPUTED_VALUE"""),"CW39871_Jul26")</f>
        <v>CW39871_Jul26</v>
      </c>
      <c r="K1095" s="99" t="str">
        <f ca="1">IFERROR(__xludf.DUMMYFUNCTION("""COMPUTED_VALUE"""),"Brief Submitted")</f>
        <v>Brief Submitted</v>
      </c>
    </row>
    <row r="1096" spans="1:11" ht="13.2">
      <c r="A1096" s="89" t="str">
        <f ca="1">IFERROR(__xludf.DUMMYFUNCTION("""COMPUTED_VALUE"""),"NF sticker")</f>
        <v>NF sticker</v>
      </c>
      <c r="B1096" s="90" t="str">
        <f ca="1">IFERROR(__xludf.DUMMYFUNCTION("""COMPUTED_VALUE"""),"PBL")</f>
        <v>PBL</v>
      </c>
      <c r="C1096" s="91" t="str">
        <f ca="1">IFERROR(__xludf.DUMMYFUNCTION("""COMPUTED_VALUE"""),"Zahirul Vai")</f>
        <v>Zahirul Vai</v>
      </c>
      <c r="D1096" s="92" t="str">
        <f ca="1">IFERROR(__xludf.DUMMYFUNCTION("""COMPUTED_VALUE"""),"Masud Parvez Sani (S223034)")</f>
        <v>Masud Parvez Sani (S223034)</v>
      </c>
      <c r="E1096" s="93" t="str">
        <f ca="1">IFERROR(__xludf.DUMMYFUNCTION("""COMPUTED_VALUE"""),"CB38509_Jul26")</f>
        <v>CB38509_Jul26</v>
      </c>
      <c r="F1096" s="94" t="str">
        <f ca="1">IFERROR(__xludf.DUMMYFUNCTION("""COMPUTED_VALUE"""),"Text Sticker Design #2")</f>
        <v>Text Sticker Design #2</v>
      </c>
      <c r="G1096" s="95" t="str">
        <f ca="1">IFERROR(__xludf.DUMMYFUNCTION("""COMPUTED_VALUE"""),"New")</f>
        <v>New</v>
      </c>
      <c r="H1096" s="96">
        <f ca="1">IFERROR(__xludf.DUMMYFUNCTION("""COMPUTED_VALUE"""),4)</f>
        <v>4</v>
      </c>
      <c r="I1096" s="97">
        <f ca="1">IFERROR(__xludf.DUMMYFUNCTION("""COMPUTED_VALUE"""),46207)</f>
        <v>46207</v>
      </c>
      <c r="J1096" s="98" t="str">
        <f ca="1">IFERROR(__xludf.DUMMYFUNCTION("""COMPUTED_VALUE"""),"CW39302_Jul26")</f>
        <v>CW39302_Jul26</v>
      </c>
      <c r="K1096" s="99" t="str">
        <f ca="1">IFERROR(__xludf.DUMMYFUNCTION("""COMPUTED_VALUE"""),"Brief Submitted")</f>
        <v>Brief Submitted</v>
      </c>
    </row>
    <row r="1097" spans="1:11" ht="13.2">
      <c r="A1097" s="89" t="str">
        <f ca="1">IFERROR(__xludf.DUMMYFUNCTION("""COMPUTED_VALUE"""),"All Time Cookies")</f>
        <v>All Time Cookies</v>
      </c>
      <c r="B1097" s="90" t="str">
        <f ca="1">IFERROR(__xludf.DUMMYFUNCTION("""COMPUTED_VALUE"""),"BBL")</f>
        <v>BBL</v>
      </c>
      <c r="C1097" s="91" t="str">
        <f ca="1">IFERROR(__xludf.DUMMYFUNCTION("""COMPUTED_VALUE"""),"Zahirul Vai")</f>
        <v>Zahirul Vai</v>
      </c>
      <c r="D1097" s="92" t="str">
        <f ca="1">IFERROR(__xludf.DUMMYFUNCTION("""COMPUTED_VALUE"""),"Masud Parvez Sani (S223034)")</f>
        <v>Masud Parvez Sani (S223034)</v>
      </c>
      <c r="E1097" s="93" t="str">
        <f ca="1">IFERROR(__xludf.DUMMYFUNCTION("""COMPUTED_VALUE"""),"CB38508_Jul26")</f>
        <v>CB38508_Jul26</v>
      </c>
      <c r="F1097" s="94" t="str">
        <f ca="1">IFERROR(__xludf.DUMMYFUNCTION("""COMPUTED_VALUE"""),"FOP Sticker Making")</f>
        <v>FOP Sticker Making</v>
      </c>
      <c r="G1097" s="95" t="str">
        <f ca="1">IFERROR(__xludf.DUMMYFUNCTION("""COMPUTED_VALUE"""),"New")</f>
        <v>New</v>
      </c>
      <c r="H1097" s="96">
        <f ca="1">IFERROR(__xludf.DUMMYFUNCTION("""COMPUTED_VALUE"""),3)</f>
        <v>3</v>
      </c>
      <c r="I1097" s="97">
        <f ca="1">IFERROR(__xludf.DUMMYFUNCTION("""COMPUTED_VALUE"""),46207)</f>
        <v>46207</v>
      </c>
      <c r="J1097" s="98" t="str">
        <f ca="1">IFERROR(__xludf.DUMMYFUNCTION("""COMPUTED_VALUE"""),"CW39298_Jul26")</f>
        <v>CW39298_Jul26</v>
      </c>
      <c r="K1097" s="99" t="str">
        <f ca="1">IFERROR(__xludf.DUMMYFUNCTION("""COMPUTED_VALUE"""),"Brief Submitted")</f>
        <v>Brief Submitted</v>
      </c>
    </row>
    <row r="1098" spans="1:11" ht="13.2">
      <c r="A1098" s="89" t="str">
        <f ca="1">IFERROR(__xludf.DUMMYFUNCTION("""COMPUTED_VALUE"""),"Bowlful Carbonara Dailine Making")</f>
        <v>Bowlful Carbonara Dailine Making</v>
      </c>
      <c r="B1098" s="90" t="str">
        <f ca="1">IFERROR(__xludf.DUMMYFUNCTION("""COMPUTED_VALUE"""),"PAL")</f>
        <v>PAL</v>
      </c>
      <c r="C1098" s="91" t="str">
        <f ca="1">IFERROR(__xludf.DUMMYFUNCTION("""COMPUTED_VALUE"""),"Zahirul Vai")</f>
        <v>Zahirul Vai</v>
      </c>
      <c r="D1098" s="92" t="str">
        <f ca="1">IFERROR(__xludf.DUMMYFUNCTION("""COMPUTED_VALUE"""),"Masud Parvez Sani (S223034)")</f>
        <v>Masud Parvez Sani (S223034)</v>
      </c>
      <c r="E1098" s="93" t="str">
        <f ca="1">IFERROR(__xludf.DUMMYFUNCTION("""COMPUTED_VALUE"""),"CB38506_Jul26")</f>
        <v>CB38506_Jul26</v>
      </c>
      <c r="F1098" s="94" t="str">
        <f ca="1">IFERROR(__xludf.DUMMYFUNCTION("""COMPUTED_VALUE"""),"Layout/Dieline Making")</f>
        <v>Layout/Dieline Making</v>
      </c>
      <c r="G1098" s="95" t="str">
        <f ca="1">IFERROR(__xludf.DUMMYFUNCTION("""COMPUTED_VALUE"""),"New")</f>
        <v>New</v>
      </c>
      <c r="H1098" s="96">
        <f ca="1">IFERROR(__xludf.DUMMYFUNCTION("""COMPUTED_VALUE"""),3)</f>
        <v>3</v>
      </c>
      <c r="I1098" s="97">
        <f ca="1">IFERROR(__xludf.DUMMYFUNCTION("""COMPUTED_VALUE"""),46207)</f>
        <v>46207</v>
      </c>
      <c r="J1098" s="98" t="str">
        <f ca="1">IFERROR(__xludf.DUMMYFUNCTION("""COMPUTED_VALUE"""),"CW39299_Jul26")</f>
        <v>CW39299_Jul26</v>
      </c>
      <c r="K1098" s="99" t="str">
        <f ca="1">IFERROR(__xludf.DUMMYFUNCTION("""COMPUTED_VALUE"""),"Brief Submitted")</f>
        <v>Brief Submitted</v>
      </c>
    </row>
    <row r="1099" spans="1:11" ht="13.2">
      <c r="A1099" s="89" t="str">
        <f ca="1">IFERROR(__xludf.DUMMYFUNCTION("""COMPUTED_VALUE"""),"Mr. Noodles NF Sticker")</f>
        <v>Mr. Noodles NF Sticker</v>
      </c>
      <c r="B1099" s="90" t="str">
        <f ca="1">IFERROR(__xludf.DUMMYFUNCTION("""COMPUTED_VALUE"""),"PAL")</f>
        <v>PAL</v>
      </c>
      <c r="C1099" s="91" t="str">
        <f ca="1">IFERROR(__xludf.DUMMYFUNCTION("""COMPUTED_VALUE"""),"Zahirul Vai")</f>
        <v>Zahirul Vai</v>
      </c>
      <c r="D1099" s="92" t="str">
        <f ca="1">IFERROR(__xludf.DUMMYFUNCTION("""COMPUTED_VALUE"""),"Masud Parvez Sani (S223034)")</f>
        <v>Masud Parvez Sani (S223034)</v>
      </c>
      <c r="E1099" s="93" t="str">
        <f ca="1">IFERROR(__xludf.DUMMYFUNCTION("""COMPUTED_VALUE"""),"CB38507_Jul26")</f>
        <v>CB38507_Jul26</v>
      </c>
      <c r="F1099" s="94" t="str">
        <f ca="1">IFERROR(__xludf.DUMMYFUNCTION("""COMPUTED_VALUE"""),"Text Sticker Design #2")</f>
        <v>Text Sticker Design #2</v>
      </c>
      <c r="G1099" s="95" t="str">
        <f ca="1">IFERROR(__xludf.DUMMYFUNCTION("""COMPUTED_VALUE"""),"New")</f>
        <v>New</v>
      </c>
      <c r="H1099" s="96">
        <f ca="1">IFERROR(__xludf.DUMMYFUNCTION("""COMPUTED_VALUE"""),5)</f>
        <v>5</v>
      </c>
      <c r="I1099" s="97">
        <f ca="1">IFERROR(__xludf.DUMMYFUNCTION("""COMPUTED_VALUE"""),46207)</f>
        <v>46207</v>
      </c>
      <c r="J1099" s="98" t="str">
        <f ca="1">IFERROR(__xludf.DUMMYFUNCTION("""COMPUTED_VALUE"""),"CW39300_Jul26")</f>
        <v>CW39300_Jul26</v>
      </c>
      <c r="K1099" s="99" t="str">
        <f ca="1">IFERROR(__xludf.DUMMYFUNCTION("""COMPUTED_VALUE"""),"Brief Submitted")</f>
        <v>Brief Submitted</v>
      </c>
    </row>
    <row r="1100" spans="1:11" ht="13.2">
      <c r="A1100" s="89" t="str">
        <f ca="1">IFERROR(__xludf.DUMMYFUNCTION("""COMPUTED_VALUE"""),"Treat Pop Milk, Watermelon, Cola, Strawberry, Milk &amp; Mint, Orange, Blue Boy Ted Pop, Vampire Blood Pop 10g")</f>
        <v>Treat Pop Milk, Watermelon, Cola, Strawberry, Milk &amp; Mint, Orange, Blue Boy Ted Pop, Vampire Blood Pop 10g</v>
      </c>
      <c r="B1100" s="90" t="str">
        <f ca="1">IFERROR(__xludf.DUMMYFUNCTION("""COMPUTED_VALUE"""),"PCL")</f>
        <v>PCL</v>
      </c>
      <c r="C1100" s="91" t="str">
        <f ca="1">IFERROR(__xludf.DUMMYFUNCTION("""COMPUTED_VALUE"""),"Mona Apu")</f>
        <v>Mona Apu</v>
      </c>
      <c r="D1100" s="92" t="str">
        <f ca="1">IFERROR(__xludf.DUMMYFUNCTION("""COMPUTED_VALUE"""),"Masud Parvez Sani (S223034)")</f>
        <v>Masud Parvez Sani (S223034)</v>
      </c>
      <c r="E1100" s="93" t="str">
        <f ca="1">IFERROR(__xludf.DUMMYFUNCTION("""COMPUTED_VALUE"""),"CB38830_Jul26")</f>
        <v>CB38830_Jul26</v>
      </c>
      <c r="F1100" s="94" t="str">
        <f ca="1">IFERROR(__xludf.DUMMYFUNCTION("""COMPUTED_VALUE"""),"Packaging Text Design #1")</f>
        <v>Packaging Text Design #1</v>
      </c>
      <c r="G1100" s="95" t="str">
        <f ca="1">IFERROR(__xludf.DUMMYFUNCTION("""COMPUTED_VALUE"""),"New")</f>
        <v>New</v>
      </c>
      <c r="H1100" s="96">
        <f ca="1">IFERROR(__xludf.DUMMYFUNCTION("""COMPUTED_VALUE"""),12)</f>
        <v>12</v>
      </c>
      <c r="I1100" s="97"/>
      <c r="J1100" s="98" t="str">
        <f ca="1">IFERROR(__xludf.DUMMYFUNCTION("""COMPUTED_VALUE"""),"Unknown")</f>
        <v>Unknown</v>
      </c>
      <c r="K1100" s="99" t="str">
        <f ca="1">IFERROR(__xludf.DUMMYFUNCTION("""COMPUTED_VALUE"""),"Unknown")</f>
        <v>Unknown</v>
      </c>
    </row>
    <row r="1101" spans="1:11" ht="13.2">
      <c r="A1101" s="89" t="str">
        <f ca="1">IFERROR(__xludf.DUMMYFUNCTION("""COMPUTED_VALUE"""),"Lolliking Easter Egg Hunt 200g &amp; 900g")</f>
        <v>Lolliking Easter Egg Hunt 200g &amp; 900g</v>
      </c>
      <c r="B1101" s="90" t="str">
        <f ca="1">IFERROR(__xludf.DUMMYFUNCTION("""COMPUTED_VALUE"""),"PCL")</f>
        <v>PCL</v>
      </c>
      <c r="C1101" s="91" t="str">
        <f ca="1">IFERROR(__xludf.DUMMYFUNCTION("""COMPUTED_VALUE"""),"Rakib Vai")</f>
        <v>Rakib Vai</v>
      </c>
      <c r="D1101" s="92" t="str">
        <f ca="1">IFERROR(__xludf.DUMMYFUNCTION("""COMPUTED_VALUE"""),"Masud Parvez Sani (S223034)")</f>
        <v>Masud Parvez Sani (S223034)</v>
      </c>
      <c r="E1101" s="93" t="str">
        <f ca="1">IFERROR(__xludf.DUMMYFUNCTION("""COMPUTED_VALUE"""),"CB38876_Jul26")</f>
        <v>CB38876_Jul26</v>
      </c>
      <c r="F1101" s="94" t="str">
        <f ca="1">IFERROR(__xludf.DUMMYFUNCTION("""COMPUTED_VALUE"""),"Packaging Text Design #1")</f>
        <v>Packaging Text Design #1</v>
      </c>
      <c r="G1101" s="95" t="str">
        <f ca="1">IFERROR(__xludf.DUMMYFUNCTION("""COMPUTED_VALUE"""),"New")</f>
        <v>New</v>
      </c>
      <c r="H1101" s="96">
        <f ca="1">IFERROR(__xludf.DUMMYFUNCTION("""COMPUTED_VALUE"""),2)</f>
        <v>2</v>
      </c>
      <c r="I1101" s="97"/>
      <c r="J1101" s="98" t="str">
        <f ca="1">IFERROR(__xludf.DUMMYFUNCTION("""COMPUTED_VALUE"""),"Unknown")</f>
        <v>Unknown</v>
      </c>
      <c r="K1101" s="99" t="str">
        <f ca="1">IFERROR(__xludf.DUMMYFUNCTION("""COMPUTED_VALUE"""),"Unknown")</f>
        <v>Unknown</v>
      </c>
    </row>
    <row r="1102" spans="1:11" ht="13.2">
      <c r="A1102" s="89" t="str">
        <f ca="1">IFERROR(__xludf.DUMMYFUNCTION("""COMPUTED_VALUE"""),"Lolliking Easter Choc Mini Eggs 200g x 36pcs &amp; 900g x 8pcs")</f>
        <v>Lolliking Easter Choc Mini Eggs 200g x 36pcs &amp; 900g x 8pcs</v>
      </c>
      <c r="B1102" s="90" t="str">
        <f ca="1">IFERROR(__xludf.DUMMYFUNCTION("""COMPUTED_VALUE"""),"PCL")</f>
        <v>PCL</v>
      </c>
      <c r="C1102" s="91" t="str">
        <f ca="1">IFERROR(__xludf.DUMMYFUNCTION("""COMPUTED_VALUE"""),"Rakib Vai")</f>
        <v>Rakib Vai</v>
      </c>
      <c r="D1102" s="92" t="str">
        <f ca="1">IFERROR(__xludf.DUMMYFUNCTION("""COMPUTED_VALUE"""),"Masud Parvez Sani (S223034)")</f>
        <v>Masud Parvez Sani (S223034)</v>
      </c>
      <c r="E1102" s="93" t="str">
        <f ca="1">IFERROR(__xludf.DUMMYFUNCTION("""COMPUTED_VALUE"""),"CB38882_Jul26")</f>
        <v>CB38882_Jul26</v>
      </c>
      <c r="F1102" s="94" t="str">
        <f ca="1">IFERROR(__xludf.DUMMYFUNCTION("""COMPUTED_VALUE"""),"Carton Design")</f>
        <v>Carton Design</v>
      </c>
      <c r="G1102" s="95" t="str">
        <f ca="1">IFERROR(__xludf.DUMMYFUNCTION("""COMPUTED_VALUE"""),"New")</f>
        <v>New</v>
      </c>
      <c r="H1102" s="96">
        <f ca="1">IFERROR(__xludf.DUMMYFUNCTION("""COMPUTED_VALUE"""),4)</f>
        <v>4</v>
      </c>
      <c r="I1102" s="97"/>
      <c r="J1102" s="98" t="str">
        <f ca="1">IFERROR(__xludf.DUMMYFUNCTION("""COMPUTED_VALUE"""),"Unknown")</f>
        <v>Unknown</v>
      </c>
      <c r="K1102" s="99" t="str">
        <f ca="1">IFERROR(__xludf.DUMMYFUNCTION("""COMPUTED_VALUE"""),"Unknown")</f>
        <v>Unknown</v>
      </c>
    </row>
    <row r="1103" spans="1:11" ht="13.2">
      <c r="A1103" s="89" t="str">
        <f ca="1">IFERROR(__xludf.DUMMYFUNCTION("""COMPUTED_VALUE"""),"Drinko Float 330ml Philippines Black Correction")</f>
        <v>Drinko Float 330ml Philippines Black Correction</v>
      </c>
      <c r="B1103" s="90" t="str">
        <f ca="1">IFERROR(__xludf.DUMMYFUNCTION("""COMPUTED_VALUE"""),"PBL")</f>
        <v>PBL</v>
      </c>
      <c r="C1103" s="91" t="str">
        <f ca="1">IFERROR(__xludf.DUMMYFUNCTION("""COMPUTED_VALUE"""),"Rakib Vai")</f>
        <v>Rakib Vai</v>
      </c>
      <c r="D1103" s="92" t="str">
        <f ca="1">IFERROR(__xludf.DUMMYFUNCTION("""COMPUTED_VALUE"""),"Masud Parvez Sani (S223034)")</f>
        <v>Masud Parvez Sani (S223034)</v>
      </c>
      <c r="E1103" s="93" t="str">
        <f ca="1">IFERROR(__xludf.DUMMYFUNCTION("""COMPUTED_VALUE"""),"CB38614_Jul26")</f>
        <v>CB38614_Jul26</v>
      </c>
      <c r="F1103" s="94" t="str">
        <f ca="1">IFERROR(__xludf.DUMMYFUNCTION("""COMPUTED_VALUE"""),"Black Cylinder Output")</f>
        <v>Black Cylinder Output</v>
      </c>
      <c r="G1103" s="95" t="str">
        <f ca="1">IFERROR(__xludf.DUMMYFUNCTION("""COMPUTED_VALUE"""),"New")</f>
        <v>New</v>
      </c>
      <c r="H1103" s="96">
        <f ca="1">IFERROR(__xludf.DUMMYFUNCTION("""COMPUTED_VALUE"""),6)</f>
        <v>6</v>
      </c>
      <c r="I1103" s="97">
        <f ca="1">IFERROR(__xludf.DUMMYFUNCTION("""COMPUTED_VALUE"""),46211)</f>
        <v>46211</v>
      </c>
      <c r="J1103" s="98" t="str">
        <f ca="1">IFERROR(__xludf.DUMMYFUNCTION("""COMPUTED_VALUE"""),"CW39871_Jul26")</f>
        <v>CW39871_Jul26</v>
      </c>
      <c r="K1103" s="99" t="str">
        <f ca="1">IFERROR(__xludf.DUMMYFUNCTION("""COMPUTED_VALUE"""),"Brief Submitted")</f>
        <v>Brief Submitted</v>
      </c>
    </row>
    <row r="1104" spans="1:11" ht="13.2">
      <c r="A1104" s="89" t="str">
        <f ca="1">IFERROR(__xludf.DUMMYFUNCTION("""COMPUTED_VALUE"""),"Chocolate Bun 55g")</f>
        <v>Chocolate Bun 55g</v>
      </c>
      <c r="B1104" s="90" t="str">
        <f ca="1">IFERROR(__xludf.DUMMYFUNCTION("""COMPUTED_VALUE"""),"Tasty Treat")</f>
        <v>Tasty Treat</v>
      </c>
      <c r="C1104" s="91" t="str">
        <f ca="1">IFERROR(__xludf.DUMMYFUNCTION("""COMPUTED_VALUE"""),"Nahian Vai")</f>
        <v>Nahian Vai</v>
      </c>
      <c r="D1104" s="92" t="str">
        <f ca="1">IFERROR(__xludf.DUMMYFUNCTION("""COMPUTED_VALUE"""),"Masud Parvez Sani (S223034)")</f>
        <v>Masud Parvez Sani (S223034)</v>
      </c>
      <c r="E1104" s="93" t="str">
        <f ca="1">IFERROR(__xludf.DUMMYFUNCTION("""COMPUTED_VALUE"""),"CB36087_Jun26")</f>
        <v>CB36087_Jun26</v>
      </c>
      <c r="F1104" s="94" t="str">
        <f ca="1">IFERROR(__xludf.DUMMYFUNCTION("""COMPUTED_VALUE"""),"Packaging Text Design #2")</f>
        <v>Packaging Text Design #2</v>
      </c>
      <c r="G1104" s="95" t="str">
        <f ca="1">IFERROR(__xludf.DUMMYFUNCTION("""COMPUTED_VALUE"""),"New")</f>
        <v>New</v>
      </c>
      <c r="H1104" s="96">
        <f ca="1">IFERROR(__xludf.DUMMYFUNCTION("""COMPUTED_VALUE"""),1)</f>
        <v>1</v>
      </c>
      <c r="I1104" s="97">
        <f ca="1">IFERROR(__xludf.DUMMYFUNCTION("""COMPUTED_VALUE"""),46212)</f>
        <v>46212</v>
      </c>
      <c r="J1104" s="98" t="str">
        <f ca="1">IFERROR(__xludf.DUMMYFUNCTION("""COMPUTED_VALUE"""),"CW40006_Jul26")</f>
        <v>CW40006_Jul26</v>
      </c>
      <c r="K1104" s="99" t="str">
        <f ca="1">IFERROR(__xludf.DUMMYFUNCTION("""COMPUTED_VALUE"""),"Brief Submitted")</f>
        <v>Brief Submitted</v>
      </c>
    </row>
    <row r="1105" spans="1:11" ht="13.2">
      <c r="A1105" s="89" t="str">
        <f ca="1">IFERROR(__xludf.DUMMYFUNCTION("""COMPUTED_VALUE"""),"Oliver Biscuits")</f>
        <v>Oliver Biscuits</v>
      </c>
      <c r="B1105" s="90" t="str">
        <f ca="1">IFERROR(__xludf.DUMMYFUNCTION("""COMPUTED_VALUE"""),"PBL")</f>
        <v>PBL</v>
      </c>
      <c r="C1105" s="91" t="str">
        <f ca="1">IFERROR(__xludf.DUMMYFUNCTION("""COMPUTED_VALUE"""),"Sadman Vaiya")</f>
        <v>Sadman Vaiya</v>
      </c>
      <c r="D1105" s="92" t="str">
        <f ca="1">IFERROR(__xludf.DUMMYFUNCTION("""COMPUTED_VALUE"""),"Md. Azizul Hakim (S223035)")</f>
        <v>Md. Azizul Hakim (S223035)</v>
      </c>
      <c r="E1105" s="93" t="str">
        <f ca="1">IFERROR(__xludf.DUMMYFUNCTION("""COMPUTED_VALUE"""),"CB19642_Mar26")</f>
        <v>CB19642_Mar26</v>
      </c>
      <c r="F1105" s="94" t="str">
        <f ca="1">IFERROR(__xludf.DUMMYFUNCTION("""COMPUTED_VALUE"""),"Carton Design")</f>
        <v>Carton Design</v>
      </c>
      <c r="G1105" s="95" t="str">
        <f ca="1">IFERROR(__xludf.DUMMYFUNCTION("""COMPUTED_VALUE"""),"New")</f>
        <v>New</v>
      </c>
      <c r="H1105" s="96">
        <f ca="1">IFERROR(__xludf.DUMMYFUNCTION("""COMPUTED_VALUE"""),1)</f>
        <v>1</v>
      </c>
      <c r="I1105" s="97">
        <f ca="1">IFERROR(__xludf.DUMMYFUNCTION("""COMPUTED_VALUE"""),46109)</f>
        <v>46109</v>
      </c>
      <c r="J1105" s="98" t="str">
        <f ca="1">IFERROR(__xludf.DUMMYFUNCTION("""COMPUTED_VALUE"""),"CW28217_Mar26")</f>
        <v>CW28217_Mar26</v>
      </c>
      <c r="K1105" s="99" t="str">
        <f ca="1">IFERROR(__xludf.DUMMYFUNCTION("""COMPUTED_VALUE"""),"HoM Approved")</f>
        <v>HoM Approved</v>
      </c>
    </row>
    <row r="1106" spans="1:11" ht="13.2">
      <c r="A1106" s="89" t="str">
        <f ca="1">IFERROR(__xludf.DUMMYFUNCTION("""COMPUTED_VALUE"""),"Treat Chocolate")</f>
        <v>Treat Chocolate</v>
      </c>
      <c r="B1106" s="90" t="str">
        <f ca="1">IFERROR(__xludf.DUMMYFUNCTION("""COMPUTED_VALUE"""),"PCL")</f>
        <v>PCL</v>
      </c>
      <c r="C1106" s="91" t="str">
        <f ca="1">IFERROR(__xludf.DUMMYFUNCTION("""COMPUTED_VALUE"""),"Mona Apu")</f>
        <v>Mona Apu</v>
      </c>
      <c r="D1106" s="92" t="str">
        <f ca="1">IFERROR(__xludf.DUMMYFUNCTION("""COMPUTED_VALUE"""),"Md. Azizul Hakim (S223035)")</f>
        <v>Md. Azizul Hakim (S223035)</v>
      </c>
      <c r="E1106" s="93" t="str">
        <f ca="1">IFERROR(__xludf.DUMMYFUNCTION("""COMPUTED_VALUE"""),"CB20622_Apr26")</f>
        <v>CB20622_Apr26</v>
      </c>
      <c r="F1106" s="94" t="str">
        <f ca="1">IFERROR(__xludf.DUMMYFUNCTION("""COMPUTED_VALUE"""),"Carton Design")</f>
        <v>Carton Design</v>
      </c>
      <c r="G1106" s="95" t="str">
        <f ca="1">IFERROR(__xludf.DUMMYFUNCTION("""COMPUTED_VALUE"""),"New")</f>
        <v>New</v>
      </c>
      <c r="H1106" s="96">
        <f ca="1">IFERROR(__xludf.DUMMYFUNCTION("""COMPUTED_VALUE"""),2)</f>
        <v>2</v>
      </c>
      <c r="I1106" s="97">
        <f ca="1">IFERROR(__xludf.DUMMYFUNCTION("""COMPUTED_VALUE"""),46113)</f>
        <v>46113</v>
      </c>
      <c r="J1106" s="98" t="str">
        <f ca="1">IFERROR(__xludf.DUMMYFUNCTION("""COMPUTED_VALUE"""),"CW28928_Apr26")</f>
        <v>CW28928_Apr26</v>
      </c>
      <c r="K1106" s="99" t="str">
        <f ca="1">IFERROR(__xludf.DUMMYFUNCTION("""COMPUTED_VALUE"""),"HoM Approved")</f>
        <v>HoM Approved</v>
      </c>
    </row>
    <row r="1107" spans="1:11" ht="13.2">
      <c r="A1107" s="89" t="str">
        <f ca="1">IFERROR(__xludf.DUMMYFUNCTION("""COMPUTED_VALUE"""),"PRAN Crunchy Wafer")</f>
        <v>PRAN Crunchy Wafer</v>
      </c>
      <c r="B1107" s="90" t="str">
        <f ca="1">IFERROR(__xludf.DUMMYFUNCTION("""COMPUTED_VALUE"""),"Malaysia")</f>
        <v>Malaysia</v>
      </c>
      <c r="C1107" s="91" t="str">
        <f ca="1">IFERROR(__xludf.DUMMYFUNCTION("""COMPUTED_VALUE"""),"Mona Apu")</f>
        <v>Mona Apu</v>
      </c>
      <c r="D1107" s="92" t="str">
        <f ca="1">IFERROR(__xludf.DUMMYFUNCTION("""COMPUTED_VALUE"""),"Md. Azizul Hakim (S223035)")</f>
        <v>Md. Azizul Hakim (S223035)</v>
      </c>
      <c r="E1107" s="93" t="str">
        <f ca="1">IFERROR(__xludf.DUMMYFUNCTION("""COMPUTED_VALUE"""),"CB20037_Mar26")</f>
        <v>CB20037_Mar26</v>
      </c>
      <c r="F1107" s="94" t="str">
        <f ca="1">IFERROR(__xludf.DUMMYFUNCTION("""COMPUTED_VALUE"""),"Carton Design")</f>
        <v>Carton Design</v>
      </c>
      <c r="G1107" s="95" t="str">
        <f ca="1">IFERROR(__xludf.DUMMYFUNCTION("""COMPUTED_VALUE"""),"New")</f>
        <v>New</v>
      </c>
      <c r="H1107" s="96">
        <f ca="1">IFERROR(__xludf.DUMMYFUNCTION("""COMPUTED_VALUE"""),5)</f>
        <v>5</v>
      </c>
      <c r="I1107" s="97">
        <f ca="1">IFERROR(__xludf.DUMMYFUNCTION("""COMPUTED_VALUE"""),46113)</f>
        <v>46113</v>
      </c>
      <c r="J1107" s="98" t="str">
        <f ca="1">IFERROR(__xludf.DUMMYFUNCTION("""COMPUTED_VALUE"""),"CW28915_Apr26")</f>
        <v>CW28915_Apr26</v>
      </c>
      <c r="K1107" s="99" t="str">
        <f ca="1">IFERROR(__xludf.DUMMYFUNCTION("""COMPUTED_VALUE"""),"HoM Approved")</f>
        <v>HoM Approved</v>
      </c>
    </row>
    <row r="1108" spans="1:11" ht="13.2">
      <c r="A1108" s="89" t="str">
        <f ca="1">IFERROR(__xludf.DUMMYFUNCTION("""COMPUTED_VALUE"""),"Common - USA &amp; Europe Export")</f>
        <v>Common - USA &amp; Europe Export</v>
      </c>
      <c r="B1108" s="90" t="str">
        <f ca="1">IFERROR(__xludf.DUMMYFUNCTION("""COMPUTED_VALUE"""),"USA &amp; Europe")</f>
        <v>USA &amp; Europe</v>
      </c>
      <c r="C1108" s="91" t="str">
        <f ca="1">IFERROR(__xludf.DUMMYFUNCTION("""COMPUTED_VALUE"""),"Saifullah Vai")</f>
        <v>Saifullah Vai</v>
      </c>
      <c r="D1108" s="92" t="str">
        <f ca="1">IFERROR(__xludf.DUMMYFUNCTION("""COMPUTED_VALUE"""),"Md. Azizul Hakim (S223035)")</f>
        <v>Md. Azizul Hakim (S223035)</v>
      </c>
      <c r="E1108" s="93" t="str">
        <f ca="1">IFERROR(__xludf.DUMMYFUNCTION("""COMPUTED_VALUE"""),"CB18767_Mar26")</f>
        <v>CB18767_Mar26</v>
      </c>
      <c r="F1108" s="94" t="str">
        <f ca="1">IFERROR(__xludf.DUMMYFUNCTION("""COMPUTED_VALUE"""),"ATC Box Output")</f>
        <v>ATC Box Output</v>
      </c>
      <c r="G1108" s="95" t="str">
        <f ca="1">IFERROR(__xludf.DUMMYFUNCTION("""COMPUTED_VALUE"""),"New")</f>
        <v>New</v>
      </c>
      <c r="H1108" s="96">
        <f ca="1">IFERROR(__xludf.DUMMYFUNCTION("""COMPUTED_VALUE"""),5)</f>
        <v>5</v>
      </c>
      <c r="I1108" s="97">
        <f ca="1">IFERROR(__xludf.DUMMYFUNCTION("""COMPUTED_VALUE"""),46113)</f>
        <v>46113</v>
      </c>
      <c r="J1108" s="98" t="str">
        <f ca="1">IFERROR(__xludf.DUMMYFUNCTION("""COMPUTED_VALUE"""),"CW28940_Apr26")</f>
        <v>CW28940_Apr26</v>
      </c>
      <c r="K1108" s="99" t="str">
        <f ca="1">IFERROR(__xludf.DUMMYFUNCTION("""COMPUTED_VALUE"""),"HoM Approved")</f>
        <v>HoM Approved</v>
      </c>
    </row>
    <row r="1109" spans="1:11" ht="13.2">
      <c r="A1109" s="89" t="str">
        <f ca="1">IFERROR(__xludf.DUMMYFUNCTION("""COMPUTED_VALUE"""),"Rainbow Paints")</f>
        <v>Rainbow Paints</v>
      </c>
      <c r="B1109" s="90" t="str">
        <f ca="1">IFERROR(__xludf.DUMMYFUNCTION("""COMPUTED_VALUE"""),"MLIL")</f>
        <v>MLIL</v>
      </c>
      <c r="C1109" s="91" t="str">
        <f ca="1">IFERROR(__xludf.DUMMYFUNCTION("""COMPUTED_VALUE"""),"Iffat Apu")</f>
        <v>Iffat Apu</v>
      </c>
      <c r="D1109" s="92" t="str">
        <f ca="1">IFERROR(__xludf.DUMMYFUNCTION("""COMPUTED_VALUE"""),"Md. Azizul Hakim (S223035)")</f>
        <v>Md. Azizul Hakim (S223035)</v>
      </c>
      <c r="E1109" s="93" t="str">
        <f ca="1">IFERROR(__xludf.DUMMYFUNCTION("""COMPUTED_VALUE"""),"CB20598_Apr26")</f>
        <v>CB20598_Apr26</v>
      </c>
      <c r="F1109" s="94" t="str">
        <f ca="1">IFERROR(__xludf.DUMMYFUNCTION("""COMPUTED_VALUE"""),"Leaflet/Poster Output")</f>
        <v>Leaflet/Poster Output</v>
      </c>
      <c r="G1109" s="95" t="str">
        <f ca="1">IFERROR(__xludf.DUMMYFUNCTION("""COMPUTED_VALUE"""),"New")</f>
        <v>New</v>
      </c>
      <c r="H1109" s="96">
        <f ca="1">IFERROR(__xludf.DUMMYFUNCTION("""COMPUTED_VALUE"""),1)</f>
        <v>1</v>
      </c>
      <c r="I1109" s="97">
        <f ca="1">IFERROR(__xludf.DUMMYFUNCTION("""COMPUTED_VALUE"""),46114)</f>
        <v>46114</v>
      </c>
      <c r="J1109" s="98" t="str">
        <f ca="1">IFERROR(__xludf.DUMMYFUNCTION("""COMPUTED_VALUE"""),"CW29095_Apr26")</f>
        <v>CW29095_Apr26</v>
      </c>
      <c r="K1109" s="99" t="str">
        <f ca="1">IFERROR(__xludf.DUMMYFUNCTION("""COMPUTED_VALUE"""),"HoM Approved")</f>
        <v>HoM Approved</v>
      </c>
    </row>
    <row r="1110" spans="1:11" ht="13.2">
      <c r="A1110" s="89" t="str">
        <f ca="1">IFERROR(__xludf.DUMMYFUNCTION("""COMPUTED_VALUE"""),"PRAN Oh Cake")</f>
        <v>PRAN Oh Cake</v>
      </c>
      <c r="B1110" s="90" t="str">
        <f ca="1">IFERROR(__xludf.DUMMYFUNCTION("""COMPUTED_VALUE"""),"Malaysia")</f>
        <v>Malaysia</v>
      </c>
      <c r="C1110" s="91" t="str">
        <f ca="1">IFERROR(__xludf.DUMMYFUNCTION("""COMPUTED_VALUE"""),"Mona Apu")</f>
        <v>Mona Apu</v>
      </c>
      <c r="D1110" s="92" t="str">
        <f ca="1">IFERROR(__xludf.DUMMYFUNCTION("""COMPUTED_VALUE"""),"Md. Azizul Hakim (S223035)")</f>
        <v>Md. Azizul Hakim (S223035)</v>
      </c>
      <c r="E1110" s="93" t="str">
        <f ca="1">IFERROR(__xludf.DUMMYFUNCTION("""COMPUTED_VALUE"""),"CB19411_Mar26")</f>
        <v>CB19411_Mar26</v>
      </c>
      <c r="F1110" s="94" t="str">
        <f ca="1">IFERROR(__xludf.DUMMYFUNCTION("""COMPUTED_VALUE"""),"ATC Box Output")</f>
        <v>ATC Box Output</v>
      </c>
      <c r="G1110" s="95" t="str">
        <f ca="1">IFERROR(__xludf.DUMMYFUNCTION("""COMPUTED_VALUE"""),"New")</f>
        <v>New</v>
      </c>
      <c r="H1110" s="96">
        <f ca="1">IFERROR(__xludf.DUMMYFUNCTION("""COMPUTED_VALUE"""),2)</f>
        <v>2</v>
      </c>
      <c r="I1110" s="97">
        <f ca="1">IFERROR(__xludf.DUMMYFUNCTION("""COMPUTED_VALUE"""),46117)</f>
        <v>46117</v>
      </c>
      <c r="J1110" s="98" t="str">
        <f ca="1">IFERROR(__xludf.DUMMYFUNCTION("""COMPUTED_VALUE"""),"CW29229_Apr26")</f>
        <v>CW29229_Apr26</v>
      </c>
      <c r="K1110" s="99" t="str">
        <f ca="1">IFERROR(__xludf.DUMMYFUNCTION("""COMPUTED_VALUE"""),"HoM Approved")</f>
        <v>HoM Approved</v>
      </c>
    </row>
    <row r="1111" spans="1:11" ht="13.2">
      <c r="A1111" s="89" t="str">
        <f ca="1">IFERROR(__xludf.DUMMYFUNCTION("""COMPUTED_VALUE"""),"All Time Cookies")</f>
        <v>All Time Cookies</v>
      </c>
      <c r="B1111" s="90" t="str">
        <f ca="1">IFERROR(__xludf.DUMMYFUNCTION("""COMPUTED_VALUE"""),"BBL")</f>
        <v>BBL</v>
      </c>
      <c r="C1111" s="91" t="str">
        <f ca="1">IFERROR(__xludf.DUMMYFUNCTION("""COMPUTED_VALUE"""),"Mona Apu")</f>
        <v>Mona Apu</v>
      </c>
      <c r="D1111" s="92" t="str">
        <f ca="1">IFERROR(__xludf.DUMMYFUNCTION("""COMPUTED_VALUE"""),"Md. Azizul Hakim (S223035)")</f>
        <v>Md. Azizul Hakim (S223035)</v>
      </c>
      <c r="E1111" s="93" t="str">
        <f ca="1">IFERROR(__xludf.DUMMYFUNCTION("""COMPUTED_VALUE"""),"CB19520_Mar26")</f>
        <v>CB19520_Mar26</v>
      </c>
      <c r="F1111" s="94" t="str">
        <f ca="1">IFERROR(__xludf.DUMMYFUNCTION("""COMPUTED_VALUE"""),"ATC Box Output")</f>
        <v>ATC Box Output</v>
      </c>
      <c r="G1111" s="95" t="str">
        <f ca="1">IFERROR(__xludf.DUMMYFUNCTION("""COMPUTED_VALUE"""),"New")</f>
        <v>New</v>
      </c>
      <c r="H1111" s="96">
        <f ca="1">IFERROR(__xludf.DUMMYFUNCTION("""COMPUTED_VALUE"""),1)</f>
        <v>1</v>
      </c>
      <c r="I1111" s="97">
        <f ca="1">IFERROR(__xludf.DUMMYFUNCTION("""COMPUTED_VALUE"""),46118)</f>
        <v>46118</v>
      </c>
      <c r="J1111" s="98" t="str">
        <f ca="1">IFERROR(__xludf.DUMMYFUNCTION("""COMPUTED_VALUE"""),"CW29312_Apr26")</f>
        <v>CW29312_Apr26</v>
      </c>
      <c r="K1111" s="99" t="str">
        <f ca="1">IFERROR(__xludf.DUMMYFUNCTION("""COMPUTED_VALUE"""),"HoM Approved")</f>
        <v>HoM Approved</v>
      </c>
    </row>
    <row r="1112" spans="1:11" ht="13.2">
      <c r="A1112" s="89" t="str">
        <f ca="1">IFERROR(__xludf.DUMMYFUNCTION("""COMPUTED_VALUE"""),"Common - USA &amp; Europe Export")</f>
        <v>Common - USA &amp; Europe Export</v>
      </c>
      <c r="B1112" s="90" t="str">
        <f ca="1">IFERROR(__xludf.DUMMYFUNCTION("""COMPUTED_VALUE"""),"USA &amp; Europe")</f>
        <v>USA &amp; Europe</v>
      </c>
      <c r="C1112" s="91" t="str">
        <f ca="1">IFERROR(__xludf.DUMMYFUNCTION("""COMPUTED_VALUE"""),"Saifullah Vai")</f>
        <v>Saifullah Vai</v>
      </c>
      <c r="D1112" s="92" t="str">
        <f ca="1">IFERROR(__xludf.DUMMYFUNCTION("""COMPUTED_VALUE"""),"Md. Azizul Hakim (S223035)")</f>
        <v>Md. Azizul Hakim (S223035)</v>
      </c>
      <c r="E1112" s="93" t="str">
        <f ca="1">IFERROR(__xludf.DUMMYFUNCTION("""COMPUTED_VALUE"""),"CB20841_Apr26")</f>
        <v>CB20841_Apr26</v>
      </c>
      <c r="F1112" s="94" t="str">
        <f ca="1">IFERROR(__xludf.DUMMYFUNCTION("""COMPUTED_VALUE"""),"Text Sticker Design #2")</f>
        <v>Text Sticker Design #2</v>
      </c>
      <c r="G1112" s="95" t="str">
        <f ca="1">IFERROR(__xludf.DUMMYFUNCTION("""COMPUTED_VALUE"""),"New")</f>
        <v>New</v>
      </c>
      <c r="H1112" s="96">
        <f ca="1">IFERROR(__xludf.DUMMYFUNCTION("""COMPUTED_VALUE"""),7)</f>
        <v>7</v>
      </c>
      <c r="I1112" s="97">
        <f ca="1">IFERROR(__xludf.DUMMYFUNCTION("""COMPUTED_VALUE"""),46118)</f>
        <v>46118</v>
      </c>
      <c r="J1112" s="98" t="str">
        <f ca="1">IFERROR(__xludf.DUMMYFUNCTION("""COMPUTED_VALUE"""),"CW29268_Apr26")</f>
        <v>CW29268_Apr26</v>
      </c>
      <c r="K1112" s="99" t="str">
        <f ca="1">IFERROR(__xludf.DUMMYFUNCTION("""COMPUTED_VALUE"""),"HoM Approved")</f>
        <v>HoM Approved</v>
      </c>
    </row>
    <row r="1113" spans="1:11" ht="13.2">
      <c r="A1113" s="89" t="str">
        <f ca="1">IFERROR(__xludf.DUMMYFUNCTION("""COMPUTED_VALUE"""),"Canton Noodles")</f>
        <v>Canton Noodles</v>
      </c>
      <c r="B1113" s="90" t="str">
        <f ca="1">IFERROR(__xludf.DUMMYFUNCTION("""COMPUTED_VALUE"""),"PAL")</f>
        <v>PAL</v>
      </c>
      <c r="C1113" s="91" t="str">
        <f ca="1">IFERROR(__xludf.DUMMYFUNCTION("""COMPUTED_VALUE"""),"Rakib Vai")</f>
        <v>Rakib Vai</v>
      </c>
      <c r="D1113" s="92" t="str">
        <f ca="1">IFERROR(__xludf.DUMMYFUNCTION("""COMPUTED_VALUE"""),"Md. Azizul Hakim (S223035)")</f>
        <v>Md. Azizul Hakim (S223035)</v>
      </c>
      <c r="E1113" s="93" t="str">
        <f ca="1">IFERROR(__xludf.DUMMYFUNCTION("""COMPUTED_VALUE"""),"CB19672_Mar26")</f>
        <v>CB19672_Mar26</v>
      </c>
      <c r="F1113" s="94" t="str">
        <f ca="1">IFERROR(__xludf.DUMMYFUNCTION("""COMPUTED_VALUE"""),"Carton Design")</f>
        <v>Carton Design</v>
      </c>
      <c r="G1113" s="95" t="str">
        <f ca="1">IFERROR(__xludf.DUMMYFUNCTION("""COMPUTED_VALUE"""),"New")</f>
        <v>New</v>
      </c>
      <c r="H1113" s="96">
        <f ca="1">IFERROR(__xludf.DUMMYFUNCTION("""COMPUTED_VALUE"""),1)</f>
        <v>1</v>
      </c>
      <c r="I1113" s="97">
        <f ca="1">IFERROR(__xludf.DUMMYFUNCTION("""COMPUTED_VALUE"""),46119)</f>
        <v>46119</v>
      </c>
      <c r="J1113" s="98" t="str">
        <f ca="1">IFERROR(__xludf.DUMMYFUNCTION("""COMPUTED_VALUE"""),"CW29405_Apr26")</f>
        <v>CW29405_Apr26</v>
      </c>
      <c r="K1113" s="99" t="str">
        <f ca="1">IFERROR(__xludf.DUMMYFUNCTION("""COMPUTED_VALUE"""),"HoM Approved")</f>
        <v>HoM Approved</v>
      </c>
    </row>
    <row r="1114" spans="1:11" ht="13.2">
      <c r="A1114" s="89" t="str">
        <f ca="1">IFERROR(__xludf.DUMMYFUNCTION("""COMPUTED_VALUE"""),"Potata")</f>
        <v>Potata</v>
      </c>
      <c r="B1114" s="90" t="str">
        <f ca="1">IFERROR(__xludf.DUMMYFUNCTION("""COMPUTED_VALUE"""),"Vietnam")</f>
        <v>Vietnam</v>
      </c>
      <c r="C1114" s="91" t="str">
        <f ca="1">IFERROR(__xludf.DUMMYFUNCTION("""COMPUTED_VALUE"""),"Maksuda Apu")</f>
        <v>Maksuda Apu</v>
      </c>
      <c r="D1114" s="92" t="str">
        <f ca="1">IFERROR(__xludf.DUMMYFUNCTION("""COMPUTED_VALUE"""),"Md. Azizul Hakim (S223035)")</f>
        <v>Md. Azizul Hakim (S223035)</v>
      </c>
      <c r="E1114" s="93" t="str">
        <f ca="1">IFERROR(__xludf.DUMMYFUNCTION("""COMPUTED_VALUE"""),"CB21120_Apr26")</f>
        <v>CB21120_Apr26</v>
      </c>
      <c r="F1114" s="94" t="str">
        <f ca="1">IFERROR(__xludf.DUMMYFUNCTION("""COMPUTED_VALUE"""),"Flyer/Brochure/Banner Output")</f>
        <v>Flyer/Brochure/Banner Output</v>
      </c>
      <c r="G1114" s="95" t="str">
        <f ca="1">IFERROR(__xludf.DUMMYFUNCTION("""COMPUTED_VALUE"""),"New")</f>
        <v>New</v>
      </c>
      <c r="H1114" s="96">
        <f ca="1">IFERROR(__xludf.DUMMYFUNCTION("""COMPUTED_VALUE"""),1)</f>
        <v>1</v>
      </c>
      <c r="I1114" s="97">
        <f ca="1">IFERROR(__xludf.DUMMYFUNCTION("""COMPUTED_VALUE"""),46121)</f>
        <v>46121</v>
      </c>
      <c r="J1114" s="98" t="str">
        <f ca="1">IFERROR(__xludf.DUMMYFUNCTION("""COMPUTED_VALUE"""),"CW29581_Apr26")</f>
        <v>CW29581_Apr26</v>
      </c>
      <c r="K1114" s="99" t="str">
        <f ca="1">IFERROR(__xludf.DUMMYFUNCTION("""COMPUTED_VALUE"""),"HoM Approved")</f>
        <v>HoM Approved</v>
      </c>
    </row>
    <row r="1115" spans="1:11" ht="13.2">
      <c r="A1115" s="89" t="str">
        <f ca="1">IFERROR(__xludf.DUMMYFUNCTION("""COMPUTED_VALUE"""),"RFL Kitchen Sink")</f>
        <v>RFL Kitchen Sink</v>
      </c>
      <c r="B1115" s="90" t="str">
        <f ca="1">IFERROR(__xludf.DUMMYFUNCTION("""COMPUTED_VALUE"""),"RMIL-1")</f>
        <v>RMIL-1</v>
      </c>
      <c r="C1115" s="91" t="str">
        <f ca="1">IFERROR(__xludf.DUMMYFUNCTION("""COMPUTED_VALUE"""),"RFL-Farjana Apu")</f>
        <v>RFL-Farjana Apu</v>
      </c>
      <c r="D1115" s="92" t="str">
        <f ca="1">IFERROR(__xludf.DUMMYFUNCTION("""COMPUTED_VALUE"""),"Md. Azizul Hakim (S223035)")</f>
        <v>Md. Azizul Hakim (S223035)</v>
      </c>
      <c r="E1115" s="93" t="str">
        <f ca="1">IFERROR(__xludf.DUMMYFUNCTION("""COMPUTED_VALUE"""),"CB19943_Mar26")</f>
        <v>CB19943_Mar26</v>
      </c>
      <c r="F1115" s="94" t="str">
        <f ca="1">IFERROR(__xludf.DUMMYFUNCTION("""COMPUTED_VALUE"""),"Flyer/Brochure/Banner Output")</f>
        <v>Flyer/Brochure/Banner Output</v>
      </c>
      <c r="G1115" s="95" t="str">
        <f ca="1">IFERROR(__xludf.DUMMYFUNCTION("""COMPUTED_VALUE"""),"New")</f>
        <v>New</v>
      </c>
      <c r="H1115" s="96">
        <f ca="1">IFERROR(__xludf.DUMMYFUNCTION("""COMPUTED_VALUE"""),1)</f>
        <v>1</v>
      </c>
      <c r="I1115" s="97">
        <f ca="1">IFERROR(__xludf.DUMMYFUNCTION("""COMPUTED_VALUE"""),46121)</f>
        <v>46121</v>
      </c>
      <c r="J1115" s="98" t="str">
        <f ca="1">IFERROR(__xludf.DUMMYFUNCTION("""COMPUTED_VALUE"""),"CW29588_Apr26")</f>
        <v>CW29588_Apr26</v>
      </c>
      <c r="K1115" s="99" t="str">
        <f ca="1">IFERROR(__xludf.DUMMYFUNCTION("""COMPUTED_VALUE"""),"HoM Approved")</f>
        <v>HoM Approved</v>
      </c>
    </row>
    <row r="1116" spans="1:11" ht="13.2">
      <c r="A1116" s="89" t="str">
        <f ca="1">IFERROR(__xludf.DUMMYFUNCTION("""COMPUTED_VALUE"""),"PRAN Potata- Singapore")</f>
        <v>PRAN Potata- Singapore</v>
      </c>
      <c r="B1116" s="90" t="str">
        <f ca="1">IFERROR(__xludf.DUMMYFUNCTION("""COMPUTED_VALUE"""),"Malaysia")</f>
        <v>Malaysia</v>
      </c>
      <c r="C1116" s="91" t="str">
        <f ca="1">IFERROR(__xludf.DUMMYFUNCTION("""COMPUTED_VALUE"""),"Mona Apu")</f>
        <v>Mona Apu</v>
      </c>
      <c r="D1116" s="92" t="str">
        <f ca="1">IFERROR(__xludf.DUMMYFUNCTION("""COMPUTED_VALUE"""),"Md. Azizul Hakim (S223035)")</f>
        <v>Md. Azizul Hakim (S223035)</v>
      </c>
      <c r="E1116" s="93" t="str">
        <f ca="1">IFERROR(__xludf.DUMMYFUNCTION("""COMPUTED_VALUE"""),"CB21503_Apr26")</f>
        <v>CB21503_Apr26</v>
      </c>
      <c r="F1116" s="94" t="str">
        <f ca="1">IFERROR(__xludf.DUMMYFUNCTION("""COMPUTED_VALUE"""),"FOP Sticker Making")</f>
        <v>FOP Sticker Making</v>
      </c>
      <c r="G1116" s="95" t="str">
        <f ca="1">IFERROR(__xludf.DUMMYFUNCTION("""COMPUTED_VALUE"""),"New")</f>
        <v>New</v>
      </c>
      <c r="H1116" s="96">
        <f ca="1">IFERROR(__xludf.DUMMYFUNCTION("""COMPUTED_VALUE"""),4)</f>
        <v>4</v>
      </c>
      <c r="I1116" s="97">
        <f ca="1">IFERROR(__xludf.DUMMYFUNCTION("""COMPUTED_VALUE"""),46124)</f>
        <v>46124</v>
      </c>
      <c r="J1116" s="98" t="str">
        <f ca="1">IFERROR(__xludf.DUMMYFUNCTION("""COMPUTED_VALUE"""),"CW29898_Apr26")</f>
        <v>CW29898_Apr26</v>
      </c>
      <c r="K1116" s="99" t="str">
        <f ca="1">IFERROR(__xludf.DUMMYFUNCTION("""COMPUTED_VALUE"""),"HoM Approved")</f>
        <v>HoM Approved</v>
      </c>
    </row>
    <row r="1117" spans="1:11" ht="13.2">
      <c r="A1117" s="89" t="str">
        <f ca="1">IFERROR(__xludf.DUMMYFUNCTION("""COMPUTED_VALUE"""),"PRAN Potata Biscuit")</f>
        <v>PRAN Potata Biscuit</v>
      </c>
      <c r="B1117" s="90" t="str">
        <f ca="1">IFERROR(__xludf.DUMMYFUNCTION("""COMPUTED_VALUE"""),"KSA")</f>
        <v>KSA</v>
      </c>
      <c r="C1117" s="91" t="str">
        <f ca="1">IFERROR(__xludf.DUMMYFUNCTION("""COMPUTED_VALUE"""),"Zahirul Vai")</f>
        <v>Zahirul Vai</v>
      </c>
      <c r="D1117" s="92" t="str">
        <f ca="1">IFERROR(__xludf.DUMMYFUNCTION("""COMPUTED_VALUE"""),"Md. Azizul Hakim (S223035)")</f>
        <v>Md. Azizul Hakim (S223035)</v>
      </c>
      <c r="E1117" s="93" t="str">
        <f ca="1">IFERROR(__xludf.DUMMYFUNCTION("""COMPUTED_VALUE"""),"CB20676_Apr26")</f>
        <v>CB20676_Apr26</v>
      </c>
      <c r="F1117" s="94" t="str">
        <f ca="1">IFERROR(__xludf.DUMMYFUNCTION("""COMPUTED_VALUE"""),"Carton Design")</f>
        <v>Carton Design</v>
      </c>
      <c r="G1117" s="95" t="str">
        <f ca="1">IFERROR(__xludf.DUMMYFUNCTION("""COMPUTED_VALUE"""),"New")</f>
        <v>New</v>
      </c>
      <c r="H1117" s="96">
        <f ca="1">IFERROR(__xludf.DUMMYFUNCTION("""COMPUTED_VALUE"""),4)</f>
        <v>4</v>
      </c>
      <c r="I1117" s="97">
        <f ca="1">IFERROR(__xludf.DUMMYFUNCTION("""COMPUTED_VALUE"""),46124)</f>
        <v>46124</v>
      </c>
      <c r="J1117" s="98" t="str">
        <f ca="1">IFERROR(__xludf.DUMMYFUNCTION("""COMPUTED_VALUE"""),"CW29886_Apr26")</f>
        <v>CW29886_Apr26</v>
      </c>
      <c r="K1117" s="99" t="str">
        <f ca="1">IFERROR(__xludf.DUMMYFUNCTION("""COMPUTED_VALUE"""),"HoM Approved")</f>
        <v>HoM Approved</v>
      </c>
    </row>
    <row r="1118" spans="1:11" ht="13.2">
      <c r="A1118" s="89" t="str">
        <f ca="1">IFERROR(__xludf.DUMMYFUNCTION("""COMPUTED_VALUE"""),"PRAN Chinigura Rice")</f>
        <v>PRAN Chinigura Rice</v>
      </c>
      <c r="B1118" s="90" t="str">
        <f ca="1">IFERROR(__xludf.DUMMYFUNCTION("""COMPUTED_VALUE"""),"BML")</f>
        <v>BML</v>
      </c>
      <c r="C1118" s="91" t="str">
        <f ca="1">IFERROR(__xludf.DUMMYFUNCTION("""COMPUTED_VALUE"""),"Rifath Vai")</f>
        <v>Rifath Vai</v>
      </c>
      <c r="D1118" s="92" t="str">
        <f ca="1">IFERROR(__xludf.DUMMYFUNCTION("""COMPUTED_VALUE"""),"Md. Azizul Hakim (S223035)")</f>
        <v>Md. Azizul Hakim (S223035)</v>
      </c>
      <c r="E1118" s="93" t="str">
        <f ca="1">IFERROR(__xludf.DUMMYFUNCTION("""COMPUTED_VALUE"""),"CB21268_Apr26")</f>
        <v>CB21268_Apr26</v>
      </c>
      <c r="F1118" s="94" t="str">
        <f ca="1">IFERROR(__xludf.DUMMYFUNCTION("""COMPUTED_VALUE"""),"JAR Label Sticker Output")</f>
        <v>JAR Label Sticker Output</v>
      </c>
      <c r="G1118" s="95" t="str">
        <f ca="1">IFERROR(__xludf.DUMMYFUNCTION("""COMPUTED_VALUE"""),"New")</f>
        <v>New</v>
      </c>
      <c r="H1118" s="96">
        <f ca="1">IFERROR(__xludf.DUMMYFUNCTION("""COMPUTED_VALUE"""),2)</f>
        <v>2</v>
      </c>
      <c r="I1118" s="97">
        <f ca="1">IFERROR(__xludf.DUMMYFUNCTION("""COMPUTED_VALUE"""),46126)</f>
        <v>46126</v>
      </c>
      <c r="J1118" s="98" t="str">
        <f ca="1">IFERROR(__xludf.DUMMYFUNCTION("""COMPUTED_VALUE"""),"CW30061_Apr26")</f>
        <v>CW30061_Apr26</v>
      </c>
      <c r="K1118" s="99" t="str">
        <f ca="1">IFERROR(__xludf.DUMMYFUNCTION("""COMPUTED_VALUE"""),"HoM Approved")</f>
        <v>HoM Approved</v>
      </c>
    </row>
    <row r="1119" spans="1:11" ht="13.2">
      <c r="A1119" s="89" t="str">
        <f ca="1">IFERROR(__xludf.DUMMYFUNCTION("""COMPUTED_VALUE"""),"PRAN Chanachur")</f>
        <v>PRAN Chanachur</v>
      </c>
      <c r="B1119" s="90" t="str">
        <f ca="1">IFERROR(__xludf.DUMMYFUNCTION("""COMPUTED_VALUE"""),"PFL")</f>
        <v>PFL</v>
      </c>
      <c r="C1119" s="91" t="str">
        <f ca="1">IFERROR(__xludf.DUMMYFUNCTION("""COMPUTED_VALUE"""),"Sharika Apu")</f>
        <v>Sharika Apu</v>
      </c>
      <c r="D1119" s="92" t="str">
        <f ca="1">IFERROR(__xludf.DUMMYFUNCTION("""COMPUTED_VALUE"""),"Md. Azizul Hakim (S223035)")</f>
        <v>Md. Azizul Hakim (S223035)</v>
      </c>
      <c r="E1119" s="93" t="str">
        <f ca="1">IFERROR(__xludf.DUMMYFUNCTION("""COMPUTED_VALUE"""),"CB21616_Apr26")</f>
        <v>CB21616_Apr26</v>
      </c>
      <c r="F1119" s="94" t="str">
        <f ca="1">IFERROR(__xludf.DUMMYFUNCTION("""COMPUTED_VALUE"""),"Text Sticker Design #2")</f>
        <v>Text Sticker Design #2</v>
      </c>
      <c r="G1119" s="95" t="str">
        <f ca="1">IFERROR(__xludf.DUMMYFUNCTION("""COMPUTED_VALUE"""),"New")</f>
        <v>New</v>
      </c>
      <c r="H1119" s="96">
        <f ca="1">IFERROR(__xludf.DUMMYFUNCTION("""COMPUTED_VALUE"""),5)</f>
        <v>5</v>
      </c>
      <c r="I1119" s="97">
        <f ca="1">IFERROR(__xludf.DUMMYFUNCTION("""COMPUTED_VALUE"""),46126)</f>
        <v>46126</v>
      </c>
      <c r="J1119" s="98" t="str">
        <f ca="1">IFERROR(__xludf.DUMMYFUNCTION("""COMPUTED_VALUE"""),"CW30063_Apr26")</f>
        <v>CW30063_Apr26</v>
      </c>
      <c r="K1119" s="99" t="str">
        <f ca="1">IFERROR(__xludf.DUMMYFUNCTION("""COMPUTED_VALUE"""),"HoM Approved")</f>
        <v>HoM Approved</v>
      </c>
    </row>
    <row r="1120" spans="1:11" ht="13.2">
      <c r="A1120" s="89" t="str">
        <f ca="1">IFERROR(__xludf.DUMMYFUNCTION("""COMPUTED_VALUE"""),"PRAN Ball Gum")</f>
        <v>PRAN Ball Gum</v>
      </c>
      <c r="B1120" s="90" t="str">
        <f ca="1">IFERROR(__xludf.DUMMYFUNCTION("""COMPUTED_VALUE"""),"PCL")</f>
        <v>PCL</v>
      </c>
      <c r="C1120" s="91" t="str">
        <f ca="1">IFERROR(__xludf.DUMMYFUNCTION("""COMPUTED_VALUE"""),"Zahirul Vai")</f>
        <v>Zahirul Vai</v>
      </c>
      <c r="D1120" s="92" t="str">
        <f ca="1">IFERROR(__xludf.DUMMYFUNCTION("""COMPUTED_VALUE"""),"Md. Azizul Hakim (S223035)")</f>
        <v>Md. Azizul Hakim (S223035)</v>
      </c>
      <c r="E1120" s="93" t="str">
        <f ca="1">IFERROR(__xludf.DUMMYFUNCTION("""COMPUTED_VALUE"""),"CB21299_Apr26")</f>
        <v>CB21299_Apr26</v>
      </c>
      <c r="F1120" s="94" t="str">
        <f ca="1">IFERROR(__xludf.DUMMYFUNCTION("""COMPUTED_VALUE"""),"JAR Label Sticker Output")</f>
        <v>JAR Label Sticker Output</v>
      </c>
      <c r="G1120" s="95" t="str">
        <f ca="1">IFERROR(__xludf.DUMMYFUNCTION("""COMPUTED_VALUE"""),"New")</f>
        <v>New</v>
      </c>
      <c r="H1120" s="96">
        <f ca="1">IFERROR(__xludf.DUMMYFUNCTION("""COMPUTED_VALUE"""),1)</f>
        <v>1</v>
      </c>
      <c r="I1120" s="97">
        <f ca="1">IFERROR(__xludf.DUMMYFUNCTION("""COMPUTED_VALUE"""),46126)</f>
        <v>46126</v>
      </c>
      <c r="J1120" s="98" t="str">
        <f ca="1">IFERROR(__xludf.DUMMYFUNCTION("""COMPUTED_VALUE"""),"CW30078_Apr26")</f>
        <v>CW30078_Apr26</v>
      </c>
      <c r="K1120" s="99" t="str">
        <f ca="1">IFERROR(__xludf.DUMMYFUNCTION("""COMPUTED_VALUE"""),"HoM Approved")</f>
        <v>HoM Approved</v>
      </c>
    </row>
    <row r="1121" spans="1:11" ht="13.2">
      <c r="A1121" s="89" t="str">
        <f ca="1">IFERROR(__xludf.DUMMYFUNCTION("""COMPUTED_VALUE"""),"RFL Gas Stove")</f>
        <v>RFL Gas Stove</v>
      </c>
      <c r="B1121" s="90" t="str">
        <f ca="1">IFERROR(__xludf.DUMMYFUNCTION("""COMPUTED_VALUE"""),"RMIL-1")</f>
        <v>RMIL-1</v>
      </c>
      <c r="C1121" s="91" t="str">
        <f ca="1">IFERROR(__xludf.DUMMYFUNCTION("""COMPUTED_VALUE"""),"Humayun Vaiya")</f>
        <v>Humayun Vaiya</v>
      </c>
      <c r="D1121" s="92" t="str">
        <f ca="1">IFERROR(__xludf.DUMMYFUNCTION("""COMPUTED_VALUE"""),"Md. Azizul Hakim (S223035)")</f>
        <v>Md. Azizul Hakim (S223035)</v>
      </c>
      <c r="E1121" s="93" t="str">
        <f ca="1">IFERROR(__xludf.DUMMYFUNCTION("""COMPUTED_VALUE"""),"CB18336_Feb26")</f>
        <v>CB18336_Feb26</v>
      </c>
      <c r="F1121" s="94" t="str">
        <f ca="1">IFERROR(__xludf.DUMMYFUNCTION("""COMPUTED_VALUE"""),"Flyer/Brochure/Banner Output")</f>
        <v>Flyer/Brochure/Banner Output</v>
      </c>
      <c r="G1121" s="95" t="str">
        <f ca="1">IFERROR(__xludf.DUMMYFUNCTION("""COMPUTED_VALUE"""),"New")</f>
        <v>New</v>
      </c>
      <c r="H1121" s="96">
        <f ca="1">IFERROR(__xludf.DUMMYFUNCTION("""COMPUTED_VALUE"""),1)</f>
        <v>1</v>
      </c>
      <c r="I1121" s="97">
        <f ca="1">IFERROR(__xludf.DUMMYFUNCTION("""COMPUTED_VALUE"""),46127)</f>
        <v>46127</v>
      </c>
      <c r="J1121" s="98" t="str">
        <f ca="1">IFERROR(__xludf.DUMMYFUNCTION("""COMPUTED_VALUE"""),"CW30153_Apr26")</f>
        <v>CW30153_Apr26</v>
      </c>
      <c r="K1121" s="99" t="str">
        <f ca="1">IFERROR(__xludf.DUMMYFUNCTION("""COMPUTED_VALUE"""),"HoM Approved")</f>
        <v>HoM Approved</v>
      </c>
    </row>
    <row r="1122" spans="1:11" ht="13.2">
      <c r="A1122" s="89" t="str">
        <f ca="1">IFERROR(__xludf.DUMMYFUNCTION("""COMPUTED_VALUE"""),"Mango bar")</f>
        <v>Mango bar</v>
      </c>
      <c r="B1122" s="90" t="str">
        <f ca="1">IFERROR(__xludf.DUMMYFUNCTION("""COMPUTED_VALUE"""),"AMCL")</f>
        <v>AMCL</v>
      </c>
      <c r="C1122" s="91" t="str">
        <f ca="1">IFERROR(__xludf.DUMMYFUNCTION("""COMPUTED_VALUE"""),"Saifullah Vai")</f>
        <v>Saifullah Vai</v>
      </c>
      <c r="D1122" s="92" t="str">
        <f ca="1">IFERROR(__xludf.DUMMYFUNCTION("""COMPUTED_VALUE"""),"Md. Azizul Hakim (S223035)")</f>
        <v>Md. Azizul Hakim (S223035)</v>
      </c>
      <c r="E1122" s="93" t="str">
        <f ca="1">IFERROR(__xludf.DUMMYFUNCTION("""COMPUTED_VALUE"""),"CB19775_Mar26")</f>
        <v>CB19775_Mar26</v>
      </c>
      <c r="F1122" s="94" t="str">
        <f ca="1">IFERROR(__xludf.DUMMYFUNCTION("""COMPUTED_VALUE"""),"Text Sticker Design #2")</f>
        <v>Text Sticker Design #2</v>
      </c>
      <c r="G1122" s="95" t="str">
        <f ca="1">IFERROR(__xludf.DUMMYFUNCTION("""COMPUTED_VALUE"""),"New")</f>
        <v>New</v>
      </c>
      <c r="H1122" s="96">
        <f ca="1">IFERROR(__xludf.DUMMYFUNCTION("""COMPUTED_VALUE"""),5)</f>
        <v>5</v>
      </c>
      <c r="I1122" s="97">
        <f ca="1">IFERROR(__xludf.DUMMYFUNCTION("""COMPUTED_VALUE"""),46127)</f>
        <v>46127</v>
      </c>
      <c r="J1122" s="98" t="str">
        <f ca="1">IFERROR(__xludf.DUMMYFUNCTION("""COMPUTED_VALUE"""),"CW30154_Apr26")</f>
        <v>CW30154_Apr26</v>
      </c>
      <c r="K1122" s="99" t="str">
        <f ca="1">IFERROR(__xludf.DUMMYFUNCTION("""COMPUTED_VALUE"""),"HoM Approved")</f>
        <v>HoM Approved</v>
      </c>
    </row>
    <row r="1123" spans="1:11" ht="13.2">
      <c r="A1123" s="89" t="str">
        <f ca="1">IFERROR(__xludf.DUMMYFUNCTION("""COMPUTED_VALUE"""),"Vision Washing Machine")</f>
        <v>Vision Washing Machine</v>
      </c>
      <c r="B1123" s="90" t="str">
        <f ca="1">IFERROR(__xludf.DUMMYFUNCTION("""COMPUTED_VALUE"""),"REL")</f>
        <v>REL</v>
      </c>
      <c r="C1123" s="91" t="str">
        <f ca="1">IFERROR(__xludf.DUMMYFUNCTION("""COMPUTED_VALUE"""),"Sayed Vai")</f>
        <v>Sayed Vai</v>
      </c>
      <c r="D1123" s="92" t="str">
        <f ca="1">IFERROR(__xludf.DUMMYFUNCTION("""COMPUTED_VALUE"""),"Md. Azizul Hakim (S223035)")</f>
        <v>Md. Azizul Hakim (S223035)</v>
      </c>
      <c r="E1123" s="93" t="str">
        <f ca="1">IFERROR(__xludf.DUMMYFUNCTION("""COMPUTED_VALUE"""),"CB21018_Apr26")</f>
        <v>CB21018_Apr26</v>
      </c>
      <c r="F1123" s="94" t="str">
        <f ca="1">IFERROR(__xludf.DUMMYFUNCTION("""COMPUTED_VALUE"""),"Flyer/Brochure/Banner Output")</f>
        <v>Flyer/Brochure/Banner Output</v>
      </c>
      <c r="G1123" s="95" t="str">
        <f ca="1">IFERROR(__xludf.DUMMYFUNCTION("""COMPUTED_VALUE"""),"New")</f>
        <v>New</v>
      </c>
      <c r="H1123" s="96">
        <f ca="1">IFERROR(__xludf.DUMMYFUNCTION("""COMPUTED_VALUE"""),1)</f>
        <v>1</v>
      </c>
      <c r="I1123" s="97">
        <f ca="1">IFERROR(__xludf.DUMMYFUNCTION("""COMPUTED_VALUE"""),46127)</f>
        <v>46127</v>
      </c>
      <c r="J1123" s="98" t="str">
        <f ca="1">IFERROR(__xludf.DUMMYFUNCTION("""COMPUTED_VALUE"""),"CW30151_Apr26")</f>
        <v>CW30151_Apr26</v>
      </c>
      <c r="K1123" s="99" t="str">
        <f ca="1">IFERROR(__xludf.DUMMYFUNCTION("""COMPUTED_VALUE"""),"HoM Approved")</f>
        <v>HoM Approved</v>
      </c>
    </row>
    <row r="1124" spans="1:11" ht="13.2">
      <c r="A1124" s="89" t="str">
        <f ca="1">IFERROR(__xludf.DUMMYFUNCTION("""COMPUTED_VALUE"""),"PRAN Cookies")</f>
        <v>PRAN Cookies</v>
      </c>
      <c r="B1124" s="90" t="str">
        <f ca="1">IFERROR(__xludf.DUMMYFUNCTION("""COMPUTED_VALUE"""),"BBL")</f>
        <v>BBL</v>
      </c>
      <c r="C1124" s="91" t="str">
        <f ca="1">IFERROR(__xludf.DUMMYFUNCTION("""COMPUTED_VALUE"""),"Zahirul Vai")</f>
        <v>Zahirul Vai</v>
      </c>
      <c r="D1124" s="92" t="str">
        <f ca="1">IFERROR(__xludf.DUMMYFUNCTION("""COMPUTED_VALUE"""),"Md. Azizul Hakim (S223035)")</f>
        <v>Md. Azizul Hakim (S223035)</v>
      </c>
      <c r="E1124" s="93" t="str">
        <f ca="1">IFERROR(__xludf.DUMMYFUNCTION("""COMPUTED_VALUE"""),"CB16709_Jan26")</f>
        <v>CB16709_Jan26</v>
      </c>
      <c r="F1124" s="94" t="str">
        <f ca="1">IFERROR(__xludf.DUMMYFUNCTION("""COMPUTED_VALUE"""),"ATC Box Output")</f>
        <v>ATC Box Output</v>
      </c>
      <c r="G1124" s="95" t="str">
        <f ca="1">IFERROR(__xludf.DUMMYFUNCTION("""COMPUTED_VALUE"""),"New")</f>
        <v>New</v>
      </c>
      <c r="H1124" s="96">
        <f ca="1">IFERROR(__xludf.DUMMYFUNCTION("""COMPUTED_VALUE"""),1)</f>
        <v>1</v>
      </c>
      <c r="I1124" s="97">
        <f ca="1">IFERROR(__xludf.DUMMYFUNCTION("""COMPUTED_VALUE"""),46127)</f>
        <v>46127</v>
      </c>
      <c r="J1124" s="98" t="str">
        <f ca="1">IFERROR(__xludf.DUMMYFUNCTION("""COMPUTED_VALUE"""),"CW30149_Apr26")</f>
        <v>CW30149_Apr26</v>
      </c>
      <c r="K1124" s="99" t="str">
        <f ca="1">IFERROR(__xludf.DUMMYFUNCTION("""COMPUTED_VALUE"""),"HoM Approved")</f>
        <v>HoM Approved</v>
      </c>
    </row>
    <row r="1125" spans="1:11" ht="13.2">
      <c r="A1125" s="89" t="str">
        <f ca="1">IFERROR(__xludf.DUMMYFUNCTION("""COMPUTED_VALUE"""),"Common - USA &amp; Europe Export")</f>
        <v>Common - USA &amp; Europe Export</v>
      </c>
      <c r="B1125" s="90" t="str">
        <f ca="1">IFERROR(__xludf.DUMMYFUNCTION("""COMPUTED_VALUE"""),"USA &amp; Europe")</f>
        <v>USA &amp; Europe</v>
      </c>
      <c r="C1125" s="91" t="str">
        <f ca="1">IFERROR(__xludf.DUMMYFUNCTION("""COMPUTED_VALUE"""),"Saifullah Vai")</f>
        <v>Saifullah Vai</v>
      </c>
      <c r="D1125" s="92" t="str">
        <f ca="1">IFERROR(__xludf.DUMMYFUNCTION("""COMPUTED_VALUE"""),"Md. Azizul Hakim (S223035)")</f>
        <v>Md. Azizul Hakim (S223035)</v>
      </c>
      <c r="E1125" s="93" t="str">
        <f ca="1">IFERROR(__xludf.DUMMYFUNCTION("""COMPUTED_VALUE"""),"CB21801_Apr26")</f>
        <v>CB21801_Apr26</v>
      </c>
      <c r="F1125" s="94" t="str">
        <f ca="1">IFERROR(__xludf.DUMMYFUNCTION("""COMPUTED_VALUE"""),"JAR Label Sticker Output")</f>
        <v>JAR Label Sticker Output</v>
      </c>
      <c r="G1125" s="95" t="str">
        <f ca="1">IFERROR(__xludf.DUMMYFUNCTION("""COMPUTED_VALUE"""),"New")</f>
        <v>New</v>
      </c>
      <c r="H1125" s="96">
        <f ca="1">IFERROR(__xludf.DUMMYFUNCTION("""COMPUTED_VALUE"""),1)</f>
        <v>1</v>
      </c>
      <c r="I1125" s="97">
        <f ca="1">IFERROR(__xludf.DUMMYFUNCTION("""COMPUTED_VALUE"""),46128)</f>
        <v>46128</v>
      </c>
      <c r="J1125" s="98" t="str">
        <f ca="1">IFERROR(__xludf.DUMMYFUNCTION("""COMPUTED_VALUE"""),"CW30298_Apr26")</f>
        <v>CW30298_Apr26</v>
      </c>
      <c r="K1125" s="99" t="str">
        <f ca="1">IFERROR(__xludf.DUMMYFUNCTION("""COMPUTED_VALUE"""),"HoM Approved")</f>
        <v>HoM Approved</v>
      </c>
    </row>
    <row r="1126" spans="1:11" ht="13.2">
      <c r="A1126" s="89" t="str">
        <f ca="1">IFERROR(__xludf.DUMMYFUNCTION("""COMPUTED_VALUE"""),"PRAN Litchi Drink")</f>
        <v>PRAN Litchi Drink</v>
      </c>
      <c r="B1126" s="90" t="str">
        <f ca="1">IFERROR(__xludf.DUMMYFUNCTION("""COMPUTED_VALUE"""),"AMCL")</f>
        <v>AMCL</v>
      </c>
      <c r="C1126" s="91" t="str">
        <f ca="1">IFERROR(__xludf.DUMMYFUNCTION("""COMPUTED_VALUE"""),"Meher Apu")</f>
        <v>Meher Apu</v>
      </c>
      <c r="D1126" s="92" t="str">
        <f ca="1">IFERROR(__xludf.DUMMYFUNCTION("""COMPUTED_VALUE"""),"Md. Azizul Hakim (S223035)")</f>
        <v>Md. Azizul Hakim (S223035)</v>
      </c>
      <c r="E1126" s="93" t="str">
        <f ca="1">IFERROR(__xludf.DUMMYFUNCTION("""COMPUTED_VALUE"""),"CB21070_Apr26")</f>
        <v>CB21070_Apr26</v>
      </c>
      <c r="F1126" s="94" t="str">
        <f ca="1">IFERROR(__xludf.DUMMYFUNCTION("""COMPUTED_VALUE"""),"JAR Label Sticker Output")</f>
        <v>JAR Label Sticker Output</v>
      </c>
      <c r="G1126" s="95" t="str">
        <f ca="1">IFERROR(__xludf.DUMMYFUNCTION("""COMPUTED_VALUE"""),"New")</f>
        <v>New</v>
      </c>
      <c r="H1126" s="96">
        <f ca="1">IFERROR(__xludf.DUMMYFUNCTION("""COMPUTED_VALUE"""),1)</f>
        <v>1</v>
      </c>
      <c r="I1126" s="97">
        <f ca="1">IFERROR(__xludf.DUMMYFUNCTION("""COMPUTED_VALUE"""),46130)</f>
        <v>46130</v>
      </c>
      <c r="J1126" s="98" t="str">
        <f ca="1">IFERROR(__xludf.DUMMYFUNCTION("""COMPUTED_VALUE"""),"CW30352_Apr26")</f>
        <v>CW30352_Apr26</v>
      </c>
      <c r="K1126" s="99" t="str">
        <f ca="1">IFERROR(__xludf.DUMMYFUNCTION("""COMPUTED_VALUE"""),"HoM Approved")</f>
        <v>HoM Approved</v>
      </c>
    </row>
    <row r="1127" spans="1:11" ht="13.2">
      <c r="A1127" s="89" t="str">
        <f ca="1">IFERROR(__xludf.DUMMYFUNCTION("""COMPUTED_VALUE"""),"PRAN Recipe Mix")</f>
        <v>PRAN Recipe Mix</v>
      </c>
      <c r="B1127" s="90" t="str">
        <f ca="1">IFERROR(__xludf.DUMMYFUNCTION("""COMPUTED_VALUE"""),"NAL")</f>
        <v>NAL</v>
      </c>
      <c r="C1127" s="91" t="str">
        <f ca="1">IFERROR(__xludf.DUMMYFUNCTION("""COMPUTED_VALUE"""),"Minhaz Vai")</f>
        <v>Minhaz Vai</v>
      </c>
      <c r="D1127" s="92" t="str">
        <f ca="1">IFERROR(__xludf.DUMMYFUNCTION("""COMPUTED_VALUE"""),"Md. Azizul Hakim (S223035)")</f>
        <v>Md. Azizul Hakim (S223035)</v>
      </c>
      <c r="E1127" s="93" t="str">
        <f ca="1">IFERROR(__xludf.DUMMYFUNCTION("""COMPUTED_VALUE"""),"CB21164_Apr26")</f>
        <v>CB21164_Apr26</v>
      </c>
      <c r="F1127" s="94" t="str">
        <f ca="1">IFERROR(__xludf.DUMMYFUNCTION("""COMPUTED_VALUE"""),"JAR Label Sticker Output")</f>
        <v>JAR Label Sticker Output</v>
      </c>
      <c r="G1127" s="95" t="str">
        <f ca="1">IFERROR(__xludf.DUMMYFUNCTION("""COMPUTED_VALUE"""),"New")</f>
        <v>New</v>
      </c>
      <c r="H1127" s="96">
        <f ca="1">IFERROR(__xludf.DUMMYFUNCTION("""COMPUTED_VALUE"""),2)</f>
        <v>2</v>
      </c>
      <c r="I1127" s="97">
        <f ca="1">IFERROR(__xludf.DUMMYFUNCTION("""COMPUTED_VALUE"""),46130)</f>
        <v>46130</v>
      </c>
      <c r="J1127" s="98" t="str">
        <f ca="1">IFERROR(__xludf.DUMMYFUNCTION("""COMPUTED_VALUE"""),"CW30377_Apr26")</f>
        <v>CW30377_Apr26</v>
      </c>
      <c r="K1127" s="99" t="str">
        <f ca="1">IFERROR(__xludf.DUMMYFUNCTION("""COMPUTED_VALUE"""),"HoM Approved")</f>
        <v>HoM Approved</v>
      </c>
    </row>
    <row r="1128" spans="1:11" ht="13.2">
      <c r="A1128" s="89" t="str">
        <f ca="1">IFERROR(__xludf.DUMMYFUNCTION("""COMPUTED_VALUE"""),"PRAN Coffee Candy")</f>
        <v>PRAN Coffee Candy</v>
      </c>
      <c r="B1128" s="90" t="str">
        <f ca="1">IFERROR(__xludf.DUMMYFUNCTION("""COMPUTED_VALUE"""),"PCL")</f>
        <v>PCL</v>
      </c>
      <c r="C1128" s="91" t="str">
        <f ca="1">IFERROR(__xludf.DUMMYFUNCTION("""COMPUTED_VALUE"""),"Mona Apu")</f>
        <v>Mona Apu</v>
      </c>
      <c r="D1128" s="92" t="str">
        <f ca="1">IFERROR(__xludf.DUMMYFUNCTION("""COMPUTED_VALUE"""),"Md. Azizul Hakim (S223035)")</f>
        <v>Md. Azizul Hakim (S223035)</v>
      </c>
      <c r="E1128" s="93" t="str">
        <f ca="1">IFERROR(__xludf.DUMMYFUNCTION("""COMPUTED_VALUE"""),"CB21514_Apr26")</f>
        <v>CB21514_Apr26</v>
      </c>
      <c r="F1128" s="94" t="str">
        <f ca="1">IFERROR(__xludf.DUMMYFUNCTION("""COMPUTED_VALUE"""),"Carton Design")</f>
        <v>Carton Design</v>
      </c>
      <c r="G1128" s="95" t="str">
        <f ca="1">IFERROR(__xludf.DUMMYFUNCTION("""COMPUTED_VALUE"""),"New")</f>
        <v>New</v>
      </c>
      <c r="H1128" s="96">
        <f ca="1">IFERROR(__xludf.DUMMYFUNCTION("""COMPUTED_VALUE"""),3)</f>
        <v>3</v>
      </c>
      <c r="I1128" s="97">
        <f ca="1">IFERROR(__xludf.DUMMYFUNCTION("""COMPUTED_VALUE"""),46132)</f>
        <v>46132</v>
      </c>
      <c r="J1128" s="98" t="str">
        <f ca="1">IFERROR(__xludf.DUMMYFUNCTION("""COMPUTED_VALUE"""),"CW30555_Apr26")</f>
        <v>CW30555_Apr26</v>
      </c>
      <c r="K1128" s="99" t="str">
        <f ca="1">IFERROR(__xludf.DUMMYFUNCTION("""COMPUTED_VALUE"""),"HoM Approved")</f>
        <v>HoM Approved</v>
      </c>
    </row>
    <row r="1129" spans="1:11" ht="13.2">
      <c r="A1129" s="89" t="str">
        <f ca="1">IFERROR(__xludf.DUMMYFUNCTION("""COMPUTED_VALUE"""),"Mango bar")</f>
        <v>Mango bar</v>
      </c>
      <c r="B1129" s="90" t="str">
        <f ca="1">IFERROR(__xludf.DUMMYFUNCTION("""COMPUTED_VALUE"""),"AMCL")</f>
        <v>AMCL</v>
      </c>
      <c r="C1129" s="91" t="str">
        <f ca="1">IFERROR(__xludf.DUMMYFUNCTION("""COMPUTED_VALUE"""),"Shamsul Sir")</f>
        <v>Shamsul Sir</v>
      </c>
      <c r="D1129" s="92" t="str">
        <f ca="1">IFERROR(__xludf.DUMMYFUNCTION("""COMPUTED_VALUE"""),"Md. Azizul Hakim (S223035)")</f>
        <v>Md. Azizul Hakim (S223035)</v>
      </c>
      <c r="E1129" s="93" t="str">
        <f ca="1">IFERROR(__xludf.DUMMYFUNCTION("""COMPUTED_VALUE"""),"CB22135_Apr26")</f>
        <v>CB22135_Apr26</v>
      </c>
      <c r="F1129" s="94" t="str">
        <f ca="1">IFERROR(__xludf.DUMMYFUNCTION("""COMPUTED_VALUE"""),"ATC Box Output")</f>
        <v>ATC Box Output</v>
      </c>
      <c r="G1129" s="95" t="str">
        <f ca="1">IFERROR(__xludf.DUMMYFUNCTION("""COMPUTED_VALUE"""),"New")</f>
        <v>New</v>
      </c>
      <c r="H1129" s="96">
        <f ca="1">IFERROR(__xludf.DUMMYFUNCTION("""COMPUTED_VALUE"""),1)</f>
        <v>1</v>
      </c>
      <c r="I1129" s="97">
        <f ca="1">IFERROR(__xludf.DUMMYFUNCTION("""COMPUTED_VALUE"""),46133)</f>
        <v>46133</v>
      </c>
      <c r="J1129" s="98" t="str">
        <f ca="1">IFERROR(__xludf.DUMMYFUNCTION("""COMPUTED_VALUE"""),"CW30737_Apr26")</f>
        <v>CW30737_Apr26</v>
      </c>
      <c r="K1129" s="99" t="str">
        <f ca="1">IFERROR(__xludf.DUMMYFUNCTION("""COMPUTED_VALUE"""),"HoM Approved")</f>
        <v>HoM Approved</v>
      </c>
    </row>
    <row r="1130" spans="1:11" ht="13.2">
      <c r="A1130" s="89" t="str">
        <f ca="1">IFERROR(__xludf.DUMMYFUNCTION("""COMPUTED_VALUE"""),"Fry Bucket")</f>
        <v>Fry Bucket</v>
      </c>
      <c r="B1130" s="90" t="str">
        <f ca="1">IFERROR(__xludf.DUMMYFUNCTION("""COMPUTED_VALUE"""),"Tasty Treat")</f>
        <v>Tasty Treat</v>
      </c>
      <c r="C1130" s="91" t="str">
        <f ca="1">IFERROR(__xludf.DUMMYFUNCTION("""COMPUTED_VALUE"""),"Ayesha Apu")</f>
        <v>Ayesha Apu</v>
      </c>
      <c r="D1130" s="92" t="str">
        <f ca="1">IFERROR(__xludf.DUMMYFUNCTION("""COMPUTED_VALUE"""),"Md. Azizul Hakim (S223035)")</f>
        <v>Md. Azizul Hakim (S223035)</v>
      </c>
      <c r="E1130" s="93" t="str">
        <f ca="1">IFERROR(__xludf.DUMMYFUNCTION("""COMPUTED_VALUE"""),"CB21596_Apr26")</f>
        <v>CB21596_Apr26</v>
      </c>
      <c r="F1130" s="94" t="str">
        <f ca="1">IFERROR(__xludf.DUMMYFUNCTION("""COMPUTED_VALUE"""),"JAR Label Sticker Output")</f>
        <v>JAR Label Sticker Output</v>
      </c>
      <c r="G1130" s="95" t="str">
        <f ca="1">IFERROR(__xludf.DUMMYFUNCTION("""COMPUTED_VALUE"""),"New")</f>
        <v>New</v>
      </c>
      <c r="H1130" s="96">
        <f ca="1">IFERROR(__xludf.DUMMYFUNCTION("""COMPUTED_VALUE"""),1)</f>
        <v>1</v>
      </c>
      <c r="I1130" s="97">
        <f ca="1">IFERROR(__xludf.DUMMYFUNCTION("""COMPUTED_VALUE"""),46134)</f>
        <v>46134</v>
      </c>
      <c r="J1130" s="98" t="str">
        <f ca="1">IFERROR(__xludf.DUMMYFUNCTION("""COMPUTED_VALUE"""),"CW30824_Apr26")</f>
        <v>CW30824_Apr26</v>
      </c>
      <c r="K1130" s="99" t="str">
        <f ca="1">IFERROR(__xludf.DUMMYFUNCTION("""COMPUTED_VALUE"""),"HoM Approved")</f>
        <v>HoM Approved</v>
      </c>
    </row>
    <row r="1131" spans="1:11" ht="13.2">
      <c r="A1131" s="89" t="str">
        <f ca="1">IFERROR(__xludf.DUMMYFUNCTION("""COMPUTED_VALUE"""),"PRAN Oh Cake")</f>
        <v>PRAN Oh Cake</v>
      </c>
      <c r="B1131" s="90" t="str">
        <f ca="1">IFERROR(__xludf.DUMMYFUNCTION("""COMPUTED_VALUE"""),"Malaysia")</f>
        <v>Malaysia</v>
      </c>
      <c r="C1131" s="91" t="str">
        <f ca="1">IFERROR(__xludf.DUMMYFUNCTION("""COMPUTED_VALUE"""),"Tamim Vai")</f>
        <v>Tamim Vai</v>
      </c>
      <c r="D1131" s="92" t="str">
        <f ca="1">IFERROR(__xludf.DUMMYFUNCTION("""COMPUTED_VALUE"""),"Md. Azizul Hakim (S223035)")</f>
        <v>Md. Azizul Hakim (S223035)</v>
      </c>
      <c r="E1131" s="93" t="str">
        <f ca="1">IFERROR(__xludf.DUMMYFUNCTION("""COMPUTED_VALUE"""),"CB22174_Apr26")</f>
        <v>CB22174_Apr26</v>
      </c>
      <c r="F1131" s="94" t="str">
        <f ca="1">IFERROR(__xludf.DUMMYFUNCTION("""COMPUTED_VALUE"""),"Leaflet/Poster Output")</f>
        <v>Leaflet/Poster Output</v>
      </c>
      <c r="G1131" s="95" t="str">
        <f ca="1">IFERROR(__xludf.DUMMYFUNCTION("""COMPUTED_VALUE"""),"New")</f>
        <v>New</v>
      </c>
      <c r="H1131" s="96">
        <f ca="1">IFERROR(__xludf.DUMMYFUNCTION("""COMPUTED_VALUE"""),1)</f>
        <v>1</v>
      </c>
      <c r="I1131" s="97">
        <f ca="1">IFERROR(__xludf.DUMMYFUNCTION("""COMPUTED_VALUE"""),46134)</f>
        <v>46134</v>
      </c>
      <c r="J1131" s="98" t="str">
        <f ca="1">IFERROR(__xludf.DUMMYFUNCTION("""COMPUTED_VALUE"""),"CW30810_Apr26")</f>
        <v>CW30810_Apr26</v>
      </c>
      <c r="K1131" s="99" t="str">
        <f ca="1">IFERROR(__xludf.DUMMYFUNCTION("""COMPUTED_VALUE"""),"HoM Approved")</f>
        <v>HoM Approved</v>
      </c>
    </row>
    <row r="1132" spans="1:11" ht="13.2">
      <c r="A1132" s="89" t="str">
        <f ca="1">IFERROR(__xludf.DUMMYFUNCTION("""COMPUTED_VALUE"""),"Xpart Water Pump")</f>
        <v>Xpart Water Pump</v>
      </c>
      <c r="B1132" s="90" t="str">
        <f ca="1">IFERROR(__xludf.DUMMYFUNCTION("""COMPUTED_VALUE"""),"RMIL-1")</f>
        <v>RMIL-1</v>
      </c>
      <c r="C1132" s="91" t="str">
        <f ca="1">IFERROR(__xludf.DUMMYFUNCTION("""COMPUTED_VALUE"""),"Humayun Vaiya")</f>
        <v>Humayun Vaiya</v>
      </c>
      <c r="D1132" s="92" t="str">
        <f ca="1">IFERROR(__xludf.DUMMYFUNCTION("""COMPUTED_VALUE"""),"Md. Azizul Hakim (S223035)")</f>
        <v>Md. Azizul Hakim (S223035)</v>
      </c>
      <c r="E1132" s="93" t="str">
        <f ca="1">IFERROR(__xludf.DUMMYFUNCTION("""COMPUTED_VALUE"""),"CB21505_Apr26")</f>
        <v>CB21505_Apr26</v>
      </c>
      <c r="F1132" s="94" t="str">
        <f ca="1">IFERROR(__xludf.DUMMYFUNCTION("""COMPUTED_VALUE"""),"ATC Box Output")</f>
        <v>ATC Box Output</v>
      </c>
      <c r="G1132" s="95" t="str">
        <f ca="1">IFERROR(__xludf.DUMMYFUNCTION("""COMPUTED_VALUE"""),"New")</f>
        <v>New</v>
      </c>
      <c r="H1132" s="96">
        <f ca="1">IFERROR(__xludf.DUMMYFUNCTION("""COMPUTED_VALUE"""),1)</f>
        <v>1</v>
      </c>
      <c r="I1132" s="97">
        <f ca="1">IFERROR(__xludf.DUMMYFUNCTION("""COMPUTED_VALUE"""),46137)</f>
        <v>46137</v>
      </c>
      <c r="J1132" s="98" t="str">
        <f ca="1">IFERROR(__xludf.DUMMYFUNCTION("""COMPUTED_VALUE"""),"CW31180_Apr26")</f>
        <v>CW31180_Apr26</v>
      </c>
      <c r="K1132" s="99" t="str">
        <f ca="1">IFERROR(__xludf.DUMMYFUNCTION("""COMPUTED_VALUE"""),"HoM Approved")</f>
        <v>HoM Approved</v>
      </c>
    </row>
    <row r="1133" spans="1:11" ht="13.2">
      <c r="A1133" s="89" t="str">
        <f ca="1">IFERROR(__xludf.DUMMYFUNCTION("""COMPUTED_VALUE"""),"PRAN Chocolord")</f>
        <v>PRAN Chocolord</v>
      </c>
      <c r="B1133" s="90" t="str">
        <f ca="1">IFERROR(__xludf.DUMMYFUNCTION("""COMPUTED_VALUE"""),"PAL")</f>
        <v>PAL</v>
      </c>
      <c r="C1133" s="91" t="str">
        <f ca="1">IFERROR(__xludf.DUMMYFUNCTION("""COMPUTED_VALUE"""),"Samantha Apu")</f>
        <v>Samantha Apu</v>
      </c>
      <c r="D1133" s="92" t="str">
        <f ca="1">IFERROR(__xludf.DUMMYFUNCTION("""COMPUTED_VALUE"""),"Md. Azizul Hakim (S223035)")</f>
        <v>Md. Azizul Hakim (S223035)</v>
      </c>
      <c r="E1133" s="93" t="str">
        <f ca="1">IFERROR(__xludf.DUMMYFUNCTION("""COMPUTED_VALUE"""),"CB19515_Mar26")</f>
        <v>CB19515_Mar26</v>
      </c>
      <c r="F1133" s="94" t="str">
        <f ca="1">IFERROR(__xludf.DUMMYFUNCTION("""COMPUTED_VALUE"""),"JAR Label Sticker Output")</f>
        <v>JAR Label Sticker Output</v>
      </c>
      <c r="G1133" s="95" t="str">
        <f ca="1">IFERROR(__xludf.DUMMYFUNCTION("""COMPUTED_VALUE"""),"New")</f>
        <v>New</v>
      </c>
      <c r="H1133" s="96">
        <f ca="1">IFERROR(__xludf.DUMMYFUNCTION("""COMPUTED_VALUE"""),1)</f>
        <v>1</v>
      </c>
      <c r="I1133" s="97">
        <f ca="1">IFERROR(__xludf.DUMMYFUNCTION("""COMPUTED_VALUE"""),46140)</f>
        <v>46140</v>
      </c>
      <c r="J1133" s="98" t="str">
        <f ca="1">IFERROR(__xludf.DUMMYFUNCTION("""COMPUTED_VALUE"""),"CW31564_Apr26")</f>
        <v>CW31564_Apr26</v>
      </c>
      <c r="K1133" s="99" t="str">
        <f ca="1">IFERROR(__xludf.DUMMYFUNCTION("""COMPUTED_VALUE"""),"HoM Approved")</f>
        <v>HoM Approved</v>
      </c>
    </row>
    <row r="1134" spans="1:11" ht="13.2">
      <c r="A1134" s="89" t="str">
        <f ca="1">IFERROR(__xludf.DUMMYFUNCTION("""COMPUTED_VALUE"""),"Rainbow Paints")</f>
        <v>Rainbow Paints</v>
      </c>
      <c r="B1134" s="90" t="str">
        <f ca="1">IFERROR(__xludf.DUMMYFUNCTION("""COMPUTED_VALUE"""),"MLIL")</f>
        <v>MLIL</v>
      </c>
      <c r="C1134" s="91" t="str">
        <f ca="1">IFERROR(__xludf.DUMMYFUNCTION("""COMPUTED_VALUE"""),"Asif Ahmed Vai")</f>
        <v>Asif Ahmed Vai</v>
      </c>
      <c r="D1134" s="92" t="str">
        <f ca="1">IFERROR(__xludf.DUMMYFUNCTION("""COMPUTED_VALUE"""),"Md. Azizul Hakim (S223035)")</f>
        <v>Md. Azizul Hakim (S223035)</v>
      </c>
      <c r="E1134" s="93" t="str">
        <f ca="1">IFERROR(__xludf.DUMMYFUNCTION("""COMPUTED_VALUE"""),"CB22583_Apr26")</f>
        <v>CB22583_Apr26</v>
      </c>
      <c r="F1134" s="94" t="str">
        <f ca="1">IFERROR(__xludf.DUMMYFUNCTION("""COMPUTED_VALUE"""),"Leaflet/Poster Output")</f>
        <v>Leaflet/Poster Output</v>
      </c>
      <c r="G1134" s="95" t="str">
        <f ca="1">IFERROR(__xludf.DUMMYFUNCTION("""COMPUTED_VALUE"""),"New")</f>
        <v>New</v>
      </c>
      <c r="H1134" s="96">
        <f ca="1">IFERROR(__xludf.DUMMYFUNCTION("""COMPUTED_VALUE"""),1)</f>
        <v>1</v>
      </c>
      <c r="I1134" s="97">
        <f ca="1">IFERROR(__xludf.DUMMYFUNCTION("""COMPUTED_VALUE"""),46141)</f>
        <v>46141</v>
      </c>
      <c r="J1134" s="98" t="str">
        <f ca="1">IFERROR(__xludf.DUMMYFUNCTION("""COMPUTED_VALUE"""),"CW31806_Apr26")</f>
        <v>CW31806_Apr26</v>
      </c>
      <c r="K1134" s="99" t="str">
        <f ca="1">IFERROR(__xludf.DUMMYFUNCTION("""COMPUTED_VALUE"""),"HoM Approved")</f>
        <v>HoM Approved</v>
      </c>
    </row>
    <row r="1135" spans="1:11" ht="13.2">
      <c r="A1135" s="89" t="str">
        <f ca="1">IFERROR(__xludf.DUMMYFUNCTION("""COMPUTED_VALUE"""),"Rainbow Paints")</f>
        <v>Rainbow Paints</v>
      </c>
      <c r="B1135" s="90" t="str">
        <f ca="1">IFERROR(__xludf.DUMMYFUNCTION("""COMPUTED_VALUE"""),"MLIL")</f>
        <v>MLIL</v>
      </c>
      <c r="C1135" s="91" t="str">
        <f ca="1">IFERROR(__xludf.DUMMYFUNCTION("""COMPUTED_VALUE"""),"Badhon Vai")</f>
        <v>Badhon Vai</v>
      </c>
      <c r="D1135" s="92" t="str">
        <f ca="1">IFERROR(__xludf.DUMMYFUNCTION("""COMPUTED_VALUE"""),"Md. Azizul Hakim (S223035)")</f>
        <v>Md. Azizul Hakim (S223035)</v>
      </c>
      <c r="E1135" s="93" t="str">
        <f ca="1">IFERROR(__xludf.DUMMYFUNCTION("""COMPUTED_VALUE"""),"CB22779_Apr26")</f>
        <v>CB22779_Apr26</v>
      </c>
      <c r="F1135" s="94" t="str">
        <f ca="1">IFERROR(__xludf.DUMMYFUNCTION("""COMPUTED_VALUE"""),"Leaflet/Poster Output")</f>
        <v>Leaflet/Poster Output</v>
      </c>
      <c r="G1135" s="95" t="str">
        <f ca="1">IFERROR(__xludf.DUMMYFUNCTION("""COMPUTED_VALUE"""),"New")</f>
        <v>New</v>
      </c>
      <c r="H1135" s="96">
        <f ca="1">IFERROR(__xludf.DUMMYFUNCTION("""COMPUTED_VALUE"""),1)</f>
        <v>1</v>
      </c>
      <c r="I1135" s="97">
        <f ca="1">IFERROR(__xludf.DUMMYFUNCTION("""COMPUTED_VALUE"""),46141)</f>
        <v>46141</v>
      </c>
      <c r="J1135" s="98" t="str">
        <f ca="1">IFERROR(__xludf.DUMMYFUNCTION("""COMPUTED_VALUE"""),"CW31778_Apr26")</f>
        <v>CW31778_Apr26</v>
      </c>
      <c r="K1135" s="99" t="str">
        <f ca="1">IFERROR(__xludf.DUMMYFUNCTION("""COMPUTED_VALUE"""),"HoM Approved")</f>
        <v>HoM Approved</v>
      </c>
    </row>
    <row r="1136" spans="1:11" ht="13.2">
      <c r="A1136" s="89" t="str">
        <f ca="1">IFERROR(__xludf.DUMMYFUNCTION("""COMPUTED_VALUE"""),"PRAN Potato Cracker")</f>
        <v>PRAN Potato Cracker</v>
      </c>
      <c r="B1136" s="90" t="str">
        <f ca="1">IFERROR(__xludf.DUMMYFUNCTION("""COMPUTED_VALUE"""),"PFL")</f>
        <v>PFL</v>
      </c>
      <c r="C1136" s="91" t="str">
        <f ca="1">IFERROR(__xludf.DUMMYFUNCTION("""COMPUTED_VALUE"""),"Rafi Vaiya")</f>
        <v>Rafi Vaiya</v>
      </c>
      <c r="D1136" s="92" t="str">
        <f ca="1">IFERROR(__xludf.DUMMYFUNCTION("""COMPUTED_VALUE"""),"Md. Azizul Hakim (S223035)")</f>
        <v>Md. Azizul Hakim (S223035)</v>
      </c>
      <c r="E1136" s="93" t="str">
        <f ca="1">IFERROR(__xludf.DUMMYFUNCTION("""COMPUTED_VALUE"""),"CB22958_Apr26")</f>
        <v>CB22958_Apr26</v>
      </c>
      <c r="F1136" s="94" t="str">
        <f ca="1">IFERROR(__xludf.DUMMYFUNCTION("""COMPUTED_VALUE"""),"JAR Label Sticker Output")</f>
        <v>JAR Label Sticker Output</v>
      </c>
      <c r="G1136" s="95" t="str">
        <f ca="1">IFERROR(__xludf.DUMMYFUNCTION("""COMPUTED_VALUE"""),"New")</f>
        <v>New</v>
      </c>
      <c r="H1136" s="96">
        <f ca="1">IFERROR(__xludf.DUMMYFUNCTION("""COMPUTED_VALUE"""),1)</f>
        <v>1</v>
      </c>
      <c r="I1136" s="97">
        <f ca="1">IFERROR(__xludf.DUMMYFUNCTION("""COMPUTED_VALUE"""),46142)</f>
        <v>46142</v>
      </c>
      <c r="J1136" s="98" t="str">
        <f ca="1">IFERROR(__xludf.DUMMYFUNCTION("""COMPUTED_VALUE"""),"CW32024_Apr26")</f>
        <v>CW32024_Apr26</v>
      </c>
      <c r="K1136" s="99" t="str">
        <f ca="1">IFERROR(__xludf.DUMMYFUNCTION("""COMPUTED_VALUE"""),"HoM Approved")</f>
        <v>HoM Approved</v>
      </c>
    </row>
    <row r="1137" spans="1:11" ht="13.2">
      <c r="A1137" s="89" t="str">
        <f ca="1">IFERROR(__xludf.DUMMYFUNCTION("""COMPUTED_VALUE"""),"PRAN Crunchy Wafer")</f>
        <v>PRAN Crunchy Wafer</v>
      </c>
      <c r="B1137" s="90" t="str">
        <f ca="1">IFERROR(__xludf.DUMMYFUNCTION("""COMPUTED_VALUE"""),"KSA")</f>
        <v>KSA</v>
      </c>
      <c r="C1137" s="91" t="str">
        <f ca="1">IFERROR(__xludf.DUMMYFUNCTION("""COMPUTED_VALUE"""),"Zahirul Vai")</f>
        <v>Zahirul Vai</v>
      </c>
      <c r="D1137" s="92" t="str">
        <f ca="1">IFERROR(__xludf.DUMMYFUNCTION("""COMPUTED_VALUE"""),"Md. Azizul Hakim (S223035)")</f>
        <v>Md. Azizul Hakim (S223035)</v>
      </c>
      <c r="E1137" s="93" t="str">
        <f ca="1">IFERROR(__xludf.DUMMYFUNCTION("""COMPUTED_VALUE"""),"CB17769_Feb26")</f>
        <v>CB17769_Feb26</v>
      </c>
      <c r="F1137" s="94" t="str">
        <f ca="1">IFERROR(__xludf.DUMMYFUNCTION("""COMPUTED_VALUE"""),"ATC Box Output")</f>
        <v>ATC Box Output</v>
      </c>
      <c r="G1137" s="95" t="str">
        <f ca="1">IFERROR(__xludf.DUMMYFUNCTION("""COMPUTED_VALUE"""),"New")</f>
        <v>New</v>
      </c>
      <c r="H1137" s="96">
        <f ca="1">IFERROR(__xludf.DUMMYFUNCTION("""COMPUTED_VALUE"""),4)</f>
        <v>4</v>
      </c>
      <c r="I1137" s="97">
        <f ca="1">IFERROR(__xludf.DUMMYFUNCTION("""COMPUTED_VALUE"""),46142)</f>
        <v>46142</v>
      </c>
      <c r="J1137" s="98" t="str">
        <f ca="1">IFERROR(__xludf.DUMMYFUNCTION("""COMPUTED_VALUE"""),"CW32063_Apr26")</f>
        <v>CW32063_Apr26</v>
      </c>
      <c r="K1137" s="99" t="str">
        <f ca="1">IFERROR(__xludf.DUMMYFUNCTION("""COMPUTED_VALUE"""),"HoM Approved")</f>
        <v>HoM Approved</v>
      </c>
    </row>
    <row r="1138" spans="1:11" ht="13.2">
      <c r="A1138" s="89" t="str">
        <f ca="1">IFERROR(__xludf.DUMMYFUNCTION("""COMPUTED_VALUE"""),"PRAN Fruit Drinks (TP)-")</f>
        <v>PRAN Fruit Drinks (TP)-</v>
      </c>
      <c r="B1138" s="90" t="str">
        <f ca="1">IFERROR(__xludf.DUMMYFUNCTION("""COMPUTED_VALUE"""),"Dairy")</f>
        <v>Dairy</v>
      </c>
      <c r="C1138" s="91" t="str">
        <f ca="1">IFERROR(__xludf.DUMMYFUNCTION("""COMPUTED_VALUE"""),"Mona Apu")</f>
        <v>Mona Apu</v>
      </c>
      <c r="D1138" s="92" t="str">
        <f ca="1">IFERROR(__xludf.DUMMYFUNCTION("""COMPUTED_VALUE"""),"Md. Azizul Hakim (S223035)")</f>
        <v>Md. Azizul Hakim (S223035)</v>
      </c>
      <c r="E1138" s="93" t="str">
        <f ca="1">IFERROR(__xludf.DUMMYFUNCTION("""COMPUTED_VALUE"""),"CB23060_May26")</f>
        <v>CB23060_May26</v>
      </c>
      <c r="F1138" s="94" t="str">
        <f ca="1">IFERROR(__xludf.DUMMYFUNCTION("""COMPUTED_VALUE"""),"FOP Sticker Making")</f>
        <v>FOP Sticker Making</v>
      </c>
      <c r="G1138" s="95" t="str">
        <f ca="1">IFERROR(__xludf.DUMMYFUNCTION("""COMPUTED_VALUE"""),"New")</f>
        <v>New</v>
      </c>
      <c r="H1138" s="96">
        <f ca="1">IFERROR(__xludf.DUMMYFUNCTION("""COMPUTED_VALUE"""),1)</f>
        <v>1</v>
      </c>
      <c r="I1138" s="97">
        <f ca="1">IFERROR(__xludf.DUMMYFUNCTION("""COMPUTED_VALUE"""),46144)</f>
        <v>46144</v>
      </c>
      <c r="J1138" s="98" t="str">
        <f ca="1">IFERROR(__xludf.DUMMYFUNCTION("""COMPUTED_VALUE"""),"CW32189_May26")</f>
        <v>CW32189_May26</v>
      </c>
      <c r="K1138" s="99" t="str">
        <f ca="1">IFERROR(__xludf.DUMMYFUNCTION("""COMPUTED_VALUE"""),"HoM Approved")</f>
        <v>HoM Approved</v>
      </c>
    </row>
    <row r="1139" spans="1:11" ht="13.2">
      <c r="A1139" s="89" t="str">
        <f ca="1">IFERROR(__xludf.DUMMYFUNCTION("""COMPUTED_VALUE"""),"PRAN Pickle")</f>
        <v>PRAN Pickle</v>
      </c>
      <c r="B1139" s="90" t="str">
        <f ca="1">IFERROR(__xludf.DUMMYFUNCTION("""COMPUTED_VALUE"""),"PAL")</f>
        <v>PAL</v>
      </c>
      <c r="C1139" s="91" t="str">
        <f ca="1">IFERROR(__xludf.DUMMYFUNCTION("""COMPUTED_VALUE"""),"Shamsul Sir")</f>
        <v>Shamsul Sir</v>
      </c>
      <c r="D1139" s="92" t="str">
        <f ca="1">IFERROR(__xludf.DUMMYFUNCTION("""COMPUTED_VALUE"""),"Md. Azizul Hakim (S223035)")</f>
        <v>Md. Azizul Hakim (S223035)</v>
      </c>
      <c r="E1139" s="93" t="str">
        <f ca="1">IFERROR(__xludf.DUMMYFUNCTION("""COMPUTED_VALUE"""),"CB22151_Apr26")</f>
        <v>CB22151_Apr26</v>
      </c>
      <c r="F1139" s="94" t="str">
        <f ca="1">IFERROR(__xludf.DUMMYFUNCTION("""COMPUTED_VALUE"""),"JAR Label Sticker Output")</f>
        <v>JAR Label Sticker Output</v>
      </c>
      <c r="G1139" s="95" t="str">
        <f ca="1">IFERROR(__xludf.DUMMYFUNCTION("""COMPUTED_VALUE"""),"New")</f>
        <v>New</v>
      </c>
      <c r="H1139" s="96">
        <f ca="1">IFERROR(__xludf.DUMMYFUNCTION("""COMPUTED_VALUE"""),3)</f>
        <v>3</v>
      </c>
      <c r="I1139" s="97">
        <f ca="1">IFERROR(__xludf.DUMMYFUNCTION("""COMPUTED_VALUE"""),46144)</f>
        <v>46144</v>
      </c>
      <c r="J1139" s="98" t="str">
        <f ca="1">IFERROR(__xludf.DUMMYFUNCTION("""COMPUTED_VALUE"""),"CW32163_May26")</f>
        <v>CW32163_May26</v>
      </c>
      <c r="K1139" s="99" t="str">
        <f ca="1">IFERROR(__xludf.DUMMYFUNCTION("""COMPUTED_VALUE"""),"HoM Approved")</f>
        <v>HoM Approved</v>
      </c>
    </row>
    <row r="1140" spans="1:11" ht="13.2">
      <c r="A1140" s="89" t="str">
        <f ca="1">IFERROR(__xludf.DUMMYFUNCTION("""COMPUTED_VALUE"""),"Duranta Sports Galley")</f>
        <v>Duranta Sports Galley</v>
      </c>
      <c r="B1140" s="90" t="str">
        <f ca="1">IFERROR(__xludf.DUMMYFUNCTION("""COMPUTED_VALUE"""),"Retail")</f>
        <v>Retail</v>
      </c>
      <c r="C1140" s="91" t="str">
        <f ca="1">IFERROR(__xludf.DUMMYFUNCTION("""COMPUTED_VALUE"""),"Asif Abdullah Vai")</f>
        <v>Asif Abdullah Vai</v>
      </c>
      <c r="D1140" s="92" t="str">
        <f ca="1">IFERROR(__xludf.DUMMYFUNCTION("""COMPUTED_VALUE"""),"Md. Azizul Hakim (S223035)")</f>
        <v>Md. Azizul Hakim (S223035)</v>
      </c>
      <c r="E1140" s="93" t="str">
        <f ca="1">IFERROR(__xludf.DUMMYFUNCTION("""COMPUTED_VALUE"""),"CB22886_Apr26")</f>
        <v>CB22886_Apr26</v>
      </c>
      <c r="F1140" s="94" t="str">
        <f ca="1">IFERROR(__xludf.DUMMYFUNCTION("""COMPUTED_VALUE"""),"Flyer/Brochure/Banner Output")</f>
        <v>Flyer/Brochure/Banner Output</v>
      </c>
      <c r="G1140" s="95" t="str">
        <f ca="1">IFERROR(__xludf.DUMMYFUNCTION("""COMPUTED_VALUE"""),"New")</f>
        <v>New</v>
      </c>
      <c r="H1140" s="96">
        <f ca="1">IFERROR(__xludf.DUMMYFUNCTION("""COMPUTED_VALUE"""),3)</f>
        <v>3</v>
      </c>
      <c r="I1140" s="97">
        <f ca="1">IFERROR(__xludf.DUMMYFUNCTION("""COMPUTED_VALUE"""),46146)</f>
        <v>46146</v>
      </c>
      <c r="J1140" s="98" t="str">
        <f ca="1">IFERROR(__xludf.DUMMYFUNCTION("""COMPUTED_VALUE"""),"CW32352_May26")</f>
        <v>CW32352_May26</v>
      </c>
      <c r="K1140" s="99" t="str">
        <f ca="1">IFERROR(__xludf.DUMMYFUNCTION("""COMPUTED_VALUE"""),"HoM Approved")</f>
        <v>HoM Approved</v>
      </c>
    </row>
    <row r="1141" spans="1:11" ht="13.2">
      <c r="A1141" s="89" t="str">
        <f ca="1">IFERROR(__xludf.DUMMYFUNCTION("""COMPUTED_VALUE"""),"MAL ALL")</f>
        <v>MAL ALL</v>
      </c>
      <c r="B1141" s="90" t="str">
        <f ca="1">IFERROR(__xludf.DUMMYFUNCTION("""COMPUTED_VALUE"""),"Philippines")</f>
        <v>Philippines</v>
      </c>
      <c r="C1141" s="91" t="str">
        <f ca="1">IFERROR(__xludf.DUMMYFUNCTION("""COMPUTED_VALUE"""),"Farjana Apu")</f>
        <v>Farjana Apu</v>
      </c>
      <c r="D1141" s="92" t="str">
        <f ca="1">IFERROR(__xludf.DUMMYFUNCTION("""COMPUTED_VALUE"""),"Md. Azizul Hakim (S223035)")</f>
        <v>Md. Azizul Hakim (S223035)</v>
      </c>
      <c r="E1141" s="93" t="str">
        <f ca="1">IFERROR(__xludf.DUMMYFUNCTION("""COMPUTED_VALUE"""),"CB23364_May26")</f>
        <v>CB23364_May26</v>
      </c>
      <c r="F1141" s="94" t="str">
        <f ca="1">IFERROR(__xludf.DUMMYFUNCTION("""COMPUTED_VALUE"""),"Packaging Text Design #1")</f>
        <v>Packaging Text Design #1</v>
      </c>
      <c r="G1141" s="95" t="str">
        <f ca="1">IFERROR(__xludf.DUMMYFUNCTION("""COMPUTED_VALUE"""),"New")</f>
        <v>New</v>
      </c>
      <c r="H1141" s="96">
        <f ca="1">IFERROR(__xludf.DUMMYFUNCTION("""COMPUTED_VALUE"""),3)</f>
        <v>3</v>
      </c>
      <c r="I1141" s="97">
        <f ca="1">IFERROR(__xludf.DUMMYFUNCTION("""COMPUTED_VALUE"""),46147)</f>
        <v>46147</v>
      </c>
      <c r="J1141" s="98" t="str">
        <f ca="1">IFERROR(__xludf.DUMMYFUNCTION("""COMPUTED_VALUE"""),"CW32491_May26")</f>
        <v>CW32491_May26</v>
      </c>
      <c r="K1141" s="99" t="str">
        <f ca="1">IFERROR(__xludf.DUMMYFUNCTION("""COMPUTED_VALUE"""),"HoM Approved")</f>
        <v>HoM Approved</v>
      </c>
    </row>
    <row r="1142" spans="1:11" ht="13.2">
      <c r="A1142" s="89" t="str">
        <f ca="1">IFERROR(__xludf.DUMMYFUNCTION("""COMPUTED_VALUE"""),"Treat Chocolate")</f>
        <v>Treat Chocolate</v>
      </c>
      <c r="B1142" s="90" t="str">
        <f ca="1">IFERROR(__xludf.DUMMYFUNCTION("""COMPUTED_VALUE"""),"PCL")</f>
        <v>PCL</v>
      </c>
      <c r="C1142" s="91" t="str">
        <f ca="1">IFERROR(__xludf.DUMMYFUNCTION("""COMPUTED_VALUE"""),"Mona Apu")</f>
        <v>Mona Apu</v>
      </c>
      <c r="D1142" s="92" t="str">
        <f ca="1">IFERROR(__xludf.DUMMYFUNCTION("""COMPUTED_VALUE"""),"Md. Azizul Hakim (S223035)")</f>
        <v>Md. Azizul Hakim (S223035)</v>
      </c>
      <c r="E1142" s="93" t="str">
        <f ca="1">IFERROR(__xludf.DUMMYFUNCTION("""COMPUTED_VALUE"""),"CB15779_Jan26")</f>
        <v>CB15779_Jan26</v>
      </c>
      <c r="F1142" s="94" t="str">
        <f ca="1">IFERROR(__xludf.DUMMYFUNCTION("""COMPUTED_VALUE"""),"ATC Box Output")</f>
        <v>ATC Box Output</v>
      </c>
      <c r="G1142" s="95" t="str">
        <f ca="1">IFERROR(__xludf.DUMMYFUNCTION("""COMPUTED_VALUE"""),"New")</f>
        <v>New</v>
      </c>
      <c r="H1142" s="96">
        <f ca="1">IFERROR(__xludf.DUMMYFUNCTION("""COMPUTED_VALUE"""),1)</f>
        <v>1</v>
      </c>
      <c r="I1142" s="97">
        <f ca="1">IFERROR(__xludf.DUMMYFUNCTION("""COMPUTED_VALUE"""),46147)</f>
        <v>46147</v>
      </c>
      <c r="J1142" s="98" t="str">
        <f ca="1">IFERROR(__xludf.DUMMYFUNCTION("""COMPUTED_VALUE"""),"CW32498_May26")</f>
        <v>CW32498_May26</v>
      </c>
      <c r="K1142" s="99" t="str">
        <f ca="1">IFERROR(__xludf.DUMMYFUNCTION("""COMPUTED_VALUE"""),"HoM Approved")</f>
        <v>HoM Approved</v>
      </c>
    </row>
    <row r="1143" spans="1:11" ht="13.2">
      <c r="A1143" s="89" t="str">
        <f ca="1">IFERROR(__xludf.DUMMYFUNCTION("""COMPUTED_VALUE"""),"Treat Chocolate")</f>
        <v>Treat Chocolate</v>
      </c>
      <c r="B1143" s="90" t="str">
        <f ca="1">IFERROR(__xludf.DUMMYFUNCTION("""COMPUTED_VALUE"""),"PCL")</f>
        <v>PCL</v>
      </c>
      <c r="C1143" s="91" t="str">
        <f ca="1">IFERROR(__xludf.DUMMYFUNCTION("""COMPUTED_VALUE"""),"Mona Apu")</f>
        <v>Mona Apu</v>
      </c>
      <c r="D1143" s="92" t="str">
        <f ca="1">IFERROR(__xludf.DUMMYFUNCTION("""COMPUTED_VALUE"""),"Md. Azizul Hakim (S223035)")</f>
        <v>Md. Azizul Hakim (S223035)</v>
      </c>
      <c r="E1143" s="93" t="str">
        <f ca="1">IFERROR(__xludf.DUMMYFUNCTION("""COMPUTED_VALUE"""),"CB22221_Apr26")</f>
        <v>CB22221_Apr26</v>
      </c>
      <c r="F1143" s="94" t="str">
        <f ca="1">IFERROR(__xludf.DUMMYFUNCTION("""COMPUTED_VALUE"""),"Carton Design")</f>
        <v>Carton Design</v>
      </c>
      <c r="G1143" s="95" t="str">
        <f ca="1">IFERROR(__xludf.DUMMYFUNCTION("""COMPUTED_VALUE"""),"New")</f>
        <v>New</v>
      </c>
      <c r="H1143" s="96">
        <f ca="1">IFERROR(__xludf.DUMMYFUNCTION("""COMPUTED_VALUE"""),2)</f>
        <v>2</v>
      </c>
      <c r="I1143" s="97">
        <f ca="1">IFERROR(__xludf.DUMMYFUNCTION("""COMPUTED_VALUE"""),46147)</f>
        <v>46147</v>
      </c>
      <c r="J1143" s="98" t="str">
        <f ca="1">IFERROR(__xludf.DUMMYFUNCTION("""COMPUTED_VALUE"""),"CW32506_May26")</f>
        <v>CW32506_May26</v>
      </c>
      <c r="K1143" s="99" t="str">
        <f ca="1">IFERROR(__xludf.DUMMYFUNCTION("""COMPUTED_VALUE"""),"HoM Approved")</f>
        <v>HoM Approved</v>
      </c>
    </row>
    <row r="1144" spans="1:11" ht="13.2">
      <c r="A1144" s="89" t="str">
        <f ca="1">IFERROR(__xludf.DUMMYFUNCTION("""COMPUTED_VALUE"""),"Treat Chocolate")</f>
        <v>Treat Chocolate</v>
      </c>
      <c r="B1144" s="90" t="str">
        <f ca="1">IFERROR(__xludf.DUMMYFUNCTION("""COMPUTED_VALUE"""),"PCL")</f>
        <v>PCL</v>
      </c>
      <c r="C1144" s="91" t="str">
        <f ca="1">IFERROR(__xludf.DUMMYFUNCTION("""COMPUTED_VALUE"""),"Mona Apu")</f>
        <v>Mona Apu</v>
      </c>
      <c r="D1144" s="92" t="str">
        <f ca="1">IFERROR(__xludf.DUMMYFUNCTION("""COMPUTED_VALUE"""),"Md. Azizul Hakim (S223035)")</f>
        <v>Md. Azizul Hakim (S223035)</v>
      </c>
      <c r="E1144" s="93" t="str">
        <f ca="1">IFERROR(__xludf.DUMMYFUNCTION("""COMPUTED_VALUE"""),"CB15779_Jan26")</f>
        <v>CB15779_Jan26</v>
      </c>
      <c r="F1144" s="94" t="str">
        <f ca="1">IFERROR(__xludf.DUMMYFUNCTION("""COMPUTED_VALUE"""),"JAR Label Sticker Output")</f>
        <v>JAR Label Sticker Output</v>
      </c>
      <c r="G1144" s="95" t="str">
        <f ca="1">IFERROR(__xludf.DUMMYFUNCTION("""COMPUTED_VALUE"""),"New")</f>
        <v>New</v>
      </c>
      <c r="H1144" s="96">
        <f ca="1">IFERROR(__xludf.DUMMYFUNCTION("""COMPUTED_VALUE"""),1)</f>
        <v>1</v>
      </c>
      <c r="I1144" s="97">
        <f ca="1">IFERROR(__xludf.DUMMYFUNCTION("""COMPUTED_VALUE"""),46147)</f>
        <v>46147</v>
      </c>
      <c r="J1144" s="98" t="str">
        <f ca="1">IFERROR(__xludf.DUMMYFUNCTION("""COMPUTED_VALUE"""),"CW32498_May26")</f>
        <v>CW32498_May26</v>
      </c>
      <c r="K1144" s="99" t="str">
        <f ca="1">IFERROR(__xludf.DUMMYFUNCTION("""COMPUTED_VALUE"""),"HoM Approved")</f>
        <v>HoM Approved</v>
      </c>
    </row>
    <row r="1145" spans="1:11" ht="13.2">
      <c r="A1145" s="89" t="str">
        <f ca="1">IFERROR(__xludf.DUMMYFUNCTION("""COMPUTED_VALUE"""),"PRAN Chanachur")</f>
        <v>PRAN Chanachur</v>
      </c>
      <c r="B1145" s="90" t="str">
        <f ca="1">IFERROR(__xludf.DUMMYFUNCTION("""COMPUTED_VALUE"""),"PFL")</f>
        <v>PFL</v>
      </c>
      <c r="C1145" s="91" t="str">
        <f ca="1">IFERROR(__xludf.DUMMYFUNCTION("""COMPUTED_VALUE"""),"Rakib Vai")</f>
        <v>Rakib Vai</v>
      </c>
      <c r="D1145" s="92" t="str">
        <f ca="1">IFERROR(__xludf.DUMMYFUNCTION("""COMPUTED_VALUE"""),"Md. Azizul Hakim (S223035)")</f>
        <v>Md. Azizul Hakim (S223035)</v>
      </c>
      <c r="E1145" s="93" t="str">
        <f ca="1">IFERROR(__xludf.DUMMYFUNCTION("""COMPUTED_VALUE"""),"CB21841_Apr26")</f>
        <v>CB21841_Apr26</v>
      </c>
      <c r="F1145" s="94" t="str">
        <f ca="1">IFERROR(__xludf.DUMMYFUNCTION("""COMPUTED_VALUE"""),"Text Sticker Design #1")</f>
        <v>Text Sticker Design #1</v>
      </c>
      <c r="G1145" s="95" t="str">
        <f ca="1">IFERROR(__xludf.DUMMYFUNCTION("""COMPUTED_VALUE"""),"New")</f>
        <v>New</v>
      </c>
      <c r="H1145" s="96">
        <f ca="1">IFERROR(__xludf.DUMMYFUNCTION("""COMPUTED_VALUE"""),3)</f>
        <v>3</v>
      </c>
      <c r="I1145" s="97">
        <f ca="1">IFERROR(__xludf.DUMMYFUNCTION("""COMPUTED_VALUE"""),46147)</f>
        <v>46147</v>
      </c>
      <c r="J1145" s="98" t="str">
        <f ca="1">IFERROR(__xludf.DUMMYFUNCTION("""COMPUTED_VALUE"""),"CW32466_May26")</f>
        <v>CW32466_May26</v>
      </c>
      <c r="K1145" s="99" t="str">
        <f ca="1">IFERROR(__xludf.DUMMYFUNCTION("""COMPUTED_VALUE"""),"HoM Approved")</f>
        <v>HoM Approved</v>
      </c>
    </row>
    <row r="1146" spans="1:11" ht="13.2">
      <c r="A1146" s="89" t="str">
        <f ca="1">IFERROR(__xludf.DUMMYFUNCTION("""COMPUTED_VALUE"""),"MAL ALL")</f>
        <v>MAL ALL</v>
      </c>
      <c r="B1146" s="90" t="str">
        <f ca="1">IFERROR(__xludf.DUMMYFUNCTION("""COMPUTED_VALUE"""),"Philippines")</f>
        <v>Philippines</v>
      </c>
      <c r="C1146" s="91" t="str">
        <f ca="1">IFERROR(__xludf.DUMMYFUNCTION("""COMPUTED_VALUE"""),"Farjana Apu")</f>
        <v>Farjana Apu</v>
      </c>
      <c r="D1146" s="92" t="str">
        <f ca="1">IFERROR(__xludf.DUMMYFUNCTION("""COMPUTED_VALUE"""),"Md. Azizul Hakim (S223035)")</f>
        <v>Md. Azizul Hakim (S223035)</v>
      </c>
      <c r="E1146" s="93" t="str">
        <f ca="1">IFERROR(__xludf.DUMMYFUNCTION("""COMPUTED_VALUE"""),"CB23363_May26")</f>
        <v>CB23363_May26</v>
      </c>
      <c r="F1146" s="94" t="str">
        <f ca="1">IFERROR(__xludf.DUMMYFUNCTION("""COMPUTED_VALUE"""),"Document Text Correction")</f>
        <v>Document Text Correction</v>
      </c>
      <c r="G1146" s="95" t="str">
        <f ca="1">IFERROR(__xludf.DUMMYFUNCTION("""COMPUTED_VALUE"""),"New")</f>
        <v>New</v>
      </c>
      <c r="H1146" s="96">
        <f ca="1">IFERROR(__xludf.DUMMYFUNCTION("""COMPUTED_VALUE"""),3)</f>
        <v>3</v>
      </c>
      <c r="I1146" s="97">
        <f ca="1">IFERROR(__xludf.DUMMYFUNCTION("""COMPUTED_VALUE"""),46148)</f>
        <v>46148</v>
      </c>
      <c r="J1146" s="98" t="str">
        <f ca="1">IFERROR(__xludf.DUMMYFUNCTION("""COMPUTED_VALUE"""),"CW32584_May26")</f>
        <v>CW32584_May26</v>
      </c>
      <c r="K1146" s="99" t="str">
        <f ca="1">IFERROR(__xludf.DUMMYFUNCTION("""COMPUTED_VALUE"""),"HoM Approved")</f>
        <v>HoM Approved</v>
      </c>
    </row>
    <row r="1147" spans="1:11" ht="13.2">
      <c r="A1147" s="89" t="str">
        <f ca="1">IFERROR(__xludf.DUMMYFUNCTION("""COMPUTED_VALUE"""),"Property Lift")</f>
        <v>Property Lift</v>
      </c>
      <c r="B1147" s="90" t="str">
        <f ca="1">IFERROR(__xludf.DUMMYFUNCTION("""COMPUTED_VALUE"""),"BLIL")</f>
        <v>BLIL</v>
      </c>
      <c r="C1147" s="91" t="str">
        <f ca="1">IFERROR(__xludf.DUMMYFUNCTION("""COMPUTED_VALUE"""),"Masud Vai")</f>
        <v>Masud Vai</v>
      </c>
      <c r="D1147" s="92" t="str">
        <f ca="1">IFERROR(__xludf.DUMMYFUNCTION("""COMPUTED_VALUE"""),"Md. Azizul Hakim (S223035)")</f>
        <v>Md. Azizul Hakim (S223035)</v>
      </c>
      <c r="E1147" s="93" t="str">
        <f ca="1">IFERROR(__xludf.DUMMYFUNCTION("""COMPUTED_VALUE"""),"CB23254_May26")</f>
        <v>CB23254_May26</v>
      </c>
      <c r="F1147" s="94" t="str">
        <f ca="1">IFERROR(__xludf.DUMMYFUNCTION("""COMPUTED_VALUE"""),"Flyer/Brochure/Banner Output")</f>
        <v>Flyer/Brochure/Banner Output</v>
      </c>
      <c r="G1147" s="95" t="str">
        <f ca="1">IFERROR(__xludf.DUMMYFUNCTION("""COMPUTED_VALUE"""),"New")</f>
        <v>New</v>
      </c>
      <c r="H1147" s="96">
        <f ca="1">IFERROR(__xludf.DUMMYFUNCTION("""COMPUTED_VALUE"""),2)</f>
        <v>2</v>
      </c>
      <c r="I1147" s="97">
        <f ca="1">IFERROR(__xludf.DUMMYFUNCTION("""COMPUTED_VALUE"""),46149)</f>
        <v>46149</v>
      </c>
      <c r="J1147" s="98" t="str">
        <f ca="1">IFERROR(__xludf.DUMMYFUNCTION("""COMPUTED_VALUE"""),"CW32760_May26")</f>
        <v>CW32760_May26</v>
      </c>
      <c r="K1147" s="99" t="str">
        <f ca="1">IFERROR(__xludf.DUMMYFUNCTION("""COMPUTED_VALUE"""),"HoM Approved")</f>
        <v>HoM Approved</v>
      </c>
    </row>
    <row r="1148" spans="1:11" ht="13.2">
      <c r="A1148" s="89" t="str">
        <f ca="1">IFERROR(__xludf.DUMMYFUNCTION("""COMPUTED_VALUE"""),"Potata Biscuit")</f>
        <v>Potata Biscuit</v>
      </c>
      <c r="B1148" s="90" t="str">
        <f ca="1">IFERROR(__xludf.DUMMYFUNCTION("""COMPUTED_VALUE"""),"Africa")</f>
        <v>Africa</v>
      </c>
      <c r="C1148" s="91" t="str">
        <f ca="1">IFERROR(__xludf.DUMMYFUNCTION("""COMPUTED_VALUE"""),"Mona Apu")</f>
        <v>Mona Apu</v>
      </c>
      <c r="D1148" s="92" t="str">
        <f ca="1">IFERROR(__xludf.DUMMYFUNCTION("""COMPUTED_VALUE"""),"Md. Azizul Hakim (S223035)")</f>
        <v>Md. Azizul Hakim (S223035)</v>
      </c>
      <c r="E1148" s="93" t="str">
        <f ca="1">IFERROR(__xludf.DUMMYFUNCTION("""COMPUTED_VALUE"""),"CB23350_May26")</f>
        <v>CB23350_May26</v>
      </c>
      <c r="F1148" s="94" t="str">
        <f ca="1">IFERROR(__xludf.DUMMYFUNCTION("""COMPUTED_VALUE"""),"Flyer/Brochure/Banner Output")</f>
        <v>Flyer/Brochure/Banner Output</v>
      </c>
      <c r="G1148" s="95" t="str">
        <f ca="1">IFERROR(__xludf.DUMMYFUNCTION("""COMPUTED_VALUE"""),"New")</f>
        <v>New</v>
      </c>
      <c r="H1148" s="96">
        <f ca="1">IFERROR(__xludf.DUMMYFUNCTION("""COMPUTED_VALUE"""),1)</f>
        <v>1</v>
      </c>
      <c r="I1148" s="97">
        <f ca="1">IFERROR(__xludf.DUMMYFUNCTION("""COMPUTED_VALUE"""),46149)</f>
        <v>46149</v>
      </c>
      <c r="J1148" s="98" t="str">
        <f ca="1">IFERROR(__xludf.DUMMYFUNCTION("""COMPUTED_VALUE"""),"CW32722_May26")</f>
        <v>CW32722_May26</v>
      </c>
      <c r="K1148" s="99" t="str">
        <f ca="1">IFERROR(__xludf.DUMMYFUNCTION("""COMPUTED_VALUE"""),"HoM Approved")</f>
        <v>HoM Approved</v>
      </c>
    </row>
    <row r="1149" spans="1:11" ht="13.2">
      <c r="A1149" s="89" t="str">
        <f ca="1">IFERROR(__xludf.DUMMYFUNCTION("""COMPUTED_VALUE"""),"Falcon MS &amp; GI Pipe")</f>
        <v>Falcon MS &amp; GI Pipe</v>
      </c>
      <c r="B1149" s="90" t="str">
        <f ca="1">IFERROR(__xludf.DUMMYFUNCTION("""COMPUTED_VALUE"""),"RPLM")</f>
        <v>RPLM</v>
      </c>
      <c r="C1149" s="91" t="str">
        <f ca="1">IFERROR(__xludf.DUMMYFUNCTION("""COMPUTED_VALUE"""),"Farhan Labib Vai")</f>
        <v>Farhan Labib Vai</v>
      </c>
      <c r="D1149" s="92" t="str">
        <f ca="1">IFERROR(__xludf.DUMMYFUNCTION("""COMPUTED_VALUE"""),"Md. Azizul Hakim (S223035)")</f>
        <v>Md. Azizul Hakim (S223035)</v>
      </c>
      <c r="E1149" s="93" t="str">
        <f ca="1">IFERROR(__xludf.DUMMYFUNCTION("""COMPUTED_VALUE"""),"CB23352_May26")</f>
        <v>CB23352_May26</v>
      </c>
      <c r="F1149" s="94" t="str">
        <f ca="1">IFERROR(__xludf.DUMMYFUNCTION("""COMPUTED_VALUE"""),"Flyer/Brochure/Banner Output")</f>
        <v>Flyer/Brochure/Banner Output</v>
      </c>
      <c r="G1149" s="95" t="str">
        <f ca="1">IFERROR(__xludf.DUMMYFUNCTION("""COMPUTED_VALUE"""),"New")</f>
        <v>New</v>
      </c>
      <c r="H1149" s="96">
        <f ca="1">IFERROR(__xludf.DUMMYFUNCTION("""COMPUTED_VALUE"""),1)</f>
        <v>1</v>
      </c>
      <c r="I1149" s="97">
        <f ca="1">IFERROR(__xludf.DUMMYFUNCTION("""COMPUTED_VALUE"""),46151)</f>
        <v>46151</v>
      </c>
      <c r="J1149" s="98" t="str">
        <f ca="1">IFERROR(__xludf.DUMMYFUNCTION("""COMPUTED_VALUE"""),"CW32867_May26")</f>
        <v>CW32867_May26</v>
      </c>
      <c r="K1149" s="99" t="str">
        <f ca="1">IFERROR(__xludf.DUMMYFUNCTION("""COMPUTED_VALUE"""),"HoM Approved")</f>
        <v>HoM Approved</v>
      </c>
    </row>
    <row r="1150" spans="1:11" ht="13.2">
      <c r="A1150" s="89" t="str">
        <f ca="1">IFERROR(__xludf.DUMMYFUNCTION("""COMPUTED_VALUE"""),"RFL Weighing scale")</f>
        <v>RFL Weighing scale</v>
      </c>
      <c r="B1150" s="90" t="str">
        <f ca="1">IFERROR(__xludf.DUMMYFUNCTION("""COMPUTED_VALUE"""),"RMIL-1")</f>
        <v>RMIL-1</v>
      </c>
      <c r="C1150" s="91" t="str">
        <f ca="1">IFERROR(__xludf.DUMMYFUNCTION("""COMPUTED_VALUE"""),"Rasel Vai")</f>
        <v>Rasel Vai</v>
      </c>
      <c r="D1150" s="92" t="str">
        <f ca="1">IFERROR(__xludf.DUMMYFUNCTION("""COMPUTED_VALUE"""),"Md. Azizul Hakim (S223035)")</f>
        <v>Md. Azizul Hakim (S223035)</v>
      </c>
      <c r="E1150" s="93" t="str">
        <f ca="1">IFERROR(__xludf.DUMMYFUNCTION("""COMPUTED_VALUE"""),"CB23206_May26")</f>
        <v>CB23206_May26</v>
      </c>
      <c r="F1150" s="94" t="str">
        <f ca="1">IFERROR(__xludf.DUMMYFUNCTION("""COMPUTED_VALUE"""),"Leaflet/Poster Output")</f>
        <v>Leaflet/Poster Output</v>
      </c>
      <c r="G1150" s="95" t="str">
        <f ca="1">IFERROR(__xludf.DUMMYFUNCTION("""COMPUTED_VALUE"""),"New")</f>
        <v>New</v>
      </c>
      <c r="H1150" s="96">
        <f ca="1">IFERROR(__xludf.DUMMYFUNCTION("""COMPUTED_VALUE"""),1)</f>
        <v>1</v>
      </c>
      <c r="I1150" s="97">
        <f ca="1">IFERROR(__xludf.DUMMYFUNCTION("""COMPUTED_VALUE"""),46151)</f>
        <v>46151</v>
      </c>
      <c r="J1150" s="98" t="str">
        <f ca="1">IFERROR(__xludf.DUMMYFUNCTION("""COMPUTED_VALUE"""),"CW32894_May26")</f>
        <v>CW32894_May26</v>
      </c>
      <c r="K1150" s="99" t="str">
        <f ca="1">IFERROR(__xludf.DUMMYFUNCTION("""COMPUTED_VALUE"""),"HoM Approved")</f>
        <v>HoM Approved</v>
      </c>
    </row>
    <row r="1151" spans="1:11" ht="13.2">
      <c r="A1151" s="89" t="str">
        <f ca="1">IFERROR(__xludf.DUMMYFUNCTION("""COMPUTED_VALUE"""),"Common - All PAL")</f>
        <v>Common - All PAL</v>
      </c>
      <c r="B1151" s="90" t="str">
        <f ca="1">IFERROR(__xludf.DUMMYFUNCTION("""COMPUTED_VALUE"""),"PAL")</f>
        <v>PAL</v>
      </c>
      <c r="C1151" s="91" t="str">
        <f ca="1">IFERROR(__xludf.DUMMYFUNCTION("""COMPUTED_VALUE"""),"Farjana Apu")</f>
        <v>Farjana Apu</v>
      </c>
      <c r="D1151" s="92" t="str">
        <f ca="1">IFERROR(__xludf.DUMMYFUNCTION("""COMPUTED_VALUE"""),"Md. Azizul Hakim (S223035)")</f>
        <v>Md. Azizul Hakim (S223035)</v>
      </c>
      <c r="E1151" s="93" t="str">
        <f ca="1">IFERROR(__xludf.DUMMYFUNCTION("""COMPUTED_VALUE"""),"CB23454_May26")</f>
        <v>CB23454_May26</v>
      </c>
      <c r="F1151" s="94" t="str">
        <f ca="1">IFERROR(__xludf.DUMMYFUNCTION("""COMPUTED_VALUE"""),"Document Text Correction")</f>
        <v>Document Text Correction</v>
      </c>
      <c r="G1151" s="95" t="str">
        <f ca="1">IFERROR(__xludf.DUMMYFUNCTION("""COMPUTED_VALUE"""),"New")</f>
        <v>New</v>
      </c>
      <c r="H1151" s="96">
        <f ca="1">IFERROR(__xludf.DUMMYFUNCTION("""COMPUTED_VALUE"""),6)</f>
        <v>6</v>
      </c>
      <c r="I1151" s="97">
        <f ca="1">IFERROR(__xludf.DUMMYFUNCTION("""COMPUTED_VALUE"""),46153)</f>
        <v>46153</v>
      </c>
      <c r="J1151" s="98" t="str">
        <f ca="1">IFERROR(__xludf.DUMMYFUNCTION("""COMPUTED_VALUE"""),"CW33116_May26")</f>
        <v>CW33116_May26</v>
      </c>
      <c r="K1151" s="99" t="str">
        <f ca="1">IFERROR(__xludf.DUMMYFUNCTION("""COMPUTED_VALUE"""),"HoM Approved")</f>
        <v>HoM Approved</v>
      </c>
    </row>
    <row r="1152" spans="1:11" ht="13.2">
      <c r="A1152" s="89" t="str">
        <f ca="1">IFERROR(__xludf.DUMMYFUNCTION("""COMPUTED_VALUE"""),"Jim &amp; Jolly Toys")</f>
        <v>Jim &amp; Jolly Toys</v>
      </c>
      <c r="B1152" s="90" t="str">
        <f ca="1">IFERROR(__xludf.DUMMYFUNCTION("""COMPUTED_VALUE"""),"DPL")</f>
        <v>DPL</v>
      </c>
      <c r="C1152" s="91" t="str">
        <f ca="1">IFERROR(__xludf.DUMMYFUNCTION("""COMPUTED_VALUE"""),"Sohan Vai")</f>
        <v>Sohan Vai</v>
      </c>
      <c r="D1152" s="92" t="str">
        <f ca="1">IFERROR(__xludf.DUMMYFUNCTION("""COMPUTED_VALUE"""),"Md. Azizul Hakim (S223035)")</f>
        <v>Md. Azizul Hakim (S223035)</v>
      </c>
      <c r="E1152" s="93" t="str">
        <f ca="1">IFERROR(__xludf.DUMMYFUNCTION("""COMPUTED_VALUE"""),"CB23655_May26")</f>
        <v>CB23655_May26</v>
      </c>
      <c r="F1152" s="94" t="str">
        <f ca="1">IFERROR(__xludf.DUMMYFUNCTION("""COMPUTED_VALUE"""),"Flyer/Brochure/Banner Output")</f>
        <v>Flyer/Brochure/Banner Output</v>
      </c>
      <c r="G1152" s="95" t="str">
        <f ca="1">IFERROR(__xludf.DUMMYFUNCTION("""COMPUTED_VALUE"""),"New")</f>
        <v>New</v>
      </c>
      <c r="H1152" s="96">
        <f ca="1">IFERROR(__xludf.DUMMYFUNCTION("""COMPUTED_VALUE"""),1)</f>
        <v>1</v>
      </c>
      <c r="I1152" s="97">
        <f ca="1">IFERROR(__xludf.DUMMYFUNCTION("""COMPUTED_VALUE"""),46153)</f>
        <v>46153</v>
      </c>
      <c r="J1152" s="98" t="str">
        <f ca="1">IFERROR(__xludf.DUMMYFUNCTION("""COMPUTED_VALUE"""),"CW33105_May26")</f>
        <v>CW33105_May26</v>
      </c>
      <c r="K1152" s="99" t="str">
        <f ca="1">IFERROR(__xludf.DUMMYFUNCTION("""COMPUTED_VALUE"""),"HoM Approved")</f>
        <v>HoM Approved</v>
      </c>
    </row>
    <row r="1153" spans="1:11" ht="13.2">
      <c r="A1153" s="89" t="str">
        <f ca="1">IFERROR(__xludf.DUMMYFUNCTION("""COMPUTED_VALUE"""),"Jim &amp; Jolly Toys")</f>
        <v>Jim &amp; Jolly Toys</v>
      </c>
      <c r="B1153" s="90" t="str">
        <f ca="1">IFERROR(__xludf.DUMMYFUNCTION("""COMPUTED_VALUE"""),"DPL")</f>
        <v>DPL</v>
      </c>
      <c r="C1153" s="91" t="str">
        <f ca="1">IFERROR(__xludf.DUMMYFUNCTION("""COMPUTED_VALUE"""),"Sohan Vai")</f>
        <v>Sohan Vai</v>
      </c>
      <c r="D1153" s="92" t="str">
        <f ca="1">IFERROR(__xludf.DUMMYFUNCTION("""COMPUTED_VALUE"""),"Md. Azizul Hakim (S223035)")</f>
        <v>Md. Azizul Hakim (S223035)</v>
      </c>
      <c r="E1153" s="93" t="str">
        <f ca="1">IFERROR(__xludf.DUMMYFUNCTION("""COMPUTED_VALUE"""),"CB23655_May26")</f>
        <v>CB23655_May26</v>
      </c>
      <c r="F1153" s="94" t="str">
        <f ca="1">IFERROR(__xludf.DUMMYFUNCTION("""COMPUTED_VALUE"""),"JAR Label Sticker Output")</f>
        <v>JAR Label Sticker Output</v>
      </c>
      <c r="G1153" s="95" t="str">
        <f ca="1">IFERROR(__xludf.DUMMYFUNCTION("""COMPUTED_VALUE"""),"New")</f>
        <v>New</v>
      </c>
      <c r="H1153" s="96">
        <f ca="1">IFERROR(__xludf.DUMMYFUNCTION("""COMPUTED_VALUE"""),1)</f>
        <v>1</v>
      </c>
      <c r="I1153" s="97">
        <f ca="1">IFERROR(__xludf.DUMMYFUNCTION("""COMPUTED_VALUE"""),46153)</f>
        <v>46153</v>
      </c>
      <c r="J1153" s="98" t="str">
        <f ca="1">IFERROR(__xludf.DUMMYFUNCTION("""COMPUTED_VALUE"""),"CW33105_May26")</f>
        <v>CW33105_May26</v>
      </c>
      <c r="K1153" s="99" t="str">
        <f ca="1">IFERROR(__xludf.DUMMYFUNCTION("""COMPUTED_VALUE"""),"HoM Approved")</f>
        <v>HoM Approved</v>
      </c>
    </row>
    <row r="1154" spans="1:11" ht="13.2">
      <c r="A1154" s="89" t="str">
        <f ca="1">IFERROR(__xludf.DUMMYFUNCTION("""COMPUTED_VALUE"""),"Treat Chocolate")</f>
        <v>Treat Chocolate</v>
      </c>
      <c r="B1154" s="90" t="str">
        <f ca="1">IFERROR(__xludf.DUMMYFUNCTION("""COMPUTED_VALUE"""),"PCL")</f>
        <v>PCL</v>
      </c>
      <c r="C1154" s="91" t="str">
        <f ca="1">IFERROR(__xludf.DUMMYFUNCTION("""COMPUTED_VALUE"""),"Zahirul Vai")</f>
        <v>Zahirul Vai</v>
      </c>
      <c r="D1154" s="92" t="str">
        <f ca="1">IFERROR(__xludf.DUMMYFUNCTION("""COMPUTED_VALUE"""),"Md. Azizul Hakim (S223035)")</f>
        <v>Md. Azizul Hakim (S223035)</v>
      </c>
      <c r="E1154" s="93" t="str">
        <f ca="1">IFERROR(__xludf.DUMMYFUNCTION("""COMPUTED_VALUE"""),"CB23992_May26")</f>
        <v>CB23992_May26</v>
      </c>
      <c r="F1154" s="94" t="str">
        <f ca="1">IFERROR(__xludf.DUMMYFUNCTION("""COMPUTED_VALUE"""),"Leaflet/Poster Output")</f>
        <v>Leaflet/Poster Output</v>
      </c>
      <c r="G1154" s="95" t="str">
        <f ca="1">IFERROR(__xludf.DUMMYFUNCTION("""COMPUTED_VALUE"""),"New")</f>
        <v>New</v>
      </c>
      <c r="H1154" s="96">
        <f ca="1">IFERROR(__xludf.DUMMYFUNCTION("""COMPUTED_VALUE"""),1)</f>
        <v>1</v>
      </c>
      <c r="I1154" s="97">
        <f ca="1">IFERROR(__xludf.DUMMYFUNCTION("""COMPUTED_VALUE"""),46154)</f>
        <v>46154</v>
      </c>
      <c r="J1154" s="98" t="str">
        <f ca="1">IFERROR(__xludf.DUMMYFUNCTION("""COMPUTED_VALUE"""),"CW33259_May26")</f>
        <v>CW33259_May26</v>
      </c>
      <c r="K1154" s="99" t="str">
        <f ca="1">IFERROR(__xludf.DUMMYFUNCTION("""COMPUTED_VALUE"""),"HoM Approved")</f>
        <v>HoM Approved</v>
      </c>
    </row>
    <row r="1155" spans="1:11" ht="13.2">
      <c r="A1155" s="89" t="str">
        <f ca="1">IFERROR(__xludf.DUMMYFUNCTION("""COMPUTED_VALUE"""),"Tasty Treat")</f>
        <v>Tasty Treat</v>
      </c>
      <c r="B1155" s="90" t="str">
        <f ca="1">IFERROR(__xludf.DUMMYFUNCTION("""COMPUTED_VALUE"""),"Tasty Treat")</f>
        <v>Tasty Treat</v>
      </c>
      <c r="C1155" s="91" t="str">
        <f ca="1">IFERROR(__xludf.DUMMYFUNCTION("""COMPUTED_VALUE"""),"Nahian Vai")</f>
        <v>Nahian Vai</v>
      </c>
      <c r="D1155" s="92" t="str">
        <f ca="1">IFERROR(__xludf.DUMMYFUNCTION("""COMPUTED_VALUE"""),"Md. Azizul Hakim (S223035)")</f>
        <v>Md. Azizul Hakim (S223035)</v>
      </c>
      <c r="E1155" s="93" t="str">
        <f ca="1">IFERROR(__xludf.DUMMYFUNCTION("""COMPUTED_VALUE"""),"CB22289_Apr26")</f>
        <v>CB22289_Apr26</v>
      </c>
      <c r="F1155" s="94" t="str">
        <f ca="1">IFERROR(__xludf.DUMMYFUNCTION("""COMPUTED_VALUE"""),"ATC Box Output")</f>
        <v>ATC Box Output</v>
      </c>
      <c r="G1155" s="95" t="str">
        <f ca="1">IFERROR(__xludf.DUMMYFUNCTION("""COMPUTED_VALUE"""),"New")</f>
        <v>New</v>
      </c>
      <c r="H1155" s="96">
        <f ca="1">IFERROR(__xludf.DUMMYFUNCTION("""COMPUTED_VALUE"""),2)</f>
        <v>2</v>
      </c>
      <c r="I1155" s="97">
        <f ca="1">IFERROR(__xludf.DUMMYFUNCTION("""COMPUTED_VALUE"""),46156)</f>
        <v>46156</v>
      </c>
      <c r="J1155" s="98" t="str">
        <f ca="1">IFERROR(__xludf.DUMMYFUNCTION("""COMPUTED_VALUE"""),"CW33496_May26")</f>
        <v>CW33496_May26</v>
      </c>
      <c r="K1155" s="99" t="str">
        <f ca="1">IFERROR(__xludf.DUMMYFUNCTION("""COMPUTED_VALUE"""),"HoM Approved")</f>
        <v>HoM Approved</v>
      </c>
    </row>
    <row r="1156" spans="1:11" ht="13.2">
      <c r="A1156" s="89" t="str">
        <f ca="1">IFERROR(__xludf.DUMMYFUNCTION("""COMPUTED_VALUE"""),"All Time Honeycomb")</f>
        <v>All Time Honeycomb</v>
      </c>
      <c r="B1156" s="90" t="str">
        <f ca="1">IFERROR(__xludf.DUMMYFUNCTION("""COMPUTED_VALUE"""),"BBL")</f>
        <v>BBL</v>
      </c>
      <c r="C1156" s="91" t="str">
        <f ca="1">IFERROR(__xludf.DUMMYFUNCTION("""COMPUTED_VALUE"""),"Lisa Apu")</f>
        <v>Lisa Apu</v>
      </c>
      <c r="D1156" s="92" t="str">
        <f ca="1">IFERROR(__xludf.DUMMYFUNCTION("""COMPUTED_VALUE"""),"Md. Azizul Hakim (S223035)")</f>
        <v>Md. Azizul Hakim (S223035)</v>
      </c>
      <c r="E1156" s="93" t="str">
        <f ca="1">IFERROR(__xludf.DUMMYFUNCTION("""COMPUTED_VALUE"""),"CB24287_May26")</f>
        <v>CB24287_May26</v>
      </c>
      <c r="F1156" s="94" t="str">
        <f ca="1">IFERROR(__xludf.DUMMYFUNCTION("""COMPUTED_VALUE"""),"Flyer/Brochure/Banner Output")</f>
        <v>Flyer/Brochure/Banner Output</v>
      </c>
      <c r="G1156" s="95" t="str">
        <f ca="1">IFERROR(__xludf.DUMMYFUNCTION("""COMPUTED_VALUE"""),"New")</f>
        <v>New</v>
      </c>
      <c r="H1156" s="96">
        <f ca="1">IFERROR(__xludf.DUMMYFUNCTION("""COMPUTED_VALUE"""),1)</f>
        <v>1</v>
      </c>
      <c r="I1156" s="97">
        <f ca="1">IFERROR(__xludf.DUMMYFUNCTION("""COMPUTED_VALUE"""),46158)</f>
        <v>46158</v>
      </c>
      <c r="J1156" s="98" t="str">
        <f ca="1">IFERROR(__xludf.DUMMYFUNCTION("""COMPUTED_VALUE"""),"CW33619_May26")</f>
        <v>CW33619_May26</v>
      </c>
      <c r="K1156" s="99" t="str">
        <f ca="1">IFERROR(__xludf.DUMMYFUNCTION("""COMPUTED_VALUE"""),"HoM Approved")</f>
        <v>HoM Approved</v>
      </c>
    </row>
    <row r="1157" spans="1:11" ht="13.2">
      <c r="A1157" s="89" t="str">
        <f ca="1">IFERROR(__xludf.DUMMYFUNCTION("""COMPUTED_VALUE"""),"Pran Rice Crackers")</f>
        <v>Pran Rice Crackers</v>
      </c>
      <c r="B1157" s="90" t="str">
        <f ca="1">IFERROR(__xludf.DUMMYFUNCTION("""COMPUTED_VALUE"""),"BBL")</f>
        <v>BBL</v>
      </c>
      <c r="C1157" s="91" t="str">
        <f ca="1">IFERROR(__xludf.DUMMYFUNCTION("""COMPUTED_VALUE"""),"Maksuda Apu")</f>
        <v>Maksuda Apu</v>
      </c>
      <c r="D1157" s="92" t="str">
        <f ca="1">IFERROR(__xludf.DUMMYFUNCTION("""COMPUTED_VALUE"""),"Md. Azizul Hakim (S223035)")</f>
        <v>Md. Azizul Hakim (S223035)</v>
      </c>
      <c r="E1157" s="93" t="str">
        <f ca="1">IFERROR(__xludf.DUMMYFUNCTION("""COMPUTED_VALUE"""),"CB21728_Apr26")</f>
        <v>CB21728_Apr26</v>
      </c>
      <c r="F1157" s="94" t="str">
        <f ca="1">IFERROR(__xludf.DUMMYFUNCTION("""COMPUTED_VALUE"""),"Leaflet/Poster Output")</f>
        <v>Leaflet/Poster Output</v>
      </c>
      <c r="G1157" s="95" t="str">
        <f ca="1">IFERROR(__xludf.DUMMYFUNCTION("""COMPUTED_VALUE"""),"New")</f>
        <v>New</v>
      </c>
      <c r="H1157" s="96">
        <f ca="1">IFERROR(__xludf.DUMMYFUNCTION("""COMPUTED_VALUE"""),2)</f>
        <v>2</v>
      </c>
      <c r="I1157" s="97">
        <f ca="1">IFERROR(__xludf.DUMMYFUNCTION("""COMPUTED_VALUE"""),46158)</f>
        <v>46158</v>
      </c>
      <c r="J1157" s="98" t="str">
        <f ca="1">IFERROR(__xludf.DUMMYFUNCTION("""COMPUTED_VALUE"""),"CW33637_May26")</f>
        <v>CW33637_May26</v>
      </c>
      <c r="K1157" s="99" t="str">
        <f ca="1">IFERROR(__xludf.DUMMYFUNCTION("""COMPUTED_VALUE"""),"HoM Approved")</f>
        <v>HoM Approved</v>
      </c>
    </row>
    <row r="1158" spans="1:11" ht="13.2">
      <c r="A1158" s="89" t="str">
        <f ca="1">IFERROR(__xludf.DUMMYFUNCTION("""COMPUTED_VALUE"""),"Mango bar")</f>
        <v>Mango bar</v>
      </c>
      <c r="B1158" s="90" t="str">
        <f ca="1">IFERROR(__xludf.DUMMYFUNCTION("""COMPUTED_VALUE"""),"AMCL")</f>
        <v>AMCL</v>
      </c>
      <c r="C1158" s="91" t="str">
        <f ca="1">IFERROR(__xludf.DUMMYFUNCTION("""COMPUTED_VALUE"""),"Miraj Vai")</f>
        <v>Miraj Vai</v>
      </c>
      <c r="D1158" s="92" t="str">
        <f ca="1">IFERROR(__xludf.DUMMYFUNCTION("""COMPUTED_VALUE"""),"Md. Azizul Hakim (S223035)")</f>
        <v>Md. Azizul Hakim (S223035)</v>
      </c>
      <c r="E1158" s="93" t="str">
        <f ca="1">IFERROR(__xludf.DUMMYFUNCTION("""COMPUTED_VALUE"""),"CB24295_May26")</f>
        <v>CB24295_May26</v>
      </c>
      <c r="F1158" s="94" t="str">
        <f ca="1">IFERROR(__xludf.DUMMYFUNCTION("""COMPUTED_VALUE"""),"Flyer/Brochure/Banner Output")</f>
        <v>Flyer/Brochure/Banner Output</v>
      </c>
      <c r="G1158" s="95" t="str">
        <f ca="1">IFERROR(__xludf.DUMMYFUNCTION("""COMPUTED_VALUE"""),"New")</f>
        <v>New</v>
      </c>
      <c r="H1158" s="96">
        <f ca="1">IFERROR(__xludf.DUMMYFUNCTION("""COMPUTED_VALUE"""),1)</f>
        <v>1</v>
      </c>
      <c r="I1158" s="97">
        <f ca="1">IFERROR(__xludf.DUMMYFUNCTION("""COMPUTED_VALUE"""),46158)</f>
        <v>46158</v>
      </c>
      <c r="J1158" s="98" t="str">
        <f ca="1">IFERROR(__xludf.DUMMYFUNCTION("""COMPUTED_VALUE"""),"CW33588_May26")</f>
        <v>CW33588_May26</v>
      </c>
      <c r="K1158" s="99" t="str">
        <f ca="1">IFERROR(__xludf.DUMMYFUNCTION("""COMPUTED_VALUE"""),"HoM Approved")</f>
        <v>HoM Approved</v>
      </c>
    </row>
    <row r="1159" spans="1:11" ht="13.2">
      <c r="A1159" s="89" t="str">
        <f ca="1">IFERROR(__xludf.DUMMYFUNCTION("""COMPUTED_VALUE"""),"Chao Chao Lollipop")</f>
        <v>Chao Chao Lollipop</v>
      </c>
      <c r="B1159" s="90" t="str">
        <f ca="1">IFERROR(__xludf.DUMMYFUNCTION("""COMPUTED_VALUE"""),"PCL")</f>
        <v>PCL</v>
      </c>
      <c r="C1159" s="91" t="str">
        <f ca="1">IFERROR(__xludf.DUMMYFUNCTION("""COMPUTED_VALUE"""),"Rakib Vai")</f>
        <v>Rakib Vai</v>
      </c>
      <c r="D1159" s="92" t="str">
        <f ca="1">IFERROR(__xludf.DUMMYFUNCTION("""COMPUTED_VALUE"""),"Md. Azizul Hakim (S223035)")</f>
        <v>Md. Azizul Hakim (S223035)</v>
      </c>
      <c r="E1159" s="93" t="str">
        <f ca="1">IFERROR(__xludf.DUMMYFUNCTION("""COMPUTED_VALUE"""),"CB24187_May26")</f>
        <v>CB24187_May26</v>
      </c>
      <c r="F1159" s="94" t="str">
        <f ca="1">IFERROR(__xludf.DUMMYFUNCTION("""COMPUTED_VALUE"""),"Flyer/Brochure/Banner Output")</f>
        <v>Flyer/Brochure/Banner Output</v>
      </c>
      <c r="G1159" s="95" t="str">
        <f ca="1">IFERROR(__xludf.DUMMYFUNCTION("""COMPUTED_VALUE"""),"New")</f>
        <v>New</v>
      </c>
      <c r="H1159" s="96">
        <f ca="1">IFERROR(__xludf.DUMMYFUNCTION("""COMPUTED_VALUE"""),1)</f>
        <v>1</v>
      </c>
      <c r="I1159" s="97">
        <f ca="1">IFERROR(__xludf.DUMMYFUNCTION("""COMPUTED_VALUE"""),46158)</f>
        <v>46158</v>
      </c>
      <c r="J1159" s="98" t="str">
        <f ca="1">IFERROR(__xludf.DUMMYFUNCTION("""COMPUTED_VALUE"""),"CW33593_May26")</f>
        <v>CW33593_May26</v>
      </c>
      <c r="K1159" s="99" t="str">
        <f ca="1">IFERROR(__xludf.DUMMYFUNCTION("""COMPUTED_VALUE"""),"HoM Approved")</f>
        <v>HoM Approved</v>
      </c>
    </row>
    <row r="1160" spans="1:11" ht="13.2">
      <c r="A1160" s="89" t="str">
        <f ca="1">IFERROR(__xludf.DUMMYFUNCTION("""COMPUTED_VALUE"""),"Pran Choice Sweet &amp; Salty Biscuits")</f>
        <v>Pran Choice Sweet &amp; Salty Biscuits</v>
      </c>
      <c r="B1160" s="90" t="str">
        <f ca="1">IFERROR(__xludf.DUMMYFUNCTION("""COMPUTED_VALUE"""),"BBL")</f>
        <v>BBL</v>
      </c>
      <c r="C1160" s="91" t="str">
        <f ca="1">IFERROR(__xludf.DUMMYFUNCTION("""COMPUTED_VALUE"""),"Sharika Apu")</f>
        <v>Sharika Apu</v>
      </c>
      <c r="D1160" s="92" t="str">
        <f ca="1">IFERROR(__xludf.DUMMYFUNCTION("""COMPUTED_VALUE"""),"Md. Azizul Hakim (S223035)")</f>
        <v>Md. Azizul Hakim (S223035)</v>
      </c>
      <c r="E1160" s="93" t="str">
        <f ca="1">IFERROR(__xludf.DUMMYFUNCTION("""COMPUTED_VALUE"""),"CB23439_May26")</f>
        <v>CB23439_May26</v>
      </c>
      <c r="F1160" s="94" t="str">
        <f ca="1">IFERROR(__xludf.DUMMYFUNCTION("""COMPUTED_VALUE"""),"Text Sticker Design #2")</f>
        <v>Text Sticker Design #2</v>
      </c>
      <c r="G1160" s="95" t="str">
        <f ca="1">IFERROR(__xludf.DUMMYFUNCTION("""COMPUTED_VALUE"""),"New")</f>
        <v>New</v>
      </c>
      <c r="H1160" s="96">
        <f ca="1">IFERROR(__xludf.DUMMYFUNCTION("""COMPUTED_VALUE"""),1)</f>
        <v>1</v>
      </c>
      <c r="I1160" s="97">
        <f ca="1">IFERROR(__xludf.DUMMYFUNCTION("""COMPUTED_VALUE"""),46158)</f>
        <v>46158</v>
      </c>
      <c r="J1160" s="98" t="str">
        <f ca="1">IFERROR(__xludf.DUMMYFUNCTION("""COMPUTED_VALUE"""),"CW33583_May26")</f>
        <v>CW33583_May26</v>
      </c>
      <c r="K1160" s="99" t="str">
        <f ca="1">IFERROR(__xludf.DUMMYFUNCTION("""COMPUTED_VALUE"""),"HoM Approved")</f>
        <v>HoM Approved</v>
      </c>
    </row>
    <row r="1161" spans="1:11" ht="13.2">
      <c r="A1161" s="89" t="str">
        <f ca="1">IFERROR(__xludf.DUMMYFUNCTION("""COMPUTED_VALUE"""),"Common - All Dairy")</f>
        <v>Common - All Dairy</v>
      </c>
      <c r="B1161" s="90" t="str">
        <f ca="1">IFERROR(__xludf.DUMMYFUNCTION("""COMPUTED_VALUE"""),"Dairy")</f>
        <v>Dairy</v>
      </c>
      <c r="C1161" s="91" t="str">
        <f ca="1">IFERROR(__xludf.DUMMYFUNCTION("""COMPUTED_VALUE"""),"Tamim Vaiya")</f>
        <v>Tamim Vaiya</v>
      </c>
      <c r="D1161" s="92" t="str">
        <f ca="1">IFERROR(__xludf.DUMMYFUNCTION("""COMPUTED_VALUE"""),"Md. Azizul Hakim (S223035)")</f>
        <v>Md. Azizul Hakim (S223035)</v>
      </c>
      <c r="E1161" s="93" t="str">
        <f ca="1">IFERROR(__xludf.DUMMYFUNCTION("""COMPUTED_VALUE"""),"CB21399_Apr26")</f>
        <v>CB21399_Apr26</v>
      </c>
      <c r="F1161" s="94" t="str">
        <f ca="1">IFERROR(__xludf.DUMMYFUNCTION("""COMPUTED_VALUE"""),"Flyer/Brochure/Banner Output")</f>
        <v>Flyer/Brochure/Banner Output</v>
      </c>
      <c r="G1161" s="95" t="str">
        <f ca="1">IFERROR(__xludf.DUMMYFUNCTION("""COMPUTED_VALUE"""),"New")</f>
        <v>New</v>
      </c>
      <c r="H1161" s="96">
        <f ca="1">IFERROR(__xludf.DUMMYFUNCTION("""COMPUTED_VALUE"""),1)</f>
        <v>1</v>
      </c>
      <c r="I1161" s="97">
        <f ca="1">IFERROR(__xludf.DUMMYFUNCTION("""COMPUTED_VALUE"""),46158)</f>
        <v>46158</v>
      </c>
      <c r="J1161" s="98" t="str">
        <f ca="1">IFERROR(__xludf.DUMMYFUNCTION("""COMPUTED_VALUE"""),"CW33614_May26")</f>
        <v>CW33614_May26</v>
      </c>
      <c r="K1161" s="99" t="str">
        <f ca="1">IFERROR(__xludf.DUMMYFUNCTION("""COMPUTED_VALUE"""),"HoM Approved")</f>
        <v>HoM Approved</v>
      </c>
    </row>
    <row r="1162" spans="1:11" ht="13.2">
      <c r="A1162" s="89" t="str">
        <f ca="1">IFERROR(__xludf.DUMMYFUNCTION("""COMPUTED_VALUE"""),"Jelly Drink")</f>
        <v>Jelly Drink</v>
      </c>
      <c r="B1162" s="90" t="str">
        <f ca="1">IFERROR(__xludf.DUMMYFUNCTION("""COMPUTED_VALUE"""),"PAL")</f>
        <v>PAL</v>
      </c>
      <c r="C1162" s="91" t="str">
        <f ca="1">IFERROR(__xludf.DUMMYFUNCTION("""COMPUTED_VALUE"""),"Zahirul Vai")</f>
        <v>Zahirul Vai</v>
      </c>
      <c r="D1162" s="92" t="str">
        <f ca="1">IFERROR(__xludf.DUMMYFUNCTION("""COMPUTED_VALUE"""),"Md. Azizul Hakim (S223035)")</f>
        <v>Md. Azizul Hakim (S223035)</v>
      </c>
      <c r="E1162" s="93" t="str">
        <f ca="1">IFERROR(__xludf.DUMMYFUNCTION("""COMPUTED_VALUE"""),"CB23804_May26")</f>
        <v>CB23804_May26</v>
      </c>
      <c r="F1162" s="94" t="str">
        <f ca="1">IFERROR(__xludf.DUMMYFUNCTION("""COMPUTED_VALUE"""),"JAR Label Sticker Output")</f>
        <v>JAR Label Sticker Output</v>
      </c>
      <c r="G1162" s="95" t="str">
        <f ca="1">IFERROR(__xludf.DUMMYFUNCTION("""COMPUTED_VALUE"""),"New")</f>
        <v>New</v>
      </c>
      <c r="H1162" s="96">
        <f ca="1">IFERROR(__xludf.DUMMYFUNCTION("""COMPUTED_VALUE"""),3)</f>
        <v>3</v>
      </c>
      <c r="I1162" s="97">
        <f ca="1">IFERROR(__xludf.DUMMYFUNCTION("""COMPUTED_VALUE"""),46159)</f>
        <v>46159</v>
      </c>
      <c r="J1162" s="98" t="str">
        <f ca="1">IFERROR(__xludf.DUMMYFUNCTION("""COMPUTED_VALUE"""),"CW33780_May26")</f>
        <v>CW33780_May26</v>
      </c>
      <c r="K1162" s="99" t="str">
        <f ca="1">IFERROR(__xludf.DUMMYFUNCTION("""COMPUTED_VALUE"""),"HoM Approved")</f>
        <v>HoM Approved</v>
      </c>
    </row>
    <row r="1163" spans="1:11" ht="13.2">
      <c r="A1163" s="89" t="str">
        <f ca="1">IFERROR(__xludf.DUMMYFUNCTION("""COMPUTED_VALUE"""),"Common - All PAL")</f>
        <v>Common - All PAL</v>
      </c>
      <c r="B1163" s="90" t="str">
        <f ca="1">IFERROR(__xludf.DUMMYFUNCTION("""COMPUTED_VALUE"""),"PAL")</f>
        <v>PAL</v>
      </c>
      <c r="C1163" s="91" t="str">
        <f ca="1">IFERROR(__xludf.DUMMYFUNCTION("""COMPUTED_VALUE"""),"Farjana Apu")</f>
        <v>Farjana Apu</v>
      </c>
      <c r="D1163" s="92" t="str">
        <f ca="1">IFERROR(__xludf.DUMMYFUNCTION("""COMPUTED_VALUE"""),"Md. Azizul Hakim (S223035)")</f>
        <v>Md. Azizul Hakim (S223035)</v>
      </c>
      <c r="E1163" s="93" t="str">
        <f ca="1">IFERROR(__xludf.DUMMYFUNCTION("""COMPUTED_VALUE"""),"CB24659_May26")</f>
        <v>CB24659_May26</v>
      </c>
      <c r="F1163" s="94" t="str">
        <f ca="1">IFERROR(__xludf.DUMMYFUNCTION("""COMPUTED_VALUE"""),"Packaging Text Design #1")</f>
        <v>Packaging Text Design #1</v>
      </c>
      <c r="G1163" s="95" t="str">
        <f ca="1">IFERROR(__xludf.DUMMYFUNCTION("""COMPUTED_VALUE"""),"New")</f>
        <v>New</v>
      </c>
      <c r="H1163" s="96">
        <f ca="1">IFERROR(__xludf.DUMMYFUNCTION("""COMPUTED_VALUE"""),1)</f>
        <v>1</v>
      </c>
      <c r="I1163" s="97">
        <f ca="1">IFERROR(__xludf.DUMMYFUNCTION("""COMPUTED_VALUE"""),46162)</f>
        <v>46162</v>
      </c>
      <c r="J1163" s="98" t="str">
        <f ca="1">IFERROR(__xludf.DUMMYFUNCTION("""COMPUTED_VALUE"""),"CW34185_May26")</f>
        <v>CW34185_May26</v>
      </c>
      <c r="K1163" s="99" t="str">
        <f ca="1">IFERROR(__xludf.DUMMYFUNCTION("""COMPUTED_VALUE"""),"HoM Approved")</f>
        <v>HoM Approved</v>
      </c>
    </row>
    <row r="1164" spans="1:11" ht="13.2">
      <c r="A1164" s="89" t="str">
        <f ca="1">IFERROR(__xludf.DUMMYFUNCTION("""COMPUTED_VALUE"""),"PRAN Jelly")</f>
        <v>PRAN Jelly</v>
      </c>
      <c r="B1164" s="90" t="str">
        <f ca="1">IFERROR(__xludf.DUMMYFUNCTION("""COMPUTED_VALUE"""),"PAL")</f>
        <v>PAL</v>
      </c>
      <c r="C1164" s="91" t="str">
        <f ca="1">IFERROR(__xludf.DUMMYFUNCTION("""COMPUTED_VALUE"""),"Rakib Vai")</f>
        <v>Rakib Vai</v>
      </c>
      <c r="D1164" s="92" t="str">
        <f ca="1">IFERROR(__xludf.DUMMYFUNCTION("""COMPUTED_VALUE"""),"Md. Azizul Hakim (S223035)")</f>
        <v>Md. Azizul Hakim (S223035)</v>
      </c>
      <c r="E1164" s="93" t="str">
        <f ca="1">IFERROR(__xludf.DUMMYFUNCTION("""COMPUTED_VALUE"""),"CB24439_May26")</f>
        <v>CB24439_May26</v>
      </c>
      <c r="F1164" s="94" t="str">
        <f ca="1">IFERROR(__xludf.DUMMYFUNCTION("""COMPUTED_VALUE"""),"ATC Box Output")</f>
        <v>ATC Box Output</v>
      </c>
      <c r="G1164" s="95" t="str">
        <f ca="1">IFERROR(__xludf.DUMMYFUNCTION("""COMPUTED_VALUE"""),"New")</f>
        <v>New</v>
      </c>
      <c r="H1164" s="96">
        <f ca="1">IFERROR(__xludf.DUMMYFUNCTION("""COMPUTED_VALUE"""),4)</f>
        <v>4</v>
      </c>
      <c r="I1164" s="97">
        <f ca="1">IFERROR(__xludf.DUMMYFUNCTION("""COMPUTED_VALUE"""),46162)</f>
        <v>46162</v>
      </c>
      <c r="J1164" s="98" t="str">
        <f ca="1">IFERROR(__xludf.DUMMYFUNCTION("""COMPUTED_VALUE"""),"CW34127_May26")</f>
        <v>CW34127_May26</v>
      </c>
      <c r="K1164" s="99" t="str">
        <f ca="1">IFERROR(__xludf.DUMMYFUNCTION("""COMPUTED_VALUE"""),"HoM Approved")</f>
        <v>HoM Approved</v>
      </c>
    </row>
    <row r="1165" spans="1:11" ht="13.2">
      <c r="A1165" s="89" t="str">
        <f ca="1">IFERROR(__xludf.DUMMYFUNCTION("""COMPUTED_VALUE"""),"PRAN Jelly")</f>
        <v>PRAN Jelly</v>
      </c>
      <c r="B1165" s="90" t="str">
        <f ca="1">IFERROR(__xludf.DUMMYFUNCTION("""COMPUTED_VALUE"""),"PAL")</f>
        <v>PAL</v>
      </c>
      <c r="C1165" s="91" t="str">
        <f ca="1">IFERROR(__xludf.DUMMYFUNCTION("""COMPUTED_VALUE"""),"Rakib Vai")</f>
        <v>Rakib Vai</v>
      </c>
      <c r="D1165" s="92" t="str">
        <f ca="1">IFERROR(__xludf.DUMMYFUNCTION("""COMPUTED_VALUE"""),"Md. Azizul Hakim (S223035)")</f>
        <v>Md. Azizul Hakim (S223035)</v>
      </c>
      <c r="E1165" s="93" t="str">
        <f ca="1">IFERROR(__xludf.DUMMYFUNCTION("""COMPUTED_VALUE"""),"CB24439_May26")</f>
        <v>CB24439_May26</v>
      </c>
      <c r="F1165" s="94" t="str">
        <f ca="1">IFERROR(__xludf.DUMMYFUNCTION("""COMPUTED_VALUE"""),"Leaflet/Poster Output")</f>
        <v>Leaflet/Poster Output</v>
      </c>
      <c r="G1165" s="95" t="str">
        <f ca="1">IFERROR(__xludf.DUMMYFUNCTION("""COMPUTED_VALUE"""),"New")</f>
        <v>New</v>
      </c>
      <c r="H1165" s="96">
        <f ca="1">IFERROR(__xludf.DUMMYFUNCTION("""COMPUTED_VALUE"""),1)</f>
        <v>1</v>
      </c>
      <c r="I1165" s="97">
        <f ca="1">IFERROR(__xludf.DUMMYFUNCTION("""COMPUTED_VALUE"""),46162)</f>
        <v>46162</v>
      </c>
      <c r="J1165" s="98" t="str">
        <f ca="1">IFERROR(__xludf.DUMMYFUNCTION("""COMPUTED_VALUE"""),"CW34127_May26")</f>
        <v>CW34127_May26</v>
      </c>
      <c r="K1165" s="99" t="str">
        <f ca="1">IFERROR(__xludf.DUMMYFUNCTION("""COMPUTED_VALUE"""),"HoM Approved")</f>
        <v>HoM Approved</v>
      </c>
    </row>
    <row r="1166" spans="1:11" ht="13.2">
      <c r="A1166" s="89" t="str">
        <f ca="1">IFERROR(__xludf.DUMMYFUNCTION("""COMPUTED_VALUE"""),"PRAN Noodles")</f>
        <v>PRAN Noodles</v>
      </c>
      <c r="B1166" s="90" t="str">
        <f ca="1">IFERROR(__xludf.DUMMYFUNCTION("""COMPUTED_VALUE"""),"PAL")</f>
        <v>PAL</v>
      </c>
      <c r="C1166" s="91" t="str">
        <f ca="1">IFERROR(__xludf.DUMMYFUNCTION("""COMPUTED_VALUE"""),"Saifullah Vai")</f>
        <v>Saifullah Vai</v>
      </c>
      <c r="D1166" s="92" t="str">
        <f ca="1">IFERROR(__xludf.DUMMYFUNCTION("""COMPUTED_VALUE"""),"Md. Azizul Hakim (S223035)")</f>
        <v>Md. Azizul Hakim (S223035)</v>
      </c>
      <c r="E1166" s="93" t="str">
        <f ca="1">IFERROR(__xludf.DUMMYFUNCTION("""COMPUTED_VALUE"""),"CB19604_Mar26")</f>
        <v>CB19604_Mar26</v>
      </c>
      <c r="F1166" s="94" t="str">
        <f ca="1">IFERROR(__xludf.DUMMYFUNCTION("""COMPUTED_VALUE"""),"Carton Design")</f>
        <v>Carton Design</v>
      </c>
      <c r="G1166" s="95" t="str">
        <f ca="1">IFERROR(__xludf.DUMMYFUNCTION("""COMPUTED_VALUE"""),"New")</f>
        <v>New</v>
      </c>
      <c r="H1166" s="96">
        <f ca="1">IFERROR(__xludf.DUMMYFUNCTION("""COMPUTED_VALUE"""),12)</f>
        <v>12</v>
      </c>
      <c r="I1166" s="97">
        <f ca="1">IFERROR(__xludf.DUMMYFUNCTION("""COMPUTED_VALUE"""),46162)</f>
        <v>46162</v>
      </c>
      <c r="J1166" s="98" t="str">
        <f ca="1">IFERROR(__xludf.DUMMYFUNCTION("""COMPUTED_VALUE"""),"CW34146_May26")</f>
        <v>CW34146_May26</v>
      </c>
      <c r="K1166" s="99" t="str">
        <f ca="1">IFERROR(__xludf.DUMMYFUNCTION("""COMPUTED_VALUE"""),"HoM Approved")</f>
        <v>HoM Approved</v>
      </c>
    </row>
    <row r="1167" spans="1:11" ht="13.2">
      <c r="A1167" s="89" t="str">
        <f ca="1">IFERROR(__xludf.DUMMYFUNCTION("""COMPUTED_VALUE"""),"PRAN DAIRY LTD. PIP - ALL")</f>
        <v>PRAN DAIRY LTD. PIP - ALL</v>
      </c>
      <c r="B1167" s="90" t="str">
        <f ca="1">IFERROR(__xludf.DUMMYFUNCTION("""COMPUTED_VALUE"""),"Philippines")</f>
        <v>Philippines</v>
      </c>
      <c r="C1167" s="91" t="str">
        <f ca="1">IFERROR(__xludf.DUMMYFUNCTION("""COMPUTED_VALUE"""),"Farjana Apu")</f>
        <v>Farjana Apu</v>
      </c>
      <c r="D1167" s="92" t="str">
        <f ca="1">IFERROR(__xludf.DUMMYFUNCTION("""COMPUTED_VALUE"""),"Md. Azizul Hakim (S223035)")</f>
        <v>Md. Azizul Hakim (S223035)</v>
      </c>
      <c r="E1167" s="93" t="str">
        <f ca="1">IFERROR(__xludf.DUMMYFUNCTION("""COMPUTED_VALUE"""),"CB24825_May26")</f>
        <v>CB24825_May26</v>
      </c>
      <c r="F1167" s="94" t="str">
        <f ca="1">IFERROR(__xludf.DUMMYFUNCTION("""COMPUTED_VALUE"""),"Packaging Text Design #1")</f>
        <v>Packaging Text Design #1</v>
      </c>
      <c r="G1167" s="95" t="str">
        <f ca="1">IFERROR(__xludf.DUMMYFUNCTION("""COMPUTED_VALUE"""),"New")</f>
        <v>New</v>
      </c>
      <c r="H1167" s="96">
        <f ca="1">IFERROR(__xludf.DUMMYFUNCTION("""COMPUTED_VALUE"""),1)</f>
        <v>1</v>
      </c>
      <c r="I1167" s="97">
        <f ca="1">IFERROR(__xludf.DUMMYFUNCTION("""COMPUTED_VALUE"""),46163)</f>
        <v>46163</v>
      </c>
      <c r="J1167" s="98" t="str">
        <f ca="1">IFERROR(__xludf.DUMMYFUNCTION("""COMPUTED_VALUE"""),"CW34374_May26")</f>
        <v>CW34374_May26</v>
      </c>
      <c r="K1167" s="99" t="str">
        <f ca="1">IFERROR(__xludf.DUMMYFUNCTION("""COMPUTED_VALUE"""),"HoM Approved")</f>
        <v>HoM Approved</v>
      </c>
    </row>
    <row r="1168" spans="1:11" ht="13.2">
      <c r="A1168" s="89" t="str">
        <f ca="1">IFERROR(__xludf.DUMMYFUNCTION("""COMPUTED_VALUE"""),"HIP-ALL")</f>
        <v>HIP-ALL</v>
      </c>
      <c r="B1168" s="90" t="str">
        <f ca="1">IFERROR(__xludf.DUMMYFUNCTION("""COMPUTED_VALUE"""),"Philippines")</f>
        <v>Philippines</v>
      </c>
      <c r="C1168" s="91" t="str">
        <f ca="1">IFERROR(__xludf.DUMMYFUNCTION("""COMPUTED_VALUE"""),"Farjana Apu")</f>
        <v>Farjana Apu</v>
      </c>
      <c r="D1168" s="92" t="str">
        <f ca="1">IFERROR(__xludf.DUMMYFUNCTION("""COMPUTED_VALUE"""),"Md. Azizul Hakim (S223035)")</f>
        <v>Md. Azizul Hakim (S223035)</v>
      </c>
      <c r="E1168" s="93" t="str">
        <f ca="1">IFERROR(__xludf.DUMMYFUNCTION("""COMPUTED_VALUE"""),"CB23613_May26")</f>
        <v>CB23613_May26</v>
      </c>
      <c r="F1168" s="94" t="str">
        <f ca="1">IFERROR(__xludf.DUMMYFUNCTION("""COMPUTED_VALUE"""),"Text Sticker Design #1")</f>
        <v>Text Sticker Design #1</v>
      </c>
      <c r="G1168" s="95" t="str">
        <f ca="1">IFERROR(__xludf.DUMMYFUNCTION("""COMPUTED_VALUE"""),"New")</f>
        <v>New</v>
      </c>
      <c r="H1168" s="96">
        <f ca="1">IFERROR(__xludf.DUMMYFUNCTION("""COMPUTED_VALUE"""),1)</f>
        <v>1</v>
      </c>
      <c r="I1168" s="97">
        <f ca="1">IFERROR(__xludf.DUMMYFUNCTION("""COMPUTED_VALUE"""),46163)</f>
        <v>46163</v>
      </c>
      <c r="J1168" s="98" t="str">
        <f ca="1">IFERROR(__xludf.DUMMYFUNCTION("""COMPUTED_VALUE"""),"CW34323_May26")</f>
        <v>CW34323_May26</v>
      </c>
      <c r="K1168" s="99" t="str">
        <f ca="1">IFERROR(__xludf.DUMMYFUNCTION("""COMPUTED_VALUE"""),"HoM Approved")</f>
        <v>HoM Approved</v>
      </c>
    </row>
    <row r="1169" spans="1:11" ht="13.2">
      <c r="A1169" s="89" t="str">
        <f ca="1">IFERROR(__xludf.DUMMYFUNCTION("""COMPUTED_VALUE"""),"PRAN Ball Gum")</f>
        <v>PRAN Ball Gum</v>
      </c>
      <c r="B1169" s="90" t="str">
        <f ca="1">IFERROR(__xludf.DUMMYFUNCTION("""COMPUTED_VALUE"""),"PCL")</f>
        <v>PCL</v>
      </c>
      <c r="C1169" s="91" t="str">
        <f ca="1">IFERROR(__xludf.DUMMYFUNCTION("""COMPUTED_VALUE"""),"Rakib Vai")</f>
        <v>Rakib Vai</v>
      </c>
      <c r="D1169" s="92" t="str">
        <f ca="1">IFERROR(__xludf.DUMMYFUNCTION("""COMPUTED_VALUE"""),"Md. Azizul Hakim (S223035)")</f>
        <v>Md. Azizul Hakim (S223035)</v>
      </c>
      <c r="E1169" s="93" t="str">
        <f ca="1">IFERROR(__xludf.DUMMYFUNCTION("""COMPUTED_VALUE"""),"CB24744_May26")</f>
        <v>CB24744_May26</v>
      </c>
      <c r="F1169" s="94" t="str">
        <f ca="1">IFERROR(__xludf.DUMMYFUNCTION("""COMPUTED_VALUE"""),"ATC Box Output")</f>
        <v>ATC Box Output</v>
      </c>
      <c r="G1169" s="95" t="str">
        <f ca="1">IFERROR(__xludf.DUMMYFUNCTION("""COMPUTED_VALUE"""),"New")</f>
        <v>New</v>
      </c>
      <c r="H1169" s="96">
        <f ca="1">IFERROR(__xludf.DUMMYFUNCTION("""COMPUTED_VALUE"""),4)</f>
        <v>4</v>
      </c>
      <c r="I1169" s="97">
        <f ca="1">IFERROR(__xludf.DUMMYFUNCTION("""COMPUTED_VALUE"""),46163)</f>
        <v>46163</v>
      </c>
      <c r="J1169" s="98" t="str">
        <f ca="1">IFERROR(__xludf.DUMMYFUNCTION("""COMPUTED_VALUE"""),"CW34324_May26")</f>
        <v>CW34324_May26</v>
      </c>
      <c r="K1169" s="99" t="str">
        <f ca="1">IFERROR(__xludf.DUMMYFUNCTION("""COMPUTED_VALUE"""),"HoM Approved")</f>
        <v>HoM Approved</v>
      </c>
    </row>
    <row r="1170" spans="1:11" ht="13.2">
      <c r="A1170" s="89" t="str">
        <f ca="1">IFERROR(__xludf.DUMMYFUNCTION("""COMPUTED_VALUE"""),"Kandyman")</f>
        <v>Kandyman</v>
      </c>
      <c r="B1170" s="90" t="str">
        <f ca="1">IFERROR(__xludf.DUMMYFUNCTION("""COMPUTED_VALUE"""),"PCL")</f>
        <v>PCL</v>
      </c>
      <c r="C1170" s="91" t="str">
        <f ca="1">IFERROR(__xludf.DUMMYFUNCTION("""COMPUTED_VALUE"""),"Rakib Vai")</f>
        <v>Rakib Vai</v>
      </c>
      <c r="D1170" s="92" t="str">
        <f ca="1">IFERROR(__xludf.DUMMYFUNCTION("""COMPUTED_VALUE"""),"Md. Azizul Hakim (S223035)")</f>
        <v>Md. Azizul Hakim (S223035)</v>
      </c>
      <c r="E1170" s="93" t="str">
        <f ca="1">IFERROR(__xludf.DUMMYFUNCTION("""COMPUTED_VALUE"""),"CB22746_Apr26")</f>
        <v>CB22746_Apr26</v>
      </c>
      <c r="F1170" s="94" t="str">
        <f ca="1">IFERROR(__xludf.DUMMYFUNCTION("""COMPUTED_VALUE"""),"ATC Box Output")</f>
        <v>ATC Box Output</v>
      </c>
      <c r="G1170" s="95" t="str">
        <f ca="1">IFERROR(__xludf.DUMMYFUNCTION("""COMPUTED_VALUE"""),"New")</f>
        <v>New</v>
      </c>
      <c r="H1170" s="96">
        <f ca="1">IFERROR(__xludf.DUMMYFUNCTION("""COMPUTED_VALUE"""),1)</f>
        <v>1</v>
      </c>
      <c r="I1170" s="97">
        <f ca="1">IFERROR(__xludf.DUMMYFUNCTION("""COMPUTED_VALUE"""),46163)</f>
        <v>46163</v>
      </c>
      <c r="J1170" s="98" t="str">
        <f ca="1">IFERROR(__xludf.DUMMYFUNCTION("""COMPUTED_VALUE"""),"CW34329_May26")</f>
        <v>CW34329_May26</v>
      </c>
      <c r="K1170" s="99" t="str">
        <f ca="1">IFERROR(__xludf.DUMMYFUNCTION("""COMPUTED_VALUE"""),"HoM Approved")</f>
        <v>HoM Approved</v>
      </c>
    </row>
    <row r="1171" spans="1:11" ht="13.2">
      <c r="A1171" s="89" t="str">
        <f ca="1">IFERROR(__xludf.DUMMYFUNCTION("""COMPUTED_VALUE"""),"Bro Crispy Candy")</f>
        <v>Bro Crispy Candy</v>
      </c>
      <c r="B1171" s="90" t="str">
        <f ca="1">IFERROR(__xludf.DUMMYFUNCTION("""COMPUTED_VALUE"""),"PCL")</f>
        <v>PCL</v>
      </c>
      <c r="C1171" s="91" t="str">
        <f ca="1">IFERROR(__xludf.DUMMYFUNCTION("""COMPUTED_VALUE"""),"Rakib Vai")</f>
        <v>Rakib Vai</v>
      </c>
      <c r="D1171" s="92" t="str">
        <f ca="1">IFERROR(__xludf.DUMMYFUNCTION("""COMPUTED_VALUE"""),"Md. Azizul Hakim (S223035)")</f>
        <v>Md. Azizul Hakim (S223035)</v>
      </c>
      <c r="E1171" s="93" t="str">
        <f ca="1">IFERROR(__xludf.DUMMYFUNCTION("""COMPUTED_VALUE"""),"CB24436_May26")</f>
        <v>CB24436_May26</v>
      </c>
      <c r="F1171" s="94" t="str">
        <f ca="1">IFERROR(__xludf.DUMMYFUNCTION("""COMPUTED_VALUE"""),"Carton Design")</f>
        <v>Carton Design</v>
      </c>
      <c r="G1171" s="95" t="str">
        <f ca="1">IFERROR(__xludf.DUMMYFUNCTION("""COMPUTED_VALUE"""),"New")</f>
        <v>New</v>
      </c>
      <c r="H1171" s="96">
        <f ca="1">IFERROR(__xludf.DUMMYFUNCTION("""COMPUTED_VALUE"""),4)</f>
        <v>4</v>
      </c>
      <c r="I1171" s="97">
        <f ca="1">IFERROR(__xludf.DUMMYFUNCTION("""COMPUTED_VALUE"""),46163)</f>
        <v>46163</v>
      </c>
      <c r="J1171" s="98" t="str">
        <f ca="1">IFERROR(__xludf.DUMMYFUNCTION("""COMPUTED_VALUE"""),"CW34325_May26")</f>
        <v>CW34325_May26</v>
      </c>
      <c r="K1171" s="99" t="str">
        <f ca="1">IFERROR(__xludf.DUMMYFUNCTION("""COMPUTED_VALUE"""),"HoM Approved")</f>
        <v>HoM Approved</v>
      </c>
    </row>
    <row r="1172" spans="1:11" ht="13.2">
      <c r="A1172" s="89" t="str">
        <f ca="1">IFERROR(__xludf.DUMMYFUNCTION("""COMPUTED_VALUE"""),"PRAN Ball Gum")</f>
        <v>PRAN Ball Gum</v>
      </c>
      <c r="B1172" s="90" t="str">
        <f ca="1">IFERROR(__xludf.DUMMYFUNCTION("""COMPUTED_VALUE"""),"PCL")</f>
        <v>PCL</v>
      </c>
      <c r="C1172" s="91" t="str">
        <f ca="1">IFERROR(__xludf.DUMMYFUNCTION("""COMPUTED_VALUE"""),"Rakib Vai")</f>
        <v>Rakib Vai</v>
      </c>
      <c r="D1172" s="92" t="str">
        <f ca="1">IFERROR(__xludf.DUMMYFUNCTION("""COMPUTED_VALUE"""),"Md. Azizul Hakim (S223035)")</f>
        <v>Md. Azizul Hakim (S223035)</v>
      </c>
      <c r="E1172" s="93" t="str">
        <f ca="1">IFERROR(__xludf.DUMMYFUNCTION("""COMPUTED_VALUE"""),"CB24438_May26")</f>
        <v>CB24438_May26</v>
      </c>
      <c r="F1172" s="94" t="str">
        <f ca="1">IFERROR(__xludf.DUMMYFUNCTION("""COMPUTED_VALUE"""),"Carton Design")</f>
        <v>Carton Design</v>
      </c>
      <c r="G1172" s="95" t="str">
        <f ca="1">IFERROR(__xludf.DUMMYFUNCTION("""COMPUTED_VALUE"""),"New")</f>
        <v>New</v>
      </c>
      <c r="H1172" s="96">
        <f ca="1">IFERROR(__xludf.DUMMYFUNCTION("""COMPUTED_VALUE"""),4)</f>
        <v>4</v>
      </c>
      <c r="I1172" s="97">
        <f ca="1">IFERROR(__xludf.DUMMYFUNCTION("""COMPUTED_VALUE"""),46163)</f>
        <v>46163</v>
      </c>
      <c r="J1172" s="98" t="str">
        <f ca="1">IFERROR(__xludf.DUMMYFUNCTION("""COMPUTED_VALUE"""),"CW34327_May26")</f>
        <v>CW34327_May26</v>
      </c>
      <c r="K1172" s="99" t="str">
        <f ca="1">IFERROR(__xludf.DUMMYFUNCTION("""COMPUTED_VALUE"""),"HoM Approved")</f>
        <v>HoM Approved</v>
      </c>
    </row>
    <row r="1173" spans="1:11" ht="13.2">
      <c r="A1173" s="89" t="str">
        <f ca="1">IFERROR(__xludf.DUMMYFUNCTION("""COMPUTED_VALUE"""),"Kandyman")</f>
        <v>Kandyman</v>
      </c>
      <c r="B1173" s="90" t="str">
        <f ca="1">IFERROR(__xludf.DUMMYFUNCTION("""COMPUTED_VALUE"""),"PCL")</f>
        <v>PCL</v>
      </c>
      <c r="C1173" s="91" t="str">
        <f ca="1">IFERROR(__xludf.DUMMYFUNCTION("""COMPUTED_VALUE"""),"Rakib Vai")</f>
        <v>Rakib Vai</v>
      </c>
      <c r="D1173" s="92" t="str">
        <f ca="1">IFERROR(__xludf.DUMMYFUNCTION("""COMPUTED_VALUE"""),"Md. Azizul Hakim (S223035)")</f>
        <v>Md. Azizul Hakim (S223035)</v>
      </c>
      <c r="E1173" s="93" t="str">
        <f ca="1">IFERROR(__xludf.DUMMYFUNCTION("""COMPUTED_VALUE"""),"CB22746_Apr26")</f>
        <v>CB22746_Apr26</v>
      </c>
      <c r="F1173" s="94" t="str">
        <f ca="1">IFERROR(__xludf.DUMMYFUNCTION("""COMPUTED_VALUE"""),"Carton Design")</f>
        <v>Carton Design</v>
      </c>
      <c r="G1173" s="95" t="str">
        <f ca="1">IFERROR(__xludf.DUMMYFUNCTION("""COMPUTED_VALUE"""),"New")</f>
        <v>New</v>
      </c>
      <c r="H1173" s="96">
        <f ca="1">IFERROR(__xludf.DUMMYFUNCTION("""COMPUTED_VALUE"""),4)</f>
        <v>4</v>
      </c>
      <c r="I1173" s="97">
        <f ca="1">IFERROR(__xludf.DUMMYFUNCTION("""COMPUTED_VALUE"""),46163)</f>
        <v>46163</v>
      </c>
      <c r="J1173" s="98" t="str">
        <f ca="1">IFERROR(__xludf.DUMMYFUNCTION("""COMPUTED_VALUE"""),"CW34329_May26")</f>
        <v>CW34329_May26</v>
      </c>
      <c r="K1173" s="99" t="str">
        <f ca="1">IFERROR(__xludf.DUMMYFUNCTION("""COMPUTED_VALUE"""),"HoM Approved")</f>
        <v>HoM Approved</v>
      </c>
    </row>
    <row r="1174" spans="1:11" ht="13.2">
      <c r="A1174" s="89" t="str">
        <f ca="1">IFERROR(__xludf.DUMMYFUNCTION("""COMPUTED_VALUE"""),"Bro Crispy Candy")</f>
        <v>Bro Crispy Candy</v>
      </c>
      <c r="B1174" s="90" t="str">
        <f ca="1">IFERROR(__xludf.DUMMYFUNCTION("""COMPUTED_VALUE"""),"PCL")</f>
        <v>PCL</v>
      </c>
      <c r="C1174" s="91" t="str">
        <f ca="1">IFERROR(__xludf.DUMMYFUNCTION("""COMPUTED_VALUE"""),"Rakib Vai")</f>
        <v>Rakib Vai</v>
      </c>
      <c r="D1174" s="92" t="str">
        <f ca="1">IFERROR(__xludf.DUMMYFUNCTION("""COMPUTED_VALUE"""),"Md. Azizul Hakim (S223035)")</f>
        <v>Md. Azizul Hakim (S223035)</v>
      </c>
      <c r="E1174" s="93" t="str">
        <f ca="1">IFERROR(__xludf.DUMMYFUNCTION("""COMPUTED_VALUE"""),"CB24436_May26")</f>
        <v>CB24436_May26</v>
      </c>
      <c r="F1174" s="94" t="str">
        <f ca="1">IFERROR(__xludf.DUMMYFUNCTION("""COMPUTED_VALUE"""),"Flyer/Brochure/Banner Output")</f>
        <v>Flyer/Brochure/Banner Output</v>
      </c>
      <c r="G1174" s="95" t="str">
        <f ca="1">IFERROR(__xludf.DUMMYFUNCTION("""COMPUTED_VALUE"""),"New")</f>
        <v>New</v>
      </c>
      <c r="H1174" s="96">
        <f ca="1">IFERROR(__xludf.DUMMYFUNCTION("""COMPUTED_VALUE"""),1)</f>
        <v>1</v>
      </c>
      <c r="I1174" s="97">
        <f ca="1">IFERROR(__xludf.DUMMYFUNCTION("""COMPUTED_VALUE"""),46163)</f>
        <v>46163</v>
      </c>
      <c r="J1174" s="98" t="str">
        <f ca="1">IFERROR(__xludf.DUMMYFUNCTION("""COMPUTED_VALUE"""),"CW34325_May26")</f>
        <v>CW34325_May26</v>
      </c>
      <c r="K1174" s="99" t="str">
        <f ca="1">IFERROR(__xludf.DUMMYFUNCTION("""COMPUTED_VALUE"""),"HoM Approved")</f>
        <v>HoM Approved</v>
      </c>
    </row>
    <row r="1175" spans="1:11" ht="13.2">
      <c r="A1175" s="89" t="str">
        <f ca="1">IFERROR(__xludf.DUMMYFUNCTION("""COMPUTED_VALUE"""),"Bro Crispy Candy")</f>
        <v>Bro Crispy Candy</v>
      </c>
      <c r="B1175" s="90" t="str">
        <f ca="1">IFERROR(__xludf.DUMMYFUNCTION("""COMPUTED_VALUE"""),"PCL")</f>
        <v>PCL</v>
      </c>
      <c r="C1175" s="91" t="str">
        <f ca="1">IFERROR(__xludf.DUMMYFUNCTION("""COMPUTED_VALUE"""),"Rakib Vai")</f>
        <v>Rakib Vai</v>
      </c>
      <c r="D1175" s="92" t="str">
        <f ca="1">IFERROR(__xludf.DUMMYFUNCTION("""COMPUTED_VALUE"""),"Md. Azizul Hakim (S223035)")</f>
        <v>Md. Azizul Hakim (S223035)</v>
      </c>
      <c r="E1175" s="93" t="str">
        <f ca="1">IFERROR(__xludf.DUMMYFUNCTION("""COMPUTED_VALUE"""),"CB24436_May26")</f>
        <v>CB24436_May26</v>
      </c>
      <c r="F1175" s="94" t="str">
        <f ca="1">IFERROR(__xludf.DUMMYFUNCTION("""COMPUTED_VALUE"""),"Leaflet/Poster Output")</f>
        <v>Leaflet/Poster Output</v>
      </c>
      <c r="G1175" s="95" t="str">
        <f ca="1">IFERROR(__xludf.DUMMYFUNCTION("""COMPUTED_VALUE"""),"New")</f>
        <v>New</v>
      </c>
      <c r="H1175" s="96">
        <f ca="1">IFERROR(__xludf.DUMMYFUNCTION("""COMPUTED_VALUE"""),1)</f>
        <v>1</v>
      </c>
      <c r="I1175" s="97">
        <f ca="1">IFERROR(__xludf.DUMMYFUNCTION("""COMPUTED_VALUE"""),46163)</f>
        <v>46163</v>
      </c>
      <c r="J1175" s="98" t="str">
        <f ca="1">IFERROR(__xludf.DUMMYFUNCTION("""COMPUTED_VALUE"""),"CW34325_May26")</f>
        <v>CW34325_May26</v>
      </c>
      <c r="K1175" s="99" t="str">
        <f ca="1">IFERROR(__xludf.DUMMYFUNCTION("""COMPUTED_VALUE"""),"HoM Approved")</f>
        <v>HoM Approved</v>
      </c>
    </row>
    <row r="1176" spans="1:11" ht="13.2">
      <c r="A1176" s="89" t="str">
        <f ca="1">IFERROR(__xludf.DUMMYFUNCTION("""COMPUTED_VALUE"""),"PRAN Ball Gum")</f>
        <v>PRAN Ball Gum</v>
      </c>
      <c r="B1176" s="90" t="str">
        <f ca="1">IFERROR(__xludf.DUMMYFUNCTION("""COMPUTED_VALUE"""),"PCL")</f>
        <v>PCL</v>
      </c>
      <c r="C1176" s="91" t="str">
        <f ca="1">IFERROR(__xludf.DUMMYFUNCTION("""COMPUTED_VALUE"""),"Rakib Vai")</f>
        <v>Rakib Vai</v>
      </c>
      <c r="D1176" s="92" t="str">
        <f ca="1">IFERROR(__xludf.DUMMYFUNCTION("""COMPUTED_VALUE"""),"Md. Azizul Hakim (S223035)")</f>
        <v>Md. Azizul Hakim (S223035)</v>
      </c>
      <c r="E1176" s="93" t="str">
        <f ca="1">IFERROR(__xludf.DUMMYFUNCTION("""COMPUTED_VALUE"""),"CB24438_May26")</f>
        <v>CB24438_May26</v>
      </c>
      <c r="F1176" s="94" t="str">
        <f ca="1">IFERROR(__xludf.DUMMYFUNCTION("""COMPUTED_VALUE"""),"Leaflet/Poster Output")</f>
        <v>Leaflet/Poster Output</v>
      </c>
      <c r="G1176" s="95" t="str">
        <f ca="1">IFERROR(__xludf.DUMMYFUNCTION("""COMPUTED_VALUE"""),"New")</f>
        <v>New</v>
      </c>
      <c r="H1176" s="96">
        <f ca="1">IFERROR(__xludf.DUMMYFUNCTION("""COMPUTED_VALUE"""),1)</f>
        <v>1</v>
      </c>
      <c r="I1176" s="97">
        <f ca="1">IFERROR(__xludf.DUMMYFUNCTION("""COMPUTED_VALUE"""),46163)</f>
        <v>46163</v>
      </c>
      <c r="J1176" s="98" t="str">
        <f ca="1">IFERROR(__xludf.DUMMYFUNCTION("""COMPUTED_VALUE"""),"CW34327_May26")</f>
        <v>CW34327_May26</v>
      </c>
      <c r="K1176" s="99" t="str">
        <f ca="1">IFERROR(__xludf.DUMMYFUNCTION("""COMPUTED_VALUE"""),"HoM Approved")</f>
        <v>HoM Approved</v>
      </c>
    </row>
    <row r="1177" spans="1:11" ht="13.2">
      <c r="A1177" s="89" t="str">
        <f ca="1">IFERROR(__xludf.DUMMYFUNCTION("""COMPUTED_VALUE"""),"Pran Choice Sweet &amp; Salty Biscuits")</f>
        <v>Pran Choice Sweet &amp; Salty Biscuits</v>
      </c>
      <c r="B1177" s="90" t="str">
        <f ca="1">IFERROR(__xludf.DUMMYFUNCTION("""COMPUTED_VALUE"""),"BBL")</f>
        <v>BBL</v>
      </c>
      <c r="C1177" s="91" t="str">
        <f ca="1">IFERROR(__xludf.DUMMYFUNCTION("""COMPUTED_VALUE"""),"Sharika Apu")</f>
        <v>Sharika Apu</v>
      </c>
      <c r="D1177" s="92" t="str">
        <f ca="1">IFERROR(__xludf.DUMMYFUNCTION("""COMPUTED_VALUE"""),"Md. Azizul Hakim (S223035)")</f>
        <v>Md. Azizul Hakim (S223035)</v>
      </c>
      <c r="E1177" s="93" t="str">
        <f ca="1">IFERROR(__xludf.DUMMYFUNCTION("""COMPUTED_VALUE"""),"CB23854_May26")</f>
        <v>CB23854_May26</v>
      </c>
      <c r="F1177" s="94" t="str">
        <f ca="1">IFERROR(__xludf.DUMMYFUNCTION("""COMPUTED_VALUE"""),"Text Sticker Design #1")</f>
        <v>Text Sticker Design #1</v>
      </c>
      <c r="G1177" s="95" t="str">
        <f ca="1">IFERROR(__xludf.DUMMYFUNCTION("""COMPUTED_VALUE"""),"New")</f>
        <v>New</v>
      </c>
      <c r="H1177" s="96">
        <f ca="1">IFERROR(__xludf.DUMMYFUNCTION("""COMPUTED_VALUE"""),7)</f>
        <v>7</v>
      </c>
      <c r="I1177" s="97">
        <f ca="1">IFERROR(__xludf.DUMMYFUNCTION("""COMPUTED_VALUE"""),46163)</f>
        <v>46163</v>
      </c>
      <c r="J1177" s="98" t="str">
        <f ca="1">IFERROR(__xludf.DUMMYFUNCTION("""COMPUTED_VALUE"""),"CW34333_May26")</f>
        <v>CW34333_May26</v>
      </c>
      <c r="K1177" s="99" t="str">
        <f ca="1">IFERROR(__xludf.DUMMYFUNCTION("""COMPUTED_VALUE"""),"HoM Approved")</f>
        <v>HoM Approved</v>
      </c>
    </row>
    <row r="1178" spans="1:11" ht="13.2">
      <c r="A1178" s="89" t="str">
        <f ca="1">IFERROR(__xludf.DUMMYFUNCTION("""COMPUTED_VALUE"""),"PRAN Coffee Candy")</f>
        <v>PRAN Coffee Candy</v>
      </c>
      <c r="B1178" s="90" t="str">
        <f ca="1">IFERROR(__xludf.DUMMYFUNCTION("""COMPUTED_VALUE"""),"PCL")</f>
        <v>PCL</v>
      </c>
      <c r="C1178" s="91" t="str">
        <f ca="1">IFERROR(__xludf.DUMMYFUNCTION("""COMPUTED_VALUE"""),"Zahirul Vai")</f>
        <v>Zahirul Vai</v>
      </c>
      <c r="D1178" s="92" t="str">
        <f ca="1">IFERROR(__xludf.DUMMYFUNCTION("""COMPUTED_VALUE"""),"Md. Azizul Hakim (S223035)")</f>
        <v>Md. Azizul Hakim (S223035)</v>
      </c>
      <c r="E1178" s="93" t="str">
        <f ca="1">IFERROR(__xludf.DUMMYFUNCTION("""COMPUTED_VALUE"""),"CB20548_Mar26")</f>
        <v>CB20548_Mar26</v>
      </c>
      <c r="F1178" s="94" t="str">
        <f ca="1">IFERROR(__xludf.DUMMYFUNCTION("""COMPUTED_VALUE"""),"Leaflet/Poster Output")</f>
        <v>Leaflet/Poster Output</v>
      </c>
      <c r="G1178" s="95" t="str">
        <f ca="1">IFERROR(__xludf.DUMMYFUNCTION("""COMPUTED_VALUE"""),"New")</f>
        <v>New</v>
      </c>
      <c r="H1178" s="96">
        <f ca="1">IFERROR(__xludf.DUMMYFUNCTION("""COMPUTED_VALUE"""),2)</f>
        <v>2</v>
      </c>
      <c r="I1178" s="97">
        <f ca="1">IFERROR(__xludf.DUMMYFUNCTION("""COMPUTED_VALUE"""),46163)</f>
        <v>46163</v>
      </c>
      <c r="J1178" s="98" t="str">
        <f ca="1">IFERROR(__xludf.DUMMYFUNCTION("""COMPUTED_VALUE"""),"CW34330_May26")</f>
        <v>CW34330_May26</v>
      </c>
      <c r="K1178" s="99" t="str">
        <f ca="1">IFERROR(__xludf.DUMMYFUNCTION("""COMPUTED_VALUE"""),"HoM Approved")</f>
        <v>HoM Approved</v>
      </c>
    </row>
    <row r="1179" spans="1:11" ht="13.2">
      <c r="A1179" s="89" t="str">
        <f ca="1">IFERROR(__xludf.DUMMYFUNCTION("""COMPUTED_VALUE"""),"PRAN Pudding")</f>
        <v>PRAN Pudding</v>
      </c>
      <c r="B1179" s="90" t="str">
        <f ca="1">IFERROR(__xludf.DUMMYFUNCTION("""COMPUTED_VALUE"""),"PAL")</f>
        <v>PAL</v>
      </c>
      <c r="C1179" s="91" t="str">
        <f ca="1">IFERROR(__xludf.DUMMYFUNCTION("""COMPUTED_VALUE"""),"Mona Apu")</f>
        <v>Mona Apu</v>
      </c>
      <c r="D1179" s="92" t="str">
        <f ca="1">IFERROR(__xludf.DUMMYFUNCTION("""COMPUTED_VALUE"""),"Md. Azizul Hakim (S223035)")</f>
        <v>Md. Azizul Hakim (S223035)</v>
      </c>
      <c r="E1179" s="93" t="str">
        <f ca="1">IFERROR(__xludf.DUMMYFUNCTION("""COMPUTED_VALUE"""),"CB21931_Apr26")</f>
        <v>CB21931_Apr26</v>
      </c>
      <c r="F1179" s="94" t="str">
        <f ca="1">IFERROR(__xludf.DUMMYFUNCTION("""COMPUTED_VALUE"""),"Packaging Text Design #1")</f>
        <v>Packaging Text Design #1</v>
      </c>
      <c r="G1179" s="95" t="str">
        <f ca="1">IFERROR(__xludf.DUMMYFUNCTION("""COMPUTED_VALUE"""),"New")</f>
        <v>New</v>
      </c>
      <c r="H1179" s="96">
        <f ca="1">IFERROR(__xludf.DUMMYFUNCTION("""COMPUTED_VALUE"""),1)</f>
        <v>1</v>
      </c>
      <c r="I1179" s="97">
        <f ca="1">IFERROR(__xludf.DUMMYFUNCTION("""COMPUTED_VALUE"""),46164)</f>
        <v>46164</v>
      </c>
      <c r="J1179" s="98" t="str">
        <f ca="1">IFERROR(__xludf.DUMMYFUNCTION("""COMPUTED_VALUE"""),"CW34487_May26")</f>
        <v>CW34487_May26</v>
      </c>
      <c r="K1179" s="99" t="str">
        <f ca="1">IFERROR(__xludf.DUMMYFUNCTION("""COMPUTED_VALUE"""),"HoM Approved")</f>
        <v>HoM Approved</v>
      </c>
    </row>
    <row r="1180" spans="1:11" ht="13.2">
      <c r="A1180" s="89" t="str">
        <f ca="1">IFERROR(__xludf.DUMMYFUNCTION("""COMPUTED_VALUE"""),"PRAN Pudding")</f>
        <v>PRAN Pudding</v>
      </c>
      <c r="B1180" s="90" t="str">
        <f ca="1">IFERROR(__xludf.DUMMYFUNCTION("""COMPUTED_VALUE"""),"PAL")</f>
        <v>PAL</v>
      </c>
      <c r="C1180" s="91" t="str">
        <f ca="1">IFERROR(__xludf.DUMMYFUNCTION("""COMPUTED_VALUE"""),"Mona Apu")</f>
        <v>Mona Apu</v>
      </c>
      <c r="D1180" s="92" t="str">
        <f ca="1">IFERROR(__xludf.DUMMYFUNCTION("""COMPUTED_VALUE"""),"Md. Azizul Hakim (S223035)")</f>
        <v>Md. Azizul Hakim (S223035)</v>
      </c>
      <c r="E1180" s="93" t="str">
        <f ca="1">IFERROR(__xludf.DUMMYFUNCTION("""COMPUTED_VALUE"""),"CB21931_Apr26")</f>
        <v>CB21931_Apr26</v>
      </c>
      <c r="F1180" s="94" t="str">
        <f ca="1">IFERROR(__xludf.DUMMYFUNCTION("""COMPUTED_VALUE"""),"Packaging Text Design #2")</f>
        <v>Packaging Text Design #2</v>
      </c>
      <c r="G1180" s="95" t="str">
        <f ca="1">IFERROR(__xludf.DUMMYFUNCTION("""COMPUTED_VALUE"""),"New")</f>
        <v>New</v>
      </c>
      <c r="H1180" s="96">
        <f ca="1">IFERROR(__xludf.DUMMYFUNCTION("""COMPUTED_VALUE"""),1)</f>
        <v>1</v>
      </c>
      <c r="I1180" s="97">
        <f ca="1">IFERROR(__xludf.DUMMYFUNCTION("""COMPUTED_VALUE"""),46164)</f>
        <v>46164</v>
      </c>
      <c r="J1180" s="98" t="str">
        <f ca="1">IFERROR(__xludf.DUMMYFUNCTION("""COMPUTED_VALUE"""),"CW34487_May26")</f>
        <v>CW34487_May26</v>
      </c>
      <c r="K1180" s="99" t="str">
        <f ca="1">IFERROR(__xludf.DUMMYFUNCTION("""COMPUTED_VALUE"""),"HoM Approved")</f>
        <v>HoM Approved</v>
      </c>
    </row>
    <row r="1181" spans="1:11" ht="13.2">
      <c r="A1181" s="89" t="str">
        <f ca="1">IFERROR(__xludf.DUMMYFUNCTION("""COMPUTED_VALUE"""),"Pran Lacchi")</f>
        <v>Pran Lacchi</v>
      </c>
      <c r="B1181" s="90" t="str">
        <f ca="1">IFERROR(__xludf.DUMMYFUNCTION("""COMPUTED_VALUE"""),"PBL")</f>
        <v>PBL</v>
      </c>
      <c r="C1181" s="91" t="str">
        <f ca="1">IFERROR(__xludf.DUMMYFUNCTION("""COMPUTED_VALUE"""),"Sadman Vaiya")</f>
        <v>Sadman Vaiya</v>
      </c>
      <c r="D1181" s="92" t="str">
        <f ca="1">IFERROR(__xludf.DUMMYFUNCTION("""COMPUTED_VALUE"""),"Md. Azizul Hakim (S223035)")</f>
        <v>Md. Azizul Hakim (S223035)</v>
      </c>
      <c r="E1181" s="93" t="str">
        <f ca="1">IFERROR(__xludf.DUMMYFUNCTION("""COMPUTED_VALUE"""),"CB22956_Apr26")</f>
        <v>CB22956_Apr26</v>
      </c>
      <c r="F1181" s="94" t="str">
        <f ca="1">IFERROR(__xludf.DUMMYFUNCTION("""COMPUTED_VALUE"""),"Flyer/Brochure/Banner Output")</f>
        <v>Flyer/Brochure/Banner Output</v>
      </c>
      <c r="G1181" s="95" t="str">
        <f ca="1">IFERROR(__xludf.DUMMYFUNCTION("""COMPUTED_VALUE"""),"New")</f>
        <v>New</v>
      </c>
      <c r="H1181" s="96">
        <f ca="1">IFERROR(__xludf.DUMMYFUNCTION("""COMPUTED_VALUE"""),1)</f>
        <v>1</v>
      </c>
      <c r="I1181" s="97">
        <f ca="1">IFERROR(__xludf.DUMMYFUNCTION("""COMPUTED_VALUE"""),46164)</f>
        <v>46164</v>
      </c>
      <c r="J1181" s="98" t="str">
        <f ca="1">IFERROR(__xludf.DUMMYFUNCTION("""COMPUTED_VALUE"""),"CW34506_May26")</f>
        <v>CW34506_May26</v>
      </c>
      <c r="K1181" s="99" t="str">
        <f ca="1">IFERROR(__xludf.DUMMYFUNCTION("""COMPUTED_VALUE"""),"HoM Approved")</f>
        <v>HoM Approved</v>
      </c>
    </row>
    <row r="1182" spans="1:11" ht="13.2">
      <c r="A1182" s="89" t="str">
        <f ca="1">IFERROR(__xludf.DUMMYFUNCTION("""COMPUTED_VALUE"""),"Vision LED TV")</f>
        <v>Vision LED TV</v>
      </c>
      <c r="B1182" s="90" t="str">
        <f ca="1">IFERROR(__xludf.DUMMYFUNCTION("""COMPUTED_VALUE"""),"REL")</f>
        <v>REL</v>
      </c>
      <c r="C1182" s="91" t="str">
        <f ca="1">IFERROR(__xludf.DUMMYFUNCTION("""COMPUTED_VALUE"""),"Farhan Vai")</f>
        <v>Farhan Vai</v>
      </c>
      <c r="D1182" s="92" t="str">
        <f ca="1">IFERROR(__xludf.DUMMYFUNCTION("""COMPUTED_VALUE"""),"Md. Azizul Hakim (S223035)")</f>
        <v>Md. Azizul Hakim (S223035)</v>
      </c>
      <c r="E1182" s="93" t="str">
        <f ca="1">IFERROR(__xludf.DUMMYFUNCTION("""COMPUTED_VALUE"""),"CB23801_May26")</f>
        <v>CB23801_May26</v>
      </c>
      <c r="F1182" s="94" t="str">
        <f ca="1">IFERROR(__xludf.DUMMYFUNCTION("""COMPUTED_VALUE"""),"Leaflet/Poster Output")</f>
        <v>Leaflet/Poster Output</v>
      </c>
      <c r="G1182" s="95" t="str">
        <f ca="1">IFERROR(__xludf.DUMMYFUNCTION("""COMPUTED_VALUE"""),"New")</f>
        <v>New</v>
      </c>
      <c r="H1182" s="96">
        <f ca="1">IFERROR(__xludf.DUMMYFUNCTION("""COMPUTED_VALUE"""),1)</f>
        <v>1</v>
      </c>
      <c r="I1182" s="97">
        <f ca="1">IFERROR(__xludf.DUMMYFUNCTION("""COMPUTED_VALUE"""),46166)</f>
        <v>46166</v>
      </c>
      <c r="J1182" s="98" t="str">
        <f ca="1">IFERROR(__xludf.DUMMYFUNCTION("""COMPUTED_VALUE"""),"CW34930_May26")</f>
        <v>CW34930_May26</v>
      </c>
      <c r="K1182" s="99" t="str">
        <f ca="1">IFERROR(__xludf.DUMMYFUNCTION("""COMPUTED_VALUE"""),"HoM Approved")</f>
        <v>HoM Approved</v>
      </c>
    </row>
    <row r="1183" spans="1:11" ht="13.2">
      <c r="A1183" s="89" t="str">
        <f ca="1">IFERROR(__xludf.DUMMYFUNCTION("""COMPUTED_VALUE"""),"Jim &amp; Jolly Toys")</f>
        <v>Jim &amp; Jolly Toys</v>
      </c>
      <c r="B1183" s="90" t="str">
        <f ca="1">IFERROR(__xludf.DUMMYFUNCTION("""COMPUTED_VALUE"""),"DPL")</f>
        <v>DPL</v>
      </c>
      <c r="C1183" s="91" t="str">
        <f ca="1">IFERROR(__xludf.DUMMYFUNCTION("""COMPUTED_VALUE"""),"Sohan Vai")</f>
        <v>Sohan Vai</v>
      </c>
      <c r="D1183" s="92" t="str">
        <f ca="1">IFERROR(__xludf.DUMMYFUNCTION("""COMPUTED_VALUE"""),"Md. Azizul Hakim (S223035)")</f>
        <v>Md. Azizul Hakim (S223035)</v>
      </c>
      <c r="E1183" s="93" t="str">
        <f ca="1">IFERROR(__xludf.DUMMYFUNCTION("""COMPUTED_VALUE"""),"CB23655_May26")</f>
        <v>CB23655_May26</v>
      </c>
      <c r="F1183" s="94" t="str">
        <f ca="1">IFERROR(__xludf.DUMMYFUNCTION("""COMPUTED_VALUE"""),"Leaflet/Poster Output")</f>
        <v>Leaflet/Poster Output</v>
      </c>
      <c r="G1183" s="95" t="str">
        <f ca="1">IFERROR(__xludf.DUMMYFUNCTION("""COMPUTED_VALUE"""),"New")</f>
        <v>New</v>
      </c>
      <c r="H1183" s="96">
        <f ca="1">IFERROR(__xludf.DUMMYFUNCTION("""COMPUTED_VALUE"""),1)</f>
        <v>1</v>
      </c>
      <c r="I1183" s="97">
        <f ca="1">IFERROR(__xludf.DUMMYFUNCTION("""COMPUTED_VALUE"""),46166)</f>
        <v>46166</v>
      </c>
      <c r="J1183" s="98" t="str">
        <f ca="1">IFERROR(__xludf.DUMMYFUNCTION("""COMPUTED_VALUE"""),"CW35008_May26")</f>
        <v>CW35008_May26</v>
      </c>
      <c r="K1183" s="99" t="str">
        <f ca="1">IFERROR(__xludf.DUMMYFUNCTION("""COMPUTED_VALUE"""),"HoM Approved")</f>
        <v>HoM Approved</v>
      </c>
    </row>
    <row r="1184" spans="1:11" ht="13.2">
      <c r="A1184" s="89" t="str">
        <f ca="1">IFERROR(__xludf.DUMMYFUNCTION("""COMPUTED_VALUE"""),"HIP-ALL")</f>
        <v>HIP-ALL</v>
      </c>
      <c r="B1184" s="90" t="str">
        <f ca="1">IFERROR(__xludf.DUMMYFUNCTION("""COMPUTED_VALUE"""),"Philippines")</f>
        <v>Philippines</v>
      </c>
      <c r="C1184" s="91" t="str">
        <f ca="1">IFERROR(__xludf.DUMMYFUNCTION("""COMPUTED_VALUE"""),"Farjana Apu")</f>
        <v>Farjana Apu</v>
      </c>
      <c r="D1184" s="92" t="str">
        <f ca="1">IFERROR(__xludf.DUMMYFUNCTION("""COMPUTED_VALUE"""),"Md. Azizul Hakim (S223035)")</f>
        <v>Md. Azizul Hakim (S223035)</v>
      </c>
      <c r="E1184" s="93" t="str">
        <f ca="1">IFERROR(__xludf.DUMMYFUNCTION("""COMPUTED_VALUE"""),"CB24836_May26")</f>
        <v>CB24836_May26</v>
      </c>
      <c r="F1184" s="94" t="str">
        <f ca="1">IFERROR(__xludf.DUMMYFUNCTION("""COMPUTED_VALUE"""),"Packaging Text Design #1")</f>
        <v>Packaging Text Design #1</v>
      </c>
      <c r="G1184" s="95" t="str">
        <f ca="1">IFERROR(__xludf.DUMMYFUNCTION("""COMPUTED_VALUE"""),"New")</f>
        <v>New</v>
      </c>
      <c r="H1184" s="96">
        <f ca="1">IFERROR(__xludf.DUMMYFUNCTION("""COMPUTED_VALUE"""),3)</f>
        <v>3</v>
      </c>
      <c r="I1184" s="97">
        <f ca="1">IFERROR(__xludf.DUMMYFUNCTION("""COMPUTED_VALUE"""),46167)</f>
        <v>46167</v>
      </c>
      <c r="J1184" s="98" t="str">
        <f ca="1">IFERROR(__xludf.DUMMYFUNCTION("""COMPUTED_VALUE"""),"CW35091_May26")</f>
        <v>CW35091_May26</v>
      </c>
      <c r="K1184" s="99" t="str">
        <f ca="1">IFERROR(__xludf.DUMMYFUNCTION("""COMPUTED_VALUE"""),"HoM Approved")</f>
        <v>HoM Approved</v>
      </c>
    </row>
    <row r="1185" spans="1:11" ht="13.2">
      <c r="A1185" s="89" t="str">
        <f ca="1">IFERROR(__xludf.DUMMYFUNCTION("""COMPUTED_VALUE"""),"Tasty Treat Cafe")</f>
        <v>Tasty Treat Cafe</v>
      </c>
      <c r="B1185" s="90" t="str">
        <f ca="1">IFERROR(__xludf.DUMMYFUNCTION("""COMPUTED_VALUE"""),"Tasty Treat")</f>
        <v>Tasty Treat</v>
      </c>
      <c r="C1185" s="91" t="str">
        <f ca="1">IFERROR(__xludf.DUMMYFUNCTION("""COMPUTED_VALUE"""),"Nahian Vai")</f>
        <v>Nahian Vai</v>
      </c>
      <c r="D1185" s="92" t="str">
        <f ca="1">IFERROR(__xludf.DUMMYFUNCTION("""COMPUTED_VALUE"""),"Md. Azizul Hakim (S223035)")</f>
        <v>Md. Azizul Hakim (S223035)</v>
      </c>
      <c r="E1185" s="93" t="str">
        <f ca="1">IFERROR(__xludf.DUMMYFUNCTION("""COMPUTED_VALUE"""),"CB23940_May26")</f>
        <v>CB23940_May26</v>
      </c>
      <c r="F1185" s="94" t="str">
        <f ca="1">IFERROR(__xludf.DUMMYFUNCTION("""COMPUTED_VALUE"""),"ATC Box Output")</f>
        <v>ATC Box Output</v>
      </c>
      <c r="G1185" s="95" t="str">
        <f ca="1">IFERROR(__xludf.DUMMYFUNCTION("""COMPUTED_VALUE"""),"New")</f>
        <v>New</v>
      </c>
      <c r="H1185" s="96">
        <f ca="1">IFERROR(__xludf.DUMMYFUNCTION("""COMPUTED_VALUE"""),1)</f>
        <v>1</v>
      </c>
      <c r="I1185" s="97">
        <f ca="1">IFERROR(__xludf.DUMMYFUNCTION("""COMPUTED_VALUE"""),46167)</f>
        <v>46167</v>
      </c>
      <c r="J1185" s="98" t="str">
        <f ca="1">IFERROR(__xludf.DUMMYFUNCTION("""COMPUTED_VALUE"""),"CW35087_May26")</f>
        <v>CW35087_May26</v>
      </c>
      <c r="K1185" s="99" t="str">
        <f ca="1">IFERROR(__xludf.DUMMYFUNCTION("""COMPUTED_VALUE"""),"HoM Approved")</f>
        <v>HoM Approved</v>
      </c>
    </row>
    <row r="1186" spans="1:11" ht="13.2">
      <c r="A1186" s="89" t="str">
        <f ca="1">IFERROR(__xludf.DUMMYFUNCTION("""COMPUTED_VALUE"""),"Common - All PAL")</f>
        <v>Common - All PAL</v>
      </c>
      <c r="B1186" s="90" t="str">
        <f ca="1">IFERROR(__xludf.DUMMYFUNCTION("""COMPUTED_VALUE"""),"PAL")</f>
        <v>PAL</v>
      </c>
      <c r="C1186" s="91" t="str">
        <f ca="1">IFERROR(__xludf.DUMMYFUNCTION("""COMPUTED_VALUE"""),"Rabby Vai")</f>
        <v>Rabby Vai</v>
      </c>
      <c r="D1186" s="92" t="str">
        <f ca="1">IFERROR(__xludf.DUMMYFUNCTION("""COMPUTED_VALUE"""),"Md. Azizul Hakim (S223035)")</f>
        <v>Md. Azizul Hakim (S223035)</v>
      </c>
      <c r="E1186" s="93" t="str">
        <f ca="1">IFERROR(__xludf.DUMMYFUNCTION("""COMPUTED_VALUE"""),"CB23742_May26")</f>
        <v>CB23742_May26</v>
      </c>
      <c r="F1186" s="94" t="str">
        <f ca="1">IFERROR(__xludf.DUMMYFUNCTION("""COMPUTED_VALUE"""),"Document Text Correction")</f>
        <v>Document Text Correction</v>
      </c>
      <c r="G1186" s="95" t="str">
        <f ca="1">IFERROR(__xludf.DUMMYFUNCTION("""COMPUTED_VALUE"""),"New")</f>
        <v>New</v>
      </c>
      <c r="H1186" s="96">
        <f ca="1">IFERROR(__xludf.DUMMYFUNCTION("""COMPUTED_VALUE"""),3)</f>
        <v>3</v>
      </c>
      <c r="I1186" s="97">
        <f ca="1">IFERROR(__xludf.DUMMYFUNCTION("""COMPUTED_VALUE"""),46167)</f>
        <v>46167</v>
      </c>
      <c r="J1186" s="98" t="str">
        <f ca="1">IFERROR(__xludf.DUMMYFUNCTION("""COMPUTED_VALUE"""),"CW35107_May26")</f>
        <v>CW35107_May26</v>
      </c>
      <c r="K1186" s="99" t="str">
        <f ca="1">IFERROR(__xludf.DUMMYFUNCTION("""COMPUTED_VALUE"""),"HoM Approved")</f>
        <v>HoM Approved</v>
      </c>
    </row>
    <row r="1187" spans="1:11" ht="13.2">
      <c r="A1187" s="89" t="str">
        <f ca="1">IFERROR(__xludf.DUMMYFUNCTION("""COMPUTED_VALUE"""),"Jim &amp; Jolly Toys")</f>
        <v>Jim &amp; Jolly Toys</v>
      </c>
      <c r="B1187" s="90" t="str">
        <f ca="1">IFERROR(__xludf.DUMMYFUNCTION("""COMPUTED_VALUE"""),"DPL")</f>
        <v>DPL</v>
      </c>
      <c r="C1187" s="91" t="str">
        <f ca="1">IFERROR(__xludf.DUMMYFUNCTION("""COMPUTED_VALUE"""),"Sohan Vai")</f>
        <v>Sohan Vai</v>
      </c>
      <c r="D1187" s="92" t="str">
        <f ca="1">IFERROR(__xludf.DUMMYFUNCTION("""COMPUTED_VALUE"""),"Md. Azizul Hakim (S223035)")</f>
        <v>Md. Azizul Hakim (S223035)</v>
      </c>
      <c r="E1187" s="93" t="str">
        <f ca="1">IFERROR(__xludf.DUMMYFUNCTION("""COMPUTED_VALUE"""),"CB25095_May26")</f>
        <v>CB25095_May26</v>
      </c>
      <c r="F1187" s="94" t="str">
        <f ca="1">IFERROR(__xludf.DUMMYFUNCTION("""COMPUTED_VALUE"""),"Flyer/Brochure/Banner Output")</f>
        <v>Flyer/Brochure/Banner Output</v>
      </c>
      <c r="G1187" s="95" t="str">
        <f ca="1">IFERROR(__xludf.DUMMYFUNCTION("""COMPUTED_VALUE"""),"New")</f>
        <v>New</v>
      </c>
      <c r="H1187" s="96">
        <f ca="1">IFERROR(__xludf.DUMMYFUNCTION("""COMPUTED_VALUE"""),7)</f>
        <v>7</v>
      </c>
      <c r="I1187" s="97">
        <f ca="1">IFERROR(__xludf.DUMMYFUNCTION("""COMPUTED_VALUE"""),46167)</f>
        <v>46167</v>
      </c>
      <c r="J1187" s="98" t="str">
        <f ca="1">IFERROR(__xludf.DUMMYFUNCTION("""COMPUTED_VALUE"""),"CW35009_May26")</f>
        <v>CW35009_May26</v>
      </c>
      <c r="K1187" s="99" t="str">
        <f ca="1">IFERROR(__xludf.DUMMYFUNCTION("""COMPUTED_VALUE"""),"HoM Approved")</f>
        <v>HoM Approved</v>
      </c>
    </row>
    <row r="1188" spans="1:11" ht="13.2">
      <c r="A1188" s="89" t="str">
        <f ca="1">IFERROR(__xludf.DUMMYFUNCTION("""COMPUTED_VALUE"""),"Jim &amp; Jolly Toys")</f>
        <v>Jim &amp; Jolly Toys</v>
      </c>
      <c r="B1188" s="90" t="str">
        <f ca="1">IFERROR(__xludf.DUMMYFUNCTION("""COMPUTED_VALUE"""),"DPL")</f>
        <v>DPL</v>
      </c>
      <c r="C1188" s="91" t="str">
        <f ca="1">IFERROR(__xludf.DUMMYFUNCTION("""COMPUTED_VALUE"""),"Sohan Vai")</f>
        <v>Sohan Vai</v>
      </c>
      <c r="D1188" s="92" t="str">
        <f ca="1">IFERROR(__xludf.DUMMYFUNCTION("""COMPUTED_VALUE"""),"Md. Azizul Hakim (S223035)")</f>
        <v>Md. Azizul Hakim (S223035)</v>
      </c>
      <c r="E1188" s="93" t="str">
        <f ca="1">IFERROR(__xludf.DUMMYFUNCTION("""COMPUTED_VALUE"""),"CB25095_May26")</f>
        <v>CB25095_May26</v>
      </c>
      <c r="F1188" s="94" t="str">
        <f ca="1">IFERROR(__xludf.DUMMYFUNCTION("""COMPUTED_VALUE"""),"Leaflet/Poster Output")</f>
        <v>Leaflet/Poster Output</v>
      </c>
      <c r="G1188" s="95" t="str">
        <f ca="1">IFERROR(__xludf.DUMMYFUNCTION("""COMPUTED_VALUE"""),"New")</f>
        <v>New</v>
      </c>
      <c r="H1188" s="96">
        <f ca="1">IFERROR(__xludf.DUMMYFUNCTION("""COMPUTED_VALUE"""),1)</f>
        <v>1</v>
      </c>
      <c r="I1188" s="97">
        <f ca="1">IFERROR(__xludf.DUMMYFUNCTION("""COMPUTED_VALUE"""),46167)</f>
        <v>46167</v>
      </c>
      <c r="J1188" s="98" t="str">
        <f ca="1">IFERROR(__xludf.DUMMYFUNCTION("""COMPUTED_VALUE"""),"CW35009_May26")</f>
        <v>CW35009_May26</v>
      </c>
      <c r="K1188" s="99" t="str">
        <f ca="1">IFERROR(__xludf.DUMMYFUNCTION("""COMPUTED_VALUE"""),"HoM Approved")</f>
        <v>HoM Approved</v>
      </c>
    </row>
    <row r="1189" spans="1:11" ht="13.2">
      <c r="A1189" s="89" t="str">
        <f ca="1">IFERROR(__xludf.DUMMYFUNCTION("""COMPUTED_VALUE"""),"Ajina Clock")</f>
        <v>Ajina Clock</v>
      </c>
      <c r="B1189" s="90" t="str">
        <f ca="1">IFERROR(__xludf.DUMMYFUNCTION("""COMPUTED_VALUE"""),"DPL")</f>
        <v>DPL</v>
      </c>
      <c r="C1189" s="91" t="str">
        <f ca="1">IFERROR(__xludf.DUMMYFUNCTION("""COMPUTED_VALUE"""),"Fardin Vai")</f>
        <v>Fardin Vai</v>
      </c>
      <c r="D1189" s="92" t="str">
        <f ca="1">IFERROR(__xludf.DUMMYFUNCTION("""COMPUTED_VALUE"""),"Md. Azizul Hakim (S223035)")</f>
        <v>Md. Azizul Hakim (S223035)</v>
      </c>
      <c r="E1189" s="93" t="str">
        <f ca="1">IFERROR(__xludf.DUMMYFUNCTION("""COMPUTED_VALUE"""),"CB25027_May26")</f>
        <v>CB25027_May26</v>
      </c>
      <c r="F1189" s="94" t="str">
        <f ca="1">IFERROR(__xludf.DUMMYFUNCTION("""COMPUTED_VALUE"""),"Flyer/Brochure/Banner Output")</f>
        <v>Flyer/Brochure/Banner Output</v>
      </c>
      <c r="G1189" s="95" t="str">
        <f ca="1">IFERROR(__xludf.DUMMYFUNCTION("""COMPUTED_VALUE"""),"New")</f>
        <v>New</v>
      </c>
      <c r="H1189" s="96">
        <f ca="1">IFERROR(__xludf.DUMMYFUNCTION("""COMPUTED_VALUE"""),13)</f>
        <v>13</v>
      </c>
      <c r="I1189" s="97">
        <f ca="1">IFERROR(__xludf.DUMMYFUNCTION("""COMPUTED_VALUE"""),46174)</f>
        <v>46174</v>
      </c>
      <c r="J1189" s="98" t="str">
        <f ca="1">IFERROR(__xludf.DUMMYFUNCTION("""COMPUTED_VALUE"""),"CW35278_Jun26")</f>
        <v>CW35278_Jun26</v>
      </c>
      <c r="K1189" s="99" t="str">
        <f ca="1">IFERROR(__xludf.DUMMYFUNCTION("""COMPUTED_VALUE"""),"HoM Approved")</f>
        <v>HoM Approved</v>
      </c>
    </row>
    <row r="1190" spans="1:11" ht="13.2">
      <c r="A1190" s="89" t="str">
        <f ca="1">IFERROR(__xludf.DUMMYFUNCTION("""COMPUTED_VALUE"""),"HIP-ALL")</f>
        <v>HIP-ALL</v>
      </c>
      <c r="B1190" s="90" t="str">
        <f ca="1">IFERROR(__xludf.DUMMYFUNCTION("""COMPUTED_VALUE"""),"Philippines")</f>
        <v>Philippines</v>
      </c>
      <c r="C1190" s="91" t="str">
        <f ca="1">IFERROR(__xludf.DUMMYFUNCTION("""COMPUTED_VALUE"""),"Farjana Apu")</f>
        <v>Farjana Apu</v>
      </c>
      <c r="D1190" s="92" t="str">
        <f ca="1">IFERROR(__xludf.DUMMYFUNCTION("""COMPUTED_VALUE"""),"Md. Azizul Hakim (S223035)")</f>
        <v>Md. Azizul Hakim (S223035)</v>
      </c>
      <c r="E1190" s="93" t="str">
        <f ca="1">IFERROR(__xludf.DUMMYFUNCTION("""COMPUTED_VALUE"""),"CB35264_Jun26")</f>
        <v>CB35264_Jun26</v>
      </c>
      <c r="F1190" s="94" t="str">
        <f ca="1">IFERROR(__xludf.DUMMYFUNCTION("""COMPUTED_VALUE"""),"Packaging Text Design #1")</f>
        <v>Packaging Text Design #1</v>
      </c>
      <c r="G1190" s="95" t="str">
        <f ca="1">IFERROR(__xludf.DUMMYFUNCTION("""COMPUTED_VALUE"""),"New")</f>
        <v>New</v>
      </c>
      <c r="H1190" s="96">
        <f ca="1">IFERROR(__xludf.DUMMYFUNCTION("""COMPUTED_VALUE"""),1)</f>
        <v>1</v>
      </c>
      <c r="I1190" s="97">
        <f ca="1">IFERROR(__xludf.DUMMYFUNCTION("""COMPUTED_VALUE"""),46175)</f>
        <v>46175</v>
      </c>
      <c r="J1190" s="98" t="str">
        <f ca="1">IFERROR(__xludf.DUMMYFUNCTION("""COMPUTED_VALUE"""),"CW35352_Jun26")</f>
        <v>CW35352_Jun26</v>
      </c>
      <c r="K1190" s="99" t="str">
        <f ca="1">IFERROR(__xludf.DUMMYFUNCTION("""COMPUTED_VALUE"""),"HoM Approved")</f>
        <v>HoM Approved</v>
      </c>
    </row>
    <row r="1191" spans="1:11" ht="13.2">
      <c r="A1191" s="89" t="str">
        <f ca="1">IFERROR(__xludf.DUMMYFUNCTION("""COMPUTED_VALUE"""),"Common - All DPL")</f>
        <v>Common - All DPL</v>
      </c>
      <c r="B1191" s="90" t="str">
        <f ca="1">IFERROR(__xludf.DUMMYFUNCTION("""COMPUTED_VALUE"""),"DPL")</f>
        <v>DPL</v>
      </c>
      <c r="C1191" s="91" t="str">
        <f ca="1">IFERROR(__xludf.DUMMYFUNCTION("""COMPUTED_VALUE"""),"Fardin Vai")</f>
        <v>Fardin Vai</v>
      </c>
      <c r="D1191" s="92" t="str">
        <f ca="1">IFERROR(__xludf.DUMMYFUNCTION("""COMPUTED_VALUE"""),"Md. Azizul Hakim (S223035)")</f>
        <v>Md. Azizul Hakim (S223035)</v>
      </c>
      <c r="E1191" s="93" t="str">
        <f ca="1">IFERROR(__xludf.DUMMYFUNCTION("""COMPUTED_VALUE"""),"CB35293_Jun26")</f>
        <v>CB35293_Jun26</v>
      </c>
      <c r="F1191" s="94" t="str">
        <f ca="1">IFERROR(__xludf.DUMMYFUNCTION("""COMPUTED_VALUE"""),"ATC Box Output")</f>
        <v>ATC Box Output</v>
      </c>
      <c r="G1191" s="95" t="str">
        <f ca="1">IFERROR(__xludf.DUMMYFUNCTION("""COMPUTED_VALUE"""),"New")</f>
        <v>New</v>
      </c>
      <c r="H1191" s="96">
        <f ca="1">IFERROR(__xludf.DUMMYFUNCTION("""COMPUTED_VALUE"""),1)</f>
        <v>1</v>
      </c>
      <c r="I1191" s="97">
        <f ca="1">IFERROR(__xludf.DUMMYFUNCTION("""COMPUTED_VALUE"""),46176)</f>
        <v>46176</v>
      </c>
      <c r="J1191" s="98" t="str">
        <f ca="1">IFERROR(__xludf.DUMMYFUNCTION("""COMPUTED_VALUE"""),"CW35459_Jun26")</f>
        <v>CW35459_Jun26</v>
      </c>
      <c r="K1191" s="99" t="str">
        <f ca="1">IFERROR(__xludf.DUMMYFUNCTION("""COMPUTED_VALUE"""),"HoM Approved")</f>
        <v>HoM Approved</v>
      </c>
    </row>
    <row r="1192" spans="1:11" ht="13.2">
      <c r="A1192" s="89" t="str">
        <f ca="1">IFERROR(__xludf.DUMMYFUNCTION("""COMPUTED_VALUE"""),"Tasty Treat - Tasty Treat Cafe")</f>
        <v>Tasty Treat - Tasty Treat Cafe</v>
      </c>
      <c r="B1192" s="90" t="str">
        <f ca="1">IFERROR(__xludf.DUMMYFUNCTION("""COMPUTED_VALUE"""),"Tasty Treat")</f>
        <v>Tasty Treat</v>
      </c>
      <c r="C1192" s="91" t="str">
        <f ca="1">IFERROR(__xludf.DUMMYFUNCTION("""COMPUTED_VALUE"""),"Nahian Vai")</f>
        <v>Nahian Vai</v>
      </c>
      <c r="D1192" s="92" t="str">
        <f ca="1">IFERROR(__xludf.DUMMYFUNCTION("""COMPUTED_VALUE"""),"Md. Azizul Hakim (S223035)")</f>
        <v>Md. Azizul Hakim (S223035)</v>
      </c>
      <c r="E1192" s="93" t="str">
        <f ca="1">IFERROR(__xludf.DUMMYFUNCTION("""COMPUTED_VALUE"""),"CB23940_May26")</f>
        <v>CB23940_May26</v>
      </c>
      <c r="F1192" s="94" t="str">
        <f ca="1">IFERROR(__xludf.DUMMYFUNCTION("""COMPUTED_VALUE"""),"ATC Box Output")</f>
        <v>ATC Box Output</v>
      </c>
      <c r="G1192" s="95" t="str">
        <f ca="1">IFERROR(__xludf.DUMMYFUNCTION("""COMPUTED_VALUE"""),"Revision")</f>
        <v>Revision</v>
      </c>
      <c r="H1192" s="96">
        <f ca="1">IFERROR(__xludf.DUMMYFUNCTION("""COMPUTED_VALUE"""),1)</f>
        <v>1</v>
      </c>
      <c r="I1192" s="97">
        <f ca="1">IFERROR(__xludf.DUMMYFUNCTION("""COMPUTED_VALUE"""),46176)</f>
        <v>46176</v>
      </c>
      <c r="J1192" s="98" t="str">
        <f ca="1">IFERROR(__xludf.DUMMYFUNCTION("""COMPUTED_VALUE"""),"CW35440_Jun26")</f>
        <v>CW35440_Jun26</v>
      </c>
      <c r="K1192" s="99" t="str">
        <f ca="1">IFERROR(__xludf.DUMMYFUNCTION("""COMPUTED_VALUE"""),"HoM Approved")</f>
        <v>HoM Approved</v>
      </c>
    </row>
    <row r="1193" spans="1:11" ht="13.2">
      <c r="A1193" s="89" t="str">
        <f ca="1">IFERROR(__xludf.DUMMYFUNCTION("""COMPUTED_VALUE"""),"BBMT - Sticky Adhesive")</f>
        <v>BBMT - Sticky Adhesive</v>
      </c>
      <c r="B1193" s="90" t="str">
        <f ca="1">IFERROR(__xludf.DUMMYFUNCTION("""COMPUTED_VALUE"""),"BBMT")</f>
        <v>BBMT</v>
      </c>
      <c r="C1193" s="91" t="str">
        <f ca="1">IFERROR(__xludf.DUMMYFUNCTION("""COMPUTED_VALUE"""),"Shahir Vai")</f>
        <v>Shahir Vai</v>
      </c>
      <c r="D1193" s="92" t="str">
        <f ca="1">IFERROR(__xludf.DUMMYFUNCTION("""COMPUTED_VALUE"""),"Md. Azizul Hakim (S223035)")</f>
        <v>Md. Azizul Hakim (S223035)</v>
      </c>
      <c r="E1193" s="93" t="str">
        <f ca="1">IFERROR(__xludf.DUMMYFUNCTION("""COMPUTED_VALUE"""),"CB24503_May26")</f>
        <v>CB24503_May26</v>
      </c>
      <c r="F1193" s="94" t="str">
        <f ca="1">IFERROR(__xludf.DUMMYFUNCTION("""COMPUTED_VALUE"""),"Packaging Text Design #1")</f>
        <v>Packaging Text Design #1</v>
      </c>
      <c r="G1193" s="95" t="str">
        <f ca="1">IFERROR(__xludf.DUMMYFUNCTION("""COMPUTED_VALUE"""),"New")</f>
        <v>New</v>
      </c>
      <c r="H1193" s="96">
        <f ca="1">IFERROR(__xludf.DUMMYFUNCTION("""COMPUTED_VALUE"""),3)</f>
        <v>3</v>
      </c>
      <c r="I1193" s="97">
        <f ca="1">IFERROR(__xludf.DUMMYFUNCTION("""COMPUTED_VALUE"""),46179)</f>
        <v>46179</v>
      </c>
      <c r="J1193" s="98" t="str">
        <f ca="1">IFERROR(__xludf.DUMMYFUNCTION("""COMPUTED_VALUE"""),"CW35689_Jun26")</f>
        <v>CW35689_Jun26</v>
      </c>
      <c r="K1193" s="99" t="str">
        <f ca="1">IFERROR(__xludf.DUMMYFUNCTION("""COMPUTED_VALUE"""),"HoM Approved")</f>
        <v>HoM Approved</v>
      </c>
    </row>
    <row r="1194" spans="1:11" ht="13.2">
      <c r="A1194" s="89" t="str">
        <f ca="1">IFERROR(__xludf.DUMMYFUNCTION("""COMPUTED_VALUE"""),"PCL - Treat Chocolate")</f>
        <v>PCL - Treat Chocolate</v>
      </c>
      <c r="B1194" s="90" t="str">
        <f ca="1">IFERROR(__xludf.DUMMYFUNCTION("""COMPUTED_VALUE"""),"PCL")</f>
        <v>PCL</v>
      </c>
      <c r="C1194" s="91" t="str">
        <f ca="1">IFERROR(__xludf.DUMMYFUNCTION("""COMPUTED_VALUE"""),"Mona Apu")</f>
        <v>Mona Apu</v>
      </c>
      <c r="D1194" s="92" t="str">
        <f ca="1">IFERROR(__xludf.DUMMYFUNCTION("""COMPUTED_VALUE"""),"Md. Azizul Hakim (S223035)")</f>
        <v>Md. Azizul Hakim (S223035)</v>
      </c>
      <c r="E1194" s="93" t="str">
        <f ca="1">IFERROR(__xludf.DUMMYFUNCTION("""COMPUTED_VALUE"""),"CB35548_Jun26")</f>
        <v>CB35548_Jun26</v>
      </c>
      <c r="F1194" s="94" t="str">
        <f ca="1">IFERROR(__xludf.DUMMYFUNCTION("""COMPUTED_VALUE"""),"Packaging Text Design #2")</f>
        <v>Packaging Text Design #2</v>
      </c>
      <c r="G1194" s="95" t="str">
        <f ca="1">IFERROR(__xludf.DUMMYFUNCTION("""COMPUTED_VALUE"""),"New")</f>
        <v>New</v>
      </c>
      <c r="H1194" s="96">
        <f ca="1">IFERROR(__xludf.DUMMYFUNCTION("""COMPUTED_VALUE"""),9)</f>
        <v>9</v>
      </c>
      <c r="I1194" s="97">
        <f ca="1">IFERROR(__xludf.DUMMYFUNCTION("""COMPUTED_VALUE"""),46177)</f>
        <v>46177</v>
      </c>
      <c r="J1194" s="98" t="str">
        <f ca="1">IFERROR(__xludf.DUMMYFUNCTION("""COMPUTED_VALUE"""),"Unknown")</f>
        <v>Unknown</v>
      </c>
      <c r="K1194" s="99" t="str">
        <f ca="1">IFERROR(__xludf.DUMMYFUNCTION("""COMPUTED_VALUE"""),"In Review")</f>
        <v>In Review</v>
      </c>
    </row>
    <row r="1195" spans="1:11" ht="13.2">
      <c r="A1195" s="89" t="str">
        <f ca="1">IFERROR(__xludf.DUMMYFUNCTION("""COMPUTED_VALUE"""),"BBMT - Sticky Adhesive")</f>
        <v>BBMT - Sticky Adhesive</v>
      </c>
      <c r="B1195" s="90" t="str">
        <f ca="1">IFERROR(__xludf.DUMMYFUNCTION("""COMPUTED_VALUE"""),"BBMT")</f>
        <v>BBMT</v>
      </c>
      <c r="C1195" s="91" t="str">
        <f ca="1">IFERROR(__xludf.DUMMYFUNCTION("""COMPUTED_VALUE"""),"Shahir Vai")</f>
        <v>Shahir Vai</v>
      </c>
      <c r="D1195" s="92" t="str">
        <f ca="1">IFERROR(__xludf.DUMMYFUNCTION("""COMPUTED_VALUE"""),"Md. Azizul Hakim (S223035)")</f>
        <v>Md. Azizul Hakim (S223035)</v>
      </c>
      <c r="E1195" s="93" t="str">
        <f ca="1">IFERROR(__xludf.DUMMYFUNCTION("""COMPUTED_VALUE"""),"CB24503_May26")</f>
        <v>CB24503_May26</v>
      </c>
      <c r="F1195" s="94" t="str">
        <f ca="1">IFERROR(__xludf.DUMMYFUNCTION("""COMPUTED_VALUE"""),"Leaflet/Poster Output")</f>
        <v>Leaflet/Poster Output</v>
      </c>
      <c r="G1195" s="95" t="str">
        <f ca="1">IFERROR(__xludf.DUMMYFUNCTION("""COMPUTED_VALUE"""),"New")</f>
        <v>New</v>
      </c>
      <c r="H1195" s="96">
        <f ca="1">IFERROR(__xludf.DUMMYFUNCTION("""COMPUTED_VALUE"""),1)</f>
        <v>1</v>
      </c>
      <c r="I1195" s="97">
        <f ca="1">IFERROR(__xludf.DUMMYFUNCTION("""COMPUTED_VALUE"""),46179)</f>
        <v>46179</v>
      </c>
      <c r="J1195" s="98" t="str">
        <f ca="1">IFERROR(__xludf.DUMMYFUNCTION("""COMPUTED_VALUE"""),"CW35733_Jun26")</f>
        <v>CW35733_Jun26</v>
      </c>
      <c r="K1195" s="99" t="str">
        <f ca="1">IFERROR(__xludf.DUMMYFUNCTION("""COMPUTED_VALUE"""),"HoM Approved")</f>
        <v>HoM Approved</v>
      </c>
    </row>
    <row r="1196" spans="1:11" ht="13.2">
      <c r="A1196" s="89" t="str">
        <f ca="1">IFERROR(__xludf.DUMMYFUNCTION("""COMPUTED_VALUE"""),"REL - Vision Refrigerator")</f>
        <v>REL - Vision Refrigerator</v>
      </c>
      <c r="B1196" s="90" t="str">
        <f ca="1">IFERROR(__xludf.DUMMYFUNCTION("""COMPUTED_VALUE"""),"REL")</f>
        <v>REL</v>
      </c>
      <c r="C1196" s="91" t="str">
        <f ca="1">IFERROR(__xludf.DUMMYFUNCTION("""COMPUTED_VALUE"""),"Mujdalifa Apu")</f>
        <v>Mujdalifa Apu</v>
      </c>
      <c r="D1196" s="92" t="str">
        <f ca="1">IFERROR(__xludf.DUMMYFUNCTION("""COMPUTED_VALUE"""),"Md. Azizul Hakim (S223035)")</f>
        <v>Md. Azizul Hakim (S223035)</v>
      </c>
      <c r="E1196" s="93" t="str">
        <f ca="1">IFERROR(__xludf.DUMMYFUNCTION("""COMPUTED_VALUE"""),"CB25182_May26")</f>
        <v>CB25182_May26</v>
      </c>
      <c r="F1196" s="94" t="str">
        <f ca="1">IFERROR(__xludf.DUMMYFUNCTION("""COMPUTED_VALUE"""),"Leaflet/Poster Output")</f>
        <v>Leaflet/Poster Output</v>
      </c>
      <c r="G1196" s="95" t="str">
        <f ca="1">IFERROR(__xludf.DUMMYFUNCTION("""COMPUTED_VALUE"""),"New")</f>
        <v>New</v>
      </c>
      <c r="H1196" s="96">
        <f ca="1">IFERROR(__xludf.DUMMYFUNCTION("""COMPUTED_VALUE"""),1)</f>
        <v>1</v>
      </c>
      <c r="I1196" s="97">
        <f ca="1">IFERROR(__xludf.DUMMYFUNCTION("""COMPUTED_VALUE"""),46179)</f>
        <v>46179</v>
      </c>
      <c r="J1196" s="98" t="str">
        <f ca="1">IFERROR(__xludf.DUMMYFUNCTION("""COMPUTED_VALUE"""),"CW35727_Jun26")</f>
        <v>CW35727_Jun26</v>
      </c>
      <c r="K1196" s="99" t="str">
        <f ca="1">IFERROR(__xludf.DUMMYFUNCTION("""COMPUTED_VALUE"""),"HoM Approved")</f>
        <v>HoM Approved</v>
      </c>
    </row>
    <row r="1197" spans="1:11" ht="13.2">
      <c r="A1197" s="89" t="str">
        <f ca="1">IFERROR(__xludf.DUMMYFUNCTION("""COMPUTED_VALUE"""),"DPL - Jim &amp; Jolly Toys")</f>
        <v>DPL - Jim &amp; Jolly Toys</v>
      </c>
      <c r="B1197" s="90" t="str">
        <f ca="1">IFERROR(__xludf.DUMMYFUNCTION("""COMPUTED_VALUE"""),"DPL")</f>
        <v>DPL</v>
      </c>
      <c r="C1197" s="91" t="str">
        <f ca="1">IFERROR(__xludf.DUMMYFUNCTION("""COMPUTED_VALUE"""),"Sohan Vai")</f>
        <v>Sohan Vai</v>
      </c>
      <c r="D1197" s="92" t="str">
        <f ca="1">IFERROR(__xludf.DUMMYFUNCTION("""COMPUTED_VALUE"""),"Md. Azizul Hakim (S223035)")</f>
        <v>Md. Azizul Hakim (S223035)</v>
      </c>
      <c r="E1197" s="93" t="str">
        <f ca="1">IFERROR(__xludf.DUMMYFUNCTION("""COMPUTED_VALUE"""),"CB25095_May26")</f>
        <v>CB25095_May26</v>
      </c>
      <c r="F1197" s="94" t="str">
        <f ca="1">IFERROR(__xludf.DUMMYFUNCTION("""COMPUTED_VALUE"""),"Flyer/Brochure/Banner Output")</f>
        <v>Flyer/Brochure/Banner Output</v>
      </c>
      <c r="G1197" s="95" t="str">
        <f ca="1">IFERROR(__xludf.DUMMYFUNCTION("""COMPUTED_VALUE"""),"New")</f>
        <v>New</v>
      </c>
      <c r="H1197" s="96">
        <f ca="1">IFERROR(__xludf.DUMMYFUNCTION("""COMPUTED_VALUE"""),1)</f>
        <v>1</v>
      </c>
      <c r="I1197" s="97">
        <f ca="1">IFERROR(__xludf.DUMMYFUNCTION("""COMPUTED_VALUE"""),46180)</f>
        <v>46180</v>
      </c>
      <c r="J1197" s="98" t="str">
        <f ca="1">IFERROR(__xludf.DUMMYFUNCTION("""COMPUTED_VALUE"""),"CW35815_Jun26")</f>
        <v>CW35815_Jun26</v>
      </c>
      <c r="K1197" s="99" t="str">
        <f ca="1">IFERROR(__xludf.DUMMYFUNCTION("""COMPUTED_VALUE"""),"HoM Approved")</f>
        <v>HoM Approved</v>
      </c>
    </row>
    <row r="1198" spans="1:11" ht="13.2">
      <c r="A1198" s="89" t="str">
        <f ca="1">IFERROR(__xludf.DUMMYFUNCTION("""COMPUTED_VALUE"""),"BBL - Pran Potata")</f>
        <v>BBL - Pran Potata</v>
      </c>
      <c r="B1198" s="90" t="str">
        <f ca="1">IFERROR(__xludf.DUMMYFUNCTION("""COMPUTED_VALUE"""),"BBL")</f>
        <v>BBL</v>
      </c>
      <c r="C1198" s="91" t="str">
        <f ca="1">IFERROR(__xludf.DUMMYFUNCTION("""COMPUTED_VALUE"""),"Sabbir Vai")</f>
        <v>Sabbir Vai</v>
      </c>
      <c r="D1198" s="92" t="str">
        <f ca="1">IFERROR(__xludf.DUMMYFUNCTION("""COMPUTED_VALUE"""),"Md. Azizul Hakim (S223035)")</f>
        <v>Md. Azizul Hakim (S223035)</v>
      </c>
      <c r="E1198" s="93" t="str">
        <f ca="1">IFERROR(__xludf.DUMMYFUNCTION("""COMPUTED_VALUE"""),"CB35465_Jun26")</f>
        <v>CB35465_Jun26</v>
      </c>
      <c r="F1198" s="94" t="str">
        <f ca="1">IFERROR(__xludf.DUMMYFUNCTION("""COMPUTED_VALUE"""),"Leaflet/Poster Output")</f>
        <v>Leaflet/Poster Output</v>
      </c>
      <c r="G1198" s="95" t="str">
        <f ca="1">IFERROR(__xludf.DUMMYFUNCTION("""COMPUTED_VALUE"""),"New")</f>
        <v>New</v>
      </c>
      <c r="H1198" s="96">
        <f ca="1">IFERROR(__xludf.DUMMYFUNCTION("""COMPUTED_VALUE"""),1)</f>
        <v>1</v>
      </c>
      <c r="I1198" s="97">
        <f ca="1">IFERROR(__xludf.DUMMYFUNCTION("""COMPUTED_VALUE"""),46180)</f>
        <v>46180</v>
      </c>
      <c r="J1198" s="98" t="str">
        <f ca="1">IFERROR(__xludf.DUMMYFUNCTION("""COMPUTED_VALUE"""),"CW35824_Jun26")</f>
        <v>CW35824_Jun26</v>
      </c>
      <c r="K1198" s="99" t="str">
        <f ca="1">IFERROR(__xludf.DUMMYFUNCTION("""COMPUTED_VALUE"""),"HoM Approved")</f>
        <v>HoM Approved</v>
      </c>
    </row>
    <row r="1199" spans="1:11" ht="13.2">
      <c r="A1199" s="89" t="str">
        <f ca="1">IFERROR(__xludf.DUMMYFUNCTION("""COMPUTED_VALUE"""),"Tasty Treat Burger Bun Sticker")</f>
        <v>Tasty Treat Burger Bun Sticker</v>
      </c>
      <c r="B1199" s="90" t="str">
        <f ca="1">IFERROR(__xludf.DUMMYFUNCTION("""COMPUTED_VALUE"""),"Tasty Treat")</f>
        <v>Tasty Treat</v>
      </c>
      <c r="C1199" s="91" t="str">
        <f ca="1">IFERROR(__xludf.DUMMYFUNCTION("""COMPUTED_VALUE"""),"Shubhankar Vai")</f>
        <v>Shubhankar Vai</v>
      </c>
      <c r="D1199" s="92" t="str">
        <f ca="1">IFERROR(__xludf.DUMMYFUNCTION("""COMPUTED_VALUE"""),"Md. Azizul Hakim (S223035)")</f>
        <v>Md. Azizul Hakim (S223035)</v>
      </c>
      <c r="E1199" s="93" t="str">
        <f ca="1">IFERROR(__xludf.DUMMYFUNCTION("""COMPUTED_VALUE"""),"CB24591_May26")</f>
        <v>CB24591_May26</v>
      </c>
      <c r="F1199" s="94" t="str">
        <f ca="1">IFERROR(__xludf.DUMMYFUNCTION("""COMPUTED_VALUE"""),"Leaflet/Poster Output")</f>
        <v>Leaflet/Poster Output</v>
      </c>
      <c r="G1199" s="95" t="str">
        <f ca="1">IFERROR(__xludf.DUMMYFUNCTION("""COMPUTED_VALUE"""),"New")</f>
        <v>New</v>
      </c>
      <c r="H1199" s="96">
        <f ca="1">IFERROR(__xludf.DUMMYFUNCTION("""COMPUTED_VALUE"""),1)</f>
        <v>1</v>
      </c>
      <c r="I1199" s="97">
        <f ca="1">IFERROR(__xludf.DUMMYFUNCTION("""COMPUTED_VALUE"""),46183)</f>
        <v>46183</v>
      </c>
      <c r="J1199" s="98" t="str">
        <f ca="1">IFERROR(__xludf.DUMMYFUNCTION("""COMPUTED_VALUE"""),"CW36211_Jun26")</f>
        <v>CW36211_Jun26</v>
      </c>
      <c r="K1199" s="99" t="str">
        <f ca="1">IFERROR(__xludf.DUMMYFUNCTION("""COMPUTED_VALUE"""),"HoM Approved")</f>
        <v>HoM Approved</v>
      </c>
    </row>
    <row r="1200" spans="1:11" ht="13.2">
      <c r="A1200" s="89" t="str">
        <f ca="1">IFERROR(__xludf.DUMMYFUNCTION("""COMPUTED_VALUE"""),"Header card design for Fantasy Animal series (Jungle, Forest, Safari)")</f>
        <v>Header card design for Fantasy Animal series (Jungle, Forest, Safari)</v>
      </c>
      <c r="B1200" s="90" t="str">
        <f ca="1">IFERROR(__xludf.DUMMYFUNCTION("""COMPUTED_VALUE"""),"BBMT")</f>
        <v>BBMT</v>
      </c>
      <c r="C1200" s="91" t="str">
        <f ca="1">IFERROR(__xludf.DUMMYFUNCTION("""COMPUTED_VALUE"""),"Mifta Apu")</f>
        <v>Mifta Apu</v>
      </c>
      <c r="D1200" s="92" t="str">
        <f ca="1">IFERROR(__xludf.DUMMYFUNCTION("""COMPUTED_VALUE"""),"Md. Azizul Hakim (S223035)")</f>
        <v>Md. Azizul Hakim (S223035)</v>
      </c>
      <c r="E1200" s="93" t="str">
        <f ca="1">IFERROR(__xludf.DUMMYFUNCTION("""COMPUTED_VALUE"""),"CB35396_Jun26")</f>
        <v>CB35396_Jun26</v>
      </c>
      <c r="F1200" s="94" t="str">
        <f ca="1">IFERROR(__xludf.DUMMYFUNCTION("""COMPUTED_VALUE"""),"Flyer/Brochure/Banner Output")</f>
        <v>Flyer/Brochure/Banner Output</v>
      </c>
      <c r="G1200" s="95" t="str">
        <f ca="1">IFERROR(__xludf.DUMMYFUNCTION("""COMPUTED_VALUE"""),"New")</f>
        <v>New</v>
      </c>
      <c r="H1200" s="96">
        <f ca="1">IFERROR(__xludf.DUMMYFUNCTION("""COMPUTED_VALUE"""),3)</f>
        <v>3</v>
      </c>
      <c r="I1200" s="97">
        <f ca="1">IFERROR(__xludf.DUMMYFUNCTION("""COMPUTED_VALUE"""),46183)</f>
        <v>46183</v>
      </c>
      <c r="J1200" s="98" t="str">
        <f ca="1">IFERROR(__xludf.DUMMYFUNCTION("""COMPUTED_VALUE"""),"CW36210_Jun26")</f>
        <v>CW36210_Jun26</v>
      </c>
      <c r="K1200" s="99" t="str">
        <f ca="1">IFERROR(__xludf.DUMMYFUNCTION("""COMPUTED_VALUE"""),"HoM Approved")</f>
        <v>HoM Approved</v>
      </c>
    </row>
    <row r="1201" spans="1:11" ht="13.2">
      <c r="A1201" s="89" t="str">
        <f ca="1">IFERROR(__xludf.DUMMYFUNCTION("""COMPUTED_VALUE"""),"Cheer Up Branding Sticker")</f>
        <v>Cheer Up Branding Sticker</v>
      </c>
      <c r="B1201" s="90" t="str">
        <f ca="1">IFERROR(__xludf.DUMMYFUNCTION("""COMPUTED_VALUE"""),"AMCL")</f>
        <v>AMCL</v>
      </c>
      <c r="C1201" s="91" t="str">
        <f ca="1">IFERROR(__xludf.DUMMYFUNCTION("""COMPUTED_VALUE"""),"Tanjid Vai")</f>
        <v>Tanjid Vai</v>
      </c>
      <c r="D1201" s="92" t="str">
        <f ca="1">IFERROR(__xludf.DUMMYFUNCTION("""COMPUTED_VALUE"""),"Md. Azizul Hakim (S223035)")</f>
        <v>Md. Azizul Hakim (S223035)</v>
      </c>
      <c r="E1201" s="93" t="str">
        <f ca="1">IFERROR(__xludf.DUMMYFUNCTION("""COMPUTED_VALUE"""),"CB36034_Jun26")</f>
        <v>CB36034_Jun26</v>
      </c>
      <c r="F1201" s="94" t="str">
        <f ca="1">IFERROR(__xludf.DUMMYFUNCTION("""COMPUTED_VALUE"""),"Leaflet/Poster Output")</f>
        <v>Leaflet/Poster Output</v>
      </c>
      <c r="G1201" s="95" t="str">
        <f ca="1">IFERROR(__xludf.DUMMYFUNCTION("""COMPUTED_VALUE"""),"New")</f>
        <v>New</v>
      </c>
      <c r="H1201" s="96">
        <f ca="1">IFERROR(__xludf.DUMMYFUNCTION("""COMPUTED_VALUE"""),1)</f>
        <v>1</v>
      </c>
      <c r="I1201" s="97">
        <f ca="1">IFERROR(__xludf.DUMMYFUNCTION("""COMPUTED_VALUE"""),46184)</f>
        <v>46184</v>
      </c>
      <c r="J1201" s="98" t="str">
        <f ca="1">IFERROR(__xludf.DUMMYFUNCTION("""COMPUTED_VALUE"""),"CW36314_Jun26")</f>
        <v>CW36314_Jun26</v>
      </c>
      <c r="K1201" s="99" t="str">
        <f ca="1">IFERROR(__xludf.DUMMYFUNCTION("""COMPUTED_VALUE"""),"HoM Approved")</f>
        <v>HoM Approved</v>
      </c>
    </row>
    <row r="1202" spans="1:11" ht="13.2">
      <c r="A1202" s="89" t="str">
        <f ca="1">IFERROR(__xludf.DUMMYFUNCTION("""COMPUTED_VALUE"""),"Unknown")</f>
        <v>Unknown</v>
      </c>
      <c r="B1202" s="90" t="str">
        <f ca="1">IFERROR(__xludf.DUMMYFUNCTION("""COMPUTED_VALUE"""),"Philippines")</f>
        <v>Philippines</v>
      </c>
      <c r="C1202" s="91" t="str">
        <f ca="1">IFERROR(__xludf.DUMMYFUNCTION("""COMPUTED_VALUE"""),"Farjana Apu")</f>
        <v>Farjana Apu</v>
      </c>
      <c r="D1202" s="92" t="str">
        <f ca="1">IFERROR(__xludf.DUMMYFUNCTION("""COMPUTED_VALUE"""),"Md. Azizul Hakim (S223035)")</f>
        <v>Md. Azizul Hakim (S223035)</v>
      </c>
      <c r="E1202" s="93" t="str">
        <f ca="1">IFERROR(__xludf.DUMMYFUNCTION("""COMPUTED_VALUE"""),"CB36123_Jun26")</f>
        <v>CB36123_Jun26</v>
      </c>
      <c r="F1202" s="94" t="str">
        <f ca="1">IFERROR(__xludf.DUMMYFUNCTION("""COMPUTED_VALUE"""),"Text Sticker Design #1")</f>
        <v>Text Sticker Design #1</v>
      </c>
      <c r="G1202" s="95" t="str">
        <f ca="1">IFERROR(__xludf.DUMMYFUNCTION("""COMPUTED_VALUE"""),"New")</f>
        <v>New</v>
      </c>
      <c r="H1202" s="96">
        <f ca="1">IFERROR(__xludf.DUMMYFUNCTION("""COMPUTED_VALUE"""),1)</f>
        <v>1</v>
      </c>
      <c r="I1202" s="97"/>
      <c r="J1202" s="98" t="str">
        <f ca="1">IFERROR(__xludf.DUMMYFUNCTION("""COMPUTED_VALUE"""),"Unknown")</f>
        <v>Unknown</v>
      </c>
      <c r="K1202" s="99" t="str">
        <f ca="1">IFERROR(__xludf.DUMMYFUNCTION("""COMPUTED_VALUE"""),"Running")</f>
        <v>Running</v>
      </c>
    </row>
    <row r="1203" spans="1:11" ht="13.2">
      <c r="A1203" s="89" t="str">
        <f ca="1">IFERROR(__xludf.DUMMYFUNCTION("""COMPUTED_VALUE"""),"Tasty Treat Danish Butter Cookies")</f>
        <v>Tasty Treat Danish Butter Cookies</v>
      </c>
      <c r="B1203" s="90" t="str">
        <f ca="1">IFERROR(__xludf.DUMMYFUNCTION("""COMPUTED_VALUE"""),"Tasty Treat")</f>
        <v>Tasty Treat</v>
      </c>
      <c r="C1203" s="91" t="str">
        <f ca="1">IFERROR(__xludf.DUMMYFUNCTION("""COMPUTED_VALUE"""),"Shubhankar Vai")</f>
        <v>Shubhankar Vai</v>
      </c>
      <c r="D1203" s="92" t="str">
        <f ca="1">IFERROR(__xludf.DUMMYFUNCTION("""COMPUTED_VALUE"""),"Md. Azizul Hakim (S223035)")</f>
        <v>Md. Azizul Hakim (S223035)</v>
      </c>
      <c r="E1203" s="93" t="str">
        <f ca="1">IFERROR(__xludf.DUMMYFUNCTION("""COMPUTED_VALUE"""),"CB19083_Mar26")</f>
        <v>CB19083_Mar26</v>
      </c>
      <c r="F1203" s="94" t="str">
        <f ca="1">IFERROR(__xludf.DUMMYFUNCTION("""COMPUTED_VALUE"""),"ATC Box Output")</f>
        <v>ATC Box Output</v>
      </c>
      <c r="G1203" s="95" t="str">
        <f ca="1">IFERROR(__xludf.DUMMYFUNCTION("""COMPUTED_VALUE"""),"New")</f>
        <v>New</v>
      </c>
      <c r="H1203" s="96">
        <f ca="1">IFERROR(__xludf.DUMMYFUNCTION("""COMPUTED_VALUE"""),1)</f>
        <v>1</v>
      </c>
      <c r="I1203" s="97">
        <f ca="1">IFERROR(__xludf.DUMMYFUNCTION("""COMPUTED_VALUE"""),46184)</f>
        <v>46184</v>
      </c>
      <c r="J1203" s="98" t="str">
        <f ca="1">IFERROR(__xludf.DUMMYFUNCTION("""COMPUTED_VALUE"""),"CW36358_Jun26")</f>
        <v>CW36358_Jun26</v>
      </c>
      <c r="K1203" s="99" t="str">
        <f ca="1">IFERROR(__xludf.DUMMYFUNCTION("""COMPUTED_VALUE"""),"HoM Approved")</f>
        <v>HoM Approved</v>
      </c>
    </row>
    <row r="1204" spans="1:11" ht="13.2">
      <c r="A1204" s="89" t="str">
        <f ca="1">IFERROR(__xludf.DUMMYFUNCTION("""COMPUTED_VALUE"""),"Treat Goldy Coin")</f>
        <v>Treat Goldy Coin</v>
      </c>
      <c r="B1204" s="90" t="str">
        <f ca="1">IFERROR(__xludf.DUMMYFUNCTION("""COMPUTED_VALUE"""),"PCL")</f>
        <v>PCL</v>
      </c>
      <c r="C1204" s="91" t="str">
        <f ca="1">IFERROR(__xludf.DUMMYFUNCTION("""COMPUTED_VALUE"""),"Sohel Vai")</f>
        <v>Sohel Vai</v>
      </c>
      <c r="D1204" s="92" t="str">
        <f ca="1">IFERROR(__xludf.DUMMYFUNCTION("""COMPUTED_VALUE"""),"Md. Azizul Hakim (S223035)")</f>
        <v>Md. Azizul Hakim (S223035)</v>
      </c>
      <c r="E1204" s="93" t="str">
        <f ca="1">IFERROR(__xludf.DUMMYFUNCTION("""COMPUTED_VALUE"""),"CB24813_May26")</f>
        <v>CB24813_May26</v>
      </c>
      <c r="F1204" s="94" t="str">
        <f ca="1">IFERROR(__xludf.DUMMYFUNCTION("""COMPUTED_VALUE"""),"Packaging Text Design #1")</f>
        <v>Packaging Text Design #1</v>
      </c>
      <c r="G1204" s="95" t="str">
        <f ca="1">IFERROR(__xludf.DUMMYFUNCTION("""COMPUTED_VALUE"""),"New")</f>
        <v>New</v>
      </c>
      <c r="H1204" s="96">
        <f ca="1">IFERROR(__xludf.DUMMYFUNCTION("""COMPUTED_VALUE"""),1)</f>
        <v>1</v>
      </c>
      <c r="I1204" s="97">
        <f ca="1">IFERROR(__xludf.DUMMYFUNCTION("""COMPUTED_VALUE"""),46188)</f>
        <v>46188</v>
      </c>
      <c r="J1204" s="98" t="str">
        <f ca="1">IFERROR(__xludf.DUMMYFUNCTION("""COMPUTED_VALUE"""),"CW36613_Jun26")</f>
        <v>CW36613_Jun26</v>
      </c>
      <c r="K1204" s="99" t="str">
        <f ca="1">IFERROR(__xludf.DUMMYFUNCTION("""COMPUTED_VALUE"""),"HoM Approved")</f>
        <v>HoM Approved</v>
      </c>
    </row>
    <row r="1205" spans="1:11" ht="13.2">
      <c r="A1205" s="89" t="str">
        <f ca="1">IFERROR(__xludf.DUMMYFUNCTION("""COMPUTED_VALUE"""),"All Time Borfi cookies")</f>
        <v>All Time Borfi cookies</v>
      </c>
      <c r="B1205" s="90" t="str">
        <f ca="1">IFERROR(__xludf.DUMMYFUNCTION("""COMPUTED_VALUE"""),"BBL")</f>
        <v>BBL</v>
      </c>
      <c r="C1205" s="91" t="str">
        <f ca="1">IFERROR(__xludf.DUMMYFUNCTION("""COMPUTED_VALUE"""),"Afrin Apu")</f>
        <v>Afrin Apu</v>
      </c>
      <c r="D1205" s="92" t="str">
        <f ca="1">IFERROR(__xludf.DUMMYFUNCTION("""COMPUTED_VALUE"""),"Md. Azizul Hakim (S223035)")</f>
        <v>Md. Azizul Hakim (S223035)</v>
      </c>
      <c r="E1205" s="93" t="str">
        <f ca="1">IFERROR(__xludf.DUMMYFUNCTION("""COMPUTED_VALUE"""),"CB23782_May26")</f>
        <v>CB23782_May26</v>
      </c>
      <c r="F1205" s="94" t="str">
        <f ca="1">IFERROR(__xludf.DUMMYFUNCTION("""COMPUTED_VALUE"""),"Packaging Text Design #2")</f>
        <v>Packaging Text Design #2</v>
      </c>
      <c r="G1205" s="95" t="str">
        <f ca="1">IFERROR(__xludf.DUMMYFUNCTION("""COMPUTED_VALUE"""),"New")</f>
        <v>New</v>
      </c>
      <c r="H1205" s="96">
        <f ca="1">IFERROR(__xludf.DUMMYFUNCTION("""COMPUTED_VALUE"""),1)</f>
        <v>1</v>
      </c>
      <c r="I1205" s="97">
        <f ca="1">IFERROR(__xludf.DUMMYFUNCTION("""COMPUTED_VALUE"""),46191)</f>
        <v>46191</v>
      </c>
      <c r="J1205" s="98" t="str">
        <f ca="1">IFERROR(__xludf.DUMMYFUNCTION("""COMPUTED_VALUE"""),"CW37041_Jun26")</f>
        <v>CW37041_Jun26</v>
      </c>
      <c r="K1205" s="99" t="str">
        <f ca="1">IFERROR(__xludf.DUMMYFUNCTION("""COMPUTED_VALUE"""),"HoM Approved")</f>
        <v>HoM Approved</v>
      </c>
    </row>
    <row r="1206" spans="1:11" ht="13.2">
      <c r="A1206" s="89" t="str">
        <f ca="1">IFERROR(__xludf.DUMMYFUNCTION("""COMPUTED_VALUE"""),"Bisk Club Elachi Cookies 14g")</f>
        <v>Bisk Club Elachi Cookies 14g</v>
      </c>
      <c r="B1206" s="90" t="str">
        <f ca="1">IFERROR(__xludf.DUMMYFUNCTION("""COMPUTED_VALUE"""),"BBL")</f>
        <v>BBL</v>
      </c>
      <c r="C1206" s="91" t="str">
        <f ca="1">IFERROR(__xludf.DUMMYFUNCTION("""COMPUTED_VALUE"""),"Afrin Apu")</f>
        <v>Afrin Apu</v>
      </c>
      <c r="D1206" s="92" t="str">
        <f ca="1">IFERROR(__xludf.DUMMYFUNCTION("""COMPUTED_VALUE"""),"Md. Azizul Hakim (S223035)")</f>
        <v>Md. Azizul Hakim (S223035)</v>
      </c>
      <c r="E1206" s="93" t="str">
        <f ca="1">IFERROR(__xludf.DUMMYFUNCTION("""COMPUTED_VALUE"""),"CB17055_Feb26")</f>
        <v>CB17055_Feb26</v>
      </c>
      <c r="F1206" s="94" t="str">
        <f ca="1">IFERROR(__xludf.DUMMYFUNCTION("""COMPUTED_VALUE"""),"Packaging Text Design #2")</f>
        <v>Packaging Text Design #2</v>
      </c>
      <c r="G1206" s="95" t="str">
        <f ca="1">IFERROR(__xludf.DUMMYFUNCTION("""COMPUTED_VALUE"""),"New")</f>
        <v>New</v>
      </c>
      <c r="H1206" s="96">
        <f ca="1">IFERROR(__xludf.DUMMYFUNCTION("""COMPUTED_VALUE"""),1)</f>
        <v>1</v>
      </c>
      <c r="I1206" s="97">
        <f ca="1">IFERROR(__xludf.DUMMYFUNCTION("""COMPUTED_VALUE"""),46187)</f>
        <v>46187</v>
      </c>
      <c r="J1206" s="98" t="str">
        <f ca="1">IFERROR(__xludf.DUMMYFUNCTION("""COMPUTED_VALUE"""),"Unknown")</f>
        <v>Unknown</v>
      </c>
      <c r="K1206" s="99" t="str">
        <f ca="1">IFERROR(__xludf.DUMMYFUNCTION("""COMPUTED_VALUE"""),"In Review")</f>
        <v>In Review</v>
      </c>
    </row>
    <row r="1207" spans="1:11" ht="13.2">
      <c r="A1207" s="89" t="str">
        <f ca="1">IFERROR(__xludf.DUMMYFUNCTION("""COMPUTED_VALUE"""),"Shine Teflon Tape Carton")</f>
        <v>Shine Teflon Tape Carton</v>
      </c>
      <c r="B1207" s="90" t="str">
        <f ca="1">IFERROR(__xludf.DUMMYFUNCTION("""COMPUTED_VALUE"""),"RPL")</f>
        <v>RPL</v>
      </c>
      <c r="C1207" s="91" t="str">
        <f ca="1">IFERROR(__xludf.DUMMYFUNCTION("""COMPUTED_VALUE"""),"Shaikh Vai")</f>
        <v>Shaikh Vai</v>
      </c>
      <c r="D1207" s="92" t="str">
        <f ca="1">IFERROR(__xludf.DUMMYFUNCTION("""COMPUTED_VALUE"""),"Md. Azizul Hakim (S223035)")</f>
        <v>Md. Azizul Hakim (S223035)</v>
      </c>
      <c r="E1207" s="93" t="str">
        <f ca="1">IFERROR(__xludf.DUMMYFUNCTION("""COMPUTED_VALUE"""),"CB22255_Apr26")</f>
        <v>CB22255_Apr26</v>
      </c>
      <c r="F1207" s="94" t="str">
        <f ca="1">IFERROR(__xludf.DUMMYFUNCTION("""COMPUTED_VALUE"""),"Carton Design")</f>
        <v>Carton Design</v>
      </c>
      <c r="G1207" s="95" t="str">
        <f ca="1">IFERROR(__xludf.DUMMYFUNCTION("""COMPUTED_VALUE"""),"New")</f>
        <v>New</v>
      </c>
      <c r="H1207" s="96">
        <f ca="1">IFERROR(__xludf.DUMMYFUNCTION("""COMPUTED_VALUE"""),1)</f>
        <v>1</v>
      </c>
      <c r="I1207" s="97">
        <f ca="1">IFERROR(__xludf.DUMMYFUNCTION("""COMPUTED_VALUE"""),46187)</f>
        <v>46187</v>
      </c>
      <c r="J1207" s="98" t="str">
        <f ca="1">IFERROR(__xludf.DUMMYFUNCTION("""COMPUTED_VALUE"""),"CW36524_Jun26")</f>
        <v>CW36524_Jun26</v>
      </c>
      <c r="K1207" s="99" t="str">
        <f ca="1">IFERROR(__xludf.DUMMYFUNCTION("""COMPUTED_VALUE"""),"HoM Approved")</f>
        <v>HoM Approved</v>
      </c>
    </row>
    <row r="1208" spans="1:11" ht="13.2">
      <c r="A1208" s="89" t="str">
        <f ca="1">IFERROR(__xludf.DUMMYFUNCTION("""COMPUTED_VALUE"""),"Pran Toast Shop Sticker")</f>
        <v>Pran Toast Shop Sticker</v>
      </c>
      <c r="B1208" s="90" t="str">
        <f ca="1">IFERROR(__xludf.DUMMYFUNCTION("""COMPUTED_VALUE"""),"BBL")</f>
        <v>BBL</v>
      </c>
      <c r="C1208" s="91" t="str">
        <f ca="1">IFERROR(__xludf.DUMMYFUNCTION("""COMPUTED_VALUE"""),"Nuhal Vai")</f>
        <v>Nuhal Vai</v>
      </c>
      <c r="D1208" s="92" t="str">
        <f ca="1">IFERROR(__xludf.DUMMYFUNCTION("""COMPUTED_VALUE"""),"Md. Azizul Hakim (S223035)")</f>
        <v>Md. Azizul Hakim (S223035)</v>
      </c>
      <c r="E1208" s="93" t="str">
        <f ca="1">IFERROR(__xludf.DUMMYFUNCTION("""COMPUTED_VALUE"""),"CB23573_May26")</f>
        <v>CB23573_May26</v>
      </c>
      <c r="F1208" s="94" t="str">
        <f ca="1">IFERROR(__xludf.DUMMYFUNCTION("""COMPUTED_VALUE"""),"Leaflet/Poster Output")</f>
        <v>Leaflet/Poster Output</v>
      </c>
      <c r="G1208" s="95" t="str">
        <f ca="1">IFERROR(__xludf.DUMMYFUNCTION("""COMPUTED_VALUE"""),"New")</f>
        <v>New</v>
      </c>
      <c r="H1208" s="96">
        <f ca="1">IFERROR(__xludf.DUMMYFUNCTION("""COMPUTED_VALUE"""),1)</f>
        <v>1</v>
      </c>
      <c r="I1208" s="97">
        <f ca="1">IFERROR(__xludf.DUMMYFUNCTION("""COMPUTED_VALUE"""),46187)</f>
        <v>46187</v>
      </c>
      <c r="J1208" s="98" t="str">
        <f ca="1">IFERROR(__xludf.DUMMYFUNCTION("""COMPUTED_VALUE"""),"CW36543_Jun26")</f>
        <v>CW36543_Jun26</v>
      </c>
      <c r="K1208" s="99" t="str">
        <f ca="1">IFERROR(__xludf.DUMMYFUNCTION("""COMPUTED_VALUE"""),"HoM Approved")</f>
        <v>HoM Approved</v>
      </c>
    </row>
    <row r="1209" spans="1:11" ht="13.2">
      <c r="A1209" s="89" t="str">
        <f ca="1">IFERROR(__xludf.DUMMYFUNCTION("""COMPUTED_VALUE"""),"STAR LIGHT CANDY- 3 Flavors (STRAWBERRY, ORANGE, LEMON)")</f>
        <v>STAR LIGHT CANDY- 3 Flavors (STRAWBERRY, ORANGE, LEMON)</v>
      </c>
      <c r="B1209" s="90" t="str">
        <f ca="1">IFERROR(__xludf.DUMMYFUNCTION("""COMPUTED_VALUE"""),"Philippines")</f>
        <v>Philippines</v>
      </c>
      <c r="C1209" s="91" t="str">
        <f ca="1">IFERROR(__xludf.DUMMYFUNCTION("""COMPUTED_VALUE"""),"Farjana Apu")</f>
        <v>Farjana Apu</v>
      </c>
      <c r="D1209" s="92" t="str">
        <f ca="1">IFERROR(__xludf.DUMMYFUNCTION("""COMPUTED_VALUE"""),"Md. Azizul Hakim (S223035)")</f>
        <v>Md. Azizul Hakim (S223035)</v>
      </c>
      <c r="E1209" s="93" t="str">
        <f ca="1">IFERROR(__xludf.DUMMYFUNCTION("""COMPUTED_VALUE"""),"CB36251_Jun26")</f>
        <v>CB36251_Jun26</v>
      </c>
      <c r="F1209" s="94" t="str">
        <f ca="1">IFERROR(__xludf.DUMMYFUNCTION("""COMPUTED_VALUE"""),"Packaging Text Design #1")</f>
        <v>Packaging Text Design #1</v>
      </c>
      <c r="G1209" s="95" t="str">
        <f ca="1">IFERROR(__xludf.DUMMYFUNCTION("""COMPUTED_VALUE"""),"New")</f>
        <v>New</v>
      </c>
      <c r="H1209" s="96">
        <f ca="1">IFERROR(__xludf.DUMMYFUNCTION("""COMPUTED_VALUE"""),3)</f>
        <v>3</v>
      </c>
      <c r="I1209" s="97">
        <f ca="1">IFERROR(__xludf.DUMMYFUNCTION("""COMPUTED_VALUE"""),46188)</f>
        <v>46188</v>
      </c>
      <c r="J1209" s="98" t="str">
        <f ca="1">IFERROR(__xludf.DUMMYFUNCTION("""COMPUTED_VALUE"""),"CW36615_Jun26")</f>
        <v>CW36615_Jun26</v>
      </c>
      <c r="K1209" s="99" t="str">
        <f ca="1">IFERROR(__xludf.DUMMYFUNCTION("""COMPUTED_VALUE"""),"HoM Approved")</f>
        <v>HoM Approved</v>
      </c>
    </row>
    <row r="1210" spans="1:11" ht="13.2">
      <c r="A1210" s="89" t="str">
        <f ca="1">IFERROR(__xludf.DUMMYFUNCTION("""COMPUTED_VALUE"""),"RFL Belcha Sticker")</f>
        <v>RFL Belcha Sticker</v>
      </c>
      <c r="B1210" s="90" t="str">
        <f ca="1">IFERROR(__xludf.DUMMYFUNCTION("""COMPUTED_VALUE"""),"RMIL-1")</f>
        <v>RMIL-1</v>
      </c>
      <c r="C1210" s="91" t="str">
        <f ca="1">IFERROR(__xludf.DUMMYFUNCTION("""COMPUTED_VALUE"""),"Mehedi Vaiya")</f>
        <v>Mehedi Vaiya</v>
      </c>
      <c r="D1210" s="92" t="str">
        <f ca="1">IFERROR(__xludf.DUMMYFUNCTION("""COMPUTED_VALUE"""),"Md. Azizul Hakim (S223035)")</f>
        <v>Md. Azizul Hakim (S223035)</v>
      </c>
      <c r="E1210" s="93" t="str">
        <f ca="1">IFERROR(__xludf.DUMMYFUNCTION("""COMPUTED_VALUE"""),"CB21323_Apr26")</f>
        <v>CB21323_Apr26</v>
      </c>
      <c r="F1210" s="94" t="str">
        <f ca="1">IFERROR(__xludf.DUMMYFUNCTION("""COMPUTED_VALUE"""),"Leaflet/Poster Output")</f>
        <v>Leaflet/Poster Output</v>
      </c>
      <c r="G1210" s="95" t="str">
        <f ca="1">IFERROR(__xludf.DUMMYFUNCTION("""COMPUTED_VALUE"""),"New")</f>
        <v>New</v>
      </c>
      <c r="H1210" s="96">
        <f ca="1">IFERROR(__xludf.DUMMYFUNCTION("""COMPUTED_VALUE"""),1)</f>
        <v>1</v>
      </c>
      <c r="I1210" s="97">
        <f ca="1">IFERROR(__xludf.DUMMYFUNCTION("""COMPUTED_VALUE"""),46188)</f>
        <v>46188</v>
      </c>
      <c r="J1210" s="98" t="str">
        <f ca="1">IFERROR(__xludf.DUMMYFUNCTION("""COMPUTED_VALUE"""),"CW36662_Jun26")</f>
        <v>CW36662_Jun26</v>
      </c>
      <c r="K1210" s="99" t="str">
        <f ca="1">IFERROR(__xludf.DUMMYFUNCTION("""COMPUTED_VALUE"""),"HoM Approved")</f>
        <v>HoM Approved</v>
      </c>
    </row>
    <row r="1211" spans="1:11" ht="13.2">
      <c r="A1211" s="89" t="str">
        <f ca="1">IFERROR(__xludf.DUMMYFUNCTION("""COMPUTED_VALUE"""),"Philippines - PRAN DAIRY LTD. PIP - ALL")</f>
        <v>Philippines - PRAN DAIRY LTD. PIP - ALL</v>
      </c>
      <c r="B1211" s="90" t="str">
        <f ca="1">IFERROR(__xludf.DUMMYFUNCTION("""COMPUTED_VALUE"""),"Philippines")</f>
        <v>Philippines</v>
      </c>
      <c r="C1211" s="91" t="str">
        <f ca="1">IFERROR(__xludf.DUMMYFUNCTION("""COMPUTED_VALUE"""),"Farjana Apu")</f>
        <v>Farjana Apu</v>
      </c>
      <c r="D1211" s="92" t="str">
        <f ca="1">IFERROR(__xludf.DUMMYFUNCTION("""COMPUTED_VALUE"""),"Md. Azizul Hakim (S223035)")</f>
        <v>Md. Azizul Hakim (S223035)</v>
      </c>
      <c r="E1211" s="93" t="str">
        <f ca="1">IFERROR(__xludf.DUMMYFUNCTION("""COMPUTED_VALUE"""),"CB36508_Jun26")</f>
        <v>CB36508_Jun26</v>
      </c>
      <c r="F1211" s="94" t="str">
        <f ca="1">IFERROR(__xludf.DUMMYFUNCTION("""COMPUTED_VALUE"""),"Packaging Text Design #1")</f>
        <v>Packaging Text Design #1</v>
      </c>
      <c r="G1211" s="95" t="str">
        <f ca="1">IFERROR(__xludf.DUMMYFUNCTION("""COMPUTED_VALUE"""),"New")</f>
        <v>New</v>
      </c>
      <c r="H1211" s="96">
        <f ca="1">IFERROR(__xludf.DUMMYFUNCTION("""COMPUTED_VALUE"""),1)</f>
        <v>1</v>
      </c>
      <c r="I1211" s="97">
        <f ca="1">IFERROR(__xludf.DUMMYFUNCTION("""COMPUTED_VALUE"""),46189)</f>
        <v>46189</v>
      </c>
      <c r="J1211" s="98" t="str">
        <f ca="1">IFERROR(__xludf.DUMMYFUNCTION("""COMPUTED_VALUE"""),"CW36737_Jun26")</f>
        <v>CW36737_Jun26</v>
      </c>
      <c r="K1211" s="99" t="str">
        <f ca="1">IFERROR(__xludf.DUMMYFUNCTION("""COMPUTED_VALUE"""),"HoM Approved")</f>
        <v>HoM Approved</v>
      </c>
    </row>
    <row r="1212" spans="1:11" ht="13.2">
      <c r="A1212" s="89" t="str">
        <f ca="1">IFERROR(__xludf.DUMMYFUNCTION("""COMPUTED_VALUE"""),"PRAN BBQ CHANACHUR Sticker")</f>
        <v>PRAN BBQ CHANACHUR Sticker</v>
      </c>
      <c r="B1212" s="90" t="str">
        <f ca="1">IFERROR(__xludf.DUMMYFUNCTION("""COMPUTED_VALUE"""),"PFL")</f>
        <v>PFL</v>
      </c>
      <c r="C1212" s="91" t="str">
        <f ca="1">IFERROR(__xludf.DUMMYFUNCTION("""COMPUTED_VALUE"""),"Sharika Apu")</f>
        <v>Sharika Apu</v>
      </c>
      <c r="D1212" s="92" t="str">
        <f ca="1">IFERROR(__xludf.DUMMYFUNCTION("""COMPUTED_VALUE"""),"Md. Azizul Hakim (S223035)")</f>
        <v>Md. Azizul Hakim (S223035)</v>
      </c>
      <c r="E1212" s="93" t="str">
        <f ca="1">IFERROR(__xludf.DUMMYFUNCTION("""COMPUTED_VALUE"""),"CB25248_Jun26")</f>
        <v>CB25248_Jun26</v>
      </c>
      <c r="F1212" s="94" t="str">
        <f ca="1">IFERROR(__xludf.DUMMYFUNCTION("""COMPUTED_VALUE"""),"Text Sticker Design #2")</f>
        <v>Text Sticker Design #2</v>
      </c>
      <c r="G1212" s="95" t="str">
        <f ca="1">IFERROR(__xludf.DUMMYFUNCTION("""COMPUTED_VALUE"""),"New")</f>
        <v>New</v>
      </c>
      <c r="H1212" s="96">
        <f ca="1">IFERROR(__xludf.DUMMYFUNCTION("""COMPUTED_VALUE"""),4)</f>
        <v>4</v>
      </c>
      <c r="I1212" s="97">
        <f ca="1">IFERROR(__xludf.DUMMYFUNCTION("""COMPUTED_VALUE"""),46189)</f>
        <v>46189</v>
      </c>
      <c r="J1212" s="98" t="str">
        <f ca="1">IFERROR(__xludf.DUMMYFUNCTION("""COMPUTED_VALUE"""),"CW36740_Jun26")</f>
        <v>CW36740_Jun26</v>
      </c>
      <c r="K1212" s="99" t="str">
        <f ca="1">IFERROR(__xludf.DUMMYFUNCTION("""COMPUTED_VALUE"""),"HoM Approved")</f>
        <v>HoM Approved</v>
      </c>
    </row>
    <row r="1213" spans="1:11" ht="13.2">
      <c r="A1213" s="89" t="str">
        <f ca="1">IFERROR(__xludf.DUMMYFUNCTION("""COMPUTED_VALUE"""),"Philippines - PRAN DAIRY LTD. PIP - ALL
")</f>
        <v xml:space="preserve">Philippines - PRAN DAIRY LTD. PIP - ALL
</v>
      </c>
      <c r="B1213" s="90" t="str">
        <f ca="1">IFERROR(__xludf.DUMMYFUNCTION("""COMPUTED_VALUE"""),"Philippines")</f>
        <v>Philippines</v>
      </c>
      <c r="C1213" s="91" t="str">
        <f ca="1">IFERROR(__xludf.DUMMYFUNCTION("""COMPUTED_VALUE"""),"Farjana Apu")</f>
        <v>Farjana Apu</v>
      </c>
      <c r="D1213" s="92" t="str">
        <f ca="1">IFERROR(__xludf.DUMMYFUNCTION("""COMPUTED_VALUE"""),"Md. Azizul Hakim (S223035)")</f>
        <v>Md. Azizul Hakim (S223035)</v>
      </c>
      <c r="E1213" s="93" t="str">
        <f ca="1">IFERROR(__xludf.DUMMYFUNCTION("""COMPUTED_VALUE"""),"CB36570_Jun26")</f>
        <v>CB36570_Jun26</v>
      </c>
      <c r="F1213" s="94" t="str">
        <f ca="1">IFERROR(__xludf.DUMMYFUNCTION("""COMPUTED_VALUE"""),"Packaging Text Design #1")</f>
        <v>Packaging Text Design #1</v>
      </c>
      <c r="G1213" s="95" t="str">
        <f ca="1">IFERROR(__xludf.DUMMYFUNCTION("""COMPUTED_VALUE"""),"New")</f>
        <v>New</v>
      </c>
      <c r="H1213" s="96">
        <f ca="1">IFERROR(__xludf.DUMMYFUNCTION("""COMPUTED_VALUE"""),1)</f>
        <v>1</v>
      </c>
      <c r="I1213" s="97">
        <f ca="1">IFERROR(__xludf.DUMMYFUNCTION("""COMPUTED_VALUE"""),46189)</f>
        <v>46189</v>
      </c>
      <c r="J1213" s="98" t="str">
        <f ca="1">IFERROR(__xludf.DUMMYFUNCTION("""COMPUTED_VALUE"""),"CW37208_Jun26")</f>
        <v>CW37208_Jun26</v>
      </c>
      <c r="K1213" s="99" t="str">
        <f ca="1">IFERROR(__xludf.DUMMYFUNCTION("""COMPUTED_VALUE"""),"HoM Approved")</f>
        <v>HoM Approved</v>
      </c>
    </row>
    <row r="1214" spans="1:11" ht="13.2">
      <c r="A1214" s="89" t="str">
        <f ca="1">IFERROR(__xludf.DUMMYFUNCTION("""COMPUTED_VALUE"""),"Philippines - PRAN DAIRY LTD. PIP - ALL
")</f>
        <v xml:space="preserve">Philippines - PRAN DAIRY LTD. PIP - ALL
</v>
      </c>
      <c r="B1214" s="90" t="str">
        <f ca="1">IFERROR(__xludf.DUMMYFUNCTION("""COMPUTED_VALUE"""),"Philippines")</f>
        <v>Philippines</v>
      </c>
      <c r="C1214" s="91" t="str">
        <f ca="1">IFERROR(__xludf.DUMMYFUNCTION("""COMPUTED_VALUE"""),"Farjana Apu")</f>
        <v>Farjana Apu</v>
      </c>
      <c r="D1214" s="92" t="str">
        <f ca="1">IFERROR(__xludf.DUMMYFUNCTION("""COMPUTED_VALUE"""),"Md. Azizul Hakim (S223035)")</f>
        <v>Md. Azizul Hakim (S223035)</v>
      </c>
      <c r="E1214" s="93" t="str">
        <f ca="1">IFERROR(__xludf.DUMMYFUNCTION("""COMPUTED_VALUE"""),"CB36578")</f>
        <v>CB36578</v>
      </c>
      <c r="F1214" s="94" t="str">
        <f ca="1">IFERROR(__xludf.DUMMYFUNCTION("""COMPUTED_VALUE"""),"Packaging Text Design #1")</f>
        <v>Packaging Text Design #1</v>
      </c>
      <c r="G1214" s="95" t="str">
        <f ca="1">IFERROR(__xludf.DUMMYFUNCTION("""COMPUTED_VALUE"""),"New")</f>
        <v>New</v>
      </c>
      <c r="H1214" s="96">
        <f ca="1">IFERROR(__xludf.DUMMYFUNCTION("""COMPUTED_VALUE"""),1)</f>
        <v>1</v>
      </c>
      <c r="I1214" s="97">
        <f ca="1">IFERROR(__xludf.DUMMYFUNCTION("""COMPUTED_VALUE"""),46189)</f>
        <v>46189</v>
      </c>
      <c r="J1214" s="98" t="str">
        <f ca="1">IFERROR(__xludf.DUMMYFUNCTION("""COMPUTED_VALUE"""),"Unknown")</f>
        <v>Unknown</v>
      </c>
      <c r="K1214" s="99" t="str">
        <f ca="1">IFERROR(__xludf.DUMMYFUNCTION("""COMPUTED_VALUE"""),"Running")</f>
        <v>Running</v>
      </c>
    </row>
    <row r="1215" spans="1:11" ht="13.2">
      <c r="A1215" s="89" t="str">
        <f ca="1">IFERROR(__xludf.DUMMYFUNCTION("""COMPUTED_VALUE"""),"LOOPS (MINT FLAVOR) (15G x 20 pcs) ")</f>
        <v xml:space="preserve">LOOPS (MINT FLAVOR) (15G x 20 pcs) </v>
      </c>
      <c r="B1215" s="90" t="str">
        <f ca="1">IFERROR(__xludf.DUMMYFUNCTION("""COMPUTED_VALUE"""),"Philippines")</f>
        <v>Philippines</v>
      </c>
      <c r="C1215" s="91" t="str">
        <f ca="1">IFERROR(__xludf.DUMMYFUNCTION("""COMPUTED_VALUE"""),"Farjana Apu")</f>
        <v>Farjana Apu</v>
      </c>
      <c r="D1215" s="92" t="str">
        <f ca="1">IFERROR(__xludf.DUMMYFUNCTION("""COMPUTED_VALUE"""),"Md. Azizul Hakim (S223035)")</f>
        <v>Md. Azizul Hakim (S223035)</v>
      </c>
      <c r="E1215" s="93" t="str">
        <f ca="1">IFERROR(__xludf.DUMMYFUNCTION("""COMPUTED_VALUE"""),"CB36508_Jun26")</f>
        <v>CB36508_Jun26</v>
      </c>
      <c r="F1215" s="94" t="str">
        <f ca="1">IFERROR(__xludf.DUMMYFUNCTION("""COMPUTED_VALUE"""),"Packaging Text Design #1")</f>
        <v>Packaging Text Design #1</v>
      </c>
      <c r="G1215" s="95" t="str">
        <f ca="1">IFERROR(__xludf.DUMMYFUNCTION("""COMPUTED_VALUE"""),"New")</f>
        <v>New</v>
      </c>
      <c r="H1215" s="96">
        <f ca="1">IFERROR(__xludf.DUMMYFUNCTION("""COMPUTED_VALUE"""),1)</f>
        <v>1</v>
      </c>
      <c r="I1215" s="97">
        <f ca="1">IFERROR(__xludf.DUMMYFUNCTION("""COMPUTED_VALUE"""),46189)</f>
        <v>46189</v>
      </c>
      <c r="J1215" s="98" t="str">
        <f ca="1">IFERROR(__xludf.DUMMYFUNCTION("""COMPUTED_VALUE"""),"CW36737_Jun26")</f>
        <v>CW36737_Jun26</v>
      </c>
      <c r="K1215" s="99" t="str">
        <f ca="1">IFERROR(__xludf.DUMMYFUNCTION("""COMPUTED_VALUE"""),"HoM Approved")</f>
        <v>HoM Approved</v>
      </c>
    </row>
    <row r="1216" spans="1:11" ht="13.2">
      <c r="A1216" s="89" t="str">
        <f ca="1">IFERROR(__xludf.DUMMYFUNCTION("""COMPUTED_VALUE"""),"Rainbow Paints Water Based Putty")</f>
        <v>Rainbow Paints Water Based Putty</v>
      </c>
      <c r="B1216" s="90" t="str">
        <f ca="1">IFERROR(__xludf.DUMMYFUNCTION("""COMPUTED_VALUE"""),"MLIL")</f>
        <v>MLIL</v>
      </c>
      <c r="C1216" s="91" t="str">
        <f ca="1">IFERROR(__xludf.DUMMYFUNCTION("""COMPUTED_VALUE"""),"Asif Vai")</f>
        <v>Asif Vai</v>
      </c>
      <c r="D1216" s="92" t="str">
        <f ca="1">IFERROR(__xludf.DUMMYFUNCTION("""COMPUTED_VALUE"""),"Md. Azizul Hakim (S223035)")</f>
        <v>Md. Azizul Hakim (S223035)</v>
      </c>
      <c r="E1216" s="93" t="str">
        <f ca="1">IFERROR(__xludf.DUMMYFUNCTION("""COMPUTED_VALUE"""),"CB23521_May26")</f>
        <v>CB23521_May26</v>
      </c>
      <c r="F1216" s="94" t="str">
        <f ca="1">IFERROR(__xludf.DUMMYFUNCTION("""COMPUTED_VALUE"""),"Flyer/Brochure/Banner Output")</f>
        <v>Flyer/Brochure/Banner Output</v>
      </c>
      <c r="G1216" s="95" t="str">
        <f ca="1">IFERROR(__xludf.DUMMYFUNCTION("""COMPUTED_VALUE"""),"New")</f>
        <v>New</v>
      </c>
      <c r="H1216" s="96">
        <f ca="1">IFERROR(__xludf.DUMMYFUNCTION("""COMPUTED_VALUE"""),1)</f>
        <v>1</v>
      </c>
      <c r="I1216" s="97">
        <f ca="1">IFERROR(__xludf.DUMMYFUNCTION("""COMPUTED_VALUE"""),46189)</f>
        <v>46189</v>
      </c>
      <c r="J1216" s="98" t="str">
        <f ca="1">IFERROR(__xludf.DUMMYFUNCTION("""COMPUTED_VALUE"""),"CW36796_Jun26")</f>
        <v>CW36796_Jun26</v>
      </c>
      <c r="K1216" s="99" t="str">
        <f ca="1">IFERROR(__xludf.DUMMYFUNCTION("""COMPUTED_VALUE"""),"HoM Approved")</f>
        <v>HoM Approved</v>
      </c>
    </row>
    <row r="1217" spans="1:11" ht="13.2">
      <c r="A1217" s="89" t="str">
        <f ca="1">IFERROR(__xludf.DUMMYFUNCTION("""COMPUTED_VALUE"""),"Rainbow Paints Water Based Sealer")</f>
        <v>Rainbow Paints Water Based Sealer</v>
      </c>
      <c r="B1217" s="90" t="str">
        <f ca="1">IFERROR(__xludf.DUMMYFUNCTION("""COMPUTED_VALUE"""),"MLIL")</f>
        <v>MLIL</v>
      </c>
      <c r="C1217" s="91" t="str">
        <f ca="1">IFERROR(__xludf.DUMMYFUNCTION("""COMPUTED_VALUE"""),"Asif Vai")</f>
        <v>Asif Vai</v>
      </c>
      <c r="D1217" s="92" t="str">
        <f ca="1">IFERROR(__xludf.DUMMYFUNCTION("""COMPUTED_VALUE"""),"Md. Azizul Hakim (S223035)")</f>
        <v>Md. Azizul Hakim (S223035)</v>
      </c>
      <c r="E1217" s="93" t="str">
        <f ca="1">IFERROR(__xludf.DUMMYFUNCTION("""COMPUTED_VALUE"""),"CB18822_Mar26")</f>
        <v>CB18822_Mar26</v>
      </c>
      <c r="F1217" s="94" t="str">
        <f ca="1">IFERROR(__xludf.DUMMYFUNCTION("""COMPUTED_VALUE"""),"Flyer/Brochure/Banner Output")</f>
        <v>Flyer/Brochure/Banner Output</v>
      </c>
      <c r="G1217" s="95" t="str">
        <f ca="1">IFERROR(__xludf.DUMMYFUNCTION("""COMPUTED_VALUE"""),"New")</f>
        <v>New</v>
      </c>
      <c r="H1217" s="96">
        <f ca="1">IFERROR(__xludf.DUMMYFUNCTION("""COMPUTED_VALUE"""),1)</f>
        <v>1</v>
      </c>
      <c r="I1217" s="97">
        <f ca="1">IFERROR(__xludf.DUMMYFUNCTION("""COMPUTED_VALUE"""),46189)</f>
        <v>46189</v>
      </c>
      <c r="J1217" s="98" t="str">
        <f ca="1">IFERROR(__xludf.DUMMYFUNCTION("""COMPUTED_VALUE"""),"CW36798_Jun26")</f>
        <v>CW36798_Jun26</v>
      </c>
      <c r="K1217" s="99" t="str">
        <f ca="1">IFERROR(__xludf.DUMMYFUNCTION("""COMPUTED_VALUE"""),"HoM Approved")</f>
        <v>HoM Approved</v>
      </c>
    </row>
    <row r="1218" spans="1:11" ht="13.2">
      <c r="A1218" s="89" t="str">
        <f ca="1">IFERROR(__xludf.DUMMYFUNCTION("""COMPUTED_VALUE"""),"PRAN POTATA SPICY FLAVOURED BISCUITS")</f>
        <v>PRAN POTATA SPICY FLAVOURED BISCUITS</v>
      </c>
      <c r="B1218" s="90" t="str">
        <f ca="1">IFERROR(__xludf.DUMMYFUNCTION("""COMPUTED_VALUE"""),"Philippines")</f>
        <v>Philippines</v>
      </c>
      <c r="C1218" s="91" t="str">
        <f ca="1">IFERROR(__xludf.DUMMYFUNCTION("""COMPUTED_VALUE"""),"Farjana Apu")</f>
        <v>Farjana Apu</v>
      </c>
      <c r="D1218" s="92" t="str">
        <f ca="1">IFERROR(__xludf.DUMMYFUNCTION("""COMPUTED_VALUE"""),"Md. Azizul Hakim (S223035)")</f>
        <v>Md. Azizul Hakim (S223035)</v>
      </c>
      <c r="E1218" s="93" t="str">
        <f ca="1">IFERROR(__xludf.DUMMYFUNCTION("""COMPUTED_VALUE"""),"CB36612_Jun26")</f>
        <v>CB36612_Jun26</v>
      </c>
      <c r="F1218" s="94" t="str">
        <f ca="1">IFERROR(__xludf.DUMMYFUNCTION("""COMPUTED_VALUE"""),"Packaging Text Design #1")</f>
        <v>Packaging Text Design #1</v>
      </c>
      <c r="G1218" s="95" t="str">
        <f ca="1">IFERROR(__xludf.DUMMYFUNCTION("""COMPUTED_VALUE"""),"New")</f>
        <v>New</v>
      </c>
      <c r="H1218" s="96">
        <f ca="1">IFERROR(__xludf.DUMMYFUNCTION("""COMPUTED_VALUE"""),1)</f>
        <v>1</v>
      </c>
      <c r="I1218" s="97">
        <f ca="1">IFERROR(__xludf.DUMMYFUNCTION("""COMPUTED_VALUE"""),46192)</f>
        <v>46192</v>
      </c>
      <c r="J1218" s="98" t="str">
        <f ca="1">IFERROR(__xludf.DUMMYFUNCTION("""COMPUTED_VALUE"""),"CW37206_Jun26")</f>
        <v>CW37206_Jun26</v>
      </c>
      <c r="K1218" s="99" t="str">
        <f ca="1">IFERROR(__xludf.DUMMYFUNCTION("""COMPUTED_VALUE"""),"HoM Approved")</f>
        <v>HoM Approved</v>
      </c>
    </row>
    <row r="1219" spans="1:11" ht="13.2">
      <c r="A1219" s="89" t="str">
        <f ca="1">IFERROR(__xludf.DUMMYFUNCTION("""COMPUTED_VALUE"""),"All Time Borfi cookies")</f>
        <v>All Time Borfi cookies</v>
      </c>
      <c r="B1219" s="90" t="str">
        <f ca="1">IFERROR(__xludf.DUMMYFUNCTION("""COMPUTED_VALUE"""),"BBL")</f>
        <v>BBL</v>
      </c>
      <c r="C1219" s="91" t="str">
        <f ca="1">IFERROR(__xludf.DUMMYFUNCTION("""COMPUTED_VALUE"""),"Afrin Apu")</f>
        <v>Afrin Apu</v>
      </c>
      <c r="D1219" s="92" t="str">
        <f ca="1">IFERROR(__xludf.DUMMYFUNCTION("""COMPUTED_VALUE"""),"Md. Azizul Hakim (S223035)")</f>
        <v>Md. Azizul Hakim (S223035)</v>
      </c>
      <c r="E1219" s="93" t="str">
        <f ca="1">IFERROR(__xludf.DUMMYFUNCTION("""COMPUTED_VALUE"""),"CB23782_May26")</f>
        <v>CB23782_May26</v>
      </c>
      <c r="F1219" s="94" t="str">
        <f ca="1">IFERROR(__xludf.DUMMYFUNCTION("""COMPUTED_VALUE"""),"Packaging Text Design #2")</f>
        <v>Packaging Text Design #2</v>
      </c>
      <c r="G1219" s="95" t="str">
        <f ca="1">IFERROR(__xludf.DUMMYFUNCTION("""COMPUTED_VALUE"""),"New")</f>
        <v>New</v>
      </c>
      <c r="H1219" s="96">
        <f ca="1">IFERROR(__xludf.DUMMYFUNCTION("""COMPUTED_VALUE"""),1)</f>
        <v>1</v>
      </c>
      <c r="I1219" s="97">
        <f ca="1">IFERROR(__xludf.DUMMYFUNCTION("""COMPUTED_VALUE"""),46191)</f>
        <v>46191</v>
      </c>
      <c r="J1219" s="98" t="str">
        <f ca="1">IFERROR(__xludf.DUMMYFUNCTION("""COMPUTED_VALUE"""),"CW37041_Jun26")</f>
        <v>CW37041_Jun26</v>
      </c>
      <c r="K1219" s="99" t="str">
        <f ca="1">IFERROR(__xludf.DUMMYFUNCTION("""COMPUTED_VALUE"""),"HoM Approved")</f>
        <v>HoM Approved</v>
      </c>
    </row>
    <row r="1220" spans="1:11" ht="13.2">
      <c r="A1220" s="89" t="str">
        <f ca="1">IFERROR(__xludf.DUMMYFUNCTION("""COMPUTED_VALUE"""),"Jim &amp; Jolly Bubble Bucket Blaster Sticker Lebel")</f>
        <v>Jim &amp; Jolly Bubble Bucket Blaster Sticker Lebel</v>
      </c>
      <c r="B1220" s="90" t="str">
        <f ca="1">IFERROR(__xludf.DUMMYFUNCTION("""COMPUTED_VALUE"""),"DPL")</f>
        <v>DPL</v>
      </c>
      <c r="C1220" s="91" t="str">
        <f ca="1">IFERROR(__xludf.DUMMYFUNCTION("""COMPUTED_VALUE"""),"Sohan Vai")</f>
        <v>Sohan Vai</v>
      </c>
      <c r="D1220" s="92" t="str">
        <f ca="1">IFERROR(__xludf.DUMMYFUNCTION("""COMPUTED_VALUE"""),"Md. Azizul Hakim (S223035)")</f>
        <v>Md. Azizul Hakim (S223035)</v>
      </c>
      <c r="E1220" s="93" t="str">
        <f ca="1">IFERROR(__xludf.DUMMYFUNCTION("""COMPUTED_VALUE"""),"CB36182_Jun26")</f>
        <v>CB36182_Jun26</v>
      </c>
      <c r="F1220" s="94" t="str">
        <f ca="1">IFERROR(__xludf.DUMMYFUNCTION("""COMPUTED_VALUE"""),"JAR Label Sticker Output")</f>
        <v>JAR Label Sticker Output</v>
      </c>
      <c r="G1220" s="95" t="str">
        <f ca="1">IFERROR(__xludf.DUMMYFUNCTION("""COMPUTED_VALUE"""),"New")</f>
        <v>New</v>
      </c>
      <c r="H1220" s="96">
        <f ca="1">IFERROR(__xludf.DUMMYFUNCTION("""COMPUTED_VALUE"""),1)</f>
        <v>1</v>
      </c>
      <c r="I1220" s="97">
        <f ca="1">IFERROR(__xludf.DUMMYFUNCTION("""COMPUTED_VALUE"""),46191)</f>
        <v>46191</v>
      </c>
      <c r="J1220" s="98" t="str">
        <f ca="1">IFERROR(__xludf.DUMMYFUNCTION("""COMPUTED_VALUE"""),"CW37083_Jun26")</f>
        <v>CW37083_Jun26</v>
      </c>
      <c r="K1220" s="99" t="str">
        <f ca="1">IFERROR(__xludf.DUMMYFUNCTION("""COMPUTED_VALUE"""),"HoM Approved")</f>
        <v>HoM Approved</v>
      </c>
    </row>
    <row r="1221" spans="1:11" ht="13.2">
      <c r="A1221" s="89" t="str">
        <f ca="1">IFERROR(__xludf.DUMMYFUNCTION("""COMPUTED_VALUE"""),"Teasty Treat Fermented Milk Tok Doi")</f>
        <v>Teasty Treat Fermented Milk Tok Doi</v>
      </c>
      <c r="B1221" s="90" t="str">
        <f ca="1">IFERROR(__xludf.DUMMYFUNCTION("""COMPUTED_VALUE"""),"Tasty Treat")</f>
        <v>Tasty Treat</v>
      </c>
      <c r="C1221" s="91" t="str">
        <f ca="1">IFERROR(__xludf.DUMMYFUNCTION("""COMPUTED_VALUE"""),"Shubhankar Vai")</f>
        <v>Shubhankar Vai</v>
      </c>
      <c r="D1221" s="92" t="str">
        <f ca="1">IFERROR(__xludf.DUMMYFUNCTION("""COMPUTED_VALUE"""),"Md. Azizul Hakim (S223035)")</f>
        <v>Md. Azizul Hakim (S223035)</v>
      </c>
      <c r="E1221" s="93" t="str">
        <f ca="1">IFERROR(__xludf.DUMMYFUNCTION("""COMPUTED_VALUE"""),"CB36368_Jun26")</f>
        <v>CB36368_Jun26</v>
      </c>
      <c r="F1221" s="94" t="str">
        <f ca="1">IFERROR(__xludf.DUMMYFUNCTION("""COMPUTED_VALUE"""),"Leaflet/Poster Output")</f>
        <v>Leaflet/Poster Output</v>
      </c>
      <c r="G1221" s="95" t="str">
        <f ca="1">IFERROR(__xludf.DUMMYFUNCTION("""COMPUTED_VALUE"""),"New")</f>
        <v>New</v>
      </c>
      <c r="H1221" s="96">
        <f ca="1">IFERROR(__xludf.DUMMYFUNCTION("""COMPUTED_VALUE"""),1)</f>
        <v>1</v>
      </c>
      <c r="I1221" s="97">
        <f ca="1">IFERROR(__xludf.DUMMYFUNCTION("""COMPUTED_VALUE"""),46191)</f>
        <v>46191</v>
      </c>
      <c r="J1221" s="98" t="str">
        <f ca="1">IFERROR(__xludf.DUMMYFUNCTION("""COMPUTED_VALUE"""),"CW37081_Jun26")</f>
        <v>CW37081_Jun26</v>
      </c>
      <c r="K1221" s="99" t="str">
        <f ca="1">IFERROR(__xludf.DUMMYFUNCTION("""COMPUTED_VALUE"""),"HoM Approved")</f>
        <v>HoM Approved</v>
      </c>
    </row>
    <row r="1222" spans="1:11" ht="13.2">
      <c r="A1222" s="89" t="str">
        <f ca="1">IFERROR(__xludf.DUMMYFUNCTION("""COMPUTED_VALUE"""),"PRAN MANGO DRINK  Sticker")</f>
        <v>PRAN MANGO DRINK  Sticker</v>
      </c>
      <c r="B1222" s="90" t="str">
        <f ca="1">IFERROR(__xludf.DUMMYFUNCTION("""COMPUTED_VALUE"""),"AMCL")</f>
        <v>AMCL</v>
      </c>
      <c r="C1222" s="91" t="str">
        <f ca="1">IFERROR(__xludf.DUMMYFUNCTION("""COMPUTED_VALUE"""),"Sharika Apu")</f>
        <v>Sharika Apu</v>
      </c>
      <c r="D1222" s="92" t="str">
        <f ca="1">IFERROR(__xludf.DUMMYFUNCTION("""COMPUTED_VALUE"""),"Md. Azizul Hakim (S223035)")</f>
        <v>Md. Azizul Hakim (S223035)</v>
      </c>
      <c r="E1222" s="93" t="str">
        <f ca="1">IFERROR(__xludf.DUMMYFUNCTION("""COMPUTED_VALUE"""),"CB36656_Jun26")</f>
        <v>CB36656_Jun26</v>
      </c>
      <c r="F1222" s="94" t="str">
        <f ca="1">IFERROR(__xludf.DUMMYFUNCTION("""COMPUTED_VALUE"""),"Text Sticker Design #1")</f>
        <v>Text Sticker Design #1</v>
      </c>
      <c r="G1222" s="95" t="str">
        <f ca="1">IFERROR(__xludf.DUMMYFUNCTION("""COMPUTED_VALUE"""),"New")</f>
        <v>New</v>
      </c>
      <c r="H1222" s="96">
        <f ca="1">IFERROR(__xludf.DUMMYFUNCTION("""COMPUTED_VALUE"""),3)</f>
        <v>3</v>
      </c>
      <c r="I1222" s="97">
        <f ca="1">IFERROR(__xludf.DUMMYFUNCTION("""COMPUTED_VALUE"""),46192)</f>
        <v>46192</v>
      </c>
      <c r="J1222" s="98" t="str">
        <f ca="1">IFERROR(__xludf.DUMMYFUNCTION("""COMPUTED_VALUE"""),"CW37203_Jun26")</f>
        <v>CW37203_Jun26</v>
      </c>
      <c r="K1222" s="99" t="str">
        <f ca="1">IFERROR(__xludf.DUMMYFUNCTION("""COMPUTED_VALUE"""),"HoM Approved")</f>
        <v>HoM Approved</v>
      </c>
    </row>
    <row r="1223" spans="1:11" ht="13.2">
      <c r="A1223" s="89" t="str">
        <f ca="1">IFERROR(__xludf.DUMMYFUNCTION("""COMPUTED_VALUE"""),"Humza Importer Sticker")</f>
        <v>Humza Importer Sticker</v>
      </c>
      <c r="B1223" s="90" t="str">
        <f ca="1">IFERROR(__xludf.DUMMYFUNCTION("""COMPUTED_VALUE"""),"Export Common")</f>
        <v>Export Common</v>
      </c>
      <c r="C1223" s="91" t="str">
        <f ca="1">IFERROR(__xludf.DUMMYFUNCTION("""COMPUTED_VALUE"""),"Saifullah Vai")</f>
        <v>Saifullah Vai</v>
      </c>
      <c r="D1223" s="92" t="str">
        <f ca="1">IFERROR(__xludf.DUMMYFUNCTION("""COMPUTED_VALUE"""),"Md. Azizul Hakim (S223035)")</f>
        <v>Md. Azizul Hakim (S223035)</v>
      </c>
      <c r="E1223" s="93" t="str">
        <f ca="1">IFERROR(__xludf.DUMMYFUNCTION("""COMPUTED_VALUE"""),"CB36706_Jun26")</f>
        <v>CB36706_Jun26</v>
      </c>
      <c r="F1223" s="94" t="str">
        <f ca="1">IFERROR(__xludf.DUMMYFUNCTION("""COMPUTED_VALUE"""),"Text Sticker Design #2")</f>
        <v>Text Sticker Design #2</v>
      </c>
      <c r="G1223" s="95" t="str">
        <f ca="1">IFERROR(__xludf.DUMMYFUNCTION("""COMPUTED_VALUE"""),"New")</f>
        <v>New</v>
      </c>
      <c r="H1223" s="96">
        <f ca="1">IFERROR(__xludf.DUMMYFUNCTION("""COMPUTED_VALUE"""),5)</f>
        <v>5</v>
      </c>
      <c r="I1223" s="97">
        <f ca="1">IFERROR(__xludf.DUMMYFUNCTION("""COMPUTED_VALUE"""),46192)</f>
        <v>46192</v>
      </c>
      <c r="J1223" s="98" t="str">
        <f ca="1">IFERROR(__xludf.DUMMYFUNCTION("""COMPUTED_VALUE"""),"CW37204_Jun26")</f>
        <v>CW37204_Jun26</v>
      </c>
      <c r="K1223" s="99" t="str">
        <f ca="1">IFERROR(__xludf.DUMMYFUNCTION("""COMPUTED_VALUE"""),"HoM Approved")</f>
        <v>HoM Approved</v>
      </c>
    </row>
    <row r="1224" spans="1:11" ht="13.2">
      <c r="A1224" s="89" t="str">
        <f ca="1">IFERROR(__xludf.DUMMYFUNCTION("""COMPUTED_VALUE"""),"ALL TIME WOW POTATA ORIGINAL BISCUITS 15G")</f>
        <v>ALL TIME WOW POTATA ORIGINAL BISCUITS 15G</v>
      </c>
      <c r="B1224" s="90" t="str">
        <f ca="1">IFERROR(__xludf.DUMMYFUNCTION("""COMPUTED_VALUE"""),"Philippines")</f>
        <v>Philippines</v>
      </c>
      <c r="C1224" s="91" t="str">
        <f ca="1">IFERROR(__xludf.DUMMYFUNCTION("""COMPUTED_VALUE"""),"Farjana Apu")</f>
        <v>Farjana Apu</v>
      </c>
      <c r="D1224" s="92" t="str">
        <f ca="1">IFERROR(__xludf.DUMMYFUNCTION("""COMPUTED_VALUE"""),"Md. Azizul Hakim (S223035)")</f>
        <v>Md. Azizul Hakim (S223035)</v>
      </c>
      <c r="E1224" s="93" t="str">
        <f ca="1">IFERROR(__xludf.DUMMYFUNCTION("""COMPUTED_VALUE"""),"CB36691_Jun26")</f>
        <v>CB36691_Jun26</v>
      </c>
      <c r="F1224" s="94" t="str">
        <f ca="1">IFERROR(__xludf.DUMMYFUNCTION("""COMPUTED_VALUE"""),"Packaging Text Design #1")</f>
        <v>Packaging Text Design #1</v>
      </c>
      <c r="G1224" s="95" t="str">
        <f ca="1">IFERROR(__xludf.DUMMYFUNCTION("""COMPUTED_VALUE"""),"New")</f>
        <v>New</v>
      </c>
      <c r="H1224" s="96">
        <f ca="1">IFERROR(__xludf.DUMMYFUNCTION("""COMPUTED_VALUE"""),1)</f>
        <v>1</v>
      </c>
      <c r="I1224" s="97">
        <f ca="1">IFERROR(__xludf.DUMMYFUNCTION("""COMPUTED_VALUE"""),46192)</f>
        <v>46192</v>
      </c>
      <c r="J1224" s="98" t="str">
        <f ca="1">IFERROR(__xludf.DUMMYFUNCTION("""COMPUTED_VALUE"""),"CW37205_Jun26")</f>
        <v>CW37205_Jun26</v>
      </c>
      <c r="K1224" s="99" t="str">
        <f ca="1">IFERROR(__xludf.DUMMYFUNCTION("""COMPUTED_VALUE"""),"HoM Approved")</f>
        <v>HoM Approved</v>
      </c>
    </row>
    <row r="1225" spans="1:11" ht="13.2">
      <c r="A1225" s="89" t="str">
        <f ca="1">IFERROR(__xludf.DUMMYFUNCTION("""COMPUTED_VALUE"""),"PRAN POTATA SPICY FLAVOURED BISCUITS")</f>
        <v>PRAN POTATA SPICY FLAVOURED BISCUITS</v>
      </c>
      <c r="B1225" s="90" t="str">
        <f ca="1">IFERROR(__xludf.DUMMYFUNCTION("""COMPUTED_VALUE"""),"Philippines")</f>
        <v>Philippines</v>
      </c>
      <c r="C1225" s="91" t="str">
        <f ca="1">IFERROR(__xludf.DUMMYFUNCTION("""COMPUTED_VALUE"""),"Farjana Apu")</f>
        <v>Farjana Apu</v>
      </c>
      <c r="D1225" s="92" t="str">
        <f ca="1">IFERROR(__xludf.DUMMYFUNCTION("""COMPUTED_VALUE"""),"Md. Azizul Hakim (S223035)")</f>
        <v>Md. Azizul Hakim (S223035)</v>
      </c>
      <c r="E1225" s="93" t="str">
        <f ca="1">IFERROR(__xludf.DUMMYFUNCTION("""COMPUTED_VALUE"""),"CB36612_Jun26")</f>
        <v>CB36612_Jun26</v>
      </c>
      <c r="F1225" s="94" t="str">
        <f ca="1">IFERROR(__xludf.DUMMYFUNCTION("""COMPUTED_VALUE"""),"Packaging Text Design #1")</f>
        <v>Packaging Text Design #1</v>
      </c>
      <c r="G1225" s="95" t="str">
        <f ca="1">IFERROR(__xludf.DUMMYFUNCTION("""COMPUTED_VALUE"""),"New")</f>
        <v>New</v>
      </c>
      <c r="H1225" s="96">
        <f ca="1">IFERROR(__xludf.DUMMYFUNCTION("""COMPUTED_VALUE"""),1)</f>
        <v>1</v>
      </c>
      <c r="I1225" s="97">
        <f ca="1">IFERROR(__xludf.DUMMYFUNCTION("""COMPUTED_VALUE"""),46192)</f>
        <v>46192</v>
      </c>
      <c r="J1225" s="98" t="str">
        <f ca="1">IFERROR(__xludf.DUMMYFUNCTION("""COMPUTED_VALUE"""),"CW37206_Jun26")</f>
        <v>CW37206_Jun26</v>
      </c>
      <c r="K1225" s="99" t="str">
        <f ca="1">IFERROR(__xludf.DUMMYFUNCTION("""COMPUTED_VALUE"""),"HoM Approved")</f>
        <v>HoM Approved</v>
      </c>
    </row>
    <row r="1226" spans="1:11" ht="13.2">
      <c r="A1226" s="89" t="str">
        <f ca="1">IFERROR(__xludf.DUMMYFUNCTION("""COMPUTED_VALUE"""),"HURRAY GEMS CHOCOLATE (11G x 24 pcs)")</f>
        <v>HURRAY GEMS CHOCOLATE (11G x 24 pcs)</v>
      </c>
      <c r="B1226" s="90" t="str">
        <f ca="1">IFERROR(__xludf.DUMMYFUNCTION("""COMPUTED_VALUE"""),"Philippines")</f>
        <v>Philippines</v>
      </c>
      <c r="C1226" s="91" t="str">
        <f ca="1">IFERROR(__xludf.DUMMYFUNCTION("""COMPUTED_VALUE"""),"Farjana Apu")</f>
        <v>Farjana Apu</v>
      </c>
      <c r="D1226" s="92" t="str">
        <f ca="1">IFERROR(__xludf.DUMMYFUNCTION("""COMPUTED_VALUE"""),"Md. Azizul Hakim (S223035)")</f>
        <v>Md. Azizul Hakim (S223035)</v>
      </c>
      <c r="E1226" s="93" t="str">
        <f ca="1">IFERROR(__xludf.DUMMYFUNCTION("""COMPUTED_VALUE"""),"CB36570_Jun26")</f>
        <v>CB36570_Jun26</v>
      </c>
      <c r="F1226" s="94" t="str">
        <f ca="1">IFERROR(__xludf.DUMMYFUNCTION("""COMPUTED_VALUE"""),"Packaging Text Design #1")</f>
        <v>Packaging Text Design #1</v>
      </c>
      <c r="G1226" s="95" t="str">
        <f ca="1">IFERROR(__xludf.DUMMYFUNCTION("""COMPUTED_VALUE"""),"New")</f>
        <v>New</v>
      </c>
      <c r="H1226" s="96">
        <f ca="1">IFERROR(__xludf.DUMMYFUNCTION("""COMPUTED_VALUE"""),1)</f>
        <v>1</v>
      </c>
      <c r="I1226" s="97">
        <f ca="1">IFERROR(__xludf.DUMMYFUNCTION("""COMPUTED_VALUE"""),46192)</f>
        <v>46192</v>
      </c>
      <c r="J1226" s="98" t="str">
        <f ca="1">IFERROR(__xludf.DUMMYFUNCTION("""COMPUTED_VALUE"""),"CW37208_Jun26")</f>
        <v>CW37208_Jun26</v>
      </c>
      <c r="K1226" s="99" t="str">
        <f ca="1">IFERROR(__xludf.DUMMYFUNCTION("""COMPUTED_VALUE"""),"HoM Approved")</f>
        <v>HoM Approved</v>
      </c>
    </row>
    <row r="1227" spans="1:11" ht="13.2">
      <c r="A1227" s="89" t="str">
        <f ca="1">IFERROR(__xludf.DUMMYFUNCTION("""COMPUTED_VALUE"""),"SUPPORT PE FOAM All Size")</f>
        <v>SUPPORT PE FOAM All Size</v>
      </c>
      <c r="B1227" s="90" t="str">
        <f ca="1">IFERROR(__xludf.DUMMYFUNCTION("""COMPUTED_VALUE"""),"BBMT")</f>
        <v>BBMT</v>
      </c>
      <c r="C1227" s="91" t="str">
        <f ca="1">IFERROR(__xludf.DUMMYFUNCTION("""COMPUTED_VALUE"""),"Sanjan Vai")</f>
        <v>Sanjan Vai</v>
      </c>
      <c r="D1227" s="92" t="str">
        <f ca="1">IFERROR(__xludf.DUMMYFUNCTION("""COMPUTED_VALUE"""),"Md. Azizul Hakim (S223035)")</f>
        <v>Md. Azizul Hakim (S223035)</v>
      </c>
      <c r="E1227" s="93" t="str">
        <f ca="1">IFERROR(__xludf.DUMMYFUNCTION("""COMPUTED_VALUE"""),"CB36839_Jun26")</f>
        <v>CB36839_Jun26</v>
      </c>
      <c r="F1227" s="94" t="str">
        <f ca="1">IFERROR(__xludf.DUMMYFUNCTION("""COMPUTED_VALUE"""),"Flyer/Brochure/Banner Output")</f>
        <v>Flyer/Brochure/Banner Output</v>
      </c>
      <c r="G1227" s="95" t="str">
        <f ca="1">IFERROR(__xludf.DUMMYFUNCTION("""COMPUTED_VALUE"""),"New")</f>
        <v>New</v>
      </c>
      <c r="H1227" s="96">
        <f ca="1">IFERROR(__xludf.DUMMYFUNCTION("""COMPUTED_VALUE"""),7)</f>
        <v>7</v>
      </c>
      <c r="I1227" s="97">
        <f ca="1">IFERROR(__xludf.DUMMYFUNCTION("""COMPUTED_VALUE"""),46193)</f>
        <v>46193</v>
      </c>
      <c r="J1227" s="98" t="str">
        <f ca="1">IFERROR(__xludf.DUMMYFUNCTION("""COMPUTED_VALUE"""),"CW37289_Jun26")</f>
        <v>CW37289_Jun26</v>
      </c>
      <c r="K1227" s="99" t="str">
        <f ca="1">IFERROR(__xludf.DUMMYFUNCTION("""COMPUTED_VALUE"""),"Brief Submitted")</f>
        <v>Brief Submitted</v>
      </c>
    </row>
    <row r="1228" spans="1:11" ht="13.2">
      <c r="A1228" s="89" t="str">
        <f ca="1">IFERROR(__xludf.DUMMYFUNCTION("""COMPUTED_VALUE"""),"Jolpai Achar 400g for KSA")</f>
        <v>Jolpai Achar 400g for KSA</v>
      </c>
      <c r="B1228" s="90" t="str">
        <f ca="1">IFERROR(__xludf.DUMMYFUNCTION("""COMPUTED_VALUE"""),"PAL")</f>
        <v>PAL</v>
      </c>
      <c r="C1228" s="91" t="str">
        <f ca="1">IFERROR(__xludf.DUMMYFUNCTION("""COMPUTED_VALUE"""),"Shamsul Sir")</f>
        <v>Shamsul Sir</v>
      </c>
      <c r="D1228" s="92" t="str">
        <f ca="1">IFERROR(__xludf.DUMMYFUNCTION("""COMPUTED_VALUE"""),"Md. Azizul Hakim (S223035)")</f>
        <v>Md. Azizul Hakim (S223035)</v>
      </c>
      <c r="E1228" s="93" t="str">
        <f ca="1">IFERROR(__xludf.DUMMYFUNCTION("""COMPUTED_VALUE"""),"CB36934_Jun26")</f>
        <v>CB36934_Jun26</v>
      </c>
      <c r="F1228" s="94" t="str">
        <f ca="1">IFERROR(__xludf.DUMMYFUNCTION("""COMPUTED_VALUE"""),"JAR Label Sticker Output")</f>
        <v>JAR Label Sticker Output</v>
      </c>
      <c r="G1228" s="95" t="str">
        <f ca="1">IFERROR(__xludf.DUMMYFUNCTION("""COMPUTED_VALUE"""),"New")</f>
        <v>New</v>
      </c>
      <c r="H1228" s="96">
        <f ca="1">IFERROR(__xludf.DUMMYFUNCTION("""COMPUTED_VALUE"""),1)</f>
        <v>1</v>
      </c>
      <c r="I1228" s="97">
        <f ca="1">IFERROR(__xludf.DUMMYFUNCTION("""COMPUTED_VALUE"""),46193)</f>
        <v>46193</v>
      </c>
      <c r="J1228" s="98" t="str">
        <f ca="1">IFERROR(__xludf.DUMMYFUNCTION("""COMPUTED_VALUE"""),"CW37313_Jun26")</f>
        <v>CW37313_Jun26</v>
      </c>
      <c r="K1228" s="99" t="str">
        <f ca="1">IFERROR(__xludf.DUMMYFUNCTION("""COMPUTED_VALUE"""),"Brief Submitted")</f>
        <v>Brief Submitted</v>
      </c>
    </row>
    <row r="1229" spans="1:11" ht="13.2">
      <c r="A1229" s="89" t="str">
        <f ca="1">IFERROR(__xludf.DUMMYFUNCTION("""COMPUTED_VALUE"""),"Asian Food Group Importer Sticker")</f>
        <v>Asian Food Group Importer Sticker</v>
      </c>
      <c r="B1229" s="90" t="str">
        <f ca="1">IFERROR(__xludf.DUMMYFUNCTION("""COMPUTED_VALUE"""),"Export Common")</f>
        <v>Export Common</v>
      </c>
      <c r="C1229" s="91" t="str">
        <f ca="1">IFERROR(__xludf.DUMMYFUNCTION("""COMPUTED_VALUE"""),"Saifullah Vai")</f>
        <v>Saifullah Vai</v>
      </c>
      <c r="D1229" s="92" t="str">
        <f ca="1">IFERROR(__xludf.DUMMYFUNCTION("""COMPUTED_VALUE"""),"Md. Azizul Hakim (S223035)")</f>
        <v>Md. Azizul Hakim (S223035)</v>
      </c>
      <c r="E1229" s="93" t="str">
        <f ca="1">IFERROR(__xludf.DUMMYFUNCTION("""COMPUTED_VALUE"""),"CB36707_Jun26")</f>
        <v>CB36707_Jun26</v>
      </c>
      <c r="F1229" s="94" t="str">
        <f ca="1">IFERROR(__xludf.DUMMYFUNCTION("""COMPUTED_VALUE"""),"Text Sticker Design #1")</f>
        <v>Text Sticker Design #1</v>
      </c>
      <c r="G1229" s="95" t="str">
        <f ca="1">IFERROR(__xludf.DUMMYFUNCTION("""COMPUTED_VALUE"""),"New")</f>
        <v>New</v>
      </c>
      <c r="H1229" s="96">
        <f ca="1">IFERROR(__xludf.DUMMYFUNCTION("""COMPUTED_VALUE"""),16)</f>
        <v>16</v>
      </c>
      <c r="I1229" s="97">
        <f ca="1">IFERROR(__xludf.DUMMYFUNCTION("""COMPUTED_VALUE"""),46193)</f>
        <v>46193</v>
      </c>
      <c r="J1229" s="98" t="str">
        <f ca="1">IFERROR(__xludf.DUMMYFUNCTION("""COMPUTED_VALUE"""),"CW37314_Jun26")</f>
        <v>CW37314_Jun26</v>
      </c>
      <c r="K1229" s="99" t="str">
        <f ca="1">IFERROR(__xludf.DUMMYFUNCTION("""COMPUTED_VALUE"""),"Brief Submitted")</f>
        <v>Brief Submitted</v>
      </c>
    </row>
    <row r="1230" spans="1:11" ht="13.2">
      <c r="A1230" s="89" t="str">
        <f ca="1">IFERROR(__xludf.DUMMYFUNCTION("""COMPUTED_VALUE"""),"Jim &amp; Jolly_Sand Sieve Tag")</f>
        <v>Jim &amp; Jolly_Sand Sieve Tag</v>
      </c>
      <c r="B1230" s="90" t="str">
        <f ca="1">IFERROR(__xludf.DUMMYFUNCTION("""COMPUTED_VALUE"""),"DPL")</f>
        <v>DPL</v>
      </c>
      <c r="C1230" s="91" t="str">
        <f ca="1">IFERROR(__xludf.DUMMYFUNCTION("""COMPUTED_VALUE"""),"Sohan Vai")</f>
        <v>Sohan Vai</v>
      </c>
      <c r="D1230" s="92" t="str">
        <f ca="1">IFERROR(__xludf.DUMMYFUNCTION("""COMPUTED_VALUE"""),"Md. Azizul Hakim (S223035)")</f>
        <v>Md. Azizul Hakim (S223035)</v>
      </c>
      <c r="E1230" s="93" t="str">
        <f ca="1">IFERROR(__xludf.DUMMYFUNCTION("""COMPUTED_VALUE"""),"CB37096_Jun26")</f>
        <v>CB37096_Jun26</v>
      </c>
      <c r="F1230" s="94" t="str">
        <f ca="1">IFERROR(__xludf.DUMMYFUNCTION("""COMPUTED_VALUE"""),"Flyer/Brochure/Banner Output")</f>
        <v>Flyer/Brochure/Banner Output</v>
      </c>
      <c r="G1230" s="95" t="str">
        <f ca="1">IFERROR(__xludf.DUMMYFUNCTION("""COMPUTED_VALUE"""),"New")</f>
        <v>New</v>
      </c>
      <c r="H1230" s="96">
        <f ca="1">IFERROR(__xludf.DUMMYFUNCTION("""COMPUTED_VALUE"""),1)</f>
        <v>1</v>
      </c>
      <c r="I1230" s="97">
        <f ca="1">IFERROR(__xludf.DUMMYFUNCTION("""COMPUTED_VALUE"""),46194)</f>
        <v>46194</v>
      </c>
      <c r="J1230" s="98" t="str">
        <f ca="1">IFERROR(__xludf.DUMMYFUNCTION("""COMPUTED_VALUE"""),"CW37428_Jun26")</f>
        <v>CW37428_Jun26</v>
      </c>
      <c r="K1230" s="99" t="str">
        <f ca="1">IFERROR(__xludf.DUMMYFUNCTION("""COMPUTED_VALUE"""),"HoM Approved")</f>
        <v>HoM Approved</v>
      </c>
    </row>
    <row r="1231" spans="1:11" ht="13.2">
      <c r="A1231" s="89" t="str">
        <f ca="1">IFERROR(__xludf.DUMMYFUNCTION("""COMPUTED_VALUE"""),"Vision AC Week Leaflet")</f>
        <v>Vision AC Week Leaflet</v>
      </c>
      <c r="B1231" s="90" t="str">
        <f ca="1">IFERROR(__xludf.DUMMYFUNCTION("""COMPUTED_VALUE"""),"REL")</f>
        <v>REL</v>
      </c>
      <c r="C1231" s="91" t="str">
        <f ca="1">IFERROR(__xludf.DUMMYFUNCTION("""COMPUTED_VALUE"""),"Tamim Vai")</f>
        <v>Tamim Vai</v>
      </c>
      <c r="D1231" s="92" t="str">
        <f ca="1">IFERROR(__xludf.DUMMYFUNCTION("""COMPUTED_VALUE"""),"Md. Azizul Hakim (S223035)")</f>
        <v>Md. Azizul Hakim (S223035)</v>
      </c>
      <c r="E1231" s="93" t="str">
        <f ca="1">IFERROR(__xludf.DUMMYFUNCTION("""COMPUTED_VALUE"""),"CB36662_Jun26")</f>
        <v>CB36662_Jun26</v>
      </c>
      <c r="F1231" s="94" t="str">
        <f ca="1">IFERROR(__xludf.DUMMYFUNCTION("""COMPUTED_VALUE"""),"Leaflet/Poster Output")</f>
        <v>Leaflet/Poster Output</v>
      </c>
      <c r="G1231" s="95" t="str">
        <f ca="1">IFERROR(__xludf.DUMMYFUNCTION("""COMPUTED_VALUE"""),"New")</f>
        <v>New</v>
      </c>
      <c r="H1231" s="96">
        <f ca="1">IFERROR(__xludf.DUMMYFUNCTION("""COMPUTED_VALUE"""),1)</f>
        <v>1</v>
      </c>
      <c r="I1231" s="97">
        <f ca="1">IFERROR(__xludf.DUMMYFUNCTION("""COMPUTED_VALUE"""),46194)</f>
        <v>46194</v>
      </c>
      <c r="J1231" s="98" t="str">
        <f ca="1">IFERROR(__xludf.DUMMYFUNCTION("""COMPUTED_VALUE"""),"CW37441_Jun26")</f>
        <v>CW37441_Jun26</v>
      </c>
      <c r="K1231" s="99" t="str">
        <f ca="1">IFERROR(__xludf.DUMMYFUNCTION("""COMPUTED_VALUE"""),"HoM Approved")</f>
        <v>HoM Approved</v>
      </c>
    </row>
    <row r="1232" spans="1:11" ht="13.2">
      <c r="A1232" s="89" t="str">
        <f ca="1">IFERROR(__xludf.DUMMYFUNCTION("""COMPUTED_VALUE"""),"Tasty Treat Jhal Chanachur 400g")</f>
        <v>Tasty Treat Jhal Chanachur 400g</v>
      </c>
      <c r="B1232" s="90" t="str">
        <f ca="1">IFERROR(__xludf.DUMMYFUNCTION("""COMPUTED_VALUE"""),"Tasty Treat")</f>
        <v>Tasty Treat</v>
      </c>
      <c r="C1232" s="91" t="str">
        <f ca="1">IFERROR(__xludf.DUMMYFUNCTION("""COMPUTED_VALUE"""),"Akhi Apu ")</f>
        <v xml:space="preserve">Akhi Apu </v>
      </c>
      <c r="D1232" s="92" t="str">
        <f ca="1">IFERROR(__xludf.DUMMYFUNCTION("""COMPUTED_VALUE"""),"Md. Azizul Hakim (S223035)")</f>
        <v>Md. Azizul Hakim (S223035)</v>
      </c>
      <c r="E1232" s="93" t="str">
        <f ca="1">IFERROR(__xludf.DUMMYFUNCTION("""COMPUTED_VALUE"""),"CB35365_Jun26")</f>
        <v>CB35365_Jun26</v>
      </c>
      <c r="F1232" s="94" t="str">
        <f ca="1">IFERROR(__xludf.DUMMYFUNCTION("""COMPUTED_VALUE"""),"Packaging Text Design #2")</f>
        <v>Packaging Text Design #2</v>
      </c>
      <c r="G1232" s="95" t="str">
        <f ca="1">IFERROR(__xludf.DUMMYFUNCTION("""COMPUTED_VALUE"""),"New")</f>
        <v>New</v>
      </c>
      <c r="H1232" s="96">
        <f ca="1">IFERROR(__xludf.DUMMYFUNCTION("""COMPUTED_VALUE"""),1)</f>
        <v>1</v>
      </c>
      <c r="I1232" s="97">
        <f ca="1">IFERROR(__xludf.DUMMYFUNCTION("""COMPUTED_VALUE"""),46195)</f>
        <v>46195</v>
      </c>
      <c r="J1232" s="98" t="str">
        <f ca="1">IFERROR(__xludf.DUMMYFUNCTION("""COMPUTED_VALUE"""),"CW37508_Jun26")</f>
        <v>CW37508_Jun26</v>
      </c>
      <c r="K1232" s="99" t="str">
        <f ca="1">IFERROR(__xludf.DUMMYFUNCTION("""COMPUTED_VALUE"""),"HoM Approved")</f>
        <v>HoM Approved</v>
      </c>
    </row>
    <row r="1233" spans="1:11" ht="13.2">
      <c r="A1233" s="89" t="str">
        <f ca="1">IFERROR(__xludf.DUMMYFUNCTION("""COMPUTED_VALUE"""),"Bizli Cables Sticker, Memo &amp; Note Pad")</f>
        <v>Bizli Cables Sticker, Memo &amp; Note Pad</v>
      </c>
      <c r="B1233" s="90" t="str">
        <f ca="1">IFERROR(__xludf.DUMMYFUNCTION("""COMPUTED_VALUE"""),"Bizli Cables")</f>
        <v>Bizli Cables</v>
      </c>
      <c r="C1233" s="91" t="str">
        <f ca="1">IFERROR(__xludf.DUMMYFUNCTION("""COMPUTED_VALUE"""),"Rabbi Vai")</f>
        <v>Rabbi Vai</v>
      </c>
      <c r="D1233" s="92" t="str">
        <f ca="1">IFERROR(__xludf.DUMMYFUNCTION("""COMPUTED_VALUE"""),"Md. Azizul Hakim (S223035)")</f>
        <v>Md. Azizul Hakim (S223035)</v>
      </c>
      <c r="E1233" s="93" t="str">
        <f ca="1">IFERROR(__xludf.DUMMYFUNCTION("""COMPUTED_VALUE"""),"CB36516_Jun26")</f>
        <v>CB36516_Jun26</v>
      </c>
      <c r="F1233" s="94" t="str">
        <f ca="1">IFERROR(__xludf.DUMMYFUNCTION("""COMPUTED_VALUE"""),"Flyer/Brochure/Banner Output")</f>
        <v>Flyer/Brochure/Banner Output</v>
      </c>
      <c r="G1233" s="95" t="str">
        <f ca="1">IFERROR(__xludf.DUMMYFUNCTION("""COMPUTED_VALUE"""),"New")</f>
        <v>New</v>
      </c>
      <c r="H1233" s="96">
        <f ca="1">IFERROR(__xludf.DUMMYFUNCTION("""COMPUTED_VALUE"""),4)</f>
        <v>4</v>
      </c>
      <c r="I1233" s="97">
        <f ca="1">IFERROR(__xludf.DUMMYFUNCTION("""COMPUTED_VALUE"""),46195)</f>
        <v>46195</v>
      </c>
      <c r="J1233" s="98" t="str">
        <f ca="1">IFERROR(__xludf.DUMMYFUNCTION("""COMPUTED_VALUE"""),"CW37534_Jun26")</f>
        <v>CW37534_Jun26</v>
      </c>
      <c r="K1233" s="99" t="str">
        <f ca="1">IFERROR(__xludf.DUMMYFUNCTION("""COMPUTED_VALUE"""),"HoM Approved")</f>
        <v>HoM Approved</v>
      </c>
    </row>
    <row r="1234" spans="1:11" ht="13.2">
      <c r="A1234" s="89" t="str">
        <f ca="1">IFERROR(__xludf.DUMMYFUNCTION("""COMPUTED_VALUE"""),"Bizli Cables Sticker, Memo &amp; Note Pad")</f>
        <v>Bizli Cables Sticker, Memo &amp; Note Pad</v>
      </c>
      <c r="B1234" s="90" t="str">
        <f ca="1">IFERROR(__xludf.DUMMYFUNCTION("""COMPUTED_VALUE"""),"Bizli Cables")</f>
        <v>Bizli Cables</v>
      </c>
      <c r="C1234" s="91" t="str">
        <f ca="1">IFERROR(__xludf.DUMMYFUNCTION("""COMPUTED_VALUE"""),"Rabbi Vai")</f>
        <v>Rabbi Vai</v>
      </c>
      <c r="D1234" s="92" t="str">
        <f ca="1">IFERROR(__xludf.DUMMYFUNCTION("""COMPUTED_VALUE"""),"Md. Azizul Hakim (S223035)")</f>
        <v>Md. Azizul Hakim (S223035)</v>
      </c>
      <c r="E1234" s="93" t="str">
        <f ca="1">IFERROR(__xludf.DUMMYFUNCTION("""COMPUTED_VALUE"""),"CB36516_Jun26")</f>
        <v>CB36516_Jun26</v>
      </c>
      <c r="F1234" s="94" t="str">
        <f ca="1">IFERROR(__xludf.DUMMYFUNCTION("""COMPUTED_VALUE"""),"Leaflet/Poster Output")</f>
        <v>Leaflet/Poster Output</v>
      </c>
      <c r="G1234" s="95" t="str">
        <f ca="1">IFERROR(__xludf.DUMMYFUNCTION("""COMPUTED_VALUE"""),"New")</f>
        <v>New</v>
      </c>
      <c r="H1234" s="96">
        <f ca="1">IFERROR(__xludf.DUMMYFUNCTION("""COMPUTED_VALUE"""),1)</f>
        <v>1</v>
      </c>
      <c r="I1234" s="97">
        <f ca="1">IFERROR(__xludf.DUMMYFUNCTION("""COMPUTED_VALUE"""),46195)</f>
        <v>46195</v>
      </c>
      <c r="J1234" s="98" t="str">
        <f ca="1">IFERROR(__xludf.DUMMYFUNCTION("""COMPUTED_VALUE"""),"CW37534_Jun26")</f>
        <v>CW37534_Jun26</v>
      </c>
      <c r="K1234" s="99" t="str">
        <f ca="1">IFERROR(__xludf.DUMMYFUNCTION("""COMPUTED_VALUE"""),"HoM Approved")</f>
        <v>HoM Approved</v>
      </c>
    </row>
    <row r="1235" spans="1:11" ht="13.2">
      <c r="A1235" s="89" t="str">
        <f ca="1">IFERROR(__xludf.DUMMYFUNCTION("""COMPUTED_VALUE"""),"Rainbow Paints Water Based Putty")</f>
        <v>Rainbow Paints Water Based Putty</v>
      </c>
      <c r="B1235" s="90" t="str">
        <f ca="1">IFERROR(__xludf.DUMMYFUNCTION("""COMPUTED_VALUE"""),"MLIL")</f>
        <v>MLIL</v>
      </c>
      <c r="C1235" s="91" t="str">
        <f ca="1">IFERROR(__xludf.DUMMYFUNCTION("""COMPUTED_VALUE"""),"Asif vai")</f>
        <v>Asif vai</v>
      </c>
      <c r="D1235" s="92" t="str">
        <f ca="1">IFERROR(__xludf.DUMMYFUNCTION("""COMPUTED_VALUE"""),"Md. Azizul Hakim (S223035)")</f>
        <v>Md. Azizul Hakim (S223035)</v>
      </c>
      <c r="E1235" s="93" t="str">
        <f ca="1">IFERROR(__xludf.DUMMYFUNCTION("""COMPUTED_VALUE"""),"CB23521_May26")</f>
        <v>CB23521_May26</v>
      </c>
      <c r="F1235" s="94" t="str">
        <f ca="1">IFERROR(__xludf.DUMMYFUNCTION("""COMPUTED_VALUE"""),"Flyer/Brochure/Banner Output")</f>
        <v>Flyer/Brochure/Banner Output</v>
      </c>
      <c r="G1235" s="95" t="str">
        <f ca="1">IFERROR(__xludf.DUMMYFUNCTION("""COMPUTED_VALUE"""),"New")</f>
        <v>New</v>
      </c>
      <c r="H1235" s="96">
        <f ca="1">IFERROR(__xludf.DUMMYFUNCTION("""COMPUTED_VALUE"""),3)</f>
        <v>3</v>
      </c>
      <c r="I1235" s="97">
        <f ca="1">IFERROR(__xludf.DUMMYFUNCTION("""COMPUTED_VALUE"""),46196)</f>
        <v>46196</v>
      </c>
      <c r="J1235" s="98" t="str">
        <f ca="1">IFERROR(__xludf.DUMMYFUNCTION("""COMPUTED_VALUE"""),"CW37556_Jun26")</f>
        <v>CW37556_Jun26</v>
      </c>
      <c r="K1235" s="99" t="str">
        <f ca="1">IFERROR(__xludf.DUMMYFUNCTION("""COMPUTED_VALUE"""),"HoM Approved")</f>
        <v>HoM Approved</v>
      </c>
    </row>
    <row r="1236" spans="1:11" ht="13.2">
      <c r="A1236" s="89" t="str">
        <f ca="1">IFERROR(__xludf.DUMMYFUNCTION("""COMPUTED_VALUE"""),"Rainbow Paints Water Based Sealer")</f>
        <v>Rainbow Paints Water Based Sealer</v>
      </c>
      <c r="B1236" s="90" t="str">
        <f ca="1">IFERROR(__xludf.DUMMYFUNCTION("""COMPUTED_VALUE"""),"MLIL")</f>
        <v>MLIL</v>
      </c>
      <c r="C1236" s="91" t="str">
        <f ca="1">IFERROR(__xludf.DUMMYFUNCTION("""COMPUTED_VALUE"""),"Asif vai")</f>
        <v>Asif vai</v>
      </c>
      <c r="D1236" s="92" t="str">
        <f ca="1">IFERROR(__xludf.DUMMYFUNCTION("""COMPUTED_VALUE"""),"Md. Azizul Hakim (S223035)")</f>
        <v>Md. Azizul Hakim (S223035)</v>
      </c>
      <c r="E1236" s="93" t="str">
        <f ca="1">IFERROR(__xludf.DUMMYFUNCTION("""COMPUTED_VALUE"""),"CB23521_May26")</f>
        <v>CB23521_May26</v>
      </c>
      <c r="F1236" s="94" t="str">
        <f ca="1">IFERROR(__xludf.DUMMYFUNCTION("""COMPUTED_VALUE"""),"Flyer/Brochure/Banner Output")</f>
        <v>Flyer/Brochure/Banner Output</v>
      </c>
      <c r="G1236" s="95" t="str">
        <f ca="1">IFERROR(__xludf.DUMMYFUNCTION("""COMPUTED_VALUE"""),"Revision")</f>
        <v>Revision</v>
      </c>
      <c r="H1236" s="96">
        <f ca="1">IFERROR(__xludf.DUMMYFUNCTION("""COMPUTED_VALUE"""),2)</f>
        <v>2</v>
      </c>
      <c r="I1236" s="97">
        <f ca="1">IFERROR(__xludf.DUMMYFUNCTION("""COMPUTED_VALUE"""),46196)</f>
        <v>46196</v>
      </c>
      <c r="J1236" s="98" t="str">
        <f ca="1">IFERROR(__xludf.DUMMYFUNCTION("""COMPUTED_VALUE"""),"CW37556_Jun26")</f>
        <v>CW37556_Jun26</v>
      </c>
      <c r="K1236" s="99" t="str">
        <f ca="1">IFERROR(__xludf.DUMMYFUNCTION("""COMPUTED_VALUE"""),"HoM Approved")</f>
        <v>HoM Approved</v>
      </c>
    </row>
    <row r="1237" spans="1:11" ht="13.2">
      <c r="A1237" s="89" t="str">
        <f ca="1">IFERROR(__xludf.DUMMYFUNCTION("""COMPUTED_VALUE"""),"CB23782_All Time Borfi cookies_BBL")</f>
        <v>CB23782_All Time Borfi cookies_BBL</v>
      </c>
      <c r="B1237" s="90" t="str">
        <f ca="1">IFERROR(__xludf.DUMMYFUNCTION("""COMPUTED_VALUE"""),"BBL")</f>
        <v>BBL</v>
      </c>
      <c r="C1237" s="91" t="str">
        <f ca="1">IFERROR(__xludf.DUMMYFUNCTION("""COMPUTED_VALUE"""),"Afrin Apu")</f>
        <v>Afrin Apu</v>
      </c>
      <c r="D1237" s="92" t="str">
        <f ca="1">IFERROR(__xludf.DUMMYFUNCTION("""COMPUTED_VALUE"""),"Md. Azizul Hakim (S223035)")</f>
        <v>Md. Azizul Hakim (S223035)</v>
      </c>
      <c r="E1237" s="93" t="str">
        <f ca="1">IFERROR(__xludf.DUMMYFUNCTION("""COMPUTED_VALUE"""),"CB23782_May26")</f>
        <v>CB23782_May26</v>
      </c>
      <c r="F1237" s="94" t="str">
        <f ca="1">IFERROR(__xludf.DUMMYFUNCTION("""COMPUTED_VALUE"""),"Packaging Text Design #2")</f>
        <v>Packaging Text Design #2</v>
      </c>
      <c r="G1237" s="95" t="str">
        <f ca="1">IFERROR(__xludf.DUMMYFUNCTION("""COMPUTED_VALUE"""),"Revision")</f>
        <v>Revision</v>
      </c>
      <c r="H1237" s="96">
        <f ca="1">IFERROR(__xludf.DUMMYFUNCTION("""COMPUTED_VALUE"""),1)</f>
        <v>1</v>
      </c>
      <c r="I1237" s="97">
        <f ca="1">IFERROR(__xludf.DUMMYFUNCTION("""COMPUTED_VALUE"""),46196)</f>
        <v>46196</v>
      </c>
      <c r="J1237" s="98" t="str">
        <f ca="1">IFERROR(__xludf.DUMMYFUNCTION("""COMPUTED_VALUE"""),"CW37602_Jun26")</f>
        <v>CW37602_Jun26</v>
      </c>
      <c r="K1237" s="99" t="str">
        <f ca="1">IFERROR(__xludf.DUMMYFUNCTION("""COMPUTED_VALUE"""),"Brief Submitted")</f>
        <v>Brief Submitted</v>
      </c>
    </row>
    <row r="1238" spans="1:11" ht="13.2">
      <c r="A1238" s="89" t="str">
        <f ca="1">IFERROR(__xludf.DUMMYFUNCTION("""COMPUTED_VALUE"""),"CB36740_kids wardrobe")</f>
        <v>CB36740_kids wardrobe</v>
      </c>
      <c r="B1238" s="90" t="str">
        <f ca="1">IFERROR(__xludf.DUMMYFUNCTION("""COMPUTED_VALUE"""),"DPL")</f>
        <v>DPL</v>
      </c>
      <c r="C1238" s="91" t="str">
        <f ca="1">IFERROR(__xludf.DUMMYFUNCTION("""COMPUTED_VALUE"""),"Rakib Vaiya")</f>
        <v>Rakib Vaiya</v>
      </c>
      <c r="D1238" s="92" t="str">
        <f ca="1">IFERROR(__xludf.DUMMYFUNCTION("""COMPUTED_VALUE"""),"Md. Azizul Hakim (S223035)")</f>
        <v>Md. Azizul Hakim (S223035)</v>
      </c>
      <c r="E1238" s="93" t="str">
        <f ca="1">IFERROR(__xludf.DUMMYFUNCTION("""COMPUTED_VALUE"""),"CB36740_Jun26")</f>
        <v>CB36740_Jun26</v>
      </c>
      <c r="F1238" s="94" t="str">
        <f ca="1">IFERROR(__xludf.DUMMYFUNCTION("""COMPUTED_VALUE"""),"Flyer/Brochure/Banner Output")</f>
        <v>Flyer/Brochure/Banner Output</v>
      </c>
      <c r="G1238" s="95" t="str">
        <f ca="1">IFERROR(__xludf.DUMMYFUNCTION("""COMPUTED_VALUE"""),"New")</f>
        <v>New</v>
      </c>
      <c r="H1238" s="96">
        <f ca="1">IFERROR(__xludf.DUMMYFUNCTION("""COMPUTED_VALUE"""),2)</f>
        <v>2</v>
      </c>
      <c r="I1238" s="97">
        <f ca="1">IFERROR(__xludf.DUMMYFUNCTION("""COMPUTED_VALUE"""),46196)</f>
        <v>46196</v>
      </c>
      <c r="J1238" s="98" t="str">
        <f ca="1">IFERROR(__xludf.DUMMYFUNCTION("""COMPUTED_VALUE"""),"CW37652_Jun26")</f>
        <v>CW37652_Jun26</v>
      </c>
      <c r="K1238" s="99" t="str">
        <f ca="1">IFERROR(__xludf.DUMMYFUNCTION("""COMPUTED_VALUE"""),"HoM Approved")</f>
        <v>HoM Approved</v>
      </c>
    </row>
    <row r="1239" spans="1:11" ht="13.2">
      <c r="A1239" s="89" t="str">
        <f ca="1">IFERROR(__xludf.DUMMYFUNCTION("""COMPUTED_VALUE"""),"CB36382_TVS Genuine Parts Dangler")</f>
        <v>CB36382_TVS Genuine Parts Dangler</v>
      </c>
      <c r="B1239" s="90" t="str">
        <f ca="1">IFERROR(__xludf.DUMMYFUNCTION("""COMPUTED_VALUE"""),"RFL-TVS")</f>
        <v>RFL-TVS</v>
      </c>
      <c r="C1239" s="91" t="str">
        <f ca="1">IFERROR(__xludf.DUMMYFUNCTION("""COMPUTED_VALUE"""),"Roudra Vai")</f>
        <v>Roudra Vai</v>
      </c>
      <c r="D1239" s="92" t="str">
        <f ca="1">IFERROR(__xludf.DUMMYFUNCTION("""COMPUTED_VALUE"""),"Md. Azizul Hakim (S223035)")</f>
        <v>Md. Azizul Hakim (S223035)</v>
      </c>
      <c r="E1239" s="93" t="str">
        <f ca="1">IFERROR(__xludf.DUMMYFUNCTION("""COMPUTED_VALUE"""),"CB36382_Jun26")</f>
        <v>CB36382_Jun26</v>
      </c>
      <c r="F1239" s="94" t="str">
        <f ca="1">IFERROR(__xludf.DUMMYFUNCTION("""COMPUTED_VALUE"""),"Flyer/Brochure/Banner Output")</f>
        <v>Flyer/Brochure/Banner Output</v>
      </c>
      <c r="G1239" s="95" t="str">
        <f ca="1">IFERROR(__xludf.DUMMYFUNCTION("""COMPUTED_VALUE"""),"New")</f>
        <v>New</v>
      </c>
      <c r="H1239" s="96">
        <f ca="1">IFERROR(__xludf.DUMMYFUNCTION("""COMPUTED_VALUE"""),1)</f>
        <v>1</v>
      </c>
      <c r="I1239" s="97">
        <f ca="1">IFERROR(__xludf.DUMMYFUNCTION("""COMPUTED_VALUE"""),46197)</f>
        <v>46197</v>
      </c>
      <c r="J1239" s="98" t="str">
        <f ca="1">IFERROR(__xludf.DUMMYFUNCTION("""COMPUTED_VALUE"""),"CW37758_Jun26")</f>
        <v>CW37758_Jun26</v>
      </c>
      <c r="K1239" s="99" t="str">
        <f ca="1">IFERROR(__xludf.DUMMYFUNCTION("""COMPUTED_VALUE"""),"HoM Approved")</f>
        <v>HoM Approved</v>
      </c>
    </row>
    <row r="1240" spans="1:11" ht="13.2">
      <c r="A1240" s="89" t="str">
        <f ca="1">IFERROR(__xludf.DUMMYFUNCTION("""COMPUTED_VALUE"""),"Pran Pickle All Flavour Jar Lebel for USA")</f>
        <v>Pran Pickle All Flavour Jar Lebel for USA</v>
      </c>
      <c r="B1240" s="90" t="str">
        <f ca="1">IFERROR(__xludf.DUMMYFUNCTION("""COMPUTED_VALUE"""),"PAL")</f>
        <v>PAL</v>
      </c>
      <c r="C1240" s="91" t="str">
        <f ca="1">IFERROR(__xludf.DUMMYFUNCTION("""COMPUTED_VALUE"""),"Zahirul Vai")</f>
        <v>Zahirul Vai</v>
      </c>
      <c r="D1240" s="92" t="str">
        <f ca="1">IFERROR(__xludf.DUMMYFUNCTION("""COMPUTED_VALUE"""),"Md. Azizul Hakim (S223035)")</f>
        <v>Md. Azizul Hakim (S223035)</v>
      </c>
      <c r="E1240" s="93" t="str">
        <f ca="1">IFERROR(__xludf.DUMMYFUNCTION("""COMPUTED_VALUE"""),"CB24488_May26")</f>
        <v>CB24488_May26</v>
      </c>
      <c r="F1240" s="94" t="str">
        <f ca="1">IFERROR(__xludf.DUMMYFUNCTION("""COMPUTED_VALUE"""),"JAR Label Sticker Output")</f>
        <v>JAR Label Sticker Output</v>
      </c>
      <c r="G1240" s="95" t="str">
        <f ca="1">IFERROR(__xludf.DUMMYFUNCTION("""COMPUTED_VALUE"""),"New")</f>
        <v>New</v>
      </c>
      <c r="H1240" s="96">
        <f ca="1">IFERROR(__xludf.DUMMYFUNCTION("""COMPUTED_VALUE"""),4)</f>
        <v>4</v>
      </c>
      <c r="I1240" s="97">
        <f ca="1">IFERROR(__xludf.DUMMYFUNCTION("""COMPUTED_VALUE"""),46198)</f>
        <v>46198</v>
      </c>
      <c r="J1240" s="98" t="str">
        <f ca="1">IFERROR(__xludf.DUMMYFUNCTION("""COMPUTED_VALUE"""),"CW37908_Jun26")</f>
        <v>CW37908_Jun26</v>
      </c>
      <c r="K1240" s="99" t="str">
        <f ca="1">IFERROR(__xludf.DUMMYFUNCTION("""COMPUTED_VALUE"""),"Brief Submitted")</f>
        <v>Brief Submitted</v>
      </c>
    </row>
    <row r="1241" spans="1:11" ht="13.2">
      <c r="A1241" s="89" t="str">
        <f ca="1">IFERROR(__xludf.DUMMYFUNCTION("""COMPUTED_VALUE"""),"Pran Oh Cake ChocoMilk, Banana, Pandan, Strawberry 16g X 20 Pcs Atc box (Combodia)")</f>
        <v>Pran Oh Cake ChocoMilk, Banana, Pandan, Strawberry 16g X 20 Pcs Atc box (Combodia)</v>
      </c>
      <c r="B1241" s="90" t="str">
        <f ca="1">IFERROR(__xludf.DUMMYFUNCTION("""COMPUTED_VALUE"""),"BBL")</f>
        <v>BBL</v>
      </c>
      <c r="C1241" s="91" t="str">
        <f ca="1">IFERROR(__xludf.DUMMYFUNCTION("""COMPUTED_VALUE"""),"Mona Apu")</f>
        <v>Mona Apu</v>
      </c>
      <c r="D1241" s="92" t="str">
        <f ca="1">IFERROR(__xludf.DUMMYFUNCTION("""COMPUTED_VALUE"""),"Md. Azizul Hakim (S223035)")</f>
        <v>Md. Azizul Hakim (S223035)</v>
      </c>
      <c r="E1241" s="93" t="str">
        <f ca="1">IFERROR(__xludf.DUMMYFUNCTION("""COMPUTED_VALUE"""),"CB37084_Jun26")</f>
        <v>CB37084_Jun26</v>
      </c>
      <c r="F1241" s="94" t="str">
        <f ca="1">IFERROR(__xludf.DUMMYFUNCTION("""COMPUTED_VALUE"""),"ATC Box Output")</f>
        <v>ATC Box Output</v>
      </c>
      <c r="G1241" s="95" t="str">
        <f ca="1">IFERROR(__xludf.DUMMYFUNCTION("""COMPUTED_VALUE"""),"New")</f>
        <v>New</v>
      </c>
      <c r="H1241" s="96">
        <f ca="1">IFERROR(__xludf.DUMMYFUNCTION("""COMPUTED_VALUE"""),4)</f>
        <v>4</v>
      </c>
      <c r="I1241" s="97">
        <f ca="1">IFERROR(__xludf.DUMMYFUNCTION("""COMPUTED_VALUE"""),46198)</f>
        <v>46198</v>
      </c>
      <c r="J1241" s="98" t="str">
        <f ca="1">IFERROR(__xludf.DUMMYFUNCTION("""COMPUTED_VALUE"""),"CW37942_Jun26")</f>
        <v>CW37942_Jun26</v>
      </c>
      <c r="K1241" s="99" t="str">
        <f ca="1">IFERROR(__xludf.DUMMYFUNCTION("""COMPUTED_VALUE"""),"Brief Submitted")</f>
        <v>Brief Submitted</v>
      </c>
    </row>
    <row r="1242" spans="1:11" ht="13.2">
      <c r="A1242" s="89" t="str">
        <f ca="1">IFERROR(__xludf.DUMMYFUNCTION("""COMPUTED_VALUE"""),"Pran Oh Cake Banana, Strawberry, Choco-Milk, Pandan 16g x 20 Pcs Atc Box (Vietnam)")</f>
        <v>Pran Oh Cake Banana, Strawberry, Choco-Milk, Pandan 16g x 20 Pcs Atc Box (Vietnam)</v>
      </c>
      <c r="B1242" s="90" t="str">
        <f ca="1">IFERROR(__xludf.DUMMYFUNCTION("""COMPUTED_VALUE"""),"BBL")</f>
        <v>BBL</v>
      </c>
      <c r="C1242" s="91" t="str">
        <f ca="1">IFERROR(__xludf.DUMMYFUNCTION("""COMPUTED_VALUE"""),"Mona Apu")</f>
        <v>Mona Apu</v>
      </c>
      <c r="D1242" s="92" t="str">
        <f ca="1">IFERROR(__xludf.DUMMYFUNCTION("""COMPUTED_VALUE"""),"Md. Azizul Hakim (S223035)")</f>
        <v>Md. Azizul Hakim (S223035)</v>
      </c>
      <c r="E1242" s="93" t="str">
        <f ca="1">IFERROR(__xludf.DUMMYFUNCTION("""COMPUTED_VALUE"""),"CB36818_Jun26")</f>
        <v>CB36818_Jun26</v>
      </c>
      <c r="F1242" s="94" t="str">
        <f ca="1">IFERROR(__xludf.DUMMYFUNCTION("""COMPUTED_VALUE"""),"ATC Box Output")</f>
        <v>ATC Box Output</v>
      </c>
      <c r="G1242" s="95" t="str">
        <f ca="1">IFERROR(__xludf.DUMMYFUNCTION("""COMPUTED_VALUE"""),"New")</f>
        <v>New</v>
      </c>
      <c r="H1242" s="96">
        <f ca="1">IFERROR(__xludf.DUMMYFUNCTION("""COMPUTED_VALUE"""),4)</f>
        <v>4</v>
      </c>
      <c r="I1242" s="97">
        <f ca="1">IFERROR(__xludf.DUMMYFUNCTION("""COMPUTED_VALUE"""),46198)</f>
        <v>46198</v>
      </c>
      <c r="J1242" s="98" t="str">
        <f ca="1">IFERROR(__xludf.DUMMYFUNCTION("""COMPUTED_VALUE"""),"CW37945_Jun26")</f>
        <v>CW37945_Jun26</v>
      </c>
      <c r="K1242" s="99" t="str">
        <f ca="1">IFERROR(__xludf.DUMMYFUNCTION("""COMPUTED_VALUE"""),"Brief Submitted")</f>
        <v>Brief Submitted</v>
      </c>
    </row>
    <row r="1243" spans="1:11" ht="13.2">
      <c r="A1243" s="89" t="str">
        <f ca="1">IFERROR(__xludf.DUMMYFUNCTION("""COMPUTED_VALUE"""),"PRAN Special Dry Cake 380g for Malaysia")</f>
        <v>PRAN Special Dry Cake 380g for Malaysia</v>
      </c>
      <c r="B1243" s="90" t="str">
        <f ca="1">IFERROR(__xludf.DUMMYFUNCTION("""COMPUTED_VALUE"""),"BBL")</f>
        <v>BBL</v>
      </c>
      <c r="C1243" s="91" t="str">
        <f ca="1">IFERROR(__xludf.DUMMYFUNCTION("""COMPUTED_VALUE"""),"Zahirul Vai")</f>
        <v>Zahirul Vai</v>
      </c>
      <c r="D1243" s="92" t="str">
        <f ca="1">IFERROR(__xludf.DUMMYFUNCTION("""COMPUTED_VALUE"""),"Md. Azizul Hakim (S223035)")</f>
        <v>Md. Azizul Hakim (S223035)</v>
      </c>
      <c r="E1243" s="93" t="str">
        <f ca="1">IFERROR(__xludf.DUMMYFUNCTION("""COMPUTED_VALUE"""),"CB37568_Jun26")</f>
        <v>CB37568_Jun26</v>
      </c>
      <c r="F1243" s="94" t="str">
        <f ca="1">IFERROR(__xludf.DUMMYFUNCTION("""COMPUTED_VALUE"""),"JAR Label Sticker Output")</f>
        <v>JAR Label Sticker Output</v>
      </c>
      <c r="G1243" s="95" t="str">
        <f ca="1">IFERROR(__xludf.DUMMYFUNCTION("""COMPUTED_VALUE"""),"New")</f>
        <v>New</v>
      </c>
      <c r="H1243" s="96">
        <f ca="1">IFERROR(__xludf.DUMMYFUNCTION("""COMPUTED_VALUE"""),1)</f>
        <v>1</v>
      </c>
      <c r="I1243" s="97">
        <f ca="1">IFERROR(__xludf.DUMMYFUNCTION("""COMPUTED_VALUE"""),46200)</f>
        <v>46200</v>
      </c>
      <c r="J1243" s="98" t="str">
        <f ca="1">IFERROR(__xludf.DUMMYFUNCTION("""COMPUTED_VALUE"""),"CW38053_Jun26")</f>
        <v>CW38053_Jun26</v>
      </c>
      <c r="K1243" s="99" t="str">
        <f ca="1">IFERROR(__xludf.DUMMYFUNCTION("""COMPUTED_VALUE"""),"HoM Approved")</f>
        <v>HoM Approved</v>
      </c>
    </row>
    <row r="1244" spans="1:11" ht="13.2">
      <c r="A1244" s="89" t="str">
        <f ca="1">IFERROR(__xludf.DUMMYFUNCTION("""COMPUTED_VALUE"""),"PRAN Lolli Island Assorted Pop Sticker &amp;  Jar Lebel for Italy")</f>
        <v>PRAN Lolli Island Assorted Pop Sticker &amp;  Jar Lebel for Italy</v>
      </c>
      <c r="B1244" s="90" t="str">
        <f ca="1">IFERROR(__xludf.DUMMYFUNCTION("""COMPUTED_VALUE"""),"PCL")</f>
        <v>PCL</v>
      </c>
      <c r="C1244" s="91" t="str">
        <f ca="1">IFERROR(__xludf.DUMMYFUNCTION("""COMPUTED_VALUE"""),"Saifullah Vai")</f>
        <v>Saifullah Vai</v>
      </c>
      <c r="D1244" s="92" t="str">
        <f ca="1">IFERROR(__xludf.DUMMYFUNCTION("""COMPUTED_VALUE"""),"Md. Azizul Hakim (S223035)")</f>
        <v>Md. Azizul Hakim (S223035)</v>
      </c>
      <c r="E1244" s="93" t="str">
        <f ca="1">IFERROR(__xludf.DUMMYFUNCTION("""COMPUTED_VALUE"""),"Unknown")</f>
        <v>Unknown</v>
      </c>
      <c r="F1244" s="94" t="str">
        <f ca="1">IFERROR(__xludf.DUMMYFUNCTION("""COMPUTED_VALUE"""),"JAR Label Sticker Output")</f>
        <v>JAR Label Sticker Output</v>
      </c>
      <c r="G1244" s="95" t="str">
        <f ca="1">IFERROR(__xludf.DUMMYFUNCTION("""COMPUTED_VALUE"""),"New")</f>
        <v>New</v>
      </c>
      <c r="H1244" s="96">
        <f ca="1">IFERROR(__xludf.DUMMYFUNCTION("""COMPUTED_VALUE"""),2)</f>
        <v>2</v>
      </c>
      <c r="I1244" s="97">
        <f ca="1">IFERROR(__xludf.DUMMYFUNCTION("""COMPUTED_VALUE"""),46201)</f>
        <v>46201</v>
      </c>
      <c r="J1244" s="98" t="str">
        <f ca="1">IFERROR(__xludf.DUMMYFUNCTION("""COMPUTED_VALUE"""),"Unknown")</f>
        <v>Unknown</v>
      </c>
      <c r="K1244" s="99" t="str">
        <f ca="1">IFERROR(__xludf.DUMMYFUNCTION("""COMPUTED_VALUE"""),"Brief Submitted")</f>
        <v>Brief Submitted</v>
      </c>
    </row>
    <row r="1245" spans="1:11" ht="13.2">
      <c r="A1245" s="89" t="str">
        <f ca="1">IFERROR(__xludf.DUMMYFUNCTION("""COMPUTED_VALUE"""),"Princess Hair Brush Catalogue")</f>
        <v>Princess Hair Brush Catalogue</v>
      </c>
      <c r="B1245" s="90" t="str">
        <f ca="1">IFERROR(__xludf.DUMMYFUNCTION("""COMPUTED_VALUE"""),"RFL Stationery")</f>
        <v>RFL Stationery</v>
      </c>
      <c r="C1245" s="91" t="str">
        <f ca="1">IFERROR(__xludf.DUMMYFUNCTION("""COMPUTED_VALUE"""),"Haimonti Apu")</f>
        <v>Haimonti Apu</v>
      </c>
      <c r="D1245" s="92" t="str">
        <f ca="1">IFERROR(__xludf.DUMMYFUNCTION("""COMPUTED_VALUE"""),"Md. Azizul Hakim (S223035)")</f>
        <v>Md. Azizul Hakim (S223035)</v>
      </c>
      <c r="E1245" s="93" t="str">
        <f ca="1">IFERROR(__xludf.DUMMYFUNCTION("""COMPUTED_VALUE"""),"CB25139_May26")</f>
        <v>CB25139_May26</v>
      </c>
      <c r="F1245" s="94" t="str">
        <f ca="1">IFERROR(__xludf.DUMMYFUNCTION("""COMPUTED_VALUE"""),"Flyer/Brochure/Banner Output")</f>
        <v>Flyer/Brochure/Banner Output</v>
      </c>
      <c r="G1245" s="95" t="str">
        <f ca="1">IFERROR(__xludf.DUMMYFUNCTION("""COMPUTED_VALUE"""),"New")</f>
        <v>New</v>
      </c>
      <c r="H1245" s="96">
        <f ca="1">IFERROR(__xludf.DUMMYFUNCTION("""COMPUTED_VALUE"""),4)</f>
        <v>4</v>
      </c>
      <c r="I1245" s="97">
        <f ca="1">IFERROR(__xludf.DUMMYFUNCTION("""COMPUTED_VALUE"""),46202)</f>
        <v>46202</v>
      </c>
      <c r="J1245" s="98" t="str">
        <f ca="1">IFERROR(__xludf.DUMMYFUNCTION("""COMPUTED_VALUE"""),"CW38386_Jun26")</f>
        <v>CW38386_Jun26</v>
      </c>
      <c r="K1245" s="99" t="str">
        <f ca="1">IFERROR(__xludf.DUMMYFUNCTION("""COMPUTED_VALUE"""),"HoM Approved")</f>
        <v>HoM Approved</v>
      </c>
    </row>
    <row r="1246" spans="1:11" ht="13.2">
      <c r="A1246" s="89" t="str">
        <f ca="1">IFERROR(__xludf.DUMMYFUNCTION("""COMPUTED_VALUE"""),"PRAN Potata Thin Paper Hanger for (Vietnam)")</f>
        <v>PRAN Potata Thin Paper Hanger for (Vietnam)</v>
      </c>
      <c r="B1246" s="90" t="str">
        <f ca="1">IFERROR(__xludf.DUMMYFUNCTION("""COMPUTED_VALUE"""),"BBL")</f>
        <v>BBL</v>
      </c>
      <c r="C1246" s="91" t="str">
        <f ca="1">IFERROR(__xludf.DUMMYFUNCTION("""COMPUTED_VALUE"""),"Mona Apu")</f>
        <v>Mona Apu</v>
      </c>
      <c r="D1246" s="92" t="str">
        <f ca="1">IFERROR(__xludf.DUMMYFUNCTION("""COMPUTED_VALUE"""),"Md. Azizul Hakim (S223035)")</f>
        <v>Md. Azizul Hakim (S223035)</v>
      </c>
      <c r="E1246" s="93" t="str">
        <f ca="1">IFERROR(__xludf.DUMMYFUNCTION("""COMPUTED_VALUE"""),"CB35822_Jun26")</f>
        <v>CB35822_Jun26</v>
      </c>
      <c r="F1246" s="94" t="str">
        <f ca="1">IFERROR(__xludf.DUMMYFUNCTION("""COMPUTED_VALUE"""),"Flyer/Brochure/Banner Output")</f>
        <v>Flyer/Brochure/Banner Output</v>
      </c>
      <c r="G1246" s="95" t="str">
        <f ca="1">IFERROR(__xludf.DUMMYFUNCTION("""COMPUTED_VALUE"""),"New")</f>
        <v>New</v>
      </c>
      <c r="H1246" s="96">
        <f ca="1">IFERROR(__xludf.DUMMYFUNCTION("""COMPUTED_VALUE"""),1)</f>
        <v>1</v>
      </c>
      <c r="I1246" s="97">
        <f ca="1">IFERROR(__xludf.DUMMYFUNCTION("""COMPUTED_VALUE"""),46202)</f>
        <v>46202</v>
      </c>
      <c r="J1246" s="98" t="str">
        <f ca="1">IFERROR(__xludf.DUMMYFUNCTION("""COMPUTED_VALUE"""),"CW38399_Jun26")</f>
        <v>CW38399_Jun26</v>
      </c>
      <c r="K1246" s="99" t="str">
        <f ca="1">IFERROR(__xludf.DUMMYFUNCTION("""COMPUTED_VALUE"""),"Brief Submitted")</f>
        <v>Brief Submitted</v>
      </c>
    </row>
    <row r="1247" spans="1:11" ht="13.2">
      <c r="A1247" s="89" t="str">
        <f ca="1">IFERROR(__xludf.DUMMYFUNCTION("""COMPUTED_VALUE"""),"Jar Design development")</f>
        <v>Jar Design development</v>
      </c>
      <c r="B1247" s="90" t="str">
        <f ca="1">IFERROR(__xludf.DUMMYFUNCTION("""COMPUTED_VALUE"""),"BBL")</f>
        <v>BBL</v>
      </c>
      <c r="C1247" s="91" t="str">
        <f ca="1">IFERROR(__xludf.DUMMYFUNCTION("""COMPUTED_VALUE"""),"Maksuda Apu")</f>
        <v>Maksuda Apu</v>
      </c>
      <c r="D1247" s="92" t="str">
        <f ca="1">IFERROR(__xludf.DUMMYFUNCTION("""COMPUTED_VALUE"""),"Md. Azizul Hakim (S223035)")</f>
        <v>Md. Azizul Hakim (S223035)</v>
      </c>
      <c r="E1247" s="93" t="str">
        <f ca="1">IFERROR(__xludf.DUMMYFUNCTION("""COMPUTED_VALUE"""),"CB36096")</f>
        <v>CB36096</v>
      </c>
      <c r="F1247" s="94" t="str">
        <f ca="1">IFERROR(__xludf.DUMMYFUNCTION("""COMPUTED_VALUE"""),"Packaging Text Design #2")</f>
        <v>Packaging Text Design #2</v>
      </c>
      <c r="G1247" s="95" t="str">
        <f ca="1">IFERROR(__xludf.DUMMYFUNCTION("""COMPUTED_VALUE"""),"New")</f>
        <v>New</v>
      </c>
      <c r="H1247" s="96">
        <f ca="1">IFERROR(__xludf.DUMMYFUNCTION("""COMPUTED_VALUE"""),3)</f>
        <v>3</v>
      </c>
      <c r="I1247" s="97"/>
      <c r="J1247" s="98" t="str">
        <f ca="1">IFERROR(__xludf.DUMMYFUNCTION("""COMPUTED_VALUE"""),"Unknown")</f>
        <v>Unknown</v>
      </c>
      <c r="K1247" s="99" t="str">
        <f ca="1">IFERROR(__xludf.DUMMYFUNCTION("""COMPUTED_VALUE"""),"Running")</f>
        <v>Running</v>
      </c>
    </row>
    <row r="1248" spans="1:11" ht="13.2">
      <c r="A1248" s="89" t="str">
        <f ca="1">IFERROR(__xludf.DUMMYFUNCTION("""COMPUTED_VALUE"""),"All Time Elachi Cookies")</f>
        <v>All Time Elachi Cookies</v>
      </c>
      <c r="B1248" s="90" t="str">
        <f ca="1">IFERROR(__xludf.DUMMYFUNCTION("""COMPUTED_VALUE"""),"BBL")</f>
        <v>BBL</v>
      </c>
      <c r="C1248" s="91" t="str">
        <f ca="1">IFERROR(__xludf.DUMMYFUNCTION("""COMPUTED_VALUE"""),"Afrin Apu")</f>
        <v>Afrin Apu</v>
      </c>
      <c r="D1248" s="92" t="str">
        <f ca="1">IFERROR(__xludf.DUMMYFUNCTION("""COMPUTED_VALUE"""),"Md. Azizul Hakim (S223035)")</f>
        <v>Md. Azizul Hakim (S223035)</v>
      </c>
      <c r="E1248" s="93" t="str">
        <f ca="1">IFERROR(__xludf.DUMMYFUNCTION("""COMPUTED_VALUE"""),"CB23782")</f>
        <v>CB23782</v>
      </c>
      <c r="F1248" s="94" t="str">
        <f ca="1">IFERROR(__xludf.DUMMYFUNCTION("""COMPUTED_VALUE"""),"Packaging Text Design #2")</f>
        <v>Packaging Text Design #2</v>
      </c>
      <c r="G1248" s="95" t="str">
        <f ca="1">IFERROR(__xludf.DUMMYFUNCTION("""COMPUTED_VALUE"""),"New")</f>
        <v>New</v>
      </c>
      <c r="H1248" s="96">
        <f ca="1">IFERROR(__xludf.DUMMYFUNCTION("""COMPUTED_VALUE"""),1)</f>
        <v>1</v>
      </c>
      <c r="I1248" s="97"/>
      <c r="J1248" s="98" t="str">
        <f ca="1">IFERROR(__xludf.DUMMYFUNCTION("""COMPUTED_VALUE"""),"Unknown")</f>
        <v>Unknown</v>
      </c>
      <c r="K1248" s="99" t="str">
        <f ca="1">IFERROR(__xludf.DUMMYFUNCTION("""COMPUTED_VALUE"""),"Running")</f>
        <v>Running</v>
      </c>
    </row>
    <row r="1249" spans="1:11" ht="13.2">
      <c r="A1249" s="89" t="str">
        <f ca="1">IFERROR(__xludf.DUMMYFUNCTION("""COMPUTED_VALUE"""),"Tasty Treat PVC Board Menu Card")</f>
        <v>Tasty Treat PVC Board Menu Card</v>
      </c>
      <c r="B1249" s="90" t="str">
        <f ca="1">IFERROR(__xludf.DUMMYFUNCTION("""COMPUTED_VALUE"""),"Tasty Treat")</f>
        <v>Tasty Treat</v>
      </c>
      <c r="C1249" s="91" t="str">
        <f ca="1">IFERROR(__xludf.DUMMYFUNCTION("""COMPUTED_VALUE"""),"Shubhankar Vai")</f>
        <v>Shubhankar Vai</v>
      </c>
      <c r="D1249" s="92" t="str">
        <f ca="1">IFERROR(__xludf.DUMMYFUNCTION("""COMPUTED_VALUE"""),"Md. Azizul Hakim (S223035)")</f>
        <v>Md. Azizul Hakim (S223035)</v>
      </c>
      <c r="E1249" s="93" t="str">
        <f ca="1">IFERROR(__xludf.DUMMYFUNCTION("""COMPUTED_VALUE"""),"CB38347_Jul26")</f>
        <v>CB38347_Jul26</v>
      </c>
      <c r="F1249" s="94" t="str">
        <f ca="1">IFERROR(__xludf.DUMMYFUNCTION("""COMPUTED_VALUE"""),"Flyer/Brochure/Banner Output")</f>
        <v>Flyer/Brochure/Banner Output</v>
      </c>
      <c r="G1249" s="95" t="str">
        <f ca="1">IFERROR(__xludf.DUMMYFUNCTION("""COMPUTED_VALUE"""),"New")</f>
        <v>New</v>
      </c>
      <c r="H1249" s="96">
        <f ca="1">IFERROR(__xludf.DUMMYFUNCTION("""COMPUTED_VALUE"""),1)</f>
        <v>1</v>
      </c>
      <c r="I1249" s="97">
        <f ca="1">IFERROR(__xludf.DUMMYFUNCTION("""COMPUTED_VALUE"""),46205)</f>
        <v>46205</v>
      </c>
      <c r="J1249" s="98" t="str">
        <f ca="1">IFERROR(__xludf.DUMMYFUNCTION("""COMPUTED_VALUE"""),"CW39013_Jul26")</f>
        <v>CW39013_Jul26</v>
      </c>
      <c r="K1249" s="99" t="str">
        <f ca="1">IFERROR(__xludf.DUMMYFUNCTION("""COMPUTED_VALUE"""),"HoM Approved")</f>
        <v>HoM Approved</v>
      </c>
    </row>
    <row r="1250" spans="1:11" ht="13.2">
      <c r="A1250" s="89" t="str">
        <f ca="1">IFERROR(__xludf.DUMMYFUNCTION("""COMPUTED_VALUE"""),"Vision Emporium Discount Cupon ")</f>
        <v xml:space="preserve">Vision Emporium Discount Cupon </v>
      </c>
      <c r="B1250" s="90" t="str">
        <f ca="1">IFERROR(__xludf.DUMMYFUNCTION("""COMPUTED_VALUE"""),"RFL - Vision")</f>
        <v>RFL - Vision</v>
      </c>
      <c r="C1250" s="91" t="str">
        <f ca="1">IFERROR(__xludf.DUMMYFUNCTION("""COMPUTED_VALUE"""),"Sourav Vai")</f>
        <v>Sourav Vai</v>
      </c>
      <c r="D1250" s="92" t="str">
        <f ca="1">IFERROR(__xludf.DUMMYFUNCTION("""COMPUTED_VALUE"""),"Md. Azizul Hakim (S223035)")</f>
        <v>Md. Azizul Hakim (S223035)</v>
      </c>
      <c r="E1250" s="93" t="str">
        <f ca="1">IFERROR(__xludf.DUMMYFUNCTION("""COMPUTED_VALUE"""),"CB37352_Jun26")</f>
        <v>CB37352_Jun26</v>
      </c>
      <c r="F1250" s="94" t="str">
        <f ca="1">IFERROR(__xludf.DUMMYFUNCTION("""COMPUTED_VALUE"""),"Flyer/Brochure/Banner Output")</f>
        <v>Flyer/Brochure/Banner Output</v>
      </c>
      <c r="G1250" s="95" t="str">
        <f ca="1">IFERROR(__xludf.DUMMYFUNCTION("""COMPUTED_VALUE"""),"New")</f>
        <v>New</v>
      </c>
      <c r="H1250" s="96">
        <f ca="1">IFERROR(__xludf.DUMMYFUNCTION("""COMPUTED_VALUE"""),2)</f>
        <v>2</v>
      </c>
      <c r="I1250" s="97">
        <f ca="1">IFERROR(__xludf.DUMMYFUNCTION("""COMPUTED_VALUE"""),46205)</f>
        <v>46205</v>
      </c>
      <c r="J1250" s="98" t="str">
        <f ca="1">IFERROR(__xludf.DUMMYFUNCTION("""COMPUTED_VALUE"""),"CW39036_Jul26")</f>
        <v>CW39036_Jul26</v>
      </c>
      <c r="K1250" s="99" t="str">
        <f ca="1">IFERROR(__xludf.DUMMYFUNCTION("""COMPUTED_VALUE"""),"HoM Approved")</f>
        <v>HoM Approved</v>
      </c>
    </row>
    <row r="1251" spans="1:11" ht="13.2">
      <c r="A1251" s="89" t="str">
        <f ca="1">IFERROR(__xludf.DUMMYFUNCTION("""COMPUTED_VALUE"""),"T-shirt Design For Rainbow Paints")</f>
        <v>T-shirt Design For Rainbow Paints</v>
      </c>
      <c r="B1251" s="90" t="str">
        <f ca="1">IFERROR(__xludf.DUMMYFUNCTION("""COMPUTED_VALUE"""),"MLIL")</f>
        <v>MLIL</v>
      </c>
      <c r="C1251" s="91" t="str">
        <f ca="1">IFERROR(__xludf.DUMMYFUNCTION("""COMPUTED_VALUE"""),"Runa Apu")</f>
        <v>Runa Apu</v>
      </c>
      <c r="D1251" s="92" t="str">
        <f ca="1">IFERROR(__xludf.DUMMYFUNCTION("""COMPUTED_VALUE"""),"Md. Azizul Hakim (S223035)")</f>
        <v>Md. Azizul Hakim (S223035)</v>
      </c>
      <c r="E1251" s="93" t="str">
        <f ca="1">IFERROR(__xludf.DUMMYFUNCTION("""COMPUTED_VALUE"""),"CB36906_Jun26")</f>
        <v>CB36906_Jun26</v>
      </c>
      <c r="F1251" s="94" t="str">
        <f ca="1">IFERROR(__xludf.DUMMYFUNCTION("""COMPUTED_VALUE"""),"Flyer/Brochure/Banner Output")</f>
        <v>Flyer/Brochure/Banner Output</v>
      </c>
      <c r="G1251" s="95" t="str">
        <f ca="1">IFERROR(__xludf.DUMMYFUNCTION("""COMPUTED_VALUE"""),"New")</f>
        <v>New</v>
      </c>
      <c r="H1251" s="96">
        <f ca="1">IFERROR(__xludf.DUMMYFUNCTION("""COMPUTED_VALUE"""),12)</f>
        <v>12</v>
      </c>
      <c r="I1251" s="97">
        <f ca="1">IFERROR(__xludf.DUMMYFUNCTION("""COMPUTED_VALUE"""),46207)</f>
        <v>46207</v>
      </c>
      <c r="J1251" s="98" t="str">
        <f ca="1">IFERROR(__xludf.DUMMYFUNCTION("""COMPUTED_VALUE"""),"CW39253_Jul26")</f>
        <v>CW39253_Jul26</v>
      </c>
      <c r="K1251" s="99" t="str">
        <f ca="1">IFERROR(__xludf.DUMMYFUNCTION("""COMPUTED_VALUE"""),"Brief Submitted")</f>
        <v>Brief Submitted</v>
      </c>
    </row>
    <row r="1252" spans="1:11" ht="13.2">
      <c r="A1252" s="89" t="str">
        <f ca="1">IFERROR(__xludf.DUMMYFUNCTION("""COMPUTED_VALUE"""),"Jom Mosquito Coil Leaflet")</f>
        <v>Jom Mosquito Coil Leaflet</v>
      </c>
      <c r="B1252" s="90" t="str">
        <f ca="1">IFERROR(__xludf.DUMMYFUNCTION("""COMPUTED_VALUE"""),"APCL")</f>
        <v>APCL</v>
      </c>
      <c r="C1252" s="91" t="str">
        <f ca="1">IFERROR(__xludf.DUMMYFUNCTION("""COMPUTED_VALUE"""),"Shaibal Vaiya")</f>
        <v>Shaibal Vaiya</v>
      </c>
      <c r="D1252" s="92" t="str">
        <f ca="1">IFERROR(__xludf.DUMMYFUNCTION("""COMPUTED_VALUE"""),"Md. Azizul Hakim (S223035)")</f>
        <v>Md. Azizul Hakim (S223035)</v>
      </c>
      <c r="E1252" s="93" t="str">
        <f ca="1">IFERROR(__xludf.DUMMYFUNCTION("""COMPUTED_VALUE"""),"CB37311_Jun26")</f>
        <v>CB37311_Jun26</v>
      </c>
      <c r="F1252" s="94" t="str">
        <f ca="1">IFERROR(__xludf.DUMMYFUNCTION("""COMPUTED_VALUE"""),"Leaflet/Poster Output")</f>
        <v>Leaflet/Poster Output</v>
      </c>
      <c r="G1252" s="95" t="str">
        <f ca="1">IFERROR(__xludf.DUMMYFUNCTION("""COMPUTED_VALUE"""),"New")</f>
        <v>New</v>
      </c>
      <c r="H1252" s="96">
        <f ca="1">IFERROR(__xludf.DUMMYFUNCTION("""COMPUTED_VALUE"""),1)</f>
        <v>1</v>
      </c>
      <c r="I1252" s="97">
        <f ca="1">IFERROR(__xludf.DUMMYFUNCTION("""COMPUTED_VALUE"""),46207)</f>
        <v>46207</v>
      </c>
      <c r="J1252" s="98" t="str">
        <f ca="1">IFERROR(__xludf.DUMMYFUNCTION("""COMPUTED_VALUE"""),"CW39301_Jul26")</f>
        <v>CW39301_Jul26</v>
      </c>
      <c r="K1252" s="99" t="str">
        <f ca="1">IFERROR(__xludf.DUMMYFUNCTION("""COMPUTED_VALUE"""),"Brief Submitted")</f>
        <v>Brief Submitted</v>
      </c>
    </row>
    <row r="1253" spans="1:11" ht="13.2">
      <c r="A1253" s="89" t="str">
        <f ca="1">IFERROR(__xludf.DUMMYFUNCTION("""COMPUTED_VALUE"""),"Jom Mosquito Coil T-shirt &amp; Cap")</f>
        <v>Jom Mosquito Coil T-shirt &amp; Cap</v>
      </c>
      <c r="B1253" s="90" t="str">
        <f ca="1">IFERROR(__xludf.DUMMYFUNCTION("""COMPUTED_VALUE"""),"APCL")</f>
        <v>APCL</v>
      </c>
      <c r="C1253" s="91" t="str">
        <f ca="1">IFERROR(__xludf.DUMMYFUNCTION("""COMPUTED_VALUE"""),"Shaibal Vaiya")</f>
        <v>Shaibal Vaiya</v>
      </c>
      <c r="D1253" s="92" t="str">
        <f ca="1">IFERROR(__xludf.DUMMYFUNCTION("""COMPUTED_VALUE"""),"Md. Azizul Hakim (S223035)")</f>
        <v>Md. Azizul Hakim (S223035)</v>
      </c>
      <c r="E1253" s="93" t="str">
        <f ca="1">IFERROR(__xludf.DUMMYFUNCTION("""COMPUTED_VALUE"""),"CB37311_Jun26")</f>
        <v>CB37311_Jun26</v>
      </c>
      <c r="F1253" s="94" t="str">
        <f ca="1">IFERROR(__xludf.DUMMYFUNCTION("""COMPUTED_VALUE"""),"Flyer/Brochure/Banner Output")</f>
        <v>Flyer/Brochure/Banner Output</v>
      </c>
      <c r="G1253" s="95" t="str">
        <f ca="1">IFERROR(__xludf.DUMMYFUNCTION("""COMPUTED_VALUE"""),"New")</f>
        <v>New</v>
      </c>
      <c r="H1253" s="96">
        <f ca="1">IFERROR(__xludf.DUMMYFUNCTION("""COMPUTED_VALUE"""),2)</f>
        <v>2</v>
      </c>
      <c r="I1253" s="97">
        <f ca="1">IFERROR(__xludf.DUMMYFUNCTION("""COMPUTED_VALUE"""),46207)</f>
        <v>46207</v>
      </c>
      <c r="J1253" s="98" t="str">
        <f ca="1">IFERROR(__xludf.DUMMYFUNCTION("""COMPUTED_VALUE"""),"CW39301_Jul26")</f>
        <v>CW39301_Jul26</v>
      </c>
      <c r="K1253" s="99" t="str">
        <f ca="1">IFERROR(__xludf.DUMMYFUNCTION("""COMPUTED_VALUE"""),"Brief Submitted")</f>
        <v>Brief Submitted</v>
      </c>
    </row>
    <row r="1254" spans="1:11" ht="13.2">
      <c r="A1254" s="89" t="str">
        <f ca="1">IFERROR(__xludf.DUMMYFUNCTION("""COMPUTED_VALUE"""),"Belgio Assorted Bars 5 in 1 Atc Box")</f>
        <v>Belgio Assorted Bars 5 in 1 Atc Box</v>
      </c>
      <c r="B1254" s="90" t="str">
        <f ca="1">IFERROR(__xludf.DUMMYFUNCTION("""COMPUTED_VALUE"""),"PAL")</f>
        <v>PAL</v>
      </c>
      <c r="C1254" s="91" t="str">
        <f ca="1">IFERROR(__xludf.DUMMYFUNCTION("""COMPUTED_VALUE"""),"Zahirul Vai")</f>
        <v>Zahirul Vai</v>
      </c>
      <c r="D1254" s="92" t="str">
        <f ca="1">IFERROR(__xludf.DUMMYFUNCTION("""COMPUTED_VALUE"""),"Md. Azizul Hakim (S223035)")</f>
        <v>Md. Azizul Hakim (S223035)</v>
      </c>
      <c r="E1254" s="93" t="str">
        <f ca="1">IFERROR(__xludf.DUMMYFUNCTION("""COMPUTED_VALUE"""),"CB38531_Jul26")</f>
        <v>CB38531_Jul26</v>
      </c>
      <c r="F1254" s="94" t="str">
        <f ca="1">IFERROR(__xludf.DUMMYFUNCTION("""COMPUTED_VALUE"""),"ATC Box Output")</f>
        <v>ATC Box Output</v>
      </c>
      <c r="G1254" s="95" t="str">
        <f ca="1">IFERROR(__xludf.DUMMYFUNCTION("""COMPUTED_VALUE"""),"New")</f>
        <v>New</v>
      </c>
      <c r="H1254" s="96">
        <f ca="1">IFERROR(__xludf.DUMMYFUNCTION("""COMPUTED_VALUE"""),1)</f>
        <v>1</v>
      </c>
      <c r="I1254" s="97">
        <f ca="1">IFERROR(__xludf.DUMMYFUNCTION("""COMPUTED_VALUE"""),46208)</f>
        <v>46208</v>
      </c>
      <c r="J1254" s="98" t="str">
        <f ca="1">IFERROR(__xludf.DUMMYFUNCTION("""COMPUTED_VALUE"""),"CW39408_Jul26")</f>
        <v>CW39408_Jul26</v>
      </c>
      <c r="K1254" s="99" t="str">
        <f ca="1">IFERROR(__xludf.DUMMYFUNCTION("""COMPUTED_VALUE"""),"Brief Submitted")</f>
        <v>Brief Submitted</v>
      </c>
    </row>
    <row r="1255" spans="1:11" ht="13.2">
      <c r="A1255" s="89" t="str">
        <f ca="1">IFERROR(__xludf.DUMMYFUNCTION("""COMPUTED_VALUE"""),"Belgio Assorted Bars 5 in 1 Tray")</f>
        <v>Belgio Assorted Bars 5 in 1 Tray</v>
      </c>
      <c r="B1255" s="90" t="str">
        <f ca="1">IFERROR(__xludf.DUMMYFUNCTION("""COMPUTED_VALUE"""),"PAL")</f>
        <v>PAL</v>
      </c>
      <c r="C1255" s="91" t="str">
        <f ca="1">IFERROR(__xludf.DUMMYFUNCTION("""COMPUTED_VALUE"""),"Zahirul Vai")</f>
        <v>Zahirul Vai</v>
      </c>
      <c r="D1255" s="92" t="str">
        <f ca="1">IFERROR(__xludf.DUMMYFUNCTION("""COMPUTED_VALUE"""),"Md. Azizul Hakim (S223035)")</f>
        <v>Md. Azizul Hakim (S223035)</v>
      </c>
      <c r="E1255" s="93" t="str">
        <f ca="1">IFERROR(__xludf.DUMMYFUNCTION("""COMPUTED_VALUE"""),"CB38531_Jul26")</f>
        <v>CB38531_Jul26</v>
      </c>
      <c r="F1255" s="94" t="str">
        <f ca="1">IFERROR(__xludf.DUMMYFUNCTION("""COMPUTED_VALUE"""),"Layout/Dieline Making")</f>
        <v>Layout/Dieline Making</v>
      </c>
      <c r="G1255" s="95" t="str">
        <f ca="1">IFERROR(__xludf.DUMMYFUNCTION("""COMPUTED_VALUE"""),"New")</f>
        <v>New</v>
      </c>
      <c r="H1255" s="96">
        <f ca="1">IFERROR(__xludf.DUMMYFUNCTION("""COMPUTED_VALUE"""),2)</f>
        <v>2</v>
      </c>
      <c r="I1255" s="97">
        <f ca="1">IFERROR(__xludf.DUMMYFUNCTION("""COMPUTED_VALUE"""),46208)</f>
        <v>46208</v>
      </c>
      <c r="J1255" s="98" t="str">
        <f ca="1">IFERROR(__xludf.DUMMYFUNCTION("""COMPUTED_VALUE"""),"CW39408_Jul26")</f>
        <v>CW39408_Jul26</v>
      </c>
      <c r="K1255" s="99" t="str">
        <f ca="1">IFERROR(__xludf.DUMMYFUNCTION("""COMPUTED_VALUE"""),"Brief Submitted")</f>
        <v>Brief Submitted</v>
      </c>
    </row>
    <row r="1256" spans="1:11" ht="13.2">
      <c r="A1256" s="89" t="str">
        <f ca="1">IFERROR(__xludf.DUMMYFUNCTION("""COMPUTED_VALUE"""),"Tasty Treat Coconut Pudding 80g &amp;150g")</f>
        <v>Tasty Treat Coconut Pudding 80g &amp;150g</v>
      </c>
      <c r="B1256" s="90" t="str">
        <f ca="1">IFERROR(__xludf.DUMMYFUNCTION("""COMPUTED_VALUE"""),"Tasty Treat")</f>
        <v>Tasty Treat</v>
      </c>
      <c r="C1256" s="91" t="str">
        <f ca="1">IFERROR(__xludf.DUMMYFUNCTION("""COMPUTED_VALUE"""),"Shubhankar Vai")</f>
        <v>Shubhankar Vai</v>
      </c>
      <c r="D1256" s="92" t="str">
        <f ca="1">IFERROR(__xludf.DUMMYFUNCTION("""COMPUTED_VALUE"""),"Md. Azizul Hakim (S223035)")</f>
        <v>Md. Azizul Hakim (S223035)</v>
      </c>
      <c r="E1256" s="93" t="str">
        <f ca="1">IFERROR(__xludf.DUMMYFUNCTION("""COMPUTED_VALUE"""),"CB37679_Jun26")</f>
        <v>CB37679_Jun26</v>
      </c>
      <c r="F1256" s="94" t="str">
        <f ca="1">IFERROR(__xludf.DUMMYFUNCTION("""COMPUTED_VALUE"""),"JAR Label Sticker Output")</f>
        <v>JAR Label Sticker Output</v>
      </c>
      <c r="G1256" s="95" t="str">
        <f ca="1">IFERROR(__xludf.DUMMYFUNCTION("""COMPUTED_VALUE"""),"New")</f>
        <v>New</v>
      </c>
      <c r="H1256" s="96">
        <f ca="1">IFERROR(__xludf.DUMMYFUNCTION("""COMPUTED_VALUE"""),2)</f>
        <v>2</v>
      </c>
      <c r="I1256" s="97">
        <f ca="1">IFERROR(__xludf.DUMMYFUNCTION("""COMPUTED_VALUE"""),46208)</f>
        <v>46208</v>
      </c>
      <c r="J1256" s="98" t="str">
        <f ca="1">IFERROR(__xludf.DUMMYFUNCTION("""COMPUTED_VALUE"""),"CW39413_Jul26")</f>
        <v>CW39413_Jul26</v>
      </c>
      <c r="K1256" s="99" t="str">
        <f ca="1">IFERROR(__xludf.DUMMYFUNCTION("""COMPUTED_VALUE"""),"HoM Approved")</f>
        <v>HoM Approved</v>
      </c>
    </row>
    <row r="1257" spans="1:11" ht="13.2">
      <c r="A1257" s="89" t="str">
        <f ca="1">IFERROR(__xludf.DUMMYFUNCTION("""COMPUTED_VALUE"""),"PRAN Yogurt Drink Adhesive Sticker Malaysia X3")</f>
        <v>PRAN Yogurt Drink Adhesive Sticker Malaysia X3</v>
      </c>
      <c r="B1257" s="90" t="str">
        <f ca="1">IFERROR(__xludf.DUMMYFUNCTION("""COMPUTED_VALUE"""),"Dairy")</f>
        <v>Dairy</v>
      </c>
      <c r="C1257" s="91" t="str">
        <f ca="1">IFERROR(__xludf.DUMMYFUNCTION("""COMPUTED_VALUE"""),"Tamim Vai")</f>
        <v>Tamim Vai</v>
      </c>
      <c r="D1257" s="92" t="str">
        <f ca="1">IFERROR(__xludf.DUMMYFUNCTION("""COMPUTED_VALUE"""),"Md. Azizul Hakim (S223035)")</f>
        <v>Md. Azizul Hakim (S223035)</v>
      </c>
      <c r="E1257" s="93" t="str">
        <f ca="1">IFERROR(__xludf.DUMMYFUNCTION("""COMPUTED_VALUE"""),"CB38598_Jul26")</f>
        <v>CB38598_Jul26</v>
      </c>
      <c r="F1257" s="94" t="str">
        <f ca="1">IFERROR(__xludf.DUMMYFUNCTION("""COMPUTED_VALUE"""),"Leaflet/Poster Output")</f>
        <v>Leaflet/Poster Output</v>
      </c>
      <c r="G1257" s="95" t="str">
        <f ca="1">IFERROR(__xludf.DUMMYFUNCTION("""COMPUTED_VALUE"""),"New")</f>
        <v>New</v>
      </c>
      <c r="H1257" s="96">
        <f ca="1">IFERROR(__xludf.DUMMYFUNCTION("""COMPUTED_VALUE"""),3)</f>
        <v>3</v>
      </c>
      <c r="I1257" s="97">
        <f ca="1">IFERROR(__xludf.DUMMYFUNCTION("""COMPUTED_VALUE"""),46208)</f>
        <v>46208</v>
      </c>
      <c r="J1257" s="98" t="str">
        <f ca="1">IFERROR(__xludf.DUMMYFUNCTION("""COMPUTED_VALUE"""),"CW39418_Jul26")</f>
        <v>CW39418_Jul26</v>
      </c>
      <c r="K1257" s="99" t="str">
        <f ca="1">IFERROR(__xludf.DUMMYFUNCTION("""COMPUTED_VALUE"""),"BM Approved")</f>
        <v>BM Approved</v>
      </c>
    </row>
    <row r="1258" spans="1:11" ht="13.2">
      <c r="A1258" s="89" t="str">
        <f ca="1">IFERROR(__xludf.DUMMYFUNCTION("""COMPUTED_VALUE"""),"Hurray Chocolate Gems 32g Tag &amp; 32g x 20 Pcs Jar Label for Nepal")</f>
        <v>Hurray Chocolate Gems 32g Tag &amp; 32g x 20 Pcs Jar Label for Nepal</v>
      </c>
      <c r="B1258" s="90" t="str">
        <f ca="1">IFERROR(__xludf.DUMMYFUNCTION("""COMPUTED_VALUE"""),"PCL")</f>
        <v>PCL</v>
      </c>
      <c r="C1258" s="91" t="str">
        <f ca="1">IFERROR(__xludf.DUMMYFUNCTION("""COMPUTED_VALUE"""),"Zahirul Vai")</f>
        <v>Zahirul Vai</v>
      </c>
      <c r="D1258" s="92" t="str">
        <f ca="1">IFERROR(__xludf.DUMMYFUNCTION("""COMPUTED_VALUE"""),"Md. Azizul Hakim (S223035)")</f>
        <v>Md. Azizul Hakim (S223035)</v>
      </c>
      <c r="E1258" s="93" t="str">
        <f ca="1">IFERROR(__xludf.DUMMYFUNCTION("""COMPUTED_VALUE"""),"CB38696_Jul26")</f>
        <v>CB38696_Jul26</v>
      </c>
      <c r="F1258" s="94" t="str">
        <f ca="1">IFERROR(__xludf.DUMMYFUNCTION("""COMPUTED_VALUE"""),"JAR Label Sticker Output")</f>
        <v>JAR Label Sticker Output</v>
      </c>
      <c r="G1258" s="95" t="str">
        <f ca="1">IFERROR(__xludf.DUMMYFUNCTION("""COMPUTED_VALUE"""),"New")</f>
        <v>New</v>
      </c>
      <c r="H1258" s="96">
        <f ca="1">IFERROR(__xludf.DUMMYFUNCTION("""COMPUTED_VALUE"""),2)</f>
        <v>2</v>
      </c>
      <c r="I1258" s="97">
        <f ca="1">IFERROR(__xludf.DUMMYFUNCTION("""COMPUTED_VALUE"""),46208)</f>
        <v>46208</v>
      </c>
      <c r="J1258" s="98" t="str">
        <f ca="1">IFERROR(__xludf.DUMMYFUNCTION("""COMPUTED_VALUE"""),"CW39444_Jul26")</f>
        <v>CW39444_Jul26</v>
      </c>
      <c r="K1258" s="99" t="str">
        <f ca="1">IFERROR(__xludf.DUMMYFUNCTION("""COMPUTED_VALUE"""),"Brief Submitted")</f>
        <v>Brief Submitted</v>
      </c>
    </row>
    <row r="1259" spans="1:11" ht="13.2">
      <c r="A1259" s="89" t="str">
        <f ca="1">IFERROR(__xludf.DUMMYFUNCTION("""COMPUTED_VALUE"""),"PRAN Sauce Carton")</f>
        <v>PRAN Sauce Carton</v>
      </c>
      <c r="B1259" s="90" t="str">
        <f ca="1">IFERROR(__xludf.DUMMYFUNCTION("""COMPUTED_VALUE"""),"PAL")</f>
        <v>PAL</v>
      </c>
      <c r="C1259" s="91" t="str">
        <f ca="1">IFERROR(__xludf.DUMMYFUNCTION("""COMPUTED_VALUE"""),"Sanjida Apu")</f>
        <v>Sanjida Apu</v>
      </c>
      <c r="D1259" s="92" t="str">
        <f ca="1">IFERROR(__xludf.DUMMYFUNCTION("""COMPUTED_VALUE"""),"Md. Azizul Hakim (S223035)")</f>
        <v>Md. Azizul Hakim (S223035)</v>
      </c>
      <c r="E1259" s="93" t="str">
        <f ca="1">IFERROR(__xludf.DUMMYFUNCTION("""COMPUTED_VALUE"""),"CB38650_Jul26")</f>
        <v>CB38650_Jul26</v>
      </c>
      <c r="F1259" s="94" t="str">
        <f ca="1">IFERROR(__xludf.DUMMYFUNCTION("""COMPUTED_VALUE"""),"Carton Design")</f>
        <v>Carton Design</v>
      </c>
      <c r="G1259" s="95" t="str">
        <f ca="1">IFERROR(__xludf.DUMMYFUNCTION("""COMPUTED_VALUE"""),"New")</f>
        <v>New</v>
      </c>
      <c r="H1259" s="96">
        <f ca="1">IFERROR(__xludf.DUMMYFUNCTION("""COMPUTED_VALUE"""),3)</f>
        <v>3</v>
      </c>
      <c r="I1259" s="97">
        <f ca="1">IFERROR(__xludf.DUMMYFUNCTION("""COMPUTED_VALUE"""),46209)</f>
        <v>46209</v>
      </c>
      <c r="J1259" s="98" t="str">
        <f ca="1">IFERROR(__xludf.DUMMYFUNCTION("""COMPUTED_VALUE"""),"CW39590_Jul26")</f>
        <v>CW39590_Jul26</v>
      </c>
      <c r="K1259" s="99" t="str">
        <f ca="1">IFERROR(__xludf.DUMMYFUNCTION("""COMPUTED_VALUE"""),"BM Approved")</f>
        <v>BM Approved</v>
      </c>
    </row>
    <row r="1260" spans="1:11" ht="13.2">
      <c r="A1260" s="89" t="str">
        <f ca="1">IFERROR(__xludf.DUMMYFUNCTION("""COMPUTED_VALUE"""),"Pran Tea Export stickers for mihas far")</f>
        <v>Pran Tea Export stickers for mihas far</v>
      </c>
      <c r="B1260" s="90" t="str">
        <f ca="1">IFERROR(__xludf.DUMMYFUNCTION("""COMPUTED_VALUE"""),"AMCL")</f>
        <v>AMCL</v>
      </c>
      <c r="C1260" s="91" t="str">
        <f ca="1">IFERROR(__xludf.DUMMYFUNCTION("""COMPUTED_VALUE"""),"Zubair Vai")</f>
        <v>Zubair Vai</v>
      </c>
      <c r="D1260" s="92" t="str">
        <f ca="1">IFERROR(__xludf.DUMMYFUNCTION("""COMPUTED_VALUE"""),"Md. Azizul Hakim (S223035)")</f>
        <v>Md. Azizul Hakim (S223035)</v>
      </c>
      <c r="E1260" s="93" t="str">
        <f ca="1">IFERROR(__xludf.DUMMYFUNCTION("""COMPUTED_VALUE"""),"CB38751_Jul26")</f>
        <v>CB38751_Jul26</v>
      </c>
      <c r="F1260" s="94" t="str">
        <f ca="1">IFERROR(__xludf.DUMMYFUNCTION("""COMPUTED_VALUE"""),"Leaflet/Poster Output")</f>
        <v>Leaflet/Poster Output</v>
      </c>
      <c r="G1260" s="95" t="str">
        <f ca="1">IFERROR(__xludf.DUMMYFUNCTION("""COMPUTED_VALUE"""),"New")</f>
        <v>New</v>
      </c>
      <c r="H1260" s="96">
        <f ca="1">IFERROR(__xludf.DUMMYFUNCTION("""COMPUTED_VALUE"""),5)</f>
        <v>5</v>
      </c>
      <c r="I1260" s="97">
        <f ca="1">IFERROR(__xludf.DUMMYFUNCTION("""COMPUTED_VALUE"""),46211)</f>
        <v>46211</v>
      </c>
      <c r="J1260" s="98" t="str">
        <f ca="1">IFERROR(__xludf.DUMMYFUNCTION("""COMPUTED_VALUE"""),"CW39898_Jul26")</f>
        <v>CW39898_Jul26</v>
      </c>
      <c r="K1260" s="99" t="str">
        <f ca="1">IFERROR(__xludf.DUMMYFUNCTION("""COMPUTED_VALUE"""),"Brief Submitted")</f>
        <v>Brief Submitted</v>
      </c>
    </row>
    <row r="1261" spans="1:11" ht="13.2">
      <c r="A1261" s="89" t="str">
        <f ca="1">IFERROR(__xludf.DUMMYFUNCTION("""COMPUTED_VALUE"""),"Output file for Vision Style Catalogue 2026")</f>
        <v>Output file for Vision Style Catalogue 2026</v>
      </c>
      <c r="B1261" s="90" t="str">
        <f ca="1">IFERROR(__xludf.DUMMYFUNCTION("""COMPUTED_VALUE"""),"RFL - Vision")</f>
        <v>RFL - Vision</v>
      </c>
      <c r="C1261" s="91" t="str">
        <f ca="1">IFERROR(__xludf.DUMMYFUNCTION("""COMPUTED_VALUE"""),"Tanveer Vai")</f>
        <v>Tanveer Vai</v>
      </c>
      <c r="D1261" s="92" t="str">
        <f ca="1">IFERROR(__xludf.DUMMYFUNCTION("""COMPUTED_VALUE"""),"Md. Azizul Hakim (S223035)")</f>
        <v>Md. Azizul Hakim (S223035)</v>
      </c>
      <c r="E1261" s="93" t="str">
        <f ca="1">IFERROR(__xludf.DUMMYFUNCTION("""COMPUTED_VALUE"""),"CB36958_Jun26")</f>
        <v>CB36958_Jun26</v>
      </c>
      <c r="F1261" s="94" t="str">
        <f ca="1">IFERROR(__xludf.DUMMYFUNCTION("""COMPUTED_VALUE"""),"Flyer/Brochure/Banner Output")</f>
        <v>Flyer/Brochure/Banner Output</v>
      </c>
      <c r="G1261" s="95" t="str">
        <f ca="1">IFERROR(__xludf.DUMMYFUNCTION("""COMPUTED_VALUE"""),"New")</f>
        <v>New</v>
      </c>
      <c r="H1261" s="96">
        <f ca="1">IFERROR(__xludf.DUMMYFUNCTION("""COMPUTED_VALUE"""),10)</f>
        <v>10</v>
      </c>
      <c r="I1261" s="97">
        <f ca="1">IFERROR(__xludf.DUMMYFUNCTION("""COMPUTED_VALUE"""),46211)</f>
        <v>46211</v>
      </c>
      <c r="J1261" s="98" t="str">
        <f ca="1">IFERROR(__xludf.DUMMYFUNCTION("""COMPUTED_VALUE"""),"CW39896_Jul26")</f>
        <v>CW39896_Jul26</v>
      </c>
      <c r="K1261" s="99" t="str">
        <f ca="1">IFERROR(__xludf.DUMMYFUNCTION("""COMPUTED_VALUE"""),"BM Approved")</f>
        <v>BM Approved</v>
      </c>
    </row>
    <row r="1262" spans="1:11" ht="13.2">
      <c r="A1262" s="89" t="str">
        <f ca="1">IFERROR(__xludf.DUMMYFUNCTION("""COMPUTED_VALUE"""),"PRAN Lolli Pop Assorted Fruit Flavoured 9g x 36 Pcs Jar Label (Malaysia)")</f>
        <v>PRAN Lolli Pop Assorted Fruit Flavoured 9g x 36 Pcs Jar Label (Malaysia)</v>
      </c>
      <c r="B1262" s="90" t="str">
        <f ca="1">IFERROR(__xludf.DUMMYFUNCTION("""COMPUTED_VALUE"""),"PCL")</f>
        <v>PCL</v>
      </c>
      <c r="C1262" s="91" t="str">
        <f ca="1">IFERROR(__xludf.DUMMYFUNCTION("""COMPUTED_VALUE"""),"Zahirul Vai")</f>
        <v>Zahirul Vai</v>
      </c>
      <c r="D1262" s="92" t="str">
        <f ca="1">IFERROR(__xludf.DUMMYFUNCTION("""COMPUTED_VALUE"""),"Md. Azizul Hakim (S223035)")</f>
        <v>Md. Azizul Hakim (S223035)</v>
      </c>
      <c r="E1262" s="93" t="str">
        <f ca="1">IFERROR(__xludf.DUMMYFUNCTION("""COMPUTED_VALUE"""),"CB38751_Jul26")</f>
        <v>CB38751_Jul26</v>
      </c>
      <c r="F1262" s="94" t="str">
        <f ca="1">IFERROR(__xludf.DUMMYFUNCTION("""COMPUTED_VALUE"""),"JAR Label Sticker Output")</f>
        <v>JAR Label Sticker Output</v>
      </c>
      <c r="G1262" s="95" t="str">
        <f ca="1">IFERROR(__xludf.DUMMYFUNCTION("""COMPUTED_VALUE"""),"New")</f>
        <v>New</v>
      </c>
      <c r="H1262" s="96">
        <f ca="1">IFERROR(__xludf.DUMMYFUNCTION("""COMPUTED_VALUE"""),1)</f>
        <v>1</v>
      </c>
      <c r="I1262" s="97">
        <f ca="1">IFERROR(__xludf.DUMMYFUNCTION("""COMPUTED_VALUE"""),46212)</f>
        <v>46212</v>
      </c>
      <c r="J1262" s="98" t="str">
        <f ca="1">IFERROR(__xludf.DUMMYFUNCTION("""COMPUTED_VALUE"""),"CW39977_Jul26")</f>
        <v>CW39977_Jul26</v>
      </c>
      <c r="K1262" s="99" t="str">
        <f ca="1">IFERROR(__xludf.DUMMYFUNCTION("""COMPUTED_VALUE"""),"Brief Submitted")</f>
        <v>Brief Submitted</v>
      </c>
    </row>
    <row r="1263" spans="1:11" ht="13.2">
      <c r="A1263" s="89" t="str">
        <f ca="1">IFERROR(__xludf.DUMMYFUNCTION("""COMPUTED_VALUE"""),"Bisk Club Lexus Biscuits")</f>
        <v>Bisk Club Lexus Biscuits</v>
      </c>
      <c r="B1263" s="90" t="str">
        <f ca="1">IFERROR(__xludf.DUMMYFUNCTION("""COMPUTED_VALUE"""),"BBL")</f>
        <v>BBL</v>
      </c>
      <c r="C1263" s="91" t="str">
        <f ca="1">IFERROR(__xludf.DUMMYFUNCTION("""COMPUTED_VALUE"""),"Saifullah Vai")</f>
        <v>Saifullah Vai</v>
      </c>
      <c r="D1263" s="92" t="str">
        <f ca="1">IFERROR(__xludf.DUMMYFUNCTION("""COMPUTED_VALUE"""),"Sujan Kumar (S223038)")</f>
        <v>Sujan Kumar (S223038)</v>
      </c>
      <c r="E1263" s="93" t="str">
        <f ca="1">IFERROR(__xludf.DUMMYFUNCTION("""COMPUTED_VALUE"""),"CB20166_Mar26")</f>
        <v>CB20166_Mar26</v>
      </c>
      <c r="F1263" s="94" t="str">
        <f ca="1">IFERROR(__xludf.DUMMYFUNCTION("""COMPUTED_VALUE"""),"FOP Sticker Making")</f>
        <v>FOP Sticker Making</v>
      </c>
      <c r="G1263" s="95" t="str">
        <f ca="1">IFERROR(__xludf.DUMMYFUNCTION("""COMPUTED_VALUE"""),"New")</f>
        <v>New</v>
      </c>
      <c r="H1263" s="96">
        <f ca="1">IFERROR(__xludf.DUMMYFUNCTION("""COMPUTED_VALUE"""),1)</f>
        <v>1</v>
      </c>
      <c r="I1263" s="97">
        <f ca="1">IFERROR(__xludf.DUMMYFUNCTION("""COMPUTED_VALUE"""),46109)</f>
        <v>46109</v>
      </c>
      <c r="J1263" s="98" t="str">
        <f ca="1">IFERROR(__xludf.DUMMYFUNCTION("""COMPUTED_VALUE"""),"CW28223_Mar26")</f>
        <v>CW28223_Mar26</v>
      </c>
      <c r="K1263" s="99" t="str">
        <f ca="1">IFERROR(__xludf.DUMMYFUNCTION("""COMPUTED_VALUE"""),"HoM Approved")</f>
        <v>HoM Approved</v>
      </c>
    </row>
    <row r="1264" spans="1:11" ht="13.2">
      <c r="A1264" s="89" t="str">
        <f ca="1">IFERROR(__xludf.DUMMYFUNCTION("""COMPUTED_VALUE"""),"PRAN Frozen Foods")</f>
        <v>PRAN Frozen Foods</v>
      </c>
      <c r="B1264" s="90" t="str">
        <f ca="1">IFERROR(__xludf.DUMMYFUNCTION("""COMPUTED_VALUE"""),"PFF")</f>
        <v>PFF</v>
      </c>
      <c r="C1264" s="91" t="str">
        <f ca="1">IFERROR(__xludf.DUMMYFUNCTION("""COMPUTED_VALUE"""),"Zahirul Vai")</f>
        <v>Zahirul Vai</v>
      </c>
      <c r="D1264" s="92" t="str">
        <f ca="1">IFERROR(__xludf.DUMMYFUNCTION("""COMPUTED_VALUE"""),"Sujan Kumar (S223038)")</f>
        <v>Sujan Kumar (S223038)</v>
      </c>
      <c r="E1264" s="93" t="str">
        <f ca="1">IFERROR(__xludf.DUMMYFUNCTION("""COMPUTED_VALUE"""),"CB12692_Nov25")</f>
        <v>CB12692_Nov25</v>
      </c>
      <c r="F1264" s="94" t="str">
        <f ca="1">IFERROR(__xludf.DUMMYFUNCTION("""COMPUTED_VALUE"""),"ATC Box Output")</f>
        <v>ATC Box Output</v>
      </c>
      <c r="G1264" s="95" t="str">
        <f ca="1">IFERROR(__xludf.DUMMYFUNCTION("""COMPUTED_VALUE"""),"New")</f>
        <v>New</v>
      </c>
      <c r="H1264" s="96">
        <f ca="1">IFERROR(__xludf.DUMMYFUNCTION("""COMPUTED_VALUE"""),2)</f>
        <v>2</v>
      </c>
      <c r="I1264" s="97">
        <f ca="1">IFERROR(__xludf.DUMMYFUNCTION("""COMPUTED_VALUE"""),46109)</f>
        <v>46109</v>
      </c>
      <c r="J1264" s="98" t="str">
        <f ca="1">IFERROR(__xludf.DUMMYFUNCTION("""COMPUTED_VALUE"""),"CW28230_Mar26")</f>
        <v>CW28230_Mar26</v>
      </c>
      <c r="K1264" s="99" t="str">
        <f ca="1">IFERROR(__xludf.DUMMYFUNCTION("""COMPUTED_VALUE"""),"HoM Approved")</f>
        <v>HoM Approved</v>
      </c>
    </row>
    <row r="1265" spans="1:11" ht="13.2">
      <c r="A1265" s="89" t="str">
        <f ca="1">IFERROR(__xludf.DUMMYFUNCTION("""COMPUTED_VALUE"""),"Vision Emporium")</f>
        <v>Vision Emporium</v>
      </c>
      <c r="B1265" s="90" t="str">
        <f ca="1">IFERROR(__xludf.DUMMYFUNCTION("""COMPUTED_VALUE"""),"Retail")</f>
        <v>Retail</v>
      </c>
      <c r="C1265" s="91" t="str">
        <f ca="1">IFERROR(__xludf.DUMMYFUNCTION("""COMPUTED_VALUE"""),"Sourav Vai")</f>
        <v>Sourav Vai</v>
      </c>
      <c r="D1265" s="92" t="str">
        <f ca="1">IFERROR(__xludf.DUMMYFUNCTION("""COMPUTED_VALUE"""),"Sujan Kumar (S223038)")</f>
        <v>Sujan Kumar (S223038)</v>
      </c>
      <c r="E1265" s="93" t="str">
        <f ca="1">IFERROR(__xludf.DUMMYFUNCTION("""COMPUTED_VALUE"""),"CB20152_Mar26")</f>
        <v>CB20152_Mar26</v>
      </c>
      <c r="F1265" s="94" t="str">
        <f ca="1">IFERROR(__xludf.DUMMYFUNCTION("""COMPUTED_VALUE"""),"Flyer/Brochure/Banner Output")</f>
        <v>Flyer/Brochure/Banner Output</v>
      </c>
      <c r="G1265" s="95" t="str">
        <f ca="1">IFERROR(__xludf.DUMMYFUNCTION("""COMPUTED_VALUE"""),"New")</f>
        <v>New</v>
      </c>
      <c r="H1265" s="96">
        <f ca="1">IFERROR(__xludf.DUMMYFUNCTION("""COMPUTED_VALUE"""),1)</f>
        <v>1</v>
      </c>
      <c r="I1265" s="97">
        <f ca="1">IFERROR(__xludf.DUMMYFUNCTION("""COMPUTED_VALUE"""),46110)</f>
        <v>46110</v>
      </c>
      <c r="J1265" s="98" t="str">
        <f ca="1">IFERROR(__xludf.DUMMYFUNCTION("""COMPUTED_VALUE"""),"CW28315_Mar26")</f>
        <v>CW28315_Mar26</v>
      </c>
      <c r="K1265" s="99" t="str">
        <f ca="1">IFERROR(__xludf.DUMMYFUNCTION("""COMPUTED_VALUE"""),"HoM Approved")</f>
        <v>HoM Approved</v>
      </c>
    </row>
    <row r="1266" spans="1:11" ht="13.2">
      <c r="A1266" s="89" t="str">
        <f ca="1">IFERROR(__xludf.DUMMYFUNCTION("""COMPUTED_VALUE"""),"Vision Emporium")</f>
        <v>Vision Emporium</v>
      </c>
      <c r="B1266" s="90" t="str">
        <f ca="1">IFERROR(__xludf.DUMMYFUNCTION("""COMPUTED_VALUE"""),"Retail")</f>
        <v>Retail</v>
      </c>
      <c r="C1266" s="91" t="str">
        <f ca="1">IFERROR(__xludf.DUMMYFUNCTION("""COMPUTED_VALUE"""),"Sourav Vai")</f>
        <v>Sourav Vai</v>
      </c>
      <c r="D1266" s="92" t="str">
        <f ca="1">IFERROR(__xludf.DUMMYFUNCTION("""COMPUTED_VALUE"""),"Sujan Kumar (S223038)")</f>
        <v>Sujan Kumar (S223038)</v>
      </c>
      <c r="E1266" s="93" t="str">
        <f ca="1">IFERROR(__xludf.DUMMYFUNCTION("""COMPUTED_VALUE"""),"CB20152_Mar26")</f>
        <v>CB20152_Mar26</v>
      </c>
      <c r="F1266" s="94" t="str">
        <f ca="1">IFERROR(__xludf.DUMMYFUNCTION("""COMPUTED_VALUE"""),"Leaflet/Poster Output")</f>
        <v>Leaflet/Poster Output</v>
      </c>
      <c r="G1266" s="95" t="str">
        <f ca="1">IFERROR(__xludf.DUMMYFUNCTION("""COMPUTED_VALUE"""),"New")</f>
        <v>New</v>
      </c>
      <c r="H1266" s="96">
        <f ca="1">IFERROR(__xludf.DUMMYFUNCTION("""COMPUTED_VALUE"""),1)</f>
        <v>1</v>
      </c>
      <c r="I1266" s="97">
        <f ca="1">IFERROR(__xludf.DUMMYFUNCTION("""COMPUTED_VALUE"""),46110)</f>
        <v>46110</v>
      </c>
      <c r="J1266" s="98" t="str">
        <f ca="1">IFERROR(__xludf.DUMMYFUNCTION("""COMPUTED_VALUE"""),"CW28323_Mar26")</f>
        <v>CW28323_Mar26</v>
      </c>
      <c r="K1266" s="99" t="str">
        <f ca="1">IFERROR(__xludf.DUMMYFUNCTION("""COMPUTED_VALUE"""),"HoM Approved")</f>
        <v>HoM Approved</v>
      </c>
    </row>
    <row r="1267" spans="1:11" ht="13.2">
      <c r="A1267" s="89" t="str">
        <f ca="1">IFERROR(__xludf.DUMMYFUNCTION("""COMPUTED_VALUE"""),"PRAN Frozen Foods")</f>
        <v>PRAN Frozen Foods</v>
      </c>
      <c r="B1267" s="90" t="str">
        <f ca="1">IFERROR(__xludf.DUMMYFUNCTION("""COMPUTED_VALUE"""),"PFF")</f>
        <v>PFF</v>
      </c>
      <c r="C1267" s="91" t="str">
        <f ca="1">IFERROR(__xludf.DUMMYFUNCTION("""COMPUTED_VALUE"""),"Zahirul Vai")</f>
        <v>Zahirul Vai</v>
      </c>
      <c r="D1267" s="92" t="str">
        <f ca="1">IFERROR(__xludf.DUMMYFUNCTION("""COMPUTED_VALUE"""),"Sujan Kumar (S223038)")</f>
        <v>Sujan Kumar (S223038)</v>
      </c>
      <c r="E1267" s="93" t="str">
        <f ca="1">IFERROR(__xludf.DUMMYFUNCTION("""COMPUTED_VALUE"""),"CB20394_Mar26")</f>
        <v>CB20394_Mar26</v>
      </c>
      <c r="F1267" s="94" t="str">
        <f ca="1">IFERROR(__xludf.DUMMYFUNCTION("""COMPUTED_VALUE"""),"FOP Sticker Making")</f>
        <v>FOP Sticker Making</v>
      </c>
      <c r="G1267" s="95" t="str">
        <f ca="1">IFERROR(__xludf.DUMMYFUNCTION("""COMPUTED_VALUE"""),"New")</f>
        <v>New</v>
      </c>
      <c r="H1267" s="96">
        <f ca="1">IFERROR(__xludf.DUMMYFUNCTION("""COMPUTED_VALUE"""),5)</f>
        <v>5</v>
      </c>
      <c r="I1267" s="97">
        <f ca="1">IFERROR(__xludf.DUMMYFUNCTION("""COMPUTED_VALUE"""),46111)</f>
        <v>46111</v>
      </c>
      <c r="J1267" s="98" t="str">
        <f ca="1">IFERROR(__xludf.DUMMYFUNCTION("""COMPUTED_VALUE"""),"CW28517_Mar26")</f>
        <v>CW28517_Mar26</v>
      </c>
      <c r="K1267" s="99" t="str">
        <f ca="1">IFERROR(__xludf.DUMMYFUNCTION("""COMPUTED_VALUE"""),"HoM Approved")</f>
        <v>HoM Approved</v>
      </c>
    </row>
    <row r="1268" spans="1:11" ht="13.2">
      <c r="A1268" s="89" t="str">
        <f ca="1">IFERROR(__xludf.DUMMYFUNCTION("""COMPUTED_VALUE"""),"Mango Roll")</f>
        <v>Mango Roll</v>
      </c>
      <c r="B1268" s="90" t="str">
        <f ca="1">IFERROR(__xludf.DUMMYFUNCTION("""COMPUTED_VALUE"""),"PAL")</f>
        <v>PAL</v>
      </c>
      <c r="C1268" s="91" t="str">
        <f ca="1">IFERROR(__xludf.DUMMYFUNCTION("""COMPUTED_VALUE"""),"Zahirul Vai")</f>
        <v>Zahirul Vai</v>
      </c>
      <c r="D1268" s="92" t="str">
        <f ca="1">IFERROR(__xludf.DUMMYFUNCTION("""COMPUTED_VALUE"""),"Sujan Kumar (S223038)")</f>
        <v>Sujan Kumar (S223038)</v>
      </c>
      <c r="E1268" s="93" t="str">
        <f ca="1">IFERROR(__xludf.DUMMYFUNCTION("""COMPUTED_VALUE"""),"CB19791_Mar26")</f>
        <v>CB19791_Mar26</v>
      </c>
      <c r="F1268" s="94" t="str">
        <f ca="1">IFERROR(__xludf.DUMMYFUNCTION("""COMPUTED_VALUE"""),"Gravure Output #2")</f>
        <v>Gravure Output #2</v>
      </c>
      <c r="G1268" s="95" t="str">
        <f ca="1">IFERROR(__xludf.DUMMYFUNCTION("""COMPUTED_VALUE"""),"New")</f>
        <v>New</v>
      </c>
      <c r="H1268" s="96">
        <f ca="1">IFERROR(__xludf.DUMMYFUNCTION("""COMPUTED_VALUE"""),1)</f>
        <v>1</v>
      </c>
      <c r="I1268" s="97">
        <f ca="1">IFERROR(__xludf.DUMMYFUNCTION("""COMPUTED_VALUE"""),46111)</f>
        <v>46111</v>
      </c>
      <c r="J1268" s="98" t="str">
        <f ca="1">IFERROR(__xludf.DUMMYFUNCTION("""COMPUTED_VALUE"""),"CW28404_Mar26")</f>
        <v>CW28404_Mar26</v>
      </c>
      <c r="K1268" s="99" t="str">
        <f ca="1">IFERROR(__xludf.DUMMYFUNCTION("""COMPUTED_VALUE"""),"HoM Approved")</f>
        <v>HoM Approved</v>
      </c>
    </row>
    <row r="1269" spans="1:11" ht="13.2">
      <c r="A1269" s="89" t="str">
        <f ca="1">IFERROR(__xludf.DUMMYFUNCTION("""COMPUTED_VALUE"""),"Common - USA &amp; Europe Export")</f>
        <v>Common - USA &amp; Europe Export</v>
      </c>
      <c r="B1269" s="90" t="str">
        <f ca="1">IFERROR(__xludf.DUMMYFUNCTION("""COMPUTED_VALUE"""),"USA &amp; Europe")</f>
        <v>USA &amp; Europe</v>
      </c>
      <c r="C1269" s="91" t="str">
        <f ca="1">IFERROR(__xludf.DUMMYFUNCTION("""COMPUTED_VALUE"""),"Saifullah Vai")</f>
        <v>Saifullah Vai</v>
      </c>
      <c r="D1269" s="92" t="str">
        <f ca="1">IFERROR(__xludf.DUMMYFUNCTION("""COMPUTED_VALUE"""),"Sujan Kumar (S223038)")</f>
        <v>Sujan Kumar (S223038)</v>
      </c>
      <c r="E1269" s="93" t="str">
        <f ca="1">IFERROR(__xludf.DUMMYFUNCTION("""COMPUTED_VALUE"""),"CB13958_Dec25")</f>
        <v>CB13958_Dec25</v>
      </c>
      <c r="F1269" s="94" t="str">
        <f ca="1">IFERROR(__xludf.DUMMYFUNCTION("""COMPUTED_VALUE"""),"JAR Label Sticker Output")</f>
        <v>JAR Label Sticker Output</v>
      </c>
      <c r="G1269" s="95" t="str">
        <f ca="1">IFERROR(__xludf.DUMMYFUNCTION("""COMPUTED_VALUE"""),"New")</f>
        <v>New</v>
      </c>
      <c r="H1269" s="96">
        <f ca="1">IFERROR(__xludf.DUMMYFUNCTION("""COMPUTED_VALUE"""),2)</f>
        <v>2</v>
      </c>
      <c r="I1269" s="97">
        <f ca="1">IFERROR(__xludf.DUMMYFUNCTION("""COMPUTED_VALUE"""),46112)</f>
        <v>46112</v>
      </c>
      <c r="J1269" s="98" t="str">
        <f ca="1">IFERROR(__xludf.DUMMYFUNCTION("""COMPUTED_VALUE"""),"CW28789_Mar26")</f>
        <v>CW28789_Mar26</v>
      </c>
      <c r="K1269" s="99" t="str">
        <f ca="1">IFERROR(__xludf.DUMMYFUNCTION("""COMPUTED_VALUE"""),"HoM Approved")</f>
        <v>HoM Approved</v>
      </c>
    </row>
    <row r="1270" spans="1:11" ht="13.2">
      <c r="A1270" s="89" t="str">
        <f ca="1">IFERROR(__xludf.DUMMYFUNCTION("""COMPUTED_VALUE"""),"VISION Fan")</f>
        <v>VISION Fan</v>
      </c>
      <c r="B1270" s="90" t="str">
        <f ca="1">IFERROR(__xludf.DUMMYFUNCTION("""COMPUTED_VALUE"""),"RPLE")</f>
        <v>RPLE</v>
      </c>
      <c r="C1270" s="91" t="str">
        <f ca="1">IFERROR(__xludf.DUMMYFUNCTION("""COMPUTED_VALUE"""),"Afroja Apu")</f>
        <v>Afroja Apu</v>
      </c>
      <c r="D1270" s="92" t="str">
        <f ca="1">IFERROR(__xludf.DUMMYFUNCTION("""COMPUTED_VALUE"""),"Sujan Kumar (S223038)")</f>
        <v>Sujan Kumar (S223038)</v>
      </c>
      <c r="E1270" s="93" t="str">
        <f ca="1">IFERROR(__xludf.DUMMYFUNCTION("""COMPUTED_VALUE"""),"CB19430_Mar26")</f>
        <v>CB19430_Mar26</v>
      </c>
      <c r="F1270" s="94" t="str">
        <f ca="1">IFERROR(__xludf.DUMMYFUNCTION("""COMPUTED_VALUE"""),"ATC Box Output")</f>
        <v>ATC Box Output</v>
      </c>
      <c r="G1270" s="95" t="str">
        <f ca="1">IFERROR(__xludf.DUMMYFUNCTION("""COMPUTED_VALUE"""),"New")</f>
        <v>New</v>
      </c>
      <c r="H1270" s="96">
        <f ca="1">IFERROR(__xludf.DUMMYFUNCTION("""COMPUTED_VALUE"""),1)</f>
        <v>1</v>
      </c>
      <c r="I1270" s="97">
        <f ca="1">IFERROR(__xludf.DUMMYFUNCTION("""COMPUTED_VALUE"""),46113)</f>
        <v>46113</v>
      </c>
      <c r="J1270" s="98" t="str">
        <f ca="1">IFERROR(__xludf.DUMMYFUNCTION("""COMPUTED_VALUE"""),"CW28946_Apr26")</f>
        <v>CW28946_Apr26</v>
      </c>
      <c r="K1270" s="99" t="str">
        <f ca="1">IFERROR(__xludf.DUMMYFUNCTION("""COMPUTED_VALUE"""),"Brief Submitted")</f>
        <v>Brief Submitted</v>
      </c>
    </row>
    <row r="1271" spans="1:11" ht="13.2">
      <c r="A1271" s="89" t="str">
        <f ca="1">IFERROR(__xludf.DUMMYFUNCTION("""COMPUTED_VALUE"""),"Jhatpot")</f>
        <v>Jhatpot</v>
      </c>
      <c r="B1271" s="90" t="str">
        <f ca="1">IFERROR(__xludf.DUMMYFUNCTION("""COMPUTED_VALUE"""),"PFF")</f>
        <v>PFF</v>
      </c>
      <c r="C1271" s="91" t="str">
        <f ca="1">IFERROR(__xludf.DUMMYFUNCTION("""COMPUTED_VALUE"""),"Muntasir Vai")</f>
        <v>Muntasir Vai</v>
      </c>
      <c r="D1271" s="92" t="str">
        <f ca="1">IFERROR(__xludf.DUMMYFUNCTION("""COMPUTED_VALUE"""),"Sujan Kumar (S223038)")</f>
        <v>Sujan Kumar (S223038)</v>
      </c>
      <c r="E1271" s="93" t="str">
        <f ca="1">IFERROR(__xludf.DUMMYFUNCTION("""COMPUTED_VALUE"""),"CB20048_Mar26")</f>
        <v>CB20048_Mar26</v>
      </c>
      <c r="F1271" s="94" t="str">
        <f ca="1">IFERROR(__xludf.DUMMYFUNCTION("""COMPUTED_VALUE"""),"JAR Label Sticker Output")</f>
        <v>JAR Label Sticker Output</v>
      </c>
      <c r="G1271" s="95" t="str">
        <f ca="1">IFERROR(__xludf.DUMMYFUNCTION("""COMPUTED_VALUE"""),"New")</f>
        <v>New</v>
      </c>
      <c r="H1271" s="96">
        <f ca="1">IFERROR(__xludf.DUMMYFUNCTION("""COMPUTED_VALUE"""),1)</f>
        <v>1</v>
      </c>
      <c r="I1271" s="97">
        <f ca="1">IFERROR(__xludf.DUMMYFUNCTION("""COMPUTED_VALUE"""),46114)</f>
        <v>46114</v>
      </c>
      <c r="J1271" s="98" t="str">
        <f ca="1">IFERROR(__xludf.DUMMYFUNCTION("""COMPUTED_VALUE"""),"CW29081_Apr26")</f>
        <v>CW29081_Apr26</v>
      </c>
      <c r="K1271" s="99" t="str">
        <f ca="1">IFERROR(__xludf.DUMMYFUNCTION("""COMPUTED_VALUE"""),"HoM Approved")</f>
        <v>HoM Approved</v>
      </c>
    </row>
    <row r="1272" spans="1:11" ht="13.2">
      <c r="A1272" s="89" t="str">
        <f ca="1">IFERROR(__xludf.DUMMYFUNCTION("""COMPUTED_VALUE"""),"Daily Fresh")</f>
        <v>Daily Fresh</v>
      </c>
      <c r="B1272" s="90" t="str">
        <f ca="1">IFERROR(__xludf.DUMMYFUNCTION("""COMPUTED_VALUE"""),"Tasty Treat")</f>
        <v>Tasty Treat</v>
      </c>
      <c r="C1272" s="91" t="str">
        <f ca="1">IFERROR(__xludf.DUMMYFUNCTION("""COMPUTED_VALUE"""),"Shubhankar Vai")</f>
        <v>Shubhankar Vai</v>
      </c>
      <c r="D1272" s="92" t="str">
        <f ca="1">IFERROR(__xludf.DUMMYFUNCTION("""COMPUTED_VALUE"""),"Sujan Kumar (S223038)")</f>
        <v>Sujan Kumar (S223038)</v>
      </c>
      <c r="E1272" s="93" t="str">
        <f ca="1">IFERROR(__xludf.DUMMYFUNCTION("""COMPUTED_VALUE"""),"CB19087_Mar26")</f>
        <v>CB19087_Mar26</v>
      </c>
      <c r="F1272" s="94" t="str">
        <f ca="1">IFERROR(__xludf.DUMMYFUNCTION("""COMPUTED_VALUE"""),"JAR Label Sticker Output")</f>
        <v>JAR Label Sticker Output</v>
      </c>
      <c r="G1272" s="95" t="str">
        <f ca="1">IFERROR(__xludf.DUMMYFUNCTION("""COMPUTED_VALUE"""),"New")</f>
        <v>New</v>
      </c>
      <c r="H1272" s="96">
        <f ca="1">IFERROR(__xludf.DUMMYFUNCTION("""COMPUTED_VALUE"""),3)</f>
        <v>3</v>
      </c>
      <c r="I1272" s="97">
        <f ca="1">IFERROR(__xludf.DUMMYFUNCTION("""COMPUTED_VALUE"""),46116)</f>
        <v>46116</v>
      </c>
      <c r="J1272" s="98" t="str">
        <f ca="1">IFERROR(__xludf.DUMMYFUNCTION("""COMPUTED_VALUE"""),"CW29136_Apr26")</f>
        <v>CW29136_Apr26</v>
      </c>
      <c r="K1272" s="99" t="str">
        <f ca="1">IFERROR(__xludf.DUMMYFUNCTION("""COMPUTED_VALUE"""),"HoM Approved")</f>
        <v>HoM Approved</v>
      </c>
    </row>
    <row r="1273" spans="1:11" ht="13.2">
      <c r="A1273" s="89" t="str">
        <f ca="1">IFERROR(__xludf.DUMMYFUNCTION("""COMPUTED_VALUE"""),"PRAN Basic Spice")</f>
        <v>PRAN Basic Spice</v>
      </c>
      <c r="B1273" s="90" t="str">
        <f ca="1">IFERROR(__xludf.DUMMYFUNCTION("""COMPUTED_VALUE"""),"NAL")</f>
        <v>NAL</v>
      </c>
      <c r="C1273" s="91" t="str">
        <f ca="1">IFERROR(__xludf.DUMMYFUNCTION("""COMPUTED_VALUE"""),"Zahirul Vai")</f>
        <v>Zahirul Vai</v>
      </c>
      <c r="D1273" s="92" t="str">
        <f ca="1">IFERROR(__xludf.DUMMYFUNCTION("""COMPUTED_VALUE"""),"Sujan Kumar (S223038)")</f>
        <v>Sujan Kumar (S223038)</v>
      </c>
      <c r="E1273" s="93" t="str">
        <f ca="1">IFERROR(__xludf.DUMMYFUNCTION("""COMPUTED_VALUE"""),"CB20040_Mar26")</f>
        <v>CB20040_Mar26</v>
      </c>
      <c r="F1273" s="94" t="str">
        <f ca="1">IFERROR(__xludf.DUMMYFUNCTION("""COMPUTED_VALUE"""),"JAR Label Sticker Output")</f>
        <v>JAR Label Sticker Output</v>
      </c>
      <c r="G1273" s="95" t="str">
        <f ca="1">IFERROR(__xludf.DUMMYFUNCTION("""COMPUTED_VALUE"""),"New")</f>
        <v>New</v>
      </c>
      <c r="H1273" s="96">
        <f ca="1">IFERROR(__xludf.DUMMYFUNCTION("""COMPUTED_VALUE"""),6)</f>
        <v>6</v>
      </c>
      <c r="I1273" s="97">
        <f ca="1">IFERROR(__xludf.DUMMYFUNCTION("""COMPUTED_VALUE"""),46117)</f>
        <v>46117</v>
      </c>
      <c r="J1273" s="98" t="str">
        <f ca="1">IFERROR(__xludf.DUMMYFUNCTION("""COMPUTED_VALUE"""),"CW29214_Apr26")</f>
        <v>CW29214_Apr26</v>
      </c>
      <c r="K1273" s="99" t="str">
        <f ca="1">IFERROR(__xludf.DUMMYFUNCTION("""COMPUTED_VALUE"""),"HoM Approved")</f>
        <v>HoM Approved</v>
      </c>
    </row>
    <row r="1274" spans="1:11" ht="13.2">
      <c r="A1274" s="89" t="str">
        <f ca="1">IFERROR(__xludf.DUMMYFUNCTION("""COMPUTED_VALUE"""),"Tasty Treat Cafe")</f>
        <v>Tasty Treat Cafe</v>
      </c>
      <c r="B1274" s="90" t="str">
        <f ca="1">IFERROR(__xludf.DUMMYFUNCTION("""COMPUTED_VALUE"""),"Tasty Treat")</f>
        <v>Tasty Treat</v>
      </c>
      <c r="C1274" s="91" t="str">
        <f ca="1">IFERROR(__xludf.DUMMYFUNCTION("""COMPUTED_VALUE"""),"Nahian Vai")</f>
        <v>Nahian Vai</v>
      </c>
      <c r="D1274" s="92" t="str">
        <f ca="1">IFERROR(__xludf.DUMMYFUNCTION("""COMPUTED_VALUE"""),"Sujan Kumar (S223038)")</f>
        <v>Sujan Kumar (S223038)</v>
      </c>
      <c r="E1274" s="93" t="str">
        <f ca="1">IFERROR(__xludf.DUMMYFUNCTION("""COMPUTED_VALUE"""),"CB20906_Apr26")</f>
        <v>CB20906_Apr26</v>
      </c>
      <c r="F1274" s="94" t="str">
        <f ca="1">IFERROR(__xludf.DUMMYFUNCTION("""COMPUTED_VALUE"""),"Flyer/Brochure/Banner Output")</f>
        <v>Flyer/Brochure/Banner Output</v>
      </c>
      <c r="G1274" s="95" t="str">
        <f ca="1">IFERROR(__xludf.DUMMYFUNCTION("""COMPUTED_VALUE"""),"New")</f>
        <v>New</v>
      </c>
      <c r="H1274" s="96">
        <f ca="1">IFERROR(__xludf.DUMMYFUNCTION("""COMPUTED_VALUE"""),2)</f>
        <v>2</v>
      </c>
      <c r="I1274" s="97">
        <f ca="1">IFERROR(__xludf.DUMMYFUNCTION("""COMPUTED_VALUE"""),46118)</f>
        <v>46118</v>
      </c>
      <c r="J1274" s="98" t="str">
        <f ca="1">IFERROR(__xludf.DUMMYFUNCTION("""COMPUTED_VALUE"""),"CW29318_Apr26")</f>
        <v>CW29318_Apr26</v>
      </c>
      <c r="K1274" s="99" t="str">
        <f ca="1">IFERROR(__xludf.DUMMYFUNCTION("""COMPUTED_VALUE"""),"HoM Approved")</f>
        <v>HoM Approved</v>
      </c>
    </row>
    <row r="1275" spans="1:11" ht="13.2">
      <c r="A1275" s="89" t="str">
        <f ca="1">IFERROR(__xludf.DUMMYFUNCTION("""COMPUTED_VALUE"""),"Vision Emporium")</f>
        <v>Vision Emporium</v>
      </c>
      <c r="B1275" s="90" t="str">
        <f ca="1">IFERROR(__xludf.DUMMYFUNCTION("""COMPUTED_VALUE"""),"Retail")</f>
        <v>Retail</v>
      </c>
      <c r="C1275" s="91" t="str">
        <f ca="1">IFERROR(__xludf.DUMMYFUNCTION("""COMPUTED_VALUE"""),"Sourav Vai")</f>
        <v>Sourav Vai</v>
      </c>
      <c r="D1275" s="92" t="str">
        <f ca="1">IFERROR(__xludf.DUMMYFUNCTION("""COMPUTED_VALUE"""),"Sujan Kumar (S223038)")</f>
        <v>Sujan Kumar (S223038)</v>
      </c>
      <c r="E1275" s="93" t="str">
        <f ca="1">IFERROR(__xludf.DUMMYFUNCTION("""COMPUTED_VALUE"""),"CB20784_Apr26")</f>
        <v>CB20784_Apr26</v>
      </c>
      <c r="F1275" s="94" t="str">
        <f ca="1">IFERROR(__xludf.DUMMYFUNCTION("""COMPUTED_VALUE"""),"Flyer/Brochure/Banner Output")</f>
        <v>Flyer/Brochure/Banner Output</v>
      </c>
      <c r="G1275" s="95" t="str">
        <f ca="1">IFERROR(__xludf.DUMMYFUNCTION("""COMPUTED_VALUE"""),"New")</f>
        <v>New</v>
      </c>
      <c r="H1275" s="96">
        <f ca="1">IFERROR(__xludf.DUMMYFUNCTION("""COMPUTED_VALUE"""),1)</f>
        <v>1</v>
      </c>
      <c r="I1275" s="97">
        <f ca="1">IFERROR(__xludf.DUMMYFUNCTION("""COMPUTED_VALUE"""),46118)</f>
        <v>46118</v>
      </c>
      <c r="J1275" s="98" t="str">
        <f ca="1">IFERROR(__xludf.DUMMYFUNCTION("""COMPUTED_VALUE"""),"CW29321_Apr26")</f>
        <v>CW29321_Apr26</v>
      </c>
      <c r="K1275" s="99" t="str">
        <f ca="1">IFERROR(__xludf.DUMMYFUNCTION("""COMPUTED_VALUE"""),"HoM Approved")</f>
        <v>HoM Approved</v>
      </c>
    </row>
    <row r="1276" spans="1:11" ht="13.2">
      <c r="A1276" s="89" t="str">
        <f ca="1">IFERROR(__xludf.DUMMYFUNCTION("""COMPUTED_VALUE"""),"PRAN Chocolord")</f>
        <v>PRAN Chocolord</v>
      </c>
      <c r="B1276" s="90" t="str">
        <f ca="1">IFERROR(__xludf.DUMMYFUNCTION("""COMPUTED_VALUE"""),"PAL")</f>
        <v>PAL</v>
      </c>
      <c r="C1276" s="91" t="str">
        <f ca="1">IFERROR(__xludf.DUMMYFUNCTION("""COMPUTED_VALUE"""),"Rafid Vai")</f>
        <v>Rafid Vai</v>
      </c>
      <c r="D1276" s="92" t="str">
        <f ca="1">IFERROR(__xludf.DUMMYFUNCTION("""COMPUTED_VALUE"""),"Sujan Kumar (S223038)")</f>
        <v>Sujan Kumar (S223038)</v>
      </c>
      <c r="E1276" s="93" t="str">
        <f ca="1">IFERROR(__xludf.DUMMYFUNCTION("""COMPUTED_VALUE"""),"CB20990_Apr26")</f>
        <v>CB20990_Apr26</v>
      </c>
      <c r="F1276" s="94" t="str">
        <f ca="1">IFERROR(__xludf.DUMMYFUNCTION("""COMPUTED_VALUE"""),"Gravure Output #2")</f>
        <v>Gravure Output #2</v>
      </c>
      <c r="G1276" s="95" t="str">
        <f ca="1">IFERROR(__xludf.DUMMYFUNCTION("""COMPUTED_VALUE"""),"New")</f>
        <v>New</v>
      </c>
      <c r="H1276" s="96">
        <f ca="1">IFERROR(__xludf.DUMMYFUNCTION("""COMPUTED_VALUE"""),1)</f>
        <v>1</v>
      </c>
      <c r="I1276" s="97">
        <f ca="1">IFERROR(__xludf.DUMMYFUNCTION("""COMPUTED_VALUE"""),46119)</f>
        <v>46119</v>
      </c>
      <c r="J1276" s="98" t="str">
        <f ca="1">IFERROR(__xludf.DUMMYFUNCTION("""COMPUTED_VALUE"""),"CW29467_Apr26")</f>
        <v>CW29467_Apr26</v>
      </c>
      <c r="K1276" s="99" t="str">
        <f ca="1">IFERROR(__xludf.DUMMYFUNCTION("""COMPUTED_VALUE"""),"HoM Approved")</f>
        <v>HoM Approved</v>
      </c>
    </row>
    <row r="1277" spans="1:11" ht="13.2">
      <c r="A1277" s="89" t="str">
        <f ca="1">IFERROR(__xludf.DUMMYFUNCTION("""COMPUTED_VALUE"""),"Pluto Chocolate Gems")</f>
        <v>Pluto Chocolate Gems</v>
      </c>
      <c r="B1277" s="90" t="str">
        <f ca="1">IFERROR(__xludf.DUMMYFUNCTION("""COMPUTED_VALUE"""),"PCL")</f>
        <v>PCL</v>
      </c>
      <c r="C1277" s="91" t="str">
        <f ca="1">IFERROR(__xludf.DUMMYFUNCTION("""COMPUTED_VALUE"""),"Zahirul Vai")</f>
        <v>Zahirul Vai</v>
      </c>
      <c r="D1277" s="92" t="str">
        <f ca="1">IFERROR(__xludf.DUMMYFUNCTION("""COMPUTED_VALUE"""),"Sujan Kumar (S223038)")</f>
        <v>Sujan Kumar (S223038)</v>
      </c>
      <c r="E1277" s="93" t="str">
        <f ca="1">IFERROR(__xludf.DUMMYFUNCTION("""COMPUTED_VALUE"""),"CB19199_Mar26")</f>
        <v>CB19199_Mar26</v>
      </c>
      <c r="F1277" s="94" t="str">
        <f ca="1">IFERROR(__xludf.DUMMYFUNCTION("""COMPUTED_VALUE"""),"ATC Box Output")</f>
        <v>ATC Box Output</v>
      </c>
      <c r="G1277" s="95" t="str">
        <f ca="1">IFERROR(__xludf.DUMMYFUNCTION("""COMPUTED_VALUE"""),"New")</f>
        <v>New</v>
      </c>
      <c r="H1277" s="96">
        <f ca="1">IFERROR(__xludf.DUMMYFUNCTION("""COMPUTED_VALUE"""),1)</f>
        <v>1</v>
      </c>
      <c r="I1277" s="97">
        <f ca="1">IFERROR(__xludf.DUMMYFUNCTION("""COMPUTED_VALUE"""),46119)</f>
        <v>46119</v>
      </c>
      <c r="J1277" s="98" t="str">
        <f ca="1">IFERROR(__xludf.DUMMYFUNCTION("""COMPUTED_VALUE"""),"CW29416_Apr26")</f>
        <v>CW29416_Apr26</v>
      </c>
      <c r="K1277" s="99" t="str">
        <f ca="1">IFERROR(__xludf.DUMMYFUNCTION("""COMPUTED_VALUE"""),"HoM Approved")</f>
        <v>HoM Approved</v>
      </c>
    </row>
    <row r="1278" spans="1:11" ht="13.2">
      <c r="A1278" s="89" t="str">
        <f ca="1">IFERROR(__xludf.DUMMYFUNCTION("""COMPUTED_VALUE"""),"Pluto Chocolate Gems")</f>
        <v>Pluto Chocolate Gems</v>
      </c>
      <c r="B1278" s="90" t="str">
        <f ca="1">IFERROR(__xludf.DUMMYFUNCTION("""COMPUTED_VALUE"""),"PCL")</f>
        <v>PCL</v>
      </c>
      <c r="C1278" s="91" t="str">
        <f ca="1">IFERROR(__xludf.DUMMYFUNCTION("""COMPUTED_VALUE"""),"Zahirul Vai")</f>
        <v>Zahirul Vai</v>
      </c>
      <c r="D1278" s="92" t="str">
        <f ca="1">IFERROR(__xludf.DUMMYFUNCTION("""COMPUTED_VALUE"""),"Sujan Kumar (S223038)")</f>
        <v>Sujan Kumar (S223038)</v>
      </c>
      <c r="E1278" s="93" t="str">
        <f ca="1">IFERROR(__xludf.DUMMYFUNCTION("""COMPUTED_VALUE"""),"CB19199_Mar26")</f>
        <v>CB19199_Mar26</v>
      </c>
      <c r="F1278" s="94" t="str">
        <f ca="1">IFERROR(__xludf.DUMMYFUNCTION("""COMPUTED_VALUE"""),"Gravure Output #2")</f>
        <v>Gravure Output #2</v>
      </c>
      <c r="G1278" s="95" t="str">
        <f ca="1">IFERROR(__xludf.DUMMYFUNCTION("""COMPUTED_VALUE"""),"New")</f>
        <v>New</v>
      </c>
      <c r="H1278" s="96">
        <f ca="1">IFERROR(__xludf.DUMMYFUNCTION("""COMPUTED_VALUE"""),1)</f>
        <v>1</v>
      </c>
      <c r="I1278" s="97">
        <f ca="1">IFERROR(__xludf.DUMMYFUNCTION("""COMPUTED_VALUE"""),46119)</f>
        <v>46119</v>
      </c>
      <c r="J1278" s="98" t="str">
        <f ca="1">IFERROR(__xludf.DUMMYFUNCTION("""COMPUTED_VALUE"""),"CW29416_Apr26")</f>
        <v>CW29416_Apr26</v>
      </c>
      <c r="K1278" s="99" t="str">
        <f ca="1">IFERROR(__xludf.DUMMYFUNCTION("""COMPUTED_VALUE"""),"HoM Approved")</f>
        <v>HoM Approved</v>
      </c>
    </row>
    <row r="1279" spans="1:11" ht="13.2">
      <c r="A1279" s="89" t="str">
        <f ca="1">IFERROR(__xludf.DUMMYFUNCTION("""COMPUTED_VALUE"""),"Pluto Chocolate Gems")</f>
        <v>Pluto Chocolate Gems</v>
      </c>
      <c r="B1279" s="90" t="str">
        <f ca="1">IFERROR(__xludf.DUMMYFUNCTION("""COMPUTED_VALUE"""),"PCL")</f>
        <v>PCL</v>
      </c>
      <c r="C1279" s="91" t="str">
        <f ca="1">IFERROR(__xludf.DUMMYFUNCTION("""COMPUTED_VALUE"""),"Zahirul Vai")</f>
        <v>Zahirul Vai</v>
      </c>
      <c r="D1279" s="92" t="str">
        <f ca="1">IFERROR(__xludf.DUMMYFUNCTION("""COMPUTED_VALUE"""),"Sujan Kumar (S223038)")</f>
        <v>Sujan Kumar (S223038)</v>
      </c>
      <c r="E1279" s="93" t="str">
        <f ca="1">IFERROR(__xludf.DUMMYFUNCTION("""COMPUTED_VALUE"""),"CB19199_Mar26")</f>
        <v>CB19199_Mar26</v>
      </c>
      <c r="F1279" s="94" t="str">
        <f ca="1">IFERROR(__xludf.DUMMYFUNCTION("""COMPUTED_VALUE"""),"JAR Label Sticker Output")</f>
        <v>JAR Label Sticker Output</v>
      </c>
      <c r="G1279" s="95" t="str">
        <f ca="1">IFERROR(__xludf.DUMMYFUNCTION("""COMPUTED_VALUE"""),"New")</f>
        <v>New</v>
      </c>
      <c r="H1279" s="96">
        <f ca="1">IFERROR(__xludf.DUMMYFUNCTION("""COMPUTED_VALUE"""),5)</f>
        <v>5</v>
      </c>
      <c r="I1279" s="97">
        <f ca="1">IFERROR(__xludf.DUMMYFUNCTION("""COMPUTED_VALUE"""),46119)</f>
        <v>46119</v>
      </c>
      <c r="J1279" s="98" t="str">
        <f ca="1">IFERROR(__xludf.DUMMYFUNCTION("""COMPUTED_VALUE"""),"CW29416_Apr26")</f>
        <v>CW29416_Apr26</v>
      </c>
      <c r="K1279" s="99" t="str">
        <f ca="1">IFERROR(__xludf.DUMMYFUNCTION("""COMPUTED_VALUE"""),"HoM Approved")</f>
        <v>HoM Approved</v>
      </c>
    </row>
    <row r="1280" spans="1:11" ht="13.2">
      <c r="A1280" s="89" t="str">
        <f ca="1">IFERROR(__xludf.DUMMYFUNCTION("""COMPUTED_VALUE"""),"Bisk Club Nice Biscuits")</f>
        <v>Bisk Club Nice Biscuits</v>
      </c>
      <c r="B1280" s="90" t="str">
        <f ca="1">IFERROR(__xludf.DUMMYFUNCTION("""COMPUTED_VALUE"""),"BBL")</f>
        <v>BBL</v>
      </c>
      <c r="C1280" s="91" t="str">
        <f ca="1">IFERROR(__xludf.DUMMYFUNCTION("""COMPUTED_VALUE"""),"Maksuda Apu")</f>
        <v>Maksuda Apu</v>
      </c>
      <c r="D1280" s="92" t="str">
        <f ca="1">IFERROR(__xludf.DUMMYFUNCTION("""COMPUTED_VALUE"""),"Sujan Kumar (S223038)")</f>
        <v>Sujan Kumar (S223038)</v>
      </c>
      <c r="E1280" s="93" t="str">
        <f ca="1">IFERROR(__xludf.DUMMYFUNCTION("""COMPUTED_VALUE"""),"CB21013_Apr26")</f>
        <v>CB21013_Apr26</v>
      </c>
      <c r="F1280" s="94" t="str">
        <f ca="1">IFERROR(__xludf.DUMMYFUNCTION("""COMPUTED_VALUE"""),"Flyer/Brochure/Banner Output")</f>
        <v>Flyer/Brochure/Banner Output</v>
      </c>
      <c r="G1280" s="95" t="str">
        <f ca="1">IFERROR(__xludf.DUMMYFUNCTION("""COMPUTED_VALUE"""),"New")</f>
        <v>New</v>
      </c>
      <c r="H1280" s="96">
        <f ca="1">IFERROR(__xludf.DUMMYFUNCTION("""COMPUTED_VALUE"""),1)</f>
        <v>1</v>
      </c>
      <c r="I1280" s="97">
        <f ca="1">IFERROR(__xludf.DUMMYFUNCTION("""COMPUTED_VALUE"""),46123)</f>
        <v>46123</v>
      </c>
      <c r="J1280" s="98" t="str">
        <f ca="1">IFERROR(__xludf.DUMMYFUNCTION("""COMPUTED_VALUE"""),"CW29785_Apr26")</f>
        <v>CW29785_Apr26</v>
      </c>
      <c r="K1280" s="99" t="str">
        <f ca="1">IFERROR(__xludf.DUMMYFUNCTION("""COMPUTED_VALUE"""),"HoM Approved")</f>
        <v>HoM Approved</v>
      </c>
    </row>
    <row r="1281" spans="1:11" ht="13.2">
      <c r="A1281" s="89" t="str">
        <f ca="1">IFERROR(__xludf.DUMMYFUNCTION("""COMPUTED_VALUE"""),"PRAN Litchi Drink")</f>
        <v>PRAN Litchi Drink</v>
      </c>
      <c r="B1281" s="90" t="str">
        <f ca="1">IFERROR(__xludf.DUMMYFUNCTION("""COMPUTED_VALUE"""),"AMCL")</f>
        <v>AMCL</v>
      </c>
      <c r="C1281" s="91" t="str">
        <f ca="1">IFERROR(__xludf.DUMMYFUNCTION("""COMPUTED_VALUE"""),"Meher Apu")</f>
        <v>Meher Apu</v>
      </c>
      <c r="D1281" s="92" t="str">
        <f ca="1">IFERROR(__xludf.DUMMYFUNCTION("""COMPUTED_VALUE"""),"Sujan Kumar (S223038)")</f>
        <v>Sujan Kumar (S223038)</v>
      </c>
      <c r="E1281" s="93" t="str">
        <f ca="1">IFERROR(__xludf.DUMMYFUNCTION("""COMPUTED_VALUE"""),"CB21229_Apr26")</f>
        <v>CB21229_Apr26</v>
      </c>
      <c r="F1281" s="94" t="str">
        <f ca="1">IFERROR(__xludf.DUMMYFUNCTION("""COMPUTED_VALUE"""),"Flyer/Brochure/Banner Output")</f>
        <v>Flyer/Brochure/Banner Output</v>
      </c>
      <c r="G1281" s="95" t="str">
        <f ca="1">IFERROR(__xludf.DUMMYFUNCTION("""COMPUTED_VALUE"""),"New")</f>
        <v>New</v>
      </c>
      <c r="H1281" s="96">
        <f ca="1">IFERROR(__xludf.DUMMYFUNCTION("""COMPUTED_VALUE"""),1)</f>
        <v>1</v>
      </c>
      <c r="I1281" s="97">
        <f ca="1">IFERROR(__xludf.DUMMYFUNCTION("""COMPUTED_VALUE"""),46123)</f>
        <v>46123</v>
      </c>
      <c r="J1281" s="98" t="str">
        <f ca="1">IFERROR(__xludf.DUMMYFUNCTION("""COMPUTED_VALUE"""),"CW29765_Apr26")</f>
        <v>CW29765_Apr26</v>
      </c>
      <c r="K1281" s="99" t="str">
        <f ca="1">IFERROR(__xludf.DUMMYFUNCTION("""COMPUTED_VALUE"""),"HoM Approved")</f>
        <v>HoM Approved</v>
      </c>
    </row>
    <row r="1282" spans="1:11" ht="13.2">
      <c r="A1282" s="89" t="str">
        <f ca="1">IFERROR(__xludf.DUMMYFUNCTION("""COMPUTED_VALUE"""),"VISION Fan")</f>
        <v>VISION Fan</v>
      </c>
      <c r="B1282" s="90" t="str">
        <f ca="1">IFERROR(__xludf.DUMMYFUNCTION("""COMPUTED_VALUE"""),"RPLE")</f>
        <v>RPLE</v>
      </c>
      <c r="C1282" s="91" t="str">
        <f ca="1">IFERROR(__xludf.DUMMYFUNCTION("""COMPUTED_VALUE"""),"Afroja Apu")</f>
        <v>Afroja Apu</v>
      </c>
      <c r="D1282" s="92" t="str">
        <f ca="1">IFERROR(__xludf.DUMMYFUNCTION("""COMPUTED_VALUE"""),"Sujan Kumar (S223038)")</f>
        <v>Sujan Kumar (S223038)</v>
      </c>
      <c r="E1282" s="93" t="str">
        <f ca="1">IFERROR(__xludf.DUMMYFUNCTION("""COMPUTED_VALUE"""),"CB21501_Apr26")</f>
        <v>CB21501_Apr26</v>
      </c>
      <c r="F1282" s="94" t="str">
        <f ca="1">IFERROR(__xludf.DUMMYFUNCTION("""COMPUTED_VALUE"""),"ATC Box Output")</f>
        <v>ATC Box Output</v>
      </c>
      <c r="G1282" s="95" t="str">
        <f ca="1">IFERROR(__xludf.DUMMYFUNCTION("""COMPUTED_VALUE"""),"New")</f>
        <v>New</v>
      </c>
      <c r="H1282" s="96">
        <f ca="1">IFERROR(__xludf.DUMMYFUNCTION("""COMPUTED_VALUE"""),1)</f>
        <v>1</v>
      </c>
      <c r="I1282" s="97">
        <f ca="1">IFERROR(__xludf.DUMMYFUNCTION("""COMPUTED_VALUE"""),46124)</f>
        <v>46124</v>
      </c>
      <c r="J1282" s="98" t="str">
        <f ca="1">IFERROR(__xludf.DUMMYFUNCTION("""COMPUTED_VALUE"""),"CW29883_Apr26")</f>
        <v>CW29883_Apr26</v>
      </c>
      <c r="K1282" s="99" t="str">
        <f ca="1">IFERROR(__xludf.DUMMYFUNCTION("""COMPUTED_VALUE"""),"HoM Approved")</f>
        <v>HoM Approved</v>
      </c>
    </row>
    <row r="1283" spans="1:11" ht="13.2">
      <c r="A1283" s="89" t="str">
        <f ca="1">IFERROR(__xludf.DUMMYFUNCTION("""COMPUTED_VALUE"""),"VISION Fan")</f>
        <v>VISION Fan</v>
      </c>
      <c r="B1283" s="90" t="str">
        <f ca="1">IFERROR(__xludf.DUMMYFUNCTION("""COMPUTED_VALUE"""),"RPLE")</f>
        <v>RPLE</v>
      </c>
      <c r="C1283" s="91" t="str">
        <f ca="1">IFERROR(__xludf.DUMMYFUNCTION("""COMPUTED_VALUE"""),"Afroja Apu")</f>
        <v>Afroja Apu</v>
      </c>
      <c r="D1283" s="92" t="str">
        <f ca="1">IFERROR(__xludf.DUMMYFUNCTION("""COMPUTED_VALUE"""),"Sujan Kumar (S223038)")</f>
        <v>Sujan Kumar (S223038)</v>
      </c>
      <c r="E1283" s="93" t="str">
        <f ca="1">IFERROR(__xludf.DUMMYFUNCTION("""COMPUTED_VALUE"""),"CB21501_Apr26")</f>
        <v>CB21501_Apr26</v>
      </c>
      <c r="F1283" s="94" t="str">
        <f ca="1">IFERROR(__xludf.DUMMYFUNCTION("""COMPUTED_VALUE"""),"ATC Box Output")</f>
        <v>ATC Box Output</v>
      </c>
      <c r="G1283" s="95" t="str">
        <f ca="1">IFERROR(__xludf.DUMMYFUNCTION("""COMPUTED_VALUE"""),"New")</f>
        <v>New</v>
      </c>
      <c r="H1283" s="96">
        <f ca="1">IFERROR(__xludf.DUMMYFUNCTION("""COMPUTED_VALUE"""),1)</f>
        <v>1</v>
      </c>
      <c r="I1283" s="97">
        <f ca="1">IFERROR(__xludf.DUMMYFUNCTION("""COMPUTED_VALUE"""),46124)</f>
        <v>46124</v>
      </c>
      <c r="J1283" s="98" t="str">
        <f ca="1">IFERROR(__xludf.DUMMYFUNCTION("""COMPUTED_VALUE"""),"CW29912_Apr26")</f>
        <v>CW29912_Apr26</v>
      </c>
      <c r="K1283" s="99" t="str">
        <f ca="1">IFERROR(__xludf.DUMMYFUNCTION("""COMPUTED_VALUE"""),"Brief Submitted")</f>
        <v>Brief Submitted</v>
      </c>
    </row>
    <row r="1284" spans="1:11" ht="13.2">
      <c r="A1284" s="89" t="str">
        <f ca="1">IFERROR(__xludf.DUMMYFUNCTION("""COMPUTED_VALUE"""),"PRAN Choco Choco")</f>
        <v>PRAN Choco Choco</v>
      </c>
      <c r="B1284" s="90" t="str">
        <f ca="1">IFERROR(__xludf.DUMMYFUNCTION("""COMPUTED_VALUE"""),"India")</f>
        <v>India</v>
      </c>
      <c r="C1284" s="91" t="str">
        <f ca="1">IFERROR(__xludf.DUMMYFUNCTION("""COMPUTED_VALUE"""),"Mona Apu")</f>
        <v>Mona Apu</v>
      </c>
      <c r="D1284" s="92" t="str">
        <f ca="1">IFERROR(__xludf.DUMMYFUNCTION("""COMPUTED_VALUE"""),"Sujan Kumar (S223038)")</f>
        <v>Sujan Kumar (S223038)</v>
      </c>
      <c r="E1284" s="93" t="str">
        <f ca="1">IFERROR(__xludf.DUMMYFUNCTION("""COMPUTED_VALUE"""),"CB19684_Mar26")</f>
        <v>CB19684_Mar26</v>
      </c>
      <c r="F1284" s="94" t="str">
        <f ca="1">IFERROR(__xludf.DUMMYFUNCTION("""COMPUTED_VALUE"""),"JAR Label Sticker Output")</f>
        <v>JAR Label Sticker Output</v>
      </c>
      <c r="G1284" s="95" t="str">
        <f ca="1">IFERROR(__xludf.DUMMYFUNCTION("""COMPUTED_VALUE"""),"New")</f>
        <v>New</v>
      </c>
      <c r="H1284" s="96">
        <f ca="1">IFERROR(__xludf.DUMMYFUNCTION("""COMPUTED_VALUE"""),1)</f>
        <v>1</v>
      </c>
      <c r="I1284" s="97">
        <f ca="1">IFERROR(__xludf.DUMMYFUNCTION("""COMPUTED_VALUE"""),46124)</f>
        <v>46124</v>
      </c>
      <c r="J1284" s="98" t="str">
        <f ca="1">IFERROR(__xludf.DUMMYFUNCTION("""COMPUTED_VALUE"""),"CW29927_Apr26")</f>
        <v>CW29927_Apr26</v>
      </c>
      <c r="K1284" s="99" t="str">
        <f ca="1">IFERROR(__xludf.DUMMYFUNCTION("""COMPUTED_VALUE"""),"HoM Approved")</f>
        <v>HoM Approved</v>
      </c>
    </row>
    <row r="1285" spans="1:11" ht="13.2">
      <c r="A1285" s="89" t="str">
        <f ca="1">IFERROR(__xludf.DUMMYFUNCTION("""COMPUTED_VALUE"""),"Tasty Treat Cafe")</f>
        <v>Tasty Treat Cafe</v>
      </c>
      <c r="B1285" s="90" t="str">
        <f ca="1">IFERROR(__xludf.DUMMYFUNCTION("""COMPUTED_VALUE"""),"Tasty Treat")</f>
        <v>Tasty Treat</v>
      </c>
      <c r="C1285" s="91" t="str">
        <f ca="1">IFERROR(__xludf.DUMMYFUNCTION("""COMPUTED_VALUE"""),"Nahian Vai")</f>
        <v>Nahian Vai</v>
      </c>
      <c r="D1285" s="92" t="str">
        <f ca="1">IFERROR(__xludf.DUMMYFUNCTION("""COMPUTED_VALUE"""),"Sujan Kumar (S223038)")</f>
        <v>Sujan Kumar (S223038)</v>
      </c>
      <c r="E1285" s="93" t="str">
        <f ca="1">IFERROR(__xludf.DUMMYFUNCTION("""COMPUTED_VALUE"""),"CB21453_Apr26")</f>
        <v>CB21453_Apr26</v>
      </c>
      <c r="F1285" s="94" t="str">
        <f ca="1">IFERROR(__xludf.DUMMYFUNCTION("""COMPUTED_VALUE"""),"Flyer/Brochure/Banner Output")</f>
        <v>Flyer/Brochure/Banner Output</v>
      </c>
      <c r="G1285" s="95" t="str">
        <f ca="1">IFERROR(__xludf.DUMMYFUNCTION("""COMPUTED_VALUE"""),"New")</f>
        <v>New</v>
      </c>
      <c r="H1285" s="96">
        <f ca="1">IFERROR(__xludf.DUMMYFUNCTION("""COMPUTED_VALUE"""),1)</f>
        <v>1</v>
      </c>
      <c r="I1285" s="97">
        <f ca="1">IFERROR(__xludf.DUMMYFUNCTION("""COMPUTED_VALUE"""),46124)</f>
        <v>46124</v>
      </c>
      <c r="J1285" s="98" t="str">
        <f ca="1">IFERROR(__xludf.DUMMYFUNCTION("""COMPUTED_VALUE"""),"CW29921_Apr26")</f>
        <v>CW29921_Apr26</v>
      </c>
      <c r="K1285" s="99" t="str">
        <f ca="1">IFERROR(__xludf.DUMMYFUNCTION("""COMPUTED_VALUE"""),"HoM Approved")</f>
        <v>HoM Approved</v>
      </c>
    </row>
    <row r="1286" spans="1:11" ht="13.2">
      <c r="A1286" s="89" t="str">
        <f ca="1">IFERROR(__xludf.DUMMYFUNCTION("""COMPUTED_VALUE"""),"Jhatpot")</f>
        <v>Jhatpot</v>
      </c>
      <c r="B1286" s="90" t="str">
        <f ca="1">IFERROR(__xludf.DUMMYFUNCTION("""COMPUTED_VALUE"""),"PFF")</f>
        <v>PFF</v>
      </c>
      <c r="C1286" s="91" t="str">
        <f ca="1">IFERROR(__xludf.DUMMYFUNCTION("""COMPUTED_VALUE"""),"Sreejon Vai")</f>
        <v>Sreejon Vai</v>
      </c>
      <c r="D1286" s="92" t="str">
        <f ca="1">IFERROR(__xludf.DUMMYFUNCTION("""COMPUTED_VALUE"""),"Sujan Kumar (S223038)")</f>
        <v>Sujan Kumar (S223038)</v>
      </c>
      <c r="E1286" s="93" t="str">
        <f ca="1">IFERROR(__xludf.DUMMYFUNCTION("""COMPUTED_VALUE"""),"CB19370_Mar26")</f>
        <v>CB19370_Mar26</v>
      </c>
      <c r="F1286" s="94" t="str">
        <f ca="1">IFERROR(__xludf.DUMMYFUNCTION("""COMPUTED_VALUE"""),"Flyer/Brochure/Banner Output")</f>
        <v>Flyer/Brochure/Banner Output</v>
      </c>
      <c r="G1286" s="95" t="str">
        <f ca="1">IFERROR(__xludf.DUMMYFUNCTION("""COMPUTED_VALUE"""),"New")</f>
        <v>New</v>
      </c>
      <c r="H1286" s="96">
        <f ca="1">IFERROR(__xludf.DUMMYFUNCTION("""COMPUTED_VALUE"""),1)</f>
        <v>1</v>
      </c>
      <c r="I1286" s="97">
        <f ca="1">IFERROR(__xludf.DUMMYFUNCTION("""COMPUTED_VALUE"""),46125)</f>
        <v>46125</v>
      </c>
      <c r="J1286" s="98" t="str">
        <f ca="1">IFERROR(__xludf.DUMMYFUNCTION("""COMPUTED_VALUE"""),"CW30027_Apr26")</f>
        <v>CW30027_Apr26</v>
      </c>
      <c r="K1286" s="99" t="str">
        <f ca="1">IFERROR(__xludf.DUMMYFUNCTION("""COMPUTED_VALUE"""),"HoM Approved")</f>
        <v>HoM Approved</v>
      </c>
    </row>
    <row r="1287" spans="1:11" ht="13.2">
      <c r="A1287" s="89" t="str">
        <f ca="1">IFERROR(__xludf.DUMMYFUNCTION("""COMPUTED_VALUE"""),"PRAN Chutney")</f>
        <v>PRAN Chutney</v>
      </c>
      <c r="B1287" s="90" t="str">
        <f ca="1">IFERROR(__xludf.DUMMYFUNCTION("""COMPUTED_VALUE"""),"PAL")</f>
        <v>PAL</v>
      </c>
      <c r="C1287" s="91" t="str">
        <f ca="1">IFERROR(__xludf.DUMMYFUNCTION("""COMPUTED_VALUE"""),"Sanjida Apu")</f>
        <v>Sanjida Apu</v>
      </c>
      <c r="D1287" s="92" t="str">
        <f ca="1">IFERROR(__xludf.DUMMYFUNCTION("""COMPUTED_VALUE"""),"Sujan Kumar (S223038)")</f>
        <v>Sujan Kumar (S223038)</v>
      </c>
      <c r="E1287" s="93" t="str">
        <f ca="1">IFERROR(__xludf.DUMMYFUNCTION("""COMPUTED_VALUE"""),"CB19557_Mar26")</f>
        <v>CB19557_Mar26</v>
      </c>
      <c r="F1287" s="94" t="str">
        <f ca="1">IFERROR(__xludf.DUMMYFUNCTION("""COMPUTED_VALUE"""),"JAR Label Sticker Output")</f>
        <v>JAR Label Sticker Output</v>
      </c>
      <c r="G1287" s="95" t="str">
        <f ca="1">IFERROR(__xludf.DUMMYFUNCTION("""COMPUTED_VALUE"""),"New")</f>
        <v>New</v>
      </c>
      <c r="H1287" s="96">
        <f ca="1">IFERROR(__xludf.DUMMYFUNCTION("""COMPUTED_VALUE"""),1)</f>
        <v>1</v>
      </c>
      <c r="I1287" s="97">
        <f ca="1">IFERROR(__xludf.DUMMYFUNCTION("""COMPUTED_VALUE"""),46126)</f>
        <v>46126</v>
      </c>
      <c r="J1287" s="98" t="str">
        <f ca="1">IFERROR(__xludf.DUMMYFUNCTION("""COMPUTED_VALUE"""),"CW30067_Apr26")</f>
        <v>CW30067_Apr26</v>
      </c>
      <c r="K1287" s="99" t="str">
        <f ca="1">IFERROR(__xludf.DUMMYFUNCTION("""COMPUTED_VALUE"""),"HoM Approved")</f>
        <v>HoM Approved</v>
      </c>
    </row>
    <row r="1288" spans="1:11" ht="13.2">
      <c r="A1288" s="89" t="str">
        <f ca="1">IFERROR(__xludf.DUMMYFUNCTION("""COMPUTED_VALUE"""),"Hurray Wafer")</f>
        <v>Hurray Wafer</v>
      </c>
      <c r="B1288" s="90" t="str">
        <f ca="1">IFERROR(__xludf.DUMMYFUNCTION("""COMPUTED_VALUE"""),"PCL")</f>
        <v>PCL</v>
      </c>
      <c r="C1288" s="91" t="str">
        <f ca="1">IFERROR(__xludf.DUMMYFUNCTION("""COMPUTED_VALUE"""),"Mona Apu")</f>
        <v>Mona Apu</v>
      </c>
      <c r="D1288" s="92" t="str">
        <f ca="1">IFERROR(__xludf.DUMMYFUNCTION("""COMPUTED_VALUE"""),"Sujan Kumar (S223038)")</f>
        <v>Sujan Kumar (S223038)</v>
      </c>
      <c r="E1288" s="93" t="str">
        <f ca="1">IFERROR(__xludf.DUMMYFUNCTION("""COMPUTED_VALUE"""),"CB20751_Apr26")</f>
        <v>CB20751_Apr26</v>
      </c>
      <c r="F1288" s="94" t="str">
        <f ca="1">IFERROR(__xludf.DUMMYFUNCTION("""COMPUTED_VALUE"""),"ATC Box Output")</f>
        <v>ATC Box Output</v>
      </c>
      <c r="G1288" s="95" t="str">
        <f ca="1">IFERROR(__xludf.DUMMYFUNCTION("""COMPUTED_VALUE"""),"New")</f>
        <v>New</v>
      </c>
      <c r="H1288" s="96">
        <f ca="1">IFERROR(__xludf.DUMMYFUNCTION("""COMPUTED_VALUE"""),1)</f>
        <v>1</v>
      </c>
      <c r="I1288" s="97">
        <f ca="1">IFERROR(__xludf.DUMMYFUNCTION("""COMPUTED_VALUE"""),46128)</f>
        <v>46128</v>
      </c>
      <c r="J1288" s="98" t="str">
        <f ca="1">IFERROR(__xludf.DUMMYFUNCTION("""COMPUTED_VALUE"""),"CW30264_Apr26")</f>
        <v>CW30264_Apr26</v>
      </c>
      <c r="K1288" s="99" t="str">
        <f ca="1">IFERROR(__xludf.DUMMYFUNCTION("""COMPUTED_VALUE"""),"HoM Approved")</f>
        <v>HoM Approved</v>
      </c>
    </row>
    <row r="1289" spans="1:11" ht="13.2">
      <c r="A1289" s="89" t="str">
        <f ca="1">IFERROR(__xludf.DUMMYFUNCTION("""COMPUTED_VALUE"""),"Regal Emporium")</f>
        <v>Regal Emporium</v>
      </c>
      <c r="B1289" s="90" t="str">
        <f ca="1">IFERROR(__xludf.DUMMYFUNCTION("""COMPUTED_VALUE"""),"Retail")</f>
        <v>Retail</v>
      </c>
      <c r="C1289" s="91" t="str">
        <f ca="1">IFERROR(__xludf.DUMMYFUNCTION("""COMPUTED_VALUE"""),"Mouri Apu")</f>
        <v>Mouri Apu</v>
      </c>
      <c r="D1289" s="92" t="str">
        <f ca="1">IFERROR(__xludf.DUMMYFUNCTION("""COMPUTED_VALUE"""),"Sujan Kumar (S223038)")</f>
        <v>Sujan Kumar (S223038)</v>
      </c>
      <c r="E1289" s="93" t="str">
        <f ca="1">IFERROR(__xludf.DUMMYFUNCTION("""COMPUTED_VALUE"""),"CB21471_Apr26")</f>
        <v>CB21471_Apr26</v>
      </c>
      <c r="F1289" s="94" t="str">
        <f ca="1">IFERROR(__xludf.DUMMYFUNCTION("""COMPUTED_VALUE"""),"Flyer/Brochure/Banner Output")</f>
        <v>Flyer/Brochure/Banner Output</v>
      </c>
      <c r="G1289" s="95" t="str">
        <f ca="1">IFERROR(__xludf.DUMMYFUNCTION("""COMPUTED_VALUE"""),"New")</f>
        <v>New</v>
      </c>
      <c r="H1289" s="96">
        <f ca="1">IFERROR(__xludf.DUMMYFUNCTION("""COMPUTED_VALUE"""),6)</f>
        <v>6</v>
      </c>
      <c r="I1289" s="97">
        <f ca="1">IFERROR(__xludf.DUMMYFUNCTION("""COMPUTED_VALUE"""),46128)</f>
        <v>46128</v>
      </c>
      <c r="J1289" s="98" t="str">
        <f ca="1">IFERROR(__xludf.DUMMYFUNCTION("""COMPUTED_VALUE"""),"CW30296_Apr26")</f>
        <v>CW30296_Apr26</v>
      </c>
      <c r="K1289" s="99" t="str">
        <f ca="1">IFERROR(__xludf.DUMMYFUNCTION("""COMPUTED_VALUE"""),"HoM Approved")</f>
        <v>HoM Approved</v>
      </c>
    </row>
    <row r="1290" spans="1:11" ht="13.2">
      <c r="A1290" s="89" t="str">
        <f ca="1">IFERROR(__xludf.DUMMYFUNCTION("""COMPUTED_VALUE"""),"Bisk Club Sugar Free")</f>
        <v>Bisk Club Sugar Free</v>
      </c>
      <c r="B1290" s="90" t="str">
        <f ca="1">IFERROR(__xludf.DUMMYFUNCTION("""COMPUTED_VALUE"""),"BBL")</f>
        <v>BBL</v>
      </c>
      <c r="C1290" s="91" t="str">
        <f ca="1">IFERROR(__xludf.DUMMYFUNCTION("""COMPUTED_VALUE"""),"Maksuda Apu")</f>
        <v>Maksuda Apu</v>
      </c>
      <c r="D1290" s="92" t="str">
        <f ca="1">IFERROR(__xludf.DUMMYFUNCTION("""COMPUTED_VALUE"""),"Sujan Kumar (S223038)")</f>
        <v>Sujan Kumar (S223038)</v>
      </c>
      <c r="E1290" s="93" t="str">
        <f ca="1">IFERROR(__xludf.DUMMYFUNCTION("""COMPUTED_VALUE"""),"CB21756_Apr26")</f>
        <v>CB21756_Apr26</v>
      </c>
      <c r="F1290" s="94" t="str">
        <f ca="1">IFERROR(__xludf.DUMMYFUNCTION("""COMPUTED_VALUE"""),"ATC Box Output")</f>
        <v>ATC Box Output</v>
      </c>
      <c r="G1290" s="95" t="str">
        <f ca="1">IFERROR(__xludf.DUMMYFUNCTION("""COMPUTED_VALUE"""),"New")</f>
        <v>New</v>
      </c>
      <c r="H1290" s="96">
        <f ca="1">IFERROR(__xludf.DUMMYFUNCTION("""COMPUTED_VALUE"""),1)</f>
        <v>1</v>
      </c>
      <c r="I1290" s="97">
        <f ca="1">IFERROR(__xludf.DUMMYFUNCTION("""COMPUTED_VALUE"""),46130)</f>
        <v>46130</v>
      </c>
      <c r="J1290" s="98" t="str">
        <f ca="1">IFERROR(__xludf.DUMMYFUNCTION("""COMPUTED_VALUE"""),"CW30366_Apr26")</f>
        <v>CW30366_Apr26</v>
      </c>
      <c r="K1290" s="99" t="str">
        <f ca="1">IFERROR(__xludf.DUMMYFUNCTION("""COMPUTED_VALUE"""),"HoM Approved")</f>
        <v>HoM Approved</v>
      </c>
    </row>
    <row r="1291" spans="1:11" ht="13.2">
      <c r="A1291" s="89" t="str">
        <f ca="1">IFERROR(__xludf.DUMMYFUNCTION("""COMPUTED_VALUE"""),"Fry Bucket")</f>
        <v>Fry Bucket</v>
      </c>
      <c r="B1291" s="90" t="str">
        <f ca="1">IFERROR(__xludf.DUMMYFUNCTION("""COMPUTED_VALUE"""),"Tasty Treat")</f>
        <v>Tasty Treat</v>
      </c>
      <c r="C1291" s="91" t="str">
        <f ca="1">IFERROR(__xludf.DUMMYFUNCTION("""COMPUTED_VALUE"""),"Shubhankar Vai")</f>
        <v>Shubhankar Vai</v>
      </c>
      <c r="D1291" s="92" t="str">
        <f ca="1">IFERROR(__xludf.DUMMYFUNCTION("""COMPUTED_VALUE"""),"Sujan Kumar (S223038)")</f>
        <v>Sujan Kumar (S223038)</v>
      </c>
      <c r="E1291" s="93" t="str">
        <f ca="1">IFERROR(__xludf.DUMMYFUNCTION("""COMPUTED_VALUE"""),"CB21794_Apr26")</f>
        <v>CB21794_Apr26</v>
      </c>
      <c r="F1291" s="94" t="str">
        <f ca="1">IFERROR(__xludf.DUMMYFUNCTION("""COMPUTED_VALUE"""),"Flyer/Brochure/Banner Output")</f>
        <v>Flyer/Brochure/Banner Output</v>
      </c>
      <c r="G1291" s="95" t="str">
        <f ca="1">IFERROR(__xludf.DUMMYFUNCTION("""COMPUTED_VALUE"""),"New")</f>
        <v>New</v>
      </c>
      <c r="H1291" s="96">
        <f ca="1">IFERROR(__xludf.DUMMYFUNCTION("""COMPUTED_VALUE"""),1)</f>
        <v>1</v>
      </c>
      <c r="I1291" s="97">
        <f ca="1">IFERROR(__xludf.DUMMYFUNCTION("""COMPUTED_VALUE"""),46130)</f>
        <v>46130</v>
      </c>
      <c r="J1291" s="98" t="str">
        <f ca="1">IFERROR(__xludf.DUMMYFUNCTION("""COMPUTED_VALUE"""),"CW30336_Apr26")</f>
        <v>CW30336_Apr26</v>
      </c>
      <c r="K1291" s="99" t="str">
        <f ca="1">IFERROR(__xludf.DUMMYFUNCTION("""COMPUTED_VALUE"""),"HoM Approved")</f>
        <v>HoM Approved</v>
      </c>
    </row>
    <row r="1292" spans="1:11" ht="13.2">
      <c r="A1292" s="89" t="str">
        <f ca="1">IFERROR(__xludf.DUMMYFUNCTION("""COMPUTED_VALUE"""),"Golpo")</f>
        <v>Golpo</v>
      </c>
      <c r="B1292" s="90" t="str">
        <f ca="1">IFERROR(__xludf.DUMMYFUNCTION("""COMPUTED_VALUE"""),"BBL")</f>
        <v>BBL</v>
      </c>
      <c r="C1292" s="91" t="str">
        <f ca="1">IFERROR(__xludf.DUMMYFUNCTION("""COMPUTED_VALUE"""),"Farhan Vai")</f>
        <v>Farhan Vai</v>
      </c>
      <c r="D1292" s="92" t="str">
        <f ca="1">IFERROR(__xludf.DUMMYFUNCTION("""COMPUTED_VALUE"""),"Sujan Kumar (S223038)")</f>
        <v>Sujan Kumar (S223038)</v>
      </c>
      <c r="E1292" s="93" t="str">
        <f ca="1">IFERROR(__xludf.DUMMYFUNCTION("""COMPUTED_VALUE"""),"CB19459_Mar26")</f>
        <v>CB19459_Mar26</v>
      </c>
      <c r="F1292" s="94" t="str">
        <f ca="1">IFERROR(__xludf.DUMMYFUNCTION("""COMPUTED_VALUE"""),"ATC Box Output")</f>
        <v>ATC Box Output</v>
      </c>
      <c r="G1292" s="95" t="str">
        <f ca="1">IFERROR(__xludf.DUMMYFUNCTION("""COMPUTED_VALUE"""),"New")</f>
        <v>New</v>
      </c>
      <c r="H1292" s="96">
        <f ca="1">IFERROR(__xludf.DUMMYFUNCTION("""COMPUTED_VALUE"""),3)</f>
        <v>3</v>
      </c>
      <c r="I1292" s="97">
        <f ca="1">IFERROR(__xludf.DUMMYFUNCTION("""COMPUTED_VALUE"""),46131)</f>
        <v>46131</v>
      </c>
      <c r="J1292" s="98" t="str">
        <f ca="1">IFERROR(__xludf.DUMMYFUNCTION("""COMPUTED_VALUE"""),"CW30459_Apr26")</f>
        <v>CW30459_Apr26</v>
      </c>
      <c r="K1292" s="99" t="str">
        <f ca="1">IFERROR(__xludf.DUMMYFUNCTION("""COMPUTED_VALUE"""),"HoM Approved")</f>
        <v>HoM Approved</v>
      </c>
    </row>
    <row r="1293" spans="1:11" ht="13.2">
      <c r="A1293" s="89" t="str">
        <f ca="1">IFERROR(__xludf.DUMMYFUNCTION("""COMPUTED_VALUE"""),"Tasty Treat Cafe")</f>
        <v>Tasty Treat Cafe</v>
      </c>
      <c r="B1293" s="90" t="str">
        <f ca="1">IFERROR(__xludf.DUMMYFUNCTION("""COMPUTED_VALUE"""),"Tasty Treat")</f>
        <v>Tasty Treat</v>
      </c>
      <c r="C1293" s="91" t="str">
        <f ca="1">IFERROR(__xludf.DUMMYFUNCTION("""COMPUTED_VALUE"""),"Nahian Vai")</f>
        <v>Nahian Vai</v>
      </c>
      <c r="D1293" s="92" t="str">
        <f ca="1">IFERROR(__xludf.DUMMYFUNCTION("""COMPUTED_VALUE"""),"Sujan Kumar (S223038)")</f>
        <v>Sujan Kumar (S223038)</v>
      </c>
      <c r="E1293" s="93" t="str">
        <f ca="1">IFERROR(__xludf.DUMMYFUNCTION("""COMPUTED_VALUE"""),"CB21989_Apr26")</f>
        <v>CB21989_Apr26</v>
      </c>
      <c r="F1293" s="94" t="str">
        <f ca="1">IFERROR(__xludf.DUMMYFUNCTION("""COMPUTED_VALUE"""),"Flyer/Brochure/Banner Output")</f>
        <v>Flyer/Brochure/Banner Output</v>
      </c>
      <c r="G1293" s="95" t="str">
        <f ca="1">IFERROR(__xludf.DUMMYFUNCTION("""COMPUTED_VALUE"""),"New")</f>
        <v>New</v>
      </c>
      <c r="H1293" s="96">
        <f ca="1">IFERROR(__xludf.DUMMYFUNCTION("""COMPUTED_VALUE"""),2)</f>
        <v>2</v>
      </c>
      <c r="I1293" s="97">
        <f ca="1">IFERROR(__xludf.DUMMYFUNCTION("""COMPUTED_VALUE"""),46132)</f>
        <v>46132</v>
      </c>
      <c r="J1293" s="98" t="str">
        <f ca="1">IFERROR(__xludf.DUMMYFUNCTION("""COMPUTED_VALUE"""),"CW30547_Apr26")</f>
        <v>CW30547_Apr26</v>
      </c>
      <c r="K1293" s="99" t="str">
        <f ca="1">IFERROR(__xludf.DUMMYFUNCTION("""COMPUTED_VALUE"""),"HoM Approved")</f>
        <v>HoM Approved</v>
      </c>
    </row>
    <row r="1294" spans="1:11" ht="13.2">
      <c r="A1294" s="89" t="str">
        <f ca="1">IFERROR(__xludf.DUMMYFUNCTION("""COMPUTED_VALUE"""),"Common - USA &amp; Europe Export")</f>
        <v>Common - USA &amp; Europe Export</v>
      </c>
      <c r="B1294" s="90" t="str">
        <f ca="1">IFERROR(__xludf.DUMMYFUNCTION("""COMPUTED_VALUE"""),"USA &amp; Europe")</f>
        <v>USA &amp; Europe</v>
      </c>
      <c r="C1294" s="91" t="str">
        <f ca="1">IFERROR(__xludf.DUMMYFUNCTION("""COMPUTED_VALUE"""),"Saifullah Vai")</f>
        <v>Saifullah Vai</v>
      </c>
      <c r="D1294" s="92" t="str">
        <f ca="1">IFERROR(__xludf.DUMMYFUNCTION("""COMPUTED_VALUE"""),"Sujan Kumar (S223038)")</f>
        <v>Sujan Kumar (S223038)</v>
      </c>
      <c r="E1294" s="93" t="str">
        <f ca="1">IFERROR(__xludf.DUMMYFUNCTION("""COMPUTED_VALUE"""),"CB21517_Apr26")</f>
        <v>CB21517_Apr26</v>
      </c>
      <c r="F1294" s="94" t="str">
        <f ca="1">IFERROR(__xludf.DUMMYFUNCTION("""COMPUTED_VALUE"""),"JAR Label Sticker Output")</f>
        <v>JAR Label Sticker Output</v>
      </c>
      <c r="G1294" s="95" t="str">
        <f ca="1">IFERROR(__xludf.DUMMYFUNCTION("""COMPUTED_VALUE"""),"New")</f>
        <v>New</v>
      </c>
      <c r="H1294" s="96">
        <f ca="1">IFERROR(__xludf.DUMMYFUNCTION("""COMPUTED_VALUE"""),3)</f>
        <v>3</v>
      </c>
      <c r="I1294" s="97">
        <f ca="1">IFERROR(__xludf.DUMMYFUNCTION("""COMPUTED_VALUE"""),46133)</f>
        <v>46133</v>
      </c>
      <c r="J1294" s="98" t="str">
        <f ca="1">IFERROR(__xludf.DUMMYFUNCTION("""COMPUTED_VALUE"""),"CW30744_Apr26")</f>
        <v>CW30744_Apr26</v>
      </c>
      <c r="K1294" s="99" t="str">
        <f ca="1">IFERROR(__xludf.DUMMYFUNCTION("""COMPUTED_VALUE"""),"HoM Approved")</f>
        <v>HoM Approved</v>
      </c>
    </row>
    <row r="1295" spans="1:11" ht="13.2">
      <c r="A1295" s="89" t="str">
        <f ca="1">IFERROR(__xludf.DUMMYFUNCTION("""COMPUTED_VALUE"""),"Tasty Treat")</f>
        <v>Tasty Treat</v>
      </c>
      <c r="B1295" s="90" t="str">
        <f ca="1">IFERROR(__xludf.DUMMYFUNCTION("""COMPUTED_VALUE"""),"Tasty Treat")</f>
        <v>Tasty Treat</v>
      </c>
      <c r="C1295" s="91" t="str">
        <f ca="1">IFERROR(__xludf.DUMMYFUNCTION("""COMPUTED_VALUE"""),"Shubhankar Vai")</f>
        <v>Shubhankar Vai</v>
      </c>
      <c r="D1295" s="92" t="str">
        <f ca="1">IFERROR(__xludf.DUMMYFUNCTION("""COMPUTED_VALUE"""),"Sujan Kumar (S223038)")</f>
        <v>Sujan Kumar (S223038)</v>
      </c>
      <c r="E1295" s="93" t="str">
        <f ca="1">IFERROR(__xludf.DUMMYFUNCTION("""COMPUTED_VALUE"""),"CB19717_Mar26")</f>
        <v>CB19717_Mar26</v>
      </c>
      <c r="F1295" s="94" t="str">
        <f ca="1">IFERROR(__xludf.DUMMYFUNCTION("""COMPUTED_VALUE"""),"Gravure Output #2")</f>
        <v>Gravure Output #2</v>
      </c>
      <c r="G1295" s="95" t="str">
        <f ca="1">IFERROR(__xludf.DUMMYFUNCTION("""COMPUTED_VALUE"""),"New")</f>
        <v>New</v>
      </c>
      <c r="H1295" s="96">
        <f ca="1">IFERROR(__xludf.DUMMYFUNCTION("""COMPUTED_VALUE"""),1)</f>
        <v>1</v>
      </c>
      <c r="I1295" s="97">
        <f ca="1">IFERROR(__xludf.DUMMYFUNCTION("""COMPUTED_VALUE"""),46133)</f>
        <v>46133</v>
      </c>
      <c r="J1295" s="98" t="str">
        <f ca="1">IFERROR(__xludf.DUMMYFUNCTION("""COMPUTED_VALUE"""),"CW30752_Apr26")</f>
        <v>CW30752_Apr26</v>
      </c>
      <c r="K1295" s="99" t="str">
        <f ca="1">IFERROR(__xludf.DUMMYFUNCTION("""COMPUTED_VALUE"""),"HoM Approved")</f>
        <v>HoM Approved</v>
      </c>
    </row>
    <row r="1296" spans="1:11" ht="13.2">
      <c r="A1296" s="89" t="str">
        <f ca="1">IFERROR(__xludf.DUMMYFUNCTION("""COMPUTED_VALUE"""),"Rainbow Paints")</f>
        <v>Rainbow Paints</v>
      </c>
      <c r="B1296" s="90" t="str">
        <f ca="1">IFERROR(__xludf.DUMMYFUNCTION("""COMPUTED_VALUE"""),"MLIL")</f>
        <v>MLIL</v>
      </c>
      <c r="C1296" s="91" t="str">
        <f ca="1">IFERROR(__xludf.DUMMYFUNCTION("""COMPUTED_VALUE"""),"Badhon Vai")</f>
        <v>Badhon Vai</v>
      </c>
      <c r="D1296" s="92" t="str">
        <f ca="1">IFERROR(__xludf.DUMMYFUNCTION("""COMPUTED_VALUE"""),"Sujan Kumar (S223038)")</f>
        <v>Sujan Kumar (S223038)</v>
      </c>
      <c r="E1296" s="93" t="str">
        <f ca="1">IFERROR(__xludf.DUMMYFUNCTION("""COMPUTED_VALUE"""),"CB22133_Apr26")</f>
        <v>CB22133_Apr26</v>
      </c>
      <c r="F1296" s="94" t="str">
        <f ca="1">IFERROR(__xludf.DUMMYFUNCTION("""COMPUTED_VALUE"""),"ATC Box Output")</f>
        <v>ATC Box Output</v>
      </c>
      <c r="G1296" s="95" t="str">
        <f ca="1">IFERROR(__xludf.DUMMYFUNCTION("""COMPUTED_VALUE"""),"New")</f>
        <v>New</v>
      </c>
      <c r="H1296" s="96">
        <f ca="1">IFERROR(__xludf.DUMMYFUNCTION("""COMPUTED_VALUE"""),1)</f>
        <v>1</v>
      </c>
      <c r="I1296" s="97">
        <f ca="1">IFERROR(__xludf.DUMMYFUNCTION("""COMPUTED_VALUE"""),46134)</f>
        <v>46134</v>
      </c>
      <c r="J1296" s="98" t="str">
        <f ca="1">IFERROR(__xludf.DUMMYFUNCTION("""COMPUTED_VALUE"""),"CW30865_Apr26")</f>
        <v>CW30865_Apr26</v>
      </c>
      <c r="K1296" s="99" t="str">
        <f ca="1">IFERROR(__xludf.DUMMYFUNCTION("""COMPUTED_VALUE"""),"HoM Approved")</f>
        <v>HoM Approved</v>
      </c>
    </row>
    <row r="1297" spans="1:11" ht="13.2">
      <c r="A1297" s="89" t="str">
        <f ca="1">IFERROR(__xludf.DUMMYFUNCTION("""COMPUTED_VALUE"""),"Duranta Sports Galley")</f>
        <v>Duranta Sports Galley</v>
      </c>
      <c r="B1297" s="90" t="str">
        <f ca="1">IFERROR(__xludf.DUMMYFUNCTION("""COMPUTED_VALUE"""),"Retail")</f>
        <v>Retail</v>
      </c>
      <c r="C1297" s="91" t="str">
        <f ca="1">IFERROR(__xludf.DUMMYFUNCTION("""COMPUTED_VALUE"""),"Asif Abdullah Vai")</f>
        <v>Asif Abdullah Vai</v>
      </c>
      <c r="D1297" s="92" t="str">
        <f ca="1">IFERROR(__xludf.DUMMYFUNCTION("""COMPUTED_VALUE"""),"Sujan Kumar (S223038)")</f>
        <v>Sujan Kumar (S223038)</v>
      </c>
      <c r="E1297" s="93" t="str">
        <f ca="1">IFERROR(__xludf.DUMMYFUNCTION("""COMPUTED_VALUE"""),"CB20930_Apr26")</f>
        <v>CB20930_Apr26</v>
      </c>
      <c r="F1297" s="94" t="str">
        <f ca="1">IFERROR(__xludf.DUMMYFUNCTION("""COMPUTED_VALUE"""),"Flyer/Brochure/Banner Output")</f>
        <v>Flyer/Brochure/Banner Output</v>
      </c>
      <c r="G1297" s="95" t="str">
        <f ca="1">IFERROR(__xludf.DUMMYFUNCTION("""COMPUTED_VALUE"""),"New")</f>
        <v>New</v>
      </c>
      <c r="H1297" s="96">
        <f ca="1">IFERROR(__xludf.DUMMYFUNCTION("""COMPUTED_VALUE"""),3)</f>
        <v>3</v>
      </c>
      <c r="I1297" s="97">
        <f ca="1">IFERROR(__xludf.DUMMYFUNCTION("""COMPUTED_VALUE"""),46135)</f>
        <v>46135</v>
      </c>
      <c r="J1297" s="98" t="str">
        <f ca="1">IFERROR(__xludf.DUMMYFUNCTION("""COMPUTED_VALUE"""),"CW31029_Apr26")</f>
        <v>CW31029_Apr26</v>
      </c>
      <c r="K1297" s="99" t="str">
        <f ca="1">IFERROR(__xludf.DUMMYFUNCTION("""COMPUTED_VALUE"""),"HoM Approved")</f>
        <v>HoM Approved</v>
      </c>
    </row>
    <row r="1298" spans="1:11" ht="13.2">
      <c r="A1298" s="89" t="str">
        <f ca="1">IFERROR(__xludf.DUMMYFUNCTION("""COMPUTED_VALUE"""),"Duranta Sports Galley")</f>
        <v>Duranta Sports Galley</v>
      </c>
      <c r="B1298" s="90" t="str">
        <f ca="1">IFERROR(__xludf.DUMMYFUNCTION("""COMPUTED_VALUE"""),"Retail")</f>
        <v>Retail</v>
      </c>
      <c r="C1298" s="91" t="str">
        <f ca="1">IFERROR(__xludf.DUMMYFUNCTION("""COMPUTED_VALUE"""),"Asif Abdullah Vai")</f>
        <v>Asif Abdullah Vai</v>
      </c>
      <c r="D1298" s="92" t="str">
        <f ca="1">IFERROR(__xludf.DUMMYFUNCTION("""COMPUTED_VALUE"""),"Sujan Kumar (S223038)")</f>
        <v>Sujan Kumar (S223038)</v>
      </c>
      <c r="E1298" s="93" t="str">
        <f ca="1">IFERROR(__xludf.DUMMYFUNCTION("""COMPUTED_VALUE"""),"CB22104_Apr26")</f>
        <v>CB22104_Apr26</v>
      </c>
      <c r="F1298" s="94" t="str">
        <f ca="1">IFERROR(__xludf.DUMMYFUNCTION("""COMPUTED_VALUE"""),"Flyer/Brochure/Banner Output")</f>
        <v>Flyer/Brochure/Banner Output</v>
      </c>
      <c r="G1298" s="95" t="str">
        <f ca="1">IFERROR(__xludf.DUMMYFUNCTION("""COMPUTED_VALUE"""),"New")</f>
        <v>New</v>
      </c>
      <c r="H1298" s="96">
        <f ca="1">IFERROR(__xludf.DUMMYFUNCTION("""COMPUTED_VALUE"""),1)</f>
        <v>1</v>
      </c>
      <c r="I1298" s="97">
        <f ca="1">IFERROR(__xludf.DUMMYFUNCTION("""COMPUTED_VALUE"""),46137)</f>
        <v>46137</v>
      </c>
      <c r="J1298" s="98" t="str">
        <f ca="1">IFERROR(__xludf.DUMMYFUNCTION("""COMPUTED_VALUE"""),"CW31159_Apr26")</f>
        <v>CW31159_Apr26</v>
      </c>
      <c r="K1298" s="99" t="str">
        <f ca="1">IFERROR(__xludf.DUMMYFUNCTION("""COMPUTED_VALUE"""),"Brief Submitted")</f>
        <v>Brief Submitted</v>
      </c>
    </row>
    <row r="1299" spans="1:11" ht="13.2">
      <c r="A1299" s="89" t="str">
        <f ca="1">IFERROR(__xludf.DUMMYFUNCTION("""COMPUTED_VALUE"""),"Common - USA &amp; Europe Export")</f>
        <v>Common - USA &amp; Europe Export</v>
      </c>
      <c r="B1299" s="90" t="str">
        <f ca="1">IFERROR(__xludf.DUMMYFUNCTION("""COMPUTED_VALUE"""),"USA &amp; Europe")</f>
        <v>USA &amp; Europe</v>
      </c>
      <c r="C1299" s="91" t="str">
        <f ca="1">IFERROR(__xludf.DUMMYFUNCTION("""COMPUTED_VALUE"""),"Saifullah Vai")</f>
        <v>Saifullah Vai</v>
      </c>
      <c r="D1299" s="92" t="str">
        <f ca="1">IFERROR(__xludf.DUMMYFUNCTION("""COMPUTED_VALUE"""),"Sujan Kumar (S223038)")</f>
        <v>Sujan Kumar (S223038)</v>
      </c>
      <c r="E1299" s="93" t="str">
        <f ca="1">IFERROR(__xludf.DUMMYFUNCTION("""COMPUTED_VALUE"""),"CB18043_Feb26")</f>
        <v>CB18043_Feb26</v>
      </c>
      <c r="F1299" s="94" t="str">
        <f ca="1">IFERROR(__xludf.DUMMYFUNCTION("""COMPUTED_VALUE"""),"ATC Box Output")</f>
        <v>ATC Box Output</v>
      </c>
      <c r="G1299" s="95" t="str">
        <f ca="1">IFERROR(__xludf.DUMMYFUNCTION("""COMPUTED_VALUE"""),"New")</f>
        <v>New</v>
      </c>
      <c r="H1299" s="96">
        <f ca="1">IFERROR(__xludf.DUMMYFUNCTION("""COMPUTED_VALUE"""),1)</f>
        <v>1</v>
      </c>
      <c r="I1299" s="97">
        <f ca="1">IFERROR(__xludf.DUMMYFUNCTION("""COMPUTED_VALUE"""),46137)</f>
        <v>46137</v>
      </c>
      <c r="J1299" s="98" t="str">
        <f ca="1">IFERROR(__xludf.DUMMYFUNCTION("""COMPUTED_VALUE"""),"CW31221_Apr26")</f>
        <v>CW31221_Apr26</v>
      </c>
      <c r="K1299" s="99" t="str">
        <f ca="1">IFERROR(__xludf.DUMMYFUNCTION("""COMPUTED_VALUE"""),"HoM Approved")</f>
        <v>HoM Approved</v>
      </c>
    </row>
    <row r="1300" spans="1:11" ht="13.2">
      <c r="A1300" s="89" t="str">
        <f ca="1">IFERROR(__xludf.DUMMYFUNCTION("""COMPUTED_VALUE"""),"HIP-ALL")</f>
        <v>HIP-ALL</v>
      </c>
      <c r="B1300" s="90" t="str">
        <f ca="1">IFERROR(__xludf.DUMMYFUNCTION("""COMPUTED_VALUE"""),"Philippines")</f>
        <v>Philippines</v>
      </c>
      <c r="C1300" s="91" t="str">
        <f ca="1">IFERROR(__xludf.DUMMYFUNCTION("""COMPUTED_VALUE"""),"Rabby Vai")</f>
        <v>Rabby Vai</v>
      </c>
      <c r="D1300" s="92" t="str">
        <f ca="1">IFERROR(__xludf.DUMMYFUNCTION("""COMPUTED_VALUE"""),"Md. Ariful Islam (S223037)")</f>
        <v>Md. Ariful Islam (S223037)</v>
      </c>
      <c r="E1300" s="93" t="str">
        <f ca="1">IFERROR(__xludf.DUMMYFUNCTION("""COMPUTED_VALUE"""),"CB20861_Apr26")</f>
        <v>CB20861_Apr26</v>
      </c>
      <c r="F1300" s="94" t="str">
        <f ca="1">IFERROR(__xludf.DUMMYFUNCTION("""COMPUTED_VALUE"""),"Text Sticker Design #1")</f>
        <v>Text Sticker Design #1</v>
      </c>
      <c r="G1300" s="95" t="str">
        <f ca="1">IFERROR(__xludf.DUMMYFUNCTION("""COMPUTED_VALUE"""),"New")</f>
        <v>New</v>
      </c>
      <c r="H1300" s="96">
        <f ca="1">IFERROR(__xludf.DUMMYFUNCTION("""COMPUTED_VALUE"""),7)</f>
        <v>7</v>
      </c>
      <c r="I1300" s="97">
        <f ca="1">IFERROR(__xludf.DUMMYFUNCTION("""COMPUTED_VALUE"""),46118)</f>
        <v>46118</v>
      </c>
      <c r="J1300" s="98" t="str">
        <f ca="1">IFERROR(__xludf.DUMMYFUNCTION("""COMPUTED_VALUE"""),"CW29254_Apr26")</f>
        <v>CW29254_Apr26</v>
      </c>
      <c r="K1300" s="99" t="str">
        <f ca="1">IFERROR(__xludf.DUMMYFUNCTION("""COMPUTED_VALUE"""),"HoM Approved")</f>
        <v>HoM Approved</v>
      </c>
    </row>
    <row r="1301" spans="1:11" ht="13.2">
      <c r="A1301" s="89" t="str">
        <f ca="1">IFERROR(__xludf.DUMMYFUNCTION("""COMPUTED_VALUE"""),"All Time Slice Cake")</f>
        <v>All Time Slice Cake</v>
      </c>
      <c r="B1301" s="90" t="str">
        <f ca="1">IFERROR(__xludf.DUMMYFUNCTION("""COMPUTED_VALUE"""),"BBL")</f>
        <v>BBL</v>
      </c>
      <c r="C1301" s="91" t="str">
        <f ca="1">IFERROR(__xludf.DUMMYFUNCTION("""COMPUTED_VALUE"""),"Tamim Vai")</f>
        <v>Tamim Vai</v>
      </c>
      <c r="D1301" s="92" t="str">
        <f ca="1">IFERROR(__xludf.DUMMYFUNCTION("""COMPUTED_VALUE"""),"Md. Ariful Islam (S223037)")</f>
        <v>Md. Ariful Islam (S223037)</v>
      </c>
      <c r="E1301" s="93" t="str">
        <f ca="1">IFERROR(__xludf.DUMMYFUNCTION("""COMPUTED_VALUE"""),"CB15275_Jan26")</f>
        <v>CB15275_Jan26</v>
      </c>
      <c r="F1301" s="94" t="str">
        <f ca="1">IFERROR(__xludf.DUMMYFUNCTION("""COMPUTED_VALUE"""),"Packaging Text Design #1")</f>
        <v>Packaging Text Design #1</v>
      </c>
      <c r="G1301" s="95" t="str">
        <f ca="1">IFERROR(__xludf.DUMMYFUNCTION("""COMPUTED_VALUE"""),"New")</f>
        <v>New</v>
      </c>
      <c r="H1301" s="96">
        <f ca="1">IFERROR(__xludf.DUMMYFUNCTION("""COMPUTED_VALUE"""),2)</f>
        <v>2</v>
      </c>
      <c r="I1301" s="97">
        <f ca="1">IFERROR(__xludf.DUMMYFUNCTION("""COMPUTED_VALUE"""),46118)</f>
        <v>46118</v>
      </c>
      <c r="J1301" s="98" t="str">
        <f ca="1">IFERROR(__xludf.DUMMYFUNCTION("""COMPUTED_VALUE"""),"CW29263_Apr26")</f>
        <v>CW29263_Apr26</v>
      </c>
      <c r="K1301" s="99" t="str">
        <f ca="1">IFERROR(__xludf.DUMMYFUNCTION("""COMPUTED_VALUE"""),"Brief Submitted")</f>
        <v>Brief Submitted</v>
      </c>
    </row>
    <row r="1302" spans="1:11" ht="13.2">
      <c r="A1302" s="89" t="str">
        <f ca="1">IFERROR(__xludf.DUMMYFUNCTION("""COMPUTED_VALUE"""),"Common - All PAL")</f>
        <v>Common - All PAL</v>
      </c>
      <c r="B1302" s="90" t="str">
        <f ca="1">IFERROR(__xludf.DUMMYFUNCTION("""COMPUTED_VALUE"""),"PAL")</f>
        <v>PAL</v>
      </c>
      <c r="C1302" s="91" t="str">
        <f ca="1">IFERROR(__xludf.DUMMYFUNCTION("""COMPUTED_VALUE"""),"Farjana Apu")</f>
        <v>Farjana Apu</v>
      </c>
      <c r="D1302" s="92" t="str">
        <f ca="1">IFERROR(__xludf.DUMMYFUNCTION("""COMPUTED_VALUE"""),"Md. Ariful Islam (S223037)")</f>
        <v>Md. Ariful Islam (S223037)</v>
      </c>
      <c r="E1302" s="93" t="str">
        <f ca="1">IFERROR(__xludf.DUMMYFUNCTION("""COMPUTED_VALUE"""),"CB19021_Mar26")</f>
        <v>CB19021_Mar26</v>
      </c>
      <c r="F1302" s="94" t="str">
        <f ca="1">IFERROR(__xludf.DUMMYFUNCTION("""COMPUTED_VALUE"""),"Packaging Text Design #1")</f>
        <v>Packaging Text Design #1</v>
      </c>
      <c r="G1302" s="95" t="str">
        <f ca="1">IFERROR(__xludf.DUMMYFUNCTION("""COMPUTED_VALUE"""),"New")</f>
        <v>New</v>
      </c>
      <c r="H1302" s="96">
        <f ca="1">IFERROR(__xludf.DUMMYFUNCTION("""COMPUTED_VALUE"""),1)</f>
        <v>1</v>
      </c>
      <c r="I1302" s="97">
        <f ca="1">IFERROR(__xludf.DUMMYFUNCTION("""COMPUTED_VALUE"""),46120)</f>
        <v>46120</v>
      </c>
      <c r="J1302" s="98" t="str">
        <f ca="1">IFERROR(__xludf.DUMMYFUNCTION("""COMPUTED_VALUE"""),"CW29495_Apr26")</f>
        <v>CW29495_Apr26</v>
      </c>
      <c r="K1302" s="99" t="str">
        <f ca="1">IFERROR(__xludf.DUMMYFUNCTION("""COMPUTED_VALUE"""),"HoM Approved")</f>
        <v>HoM Approved</v>
      </c>
    </row>
    <row r="1303" spans="1:11" ht="13.2">
      <c r="A1303" s="89" t="str">
        <f ca="1">IFERROR(__xludf.DUMMYFUNCTION("""COMPUTED_VALUE"""),"Cosmic upvc window")</f>
        <v>Cosmic upvc window</v>
      </c>
      <c r="B1303" s="90" t="str">
        <f ca="1">IFERROR(__xludf.DUMMYFUNCTION("""COMPUTED_VALUE"""),"BBML")</f>
        <v>BBML</v>
      </c>
      <c r="C1303" s="91" t="str">
        <f ca="1">IFERROR(__xludf.DUMMYFUNCTION("""COMPUTED_VALUE"""),"Farjana Apu")</f>
        <v>Farjana Apu</v>
      </c>
      <c r="D1303" s="92" t="str">
        <f ca="1">IFERROR(__xludf.DUMMYFUNCTION("""COMPUTED_VALUE"""),"Md. Ariful Islam (S223037)")</f>
        <v>Md. Ariful Islam (S223037)</v>
      </c>
      <c r="E1303" s="93" t="str">
        <f ca="1">IFERROR(__xludf.DUMMYFUNCTION("""COMPUTED_VALUE"""),"CB19162_Mar26")</f>
        <v>CB19162_Mar26</v>
      </c>
      <c r="F1303" s="94" t="str">
        <f ca="1">IFERROR(__xludf.DUMMYFUNCTION("""COMPUTED_VALUE"""),"Packaging Text Design #1")</f>
        <v>Packaging Text Design #1</v>
      </c>
      <c r="G1303" s="95" t="str">
        <f ca="1">IFERROR(__xludf.DUMMYFUNCTION("""COMPUTED_VALUE"""),"New")</f>
        <v>New</v>
      </c>
      <c r="H1303" s="96">
        <f ca="1">IFERROR(__xludf.DUMMYFUNCTION("""COMPUTED_VALUE"""),1)</f>
        <v>1</v>
      </c>
      <c r="I1303" s="97">
        <f ca="1">IFERROR(__xludf.DUMMYFUNCTION("""COMPUTED_VALUE"""),46120)</f>
        <v>46120</v>
      </c>
      <c r="J1303" s="98" t="str">
        <f ca="1">IFERROR(__xludf.DUMMYFUNCTION("""COMPUTED_VALUE"""),"CW29500_Apr26")</f>
        <v>CW29500_Apr26</v>
      </c>
      <c r="K1303" s="99" t="str">
        <f ca="1">IFERROR(__xludf.DUMMYFUNCTION("""COMPUTED_VALUE"""),"HoM Approved")</f>
        <v>HoM Approved</v>
      </c>
    </row>
    <row r="1304" spans="1:11" ht="13.2">
      <c r="A1304" s="89" t="str">
        <f ca="1">IFERROR(__xludf.DUMMYFUNCTION("""COMPUTED_VALUE"""),"Cosmic Door")</f>
        <v>Cosmic Door</v>
      </c>
      <c r="B1304" s="90" t="str">
        <f ca="1">IFERROR(__xludf.DUMMYFUNCTION("""COMPUTED_VALUE"""),"BBML")</f>
        <v>BBML</v>
      </c>
      <c r="C1304" s="91" t="str">
        <f ca="1">IFERROR(__xludf.DUMMYFUNCTION("""COMPUTED_VALUE"""),"Farjana Apu")</f>
        <v>Farjana Apu</v>
      </c>
      <c r="D1304" s="92" t="str">
        <f ca="1">IFERROR(__xludf.DUMMYFUNCTION("""COMPUTED_VALUE"""),"Md. Ariful Islam (S223037)")</f>
        <v>Md. Ariful Islam (S223037)</v>
      </c>
      <c r="E1304" s="93" t="str">
        <f ca="1">IFERROR(__xludf.DUMMYFUNCTION("""COMPUTED_VALUE"""),"CB20381_Mar26")</f>
        <v>CB20381_Mar26</v>
      </c>
      <c r="F1304" s="94" t="str">
        <f ca="1">IFERROR(__xludf.DUMMYFUNCTION("""COMPUTED_VALUE"""),"Packaging Text Design #1")</f>
        <v>Packaging Text Design #1</v>
      </c>
      <c r="G1304" s="95" t="str">
        <f ca="1">IFERROR(__xludf.DUMMYFUNCTION("""COMPUTED_VALUE"""),"New")</f>
        <v>New</v>
      </c>
      <c r="H1304" s="96">
        <f ca="1">IFERROR(__xludf.DUMMYFUNCTION("""COMPUTED_VALUE"""),1)</f>
        <v>1</v>
      </c>
      <c r="I1304" s="97">
        <f ca="1">IFERROR(__xludf.DUMMYFUNCTION("""COMPUTED_VALUE"""),46120)</f>
        <v>46120</v>
      </c>
      <c r="J1304" s="98" t="str">
        <f ca="1">IFERROR(__xludf.DUMMYFUNCTION("""COMPUTED_VALUE"""),"CW29492_Apr26")</f>
        <v>CW29492_Apr26</v>
      </c>
      <c r="K1304" s="99" t="str">
        <f ca="1">IFERROR(__xludf.DUMMYFUNCTION("""COMPUTED_VALUE"""),"HoM Approved")</f>
        <v>HoM Approved</v>
      </c>
    </row>
    <row r="1305" spans="1:11" ht="13.2">
      <c r="A1305" s="89" t="str">
        <f ca="1">IFERROR(__xludf.DUMMYFUNCTION("""COMPUTED_VALUE"""),"PRAN Recipe Mix")</f>
        <v>PRAN Recipe Mix</v>
      </c>
      <c r="B1305" s="90" t="str">
        <f ca="1">IFERROR(__xludf.DUMMYFUNCTION("""COMPUTED_VALUE"""),"NAL")</f>
        <v>NAL</v>
      </c>
      <c r="C1305" s="91" t="str">
        <f ca="1">IFERROR(__xludf.DUMMYFUNCTION("""COMPUTED_VALUE"""),"Minhaz Vai")</f>
        <v>Minhaz Vai</v>
      </c>
      <c r="D1305" s="92" t="str">
        <f ca="1">IFERROR(__xludf.DUMMYFUNCTION("""COMPUTED_VALUE"""),"Md. Ariful Islam (S223037)")</f>
        <v>Md. Ariful Islam (S223037)</v>
      </c>
      <c r="E1305" s="93" t="str">
        <f ca="1">IFERROR(__xludf.DUMMYFUNCTION("""COMPUTED_VALUE"""),"CB17951_Feb26")</f>
        <v>CB17951_Feb26</v>
      </c>
      <c r="F1305" s="94" t="str">
        <f ca="1">IFERROR(__xludf.DUMMYFUNCTION("""COMPUTED_VALUE"""),"Packaging Text Design #2")</f>
        <v>Packaging Text Design #2</v>
      </c>
      <c r="G1305" s="95" t="str">
        <f ca="1">IFERROR(__xludf.DUMMYFUNCTION("""COMPUTED_VALUE"""),"New")</f>
        <v>New</v>
      </c>
      <c r="H1305" s="96">
        <f ca="1">IFERROR(__xludf.DUMMYFUNCTION("""COMPUTED_VALUE"""),1)</f>
        <v>1</v>
      </c>
      <c r="I1305" s="97">
        <f ca="1">IFERROR(__xludf.DUMMYFUNCTION("""COMPUTED_VALUE"""),46120)</f>
        <v>46120</v>
      </c>
      <c r="J1305" s="98" t="str">
        <f ca="1">IFERROR(__xludf.DUMMYFUNCTION("""COMPUTED_VALUE"""),"CW29529_Apr26")</f>
        <v>CW29529_Apr26</v>
      </c>
      <c r="K1305" s="99" t="str">
        <f ca="1">IFERROR(__xludf.DUMMYFUNCTION("""COMPUTED_VALUE"""),"Brief Submitted")</f>
        <v>Brief Submitted</v>
      </c>
    </row>
    <row r="1306" spans="1:11" ht="13.2">
      <c r="A1306" s="89" t="str">
        <f ca="1">IFERROR(__xludf.DUMMYFUNCTION("""COMPUTED_VALUE"""),"Kofi House")</f>
        <v>Kofi House</v>
      </c>
      <c r="B1306" s="90" t="str">
        <f ca="1">IFERROR(__xludf.DUMMYFUNCTION("""COMPUTED_VALUE"""),"AMCL")</f>
        <v>AMCL</v>
      </c>
      <c r="C1306" s="91" t="str">
        <f ca="1">IFERROR(__xludf.DUMMYFUNCTION("""COMPUTED_VALUE"""),"Miraj Vai")</f>
        <v>Miraj Vai</v>
      </c>
      <c r="D1306" s="92" t="str">
        <f ca="1">IFERROR(__xludf.DUMMYFUNCTION("""COMPUTED_VALUE"""),"Md. Ariful Islam (S223037)")</f>
        <v>Md. Ariful Islam (S223037)</v>
      </c>
      <c r="E1306" s="93" t="str">
        <f ca="1">IFERROR(__xludf.DUMMYFUNCTION("""COMPUTED_VALUE"""),"CB16256_Jan26")</f>
        <v>CB16256_Jan26</v>
      </c>
      <c r="F1306" s="94" t="str">
        <f ca="1">IFERROR(__xludf.DUMMYFUNCTION("""COMPUTED_VALUE"""),"Packaging Text Design #2")</f>
        <v>Packaging Text Design #2</v>
      </c>
      <c r="G1306" s="95" t="str">
        <f ca="1">IFERROR(__xludf.DUMMYFUNCTION("""COMPUTED_VALUE"""),"New")</f>
        <v>New</v>
      </c>
      <c r="H1306" s="96">
        <f ca="1">IFERROR(__xludf.DUMMYFUNCTION("""COMPUTED_VALUE"""),1)</f>
        <v>1</v>
      </c>
      <c r="I1306" s="97">
        <f ca="1">IFERROR(__xludf.DUMMYFUNCTION("""COMPUTED_VALUE"""),46120)</f>
        <v>46120</v>
      </c>
      <c r="J1306" s="98" t="str">
        <f ca="1">IFERROR(__xludf.DUMMYFUNCTION("""COMPUTED_VALUE"""),"CW29494_Apr26")</f>
        <v>CW29494_Apr26</v>
      </c>
      <c r="K1306" s="99" t="str">
        <f ca="1">IFERROR(__xludf.DUMMYFUNCTION("""COMPUTED_VALUE"""),"Brief Submitted")</f>
        <v>Brief Submitted</v>
      </c>
    </row>
    <row r="1307" spans="1:11" ht="13.2">
      <c r="A1307" s="89" t="str">
        <f ca="1">IFERROR(__xludf.DUMMYFUNCTION("""COMPUTED_VALUE"""),"Mr. Noodles")</f>
        <v>Mr. Noodles</v>
      </c>
      <c r="B1307" s="90" t="str">
        <f ca="1">IFERROR(__xludf.DUMMYFUNCTION("""COMPUTED_VALUE"""),"PAL")</f>
        <v>PAL</v>
      </c>
      <c r="C1307" s="91" t="str">
        <f ca="1">IFERROR(__xludf.DUMMYFUNCTION("""COMPUTED_VALUE"""),"Mona Apu")</f>
        <v>Mona Apu</v>
      </c>
      <c r="D1307" s="92" t="str">
        <f ca="1">IFERROR(__xludf.DUMMYFUNCTION("""COMPUTED_VALUE"""),"Md. Ariful Islam (S223037)")</f>
        <v>Md. Ariful Islam (S223037)</v>
      </c>
      <c r="E1307" s="93" t="str">
        <f ca="1">IFERROR(__xludf.DUMMYFUNCTION("""COMPUTED_VALUE"""),"CB19996_Mar26")</f>
        <v>CB19996_Mar26</v>
      </c>
      <c r="F1307" s="94" t="str">
        <f ca="1">IFERROR(__xludf.DUMMYFUNCTION("""COMPUTED_VALUE"""),"Carton Design")</f>
        <v>Carton Design</v>
      </c>
      <c r="G1307" s="95" t="str">
        <f ca="1">IFERROR(__xludf.DUMMYFUNCTION("""COMPUTED_VALUE"""),"New")</f>
        <v>New</v>
      </c>
      <c r="H1307" s="96">
        <f ca="1">IFERROR(__xludf.DUMMYFUNCTION("""COMPUTED_VALUE"""),1)</f>
        <v>1</v>
      </c>
      <c r="I1307" s="97">
        <f ca="1">IFERROR(__xludf.DUMMYFUNCTION("""COMPUTED_VALUE"""),46120)</f>
        <v>46120</v>
      </c>
      <c r="J1307" s="98" t="str">
        <f ca="1">IFERROR(__xludf.DUMMYFUNCTION("""COMPUTED_VALUE"""),"CW29509_Apr26")</f>
        <v>CW29509_Apr26</v>
      </c>
      <c r="K1307" s="99" t="str">
        <f ca="1">IFERROR(__xludf.DUMMYFUNCTION("""COMPUTED_VALUE"""),"HoM Approved")</f>
        <v>HoM Approved</v>
      </c>
    </row>
    <row r="1308" spans="1:11" ht="13.2">
      <c r="A1308" s="89" t="str">
        <f ca="1">IFERROR(__xludf.DUMMYFUNCTION("""COMPUTED_VALUE"""),"PRAN Basic Spice")</f>
        <v>PRAN Basic Spice</v>
      </c>
      <c r="B1308" s="90" t="str">
        <f ca="1">IFERROR(__xludf.DUMMYFUNCTION("""COMPUTED_VALUE"""),"NAL")</f>
        <v>NAL</v>
      </c>
      <c r="C1308" s="91" t="str">
        <f ca="1">IFERROR(__xludf.DUMMYFUNCTION("""COMPUTED_VALUE"""),"Saema Apu")</f>
        <v>Saema Apu</v>
      </c>
      <c r="D1308" s="92" t="str">
        <f ca="1">IFERROR(__xludf.DUMMYFUNCTION("""COMPUTED_VALUE"""),"Md. Ariful Islam (S223037)")</f>
        <v>Md. Ariful Islam (S223037)</v>
      </c>
      <c r="E1308" s="93" t="str">
        <f ca="1">IFERROR(__xludf.DUMMYFUNCTION("""COMPUTED_VALUE"""),"CB19512_Mar26")</f>
        <v>CB19512_Mar26</v>
      </c>
      <c r="F1308" s="94" t="str">
        <f ca="1">IFERROR(__xludf.DUMMYFUNCTION("""COMPUTED_VALUE"""),"Packaging Text Design #2")</f>
        <v>Packaging Text Design #2</v>
      </c>
      <c r="G1308" s="95" t="str">
        <f ca="1">IFERROR(__xludf.DUMMYFUNCTION("""COMPUTED_VALUE"""),"New")</f>
        <v>New</v>
      </c>
      <c r="H1308" s="96">
        <f ca="1">IFERROR(__xludf.DUMMYFUNCTION("""COMPUTED_VALUE"""),1)</f>
        <v>1</v>
      </c>
      <c r="I1308" s="97">
        <f ca="1">IFERROR(__xludf.DUMMYFUNCTION("""COMPUTED_VALUE"""),46120)</f>
        <v>46120</v>
      </c>
      <c r="J1308" s="98" t="str">
        <f ca="1">IFERROR(__xludf.DUMMYFUNCTION("""COMPUTED_VALUE"""),"CW29508_Apr26")</f>
        <v>CW29508_Apr26</v>
      </c>
      <c r="K1308" s="99" t="str">
        <f ca="1">IFERROR(__xludf.DUMMYFUNCTION("""COMPUTED_VALUE"""),"HoM Approved")</f>
        <v>HoM Approved</v>
      </c>
    </row>
    <row r="1309" spans="1:11" ht="13.2">
      <c r="A1309" s="89" t="str">
        <f ca="1">IFERROR(__xludf.DUMMYFUNCTION("""COMPUTED_VALUE"""),"Common - All PAL")</f>
        <v>Common - All PAL</v>
      </c>
      <c r="B1309" s="90" t="str">
        <f ca="1">IFERROR(__xludf.DUMMYFUNCTION("""COMPUTED_VALUE"""),"PAL")</f>
        <v>PAL</v>
      </c>
      <c r="C1309" s="91" t="str">
        <f ca="1">IFERROR(__xludf.DUMMYFUNCTION("""COMPUTED_VALUE"""),"Saema Apu")</f>
        <v>Saema Apu</v>
      </c>
      <c r="D1309" s="92" t="str">
        <f ca="1">IFERROR(__xludf.DUMMYFUNCTION("""COMPUTED_VALUE"""),"Md. Ariful Islam (S223037)")</f>
        <v>Md. Ariful Islam (S223037)</v>
      </c>
      <c r="E1309" s="93" t="str">
        <f ca="1">IFERROR(__xludf.DUMMYFUNCTION("""COMPUTED_VALUE"""),"CB19143_Mar26")</f>
        <v>CB19143_Mar26</v>
      </c>
      <c r="F1309" s="94" t="str">
        <f ca="1">IFERROR(__xludf.DUMMYFUNCTION("""COMPUTED_VALUE"""),"Packaging Text Design #2")</f>
        <v>Packaging Text Design #2</v>
      </c>
      <c r="G1309" s="95" t="str">
        <f ca="1">IFERROR(__xludf.DUMMYFUNCTION("""COMPUTED_VALUE"""),"New")</f>
        <v>New</v>
      </c>
      <c r="H1309" s="96">
        <f ca="1">IFERROR(__xludf.DUMMYFUNCTION("""COMPUTED_VALUE"""),1)</f>
        <v>1</v>
      </c>
      <c r="I1309" s="97">
        <f ca="1">IFERROR(__xludf.DUMMYFUNCTION("""COMPUTED_VALUE"""),46120)</f>
        <v>46120</v>
      </c>
      <c r="J1309" s="98" t="str">
        <f ca="1">IFERROR(__xludf.DUMMYFUNCTION("""COMPUTED_VALUE"""),"CW29504_Apr26")</f>
        <v>CW29504_Apr26</v>
      </c>
      <c r="K1309" s="99" t="str">
        <f ca="1">IFERROR(__xludf.DUMMYFUNCTION("""COMPUTED_VALUE"""),"HoM Approved")</f>
        <v>HoM Approved</v>
      </c>
    </row>
    <row r="1310" spans="1:11" ht="13.2">
      <c r="A1310" s="89" t="str">
        <f ca="1">IFERROR(__xludf.DUMMYFUNCTION("""COMPUTED_VALUE"""),"PRAN Basic Spice")</f>
        <v>PRAN Basic Spice</v>
      </c>
      <c r="B1310" s="90" t="str">
        <f ca="1">IFERROR(__xludf.DUMMYFUNCTION("""COMPUTED_VALUE"""),"NAL")</f>
        <v>NAL</v>
      </c>
      <c r="C1310" s="91" t="str">
        <f ca="1">IFERROR(__xludf.DUMMYFUNCTION("""COMPUTED_VALUE"""),"Saema Apu")</f>
        <v>Saema Apu</v>
      </c>
      <c r="D1310" s="92" t="str">
        <f ca="1">IFERROR(__xludf.DUMMYFUNCTION("""COMPUTED_VALUE"""),"Md. Ariful Islam (S223037)")</f>
        <v>Md. Ariful Islam (S223037)</v>
      </c>
      <c r="E1310" s="93" t="str">
        <f ca="1">IFERROR(__xludf.DUMMYFUNCTION("""COMPUTED_VALUE"""),"CB19511_Mar26")</f>
        <v>CB19511_Mar26</v>
      </c>
      <c r="F1310" s="94" t="str">
        <f ca="1">IFERROR(__xludf.DUMMYFUNCTION("""COMPUTED_VALUE"""),"Packaging Text Design #2")</f>
        <v>Packaging Text Design #2</v>
      </c>
      <c r="G1310" s="95" t="str">
        <f ca="1">IFERROR(__xludf.DUMMYFUNCTION("""COMPUTED_VALUE"""),"New")</f>
        <v>New</v>
      </c>
      <c r="H1310" s="96">
        <f ca="1">IFERROR(__xludf.DUMMYFUNCTION("""COMPUTED_VALUE"""),1)</f>
        <v>1</v>
      </c>
      <c r="I1310" s="97">
        <f ca="1">IFERROR(__xludf.DUMMYFUNCTION("""COMPUTED_VALUE"""),46120)</f>
        <v>46120</v>
      </c>
      <c r="J1310" s="98" t="str">
        <f ca="1">IFERROR(__xludf.DUMMYFUNCTION("""COMPUTED_VALUE"""),"CW29506_Apr26")</f>
        <v>CW29506_Apr26</v>
      </c>
      <c r="K1310" s="99" t="str">
        <f ca="1">IFERROR(__xludf.DUMMYFUNCTION("""COMPUTED_VALUE"""),"HoM Approved")</f>
        <v>HoM Approved</v>
      </c>
    </row>
    <row r="1311" spans="1:11" ht="13.2">
      <c r="A1311" s="89" t="str">
        <f ca="1">IFERROR(__xludf.DUMMYFUNCTION("""COMPUTED_VALUE"""),"PRAN Noodles")</f>
        <v>PRAN Noodles</v>
      </c>
      <c r="B1311" s="90" t="str">
        <f ca="1">IFERROR(__xludf.DUMMYFUNCTION("""COMPUTED_VALUE"""),"USA &amp; Europe")</f>
        <v>USA &amp; Europe</v>
      </c>
      <c r="C1311" s="91" t="str">
        <f ca="1">IFERROR(__xludf.DUMMYFUNCTION("""COMPUTED_VALUE"""),"Saifullah Vai")</f>
        <v>Saifullah Vai</v>
      </c>
      <c r="D1311" s="92" t="str">
        <f ca="1">IFERROR(__xludf.DUMMYFUNCTION("""COMPUTED_VALUE"""),"Md. Ariful Islam (S223037)")</f>
        <v>Md. Ariful Islam (S223037)</v>
      </c>
      <c r="E1311" s="93" t="str">
        <f ca="1">IFERROR(__xludf.DUMMYFUNCTION("""COMPUTED_VALUE"""),"CB17944_Feb26")</f>
        <v>CB17944_Feb26</v>
      </c>
      <c r="F1311" s="94" t="str">
        <f ca="1">IFERROR(__xludf.DUMMYFUNCTION("""COMPUTED_VALUE"""),"Packaging Text Design #2")</f>
        <v>Packaging Text Design #2</v>
      </c>
      <c r="G1311" s="95" t="str">
        <f ca="1">IFERROR(__xludf.DUMMYFUNCTION("""COMPUTED_VALUE"""),"New")</f>
        <v>New</v>
      </c>
      <c r="H1311" s="96">
        <f ca="1">IFERROR(__xludf.DUMMYFUNCTION("""COMPUTED_VALUE"""),2)</f>
        <v>2</v>
      </c>
      <c r="I1311" s="97">
        <f ca="1">IFERROR(__xludf.DUMMYFUNCTION("""COMPUTED_VALUE"""),46120)</f>
        <v>46120</v>
      </c>
      <c r="J1311" s="98" t="str">
        <f ca="1">IFERROR(__xludf.DUMMYFUNCTION("""COMPUTED_VALUE"""),"CW29493_Apr26")</f>
        <v>CW29493_Apr26</v>
      </c>
      <c r="K1311" s="99" t="str">
        <f ca="1">IFERROR(__xludf.DUMMYFUNCTION("""COMPUTED_VALUE"""),"HoM Approved")</f>
        <v>HoM Approved</v>
      </c>
    </row>
    <row r="1312" spans="1:11" ht="13.2">
      <c r="A1312" s="89" t="str">
        <f ca="1">IFERROR(__xludf.DUMMYFUNCTION("""COMPUTED_VALUE"""),"PRAN Basic Spice")</f>
        <v>PRAN Basic Spice</v>
      </c>
      <c r="B1312" s="90" t="str">
        <f ca="1">IFERROR(__xludf.DUMMYFUNCTION("""COMPUTED_VALUE"""),"NAL")</f>
        <v>NAL</v>
      </c>
      <c r="C1312" s="91" t="str">
        <f ca="1">IFERROR(__xludf.DUMMYFUNCTION("""COMPUTED_VALUE"""),"Shamsul Sir")</f>
        <v>Shamsul Sir</v>
      </c>
      <c r="D1312" s="92" t="str">
        <f ca="1">IFERROR(__xludf.DUMMYFUNCTION("""COMPUTED_VALUE"""),"Md. Ariful Islam (S223037)")</f>
        <v>Md. Ariful Islam (S223037)</v>
      </c>
      <c r="E1312" s="93" t="str">
        <f ca="1">IFERROR(__xludf.DUMMYFUNCTION("""COMPUTED_VALUE"""),"CB20704_Apr26")</f>
        <v>CB20704_Apr26</v>
      </c>
      <c r="F1312" s="94" t="str">
        <f ca="1">IFERROR(__xludf.DUMMYFUNCTION("""COMPUTED_VALUE"""),"Packaging Text Design #2")</f>
        <v>Packaging Text Design #2</v>
      </c>
      <c r="G1312" s="95" t="str">
        <f ca="1">IFERROR(__xludf.DUMMYFUNCTION("""COMPUTED_VALUE"""),"New")</f>
        <v>New</v>
      </c>
      <c r="H1312" s="96">
        <f ca="1">IFERROR(__xludf.DUMMYFUNCTION("""COMPUTED_VALUE"""),15)</f>
        <v>15</v>
      </c>
      <c r="I1312" s="97">
        <f ca="1">IFERROR(__xludf.DUMMYFUNCTION("""COMPUTED_VALUE"""),46120)</f>
        <v>46120</v>
      </c>
      <c r="J1312" s="98" t="str">
        <f ca="1">IFERROR(__xludf.DUMMYFUNCTION("""COMPUTED_VALUE"""),"CW29485_Apr26")</f>
        <v>CW29485_Apr26</v>
      </c>
      <c r="K1312" s="99" t="str">
        <f ca="1">IFERROR(__xludf.DUMMYFUNCTION("""COMPUTED_VALUE"""),"HoM Approved")</f>
        <v>HoM Approved</v>
      </c>
    </row>
    <row r="1313" spans="1:11" ht="13.2">
      <c r="A1313" s="89" t="str">
        <f ca="1">IFERROR(__xludf.DUMMYFUNCTION("""COMPUTED_VALUE"""),"All Time Slice Cake")</f>
        <v>All Time Slice Cake</v>
      </c>
      <c r="B1313" s="90" t="str">
        <f ca="1">IFERROR(__xludf.DUMMYFUNCTION("""COMPUTED_VALUE"""),"BBL")</f>
        <v>BBL</v>
      </c>
      <c r="C1313" s="91" t="str">
        <f ca="1">IFERROR(__xludf.DUMMYFUNCTION("""COMPUTED_VALUE"""),"Tamim Vai")</f>
        <v>Tamim Vai</v>
      </c>
      <c r="D1313" s="92" t="str">
        <f ca="1">IFERROR(__xludf.DUMMYFUNCTION("""COMPUTED_VALUE"""),"Md. Ariful Islam (S223037)")</f>
        <v>Md. Ariful Islam (S223037)</v>
      </c>
      <c r="E1313" s="93" t="str">
        <f ca="1">IFERROR(__xludf.DUMMYFUNCTION("""COMPUTED_VALUE"""),"CB15279_Jan26")</f>
        <v>CB15279_Jan26</v>
      </c>
      <c r="F1313" s="94" t="str">
        <f ca="1">IFERROR(__xludf.DUMMYFUNCTION("""COMPUTED_VALUE"""),"Packaging Text Design #1")</f>
        <v>Packaging Text Design #1</v>
      </c>
      <c r="G1313" s="95" t="str">
        <f ca="1">IFERROR(__xludf.DUMMYFUNCTION("""COMPUTED_VALUE"""),"New")</f>
        <v>New</v>
      </c>
      <c r="H1313" s="96">
        <f ca="1">IFERROR(__xludf.DUMMYFUNCTION("""COMPUTED_VALUE"""),2)</f>
        <v>2</v>
      </c>
      <c r="I1313" s="97">
        <f ca="1">IFERROR(__xludf.DUMMYFUNCTION("""COMPUTED_VALUE"""),46120)</f>
        <v>46120</v>
      </c>
      <c r="J1313" s="98" t="str">
        <f ca="1">IFERROR(__xludf.DUMMYFUNCTION("""COMPUTED_VALUE"""),"CW29541_Apr26")</f>
        <v>CW29541_Apr26</v>
      </c>
      <c r="K1313" s="99" t="str">
        <f ca="1">IFERROR(__xludf.DUMMYFUNCTION("""COMPUTED_VALUE"""),"Brief Submitted")</f>
        <v>Brief Submitted</v>
      </c>
    </row>
    <row r="1314" spans="1:11" ht="13.2">
      <c r="A1314" s="89" t="str">
        <f ca="1">IFERROR(__xludf.DUMMYFUNCTION("""COMPUTED_VALUE"""),"PRAN Noodles")</f>
        <v>PRAN Noodles</v>
      </c>
      <c r="B1314" s="90" t="str">
        <f ca="1">IFERROR(__xludf.DUMMYFUNCTION("""COMPUTED_VALUE"""),"PAL")</f>
        <v>PAL</v>
      </c>
      <c r="C1314" s="91" t="str">
        <f ca="1">IFERROR(__xludf.DUMMYFUNCTION("""COMPUTED_VALUE"""),"Zahirul Vai")</f>
        <v>Zahirul Vai</v>
      </c>
      <c r="D1314" s="92" t="str">
        <f ca="1">IFERROR(__xludf.DUMMYFUNCTION("""COMPUTED_VALUE"""),"Md. Ariful Islam (S223037)")</f>
        <v>Md. Ariful Islam (S223037)</v>
      </c>
      <c r="E1314" s="93" t="str">
        <f ca="1">IFERROR(__xludf.DUMMYFUNCTION("""COMPUTED_VALUE"""),"CB13062_Dec25")</f>
        <v>CB13062_Dec25</v>
      </c>
      <c r="F1314" s="94" t="str">
        <f ca="1">IFERROR(__xludf.DUMMYFUNCTION("""COMPUTED_VALUE"""),"Packaging Text Design #2")</f>
        <v>Packaging Text Design #2</v>
      </c>
      <c r="G1314" s="95" t="str">
        <f ca="1">IFERROR(__xludf.DUMMYFUNCTION("""COMPUTED_VALUE"""),"New")</f>
        <v>New</v>
      </c>
      <c r="H1314" s="96">
        <f ca="1">IFERROR(__xludf.DUMMYFUNCTION("""COMPUTED_VALUE"""),2)</f>
        <v>2</v>
      </c>
      <c r="I1314" s="97">
        <f ca="1">IFERROR(__xludf.DUMMYFUNCTION("""COMPUTED_VALUE"""),46120)</f>
        <v>46120</v>
      </c>
      <c r="J1314" s="98" t="str">
        <f ca="1">IFERROR(__xludf.DUMMYFUNCTION("""COMPUTED_VALUE"""),"CW29523_Apr26")</f>
        <v>CW29523_Apr26</v>
      </c>
      <c r="K1314" s="99" t="str">
        <f ca="1">IFERROR(__xludf.DUMMYFUNCTION("""COMPUTED_VALUE"""),"HoM Approved")</f>
        <v>HoM Approved</v>
      </c>
    </row>
    <row r="1315" spans="1:11" ht="13.2">
      <c r="A1315" s="89" t="str">
        <f ca="1">IFERROR(__xludf.DUMMYFUNCTION("""COMPUTED_VALUE"""),"PRAN Basic Spice")</f>
        <v>PRAN Basic Spice</v>
      </c>
      <c r="B1315" s="90" t="str">
        <f ca="1">IFERROR(__xludf.DUMMYFUNCTION("""COMPUTED_VALUE"""),"NAL")</f>
        <v>NAL</v>
      </c>
      <c r="C1315" s="91" t="str">
        <f ca="1">IFERROR(__xludf.DUMMYFUNCTION("""COMPUTED_VALUE"""),"Zahirul Vai")</f>
        <v>Zahirul Vai</v>
      </c>
      <c r="D1315" s="92" t="str">
        <f ca="1">IFERROR(__xludf.DUMMYFUNCTION("""COMPUTED_VALUE"""),"Md. Ariful Islam (S223037)")</f>
        <v>Md. Ariful Islam (S223037)</v>
      </c>
      <c r="E1315" s="93" t="str">
        <f ca="1">IFERROR(__xludf.DUMMYFUNCTION("""COMPUTED_VALUE"""),"CB20040_Mar26")</f>
        <v>CB20040_Mar26</v>
      </c>
      <c r="F1315" s="94" t="str">
        <f ca="1">IFERROR(__xludf.DUMMYFUNCTION("""COMPUTED_VALUE"""),"Packaging Text Design #2")</f>
        <v>Packaging Text Design #2</v>
      </c>
      <c r="G1315" s="95" t="str">
        <f ca="1">IFERROR(__xludf.DUMMYFUNCTION("""COMPUTED_VALUE"""),"New")</f>
        <v>New</v>
      </c>
      <c r="H1315" s="96">
        <f ca="1">IFERROR(__xludf.DUMMYFUNCTION("""COMPUTED_VALUE"""),6)</f>
        <v>6</v>
      </c>
      <c r="I1315" s="97">
        <f ca="1">IFERROR(__xludf.DUMMYFUNCTION("""COMPUTED_VALUE"""),46120)</f>
        <v>46120</v>
      </c>
      <c r="J1315" s="98" t="str">
        <f ca="1">IFERROR(__xludf.DUMMYFUNCTION("""COMPUTED_VALUE"""),"CW29489_Apr26")</f>
        <v>CW29489_Apr26</v>
      </c>
      <c r="K1315" s="99" t="str">
        <f ca="1">IFERROR(__xludf.DUMMYFUNCTION("""COMPUTED_VALUE"""),"HoM Approved")</f>
        <v>HoM Approved</v>
      </c>
    </row>
    <row r="1316" spans="1:11" ht="13.2">
      <c r="A1316" s="89" t="str">
        <f ca="1">IFERROR(__xludf.DUMMYFUNCTION("""COMPUTED_VALUE"""),"PRAN Pickle")</f>
        <v>PRAN Pickle</v>
      </c>
      <c r="B1316" s="90" t="str">
        <f ca="1">IFERROR(__xludf.DUMMYFUNCTION("""COMPUTED_VALUE"""),"PAL")</f>
        <v>PAL</v>
      </c>
      <c r="C1316" s="91" t="str">
        <f ca="1">IFERROR(__xludf.DUMMYFUNCTION("""COMPUTED_VALUE"""),"Zahirul Vai")</f>
        <v>Zahirul Vai</v>
      </c>
      <c r="D1316" s="92" t="str">
        <f ca="1">IFERROR(__xludf.DUMMYFUNCTION("""COMPUTED_VALUE"""),"Md. Ariful Islam (S223037)")</f>
        <v>Md. Ariful Islam (S223037)</v>
      </c>
      <c r="E1316" s="93" t="str">
        <f ca="1">IFERROR(__xludf.DUMMYFUNCTION("""COMPUTED_VALUE"""),"CB16852_Feb26")</f>
        <v>CB16852_Feb26</v>
      </c>
      <c r="F1316" s="94" t="str">
        <f ca="1">IFERROR(__xludf.DUMMYFUNCTION("""COMPUTED_VALUE"""),"Packaging Text Design #2")</f>
        <v>Packaging Text Design #2</v>
      </c>
      <c r="G1316" s="95" t="str">
        <f ca="1">IFERROR(__xludf.DUMMYFUNCTION("""COMPUTED_VALUE"""),"New")</f>
        <v>New</v>
      </c>
      <c r="H1316" s="96">
        <f ca="1">IFERROR(__xludf.DUMMYFUNCTION("""COMPUTED_VALUE"""),5)</f>
        <v>5</v>
      </c>
      <c r="I1316" s="97">
        <f ca="1">IFERROR(__xludf.DUMMYFUNCTION("""COMPUTED_VALUE"""),46120)</f>
        <v>46120</v>
      </c>
      <c r="J1316" s="98" t="str">
        <f ca="1">IFERROR(__xludf.DUMMYFUNCTION("""COMPUTED_VALUE"""),"CW29497_Apr26")</f>
        <v>CW29497_Apr26</v>
      </c>
      <c r="K1316" s="99" t="str">
        <f ca="1">IFERROR(__xludf.DUMMYFUNCTION("""COMPUTED_VALUE"""),"HoM Approved")</f>
        <v>HoM Approved</v>
      </c>
    </row>
    <row r="1317" spans="1:11" ht="13.2">
      <c r="A1317" s="89" t="str">
        <f ca="1">IFERROR(__xludf.DUMMYFUNCTION("""COMPUTED_VALUE"""),"All Time Slice Cake")</f>
        <v>All Time Slice Cake</v>
      </c>
      <c r="B1317" s="90" t="str">
        <f ca="1">IFERROR(__xludf.DUMMYFUNCTION("""COMPUTED_VALUE"""),"BBL")</f>
        <v>BBL</v>
      </c>
      <c r="C1317" s="91" t="str">
        <f ca="1">IFERROR(__xludf.DUMMYFUNCTION("""COMPUTED_VALUE"""),"Shaifuddin Vai")</f>
        <v>Shaifuddin Vai</v>
      </c>
      <c r="D1317" s="92" t="str">
        <f ca="1">IFERROR(__xludf.DUMMYFUNCTION("""COMPUTED_VALUE"""),"Md. Ariful Islam (S223037)")</f>
        <v>Md. Ariful Islam (S223037)</v>
      </c>
      <c r="E1317" s="93" t="str">
        <f ca="1">IFERROR(__xludf.DUMMYFUNCTION("""COMPUTED_VALUE"""),"CB21191_Apr26")</f>
        <v>CB21191_Apr26</v>
      </c>
      <c r="F1317" s="94" t="str">
        <f ca="1">IFERROR(__xludf.DUMMYFUNCTION("""COMPUTED_VALUE"""),"Packaging Text Design #2")</f>
        <v>Packaging Text Design #2</v>
      </c>
      <c r="G1317" s="95" t="str">
        <f ca="1">IFERROR(__xludf.DUMMYFUNCTION("""COMPUTED_VALUE"""),"New")</f>
        <v>New</v>
      </c>
      <c r="H1317" s="96">
        <f ca="1">IFERROR(__xludf.DUMMYFUNCTION("""COMPUTED_VALUE"""),1)</f>
        <v>1</v>
      </c>
      <c r="I1317" s="97">
        <f ca="1">IFERROR(__xludf.DUMMYFUNCTION("""COMPUTED_VALUE"""),46121)</f>
        <v>46121</v>
      </c>
      <c r="J1317" s="98" t="str">
        <f ca="1">IFERROR(__xludf.DUMMYFUNCTION("""COMPUTED_VALUE"""),"CW29624_Apr26")</f>
        <v>CW29624_Apr26</v>
      </c>
      <c r="K1317" s="99" t="str">
        <f ca="1">IFERROR(__xludf.DUMMYFUNCTION("""COMPUTED_VALUE"""),"Brief Submitted")</f>
        <v>Brief Submitted</v>
      </c>
    </row>
    <row r="1318" spans="1:11" ht="13.2">
      <c r="A1318" s="89" t="str">
        <f ca="1">IFERROR(__xludf.DUMMYFUNCTION("""COMPUTED_VALUE"""),"PRAN Potata Biscuit")</f>
        <v>PRAN Potata Biscuit</v>
      </c>
      <c r="B1318" s="90" t="str">
        <f ca="1">IFERROR(__xludf.DUMMYFUNCTION("""COMPUTED_VALUE"""),"KSA")</f>
        <v>KSA</v>
      </c>
      <c r="C1318" s="91" t="str">
        <f ca="1">IFERROR(__xludf.DUMMYFUNCTION("""COMPUTED_VALUE"""),"Zahirul Vai")</f>
        <v>Zahirul Vai</v>
      </c>
      <c r="D1318" s="92" t="str">
        <f ca="1">IFERROR(__xludf.DUMMYFUNCTION("""COMPUTED_VALUE"""),"Md. Ariful Islam (S223037)")</f>
        <v>Md. Ariful Islam (S223037)</v>
      </c>
      <c r="E1318" s="93" t="str">
        <f ca="1">IFERROR(__xludf.DUMMYFUNCTION("""COMPUTED_VALUE"""),"CB20545_Mar26")</f>
        <v>CB20545_Mar26</v>
      </c>
      <c r="F1318" s="94" t="str">
        <f ca="1">IFERROR(__xludf.DUMMYFUNCTION("""COMPUTED_VALUE"""),"Black Cylinder Output")</f>
        <v>Black Cylinder Output</v>
      </c>
      <c r="G1318" s="95" t="str">
        <f ca="1">IFERROR(__xludf.DUMMYFUNCTION("""COMPUTED_VALUE"""),"Revision")</f>
        <v>Revision</v>
      </c>
      <c r="H1318" s="96">
        <f ca="1">IFERROR(__xludf.DUMMYFUNCTION("""COMPUTED_VALUE"""),1)</f>
        <v>1</v>
      </c>
      <c r="I1318" s="97">
        <f ca="1">IFERROR(__xludf.DUMMYFUNCTION("""COMPUTED_VALUE"""),46121)</f>
        <v>46121</v>
      </c>
      <c r="J1318" s="98" t="str">
        <f ca="1">IFERROR(__xludf.DUMMYFUNCTION("""COMPUTED_VALUE"""),"CW29576_Apr26")</f>
        <v>CW29576_Apr26</v>
      </c>
      <c r="K1318" s="99" t="str">
        <f ca="1">IFERROR(__xludf.DUMMYFUNCTION("""COMPUTED_VALUE"""),"HoM Approved")</f>
        <v>HoM Approved</v>
      </c>
    </row>
    <row r="1319" spans="1:11" ht="13.2">
      <c r="A1319" s="89" t="str">
        <f ca="1">IFERROR(__xludf.DUMMYFUNCTION("""COMPUTED_VALUE"""),"Jelly Drink")</f>
        <v>Jelly Drink</v>
      </c>
      <c r="B1319" s="90" t="str">
        <f ca="1">IFERROR(__xludf.DUMMYFUNCTION("""COMPUTED_VALUE"""),"PAL")</f>
        <v>PAL</v>
      </c>
      <c r="C1319" s="91" t="str">
        <f ca="1">IFERROR(__xludf.DUMMYFUNCTION("""COMPUTED_VALUE"""),"Zahirul Vai")</f>
        <v>Zahirul Vai</v>
      </c>
      <c r="D1319" s="92" t="str">
        <f ca="1">IFERROR(__xludf.DUMMYFUNCTION("""COMPUTED_VALUE"""),"Md. Ariful Islam (S223037)")</f>
        <v>Md. Ariful Islam (S223037)</v>
      </c>
      <c r="E1319" s="93" t="str">
        <f ca="1">IFERROR(__xludf.DUMMYFUNCTION("""COMPUTED_VALUE"""),"CB20466_Mar26")</f>
        <v>CB20466_Mar26</v>
      </c>
      <c r="F1319" s="94" t="str">
        <f ca="1">IFERROR(__xludf.DUMMYFUNCTION("""COMPUTED_VALUE"""),"Packaging Text Design #2")</f>
        <v>Packaging Text Design #2</v>
      </c>
      <c r="G1319" s="95" t="str">
        <f ca="1">IFERROR(__xludf.DUMMYFUNCTION("""COMPUTED_VALUE"""),"New")</f>
        <v>New</v>
      </c>
      <c r="H1319" s="96">
        <f ca="1">IFERROR(__xludf.DUMMYFUNCTION("""COMPUTED_VALUE"""),1)</f>
        <v>1</v>
      </c>
      <c r="I1319" s="97">
        <f ca="1">IFERROR(__xludf.DUMMYFUNCTION("""COMPUTED_VALUE"""),46121)</f>
        <v>46121</v>
      </c>
      <c r="J1319" s="98" t="str">
        <f ca="1">IFERROR(__xludf.DUMMYFUNCTION("""COMPUTED_VALUE"""),"CW29575_Apr26")</f>
        <v>CW29575_Apr26</v>
      </c>
      <c r="K1319" s="99" t="str">
        <f ca="1">IFERROR(__xludf.DUMMYFUNCTION("""COMPUTED_VALUE"""),"HoM Approved")</f>
        <v>HoM Approved</v>
      </c>
    </row>
    <row r="1320" spans="1:11" ht="13.2">
      <c r="A1320" s="89" t="str">
        <f ca="1">IFERROR(__xludf.DUMMYFUNCTION("""COMPUTED_VALUE"""),"Drinking Water")</f>
        <v>Drinking Water</v>
      </c>
      <c r="B1320" s="90" t="str">
        <f ca="1">IFERROR(__xludf.DUMMYFUNCTION("""COMPUTED_VALUE"""),"PBL")</f>
        <v>PBL</v>
      </c>
      <c r="C1320" s="91" t="str">
        <f ca="1">IFERROR(__xludf.DUMMYFUNCTION("""COMPUTED_VALUE"""),"Zahirul Vai")</f>
        <v>Zahirul Vai</v>
      </c>
      <c r="D1320" s="92" t="str">
        <f ca="1">IFERROR(__xludf.DUMMYFUNCTION("""COMPUTED_VALUE"""),"Md. Ariful Islam (S223037)")</f>
        <v>Md. Ariful Islam (S223037)</v>
      </c>
      <c r="E1320" s="93" t="str">
        <f ca="1">IFERROR(__xludf.DUMMYFUNCTION("""COMPUTED_VALUE"""),"CB20158_Mar26")</f>
        <v>CB20158_Mar26</v>
      </c>
      <c r="F1320" s="94" t="str">
        <f ca="1">IFERROR(__xludf.DUMMYFUNCTION("""COMPUTED_VALUE"""),"Packaging Text Design #2")</f>
        <v>Packaging Text Design #2</v>
      </c>
      <c r="G1320" s="95" t="str">
        <f ca="1">IFERROR(__xludf.DUMMYFUNCTION("""COMPUTED_VALUE"""),"New")</f>
        <v>New</v>
      </c>
      <c r="H1320" s="96">
        <f ca="1">IFERROR(__xludf.DUMMYFUNCTION("""COMPUTED_VALUE"""),4)</f>
        <v>4</v>
      </c>
      <c r="I1320" s="97">
        <f ca="1">IFERROR(__xludf.DUMMYFUNCTION("""COMPUTED_VALUE"""),46121)</f>
        <v>46121</v>
      </c>
      <c r="J1320" s="98" t="str">
        <f ca="1">IFERROR(__xludf.DUMMYFUNCTION("""COMPUTED_VALUE"""),"CW29625_Apr26")</f>
        <v>CW29625_Apr26</v>
      </c>
      <c r="K1320" s="99" t="str">
        <f ca="1">IFERROR(__xludf.DUMMYFUNCTION("""COMPUTED_VALUE"""),"HoM Approved")</f>
        <v>HoM Approved</v>
      </c>
    </row>
    <row r="1321" spans="1:11" ht="13.2">
      <c r="A1321" s="89" t="str">
        <f ca="1">IFERROR(__xludf.DUMMYFUNCTION("""COMPUTED_VALUE"""),"Mr. Noodles")</f>
        <v>Mr. Noodles</v>
      </c>
      <c r="B1321" s="90" t="str">
        <f ca="1">IFERROR(__xludf.DUMMYFUNCTION("""COMPUTED_VALUE"""),"PAL")</f>
        <v>PAL</v>
      </c>
      <c r="C1321" s="91" t="str">
        <f ca="1">IFERROR(__xludf.DUMMYFUNCTION("""COMPUTED_VALUE"""),"Zahirul Vai")</f>
        <v>Zahirul Vai</v>
      </c>
      <c r="D1321" s="92" t="str">
        <f ca="1">IFERROR(__xludf.DUMMYFUNCTION("""COMPUTED_VALUE"""),"Md. Ariful Islam (S223037)")</f>
        <v>Md. Ariful Islam (S223037)</v>
      </c>
      <c r="E1321" s="93" t="str">
        <f ca="1">IFERROR(__xludf.DUMMYFUNCTION("""COMPUTED_VALUE"""),"CB21406_Apr26")</f>
        <v>CB21406_Apr26</v>
      </c>
      <c r="F1321" s="94" t="str">
        <f ca="1">IFERROR(__xludf.DUMMYFUNCTION("""COMPUTED_VALUE"""),"Packaging Text Design #2")</f>
        <v>Packaging Text Design #2</v>
      </c>
      <c r="G1321" s="95" t="str">
        <f ca="1">IFERROR(__xludf.DUMMYFUNCTION("""COMPUTED_VALUE"""),"Revision")</f>
        <v>Revision</v>
      </c>
      <c r="H1321" s="96">
        <f ca="1">IFERROR(__xludf.DUMMYFUNCTION("""COMPUTED_VALUE"""),5)</f>
        <v>5</v>
      </c>
      <c r="I1321" s="97">
        <f ca="1">IFERROR(__xludf.DUMMYFUNCTION("""COMPUTED_VALUE"""),46124)</f>
        <v>46124</v>
      </c>
      <c r="J1321" s="98" t="str">
        <f ca="1">IFERROR(__xludf.DUMMYFUNCTION("""COMPUTED_VALUE"""),"CW29940_Apr26")</f>
        <v>CW29940_Apr26</v>
      </c>
      <c r="K1321" s="99" t="str">
        <f ca="1">IFERROR(__xludf.DUMMYFUNCTION("""COMPUTED_VALUE"""),"HoM Approved")</f>
        <v>HoM Approved</v>
      </c>
    </row>
    <row r="1322" spans="1:11" ht="13.2">
      <c r="A1322" s="89" t="str">
        <f ca="1">IFERROR(__xludf.DUMMYFUNCTION("""COMPUTED_VALUE"""),"Mango bar")</f>
        <v>Mango bar</v>
      </c>
      <c r="B1322" s="90" t="str">
        <f ca="1">IFERROR(__xludf.DUMMYFUNCTION("""COMPUTED_VALUE"""),"AMCL")</f>
        <v>AMCL</v>
      </c>
      <c r="C1322" s="91" t="str">
        <f ca="1">IFERROR(__xludf.DUMMYFUNCTION("""COMPUTED_VALUE"""),"Shamsul Sir")</f>
        <v>Shamsul Sir</v>
      </c>
      <c r="D1322" s="92" t="str">
        <f ca="1">IFERROR(__xludf.DUMMYFUNCTION("""COMPUTED_VALUE"""),"Md. Ariful Islam (S223037)")</f>
        <v>Md. Ariful Islam (S223037)</v>
      </c>
      <c r="E1322" s="93" t="str">
        <f ca="1">IFERROR(__xludf.DUMMYFUNCTION("""COMPUTED_VALUE"""),"CB22135_Apr26")</f>
        <v>CB22135_Apr26</v>
      </c>
      <c r="F1322" s="94" t="str">
        <f ca="1">IFERROR(__xludf.DUMMYFUNCTION("""COMPUTED_VALUE"""),"Packaging Text Design #2")</f>
        <v>Packaging Text Design #2</v>
      </c>
      <c r="G1322" s="95" t="str">
        <f ca="1">IFERROR(__xludf.DUMMYFUNCTION("""COMPUTED_VALUE"""),"New")</f>
        <v>New</v>
      </c>
      <c r="H1322" s="96">
        <f ca="1">IFERROR(__xludf.DUMMYFUNCTION("""COMPUTED_VALUE"""),1)</f>
        <v>1</v>
      </c>
      <c r="I1322" s="97">
        <f ca="1">IFERROR(__xludf.DUMMYFUNCTION("""COMPUTED_VALUE"""),46133)</f>
        <v>46133</v>
      </c>
      <c r="J1322" s="98" t="str">
        <f ca="1">IFERROR(__xludf.DUMMYFUNCTION("""COMPUTED_VALUE"""),"CW30730_Apr26")</f>
        <v>CW30730_Apr26</v>
      </c>
      <c r="K1322" s="99" t="str">
        <f ca="1">IFERROR(__xludf.DUMMYFUNCTION("""COMPUTED_VALUE"""),"HoM Approved")</f>
        <v>HoM Approved</v>
      </c>
    </row>
    <row r="1323" spans="1:11" ht="13.2">
      <c r="A1323" s="89" t="str">
        <f ca="1">IFERROR(__xludf.DUMMYFUNCTION("""COMPUTED_VALUE"""),"Premio")</f>
        <v>Premio</v>
      </c>
      <c r="B1323" s="90" t="str">
        <f ca="1">IFERROR(__xludf.DUMMYFUNCTION("""COMPUTED_VALUE"""),"PCL")</f>
        <v>PCL</v>
      </c>
      <c r="C1323" s="91" t="str">
        <f ca="1">IFERROR(__xludf.DUMMYFUNCTION("""COMPUTED_VALUE"""),"Aslam Vaiya")</f>
        <v>Aslam Vaiya</v>
      </c>
      <c r="D1323" s="92" t="str">
        <f ca="1">IFERROR(__xludf.DUMMYFUNCTION("""COMPUTED_VALUE"""),"Md. Ariful Islam (S223037)")</f>
        <v>Md. Ariful Islam (S223037)</v>
      </c>
      <c r="E1323" s="93" t="str">
        <f ca="1">IFERROR(__xludf.DUMMYFUNCTION("""COMPUTED_VALUE"""),"CB19194_Mar26")</f>
        <v>CB19194_Mar26</v>
      </c>
      <c r="F1323" s="94" t="str">
        <f ca="1">IFERROR(__xludf.DUMMYFUNCTION("""COMPUTED_VALUE"""),"Packaging Text Design #1")</f>
        <v>Packaging Text Design #1</v>
      </c>
      <c r="G1323" s="95" t="str">
        <f ca="1">IFERROR(__xludf.DUMMYFUNCTION("""COMPUTED_VALUE"""),"Revision")</f>
        <v>Revision</v>
      </c>
      <c r="H1323" s="96">
        <f ca="1">IFERROR(__xludf.DUMMYFUNCTION("""COMPUTED_VALUE"""),1)</f>
        <v>1</v>
      </c>
      <c r="I1323" s="97">
        <f ca="1">IFERROR(__xludf.DUMMYFUNCTION("""COMPUTED_VALUE"""),46144)</f>
        <v>46144</v>
      </c>
      <c r="J1323" s="98" t="str">
        <f ca="1">IFERROR(__xludf.DUMMYFUNCTION("""COMPUTED_VALUE"""),"CW32137_May26")</f>
        <v>CW32137_May26</v>
      </c>
      <c r="K1323" s="99" t="str">
        <f ca="1">IFERROR(__xludf.DUMMYFUNCTION("""COMPUTED_VALUE"""),"Brief Submitted")</f>
        <v>Brief Submitted</v>
      </c>
    </row>
    <row r="1324" spans="1:11" ht="13.2">
      <c r="A1324" s="89" t="str">
        <f ca="1">IFERROR(__xludf.DUMMYFUNCTION("""COMPUTED_VALUE"""),"Pran Choice Sweet &amp; Salty Biscuits")</f>
        <v>Pran Choice Sweet &amp; Salty Biscuits</v>
      </c>
      <c r="B1324" s="90" t="str">
        <f ca="1">IFERROR(__xludf.DUMMYFUNCTION("""COMPUTED_VALUE"""),"BBL")</f>
        <v>BBL</v>
      </c>
      <c r="C1324" s="91" t="str">
        <f ca="1">IFERROR(__xludf.DUMMYFUNCTION("""COMPUTED_VALUE"""),"Maksuda Apu")</f>
        <v>Maksuda Apu</v>
      </c>
      <c r="D1324" s="92" t="str">
        <f ca="1">IFERROR(__xludf.DUMMYFUNCTION("""COMPUTED_VALUE"""),"Md. Ariful Islam (S223037)")</f>
        <v>Md. Ariful Islam (S223037)</v>
      </c>
      <c r="E1324" s="93" t="str">
        <f ca="1">IFERROR(__xludf.DUMMYFUNCTION("""COMPUTED_VALUE"""),"CB15084_Jan26")</f>
        <v>CB15084_Jan26</v>
      </c>
      <c r="F1324" s="94" t="str">
        <f ca="1">IFERROR(__xludf.DUMMYFUNCTION("""COMPUTED_VALUE"""),"Packaging Text Design #2")</f>
        <v>Packaging Text Design #2</v>
      </c>
      <c r="G1324" s="95" t="str">
        <f ca="1">IFERROR(__xludf.DUMMYFUNCTION("""COMPUTED_VALUE"""),"New")</f>
        <v>New</v>
      </c>
      <c r="H1324" s="96">
        <f ca="1">IFERROR(__xludf.DUMMYFUNCTION("""COMPUTED_VALUE"""),1)</f>
        <v>1</v>
      </c>
      <c r="I1324" s="97">
        <f ca="1">IFERROR(__xludf.DUMMYFUNCTION("""COMPUTED_VALUE"""),46144)</f>
        <v>46144</v>
      </c>
      <c r="J1324" s="98" t="str">
        <f ca="1">IFERROR(__xludf.DUMMYFUNCTION("""COMPUTED_VALUE"""),"CW32127_May26")</f>
        <v>CW32127_May26</v>
      </c>
      <c r="K1324" s="99" t="str">
        <f ca="1">IFERROR(__xludf.DUMMYFUNCTION("""COMPUTED_VALUE"""),"HoM Approved")</f>
        <v>HoM Approved</v>
      </c>
    </row>
    <row r="1325" spans="1:11" ht="13.2">
      <c r="A1325" s="89" t="str">
        <f ca="1">IFERROR(__xludf.DUMMYFUNCTION("""COMPUTED_VALUE"""),"Mr. Noodles Ramen")</f>
        <v>Mr. Noodles Ramen</v>
      </c>
      <c r="B1325" s="90" t="str">
        <f ca="1">IFERROR(__xludf.DUMMYFUNCTION("""COMPUTED_VALUE"""),"PAL")</f>
        <v>PAL</v>
      </c>
      <c r="C1325" s="91" t="str">
        <f ca="1">IFERROR(__xludf.DUMMYFUNCTION("""COMPUTED_VALUE"""),"Mona Apu")</f>
        <v>Mona Apu</v>
      </c>
      <c r="D1325" s="92" t="str">
        <f ca="1">IFERROR(__xludf.DUMMYFUNCTION("""COMPUTED_VALUE"""),"Md. Ariful Islam (S223037)")</f>
        <v>Md. Ariful Islam (S223037)</v>
      </c>
      <c r="E1325" s="93" t="str">
        <f ca="1">IFERROR(__xludf.DUMMYFUNCTION("""COMPUTED_VALUE"""),"CB17812_Feb26")</f>
        <v>CB17812_Feb26</v>
      </c>
      <c r="F1325" s="94" t="str">
        <f ca="1">IFERROR(__xludf.DUMMYFUNCTION("""COMPUTED_VALUE"""),"Packaging Text Design #2")</f>
        <v>Packaging Text Design #2</v>
      </c>
      <c r="G1325" s="95" t="str">
        <f ca="1">IFERROR(__xludf.DUMMYFUNCTION("""COMPUTED_VALUE"""),"New")</f>
        <v>New</v>
      </c>
      <c r="H1325" s="96">
        <f ca="1">IFERROR(__xludf.DUMMYFUNCTION("""COMPUTED_VALUE"""),2)</f>
        <v>2</v>
      </c>
      <c r="I1325" s="97">
        <f ca="1">IFERROR(__xludf.DUMMYFUNCTION("""COMPUTED_VALUE"""),46144)</f>
        <v>46144</v>
      </c>
      <c r="J1325" s="98" t="str">
        <f ca="1">IFERROR(__xludf.DUMMYFUNCTION("""COMPUTED_VALUE"""),"CW32126_May26")</f>
        <v>CW32126_May26</v>
      </c>
      <c r="K1325" s="99" t="str">
        <f ca="1">IFERROR(__xludf.DUMMYFUNCTION("""COMPUTED_VALUE"""),"HoM Approved")</f>
        <v>HoM Approved</v>
      </c>
    </row>
    <row r="1326" spans="1:11" ht="13.2">
      <c r="A1326" s="89" t="str">
        <f ca="1">IFERROR(__xludf.DUMMYFUNCTION("""COMPUTED_VALUE"""),"Hurray Wafer")</f>
        <v>Hurray Wafer</v>
      </c>
      <c r="B1326" s="90" t="str">
        <f ca="1">IFERROR(__xludf.DUMMYFUNCTION("""COMPUTED_VALUE"""),"PCL")</f>
        <v>PCL</v>
      </c>
      <c r="C1326" s="91" t="str">
        <f ca="1">IFERROR(__xludf.DUMMYFUNCTION("""COMPUTED_VALUE"""),"Mona Apu")</f>
        <v>Mona Apu</v>
      </c>
      <c r="D1326" s="92" t="str">
        <f ca="1">IFERROR(__xludf.DUMMYFUNCTION("""COMPUTED_VALUE"""),"Md. Ariful Islam (S223037)")</f>
        <v>Md. Ariful Islam (S223037)</v>
      </c>
      <c r="E1326" s="93" t="str">
        <f ca="1">IFERROR(__xludf.DUMMYFUNCTION("""COMPUTED_VALUE"""),"CB20751_Apr26")</f>
        <v>CB20751_Apr26</v>
      </c>
      <c r="F1326" s="94" t="str">
        <f ca="1">IFERROR(__xludf.DUMMYFUNCTION("""COMPUTED_VALUE"""),"Packaging Text Design #2")</f>
        <v>Packaging Text Design #2</v>
      </c>
      <c r="G1326" s="95" t="str">
        <f ca="1">IFERROR(__xludf.DUMMYFUNCTION("""COMPUTED_VALUE"""),"New")</f>
        <v>New</v>
      </c>
      <c r="H1326" s="96">
        <f ca="1">IFERROR(__xludf.DUMMYFUNCTION("""COMPUTED_VALUE"""),1)</f>
        <v>1</v>
      </c>
      <c r="I1326" s="97">
        <f ca="1">IFERROR(__xludf.DUMMYFUNCTION("""COMPUTED_VALUE"""),46144)</f>
        <v>46144</v>
      </c>
      <c r="J1326" s="98" t="str">
        <f ca="1">IFERROR(__xludf.DUMMYFUNCTION("""COMPUTED_VALUE"""),"CW32144_May26")</f>
        <v>CW32144_May26</v>
      </c>
      <c r="K1326" s="99" t="str">
        <f ca="1">IFERROR(__xludf.DUMMYFUNCTION("""COMPUTED_VALUE"""),"HoM Approved")</f>
        <v>HoM Approved</v>
      </c>
    </row>
    <row r="1327" spans="1:11" ht="13.2">
      <c r="A1327" s="89" t="str">
        <f ca="1">IFERROR(__xludf.DUMMYFUNCTION("""COMPUTED_VALUE"""),"PRAN Pickle")</f>
        <v>PRAN Pickle</v>
      </c>
      <c r="B1327" s="90" t="str">
        <f ca="1">IFERROR(__xludf.DUMMYFUNCTION("""COMPUTED_VALUE"""),"PAL")</f>
        <v>PAL</v>
      </c>
      <c r="C1327" s="91" t="str">
        <f ca="1">IFERROR(__xludf.DUMMYFUNCTION("""COMPUTED_VALUE"""),"Shamsul Sir")</f>
        <v>Shamsul Sir</v>
      </c>
      <c r="D1327" s="92" t="str">
        <f ca="1">IFERROR(__xludf.DUMMYFUNCTION("""COMPUTED_VALUE"""),"Md. Ariful Islam (S223037)")</f>
        <v>Md. Ariful Islam (S223037)</v>
      </c>
      <c r="E1327" s="93" t="str">
        <f ca="1">IFERROR(__xludf.DUMMYFUNCTION("""COMPUTED_VALUE"""),"CB22151_Apr26")</f>
        <v>CB22151_Apr26</v>
      </c>
      <c r="F1327" s="94" t="str">
        <f ca="1">IFERROR(__xludf.DUMMYFUNCTION("""COMPUTED_VALUE"""),"Packaging Text Design #2")</f>
        <v>Packaging Text Design #2</v>
      </c>
      <c r="G1327" s="95" t="str">
        <f ca="1">IFERROR(__xludf.DUMMYFUNCTION("""COMPUTED_VALUE"""),"New")</f>
        <v>New</v>
      </c>
      <c r="H1327" s="96">
        <f ca="1">IFERROR(__xludf.DUMMYFUNCTION("""COMPUTED_VALUE"""),3)</f>
        <v>3</v>
      </c>
      <c r="I1327" s="97">
        <f ca="1">IFERROR(__xludf.DUMMYFUNCTION("""COMPUTED_VALUE"""),46144)</f>
        <v>46144</v>
      </c>
      <c r="J1327" s="98" t="str">
        <f ca="1">IFERROR(__xludf.DUMMYFUNCTION("""COMPUTED_VALUE"""),"CW32147_May26")</f>
        <v>CW32147_May26</v>
      </c>
      <c r="K1327" s="99" t="str">
        <f ca="1">IFERROR(__xludf.DUMMYFUNCTION("""COMPUTED_VALUE"""),"HoM Approved")</f>
        <v>HoM Approved</v>
      </c>
    </row>
    <row r="1328" spans="1:11" ht="13.2">
      <c r="A1328" s="89" t="str">
        <f ca="1">IFERROR(__xludf.DUMMYFUNCTION("""COMPUTED_VALUE"""),"Mithai")</f>
        <v>Mithai</v>
      </c>
      <c r="B1328" s="90" t="str">
        <f ca="1">IFERROR(__xludf.DUMMYFUNCTION("""COMPUTED_VALUE"""),"BBL")</f>
        <v>BBL</v>
      </c>
      <c r="C1328" s="91" t="str">
        <f ca="1">IFERROR(__xludf.DUMMYFUNCTION("""COMPUTED_VALUE"""),"Zahirul Vai")</f>
        <v>Zahirul Vai</v>
      </c>
      <c r="D1328" s="92" t="str">
        <f ca="1">IFERROR(__xludf.DUMMYFUNCTION("""COMPUTED_VALUE"""),"Md. Ariful Islam (S223037)")</f>
        <v>Md. Ariful Islam (S223037)</v>
      </c>
      <c r="E1328" s="93" t="str">
        <f ca="1">IFERROR(__xludf.DUMMYFUNCTION("""COMPUTED_VALUE"""),"CB22349_Apr26")</f>
        <v>CB22349_Apr26</v>
      </c>
      <c r="F1328" s="94" t="str">
        <f ca="1">IFERROR(__xludf.DUMMYFUNCTION("""COMPUTED_VALUE"""),"Packaging Text Design #2")</f>
        <v>Packaging Text Design #2</v>
      </c>
      <c r="G1328" s="95" t="str">
        <f ca="1">IFERROR(__xludf.DUMMYFUNCTION("""COMPUTED_VALUE"""),"Revision")</f>
        <v>Revision</v>
      </c>
      <c r="H1328" s="96">
        <f ca="1">IFERROR(__xludf.DUMMYFUNCTION("""COMPUTED_VALUE"""),1)</f>
        <v>1</v>
      </c>
      <c r="I1328" s="97">
        <f ca="1">IFERROR(__xludf.DUMMYFUNCTION("""COMPUTED_VALUE"""),46144)</f>
        <v>46144</v>
      </c>
      <c r="J1328" s="98" t="str">
        <f ca="1">IFERROR(__xludf.DUMMYFUNCTION("""COMPUTED_VALUE"""),"CW32149_May26")</f>
        <v>CW32149_May26</v>
      </c>
      <c r="K1328" s="99" t="str">
        <f ca="1">IFERROR(__xludf.DUMMYFUNCTION("""COMPUTED_VALUE"""),"HoM Approved")</f>
        <v>HoM Approved</v>
      </c>
    </row>
    <row r="1329" spans="1:11" ht="13.2">
      <c r="A1329" s="89" t="str">
        <f ca="1">IFERROR(__xludf.DUMMYFUNCTION("""COMPUTED_VALUE"""),"PRAN Frozen Foods")</f>
        <v>PRAN Frozen Foods</v>
      </c>
      <c r="B1329" s="90" t="str">
        <f ca="1">IFERROR(__xludf.DUMMYFUNCTION("""COMPUTED_VALUE"""),"PFF")</f>
        <v>PFF</v>
      </c>
      <c r="C1329" s="91" t="str">
        <f ca="1">IFERROR(__xludf.DUMMYFUNCTION("""COMPUTED_VALUE"""),"Zahirul Vai")</f>
        <v>Zahirul Vai</v>
      </c>
      <c r="D1329" s="92" t="str">
        <f ca="1">IFERROR(__xludf.DUMMYFUNCTION("""COMPUTED_VALUE"""),"Md. Ariful Islam (S223037)")</f>
        <v>Md. Ariful Islam (S223037)</v>
      </c>
      <c r="E1329" s="93" t="str">
        <f ca="1">IFERROR(__xludf.DUMMYFUNCTION("""COMPUTED_VALUE"""),"CB19795_Mar26")</f>
        <v>CB19795_Mar26</v>
      </c>
      <c r="F1329" s="94" t="str">
        <f ca="1">IFERROR(__xludf.DUMMYFUNCTION("""COMPUTED_VALUE"""),"Packaging Text Design #2")</f>
        <v>Packaging Text Design #2</v>
      </c>
      <c r="G1329" s="95" t="str">
        <f ca="1">IFERROR(__xludf.DUMMYFUNCTION("""COMPUTED_VALUE"""),"New")</f>
        <v>New</v>
      </c>
      <c r="H1329" s="96">
        <f ca="1">IFERROR(__xludf.DUMMYFUNCTION("""COMPUTED_VALUE"""),2)</f>
        <v>2</v>
      </c>
      <c r="I1329" s="97">
        <f ca="1">IFERROR(__xludf.DUMMYFUNCTION("""COMPUTED_VALUE"""),46144)</f>
        <v>46144</v>
      </c>
      <c r="J1329" s="98" t="str">
        <f ca="1">IFERROR(__xludf.DUMMYFUNCTION("""COMPUTED_VALUE"""),"CW32139_May26")</f>
        <v>CW32139_May26</v>
      </c>
      <c r="K1329" s="99" t="str">
        <f ca="1">IFERROR(__xludf.DUMMYFUNCTION("""COMPUTED_VALUE"""),"HoM Approved")</f>
        <v>HoM Approved</v>
      </c>
    </row>
    <row r="1330" spans="1:11" ht="13.2">
      <c r="A1330" s="89" t="str">
        <f ca="1">IFERROR(__xludf.DUMMYFUNCTION("""COMPUTED_VALUE"""),"Mithai")</f>
        <v>Mithai</v>
      </c>
      <c r="B1330" s="90" t="str">
        <f ca="1">IFERROR(__xludf.DUMMYFUNCTION("""COMPUTED_VALUE"""),"BBL")</f>
        <v>BBL</v>
      </c>
      <c r="C1330" s="91" t="str">
        <f ca="1">IFERROR(__xludf.DUMMYFUNCTION("""COMPUTED_VALUE"""),"Zahirul Vai")</f>
        <v>Zahirul Vai</v>
      </c>
      <c r="D1330" s="92" t="str">
        <f ca="1">IFERROR(__xludf.DUMMYFUNCTION("""COMPUTED_VALUE"""),"Md. Ariful Islam (S223037)")</f>
        <v>Md. Ariful Islam (S223037)</v>
      </c>
      <c r="E1330" s="93" t="str">
        <f ca="1">IFERROR(__xludf.DUMMYFUNCTION("""COMPUTED_VALUE"""),"CB22349_Apr26")</f>
        <v>CB22349_Apr26</v>
      </c>
      <c r="F1330" s="94" t="str">
        <f ca="1">IFERROR(__xludf.DUMMYFUNCTION("""COMPUTED_VALUE"""),"Packaging Text Design #2")</f>
        <v>Packaging Text Design #2</v>
      </c>
      <c r="G1330" s="95" t="str">
        <f ca="1">IFERROR(__xludf.DUMMYFUNCTION("""COMPUTED_VALUE"""),"New")</f>
        <v>New</v>
      </c>
      <c r="H1330" s="96">
        <f ca="1">IFERROR(__xludf.DUMMYFUNCTION("""COMPUTED_VALUE"""),1)</f>
        <v>1</v>
      </c>
      <c r="I1330" s="97">
        <f ca="1">IFERROR(__xludf.DUMMYFUNCTION("""COMPUTED_VALUE"""),46144)</f>
        <v>46144</v>
      </c>
      <c r="J1330" s="98" t="str">
        <f ca="1">IFERROR(__xludf.DUMMYFUNCTION("""COMPUTED_VALUE"""),"CW32149_May26")</f>
        <v>CW32149_May26</v>
      </c>
      <c r="K1330" s="99" t="str">
        <f ca="1">IFERROR(__xludf.DUMMYFUNCTION("""COMPUTED_VALUE"""),"HoM Approved")</f>
        <v>HoM Approved</v>
      </c>
    </row>
    <row r="1331" spans="1:11" ht="13.2">
      <c r="A1331" s="89" t="str">
        <f ca="1">IFERROR(__xludf.DUMMYFUNCTION("""COMPUTED_VALUE"""),"PRAN Potato Sticks")</f>
        <v>PRAN Potato Sticks</v>
      </c>
      <c r="B1331" s="90" t="str">
        <f ca="1">IFERROR(__xludf.DUMMYFUNCTION("""COMPUTED_VALUE"""),"PFL")</f>
        <v>PFL</v>
      </c>
      <c r="C1331" s="91" t="str">
        <f ca="1">IFERROR(__xludf.DUMMYFUNCTION("""COMPUTED_VALUE"""),"Shamrid Vaiya")</f>
        <v>Shamrid Vaiya</v>
      </c>
      <c r="D1331" s="92" t="str">
        <f ca="1">IFERROR(__xludf.DUMMYFUNCTION("""COMPUTED_VALUE"""),"Md. Ariful Islam (S223037)")</f>
        <v>Md. Ariful Islam (S223037)</v>
      </c>
      <c r="E1331" s="93" t="str">
        <f ca="1">IFERROR(__xludf.DUMMYFUNCTION("""COMPUTED_VALUE"""),"CB18806_Mar26")</f>
        <v>CB18806_Mar26</v>
      </c>
      <c r="F1331" s="94" t="str">
        <f ca="1">IFERROR(__xludf.DUMMYFUNCTION("""COMPUTED_VALUE"""),"Packaging Text Design #2")</f>
        <v>Packaging Text Design #2</v>
      </c>
      <c r="G1331" s="95" t="str">
        <f ca="1">IFERROR(__xludf.DUMMYFUNCTION("""COMPUTED_VALUE"""),"New")</f>
        <v>New</v>
      </c>
      <c r="H1331" s="96">
        <f ca="1">IFERROR(__xludf.DUMMYFUNCTION("""COMPUTED_VALUE"""),2)</f>
        <v>2</v>
      </c>
      <c r="I1331" s="97">
        <f ca="1">IFERROR(__xludf.DUMMYFUNCTION("""COMPUTED_VALUE"""),46147)</f>
        <v>46147</v>
      </c>
      <c r="J1331" s="98" t="str">
        <f ca="1">IFERROR(__xludf.DUMMYFUNCTION("""COMPUTED_VALUE"""),"CW32468_May26")</f>
        <v>CW32468_May26</v>
      </c>
      <c r="K1331" s="99" t="str">
        <f ca="1">IFERROR(__xludf.DUMMYFUNCTION("""COMPUTED_VALUE"""),"HoM Approved")</f>
        <v>HoM Approved</v>
      </c>
    </row>
    <row r="1332" spans="1:11" ht="13.2">
      <c r="A1332" s="89" t="str">
        <f ca="1">IFERROR(__xludf.DUMMYFUNCTION("""COMPUTED_VALUE"""),"PRAN Fruitfun")</f>
        <v>PRAN Fruitfun</v>
      </c>
      <c r="B1332" s="90" t="str">
        <f ca="1">IFERROR(__xludf.DUMMYFUNCTION("""COMPUTED_VALUE"""),"AMCL")</f>
        <v>AMCL</v>
      </c>
      <c r="C1332" s="91" t="str">
        <f ca="1">IFERROR(__xludf.DUMMYFUNCTION("""COMPUTED_VALUE"""),"Zahirul Vai")</f>
        <v>Zahirul Vai</v>
      </c>
      <c r="D1332" s="92" t="str">
        <f ca="1">IFERROR(__xludf.DUMMYFUNCTION("""COMPUTED_VALUE"""),"Md. Ariful Islam (S223037)")</f>
        <v>Md. Ariful Islam (S223037)</v>
      </c>
      <c r="E1332" s="93" t="str">
        <f ca="1">IFERROR(__xludf.DUMMYFUNCTION("""COMPUTED_VALUE"""),"CB22595_Apr26")</f>
        <v>CB22595_Apr26</v>
      </c>
      <c r="F1332" s="94" t="str">
        <f ca="1">IFERROR(__xludf.DUMMYFUNCTION("""COMPUTED_VALUE"""),"Layout/Dieline Making")</f>
        <v>Layout/Dieline Making</v>
      </c>
      <c r="G1332" s="95" t="str">
        <f ca="1">IFERROR(__xludf.DUMMYFUNCTION("""COMPUTED_VALUE"""),"New")</f>
        <v>New</v>
      </c>
      <c r="H1332" s="96">
        <f ca="1">IFERROR(__xludf.DUMMYFUNCTION("""COMPUTED_VALUE"""),6)</f>
        <v>6</v>
      </c>
      <c r="I1332" s="97">
        <f ca="1">IFERROR(__xludf.DUMMYFUNCTION("""COMPUTED_VALUE"""),46147)</f>
        <v>46147</v>
      </c>
      <c r="J1332" s="98" t="str">
        <f ca="1">IFERROR(__xludf.DUMMYFUNCTION("""COMPUTED_VALUE"""),"CW32469_May26")</f>
        <v>CW32469_May26</v>
      </c>
      <c r="K1332" s="99" t="str">
        <f ca="1">IFERROR(__xludf.DUMMYFUNCTION("""COMPUTED_VALUE"""),"HoM Approved")</f>
        <v>HoM Approved</v>
      </c>
    </row>
    <row r="1333" spans="1:11" ht="13.2">
      <c r="A1333" s="89" t="str">
        <f ca="1">IFERROR(__xludf.DUMMYFUNCTION("""COMPUTED_VALUE"""),"PRAN Peanut Bar")</f>
        <v>PRAN Peanut Bar</v>
      </c>
      <c r="B1333" s="90" t="str">
        <f ca="1">IFERROR(__xludf.DUMMYFUNCTION("""COMPUTED_VALUE"""),"PAL")</f>
        <v>PAL</v>
      </c>
      <c r="C1333" s="91" t="str">
        <f ca="1">IFERROR(__xludf.DUMMYFUNCTION("""COMPUTED_VALUE"""),"Nasif Vai")</f>
        <v>Nasif Vai</v>
      </c>
      <c r="D1333" s="92" t="str">
        <f ca="1">IFERROR(__xludf.DUMMYFUNCTION("""COMPUTED_VALUE"""),"Md. Ariful Islam (S223037)")</f>
        <v>Md. Ariful Islam (S223037)</v>
      </c>
      <c r="E1333" s="93" t="str">
        <f ca="1">IFERROR(__xludf.DUMMYFUNCTION("""COMPUTED_VALUE"""),"CB19534_Mar26")</f>
        <v>CB19534_Mar26</v>
      </c>
      <c r="F1333" s="94" t="str">
        <f ca="1">IFERROR(__xludf.DUMMYFUNCTION("""COMPUTED_VALUE"""),"Packaging Text Design #2")</f>
        <v>Packaging Text Design #2</v>
      </c>
      <c r="G1333" s="95" t="str">
        <f ca="1">IFERROR(__xludf.DUMMYFUNCTION("""COMPUTED_VALUE"""),"New")</f>
        <v>New</v>
      </c>
      <c r="H1333" s="96">
        <f ca="1">IFERROR(__xludf.DUMMYFUNCTION("""COMPUTED_VALUE"""),2)</f>
        <v>2</v>
      </c>
      <c r="I1333" s="97">
        <f ca="1">IFERROR(__xludf.DUMMYFUNCTION("""COMPUTED_VALUE"""),46148)</f>
        <v>46148</v>
      </c>
      <c r="J1333" s="98" t="str">
        <f ca="1">IFERROR(__xludf.DUMMYFUNCTION("""COMPUTED_VALUE"""),"CW32583_May26")</f>
        <v>CW32583_May26</v>
      </c>
      <c r="K1333" s="99" t="str">
        <f ca="1">IFERROR(__xludf.DUMMYFUNCTION("""COMPUTED_VALUE"""),"HoM Approved")</f>
        <v>HoM Approved</v>
      </c>
    </row>
    <row r="1334" spans="1:11" ht="13.2">
      <c r="A1334" s="89" t="str">
        <f ca="1">IFERROR(__xludf.DUMMYFUNCTION("""COMPUTED_VALUE"""),"All Time Cookies")</f>
        <v>All Time Cookies</v>
      </c>
      <c r="B1334" s="90" t="str">
        <f ca="1">IFERROR(__xludf.DUMMYFUNCTION("""COMPUTED_VALUE"""),"BBL")</f>
        <v>BBL</v>
      </c>
      <c r="C1334" s="91" t="str">
        <f ca="1">IFERROR(__xludf.DUMMYFUNCTION("""COMPUTED_VALUE"""),"Afrin Apu")</f>
        <v>Afrin Apu</v>
      </c>
      <c r="D1334" s="92" t="str">
        <f ca="1">IFERROR(__xludf.DUMMYFUNCTION("""COMPUTED_VALUE"""),"Md. Ariful Islam (S223037)")</f>
        <v>Md. Ariful Islam (S223037)</v>
      </c>
      <c r="E1334" s="93" t="str">
        <f ca="1">IFERROR(__xludf.DUMMYFUNCTION("""COMPUTED_VALUE"""),"CB17055_Feb26")</f>
        <v>CB17055_Feb26</v>
      </c>
      <c r="F1334" s="94" t="str">
        <f ca="1">IFERROR(__xludf.DUMMYFUNCTION("""COMPUTED_VALUE"""),"Packaging Text Design #2")</f>
        <v>Packaging Text Design #2</v>
      </c>
      <c r="G1334" s="95" t="str">
        <f ca="1">IFERROR(__xludf.DUMMYFUNCTION("""COMPUTED_VALUE"""),"New")</f>
        <v>New</v>
      </c>
      <c r="H1334" s="96">
        <f ca="1">IFERROR(__xludf.DUMMYFUNCTION("""COMPUTED_VALUE"""),1)</f>
        <v>1</v>
      </c>
      <c r="I1334" s="97">
        <f ca="1">IFERROR(__xludf.DUMMYFUNCTION("""COMPUTED_VALUE"""),46149)</f>
        <v>46149</v>
      </c>
      <c r="J1334" s="98" t="str">
        <f ca="1">IFERROR(__xludf.DUMMYFUNCTION("""COMPUTED_VALUE"""),"CW32691_May26")</f>
        <v>CW32691_May26</v>
      </c>
      <c r="K1334" s="99" t="str">
        <f ca="1">IFERROR(__xludf.DUMMYFUNCTION("""COMPUTED_VALUE"""),"Brief Submitted")</f>
        <v>Brief Submitted</v>
      </c>
    </row>
    <row r="1335" spans="1:11" ht="13.2">
      <c r="A1335" s="89" t="str">
        <f ca="1">IFERROR(__xludf.DUMMYFUNCTION("""COMPUTED_VALUE"""),"HIP-ALL")</f>
        <v>HIP-ALL</v>
      </c>
      <c r="B1335" s="90" t="str">
        <f ca="1">IFERROR(__xludf.DUMMYFUNCTION("""COMPUTED_VALUE"""),"Philippines")</f>
        <v>Philippines</v>
      </c>
      <c r="C1335" s="91" t="str">
        <f ca="1">IFERROR(__xludf.DUMMYFUNCTION("""COMPUTED_VALUE"""),"Farjana Apu")</f>
        <v>Farjana Apu</v>
      </c>
      <c r="D1335" s="92" t="str">
        <f ca="1">IFERROR(__xludf.DUMMYFUNCTION("""COMPUTED_VALUE"""),"Md. Ariful Islam (S223037)")</f>
        <v>Md. Ariful Islam (S223037)</v>
      </c>
      <c r="E1335" s="93" t="str">
        <f ca="1">IFERROR(__xludf.DUMMYFUNCTION("""COMPUTED_VALUE"""),"CB23609_May26")</f>
        <v>CB23609_May26</v>
      </c>
      <c r="F1335" s="94" t="str">
        <f ca="1">IFERROR(__xludf.DUMMYFUNCTION("""COMPUTED_VALUE"""),"Packaging Text Design #1")</f>
        <v>Packaging Text Design #1</v>
      </c>
      <c r="G1335" s="95" t="str">
        <f ca="1">IFERROR(__xludf.DUMMYFUNCTION("""COMPUTED_VALUE"""),"New")</f>
        <v>New</v>
      </c>
      <c r="H1335" s="96">
        <f ca="1">IFERROR(__xludf.DUMMYFUNCTION("""COMPUTED_VALUE"""),1)</f>
        <v>1</v>
      </c>
      <c r="I1335" s="97">
        <f ca="1">IFERROR(__xludf.DUMMYFUNCTION("""COMPUTED_VALUE"""),46152)</f>
        <v>46152</v>
      </c>
      <c r="J1335" s="98" t="str">
        <f ca="1">IFERROR(__xludf.DUMMYFUNCTION("""COMPUTED_VALUE"""),"CW33032_May26")</f>
        <v>CW33032_May26</v>
      </c>
      <c r="K1335" s="99" t="str">
        <f ca="1">IFERROR(__xludf.DUMMYFUNCTION("""COMPUTED_VALUE"""),"HoM Approved")</f>
        <v>HoM Approved</v>
      </c>
    </row>
    <row r="1336" spans="1:11" ht="13.2">
      <c r="A1336" s="89" t="str">
        <f ca="1">IFERROR(__xludf.DUMMYFUNCTION("""COMPUTED_VALUE"""),"PRAN Cookies")</f>
        <v>PRAN Cookies</v>
      </c>
      <c r="B1336" s="90" t="str">
        <f ca="1">IFERROR(__xludf.DUMMYFUNCTION("""COMPUTED_VALUE"""),"BBL")</f>
        <v>BBL</v>
      </c>
      <c r="C1336" s="91" t="str">
        <f ca="1">IFERROR(__xludf.DUMMYFUNCTION("""COMPUTED_VALUE"""),"Zahirul Vai")</f>
        <v>Zahirul Vai</v>
      </c>
      <c r="D1336" s="92" t="str">
        <f ca="1">IFERROR(__xludf.DUMMYFUNCTION("""COMPUTED_VALUE"""),"Md. Ariful Islam (S223037)")</f>
        <v>Md. Ariful Islam (S223037)</v>
      </c>
      <c r="E1336" s="93" t="str">
        <f ca="1">IFERROR(__xludf.DUMMYFUNCTION("""COMPUTED_VALUE"""),"CB23329_May26")</f>
        <v>CB23329_May26</v>
      </c>
      <c r="F1336" s="94" t="str">
        <f ca="1">IFERROR(__xludf.DUMMYFUNCTION("""COMPUTED_VALUE"""),"Packaging Text Design #2")</f>
        <v>Packaging Text Design #2</v>
      </c>
      <c r="G1336" s="95" t="str">
        <f ca="1">IFERROR(__xludf.DUMMYFUNCTION("""COMPUTED_VALUE"""),"New")</f>
        <v>New</v>
      </c>
      <c r="H1336" s="96">
        <f ca="1">IFERROR(__xludf.DUMMYFUNCTION("""COMPUTED_VALUE"""),1)</f>
        <v>1</v>
      </c>
      <c r="I1336" s="97">
        <f ca="1">IFERROR(__xludf.DUMMYFUNCTION("""COMPUTED_VALUE"""),46154)</f>
        <v>46154</v>
      </c>
      <c r="J1336" s="98" t="str">
        <f ca="1">IFERROR(__xludf.DUMMYFUNCTION("""COMPUTED_VALUE"""),"CW33251_May26")</f>
        <v>CW33251_May26</v>
      </c>
      <c r="K1336" s="99" t="str">
        <f ca="1">IFERROR(__xludf.DUMMYFUNCTION("""COMPUTED_VALUE"""),"HoM Approved")</f>
        <v>HoM Approved</v>
      </c>
    </row>
    <row r="1337" spans="1:11" ht="13.2">
      <c r="A1337" s="89" t="str">
        <f ca="1">IFERROR(__xludf.DUMMYFUNCTION("""COMPUTED_VALUE"""),"Kofi House")</f>
        <v>Kofi House</v>
      </c>
      <c r="B1337" s="90" t="str">
        <f ca="1">IFERROR(__xludf.DUMMYFUNCTION("""COMPUTED_VALUE"""),"AMCL")</f>
        <v>AMCL</v>
      </c>
      <c r="C1337" s="91" t="str">
        <f ca="1">IFERROR(__xludf.DUMMYFUNCTION("""COMPUTED_VALUE"""),"Miraj Vai")</f>
        <v>Miraj Vai</v>
      </c>
      <c r="D1337" s="92" t="str">
        <f ca="1">IFERROR(__xludf.DUMMYFUNCTION("""COMPUTED_VALUE"""),"Md. Ariful Islam (S223037)")</f>
        <v>Md. Ariful Islam (S223037)</v>
      </c>
      <c r="E1337" s="93" t="str">
        <f ca="1">IFERROR(__xludf.DUMMYFUNCTION("""COMPUTED_VALUE"""),"CB22650_Apr26")</f>
        <v>CB22650_Apr26</v>
      </c>
      <c r="F1337" s="94" t="str">
        <f ca="1">IFERROR(__xludf.DUMMYFUNCTION("""COMPUTED_VALUE"""),"Packaging Text Design #2")</f>
        <v>Packaging Text Design #2</v>
      </c>
      <c r="G1337" s="95" t="str">
        <f ca="1">IFERROR(__xludf.DUMMYFUNCTION("""COMPUTED_VALUE"""),"New")</f>
        <v>New</v>
      </c>
      <c r="H1337" s="96">
        <f ca="1">IFERROR(__xludf.DUMMYFUNCTION("""COMPUTED_VALUE"""),1)</f>
        <v>1</v>
      </c>
      <c r="I1337" s="97">
        <f ca="1">IFERROR(__xludf.DUMMYFUNCTION("""COMPUTED_VALUE"""),46156)</f>
        <v>46156</v>
      </c>
      <c r="J1337" s="98" t="str">
        <f ca="1">IFERROR(__xludf.DUMMYFUNCTION("""COMPUTED_VALUE"""),"CW33515_May26")</f>
        <v>CW33515_May26</v>
      </c>
      <c r="K1337" s="99" t="str">
        <f ca="1">IFERROR(__xludf.DUMMYFUNCTION("""COMPUTED_VALUE"""),"HoM Approved")</f>
        <v>HoM Approved</v>
      </c>
    </row>
    <row r="1338" spans="1:11" ht="13.2">
      <c r="A1338" s="89" t="str">
        <f ca="1">IFERROR(__xludf.DUMMYFUNCTION("""COMPUTED_VALUE"""),"Common - USA &amp; Europe Export")</f>
        <v>Common - USA &amp; Europe Export</v>
      </c>
      <c r="B1338" s="90" t="str">
        <f ca="1">IFERROR(__xludf.DUMMYFUNCTION("""COMPUTED_VALUE"""),"USA &amp; Europe")</f>
        <v>USA &amp; Europe</v>
      </c>
      <c r="C1338" s="91" t="str">
        <f ca="1">IFERROR(__xludf.DUMMYFUNCTION("""COMPUTED_VALUE"""),"Saifullah Vai")</f>
        <v>Saifullah Vai</v>
      </c>
      <c r="D1338" s="92" t="str">
        <f ca="1">IFERROR(__xludf.DUMMYFUNCTION("""COMPUTED_VALUE"""),"Md. Ariful Islam (S223037)")</f>
        <v>Md. Ariful Islam (S223037)</v>
      </c>
      <c r="E1338" s="93" t="str">
        <f ca="1">IFERROR(__xludf.DUMMYFUNCTION("""COMPUTED_VALUE"""),"CB22621_Apr26")</f>
        <v>CB22621_Apr26</v>
      </c>
      <c r="F1338" s="94" t="str">
        <f ca="1">IFERROR(__xludf.DUMMYFUNCTION("""COMPUTED_VALUE"""),"Packaging Text Design #2")</f>
        <v>Packaging Text Design #2</v>
      </c>
      <c r="G1338" s="95" t="str">
        <f ca="1">IFERROR(__xludf.DUMMYFUNCTION("""COMPUTED_VALUE"""),"New")</f>
        <v>New</v>
      </c>
      <c r="H1338" s="96">
        <f ca="1">IFERROR(__xludf.DUMMYFUNCTION("""COMPUTED_VALUE"""),1)</f>
        <v>1</v>
      </c>
      <c r="I1338" s="97">
        <f ca="1">IFERROR(__xludf.DUMMYFUNCTION("""COMPUTED_VALUE"""),46158)</f>
        <v>46158</v>
      </c>
      <c r="J1338" s="98" t="str">
        <f ca="1">IFERROR(__xludf.DUMMYFUNCTION("""COMPUTED_VALUE"""),"CW33616_May26")</f>
        <v>CW33616_May26</v>
      </c>
      <c r="K1338" s="99" t="str">
        <f ca="1">IFERROR(__xludf.DUMMYFUNCTION("""COMPUTED_VALUE"""),"HoM Approved")</f>
        <v>HoM Approved</v>
      </c>
    </row>
    <row r="1339" spans="1:11" ht="13.2">
      <c r="A1339" s="89" t="str">
        <f ca="1">IFERROR(__xludf.DUMMYFUNCTION("""COMPUTED_VALUE"""),"PRAN Magic Stick")</f>
        <v>PRAN Magic Stick</v>
      </c>
      <c r="B1339" s="90" t="str">
        <f ca="1">IFERROR(__xludf.DUMMYFUNCTION("""COMPUTED_VALUE"""),"PAL")</f>
        <v>PAL</v>
      </c>
      <c r="C1339" s="91" t="str">
        <f ca="1">IFERROR(__xludf.DUMMYFUNCTION("""COMPUTED_VALUE"""),"Junayed Vai")</f>
        <v>Junayed Vai</v>
      </c>
      <c r="D1339" s="92" t="str">
        <f ca="1">IFERROR(__xludf.DUMMYFUNCTION("""COMPUTED_VALUE"""),"Md. Ariful Islam (S223037)")</f>
        <v>Md. Ariful Islam (S223037)</v>
      </c>
      <c r="E1339" s="93" t="str">
        <f ca="1">IFERROR(__xludf.DUMMYFUNCTION("""COMPUTED_VALUE"""),"CB17963_Feb26")</f>
        <v>CB17963_Feb26</v>
      </c>
      <c r="F1339" s="94" t="str">
        <f ca="1">IFERROR(__xludf.DUMMYFUNCTION("""COMPUTED_VALUE"""),"Packaging Text Design #2")</f>
        <v>Packaging Text Design #2</v>
      </c>
      <c r="G1339" s="95" t="str">
        <f ca="1">IFERROR(__xludf.DUMMYFUNCTION("""COMPUTED_VALUE"""),"New")</f>
        <v>New</v>
      </c>
      <c r="H1339" s="96">
        <f ca="1">IFERROR(__xludf.DUMMYFUNCTION("""COMPUTED_VALUE"""),1)</f>
        <v>1</v>
      </c>
      <c r="I1339" s="97">
        <f ca="1">IFERROR(__xludf.DUMMYFUNCTION("""COMPUTED_VALUE"""),46159)</f>
        <v>46159</v>
      </c>
      <c r="J1339" s="98" t="str">
        <f ca="1">IFERROR(__xludf.DUMMYFUNCTION("""COMPUTED_VALUE"""),"CW33715_May26")</f>
        <v>CW33715_May26</v>
      </c>
      <c r="K1339" s="99" t="str">
        <f ca="1">IFERROR(__xludf.DUMMYFUNCTION("""COMPUTED_VALUE"""),"HoM Approved")</f>
        <v>HoM Approved</v>
      </c>
    </row>
    <row r="1340" spans="1:11" ht="13.2">
      <c r="A1340" s="89" t="str">
        <f ca="1">IFERROR(__xludf.DUMMYFUNCTION("""COMPUTED_VALUE"""),"PRAN Litchi")</f>
        <v>PRAN Litchi</v>
      </c>
      <c r="B1340" s="90" t="str">
        <f ca="1">IFERROR(__xludf.DUMMYFUNCTION("""COMPUTED_VALUE"""),"PAL")</f>
        <v>PAL</v>
      </c>
      <c r="C1340" s="91" t="str">
        <f ca="1">IFERROR(__xludf.DUMMYFUNCTION("""COMPUTED_VALUE"""),"Junayed Vai")</f>
        <v>Junayed Vai</v>
      </c>
      <c r="D1340" s="92" t="str">
        <f ca="1">IFERROR(__xludf.DUMMYFUNCTION("""COMPUTED_VALUE"""),"Md. Ariful Islam (S223037)")</f>
        <v>Md. Ariful Islam (S223037)</v>
      </c>
      <c r="E1340" s="93" t="str">
        <f ca="1">IFERROR(__xludf.DUMMYFUNCTION("""COMPUTED_VALUE"""),"CB15671_Jan26")</f>
        <v>CB15671_Jan26</v>
      </c>
      <c r="F1340" s="94" t="str">
        <f ca="1">IFERROR(__xludf.DUMMYFUNCTION("""COMPUTED_VALUE"""),"Text Sticker Design #2")</f>
        <v>Text Sticker Design #2</v>
      </c>
      <c r="G1340" s="95" t="str">
        <f ca="1">IFERROR(__xludf.DUMMYFUNCTION("""COMPUTED_VALUE"""),"New")</f>
        <v>New</v>
      </c>
      <c r="H1340" s="96">
        <f ca="1">IFERROR(__xludf.DUMMYFUNCTION("""COMPUTED_VALUE"""),4)</f>
        <v>4</v>
      </c>
      <c r="I1340" s="97">
        <f ca="1">IFERROR(__xludf.DUMMYFUNCTION("""COMPUTED_VALUE"""),46159)</f>
        <v>46159</v>
      </c>
      <c r="J1340" s="98" t="str">
        <f ca="1">IFERROR(__xludf.DUMMYFUNCTION("""COMPUTED_VALUE"""),"CW33713_May26")</f>
        <v>CW33713_May26</v>
      </c>
      <c r="K1340" s="99" t="str">
        <f ca="1">IFERROR(__xludf.DUMMYFUNCTION("""COMPUTED_VALUE"""),"Brief Submitted")</f>
        <v>Brief Submitted</v>
      </c>
    </row>
    <row r="1341" spans="1:11" ht="13.2">
      <c r="A1341" s="89" t="str">
        <f ca="1">IFERROR(__xludf.DUMMYFUNCTION("""COMPUTED_VALUE"""),"PRAN Litchi Drink")</f>
        <v>PRAN Litchi Drink</v>
      </c>
      <c r="B1341" s="90" t="str">
        <f ca="1">IFERROR(__xludf.DUMMYFUNCTION("""COMPUTED_VALUE"""),"India")</f>
        <v>India</v>
      </c>
      <c r="C1341" s="91" t="str">
        <f ca="1">IFERROR(__xludf.DUMMYFUNCTION("""COMPUTED_VALUE"""),"Saema Apu")</f>
        <v>Saema Apu</v>
      </c>
      <c r="D1341" s="92" t="str">
        <f ca="1">IFERROR(__xludf.DUMMYFUNCTION("""COMPUTED_VALUE"""),"Md. Ariful Islam (S223037)")</f>
        <v>Md. Ariful Islam (S223037)</v>
      </c>
      <c r="E1341" s="93" t="str">
        <f ca="1">IFERROR(__xludf.DUMMYFUNCTION("""COMPUTED_VALUE"""),"CB23975_May26")</f>
        <v>CB23975_May26</v>
      </c>
      <c r="F1341" s="94" t="str">
        <f ca="1">IFERROR(__xludf.DUMMYFUNCTION("""COMPUTED_VALUE"""),"Document Text Correction")</f>
        <v>Document Text Correction</v>
      </c>
      <c r="G1341" s="95" t="str">
        <f ca="1">IFERROR(__xludf.DUMMYFUNCTION("""COMPUTED_VALUE"""),"New")</f>
        <v>New</v>
      </c>
      <c r="H1341" s="96">
        <f ca="1">IFERROR(__xludf.DUMMYFUNCTION("""COMPUTED_VALUE"""),1)</f>
        <v>1</v>
      </c>
      <c r="I1341" s="97">
        <f ca="1">IFERROR(__xludf.DUMMYFUNCTION("""COMPUTED_VALUE"""),46159)</f>
        <v>46159</v>
      </c>
      <c r="J1341" s="98" t="str">
        <f ca="1">IFERROR(__xludf.DUMMYFUNCTION("""COMPUTED_VALUE"""),"CW33726_May26")</f>
        <v>CW33726_May26</v>
      </c>
      <c r="K1341" s="99" t="str">
        <f ca="1">IFERROR(__xludf.DUMMYFUNCTION("""COMPUTED_VALUE"""),"HoM Approved")</f>
        <v>HoM Approved</v>
      </c>
    </row>
    <row r="1342" spans="1:11" ht="13.2">
      <c r="A1342" s="89" t="str">
        <f ca="1">IFERROR(__xludf.DUMMYFUNCTION("""COMPUTED_VALUE"""),"PRAN Litchi Drink")</f>
        <v>PRAN Litchi Drink</v>
      </c>
      <c r="B1342" s="90" t="str">
        <f ca="1">IFERROR(__xludf.DUMMYFUNCTION("""COMPUTED_VALUE"""),"India")</f>
        <v>India</v>
      </c>
      <c r="C1342" s="91" t="str">
        <f ca="1">IFERROR(__xludf.DUMMYFUNCTION("""COMPUTED_VALUE"""),"Saema Apu")</f>
        <v>Saema Apu</v>
      </c>
      <c r="D1342" s="92" t="str">
        <f ca="1">IFERROR(__xludf.DUMMYFUNCTION("""COMPUTED_VALUE"""),"Md. Ariful Islam (S223037)")</f>
        <v>Md. Ariful Islam (S223037)</v>
      </c>
      <c r="E1342" s="93" t="str">
        <f ca="1">IFERROR(__xludf.DUMMYFUNCTION("""COMPUTED_VALUE"""),"CB23974_May26")</f>
        <v>CB23974_May26</v>
      </c>
      <c r="F1342" s="94" t="str">
        <f ca="1">IFERROR(__xludf.DUMMYFUNCTION("""COMPUTED_VALUE"""),"Document Text Correction")</f>
        <v>Document Text Correction</v>
      </c>
      <c r="G1342" s="95" t="str">
        <f ca="1">IFERROR(__xludf.DUMMYFUNCTION("""COMPUTED_VALUE"""),"New")</f>
        <v>New</v>
      </c>
      <c r="H1342" s="96">
        <f ca="1">IFERROR(__xludf.DUMMYFUNCTION("""COMPUTED_VALUE"""),1)</f>
        <v>1</v>
      </c>
      <c r="I1342" s="97">
        <f ca="1">IFERROR(__xludf.DUMMYFUNCTION("""COMPUTED_VALUE"""),46159)</f>
        <v>46159</v>
      </c>
      <c r="J1342" s="98" t="str">
        <f ca="1">IFERROR(__xludf.DUMMYFUNCTION("""COMPUTED_VALUE"""),"CW33728_May26")</f>
        <v>CW33728_May26</v>
      </c>
      <c r="K1342" s="99" t="str">
        <f ca="1">IFERROR(__xludf.DUMMYFUNCTION("""COMPUTED_VALUE"""),"HoM Approved")</f>
        <v>HoM Approved</v>
      </c>
    </row>
    <row r="1343" spans="1:11" ht="13.2">
      <c r="A1343" s="89" t="str">
        <f ca="1">IFERROR(__xludf.DUMMYFUNCTION("""COMPUTED_VALUE"""),"Pran Potata")</f>
        <v>Pran Potata</v>
      </c>
      <c r="B1343" s="90" t="str">
        <f ca="1">IFERROR(__xludf.DUMMYFUNCTION("""COMPUTED_VALUE"""),"BBL")</f>
        <v>BBL</v>
      </c>
      <c r="C1343" s="91" t="str">
        <f ca="1">IFERROR(__xludf.DUMMYFUNCTION("""COMPUTED_VALUE"""),"Saema Apu")</f>
        <v>Saema Apu</v>
      </c>
      <c r="D1343" s="92" t="str">
        <f ca="1">IFERROR(__xludf.DUMMYFUNCTION("""COMPUTED_VALUE"""),"Md. Ariful Islam (S223037)")</f>
        <v>Md. Ariful Islam (S223037)</v>
      </c>
      <c r="E1343" s="93" t="str">
        <f ca="1">IFERROR(__xludf.DUMMYFUNCTION("""COMPUTED_VALUE"""),"CB24155_May26")</f>
        <v>CB24155_May26</v>
      </c>
      <c r="F1343" s="94" t="str">
        <f ca="1">IFERROR(__xludf.DUMMYFUNCTION("""COMPUTED_VALUE"""),"Document Text Correction")</f>
        <v>Document Text Correction</v>
      </c>
      <c r="G1343" s="95" t="str">
        <f ca="1">IFERROR(__xludf.DUMMYFUNCTION("""COMPUTED_VALUE"""),"New")</f>
        <v>New</v>
      </c>
      <c r="H1343" s="96">
        <f ca="1">IFERROR(__xludf.DUMMYFUNCTION("""COMPUTED_VALUE"""),6)</f>
        <v>6</v>
      </c>
      <c r="I1343" s="97">
        <f ca="1">IFERROR(__xludf.DUMMYFUNCTION("""COMPUTED_VALUE"""),46159)</f>
        <v>46159</v>
      </c>
      <c r="J1343" s="98" t="str">
        <f ca="1">IFERROR(__xludf.DUMMYFUNCTION("""COMPUTED_VALUE"""),"CW33722_May26")</f>
        <v>CW33722_May26</v>
      </c>
      <c r="K1343" s="99" t="str">
        <f ca="1">IFERROR(__xludf.DUMMYFUNCTION("""COMPUTED_VALUE"""),"HoM Approved")</f>
        <v>HoM Approved</v>
      </c>
    </row>
    <row r="1344" spans="1:11" ht="13.2">
      <c r="A1344" s="89" t="str">
        <f ca="1">IFERROR(__xludf.DUMMYFUNCTION("""COMPUTED_VALUE"""),"PRAN Litchi Drink")</f>
        <v>PRAN Litchi Drink</v>
      </c>
      <c r="B1344" s="90" t="str">
        <f ca="1">IFERROR(__xludf.DUMMYFUNCTION("""COMPUTED_VALUE"""),"India")</f>
        <v>India</v>
      </c>
      <c r="C1344" s="91" t="str">
        <f ca="1">IFERROR(__xludf.DUMMYFUNCTION("""COMPUTED_VALUE"""),"Saema Apu")</f>
        <v>Saema Apu</v>
      </c>
      <c r="D1344" s="92" t="str">
        <f ca="1">IFERROR(__xludf.DUMMYFUNCTION("""COMPUTED_VALUE"""),"Md. Ariful Islam (S223037)")</f>
        <v>Md. Ariful Islam (S223037)</v>
      </c>
      <c r="E1344" s="93" t="str">
        <f ca="1">IFERROR(__xludf.DUMMYFUNCTION("""COMPUTED_VALUE"""),"CB23972_May26")</f>
        <v>CB23972_May26</v>
      </c>
      <c r="F1344" s="94" t="str">
        <f ca="1">IFERROR(__xludf.DUMMYFUNCTION("""COMPUTED_VALUE"""),"Document Text Correction")</f>
        <v>Document Text Correction</v>
      </c>
      <c r="G1344" s="95" t="str">
        <f ca="1">IFERROR(__xludf.DUMMYFUNCTION("""COMPUTED_VALUE"""),"New")</f>
        <v>New</v>
      </c>
      <c r="H1344" s="96">
        <f ca="1">IFERROR(__xludf.DUMMYFUNCTION("""COMPUTED_VALUE"""),2)</f>
        <v>2</v>
      </c>
      <c r="I1344" s="97">
        <f ca="1">IFERROR(__xludf.DUMMYFUNCTION("""COMPUTED_VALUE"""),46159)</f>
        <v>46159</v>
      </c>
      <c r="J1344" s="98" t="str">
        <f ca="1">IFERROR(__xludf.DUMMYFUNCTION("""COMPUTED_VALUE"""),"CW33730_May26")</f>
        <v>CW33730_May26</v>
      </c>
      <c r="K1344" s="99" t="str">
        <f ca="1">IFERROR(__xludf.DUMMYFUNCTION("""COMPUTED_VALUE"""),"HoM Approved")</f>
        <v>HoM Approved</v>
      </c>
    </row>
    <row r="1345" spans="1:11" ht="13.2">
      <c r="A1345" s="89" t="str">
        <f ca="1">IFERROR(__xludf.DUMMYFUNCTION("""COMPUTED_VALUE"""),"Divino Chocolate")</f>
        <v>Divino Chocolate</v>
      </c>
      <c r="B1345" s="90" t="str">
        <f ca="1">IFERROR(__xludf.DUMMYFUNCTION("""COMPUTED_VALUE"""),"PCL")</f>
        <v>PCL</v>
      </c>
      <c r="C1345" s="91" t="str">
        <f ca="1">IFERROR(__xludf.DUMMYFUNCTION("""COMPUTED_VALUE"""),"Sohel Vai")</f>
        <v>Sohel Vai</v>
      </c>
      <c r="D1345" s="92" t="str">
        <f ca="1">IFERROR(__xludf.DUMMYFUNCTION("""COMPUTED_VALUE"""),"Md. Ariful Islam (S223037)")</f>
        <v>Md. Ariful Islam (S223037)</v>
      </c>
      <c r="E1345" s="93" t="str">
        <f ca="1">IFERROR(__xludf.DUMMYFUNCTION("""COMPUTED_VALUE"""),"CB22677_Apr26")</f>
        <v>CB22677_Apr26</v>
      </c>
      <c r="F1345" s="94" t="str">
        <f ca="1">IFERROR(__xludf.DUMMYFUNCTION("""COMPUTED_VALUE"""),"Packaging Text Design #2")</f>
        <v>Packaging Text Design #2</v>
      </c>
      <c r="G1345" s="95" t="str">
        <f ca="1">IFERROR(__xludf.DUMMYFUNCTION("""COMPUTED_VALUE"""),"New")</f>
        <v>New</v>
      </c>
      <c r="H1345" s="96">
        <f ca="1">IFERROR(__xludf.DUMMYFUNCTION("""COMPUTED_VALUE"""),1)</f>
        <v>1</v>
      </c>
      <c r="I1345" s="97">
        <f ca="1">IFERROR(__xludf.DUMMYFUNCTION("""COMPUTED_VALUE"""),46159)</f>
        <v>46159</v>
      </c>
      <c r="J1345" s="98" t="str">
        <f ca="1">IFERROR(__xludf.DUMMYFUNCTION("""COMPUTED_VALUE"""),"CW33700_May26")</f>
        <v>CW33700_May26</v>
      </c>
      <c r="K1345" s="99" t="str">
        <f ca="1">IFERROR(__xludf.DUMMYFUNCTION("""COMPUTED_VALUE"""),"HoM Approved")</f>
        <v>HoM Approved</v>
      </c>
    </row>
    <row r="1346" spans="1:11" ht="13.2">
      <c r="A1346" s="89" t="str">
        <f ca="1">IFERROR(__xludf.DUMMYFUNCTION("""COMPUTED_VALUE"""),"PRAN DAIRY LTD. PIP - ALL")</f>
        <v>PRAN DAIRY LTD. PIP - ALL</v>
      </c>
      <c r="B1346" s="90" t="str">
        <f ca="1">IFERROR(__xludf.DUMMYFUNCTION("""COMPUTED_VALUE"""),"Philippines")</f>
        <v>Philippines</v>
      </c>
      <c r="C1346" s="91" t="str">
        <f ca="1">IFERROR(__xludf.DUMMYFUNCTION("""COMPUTED_VALUE"""),"Farjana Apu")</f>
        <v>Farjana Apu</v>
      </c>
      <c r="D1346" s="92" t="str">
        <f ca="1">IFERROR(__xludf.DUMMYFUNCTION("""COMPUTED_VALUE"""),"Md. Ariful Islam (S223037)")</f>
        <v>Md. Ariful Islam (S223037)</v>
      </c>
      <c r="E1346" s="93" t="str">
        <f ca="1">IFERROR(__xludf.DUMMYFUNCTION("""COMPUTED_VALUE"""),"CB24519_May26")</f>
        <v>CB24519_May26</v>
      </c>
      <c r="F1346" s="94" t="str">
        <f ca="1">IFERROR(__xludf.DUMMYFUNCTION("""COMPUTED_VALUE"""),"Document Text Correction")</f>
        <v>Document Text Correction</v>
      </c>
      <c r="G1346" s="95" t="str">
        <f ca="1">IFERROR(__xludf.DUMMYFUNCTION("""COMPUTED_VALUE"""),"New")</f>
        <v>New</v>
      </c>
      <c r="H1346" s="96">
        <f ca="1">IFERROR(__xludf.DUMMYFUNCTION("""COMPUTED_VALUE"""),1)</f>
        <v>1</v>
      </c>
      <c r="I1346" s="97">
        <f ca="1">IFERROR(__xludf.DUMMYFUNCTION("""COMPUTED_VALUE"""),46160)</f>
        <v>46160</v>
      </c>
      <c r="J1346" s="98" t="str">
        <f ca="1">IFERROR(__xludf.DUMMYFUNCTION("""COMPUTED_VALUE"""),"CW33893_May26")</f>
        <v>CW33893_May26</v>
      </c>
      <c r="K1346" s="99" t="str">
        <f ca="1">IFERROR(__xludf.DUMMYFUNCTION("""COMPUTED_VALUE"""),"HoM Approved")</f>
        <v>HoM Approved</v>
      </c>
    </row>
    <row r="1347" spans="1:11" ht="13.2">
      <c r="A1347" s="89" t="str">
        <f ca="1">IFERROR(__xludf.DUMMYFUNCTION("""COMPUTED_VALUE"""),"PRAN Mustard Oil")</f>
        <v>PRAN Mustard Oil</v>
      </c>
      <c r="B1347" s="90" t="str">
        <f ca="1">IFERROR(__xludf.DUMMYFUNCTION("""COMPUTED_VALUE"""),"NAL")</f>
        <v>NAL</v>
      </c>
      <c r="C1347" s="91" t="str">
        <f ca="1">IFERROR(__xludf.DUMMYFUNCTION("""COMPUTED_VALUE"""),"Shamsul Sir")</f>
        <v>Shamsul Sir</v>
      </c>
      <c r="D1347" s="92" t="str">
        <f ca="1">IFERROR(__xludf.DUMMYFUNCTION("""COMPUTED_VALUE"""),"Md. Ariful Islam (S223037)")</f>
        <v>Md. Ariful Islam (S223037)</v>
      </c>
      <c r="E1347" s="93" t="str">
        <f ca="1">IFERROR(__xludf.DUMMYFUNCTION("""COMPUTED_VALUE"""),"CB24564_May26")</f>
        <v>CB24564_May26</v>
      </c>
      <c r="F1347" s="94" t="str">
        <f ca="1">IFERROR(__xludf.DUMMYFUNCTION("""COMPUTED_VALUE"""),"Packaging Text Design #2")</f>
        <v>Packaging Text Design #2</v>
      </c>
      <c r="G1347" s="95" t="str">
        <f ca="1">IFERROR(__xludf.DUMMYFUNCTION("""COMPUTED_VALUE"""),"New")</f>
        <v>New</v>
      </c>
      <c r="H1347" s="96">
        <f ca="1">IFERROR(__xludf.DUMMYFUNCTION("""COMPUTED_VALUE"""),1)</f>
        <v>1</v>
      </c>
      <c r="I1347" s="97">
        <f ca="1">IFERROR(__xludf.DUMMYFUNCTION("""COMPUTED_VALUE"""),46160)</f>
        <v>46160</v>
      </c>
      <c r="J1347" s="98" t="str">
        <f ca="1">IFERROR(__xludf.DUMMYFUNCTION("""COMPUTED_VALUE"""),"CW33935_May26")</f>
        <v>CW33935_May26</v>
      </c>
      <c r="K1347" s="99" t="str">
        <f ca="1">IFERROR(__xludf.DUMMYFUNCTION("""COMPUTED_VALUE"""),"HoM Approved")</f>
        <v>HoM Approved</v>
      </c>
    </row>
    <row r="1348" spans="1:11" ht="13.2">
      <c r="A1348" s="89" t="str">
        <f ca="1">IFERROR(__xludf.DUMMYFUNCTION("""COMPUTED_VALUE"""),"PRAN Love Jello")</f>
        <v>PRAN Love Jello</v>
      </c>
      <c r="B1348" s="90" t="str">
        <f ca="1">IFERROR(__xludf.DUMMYFUNCTION("""COMPUTED_VALUE"""),"PAL")</f>
        <v>PAL</v>
      </c>
      <c r="C1348" s="91" t="str">
        <f ca="1">IFERROR(__xludf.DUMMYFUNCTION("""COMPUTED_VALUE"""),"Junayed Vai")</f>
        <v>Junayed Vai</v>
      </c>
      <c r="D1348" s="92" t="str">
        <f ca="1">IFERROR(__xludf.DUMMYFUNCTION("""COMPUTED_VALUE"""),"Md. Ariful Islam (S223037)")</f>
        <v>Md. Ariful Islam (S223037)</v>
      </c>
      <c r="E1348" s="93" t="str">
        <f ca="1">IFERROR(__xludf.DUMMYFUNCTION("""COMPUTED_VALUE"""),"CB22921_Apr26")</f>
        <v>CB22921_Apr26</v>
      </c>
      <c r="F1348" s="94" t="str">
        <f ca="1">IFERROR(__xludf.DUMMYFUNCTION("""COMPUTED_VALUE"""),"Packaging Text Design #2")</f>
        <v>Packaging Text Design #2</v>
      </c>
      <c r="G1348" s="95" t="str">
        <f ca="1">IFERROR(__xludf.DUMMYFUNCTION("""COMPUTED_VALUE"""),"New")</f>
        <v>New</v>
      </c>
      <c r="H1348" s="96">
        <f ca="1">IFERROR(__xludf.DUMMYFUNCTION("""COMPUTED_VALUE"""),4)</f>
        <v>4</v>
      </c>
      <c r="I1348" s="97">
        <f ca="1">IFERROR(__xludf.DUMMYFUNCTION("""COMPUTED_VALUE"""),46162)</f>
        <v>46162</v>
      </c>
      <c r="J1348" s="98" t="str">
        <f ca="1">IFERROR(__xludf.DUMMYFUNCTION("""COMPUTED_VALUE"""),"CW34189_May26")</f>
        <v>CW34189_May26</v>
      </c>
      <c r="K1348" s="99" t="str">
        <f ca="1">IFERROR(__xludf.DUMMYFUNCTION("""COMPUTED_VALUE"""),"Brief Submitted")</f>
        <v>Brief Submitted</v>
      </c>
    </row>
    <row r="1349" spans="1:11" ht="13.2">
      <c r="A1349" s="89" t="str">
        <f ca="1">IFERROR(__xludf.DUMMYFUNCTION("""COMPUTED_VALUE"""),"MAL ALL")</f>
        <v>MAL ALL</v>
      </c>
      <c r="B1349" s="90" t="str">
        <f ca="1">IFERROR(__xludf.DUMMYFUNCTION("""COMPUTED_VALUE"""),"Philippines")</f>
        <v>Philippines</v>
      </c>
      <c r="C1349" s="91" t="str">
        <f ca="1">IFERROR(__xludf.DUMMYFUNCTION("""COMPUTED_VALUE"""),"Farjana Apu")</f>
        <v>Farjana Apu</v>
      </c>
      <c r="D1349" s="92" t="str">
        <f ca="1">IFERROR(__xludf.DUMMYFUNCTION("""COMPUTED_VALUE"""),"Md. Ariful Islam (S223037)")</f>
        <v>Md. Ariful Islam (S223037)</v>
      </c>
      <c r="E1349" s="93" t="str">
        <f ca="1">IFERROR(__xludf.DUMMYFUNCTION("""COMPUTED_VALUE"""),"CB24581_May26")</f>
        <v>CB24581_May26</v>
      </c>
      <c r="F1349" s="94" t="str">
        <f ca="1">IFERROR(__xludf.DUMMYFUNCTION("""COMPUTED_VALUE"""),"Document Text Correction")</f>
        <v>Document Text Correction</v>
      </c>
      <c r="G1349" s="95" t="str">
        <f ca="1">IFERROR(__xludf.DUMMYFUNCTION("""COMPUTED_VALUE"""),"New")</f>
        <v>New</v>
      </c>
      <c r="H1349" s="96">
        <f ca="1">IFERROR(__xludf.DUMMYFUNCTION("""COMPUTED_VALUE"""),1)</f>
        <v>1</v>
      </c>
      <c r="I1349" s="97">
        <f ca="1">IFERROR(__xludf.DUMMYFUNCTION("""COMPUTED_VALUE"""),46163)</f>
        <v>46163</v>
      </c>
      <c r="J1349" s="98" t="str">
        <f ca="1">IFERROR(__xludf.DUMMYFUNCTION("""COMPUTED_VALUE"""),"CW34380_May26")</f>
        <v>CW34380_May26</v>
      </c>
      <c r="K1349" s="99" t="str">
        <f ca="1">IFERROR(__xludf.DUMMYFUNCTION("""COMPUTED_VALUE"""),"Brief Submitted")</f>
        <v>Brief Submitted</v>
      </c>
    </row>
    <row r="1350" spans="1:11" ht="13.2">
      <c r="A1350" s="89" t="str">
        <f ca="1">IFERROR(__xludf.DUMMYFUNCTION("""COMPUTED_VALUE"""),"Bisk Club Dry Cake")</f>
        <v>Bisk Club Dry Cake</v>
      </c>
      <c r="B1350" s="90" t="str">
        <f ca="1">IFERROR(__xludf.DUMMYFUNCTION("""COMPUTED_VALUE"""),"BBL")</f>
        <v>BBL</v>
      </c>
      <c r="C1350" s="91" t="str">
        <f ca="1">IFERROR(__xludf.DUMMYFUNCTION("""COMPUTED_VALUE"""),"Tamim Vai")</f>
        <v>Tamim Vai</v>
      </c>
      <c r="D1350" s="92" t="str">
        <f ca="1">IFERROR(__xludf.DUMMYFUNCTION("""COMPUTED_VALUE"""),"Md. Ariful Islam (S223037)")</f>
        <v>Md. Ariful Islam (S223037)</v>
      </c>
      <c r="E1350" s="93" t="str">
        <f ca="1">IFERROR(__xludf.DUMMYFUNCTION("""COMPUTED_VALUE"""),"CB24845_May26")</f>
        <v>CB24845_May26</v>
      </c>
      <c r="F1350" s="94" t="str">
        <f ca="1">IFERROR(__xludf.DUMMYFUNCTION("""COMPUTED_VALUE"""),"Packaging Text Design #1")</f>
        <v>Packaging Text Design #1</v>
      </c>
      <c r="G1350" s="95" t="str">
        <f ca="1">IFERROR(__xludf.DUMMYFUNCTION("""COMPUTED_VALUE"""),"New")</f>
        <v>New</v>
      </c>
      <c r="H1350" s="96">
        <f ca="1">IFERROR(__xludf.DUMMYFUNCTION("""COMPUTED_VALUE"""),1)</f>
        <v>1</v>
      </c>
      <c r="I1350" s="97">
        <f ca="1">IFERROR(__xludf.DUMMYFUNCTION("""COMPUTED_VALUE"""),46163)</f>
        <v>46163</v>
      </c>
      <c r="J1350" s="98" t="str">
        <f ca="1">IFERROR(__xludf.DUMMYFUNCTION("""COMPUTED_VALUE"""),"CW34360_May26")</f>
        <v>CW34360_May26</v>
      </c>
      <c r="K1350" s="99" t="str">
        <f ca="1">IFERROR(__xludf.DUMMYFUNCTION("""COMPUTED_VALUE"""),"HoM Approved")</f>
        <v>HoM Approved</v>
      </c>
    </row>
    <row r="1351" spans="1:11" ht="13.2">
      <c r="A1351" s="89" t="str">
        <f ca="1">IFERROR(__xludf.DUMMYFUNCTION("""COMPUTED_VALUE"""),"PRAN Spice Powder")</f>
        <v>PRAN Spice Powder</v>
      </c>
      <c r="B1351" s="90" t="str">
        <f ca="1">IFERROR(__xludf.DUMMYFUNCTION("""COMPUTED_VALUE"""),"Malaysia")</f>
        <v>Malaysia</v>
      </c>
      <c r="C1351" s="91" t="str">
        <f ca="1">IFERROR(__xludf.DUMMYFUNCTION("""COMPUTED_VALUE"""),"Zahirul Vai")</f>
        <v>Zahirul Vai</v>
      </c>
      <c r="D1351" s="92" t="str">
        <f ca="1">IFERROR(__xludf.DUMMYFUNCTION("""COMPUTED_VALUE"""),"Md. Ariful Islam (S223037)")</f>
        <v>Md. Ariful Islam (S223037)</v>
      </c>
      <c r="E1351" s="93" t="str">
        <f ca="1">IFERROR(__xludf.DUMMYFUNCTION("""COMPUTED_VALUE"""),"CB24838_May26")</f>
        <v>CB24838_May26</v>
      </c>
      <c r="F1351" s="94" t="str">
        <f ca="1">IFERROR(__xludf.DUMMYFUNCTION("""COMPUTED_VALUE"""),"FOP Sticker Making")</f>
        <v>FOP Sticker Making</v>
      </c>
      <c r="G1351" s="95" t="str">
        <f ca="1">IFERROR(__xludf.DUMMYFUNCTION("""COMPUTED_VALUE"""),"New")</f>
        <v>New</v>
      </c>
      <c r="H1351" s="96">
        <f ca="1">IFERROR(__xludf.DUMMYFUNCTION("""COMPUTED_VALUE"""),7)</f>
        <v>7</v>
      </c>
      <c r="I1351" s="97">
        <f ca="1">IFERROR(__xludf.DUMMYFUNCTION("""COMPUTED_VALUE"""),46163)</f>
        <v>46163</v>
      </c>
      <c r="J1351" s="98" t="str">
        <f ca="1">IFERROR(__xludf.DUMMYFUNCTION("""COMPUTED_VALUE"""),"CW34359_May26")</f>
        <v>CW34359_May26</v>
      </c>
      <c r="K1351" s="99" t="str">
        <f ca="1">IFERROR(__xludf.DUMMYFUNCTION("""COMPUTED_VALUE"""),"Brief Submitted")</f>
        <v>Brief Submitted</v>
      </c>
    </row>
    <row r="1352" spans="1:11" ht="13.2">
      <c r="A1352" s="89" t="str">
        <f ca="1">IFERROR(__xludf.DUMMYFUNCTION("""COMPUTED_VALUE"""),"PRAN DAIRY LTD. PIP - ALL")</f>
        <v>PRAN DAIRY LTD. PIP - ALL</v>
      </c>
      <c r="B1352" s="90" t="str">
        <f ca="1">IFERROR(__xludf.DUMMYFUNCTION("""COMPUTED_VALUE"""),"Philippines")</f>
        <v>Philippines</v>
      </c>
      <c r="C1352" s="91" t="str">
        <f ca="1">IFERROR(__xludf.DUMMYFUNCTION("""COMPUTED_VALUE"""),"Farjana Apu")</f>
        <v>Farjana Apu</v>
      </c>
      <c r="D1352" s="92" t="str">
        <f ca="1">IFERROR(__xludf.DUMMYFUNCTION("""COMPUTED_VALUE"""),"Md. Ariful Islam (S223037)")</f>
        <v>Md. Ariful Islam (S223037)</v>
      </c>
      <c r="E1352" s="93" t="str">
        <f ca="1">IFERROR(__xludf.DUMMYFUNCTION("""COMPUTED_VALUE"""),"CB24595_May26")</f>
        <v>CB24595_May26</v>
      </c>
      <c r="F1352" s="94" t="str">
        <f ca="1">IFERROR(__xludf.DUMMYFUNCTION("""COMPUTED_VALUE"""),"Document Text Correction")</f>
        <v>Document Text Correction</v>
      </c>
      <c r="G1352" s="95" t="str">
        <f ca="1">IFERROR(__xludf.DUMMYFUNCTION("""COMPUTED_VALUE"""),"New")</f>
        <v>New</v>
      </c>
      <c r="H1352" s="96">
        <f ca="1">IFERROR(__xludf.DUMMYFUNCTION("""COMPUTED_VALUE"""),1)</f>
        <v>1</v>
      </c>
      <c r="I1352" s="97">
        <f ca="1">IFERROR(__xludf.DUMMYFUNCTION("""COMPUTED_VALUE"""),46164)</f>
        <v>46164</v>
      </c>
      <c r="J1352" s="98" t="str">
        <f ca="1">IFERROR(__xludf.DUMMYFUNCTION("""COMPUTED_VALUE"""),"CW34492_May26")</f>
        <v>CW34492_May26</v>
      </c>
      <c r="K1352" s="99" t="str">
        <f ca="1">IFERROR(__xludf.DUMMYFUNCTION("""COMPUTED_VALUE"""),"Brief Submitted")</f>
        <v>Brief Submitted</v>
      </c>
    </row>
    <row r="1353" spans="1:11" ht="13.2">
      <c r="A1353" s="89"/>
      <c r="B1353" s="90"/>
      <c r="C1353" s="91"/>
      <c r="D1353" s="92"/>
      <c r="E1353" s="93"/>
      <c r="F1353" s="94"/>
      <c r="G1353" s="95"/>
      <c r="H1353" s="96"/>
      <c r="I1353" s="97"/>
      <c r="J1353" s="98"/>
      <c r="K1353" s="99"/>
    </row>
    <row r="1354" spans="1:11" ht="13.2">
      <c r="A1354" s="89"/>
      <c r="B1354" s="90"/>
      <c r="C1354" s="91"/>
      <c r="D1354" s="92"/>
      <c r="E1354" s="93"/>
      <c r="F1354" s="94"/>
      <c r="G1354" s="95"/>
      <c r="H1354" s="96"/>
      <c r="I1354" s="97"/>
      <c r="J1354" s="98"/>
      <c r="K1354" s="99"/>
    </row>
    <row r="1355" spans="1:11" ht="13.2">
      <c r="A1355" s="89"/>
      <c r="B1355" s="90"/>
      <c r="C1355" s="91"/>
      <c r="D1355" s="92"/>
      <c r="E1355" s="93"/>
      <c r="F1355" s="94"/>
      <c r="G1355" s="95"/>
      <c r="H1355" s="96"/>
      <c r="I1355" s="97"/>
      <c r="J1355" s="98"/>
      <c r="K1355" s="99"/>
    </row>
    <row r="1356" spans="1:11" ht="13.2">
      <c r="A1356" s="89"/>
      <c r="B1356" s="90"/>
      <c r="C1356" s="91"/>
      <c r="D1356" s="92"/>
      <c r="E1356" s="93"/>
      <c r="F1356" s="94"/>
      <c r="G1356" s="95"/>
      <c r="H1356" s="96"/>
      <c r="I1356" s="97"/>
      <c r="J1356" s="98"/>
      <c r="K1356" s="99"/>
    </row>
    <row r="1357" spans="1:11" ht="13.2">
      <c r="A1357" s="89"/>
      <c r="B1357" s="90"/>
      <c r="C1357" s="91"/>
      <c r="D1357" s="92"/>
      <c r="E1357" s="93"/>
      <c r="F1357" s="94"/>
      <c r="G1357" s="95"/>
      <c r="H1357" s="96"/>
      <c r="I1357" s="97"/>
      <c r="J1357" s="98"/>
      <c r="K1357" s="99"/>
    </row>
    <row r="1358" spans="1:11" ht="13.2">
      <c r="A1358" s="89"/>
      <c r="B1358" s="90"/>
      <c r="C1358" s="91"/>
      <c r="D1358" s="92"/>
      <c r="E1358" s="93"/>
      <c r="F1358" s="94"/>
      <c r="G1358" s="95"/>
      <c r="H1358" s="96"/>
      <c r="I1358" s="97"/>
      <c r="J1358" s="98"/>
      <c r="K1358" s="99"/>
    </row>
    <row r="1359" spans="1:11" ht="13.2">
      <c r="A1359" s="89"/>
      <c r="B1359" s="90"/>
      <c r="C1359" s="91"/>
      <c r="D1359" s="92"/>
      <c r="E1359" s="93"/>
      <c r="F1359" s="94"/>
      <c r="G1359" s="95"/>
      <c r="H1359" s="96"/>
      <c r="I1359" s="97"/>
      <c r="J1359" s="98"/>
      <c r="K1359" s="99"/>
    </row>
    <row r="1360" spans="1:11" ht="13.2">
      <c r="A1360" s="89"/>
      <c r="B1360" s="90"/>
      <c r="C1360" s="91"/>
      <c r="D1360" s="92"/>
      <c r="E1360" s="93"/>
      <c r="F1360" s="94"/>
      <c r="G1360" s="95"/>
      <c r="H1360" s="96"/>
      <c r="I1360" s="97"/>
      <c r="J1360" s="98"/>
      <c r="K1360" s="99"/>
    </row>
    <row r="1361" spans="1:11" ht="13.2">
      <c r="A1361" s="89"/>
      <c r="B1361" s="90"/>
      <c r="C1361" s="91"/>
      <c r="D1361" s="92"/>
      <c r="E1361" s="93"/>
      <c r="F1361" s="94"/>
      <c r="G1361" s="95"/>
      <c r="H1361" s="96"/>
      <c r="I1361" s="97"/>
      <c r="J1361" s="98"/>
      <c r="K1361" s="99"/>
    </row>
    <row r="1362" spans="1:11" ht="13.2">
      <c r="A1362" s="89"/>
      <c r="B1362" s="90"/>
      <c r="C1362" s="91"/>
      <c r="D1362" s="92"/>
      <c r="E1362" s="93"/>
      <c r="F1362" s="94"/>
      <c r="G1362" s="95"/>
      <c r="H1362" s="96"/>
      <c r="I1362" s="97"/>
      <c r="J1362" s="98"/>
      <c r="K1362" s="99"/>
    </row>
    <row r="1363" spans="1:11" ht="13.2">
      <c r="A1363" s="89"/>
      <c r="B1363" s="90"/>
      <c r="C1363" s="91"/>
      <c r="D1363" s="92"/>
      <c r="E1363" s="93"/>
      <c r="F1363" s="94"/>
      <c r="G1363" s="95"/>
      <c r="H1363" s="96"/>
      <c r="I1363" s="97"/>
      <c r="J1363" s="98"/>
      <c r="K1363" s="99"/>
    </row>
    <row r="1364" spans="1:11" ht="13.2">
      <c r="A1364" s="89"/>
      <c r="B1364" s="90"/>
      <c r="C1364" s="91"/>
      <c r="D1364" s="92"/>
      <c r="E1364" s="93"/>
      <c r="F1364" s="94"/>
      <c r="G1364" s="95"/>
      <c r="H1364" s="96"/>
      <c r="I1364" s="97"/>
      <c r="J1364" s="98"/>
      <c r="K1364" s="99"/>
    </row>
    <row r="1365" spans="1:11" ht="13.2">
      <c r="A1365" s="89"/>
      <c r="B1365" s="90"/>
      <c r="C1365" s="91"/>
      <c r="D1365" s="92"/>
      <c r="E1365" s="93"/>
      <c r="F1365" s="94"/>
      <c r="G1365" s="95"/>
      <c r="H1365" s="96"/>
      <c r="I1365" s="97"/>
      <c r="J1365" s="98"/>
      <c r="K1365" s="99"/>
    </row>
    <row r="1366" spans="1:11" ht="13.2">
      <c r="A1366" s="89"/>
      <c r="B1366" s="90"/>
      <c r="C1366" s="91"/>
      <c r="D1366" s="92"/>
      <c r="E1366" s="93"/>
      <c r="F1366" s="94"/>
      <c r="G1366" s="95"/>
      <c r="H1366" s="96"/>
      <c r="I1366" s="97"/>
      <c r="J1366" s="98"/>
      <c r="K1366" s="99"/>
    </row>
    <row r="1367" spans="1:11" ht="13.2">
      <c r="A1367" s="89"/>
      <c r="B1367" s="90"/>
      <c r="C1367" s="91"/>
      <c r="D1367" s="92"/>
      <c r="E1367" s="93"/>
      <c r="F1367" s="94"/>
      <c r="G1367" s="95"/>
      <c r="H1367" s="96"/>
      <c r="I1367" s="97"/>
      <c r="J1367" s="98"/>
      <c r="K1367" s="99"/>
    </row>
    <row r="1368" spans="1:11" ht="13.2">
      <c r="A1368" s="89"/>
      <c r="B1368" s="90"/>
      <c r="C1368" s="91"/>
      <c r="D1368" s="92"/>
      <c r="E1368" s="93"/>
      <c r="F1368" s="94"/>
      <c r="G1368" s="95"/>
      <c r="H1368" s="96"/>
      <c r="I1368" s="97"/>
      <c r="J1368" s="98"/>
      <c r="K1368" s="99"/>
    </row>
    <row r="1369" spans="1:11" ht="13.2">
      <c r="A1369" s="89"/>
      <c r="B1369" s="90"/>
      <c r="C1369" s="91"/>
      <c r="D1369" s="92"/>
      <c r="E1369" s="93"/>
      <c r="F1369" s="94"/>
      <c r="G1369" s="95"/>
      <c r="H1369" s="96"/>
      <c r="I1369" s="97"/>
      <c r="J1369" s="98"/>
      <c r="K1369" s="99"/>
    </row>
    <row r="1370" spans="1:11" ht="13.2">
      <c r="A1370" s="89"/>
      <c r="B1370" s="90"/>
      <c r="C1370" s="91"/>
      <c r="D1370" s="92"/>
      <c r="E1370" s="93"/>
      <c r="F1370" s="94"/>
      <c r="G1370" s="95"/>
      <c r="H1370" s="96"/>
      <c r="I1370" s="97"/>
      <c r="J1370" s="98"/>
      <c r="K1370" s="99"/>
    </row>
    <row r="1371" spans="1:11" ht="13.2">
      <c r="A1371" s="89"/>
      <c r="B1371" s="90"/>
      <c r="C1371" s="91"/>
      <c r="D1371" s="92"/>
      <c r="E1371" s="93"/>
      <c r="F1371" s="94"/>
      <c r="G1371" s="95"/>
      <c r="H1371" s="96"/>
      <c r="I1371" s="97"/>
      <c r="J1371" s="98"/>
      <c r="K1371" s="99"/>
    </row>
    <row r="1372" spans="1:11" ht="13.2">
      <c r="A1372" s="89"/>
      <c r="B1372" s="90"/>
      <c r="C1372" s="91"/>
      <c r="D1372" s="92"/>
      <c r="E1372" s="93"/>
      <c r="F1372" s="94"/>
      <c r="G1372" s="95"/>
      <c r="H1372" s="96"/>
      <c r="I1372" s="97"/>
      <c r="J1372" s="98"/>
      <c r="K1372" s="99"/>
    </row>
    <row r="1373" spans="1:11" ht="13.2">
      <c r="A1373" s="89"/>
      <c r="B1373" s="90"/>
      <c r="C1373" s="91"/>
      <c r="D1373" s="92"/>
      <c r="E1373" s="93"/>
      <c r="F1373" s="94"/>
      <c r="G1373" s="95"/>
      <c r="H1373" s="96"/>
      <c r="I1373" s="97"/>
      <c r="J1373" s="98"/>
      <c r="K1373" s="99"/>
    </row>
    <row r="1374" spans="1:11" ht="13.2">
      <c r="A1374" s="89"/>
      <c r="B1374" s="90"/>
      <c r="C1374" s="91"/>
      <c r="D1374" s="92"/>
      <c r="E1374" s="93"/>
      <c r="F1374" s="94"/>
      <c r="G1374" s="95"/>
      <c r="H1374" s="96"/>
      <c r="I1374" s="97"/>
      <c r="J1374" s="98"/>
      <c r="K1374" s="99"/>
    </row>
    <row r="1375" spans="1:11" ht="13.2">
      <c r="A1375" s="89"/>
      <c r="B1375" s="90"/>
      <c r="C1375" s="91"/>
      <c r="D1375" s="92"/>
      <c r="E1375" s="93"/>
      <c r="F1375" s="94"/>
      <c r="G1375" s="95"/>
      <c r="H1375" s="96"/>
      <c r="I1375" s="97"/>
      <c r="J1375" s="98"/>
      <c r="K1375" s="99"/>
    </row>
    <row r="1376" spans="1:11" ht="13.2">
      <c r="A1376" s="89"/>
      <c r="B1376" s="90"/>
      <c r="C1376" s="91"/>
      <c r="D1376" s="92"/>
      <c r="E1376" s="93"/>
      <c r="F1376" s="94"/>
      <c r="G1376" s="95"/>
      <c r="H1376" s="96"/>
      <c r="I1376" s="97"/>
      <c r="J1376" s="98"/>
      <c r="K1376" s="99"/>
    </row>
    <row r="1377" spans="1:11" ht="13.2">
      <c r="A1377" s="89"/>
      <c r="B1377" s="90"/>
      <c r="C1377" s="91"/>
      <c r="D1377" s="92"/>
      <c r="E1377" s="93"/>
      <c r="F1377" s="94"/>
      <c r="G1377" s="95"/>
      <c r="H1377" s="96"/>
      <c r="I1377" s="97"/>
      <c r="J1377" s="98"/>
      <c r="K1377" s="99"/>
    </row>
    <row r="1378" spans="1:11" ht="13.2">
      <c r="A1378" s="89"/>
      <c r="B1378" s="90"/>
      <c r="C1378" s="91"/>
      <c r="D1378" s="92"/>
      <c r="E1378" s="93"/>
      <c r="F1378" s="94"/>
      <c r="G1378" s="95"/>
      <c r="H1378" s="96"/>
      <c r="I1378" s="97"/>
      <c r="J1378" s="98"/>
      <c r="K1378" s="99"/>
    </row>
    <row r="1379" spans="1:11" ht="13.2">
      <c r="A1379" s="89"/>
      <c r="B1379" s="90"/>
      <c r="C1379" s="91"/>
      <c r="D1379" s="92"/>
      <c r="E1379" s="93"/>
      <c r="F1379" s="94"/>
      <c r="G1379" s="95"/>
      <c r="H1379" s="96"/>
      <c r="I1379" s="97"/>
      <c r="J1379" s="98"/>
      <c r="K1379" s="99"/>
    </row>
    <row r="1380" spans="1:11" ht="13.2">
      <c r="A1380" s="89"/>
      <c r="B1380" s="90"/>
      <c r="C1380" s="91"/>
      <c r="D1380" s="92"/>
      <c r="E1380" s="93"/>
      <c r="F1380" s="94"/>
      <c r="G1380" s="95"/>
      <c r="H1380" s="96"/>
      <c r="I1380" s="97"/>
      <c r="J1380" s="98"/>
      <c r="K1380" s="99"/>
    </row>
    <row r="1381" spans="1:11" ht="13.2">
      <c r="A1381" s="89"/>
      <c r="B1381" s="90"/>
      <c r="C1381" s="91"/>
      <c r="D1381" s="92"/>
      <c r="E1381" s="93"/>
      <c r="F1381" s="94"/>
      <c r="G1381" s="95"/>
      <c r="H1381" s="96"/>
      <c r="I1381" s="97"/>
      <c r="J1381" s="98"/>
      <c r="K1381" s="99"/>
    </row>
    <row r="1382" spans="1:11" ht="13.2">
      <c r="A1382" s="89"/>
      <c r="B1382" s="90"/>
      <c r="C1382" s="91"/>
      <c r="D1382" s="92"/>
      <c r="E1382" s="93"/>
      <c r="F1382" s="94"/>
      <c r="G1382" s="95"/>
      <c r="H1382" s="96"/>
      <c r="I1382" s="97"/>
      <c r="J1382" s="98"/>
      <c r="K1382" s="99"/>
    </row>
    <row r="1383" spans="1:11" ht="13.2">
      <c r="A1383" s="89"/>
      <c r="B1383" s="90"/>
      <c r="C1383" s="91"/>
      <c r="D1383" s="92"/>
      <c r="E1383" s="93"/>
      <c r="F1383" s="94"/>
      <c r="G1383" s="95"/>
      <c r="H1383" s="96"/>
      <c r="I1383" s="97"/>
      <c r="J1383" s="98"/>
      <c r="K1383" s="99"/>
    </row>
    <row r="1384" spans="1:11" ht="13.2">
      <c r="A1384" s="89"/>
      <c r="B1384" s="90"/>
      <c r="C1384" s="91"/>
      <c r="D1384" s="92"/>
      <c r="E1384" s="93"/>
      <c r="F1384" s="94"/>
      <c r="G1384" s="95"/>
      <c r="H1384" s="96"/>
      <c r="I1384" s="97"/>
      <c r="J1384" s="98"/>
      <c r="K1384" s="99"/>
    </row>
    <row r="1385" spans="1:11" ht="13.2">
      <c r="A1385" s="89"/>
      <c r="B1385" s="90"/>
      <c r="C1385" s="91"/>
      <c r="D1385" s="92"/>
      <c r="E1385" s="93"/>
      <c r="F1385" s="94"/>
      <c r="G1385" s="95"/>
      <c r="H1385" s="96"/>
      <c r="I1385" s="97"/>
      <c r="J1385" s="98"/>
      <c r="K1385" s="99"/>
    </row>
    <row r="1386" spans="1:11" ht="13.2">
      <c r="A1386" s="89"/>
      <c r="B1386" s="90"/>
      <c r="C1386" s="91"/>
      <c r="D1386" s="92"/>
      <c r="E1386" s="93"/>
      <c r="F1386" s="94"/>
      <c r="G1386" s="95"/>
      <c r="H1386" s="96"/>
      <c r="I1386" s="97"/>
      <c r="J1386" s="98"/>
      <c r="K1386" s="99"/>
    </row>
    <row r="1387" spans="1:11" ht="13.2">
      <c r="A1387" s="89"/>
      <c r="B1387" s="90"/>
      <c r="C1387" s="91"/>
      <c r="D1387" s="92"/>
      <c r="E1387" s="93"/>
      <c r="F1387" s="94"/>
      <c r="G1387" s="95"/>
      <c r="H1387" s="96"/>
      <c r="I1387" s="97"/>
      <c r="J1387" s="98"/>
      <c r="K1387" s="99"/>
    </row>
    <row r="1388" spans="1:11" ht="13.2">
      <c r="A1388" s="89"/>
      <c r="B1388" s="90"/>
      <c r="C1388" s="91"/>
      <c r="D1388" s="92"/>
      <c r="E1388" s="93"/>
      <c r="F1388" s="94"/>
      <c r="G1388" s="95"/>
      <c r="H1388" s="96"/>
      <c r="I1388" s="97"/>
      <c r="J1388" s="98"/>
      <c r="K1388" s="99"/>
    </row>
    <row r="1389" spans="1:11" ht="13.2">
      <c r="A1389" s="89"/>
      <c r="B1389" s="90"/>
      <c r="C1389" s="91"/>
      <c r="D1389" s="92"/>
      <c r="E1389" s="93"/>
      <c r="F1389" s="94"/>
      <c r="G1389" s="95"/>
      <c r="H1389" s="96"/>
      <c r="I1389" s="97"/>
      <c r="J1389" s="98"/>
      <c r="K1389" s="99"/>
    </row>
    <row r="1390" spans="1:11" ht="13.2">
      <c r="A1390" s="89"/>
      <c r="B1390" s="90"/>
      <c r="C1390" s="91"/>
      <c r="D1390" s="92"/>
      <c r="E1390" s="93"/>
      <c r="F1390" s="94"/>
      <c r="G1390" s="95"/>
      <c r="H1390" s="96"/>
      <c r="I1390" s="97"/>
      <c r="J1390" s="98"/>
      <c r="K1390" s="99"/>
    </row>
    <row r="1391" spans="1:11" ht="13.2">
      <c r="A1391" s="89"/>
      <c r="B1391" s="90"/>
      <c r="C1391" s="91"/>
      <c r="D1391" s="92"/>
      <c r="E1391" s="93"/>
      <c r="F1391" s="94"/>
      <c r="G1391" s="95"/>
      <c r="H1391" s="96"/>
      <c r="I1391" s="97"/>
      <c r="J1391" s="98"/>
      <c r="K1391" s="99"/>
    </row>
    <row r="1392" spans="1:11" ht="13.2">
      <c r="A1392" s="89"/>
      <c r="B1392" s="90"/>
      <c r="C1392" s="91"/>
      <c r="D1392" s="92"/>
      <c r="E1392" s="93"/>
      <c r="F1392" s="94"/>
      <c r="G1392" s="95"/>
      <c r="H1392" s="96"/>
      <c r="I1392" s="97"/>
      <c r="J1392" s="98"/>
      <c r="K1392" s="99"/>
    </row>
    <row r="1393" spans="1:11" ht="13.2">
      <c r="A1393" s="89"/>
      <c r="B1393" s="90"/>
      <c r="C1393" s="91"/>
      <c r="D1393" s="92"/>
      <c r="E1393" s="93"/>
      <c r="F1393" s="94"/>
      <c r="G1393" s="95"/>
      <c r="H1393" s="96"/>
      <c r="I1393" s="97"/>
      <c r="J1393" s="98"/>
      <c r="K1393" s="99"/>
    </row>
    <row r="1394" spans="1:11" ht="13.2">
      <c r="A1394" s="89"/>
      <c r="B1394" s="90"/>
      <c r="C1394" s="91"/>
      <c r="D1394" s="92"/>
      <c r="E1394" s="93"/>
      <c r="F1394" s="94"/>
      <c r="G1394" s="95"/>
      <c r="H1394" s="96"/>
      <c r="I1394" s="97"/>
      <c r="J1394" s="98"/>
      <c r="K1394" s="99"/>
    </row>
    <row r="1395" spans="1:11" ht="13.2">
      <c r="A1395" s="89"/>
      <c r="B1395" s="90"/>
      <c r="C1395" s="91"/>
      <c r="D1395" s="92"/>
      <c r="E1395" s="93"/>
      <c r="F1395" s="94"/>
      <c r="G1395" s="95"/>
      <c r="H1395" s="96"/>
      <c r="I1395" s="97"/>
      <c r="J1395" s="98"/>
      <c r="K1395" s="99"/>
    </row>
    <row r="1396" spans="1:11" ht="13.2">
      <c r="A1396" s="89"/>
      <c r="B1396" s="90"/>
      <c r="C1396" s="91"/>
      <c r="D1396" s="92"/>
      <c r="E1396" s="93"/>
      <c r="F1396" s="94"/>
      <c r="G1396" s="95"/>
      <c r="H1396" s="96"/>
      <c r="I1396" s="97"/>
      <c r="J1396" s="98"/>
      <c r="K1396" s="99"/>
    </row>
    <row r="1397" spans="1:11" ht="13.2">
      <c r="A1397" s="89"/>
      <c r="B1397" s="90"/>
      <c r="C1397" s="91"/>
      <c r="D1397" s="92"/>
      <c r="E1397" s="93"/>
      <c r="F1397" s="94"/>
      <c r="G1397" s="95"/>
      <c r="H1397" s="96"/>
      <c r="I1397" s="97"/>
      <c r="J1397" s="98"/>
      <c r="K1397" s="99"/>
    </row>
    <row r="1398" spans="1:11" ht="13.2">
      <c r="A1398" s="89"/>
      <c r="B1398" s="90"/>
      <c r="C1398" s="91"/>
      <c r="D1398" s="92"/>
      <c r="E1398" s="93"/>
      <c r="F1398" s="94"/>
      <c r="G1398" s="95"/>
      <c r="H1398" s="96"/>
      <c r="I1398" s="97"/>
      <c r="J1398" s="98"/>
      <c r="K1398" s="99"/>
    </row>
    <row r="1399" spans="1:11" ht="13.2">
      <c r="A1399" s="89"/>
      <c r="B1399" s="90"/>
      <c r="C1399" s="91"/>
      <c r="D1399" s="92"/>
      <c r="E1399" s="93"/>
      <c r="F1399" s="94"/>
      <c r="G1399" s="95"/>
      <c r="H1399" s="96"/>
      <c r="I1399" s="97"/>
      <c r="J1399" s="98"/>
      <c r="K1399" s="99"/>
    </row>
    <row r="1400" spans="1:11" ht="13.2">
      <c r="A1400" s="89"/>
      <c r="B1400" s="90"/>
      <c r="C1400" s="91"/>
      <c r="D1400" s="92"/>
      <c r="E1400" s="93"/>
      <c r="F1400" s="94"/>
      <c r="G1400" s="95"/>
      <c r="H1400" s="96"/>
      <c r="I1400" s="97"/>
      <c r="J1400" s="98"/>
      <c r="K1400" s="99"/>
    </row>
    <row r="1401" spans="1:11" ht="13.2">
      <c r="A1401" s="89"/>
      <c r="B1401" s="90"/>
      <c r="C1401" s="91"/>
      <c r="D1401" s="92"/>
      <c r="E1401" s="93"/>
      <c r="F1401" s="94"/>
      <c r="G1401" s="95"/>
      <c r="H1401" s="96"/>
      <c r="I1401" s="97"/>
      <c r="J1401" s="98"/>
      <c r="K1401" s="99"/>
    </row>
    <row r="1402" spans="1:11" ht="13.2">
      <c r="A1402" s="89"/>
      <c r="B1402" s="90"/>
      <c r="C1402" s="91"/>
      <c r="D1402" s="92"/>
      <c r="E1402" s="93"/>
      <c r="F1402" s="94"/>
      <c r="G1402" s="95"/>
      <c r="H1402" s="96"/>
      <c r="I1402" s="97"/>
      <c r="J1402" s="98"/>
      <c r="K1402" s="99"/>
    </row>
    <row r="1403" spans="1:11" ht="13.2">
      <c r="A1403" s="89"/>
      <c r="B1403" s="90"/>
      <c r="C1403" s="91"/>
      <c r="D1403" s="92"/>
      <c r="E1403" s="93"/>
      <c r="F1403" s="94"/>
      <c r="G1403" s="95"/>
      <c r="H1403" s="96"/>
      <c r="I1403" s="97"/>
      <c r="J1403" s="98"/>
      <c r="K1403" s="99"/>
    </row>
    <row r="1404" spans="1:11" ht="13.2">
      <c r="A1404" s="89"/>
      <c r="B1404" s="90"/>
      <c r="C1404" s="91"/>
      <c r="D1404" s="92"/>
      <c r="E1404" s="93"/>
      <c r="F1404" s="94"/>
      <c r="G1404" s="95"/>
      <c r="H1404" s="96"/>
      <c r="I1404" s="97"/>
      <c r="J1404" s="98"/>
      <c r="K1404" s="99"/>
    </row>
    <row r="1405" spans="1:11" ht="13.2">
      <c r="A1405" s="89"/>
      <c r="B1405" s="90"/>
      <c r="C1405" s="91"/>
      <c r="D1405" s="92"/>
      <c r="E1405" s="93"/>
      <c r="F1405" s="94"/>
      <c r="G1405" s="95"/>
      <c r="H1405" s="96"/>
      <c r="I1405" s="97"/>
      <c r="J1405" s="98"/>
      <c r="K1405" s="99"/>
    </row>
    <row r="1406" spans="1:11" ht="13.2">
      <c r="A1406" s="89"/>
      <c r="B1406" s="90"/>
      <c r="C1406" s="91"/>
      <c r="D1406" s="92"/>
      <c r="E1406" s="93"/>
      <c r="F1406" s="94"/>
      <c r="G1406" s="95"/>
      <c r="H1406" s="96"/>
      <c r="I1406" s="97"/>
      <c r="J1406" s="98"/>
      <c r="K1406" s="99"/>
    </row>
    <row r="1407" spans="1:11" ht="13.2">
      <c r="A1407" s="89"/>
      <c r="B1407" s="90"/>
      <c r="C1407" s="91"/>
      <c r="D1407" s="92"/>
      <c r="E1407" s="93"/>
      <c r="F1407" s="94"/>
      <c r="G1407" s="95"/>
      <c r="H1407" s="96"/>
      <c r="I1407" s="97"/>
      <c r="J1407" s="98"/>
      <c r="K1407" s="99"/>
    </row>
    <row r="1408" spans="1:11" ht="13.2">
      <c r="A1408" s="89"/>
      <c r="B1408" s="90"/>
      <c r="C1408" s="91"/>
      <c r="D1408" s="92"/>
      <c r="E1408" s="93"/>
      <c r="F1408" s="94"/>
      <c r="G1408" s="95"/>
      <c r="H1408" s="96"/>
      <c r="I1408" s="97"/>
      <c r="J1408" s="98"/>
      <c r="K1408" s="99"/>
    </row>
    <row r="1409" spans="1:11" ht="13.2">
      <c r="A1409" s="89"/>
      <c r="B1409" s="90"/>
      <c r="C1409" s="91"/>
      <c r="D1409" s="92"/>
      <c r="E1409" s="93"/>
      <c r="F1409" s="94"/>
      <c r="G1409" s="95"/>
      <c r="H1409" s="96"/>
      <c r="I1409" s="97"/>
      <c r="J1409" s="98"/>
      <c r="K1409" s="99"/>
    </row>
    <row r="1410" spans="1:11" ht="13.2">
      <c r="A1410" s="89"/>
      <c r="B1410" s="90"/>
      <c r="C1410" s="91"/>
      <c r="D1410" s="92"/>
      <c r="E1410" s="93"/>
      <c r="F1410" s="94"/>
      <c r="G1410" s="95"/>
      <c r="H1410" s="96"/>
      <c r="I1410" s="97"/>
      <c r="J1410" s="98"/>
      <c r="K1410" s="99"/>
    </row>
    <row r="1411" spans="1:11" ht="13.2">
      <c r="A1411" s="89"/>
      <c r="B1411" s="90"/>
      <c r="C1411" s="91"/>
      <c r="D1411" s="92"/>
      <c r="E1411" s="93"/>
      <c r="F1411" s="94"/>
      <c r="G1411" s="95"/>
      <c r="H1411" s="96"/>
      <c r="I1411" s="97"/>
      <c r="J1411" s="98"/>
      <c r="K1411" s="99"/>
    </row>
    <row r="1412" spans="1:11" ht="13.2">
      <c r="A1412" s="89"/>
      <c r="B1412" s="90"/>
      <c r="C1412" s="91"/>
      <c r="D1412" s="92"/>
      <c r="E1412" s="93"/>
      <c r="F1412" s="94"/>
      <c r="G1412" s="95"/>
      <c r="H1412" s="96"/>
      <c r="I1412" s="97"/>
      <c r="J1412" s="98"/>
      <c r="K1412" s="99"/>
    </row>
    <row r="1413" spans="1:11" ht="13.2">
      <c r="A1413" s="89"/>
      <c r="B1413" s="90"/>
      <c r="C1413" s="91"/>
      <c r="D1413" s="92"/>
      <c r="E1413" s="93"/>
      <c r="F1413" s="94"/>
      <c r="G1413" s="95"/>
      <c r="H1413" s="96"/>
      <c r="I1413" s="97"/>
      <c r="J1413" s="98"/>
      <c r="K1413" s="99"/>
    </row>
    <row r="1414" spans="1:11" ht="13.2">
      <c r="A1414" s="89"/>
      <c r="B1414" s="90"/>
      <c r="C1414" s="91"/>
      <c r="D1414" s="92"/>
      <c r="E1414" s="93"/>
      <c r="F1414" s="94"/>
      <c r="G1414" s="95"/>
      <c r="H1414" s="96"/>
      <c r="I1414" s="97"/>
      <c r="J1414" s="98"/>
      <c r="K1414" s="99"/>
    </row>
    <row r="1415" spans="1:11" ht="13.2">
      <c r="A1415" s="89"/>
      <c r="B1415" s="90"/>
      <c r="C1415" s="91"/>
      <c r="D1415" s="92"/>
      <c r="E1415" s="93"/>
      <c r="F1415" s="94"/>
      <c r="G1415" s="95"/>
      <c r="H1415" s="96"/>
      <c r="I1415" s="97"/>
      <c r="J1415" s="98"/>
      <c r="K1415" s="99"/>
    </row>
    <row r="1416" spans="1:11" ht="13.2">
      <c r="A1416" s="89"/>
      <c r="B1416" s="90"/>
      <c r="C1416" s="91"/>
      <c r="D1416" s="92"/>
      <c r="E1416" s="93"/>
      <c r="F1416" s="94"/>
      <c r="G1416" s="95"/>
      <c r="H1416" s="96"/>
      <c r="I1416" s="97"/>
      <c r="J1416" s="98"/>
      <c r="K1416" s="99"/>
    </row>
    <row r="1417" spans="1:11" ht="13.2">
      <c r="A1417" s="89"/>
      <c r="B1417" s="90"/>
      <c r="C1417" s="91"/>
      <c r="D1417" s="92"/>
      <c r="E1417" s="93"/>
      <c r="F1417" s="94"/>
      <c r="G1417" s="95"/>
      <c r="H1417" s="96"/>
      <c r="I1417" s="97"/>
      <c r="J1417" s="98"/>
      <c r="K1417" s="99"/>
    </row>
    <row r="1418" spans="1:11" ht="13.2">
      <c r="A1418" s="89"/>
      <c r="B1418" s="90"/>
      <c r="C1418" s="91"/>
      <c r="D1418" s="92"/>
      <c r="E1418" s="93"/>
      <c r="F1418" s="94"/>
      <c r="G1418" s="95"/>
      <c r="H1418" s="96"/>
      <c r="I1418" s="97"/>
      <c r="J1418" s="98"/>
      <c r="K1418" s="99"/>
    </row>
    <row r="1419" spans="1:11" ht="13.2">
      <c r="A1419" s="89"/>
      <c r="B1419" s="90"/>
      <c r="C1419" s="91"/>
      <c r="D1419" s="92"/>
      <c r="E1419" s="93"/>
      <c r="F1419" s="94"/>
      <c r="G1419" s="95"/>
      <c r="H1419" s="96"/>
      <c r="I1419" s="97"/>
      <c r="J1419" s="98"/>
      <c r="K1419" s="99"/>
    </row>
    <row r="1420" spans="1:11" ht="13.2">
      <c r="A1420" s="89"/>
      <c r="B1420" s="90"/>
      <c r="C1420" s="91"/>
      <c r="D1420" s="92"/>
      <c r="E1420" s="93"/>
      <c r="F1420" s="94"/>
      <c r="G1420" s="95"/>
      <c r="H1420" s="96"/>
      <c r="I1420" s="97"/>
      <c r="J1420" s="98"/>
      <c r="K1420" s="99"/>
    </row>
    <row r="1421" spans="1:11" ht="13.2">
      <c r="A1421" s="89"/>
      <c r="B1421" s="90"/>
      <c r="C1421" s="91"/>
      <c r="D1421" s="92"/>
      <c r="E1421" s="93"/>
      <c r="F1421" s="94"/>
      <c r="G1421" s="95"/>
      <c r="H1421" s="96"/>
      <c r="I1421" s="97"/>
      <c r="J1421" s="98"/>
      <c r="K1421" s="99"/>
    </row>
    <row r="1422" spans="1:11" ht="13.2">
      <c r="A1422" s="89"/>
      <c r="B1422" s="90"/>
      <c r="C1422" s="91"/>
      <c r="D1422" s="92"/>
      <c r="E1422" s="93"/>
      <c r="F1422" s="94"/>
      <c r="G1422" s="95"/>
      <c r="H1422" s="96"/>
      <c r="I1422" s="97"/>
      <c r="J1422" s="98"/>
      <c r="K1422" s="99"/>
    </row>
    <row r="1423" spans="1:11" ht="13.2">
      <c r="A1423" s="89"/>
      <c r="B1423" s="90"/>
      <c r="C1423" s="91"/>
      <c r="D1423" s="92"/>
      <c r="E1423" s="93"/>
      <c r="F1423" s="94"/>
      <c r="G1423" s="95"/>
      <c r="H1423" s="96"/>
      <c r="I1423" s="97"/>
      <c r="J1423" s="98"/>
      <c r="K1423" s="99"/>
    </row>
    <row r="1424" spans="1:11" ht="13.2">
      <c r="A1424" s="89"/>
      <c r="B1424" s="90"/>
      <c r="C1424" s="91"/>
      <c r="D1424" s="92"/>
      <c r="E1424" s="93"/>
      <c r="F1424" s="94"/>
      <c r="G1424" s="95"/>
      <c r="H1424" s="96"/>
      <c r="I1424" s="97"/>
      <c r="J1424" s="98"/>
      <c r="K1424" s="99"/>
    </row>
    <row r="1425" spans="1:11" ht="13.2">
      <c r="A1425" s="89"/>
      <c r="B1425" s="90"/>
      <c r="C1425" s="91"/>
      <c r="D1425" s="92"/>
      <c r="E1425" s="93"/>
      <c r="F1425" s="94"/>
      <c r="G1425" s="95"/>
      <c r="H1425" s="96"/>
      <c r="I1425" s="97"/>
      <c r="J1425" s="98"/>
      <c r="K1425" s="99"/>
    </row>
    <row r="1426" spans="1:11" ht="13.2">
      <c r="A1426" s="89"/>
      <c r="B1426" s="90"/>
      <c r="C1426" s="91"/>
      <c r="D1426" s="92"/>
      <c r="E1426" s="93"/>
      <c r="F1426" s="94"/>
      <c r="G1426" s="95"/>
      <c r="H1426" s="96"/>
      <c r="I1426" s="97"/>
      <c r="J1426" s="98"/>
      <c r="K1426" s="99"/>
    </row>
    <row r="1427" spans="1:11" ht="13.2">
      <c r="A1427" s="89"/>
      <c r="B1427" s="90"/>
      <c r="C1427" s="91"/>
      <c r="D1427" s="92"/>
      <c r="E1427" s="93"/>
      <c r="F1427" s="94"/>
      <c r="G1427" s="95"/>
      <c r="H1427" s="96"/>
      <c r="I1427" s="97"/>
      <c r="J1427" s="98"/>
      <c r="K1427" s="99"/>
    </row>
    <row r="1428" spans="1:11" ht="13.2">
      <c r="A1428" s="89"/>
      <c r="B1428" s="90"/>
      <c r="C1428" s="91"/>
      <c r="D1428" s="92"/>
      <c r="E1428" s="93"/>
      <c r="F1428" s="94"/>
      <c r="G1428" s="95"/>
      <c r="H1428" s="96"/>
      <c r="I1428" s="97"/>
      <c r="J1428" s="98"/>
      <c r="K1428" s="99"/>
    </row>
    <row r="1429" spans="1:11" ht="13.2">
      <c r="A1429" s="89"/>
      <c r="B1429" s="90"/>
      <c r="C1429" s="91"/>
      <c r="D1429" s="92"/>
      <c r="E1429" s="93"/>
      <c r="F1429" s="94"/>
      <c r="G1429" s="95"/>
      <c r="H1429" s="96"/>
      <c r="I1429" s="97"/>
      <c r="J1429" s="98"/>
      <c r="K1429" s="99"/>
    </row>
    <row r="1430" spans="1:11" ht="13.2">
      <c r="A1430" s="89"/>
      <c r="B1430" s="90"/>
      <c r="C1430" s="91"/>
      <c r="D1430" s="92"/>
      <c r="E1430" s="93"/>
      <c r="F1430" s="94"/>
      <c r="G1430" s="95"/>
      <c r="H1430" s="96"/>
      <c r="I1430" s="97"/>
      <c r="J1430" s="98"/>
      <c r="K1430" s="99"/>
    </row>
    <row r="1431" spans="1:11" ht="13.2">
      <c r="A1431" s="89"/>
      <c r="B1431" s="90"/>
      <c r="C1431" s="91"/>
      <c r="D1431" s="92"/>
      <c r="E1431" s="93"/>
      <c r="F1431" s="94"/>
      <c r="G1431" s="95"/>
      <c r="H1431" s="96"/>
      <c r="I1431" s="97"/>
      <c r="J1431" s="98"/>
      <c r="K1431" s="99"/>
    </row>
    <row r="1432" spans="1:11" ht="13.2">
      <c r="A1432" s="89"/>
      <c r="B1432" s="90"/>
      <c r="C1432" s="91"/>
      <c r="D1432" s="92"/>
      <c r="E1432" s="93"/>
      <c r="F1432" s="94"/>
      <c r="G1432" s="95"/>
      <c r="H1432" s="96"/>
      <c r="I1432" s="97"/>
      <c r="J1432" s="98"/>
      <c r="K1432" s="99"/>
    </row>
    <row r="1433" spans="1:11" ht="13.2">
      <c r="A1433" s="89"/>
      <c r="B1433" s="90"/>
      <c r="C1433" s="91"/>
      <c r="D1433" s="92"/>
      <c r="E1433" s="93"/>
      <c r="F1433" s="94"/>
      <c r="G1433" s="95"/>
      <c r="H1433" s="96"/>
      <c r="I1433" s="97"/>
      <c r="J1433" s="98"/>
      <c r="K1433" s="99"/>
    </row>
    <row r="1434" spans="1:11" ht="13.2">
      <c r="A1434" s="89"/>
      <c r="B1434" s="90"/>
      <c r="C1434" s="91"/>
      <c r="D1434" s="92"/>
      <c r="E1434" s="93"/>
      <c r="F1434" s="94"/>
      <c r="G1434" s="95"/>
      <c r="H1434" s="96"/>
      <c r="I1434" s="97"/>
      <c r="J1434" s="98"/>
      <c r="K1434" s="99"/>
    </row>
    <row r="1435" spans="1:11" ht="13.2">
      <c r="A1435" s="89"/>
      <c r="B1435" s="90"/>
      <c r="C1435" s="91"/>
      <c r="D1435" s="92"/>
      <c r="E1435" s="93"/>
      <c r="F1435" s="94"/>
      <c r="G1435" s="95"/>
      <c r="H1435" s="96"/>
      <c r="I1435" s="97"/>
      <c r="J1435" s="98"/>
      <c r="K1435" s="99"/>
    </row>
    <row r="1436" spans="1:11" ht="13.2">
      <c r="A1436" s="89"/>
      <c r="B1436" s="90"/>
      <c r="C1436" s="91"/>
      <c r="D1436" s="92"/>
      <c r="E1436" s="93"/>
      <c r="F1436" s="94"/>
      <c r="G1436" s="95"/>
      <c r="H1436" s="96"/>
      <c r="I1436" s="97"/>
      <c r="J1436" s="98"/>
      <c r="K1436" s="99"/>
    </row>
    <row r="1437" spans="1:11" ht="13.2">
      <c r="A1437" s="89"/>
      <c r="B1437" s="90"/>
      <c r="C1437" s="91"/>
      <c r="D1437" s="92"/>
      <c r="E1437" s="93"/>
      <c r="F1437" s="94"/>
      <c r="G1437" s="95"/>
      <c r="H1437" s="96"/>
      <c r="I1437" s="97"/>
      <c r="J1437" s="98"/>
      <c r="K1437" s="99"/>
    </row>
    <row r="1438" spans="1:11" ht="13.2">
      <c r="A1438" s="89"/>
      <c r="B1438" s="90"/>
      <c r="C1438" s="91"/>
      <c r="D1438" s="92"/>
      <c r="E1438" s="93"/>
      <c r="F1438" s="94"/>
      <c r="G1438" s="95"/>
      <c r="H1438" s="96"/>
      <c r="I1438" s="97"/>
      <c r="J1438" s="98"/>
      <c r="K1438" s="99"/>
    </row>
    <row r="1439" spans="1:11" ht="13.2">
      <c r="A1439" s="89"/>
      <c r="B1439" s="90"/>
      <c r="C1439" s="91"/>
      <c r="D1439" s="92"/>
      <c r="E1439" s="93"/>
      <c r="F1439" s="94"/>
      <c r="G1439" s="95"/>
      <c r="H1439" s="96"/>
      <c r="I1439" s="97"/>
      <c r="J1439" s="98"/>
      <c r="K1439" s="99"/>
    </row>
    <row r="1440" spans="1:11" ht="13.2">
      <c r="A1440" s="89"/>
      <c r="B1440" s="90"/>
      <c r="C1440" s="91"/>
      <c r="D1440" s="92"/>
      <c r="E1440" s="93"/>
      <c r="F1440" s="94"/>
      <c r="G1440" s="95"/>
      <c r="H1440" s="96"/>
      <c r="I1440" s="97"/>
      <c r="J1440" s="98"/>
      <c r="K1440" s="99"/>
    </row>
    <row r="1441" spans="1:11" ht="13.2">
      <c r="A1441" s="89"/>
      <c r="B1441" s="90"/>
      <c r="C1441" s="91"/>
      <c r="D1441" s="92"/>
      <c r="E1441" s="93"/>
      <c r="F1441" s="94"/>
      <c r="G1441" s="95"/>
      <c r="H1441" s="96"/>
      <c r="I1441" s="97"/>
      <c r="J1441" s="98"/>
      <c r="K1441" s="99"/>
    </row>
    <row r="1442" spans="1:11" ht="13.2">
      <c r="A1442" s="89"/>
      <c r="B1442" s="90"/>
      <c r="C1442" s="91"/>
      <c r="D1442" s="92"/>
      <c r="E1442" s="93"/>
      <c r="F1442" s="94"/>
      <c r="G1442" s="95"/>
      <c r="H1442" s="96"/>
      <c r="I1442" s="97"/>
      <c r="J1442" s="98"/>
      <c r="K1442" s="99"/>
    </row>
    <row r="1443" spans="1:11" ht="13.2">
      <c r="A1443" s="89"/>
      <c r="B1443" s="90"/>
      <c r="C1443" s="91"/>
      <c r="D1443" s="92"/>
      <c r="E1443" s="93"/>
      <c r="F1443" s="94"/>
      <c r="G1443" s="95"/>
      <c r="H1443" s="96"/>
      <c r="I1443" s="97"/>
      <c r="J1443" s="98"/>
      <c r="K1443" s="99"/>
    </row>
    <row r="1444" spans="1:11" ht="13.2">
      <c r="A1444" s="89"/>
      <c r="B1444" s="90"/>
      <c r="C1444" s="91"/>
      <c r="D1444" s="92"/>
      <c r="E1444" s="93"/>
      <c r="F1444" s="94"/>
      <c r="G1444" s="95"/>
      <c r="H1444" s="96"/>
      <c r="I1444" s="97"/>
      <c r="J1444" s="98"/>
      <c r="K1444" s="99"/>
    </row>
    <row r="1445" spans="1:11" ht="13.2">
      <c r="A1445" s="89"/>
      <c r="B1445" s="90"/>
      <c r="C1445" s="91"/>
      <c r="D1445" s="92"/>
      <c r="E1445" s="93"/>
      <c r="F1445" s="94"/>
      <c r="G1445" s="95"/>
      <c r="H1445" s="96"/>
      <c r="I1445" s="97"/>
      <c r="J1445" s="98"/>
      <c r="K1445" s="99"/>
    </row>
    <row r="1446" spans="1:11" ht="13.2">
      <c r="A1446" s="89"/>
      <c r="B1446" s="90"/>
      <c r="C1446" s="91"/>
      <c r="D1446" s="92"/>
      <c r="E1446" s="93"/>
      <c r="F1446" s="94"/>
      <c r="G1446" s="95"/>
      <c r="H1446" s="96"/>
      <c r="I1446" s="97"/>
      <c r="J1446" s="98"/>
      <c r="K1446" s="99"/>
    </row>
    <row r="1447" spans="1:11" ht="13.2">
      <c r="A1447" s="89"/>
      <c r="B1447" s="90"/>
      <c r="C1447" s="91"/>
      <c r="D1447" s="92"/>
      <c r="E1447" s="93"/>
      <c r="F1447" s="94"/>
      <c r="G1447" s="95"/>
      <c r="H1447" s="96"/>
      <c r="I1447" s="97"/>
      <c r="J1447" s="98"/>
      <c r="K1447" s="99"/>
    </row>
    <row r="1448" spans="1:11" ht="13.2">
      <c r="A1448" s="89"/>
      <c r="B1448" s="90"/>
      <c r="C1448" s="91"/>
      <c r="D1448" s="92"/>
      <c r="E1448" s="93"/>
      <c r="F1448" s="94"/>
      <c r="G1448" s="95"/>
      <c r="H1448" s="96"/>
      <c r="I1448" s="97"/>
      <c r="J1448" s="98"/>
      <c r="K1448" s="99"/>
    </row>
    <row r="1449" spans="1:11" ht="13.2">
      <c r="A1449" s="89"/>
      <c r="B1449" s="90"/>
      <c r="C1449" s="91"/>
      <c r="D1449" s="92"/>
      <c r="E1449" s="93"/>
      <c r="F1449" s="94"/>
      <c r="G1449" s="95"/>
      <c r="H1449" s="96"/>
      <c r="I1449" s="97"/>
      <c r="J1449" s="98"/>
      <c r="K1449" s="99"/>
    </row>
    <row r="1450" spans="1:11" ht="13.2">
      <c r="A1450" s="89"/>
      <c r="B1450" s="90"/>
      <c r="C1450" s="91"/>
      <c r="D1450" s="92"/>
      <c r="E1450" s="93"/>
      <c r="F1450" s="94"/>
      <c r="G1450" s="95"/>
      <c r="H1450" s="96"/>
      <c r="I1450" s="97"/>
      <c r="J1450" s="98"/>
      <c r="K1450" s="99"/>
    </row>
    <row r="1451" spans="1:11" ht="13.2">
      <c r="A1451" s="89"/>
      <c r="B1451" s="90"/>
      <c r="C1451" s="91"/>
      <c r="D1451" s="92"/>
      <c r="E1451" s="93"/>
      <c r="F1451" s="94"/>
      <c r="G1451" s="95"/>
      <c r="H1451" s="96"/>
      <c r="I1451" s="97"/>
      <c r="J1451" s="98"/>
      <c r="K1451" s="99"/>
    </row>
    <row r="1452" spans="1:11" ht="13.2">
      <c r="A1452" s="89"/>
      <c r="B1452" s="90"/>
      <c r="C1452" s="91"/>
      <c r="D1452" s="92"/>
      <c r="E1452" s="93"/>
      <c r="F1452" s="94"/>
      <c r="G1452" s="95"/>
      <c r="H1452" s="96"/>
      <c r="I1452" s="97"/>
      <c r="J1452" s="98"/>
      <c r="K1452" s="99"/>
    </row>
    <row r="1453" spans="1:11" ht="13.2">
      <c r="A1453" s="89"/>
      <c r="B1453" s="90"/>
      <c r="C1453" s="91"/>
      <c r="D1453" s="92"/>
      <c r="E1453" s="93"/>
      <c r="F1453" s="94"/>
      <c r="G1453" s="95"/>
      <c r="H1453" s="96"/>
      <c r="I1453" s="97"/>
      <c r="J1453" s="98"/>
      <c r="K1453" s="99"/>
    </row>
    <row r="1454" spans="1:11" ht="13.2">
      <c r="A1454" s="89"/>
      <c r="B1454" s="90"/>
      <c r="C1454" s="91"/>
      <c r="D1454" s="92"/>
      <c r="E1454" s="93"/>
      <c r="F1454" s="94"/>
      <c r="G1454" s="95"/>
      <c r="H1454" s="96"/>
      <c r="I1454" s="97"/>
      <c r="J1454" s="98"/>
      <c r="K1454" s="99"/>
    </row>
    <row r="1455" spans="1:11" ht="13.2">
      <c r="A1455" s="89"/>
      <c r="B1455" s="90"/>
      <c r="C1455" s="91"/>
      <c r="D1455" s="92"/>
      <c r="E1455" s="93"/>
      <c r="F1455" s="94"/>
      <c r="G1455" s="95"/>
      <c r="H1455" s="96"/>
      <c r="I1455" s="97"/>
      <c r="J1455" s="98"/>
      <c r="K1455" s="99"/>
    </row>
    <row r="1456" spans="1:11" ht="13.2">
      <c r="A1456" s="89"/>
      <c r="B1456" s="90"/>
      <c r="C1456" s="91"/>
      <c r="D1456" s="92"/>
      <c r="E1456" s="93"/>
      <c r="F1456" s="94"/>
      <c r="G1456" s="95"/>
      <c r="H1456" s="96"/>
      <c r="I1456" s="97"/>
      <c r="J1456" s="98"/>
      <c r="K1456" s="99"/>
    </row>
    <row r="1457" spans="1:11" ht="13.2">
      <c r="A1457" s="89"/>
      <c r="B1457" s="90"/>
      <c r="C1457" s="91"/>
      <c r="D1457" s="92"/>
      <c r="E1457" s="93"/>
      <c r="F1457" s="94"/>
      <c r="G1457" s="95"/>
      <c r="H1457" s="96"/>
      <c r="I1457" s="97"/>
      <c r="J1457" s="98"/>
      <c r="K1457" s="99"/>
    </row>
    <row r="1458" spans="1:11" ht="13.2">
      <c r="A1458" s="89"/>
      <c r="B1458" s="90"/>
      <c r="C1458" s="91"/>
      <c r="D1458" s="92"/>
      <c r="E1458" s="93"/>
      <c r="F1458" s="94"/>
      <c r="G1458" s="95"/>
      <c r="H1458" s="96"/>
      <c r="I1458" s="97"/>
      <c r="J1458" s="98"/>
      <c r="K1458" s="99"/>
    </row>
    <row r="1459" spans="1:11" ht="13.2">
      <c r="A1459" s="89"/>
      <c r="B1459" s="90"/>
      <c r="C1459" s="91"/>
      <c r="D1459" s="92"/>
      <c r="E1459" s="93"/>
      <c r="F1459" s="94"/>
      <c r="G1459" s="95"/>
      <c r="H1459" s="96"/>
      <c r="I1459" s="97"/>
      <c r="J1459" s="98"/>
      <c r="K1459" s="99"/>
    </row>
    <row r="1460" spans="1:11" ht="13.2">
      <c r="A1460" s="89"/>
      <c r="B1460" s="90"/>
      <c r="C1460" s="91"/>
      <c r="D1460" s="92"/>
      <c r="E1460" s="93"/>
      <c r="F1460" s="94"/>
      <c r="G1460" s="95"/>
      <c r="H1460" s="96"/>
      <c r="I1460" s="97"/>
      <c r="J1460" s="98"/>
      <c r="K1460" s="99"/>
    </row>
    <row r="1461" spans="1:11" ht="13.2">
      <c r="A1461" s="89"/>
      <c r="B1461" s="90"/>
      <c r="C1461" s="91"/>
      <c r="D1461" s="92"/>
      <c r="E1461" s="93"/>
      <c r="F1461" s="94"/>
      <c r="G1461" s="95"/>
      <c r="H1461" s="96"/>
      <c r="I1461" s="97"/>
      <c r="J1461" s="98"/>
      <c r="K1461" s="99"/>
    </row>
    <row r="1462" spans="1:11" ht="13.2">
      <c r="A1462" s="89"/>
      <c r="B1462" s="90"/>
      <c r="C1462" s="91"/>
      <c r="D1462" s="92"/>
      <c r="E1462" s="93"/>
      <c r="F1462" s="94"/>
      <c r="G1462" s="95"/>
      <c r="H1462" s="96"/>
      <c r="I1462" s="97"/>
      <c r="J1462" s="98"/>
      <c r="K1462" s="99"/>
    </row>
    <row r="1463" spans="1:11" ht="13.2">
      <c r="A1463" s="89"/>
      <c r="B1463" s="90"/>
      <c r="C1463" s="91"/>
      <c r="D1463" s="92"/>
      <c r="E1463" s="93"/>
      <c r="F1463" s="94"/>
      <c r="G1463" s="95"/>
      <c r="H1463" s="96"/>
      <c r="I1463" s="97"/>
      <c r="J1463" s="98"/>
      <c r="K1463" s="99"/>
    </row>
    <row r="1464" spans="1:11" ht="13.2">
      <c r="A1464" s="89"/>
      <c r="B1464" s="90"/>
      <c r="C1464" s="91"/>
      <c r="D1464" s="92"/>
      <c r="E1464" s="93"/>
      <c r="F1464" s="94"/>
      <c r="G1464" s="95"/>
      <c r="H1464" s="96"/>
      <c r="I1464" s="97"/>
      <c r="J1464" s="98"/>
      <c r="K1464" s="99"/>
    </row>
    <row r="1465" spans="1:11" ht="13.2">
      <c r="A1465" s="89"/>
      <c r="B1465" s="90"/>
      <c r="C1465" s="91"/>
      <c r="D1465" s="92"/>
      <c r="E1465" s="93"/>
      <c r="F1465" s="94"/>
      <c r="G1465" s="95"/>
      <c r="H1465" s="96"/>
      <c r="I1465" s="97"/>
      <c r="J1465" s="98"/>
      <c r="K1465" s="99"/>
    </row>
    <row r="1466" spans="1:11" ht="13.2">
      <c r="A1466" s="89"/>
      <c r="B1466" s="90"/>
      <c r="C1466" s="91"/>
      <c r="D1466" s="92"/>
      <c r="E1466" s="93"/>
      <c r="F1466" s="94"/>
      <c r="G1466" s="95"/>
      <c r="H1466" s="96"/>
      <c r="I1466" s="97"/>
      <c r="J1466" s="98"/>
      <c r="K1466" s="99"/>
    </row>
    <row r="1467" spans="1:11" ht="13.2">
      <c r="A1467" s="89"/>
      <c r="B1467" s="90"/>
      <c r="C1467" s="91"/>
      <c r="D1467" s="92"/>
      <c r="E1467" s="93"/>
      <c r="F1467" s="94"/>
      <c r="G1467" s="95"/>
      <c r="H1467" s="96"/>
      <c r="I1467" s="97"/>
      <c r="J1467" s="98"/>
      <c r="K1467" s="99"/>
    </row>
    <row r="1468" spans="1:11" ht="13.2">
      <c r="A1468" s="89"/>
      <c r="B1468" s="90"/>
      <c r="C1468" s="91"/>
      <c r="D1468" s="92"/>
      <c r="E1468" s="93"/>
      <c r="F1468" s="94"/>
      <c r="G1468" s="95"/>
      <c r="H1468" s="96"/>
      <c r="I1468" s="97"/>
      <c r="J1468" s="98"/>
      <c r="K1468" s="99"/>
    </row>
    <row r="1469" spans="1:11" ht="13.2">
      <c r="A1469" s="89"/>
      <c r="B1469" s="90"/>
      <c r="C1469" s="91"/>
      <c r="D1469" s="92"/>
      <c r="E1469" s="93"/>
      <c r="F1469" s="94"/>
      <c r="G1469" s="95"/>
      <c r="H1469" s="96"/>
      <c r="I1469" s="97"/>
      <c r="J1469" s="98"/>
      <c r="K1469" s="99"/>
    </row>
    <row r="1470" spans="1:11" ht="13.2">
      <c r="A1470" s="89"/>
      <c r="B1470" s="90"/>
      <c r="C1470" s="91"/>
      <c r="D1470" s="92"/>
      <c r="E1470" s="93"/>
      <c r="F1470" s="94"/>
      <c r="G1470" s="95"/>
      <c r="H1470" s="96"/>
      <c r="I1470" s="97"/>
      <c r="J1470" s="98"/>
      <c r="K1470" s="99"/>
    </row>
    <row r="1471" spans="1:11" ht="13.2">
      <c r="A1471" s="89"/>
      <c r="B1471" s="90"/>
      <c r="C1471" s="91"/>
      <c r="D1471" s="92"/>
      <c r="E1471" s="93"/>
      <c r="F1471" s="94"/>
      <c r="G1471" s="95"/>
      <c r="H1471" s="96"/>
      <c r="I1471" s="97"/>
      <c r="J1471" s="98"/>
      <c r="K1471" s="99"/>
    </row>
    <row r="1472" spans="1:11" ht="13.2">
      <c r="A1472" s="89"/>
      <c r="B1472" s="90"/>
      <c r="C1472" s="91"/>
      <c r="D1472" s="92"/>
      <c r="E1472" s="93"/>
      <c r="F1472" s="94"/>
      <c r="G1472" s="95"/>
      <c r="H1472" s="96"/>
      <c r="I1472" s="97"/>
      <c r="J1472" s="98"/>
      <c r="K1472" s="99"/>
    </row>
    <row r="1473" spans="1:11" ht="13.2">
      <c r="A1473" s="89"/>
      <c r="B1473" s="90"/>
      <c r="C1473" s="91"/>
      <c r="D1473" s="92"/>
      <c r="E1473" s="93"/>
      <c r="F1473" s="94"/>
      <c r="G1473" s="95"/>
      <c r="H1473" s="96"/>
      <c r="I1473" s="97"/>
      <c r="J1473" s="98"/>
      <c r="K1473" s="99"/>
    </row>
    <row r="1474" spans="1:11" ht="13.2">
      <c r="A1474" s="89"/>
      <c r="B1474" s="90"/>
      <c r="C1474" s="91"/>
      <c r="D1474" s="92"/>
      <c r="E1474" s="93"/>
      <c r="F1474" s="94"/>
      <c r="G1474" s="95"/>
      <c r="H1474" s="96"/>
      <c r="I1474" s="97"/>
      <c r="J1474" s="98"/>
      <c r="K1474" s="99"/>
    </row>
    <row r="1475" spans="1:11" ht="13.2">
      <c r="A1475" s="89"/>
      <c r="B1475" s="90"/>
      <c r="C1475" s="91"/>
      <c r="D1475" s="92"/>
      <c r="E1475" s="93"/>
      <c r="F1475" s="94"/>
      <c r="G1475" s="95"/>
      <c r="H1475" s="96"/>
      <c r="I1475" s="97"/>
      <c r="J1475" s="98"/>
      <c r="K1475" s="99"/>
    </row>
    <row r="1476" spans="1:11" ht="13.2">
      <c r="A1476" s="89"/>
      <c r="B1476" s="90"/>
      <c r="C1476" s="91"/>
      <c r="D1476" s="92"/>
      <c r="E1476" s="93"/>
      <c r="F1476" s="94"/>
      <c r="G1476" s="95"/>
      <c r="H1476" s="96"/>
      <c r="I1476" s="97"/>
      <c r="J1476" s="98"/>
      <c r="K1476" s="99"/>
    </row>
    <row r="1477" spans="1:11" ht="13.2">
      <c r="A1477" s="89"/>
      <c r="B1477" s="90"/>
      <c r="C1477" s="91"/>
      <c r="D1477" s="92"/>
      <c r="E1477" s="93"/>
      <c r="F1477" s="94"/>
      <c r="G1477" s="95"/>
      <c r="H1477" s="96"/>
      <c r="I1477" s="97"/>
      <c r="J1477" s="98"/>
      <c r="K1477" s="99"/>
    </row>
    <row r="1478" spans="1:11" ht="13.2">
      <c r="A1478" s="89"/>
      <c r="B1478" s="90"/>
      <c r="C1478" s="91"/>
      <c r="D1478" s="92"/>
      <c r="E1478" s="93"/>
      <c r="F1478" s="94"/>
      <c r="G1478" s="95"/>
      <c r="H1478" s="96"/>
      <c r="I1478" s="97"/>
      <c r="J1478" s="98"/>
      <c r="K1478" s="99"/>
    </row>
    <row r="1479" spans="1:11" ht="13.2">
      <c r="A1479" s="89"/>
      <c r="B1479" s="90"/>
      <c r="C1479" s="91"/>
      <c r="D1479" s="92"/>
      <c r="E1479" s="93"/>
      <c r="F1479" s="94"/>
      <c r="G1479" s="95"/>
      <c r="H1479" s="96"/>
      <c r="I1479" s="97"/>
      <c r="J1479" s="98"/>
      <c r="K1479" s="99"/>
    </row>
    <row r="1480" spans="1:11" ht="13.2">
      <c r="A1480" s="89"/>
      <c r="B1480" s="90"/>
      <c r="C1480" s="91"/>
      <c r="D1480" s="92"/>
      <c r="E1480" s="93"/>
      <c r="F1480" s="94"/>
      <c r="G1480" s="95"/>
      <c r="H1480" s="96"/>
      <c r="I1480" s="97"/>
      <c r="J1480" s="98"/>
      <c r="K1480" s="99"/>
    </row>
    <row r="1481" spans="1:11" ht="13.2">
      <c r="A1481" s="89"/>
      <c r="B1481" s="90"/>
      <c r="C1481" s="91"/>
      <c r="D1481" s="92"/>
      <c r="E1481" s="93"/>
      <c r="F1481" s="94"/>
      <c r="G1481" s="95"/>
      <c r="H1481" s="96"/>
      <c r="I1481" s="97"/>
      <c r="J1481" s="98"/>
      <c r="K1481" s="99"/>
    </row>
    <row r="1482" spans="1:11" ht="13.2">
      <c r="A1482" s="89"/>
      <c r="B1482" s="90"/>
      <c r="C1482" s="91"/>
      <c r="D1482" s="92"/>
      <c r="E1482" s="93"/>
      <c r="F1482" s="94"/>
      <c r="G1482" s="95"/>
      <c r="H1482" s="96"/>
      <c r="I1482" s="97"/>
      <c r="J1482" s="98"/>
      <c r="K1482" s="99"/>
    </row>
    <row r="1483" spans="1:11" ht="13.2">
      <c r="A1483" s="89"/>
      <c r="B1483" s="90"/>
      <c r="C1483" s="91"/>
      <c r="D1483" s="92"/>
      <c r="E1483" s="93"/>
      <c r="F1483" s="94"/>
      <c r="G1483" s="95"/>
      <c r="H1483" s="96"/>
      <c r="I1483" s="97"/>
      <c r="J1483" s="98"/>
      <c r="K1483" s="99"/>
    </row>
    <row r="1484" spans="1:11" ht="13.2">
      <c r="A1484" s="89"/>
      <c r="B1484" s="90"/>
      <c r="C1484" s="91"/>
      <c r="D1484" s="92"/>
      <c r="E1484" s="93"/>
      <c r="F1484" s="94"/>
      <c r="G1484" s="95"/>
      <c r="H1484" s="96"/>
      <c r="I1484" s="97"/>
      <c r="J1484" s="98"/>
      <c r="K1484" s="99"/>
    </row>
    <row r="1485" spans="1:11" ht="13.2">
      <c r="A1485" s="89"/>
      <c r="B1485" s="90"/>
      <c r="C1485" s="91"/>
      <c r="D1485" s="92"/>
      <c r="E1485" s="93"/>
      <c r="F1485" s="94"/>
      <c r="G1485" s="95"/>
      <c r="H1485" s="96"/>
      <c r="I1485" s="97"/>
      <c r="J1485" s="98"/>
      <c r="K1485" s="99"/>
    </row>
    <row r="1486" spans="1:11" ht="13.2">
      <c r="A1486" s="89"/>
      <c r="B1486" s="90"/>
      <c r="C1486" s="91"/>
      <c r="D1486" s="92"/>
      <c r="E1486" s="93"/>
      <c r="F1486" s="94"/>
      <c r="G1486" s="95"/>
      <c r="H1486" s="96"/>
      <c r="I1486" s="97"/>
      <c r="J1486" s="98"/>
      <c r="K1486" s="99"/>
    </row>
    <row r="1487" spans="1:11" ht="13.2">
      <c r="A1487" s="89"/>
      <c r="B1487" s="90"/>
      <c r="C1487" s="91"/>
      <c r="D1487" s="92"/>
      <c r="E1487" s="93"/>
      <c r="F1487" s="94"/>
      <c r="G1487" s="95"/>
      <c r="H1487" s="96"/>
      <c r="I1487" s="97"/>
      <c r="J1487" s="98"/>
      <c r="K1487" s="99"/>
    </row>
    <row r="1488" spans="1:11" ht="13.2">
      <c r="A1488" s="89"/>
      <c r="B1488" s="90"/>
      <c r="C1488" s="91"/>
      <c r="D1488" s="92"/>
      <c r="E1488" s="93"/>
      <c r="F1488" s="94"/>
      <c r="G1488" s="95"/>
      <c r="H1488" s="96"/>
      <c r="I1488" s="97"/>
      <c r="J1488" s="98"/>
      <c r="K1488" s="99"/>
    </row>
    <row r="1489" spans="1:11" ht="13.2">
      <c r="A1489" s="89"/>
      <c r="B1489" s="90"/>
      <c r="C1489" s="91"/>
      <c r="D1489" s="92"/>
      <c r="E1489" s="93"/>
      <c r="F1489" s="94"/>
      <c r="G1489" s="95"/>
      <c r="H1489" s="96"/>
      <c r="I1489" s="97"/>
      <c r="J1489" s="98"/>
      <c r="K1489" s="99"/>
    </row>
    <row r="1490" spans="1:11" ht="13.2">
      <c r="A1490" s="89"/>
      <c r="B1490" s="90"/>
      <c r="C1490" s="91"/>
      <c r="D1490" s="92"/>
      <c r="E1490" s="93"/>
      <c r="F1490" s="94"/>
      <c r="G1490" s="95"/>
      <c r="H1490" s="96"/>
      <c r="I1490" s="97"/>
      <c r="J1490" s="98"/>
      <c r="K1490" s="99"/>
    </row>
    <row r="1491" spans="1:11" ht="13.2">
      <c r="A1491" s="89"/>
      <c r="B1491" s="90"/>
      <c r="C1491" s="91"/>
      <c r="D1491" s="92"/>
      <c r="E1491" s="93"/>
      <c r="F1491" s="94"/>
      <c r="G1491" s="95"/>
      <c r="H1491" s="96"/>
      <c r="I1491" s="97"/>
      <c r="J1491" s="98"/>
      <c r="K1491" s="99"/>
    </row>
    <row r="1492" spans="1:11" ht="13.2">
      <c r="A1492" s="89"/>
      <c r="B1492" s="90"/>
      <c r="C1492" s="91"/>
      <c r="D1492" s="92"/>
      <c r="E1492" s="93"/>
      <c r="F1492" s="94"/>
      <c r="G1492" s="95"/>
      <c r="H1492" s="96"/>
      <c r="I1492" s="97"/>
      <c r="J1492" s="98"/>
      <c r="K1492" s="99"/>
    </row>
    <row r="1493" spans="1:11" ht="13.2">
      <c r="A1493" s="89"/>
      <c r="B1493" s="90"/>
      <c r="C1493" s="91"/>
      <c r="D1493" s="92"/>
      <c r="E1493" s="93"/>
      <c r="F1493" s="94"/>
      <c r="G1493" s="95"/>
      <c r="H1493" s="96"/>
      <c r="I1493" s="97"/>
      <c r="J1493" s="98"/>
      <c r="K1493" s="99"/>
    </row>
    <row r="1494" spans="1:11" ht="13.2">
      <c r="A1494" s="89"/>
      <c r="B1494" s="90"/>
      <c r="C1494" s="91"/>
      <c r="D1494" s="92"/>
      <c r="E1494" s="93"/>
      <c r="F1494" s="94"/>
      <c r="G1494" s="95"/>
      <c r="H1494" s="96"/>
      <c r="I1494" s="97"/>
      <c r="J1494" s="98"/>
      <c r="K1494" s="99"/>
    </row>
    <row r="1495" spans="1:11" ht="13.2">
      <c r="A1495" s="89"/>
      <c r="B1495" s="90"/>
      <c r="C1495" s="91"/>
      <c r="D1495" s="92"/>
      <c r="E1495" s="93"/>
      <c r="F1495" s="94"/>
      <c r="G1495" s="95"/>
      <c r="H1495" s="96"/>
      <c r="I1495" s="97"/>
      <c r="J1495" s="98"/>
      <c r="K1495" s="99"/>
    </row>
    <row r="1496" spans="1:11" ht="13.2">
      <c r="A1496" s="89"/>
      <c r="B1496" s="90"/>
      <c r="C1496" s="91"/>
      <c r="D1496" s="92"/>
      <c r="E1496" s="93"/>
      <c r="F1496" s="94"/>
      <c r="G1496" s="95"/>
      <c r="H1496" s="96"/>
      <c r="I1496" s="97"/>
      <c r="J1496" s="98"/>
      <c r="K1496" s="99"/>
    </row>
    <row r="1497" spans="1:11" ht="13.2">
      <c r="A1497" s="89"/>
      <c r="B1497" s="90"/>
      <c r="C1497" s="91"/>
      <c r="D1497" s="92"/>
      <c r="E1497" s="93"/>
      <c r="F1497" s="94"/>
      <c r="G1497" s="95"/>
      <c r="H1497" s="96"/>
      <c r="I1497" s="97"/>
      <c r="J1497" s="98"/>
      <c r="K1497" s="99"/>
    </row>
    <row r="1498" spans="1:11" ht="13.2">
      <c r="A1498" s="89"/>
      <c r="B1498" s="90"/>
      <c r="C1498" s="91"/>
      <c r="D1498" s="92"/>
      <c r="E1498" s="93"/>
      <c r="F1498" s="94"/>
      <c r="G1498" s="95"/>
      <c r="H1498" s="96"/>
      <c r="I1498" s="97"/>
      <c r="J1498" s="98"/>
      <c r="K1498" s="99"/>
    </row>
    <row r="1499" spans="1:11" ht="13.2">
      <c r="A1499" s="89"/>
      <c r="B1499" s="90"/>
      <c r="C1499" s="91"/>
      <c r="D1499" s="92"/>
      <c r="E1499" s="93"/>
      <c r="F1499" s="94"/>
      <c r="G1499" s="95"/>
      <c r="H1499" s="96"/>
      <c r="I1499" s="97"/>
      <c r="J1499" s="98"/>
      <c r="K1499" s="99"/>
    </row>
    <row r="1500" spans="1:11" ht="13.2">
      <c r="A1500" s="89"/>
      <c r="B1500" s="90"/>
      <c r="C1500" s="91"/>
      <c r="D1500" s="92"/>
      <c r="E1500" s="93"/>
      <c r="F1500" s="94"/>
      <c r="G1500" s="95"/>
      <c r="H1500" s="96"/>
      <c r="I1500" s="97"/>
      <c r="J1500" s="98"/>
      <c r="K1500" s="99"/>
    </row>
    <row r="1501" spans="1:11" ht="13.2">
      <c r="A1501" s="89"/>
      <c r="B1501" s="90"/>
      <c r="C1501" s="91"/>
      <c r="D1501" s="92"/>
      <c r="E1501" s="93"/>
      <c r="F1501" s="94"/>
      <c r="G1501" s="95"/>
      <c r="H1501" s="96"/>
      <c r="I1501" s="97"/>
      <c r="J1501" s="98"/>
      <c r="K1501" s="99"/>
    </row>
    <row r="1502" spans="1:11" ht="13.2">
      <c r="A1502" s="89"/>
      <c r="B1502" s="90"/>
      <c r="C1502" s="91"/>
      <c r="D1502" s="92"/>
      <c r="E1502" s="93"/>
      <c r="F1502" s="94"/>
      <c r="G1502" s="95"/>
      <c r="H1502" s="96"/>
      <c r="I1502" s="97"/>
      <c r="J1502" s="98"/>
      <c r="K1502" s="99"/>
    </row>
    <row r="1503" spans="1:11" ht="13.2">
      <c r="A1503" s="89"/>
      <c r="B1503" s="90"/>
      <c r="C1503" s="91"/>
      <c r="D1503" s="92"/>
      <c r="E1503" s="93"/>
      <c r="F1503" s="94"/>
      <c r="G1503" s="95"/>
      <c r="H1503" s="96"/>
      <c r="I1503" s="97"/>
      <c r="J1503" s="98"/>
      <c r="K1503" s="99"/>
    </row>
    <row r="1504" spans="1:11" ht="13.2">
      <c r="A1504" s="89"/>
      <c r="B1504" s="90"/>
      <c r="C1504" s="91"/>
      <c r="D1504" s="92"/>
      <c r="E1504" s="93"/>
      <c r="F1504" s="94"/>
      <c r="G1504" s="95"/>
      <c r="H1504" s="96"/>
      <c r="I1504" s="97"/>
      <c r="J1504" s="98"/>
      <c r="K1504" s="99"/>
    </row>
    <row r="1505" spans="1:11" ht="13.2">
      <c r="A1505" s="89"/>
      <c r="B1505" s="90"/>
      <c r="C1505" s="91"/>
      <c r="D1505" s="92"/>
      <c r="E1505" s="93"/>
      <c r="F1505" s="94"/>
      <c r="G1505" s="95"/>
      <c r="H1505" s="96"/>
      <c r="I1505" s="97"/>
      <c r="J1505" s="98"/>
      <c r="K1505" s="99"/>
    </row>
    <row r="1506" spans="1:11" ht="13.2">
      <c r="A1506" s="89"/>
      <c r="B1506" s="90"/>
      <c r="C1506" s="91"/>
      <c r="D1506" s="92"/>
      <c r="E1506" s="93"/>
      <c r="F1506" s="94"/>
      <c r="G1506" s="95"/>
      <c r="H1506" s="96"/>
      <c r="I1506" s="97"/>
      <c r="J1506" s="98"/>
      <c r="K1506" s="99"/>
    </row>
    <row r="1507" spans="1:11" ht="13.2">
      <c r="A1507" s="89"/>
      <c r="B1507" s="90"/>
      <c r="C1507" s="91"/>
      <c r="D1507" s="92"/>
      <c r="E1507" s="93"/>
      <c r="F1507" s="94"/>
      <c r="G1507" s="95"/>
      <c r="H1507" s="96"/>
      <c r="I1507" s="97"/>
      <c r="J1507" s="98"/>
      <c r="K1507" s="99"/>
    </row>
    <row r="1508" spans="1:11" ht="13.2">
      <c r="A1508" s="89"/>
      <c r="B1508" s="90"/>
      <c r="C1508" s="91"/>
      <c r="D1508" s="92"/>
      <c r="E1508" s="93"/>
      <c r="F1508" s="94"/>
      <c r="G1508" s="95"/>
      <c r="H1508" s="96"/>
      <c r="I1508" s="97"/>
      <c r="J1508" s="98"/>
      <c r="K1508" s="99"/>
    </row>
    <row r="1509" spans="1:11" ht="13.2">
      <c r="A1509" s="89"/>
      <c r="B1509" s="90"/>
      <c r="C1509" s="91"/>
      <c r="D1509" s="92"/>
      <c r="E1509" s="93"/>
      <c r="F1509" s="94"/>
      <c r="G1509" s="95"/>
      <c r="H1509" s="96"/>
      <c r="I1509" s="97"/>
      <c r="J1509" s="98"/>
      <c r="K1509" s="99"/>
    </row>
    <row r="1510" spans="1:11" ht="13.2">
      <c r="A1510" s="89"/>
      <c r="B1510" s="90"/>
      <c r="C1510" s="91"/>
      <c r="D1510" s="92"/>
      <c r="E1510" s="93"/>
      <c r="F1510" s="94"/>
      <c r="G1510" s="95"/>
      <c r="H1510" s="96"/>
      <c r="I1510" s="97"/>
      <c r="J1510" s="98"/>
      <c r="K1510" s="99"/>
    </row>
    <row r="1511" spans="1:11" ht="13.2">
      <c r="A1511" s="89"/>
      <c r="B1511" s="90"/>
      <c r="C1511" s="91"/>
      <c r="D1511" s="92"/>
      <c r="E1511" s="93"/>
      <c r="F1511" s="94"/>
      <c r="G1511" s="95"/>
      <c r="H1511" s="96"/>
      <c r="I1511" s="97"/>
      <c r="J1511" s="98"/>
      <c r="K1511" s="99"/>
    </row>
    <row r="1512" spans="1:11" ht="13.2">
      <c r="A1512" s="89"/>
      <c r="B1512" s="90"/>
      <c r="C1512" s="91"/>
      <c r="D1512" s="92"/>
      <c r="E1512" s="93"/>
      <c r="F1512" s="94"/>
      <c r="G1512" s="95"/>
      <c r="H1512" s="96"/>
      <c r="I1512" s="97"/>
      <c r="J1512" s="98"/>
      <c r="K1512" s="99"/>
    </row>
    <row r="1513" spans="1:11" ht="13.2">
      <c r="A1513" s="89"/>
      <c r="B1513" s="90"/>
      <c r="C1513" s="91"/>
      <c r="D1513" s="92"/>
      <c r="E1513" s="93"/>
      <c r="F1513" s="94"/>
      <c r="G1513" s="95"/>
      <c r="H1513" s="96"/>
      <c r="I1513" s="97"/>
      <c r="J1513" s="98"/>
      <c r="K1513" s="99"/>
    </row>
    <row r="1514" spans="1:11" ht="13.2">
      <c r="A1514" s="89"/>
      <c r="B1514" s="90"/>
      <c r="C1514" s="91"/>
      <c r="D1514" s="92"/>
      <c r="E1514" s="93"/>
      <c r="F1514" s="94"/>
      <c r="G1514" s="95"/>
      <c r="H1514" s="96"/>
      <c r="I1514" s="97"/>
      <c r="J1514" s="98"/>
      <c r="K1514" s="99"/>
    </row>
    <row r="1515" spans="1:11" ht="13.2">
      <c r="A1515" s="89"/>
      <c r="B1515" s="90"/>
      <c r="C1515" s="91"/>
      <c r="D1515" s="92"/>
      <c r="E1515" s="93"/>
      <c r="F1515" s="94"/>
      <c r="G1515" s="95"/>
      <c r="H1515" s="96"/>
      <c r="I1515" s="97"/>
      <c r="J1515" s="98"/>
      <c r="K1515" s="99"/>
    </row>
    <row r="1516" spans="1:11" ht="13.2">
      <c r="A1516" s="89"/>
      <c r="B1516" s="90"/>
      <c r="C1516" s="91"/>
      <c r="D1516" s="92"/>
      <c r="E1516" s="93"/>
      <c r="F1516" s="94"/>
      <c r="G1516" s="95"/>
      <c r="H1516" s="96"/>
      <c r="I1516" s="97"/>
      <c r="J1516" s="98"/>
      <c r="K1516" s="99"/>
    </row>
    <row r="1517" spans="1:11" ht="13.2">
      <c r="A1517" s="89"/>
      <c r="B1517" s="90"/>
      <c r="C1517" s="91"/>
      <c r="D1517" s="92"/>
      <c r="E1517" s="93"/>
      <c r="F1517" s="94"/>
      <c r="G1517" s="95"/>
      <c r="H1517" s="96"/>
      <c r="I1517" s="97"/>
      <c r="J1517" s="98"/>
      <c r="K1517" s="99"/>
    </row>
    <row r="1518" spans="1:11" ht="13.2">
      <c r="A1518" s="89"/>
      <c r="B1518" s="90"/>
      <c r="C1518" s="91"/>
      <c r="D1518" s="92"/>
      <c r="E1518" s="93"/>
      <c r="F1518" s="94"/>
      <c r="G1518" s="95"/>
      <c r="H1518" s="96"/>
      <c r="I1518" s="97"/>
      <c r="J1518" s="98"/>
      <c r="K1518" s="99"/>
    </row>
    <row r="1519" spans="1:11" ht="13.2">
      <c r="A1519" s="89"/>
      <c r="B1519" s="90"/>
      <c r="C1519" s="91"/>
      <c r="D1519" s="92"/>
      <c r="E1519" s="93"/>
      <c r="F1519" s="94"/>
      <c r="G1519" s="95"/>
      <c r="H1519" s="96"/>
      <c r="I1519" s="97"/>
      <c r="J1519" s="98"/>
      <c r="K1519" s="99"/>
    </row>
    <row r="1520" spans="1:11" ht="13.2">
      <c r="A1520" s="89"/>
      <c r="B1520" s="90"/>
      <c r="C1520" s="91"/>
      <c r="D1520" s="92"/>
      <c r="E1520" s="93"/>
      <c r="F1520" s="94"/>
      <c r="G1520" s="95"/>
      <c r="H1520" s="96"/>
      <c r="I1520" s="97"/>
      <c r="J1520" s="98"/>
      <c r="K1520" s="99"/>
    </row>
    <row r="1521" spans="1:11" ht="13.2">
      <c r="A1521" s="89"/>
      <c r="B1521" s="90"/>
      <c r="C1521" s="91"/>
      <c r="D1521" s="92"/>
      <c r="E1521" s="93"/>
      <c r="F1521" s="94"/>
      <c r="G1521" s="95"/>
      <c r="H1521" s="96"/>
      <c r="I1521" s="97"/>
      <c r="J1521" s="98"/>
      <c r="K1521" s="99"/>
    </row>
    <row r="1522" spans="1:11" ht="13.2">
      <c r="A1522" s="89"/>
      <c r="B1522" s="90"/>
      <c r="C1522" s="91"/>
      <c r="D1522" s="92"/>
      <c r="E1522" s="93"/>
      <c r="F1522" s="94"/>
      <c r="G1522" s="95"/>
      <c r="H1522" s="96"/>
      <c r="I1522" s="97"/>
      <c r="J1522" s="98"/>
      <c r="K1522" s="99"/>
    </row>
    <row r="1523" spans="1:11" ht="13.2">
      <c r="A1523" s="89"/>
      <c r="B1523" s="90"/>
      <c r="C1523" s="91"/>
      <c r="D1523" s="92"/>
      <c r="E1523" s="93"/>
      <c r="F1523" s="94"/>
      <c r="G1523" s="95"/>
      <c r="H1523" s="96"/>
      <c r="I1523" s="97"/>
      <c r="J1523" s="98"/>
      <c r="K1523" s="99"/>
    </row>
    <row r="1524" spans="1:11" ht="13.2">
      <c r="A1524" s="89"/>
      <c r="B1524" s="90"/>
      <c r="C1524" s="91"/>
      <c r="D1524" s="92"/>
      <c r="E1524" s="93"/>
      <c r="F1524" s="94"/>
      <c r="G1524" s="95"/>
      <c r="H1524" s="96"/>
      <c r="I1524" s="97"/>
      <c r="J1524" s="98"/>
      <c r="K1524" s="99"/>
    </row>
    <row r="1525" spans="1:11" ht="13.2">
      <c r="A1525" s="89"/>
      <c r="B1525" s="90"/>
      <c r="C1525" s="91"/>
      <c r="D1525" s="92"/>
      <c r="E1525" s="93"/>
      <c r="F1525" s="94"/>
      <c r="G1525" s="95"/>
      <c r="H1525" s="96"/>
      <c r="I1525" s="97"/>
      <c r="J1525" s="98"/>
      <c r="K1525" s="99"/>
    </row>
    <row r="1526" spans="1:11" ht="13.2">
      <c r="A1526" s="89"/>
      <c r="B1526" s="90"/>
      <c r="C1526" s="91"/>
      <c r="D1526" s="92"/>
      <c r="E1526" s="93"/>
      <c r="F1526" s="94"/>
      <c r="G1526" s="95"/>
      <c r="H1526" s="96"/>
      <c r="I1526" s="97"/>
      <c r="J1526" s="98"/>
      <c r="K1526" s="99"/>
    </row>
    <row r="1527" spans="1:11" ht="13.2">
      <c r="A1527" s="89"/>
      <c r="B1527" s="90"/>
      <c r="C1527" s="91"/>
      <c r="D1527" s="92"/>
      <c r="E1527" s="93"/>
      <c r="F1527" s="94"/>
      <c r="G1527" s="95"/>
      <c r="H1527" s="96"/>
      <c r="I1527" s="97"/>
      <c r="J1527" s="98"/>
      <c r="K1527" s="99"/>
    </row>
    <row r="1528" spans="1:11" ht="13.2">
      <c r="A1528" s="89"/>
      <c r="B1528" s="90"/>
      <c r="C1528" s="91"/>
      <c r="D1528" s="92"/>
      <c r="E1528" s="93"/>
      <c r="F1528" s="94"/>
      <c r="G1528" s="95"/>
      <c r="H1528" s="96"/>
      <c r="I1528" s="97"/>
      <c r="J1528" s="98"/>
      <c r="K1528" s="99"/>
    </row>
    <row r="1529" spans="1:11" ht="13.2">
      <c r="A1529" s="89"/>
      <c r="B1529" s="90"/>
      <c r="C1529" s="91"/>
      <c r="D1529" s="92"/>
      <c r="E1529" s="93"/>
      <c r="F1529" s="94"/>
      <c r="G1529" s="95"/>
      <c r="H1529" s="96"/>
      <c r="I1529" s="97"/>
      <c r="J1529" s="98"/>
      <c r="K1529" s="99"/>
    </row>
    <row r="1530" spans="1:11" ht="13.2">
      <c r="A1530" s="89"/>
      <c r="B1530" s="90"/>
      <c r="C1530" s="91"/>
      <c r="D1530" s="92"/>
      <c r="E1530" s="93"/>
      <c r="F1530" s="94"/>
      <c r="G1530" s="95"/>
      <c r="H1530" s="96"/>
      <c r="I1530" s="97"/>
      <c r="J1530" s="98"/>
      <c r="K1530" s="99"/>
    </row>
    <row r="1531" spans="1:11" ht="13.2">
      <c r="A1531" s="89"/>
      <c r="B1531" s="90"/>
      <c r="C1531" s="91"/>
      <c r="D1531" s="92"/>
      <c r="E1531" s="93"/>
      <c r="F1531" s="94"/>
      <c r="G1531" s="95"/>
      <c r="H1531" s="96"/>
      <c r="I1531" s="97"/>
      <c r="J1531" s="98"/>
      <c r="K1531" s="99"/>
    </row>
    <row r="1532" spans="1:11" ht="13.2">
      <c r="A1532" s="89"/>
      <c r="B1532" s="90"/>
      <c r="C1532" s="91"/>
      <c r="D1532" s="92"/>
      <c r="E1532" s="93"/>
      <c r="F1532" s="94"/>
      <c r="G1532" s="95"/>
      <c r="H1532" s="96"/>
      <c r="I1532" s="97"/>
      <c r="J1532" s="98"/>
      <c r="K1532" s="99"/>
    </row>
    <row r="1533" spans="1:11" ht="13.2">
      <c r="A1533" s="89"/>
      <c r="B1533" s="90"/>
      <c r="C1533" s="91"/>
      <c r="D1533" s="92"/>
      <c r="E1533" s="93"/>
      <c r="F1533" s="94"/>
      <c r="G1533" s="95"/>
      <c r="H1533" s="96"/>
      <c r="I1533" s="97"/>
      <c r="J1533" s="98"/>
      <c r="K1533" s="99"/>
    </row>
    <row r="1534" spans="1:11" ht="13.2">
      <c r="A1534" s="89"/>
      <c r="B1534" s="90"/>
      <c r="C1534" s="91"/>
      <c r="D1534" s="92"/>
      <c r="E1534" s="93"/>
      <c r="F1534" s="94"/>
      <c r="G1534" s="95"/>
      <c r="H1534" s="96"/>
      <c r="I1534" s="97"/>
      <c r="J1534" s="98"/>
      <c r="K1534" s="99"/>
    </row>
    <row r="1535" spans="1:11" ht="13.2">
      <c r="A1535" s="89"/>
      <c r="B1535" s="90"/>
      <c r="C1535" s="91"/>
      <c r="D1535" s="92"/>
      <c r="E1535" s="93"/>
      <c r="F1535" s="94"/>
      <c r="G1535" s="95"/>
      <c r="H1535" s="96"/>
      <c r="I1535" s="97"/>
      <c r="J1535" s="98"/>
      <c r="K1535" s="99"/>
    </row>
    <row r="1536" spans="1:11" ht="13.2">
      <c r="A1536" s="89"/>
      <c r="B1536" s="90"/>
      <c r="C1536" s="91"/>
      <c r="D1536" s="92"/>
      <c r="E1536" s="93"/>
      <c r="F1536" s="94"/>
      <c r="G1536" s="95"/>
      <c r="H1536" s="96"/>
      <c r="I1536" s="97"/>
      <c r="J1536" s="98"/>
      <c r="K1536" s="99"/>
    </row>
    <row r="1537" spans="1:11" ht="13.2">
      <c r="A1537" s="89"/>
      <c r="B1537" s="90"/>
      <c r="C1537" s="91"/>
      <c r="D1537" s="92"/>
      <c r="E1537" s="93"/>
      <c r="F1537" s="94"/>
      <c r="G1537" s="95"/>
      <c r="H1537" s="96"/>
      <c r="I1537" s="97"/>
      <c r="J1537" s="98"/>
      <c r="K1537" s="99"/>
    </row>
    <row r="1538" spans="1:11" ht="13.2">
      <c r="A1538" s="89"/>
      <c r="B1538" s="90"/>
      <c r="C1538" s="91"/>
      <c r="D1538" s="92"/>
      <c r="E1538" s="93"/>
      <c r="F1538" s="94"/>
      <c r="G1538" s="95"/>
      <c r="H1538" s="96"/>
      <c r="I1538" s="97"/>
      <c r="J1538" s="98"/>
      <c r="K1538" s="99"/>
    </row>
    <row r="1539" spans="1:11" ht="13.2">
      <c r="A1539" s="89"/>
      <c r="B1539" s="90"/>
      <c r="C1539" s="91"/>
      <c r="D1539" s="92"/>
      <c r="E1539" s="93"/>
      <c r="F1539" s="94"/>
      <c r="G1539" s="95"/>
      <c r="H1539" s="96"/>
      <c r="I1539" s="97"/>
      <c r="J1539" s="98"/>
      <c r="K1539" s="99"/>
    </row>
    <row r="1540" spans="1:11" ht="13.2">
      <c r="A1540" s="89"/>
      <c r="B1540" s="90"/>
      <c r="C1540" s="91"/>
      <c r="D1540" s="92"/>
      <c r="E1540" s="93"/>
      <c r="F1540" s="94"/>
      <c r="G1540" s="95"/>
      <c r="H1540" s="96"/>
      <c r="I1540" s="97"/>
      <c r="J1540" s="98"/>
      <c r="K1540" s="99"/>
    </row>
    <row r="1541" spans="1:11" ht="13.2">
      <c r="A1541" s="89"/>
      <c r="B1541" s="90"/>
      <c r="C1541" s="91"/>
      <c r="D1541" s="92"/>
      <c r="E1541" s="93"/>
      <c r="F1541" s="94"/>
      <c r="G1541" s="95"/>
      <c r="H1541" s="96"/>
      <c r="I1541" s="97"/>
      <c r="J1541" s="98"/>
      <c r="K1541" s="99"/>
    </row>
    <row r="1542" spans="1:11" ht="13.2">
      <c r="A1542" s="89"/>
      <c r="B1542" s="90"/>
      <c r="C1542" s="91"/>
      <c r="D1542" s="92"/>
      <c r="E1542" s="93"/>
      <c r="F1542" s="94"/>
      <c r="G1542" s="95"/>
      <c r="H1542" s="96"/>
      <c r="I1542" s="97"/>
      <c r="J1542" s="98"/>
      <c r="K1542" s="99"/>
    </row>
    <row r="1543" spans="1:11" ht="13.2">
      <c r="A1543" s="89"/>
      <c r="B1543" s="90"/>
      <c r="C1543" s="91"/>
      <c r="D1543" s="92"/>
      <c r="E1543" s="93"/>
      <c r="F1543" s="94"/>
      <c r="G1543" s="95"/>
      <c r="H1543" s="96"/>
      <c r="I1543" s="97"/>
      <c r="J1543" s="98"/>
      <c r="K1543" s="99"/>
    </row>
    <row r="1544" spans="1:11" ht="13.2">
      <c r="A1544" s="89"/>
      <c r="B1544" s="90"/>
      <c r="C1544" s="91"/>
      <c r="D1544" s="92"/>
      <c r="E1544" s="93"/>
      <c r="F1544" s="94"/>
      <c r="G1544" s="95"/>
      <c r="H1544" s="96"/>
      <c r="I1544" s="97"/>
      <c r="J1544" s="98"/>
      <c r="K1544" s="99"/>
    </row>
    <row r="1545" spans="1:11" ht="13.2">
      <c r="A1545" s="89"/>
      <c r="B1545" s="90"/>
      <c r="C1545" s="91"/>
      <c r="D1545" s="92"/>
      <c r="E1545" s="93"/>
      <c r="F1545" s="94"/>
      <c r="G1545" s="95"/>
      <c r="H1545" s="96"/>
      <c r="I1545" s="97"/>
      <c r="J1545" s="98"/>
      <c r="K1545" s="99"/>
    </row>
    <row r="1546" spans="1:11" ht="13.2">
      <c r="A1546" s="89"/>
      <c r="B1546" s="90"/>
      <c r="C1546" s="91"/>
      <c r="D1546" s="92"/>
      <c r="E1546" s="93"/>
      <c r="F1546" s="94"/>
      <c r="G1546" s="95"/>
      <c r="H1546" s="96"/>
      <c r="I1546" s="97"/>
      <c r="J1546" s="98"/>
      <c r="K1546" s="99"/>
    </row>
    <row r="1547" spans="1:11" ht="13.2">
      <c r="A1547" s="89"/>
      <c r="B1547" s="90"/>
      <c r="C1547" s="91"/>
      <c r="D1547" s="92"/>
      <c r="E1547" s="93"/>
      <c r="F1547" s="94"/>
      <c r="G1547" s="95"/>
      <c r="H1547" s="96"/>
      <c r="I1547" s="97"/>
      <c r="J1547" s="98"/>
      <c r="K1547" s="99"/>
    </row>
    <row r="1548" spans="1:11" ht="13.2">
      <c r="A1548" s="89"/>
      <c r="B1548" s="90"/>
      <c r="C1548" s="91"/>
      <c r="D1548" s="92"/>
      <c r="E1548" s="93"/>
      <c r="F1548" s="94"/>
      <c r="G1548" s="95"/>
      <c r="H1548" s="96"/>
      <c r="I1548" s="97"/>
      <c r="J1548" s="98"/>
      <c r="K1548" s="99"/>
    </row>
    <row r="1549" spans="1:11" ht="13.2">
      <c r="A1549" s="89"/>
      <c r="B1549" s="90"/>
      <c r="C1549" s="91"/>
      <c r="D1549" s="92"/>
      <c r="E1549" s="93"/>
      <c r="F1549" s="94"/>
      <c r="G1549" s="95"/>
      <c r="H1549" s="96"/>
      <c r="I1549" s="97"/>
      <c r="J1549" s="98"/>
      <c r="K1549" s="99"/>
    </row>
    <row r="1550" spans="1:11" ht="13.2">
      <c r="A1550" s="89"/>
      <c r="B1550" s="90"/>
      <c r="C1550" s="91"/>
      <c r="D1550" s="92"/>
      <c r="E1550" s="93"/>
      <c r="F1550" s="94"/>
      <c r="G1550" s="95"/>
      <c r="H1550" s="96"/>
      <c r="I1550" s="97"/>
      <c r="J1550" s="98"/>
      <c r="K1550" s="99"/>
    </row>
    <row r="1551" spans="1:11" ht="13.2">
      <c r="A1551" s="89"/>
      <c r="B1551" s="90"/>
      <c r="C1551" s="91"/>
      <c r="D1551" s="92"/>
      <c r="E1551" s="93"/>
      <c r="F1551" s="94"/>
      <c r="G1551" s="95"/>
      <c r="H1551" s="96"/>
      <c r="I1551" s="97"/>
      <c r="J1551" s="98"/>
      <c r="K1551" s="99"/>
    </row>
    <row r="1552" spans="1:11" ht="13.2">
      <c r="A1552" s="89"/>
      <c r="B1552" s="90"/>
      <c r="C1552" s="91"/>
      <c r="D1552" s="92"/>
      <c r="E1552" s="93"/>
      <c r="F1552" s="94"/>
      <c r="G1552" s="95"/>
      <c r="H1552" s="96"/>
      <c r="I1552" s="97"/>
      <c r="J1552" s="98"/>
      <c r="K1552" s="99"/>
    </row>
    <row r="1553" spans="1:11" ht="13.2">
      <c r="A1553" s="89"/>
      <c r="B1553" s="90"/>
      <c r="C1553" s="91"/>
      <c r="D1553" s="92"/>
      <c r="E1553" s="93"/>
      <c r="F1553" s="94"/>
      <c r="G1553" s="95"/>
      <c r="H1553" s="96"/>
      <c r="I1553" s="97"/>
      <c r="J1553" s="98"/>
      <c r="K1553" s="99"/>
    </row>
    <row r="1554" spans="1:11" ht="13.2">
      <c r="A1554" s="89"/>
      <c r="B1554" s="90"/>
      <c r="C1554" s="91"/>
      <c r="D1554" s="92"/>
      <c r="E1554" s="93"/>
      <c r="F1554" s="94"/>
      <c r="G1554" s="95"/>
      <c r="H1554" s="96"/>
      <c r="I1554" s="97"/>
      <c r="J1554" s="98"/>
      <c r="K1554" s="99"/>
    </row>
    <row r="1555" spans="1:11" ht="13.2">
      <c r="A1555" s="89"/>
      <c r="B1555" s="90"/>
      <c r="C1555" s="91"/>
      <c r="D1555" s="92"/>
      <c r="E1555" s="93"/>
      <c r="F1555" s="94"/>
      <c r="G1555" s="95"/>
      <c r="H1555" s="96"/>
      <c r="I1555" s="97"/>
      <c r="J1555" s="98"/>
      <c r="K1555" s="99"/>
    </row>
    <row r="1556" spans="1:11" ht="13.2">
      <c r="A1556" s="89"/>
      <c r="B1556" s="90"/>
      <c r="C1556" s="91"/>
      <c r="D1556" s="92"/>
      <c r="E1556" s="93"/>
      <c r="F1556" s="94"/>
      <c r="G1556" s="95"/>
      <c r="H1556" s="96"/>
      <c r="I1556" s="97"/>
      <c r="J1556" s="98"/>
      <c r="K1556" s="99"/>
    </row>
    <row r="1557" spans="1:11" ht="13.2">
      <c r="A1557" s="89"/>
      <c r="B1557" s="90"/>
      <c r="C1557" s="91"/>
      <c r="D1557" s="92"/>
      <c r="E1557" s="93"/>
      <c r="F1557" s="94"/>
      <c r="G1557" s="95"/>
      <c r="H1557" s="96"/>
      <c r="I1557" s="97"/>
      <c r="J1557" s="98"/>
      <c r="K1557" s="99"/>
    </row>
    <row r="1558" spans="1:11" ht="13.2">
      <c r="A1558" s="89"/>
      <c r="B1558" s="90"/>
      <c r="C1558" s="91"/>
      <c r="D1558" s="92"/>
      <c r="E1558" s="93"/>
      <c r="F1558" s="94"/>
      <c r="G1558" s="95"/>
      <c r="H1558" s="96"/>
      <c r="I1558" s="97"/>
      <c r="J1558" s="98"/>
      <c r="K1558" s="99"/>
    </row>
    <row r="1559" spans="1:11" ht="13.2">
      <c r="A1559" s="89"/>
      <c r="B1559" s="90"/>
      <c r="C1559" s="91"/>
      <c r="D1559" s="92"/>
      <c r="E1559" s="93"/>
      <c r="F1559" s="94"/>
      <c r="G1559" s="95"/>
      <c r="H1559" s="96"/>
      <c r="I1559" s="97"/>
      <c r="J1559" s="98"/>
      <c r="K1559" s="99"/>
    </row>
    <row r="1560" spans="1:11" ht="13.2">
      <c r="A1560" s="89"/>
      <c r="B1560" s="90"/>
      <c r="C1560" s="91"/>
      <c r="D1560" s="92"/>
      <c r="E1560" s="93"/>
      <c r="F1560" s="94"/>
      <c r="G1560" s="95"/>
      <c r="H1560" s="96"/>
      <c r="I1560" s="97"/>
      <c r="J1560" s="98"/>
      <c r="K1560" s="99"/>
    </row>
    <row r="1561" spans="1:11" ht="13.2">
      <c r="A1561" s="89"/>
      <c r="B1561" s="90"/>
      <c r="C1561" s="91"/>
      <c r="D1561" s="92"/>
      <c r="E1561" s="93"/>
      <c r="F1561" s="94"/>
      <c r="G1561" s="95"/>
      <c r="H1561" s="96"/>
      <c r="I1561" s="97"/>
      <c r="J1561" s="98"/>
      <c r="K1561" s="99"/>
    </row>
    <row r="1562" spans="1:11" ht="13.2">
      <c r="A1562" s="89"/>
      <c r="B1562" s="90"/>
      <c r="C1562" s="91"/>
      <c r="D1562" s="92"/>
      <c r="E1562" s="93"/>
      <c r="F1562" s="94"/>
      <c r="G1562" s="95"/>
      <c r="H1562" s="96"/>
      <c r="I1562" s="97"/>
      <c r="J1562" s="98"/>
      <c r="K1562" s="99"/>
    </row>
    <row r="1563" spans="1:11" ht="13.2">
      <c r="A1563" s="89"/>
      <c r="B1563" s="90"/>
      <c r="C1563" s="91"/>
      <c r="D1563" s="92"/>
      <c r="E1563" s="93"/>
      <c r="F1563" s="94"/>
      <c r="G1563" s="95"/>
      <c r="H1563" s="96"/>
      <c r="I1563" s="97"/>
      <c r="J1563" s="98"/>
      <c r="K1563" s="99"/>
    </row>
    <row r="1564" spans="1:11" ht="13.2">
      <c r="A1564" s="89"/>
      <c r="B1564" s="90"/>
      <c r="C1564" s="91"/>
      <c r="D1564" s="92"/>
      <c r="E1564" s="93"/>
      <c r="F1564" s="94"/>
      <c r="G1564" s="95"/>
      <c r="H1564" s="96"/>
      <c r="I1564" s="97"/>
      <c r="J1564" s="98"/>
      <c r="K1564" s="99"/>
    </row>
    <row r="1565" spans="1:11" ht="13.2">
      <c r="A1565" s="89"/>
      <c r="B1565" s="90"/>
      <c r="C1565" s="91"/>
      <c r="D1565" s="92"/>
      <c r="E1565" s="93"/>
      <c r="F1565" s="94"/>
      <c r="G1565" s="95"/>
      <c r="H1565" s="96"/>
      <c r="I1565" s="97"/>
      <c r="J1565" s="98"/>
      <c r="K1565" s="99"/>
    </row>
    <row r="1566" spans="1:11" ht="13.2">
      <c r="A1566" s="89"/>
      <c r="B1566" s="90"/>
      <c r="C1566" s="91"/>
      <c r="D1566" s="92"/>
      <c r="E1566" s="93"/>
      <c r="F1566" s="94"/>
      <c r="G1566" s="95"/>
      <c r="H1566" s="96"/>
      <c r="I1566" s="97"/>
      <c r="J1566" s="98"/>
      <c r="K1566" s="99"/>
    </row>
    <row r="1567" spans="1:11" ht="13.2">
      <c r="A1567" s="89"/>
      <c r="B1567" s="90"/>
      <c r="C1567" s="91"/>
      <c r="D1567" s="92"/>
      <c r="E1567" s="93"/>
      <c r="F1567" s="94"/>
      <c r="G1567" s="95"/>
      <c r="H1567" s="96"/>
      <c r="I1567" s="97"/>
      <c r="J1567" s="98"/>
      <c r="K1567" s="99"/>
    </row>
    <row r="1568" spans="1:11" ht="13.2">
      <c r="A1568" s="89"/>
      <c r="B1568" s="90"/>
      <c r="C1568" s="91"/>
      <c r="D1568" s="92"/>
      <c r="E1568" s="93"/>
      <c r="F1568" s="94"/>
      <c r="G1568" s="95"/>
      <c r="H1568" s="96"/>
      <c r="I1568" s="97"/>
      <c r="J1568" s="98"/>
      <c r="K1568" s="99"/>
    </row>
    <row r="1569" spans="1:11" ht="13.2">
      <c r="A1569" s="89"/>
      <c r="B1569" s="90"/>
      <c r="C1569" s="91"/>
      <c r="D1569" s="92"/>
      <c r="E1569" s="93"/>
      <c r="F1569" s="94"/>
      <c r="G1569" s="95"/>
      <c r="H1569" s="96"/>
      <c r="I1569" s="97"/>
      <c r="J1569" s="98"/>
      <c r="K1569" s="99"/>
    </row>
    <row r="1570" spans="1:11" ht="13.2">
      <c r="A1570" s="89"/>
      <c r="B1570" s="90"/>
      <c r="C1570" s="91"/>
      <c r="D1570" s="92"/>
      <c r="E1570" s="93"/>
      <c r="F1570" s="94"/>
      <c r="G1570" s="95"/>
      <c r="H1570" s="96"/>
      <c r="I1570" s="97"/>
      <c r="J1570" s="98"/>
      <c r="K1570" s="99"/>
    </row>
    <row r="1571" spans="1:11" ht="13.2">
      <c r="A1571" s="89"/>
      <c r="B1571" s="90"/>
      <c r="C1571" s="91"/>
      <c r="D1571" s="92"/>
      <c r="E1571" s="93"/>
      <c r="F1571" s="94"/>
      <c r="G1571" s="95"/>
      <c r="H1571" s="96"/>
      <c r="I1571" s="97"/>
      <c r="J1571" s="98"/>
      <c r="K1571" s="99"/>
    </row>
    <row r="1572" spans="1:11" ht="13.2">
      <c r="A1572" s="89"/>
      <c r="B1572" s="90"/>
      <c r="C1572" s="91"/>
      <c r="D1572" s="92"/>
      <c r="E1572" s="93"/>
      <c r="F1572" s="94"/>
      <c r="G1572" s="95"/>
      <c r="H1572" s="96"/>
      <c r="I1572" s="97"/>
      <c r="J1572" s="98"/>
      <c r="K1572" s="99"/>
    </row>
    <row r="1573" spans="1:11" ht="13.2">
      <c r="A1573" s="89"/>
      <c r="B1573" s="90"/>
      <c r="C1573" s="91"/>
      <c r="D1573" s="92"/>
      <c r="E1573" s="93"/>
      <c r="F1573" s="94"/>
      <c r="G1573" s="95"/>
      <c r="H1573" s="96"/>
      <c r="I1573" s="97"/>
      <c r="J1573" s="98"/>
      <c r="K1573" s="99"/>
    </row>
    <row r="1574" spans="1:11" ht="13.2">
      <c r="A1574" s="89"/>
      <c r="B1574" s="90"/>
      <c r="C1574" s="91"/>
      <c r="D1574" s="92"/>
      <c r="E1574" s="93"/>
      <c r="F1574" s="94"/>
      <c r="G1574" s="95"/>
      <c r="H1574" s="96"/>
      <c r="I1574" s="97"/>
      <c r="J1574" s="98"/>
      <c r="K1574" s="99"/>
    </row>
    <row r="1575" spans="1:11" ht="13.2">
      <c r="A1575" s="89"/>
      <c r="B1575" s="90"/>
      <c r="C1575" s="91"/>
      <c r="D1575" s="92"/>
      <c r="E1575" s="93"/>
      <c r="F1575" s="94"/>
      <c r="G1575" s="95"/>
      <c r="H1575" s="96"/>
      <c r="I1575" s="97"/>
      <c r="J1575" s="98"/>
      <c r="K1575" s="99"/>
    </row>
    <row r="1576" spans="1:11" ht="13.2">
      <c r="A1576" s="89"/>
      <c r="B1576" s="90"/>
      <c r="C1576" s="91"/>
      <c r="D1576" s="92"/>
      <c r="E1576" s="93"/>
      <c r="F1576" s="94"/>
      <c r="G1576" s="95"/>
      <c r="H1576" s="96"/>
      <c r="I1576" s="97"/>
      <c r="J1576" s="98"/>
      <c r="K1576" s="99"/>
    </row>
    <row r="1577" spans="1:11" ht="13.2">
      <c r="A1577" s="89"/>
      <c r="B1577" s="90"/>
      <c r="C1577" s="91"/>
      <c r="D1577" s="92"/>
      <c r="E1577" s="93"/>
      <c r="F1577" s="94"/>
      <c r="G1577" s="95"/>
      <c r="H1577" s="96"/>
      <c r="I1577" s="97"/>
      <c r="J1577" s="98"/>
      <c r="K1577" s="99"/>
    </row>
    <row r="1578" spans="1:11" ht="13.2">
      <c r="A1578" s="89"/>
      <c r="B1578" s="90"/>
      <c r="C1578" s="91"/>
      <c r="D1578" s="92"/>
      <c r="E1578" s="93"/>
      <c r="F1578" s="94"/>
      <c r="G1578" s="95"/>
      <c r="H1578" s="96"/>
      <c r="I1578" s="97"/>
      <c r="J1578" s="98"/>
      <c r="K1578" s="99"/>
    </row>
    <row r="1579" spans="1:11" ht="13.2">
      <c r="A1579" s="89"/>
      <c r="B1579" s="90"/>
      <c r="C1579" s="91"/>
      <c r="D1579" s="92"/>
      <c r="E1579" s="93"/>
      <c r="F1579" s="94"/>
      <c r="G1579" s="95"/>
      <c r="H1579" s="96"/>
      <c r="I1579" s="97"/>
      <c r="J1579" s="98"/>
      <c r="K1579" s="99"/>
    </row>
    <row r="1580" spans="1:11" ht="13.2">
      <c r="A1580" s="89"/>
      <c r="B1580" s="90"/>
      <c r="C1580" s="91"/>
      <c r="D1580" s="92"/>
      <c r="E1580" s="93"/>
      <c r="F1580" s="94"/>
      <c r="G1580" s="95"/>
      <c r="H1580" s="96"/>
      <c r="I1580" s="97"/>
      <c r="J1580" s="98"/>
      <c r="K1580" s="99"/>
    </row>
    <row r="1581" spans="1:11" ht="13.2">
      <c r="A1581" s="89"/>
      <c r="B1581" s="90"/>
      <c r="C1581" s="91"/>
      <c r="D1581" s="92"/>
      <c r="E1581" s="93"/>
      <c r="F1581" s="94"/>
      <c r="G1581" s="95"/>
      <c r="H1581" s="96"/>
      <c r="I1581" s="97"/>
      <c r="J1581" s="98"/>
      <c r="K1581" s="99"/>
    </row>
    <row r="1582" spans="1:11" ht="13.2">
      <c r="A1582" s="89"/>
      <c r="B1582" s="90"/>
      <c r="C1582" s="91"/>
      <c r="D1582" s="92"/>
      <c r="E1582" s="93"/>
      <c r="F1582" s="94"/>
      <c r="G1582" s="95"/>
      <c r="H1582" s="96"/>
      <c r="I1582" s="97"/>
      <c r="J1582" s="98"/>
      <c r="K1582" s="99"/>
    </row>
    <row r="1583" spans="1:11" ht="13.2">
      <c r="A1583" s="89"/>
      <c r="B1583" s="90"/>
      <c r="C1583" s="91"/>
      <c r="D1583" s="92"/>
      <c r="E1583" s="93"/>
      <c r="F1583" s="94"/>
      <c r="G1583" s="95"/>
      <c r="H1583" s="96"/>
      <c r="I1583" s="97"/>
      <c r="J1583" s="98"/>
      <c r="K1583" s="99"/>
    </row>
    <row r="1584" spans="1:11" ht="13.2">
      <c r="A1584" s="89"/>
      <c r="B1584" s="90"/>
      <c r="C1584" s="91"/>
      <c r="D1584" s="92"/>
      <c r="E1584" s="93"/>
      <c r="F1584" s="94"/>
      <c r="G1584" s="95"/>
      <c r="H1584" s="96"/>
      <c r="I1584" s="97"/>
      <c r="J1584" s="98"/>
      <c r="K1584" s="99"/>
    </row>
    <row r="1585" spans="1:11" ht="13.2">
      <c r="A1585" s="89"/>
      <c r="B1585" s="90"/>
      <c r="C1585" s="91"/>
      <c r="D1585" s="92"/>
      <c r="E1585" s="93"/>
      <c r="F1585" s="94"/>
      <c r="G1585" s="95"/>
      <c r="H1585" s="96"/>
      <c r="I1585" s="97"/>
      <c r="J1585" s="98"/>
      <c r="K1585" s="99"/>
    </row>
    <row r="1586" spans="1:11" ht="13.2">
      <c r="A1586" s="89"/>
      <c r="B1586" s="90"/>
      <c r="C1586" s="91"/>
      <c r="D1586" s="92"/>
      <c r="E1586" s="93"/>
      <c r="F1586" s="94"/>
      <c r="G1586" s="95"/>
      <c r="H1586" s="96"/>
      <c r="I1586" s="97"/>
      <c r="J1586" s="98"/>
      <c r="K1586" s="99"/>
    </row>
    <row r="1587" spans="1:11" ht="13.2">
      <c r="A1587" s="89"/>
      <c r="B1587" s="90"/>
      <c r="C1587" s="91"/>
      <c r="D1587" s="92"/>
      <c r="E1587" s="93"/>
      <c r="F1587" s="94"/>
      <c r="G1587" s="95"/>
      <c r="H1587" s="96"/>
      <c r="I1587" s="97"/>
      <c r="J1587" s="98"/>
      <c r="K1587" s="99"/>
    </row>
    <row r="1588" spans="1:11" ht="13.2">
      <c r="A1588" s="89"/>
      <c r="B1588" s="90"/>
      <c r="C1588" s="91"/>
      <c r="D1588" s="92"/>
      <c r="E1588" s="93"/>
      <c r="F1588" s="94"/>
      <c r="G1588" s="95"/>
      <c r="H1588" s="96"/>
      <c r="I1588" s="97"/>
      <c r="J1588" s="98"/>
      <c r="K1588" s="99"/>
    </row>
    <row r="1589" spans="1:11" ht="13.2">
      <c r="A1589" s="89"/>
      <c r="B1589" s="90"/>
      <c r="C1589" s="91"/>
      <c r="D1589" s="92"/>
      <c r="E1589" s="93"/>
      <c r="F1589" s="94"/>
      <c r="G1589" s="95"/>
      <c r="H1589" s="96"/>
      <c r="I1589" s="97"/>
      <c r="J1589" s="98"/>
      <c r="K1589" s="99"/>
    </row>
    <row r="1590" spans="1:11" ht="13.2">
      <c r="A1590" s="89"/>
      <c r="B1590" s="90"/>
      <c r="C1590" s="91"/>
      <c r="D1590" s="92"/>
      <c r="E1590" s="93"/>
      <c r="F1590" s="94"/>
      <c r="G1590" s="95"/>
      <c r="H1590" s="96"/>
      <c r="I1590" s="97"/>
      <c r="J1590" s="98"/>
      <c r="K1590" s="99"/>
    </row>
    <row r="1591" spans="1:11" ht="13.2">
      <c r="A1591" s="89"/>
      <c r="B1591" s="90"/>
      <c r="C1591" s="91"/>
      <c r="D1591" s="92"/>
      <c r="E1591" s="93"/>
      <c r="F1591" s="94"/>
      <c r="G1591" s="95"/>
      <c r="H1591" s="96"/>
      <c r="I1591" s="97"/>
      <c r="J1591" s="98"/>
      <c r="K1591" s="99"/>
    </row>
    <row r="1592" spans="1:11" ht="13.2">
      <c r="A1592" s="89"/>
      <c r="B1592" s="90"/>
      <c r="C1592" s="91"/>
      <c r="D1592" s="92"/>
      <c r="E1592" s="93"/>
      <c r="F1592" s="94"/>
      <c r="G1592" s="95"/>
      <c r="H1592" s="96"/>
      <c r="I1592" s="97"/>
      <c r="J1592" s="98"/>
      <c r="K1592" s="99"/>
    </row>
    <row r="1593" spans="1:11" ht="13.2">
      <c r="A1593" s="89"/>
      <c r="B1593" s="90"/>
      <c r="C1593" s="91"/>
      <c r="D1593" s="92"/>
      <c r="E1593" s="93"/>
      <c r="F1593" s="94"/>
      <c r="G1593" s="95"/>
      <c r="H1593" s="96"/>
      <c r="I1593" s="97"/>
      <c r="J1593" s="98"/>
      <c r="K1593" s="99"/>
    </row>
    <row r="1594" spans="1:11" ht="13.2">
      <c r="A1594" s="89"/>
      <c r="B1594" s="90"/>
      <c r="C1594" s="91"/>
      <c r="D1594" s="92"/>
      <c r="E1594" s="93"/>
      <c r="F1594" s="94"/>
      <c r="G1594" s="95"/>
      <c r="H1594" s="96"/>
      <c r="I1594" s="97"/>
      <c r="J1594" s="98"/>
      <c r="K1594" s="99"/>
    </row>
    <row r="1595" spans="1:11" ht="13.2">
      <c r="A1595" s="89"/>
      <c r="B1595" s="90"/>
      <c r="C1595" s="91"/>
      <c r="D1595" s="92"/>
      <c r="E1595" s="93"/>
      <c r="F1595" s="94"/>
      <c r="G1595" s="95"/>
      <c r="H1595" s="96"/>
      <c r="I1595" s="97"/>
      <c r="J1595" s="98"/>
      <c r="K1595" s="99"/>
    </row>
    <row r="1596" spans="1:11" ht="13.2">
      <c r="A1596" s="89"/>
      <c r="B1596" s="90"/>
      <c r="C1596" s="91"/>
      <c r="D1596" s="92"/>
      <c r="E1596" s="93"/>
      <c r="F1596" s="94"/>
      <c r="G1596" s="95"/>
      <c r="H1596" s="96"/>
      <c r="I1596" s="97"/>
      <c r="J1596" s="98"/>
      <c r="K1596" s="99"/>
    </row>
    <row r="1597" spans="1:11" ht="13.2">
      <c r="A1597" s="89"/>
      <c r="B1597" s="90"/>
      <c r="C1597" s="91"/>
      <c r="D1597" s="92"/>
      <c r="E1597" s="93"/>
      <c r="F1597" s="94"/>
      <c r="G1597" s="95"/>
      <c r="H1597" s="96"/>
      <c r="I1597" s="97"/>
      <c r="J1597" s="98"/>
      <c r="K1597" s="99"/>
    </row>
    <row r="1598" spans="1:11" ht="13.2">
      <c r="A1598" s="89"/>
      <c r="B1598" s="90"/>
      <c r="C1598" s="91"/>
      <c r="D1598" s="92"/>
      <c r="E1598" s="93"/>
      <c r="F1598" s="94"/>
      <c r="G1598" s="95"/>
      <c r="H1598" s="96"/>
      <c r="I1598" s="97"/>
      <c r="J1598" s="98"/>
      <c r="K1598" s="99"/>
    </row>
    <row r="1599" spans="1:11" ht="13.2">
      <c r="A1599" s="89"/>
      <c r="B1599" s="90"/>
      <c r="C1599" s="91"/>
      <c r="D1599" s="92"/>
      <c r="E1599" s="93"/>
      <c r="F1599" s="94"/>
      <c r="G1599" s="95"/>
      <c r="H1599" s="96"/>
      <c r="I1599" s="97"/>
      <c r="J1599" s="98"/>
      <c r="K1599" s="99"/>
    </row>
    <row r="1600" spans="1:11" ht="13.2">
      <c r="A1600" s="89"/>
      <c r="B1600" s="90"/>
      <c r="C1600" s="91"/>
      <c r="D1600" s="92"/>
      <c r="E1600" s="93"/>
      <c r="F1600" s="94"/>
      <c r="G1600" s="95"/>
      <c r="H1600" s="96"/>
      <c r="I1600" s="97"/>
      <c r="J1600" s="98"/>
      <c r="K1600" s="99"/>
    </row>
    <row r="1601" spans="1:11" ht="13.2">
      <c r="A1601" s="89"/>
      <c r="B1601" s="90"/>
      <c r="C1601" s="91"/>
      <c r="D1601" s="92"/>
      <c r="E1601" s="93"/>
      <c r="F1601" s="94"/>
      <c r="G1601" s="95"/>
      <c r="H1601" s="96"/>
      <c r="I1601" s="97"/>
      <c r="J1601" s="98"/>
      <c r="K1601" s="99"/>
    </row>
    <row r="1602" spans="1:11" ht="13.2">
      <c r="A1602" s="89"/>
      <c r="B1602" s="90"/>
      <c r="C1602" s="91"/>
      <c r="D1602" s="92"/>
      <c r="E1602" s="93"/>
      <c r="F1602" s="94"/>
      <c r="G1602" s="95"/>
      <c r="H1602" s="96"/>
      <c r="I1602" s="97"/>
      <c r="J1602" s="98"/>
      <c r="K1602" s="99"/>
    </row>
    <row r="1603" spans="1:11" ht="13.2">
      <c r="A1603" s="89"/>
      <c r="B1603" s="90"/>
      <c r="C1603" s="91"/>
      <c r="D1603" s="92"/>
      <c r="E1603" s="93"/>
      <c r="F1603" s="94"/>
      <c r="G1603" s="95"/>
      <c r="H1603" s="96"/>
      <c r="I1603" s="97"/>
      <c r="J1603" s="98"/>
      <c r="K1603" s="99"/>
    </row>
    <row r="1604" spans="1:11" ht="13.2">
      <c r="A1604" s="89"/>
      <c r="B1604" s="90"/>
      <c r="C1604" s="91"/>
      <c r="D1604" s="92"/>
      <c r="E1604" s="93"/>
      <c r="F1604" s="94"/>
      <c r="G1604" s="95"/>
      <c r="H1604" s="96"/>
      <c r="I1604" s="97"/>
      <c r="J1604" s="98"/>
      <c r="K1604" s="99"/>
    </row>
    <row r="1605" spans="1:11" ht="13.2">
      <c r="A1605" s="89"/>
      <c r="B1605" s="90"/>
      <c r="C1605" s="91"/>
      <c r="D1605" s="92"/>
      <c r="E1605" s="93"/>
      <c r="F1605" s="94"/>
      <c r="G1605" s="95"/>
      <c r="H1605" s="96"/>
      <c r="I1605" s="97"/>
      <c r="J1605" s="98"/>
      <c r="K1605" s="99"/>
    </row>
    <row r="1606" spans="1:11" ht="13.2">
      <c r="A1606" s="89"/>
      <c r="B1606" s="90"/>
      <c r="C1606" s="91"/>
      <c r="D1606" s="92"/>
      <c r="E1606" s="93"/>
      <c r="F1606" s="94"/>
      <c r="G1606" s="95"/>
      <c r="H1606" s="96"/>
      <c r="I1606" s="97"/>
      <c r="J1606" s="98"/>
      <c r="K1606" s="99"/>
    </row>
    <row r="1607" spans="1:11" ht="13.2">
      <c r="A1607" s="89"/>
      <c r="B1607" s="90"/>
      <c r="C1607" s="91"/>
      <c r="D1607" s="92"/>
      <c r="E1607" s="93"/>
      <c r="F1607" s="94"/>
      <c r="G1607" s="95"/>
      <c r="H1607" s="96"/>
      <c r="I1607" s="97"/>
      <c r="J1607" s="98"/>
      <c r="K1607" s="99"/>
    </row>
    <row r="1608" spans="1:11" ht="13.2">
      <c r="A1608" s="89"/>
      <c r="B1608" s="90"/>
      <c r="C1608" s="91"/>
      <c r="D1608" s="92"/>
      <c r="E1608" s="93"/>
      <c r="F1608" s="94"/>
      <c r="G1608" s="95"/>
      <c r="H1608" s="96"/>
      <c r="I1608" s="97"/>
      <c r="J1608" s="98"/>
      <c r="K1608" s="99"/>
    </row>
    <row r="1609" spans="1:11" ht="13.2">
      <c r="A1609" s="89"/>
      <c r="B1609" s="90"/>
      <c r="C1609" s="91"/>
      <c r="D1609" s="92"/>
      <c r="E1609" s="93"/>
      <c r="F1609" s="94"/>
      <c r="G1609" s="95"/>
      <c r="H1609" s="96"/>
      <c r="I1609" s="97"/>
      <c r="J1609" s="98"/>
      <c r="K1609" s="99"/>
    </row>
    <row r="1610" spans="1:11" ht="13.2">
      <c r="A1610" s="89"/>
      <c r="B1610" s="90"/>
      <c r="C1610" s="91"/>
      <c r="D1610" s="92"/>
      <c r="E1610" s="93"/>
      <c r="F1610" s="94"/>
      <c r="G1610" s="95"/>
      <c r="H1610" s="96"/>
      <c r="I1610" s="97"/>
      <c r="J1610" s="98"/>
      <c r="K1610" s="99"/>
    </row>
    <row r="1611" spans="1:11" ht="13.2">
      <c r="A1611" s="89"/>
      <c r="B1611" s="90"/>
      <c r="C1611" s="91"/>
      <c r="D1611" s="92"/>
      <c r="E1611" s="93"/>
      <c r="F1611" s="94"/>
      <c r="G1611" s="95"/>
      <c r="H1611" s="96"/>
      <c r="I1611" s="97"/>
      <c r="J1611" s="98"/>
      <c r="K1611" s="99"/>
    </row>
    <row r="1612" spans="1:11" ht="13.2">
      <c r="A1612" s="89"/>
      <c r="B1612" s="90"/>
      <c r="C1612" s="91"/>
      <c r="D1612" s="92"/>
      <c r="E1612" s="93"/>
      <c r="F1612" s="94"/>
      <c r="G1612" s="95"/>
      <c r="H1612" s="96"/>
      <c r="I1612" s="97"/>
      <c r="J1612" s="98"/>
      <c r="K1612" s="99"/>
    </row>
    <row r="1613" spans="1:11" ht="13.2">
      <c r="A1613" s="89"/>
      <c r="B1613" s="90"/>
      <c r="C1613" s="91"/>
      <c r="D1613" s="92"/>
      <c r="E1613" s="93"/>
      <c r="F1613" s="94"/>
      <c r="G1613" s="95"/>
      <c r="H1613" s="96"/>
      <c r="I1613" s="97"/>
      <c r="J1613" s="98"/>
      <c r="K1613" s="99"/>
    </row>
    <row r="1614" spans="1:11" ht="13.2">
      <c r="A1614" s="89"/>
      <c r="B1614" s="90"/>
      <c r="C1614" s="91"/>
      <c r="D1614" s="92"/>
      <c r="E1614" s="93"/>
      <c r="F1614" s="94"/>
      <c r="G1614" s="95"/>
      <c r="H1614" s="96"/>
      <c r="I1614" s="97"/>
      <c r="J1614" s="98"/>
      <c r="K1614" s="99"/>
    </row>
    <row r="1615" spans="1:11" ht="13.2">
      <c r="A1615" s="89"/>
      <c r="B1615" s="90"/>
      <c r="C1615" s="91"/>
      <c r="D1615" s="92"/>
      <c r="E1615" s="93"/>
      <c r="F1615" s="94"/>
      <c r="G1615" s="95"/>
      <c r="H1615" s="96"/>
      <c r="I1615" s="97"/>
      <c r="J1615" s="98"/>
      <c r="K1615" s="99"/>
    </row>
    <row r="1616" spans="1:11" ht="13.2">
      <c r="A1616" s="89"/>
      <c r="B1616" s="90"/>
      <c r="C1616" s="91"/>
      <c r="D1616" s="92"/>
      <c r="E1616" s="93"/>
      <c r="F1616" s="94"/>
      <c r="G1616" s="95"/>
      <c r="H1616" s="96"/>
      <c r="I1616" s="97"/>
      <c r="J1616" s="98"/>
      <c r="K1616" s="99"/>
    </row>
    <row r="1617" spans="1:11" ht="13.2">
      <c r="A1617" s="89"/>
      <c r="B1617" s="90"/>
      <c r="C1617" s="91"/>
      <c r="D1617" s="92"/>
      <c r="E1617" s="93"/>
      <c r="F1617" s="94"/>
      <c r="G1617" s="95"/>
      <c r="H1617" s="96"/>
      <c r="I1617" s="97"/>
      <c r="J1617" s="98"/>
      <c r="K1617" s="99"/>
    </row>
    <row r="1618" spans="1:11" ht="13.2">
      <c r="A1618" s="89"/>
      <c r="B1618" s="90"/>
      <c r="C1618" s="91"/>
      <c r="D1618" s="92"/>
      <c r="E1618" s="93"/>
      <c r="F1618" s="94"/>
      <c r="G1618" s="95"/>
      <c r="H1618" s="96"/>
      <c r="I1618" s="97"/>
      <c r="J1618" s="98"/>
      <c r="K1618" s="99"/>
    </row>
    <row r="1619" spans="1:11" ht="13.2">
      <c r="A1619" s="89"/>
      <c r="B1619" s="90"/>
      <c r="C1619" s="91"/>
      <c r="D1619" s="92"/>
      <c r="E1619" s="93"/>
      <c r="F1619" s="94"/>
      <c r="G1619" s="95"/>
      <c r="H1619" s="96"/>
      <c r="I1619" s="97"/>
      <c r="J1619" s="98"/>
      <c r="K1619" s="99"/>
    </row>
    <row r="1620" spans="1:11" ht="13.2">
      <c r="A1620" s="89"/>
      <c r="B1620" s="90"/>
      <c r="C1620" s="91"/>
      <c r="D1620" s="92"/>
      <c r="E1620" s="93"/>
      <c r="F1620" s="94"/>
      <c r="G1620" s="95"/>
      <c r="H1620" s="96"/>
      <c r="I1620" s="97"/>
      <c r="J1620" s="98"/>
      <c r="K1620" s="99"/>
    </row>
    <row r="1621" spans="1:11" ht="13.2">
      <c r="A1621" s="89"/>
      <c r="B1621" s="90"/>
      <c r="C1621" s="91"/>
      <c r="D1621" s="92"/>
      <c r="E1621" s="93"/>
      <c r="F1621" s="94"/>
      <c r="G1621" s="95"/>
      <c r="H1621" s="96"/>
      <c r="I1621" s="97"/>
      <c r="J1621" s="98"/>
      <c r="K1621" s="99"/>
    </row>
    <row r="1622" spans="1:11" ht="13.2">
      <c r="A1622" s="89"/>
      <c r="B1622" s="90"/>
      <c r="C1622" s="91"/>
      <c r="D1622" s="92"/>
      <c r="E1622" s="93"/>
      <c r="F1622" s="94"/>
      <c r="G1622" s="95"/>
      <c r="H1622" s="96"/>
      <c r="I1622" s="97"/>
      <c r="J1622" s="98"/>
      <c r="K1622" s="99"/>
    </row>
    <row r="1623" spans="1:11" ht="13.2">
      <c r="A1623" s="89"/>
      <c r="B1623" s="90"/>
      <c r="C1623" s="91"/>
      <c r="D1623" s="92"/>
      <c r="E1623" s="93"/>
      <c r="F1623" s="94"/>
      <c r="G1623" s="95"/>
      <c r="H1623" s="96"/>
      <c r="I1623" s="97"/>
      <c r="J1623" s="98"/>
      <c r="K1623" s="99"/>
    </row>
    <row r="1624" spans="1:11" ht="13.2">
      <c r="A1624" s="89"/>
      <c r="B1624" s="90"/>
      <c r="C1624" s="91"/>
      <c r="D1624" s="92"/>
      <c r="E1624" s="93"/>
      <c r="F1624" s="94"/>
      <c r="G1624" s="95"/>
      <c r="H1624" s="96"/>
      <c r="I1624" s="97"/>
      <c r="J1624" s="98"/>
      <c r="K1624" s="99"/>
    </row>
    <row r="1625" spans="1:11" ht="13.2">
      <c r="A1625" s="89"/>
      <c r="B1625" s="90"/>
      <c r="C1625" s="91"/>
      <c r="D1625" s="92"/>
      <c r="E1625" s="93"/>
      <c r="F1625" s="94"/>
      <c r="G1625" s="95"/>
      <c r="H1625" s="96"/>
      <c r="I1625" s="97"/>
      <c r="J1625" s="98"/>
      <c r="K1625" s="99"/>
    </row>
    <row r="1626" spans="1:11" ht="13.2">
      <c r="A1626" s="89"/>
      <c r="B1626" s="90"/>
      <c r="C1626" s="91"/>
      <c r="D1626" s="92"/>
      <c r="E1626" s="93"/>
      <c r="F1626" s="94"/>
      <c r="G1626" s="95"/>
      <c r="H1626" s="96"/>
      <c r="I1626" s="97"/>
      <c r="J1626" s="98"/>
      <c r="K1626" s="99"/>
    </row>
    <row r="1627" spans="1:11" ht="13.2">
      <c r="A1627" s="89"/>
      <c r="B1627" s="90"/>
      <c r="C1627" s="91"/>
      <c r="D1627" s="92"/>
      <c r="E1627" s="93"/>
      <c r="F1627" s="94"/>
      <c r="G1627" s="95"/>
      <c r="H1627" s="96"/>
      <c r="I1627" s="97"/>
      <c r="J1627" s="98"/>
      <c r="K1627" s="99"/>
    </row>
    <row r="1628" spans="1:11" ht="13.2">
      <c r="A1628" s="89"/>
      <c r="B1628" s="90"/>
      <c r="C1628" s="91"/>
      <c r="D1628" s="92"/>
      <c r="E1628" s="93"/>
      <c r="F1628" s="94"/>
      <c r="G1628" s="95"/>
      <c r="H1628" s="96"/>
      <c r="I1628" s="97"/>
      <c r="J1628" s="98"/>
      <c r="K1628" s="99"/>
    </row>
    <row r="1629" spans="1:11" ht="13.2">
      <c r="A1629" s="89"/>
      <c r="B1629" s="90"/>
      <c r="C1629" s="91"/>
      <c r="D1629" s="92"/>
      <c r="E1629" s="93"/>
      <c r="F1629" s="94"/>
      <c r="G1629" s="95"/>
      <c r="H1629" s="96"/>
      <c r="I1629" s="97"/>
      <c r="J1629" s="98"/>
      <c r="K1629" s="99"/>
    </row>
    <row r="1630" spans="1:11" ht="13.2">
      <c r="A1630" s="89"/>
      <c r="B1630" s="90"/>
      <c r="C1630" s="91"/>
      <c r="D1630" s="92"/>
      <c r="E1630" s="93"/>
      <c r="F1630" s="94"/>
      <c r="G1630" s="95"/>
      <c r="H1630" s="96"/>
      <c r="I1630" s="97"/>
      <c r="J1630" s="98"/>
      <c r="K1630" s="99"/>
    </row>
    <row r="1631" spans="1:11" ht="13.2">
      <c r="A1631" s="89"/>
      <c r="B1631" s="90"/>
      <c r="C1631" s="91"/>
      <c r="D1631" s="92"/>
      <c r="E1631" s="93"/>
      <c r="F1631" s="94"/>
      <c r="G1631" s="95"/>
      <c r="H1631" s="96"/>
      <c r="I1631" s="97"/>
      <c r="J1631" s="98"/>
      <c r="K1631" s="99"/>
    </row>
    <row r="1632" spans="1:11" ht="13.2">
      <c r="A1632" s="89"/>
      <c r="B1632" s="90"/>
      <c r="C1632" s="91"/>
      <c r="D1632" s="92"/>
      <c r="E1632" s="93"/>
      <c r="F1632" s="94"/>
      <c r="G1632" s="95"/>
      <c r="H1632" s="96"/>
      <c r="I1632" s="97"/>
      <c r="J1632" s="98"/>
      <c r="K1632" s="99"/>
    </row>
    <row r="1633" spans="1:11" ht="13.2">
      <c r="A1633" s="89"/>
      <c r="B1633" s="90"/>
      <c r="C1633" s="91"/>
      <c r="D1633" s="92"/>
      <c r="E1633" s="93"/>
      <c r="F1633" s="94"/>
      <c r="G1633" s="95"/>
      <c r="H1633" s="96"/>
      <c r="I1633" s="97"/>
      <c r="J1633" s="98"/>
      <c r="K1633" s="99"/>
    </row>
    <row r="1634" spans="1:11" ht="13.2">
      <c r="A1634" s="89"/>
      <c r="B1634" s="90"/>
      <c r="C1634" s="91"/>
      <c r="D1634" s="92"/>
      <c r="E1634" s="93"/>
      <c r="F1634" s="94"/>
      <c r="G1634" s="95"/>
      <c r="H1634" s="96"/>
      <c r="I1634" s="97"/>
      <c r="J1634" s="98"/>
      <c r="K1634" s="99"/>
    </row>
    <row r="1635" spans="1:11" ht="13.2">
      <c r="A1635" s="89"/>
      <c r="B1635" s="90"/>
      <c r="C1635" s="91"/>
      <c r="D1635" s="92"/>
      <c r="E1635" s="93"/>
      <c r="F1635" s="94"/>
      <c r="G1635" s="95"/>
      <c r="H1635" s="96"/>
      <c r="I1635" s="97"/>
      <c r="J1635" s="98"/>
      <c r="K1635" s="99"/>
    </row>
    <row r="1636" spans="1:11" ht="13.2">
      <c r="A1636" s="89"/>
      <c r="B1636" s="90"/>
      <c r="C1636" s="91"/>
      <c r="D1636" s="92"/>
      <c r="E1636" s="93"/>
      <c r="F1636" s="94"/>
      <c r="G1636" s="95"/>
      <c r="H1636" s="96"/>
      <c r="I1636" s="97"/>
      <c r="J1636" s="98"/>
      <c r="K1636" s="99"/>
    </row>
    <row r="1637" spans="1:11" ht="13.2">
      <c r="A1637" s="89"/>
      <c r="B1637" s="90"/>
      <c r="C1637" s="91"/>
      <c r="D1637" s="92"/>
      <c r="E1637" s="93"/>
      <c r="F1637" s="94"/>
      <c r="G1637" s="95"/>
      <c r="H1637" s="96"/>
      <c r="I1637" s="97"/>
      <c r="J1637" s="98"/>
      <c r="K1637" s="99"/>
    </row>
    <row r="1638" spans="1:11" ht="13.2">
      <c r="A1638" s="89"/>
      <c r="B1638" s="90"/>
      <c r="C1638" s="91"/>
      <c r="D1638" s="92"/>
      <c r="E1638" s="93"/>
      <c r="F1638" s="94"/>
      <c r="G1638" s="95"/>
      <c r="H1638" s="96"/>
      <c r="I1638" s="97"/>
      <c r="J1638" s="98"/>
      <c r="K1638" s="99"/>
    </row>
    <row r="1639" spans="1:11" ht="13.2">
      <c r="A1639" s="89"/>
      <c r="B1639" s="90"/>
      <c r="C1639" s="91"/>
      <c r="D1639" s="92"/>
      <c r="E1639" s="93"/>
      <c r="F1639" s="94"/>
      <c r="G1639" s="95"/>
      <c r="H1639" s="96"/>
      <c r="I1639" s="97"/>
      <c r="J1639" s="98"/>
      <c r="K1639" s="99"/>
    </row>
    <row r="1640" spans="1:11" ht="13.2">
      <c r="A1640" s="89"/>
      <c r="B1640" s="90"/>
      <c r="C1640" s="91"/>
      <c r="D1640" s="92"/>
      <c r="E1640" s="93"/>
      <c r="F1640" s="94"/>
      <c r="G1640" s="95"/>
      <c r="H1640" s="96"/>
      <c r="I1640" s="97"/>
      <c r="J1640" s="98"/>
      <c r="K1640" s="99"/>
    </row>
    <row r="1641" spans="1:11" ht="13.2">
      <c r="A1641" s="89"/>
      <c r="B1641" s="90"/>
      <c r="C1641" s="91"/>
      <c r="D1641" s="92"/>
      <c r="E1641" s="93"/>
      <c r="F1641" s="94"/>
      <c r="G1641" s="95"/>
      <c r="H1641" s="96"/>
      <c r="I1641" s="97"/>
      <c r="J1641" s="98"/>
      <c r="K1641" s="99"/>
    </row>
    <row r="1642" spans="1:11" ht="13.2">
      <c r="A1642" s="89"/>
      <c r="B1642" s="90"/>
      <c r="C1642" s="91"/>
      <c r="D1642" s="92"/>
      <c r="E1642" s="93"/>
      <c r="F1642" s="94"/>
      <c r="G1642" s="95"/>
      <c r="H1642" s="96"/>
      <c r="I1642" s="97"/>
      <c r="J1642" s="98"/>
      <c r="K1642" s="99"/>
    </row>
    <row r="1643" spans="1:11" ht="13.2">
      <c r="A1643" s="89"/>
      <c r="B1643" s="90"/>
      <c r="C1643" s="91"/>
      <c r="D1643" s="92"/>
      <c r="E1643" s="93"/>
      <c r="F1643" s="94"/>
      <c r="G1643" s="95"/>
      <c r="H1643" s="96"/>
      <c r="I1643" s="97"/>
      <c r="J1643" s="98"/>
      <c r="K1643" s="99"/>
    </row>
    <row r="1644" spans="1:11" ht="13.2">
      <c r="A1644" s="89"/>
      <c r="B1644" s="90"/>
      <c r="C1644" s="91"/>
      <c r="D1644" s="92"/>
      <c r="E1644" s="93"/>
      <c r="F1644" s="94"/>
      <c r="G1644" s="95"/>
      <c r="H1644" s="96"/>
      <c r="I1644" s="97"/>
      <c r="J1644" s="98"/>
      <c r="K1644" s="99"/>
    </row>
    <row r="1645" spans="1:11" ht="13.2">
      <c r="A1645" s="89"/>
      <c r="B1645" s="90"/>
      <c r="C1645" s="91"/>
      <c r="D1645" s="92"/>
      <c r="E1645" s="93"/>
      <c r="F1645" s="94"/>
      <c r="G1645" s="95"/>
      <c r="H1645" s="96"/>
      <c r="I1645" s="97"/>
      <c r="J1645" s="98"/>
      <c r="K1645" s="99"/>
    </row>
    <row r="1646" spans="1:11" ht="13.2">
      <c r="A1646" s="89"/>
      <c r="B1646" s="90"/>
      <c r="C1646" s="91"/>
      <c r="D1646" s="92"/>
      <c r="E1646" s="93"/>
      <c r="F1646" s="94"/>
      <c r="G1646" s="95"/>
      <c r="H1646" s="96"/>
      <c r="I1646" s="97"/>
      <c r="J1646" s="98"/>
      <c r="K1646" s="99"/>
    </row>
    <row r="1647" spans="1:11" ht="13.2">
      <c r="A1647" s="89"/>
      <c r="B1647" s="90"/>
      <c r="C1647" s="91"/>
      <c r="D1647" s="92"/>
      <c r="E1647" s="93"/>
      <c r="F1647" s="94"/>
      <c r="G1647" s="95"/>
      <c r="H1647" s="96"/>
      <c r="I1647" s="97"/>
      <c r="J1647" s="98"/>
      <c r="K1647" s="99"/>
    </row>
    <row r="1648" spans="1:11" ht="13.2">
      <c r="A1648" s="89"/>
      <c r="B1648" s="90"/>
      <c r="C1648" s="91"/>
      <c r="D1648" s="92"/>
      <c r="E1648" s="93"/>
      <c r="F1648" s="94"/>
      <c r="G1648" s="95"/>
      <c r="H1648" s="96"/>
      <c r="I1648" s="97"/>
      <c r="J1648" s="98"/>
      <c r="K1648" s="99"/>
    </row>
    <row r="1649" spans="1:11" ht="13.2">
      <c r="A1649" s="89"/>
      <c r="B1649" s="90"/>
      <c r="C1649" s="91"/>
      <c r="D1649" s="92"/>
      <c r="E1649" s="93"/>
      <c r="F1649" s="94"/>
      <c r="G1649" s="95"/>
      <c r="H1649" s="96"/>
      <c r="I1649" s="97"/>
      <c r="J1649" s="98"/>
      <c r="K1649" s="99"/>
    </row>
    <row r="1650" spans="1:11" ht="13.2">
      <c r="A1650" s="89"/>
      <c r="B1650" s="90"/>
      <c r="C1650" s="91"/>
      <c r="D1650" s="92"/>
      <c r="E1650" s="93"/>
      <c r="F1650" s="94"/>
      <c r="G1650" s="95"/>
      <c r="H1650" s="96"/>
      <c r="I1650" s="97"/>
      <c r="J1650" s="98"/>
      <c r="K1650" s="99"/>
    </row>
    <row r="1651" spans="1:11" ht="13.2">
      <c r="A1651" s="89"/>
      <c r="B1651" s="90"/>
      <c r="C1651" s="91"/>
      <c r="D1651" s="92"/>
      <c r="E1651" s="93"/>
      <c r="F1651" s="94"/>
      <c r="G1651" s="95"/>
      <c r="H1651" s="96"/>
      <c r="I1651" s="97"/>
      <c r="J1651" s="98"/>
      <c r="K1651" s="99"/>
    </row>
    <row r="1652" spans="1:11" ht="13.2">
      <c r="A1652" s="89"/>
      <c r="B1652" s="90"/>
      <c r="C1652" s="91"/>
      <c r="D1652" s="92"/>
      <c r="E1652" s="93"/>
      <c r="F1652" s="94"/>
      <c r="G1652" s="95"/>
      <c r="H1652" s="96"/>
      <c r="I1652" s="97"/>
      <c r="J1652" s="98"/>
      <c r="K1652" s="99"/>
    </row>
    <row r="1653" spans="1:11" ht="13.2">
      <c r="A1653" s="89"/>
      <c r="B1653" s="90"/>
      <c r="C1653" s="91"/>
      <c r="D1653" s="92"/>
      <c r="E1653" s="93"/>
      <c r="F1653" s="94"/>
      <c r="G1653" s="95"/>
      <c r="H1653" s="96"/>
      <c r="I1653" s="97"/>
      <c r="J1653" s="98"/>
      <c r="K1653" s="99"/>
    </row>
    <row r="1654" spans="1:11" ht="13.2">
      <c r="A1654" s="89"/>
      <c r="B1654" s="90"/>
      <c r="C1654" s="91"/>
      <c r="D1654" s="92"/>
      <c r="E1654" s="93"/>
      <c r="F1654" s="94"/>
      <c r="G1654" s="95"/>
      <c r="H1654" s="96"/>
      <c r="I1654" s="97"/>
      <c r="J1654" s="98"/>
      <c r="K1654" s="99"/>
    </row>
    <row r="1655" spans="1:11" ht="13.2">
      <c r="A1655" s="89"/>
      <c r="B1655" s="90"/>
      <c r="C1655" s="91"/>
      <c r="D1655" s="92"/>
      <c r="E1655" s="93"/>
      <c r="F1655" s="94"/>
      <c r="G1655" s="95"/>
      <c r="H1655" s="96"/>
      <c r="I1655" s="97"/>
      <c r="J1655" s="98"/>
      <c r="K1655" s="99"/>
    </row>
    <row r="1656" spans="1:11" ht="13.2">
      <c r="A1656" s="89"/>
      <c r="B1656" s="90"/>
      <c r="C1656" s="91"/>
      <c r="D1656" s="92"/>
      <c r="E1656" s="93"/>
      <c r="F1656" s="94"/>
      <c r="G1656" s="95"/>
      <c r="H1656" s="96"/>
      <c r="I1656" s="97"/>
      <c r="J1656" s="98"/>
      <c r="K1656" s="99"/>
    </row>
    <row r="1657" spans="1:11" ht="13.2">
      <c r="A1657" s="89"/>
      <c r="B1657" s="90"/>
      <c r="C1657" s="91"/>
      <c r="D1657" s="92"/>
      <c r="E1657" s="93"/>
      <c r="F1657" s="94"/>
      <c r="G1657" s="95"/>
      <c r="H1657" s="96"/>
      <c r="I1657" s="97"/>
      <c r="J1657" s="98"/>
      <c r="K1657" s="99"/>
    </row>
    <row r="1658" spans="1:11" ht="13.2">
      <c r="A1658" s="89"/>
      <c r="B1658" s="90"/>
      <c r="C1658" s="91"/>
      <c r="D1658" s="92"/>
      <c r="E1658" s="93"/>
      <c r="F1658" s="94"/>
      <c r="G1658" s="95"/>
      <c r="H1658" s="96"/>
      <c r="I1658" s="97"/>
      <c r="J1658" s="98"/>
      <c r="K1658" s="99"/>
    </row>
    <row r="1659" spans="1:11" ht="13.2">
      <c r="A1659" s="89"/>
      <c r="B1659" s="90"/>
      <c r="C1659" s="91"/>
      <c r="D1659" s="92"/>
      <c r="E1659" s="93"/>
      <c r="F1659" s="94"/>
      <c r="G1659" s="95"/>
      <c r="H1659" s="96"/>
      <c r="I1659" s="97"/>
      <c r="J1659" s="98"/>
      <c r="K1659" s="99"/>
    </row>
    <row r="1660" spans="1:11" ht="13.2">
      <c r="A1660" s="89"/>
      <c r="B1660" s="90"/>
      <c r="C1660" s="91"/>
      <c r="D1660" s="92"/>
      <c r="E1660" s="93"/>
      <c r="F1660" s="94"/>
      <c r="G1660" s="95"/>
      <c r="H1660" s="96"/>
      <c r="I1660" s="97"/>
      <c r="J1660" s="98"/>
      <c r="K1660" s="99"/>
    </row>
    <row r="1661" spans="1:11" ht="13.2">
      <c r="A1661" s="89"/>
      <c r="B1661" s="90"/>
      <c r="C1661" s="91"/>
      <c r="D1661" s="92"/>
      <c r="E1661" s="93"/>
      <c r="F1661" s="94"/>
      <c r="G1661" s="95"/>
      <c r="H1661" s="96"/>
      <c r="I1661" s="97"/>
      <c r="J1661" s="98"/>
      <c r="K1661" s="99"/>
    </row>
    <row r="1662" spans="1:11" ht="13.2">
      <c r="A1662" s="89"/>
      <c r="B1662" s="90"/>
      <c r="C1662" s="91"/>
      <c r="D1662" s="92"/>
      <c r="E1662" s="93"/>
      <c r="F1662" s="94"/>
      <c r="G1662" s="95"/>
      <c r="H1662" s="96"/>
      <c r="I1662" s="97"/>
      <c r="J1662" s="98"/>
      <c r="K1662" s="99"/>
    </row>
    <row r="1663" spans="1:11" ht="13.2">
      <c r="A1663" s="89"/>
      <c r="B1663" s="90"/>
      <c r="C1663" s="91"/>
      <c r="D1663" s="92"/>
      <c r="E1663" s="93"/>
      <c r="F1663" s="94"/>
      <c r="G1663" s="95"/>
      <c r="H1663" s="96"/>
      <c r="I1663" s="97"/>
      <c r="J1663" s="98"/>
      <c r="K1663" s="99"/>
    </row>
    <row r="1664" spans="1:11" ht="13.2">
      <c r="A1664" s="89"/>
      <c r="B1664" s="90"/>
      <c r="C1664" s="91"/>
      <c r="D1664" s="92"/>
      <c r="E1664" s="93"/>
      <c r="F1664" s="94"/>
      <c r="G1664" s="95"/>
      <c r="H1664" s="96"/>
      <c r="I1664" s="97"/>
      <c r="J1664" s="98"/>
      <c r="K1664" s="99"/>
    </row>
    <row r="1665" spans="1:11" ht="13.2">
      <c r="A1665" s="89"/>
      <c r="B1665" s="90"/>
      <c r="C1665" s="91"/>
      <c r="D1665" s="92"/>
      <c r="E1665" s="93"/>
      <c r="F1665" s="94"/>
      <c r="G1665" s="95"/>
      <c r="H1665" s="96"/>
      <c r="I1665" s="97"/>
      <c r="J1665" s="98"/>
      <c r="K1665" s="99"/>
    </row>
    <row r="1666" spans="1:11" ht="13.2">
      <c r="A1666" s="89"/>
      <c r="B1666" s="90"/>
      <c r="C1666" s="91"/>
      <c r="D1666" s="92"/>
      <c r="E1666" s="93"/>
      <c r="F1666" s="94"/>
      <c r="G1666" s="95"/>
      <c r="H1666" s="96"/>
      <c r="I1666" s="97"/>
      <c r="J1666" s="98"/>
      <c r="K1666" s="99"/>
    </row>
    <row r="1667" spans="1:11" ht="13.2">
      <c r="A1667" s="89"/>
      <c r="B1667" s="90"/>
      <c r="C1667" s="91"/>
      <c r="D1667" s="92"/>
      <c r="E1667" s="93"/>
      <c r="F1667" s="94"/>
      <c r="G1667" s="95"/>
      <c r="H1667" s="96"/>
      <c r="I1667" s="97"/>
      <c r="J1667" s="98"/>
      <c r="K1667" s="99"/>
    </row>
    <row r="1668" spans="1:11" ht="13.2">
      <c r="A1668" s="89"/>
      <c r="B1668" s="90"/>
      <c r="C1668" s="91"/>
      <c r="D1668" s="92"/>
      <c r="E1668" s="93"/>
      <c r="F1668" s="94"/>
      <c r="G1668" s="95"/>
      <c r="H1668" s="96"/>
      <c r="I1668" s="97"/>
      <c r="J1668" s="98"/>
      <c r="K1668" s="99"/>
    </row>
    <row r="1669" spans="1:11" ht="13.2">
      <c r="A1669" s="89"/>
      <c r="B1669" s="90"/>
      <c r="C1669" s="91"/>
      <c r="D1669" s="92"/>
      <c r="E1669" s="93"/>
      <c r="F1669" s="94"/>
      <c r="G1669" s="95"/>
      <c r="H1669" s="96"/>
      <c r="I1669" s="97"/>
      <c r="J1669" s="98"/>
      <c r="K1669" s="99"/>
    </row>
    <row r="1670" spans="1:11" ht="13.2">
      <c r="A1670" s="89"/>
      <c r="B1670" s="90"/>
      <c r="C1670" s="91"/>
      <c r="D1670" s="92"/>
      <c r="E1670" s="93"/>
      <c r="F1670" s="94"/>
      <c r="G1670" s="95"/>
      <c r="H1670" s="96"/>
      <c r="I1670" s="97"/>
      <c r="J1670" s="98"/>
      <c r="K1670" s="99"/>
    </row>
    <row r="1671" spans="1:11" ht="13.2">
      <c r="A1671" s="89"/>
      <c r="B1671" s="90"/>
      <c r="C1671" s="91"/>
      <c r="D1671" s="92"/>
      <c r="E1671" s="93"/>
      <c r="F1671" s="94"/>
      <c r="G1671" s="95"/>
      <c r="H1671" s="96"/>
      <c r="I1671" s="97"/>
      <c r="J1671" s="98"/>
      <c r="K1671" s="99"/>
    </row>
    <row r="1672" spans="1:11" ht="13.2">
      <c r="A1672" s="89"/>
      <c r="B1672" s="90"/>
      <c r="C1672" s="91"/>
      <c r="D1672" s="92"/>
      <c r="E1672" s="93"/>
      <c r="F1672" s="94"/>
      <c r="G1672" s="95"/>
      <c r="H1672" s="96"/>
      <c r="I1672" s="97"/>
      <c r="J1672" s="98"/>
      <c r="K1672" s="99"/>
    </row>
    <row r="1673" spans="1:11" ht="13.2">
      <c r="A1673" s="89"/>
      <c r="B1673" s="90"/>
      <c r="C1673" s="91"/>
      <c r="D1673" s="92"/>
      <c r="E1673" s="93"/>
      <c r="F1673" s="94"/>
      <c r="G1673" s="95"/>
      <c r="H1673" s="96"/>
      <c r="I1673" s="97"/>
      <c r="J1673" s="98"/>
      <c r="K1673" s="99"/>
    </row>
    <row r="1674" spans="1:11" ht="13.2">
      <c r="A1674" s="89"/>
      <c r="B1674" s="90"/>
      <c r="C1674" s="91"/>
      <c r="D1674" s="92"/>
      <c r="E1674" s="93"/>
      <c r="F1674" s="94"/>
      <c r="G1674" s="95"/>
      <c r="H1674" s="96"/>
      <c r="I1674" s="97"/>
      <c r="J1674" s="98"/>
      <c r="K1674" s="99"/>
    </row>
    <row r="1675" spans="1:11" ht="13.2">
      <c r="A1675" s="89"/>
      <c r="B1675" s="90"/>
      <c r="C1675" s="91"/>
      <c r="D1675" s="92"/>
      <c r="E1675" s="93"/>
      <c r="F1675" s="94"/>
      <c r="G1675" s="95"/>
      <c r="H1675" s="96"/>
      <c r="I1675" s="97"/>
      <c r="J1675" s="98"/>
      <c r="K1675" s="99"/>
    </row>
    <row r="1676" spans="1:11" ht="13.2">
      <c r="A1676" s="89"/>
      <c r="B1676" s="90"/>
      <c r="C1676" s="91"/>
      <c r="D1676" s="92"/>
      <c r="E1676" s="93"/>
      <c r="F1676" s="94"/>
      <c r="G1676" s="95"/>
      <c r="H1676" s="96"/>
      <c r="I1676" s="97"/>
      <c r="J1676" s="98"/>
      <c r="K1676" s="99"/>
    </row>
    <row r="1677" spans="1:11" ht="13.2">
      <c r="A1677" s="89"/>
      <c r="B1677" s="90"/>
      <c r="C1677" s="91"/>
      <c r="D1677" s="92"/>
      <c r="E1677" s="93"/>
      <c r="F1677" s="94"/>
      <c r="G1677" s="95"/>
      <c r="H1677" s="96"/>
      <c r="I1677" s="97"/>
      <c r="J1677" s="98"/>
      <c r="K1677" s="99"/>
    </row>
    <row r="1678" spans="1:11" ht="13.2">
      <c r="A1678" s="89"/>
      <c r="B1678" s="90"/>
      <c r="C1678" s="91"/>
      <c r="D1678" s="92"/>
      <c r="E1678" s="93"/>
      <c r="F1678" s="94"/>
      <c r="G1678" s="95"/>
      <c r="H1678" s="96"/>
      <c r="I1678" s="97"/>
      <c r="J1678" s="98"/>
      <c r="K1678" s="99"/>
    </row>
    <row r="1679" spans="1:11" ht="13.2">
      <c r="A1679" s="89"/>
      <c r="B1679" s="90"/>
      <c r="C1679" s="91"/>
      <c r="D1679" s="92"/>
      <c r="E1679" s="93"/>
      <c r="F1679" s="94"/>
      <c r="G1679" s="95"/>
      <c r="H1679" s="96"/>
      <c r="I1679" s="97"/>
      <c r="J1679" s="98"/>
      <c r="K1679" s="99"/>
    </row>
    <row r="1680" spans="1:11" ht="13.2">
      <c r="A1680" s="89"/>
      <c r="B1680" s="90"/>
      <c r="C1680" s="91"/>
      <c r="D1680" s="92"/>
      <c r="E1680" s="93"/>
      <c r="F1680" s="94"/>
      <c r="G1680" s="95"/>
      <c r="H1680" s="96"/>
      <c r="I1680" s="97"/>
      <c r="J1680" s="98"/>
      <c r="K1680" s="99"/>
    </row>
    <row r="1681" spans="1:11" ht="13.2">
      <c r="A1681" s="89"/>
      <c r="B1681" s="90"/>
      <c r="C1681" s="91"/>
      <c r="D1681" s="92"/>
      <c r="E1681" s="93"/>
      <c r="F1681" s="94"/>
      <c r="G1681" s="95"/>
      <c r="H1681" s="96"/>
      <c r="I1681" s="97"/>
      <c r="J1681" s="98"/>
      <c r="K1681" s="99"/>
    </row>
    <row r="1682" spans="1:11" ht="13.2">
      <c r="A1682" s="89"/>
      <c r="B1682" s="90"/>
      <c r="C1682" s="91"/>
      <c r="D1682" s="92"/>
      <c r="E1682" s="93"/>
      <c r="F1682" s="94"/>
      <c r="G1682" s="95"/>
      <c r="H1682" s="96"/>
      <c r="I1682" s="97"/>
      <c r="J1682" s="98"/>
      <c r="K1682" s="99"/>
    </row>
    <row r="1683" spans="1:11" ht="13.2">
      <c r="A1683" s="89"/>
      <c r="B1683" s="90"/>
      <c r="C1683" s="91"/>
      <c r="D1683" s="92"/>
      <c r="E1683" s="93"/>
      <c r="F1683" s="94"/>
      <c r="G1683" s="95"/>
      <c r="H1683" s="96"/>
      <c r="I1683" s="97"/>
      <c r="J1683" s="98"/>
      <c r="K1683" s="99"/>
    </row>
    <row r="1684" spans="1:11" ht="13.2">
      <c r="A1684" s="89"/>
      <c r="B1684" s="90"/>
      <c r="C1684" s="91"/>
      <c r="D1684" s="92"/>
      <c r="E1684" s="93"/>
      <c r="F1684" s="94"/>
      <c r="G1684" s="95"/>
      <c r="H1684" s="96"/>
      <c r="I1684" s="97"/>
      <c r="J1684" s="98"/>
      <c r="K1684" s="99"/>
    </row>
    <row r="1685" spans="1:11" ht="13.2">
      <c r="A1685" s="89"/>
      <c r="B1685" s="90"/>
      <c r="C1685" s="91"/>
      <c r="D1685" s="92"/>
      <c r="E1685" s="93"/>
      <c r="F1685" s="94"/>
      <c r="G1685" s="95"/>
      <c r="H1685" s="96"/>
      <c r="I1685" s="97"/>
      <c r="J1685" s="98"/>
      <c r="K1685" s="99"/>
    </row>
    <row r="1686" spans="1:11" ht="13.2">
      <c r="A1686" s="89"/>
      <c r="B1686" s="90"/>
      <c r="C1686" s="91"/>
      <c r="D1686" s="92"/>
      <c r="E1686" s="93"/>
      <c r="F1686" s="94"/>
      <c r="G1686" s="95"/>
      <c r="H1686" s="96"/>
      <c r="I1686" s="97"/>
      <c r="J1686" s="98"/>
      <c r="K1686" s="99"/>
    </row>
    <row r="1687" spans="1:11" ht="13.2">
      <c r="A1687" s="89"/>
      <c r="B1687" s="90"/>
      <c r="C1687" s="91"/>
      <c r="D1687" s="92"/>
      <c r="E1687" s="93"/>
      <c r="F1687" s="94"/>
      <c r="G1687" s="95"/>
      <c r="H1687" s="96"/>
      <c r="I1687" s="97"/>
      <c r="J1687" s="98"/>
      <c r="K1687" s="99"/>
    </row>
    <row r="1688" spans="1:11" ht="13.2">
      <c r="A1688" s="89"/>
      <c r="B1688" s="90"/>
      <c r="C1688" s="91"/>
      <c r="D1688" s="92"/>
      <c r="E1688" s="93"/>
      <c r="F1688" s="94"/>
      <c r="G1688" s="95"/>
      <c r="H1688" s="96"/>
      <c r="I1688" s="97"/>
      <c r="J1688" s="98"/>
      <c r="K1688" s="99"/>
    </row>
    <row r="1689" spans="1:11" ht="13.2">
      <c r="A1689" s="89"/>
      <c r="B1689" s="90"/>
      <c r="C1689" s="91"/>
      <c r="D1689" s="92"/>
      <c r="E1689" s="93"/>
      <c r="F1689" s="94"/>
      <c r="G1689" s="95"/>
      <c r="H1689" s="96"/>
      <c r="I1689" s="97"/>
      <c r="J1689" s="98"/>
      <c r="K1689" s="99"/>
    </row>
    <row r="1690" spans="1:11" ht="13.2">
      <c r="A1690" s="89"/>
      <c r="B1690" s="90"/>
      <c r="C1690" s="91"/>
      <c r="D1690" s="92"/>
      <c r="E1690" s="93"/>
      <c r="F1690" s="94"/>
      <c r="G1690" s="95"/>
      <c r="H1690" s="96"/>
      <c r="I1690" s="97"/>
      <c r="J1690" s="98"/>
      <c r="K1690" s="99"/>
    </row>
    <row r="1691" spans="1:11" ht="13.2">
      <c r="A1691" s="89"/>
      <c r="B1691" s="90"/>
      <c r="C1691" s="91"/>
      <c r="D1691" s="92"/>
      <c r="E1691" s="93"/>
      <c r="F1691" s="94"/>
      <c r="G1691" s="95"/>
      <c r="H1691" s="96"/>
      <c r="I1691" s="97"/>
      <c r="J1691" s="98"/>
      <c r="K1691" s="99"/>
    </row>
    <row r="1692" spans="1:11" ht="13.2">
      <c r="A1692" s="89"/>
      <c r="B1692" s="90"/>
      <c r="C1692" s="91"/>
      <c r="D1692" s="92"/>
      <c r="E1692" s="93"/>
      <c r="F1692" s="94"/>
      <c r="G1692" s="95"/>
      <c r="H1692" s="96"/>
      <c r="I1692" s="97"/>
      <c r="J1692" s="98"/>
      <c r="K1692" s="99"/>
    </row>
    <row r="1693" spans="1:11" ht="13.2">
      <c r="A1693" s="89"/>
      <c r="B1693" s="90"/>
      <c r="C1693" s="91"/>
      <c r="D1693" s="92"/>
      <c r="E1693" s="93"/>
      <c r="F1693" s="94"/>
      <c r="G1693" s="95"/>
      <c r="H1693" s="96"/>
      <c r="I1693" s="97"/>
      <c r="J1693" s="98"/>
      <c r="K1693" s="99"/>
    </row>
    <row r="1694" spans="1:11" ht="13.2">
      <c r="A1694" s="89"/>
      <c r="B1694" s="90"/>
      <c r="C1694" s="91"/>
      <c r="D1694" s="92"/>
      <c r="E1694" s="93"/>
      <c r="F1694" s="94"/>
      <c r="G1694" s="95"/>
      <c r="H1694" s="96"/>
      <c r="I1694" s="97"/>
      <c r="J1694" s="98"/>
      <c r="K1694" s="99"/>
    </row>
    <row r="1695" spans="1:11" ht="13.2">
      <c r="A1695" s="89"/>
      <c r="B1695" s="90"/>
      <c r="C1695" s="91"/>
      <c r="D1695" s="92"/>
      <c r="E1695" s="93"/>
      <c r="F1695" s="94"/>
      <c r="G1695" s="95"/>
      <c r="H1695" s="96"/>
      <c r="I1695" s="97"/>
      <c r="J1695" s="98"/>
      <c r="K1695" s="99"/>
    </row>
    <row r="1696" spans="1:11" ht="13.2">
      <c r="A1696" s="89"/>
      <c r="B1696" s="90"/>
      <c r="C1696" s="91"/>
      <c r="D1696" s="92"/>
      <c r="E1696" s="93"/>
      <c r="F1696" s="94"/>
      <c r="G1696" s="95"/>
      <c r="H1696" s="96"/>
      <c r="I1696" s="97"/>
      <c r="J1696" s="98"/>
      <c r="K1696" s="99"/>
    </row>
    <row r="1697" spans="1:11" ht="13.2">
      <c r="A1697" s="89"/>
      <c r="B1697" s="90"/>
      <c r="C1697" s="91"/>
      <c r="D1697" s="92"/>
      <c r="E1697" s="93"/>
      <c r="F1697" s="94"/>
      <c r="G1697" s="95"/>
      <c r="H1697" s="96"/>
      <c r="I1697" s="97"/>
      <c r="J1697" s="98"/>
      <c r="K1697" s="99"/>
    </row>
    <row r="1698" spans="1:11" ht="13.2">
      <c r="A1698" s="89"/>
      <c r="B1698" s="90"/>
      <c r="C1698" s="91"/>
      <c r="D1698" s="92"/>
      <c r="E1698" s="93"/>
      <c r="F1698" s="94"/>
      <c r="G1698" s="95"/>
      <c r="H1698" s="96"/>
      <c r="I1698" s="97"/>
      <c r="J1698" s="98"/>
      <c r="K1698" s="99"/>
    </row>
    <row r="1699" spans="1:11" ht="13.2">
      <c r="A1699" s="89"/>
      <c r="B1699" s="90"/>
      <c r="C1699" s="91"/>
      <c r="D1699" s="92"/>
      <c r="E1699" s="93"/>
      <c r="F1699" s="94"/>
      <c r="G1699" s="95"/>
      <c r="H1699" s="96"/>
      <c r="I1699" s="97"/>
      <c r="J1699" s="98"/>
      <c r="K1699" s="99"/>
    </row>
    <row r="1700" spans="1:11" ht="13.2">
      <c r="A1700" s="89"/>
      <c r="B1700" s="90"/>
      <c r="C1700" s="91"/>
      <c r="D1700" s="92"/>
      <c r="E1700" s="93"/>
      <c r="F1700" s="94"/>
      <c r="G1700" s="95"/>
      <c r="H1700" s="96"/>
      <c r="I1700" s="97"/>
      <c r="J1700" s="98"/>
      <c r="K1700" s="99"/>
    </row>
    <row r="1701" spans="1:11" ht="13.2">
      <c r="A1701" s="89"/>
      <c r="B1701" s="90"/>
      <c r="C1701" s="91"/>
      <c r="D1701" s="92"/>
      <c r="E1701" s="93"/>
      <c r="F1701" s="94"/>
      <c r="G1701" s="95"/>
      <c r="H1701" s="96"/>
      <c r="I1701" s="97"/>
      <c r="J1701" s="98"/>
      <c r="K1701" s="99"/>
    </row>
    <row r="1702" spans="1:11" ht="13.2">
      <c r="A1702" s="89"/>
      <c r="B1702" s="90"/>
      <c r="C1702" s="91"/>
      <c r="D1702" s="92"/>
      <c r="E1702" s="93"/>
      <c r="F1702" s="94"/>
      <c r="G1702" s="95"/>
      <c r="H1702" s="96"/>
      <c r="I1702" s="97"/>
      <c r="J1702" s="98"/>
      <c r="K1702" s="99"/>
    </row>
    <row r="1703" spans="1:11" ht="13.2">
      <c r="A1703" s="89"/>
      <c r="B1703" s="90"/>
      <c r="C1703" s="91"/>
      <c r="D1703" s="92"/>
      <c r="E1703" s="93"/>
      <c r="F1703" s="94"/>
      <c r="G1703" s="95"/>
      <c r="H1703" s="96"/>
      <c r="I1703" s="97"/>
      <c r="J1703" s="98"/>
      <c r="K1703" s="99"/>
    </row>
    <row r="1704" spans="1:11" ht="13.2">
      <c r="A1704" s="89"/>
      <c r="B1704" s="90"/>
      <c r="C1704" s="91"/>
      <c r="D1704" s="92"/>
      <c r="E1704" s="93"/>
      <c r="F1704" s="94"/>
      <c r="G1704" s="95"/>
      <c r="H1704" s="96"/>
      <c r="I1704" s="97"/>
      <c r="J1704" s="98"/>
      <c r="K1704" s="99"/>
    </row>
    <row r="1705" spans="1:11" ht="13.2">
      <c r="A1705" s="89"/>
      <c r="B1705" s="90"/>
      <c r="C1705" s="91"/>
      <c r="D1705" s="92"/>
      <c r="E1705" s="93"/>
      <c r="F1705" s="94"/>
      <c r="G1705" s="95"/>
      <c r="H1705" s="96"/>
      <c r="I1705" s="97"/>
      <c r="J1705" s="98"/>
      <c r="K1705" s="99"/>
    </row>
    <row r="1706" spans="1:11" ht="13.2">
      <c r="A1706" s="89"/>
      <c r="B1706" s="90"/>
      <c r="C1706" s="91"/>
      <c r="D1706" s="92"/>
      <c r="E1706" s="93"/>
      <c r="F1706" s="94"/>
      <c r="G1706" s="95"/>
      <c r="H1706" s="96"/>
      <c r="I1706" s="97"/>
      <c r="J1706" s="98"/>
      <c r="K1706" s="99"/>
    </row>
    <row r="1707" spans="1:11" ht="13.2">
      <c r="A1707" s="89"/>
      <c r="B1707" s="90"/>
      <c r="C1707" s="91"/>
      <c r="D1707" s="92"/>
      <c r="E1707" s="93"/>
      <c r="F1707" s="94"/>
      <c r="G1707" s="95"/>
      <c r="H1707" s="96"/>
      <c r="I1707" s="97"/>
      <c r="J1707" s="98"/>
      <c r="K1707" s="99"/>
    </row>
    <row r="1708" spans="1:11" ht="13.2">
      <c r="A1708" s="89"/>
      <c r="B1708" s="90"/>
      <c r="C1708" s="91"/>
      <c r="D1708" s="92"/>
      <c r="E1708" s="93"/>
      <c r="F1708" s="94"/>
      <c r="G1708" s="95"/>
      <c r="H1708" s="96"/>
      <c r="I1708" s="97"/>
      <c r="J1708" s="98"/>
      <c r="K1708" s="99"/>
    </row>
    <row r="1709" spans="1:11" ht="13.2">
      <c r="A1709" s="89"/>
      <c r="B1709" s="90"/>
      <c r="C1709" s="91"/>
      <c r="D1709" s="92"/>
      <c r="E1709" s="93"/>
      <c r="F1709" s="94"/>
      <c r="G1709" s="95"/>
      <c r="H1709" s="96"/>
      <c r="I1709" s="97"/>
      <c r="J1709" s="98"/>
      <c r="K1709" s="99"/>
    </row>
    <row r="1710" spans="1:11" ht="13.2">
      <c r="A1710" s="89"/>
      <c r="B1710" s="90"/>
      <c r="C1710" s="91"/>
      <c r="D1710" s="92"/>
      <c r="E1710" s="93"/>
      <c r="F1710" s="94"/>
      <c r="G1710" s="95"/>
      <c r="H1710" s="96"/>
      <c r="I1710" s="97"/>
      <c r="J1710" s="98"/>
      <c r="K1710" s="99"/>
    </row>
    <row r="1711" spans="1:11" ht="13.2">
      <c r="A1711" s="89"/>
      <c r="B1711" s="90"/>
      <c r="C1711" s="91"/>
      <c r="D1711" s="92"/>
      <c r="E1711" s="93"/>
      <c r="F1711" s="94"/>
      <c r="G1711" s="95"/>
      <c r="H1711" s="96"/>
      <c r="I1711" s="97"/>
      <c r="J1711" s="98"/>
      <c r="K1711" s="99"/>
    </row>
    <row r="1712" spans="1:11" ht="13.2">
      <c r="A1712" s="89"/>
      <c r="B1712" s="90"/>
      <c r="C1712" s="91"/>
      <c r="D1712" s="92"/>
      <c r="E1712" s="93"/>
      <c r="F1712" s="94"/>
      <c r="G1712" s="95"/>
      <c r="H1712" s="96"/>
      <c r="I1712" s="97"/>
      <c r="J1712" s="98"/>
      <c r="K1712" s="99"/>
    </row>
    <row r="1713" spans="1:11" ht="13.2">
      <c r="A1713" s="89"/>
      <c r="B1713" s="90"/>
      <c r="C1713" s="91"/>
      <c r="D1713" s="92"/>
      <c r="E1713" s="93"/>
      <c r="F1713" s="94"/>
      <c r="G1713" s="95"/>
      <c r="H1713" s="96"/>
      <c r="I1713" s="97"/>
      <c r="J1713" s="98"/>
      <c r="K1713" s="99"/>
    </row>
    <row r="1714" spans="1:11" ht="13.2">
      <c r="A1714" s="89"/>
      <c r="B1714" s="90"/>
      <c r="C1714" s="91"/>
      <c r="D1714" s="92"/>
      <c r="E1714" s="93"/>
      <c r="F1714" s="94"/>
      <c r="G1714" s="95"/>
      <c r="H1714" s="96"/>
      <c r="I1714" s="97"/>
      <c r="J1714" s="98"/>
      <c r="K1714" s="99"/>
    </row>
    <row r="1715" spans="1:11" ht="13.2">
      <c r="A1715" s="89"/>
      <c r="B1715" s="90"/>
      <c r="C1715" s="91"/>
      <c r="D1715" s="92"/>
      <c r="E1715" s="93"/>
      <c r="F1715" s="94"/>
      <c r="G1715" s="95"/>
      <c r="H1715" s="96"/>
      <c r="I1715" s="97"/>
      <c r="J1715" s="98"/>
      <c r="K1715" s="99"/>
    </row>
    <row r="1716" spans="1:11" ht="13.2">
      <c r="A1716" s="89"/>
      <c r="B1716" s="90"/>
      <c r="C1716" s="91"/>
      <c r="D1716" s="92"/>
      <c r="E1716" s="93"/>
      <c r="F1716" s="94"/>
      <c r="G1716" s="95"/>
      <c r="H1716" s="96"/>
      <c r="I1716" s="97"/>
      <c r="J1716" s="98"/>
      <c r="K1716" s="99"/>
    </row>
    <row r="1717" spans="1:11" ht="13.2">
      <c r="A1717" s="89"/>
      <c r="B1717" s="90"/>
      <c r="C1717" s="91"/>
      <c r="D1717" s="92"/>
      <c r="E1717" s="93"/>
      <c r="F1717" s="94"/>
      <c r="G1717" s="95"/>
      <c r="H1717" s="96"/>
      <c r="I1717" s="97"/>
      <c r="J1717" s="98"/>
      <c r="K1717" s="99"/>
    </row>
    <row r="1718" spans="1:11" ht="13.2">
      <c r="A1718" s="89"/>
      <c r="B1718" s="90"/>
      <c r="C1718" s="91"/>
      <c r="D1718" s="92"/>
      <c r="E1718" s="93"/>
      <c r="F1718" s="94"/>
      <c r="G1718" s="95"/>
      <c r="H1718" s="96"/>
      <c r="I1718" s="97"/>
      <c r="J1718" s="98"/>
      <c r="K1718" s="99"/>
    </row>
    <row r="1719" spans="1:11" ht="13.2">
      <c r="A1719" s="89"/>
      <c r="B1719" s="90"/>
      <c r="C1719" s="91"/>
      <c r="D1719" s="92"/>
      <c r="E1719" s="93"/>
      <c r="F1719" s="94"/>
      <c r="G1719" s="95"/>
      <c r="H1719" s="96"/>
      <c r="I1719" s="97"/>
      <c r="J1719" s="98"/>
      <c r="K1719" s="99"/>
    </row>
    <row r="1720" spans="1:11" ht="13.2">
      <c r="A1720" s="89"/>
      <c r="B1720" s="90"/>
      <c r="C1720" s="91"/>
      <c r="D1720" s="92"/>
      <c r="E1720" s="93"/>
      <c r="F1720" s="94"/>
      <c r="G1720" s="95"/>
      <c r="H1720" s="96"/>
      <c r="I1720" s="97"/>
      <c r="J1720" s="98"/>
      <c r="K1720" s="99"/>
    </row>
    <row r="1721" spans="1:11" ht="13.2">
      <c r="A1721" s="89"/>
      <c r="B1721" s="90"/>
      <c r="C1721" s="91"/>
      <c r="D1721" s="92"/>
      <c r="E1721" s="93"/>
      <c r="F1721" s="94"/>
      <c r="G1721" s="95"/>
      <c r="H1721" s="96"/>
      <c r="I1721" s="97"/>
      <c r="J1721" s="98"/>
      <c r="K1721" s="99"/>
    </row>
    <row r="1722" spans="1:11" ht="13.2">
      <c r="A1722" s="89"/>
      <c r="B1722" s="90"/>
      <c r="C1722" s="91"/>
      <c r="D1722" s="92"/>
      <c r="E1722" s="93"/>
      <c r="F1722" s="94"/>
      <c r="G1722" s="95"/>
      <c r="H1722" s="96"/>
      <c r="I1722" s="97"/>
      <c r="J1722" s="98"/>
      <c r="K1722" s="99"/>
    </row>
    <row r="1723" spans="1:11" ht="13.2">
      <c r="A1723" s="89"/>
      <c r="B1723" s="90"/>
      <c r="C1723" s="91"/>
      <c r="D1723" s="92"/>
      <c r="E1723" s="93"/>
      <c r="F1723" s="94"/>
      <c r="G1723" s="95"/>
      <c r="H1723" s="96"/>
      <c r="I1723" s="97"/>
      <c r="J1723" s="98"/>
      <c r="K1723" s="99"/>
    </row>
    <row r="1724" spans="1:11" ht="13.2">
      <c r="A1724" s="89"/>
      <c r="B1724" s="90"/>
      <c r="C1724" s="91"/>
      <c r="D1724" s="92"/>
      <c r="E1724" s="93"/>
      <c r="F1724" s="94"/>
      <c r="G1724" s="95"/>
      <c r="H1724" s="96"/>
      <c r="I1724" s="97"/>
      <c r="J1724" s="98"/>
      <c r="K1724" s="99"/>
    </row>
    <row r="1725" spans="1:11" ht="13.2">
      <c r="A1725" s="89"/>
      <c r="B1725" s="90"/>
      <c r="C1725" s="91"/>
      <c r="D1725" s="92"/>
      <c r="E1725" s="93"/>
      <c r="F1725" s="94"/>
      <c r="G1725" s="95"/>
      <c r="H1725" s="96"/>
      <c r="I1725" s="97"/>
      <c r="J1725" s="98"/>
      <c r="K1725" s="99"/>
    </row>
    <row r="1726" spans="1:11" ht="13.2">
      <c r="A1726" s="89"/>
      <c r="B1726" s="90"/>
      <c r="C1726" s="91"/>
      <c r="D1726" s="92"/>
      <c r="E1726" s="93"/>
      <c r="F1726" s="94"/>
      <c r="G1726" s="95"/>
      <c r="H1726" s="96"/>
      <c r="I1726" s="97"/>
      <c r="J1726" s="98"/>
      <c r="K1726" s="99"/>
    </row>
    <row r="1727" spans="1:11" ht="13.2">
      <c r="A1727" s="89"/>
      <c r="B1727" s="90"/>
      <c r="C1727" s="91"/>
      <c r="D1727" s="92"/>
      <c r="E1727" s="93"/>
      <c r="F1727" s="94"/>
      <c r="G1727" s="95"/>
      <c r="H1727" s="96"/>
      <c r="I1727" s="97"/>
      <c r="J1727" s="98"/>
      <c r="K1727" s="99"/>
    </row>
    <row r="1728" spans="1:11" ht="13.2">
      <c r="A1728" s="89"/>
      <c r="B1728" s="90"/>
      <c r="C1728" s="91"/>
      <c r="D1728" s="92"/>
      <c r="E1728" s="93"/>
      <c r="F1728" s="94"/>
      <c r="G1728" s="95"/>
      <c r="H1728" s="96"/>
      <c r="I1728" s="97"/>
      <c r="J1728" s="98"/>
      <c r="K1728" s="99"/>
    </row>
    <row r="1729" spans="1:11" ht="13.2">
      <c r="A1729" s="89"/>
      <c r="B1729" s="90"/>
      <c r="C1729" s="91"/>
      <c r="D1729" s="92"/>
      <c r="E1729" s="93"/>
      <c r="F1729" s="94"/>
      <c r="G1729" s="95"/>
      <c r="H1729" s="96"/>
      <c r="I1729" s="97"/>
      <c r="J1729" s="98"/>
      <c r="K1729" s="99"/>
    </row>
    <row r="1730" spans="1:11" ht="13.2">
      <c r="A1730" s="89"/>
      <c r="B1730" s="90"/>
      <c r="C1730" s="91"/>
      <c r="D1730" s="92"/>
      <c r="E1730" s="93"/>
      <c r="F1730" s="94"/>
      <c r="G1730" s="95"/>
      <c r="H1730" s="96"/>
      <c r="I1730" s="97"/>
      <c r="J1730" s="98"/>
      <c r="K1730" s="99"/>
    </row>
    <row r="1731" spans="1:11" ht="13.2">
      <c r="A1731" s="89"/>
      <c r="B1731" s="90"/>
      <c r="C1731" s="91"/>
      <c r="D1731" s="92"/>
      <c r="E1731" s="93"/>
      <c r="F1731" s="94"/>
      <c r="G1731" s="95"/>
      <c r="H1731" s="96"/>
      <c r="I1731" s="97"/>
      <c r="J1731" s="98"/>
      <c r="K1731" s="99"/>
    </row>
    <row r="1732" spans="1:11" ht="13.2">
      <c r="A1732" s="89"/>
      <c r="B1732" s="90"/>
      <c r="C1732" s="91"/>
      <c r="D1732" s="92"/>
      <c r="E1732" s="93"/>
      <c r="F1732" s="94"/>
      <c r="G1732" s="95"/>
      <c r="H1732" s="96"/>
      <c r="I1732" s="97"/>
      <c r="J1732" s="98"/>
      <c r="K1732" s="99"/>
    </row>
    <row r="1733" spans="1:11" ht="13.2">
      <c r="A1733" s="89"/>
      <c r="B1733" s="90"/>
      <c r="C1733" s="91"/>
      <c r="D1733" s="92"/>
      <c r="E1733" s="93"/>
      <c r="F1733" s="94"/>
      <c r="G1733" s="95"/>
      <c r="H1733" s="96"/>
      <c r="I1733" s="97"/>
      <c r="J1733" s="98"/>
      <c r="K1733" s="99"/>
    </row>
    <row r="1734" spans="1:11" ht="13.2">
      <c r="A1734" s="89"/>
      <c r="B1734" s="90"/>
      <c r="C1734" s="91"/>
      <c r="D1734" s="92"/>
      <c r="E1734" s="93"/>
      <c r="F1734" s="94"/>
      <c r="G1734" s="95"/>
      <c r="H1734" s="96"/>
      <c r="I1734" s="97"/>
      <c r="J1734" s="98"/>
      <c r="K1734" s="99"/>
    </row>
    <row r="1735" spans="1:11" ht="13.2">
      <c r="A1735" s="89"/>
      <c r="B1735" s="90"/>
      <c r="C1735" s="91"/>
      <c r="D1735" s="92"/>
      <c r="E1735" s="93"/>
      <c r="F1735" s="94"/>
      <c r="G1735" s="95"/>
      <c r="H1735" s="96"/>
      <c r="I1735" s="97"/>
      <c r="J1735" s="98"/>
      <c r="K1735" s="99"/>
    </row>
    <row r="1736" spans="1:11" ht="13.2">
      <c r="A1736" s="89"/>
      <c r="B1736" s="90"/>
      <c r="C1736" s="91"/>
      <c r="D1736" s="92"/>
      <c r="E1736" s="93"/>
      <c r="F1736" s="94"/>
      <c r="G1736" s="95"/>
      <c r="H1736" s="96"/>
      <c r="I1736" s="97"/>
      <c r="J1736" s="98"/>
      <c r="K1736" s="99"/>
    </row>
    <row r="1737" spans="1:11" ht="13.2">
      <c r="A1737" s="89"/>
      <c r="B1737" s="90"/>
      <c r="C1737" s="91"/>
      <c r="D1737" s="92"/>
      <c r="E1737" s="93"/>
      <c r="F1737" s="94"/>
      <c r="G1737" s="95"/>
      <c r="H1737" s="96"/>
      <c r="I1737" s="97"/>
      <c r="J1737" s="98"/>
      <c r="K1737" s="99"/>
    </row>
    <row r="1738" spans="1:11" ht="13.2">
      <c r="A1738" s="89"/>
      <c r="B1738" s="90"/>
      <c r="C1738" s="91"/>
      <c r="D1738" s="92"/>
      <c r="E1738" s="93"/>
      <c r="F1738" s="94"/>
      <c r="G1738" s="95"/>
      <c r="H1738" s="96"/>
      <c r="I1738" s="97"/>
      <c r="J1738" s="98"/>
      <c r="K1738" s="99"/>
    </row>
    <row r="1739" spans="1:11" ht="13.2">
      <c r="A1739" s="89"/>
      <c r="B1739" s="90"/>
      <c r="C1739" s="91"/>
      <c r="D1739" s="92"/>
      <c r="E1739" s="93"/>
      <c r="F1739" s="94"/>
      <c r="G1739" s="95"/>
      <c r="H1739" s="96"/>
      <c r="I1739" s="97"/>
      <c r="J1739" s="98"/>
      <c r="K1739" s="99"/>
    </row>
    <row r="1740" spans="1:11" ht="13.2">
      <c r="A1740" s="89"/>
      <c r="B1740" s="90"/>
      <c r="C1740" s="91"/>
      <c r="D1740" s="92"/>
      <c r="E1740" s="93"/>
      <c r="F1740" s="94"/>
      <c r="G1740" s="95"/>
      <c r="H1740" s="96"/>
      <c r="I1740" s="97"/>
      <c r="J1740" s="98"/>
      <c r="K1740" s="99"/>
    </row>
    <row r="1741" spans="1:11" ht="13.2">
      <c r="A1741" s="89"/>
      <c r="B1741" s="90"/>
      <c r="C1741" s="91"/>
      <c r="D1741" s="92"/>
      <c r="E1741" s="93"/>
      <c r="F1741" s="94"/>
      <c r="G1741" s="95"/>
      <c r="H1741" s="96"/>
      <c r="I1741" s="97"/>
      <c r="J1741" s="98"/>
      <c r="K1741" s="99"/>
    </row>
    <row r="1742" spans="1:11" ht="13.2">
      <c r="A1742" s="89"/>
      <c r="B1742" s="90"/>
      <c r="C1742" s="91"/>
      <c r="D1742" s="92"/>
      <c r="E1742" s="93"/>
      <c r="F1742" s="94"/>
      <c r="G1742" s="95"/>
      <c r="H1742" s="96"/>
      <c r="I1742" s="97"/>
      <c r="J1742" s="98"/>
      <c r="K1742" s="99"/>
    </row>
    <row r="1743" spans="1:11" ht="13.2">
      <c r="A1743" s="89"/>
      <c r="B1743" s="90"/>
      <c r="C1743" s="91"/>
      <c r="D1743" s="92"/>
      <c r="E1743" s="93"/>
      <c r="F1743" s="94"/>
      <c r="G1743" s="95"/>
      <c r="H1743" s="96"/>
      <c r="I1743" s="97"/>
      <c r="J1743" s="98"/>
      <c r="K1743" s="99"/>
    </row>
    <row r="1744" spans="1:11" ht="13.2">
      <c r="A1744" s="89"/>
      <c r="B1744" s="90"/>
      <c r="C1744" s="91"/>
      <c r="D1744" s="92"/>
      <c r="E1744" s="93"/>
      <c r="F1744" s="94"/>
      <c r="G1744" s="95"/>
      <c r="H1744" s="96"/>
      <c r="I1744" s="97"/>
      <c r="J1744" s="98"/>
      <c r="K1744" s="99"/>
    </row>
    <row r="1745" spans="1:11" ht="13.2">
      <c r="A1745" s="89"/>
      <c r="B1745" s="90"/>
      <c r="C1745" s="91"/>
      <c r="D1745" s="92"/>
      <c r="E1745" s="93"/>
      <c r="F1745" s="94"/>
      <c r="G1745" s="95"/>
      <c r="H1745" s="96"/>
      <c r="I1745" s="97"/>
      <c r="J1745" s="98"/>
      <c r="K1745" s="99"/>
    </row>
    <row r="1746" spans="1:11" ht="13.2">
      <c r="A1746" s="89"/>
      <c r="B1746" s="90"/>
      <c r="C1746" s="91"/>
      <c r="D1746" s="92"/>
      <c r="E1746" s="93"/>
      <c r="F1746" s="94"/>
      <c r="G1746" s="95"/>
      <c r="H1746" s="96"/>
      <c r="I1746" s="97"/>
      <c r="J1746" s="98"/>
      <c r="K1746" s="99"/>
    </row>
    <row r="1747" spans="1:11" ht="13.2">
      <c r="A1747" s="89"/>
      <c r="B1747" s="90"/>
      <c r="C1747" s="91"/>
      <c r="D1747" s="92"/>
      <c r="E1747" s="93"/>
      <c r="F1747" s="94"/>
      <c r="G1747" s="95"/>
      <c r="H1747" s="96"/>
      <c r="I1747" s="97"/>
      <c r="J1747" s="98"/>
      <c r="K1747" s="99"/>
    </row>
    <row r="1748" spans="1:11" ht="13.2">
      <c r="A1748" s="89"/>
      <c r="B1748" s="90"/>
      <c r="C1748" s="91"/>
      <c r="D1748" s="92"/>
      <c r="E1748" s="93"/>
      <c r="F1748" s="94"/>
      <c r="G1748" s="95"/>
      <c r="H1748" s="96"/>
      <c r="I1748" s="97"/>
      <c r="J1748" s="98"/>
      <c r="K1748" s="99"/>
    </row>
    <row r="1749" spans="1:11" ht="13.2">
      <c r="A1749" s="89"/>
      <c r="B1749" s="90"/>
      <c r="C1749" s="91"/>
      <c r="D1749" s="92"/>
      <c r="E1749" s="93"/>
      <c r="F1749" s="94"/>
      <c r="G1749" s="95"/>
      <c r="H1749" s="96"/>
      <c r="I1749" s="97"/>
      <c r="J1749" s="98"/>
      <c r="K1749" s="99"/>
    </row>
    <row r="1750" spans="1:11" ht="13.2">
      <c r="A1750" s="89"/>
      <c r="B1750" s="90"/>
      <c r="C1750" s="91"/>
      <c r="D1750" s="92"/>
      <c r="E1750" s="93"/>
      <c r="F1750" s="94"/>
      <c r="G1750" s="95"/>
      <c r="H1750" s="96"/>
      <c r="I1750" s="97"/>
      <c r="J1750" s="98"/>
      <c r="K1750" s="99"/>
    </row>
    <row r="1751" spans="1:11" ht="13.2">
      <c r="A1751" s="89"/>
      <c r="B1751" s="90"/>
      <c r="C1751" s="91"/>
      <c r="D1751" s="92"/>
      <c r="E1751" s="93"/>
      <c r="F1751" s="94"/>
      <c r="G1751" s="95"/>
      <c r="H1751" s="96"/>
      <c r="I1751" s="97"/>
      <c r="J1751" s="98"/>
      <c r="K1751" s="99"/>
    </row>
    <row r="1752" spans="1:11" ht="13.2">
      <c r="A1752" s="89"/>
      <c r="B1752" s="90"/>
      <c r="C1752" s="91"/>
      <c r="D1752" s="92"/>
      <c r="E1752" s="93"/>
      <c r="F1752" s="94"/>
      <c r="G1752" s="95"/>
      <c r="H1752" s="96"/>
      <c r="I1752" s="97"/>
      <c r="J1752" s="98"/>
      <c r="K1752" s="99"/>
    </row>
    <row r="1753" spans="1:11" ht="13.2">
      <c r="A1753" s="89"/>
      <c r="B1753" s="90"/>
      <c r="C1753" s="91"/>
      <c r="D1753" s="92"/>
      <c r="E1753" s="93"/>
      <c r="F1753" s="94"/>
      <c r="G1753" s="95"/>
      <c r="H1753" s="96"/>
      <c r="I1753" s="97"/>
      <c r="J1753" s="98"/>
      <c r="K1753" s="99"/>
    </row>
    <row r="1754" spans="1:11" ht="13.2">
      <c r="A1754" s="89"/>
      <c r="B1754" s="90"/>
      <c r="C1754" s="91"/>
      <c r="D1754" s="92"/>
      <c r="E1754" s="93"/>
      <c r="F1754" s="94"/>
      <c r="G1754" s="95"/>
      <c r="H1754" s="96"/>
      <c r="I1754" s="97"/>
      <c r="J1754" s="98"/>
      <c r="K1754" s="99"/>
    </row>
    <row r="1755" spans="1:11" ht="13.2">
      <c r="A1755" s="89"/>
      <c r="B1755" s="90"/>
      <c r="C1755" s="91"/>
      <c r="D1755" s="92"/>
      <c r="E1755" s="93"/>
      <c r="F1755" s="94"/>
      <c r="G1755" s="95"/>
      <c r="H1755" s="96"/>
      <c r="I1755" s="97"/>
      <c r="J1755" s="98"/>
      <c r="K1755" s="99"/>
    </row>
    <row r="1756" spans="1:11" ht="13.2">
      <c r="A1756" s="89"/>
      <c r="B1756" s="90"/>
      <c r="C1756" s="91"/>
      <c r="D1756" s="92"/>
      <c r="E1756" s="93"/>
      <c r="F1756" s="94"/>
      <c r="G1756" s="95"/>
      <c r="H1756" s="96"/>
      <c r="I1756" s="97"/>
      <c r="J1756" s="98"/>
      <c r="K1756" s="99"/>
    </row>
    <row r="1757" spans="1:11" ht="13.2">
      <c r="A1757" s="89"/>
      <c r="B1757" s="90"/>
      <c r="C1757" s="91"/>
      <c r="D1757" s="92"/>
      <c r="E1757" s="93"/>
      <c r="F1757" s="94"/>
      <c r="G1757" s="95"/>
      <c r="H1757" s="96"/>
      <c r="I1757" s="97"/>
      <c r="J1757" s="98"/>
      <c r="K1757" s="99"/>
    </row>
    <row r="1758" spans="1:11" ht="13.2">
      <c r="A1758" s="89"/>
      <c r="B1758" s="90"/>
      <c r="C1758" s="91"/>
      <c r="D1758" s="92"/>
      <c r="E1758" s="93"/>
      <c r="F1758" s="94"/>
      <c r="G1758" s="95"/>
      <c r="H1758" s="96"/>
      <c r="I1758" s="97"/>
      <c r="J1758" s="98"/>
      <c r="K1758" s="99"/>
    </row>
    <row r="1759" spans="1:11" ht="13.2">
      <c r="A1759" s="89"/>
      <c r="B1759" s="90"/>
      <c r="C1759" s="91"/>
      <c r="D1759" s="92"/>
      <c r="E1759" s="93"/>
      <c r="F1759" s="94"/>
      <c r="G1759" s="95"/>
      <c r="H1759" s="96"/>
      <c r="I1759" s="97"/>
      <c r="J1759" s="98"/>
      <c r="K1759" s="99"/>
    </row>
    <row r="1760" spans="1:11" ht="13.2">
      <c r="A1760" s="89"/>
      <c r="B1760" s="90"/>
      <c r="C1760" s="91"/>
      <c r="D1760" s="92"/>
      <c r="E1760" s="93"/>
      <c r="F1760" s="94"/>
      <c r="G1760" s="95"/>
      <c r="H1760" s="96"/>
      <c r="I1760" s="97"/>
      <c r="J1760" s="98"/>
      <c r="K1760" s="99"/>
    </row>
    <row r="1761" spans="1:11" ht="13.2">
      <c r="A1761" s="89"/>
      <c r="B1761" s="90"/>
      <c r="C1761" s="91"/>
      <c r="D1761" s="92"/>
      <c r="E1761" s="93"/>
      <c r="F1761" s="94"/>
      <c r="G1761" s="95"/>
      <c r="H1761" s="96"/>
      <c r="I1761" s="97"/>
      <c r="J1761" s="98"/>
      <c r="K1761" s="99"/>
    </row>
    <row r="1762" spans="1:11" ht="13.2">
      <c r="A1762" s="89"/>
      <c r="B1762" s="90"/>
      <c r="C1762" s="91"/>
      <c r="D1762" s="92"/>
      <c r="E1762" s="93"/>
      <c r="F1762" s="94"/>
      <c r="G1762" s="95"/>
      <c r="H1762" s="96"/>
      <c r="I1762" s="97"/>
      <c r="J1762" s="98"/>
      <c r="K1762" s="99"/>
    </row>
    <row r="1763" spans="1:11" ht="13.2">
      <c r="A1763" s="89"/>
      <c r="B1763" s="90"/>
      <c r="C1763" s="91"/>
      <c r="D1763" s="92"/>
      <c r="E1763" s="93"/>
      <c r="F1763" s="94"/>
      <c r="G1763" s="95"/>
      <c r="H1763" s="96"/>
      <c r="I1763" s="97"/>
      <c r="J1763" s="98"/>
      <c r="K1763" s="99"/>
    </row>
    <row r="1764" spans="1:11" ht="13.2">
      <c r="A1764" s="89"/>
      <c r="B1764" s="90"/>
      <c r="C1764" s="91"/>
      <c r="D1764" s="92"/>
      <c r="E1764" s="93"/>
      <c r="F1764" s="94"/>
      <c r="G1764" s="95"/>
      <c r="H1764" s="96"/>
      <c r="I1764" s="97"/>
      <c r="J1764" s="98"/>
      <c r="K1764" s="99"/>
    </row>
    <row r="1765" spans="1:11" ht="13.2">
      <c r="A1765" s="89"/>
      <c r="B1765" s="90"/>
      <c r="C1765" s="91"/>
      <c r="D1765" s="92"/>
      <c r="E1765" s="93"/>
      <c r="F1765" s="94"/>
      <c r="G1765" s="95"/>
      <c r="H1765" s="96"/>
      <c r="I1765" s="97"/>
      <c r="J1765" s="98"/>
      <c r="K1765" s="99"/>
    </row>
    <row r="1766" spans="1:11" ht="13.2">
      <c r="A1766" s="89"/>
      <c r="B1766" s="90"/>
      <c r="C1766" s="91"/>
      <c r="D1766" s="92"/>
      <c r="E1766" s="93"/>
      <c r="F1766" s="94"/>
      <c r="G1766" s="95"/>
      <c r="H1766" s="96"/>
      <c r="I1766" s="97"/>
      <c r="J1766" s="98"/>
      <c r="K1766" s="99"/>
    </row>
    <row r="1767" spans="1:11" ht="13.2">
      <c r="A1767" s="89"/>
      <c r="B1767" s="90"/>
      <c r="C1767" s="91"/>
      <c r="D1767" s="92"/>
      <c r="E1767" s="93"/>
      <c r="F1767" s="94"/>
      <c r="G1767" s="95"/>
      <c r="H1767" s="96"/>
      <c r="I1767" s="97"/>
      <c r="J1767" s="98"/>
      <c r="K1767" s="99"/>
    </row>
    <row r="1768" spans="1:11" ht="13.2">
      <c r="A1768" s="89"/>
      <c r="B1768" s="90"/>
      <c r="C1768" s="91"/>
      <c r="D1768" s="92"/>
      <c r="E1768" s="93"/>
      <c r="F1768" s="94"/>
      <c r="G1768" s="95"/>
      <c r="H1768" s="96"/>
      <c r="I1768" s="97"/>
      <c r="J1768" s="98"/>
      <c r="K1768" s="99"/>
    </row>
    <row r="1769" spans="1:11" ht="13.2">
      <c r="A1769" s="89"/>
      <c r="B1769" s="90"/>
      <c r="C1769" s="91"/>
      <c r="D1769" s="92"/>
      <c r="E1769" s="93"/>
      <c r="F1769" s="94"/>
      <c r="G1769" s="95"/>
      <c r="H1769" s="96"/>
      <c r="I1769" s="97"/>
      <c r="J1769" s="98"/>
      <c r="K1769" s="99"/>
    </row>
    <row r="1770" spans="1:11" ht="13.2">
      <c r="A1770" s="89"/>
      <c r="B1770" s="90"/>
      <c r="C1770" s="91"/>
      <c r="D1770" s="92"/>
      <c r="E1770" s="93"/>
      <c r="F1770" s="94"/>
      <c r="G1770" s="95"/>
      <c r="H1770" s="96"/>
      <c r="I1770" s="97"/>
      <c r="J1770" s="98"/>
      <c r="K1770" s="99"/>
    </row>
    <row r="1771" spans="1:11" ht="13.2">
      <c r="A1771" s="89"/>
      <c r="B1771" s="90"/>
      <c r="C1771" s="91"/>
      <c r="D1771" s="92"/>
      <c r="E1771" s="93"/>
      <c r="F1771" s="94"/>
      <c r="G1771" s="95"/>
      <c r="H1771" s="96"/>
      <c r="I1771" s="97"/>
      <c r="J1771" s="98"/>
      <c r="K1771" s="99"/>
    </row>
    <row r="1772" spans="1:11" ht="13.2">
      <c r="A1772" s="89"/>
      <c r="B1772" s="90"/>
      <c r="C1772" s="91"/>
      <c r="D1772" s="92"/>
      <c r="E1772" s="93"/>
      <c r="F1772" s="94"/>
      <c r="G1772" s="95"/>
      <c r="H1772" s="96"/>
      <c r="I1772" s="97"/>
      <c r="J1772" s="98"/>
      <c r="K1772" s="99"/>
    </row>
    <row r="1773" spans="1:11" ht="13.2">
      <c r="A1773" s="89"/>
      <c r="B1773" s="90"/>
      <c r="C1773" s="91"/>
      <c r="D1773" s="92"/>
      <c r="E1773" s="93"/>
      <c r="F1773" s="94"/>
      <c r="G1773" s="95"/>
      <c r="H1773" s="96"/>
      <c r="I1773" s="97"/>
      <c r="J1773" s="98"/>
      <c r="K1773" s="99"/>
    </row>
    <row r="1774" spans="1:11" ht="13.2">
      <c r="A1774" s="89"/>
      <c r="B1774" s="90"/>
      <c r="C1774" s="91"/>
      <c r="D1774" s="92"/>
      <c r="E1774" s="93"/>
      <c r="F1774" s="94"/>
      <c r="G1774" s="95"/>
      <c r="H1774" s="96"/>
      <c r="I1774" s="97"/>
      <c r="J1774" s="98"/>
      <c r="K1774" s="99"/>
    </row>
    <row r="1775" spans="1:11" ht="13.2">
      <c r="A1775" s="89"/>
      <c r="B1775" s="90"/>
      <c r="C1775" s="91"/>
      <c r="D1775" s="92"/>
      <c r="E1775" s="93"/>
      <c r="F1775" s="94"/>
      <c r="G1775" s="95"/>
      <c r="H1775" s="96"/>
      <c r="I1775" s="97"/>
      <c r="J1775" s="98"/>
      <c r="K1775" s="99"/>
    </row>
    <row r="1776" spans="1:11" ht="13.2">
      <c r="A1776" s="89"/>
      <c r="B1776" s="90"/>
      <c r="C1776" s="91"/>
      <c r="D1776" s="92"/>
      <c r="E1776" s="93"/>
      <c r="F1776" s="94"/>
      <c r="G1776" s="95"/>
      <c r="H1776" s="96"/>
      <c r="I1776" s="97"/>
      <c r="J1776" s="98"/>
      <c r="K1776" s="99"/>
    </row>
    <row r="1777" spans="1:11" ht="13.2">
      <c r="A1777" s="89"/>
      <c r="B1777" s="90"/>
      <c r="C1777" s="91"/>
      <c r="D1777" s="92"/>
      <c r="E1777" s="93"/>
      <c r="F1777" s="94"/>
      <c r="G1777" s="95"/>
      <c r="H1777" s="96"/>
      <c r="I1777" s="97"/>
      <c r="J1777" s="98"/>
      <c r="K1777" s="99"/>
    </row>
    <row r="1778" spans="1:11" ht="13.2">
      <c r="A1778" s="89"/>
      <c r="B1778" s="90"/>
      <c r="C1778" s="91"/>
      <c r="D1778" s="92"/>
      <c r="E1778" s="93"/>
      <c r="F1778" s="94"/>
      <c r="G1778" s="95"/>
      <c r="H1778" s="96"/>
      <c r="I1778" s="97"/>
      <c r="J1778" s="98"/>
      <c r="K1778" s="99"/>
    </row>
    <row r="1779" spans="1:11" ht="13.2">
      <c r="A1779" s="89"/>
      <c r="B1779" s="90"/>
      <c r="C1779" s="91"/>
      <c r="D1779" s="92"/>
      <c r="E1779" s="93"/>
      <c r="F1779" s="94"/>
      <c r="G1779" s="95"/>
      <c r="H1779" s="96"/>
      <c r="I1779" s="97"/>
      <c r="J1779" s="98"/>
      <c r="K1779" s="99"/>
    </row>
    <row r="1780" spans="1:11" ht="13.2">
      <c r="A1780" s="89"/>
      <c r="B1780" s="90"/>
      <c r="C1780" s="91"/>
      <c r="D1780" s="92"/>
      <c r="E1780" s="93"/>
      <c r="F1780" s="94"/>
      <c r="G1780" s="95"/>
      <c r="H1780" s="96"/>
      <c r="I1780" s="97"/>
      <c r="J1780" s="98"/>
      <c r="K1780" s="99"/>
    </row>
    <row r="1781" spans="1:11" ht="13.2">
      <c r="A1781" s="89"/>
      <c r="B1781" s="90"/>
      <c r="C1781" s="91"/>
      <c r="D1781" s="92"/>
      <c r="E1781" s="93"/>
      <c r="F1781" s="94"/>
      <c r="G1781" s="95"/>
      <c r="H1781" s="96"/>
      <c r="I1781" s="97"/>
      <c r="J1781" s="98"/>
      <c r="K1781" s="99"/>
    </row>
    <row r="1782" spans="1:11" ht="13.2">
      <c r="A1782" s="89"/>
      <c r="B1782" s="90"/>
      <c r="C1782" s="91"/>
      <c r="D1782" s="92"/>
      <c r="E1782" s="93"/>
      <c r="F1782" s="94"/>
      <c r="G1782" s="95"/>
      <c r="H1782" s="96"/>
      <c r="I1782" s="97"/>
      <c r="J1782" s="98"/>
      <c r="K1782" s="99"/>
    </row>
    <row r="1783" spans="1:11" ht="13.2">
      <c r="A1783" s="89"/>
      <c r="B1783" s="90"/>
      <c r="C1783" s="91"/>
      <c r="D1783" s="92"/>
      <c r="E1783" s="93"/>
      <c r="F1783" s="94"/>
      <c r="G1783" s="95"/>
      <c r="H1783" s="96"/>
      <c r="I1783" s="97"/>
      <c r="J1783" s="98"/>
      <c r="K1783" s="99"/>
    </row>
    <row r="1784" spans="1:11" ht="13.2">
      <c r="A1784" s="89"/>
      <c r="B1784" s="90"/>
      <c r="C1784" s="91"/>
      <c r="D1784" s="92"/>
      <c r="E1784" s="93"/>
      <c r="F1784" s="94"/>
      <c r="G1784" s="95"/>
      <c r="H1784" s="96"/>
      <c r="I1784" s="97"/>
      <c r="J1784" s="98"/>
      <c r="K1784" s="99"/>
    </row>
    <row r="1785" spans="1:11" ht="13.2">
      <c r="A1785" s="89"/>
      <c r="B1785" s="90"/>
      <c r="C1785" s="91"/>
      <c r="D1785" s="92"/>
      <c r="E1785" s="93"/>
      <c r="F1785" s="94"/>
      <c r="G1785" s="95"/>
      <c r="H1785" s="96"/>
      <c r="I1785" s="97"/>
      <c r="J1785" s="98"/>
      <c r="K1785" s="99"/>
    </row>
    <row r="1786" spans="1:11" ht="13.2">
      <c r="A1786" s="89"/>
      <c r="B1786" s="90"/>
      <c r="C1786" s="91"/>
      <c r="D1786" s="92"/>
      <c r="E1786" s="93"/>
      <c r="F1786" s="94"/>
      <c r="G1786" s="95"/>
      <c r="H1786" s="96"/>
      <c r="I1786" s="97"/>
      <c r="J1786" s="98"/>
      <c r="K1786" s="99"/>
    </row>
    <row r="1787" spans="1:11" ht="13.2">
      <c r="A1787" s="89"/>
      <c r="B1787" s="90"/>
      <c r="C1787" s="91"/>
      <c r="D1787" s="92"/>
      <c r="E1787" s="93"/>
      <c r="F1787" s="94"/>
      <c r="G1787" s="95"/>
      <c r="H1787" s="96"/>
      <c r="I1787" s="97"/>
      <c r="J1787" s="98"/>
      <c r="K1787" s="99"/>
    </row>
    <row r="1788" spans="1:11" ht="13.2">
      <c r="A1788" s="89"/>
      <c r="B1788" s="90"/>
      <c r="C1788" s="91"/>
      <c r="D1788" s="92"/>
      <c r="E1788" s="93"/>
      <c r="F1788" s="94"/>
      <c r="G1788" s="95"/>
      <c r="H1788" s="96"/>
      <c r="I1788" s="97"/>
      <c r="J1788" s="98"/>
      <c r="K1788" s="99"/>
    </row>
    <row r="1789" spans="1:11" ht="13.2">
      <c r="A1789" s="89"/>
      <c r="B1789" s="90"/>
      <c r="C1789" s="91"/>
      <c r="D1789" s="92"/>
      <c r="E1789" s="93"/>
      <c r="F1789" s="94"/>
      <c r="G1789" s="95"/>
      <c r="H1789" s="96"/>
      <c r="I1789" s="97"/>
      <c r="J1789" s="98"/>
      <c r="K1789" s="99"/>
    </row>
    <row r="1790" spans="1:11" ht="13.2">
      <c r="A1790" s="89"/>
      <c r="B1790" s="90"/>
      <c r="C1790" s="91"/>
      <c r="D1790" s="92"/>
      <c r="E1790" s="93"/>
      <c r="F1790" s="94"/>
      <c r="G1790" s="95"/>
      <c r="H1790" s="96"/>
      <c r="I1790" s="97"/>
      <c r="J1790" s="98"/>
      <c r="K1790" s="99"/>
    </row>
    <row r="1791" spans="1:11" ht="13.2">
      <c r="A1791" s="89"/>
      <c r="B1791" s="90"/>
      <c r="C1791" s="91"/>
      <c r="D1791" s="92"/>
      <c r="E1791" s="93"/>
      <c r="F1791" s="94"/>
      <c r="G1791" s="95"/>
      <c r="H1791" s="96"/>
      <c r="I1791" s="97"/>
      <c r="J1791" s="98"/>
      <c r="K1791" s="99"/>
    </row>
    <row r="1792" spans="1:11" ht="13.2">
      <c r="A1792" s="89"/>
      <c r="B1792" s="90"/>
      <c r="C1792" s="91"/>
      <c r="D1792" s="92"/>
      <c r="E1792" s="93"/>
      <c r="F1792" s="94"/>
      <c r="G1792" s="95"/>
      <c r="H1792" s="96"/>
      <c r="I1792" s="97"/>
      <c r="J1792" s="98"/>
      <c r="K1792" s="99"/>
    </row>
    <row r="1793" spans="1:11" ht="13.2">
      <c r="A1793" s="89"/>
      <c r="B1793" s="90"/>
      <c r="C1793" s="91"/>
      <c r="D1793" s="92"/>
      <c r="E1793" s="93"/>
      <c r="F1793" s="94"/>
      <c r="G1793" s="95"/>
      <c r="H1793" s="96"/>
      <c r="I1793" s="97"/>
      <c r="J1793" s="98"/>
      <c r="K1793" s="99"/>
    </row>
    <row r="1794" spans="1:11" ht="13.2">
      <c r="A1794" s="89"/>
      <c r="B1794" s="90"/>
      <c r="C1794" s="91"/>
      <c r="D1794" s="92"/>
      <c r="E1794" s="93"/>
      <c r="F1794" s="94"/>
      <c r="G1794" s="95"/>
      <c r="H1794" s="96"/>
      <c r="I1794" s="97"/>
      <c r="J1794" s="98"/>
      <c r="K1794" s="99"/>
    </row>
    <row r="1795" spans="1:11" ht="13.2">
      <c r="A1795" s="89"/>
      <c r="B1795" s="90"/>
      <c r="C1795" s="91"/>
      <c r="D1795" s="92"/>
      <c r="E1795" s="93"/>
      <c r="F1795" s="94"/>
      <c r="G1795" s="95"/>
      <c r="H1795" s="96"/>
      <c r="I1795" s="97"/>
      <c r="J1795" s="98"/>
      <c r="K1795" s="99"/>
    </row>
    <row r="1796" spans="1:11" ht="13.2">
      <c r="A1796" s="89"/>
      <c r="B1796" s="90"/>
      <c r="C1796" s="91"/>
      <c r="D1796" s="92"/>
      <c r="E1796" s="93"/>
      <c r="F1796" s="94"/>
      <c r="G1796" s="95"/>
      <c r="H1796" s="96"/>
      <c r="I1796" s="97"/>
      <c r="J1796" s="98"/>
      <c r="K1796" s="99"/>
    </row>
    <row r="1797" spans="1:11" ht="13.2">
      <c r="A1797" s="89"/>
      <c r="B1797" s="90"/>
      <c r="C1797" s="91"/>
      <c r="D1797" s="92"/>
      <c r="E1797" s="93"/>
      <c r="F1797" s="94"/>
      <c r="G1797" s="95"/>
      <c r="H1797" s="96"/>
      <c r="I1797" s="97"/>
      <c r="J1797" s="98"/>
      <c r="K1797" s="99"/>
    </row>
    <row r="1798" spans="1:11" ht="13.2">
      <c r="A1798" s="89"/>
      <c r="B1798" s="90"/>
      <c r="C1798" s="91"/>
      <c r="D1798" s="92"/>
      <c r="E1798" s="93"/>
      <c r="F1798" s="94"/>
      <c r="G1798" s="95"/>
      <c r="H1798" s="96"/>
      <c r="I1798" s="97"/>
      <c r="J1798" s="98"/>
      <c r="K1798" s="99"/>
    </row>
    <row r="1799" spans="1:11" ht="13.2">
      <c r="A1799" s="89"/>
      <c r="B1799" s="90"/>
      <c r="C1799" s="91"/>
      <c r="D1799" s="92"/>
      <c r="E1799" s="93"/>
      <c r="F1799" s="94"/>
      <c r="G1799" s="95"/>
      <c r="H1799" s="96"/>
      <c r="I1799" s="97"/>
      <c r="J1799" s="98"/>
      <c r="K1799" s="99"/>
    </row>
    <row r="1800" spans="1:11" ht="13.2">
      <c r="A1800" s="89"/>
      <c r="B1800" s="90"/>
      <c r="C1800" s="91"/>
      <c r="D1800" s="92"/>
      <c r="E1800" s="93"/>
      <c r="F1800" s="94"/>
      <c r="G1800" s="95"/>
      <c r="H1800" s="96"/>
      <c r="I1800" s="97"/>
      <c r="J1800" s="98"/>
      <c r="K1800" s="99"/>
    </row>
    <row r="1801" spans="1:11" ht="13.2">
      <c r="A1801" s="89"/>
      <c r="B1801" s="90"/>
      <c r="C1801" s="91"/>
      <c r="D1801" s="92"/>
      <c r="E1801" s="93"/>
      <c r="F1801" s="94"/>
      <c r="G1801" s="95"/>
      <c r="H1801" s="96"/>
      <c r="I1801" s="97"/>
      <c r="J1801" s="98"/>
      <c r="K1801" s="99"/>
    </row>
    <row r="1802" spans="1:11" ht="13.2">
      <c r="A1802" s="89"/>
      <c r="B1802" s="90"/>
      <c r="C1802" s="91"/>
      <c r="D1802" s="92"/>
      <c r="E1802" s="93"/>
      <c r="F1802" s="94"/>
      <c r="G1802" s="95"/>
      <c r="H1802" s="96"/>
      <c r="I1802" s="97"/>
      <c r="J1802" s="98"/>
      <c r="K1802" s="99"/>
    </row>
    <row r="1803" spans="1:11" ht="13.2">
      <c r="A1803" s="89"/>
      <c r="B1803" s="90"/>
      <c r="C1803" s="91"/>
      <c r="D1803" s="92"/>
      <c r="E1803" s="93"/>
      <c r="F1803" s="94"/>
      <c r="G1803" s="95"/>
      <c r="H1803" s="96"/>
      <c r="I1803" s="97"/>
      <c r="J1803" s="98"/>
      <c r="K1803" s="99"/>
    </row>
    <row r="1804" spans="1:11" ht="13.2">
      <c r="A1804" s="89"/>
      <c r="B1804" s="90"/>
      <c r="C1804" s="91"/>
      <c r="D1804" s="92"/>
      <c r="E1804" s="93"/>
      <c r="F1804" s="94"/>
      <c r="G1804" s="95"/>
      <c r="H1804" s="96"/>
      <c r="I1804" s="97"/>
      <c r="J1804" s="98"/>
      <c r="K1804" s="99"/>
    </row>
    <row r="1805" spans="1:11" ht="13.2">
      <c r="A1805" s="89"/>
      <c r="B1805" s="90"/>
      <c r="C1805" s="91"/>
      <c r="D1805" s="92"/>
      <c r="E1805" s="93"/>
      <c r="F1805" s="94"/>
      <c r="G1805" s="95"/>
      <c r="H1805" s="96"/>
      <c r="I1805" s="97"/>
      <c r="J1805" s="98"/>
      <c r="K1805" s="99"/>
    </row>
    <row r="1806" spans="1:11" ht="13.2">
      <c r="A1806" s="89"/>
      <c r="B1806" s="90"/>
      <c r="C1806" s="91"/>
      <c r="D1806" s="92"/>
      <c r="E1806" s="93"/>
      <c r="F1806" s="94"/>
      <c r="G1806" s="95"/>
      <c r="H1806" s="96"/>
      <c r="I1806" s="97"/>
      <c r="J1806" s="98"/>
      <c r="K1806" s="99"/>
    </row>
    <row r="1807" spans="1:11" ht="13.2">
      <c r="A1807" s="89"/>
      <c r="B1807" s="90"/>
      <c r="C1807" s="91"/>
      <c r="D1807" s="92"/>
      <c r="E1807" s="93"/>
      <c r="F1807" s="94"/>
      <c r="G1807" s="95"/>
      <c r="H1807" s="96"/>
      <c r="I1807" s="97"/>
      <c r="J1807" s="98"/>
      <c r="K1807" s="99"/>
    </row>
    <row r="1808" spans="1:11" ht="13.2">
      <c r="A1808" s="89"/>
      <c r="B1808" s="90"/>
      <c r="C1808" s="91"/>
      <c r="D1808" s="92"/>
      <c r="E1808" s="93"/>
      <c r="F1808" s="94"/>
      <c r="G1808" s="95"/>
      <c r="H1808" s="96"/>
      <c r="I1808" s="97"/>
      <c r="J1808" s="98"/>
      <c r="K1808" s="99"/>
    </row>
    <row r="1809" spans="1:11" ht="13.2">
      <c r="A1809" s="89"/>
      <c r="B1809" s="90"/>
      <c r="C1809" s="91"/>
      <c r="D1809" s="92"/>
      <c r="E1809" s="93"/>
      <c r="F1809" s="94"/>
      <c r="G1809" s="95"/>
      <c r="H1809" s="96"/>
      <c r="I1809" s="97"/>
      <c r="J1809" s="98"/>
      <c r="K1809" s="99"/>
    </row>
    <row r="1810" spans="1:11" ht="13.2">
      <c r="A1810" s="89"/>
      <c r="B1810" s="90"/>
      <c r="C1810" s="91"/>
      <c r="D1810" s="92"/>
      <c r="E1810" s="93"/>
      <c r="F1810" s="94"/>
      <c r="G1810" s="95"/>
      <c r="H1810" s="96"/>
      <c r="I1810" s="97"/>
      <c r="J1810" s="98"/>
      <c r="K1810" s="99"/>
    </row>
    <row r="1811" spans="1:11" ht="13.2">
      <c r="A1811" s="89"/>
      <c r="B1811" s="90"/>
      <c r="C1811" s="91"/>
      <c r="D1811" s="92"/>
      <c r="E1811" s="93"/>
      <c r="F1811" s="94"/>
      <c r="G1811" s="95"/>
      <c r="H1811" s="96"/>
      <c r="I1811" s="97"/>
      <c r="J1811" s="98"/>
      <c r="K1811" s="99"/>
    </row>
    <row r="1812" spans="1:11" ht="13.2">
      <c r="A1812" s="89"/>
      <c r="B1812" s="90"/>
      <c r="C1812" s="91"/>
      <c r="D1812" s="92"/>
      <c r="E1812" s="93"/>
      <c r="F1812" s="94"/>
      <c r="G1812" s="95"/>
      <c r="H1812" s="96"/>
      <c r="I1812" s="97"/>
      <c r="J1812" s="98"/>
      <c r="K1812" s="99"/>
    </row>
    <row r="1813" spans="1:11" ht="13.2">
      <c r="A1813" s="89"/>
      <c r="B1813" s="90"/>
      <c r="C1813" s="91"/>
      <c r="D1813" s="92"/>
      <c r="E1813" s="93"/>
      <c r="F1813" s="94"/>
      <c r="G1813" s="95"/>
      <c r="H1813" s="96"/>
      <c r="I1813" s="97"/>
      <c r="J1813" s="98"/>
      <c r="K1813" s="99"/>
    </row>
    <row r="1814" spans="1:11" ht="13.2">
      <c r="A1814" s="89"/>
      <c r="B1814" s="90"/>
      <c r="C1814" s="91"/>
      <c r="D1814" s="92"/>
      <c r="E1814" s="93"/>
      <c r="F1814" s="94"/>
      <c r="G1814" s="95"/>
      <c r="H1814" s="96"/>
      <c r="I1814" s="97"/>
      <c r="J1814" s="98"/>
      <c r="K1814" s="99"/>
    </row>
    <row r="1815" spans="1:11" ht="13.2">
      <c r="A1815" s="89"/>
      <c r="B1815" s="90"/>
      <c r="C1815" s="91"/>
      <c r="D1815" s="92"/>
      <c r="E1815" s="93"/>
      <c r="F1815" s="94"/>
      <c r="G1815" s="95"/>
      <c r="H1815" s="96"/>
      <c r="I1815" s="97"/>
      <c r="J1815" s="98"/>
      <c r="K1815" s="99"/>
    </row>
    <row r="1816" spans="1:11" ht="13.2">
      <c r="A1816" s="89"/>
      <c r="B1816" s="90"/>
      <c r="C1816" s="91"/>
      <c r="D1816" s="92"/>
      <c r="E1816" s="93"/>
      <c r="F1816" s="94"/>
      <c r="G1816" s="95"/>
      <c r="H1816" s="96"/>
      <c r="I1816" s="97"/>
      <c r="J1816" s="98"/>
      <c r="K1816" s="99"/>
    </row>
    <row r="1817" spans="1:11" ht="13.2">
      <c r="A1817" s="89"/>
      <c r="B1817" s="90"/>
      <c r="C1817" s="91"/>
      <c r="D1817" s="92"/>
      <c r="E1817" s="93"/>
      <c r="F1817" s="94"/>
      <c r="G1817" s="95"/>
      <c r="H1817" s="96"/>
      <c r="I1817" s="97"/>
      <c r="J1817" s="98"/>
      <c r="K1817" s="99"/>
    </row>
    <row r="1818" spans="1:11" ht="13.2">
      <c r="A1818" s="89"/>
      <c r="B1818" s="90"/>
      <c r="C1818" s="91"/>
      <c r="D1818" s="92"/>
      <c r="E1818" s="93"/>
      <c r="F1818" s="94"/>
      <c r="G1818" s="95"/>
      <c r="H1818" s="96"/>
      <c r="I1818" s="97"/>
      <c r="J1818" s="98"/>
      <c r="K1818" s="99"/>
    </row>
    <row r="1819" spans="1:11" ht="13.2">
      <c r="A1819" s="89"/>
      <c r="B1819" s="90"/>
      <c r="C1819" s="91"/>
      <c r="D1819" s="92"/>
      <c r="E1819" s="93"/>
      <c r="F1819" s="94"/>
      <c r="G1819" s="95"/>
      <c r="H1819" s="96"/>
      <c r="I1819" s="97"/>
      <c r="J1819" s="98"/>
      <c r="K1819" s="99"/>
    </row>
    <row r="1820" spans="1:11" ht="13.2">
      <c r="A1820" s="89"/>
      <c r="B1820" s="90"/>
      <c r="C1820" s="91"/>
      <c r="D1820" s="92"/>
      <c r="E1820" s="93"/>
      <c r="F1820" s="94"/>
      <c r="G1820" s="95"/>
      <c r="H1820" s="96"/>
      <c r="I1820" s="97"/>
      <c r="J1820" s="98"/>
      <c r="K1820" s="99"/>
    </row>
    <row r="1821" spans="1:11" ht="13.2">
      <c r="A1821" s="89"/>
      <c r="B1821" s="90"/>
      <c r="C1821" s="91"/>
      <c r="D1821" s="92"/>
      <c r="E1821" s="93"/>
      <c r="F1821" s="94"/>
      <c r="G1821" s="95"/>
      <c r="H1821" s="96"/>
      <c r="I1821" s="97"/>
      <c r="J1821" s="98"/>
      <c r="K1821" s="99"/>
    </row>
    <row r="1822" spans="1:11" ht="13.2">
      <c r="A1822" s="89"/>
      <c r="B1822" s="90"/>
      <c r="C1822" s="91"/>
      <c r="D1822" s="92"/>
      <c r="E1822" s="93"/>
      <c r="F1822" s="94"/>
      <c r="G1822" s="95"/>
      <c r="H1822" s="96"/>
      <c r="I1822" s="97"/>
      <c r="J1822" s="98"/>
      <c r="K1822" s="99"/>
    </row>
    <row r="1823" spans="1:11" ht="13.2">
      <c r="A1823" s="89"/>
      <c r="B1823" s="90"/>
      <c r="C1823" s="91"/>
      <c r="D1823" s="92"/>
      <c r="E1823" s="93"/>
      <c r="F1823" s="94"/>
      <c r="G1823" s="95"/>
      <c r="H1823" s="96"/>
      <c r="I1823" s="97"/>
      <c r="J1823" s="98"/>
      <c r="K1823" s="99"/>
    </row>
    <row r="1824" spans="1:11" ht="13.2">
      <c r="A1824" s="89"/>
      <c r="B1824" s="90"/>
      <c r="C1824" s="91"/>
      <c r="D1824" s="92"/>
      <c r="E1824" s="93"/>
      <c r="F1824" s="94"/>
      <c r="G1824" s="95"/>
      <c r="H1824" s="96"/>
      <c r="I1824" s="97"/>
      <c r="J1824" s="98"/>
      <c r="K1824" s="99"/>
    </row>
    <row r="1825" spans="1:11" ht="13.2">
      <c r="A1825" s="89"/>
      <c r="B1825" s="90"/>
      <c r="C1825" s="91"/>
      <c r="D1825" s="92"/>
      <c r="E1825" s="93"/>
      <c r="F1825" s="94"/>
      <c r="G1825" s="95"/>
      <c r="H1825" s="96"/>
      <c r="I1825" s="97"/>
      <c r="J1825" s="98"/>
      <c r="K1825" s="99"/>
    </row>
    <row r="1826" spans="1:11" ht="13.2">
      <c r="A1826" s="89"/>
      <c r="B1826" s="90"/>
      <c r="C1826" s="91"/>
      <c r="D1826" s="92"/>
      <c r="E1826" s="93"/>
      <c r="F1826" s="94"/>
      <c r="G1826" s="95"/>
      <c r="H1826" s="96"/>
      <c r="I1826" s="97"/>
      <c r="J1826" s="98"/>
      <c r="K1826" s="99"/>
    </row>
    <row r="1827" spans="1:11" ht="13.2">
      <c r="A1827" s="89"/>
      <c r="B1827" s="90"/>
      <c r="C1827" s="91"/>
      <c r="D1827" s="92"/>
      <c r="E1827" s="93"/>
      <c r="F1827" s="94"/>
      <c r="G1827" s="95"/>
      <c r="H1827" s="96"/>
      <c r="I1827" s="97"/>
      <c r="J1827" s="98"/>
      <c r="K1827" s="99"/>
    </row>
    <row r="1828" spans="1:11" ht="13.2">
      <c r="A1828" s="89"/>
      <c r="B1828" s="90"/>
      <c r="C1828" s="91"/>
      <c r="D1828" s="92"/>
      <c r="E1828" s="93"/>
      <c r="F1828" s="94"/>
      <c r="G1828" s="95"/>
      <c r="H1828" s="96"/>
      <c r="I1828" s="97"/>
      <c r="J1828" s="98"/>
      <c r="K1828" s="99"/>
    </row>
    <row r="1829" spans="1:11" ht="13.2">
      <c r="A1829" s="89"/>
      <c r="B1829" s="90"/>
      <c r="C1829" s="91"/>
      <c r="D1829" s="92"/>
      <c r="E1829" s="93"/>
      <c r="F1829" s="94"/>
      <c r="G1829" s="95"/>
      <c r="H1829" s="96"/>
      <c r="I1829" s="97"/>
      <c r="J1829" s="98"/>
      <c r="K1829" s="99"/>
    </row>
    <row r="1830" spans="1:11" ht="13.2">
      <c r="A1830" s="89"/>
      <c r="B1830" s="90"/>
      <c r="C1830" s="91"/>
      <c r="D1830" s="92"/>
      <c r="E1830" s="93"/>
      <c r="F1830" s="94"/>
      <c r="G1830" s="95"/>
      <c r="H1830" s="96"/>
      <c r="I1830" s="97"/>
      <c r="J1830" s="98"/>
      <c r="K1830" s="99"/>
    </row>
    <row r="1831" spans="1:11" ht="13.2">
      <c r="A1831" s="89"/>
      <c r="B1831" s="90"/>
      <c r="C1831" s="91"/>
      <c r="D1831" s="92"/>
      <c r="E1831" s="93"/>
      <c r="F1831" s="94"/>
      <c r="G1831" s="95"/>
      <c r="H1831" s="96"/>
      <c r="I1831" s="97"/>
      <c r="J1831" s="98"/>
      <c r="K1831" s="99"/>
    </row>
    <row r="1832" spans="1:11" ht="13.2">
      <c r="A1832" s="89"/>
      <c r="B1832" s="90"/>
      <c r="C1832" s="91"/>
      <c r="D1832" s="92"/>
      <c r="E1832" s="93"/>
      <c r="F1832" s="94"/>
      <c r="G1832" s="95"/>
      <c r="H1832" s="96"/>
      <c r="I1832" s="97"/>
      <c r="J1832" s="98"/>
      <c r="K1832" s="99"/>
    </row>
    <row r="1833" spans="1:11" ht="13.2">
      <c r="A1833" s="89"/>
      <c r="B1833" s="90"/>
      <c r="C1833" s="91"/>
      <c r="D1833" s="92"/>
      <c r="E1833" s="93"/>
      <c r="F1833" s="94"/>
      <c r="G1833" s="95"/>
      <c r="H1833" s="96"/>
      <c r="I1833" s="97"/>
      <c r="J1833" s="98"/>
      <c r="K1833" s="99"/>
    </row>
    <row r="1834" spans="1:11" ht="13.2">
      <c r="A1834" s="89"/>
      <c r="B1834" s="90"/>
      <c r="C1834" s="91"/>
      <c r="D1834" s="92"/>
      <c r="E1834" s="93"/>
      <c r="F1834" s="94"/>
      <c r="G1834" s="95"/>
      <c r="H1834" s="96"/>
      <c r="I1834" s="97"/>
      <c r="J1834" s="98"/>
      <c r="K1834" s="99"/>
    </row>
    <row r="1835" spans="1:11" ht="13.2">
      <c r="A1835" s="89"/>
      <c r="B1835" s="90"/>
      <c r="C1835" s="91"/>
      <c r="D1835" s="92"/>
      <c r="E1835" s="93"/>
      <c r="F1835" s="94"/>
      <c r="G1835" s="95"/>
      <c r="H1835" s="96"/>
      <c r="I1835" s="97"/>
      <c r="J1835" s="98"/>
      <c r="K1835" s="99"/>
    </row>
    <row r="1836" spans="1:11" ht="13.2">
      <c r="A1836" s="89"/>
      <c r="B1836" s="90"/>
      <c r="C1836" s="91"/>
      <c r="D1836" s="92"/>
      <c r="E1836" s="93"/>
      <c r="F1836" s="94"/>
      <c r="G1836" s="95"/>
      <c r="H1836" s="96"/>
      <c r="I1836" s="97"/>
      <c r="J1836" s="98"/>
      <c r="K1836" s="99"/>
    </row>
    <row r="1837" spans="1:11" ht="13.2">
      <c r="A1837" s="89"/>
      <c r="B1837" s="90"/>
      <c r="C1837" s="91"/>
      <c r="D1837" s="92"/>
      <c r="E1837" s="93"/>
      <c r="F1837" s="94"/>
      <c r="G1837" s="95"/>
      <c r="H1837" s="96"/>
      <c r="I1837" s="97"/>
      <c r="J1837" s="98"/>
      <c r="K1837" s="99"/>
    </row>
    <row r="1838" spans="1:11" ht="13.2">
      <c r="A1838" s="89"/>
      <c r="B1838" s="90"/>
      <c r="C1838" s="91"/>
      <c r="D1838" s="92"/>
      <c r="E1838" s="93"/>
      <c r="F1838" s="94"/>
      <c r="G1838" s="95"/>
      <c r="H1838" s="96"/>
      <c r="I1838" s="97"/>
      <c r="J1838" s="98"/>
      <c r="K1838" s="99"/>
    </row>
    <row r="1839" spans="1:11" ht="13.2">
      <c r="A1839" s="89"/>
      <c r="B1839" s="90"/>
      <c r="C1839" s="91"/>
      <c r="D1839" s="92"/>
      <c r="E1839" s="93"/>
      <c r="F1839" s="94"/>
      <c r="G1839" s="95"/>
      <c r="H1839" s="96"/>
      <c r="I1839" s="97"/>
      <c r="J1839" s="98"/>
      <c r="K1839" s="99"/>
    </row>
    <row r="1840" spans="1:11" ht="13.2">
      <c r="A1840" s="89"/>
      <c r="B1840" s="90"/>
      <c r="C1840" s="91"/>
      <c r="D1840" s="92"/>
      <c r="E1840" s="93"/>
      <c r="F1840" s="94"/>
      <c r="G1840" s="95"/>
      <c r="H1840" s="96"/>
      <c r="I1840" s="97"/>
      <c r="J1840" s="98"/>
      <c r="K1840" s="99"/>
    </row>
    <row r="1841" spans="1:11" ht="13.2">
      <c r="A1841" s="89"/>
      <c r="B1841" s="90"/>
      <c r="C1841" s="91"/>
      <c r="D1841" s="92"/>
      <c r="E1841" s="93"/>
      <c r="F1841" s="94"/>
      <c r="G1841" s="95"/>
      <c r="H1841" s="96"/>
      <c r="I1841" s="97"/>
      <c r="J1841" s="98"/>
      <c r="K1841" s="99"/>
    </row>
    <row r="1842" spans="1:11" ht="13.2">
      <c r="A1842" s="89"/>
      <c r="B1842" s="90"/>
      <c r="C1842" s="91"/>
      <c r="D1842" s="92"/>
      <c r="E1842" s="93"/>
      <c r="F1842" s="94"/>
      <c r="G1842" s="95"/>
      <c r="H1842" s="96"/>
      <c r="I1842" s="97"/>
      <c r="J1842" s="98"/>
      <c r="K1842" s="99"/>
    </row>
    <row r="1843" spans="1:11" ht="13.2">
      <c r="A1843" s="89"/>
      <c r="B1843" s="90"/>
      <c r="C1843" s="91"/>
      <c r="D1843" s="92"/>
      <c r="E1843" s="93"/>
      <c r="F1843" s="94"/>
      <c r="G1843" s="95"/>
      <c r="H1843" s="96"/>
      <c r="I1843" s="97"/>
      <c r="J1843" s="98"/>
      <c r="K1843" s="99"/>
    </row>
    <row r="1844" spans="1:11" ht="13.2">
      <c r="A1844" s="89"/>
      <c r="B1844" s="90"/>
      <c r="C1844" s="91"/>
      <c r="D1844" s="92"/>
      <c r="E1844" s="93"/>
      <c r="F1844" s="94"/>
      <c r="G1844" s="95"/>
      <c r="H1844" s="96"/>
      <c r="I1844" s="97"/>
      <c r="J1844" s="98"/>
      <c r="K1844" s="99"/>
    </row>
    <row r="1845" spans="1:11" ht="13.2">
      <c r="A1845" s="89"/>
      <c r="B1845" s="90"/>
      <c r="C1845" s="91"/>
      <c r="D1845" s="92"/>
      <c r="E1845" s="93"/>
      <c r="F1845" s="94"/>
      <c r="G1845" s="95"/>
      <c r="H1845" s="96"/>
      <c r="I1845" s="97"/>
      <c r="J1845" s="98"/>
      <c r="K1845" s="99"/>
    </row>
    <row r="1846" spans="1:11" ht="13.2">
      <c r="A1846" s="89"/>
      <c r="B1846" s="90"/>
      <c r="C1846" s="91"/>
      <c r="D1846" s="92"/>
      <c r="E1846" s="93"/>
      <c r="F1846" s="94"/>
      <c r="G1846" s="95"/>
      <c r="H1846" s="96"/>
      <c r="I1846" s="97"/>
      <c r="J1846" s="98"/>
      <c r="K1846" s="99"/>
    </row>
    <row r="1847" spans="1:11" ht="13.2">
      <c r="A1847" s="89"/>
      <c r="B1847" s="90"/>
      <c r="C1847" s="91"/>
      <c r="D1847" s="92"/>
      <c r="E1847" s="93"/>
      <c r="F1847" s="94"/>
      <c r="G1847" s="95"/>
      <c r="H1847" s="96"/>
      <c r="I1847" s="97"/>
      <c r="J1847" s="98"/>
      <c r="K1847" s="99"/>
    </row>
    <row r="1848" spans="1:11" ht="13.2">
      <c r="A1848" s="89"/>
      <c r="B1848" s="90"/>
      <c r="C1848" s="91"/>
      <c r="D1848" s="92"/>
      <c r="E1848" s="93"/>
      <c r="F1848" s="94"/>
      <c r="G1848" s="95"/>
      <c r="H1848" s="96"/>
      <c r="I1848" s="97"/>
      <c r="J1848" s="98"/>
      <c r="K1848" s="99"/>
    </row>
    <row r="1849" spans="1:11" ht="13.2">
      <c r="A1849" s="89"/>
      <c r="B1849" s="90"/>
      <c r="C1849" s="91"/>
      <c r="D1849" s="92"/>
      <c r="E1849" s="93"/>
      <c r="F1849" s="94"/>
      <c r="G1849" s="95"/>
      <c r="H1849" s="96"/>
      <c r="I1849" s="97"/>
      <c r="J1849" s="98"/>
      <c r="K1849" s="99"/>
    </row>
    <row r="1850" spans="1:11" ht="13.2">
      <c r="A1850" s="89"/>
      <c r="B1850" s="90"/>
      <c r="C1850" s="91"/>
      <c r="D1850" s="92"/>
      <c r="E1850" s="93"/>
      <c r="F1850" s="94"/>
      <c r="G1850" s="95"/>
      <c r="H1850" s="96"/>
      <c r="I1850" s="97"/>
      <c r="J1850" s="98"/>
      <c r="K1850" s="99"/>
    </row>
    <row r="1851" spans="1:11" ht="13.2">
      <c r="A1851" s="89"/>
      <c r="B1851" s="90"/>
      <c r="C1851" s="91"/>
      <c r="D1851" s="92"/>
      <c r="E1851" s="93"/>
      <c r="F1851" s="94"/>
      <c r="G1851" s="95"/>
      <c r="H1851" s="96"/>
      <c r="I1851" s="97"/>
      <c r="J1851" s="98"/>
      <c r="K1851" s="99"/>
    </row>
    <row r="1852" spans="1:11" ht="13.2">
      <c r="A1852" s="89"/>
      <c r="B1852" s="90"/>
      <c r="C1852" s="91"/>
      <c r="D1852" s="92"/>
      <c r="E1852" s="93"/>
      <c r="F1852" s="94"/>
      <c r="G1852" s="95"/>
      <c r="H1852" s="96"/>
      <c r="I1852" s="97"/>
      <c r="J1852" s="98"/>
      <c r="K1852" s="99"/>
    </row>
    <row r="1853" spans="1:11" ht="13.2">
      <c r="A1853" s="89"/>
      <c r="B1853" s="90"/>
      <c r="C1853" s="91"/>
      <c r="D1853" s="92"/>
      <c r="E1853" s="93"/>
      <c r="F1853" s="94"/>
      <c r="G1853" s="95"/>
      <c r="H1853" s="96"/>
      <c r="I1853" s="97"/>
      <c r="J1853" s="98"/>
      <c r="K1853" s="99"/>
    </row>
    <row r="1854" spans="1:11" ht="13.2">
      <c r="A1854" s="89"/>
      <c r="B1854" s="90"/>
      <c r="C1854" s="91"/>
      <c r="D1854" s="92"/>
      <c r="E1854" s="93"/>
      <c r="F1854" s="94"/>
      <c r="G1854" s="95"/>
      <c r="H1854" s="96"/>
      <c r="I1854" s="97"/>
      <c r="J1854" s="98"/>
      <c r="K1854" s="99"/>
    </row>
    <row r="1855" spans="1:11" ht="13.2">
      <c r="A1855" s="89"/>
      <c r="B1855" s="90"/>
      <c r="C1855" s="91"/>
      <c r="D1855" s="92"/>
      <c r="E1855" s="93"/>
      <c r="F1855" s="94"/>
      <c r="G1855" s="95"/>
      <c r="H1855" s="96"/>
      <c r="I1855" s="97"/>
      <c r="J1855" s="98"/>
      <c r="K1855" s="99"/>
    </row>
    <row r="1856" spans="1:11" ht="13.2">
      <c r="A1856" s="89"/>
      <c r="B1856" s="90"/>
      <c r="C1856" s="91"/>
      <c r="D1856" s="92"/>
      <c r="E1856" s="93"/>
      <c r="F1856" s="94"/>
      <c r="G1856" s="95"/>
      <c r="H1856" s="96"/>
      <c r="I1856" s="97"/>
      <c r="J1856" s="98"/>
      <c r="K1856" s="99"/>
    </row>
    <row r="1857" spans="1:11" ht="13.2">
      <c r="A1857" s="89"/>
      <c r="B1857" s="90"/>
      <c r="C1857" s="91"/>
      <c r="D1857" s="92"/>
      <c r="E1857" s="93"/>
      <c r="F1857" s="94"/>
      <c r="G1857" s="95"/>
      <c r="H1857" s="96"/>
      <c r="I1857" s="97"/>
      <c r="J1857" s="98"/>
      <c r="K1857" s="99"/>
    </row>
    <row r="1858" spans="1:11" ht="13.2">
      <c r="A1858" s="89"/>
      <c r="B1858" s="90"/>
      <c r="C1858" s="91"/>
      <c r="D1858" s="92"/>
      <c r="E1858" s="93"/>
      <c r="F1858" s="94"/>
      <c r="G1858" s="95"/>
      <c r="H1858" s="96"/>
      <c r="I1858" s="97"/>
      <c r="J1858" s="98"/>
      <c r="K1858" s="99"/>
    </row>
    <row r="1859" spans="1:11" ht="13.2">
      <c r="A1859" s="89"/>
      <c r="B1859" s="90"/>
      <c r="C1859" s="91"/>
      <c r="D1859" s="92"/>
      <c r="E1859" s="93"/>
      <c r="F1859" s="94"/>
      <c r="G1859" s="95"/>
      <c r="H1859" s="96"/>
      <c r="I1859" s="97"/>
      <c r="J1859" s="98"/>
      <c r="K1859" s="99"/>
    </row>
    <row r="1860" spans="1:11" ht="13.2">
      <c r="A1860" s="89"/>
      <c r="B1860" s="90"/>
      <c r="C1860" s="91"/>
      <c r="D1860" s="92"/>
      <c r="E1860" s="93"/>
      <c r="F1860" s="94"/>
      <c r="G1860" s="95"/>
      <c r="H1860" s="96"/>
      <c r="I1860" s="97"/>
      <c r="J1860" s="98"/>
      <c r="K1860" s="99"/>
    </row>
    <row r="1861" spans="1:11" ht="13.2">
      <c r="A1861" s="89"/>
      <c r="B1861" s="90"/>
      <c r="C1861" s="91"/>
      <c r="D1861" s="92"/>
      <c r="E1861" s="93"/>
      <c r="F1861" s="94"/>
      <c r="G1861" s="95"/>
      <c r="H1861" s="96"/>
      <c r="I1861" s="97"/>
      <c r="J1861" s="98"/>
      <c r="K1861" s="99"/>
    </row>
    <row r="1862" spans="1:11" ht="13.2">
      <c r="A1862" s="89"/>
      <c r="B1862" s="90"/>
      <c r="C1862" s="91"/>
      <c r="D1862" s="92"/>
      <c r="E1862" s="93"/>
      <c r="F1862" s="94"/>
      <c r="G1862" s="95"/>
      <c r="H1862" s="96"/>
      <c r="I1862" s="97"/>
      <c r="J1862" s="98"/>
      <c r="K1862" s="99"/>
    </row>
    <row r="1863" spans="1:11" ht="13.2">
      <c r="A1863" s="89"/>
      <c r="B1863" s="90"/>
      <c r="C1863" s="91"/>
      <c r="D1863" s="92"/>
      <c r="E1863" s="93"/>
      <c r="F1863" s="94"/>
      <c r="G1863" s="95"/>
      <c r="H1863" s="96"/>
      <c r="I1863" s="97"/>
      <c r="J1863" s="98"/>
      <c r="K1863" s="99"/>
    </row>
    <row r="1864" spans="1:11" ht="13.2">
      <c r="A1864" s="89"/>
      <c r="B1864" s="90"/>
      <c r="C1864" s="91"/>
      <c r="D1864" s="92"/>
      <c r="E1864" s="93"/>
      <c r="F1864" s="94"/>
      <c r="G1864" s="95"/>
      <c r="H1864" s="96"/>
      <c r="I1864" s="97"/>
      <c r="J1864" s="98"/>
      <c r="K1864" s="99"/>
    </row>
    <row r="1865" spans="1:11" ht="13.2">
      <c r="A1865" s="89"/>
      <c r="B1865" s="90"/>
      <c r="C1865" s="91"/>
      <c r="D1865" s="92"/>
      <c r="E1865" s="93"/>
      <c r="F1865" s="94"/>
      <c r="G1865" s="95"/>
      <c r="H1865" s="96"/>
      <c r="I1865" s="97"/>
      <c r="J1865" s="98"/>
      <c r="K1865" s="99"/>
    </row>
    <row r="1866" spans="1:11" ht="13.2">
      <c r="A1866" s="89"/>
      <c r="B1866" s="90"/>
      <c r="C1866" s="91"/>
      <c r="D1866" s="92"/>
      <c r="E1866" s="93"/>
      <c r="F1866" s="94"/>
      <c r="G1866" s="95"/>
      <c r="H1866" s="96"/>
      <c r="I1866" s="97"/>
      <c r="J1866" s="98"/>
      <c r="K1866" s="99"/>
    </row>
    <row r="1867" spans="1:11" ht="13.2">
      <c r="A1867" s="89"/>
      <c r="B1867" s="90"/>
      <c r="C1867" s="91"/>
      <c r="D1867" s="92"/>
      <c r="E1867" s="93"/>
      <c r="F1867" s="94"/>
      <c r="G1867" s="95"/>
      <c r="H1867" s="96"/>
      <c r="I1867" s="97"/>
      <c r="J1867" s="98"/>
      <c r="K1867" s="99"/>
    </row>
    <row r="1868" spans="1:11" ht="13.2">
      <c r="A1868" s="89"/>
      <c r="B1868" s="90"/>
      <c r="C1868" s="91"/>
      <c r="D1868" s="92"/>
      <c r="E1868" s="93"/>
      <c r="F1868" s="94"/>
      <c r="G1868" s="95"/>
      <c r="H1868" s="96"/>
      <c r="I1868" s="97"/>
      <c r="J1868" s="98"/>
      <c r="K1868" s="99"/>
    </row>
    <row r="1869" spans="1:11" ht="13.2">
      <c r="A1869" s="89"/>
      <c r="B1869" s="90"/>
      <c r="C1869" s="91"/>
      <c r="D1869" s="92"/>
      <c r="E1869" s="93"/>
      <c r="F1869" s="94"/>
      <c r="G1869" s="95"/>
      <c r="H1869" s="96"/>
      <c r="I1869" s="97"/>
      <c r="J1869" s="98"/>
      <c r="K1869" s="99"/>
    </row>
    <row r="1870" spans="1:11" ht="13.2">
      <c r="A1870" s="89"/>
      <c r="B1870" s="90"/>
      <c r="C1870" s="91"/>
      <c r="D1870" s="92"/>
      <c r="E1870" s="93"/>
      <c r="F1870" s="94"/>
      <c r="G1870" s="95"/>
      <c r="H1870" s="96"/>
      <c r="I1870" s="97"/>
      <c r="J1870" s="98"/>
      <c r="K1870" s="99"/>
    </row>
    <row r="1871" spans="1:11" ht="13.2">
      <c r="A1871" s="89"/>
      <c r="B1871" s="90"/>
      <c r="C1871" s="91"/>
      <c r="D1871" s="92"/>
      <c r="E1871" s="93"/>
      <c r="F1871" s="94"/>
      <c r="G1871" s="95"/>
      <c r="H1871" s="96"/>
      <c r="I1871" s="97"/>
      <c r="J1871" s="98"/>
      <c r="K1871" s="99"/>
    </row>
    <row r="1872" spans="1:11" ht="13.2">
      <c r="A1872" s="89"/>
      <c r="B1872" s="90"/>
      <c r="C1872" s="91"/>
      <c r="D1872" s="92"/>
      <c r="E1872" s="93"/>
      <c r="F1872" s="94"/>
      <c r="G1872" s="95"/>
      <c r="H1872" s="96"/>
      <c r="I1872" s="97"/>
      <c r="J1872" s="98"/>
      <c r="K1872" s="99"/>
    </row>
    <row r="1873" spans="1:11" ht="13.2">
      <c r="A1873" s="89"/>
      <c r="B1873" s="90"/>
      <c r="C1873" s="91"/>
      <c r="D1873" s="92"/>
      <c r="E1873" s="93"/>
      <c r="F1873" s="94"/>
      <c r="G1873" s="95"/>
      <c r="H1873" s="96"/>
      <c r="I1873" s="97"/>
      <c r="J1873" s="98"/>
      <c r="K1873" s="99"/>
    </row>
    <row r="1874" spans="1:11" ht="13.2">
      <c r="A1874" s="89"/>
      <c r="B1874" s="90"/>
      <c r="C1874" s="91"/>
      <c r="D1874" s="92"/>
      <c r="E1874" s="93"/>
      <c r="F1874" s="94"/>
      <c r="G1874" s="95"/>
      <c r="H1874" s="96"/>
      <c r="I1874" s="97"/>
      <c r="J1874" s="98"/>
      <c r="K1874" s="99"/>
    </row>
    <row r="1875" spans="1:11" ht="13.2">
      <c r="A1875" s="89"/>
      <c r="B1875" s="90"/>
      <c r="C1875" s="91"/>
      <c r="D1875" s="92"/>
      <c r="E1875" s="93"/>
      <c r="F1875" s="94"/>
      <c r="G1875" s="95"/>
      <c r="H1875" s="96"/>
      <c r="I1875" s="97"/>
      <c r="J1875" s="98"/>
      <c r="K1875" s="99"/>
    </row>
    <row r="1876" spans="1:11" ht="13.2">
      <c r="A1876" s="89"/>
      <c r="B1876" s="90"/>
      <c r="C1876" s="91"/>
      <c r="D1876" s="92"/>
      <c r="E1876" s="93"/>
      <c r="F1876" s="94"/>
      <c r="G1876" s="95"/>
      <c r="H1876" s="96"/>
      <c r="I1876" s="97"/>
      <c r="J1876" s="98"/>
      <c r="K1876" s="99"/>
    </row>
    <row r="1877" spans="1:11" ht="13.2">
      <c r="A1877" s="89"/>
      <c r="B1877" s="90"/>
      <c r="C1877" s="91"/>
      <c r="D1877" s="92"/>
      <c r="E1877" s="93"/>
      <c r="F1877" s="94"/>
      <c r="G1877" s="95"/>
      <c r="H1877" s="96"/>
      <c r="I1877" s="97"/>
      <c r="J1877" s="98"/>
      <c r="K1877" s="99"/>
    </row>
    <row r="1878" spans="1:11" ht="13.2">
      <c r="A1878" s="89"/>
      <c r="B1878" s="90"/>
      <c r="C1878" s="91"/>
      <c r="D1878" s="92"/>
      <c r="E1878" s="93"/>
      <c r="F1878" s="94"/>
      <c r="G1878" s="95"/>
      <c r="H1878" s="96"/>
      <c r="I1878" s="97"/>
      <c r="J1878" s="98"/>
      <c r="K1878" s="99"/>
    </row>
    <row r="1879" spans="1:11" ht="13.2">
      <c r="A1879" s="89"/>
      <c r="B1879" s="90"/>
      <c r="C1879" s="91"/>
      <c r="D1879" s="92"/>
      <c r="E1879" s="93"/>
      <c r="F1879" s="94"/>
      <c r="G1879" s="95"/>
      <c r="H1879" s="96"/>
      <c r="I1879" s="97"/>
      <c r="J1879" s="98"/>
      <c r="K1879" s="99"/>
    </row>
    <row r="1880" spans="1:11" ht="13.2">
      <c r="A1880" s="89"/>
      <c r="B1880" s="90"/>
      <c r="C1880" s="91"/>
      <c r="D1880" s="92"/>
      <c r="E1880" s="93"/>
      <c r="F1880" s="94"/>
      <c r="G1880" s="95"/>
      <c r="H1880" s="96"/>
      <c r="I1880" s="97"/>
      <c r="J1880" s="98"/>
      <c r="K1880" s="99"/>
    </row>
    <row r="1881" spans="1:11" ht="13.2">
      <c r="A1881" s="89"/>
      <c r="B1881" s="90"/>
      <c r="C1881" s="91"/>
      <c r="D1881" s="92"/>
      <c r="E1881" s="93"/>
      <c r="F1881" s="94"/>
      <c r="G1881" s="95"/>
      <c r="H1881" s="96"/>
      <c r="I1881" s="97"/>
      <c r="J1881" s="98"/>
      <c r="K1881" s="99"/>
    </row>
    <row r="1882" spans="1:11" ht="13.2">
      <c r="A1882" s="89"/>
      <c r="B1882" s="90"/>
      <c r="C1882" s="91"/>
      <c r="D1882" s="92"/>
      <c r="E1882" s="93"/>
      <c r="F1882" s="94"/>
      <c r="G1882" s="95"/>
      <c r="H1882" s="96"/>
      <c r="I1882" s="97"/>
      <c r="J1882" s="98"/>
      <c r="K1882" s="99"/>
    </row>
    <row r="1883" spans="1:11" ht="13.2">
      <c r="A1883" s="89"/>
      <c r="B1883" s="90"/>
      <c r="C1883" s="91"/>
      <c r="D1883" s="92"/>
      <c r="E1883" s="93"/>
      <c r="F1883" s="94"/>
      <c r="G1883" s="95"/>
      <c r="H1883" s="96"/>
      <c r="I1883" s="97"/>
      <c r="J1883" s="98"/>
      <c r="K1883" s="99"/>
    </row>
    <row r="1884" spans="1:11" ht="13.2">
      <c r="A1884" s="89"/>
      <c r="B1884" s="90"/>
      <c r="C1884" s="91"/>
      <c r="D1884" s="92"/>
      <c r="E1884" s="93"/>
      <c r="F1884" s="94"/>
      <c r="G1884" s="95"/>
      <c r="H1884" s="96"/>
      <c r="I1884" s="97"/>
      <c r="J1884" s="98"/>
      <c r="K1884" s="99"/>
    </row>
    <row r="1885" spans="1:11" ht="13.2">
      <c r="A1885" s="89"/>
      <c r="B1885" s="90"/>
      <c r="C1885" s="91"/>
      <c r="D1885" s="92"/>
      <c r="E1885" s="93"/>
      <c r="F1885" s="94"/>
      <c r="G1885" s="95"/>
      <c r="H1885" s="96"/>
      <c r="I1885" s="97"/>
      <c r="J1885" s="98"/>
      <c r="K1885" s="99"/>
    </row>
    <row r="1886" spans="1:11" ht="13.2">
      <c r="A1886" s="89"/>
      <c r="B1886" s="90"/>
      <c r="C1886" s="91"/>
      <c r="D1886" s="92"/>
      <c r="E1886" s="93"/>
      <c r="F1886" s="94"/>
      <c r="G1886" s="95"/>
      <c r="H1886" s="96"/>
      <c r="I1886" s="97"/>
      <c r="J1886" s="98"/>
      <c r="K1886" s="99"/>
    </row>
    <row r="1887" spans="1:11" ht="13.2">
      <c r="A1887" s="89"/>
      <c r="B1887" s="90"/>
      <c r="C1887" s="91"/>
      <c r="D1887" s="92"/>
      <c r="E1887" s="93"/>
      <c r="F1887" s="94"/>
      <c r="G1887" s="95"/>
      <c r="H1887" s="96"/>
      <c r="I1887" s="97"/>
      <c r="J1887" s="98"/>
      <c r="K1887" s="99"/>
    </row>
    <row r="1888" spans="1:11" ht="13.2">
      <c r="A1888" s="89"/>
      <c r="B1888" s="90"/>
      <c r="C1888" s="91"/>
      <c r="D1888" s="92"/>
      <c r="E1888" s="93"/>
      <c r="F1888" s="94"/>
      <c r="G1888" s="95"/>
      <c r="H1888" s="96"/>
      <c r="I1888" s="97"/>
      <c r="J1888" s="98"/>
      <c r="K1888" s="99"/>
    </row>
    <row r="1889" spans="1:11" ht="13.2">
      <c r="A1889" s="89"/>
      <c r="B1889" s="90"/>
      <c r="C1889" s="91"/>
      <c r="D1889" s="92"/>
      <c r="E1889" s="93"/>
      <c r="F1889" s="94"/>
      <c r="G1889" s="95"/>
      <c r="H1889" s="96"/>
      <c r="I1889" s="97"/>
      <c r="J1889" s="98"/>
      <c r="K1889" s="99"/>
    </row>
    <row r="1890" spans="1:11" ht="13.2">
      <c r="A1890" s="89"/>
      <c r="B1890" s="90"/>
      <c r="C1890" s="91"/>
      <c r="D1890" s="92"/>
      <c r="E1890" s="93"/>
      <c r="F1890" s="94"/>
      <c r="G1890" s="95"/>
      <c r="H1890" s="96"/>
      <c r="I1890" s="97"/>
      <c r="J1890" s="98"/>
      <c r="K1890" s="99"/>
    </row>
    <row r="1891" spans="1:11" ht="13.2">
      <c r="A1891" s="89"/>
      <c r="B1891" s="90"/>
      <c r="C1891" s="91"/>
      <c r="D1891" s="92"/>
      <c r="E1891" s="93"/>
      <c r="F1891" s="94"/>
      <c r="G1891" s="95"/>
      <c r="H1891" s="96"/>
      <c r="I1891" s="97"/>
      <c r="J1891" s="98"/>
      <c r="K1891" s="99"/>
    </row>
    <row r="1892" spans="1:11" ht="13.2">
      <c r="A1892" s="89"/>
      <c r="B1892" s="90"/>
      <c r="C1892" s="91"/>
      <c r="D1892" s="92"/>
      <c r="E1892" s="93"/>
      <c r="F1892" s="94"/>
      <c r="G1892" s="95"/>
      <c r="H1892" s="96"/>
      <c r="I1892" s="97"/>
      <c r="J1892" s="98"/>
      <c r="K1892" s="99"/>
    </row>
    <row r="1893" spans="1:11" ht="13.2">
      <c r="A1893" s="89"/>
      <c r="B1893" s="90"/>
      <c r="C1893" s="91"/>
      <c r="D1893" s="92"/>
      <c r="E1893" s="93"/>
      <c r="F1893" s="94"/>
      <c r="G1893" s="95"/>
      <c r="H1893" s="96"/>
      <c r="I1893" s="97"/>
      <c r="J1893" s="98"/>
      <c r="K1893" s="99"/>
    </row>
    <row r="1894" spans="1:11" ht="13.2">
      <c r="A1894" s="89"/>
      <c r="B1894" s="90"/>
      <c r="C1894" s="91"/>
      <c r="D1894" s="92"/>
      <c r="E1894" s="93"/>
      <c r="F1894" s="94"/>
      <c r="G1894" s="95"/>
      <c r="H1894" s="96"/>
      <c r="I1894" s="97"/>
      <c r="J1894" s="98"/>
      <c r="K1894" s="99"/>
    </row>
    <row r="1895" spans="1:11" ht="13.2">
      <c r="A1895" s="89"/>
      <c r="B1895" s="90"/>
      <c r="C1895" s="91"/>
      <c r="D1895" s="92"/>
      <c r="E1895" s="93"/>
      <c r="F1895" s="94"/>
      <c r="G1895" s="95"/>
      <c r="H1895" s="96"/>
      <c r="I1895" s="97"/>
      <c r="J1895" s="98"/>
      <c r="K1895" s="99"/>
    </row>
    <row r="1896" spans="1:11" ht="13.2">
      <c r="A1896" s="89"/>
      <c r="B1896" s="90"/>
      <c r="C1896" s="91"/>
      <c r="D1896" s="92"/>
      <c r="E1896" s="93"/>
      <c r="F1896" s="94"/>
      <c r="G1896" s="95"/>
      <c r="H1896" s="96"/>
      <c r="I1896" s="97"/>
      <c r="J1896" s="98"/>
      <c r="K1896" s="99"/>
    </row>
    <row r="1897" spans="1:11" ht="13.2">
      <c r="A1897" s="89"/>
      <c r="B1897" s="90"/>
      <c r="C1897" s="91"/>
      <c r="D1897" s="92"/>
      <c r="E1897" s="93"/>
      <c r="F1897" s="94"/>
      <c r="G1897" s="95"/>
      <c r="H1897" s="96"/>
      <c r="I1897" s="97"/>
      <c r="J1897" s="98"/>
      <c r="K1897" s="99"/>
    </row>
    <row r="1898" spans="1:11" ht="13.2">
      <c r="A1898" s="89"/>
      <c r="B1898" s="90"/>
      <c r="C1898" s="91"/>
      <c r="D1898" s="92"/>
      <c r="E1898" s="93"/>
      <c r="F1898" s="94"/>
      <c r="G1898" s="95"/>
      <c r="H1898" s="96"/>
      <c r="I1898" s="97"/>
      <c r="J1898" s="98"/>
      <c r="K1898" s="99"/>
    </row>
    <row r="1899" spans="1:11" ht="13.2">
      <c r="A1899" s="89"/>
      <c r="B1899" s="90"/>
      <c r="C1899" s="91"/>
      <c r="D1899" s="92"/>
      <c r="E1899" s="93"/>
      <c r="F1899" s="94"/>
      <c r="G1899" s="95"/>
      <c r="H1899" s="96"/>
      <c r="I1899" s="97"/>
      <c r="J1899" s="98"/>
      <c r="K1899" s="99"/>
    </row>
    <row r="1900" spans="1:11" ht="13.2">
      <c r="A1900" s="89"/>
      <c r="B1900" s="90"/>
      <c r="C1900" s="91"/>
      <c r="D1900" s="92"/>
      <c r="E1900" s="93"/>
      <c r="F1900" s="94"/>
      <c r="G1900" s="95"/>
      <c r="H1900" s="96"/>
      <c r="I1900" s="97"/>
      <c r="J1900" s="98"/>
      <c r="K1900" s="99"/>
    </row>
    <row r="1901" spans="1:11" ht="13.2">
      <c r="A1901" s="89"/>
      <c r="B1901" s="90"/>
      <c r="C1901" s="91"/>
      <c r="D1901" s="92"/>
      <c r="E1901" s="93"/>
      <c r="F1901" s="94"/>
      <c r="G1901" s="95"/>
      <c r="H1901" s="96"/>
      <c r="I1901" s="97"/>
      <c r="J1901" s="98"/>
      <c r="K1901" s="99"/>
    </row>
    <row r="1902" spans="1:11" ht="13.2">
      <c r="A1902" s="89"/>
      <c r="B1902" s="90"/>
      <c r="C1902" s="91"/>
      <c r="D1902" s="92"/>
      <c r="E1902" s="93"/>
      <c r="F1902" s="94"/>
      <c r="G1902" s="95"/>
      <c r="H1902" s="96"/>
      <c r="I1902" s="97"/>
      <c r="J1902" s="98"/>
      <c r="K1902" s="99"/>
    </row>
    <row r="1903" spans="1:11" ht="13.2">
      <c r="A1903" s="89"/>
      <c r="B1903" s="90"/>
      <c r="C1903" s="91"/>
      <c r="D1903" s="92"/>
      <c r="E1903" s="93"/>
      <c r="F1903" s="94"/>
      <c r="G1903" s="95"/>
      <c r="H1903" s="96"/>
      <c r="I1903" s="97"/>
      <c r="J1903" s="98"/>
      <c r="K1903" s="99"/>
    </row>
    <row r="1904" spans="1:11" ht="13.2">
      <c r="A1904" s="89"/>
      <c r="B1904" s="90"/>
      <c r="C1904" s="91"/>
      <c r="D1904" s="92"/>
      <c r="E1904" s="93"/>
      <c r="F1904" s="94"/>
      <c r="G1904" s="95"/>
      <c r="H1904" s="96"/>
      <c r="I1904" s="97"/>
      <c r="J1904" s="98"/>
      <c r="K1904" s="99"/>
    </row>
    <row r="1905" spans="1:11" ht="13.2">
      <c r="A1905" s="89"/>
      <c r="B1905" s="90"/>
      <c r="C1905" s="91"/>
      <c r="D1905" s="92"/>
      <c r="E1905" s="93"/>
      <c r="F1905" s="94"/>
      <c r="G1905" s="95"/>
      <c r="H1905" s="96"/>
      <c r="I1905" s="97"/>
      <c r="J1905" s="98"/>
      <c r="K1905" s="99"/>
    </row>
    <row r="1906" spans="1:11" ht="13.2">
      <c r="A1906" s="89"/>
      <c r="B1906" s="90"/>
      <c r="C1906" s="91"/>
      <c r="D1906" s="92"/>
      <c r="E1906" s="93"/>
      <c r="F1906" s="94"/>
      <c r="G1906" s="95"/>
      <c r="H1906" s="96"/>
      <c r="I1906" s="97"/>
      <c r="J1906" s="98"/>
      <c r="K1906" s="99"/>
    </row>
    <row r="1907" spans="1:11" ht="13.2">
      <c r="A1907" s="89"/>
      <c r="B1907" s="90"/>
      <c r="C1907" s="91"/>
      <c r="D1907" s="92"/>
      <c r="E1907" s="93"/>
      <c r="F1907" s="94"/>
      <c r="G1907" s="95"/>
      <c r="H1907" s="96"/>
      <c r="I1907" s="97"/>
      <c r="J1907" s="98"/>
      <c r="K1907" s="99"/>
    </row>
    <row r="1908" spans="1:11" ht="13.2">
      <c r="A1908" s="89"/>
      <c r="B1908" s="90"/>
      <c r="C1908" s="91"/>
      <c r="D1908" s="92"/>
      <c r="E1908" s="93"/>
      <c r="F1908" s="94"/>
      <c r="G1908" s="95"/>
      <c r="H1908" s="96"/>
      <c r="I1908" s="97"/>
      <c r="J1908" s="98"/>
      <c r="K1908" s="99"/>
    </row>
    <row r="1909" spans="1:11" ht="13.2">
      <c r="A1909" s="89"/>
      <c r="B1909" s="90"/>
      <c r="C1909" s="91"/>
      <c r="D1909" s="92"/>
      <c r="E1909" s="93"/>
      <c r="F1909" s="94"/>
      <c r="G1909" s="95"/>
      <c r="H1909" s="96"/>
      <c r="I1909" s="97"/>
      <c r="J1909" s="98"/>
      <c r="K1909" s="99"/>
    </row>
    <row r="1910" spans="1:11" ht="13.2">
      <c r="A1910" s="89"/>
      <c r="B1910" s="90"/>
      <c r="C1910" s="91"/>
      <c r="D1910" s="92"/>
      <c r="E1910" s="93"/>
      <c r="F1910" s="94"/>
      <c r="G1910" s="95"/>
      <c r="H1910" s="96"/>
      <c r="I1910" s="97"/>
      <c r="J1910" s="98"/>
      <c r="K1910" s="99"/>
    </row>
    <row r="1911" spans="1:11" ht="13.2">
      <c r="A1911" s="89"/>
      <c r="B1911" s="90"/>
      <c r="C1911" s="91"/>
      <c r="D1911" s="92"/>
      <c r="E1911" s="93"/>
      <c r="F1911" s="94"/>
      <c r="G1911" s="95"/>
      <c r="H1911" s="96"/>
      <c r="I1911" s="97"/>
      <c r="J1911" s="98"/>
      <c r="K1911" s="99"/>
    </row>
    <row r="1912" spans="1:11" ht="13.2">
      <c r="A1912" s="89"/>
      <c r="B1912" s="90"/>
      <c r="C1912" s="91"/>
      <c r="D1912" s="92"/>
      <c r="E1912" s="93"/>
      <c r="F1912" s="94"/>
      <c r="G1912" s="95"/>
      <c r="H1912" s="96"/>
      <c r="I1912" s="97"/>
      <c r="J1912" s="98"/>
      <c r="K1912" s="99"/>
    </row>
    <row r="1913" spans="1:11" ht="13.2">
      <c r="A1913" s="89"/>
      <c r="B1913" s="90"/>
      <c r="C1913" s="91"/>
      <c r="D1913" s="92"/>
      <c r="E1913" s="93"/>
      <c r="F1913" s="94"/>
      <c r="G1913" s="95"/>
      <c r="H1913" s="96"/>
      <c r="I1913" s="97"/>
      <c r="J1913" s="98"/>
      <c r="K1913" s="99"/>
    </row>
    <row r="1914" spans="1:11" ht="13.2">
      <c r="A1914" s="89"/>
      <c r="B1914" s="90"/>
      <c r="C1914" s="91"/>
      <c r="D1914" s="92"/>
      <c r="E1914" s="93"/>
      <c r="F1914" s="94"/>
      <c r="G1914" s="95"/>
      <c r="H1914" s="96"/>
      <c r="I1914" s="97"/>
      <c r="J1914" s="98"/>
      <c r="K1914" s="99"/>
    </row>
    <row r="1915" spans="1:11" ht="13.2">
      <c r="A1915" s="89"/>
      <c r="B1915" s="90"/>
      <c r="C1915" s="91"/>
      <c r="D1915" s="92"/>
      <c r="E1915" s="93"/>
      <c r="F1915" s="94"/>
      <c r="G1915" s="95"/>
      <c r="H1915" s="96"/>
      <c r="I1915" s="97"/>
      <c r="J1915" s="98"/>
      <c r="K1915" s="99"/>
    </row>
    <row r="1916" spans="1:11" ht="13.2">
      <c r="A1916" s="89"/>
      <c r="B1916" s="90"/>
      <c r="C1916" s="91"/>
      <c r="D1916" s="92"/>
      <c r="E1916" s="93"/>
      <c r="F1916" s="94"/>
      <c r="G1916" s="95"/>
      <c r="H1916" s="96"/>
      <c r="I1916" s="97"/>
      <c r="J1916" s="98"/>
      <c r="K1916" s="99"/>
    </row>
    <row r="1917" spans="1:11" ht="13.2">
      <c r="A1917" s="89"/>
      <c r="B1917" s="90"/>
      <c r="C1917" s="91"/>
      <c r="D1917" s="92"/>
      <c r="E1917" s="93"/>
      <c r="F1917" s="94"/>
      <c r="G1917" s="95"/>
      <c r="H1917" s="96"/>
      <c r="I1917" s="97"/>
      <c r="J1917" s="98"/>
      <c r="K1917" s="99"/>
    </row>
    <row r="1918" spans="1:11" ht="13.2">
      <c r="A1918" s="89"/>
      <c r="B1918" s="90"/>
      <c r="C1918" s="91"/>
      <c r="D1918" s="92"/>
      <c r="E1918" s="93"/>
      <c r="F1918" s="94"/>
      <c r="G1918" s="95"/>
      <c r="H1918" s="96"/>
      <c r="I1918" s="97"/>
      <c r="J1918" s="98"/>
      <c r="K1918" s="99"/>
    </row>
    <row r="1919" spans="1:11" ht="13.2">
      <c r="A1919" s="89"/>
      <c r="B1919" s="90"/>
      <c r="C1919" s="91"/>
      <c r="D1919" s="92"/>
      <c r="E1919" s="93"/>
      <c r="F1919" s="94"/>
      <c r="G1919" s="95"/>
      <c r="H1919" s="96"/>
      <c r="I1919" s="97"/>
      <c r="J1919" s="98"/>
      <c r="K1919" s="99"/>
    </row>
    <row r="1920" spans="1:11" ht="13.2">
      <c r="A1920" s="89"/>
      <c r="B1920" s="90"/>
      <c r="C1920" s="91"/>
      <c r="D1920" s="92"/>
      <c r="E1920" s="93"/>
      <c r="F1920" s="94"/>
      <c r="G1920" s="95"/>
      <c r="H1920" s="96"/>
      <c r="I1920" s="97"/>
      <c r="J1920" s="98"/>
      <c r="K1920" s="99"/>
    </row>
    <row r="1921" spans="1:11" ht="13.2">
      <c r="A1921" s="89"/>
      <c r="B1921" s="90"/>
      <c r="C1921" s="91"/>
      <c r="D1921" s="92"/>
      <c r="E1921" s="93"/>
      <c r="F1921" s="94"/>
      <c r="G1921" s="95"/>
      <c r="H1921" s="96"/>
      <c r="I1921" s="97"/>
      <c r="J1921" s="98"/>
      <c r="K1921" s="99"/>
    </row>
    <row r="1922" spans="1:11" ht="13.2">
      <c r="A1922" s="89"/>
      <c r="B1922" s="90"/>
      <c r="C1922" s="91"/>
      <c r="D1922" s="92"/>
      <c r="E1922" s="93"/>
      <c r="F1922" s="94"/>
      <c r="G1922" s="95"/>
      <c r="H1922" s="96"/>
      <c r="I1922" s="97"/>
      <c r="J1922" s="98"/>
      <c r="K1922" s="99"/>
    </row>
    <row r="1923" spans="1:11" ht="13.2">
      <c r="A1923" s="89"/>
      <c r="B1923" s="90"/>
      <c r="C1923" s="91"/>
      <c r="D1923" s="92"/>
      <c r="E1923" s="93"/>
      <c r="F1923" s="94"/>
      <c r="G1923" s="95"/>
      <c r="H1923" s="96"/>
      <c r="I1923" s="97"/>
      <c r="J1923" s="98"/>
      <c r="K1923" s="99"/>
    </row>
    <row r="1924" spans="1:11" ht="13.2">
      <c r="A1924" s="89"/>
      <c r="B1924" s="90"/>
      <c r="C1924" s="91"/>
      <c r="D1924" s="92"/>
      <c r="E1924" s="93"/>
      <c r="F1924" s="94"/>
      <c r="G1924" s="95"/>
      <c r="H1924" s="96"/>
      <c r="I1924" s="97"/>
      <c r="J1924" s="98"/>
      <c r="K1924" s="99"/>
    </row>
    <row r="1925" spans="1:11" ht="13.2">
      <c r="A1925" s="89"/>
      <c r="B1925" s="90"/>
      <c r="C1925" s="91"/>
      <c r="D1925" s="92"/>
      <c r="E1925" s="93"/>
      <c r="F1925" s="94"/>
      <c r="G1925" s="95"/>
      <c r="H1925" s="96"/>
      <c r="I1925" s="97"/>
      <c r="J1925" s="98"/>
      <c r="K1925" s="99"/>
    </row>
    <row r="1926" spans="1:11" ht="13.2">
      <c r="A1926" s="89"/>
      <c r="B1926" s="90"/>
      <c r="C1926" s="91"/>
      <c r="D1926" s="92"/>
      <c r="E1926" s="93"/>
      <c r="F1926" s="94"/>
      <c r="G1926" s="95"/>
      <c r="H1926" s="96"/>
      <c r="I1926" s="97"/>
      <c r="J1926" s="98"/>
      <c r="K1926" s="99"/>
    </row>
    <row r="1927" spans="1:11" ht="13.2">
      <c r="A1927" s="89"/>
      <c r="B1927" s="90"/>
      <c r="C1927" s="91"/>
      <c r="D1927" s="92"/>
      <c r="E1927" s="93"/>
      <c r="F1927" s="94"/>
      <c r="G1927" s="95"/>
      <c r="H1927" s="96"/>
      <c r="I1927" s="97"/>
      <c r="J1927" s="98"/>
      <c r="K1927" s="99"/>
    </row>
    <row r="1928" spans="1:11" ht="13.2">
      <c r="A1928" s="89"/>
      <c r="B1928" s="90"/>
      <c r="C1928" s="91"/>
      <c r="D1928" s="92"/>
      <c r="E1928" s="93"/>
      <c r="F1928" s="94"/>
      <c r="G1928" s="95"/>
      <c r="H1928" s="96"/>
      <c r="I1928" s="97"/>
      <c r="J1928" s="98"/>
      <c r="K1928" s="99"/>
    </row>
    <row r="1929" spans="1:11" ht="13.2">
      <c r="A1929" s="89"/>
      <c r="B1929" s="90"/>
      <c r="C1929" s="91"/>
      <c r="D1929" s="92"/>
      <c r="E1929" s="93"/>
      <c r="F1929" s="94"/>
      <c r="G1929" s="95"/>
      <c r="H1929" s="96"/>
      <c r="I1929" s="97"/>
      <c r="J1929" s="98"/>
      <c r="K1929" s="99"/>
    </row>
    <row r="1930" spans="1:11" ht="13.2">
      <c r="A1930" s="89"/>
      <c r="B1930" s="90"/>
      <c r="C1930" s="91"/>
      <c r="D1930" s="92"/>
      <c r="E1930" s="93"/>
      <c r="F1930" s="94"/>
      <c r="G1930" s="95"/>
      <c r="H1930" s="96"/>
      <c r="I1930" s="97"/>
      <c r="J1930" s="98"/>
      <c r="K1930" s="99"/>
    </row>
    <row r="1931" spans="1:11" ht="13.2">
      <c r="A1931" s="89"/>
      <c r="B1931" s="90"/>
      <c r="C1931" s="91"/>
      <c r="D1931" s="92"/>
      <c r="E1931" s="93"/>
      <c r="F1931" s="94"/>
      <c r="G1931" s="95"/>
      <c r="H1931" s="96"/>
      <c r="I1931" s="97"/>
      <c r="J1931" s="98"/>
      <c r="K1931" s="99"/>
    </row>
    <row r="1932" spans="1:11" ht="13.2">
      <c r="A1932" s="89"/>
      <c r="B1932" s="90"/>
      <c r="C1932" s="91"/>
      <c r="D1932" s="92"/>
      <c r="E1932" s="93"/>
      <c r="F1932" s="94"/>
      <c r="G1932" s="95"/>
      <c r="H1932" s="96"/>
      <c r="I1932" s="97"/>
      <c r="J1932" s="98"/>
      <c r="K1932" s="99"/>
    </row>
    <row r="1933" spans="1:11" ht="13.2">
      <c r="A1933" s="89"/>
      <c r="B1933" s="90"/>
      <c r="C1933" s="91"/>
      <c r="D1933" s="92"/>
      <c r="E1933" s="93"/>
      <c r="F1933" s="94"/>
      <c r="G1933" s="95"/>
      <c r="H1933" s="96"/>
      <c r="I1933" s="97"/>
      <c r="J1933" s="98"/>
      <c r="K1933" s="99"/>
    </row>
    <row r="1934" spans="1:11" ht="13.2">
      <c r="A1934" s="89"/>
      <c r="B1934" s="90"/>
      <c r="C1934" s="91"/>
      <c r="D1934" s="92"/>
      <c r="E1934" s="93"/>
      <c r="F1934" s="94"/>
      <c r="G1934" s="95"/>
      <c r="H1934" s="96"/>
      <c r="I1934" s="97"/>
      <c r="J1934" s="98"/>
      <c r="K1934" s="99"/>
    </row>
    <row r="1935" spans="1:11" ht="13.2">
      <c r="A1935" s="89"/>
      <c r="B1935" s="90"/>
      <c r="C1935" s="91"/>
      <c r="D1935" s="92"/>
      <c r="E1935" s="93"/>
      <c r="F1935" s="94"/>
      <c r="G1935" s="95"/>
      <c r="H1935" s="96"/>
      <c r="I1935" s="97"/>
      <c r="J1935" s="98"/>
      <c r="K1935" s="99"/>
    </row>
    <row r="1936" spans="1:11" ht="13.2">
      <c r="A1936" s="89"/>
      <c r="B1936" s="90"/>
      <c r="C1936" s="91"/>
      <c r="D1936" s="92"/>
      <c r="E1936" s="93"/>
      <c r="F1936" s="94"/>
      <c r="G1936" s="95"/>
      <c r="H1936" s="96"/>
      <c r="I1936" s="97"/>
      <c r="J1936" s="98"/>
      <c r="K1936" s="99"/>
    </row>
    <row r="1937" spans="1:11" ht="13.2">
      <c r="A1937" s="89"/>
      <c r="B1937" s="90"/>
      <c r="C1937" s="91"/>
      <c r="D1937" s="92"/>
      <c r="E1937" s="93"/>
      <c r="F1937" s="94"/>
      <c r="G1937" s="95"/>
      <c r="H1937" s="96"/>
      <c r="I1937" s="97"/>
      <c r="J1937" s="98"/>
      <c r="K1937" s="99"/>
    </row>
    <row r="1938" spans="1:11" ht="13.2">
      <c r="A1938" s="89"/>
      <c r="B1938" s="90"/>
      <c r="C1938" s="91"/>
      <c r="D1938" s="92"/>
      <c r="E1938" s="93"/>
      <c r="F1938" s="94"/>
      <c r="G1938" s="95"/>
      <c r="H1938" s="96"/>
      <c r="I1938" s="97"/>
      <c r="J1938" s="98"/>
      <c r="K1938" s="99"/>
    </row>
    <row r="1939" spans="1:11" ht="13.2">
      <c r="A1939" s="89"/>
      <c r="B1939" s="90"/>
      <c r="C1939" s="91"/>
      <c r="D1939" s="92"/>
      <c r="E1939" s="93"/>
      <c r="F1939" s="94"/>
      <c r="G1939" s="95"/>
      <c r="H1939" s="96"/>
      <c r="I1939" s="97"/>
      <c r="J1939" s="98"/>
      <c r="K1939" s="99"/>
    </row>
    <row r="1940" spans="1:11" ht="13.2">
      <c r="A1940" s="89"/>
      <c r="B1940" s="90"/>
      <c r="C1940" s="91"/>
      <c r="D1940" s="92"/>
      <c r="E1940" s="93"/>
      <c r="F1940" s="94"/>
      <c r="G1940" s="95"/>
      <c r="H1940" s="96"/>
      <c r="I1940" s="97"/>
      <c r="J1940" s="98"/>
      <c r="K1940" s="99"/>
    </row>
    <row r="1941" spans="1:11" ht="13.2">
      <c r="A1941" s="89"/>
      <c r="B1941" s="90"/>
      <c r="C1941" s="91"/>
      <c r="D1941" s="92"/>
      <c r="E1941" s="93"/>
      <c r="F1941" s="94"/>
      <c r="G1941" s="95"/>
      <c r="H1941" s="96"/>
      <c r="I1941" s="97"/>
      <c r="J1941" s="98"/>
      <c r="K1941" s="99"/>
    </row>
    <row r="1942" spans="1:11" ht="13.2">
      <c r="A1942" s="89"/>
      <c r="B1942" s="90"/>
      <c r="C1942" s="91"/>
      <c r="D1942" s="92"/>
      <c r="E1942" s="93"/>
      <c r="F1942" s="94"/>
      <c r="G1942" s="95"/>
      <c r="H1942" s="96"/>
      <c r="I1942" s="97"/>
      <c r="J1942" s="98"/>
      <c r="K1942" s="99"/>
    </row>
    <row r="1943" spans="1:11" ht="13.2">
      <c r="A1943" s="89"/>
      <c r="B1943" s="90"/>
      <c r="C1943" s="91"/>
      <c r="D1943" s="92"/>
      <c r="E1943" s="93"/>
      <c r="F1943" s="94"/>
      <c r="G1943" s="95"/>
      <c r="H1943" s="96"/>
      <c r="I1943" s="97"/>
      <c r="J1943" s="98"/>
      <c r="K1943" s="99"/>
    </row>
    <row r="1944" spans="1:11" ht="13.2">
      <c r="A1944" s="89"/>
      <c r="B1944" s="90"/>
      <c r="C1944" s="91"/>
      <c r="D1944" s="92"/>
      <c r="E1944" s="93"/>
      <c r="F1944" s="94"/>
      <c r="G1944" s="95"/>
      <c r="H1944" s="96"/>
      <c r="I1944" s="97"/>
      <c r="J1944" s="98"/>
      <c r="K1944" s="99"/>
    </row>
    <row r="1945" spans="1:11" ht="13.2">
      <c r="A1945" s="89"/>
      <c r="B1945" s="90"/>
      <c r="C1945" s="91"/>
      <c r="D1945" s="92"/>
      <c r="E1945" s="93"/>
      <c r="F1945" s="94"/>
      <c r="G1945" s="95"/>
      <c r="H1945" s="96"/>
      <c r="I1945" s="97"/>
      <c r="J1945" s="98"/>
      <c r="K1945" s="99"/>
    </row>
    <row r="1946" spans="1:11" ht="13.2">
      <c r="A1946" s="89"/>
      <c r="B1946" s="90"/>
      <c r="C1946" s="91"/>
      <c r="D1946" s="92"/>
      <c r="E1946" s="93"/>
      <c r="F1946" s="94"/>
      <c r="G1946" s="95"/>
      <c r="H1946" s="96"/>
      <c r="I1946" s="97"/>
      <c r="J1946" s="98"/>
      <c r="K1946" s="99"/>
    </row>
    <row r="1947" spans="1:11" ht="13.2">
      <c r="A1947" s="89"/>
      <c r="B1947" s="90"/>
      <c r="C1947" s="91"/>
      <c r="D1947" s="92"/>
      <c r="E1947" s="93"/>
      <c r="F1947" s="94"/>
      <c r="G1947" s="95"/>
      <c r="H1947" s="96"/>
      <c r="I1947" s="97"/>
      <c r="J1947" s="98"/>
      <c r="K1947" s="99"/>
    </row>
    <row r="1948" spans="1:11" ht="13.2">
      <c r="A1948" s="89"/>
      <c r="B1948" s="90"/>
      <c r="C1948" s="91"/>
      <c r="D1948" s="92"/>
      <c r="E1948" s="93"/>
      <c r="F1948" s="94"/>
      <c r="G1948" s="95"/>
      <c r="H1948" s="96"/>
      <c r="I1948" s="97"/>
      <c r="J1948" s="98"/>
      <c r="K1948" s="99"/>
    </row>
    <row r="1949" spans="1:11" ht="13.2">
      <c r="A1949" s="89"/>
      <c r="B1949" s="90"/>
      <c r="C1949" s="91"/>
      <c r="D1949" s="92"/>
      <c r="E1949" s="93"/>
      <c r="F1949" s="94"/>
      <c r="G1949" s="95"/>
      <c r="H1949" s="96"/>
      <c r="I1949" s="97"/>
      <c r="J1949" s="98"/>
      <c r="K1949" s="99"/>
    </row>
    <row r="1950" spans="1:11" ht="13.2">
      <c r="A1950" s="89"/>
      <c r="B1950" s="90"/>
      <c r="C1950" s="91"/>
      <c r="D1950" s="92"/>
      <c r="E1950" s="93"/>
      <c r="F1950" s="94"/>
      <c r="G1950" s="95"/>
      <c r="H1950" s="96"/>
      <c r="I1950" s="97"/>
      <c r="J1950" s="98"/>
      <c r="K1950" s="99"/>
    </row>
    <row r="1951" spans="1:11" ht="13.2">
      <c r="A1951" s="89"/>
      <c r="B1951" s="90"/>
      <c r="C1951" s="91"/>
      <c r="D1951" s="92"/>
      <c r="E1951" s="93"/>
      <c r="F1951" s="94"/>
      <c r="G1951" s="95"/>
      <c r="H1951" s="96"/>
      <c r="I1951" s="97"/>
      <c r="J1951" s="98"/>
      <c r="K1951" s="99"/>
    </row>
    <row r="1952" spans="1:11" ht="13.2">
      <c r="A1952" s="89"/>
      <c r="B1952" s="90"/>
      <c r="C1952" s="91"/>
      <c r="D1952" s="92"/>
      <c r="E1952" s="93"/>
      <c r="F1952" s="94"/>
      <c r="G1952" s="95"/>
      <c r="H1952" s="96"/>
      <c r="I1952" s="97"/>
      <c r="J1952" s="98"/>
      <c r="K1952" s="99"/>
    </row>
    <row r="1953" spans="1:11" ht="13.2">
      <c r="A1953" s="89"/>
      <c r="B1953" s="90"/>
      <c r="C1953" s="91"/>
      <c r="D1953" s="92"/>
      <c r="E1953" s="93"/>
      <c r="F1953" s="94"/>
      <c r="G1953" s="95"/>
      <c r="H1953" s="96"/>
      <c r="I1953" s="97"/>
      <c r="J1953" s="98"/>
      <c r="K1953" s="99"/>
    </row>
    <row r="1954" spans="1:11" ht="13.2">
      <c r="A1954" s="89"/>
      <c r="B1954" s="90"/>
      <c r="C1954" s="91"/>
      <c r="D1954" s="92"/>
      <c r="E1954" s="93"/>
      <c r="F1954" s="94"/>
      <c r="G1954" s="95"/>
      <c r="H1954" s="96"/>
      <c r="I1954" s="97"/>
      <c r="J1954" s="98"/>
      <c r="K1954" s="99"/>
    </row>
    <row r="1955" spans="1:11" ht="13.2">
      <c r="A1955" s="89"/>
      <c r="B1955" s="90"/>
      <c r="C1955" s="91"/>
      <c r="D1955" s="92"/>
      <c r="E1955" s="93"/>
      <c r="F1955" s="94"/>
      <c r="G1955" s="95"/>
      <c r="H1955" s="96"/>
      <c r="I1955" s="97"/>
      <c r="J1955" s="98"/>
      <c r="K1955" s="99"/>
    </row>
    <row r="1956" spans="1:11" ht="13.2">
      <c r="A1956" s="89"/>
      <c r="B1956" s="90"/>
      <c r="C1956" s="91"/>
      <c r="D1956" s="92"/>
      <c r="E1956" s="93"/>
      <c r="F1956" s="94"/>
      <c r="G1956" s="95"/>
      <c r="H1956" s="96"/>
      <c r="I1956" s="97"/>
      <c r="J1956" s="98"/>
      <c r="K1956" s="99"/>
    </row>
    <row r="1957" spans="1:11" ht="13.2">
      <c r="A1957" s="89"/>
      <c r="B1957" s="90"/>
      <c r="C1957" s="91"/>
      <c r="D1957" s="92"/>
      <c r="E1957" s="93"/>
      <c r="F1957" s="94"/>
      <c r="G1957" s="95"/>
      <c r="H1957" s="96"/>
      <c r="I1957" s="97"/>
      <c r="J1957" s="98"/>
      <c r="K1957" s="99"/>
    </row>
    <row r="1958" spans="1:11" ht="13.2">
      <c r="A1958" s="89"/>
      <c r="B1958" s="90"/>
      <c r="C1958" s="91"/>
      <c r="D1958" s="92"/>
      <c r="E1958" s="93"/>
      <c r="F1958" s="94"/>
      <c r="G1958" s="95"/>
      <c r="H1958" s="96"/>
      <c r="I1958" s="97"/>
      <c r="J1958" s="98"/>
      <c r="K1958" s="99"/>
    </row>
    <row r="1959" spans="1:11" ht="13.2">
      <c r="A1959" s="89"/>
      <c r="B1959" s="90"/>
      <c r="C1959" s="91"/>
      <c r="D1959" s="92"/>
      <c r="E1959" s="93"/>
      <c r="F1959" s="94"/>
      <c r="G1959" s="95"/>
      <c r="H1959" s="96"/>
      <c r="I1959" s="97"/>
      <c r="J1959" s="98"/>
      <c r="K1959" s="99"/>
    </row>
    <row r="1960" spans="1:11" ht="13.2">
      <c r="A1960" s="89"/>
      <c r="B1960" s="90"/>
      <c r="C1960" s="91"/>
      <c r="D1960" s="92"/>
      <c r="E1960" s="93"/>
      <c r="F1960" s="94"/>
      <c r="G1960" s="95"/>
      <c r="H1960" s="96"/>
      <c r="I1960" s="97"/>
      <c r="J1960" s="98"/>
      <c r="K1960" s="99"/>
    </row>
    <row r="1961" spans="1:11" ht="13.2">
      <c r="A1961" s="89"/>
      <c r="B1961" s="90"/>
      <c r="C1961" s="91"/>
      <c r="D1961" s="92"/>
      <c r="E1961" s="93"/>
      <c r="F1961" s="94"/>
      <c r="G1961" s="95"/>
      <c r="H1961" s="96"/>
      <c r="I1961" s="97"/>
      <c r="J1961" s="98"/>
      <c r="K1961" s="99"/>
    </row>
    <row r="1962" spans="1:11" ht="13.2">
      <c r="A1962" s="89"/>
      <c r="B1962" s="90"/>
      <c r="C1962" s="91"/>
      <c r="D1962" s="92"/>
      <c r="E1962" s="93"/>
      <c r="F1962" s="94"/>
      <c r="G1962" s="95"/>
      <c r="H1962" s="96"/>
      <c r="I1962" s="97"/>
      <c r="J1962" s="98"/>
      <c r="K1962" s="99"/>
    </row>
    <row r="1963" spans="1:11" ht="13.2">
      <c r="A1963" s="89"/>
      <c r="B1963" s="90"/>
      <c r="C1963" s="91"/>
      <c r="D1963" s="92"/>
      <c r="E1963" s="93"/>
      <c r="F1963" s="94"/>
      <c r="G1963" s="95"/>
      <c r="H1963" s="96"/>
      <c r="I1963" s="97"/>
      <c r="J1963" s="98"/>
      <c r="K1963" s="99"/>
    </row>
    <row r="1964" spans="1:11" ht="13.2">
      <c r="A1964" s="89"/>
      <c r="B1964" s="90"/>
      <c r="C1964" s="91"/>
      <c r="D1964" s="92"/>
      <c r="E1964" s="93"/>
      <c r="F1964" s="94"/>
      <c r="G1964" s="95"/>
      <c r="H1964" s="96"/>
      <c r="I1964" s="97"/>
      <c r="J1964" s="98"/>
      <c r="K1964" s="99"/>
    </row>
    <row r="1965" spans="1:11" ht="13.2">
      <c r="A1965" s="89"/>
      <c r="B1965" s="90"/>
      <c r="C1965" s="91"/>
      <c r="D1965" s="92"/>
      <c r="E1965" s="93"/>
      <c r="F1965" s="94"/>
      <c r="G1965" s="95"/>
      <c r="H1965" s="96"/>
      <c r="I1965" s="97"/>
      <c r="J1965" s="98"/>
      <c r="K1965" s="99"/>
    </row>
    <row r="1966" spans="1:11" ht="13.2">
      <c r="A1966" s="89"/>
      <c r="B1966" s="90"/>
      <c r="C1966" s="91"/>
      <c r="D1966" s="92"/>
      <c r="E1966" s="93"/>
      <c r="F1966" s="94"/>
      <c r="G1966" s="95"/>
      <c r="H1966" s="96"/>
      <c r="I1966" s="97"/>
      <c r="J1966" s="98"/>
      <c r="K1966" s="99"/>
    </row>
    <row r="1967" spans="1:11" ht="13.2">
      <c r="A1967" s="89"/>
      <c r="B1967" s="90"/>
      <c r="C1967" s="91"/>
      <c r="D1967" s="92"/>
      <c r="E1967" s="93"/>
      <c r="F1967" s="94"/>
      <c r="G1967" s="95"/>
      <c r="H1967" s="96"/>
      <c r="I1967" s="97"/>
      <c r="J1967" s="98"/>
      <c r="K1967" s="99"/>
    </row>
    <row r="1968" spans="1:11" ht="13.2">
      <c r="A1968" s="89"/>
      <c r="B1968" s="90"/>
      <c r="C1968" s="91"/>
      <c r="D1968" s="92"/>
      <c r="E1968" s="93"/>
      <c r="F1968" s="94"/>
      <c r="G1968" s="95"/>
      <c r="H1968" s="96"/>
      <c r="I1968" s="97"/>
      <c r="J1968" s="98"/>
      <c r="K1968" s="99"/>
    </row>
    <row r="1969" spans="1:11" ht="13.2">
      <c r="A1969" s="89"/>
      <c r="B1969" s="90"/>
      <c r="C1969" s="91"/>
      <c r="D1969" s="92"/>
      <c r="E1969" s="93"/>
      <c r="F1969" s="94"/>
      <c r="G1969" s="95"/>
      <c r="H1969" s="96"/>
      <c r="I1969" s="97"/>
      <c r="J1969" s="98"/>
      <c r="K1969" s="99"/>
    </row>
    <row r="1970" spans="1:11" ht="13.2">
      <c r="A1970" s="89"/>
      <c r="B1970" s="90"/>
      <c r="C1970" s="91"/>
      <c r="D1970" s="92"/>
      <c r="E1970" s="93"/>
      <c r="F1970" s="94"/>
      <c r="G1970" s="95"/>
      <c r="H1970" s="96"/>
      <c r="I1970" s="97"/>
      <c r="J1970" s="98"/>
      <c r="K1970" s="99"/>
    </row>
    <row r="1971" spans="1:11" ht="13.2">
      <c r="A1971" s="89"/>
      <c r="B1971" s="90"/>
      <c r="C1971" s="91"/>
      <c r="D1971" s="92"/>
      <c r="E1971" s="93"/>
      <c r="F1971" s="94"/>
      <c r="G1971" s="95"/>
      <c r="H1971" s="96"/>
      <c r="I1971" s="97"/>
      <c r="J1971" s="98"/>
      <c r="K1971" s="99"/>
    </row>
    <row r="1972" spans="1:11" ht="13.2">
      <c r="A1972" s="89"/>
      <c r="B1972" s="90"/>
      <c r="C1972" s="91"/>
      <c r="D1972" s="92"/>
      <c r="E1972" s="93"/>
      <c r="F1972" s="94"/>
      <c r="G1972" s="95"/>
      <c r="H1972" s="96"/>
      <c r="I1972" s="97"/>
      <c r="J1972" s="98"/>
      <c r="K1972" s="99"/>
    </row>
    <row r="1973" spans="1:11" ht="13.2">
      <c r="A1973" s="89"/>
      <c r="B1973" s="90"/>
      <c r="C1973" s="91"/>
      <c r="D1973" s="92"/>
      <c r="E1973" s="93"/>
      <c r="F1973" s="94"/>
      <c r="G1973" s="95"/>
      <c r="H1973" s="96"/>
      <c r="I1973" s="97"/>
      <c r="J1973" s="98"/>
      <c r="K1973" s="99"/>
    </row>
    <row r="1974" spans="1:11" ht="13.2">
      <c r="A1974" s="89"/>
      <c r="B1974" s="90"/>
      <c r="C1974" s="91"/>
      <c r="D1974" s="92"/>
      <c r="E1974" s="93"/>
      <c r="F1974" s="94"/>
      <c r="G1974" s="95"/>
      <c r="H1974" s="96"/>
      <c r="I1974" s="97"/>
      <c r="J1974" s="98"/>
      <c r="K1974" s="99"/>
    </row>
    <row r="1975" spans="1:11" ht="13.2">
      <c r="A1975" s="89"/>
      <c r="B1975" s="90"/>
      <c r="C1975" s="91"/>
      <c r="D1975" s="92"/>
      <c r="E1975" s="93"/>
      <c r="F1975" s="94"/>
      <c r="G1975" s="95"/>
      <c r="H1975" s="96"/>
      <c r="I1975" s="97"/>
      <c r="J1975" s="98"/>
      <c r="K1975" s="99"/>
    </row>
    <row r="1976" spans="1:11" ht="13.2">
      <c r="A1976" s="89"/>
      <c r="B1976" s="90"/>
      <c r="C1976" s="91"/>
      <c r="D1976" s="92"/>
      <c r="E1976" s="93"/>
      <c r="F1976" s="94"/>
      <c r="G1976" s="95"/>
      <c r="H1976" s="96"/>
      <c r="I1976" s="97"/>
      <c r="J1976" s="98"/>
      <c r="K1976" s="99"/>
    </row>
    <row r="1977" spans="1:11" ht="13.2">
      <c r="A1977" s="89"/>
      <c r="B1977" s="90"/>
      <c r="C1977" s="91"/>
      <c r="D1977" s="92"/>
      <c r="E1977" s="93"/>
      <c r="F1977" s="94"/>
      <c r="G1977" s="95"/>
      <c r="H1977" s="96"/>
      <c r="I1977" s="97"/>
      <c r="J1977" s="98"/>
      <c r="K1977" s="99"/>
    </row>
    <row r="1978" spans="1:11" ht="13.2">
      <c r="A1978" s="89"/>
      <c r="B1978" s="90"/>
      <c r="C1978" s="91"/>
      <c r="D1978" s="92"/>
      <c r="E1978" s="93"/>
      <c r="F1978" s="94"/>
      <c r="G1978" s="95"/>
      <c r="H1978" s="96"/>
      <c r="I1978" s="97"/>
      <c r="J1978" s="98"/>
      <c r="K1978" s="99"/>
    </row>
    <row r="1979" spans="1:11" ht="13.2">
      <c r="A1979" s="89"/>
      <c r="B1979" s="90"/>
      <c r="C1979" s="91"/>
      <c r="D1979" s="92"/>
      <c r="E1979" s="93"/>
      <c r="F1979" s="94"/>
      <c r="G1979" s="95"/>
      <c r="H1979" s="96"/>
      <c r="I1979" s="97"/>
      <c r="J1979" s="98"/>
      <c r="K1979" s="99"/>
    </row>
    <row r="1980" spans="1:11" ht="13.2">
      <c r="A1980" s="89"/>
      <c r="B1980" s="90"/>
      <c r="C1980" s="91"/>
      <c r="D1980" s="92"/>
      <c r="E1980" s="93"/>
      <c r="F1980" s="94"/>
      <c r="G1980" s="95"/>
      <c r="H1980" s="96"/>
      <c r="I1980" s="97"/>
      <c r="J1980" s="98"/>
      <c r="K1980" s="99"/>
    </row>
    <row r="1981" spans="1:11" ht="13.2">
      <c r="A1981" s="89"/>
      <c r="B1981" s="90"/>
      <c r="C1981" s="91"/>
      <c r="D1981" s="92"/>
      <c r="E1981" s="93"/>
      <c r="F1981" s="94"/>
      <c r="G1981" s="95"/>
      <c r="H1981" s="96"/>
      <c r="I1981" s="97"/>
      <c r="J1981" s="98"/>
      <c r="K1981" s="99"/>
    </row>
    <row r="1982" spans="1:11" ht="13.2">
      <c r="A1982" s="89"/>
      <c r="B1982" s="90"/>
      <c r="C1982" s="91"/>
      <c r="D1982" s="92"/>
      <c r="E1982" s="93"/>
      <c r="F1982" s="94"/>
      <c r="G1982" s="95"/>
      <c r="H1982" s="96"/>
      <c r="I1982" s="97"/>
      <c r="J1982" s="98"/>
      <c r="K1982" s="99"/>
    </row>
    <row r="1983" spans="1:11" ht="13.2">
      <c r="A1983" s="89"/>
      <c r="B1983" s="90"/>
      <c r="C1983" s="91"/>
      <c r="D1983" s="92"/>
      <c r="E1983" s="93"/>
      <c r="F1983" s="94"/>
      <c r="G1983" s="95"/>
      <c r="H1983" s="96"/>
      <c r="I1983" s="97"/>
      <c r="J1983" s="98"/>
      <c r="K1983" s="99"/>
    </row>
    <row r="1984" spans="1:11" ht="13.2">
      <c r="A1984" s="89"/>
      <c r="B1984" s="90"/>
      <c r="C1984" s="91"/>
      <c r="D1984" s="92"/>
      <c r="E1984" s="93"/>
      <c r="F1984" s="94"/>
      <c r="G1984" s="95"/>
      <c r="H1984" s="96"/>
      <c r="I1984" s="97"/>
      <c r="J1984" s="98"/>
      <c r="K1984" s="99"/>
    </row>
    <row r="1985" spans="1:11" ht="13.2">
      <c r="A1985" s="89"/>
      <c r="B1985" s="90"/>
      <c r="C1985" s="91"/>
      <c r="D1985" s="92"/>
      <c r="E1985" s="93"/>
      <c r="F1985" s="94"/>
      <c r="G1985" s="95"/>
      <c r="H1985" s="96"/>
      <c r="I1985" s="97"/>
      <c r="J1985" s="98"/>
      <c r="K1985" s="99"/>
    </row>
    <row r="1986" spans="1:11" ht="13.2">
      <c r="A1986" s="89"/>
      <c r="B1986" s="90"/>
      <c r="C1986" s="91"/>
      <c r="D1986" s="92"/>
      <c r="E1986" s="93"/>
      <c r="F1986" s="94"/>
      <c r="G1986" s="95"/>
      <c r="H1986" s="96"/>
      <c r="I1986" s="97"/>
      <c r="J1986" s="98"/>
      <c r="K1986" s="99"/>
    </row>
    <row r="1987" spans="1:11" ht="13.2">
      <c r="A1987" s="89"/>
      <c r="B1987" s="90"/>
      <c r="C1987" s="91"/>
      <c r="D1987" s="92"/>
      <c r="E1987" s="93"/>
      <c r="F1987" s="94"/>
      <c r="G1987" s="95"/>
      <c r="H1987" s="96"/>
      <c r="I1987" s="97"/>
      <c r="J1987" s="98"/>
      <c r="K1987" s="99"/>
    </row>
    <row r="1988" spans="1:11" ht="13.2">
      <c r="A1988" s="89"/>
      <c r="B1988" s="90"/>
      <c r="C1988" s="91"/>
      <c r="D1988" s="92"/>
      <c r="E1988" s="93"/>
      <c r="F1988" s="94"/>
      <c r="G1988" s="95"/>
      <c r="H1988" s="96"/>
      <c r="I1988" s="97"/>
      <c r="J1988" s="98"/>
      <c r="K1988" s="99"/>
    </row>
    <row r="1989" spans="1:11" ht="13.2">
      <c r="A1989" s="89"/>
      <c r="B1989" s="90"/>
      <c r="C1989" s="91"/>
      <c r="D1989" s="92"/>
      <c r="E1989" s="93"/>
      <c r="F1989" s="94"/>
      <c r="G1989" s="95"/>
      <c r="H1989" s="96"/>
      <c r="I1989" s="97"/>
      <c r="J1989" s="98"/>
      <c r="K1989" s="99"/>
    </row>
    <row r="1990" spans="1:11" ht="13.2">
      <c r="A1990" s="89"/>
      <c r="B1990" s="90"/>
      <c r="C1990" s="91"/>
      <c r="D1990" s="92"/>
      <c r="E1990" s="93"/>
      <c r="F1990" s="94"/>
      <c r="G1990" s="95"/>
      <c r="H1990" s="96"/>
      <c r="I1990" s="97"/>
      <c r="J1990" s="98"/>
      <c r="K1990" s="99"/>
    </row>
    <row r="1991" spans="1:11" ht="13.2">
      <c r="A1991" s="89"/>
      <c r="B1991" s="90"/>
      <c r="C1991" s="91"/>
      <c r="D1991" s="92"/>
      <c r="E1991" s="93"/>
      <c r="F1991" s="94"/>
      <c r="G1991" s="95"/>
      <c r="H1991" s="96"/>
      <c r="I1991" s="97"/>
      <c r="J1991" s="98"/>
      <c r="K1991" s="99"/>
    </row>
    <row r="1992" spans="1:11" ht="13.2">
      <c r="A1992" s="89"/>
      <c r="B1992" s="90"/>
      <c r="C1992" s="91"/>
      <c r="D1992" s="92"/>
      <c r="E1992" s="93"/>
      <c r="F1992" s="94"/>
      <c r="G1992" s="95"/>
      <c r="H1992" s="96"/>
      <c r="I1992" s="97"/>
      <c r="J1992" s="98"/>
      <c r="K1992" s="99"/>
    </row>
    <row r="1993" spans="1:11" ht="13.2">
      <c r="A1993" s="89"/>
      <c r="B1993" s="90"/>
      <c r="C1993" s="91"/>
      <c r="D1993" s="92"/>
      <c r="E1993" s="93"/>
      <c r="F1993" s="94"/>
      <c r="G1993" s="95"/>
      <c r="H1993" s="96"/>
      <c r="I1993" s="97"/>
      <c r="J1993" s="98"/>
      <c r="K1993" s="99"/>
    </row>
    <row r="1994" spans="1:11" ht="13.2">
      <c r="A1994" s="89"/>
      <c r="B1994" s="90"/>
      <c r="C1994" s="91"/>
      <c r="D1994" s="92"/>
      <c r="E1994" s="93"/>
      <c r="F1994" s="94"/>
      <c r="G1994" s="95"/>
      <c r="H1994" s="96"/>
      <c r="I1994" s="97"/>
      <c r="J1994" s="98"/>
      <c r="K1994" s="99"/>
    </row>
    <row r="1995" spans="1:11" ht="13.2">
      <c r="A1995" s="89"/>
      <c r="B1995" s="90"/>
      <c r="C1995" s="91"/>
      <c r="D1995" s="92"/>
      <c r="E1995" s="93"/>
      <c r="F1995" s="94"/>
      <c r="G1995" s="95"/>
      <c r="H1995" s="96"/>
      <c r="I1995" s="97"/>
      <c r="J1995" s="98"/>
      <c r="K1995" s="99"/>
    </row>
    <row r="1996" spans="1:11" ht="13.2">
      <c r="A1996" s="89"/>
      <c r="B1996" s="90"/>
      <c r="C1996" s="91"/>
      <c r="D1996" s="92"/>
      <c r="E1996" s="93"/>
      <c r="F1996" s="94"/>
      <c r="G1996" s="95"/>
      <c r="H1996" s="96"/>
      <c r="I1996" s="97"/>
      <c r="J1996" s="98"/>
      <c r="K1996" s="99"/>
    </row>
    <row r="1997" spans="1:11" ht="13.2">
      <c r="A1997" s="89"/>
      <c r="B1997" s="90"/>
      <c r="C1997" s="91"/>
      <c r="D1997" s="92"/>
      <c r="E1997" s="93"/>
      <c r="F1997" s="94"/>
      <c r="G1997" s="95"/>
      <c r="H1997" s="96"/>
      <c r="I1997" s="97"/>
      <c r="J1997" s="98"/>
      <c r="K1997" s="99"/>
    </row>
    <row r="1998" spans="1:11" ht="13.2">
      <c r="A1998" s="89"/>
      <c r="B1998" s="90"/>
      <c r="C1998" s="91"/>
      <c r="D1998" s="92"/>
      <c r="E1998" s="93"/>
      <c r="F1998" s="94"/>
      <c r="G1998" s="95"/>
      <c r="H1998" s="96"/>
      <c r="I1998" s="97"/>
      <c r="J1998" s="98"/>
      <c r="K1998" s="99"/>
    </row>
    <row r="1999" spans="1:11" ht="13.2">
      <c r="A1999" s="89"/>
      <c r="B1999" s="90"/>
      <c r="C1999" s="91"/>
      <c r="D1999" s="92"/>
      <c r="E1999" s="93"/>
      <c r="F1999" s="94"/>
      <c r="G1999" s="95"/>
      <c r="H1999" s="96"/>
      <c r="I1999" s="97"/>
      <c r="J1999" s="98"/>
      <c r="K1999" s="99"/>
    </row>
    <row r="2000" spans="1:11" ht="13.2">
      <c r="A2000" s="89"/>
      <c r="B2000" s="90"/>
      <c r="C2000" s="91"/>
      <c r="D2000" s="92"/>
      <c r="E2000" s="93"/>
      <c r="F2000" s="94"/>
      <c r="G2000" s="95"/>
      <c r="H2000" s="96"/>
      <c r="I2000" s="97"/>
      <c r="J2000" s="98"/>
      <c r="K2000" s="99"/>
    </row>
    <row r="2001" spans="1:11" ht="13.2">
      <c r="A2001" s="89"/>
      <c r="B2001" s="90"/>
      <c r="C2001" s="91"/>
      <c r="D2001" s="92"/>
      <c r="E2001" s="93"/>
      <c r="F2001" s="94"/>
      <c r="G2001" s="95"/>
      <c r="H2001" s="96"/>
      <c r="I2001" s="97"/>
      <c r="J2001" s="98"/>
      <c r="K2001" s="99"/>
    </row>
    <row r="2002" spans="1:11" ht="13.2">
      <c r="A2002" s="89"/>
      <c r="B2002" s="90"/>
      <c r="C2002" s="91"/>
      <c r="D2002" s="92"/>
      <c r="E2002" s="93"/>
      <c r="F2002" s="94"/>
      <c r="G2002" s="95"/>
      <c r="H2002" s="96"/>
      <c r="I2002" s="97"/>
      <c r="J2002" s="98"/>
      <c r="K2002" s="99"/>
    </row>
    <row r="2003" spans="1:11" ht="13.2">
      <c r="A2003" s="89"/>
      <c r="B2003" s="90"/>
      <c r="C2003" s="91"/>
      <c r="D2003" s="92"/>
      <c r="E2003" s="93"/>
      <c r="F2003" s="94"/>
      <c r="G2003" s="95"/>
      <c r="H2003" s="96"/>
      <c r="I2003" s="97"/>
      <c r="J2003" s="98"/>
      <c r="K2003" s="99"/>
    </row>
    <row r="2004" spans="1:11" ht="13.2">
      <c r="A2004" s="89"/>
      <c r="B2004" s="90"/>
      <c r="C2004" s="91"/>
      <c r="D2004" s="92"/>
      <c r="E2004" s="93"/>
      <c r="F2004" s="94"/>
      <c r="G2004" s="95"/>
      <c r="H2004" s="96"/>
      <c r="I2004" s="97"/>
      <c r="J2004" s="98"/>
      <c r="K2004" s="99"/>
    </row>
    <row r="2005" spans="1:11" ht="13.2">
      <c r="A2005" s="89"/>
      <c r="B2005" s="90"/>
      <c r="C2005" s="91"/>
      <c r="D2005" s="92"/>
      <c r="E2005" s="93"/>
      <c r="F2005" s="94"/>
      <c r="G2005" s="95"/>
      <c r="H2005" s="96"/>
      <c r="I2005" s="97"/>
      <c r="J2005" s="98"/>
      <c r="K2005" s="99"/>
    </row>
    <row r="2006" spans="1:11" ht="13.2">
      <c r="A2006" s="89"/>
      <c r="B2006" s="90"/>
      <c r="C2006" s="91"/>
      <c r="D2006" s="92"/>
      <c r="E2006" s="93"/>
      <c r="F2006" s="94"/>
      <c r="G2006" s="95"/>
      <c r="H2006" s="96"/>
      <c r="I2006" s="97"/>
      <c r="J2006" s="98"/>
      <c r="K2006" s="99"/>
    </row>
    <row r="2007" spans="1:11" ht="13.2">
      <c r="A2007" s="89"/>
      <c r="B2007" s="90"/>
      <c r="C2007" s="91"/>
      <c r="D2007" s="92"/>
      <c r="E2007" s="93"/>
      <c r="F2007" s="94"/>
      <c r="G2007" s="95"/>
      <c r="H2007" s="96"/>
      <c r="I2007" s="97"/>
      <c r="J2007" s="98"/>
      <c r="K2007" s="99"/>
    </row>
    <row r="2008" spans="1:11" ht="13.2">
      <c r="A2008" s="89"/>
      <c r="B2008" s="90"/>
      <c r="C2008" s="91"/>
      <c r="D2008" s="92"/>
      <c r="E2008" s="93"/>
      <c r="F2008" s="94"/>
      <c r="G2008" s="95"/>
      <c r="H2008" s="96"/>
      <c r="I2008" s="97"/>
      <c r="J2008" s="98"/>
      <c r="K2008" s="99"/>
    </row>
    <row r="2009" spans="1:11" ht="13.2">
      <c r="A2009" s="89"/>
      <c r="B2009" s="90"/>
      <c r="C2009" s="91"/>
      <c r="D2009" s="92"/>
      <c r="E2009" s="93"/>
      <c r="F2009" s="94"/>
      <c r="G2009" s="95"/>
      <c r="H2009" s="96"/>
      <c r="I2009" s="97"/>
      <c r="J2009" s="98"/>
      <c r="K2009" s="99"/>
    </row>
    <row r="2010" spans="1:11" ht="13.2">
      <c r="A2010" s="89"/>
      <c r="B2010" s="90"/>
      <c r="C2010" s="91"/>
      <c r="D2010" s="92"/>
      <c r="E2010" s="93"/>
      <c r="F2010" s="94"/>
      <c r="G2010" s="95"/>
      <c r="H2010" s="96"/>
      <c r="I2010" s="97"/>
      <c r="J2010" s="98"/>
      <c r="K2010" s="99"/>
    </row>
    <row r="2011" spans="1:11" ht="13.2">
      <c r="A2011" s="89"/>
      <c r="B2011" s="90"/>
      <c r="C2011" s="91"/>
      <c r="D2011" s="92"/>
      <c r="E2011" s="93"/>
      <c r="F2011" s="94"/>
      <c r="G2011" s="95"/>
      <c r="H2011" s="96"/>
      <c r="I2011" s="97"/>
      <c r="J2011" s="98"/>
      <c r="K2011" s="99"/>
    </row>
    <row r="2012" spans="1:11" ht="13.2">
      <c r="A2012" s="89"/>
      <c r="B2012" s="90"/>
      <c r="C2012" s="91"/>
      <c r="D2012" s="92"/>
      <c r="E2012" s="93"/>
      <c r="F2012" s="94"/>
      <c r="G2012" s="95"/>
      <c r="H2012" s="96"/>
      <c r="I2012" s="97"/>
      <c r="J2012" s="98"/>
      <c r="K2012" s="99"/>
    </row>
    <row r="2013" spans="1:11" ht="13.2">
      <c r="A2013" s="89"/>
      <c r="B2013" s="90"/>
      <c r="C2013" s="91"/>
      <c r="D2013" s="92"/>
      <c r="E2013" s="93"/>
      <c r="F2013" s="94"/>
      <c r="G2013" s="95"/>
      <c r="H2013" s="96"/>
      <c r="I2013" s="97"/>
      <c r="J2013" s="98"/>
      <c r="K2013" s="99"/>
    </row>
    <row r="2014" spans="1:11" ht="13.2">
      <c r="A2014" s="89"/>
      <c r="B2014" s="90"/>
      <c r="C2014" s="91"/>
      <c r="D2014" s="92"/>
      <c r="E2014" s="93"/>
      <c r="F2014" s="94"/>
      <c r="G2014" s="95"/>
      <c r="H2014" s="96"/>
      <c r="I2014" s="97"/>
      <c r="J2014" s="98"/>
      <c r="K2014" s="99"/>
    </row>
    <row r="2015" spans="1:11" ht="13.2">
      <c r="A2015" s="89"/>
      <c r="B2015" s="90"/>
      <c r="C2015" s="91"/>
      <c r="D2015" s="92"/>
      <c r="E2015" s="93"/>
      <c r="F2015" s="94"/>
      <c r="G2015" s="95"/>
      <c r="H2015" s="96"/>
      <c r="I2015" s="97"/>
      <c r="J2015" s="98"/>
      <c r="K2015" s="99"/>
    </row>
    <row r="2016" spans="1:11" ht="13.2">
      <c r="A2016" s="89"/>
      <c r="B2016" s="90"/>
      <c r="C2016" s="91"/>
      <c r="D2016" s="92"/>
      <c r="E2016" s="93"/>
      <c r="F2016" s="94"/>
      <c r="G2016" s="95"/>
      <c r="H2016" s="96"/>
      <c r="I2016" s="97"/>
      <c r="J2016" s="98"/>
      <c r="K2016" s="99"/>
    </row>
    <row r="2017" spans="1:11" ht="13.2">
      <c r="A2017" s="89"/>
      <c r="B2017" s="90"/>
      <c r="C2017" s="91"/>
      <c r="D2017" s="92"/>
      <c r="E2017" s="93"/>
      <c r="F2017" s="94"/>
      <c r="G2017" s="95"/>
      <c r="H2017" s="96"/>
      <c r="I2017" s="97"/>
      <c r="J2017" s="98"/>
      <c r="K2017" s="99"/>
    </row>
    <row r="2018" spans="1:11" ht="13.2">
      <c r="A2018" s="89"/>
      <c r="B2018" s="90"/>
      <c r="C2018" s="91"/>
      <c r="D2018" s="92"/>
      <c r="E2018" s="93"/>
      <c r="F2018" s="94"/>
      <c r="G2018" s="95"/>
      <c r="H2018" s="96"/>
      <c r="I2018" s="97"/>
      <c r="J2018" s="98"/>
      <c r="K2018" s="99"/>
    </row>
    <row r="2019" spans="1:11" ht="13.2">
      <c r="A2019" s="89"/>
      <c r="B2019" s="90"/>
      <c r="C2019" s="91"/>
      <c r="D2019" s="92"/>
      <c r="E2019" s="93"/>
      <c r="F2019" s="94"/>
      <c r="G2019" s="95"/>
      <c r="H2019" s="96"/>
      <c r="I2019" s="97"/>
      <c r="J2019" s="98"/>
      <c r="K2019" s="99"/>
    </row>
    <row r="2020" spans="1:11" ht="13.2">
      <c r="A2020" s="89"/>
      <c r="B2020" s="90"/>
      <c r="C2020" s="91"/>
      <c r="D2020" s="92"/>
      <c r="E2020" s="93"/>
      <c r="F2020" s="94"/>
      <c r="G2020" s="95"/>
      <c r="H2020" s="96"/>
      <c r="I2020" s="97"/>
      <c r="J2020" s="98"/>
      <c r="K2020" s="99"/>
    </row>
    <row r="2021" spans="1:11" ht="13.2">
      <c r="A2021" s="89"/>
      <c r="B2021" s="90"/>
      <c r="C2021" s="91"/>
      <c r="D2021" s="92"/>
      <c r="E2021" s="93"/>
      <c r="F2021" s="94"/>
      <c r="G2021" s="95"/>
      <c r="H2021" s="96"/>
      <c r="I2021" s="97"/>
      <c r="J2021" s="98"/>
      <c r="K2021" s="99"/>
    </row>
    <row r="2022" spans="1:11" ht="13.2">
      <c r="A2022" s="89"/>
      <c r="B2022" s="90"/>
      <c r="C2022" s="91"/>
      <c r="D2022" s="92"/>
      <c r="E2022" s="93"/>
      <c r="F2022" s="94"/>
      <c r="G2022" s="95"/>
      <c r="H2022" s="96"/>
      <c r="I2022" s="97"/>
      <c r="J2022" s="98"/>
      <c r="K2022" s="99"/>
    </row>
    <row r="2023" spans="1:11" ht="13.2">
      <c r="A2023" s="89"/>
      <c r="B2023" s="90"/>
      <c r="C2023" s="91"/>
      <c r="D2023" s="92"/>
      <c r="E2023" s="93"/>
      <c r="F2023" s="94"/>
      <c r="G2023" s="95"/>
      <c r="H2023" s="96"/>
      <c r="I2023" s="97"/>
      <c r="J2023" s="98"/>
      <c r="K2023" s="99"/>
    </row>
    <row r="2024" spans="1:11" ht="13.2">
      <c r="A2024" s="89"/>
      <c r="B2024" s="90"/>
      <c r="C2024" s="91"/>
      <c r="D2024" s="92"/>
      <c r="E2024" s="93"/>
      <c r="F2024" s="94"/>
      <c r="G2024" s="95"/>
      <c r="H2024" s="96"/>
      <c r="I2024" s="97"/>
      <c r="J2024" s="98"/>
      <c r="K2024" s="99"/>
    </row>
    <row r="2025" spans="1:11" ht="13.2">
      <c r="A2025" s="89"/>
      <c r="B2025" s="90"/>
      <c r="C2025" s="91"/>
      <c r="D2025" s="92"/>
      <c r="E2025" s="93"/>
      <c r="F2025" s="94"/>
      <c r="G2025" s="95"/>
      <c r="H2025" s="96"/>
      <c r="I2025" s="97"/>
      <c r="J2025" s="98"/>
      <c r="K2025" s="99"/>
    </row>
    <row r="2026" spans="1:11" ht="13.2">
      <c r="A2026" s="89"/>
      <c r="B2026" s="90"/>
      <c r="C2026" s="91"/>
      <c r="D2026" s="92"/>
      <c r="E2026" s="93"/>
      <c r="F2026" s="94"/>
      <c r="G2026" s="95"/>
      <c r="H2026" s="96"/>
      <c r="I2026" s="97"/>
      <c r="J2026" s="98"/>
      <c r="K2026" s="99"/>
    </row>
    <row r="2027" spans="1:11" ht="13.2">
      <c r="A2027" s="89"/>
      <c r="B2027" s="90"/>
      <c r="C2027" s="91"/>
      <c r="D2027" s="92"/>
      <c r="E2027" s="93"/>
      <c r="F2027" s="94"/>
      <c r="G2027" s="95"/>
      <c r="H2027" s="96"/>
      <c r="I2027" s="97"/>
      <c r="J2027" s="98"/>
      <c r="K2027" s="99"/>
    </row>
    <row r="2028" spans="1:11" ht="13.2">
      <c r="A2028" s="89"/>
      <c r="B2028" s="90"/>
      <c r="C2028" s="91"/>
      <c r="D2028" s="92"/>
      <c r="E2028" s="93"/>
      <c r="F2028" s="94"/>
      <c r="G2028" s="95"/>
      <c r="H2028" s="96"/>
      <c r="I2028" s="97"/>
      <c r="J2028" s="98"/>
      <c r="K2028" s="99"/>
    </row>
    <row r="2029" spans="1:11" ht="13.2">
      <c r="A2029" s="89"/>
      <c r="B2029" s="90"/>
      <c r="C2029" s="91"/>
      <c r="D2029" s="92"/>
      <c r="E2029" s="93"/>
      <c r="F2029" s="94"/>
      <c r="G2029" s="95"/>
      <c r="H2029" s="96"/>
      <c r="I2029" s="97"/>
      <c r="J2029" s="98"/>
      <c r="K2029" s="99"/>
    </row>
    <row r="2030" spans="1:11" ht="13.2">
      <c r="A2030" s="89"/>
      <c r="B2030" s="90"/>
      <c r="C2030" s="91"/>
      <c r="D2030" s="92"/>
      <c r="E2030" s="93"/>
      <c r="F2030" s="94"/>
      <c r="G2030" s="95"/>
      <c r="H2030" s="96"/>
      <c r="I2030" s="97"/>
      <c r="J2030" s="98"/>
      <c r="K2030" s="99"/>
    </row>
    <row r="2031" spans="1:11" ht="13.2">
      <c r="A2031" s="89"/>
      <c r="B2031" s="90"/>
      <c r="C2031" s="91"/>
      <c r="D2031" s="92"/>
      <c r="E2031" s="93"/>
      <c r="F2031" s="94"/>
      <c r="G2031" s="95"/>
      <c r="H2031" s="96"/>
      <c r="I2031" s="97"/>
      <c r="J2031" s="98"/>
      <c r="K2031" s="99"/>
    </row>
    <row r="2032" spans="1:11" ht="13.2">
      <c r="A2032" s="89"/>
      <c r="B2032" s="90"/>
      <c r="C2032" s="91"/>
      <c r="D2032" s="92"/>
      <c r="E2032" s="93"/>
      <c r="F2032" s="94"/>
      <c r="G2032" s="95"/>
      <c r="H2032" s="96"/>
      <c r="I2032" s="97"/>
      <c r="J2032" s="98"/>
      <c r="K2032" s="99"/>
    </row>
    <row r="2033" spans="1:11" ht="13.2">
      <c r="A2033" s="89"/>
      <c r="B2033" s="90"/>
      <c r="C2033" s="91"/>
      <c r="D2033" s="92"/>
      <c r="E2033" s="93"/>
      <c r="F2033" s="94"/>
      <c r="G2033" s="95"/>
      <c r="H2033" s="96"/>
      <c r="I2033" s="97"/>
      <c r="J2033" s="98"/>
      <c r="K2033" s="99"/>
    </row>
    <row r="2034" spans="1:11" ht="13.2">
      <c r="A2034" s="89"/>
      <c r="B2034" s="90"/>
      <c r="C2034" s="91"/>
      <c r="D2034" s="92"/>
      <c r="E2034" s="93"/>
      <c r="F2034" s="94"/>
      <c r="G2034" s="95"/>
      <c r="H2034" s="96"/>
      <c r="I2034" s="97"/>
      <c r="J2034" s="98"/>
      <c r="K2034" s="99"/>
    </row>
    <row r="2035" spans="1:11" ht="13.2">
      <c r="A2035" s="89"/>
      <c r="B2035" s="90"/>
      <c r="C2035" s="91"/>
      <c r="D2035" s="92"/>
      <c r="E2035" s="93"/>
      <c r="F2035" s="94"/>
      <c r="G2035" s="95"/>
      <c r="H2035" s="96"/>
      <c r="I2035" s="97"/>
      <c r="J2035" s="98"/>
      <c r="K2035" s="99"/>
    </row>
    <row r="2036" spans="1:11" ht="13.2">
      <c r="A2036" s="89"/>
      <c r="B2036" s="90"/>
      <c r="C2036" s="91"/>
      <c r="D2036" s="92"/>
      <c r="E2036" s="93"/>
      <c r="F2036" s="94"/>
      <c r="G2036" s="95"/>
      <c r="H2036" s="96"/>
      <c r="I2036" s="97"/>
      <c r="J2036" s="98"/>
      <c r="K2036" s="99"/>
    </row>
    <row r="2037" spans="1:11" ht="13.2">
      <c r="A2037" s="89"/>
      <c r="B2037" s="90"/>
      <c r="C2037" s="91"/>
      <c r="D2037" s="92"/>
      <c r="E2037" s="93"/>
      <c r="F2037" s="94"/>
      <c r="G2037" s="95"/>
      <c r="H2037" s="96"/>
      <c r="I2037" s="97"/>
      <c r="J2037" s="98"/>
      <c r="K2037" s="99"/>
    </row>
    <row r="2038" spans="1:11" ht="13.2">
      <c r="A2038" s="89"/>
      <c r="B2038" s="90"/>
      <c r="C2038" s="91"/>
      <c r="D2038" s="92"/>
      <c r="E2038" s="93"/>
      <c r="F2038" s="94"/>
      <c r="G2038" s="95"/>
      <c r="H2038" s="96"/>
      <c r="I2038" s="97"/>
      <c r="J2038" s="98"/>
      <c r="K2038" s="99"/>
    </row>
    <row r="2039" spans="1:11" ht="13.2">
      <c r="A2039" s="89"/>
      <c r="B2039" s="90"/>
      <c r="C2039" s="91"/>
      <c r="D2039" s="92"/>
      <c r="E2039" s="93"/>
      <c r="F2039" s="94"/>
      <c r="G2039" s="95"/>
      <c r="H2039" s="96"/>
      <c r="I2039" s="97"/>
      <c r="J2039" s="98"/>
      <c r="K2039" s="99"/>
    </row>
    <row r="2040" spans="1:11" ht="13.2">
      <c r="A2040" s="89"/>
      <c r="B2040" s="90"/>
      <c r="C2040" s="91"/>
      <c r="D2040" s="92"/>
      <c r="E2040" s="93"/>
      <c r="F2040" s="94"/>
      <c r="G2040" s="95"/>
      <c r="H2040" s="96"/>
      <c r="I2040" s="97"/>
      <c r="J2040" s="98"/>
      <c r="K2040" s="99"/>
    </row>
    <row r="2041" spans="1:11" ht="13.2">
      <c r="A2041" s="89"/>
      <c r="B2041" s="90"/>
      <c r="C2041" s="91"/>
      <c r="D2041" s="92"/>
      <c r="E2041" s="93"/>
      <c r="F2041" s="94"/>
      <c r="G2041" s="95"/>
      <c r="H2041" s="96"/>
      <c r="I2041" s="97"/>
      <c r="J2041" s="98"/>
      <c r="K2041" s="99"/>
    </row>
    <row r="2042" spans="1:11" ht="13.2">
      <c r="A2042" s="89"/>
      <c r="B2042" s="90"/>
      <c r="C2042" s="91"/>
      <c r="D2042" s="92"/>
      <c r="E2042" s="93"/>
      <c r="F2042" s="94"/>
      <c r="G2042" s="95"/>
      <c r="H2042" s="96"/>
      <c r="I2042" s="97"/>
      <c r="J2042" s="98"/>
      <c r="K2042" s="99"/>
    </row>
    <row r="2043" spans="1:11" ht="13.2">
      <c r="A2043" s="89"/>
      <c r="B2043" s="90"/>
      <c r="C2043" s="91"/>
      <c r="D2043" s="92"/>
      <c r="E2043" s="93"/>
      <c r="F2043" s="94"/>
      <c r="G2043" s="95"/>
      <c r="H2043" s="96"/>
      <c r="I2043" s="97"/>
      <c r="J2043" s="98"/>
      <c r="K2043" s="99"/>
    </row>
    <row r="2044" spans="1:11" ht="13.2">
      <c r="A2044" s="89"/>
      <c r="B2044" s="90"/>
      <c r="C2044" s="91"/>
      <c r="D2044" s="92"/>
      <c r="E2044" s="93"/>
      <c r="F2044" s="94"/>
      <c r="G2044" s="95"/>
      <c r="H2044" s="96"/>
      <c r="I2044" s="97"/>
      <c r="J2044" s="98"/>
      <c r="K2044" s="99"/>
    </row>
    <row r="2045" spans="1:11" ht="13.2">
      <c r="A2045" s="89"/>
      <c r="B2045" s="90"/>
      <c r="C2045" s="91"/>
      <c r="D2045" s="92"/>
      <c r="E2045" s="93"/>
      <c r="F2045" s="94"/>
      <c r="G2045" s="95"/>
      <c r="H2045" s="96"/>
      <c r="I2045" s="97"/>
      <c r="J2045" s="98"/>
      <c r="K2045" s="99"/>
    </row>
    <row r="2046" spans="1:11" ht="13.2">
      <c r="A2046" s="89"/>
      <c r="B2046" s="90"/>
      <c r="C2046" s="91"/>
      <c r="D2046" s="92"/>
      <c r="E2046" s="93"/>
      <c r="F2046" s="94"/>
      <c r="G2046" s="95"/>
      <c r="H2046" s="96"/>
      <c r="I2046" s="97"/>
      <c r="J2046" s="98"/>
      <c r="K2046" s="99"/>
    </row>
    <row r="2047" spans="1:11" ht="13.2">
      <c r="A2047" s="89"/>
      <c r="B2047" s="90"/>
      <c r="C2047" s="91"/>
      <c r="D2047" s="92"/>
      <c r="E2047" s="93"/>
      <c r="F2047" s="94"/>
      <c r="G2047" s="95"/>
      <c r="H2047" s="96"/>
      <c r="I2047" s="97"/>
      <c r="J2047" s="98"/>
      <c r="K2047" s="99"/>
    </row>
    <row r="2048" spans="1:11" ht="13.2">
      <c r="A2048" s="89"/>
      <c r="B2048" s="90"/>
      <c r="C2048" s="91"/>
      <c r="D2048" s="92"/>
      <c r="E2048" s="93"/>
      <c r="F2048" s="94"/>
      <c r="G2048" s="95"/>
      <c r="H2048" s="96"/>
      <c r="I2048" s="97"/>
      <c r="J2048" s="98"/>
      <c r="K2048" s="99"/>
    </row>
    <row r="2049" spans="1:11" ht="13.2">
      <c r="A2049" s="89"/>
      <c r="B2049" s="90"/>
      <c r="C2049" s="91"/>
      <c r="D2049" s="92"/>
      <c r="E2049" s="93"/>
      <c r="F2049" s="94"/>
      <c r="G2049" s="95"/>
      <c r="H2049" s="96"/>
      <c r="I2049" s="97"/>
      <c r="J2049" s="98"/>
      <c r="K2049" s="99"/>
    </row>
    <row r="2050" spans="1:11" ht="13.2">
      <c r="A2050" s="89"/>
      <c r="B2050" s="90"/>
      <c r="C2050" s="91"/>
      <c r="D2050" s="92"/>
      <c r="E2050" s="93"/>
      <c r="F2050" s="94"/>
      <c r="G2050" s="95"/>
      <c r="H2050" s="96"/>
      <c r="I2050" s="97"/>
      <c r="J2050" s="98"/>
      <c r="K2050" s="99"/>
    </row>
    <row r="2051" spans="1:11" ht="13.2">
      <c r="A2051" s="89"/>
      <c r="B2051" s="90"/>
      <c r="C2051" s="91"/>
      <c r="D2051" s="92"/>
      <c r="E2051" s="93"/>
      <c r="F2051" s="94"/>
      <c r="G2051" s="95"/>
      <c r="H2051" s="96"/>
      <c r="I2051" s="97"/>
      <c r="J2051" s="98"/>
      <c r="K2051" s="99"/>
    </row>
    <row r="2052" spans="1:11" ht="13.2">
      <c r="A2052" s="89"/>
      <c r="B2052" s="90"/>
      <c r="C2052" s="91"/>
      <c r="D2052" s="92"/>
      <c r="E2052" s="93"/>
      <c r="F2052" s="94"/>
      <c r="G2052" s="95"/>
      <c r="H2052" s="96"/>
      <c r="I2052" s="97"/>
      <c r="J2052" s="98"/>
      <c r="K2052" s="99"/>
    </row>
    <row r="2053" spans="1:11" ht="13.2">
      <c r="A2053" s="89"/>
      <c r="B2053" s="90"/>
      <c r="C2053" s="91"/>
      <c r="D2053" s="92"/>
      <c r="E2053" s="93"/>
      <c r="F2053" s="94"/>
      <c r="G2053" s="95"/>
      <c r="H2053" s="96"/>
      <c r="I2053" s="97"/>
      <c r="J2053" s="98"/>
      <c r="K2053" s="99"/>
    </row>
    <row r="2054" spans="1:11" ht="13.2">
      <c r="A2054" s="89"/>
      <c r="B2054" s="90"/>
      <c r="C2054" s="91"/>
      <c r="D2054" s="92"/>
      <c r="E2054" s="93"/>
      <c r="F2054" s="94"/>
      <c r="G2054" s="95"/>
      <c r="H2054" s="96"/>
      <c r="I2054" s="97"/>
      <c r="J2054" s="98"/>
      <c r="K2054" s="99"/>
    </row>
    <row r="2055" spans="1:11" ht="13.2">
      <c r="A2055" s="89"/>
      <c r="B2055" s="90"/>
      <c r="C2055" s="91"/>
      <c r="D2055" s="92"/>
      <c r="E2055" s="93"/>
      <c r="F2055" s="94"/>
      <c r="G2055" s="95"/>
      <c r="H2055" s="96"/>
      <c r="I2055" s="97"/>
      <c r="J2055" s="98"/>
      <c r="K2055" s="99"/>
    </row>
    <row r="2056" spans="1:11" ht="13.2">
      <c r="A2056" s="89"/>
      <c r="B2056" s="90"/>
      <c r="C2056" s="91"/>
      <c r="D2056" s="92"/>
      <c r="E2056" s="93"/>
      <c r="F2056" s="94"/>
      <c r="G2056" s="95"/>
      <c r="H2056" s="96"/>
      <c r="I2056" s="97"/>
      <c r="J2056" s="98"/>
      <c r="K2056" s="99"/>
    </row>
    <row r="2057" spans="1:11" ht="13.2">
      <c r="A2057" s="89"/>
      <c r="B2057" s="90"/>
      <c r="C2057" s="91"/>
      <c r="D2057" s="92"/>
      <c r="E2057" s="93"/>
      <c r="F2057" s="94"/>
      <c r="G2057" s="95"/>
      <c r="H2057" s="96"/>
      <c r="I2057" s="97"/>
      <c r="J2057" s="98"/>
      <c r="K2057" s="99"/>
    </row>
    <row r="2058" spans="1:11" ht="13.2">
      <c r="A2058" s="89"/>
      <c r="B2058" s="90"/>
      <c r="C2058" s="91"/>
      <c r="D2058" s="92"/>
      <c r="E2058" s="93"/>
      <c r="F2058" s="94"/>
      <c r="G2058" s="95"/>
      <c r="H2058" s="96"/>
      <c r="I2058" s="97"/>
      <c r="J2058" s="98"/>
      <c r="K2058" s="99"/>
    </row>
    <row r="2059" spans="1:11" ht="13.2">
      <c r="A2059" s="89"/>
      <c r="B2059" s="90"/>
      <c r="C2059" s="91"/>
      <c r="D2059" s="92"/>
      <c r="E2059" s="93"/>
      <c r="F2059" s="94"/>
      <c r="G2059" s="95"/>
      <c r="H2059" s="96"/>
      <c r="I2059" s="97"/>
      <c r="J2059" s="98"/>
      <c r="K2059" s="99"/>
    </row>
    <row r="2060" spans="1:11" ht="13.2">
      <c r="A2060" s="89"/>
      <c r="B2060" s="90"/>
      <c r="C2060" s="91"/>
      <c r="D2060" s="92"/>
      <c r="E2060" s="93"/>
      <c r="F2060" s="94"/>
      <c r="G2060" s="95"/>
      <c r="H2060" s="96"/>
      <c r="I2060" s="97"/>
      <c r="J2060" s="98"/>
      <c r="K2060" s="99"/>
    </row>
    <row r="2061" spans="1:11" ht="13.2">
      <c r="A2061" s="89"/>
      <c r="B2061" s="90"/>
      <c r="C2061" s="91"/>
      <c r="D2061" s="92"/>
      <c r="E2061" s="93"/>
      <c r="F2061" s="94"/>
      <c r="G2061" s="95"/>
      <c r="H2061" s="96"/>
      <c r="I2061" s="97"/>
      <c r="J2061" s="98"/>
      <c r="K2061" s="99"/>
    </row>
    <row r="2062" spans="1:11" ht="13.2">
      <c r="A2062" s="89"/>
      <c r="B2062" s="90"/>
      <c r="C2062" s="91"/>
      <c r="D2062" s="92"/>
      <c r="E2062" s="93"/>
      <c r="F2062" s="94"/>
      <c r="G2062" s="95"/>
      <c r="H2062" s="96"/>
      <c r="I2062" s="97"/>
      <c r="J2062" s="98"/>
      <c r="K2062" s="99"/>
    </row>
    <row r="2063" spans="1:11" ht="13.2">
      <c r="A2063" s="89"/>
      <c r="B2063" s="90"/>
      <c r="C2063" s="91"/>
      <c r="D2063" s="92"/>
      <c r="E2063" s="93"/>
      <c r="F2063" s="94"/>
      <c r="G2063" s="95"/>
      <c r="H2063" s="96"/>
      <c r="I2063" s="97"/>
      <c r="J2063" s="98"/>
      <c r="K2063" s="99"/>
    </row>
    <row r="2064" spans="1:11" ht="13.2">
      <c r="A2064" s="89"/>
      <c r="B2064" s="90"/>
      <c r="C2064" s="91"/>
      <c r="D2064" s="92"/>
      <c r="E2064" s="93"/>
      <c r="F2064" s="94"/>
      <c r="G2064" s="95"/>
      <c r="H2064" s="96"/>
      <c r="I2064" s="97"/>
      <c r="J2064" s="98"/>
      <c r="K2064" s="99"/>
    </row>
    <row r="2065" spans="1:11" ht="13.2">
      <c r="A2065" s="89"/>
      <c r="B2065" s="90"/>
      <c r="C2065" s="91"/>
      <c r="D2065" s="92"/>
      <c r="E2065" s="93"/>
      <c r="F2065" s="94"/>
      <c r="G2065" s="95"/>
      <c r="H2065" s="96"/>
      <c r="I2065" s="97"/>
      <c r="J2065" s="98"/>
      <c r="K2065" s="99"/>
    </row>
    <row r="2066" spans="1:11" ht="13.2">
      <c r="A2066" s="89"/>
      <c r="B2066" s="90"/>
      <c r="C2066" s="91"/>
      <c r="D2066" s="92"/>
      <c r="E2066" s="93"/>
      <c r="F2066" s="94"/>
      <c r="G2066" s="95"/>
      <c r="H2066" s="96"/>
      <c r="I2066" s="97"/>
      <c r="J2066" s="98"/>
      <c r="K2066" s="99"/>
    </row>
    <row r="2067" spans="1:11" ht="13.2">
      <c r="A2067" s="89"/>
      <c r="B2067" s="90"/>
      <c r="C2067" s="91"/>
      <c r="D2067" s="92"/>
      <c r="E2067" s="93"/>
      <c r="F2067" s="94"/>
      <c r="G2067" s="95"/>
      <c r="H2067" s="96"/>
      <c r="I2067" s="97"/>
      <c r="J2067" s="98"/>
      <c r="K2067" s="99"/>
    </row>
    <row r="2068" spans="1:11" ht="13.2">
      <c r="A2068" s="89"/>
      <c r="B2068" s="90"/>
      <c r="C2068" s="91"/>
      <c r="D2068" s="92"/>
      <c r="E2068" s="93"/>
      <c r="F2068" s="94"/>
      <c r="G2068" s="95"/>
      <c r="H2068" s="96"/>
      <c r="I2068" s="97"/>
      <c r="J2068" s="98"/>
      <c r="K2068" s="99"/>
    </row>
    <row r="2069" spans="1:11" ht="13.2">
      <c r="A2069" s="89"/>
      <c r="B2069" s="90"/>
      <c r="C2069" s="91"/>
      <c r="D2069" s="92"/>
      <c r="E2069" s="93"/>
      <c r="F2069" s="94"/>
      <c r="G2069" s="95"/>
      <c r="H2069" s="96"/>
      <c r="I2069" s="97"/>
      <c r="J2069" s="98"/>
      <c r="K2069" s="99"/>
    </row>
    <row r="2070" spans="1:11" ht="13.2">
      <c r="A2070" s="89"/>
      <c r="B2070" s="90"/>
      <c r="C2070" s="91"/>
      <c r="D2070" s="92"/>
      <c r="E2070" s="93"/>
      <c r="F2070" s="94"/>
      <c r="G2070" s="95"/>
      <c r="H2070" s="96"/>
      <c r="I2070" s="97"/>
      <c r="J2070" s="98"/>
      <c r="K2070" s="99"/>
    </row>
    <row r="2071" spans="1:11" ht="13.2">
      <c r="A2071" s="89"/>
      <c r="B2071" s="90"/>
      <c r="C2071" s="91"/>
      <c r="D2071" s="92"/>
      <c r="E2071" s="93"/>
      <c r="F2071" s="94"/>
      <c r="G2071" s="95"/>
      <c r="H2071" s="96"/>
      <c r="I2071" s="97"/>
      <c r="J2071" s="98"/>
      <c r="K2071" s="99"/>
    </row>
    <row r="2072" spans="1:11" ht="13.2">
      <c r="A2072" s="89"/>
      <c r="B2072" s="90"/>
      <c r="C2072" s="91"/>
      <c r="D2072" s="92"/>
      <c r="E2072" s="93"/>
      <c r="F2072" s="94"/>
      <c r="G2072" s="95"/>
      <c r="H2072" s="96"/>
      <c r="I2072" s="97"/>
      <c r="J2072" s="98"/>
      <c r="K2072" s="99"/>
    </row>
    <row r="2073" spans="1:11" ht="13.2">
      <c r="A2073" s="89"/>
      <c r="B2073" s="90"/>
      <c r="C2073" s="91"/>
      <c r="D2073" s="92"/>
      <c r="E2073" s="93"/>
      <c r="F2073" s="94"/>
      <c r="G2073" s="95"/>
      <c r="H2073" s="96"/>
      <c r="I2073" s="97"/>
      <c r="J2073" s="98"/>
      <c r="K2073" s="99"/>
    </row>
    <row r="2074" spans="1:11" ht="13.2">
      <c r="A2074" s="89"/>
      <c r="B2074" s="90"/>
      <c r="C2074" s="91"/>
      <c r="D2074" s="92"/>
      <c r="E2074" s="93"/>
      <c r="F2074" s="94"/>
      <c r="G2074" s="95"/>
      <c r="H2074" s="96"/>
      <c r="I2074" s="97"/>
      <c r="J2074" s="98"/>
      <c r="K2074" s="99"/>
    </row>
    <row r="2075" spans="1:11" ht="13.2">
      <c r="A2075" s="89"/>
      <c r="B2075" s="90"/>
      <c r="C2075" s="91"/>
      <c r="D2075" s="92"/>
      <c r="E2075" s="93"/>
      <c r="F2075" s="94"/>
      <c r="G2075" s="95"/>
      <c r="H2075" s="96"/>
      <c r="I2075" s="97"/>
      <c r="J2075" s="98"/>
      <c r="K2075" s="99"/>
    </row>
    <row r="2076" spans="1:11" ht="13.2">
      <c r="A2076" s="89"/>
      <c r="B2076" s="90"/>
      <c r="C2076" s="91"/>
      <c r="D2076" s="92"/>
      <c r="E2076" s="93"/>
      <c r="F2076" s="94"/>
      <c r="G2076" s="95"/>
      <c r="H2076" s="96"/>
      <c r="I2076" s="97"/>
      <c r="J2076" s="98"/>
      <c r="K2076" s="99"/>
    </row>
    <row r="2077" spans="1:11" ht="13.2">
      <c r="A2077" s="89"/>
      <c r="B2077" s="90"/>
      <c r="C2077" s="91"/>
      <c r="D2077" s="92"/>
      <c r="E2077" s="93"/>
      <c r="F2077" s="94"/>
      <c r="G2077" s="95"/>
      <c r="H2077" s="96"/>
      <c r="I2077" s="97"/>
      <c r="J2077" s="98"/>
      <c r="K2077" s="99"/>
    </row>
    <row r="2078" spans="1:11" ht="13.2">
      <c r="A2078" s="89"/>
      <c r="B2078" s="90"/>
      <c r="C2078" s="91"/>
      <c r="D2078" s="92"/>
      <c r="E2078" s="93"/>
      <c r="F2078" s="94"/>
      <c r="G2078" s="95"/>
      <c r="H2078" s="96"/>
      <c r="I2078" s="97"/>
      <c r="J2078" s="98"/>
      <c r="K2078" s="99"/>
    </row>
    <row r="2079" spans="1:11" ht="13.2">
      <c r="A2079" s="89"/>
      <c r="B2079" s="90"/>
      <c r="C2079" s="91"/>
      <c r="D2079" s="92"/>
      <c r="E2079" s="93"/>
      <c r="F2079" s="94"/>
      <c r="G2079" s="95"/>
      <c r="H2079" s="96"/>
      <c r="I2079" s="97"/>
      <c r="J2079" s="98"/>
      <c r="K2079" s="99"/>
    </row>
    <row r="2080" spans="1:11" ht="13.2">
      <c r="A2080" s="89"/>
      <c r="B2080" s="90"/>
      <c r="C2080" s="91"/>
      <c r="D2080" s="92"/>
      <c r="E2080" s="93"/>
      <c r="F2080" s="94"/>
      <c r="G2080" s="95"/>
      <c r="H2080" s="96"/>
      <c r="I2080" s="97"/>
      <c r="J2080" s="98"/>
      <c r="K2080" s="99"/>
    </row>
    <row r="2081" spans="1:11" ht="13.2">
      <c r="A2081" s="89"/>
      <c r="B2081" s="90"/>
      <c r="C2081" s="91"/>
      <c r="D2081" s="92"/>
      <c r="E2081" s="93"/>
      <c r="F2081" s="94"/>
      <c r="G2081" s="95"/>
      <c r="H2081" s="96"/>
      <c r="I2081" s="97"/>
      <c r="J2081" s="98"/>
      <c r="K2081" s="99"/>
    </row>
    <row r="2082" spans="1:11" ht="13.2">
      <c r="A2082" s="89"/>
      <c r="B2082" s="90"/>
      <c r="C2082" s="91"/>
      <c r="D2082" s="92"/>
      <c r="E2082" s="93"/>
      <c r="F2082" s="94"/>
      <c r="G2082" s="95"/>
      <c r="H2082" s="96"/>
      <c r="I2082" s="97"/>
      <c r="J2082" s="98"/>
      <c r="K2082" s="99"/>
    </row>
    <row r="2083" spans="1:11" ht="13.2">
      <c r="A2083" s="89"/>
      <c r="B2083" s="90"/>
      <c r="C2083" s="91"/>
      <c r="D2083" s="92"/>
      <c r="E2083" s="93"/>
      <c r="F2083" s="94"/>
      <c r="G2083" s="95"/>
      <c r="H2083" s="96"/>
      <c r="I2083" s="97"/>
      <c r="J2083" s="98"/>
      <c r="K2083" s="99"/>
    </row>
    <row r="2084" spans="1:11" ht="13.2">
      <c r="A2084" s="89"/>
      <c r="B2084" s="90"/>
      <c r="C2084" s="91"/>
      <c r="D2084" s="92"/>
      <c r="E2084" s="93"/>
      <c r="F2084" s="94"/>
      <c r="G2084" s="95"/>
      <c r="H2084" s="96"/>
      <c r="I2084" s="97"/>
      <c r="J2084" s="98"/>
      <c r="K2084" s="99"/>
    </row>
    <row r="2085" spans="1:11" ht="13.2">
      <c r="A2085" s="89"/>
      <c r="B2085" s="90"/>
      <c r="C2085" s="91"/>
      <c r="D2085" s="92"/>
      <c r="E2085" s="93"/>
      <c r="F2085" s="94"/>
      <c r="G2085" s="95"/>
      <c r="H2085" s="96"/>
      <c r="I2085" s="97"/>
      <c r="J2085" s="98"/>
      <c r="K2085" s="99"/>
    </row>
    <row r="2086" spans="1:11" ht="13.2">
      <c r="A2086" s="89"/>
      <c r="B2086" s="90"/>
      <c r="C2086" s="91"/>
      <c r="D2086" s="92"/>
      <c r="E2086" s="93"/>
      <c r="F2086" s="94"/>
      <c r="G2086" s="95"/>
      <c r="H2086" s="96"/>
      <c r="I2086" s="97"/>
      <c r="J2086" s="98"/>
      <c r="K2086" s="99"/>
    </row>
    <row r="2087" spans="1:11" ht="13.2">
      <c r="A2087" s="89"/>
      <c r="B2087" s="90"/>
      <c r="C2087" s="91"/>
      <c r="D2087" s="92"/>
      <c r="E2087" s="93"/>
      <c r="F2087" s="94"/>
      <c r="G2087" s="95"/>
      <c r="H2087" s="96"/>
      <c r="I2087" s="97"/>
      <c r="J2087" s="98"/>
      <c r="K2087" s="99"/>
    </row>
    <row r="2088" spans="1:11" ht="13.2">
      <c r="A2088" s="89"/>
      <c r="B2088" s="90"/>
      <c r="C2088" s="91"/>
      <c r="D2088" s="92"/>
      <c r="E2088" s="93"/>
      <c r="F2088" s="94"/>
      <c r="G2088" s="95"/>
      <c r="H2088" s="96"/>
      <c r="I2088" s="97"/>
      <c r="J2088" s="98"/>
      <c r="K2088" s="99"/>
    </row>
    <row r="2089" spans="1:11" ht="13.2">
      <c r="A2089" s="89"/>
      <c r="B2089" s="90"/>
      <c r="C2089" s="91"/>
      <c r="D2089" s="92"/>
      <c r="E2089" s="93"/>
      <c r="F2089" s="94"/>
      <c r="G2089" s="95"/>
      <c r="H2089" s="96"/>
      <c r="I2089" s="97"/>
      <c r="J2089" s="98"/>
      <c r="K2089" s="99"/>
    </row>
    <row r="2090" spans="1:11" ht="13.2">
      <c r="A2090" s="89"/>
      <c r="B2090" s="90"/>
      <c r="C2090" s="91"/>
      <c r="D2090" s="92"/>
      <c r="E2090" s="93"/>
      <c r="F2090" s="94"/>
      <c r="G2090" s="95"/>
      <c r="H2090" s="96"/>
      <c r="I2090" s="97"/>
      <c r="J2090" s="98"/>
      <c r="K2090" s="99"/>
    </row>
    <row r="2091" spans="1:11" ht="13.2">
      <c r="A2091" s="89"/>
      <c r="B2091" s="90"/>
      <c r="C2091" s="91"/>
      <c r="D2091" s="92"/>
      <c r="E2091" s="93"/>
      <c r="F2091" s="94"/>
      <c r="G2091" s="95"/>
      <c r="H2091" s="96"/>
      <c r="I2091" s="97"/>
      <c r="J2091" s="98"/>
      <c r="K2091" s="99"/>
    </row>
    <row r="2092" spans="1:11" ht="13.2">
      <c r="A2092" s="89"/>
      <c r="B2092" s="90"/>
      <c r="C2092" s="91"/>
      <c r="D2092" s="92"/>
      <c r="E2092" s="93"/>
      <c r="F2092" s="94"/>
      <c r="G2092" s="95"/>
      <c r="H2092" s="96"/>
      <c r="I2092" s="97"/>
      <c r="J2092" s="98"/>
      <c r="K2092" s="99"/>
    </row>
    <row r="2093" spans="1:11" ht="13.2">
      <c r="A2093" s="89"/>
      <c r="B2093" s="90"/>
      <c r="C2093" s="91"/>
      <c r="D2093" s="92"/>
      <c r="E2093" s="93"/>
      <c r="F2093" s="94"/>
      <c r="G2093" s="95"/>
      <c r="H2093" s="96"/>
      <c r="I2093" s="97"/>
      <c r="J2093" s="98"/>
      <c r="K2093" s="99"/>
    </row>
    <row r="2094" spans="1:11" ht="13.2">
      <c r="A2094" s="89"/>
      <c r="B2094" s="90"/>
      <c r="C2094" s="91"/>
      <c r="D2094" s="92"/>
      <c r="E2094" s="93"/>
      <c r="F2094" s="94"/>
      <c r="G2094" s="95"/>
      <c r="H2094" s="96"/>
      <c r="I2094" s="97"/>
      <c r="J2094" s="98"/>
      <c r="K2094" s="99"/>
    </row>
    <row r="2095" spans="1:11" ht="13.2">
      <c r="A2095" s="89"/>
      <c r="B2095" s="90"/>
      <c r="C2095" s="91"/>
      <c r="D2095" s="92"/>
      <c r="E2095" s="93"/>
      <c r="F2095" s="94"/>
      <c r="G2095" s="95"/>
      <c r="H2095" s="96"/>
      <c r="I2095" s="97"/>
      <c r="J2095" s="98"/>
      <c r="K2095" s="99"/>
    </row>
    <row r="2096" spans="1:11" ht="13.2">
      <c r="A2096" s="89"/>
      <c r="B2096" s="90"/>
      <c r="C2096" s="91"/>
      <c r="D2096" s="92"/>
      <c r="E2096" s="93"/>
      <c r="F2096" s="94"/>
      <c r="G2096" s="95"/>
      <c r="H2096" s="96"/>
      <c r="I2096" s="97"/>
      <c r="J2096" s="98"/>
      <c r="K2096" s="99"/>
    </row>
    <row r="2097" spans="1:11" ht="13.2">
      <c r="A2097" s="89"/>
      <c r="B2097" s="90"/>
      <c r="C2097" s="91"/>
      <c r="D2097" s="92"/>
      <c r="E2097" s="93"/>
      <c r="F2097" s="94"/>
      <c r="G2097" s="95"/>
      <c r="H2097" s="96"/>
      <c r="I2097" s="97"/>
      <c r="J2097" s="98"/>
      <c r="K2097" s="99"/>
    </row>
    <row r="2098" spans="1:11" ht="13.2">
      <c r="A2098" s="89"/>
      <c r="B2098" s="90"/>
      <c r="C2098" s="91"/>
      <c r="D2098" s="92"/>
      <c r="E2098" s="93"/>
      <c r="F2098" s="94"/>
      <c r="G2098" s="95"/>
      <c r="H2098" s="96"/>
      <c r="I2098" s="97"/>
      <c r="J2098" s="98"/>
      <c r="K2098" s="99"/>
    </row>
    <row r="2099" spans="1:11" ht="13.2">
      <c r="A2099" s="89"/>
      <c r="B2099" s="90"/>
      <c r="C2099" s="91"/>
      <c r="D2099" s="92"/>
      <c r="E2099" s="93"/>
      <c r="F2099" s="94"/>
      <c r="G2099" s="95"/>
      <c r="H2099" s="96"/>
      <c r="I2099" s="97"/>
      <c r="J2099" s="98"/>
      <c r="K2099" s="99"/>
    </row>
    <row r="2100" spans="1:11" ht="13.2">
      <c r="A2100" s="89"/>
      <c r="B2100" s="90"/>
      <c r="C2100" s="91"/>
      <c r="D2100" s="92"/>
      <c r="E2100" s="93"/>
      <c r="F2100" s="94"/>
      <c r="G2100" s="95"/>
      <c r="H2100" s="96"/>
      <c r="I2100" s="97"/>
      <c r="J2100" s="98"/>
      <c r="K2100" s="99"/>
    </row>
    <row r="2101" spans="1:11" ht="13.2">
      <c r="A2101" s="89"/>
      <c r="B2101" s="90"/>
      <c r="C2101" s="91"/>
      <c r="D2101" s="92"/>
      <c r="E2101" s="93"/>
      <c r="F2101" s="94"/>
      <c r="G2101" s="95"/>
      <c r="H2101" s="96"/>
      <c r="I2101" s="97"/>
      <c r="J2101" s="98"/>
      <c r="K2101" s="99"/>
    </row>
    <row r="2102" spans="1:11" ht="13.2">
      <c r="A2102" s="89"/>
      <c r="B2102" s="90"/>
      <c r="C2102" s="91"/>
      <c r="D2102" s="92"/>
      <c r="E2102" s="93"/>
      <c r="F2102" s="94"/>
      <c r="G2102" s="95"/>
      <c r="H2102" s="96"/>
      <c r="I2102" s="97"/>
      <c r="J2102" s="98"/>
      <c r="K2102" s="99"/>
    </row>
    <row r="2103" spans="1:11" ht="13.2">
      <c r="A2103" s="89"/>
      <c r="B2103" s="90"/>
      <c r="C2103" s="91"/>
      <c r="D2103" s="92"/>
      <c r="E2103" s="93"/>
      <c r="F2103" s="94"/>
      <c r="G2103" s="95"/>
      <c r="H2103" s="96"/>
      <c r="I2103" s="97"/>
      <c r="J2103" s="98"/>
      <c r="K2103" s="99"/>
    </row>
    <row r="2104" spans="1:11" ht="13.2">
      <c r="A2104" s="89"/>
      <c r="B2104" s="90"/>
      <c r="C2104" s="91"/>
      <c r="D2104" s="92"/>
      <c r="E2104" s="93"/>
      <c r="F2104" s="94"/>
      <c r="G2104" s="95"/>
      <c r="H2104" s="96"/>
      <c r="I2104" s="97"/>
      <c r="J2104" s="98"/>
      <c r="K2104" s="99"/>
    </row>
    <row r="2105" spans="1:11" ht="13.2">
      <c r="A2105" s="89"/>
      <c r="B2105" s="90"/>
      <c r="C2105" s="91"/>
      <c r="D2105" s="92"/>
      <c r="E2105" s="93"/>
      <c r="F2105" s="94"/>
      <c r="G2105" s="95"/>
      <c r="H2105" s="96"/>
      <c r="I2105" s="97"/>
      <c r="J2105" s="98"/>
      <c r="K2105" s="99"/>
    </row>
    <row r="2106" spans="1:11" ht="13.2">
      <c r="A2106" s="89"/>
      <c r="B2106" s="90"/>
      <c r="C2106" s="91"/>
      <c r="D2106" s="92"/>
      <c r="E2106" s="93"/>
      <c r="F2106" s="94"/>
      <c r="G2106" s="95"/>
      <c r="H2106" s="96"/>
      <c r="I2106" s="97"/>
      <c r="J2106" s="98"/>
      <c r="K2106" s="99"/>
    </row>
    <row r="2107" spans="1:11" ht="13.2">
      <c r="A2107" s="89"/>
      <c r="B2107" s="90"/>
      <c r="C2107" s="91"/>
      <c r="D2107" s="92"/>
      <c r="E2107" s="93"/>
      <c r="F2107" s="94"/>
      <c r="G2107" s="95"/>
      <c r="H2107" s="96"/>
      <c r="I2107" s="97"/>
      <c r="J2107" s="98"/>
      <c r="K2107" s="99"/>
    </row>
    <row r="2108" spans="1:11" ht="13.2">
      <c r="A2108" s="89"/>
      <c r="B2108" s="90"/>
      <c r="C2108" s="91"/>
      <c r="D2108" s="92"/>
      <c r="E2108" s="93"/>
      <c r="F2108" s="94"/>
      <c r="G2108" s="95"/>
      <c r="H2108" s="96"/>
      <c r="I2108" s="97"/>
      <c r="J2108" s="98"/>
      <c r="K2108" s="99"/>
    </row>
    <row r="2109" spans="1:11" ht="13.2">
      <c r="A2109" s="89"/>
      <c r="B2109" s="90"/>
      <c r="C2109" s="91"/>
      <c r="D2109" s="92"/>
      <c r="E2109" s="93"/>
      <c r="F2109" s="94"/>
      <c r="G2109" s="95"/>
      <c r="H2109" s="96"/>
      <c r="I2109" s="97"/>
      <c r="J2109" s="98"/>
      <c r="K2109" s="99"/>
    </row>
    <row r="2110" spans="1:11" ht="13.2">
      <c r="A2110" s="89"/>
      <c r="B2110" s="90"/>
      <c r="C2110" s="91"/>
      <c r="D2110" s="92"/>
      <c r="E2110" s="93"/>
      <c r="F2110" s="94"/>
      <c r="G2110" s="95"/>
      <c r="H2110" s="96"/>
      <c r="I2110" s="97"/>
      <c r="J2110" s="98"/>
      <c r="K2110" s="99"/>
    </row>
    <row r="2111" spans="1:11" ht="13.2">
      <c r="A2111" s="89"/>
      <c r="B2111" s="90"/>
      <c r="C2111" s="91"/>
      <c r="D2111" s="92"/>
      <c r="E2111" s="93"/>
      <c r="F2111" s="94"/>
      <c r="G2111" s="95"/>
      <c r="H2111" s="96"/>
      <c r="I2111" s="97"/>
      <c r="J2111" s="98"/>
      <c r="K2111" s="99"/>
    </row>
    <row r="2112" spans="1:11" ht="13.2">
      <c r="A2112" s="89"/>
      <c r="B2112" s="90"/>
      <c r="C2112" s="91"/>
      <c r="D2112" s="92"/>
      <c r="E2112" s="93"/>
      <c r="F2112" s="94"/>
      <c r="G2112" s="95"/>
      <c r="H2112" s="96"/>
      <c r="I2112" s="97"/>
      <c r="J2112" s="98"/>
      <c r="K2112" s="99"/>
    </row>
    <row r="2113" spans="1:11" ht="13.2">
      <c r="A2113" s="89"/>
      <c r="B2113" s="90"/>
      <c r="C2113" s="91"/>
      <c r="D2113" s="92"/>
      <c r="E2113" s="93"/>
      <c r="F2113" s="94"/>
      <c r="G2113" s="95"/>
      <c r="H2113" s="96"/>
      <c r="I2113" s="97"/>
      <c r="J2113" s="98"/>
      <c r="K2113" s="99"/>
    </row>
    <row r="2114" spans="1:11" ht="13.2">
      <c r="A2114" s="89"/>
      <c r="B2114" s="90"/>
      <c r="C2114" s="91"/>
      <c r="D2114" s="92"/>
      <c r="E2114" s="93"/>
      <c r="F2114" s="94"/>
      <c r="G2114" s="95"/>
      <c r="H2114" s="96"/>
      <c r="I2114" s="97"/>
      <c r="J2114" s="98"/>
      <c r="K2114" s="99"/>
    </row>
    <row r="2115" spans="1:11" ht="13.2">
      <c r="A2115" s="89"/>
      <c r="B2115" s="90"/>
      <c r="C2115" s="91"/>
      <c r="D2115" s="92"/>
      <c r="E2115" s="93"/>
      <c r="F2115" s="94"/>
      <c r="G2115" s="95"/>
      <c r="H2115" s="96"/>
      <c r="I2115" s="97"/>
      <c r="J2115" s="98"/>
      <c r="K2115" s="99"/>
    </row>
    <row r="2116" spans="1:11" ht="13.2">
      <c r="A2116" s="89"/>
      <c r="B2116" s="90"/>
      <c r="C2116" s="91"/>
      <c r="D2116" s="92"/>
      <c r="E2116" s="93"/>
      <c r="F2116" s="94"/>
      <c r="G2116" s="95"/>
      <c r="H2116" s="96"/>
      <c r="I2116" s="97"/>
      <c r="J2116" s="98"/>
      <c r="K2116" s="99"/>
    </row>
    <row r="2117" spans="1:11" ht="13.2">
      <c r="A2117" s="89"/>
      <c r="B2117" s="90"/>
      <c r="C2117" s="91"/>
      <c r="D2117" s="92"/>
      <c r="E2117" s="93"/>
      <c r="F2117" s="94"/>
      <c r="G2117" s="95"/>
      <c r="H2117" s="96"/>
      <c r="I2117" s="97"/>
      <c r="J2117" s="98"/>
      <c r="K2117" s="99"/>
    </row>
    <row r="2118" spans="1:11" ht="13.2">
      <c r="A2118" s="89"/>
      <c r="B2118" s="90"/>
      <c r="C2118" s="91"/>
      <c r="D2118" s="92"/>
      <c r="E2118" s="93"/>
      <c r="F2118" s="94"/>
      <c r="G2118" s="95"/>
      <c r="H2118" s="96"/>
      <c r="I2118" s="97"/>
      <c r="J2118" s="98"/>
      <c r="K2118" s="99"/>
    </row>
    <row r="2119" spans="1:11" ht="13.2">
      <c r="A2119" s="89"/>
      <c r="B2119" s="90"/>
      <c r="C2119" s="91"/>
      <c r="D2119" s="92"/>
      <c r="E2119" s="93"/>
      <c r="F2119" s="94"/>
      <c r="G2119" s="95"/>
      <c r="H2119" s="96"/>
      <c r="I2119" s="97"/>
      <c r="J2119" s="98"/>
      <c r="K2119" s="99"/>
    </row>
    <row r="2120" spans="1:11" ht="13.2">
      <c r="A2120" s="89"/>
      <c r="B2120" s="90"/>
      <c r="C2120" s="91"/>
      <c r="D2120" s="92"/>
      <c r="E2120" s="93"/>
      <c r="F2120" s="94"/>
      <c r="G2120" s="95"/>
      <c r="H2120" s="96"/>
      <c r="I2120" s="97"/>
      <c r="J2120" s="98"/>
      <c r="K2120" s="99"/>
    </row>
    <row r="2121" spans="1:11" ht="13.2">
      <c r="A2121" s="89"/>
      <c r="B2121" s="90"/>
      <c r="C2121" s="91"/>
      <c r="D2121" s="92"/>
      <c r="E2121" s="93"/>
      <c r="F2121" s="94"/>
      <c r="G2121" s="95"/>
      <c r="H2121" s="96"/>
      <c r="I2121" s="97"/>
      <c r="J2121" s="98"/>
      <c r="K2121" s="99"/>
    </row>
    <row r="2122" spans="1:11" ht="13.2">
      <c r="A2122" s="89"/>
      <c r="B2122" s="90"/>
      <c r="C2122" s="91"/>
      <c r="D2122" s="92"/>
      <c r="E2122" s="93"/>
      <c r="F2122" s="94"/>
      <c r="G2122" s="95"/>
      <c r="H2122" s="96"/>
      <c r="I2122" s="97"/>
      <c r="J2122" s="98"/>
      <c r="K2122" s="99"/>
    </row>
    <row r="2123" spans="1:11" ht="13.2">
      <c r="A2123" s="89"/>
      <c r="B2123" s="90"/>
      <c r="C2123" s="91"/>
      <c r="D2123" s="92"/>
      <c r="E2123" s="93"/>
      <c r="F2123" s="94"/>
      <c r="G2123" s="95"/>
      <c r="H2123" s="96"/>
      <c r="I2123" s="97"/>
      <c r="J2123" s="98"/>
      <c r="K2123" s="99"/>
    </row>
    <row r="2124" spans="1:11" ht="13.2">
      <c r="A2124" s="89"/>
      <c r="B2124" s="90"/>
      <c r="C2124" s="91"/>
      <c r="D2124" s="92"/>
      <c r="E2124" s="93"/>
      <c r="F2124" s="94"/>
      <c r="G2124" s="95"/>
      <c r="H2124" s="96"/>
      <c r="I2124" s="97"/>
      <c r="J2124" s="98"/>
      <c r="K2124" s="99"/>
    </row>
    <row r="2125" spans="1:11" ht="13.2">
      <c r="A2125" s="89"/>
      <c r="B2125" s="90"/>
      <c r="C2125" s="91"/>
      <c r="D2125" s="92"/>
      <c r="E2125" s="93"/>
      <c r="F2125" s="94"/>
      <c r="G2125" s="95"/>
      <c r="H2125" s="96"/>
      <c r="I2125" s="97"/>
      <c r="J2125" s="98"/>
      <c r="K2125" s="99"/>
    </row>
    <row r="2126" spans="1:11" ht="13.2">
      <c r="A2126" s="89"/>
      <c r="B2126" s="90"/>
      <c r="C2126" s="91"/>
      <c r="D2126" s="92"/>
      <c r="E2126" s="93"/>
      <c r="F2126" s="94"/>
      <c r="G2126" s="95"/>
      <c r="H2126" s="96"/>
      <c r="I2126" s="97"/>
      <c r="J2126" s="98"/>
      <c r="K2126" s="99"/>
    </row>
    <row r="2127" spans="1:11" ht="13.2">
      <c r="A2127" s="89"/>
      <c r="B2127" s="90"/>
      <c r="C2127" s="91"/>
      <c r="D2127" s="92"/>
      <c r="E2127" s="93"/>
      <c r="F2127" s="94"/>
      <c r="G2127" s="95"/>
      <c r="H2127" s="96"/>
      <c r="I2127" s="97"/>
      <c r="J2127" s="98"/>
      <c r="K2127" s="99"/>
    </row>
    <row r="2128" spans="1:11" ht="13.2">
      <c r="A2128" s="89"/>
      <c r="B2128" s="90"/>
      <c r="C2128" s="91"/>
      <c r="D2128" s="92"/>
      <c r="E2128" s="93"/>
      <c r="F2128" s="94"/>
      <c r="G2128" s="95"/>
      <c r="H2128" s="96"/>
      <c r="I2128" s="97"/>
      <c r="J2128" s="98"/>
      <c r="K2128" s="99"/>
    </row>
    <row r="2129" spans="1:11" ht="13.2">
      <c r="A2129" s="89"/>
      <c r="B2129" s="90"/>
      <c r="C2129" s="91"/>
      <c r="D2129" s="92"/>
      <c r="E2129" s="93"/>
      <c r="F2129" s="94"/>
      <c r="G2129" s="95"/>
      <c r="H2129" s="96"/>
      <c r="I2129" s="97"/>
      <c r="J2129" s="98"/>
      <c r="K2129" s="99"/>
    </row>
    <row r="2130" spans="1:11" ht="13.2">
      <c r="A2130" s="89"/>
      <c r="B2130" s="90"/>
      <c r="C2130" s="91"/>
      <c r="D2130" s="92"/>
      <c r="E2130" s="93"/>
      <c r="F2130" s="94"/>
      <c r="G2130" s="95"/>
      <c r="H2130" s="96"/>
      <c r="I2130" s="97"/>
      <c r="J2130" s="98"/>
      <c r="K2130" s="99"/>
    </row>
    <row r="2131" spans="1:11" ht="13.2">
      <c r="A2131" s="89"/>
      <c r="B2131" s="90"/>
      <c r="C2131" s="91"/>
      <c r="D2131" s="92"/>
      <c r="E2131" s="93"/>
      <c r="F2131" s="94"/>
      <c r="G2131" s="95"/>
      <c r="H2131" s="96"/>
      <c r="I2131" s="97"/>
      <c r="J2131" s="98"/>
      <c r="K2131" s="99"/>
    </row>
    <row r="2132" spans="1:11" ht="13.2">
      <c r="A2132" s="89"/>
      <c r="B2132" s="90"/>
      <c r="C2132" s="91"/>
      <c r="D2132" s="92"/>
      <c r="E2132" s="93"/>
      <c r="F2132" s="94"/>
      <c r="G2132" s="95"/>
      <c r="H2132" s="96"/>
      <c r="I2132" s="97"/>
      <c r="J2132" s="98"/>
      <c r="K2132" s="99"/>
    </row>
    <row r="2133" spans="1:11" ht="13.2">
      <c r="A2133" s="89"/>
      <c r="B2133" s="90"/>
      <c r="C2133" s="91"/>
      <c r="D2133" s="92"/>
      <c r="E2133" s="93"/>
      <c r="F2133" s="94"/>
      <c r="G2133" s="95"/>
      <c r="H2133" s="96"/>
      <c r="I2133" s="97"/>
      <c r="J2133" s="98"/>
      <c r="K2133" s="99"/>
    </row>
    <row r="2134" spans="1:11" ht="13.2">
      <c r="A2134" s="89"/>
      <c r="B2134" s="90"/>
      <c r="C2134" s="91"/>
      <c r="D2134" s="92"/>
      <c r="E2134" s="93"/>
      <c r="F2134" s="94"/>
      <c r="G2134" s="95"/>
      <c r="H2134" s="96"/>
      <c r="I2134" s="97"/>
      <c r="J2134" s="98"/>
      <c r="K2134" s="99"/>
    </row>
    <row r="2135" spans="1:11" ht="13.2">
      <c r="A2135" s="89"/>
      <c r="B2135" s="90"/>
      <c r="C2135" s="91"/>
      <c r="D2135" s="92"/>
      <c r="E2135" s="93"/>
      <c r="F2135" s="94"/>
      <c r="G2135" s="95"/>
      <c r="H2135" s="96"/>
      <c r="I2135" s="97"/>
      <c r="J2135" s="98"/>
      <c r="K2135" s="99"/>
    </row>
    <row r="2136" spans="1:11" ht="13.2">
      <c r="A2136" s="89"/>
      <c r="B2136" s="90"/>
      <c r="C2136" s="91"/>
      <c r="D2136" s="92"/>
      <c r="E2136" s="93"/>
      <c r="F2136" s="94"/>
      <c r="G2136" s="95"/>
      <c r="H2136" s="96"/>
      <c r="I2136" s="97"/>
      <c r="J2136" s="98"/>
      <c r="K2136" s="99"/>
    </row>
    <row r="2137" spans="1:11" ht="13.2">
      <c r="A2137" s="89"/>
      <c r="B2137" s="90"/>
      <c r="C2137" s="91"/>
      <c r="D2137" s="92"/>
      <c r="E2137" s="93"/>
      <c r="F2137" s="94"/>
      <c r="G2137" s="95"/>
      <c r="H2137" s="96"/>
      <c r="I2137" s="97"/>
      <c r="J2137" s="98"/>
      <c r="K2137" s="99"/>
    </row>
    <row r="2138" spans="1:11" ht="13.2">
      <c r="A2138" s="89"/>
      <c r="B2138" s="90"/>
      <c r="C2138" s="91"/>
      <c r="D2138" s="92"/>
      <c r="E2138" s="93"/>
      <c r="F2138" s="94"/>
      <c r="G2138" s="95"/>
      <c r="H2138" s="96"/>
      <c r="I2138" s="97"/>
      <c r="J2138" s="98"/>
      <c r="K2138" s="99"/>
    </row>
    <row r="2139" spans="1:11" ht="13.2">
      <c r="A2139" s="89"/>
      <c r="B2139" s="90"/>
      <c r="C2139" s="91"/>
      <c r="D2139" s="92"/>
      <c r="E2139" s="93"/>
      <c r="F2139" s="94"/>
      <c r="G2139" s="95"/>
      <c r="H2139" s="96"/>
      <c r="I2139" s="97"/>
      <c r="J2139" s="98"/>
      <c r="K2139" s="99"/>
    </row>
    <row r="2140" spans="1:11" ht="13.2">
      <c r="A2140" s="89"/>
      <c r="B2140" s="90"/>
      <c r="C2140" s="91"/>
      <c r="D2140" s="92"/>
      <c r="E2140" s="93"/>
      <c r="F2140" s="94"/>
      <c r="G2140" s="95"/>
      <c r="H2140" s="96"/>
      <c r="I2140" s="97"/>
      <c r="J2140" s="98"/>
      <c r="K2140" s="99"/>
    </row>
    <row r="2141" spans="1:11" ht="13.2">
      <c r="A2141" s="89"/>
      <c r="B2141" s="90"/>
      <c r="C2141" s="91"/>
      <c r="D2141" s="92"/>
      <c r="E2141" s="93"/>
      <c r="F2141" s="94"/>
      <c r="G2141" s="95"/>
      <c r="H2141" s="96"/>
      <c r="I2141" s="97"/>
      <c r="J2141" s="98"/>
      <c r="K2141" s="99"/>
    </row>
    <row r="2142" spans="1:11" ht="13.2">
      <c r="A2142" s="89"/>
      <c r="B2142" s="90"/>
      <c r="C2142" s="91"/>
      <c r="D2142" s="92"/>
      <c r="E2142" s="93"/>
      <c r="F2142" s="94"/>
      <c r="G2142" s="95"/>
      <c r="H2142" s="96"/>
      <c r="I2142" s="97"/>
      <c r="J2142" s="98"/>
      <c r="K2142" s="99"/>
    </row>
    <row r="2143" spans="1:11" ht="13.2">
      <c r="A2143" s="89"/>
      <c r="B2143" s="90"/>
      <c r="C2143" s="91"/>
      <c r="D2143" s="92"/>
      <c r="E2143" s="93"/>
      <c r="F2143" s="94"/>
      <c r="G2143" s="95"/>
      <c r="H2143" s="96"/>
      <c r="I2143" s="97"/>
      <c r="J2143" s="98"/>
      <c r="K2143" s="99"/>
    </row>
    <row r="2144" spans="1:11" ht="13.2">
      <c r="A2144" s="89"/>
      <c r="B2144" s="90"/>
      <c r="C2144" s="91"/>
      <c r="D2144" s="92"/>
      <c r="E2144" s="93"/>
      <c r="F2144" s="94"/>
      <c r="G2144" s="95"/>
      <c r="H2144" s="96"/>
      <c r="I2144" s="97"/>
      <c r="J2144" s="98"/>
      <c r="K2144" s="99"/>
    </row>
    <row r="2145" spans="1:11" ht="13.2">
      <c r="A2145" s="89"/>
      <c r="B2145" s="90"/>
      <c r="C2145" s="91"/>
      <c r="D2145" s="92"/>
      <c r="E2145" s="93"/>
      <c r="F2145" s="94"/>
      <c r="G2145" s="95"/>
      <c r="H2145" s="96"/>
      <c r="I2145" s="97"/>
      <c r="J2145" s="98"/>
      <c r="K2145" s="99"/>
    </row>
    <row r="2146" spans="1:11" ht="13.2">
      <c r="A2146" s="89"/>
      <c r="B2146" s="90"/>
      <c r="C2146" s="91"/>
      <c r="D2146" s="92"/>
      <c r="E2146" s="93"/>
      <c r="F2146" s="94"/>
      <c r="G2146" s="95"/>
      <c r="H2146" s="96"/>
      <c r="I2146" s="97"/>
      <c r="J2146" s="98"/>
      <c r="K2146" s="99"/>
    </row>
    <row r="2147" spans="1:11" ht="13.2">
      <c r="A2147" s="89"/>
      <c r="B2147" s="90"/>
      <c r="C2147" s="91"/>
      <c r="D2147" s="92"/>
      <c r="E2147" s="93"/>
      <c r="F2147" s="94"/>
      <c r="G2147" s="95"/>
      <c r="H2147" s="96"/>
      <c r="I2147" s="97"/>
      <c r="J2147" s="98"/>
      <c r="K2147" s="99"/>
    </row>
    <row r="2148" spans="1:11" ht="13.2">
      <c r="A2148" s="89"/>
      <c r="B2148" s="90"/>
      <c r="C2148" s="91"/>
      <c r="D2148" s="92"/>
      <c r="E2148" s="93"/>
      <c r="F2148" s="94"/>
      <c r="G2148" s="95"/>
      <c r="H2148" s="96"/>
      <c r="I2148" s="97"/>
      <c r="J2148" s="98"/>
      <c r="K2148" s="99"/>
    </row>
    <row r="2149" spans="1:11" ht="13.2">
      <c r="A2149" s="89"/>
      <c r="B2149" s="90"/>
      <c r="C2149" s="91"/>
      <c r="D2149" s="92"/>
      <c r="E2149" s="93"/>
      <c r="F2149" s="94"/>
      <c r="G2149" s="95"/>
      <c r="H2149" s="96"/>
      <c r="I2149" s="97"/>
      <c r="J2149" s="98"/>
      <c r="K2149" s="99"/>
    </row>
    <row r="2150" spans="1:11" ht="13.2">
      <c r="A2150" s="89"/>
      <c r="B2150" s="90"/>
      <c r="C2150" s="91"/>
      <c r="D2150" s="92"/>
      <c r="E2150" s="93"/>
      <c r="F2150" s="94"/>
      <c r="G2150" s="95"/>
      <c r="H2150" s="96"/>
      <c r="I2150" s="97"/>
      <c r="J2150" s="98"/>
      <c r="K2150" s="99"/>
    </row>
    <row r="2151" spans="1:11" ht="13.2">
      <c r="A2151" s="89"/>
      <c r="B2151" s="90"/>
      <c r="C2151" s="91"/>
      <c r="D2151" s="92"/>
      <c r="E2151" s="93"/>
      <c r="F2151" s="94"/>
      <c r="G2151" s="95"/>
      <c r="H2151" s="96"/>
      <c r="I2151" s="97"/>
      <c r="J2151" s="98"/>
      <c r="K2151" s="99"/>
    </row>
    <row r="2152" spans="1:11" ht="13.2">
      <c r="A2152" s="89"/>
      <c r="B2152" s="90"/>
      <c r="C2152" s="91"/>
      <c r="D2152" s="92"/>
      <c r="E2152" s="93"/>
      <c r="F2152" s="94"/>
      <c r="G2152" s="95"/>
      <c r="H2152" s="96"/>
      <c r="I2152" s="97"/>
      <c r="J2152" s="98"/>
      <c r="K2152" s="99"/>
    </row>
    <row r="2153" spans="1:11" ht="13.2">
      <c r="A2153" s="89"/>
      <c r="B2153" s="90"/>
      <c r="C2153" s="91"/>
      <c r="D2153" s="92"/>
      <c r="E2153" s="93"/>
      <c r="F2153" s="94"/>
      <c r="G2153" s="95"/>
      <c r="H2153" s="96"/>
      <c r="I2153" s="97"/>
      <c r="J2153" s="98"/>
      <c r="K2153" s="99"/>
    </row>
    <row r="2154" spans="1:11" ht="13.2">
      <c r="A2154" s="89"/>
      <c r="B2154" s="90"/>
      <c r="C2154" s="91"/>
      <c r="D2154" s="92"/>
      <c r="E2154" s="93"/>
      <c r="F2154" s="94"/>
      <c r="G2154" s="95"/>
      <c r="H2154" s="96"/>
      <c r="I2154" s="97"/>
      <c r="J2154" s="98"/>
      <c r="K2154" s="99"/>
    </row>
    <row r="2155" spans="1:11" ht="13.2">
      <c r="A2155" s="89"/>
      <c r="B2155" s="90"/>
      <c r="C2155" s="91"/>
      <c r="D2155" s="92"/>
      <c r="E2155" s="93"/>
      <c r="F2155" s="94"/>
      <c r="G2155" s="95"/>
      <c r="H2155" s="96"/>
      <c r="I2155" s="97"/>
      <c r="J2155" s="98"/>
      <c r="K2155" s="99"/>
    </row>
    <row r="2156" spans="1:11" ht="13.2">
      <c r="A2156" s="89"/>
      <c r="B2156" s="90"/>
      <c r="C2156" s="91"/>
      <c r="D2156" s="92"/>
      <c r="E2156" s="93"/>
      <c r="F2156" s="94"/>
      <c r="G2156" s="95"/>
      <c r="H2156" s="96"/>
      <c r="I2156" s="97"/>
      <c r="J2156" s="98"/>
      <c r="K2156" s="99"/>
    </row>
    <row r="2157" spans="1:11" ht="13.2">
      <c r="A2157" s="89"/>
      <c r="B2157" s="90"/>
      <c r="C2157" s="91"/>
      <c r="D2157" s="92"/>
      <c r="E2157" s="93"/>
      <c r="F2157" s="94"/>
      <c r="G2157" s="95"/>
      <c r="H2157" s="96"/>
      <c r="I2157" s="97"/>
      <c r="J2157" s="98"/>
      <c r="K2157" s="99"/>
    </row>
    <row r="2158" spans="1:11" ht="13.2">
      <c r="A2158" s="89"/>
      <c r="B2158" s="90"/>
      <c r="C2158" s="91"/>
      <c r="D2158" s="92"/>
      <c r="E2158" s="93"/>
      <c r="F2158" s="94"/>
      <c r="G2158" s="95"/>
      <c r="H2158" s="96"/>
      <c r="I2158" s="97"/>
      <c r="J2158" s="98"/>
      <c r="K2158" s="99"/>
    </row>
    <row r="2159" spans="1:11" ht="13.2">
      <c r="A2159" s="89"/>
      <c r="B2159" s="90"/>
      <c r="C2159" s="91"/>
      <c r="D2159" s="92"/>
      <c r="E2159" s="93"/>
      <c r="F2159" s="94"/>
      <c r="G2159" s="95"/>
      <c r="H2159" s="96"/>
      <c r="I2159" s="97"/>
      <c r="J2159" s="98"/>
      <c r="K2159" s="99"/>
    </row>
    <row r="2160" spans="1:11" ht="13.2">
      <c r="A2160" s="89"/>
      <c r="B2160" s="90"/>
      <c r="C2160" s="91"/>
      <c r="D2160" s="92"/>
      <c r="E2160" s="93"/>
      <c r="F2160" s="94"/>
      <c r="G2160" s="95"/>
      <c r="H2160" s="96"/>
      <c r="I2160" s="97"/>
      <c r="J2160" s="98"/>
      <c r="K2160" s="99"/>
    </row>
    <row r="2161" spans="1:11" ht="13.2">
      <c r="A2161" s="89"/>
      <c r="B2161" s="90"/>
      <c r="C2161" s="91"/>
      <c r="D2161" s="92"/>
      <c r="E2161" s="93"/>
      <c r="F2161" s="94"/>
      <c r="G2161" s="95"/>
      <c r="H2161" s="96"/>
      <c r="I2161" s="97"/>
      <c r="J2161" s="98"/>
      <c r="K2161" s="99"/>
    </row>
    <row r="2162" spans="1:11" ht="13.2">
      <c r="A2162" s="89"/>
      <c r="B2162" s="90"/>
      <c r="C2162" s="91"/>
      <c r="D2162" s="92"/>
      <c r="E2162" s="93"/>
      <c r="F2162" s="94"/>
      <c r="G2162" s="95"/>
      <c r="H2162" s="96"/>
      <c r="I2162" s="97"/>
      <c r="J2162" s="98"/>
      <c r="K2162" s="99"/>
    </row>
    <row r="2163" spans="1:11" ht="13.2">
      <c r="A2163" s="89"/>
      <c r="B2163" s="90"/>
      <c r="C2163" s="91"/>
      <c r="D2163" s="92"/>
      <c r="E2163" s="93"/>
      <c r="F2163" s="94"/>
      <c r="G2163" s="95"/>
      <c r="H2163" s="96"/>
      <c r="I2163" s="97"/>
      <c r="J2163" s="98"/>
      <c r="K2163" s="99"/>
    </row>
    <row r="2164" spans="1:11" ht="13.2">
      <c r="A2164" s="89"/>
      <c r="B2164" s="90"/>
      <c r="C2164" s="91"/>
      <c r="D2164" s="92"/>
      <c r="E2164" s="93"/>
      <c r="F2164" s="94"/>
      <c r="G2164" s="95"/>
      <c r="H2164" s="96"/>
      <c r="I2164" s="97"/>
      <c r="J2164" s="98"/>
      <c r="K2164" s="99"/>
    </row>
    <row r="2165" spans="1:11" ht="13.2">
      <c r="A2165" s="89"/>
      <c r="B2165" s="90"/>
      <c r="C2165" s="91"/>
      <c r="D2165" s="92"/>
      <c r="E2165" s="93"/>
      <c r="F2165" s="94"/>
      <c r="G2165" s="95"/>
      <c r="H2165" s="96"/>
      <c r="I2165" s="97"/>
      <c r="J2165" s="98"/>
      <c r="K2165" s="99"/>
    </row>
    <row r="2166" spans="1:11" ht="13.2">
      <c r="A2166" s="89"/>
      <c r="B2166" s="90"/>
      <c r="C2166" s="91"/>
      <c r="D2166" s="92"/>
      <c r="E2166" s="93"/>
      <c r="F2166" s="94"/>
      <c r="G2166" s="95"/>
      <c r="H2166" s="96"/>
      <c r="I2166" s="97"/>
      <c r="J2166" s="98"/>
      <c r="K2166" s="99"/>
    </row>
    <row r="2167" spans="1:11" ht="13.2">
      <c r="A2167" s="89"/>
      <c r="B2167" s="90"/>
      <c r="C2167" s="91"/>
      <c r="D2167" s="92"/>
      <c r="E2167" s="93"/>
      <c r="F2167" s="94"/>
      <c r="G2167" s="95"/>
      <c r="H2167" s="96"/>
      <c r="I2167" s="97"/>
      <c r="J2167" s="98"/>
      <c r="K2167" s="99"/>
    </row>
    <row r="2168" spans="1:11" ht="13.2">
      <c r="A2168" s="89"/>
      <c r="B2168" s="90"/>
      <c r="C2168" s="91"/>
      <c r="D2168" s="92"/>
      <c r="E2168" s="93"/>
      <c r="F2168" s="94"/>
      <c r="G2168" s="95"/>
      <c r="H2168" s="96"/>
      <c r="I2168" s="97"/>
      <c r="J2168" s="98"/>
      <c r="K2168" s="99"/>
    </row>
    <row r="2169" spans="1:11" ht="13.2">
      <c r="A2169" s="89"/>
      <c r="B2169" s="90"/>
      <c r="C2169" s="91"/>
      <c r="D2169" s="92"/>
      <c r="E2169" s="93"/>
      <c r="F2169" s="94"/>
      <c r="G2169" s="95"/>
      <c r="H2169" s="96"/>
      <c r="I2169" s="97"/>
      <c r="J2169" s="98"/>
      <c r="K2169" s="99"/>
    </row>
    <row r="2170" spans="1:11" ht="13.2">
      <c r="A2170" s="89"/>
      <c r="B2170" s="90"/>
      <c r="C2170" s="91"/>
      <c r="D2170" s="92"/>
      <c r="E2170" s="93"/>
      <c r="F2170" s="94"/>
      <c r="G2170" s="95"/>
      <c r="H2170" s="96"/>
      <c r="I2170" s="97"/>
      <c r="J2170" s="98"/>
      <c r="K2170" s="99"/>
    </row>
    <row r="2171" spans="1:11" ht="13.2">
      <c r="A2171" s="89"/>
      <c r="B2171" s="90"/>
      <c r="C2171" s="91"/>
      <c r="D2171" s="92"/>
      <c r="E2171" s="93"/>
      <c r="F2171" s="94"/>
      <c r="G2171" s="95"/>
      <c r="H2171" s="96"/>
      <c r="I2171" s="97"/>
      <c r="J2171" s="98"/>
      <c r="K2171" s="99"/>
    </row>
    <row r="2172" spans="1:11" ht="13.2">
      <c r="A2172" s="89"/>
      <c r="B2172" s="90"/>
      <c r="C2172" s="91"/>
      <c r="D2172" s="92"/>
      <c r="E2172" s="93"/>
      <c r="F2172" s="94"/>
      <c r="G2172" s="95"/>
      <c r="H2172" s="96"/>
      <c r="I2172" s="97"/>
      <c r="J2172" s="98"/>
      <c r="K2172" s="99"/>
    </row>
    <row r="2173" spans="1:11" ht="13.2">
      <c r="A2173" s="89"/>
      <c r="B2173" s="90"/>
      <c r="C2173" s="91"/>
      <c r="D2173" s="92"/>
      <c r="E2173" s="93"/>
      <c r="F2173" s="94"/>
      <c r="G2173" s="95"/>
      <c r="H2173" s="96"/>
      <c r="I2173" s="97"/>
      <c r="J2173" s="98"/>
      <c r="K2173" s="99"/>
    </row>
    <row r="2174" spans="1:11" ht="13.2">
      <c r="A2174" s="89"/>
      <c r="B2174" s="90"/>
      <c r="C2174" s="91"/>
      <c r="D2174" s="92"/>
      <c r="E2174" s="93"/>
      <c r="F2174" s="94"/>
      <c r="G2174" s="95"/>
      <c r="H2174" s="96"/>
      <c r="I2174" s="97"/>
      <c r="J2174" s="98"/>
      <c r="K2174" s="99"/>
    </row>
    <row r="2175" spans="1:11" ht="13.2">
      <c r="A2175" s="89"/>
      <c r="B2175" s="90"/>
      <c r="C2175" s="91"/>
      <c r="D2175" s="92"/>
      <c r="E2175" s="93"/>
      <c r="F2175" s="94"/>
      <c r="G2175" s="95"/>
      <c r="H2175" s="96"/>
      <c r="I2175" s="97"/>
      <c r="J2175" s="98"/>
      <c r="K2175" s="99"/>
    </row>
    <row r="2176" spans="1:11" ht="13.2">
      <c r="A2176" s="89"/>
      <c r="B2176" s="90"/>
      <c r="C2176" s="91"/>
      <c r="D2176" s="92"/>
      <c r="E2176" s="93"/>
      <c r="F2176" s="94"/>
      <c r="G2176" s="95"/>
      <c r="H2176" s="96"/>
      <c r="I2176" s="97"/>
      <c r="J2176" s="98"/>
      <c r="K2176" s="99"/>
    </row>
    <row r="2177" spans="1:11" ht="13.2">
      <c r="A2177" s="89"/>
      <c r="B2177" s="90"/>
      <c r="C2177" s="91"/>
      <c r="D2177" s="92"/>
      <c r="E2177" s="93"/>
      <c r="F2177" s="94"/>
      <c r="G2177" s="95"/>
      <c r="H2177" s="96"/>
      <c r="I2177" s="97"/>
      <c r="J2177" s="98"/>
      <c r="K2177" s="99"/>
    </row>
    <row r="2178" spans="1:11" ht="13.2">
      <c r="A2178" s="89"/>
      <c r="B2178" s="90"/>
      <c r="C2178" s="91"/>
      <c r="D2178" s="92"/>
      <c r="E2178" s="93"/>
      <c r="F2178" s="94"/>
      <c r="G2178" s="95"/>
      <c r="H2178" s="96"/>
      <c r="I2178" s="97"/>
      <c r="J2178" s="98"/>
      <c r="K2178" s="99"/>
    </row>
    <row r="2179" spans="1:11" ht="13.2">
      <c r="A2179" s="89"/>
      <c r="B2179" s="90"/>
      <c r="C2179" s="91"/>
      <c r="D2179" s="92"/>
      <c r="E2179" s="93"/>
      <c r="F2179" s="94"/>
      <c r="G2179" s="95"/>
      <c r="H2179" s="96"/>
      <c r="I2179" s="97"/>
      <c r="J2179" s="98"/>
      <c r="K2179" s="99"/>
    </row>
    <row r="2180" spans="1:11" ht="13.2">
      <c r="A2180" s="89"/>
      <c r="B2180" s="90"/>
      <c r="C2180" s="91"/>
      <c r="D2180" s="92"/>
      <c r="E2180" s="93"/>
      <c r="F2180" s="94"/>
      <c r="G2180" s="95"/>
      <c r="H2180" s="96"/>
      <c r="I2180" s="97"/>
      <c r="J2180" s="98"/>
      <c r="K2180" s="99"/>
    </row>
    <row r="2181" spans="1:11" ht="13.2">
      <c r="A2181" s="89"/>
      <c r="B2181" s="90"/>
      <c r="C2181" s="91"/>
      <c r="D2181" s="92"/>
      <c r="E2181" s="93"/>
      <c r="F2181" s="94"/>
      <c r="G2181" s="95"/>
      <c r="H2181" s="96"/>
      <c r="I2181" s="97"/>
      <c r="J2181" s="98"/>
      <c r="K2181" s="99"/>
    </row>
    <row r="2182" spans="1:11" ht="13.2">
      <c r="A2182" s="89"/>
      <c r="B2182" s="90"/>
      <c r="C2182" s="91"/>
      <c r="D2182" s="92"/>
      <c r="E2182" s="93"/>
      <c r="F2182" s="94"/>
      <c r="G2182" s="95"/>
      <c r="H2182" s="96"/>
      <c r="I2182" s="97"/>
      <c r="J2182" s="98"/>
      <c r="K2182" s="99"/>
    </row>
    <row r="2183" spans="1:11" ht="13.2">
      <c r="A2183" s="89"/>
      <c r="B2183" s="90"/>
      <c r="C2183" s="91"/>
      <c r="D2183" s="92"/>
      <c r="E2183" s="93"/>
      <c r="F2183" s="94"/>
      <c r="G2183" s="95"/>
      <c r="H2183" s="96"/>
      <c r="I2183" s="97"/>
      <c r="J2183" s="98"/>
      <c r="K2183" s="99"/>
    </row>
    <row r="2184" spans="1:11" ht="13.2">
      <c r="A2184" s="89"/>
      <c r="B2184" s="90"/>
      <c r="C2184" s="91"/>
      <c r="D2184" s="92"/>
      <c r="E2184" s="93"/>
      <c r="F2184" s="94"/>
      <c r="G2184" s="95"/>
      <c r="H2184" s="96"/>
      <c r="I2184" s="97"/>
      <c r="J2184" s="98"/>
      <c r="K2184" s="99"/>
    </row>
    <row r="2185" spans="1:11" ht="13.2">
      <c r="A2185" s="89"/>
      <c r="B2185" s="90"/>
      <c r="C2185" s="91"/>
      <c r="D2185" s="92"/>
      <c r="E2185" s="93"/>
      <c r="F2185" s="94"/>
      <c r="G2185" s="95"/>
      <c r="H2185" s="96"/>
      <c r="I2185" s="97"/>
      <c r="J2185" s="98"/>
      <c r="K2185" s="99"/>
    </row>
    <row r="2186" spans="1:11" ht="13.2">
      <c r="A2186" s="89"/>
      <c r="B2186" s="90"/>
      <c r="C2186" s="91"/>
      <c r="D2186" s="92"/>
      <c r="E2186" s="93"/>
      <c r="F2186" s="94"/>
      <c r="G2186" s="95"/>
      <c r="H2186" s="96"/>
      <c r="I2186" s="97"/>
      <c r="J2186" s="98"/>
      <c r="K2186" s="99"/>
    </row>
    <row r="2187" spans="1:11" ht="13.2">
      <c r="A2187" s="89"/>
      <c r="B2187" s="90"/>
      <c r="C2187" s="91"/>
      <c r="D2187" s="92"/>
      <c r="E2187" s="93"/>
      <c r="F2187" s="94"/>
      <c r="G2187" s="95"/>
      <c r="H2187" s="96"/>
      <c r="I2187" s="97"/>
      <c r="J2187" s="98"/>
      <c r="K2187" s="99"/>
    </row>
    <row r="2188" spans="1:11" ht="13.2">
      <c r="A2188" s="89"/>
      <c r="B2188" s="90"/>
      <c r="C2188" s="91"/>
      <c r="D2188" s="92"/>
      <c r="E2188" s="93"/>
      <c r="F2188" s="94"/>
      <c r="G2188" s="95"/>
      <c r="H2188" s="96"/>
      <c r="I2188" s="97"/>
      <c r="J2188" s="98"/>
      <c r="K2188" s="99"/>
    </row>
    <row r="2189" spans="1:11" ht="13.2">
      <c r="A2189" s="89"/>
      <c r="B2189" s="90"/>
      <c r="C2189" s="91"/>
      <c r="D2189" s="92"/>
      <c r="E2189" s="93"/>
      <c r="F2189" s="94"/>
      <c r="G2189" s="95"/>
      <c r="H2189" s="96"/>
      <c r="I2189" s="97"/>
      <c r="J2189" s="98"/>
      <c r="K2189" s="99"/>
    </row>
    <row r="2190" spans="1:11" ht="13.2">
      <c r="A2190" s="89"/>
      <c r="B2190" s="90"/>
      <c r="C2190" s="91"/>
      <c r="D2190" s="92"/>
      <c r="E2190" s="93"/>
      <c r="F2190" s="94"/>
      <c r="G2190" s="95"/>
      <c r="H2190" s="96"/>
      <c r="I2190" s="97"/>
      <c r="J2190" s="98"/>
      <c r="K2190" s="99"/>
    </row>
    <row r="2191" spans="1:11" ht="13.2">
      <c r="A2191" s="89"/>
      <c r="B2191" s="90"/>
      <c r="C2191" s="91"/>
      <c r="D2191" s="92"/>
      <c r="E2191" s="93"/>
      <c r="F2191" s="94"/>
      <c r="G2191" s="95"/>
      <c r="H2191" s="96"/>
      <c r="I2191" s="97"/>
      <c r="J2191" s="98"/>
      <c r="K2191" s="99"/>
    </row>
    <row r="2192" spans="1:11" ht="13.2">
      <c r="A2192" s="89"/>
      <c r="B2192" s="90"/>
      <c r="C2192" s="91"/>
      <c r="D2192" s="92"/>
      <c r="E2192" s="93"/>
      <c r="F2192" s="94"/>
      <c r="G2192" s="95"/>
      <c r="H2192" s="96"/>
      <c r="I2192" s="97"/>
      <c r="J2192" s="98"/>
      <c r="K2192" s="99"/>
    </row>
    <row r="2193" spans="1:11" ht="13.2">
      <c r="A2193" s="89"/>
      <c r="B2193" s="90"/>
      <c r="C2193" s="91"/>
      <c r="D2193" s="92"/>
      <c r="E2193" s="93"/>
      <c r="F2193" s="94"/>
      <c r="G2193" s="95"/>
      <c r="H2193" s="96"/>
      <c r="I2193" s="97"/>
      <c r="J2193" s="98"/>
      <c r="K2193" s="99"/>
    </row>
    <row r="2194" spans="1:11" ht="13.2">
      <c r="A2194" s="89"/>
      <c r="B2194" s="90"/>
      <c r="C2194" s="91"/>
      <c r="D2194" s="92"/>
      <c r="E2194" s="93"/>
      <c r="F2194" s="94"/>
      <c r="G2194" s="95"/>
      <c r="H2194" s="96"/>
      <c r="I2194" s="97"/>
      <c r="J2194" s="98"/>
      <c r="K2194" s="99"/>
    </row>
    <row r="2195" spans="1:11" ht="13.2">
      <c r="A2195" s="89"/>
      <c r="B2195" s="90"/>
      <c r="C2195" s="91"/>
      <c r="D2195" s="92"/>
      <c r="E2195" s="93"/>
      <c r="F2195" s="94"/>
      <c r="G2195" s="95"/>
      <c r="H2195" s="96"/>
      <c r="I2195" s="97"/>
      <c r="J2195" s="98"/>
      <c r="K2195" s="99"/>
    </row>
    <row r="2196" spans="1:11" ht="13.2">
      <c r="A2196" s="89"/>
      <c r="B2196" s="90"/>
      <c r="C2196" s="91"/>
      <c r="D2196" s="92"/>
      <c r="E2196" s="93"/>
      <c r="F2196" s="94"/>
      <c r="G2196" s="95"/>
      <c r="H2196" s="96"/>
      <c r="I2196" s="97"/>
      <c r="J2196" s="98"/>
      <c r="K2196" s="99"/>
    </row>
    <row r="2197" spans="1:11" ht="13.2">
      <c r="A2197" s="89"/>
      <c r="B2197" s="90"/>
      <c r="C2197" s="91"/>
      <c r="D2197" s="92"/>
      <c r="E2197" s="93"/>
      <c r="F2197" s="94"/>
      <c r="G2197" s="95"/>
      <c r="H2197" s="96"/>
      <c r="I2197" s="97"/>
      <c r="J2197" s="98"/>
      <c r="K2197" s="99"/>
    </row>
    <row r="2198" spans="1:11" ht="13.2">
      <c r="A2198" s="89"/>
      <c r="B2198" s="90"/>
      <c r="C2198" s="91"/>
      <c r="D2198" s="92"/>
      <c r="E2198" s="93"/>
      <c r="F2198" s="94"/>
      <c r="G2198" s="95"/>
      <c r="H2198" s="96"/>
      <c r="I2198" s="97"/>
      <c r="J2198" s="98"/>
      <c r="K2198" s="99"/>
    </row>
    <row r="2199" spans="1:11" ht="13.2">
      <c r="A2199" s="89"/>
      <c r="B2199" s="90"/>
      <c r="C2199" s="91"/>
      <c r="D2199" s="92"/>
      <c r="E2199" s="93"/>
      <c r="F2199" s="94"/>
      <c r="G2199" s="95"/>
      <c r="H2199" s="96"/>
      <c r="I2199" s="97"/>
      <c r="J2199" s="98"/>
      <c r="K2199" s="99"/>
    </row>
    <row r="2200" spans="1:11" ht="13.2">
      <c r="A2200" s="89"/>
      <c r="B2200" s="90"/>
      <c r="C2200" s="91"/>
      <c r="D2200" s="92"/>
      <c r="E2200" s="93"/>
      <c r="F2200" s="94"/>
      <c r="G2200" s="95"/>
      <c r="H2200" s="96"/>
      <c r="I2200" s="97"/>
      <c r="J2200" s="98"/>
      <c r="K2200" s="99"/>
    </row>
    <row r="2201" spans="1:11" ht="13.2">
      <c r="A2201" s="89"/>
      <c r="B2201" s="90"/>
      <c r="C2201" s="91"/>
      <c r="D2201" s="92"/>
      <c r="E2201" s="93"/>
      <c r="F2201" s="94"/>
      <c r="G2201" s="95"/>
      <c r="H2201" s="96"/>
      <c r="I2201" s="97"/>
      <c r="J2201" s="98"/>
      <c r="K2201" s="99"/>
    </row>
    <row r="2202" spans="1:11" ht="13.2">
      <c r="A2202" s="89"/>
      <c r="B2202" s="90"/>
      <c r="C2202" s="91"/>
      <c r="D2202" s="92"/>
      <c r="E2202" s="93"/>
      <c r="F2202" s="94"/>
      <c r="G2202" s="95"/>
      <c r="H2202" s="96"/>
      <c r="I2202" s="97"/>
      <c r="J2202" s="98"/>
      <c r="K2202" s="99"/>
    </row>
    <row r="2203" spans="1:11" ht="13.2">
      <c r="A2203" s="89"/>
      <c r="B2203" s="90"/>
      <c r="C2203" s="91"/>
      <c r="D2203" s="92"/>
      <c r="E2203" s="93"/>
      <c r="F2203" s="94"/>
      <c r="G2203" s="95"/>
      <c r="H2203" s="96"/>
      <c r="I2203" s="97"/>
      <c r="J2203" s="98"/>
      <c r="K2203" s="99"/>
    </row>
    <row r="2204" spans="1:11" ht="13.2">
      <c r="A2204" s="89"/>
      <c r="B2204" s="90"/>
      <c r="C2204" s="91"/>
      <c r="D2204" s="92"/>
      <c r="E2204" s="93"/>
      <c r="F2204" s="94"/>
      <c r="G2204" s="95"/>
      <c r="H2204" s="96"/>
      <c r="I2204" s="97"/>
      <c r="J2204" s="98"/>
      <c r="K2204" s="99"/>
    </row>
    <row r="2205" spans="1:11" ht="13.2">
      <c r="A2205" s="89"/>
      <c r="B2205" s="90"/>
      <c r="C2205" s="91"/>
      <c r="D2205" s="92"/>
      <c r="E2205" s="93"/>
      <c r="F2205" s="94"/>
      <c r="G2205" s="95"/>
      <c r="H2205" s="96"/>
      <c r="I2205" s="97"/>
      <c r="J2205" s="98"/>
      <c r="K2205" s="99"/>
    </row>
    <row r="2206" spans="1:11" ht="13.2">
      <c r="A2206" s="89"/>
      <c r="B2206" s="90"/>
      <c r="C2206" s="91"/>
      <c r="D2206" s="92"/>
      <c r="E2206" s="93"/>
      <c r="F2206" s="94"/>
      <c r="G2206" s="95"/>
      <c r="H2206" s="96"/>
      <c r="I2206" s="97"/>
      <c r="J2206" s="98"/>
      <c r="K2206" s="99"/>
    </row>
    <row r="2207" spans="1:11" ht="13.2">
      <c r="A2207" s="89"/>
      <c r="B2207" s="90"/>
      <c r="C2207" s="91"/>
      <c r="D2207" s="92"/>
      <c r="E2207" s="93"/>
      <c r="F2207" s="94"/>
      <c r="G2207" s="95"/>
      <c r="H2207" s="96"/>
      <c r="I2207" s="97"/>
      <c r="J2207" s="98"/>
      <c r="K2207" s="99"/>
    </row>
    <row r="2208" spans="1:11" ht="13.2">
      <c r="A2208" s="89"/>
      <c r="B2208" s="90"/>
      <c r="C2208" s="91"/>
      <c r="D2208" s="92"/>
      <c r="E2208" s="93"/>
      <c r="F2208" s="94"/>
      <c r="G2208" s="95"/>
      <c r="H2208" s="96"/>
      <c r="I2208" s="97"/>
      <c r="J2208" s="98"/>
      <c r="K2208" s="99"/>
    </row>
    <row r="2209" spans="1:11" ht="13.2">
      <c r="A2209" s="89"/>
      <c r="B2209" s="90"/>
      <c r="C2209" s="91"/>
      <c r="D2209" s="92"/>
      <c r="E2209" s="93"/>
      <c r="F2209" s="94"/>
      <c r="G2209" s="95"/>
      <c r="H2209" s="96"/>
      <c r="I2209" s="97"/>
      <c r="J2209" s="98"/>
      <c r="K2209" s="99"/>
    </row>
    <row r="2210" spans="1:11" ht="13.2">
      <c r="A2210" s="89"/>
      <c r="B2210" s="90"/>
      <c r="C2210" s="91"/>
      <c r="D2210" s="92"/>
      <c r="E2210" s="93"/>
      <c r="F2210" s="94"/>
      <c r="G2210" s="95"/>
      <c r="H2210" s="96"/>
      <c r="I2210" s="97"/>
      <c r="J2210" s="98"/>
      <c r="K2210" s="99"/>
    </row>
    <row r="2211" spans="1:11" ht="13.2">
      <c r="A2211" s="89"/>
      <c r="B2211" s="90"/>
      <c r="C2211" s="91"/>
      <c r="D2211" s="92"/>
      <c r="E2211" s="93"/>
      <c r="F2211" s="94"/>
      <c r="G2211" s="95"/>
      <c r="H2211" s="96"/>
      <c r="I2211" s="97"/>
      <c r="J2211" s="98"/>
      <c r="K2211" s="99"/>
    </row>
    <row r="2212" spans="1:11" ht="13.2">
      <c r="A2212" s="89"/>
      <c r="B2212" s="90"/>
      <c r="C2212" s="91"/>
      <c r="D2212" s="92"/>
      <c r="E2212" s="93"/>
      <c r="F2212" s="94"/>
      <c r="G2212" s="95"/>
      <c r="H2212" s="96"/>
      <c r="I2212" s="97"/>
      <c r="J2212" s="98"/>
      <c r="K2212" s="99"/>
    </row>
    <row r="2213" spans="1:11" ht="13.2">
      <c r="A2213" s="89"/>
      <c r="B2213" s="90"/>
      <c r="C2213" s="91"/>
      <c r="D2213" s="92"/>
      <c r="E2213" s="93"/>
      <c r="F2213" s="94"/>
      <c r="G2213" s="95"/>
      <c r="H2213" s="96"/>
      <c r="I2213" s="97"/>
      <c r="J2213" s="98"/>
      <c r="K2213" s="99"/>
    </row>
    <row r="2214" spans="1:11" ht="13.2">
      <c r="A2214" s="89"/>
      <c r="B2214" s="90"/>
      <c r="C2214" s="91"/>
      <c r="D2214" s="92"/>
      <c r="E2214" s="93"/>
      <c r="F2214" s="94"/>
      <c r="G2214" s="95"/>
      <c r="H2214" s="96"/>
      <c r="I2214" s="97"/>
      <c r="J2214" s="98"/>
      <c r="K2214" s="99"/>
    </row>
    <row r="2215" spans="1:11" ht="13.2">
      <c r="A2215" s="89"/>
      <c r="B2215" s="90"/>
      <c r="C2215" s="91"/>
      <c r="D2215" s="92"/>
      <c r="E2215" s="93"/>
      <c r="F2215" s="94"/>
      <c r="G2215" s="95"/>
      <c r="H2215" s="96"/>
      <c r="I2215" s="97"/>
      <c r="J2215" s="98"/>
      <c r="K2215" s="99"/>
    </row>
    <row r="2216" spans="1:11" ht="13.2">
      <c r="A2216" s="89"/>
      <c r="B2216" s="90"/>
      <c r="C2216" s="91"/>
      <c r="D2216" s="92"/>
      <c r="E2216" s="93"/>
      <c r="F2216" s="94"/>
      <c r="G2216" s="95"/>
      <c r="H2216" s="96"/>
      <c r="I2216" s="97"/>
      <c r="J2216" s="98"/>
      <c r="K2216" s="99"/>
    </row>
    <row r="2217" spans="1:11" ht="13.2">
      <c r="A2217" s="89"/>
      <c r="B2217" s="90"/>
      <c r="C2217" s="91"/>
      <c r="D2217" s="92"/>
      <c r="E2217" s="93"/>
      <c r="F2217" s="94"/>
      <c r="G2217" s="95"/>
      <c r="H2217" s="96"/>
      <c r="I2217" s="97"/>
      <c r="J2217" s="98"/>
      <c r="K2217" s="99"/>
    </row>
    <row r="2218" spans="1:11" ht="13.2">
      <c r="A2218" s="89"/>
      <c r="B2218" s="90"/>
      <c r="C2218" s="91"/>
      <c r="D2218" s="92"/>
      <c r="E2218" s="93"/>
      <c r="F2218" s="94"/>
      <c r="G2218" s="95"/>
      <c r="H2218" s="96"/>
      <c r="I2218" s="97"/>
      <c r="J2218" s="98"/>
      <c r="K2218" s="99"/>
    </row>
    <row r="2219" spans="1:11" ht="13.2">
      <c r="A2219" s="89"/>
      <c r="B2219" s="90"/>
      <c r="C2219" s="91"/>
      <c r="D2219" s="92"/>
      <c r="E2219" s="93"/>
      <c r="F2219" s="94"/>
      <c r="G2219" s="95"/>
      <c r="H2219" s="96"/>
      <c r="I2219" s="97"/>
      <c r="J2219" s="98"/>
      <c r="K2219" s="99"/>
    </row>
    <row r="2220" spans="1:11" ht="13.2">
      <c r="A2220" s="89"/>
      <c r="B2220" s="90"/>
      <c r="C2220" s="91"/>
      <c r="D2220" s="92"/>
      <c r="E2220" s="93"/>
      <c r="F2220" s="94"/>
      <c r="G2220" s="95"/>
      <c r="H2220" s="96"/>
      <c r="I2220" s="97"/>
      <c r="J2220" s="98"/>
      <c r="K2220" s="99"/>
    </row>
    <row r="2221" spans="1:11" ht="13.2">
      <c r="A2221" s="89"/>
      <c r="B2221" s="90"/>
      <c r="C2221" s="91"/>
      <c r="D2221" s="92"/>
      <c r="E2221" s="93"/>
      <c r="F2221" s="94"/>
      <c r="G2221" s="95"/>
      <c r="H2221" s="96"/>
      <c r="I2221" s="97"/>
      <c r="J2221" s="98"/>
      <c r="K2221" s="99"/>
    </row>
    <row r="2222" spans="1:11" ht="13.2">
      <c r="A2222" s="89"/>
      <c r="B2222" s="90"/>
      <c r="C2222" s="91"/>
      <c r="D2222" s="92"/>
      <c r="E2222" s="93"/>
      <c r="F2222" s="94"/>
      <c r="G2222" s="95"/>
      <c r="H2222" s="96"/>
      <c r="I2222" s="97"/>
      <c r="J2222" s="98"/>
      <c r="K2222" s="99"/>
    </row>
    <row r="2223" spans="1:11" ht="13.2">
      <c r="A2223" s="89"/>
      <c r="B2223" s="90"/>
      <c r="C2223" s="91"/>
      <c r="D2223" s="92"/>
      <c r="E2223" s="93"/>
      <c r="F2223" s="94"/>
      <c r="G2223" s="95"/>
      <c r="H2223" s="96"/>
      <c r="I2223" s="97"/>
      <c r="J2223" s="98"/>
      <c r="K2223" s="99"/>
    </row>
    <row r="2224" spans="1:11" ht="13.2">
      <c r="A2224" s="89"/>
      <c r="B2224" s="90"/>
      <c r="C2224" s="91"/>
      <c r="D2224" s="92"/>
      <c r="E2224" s="93"/>
      <c r="F2224" s="94"/>
      <c r="G2224" s="95"/>
      <c r="H2224" s="96"/>
      <c r="I2224" s="97"/>
      <c r="J2224" s="98"/>
      <c r="K2224" s="99"/>
    </row>
    <row r="2225" spans="1:11" ht="13.2">
      <c r="A2225" s="89"/>
      <c r="B2225" s="90"/>
      <c r="C2225" s="91"/>
      <c r="D2225" s="92"/>
      <c r="E2225" s="93"/>
      <c r="F2225" s="94"/>
      <c r="G2225" s="95"/>
      <c r="H2225" s="96"/>
      <c r="I2225" s="97"/>
      <c r="J2225" s="98"/>
      <c r="K2225" s="99"/>
    </row>
    <row r="2226" spans="1:11" ht="13.2">
      <c r="A2226" s="89"/>
      <c r="B2226" s="90"/>
      <c r="C2226" s="91"/>
      <c r="D2226" s="92"/>
      <c r="E2226" s="93"/>
      <c r="F2226" s="94"/>
      <c r="G2226" s="95"/>
      <c r="H2226" s="96"/>
      <c r="I2226" s="97"/>
      <c r="J2226" s="98"/>
      <c r="K2226" s="99"/>
    </row>
    <row r="2227" spans="1:11" ht="13.2">
      <c r="A2227" s="89"/>
      <c r="B2227" s="90"/>
      <c r="C2227" s="91"/>
      <c r="D2227" s="92"/>
      <c r="E2227" s="93"/>
      <c r="F2227" s="94"/>
      <c r="G2227" s="95"/>
      <c r="H2227" s="96"/>
      <c r="I2227" s="97"/>
      <c r="J2227" s="98"/>
      <c r="K2227" s="99"/>
    </row>
    <row r="2228" spans="1:11" ht="13.2">
      <c r="A2228" s="89"/>
      <c r="B2228" s="90"/>
      <c r="C2228" s="91"/>
      <c r="D2228" s="92"/>
      <c r="E2228" s="93"/>
      <c r="F2228" s="94"/>
      <c r="G2228" s="95"/>
      <c r="H2228" s="96"/>
      <c r="I2228" s="97"/>
      <c r="J2228" s="98"/>
      <c r="K2228" s="99"/>
    </row>
    <row r="2229" spans="1:11" ht="13.2">
      <c r="A2229" s="89"/>
      <c r="B2229" s="90"/>
      <c r="C2229" s="91"/>
      <c r="D2229" s="92"/>
      <c r="E2229" s="93"/>
      <c r="F2229" s="94"/>
      <c r="G2229" s="95"/>
      <c r="H2229" s="96"/>
      <c r="I2229" s="97"/>
      <c r="J2229" s="98"/>
      <c r="K2229" s="99"/>
    </row>
    <row r="2230" spans="1:11" ht="13.2">
      <c r="A2230" s="89"/>
      <c r="B2230" s="90"/>
      <c r="C2230" s="91"/>
      <c r="D2230" s="92"/>
      <c r="E2230" s="93"/>
      <c r="F2230" s="94"/>
      <c r="G2230" s="95"/>
      <c r="H2230" s="96"/>
      <c r="I2230" s="97"/>
      <c r="J2230" s="98"/>
      <c r="K2230" s="99"/>
    </row>
    <row r="2231" spans="1:11" ht="13.2">
      <c r="A2231" s="89"/>
      <c r="B2231" s="90"/>
      <c r="C2231" s="91"/>
      <c r="D2231" s="92"/>
      <c r="E2231" s="93"/>
      <c r="F2231" s="94"/>
      <c r="G2231" s="95"/>
      <c r="H2231" s="96"/>
      <c r="I2231" s="97"/>
      <c r="J2231" s="98"/>
      <c r="K2231" s="99"/>
    </row>
    <row r="2232" spans="1:11" ht="13.2">
      <c r="A2232" s="89"/>
      <c r="B2232" s="90"/>
      <c r="C2232" s="91"/>
      <c r="D2232" s="92"/>
      <c r="E2232" s="93"/>
      <c r="F2232" s="94"/>
      <c r="G2232" s="95"/>
      <c r="H2232" s="96"/>
      <c r="I2232" s="97"/>
      <c r="J2232" s="98"/>
      <c r="K2232" s="99"/>
    </row>
    <row r="2233" spans="1:11" ht="13.2">
      <c r="A2233" s="89"/>
      <c r="B2233" s="90"/>
      <c r="C2233" s="91"/>
      <c r="D2233" s="92"/>
      <c r="E2233" s="93"/>
      <c r="F2233" s="94"/>
      <c r="G2233" s="95"/>
      <c r="H2233" s="96"/>
      <c r="I2233" s="97"/>
      <c r="J2233" s="98"/>
      <c r="K2233" s="99"/>
    </row>
    <row r="2234" spans="1:11" ht="13.2">
      <c r="A2234" s="89"/>
      <c r="B2234" s="90"/>
      <c r="C2234" s="91"/>
      <c r="D2234" s="92"/>
      <c r="E2234" s="93"/>
      <c r="F2234" s="94"/>
      <c r="G2234" s="95"/>
      <c r="H2234" s="96"/>
      <c r="I2234" s="97"/>
      <c r="J2234" s="98"/>
      <c r="K2234" s="99"/>
    </row>
    <row r="2235" spans="1:11" ht="13.2">
      <c r="A2235" s="89"/>
      <c r="B2235" s="90"/>
      <c r="C2235" s="91"/>
      <c r="D2235" s="92"/>
      <c r="E2235" s="93"/>
      <c r="F2235" s="94"/>
      <c r="G2235" s="95"/>
      <c r="H2235" s="96"/>
      <c r="I2235" s="97"/>
      <c r="J2235" s="98"/>
      <c r="K2235" s="99"/>
    </row>
    <row r="2236" spans="1:11" ht="13.2">
      <c r="A2236" s="89"/>
      <c r="B2236" s="90"/>
      <c r="C2236" s="91"/>
      <c r="D2236" s="92"/>
      <c r="E2236" s="93"/>
      <c r="F2236" s="94"/>
      <c r="G2236" s="95"/>
      <c r="H2236" s="96"/>
      <c r="I2236" s="97"/>
      <c r="J2236" s="98"/>
      <c r="K2236" s="99"/>
    </row>
    <row r="2237" spans="1:11" ht="13.2">
      <c r="A2237" s="89"/>
      <c r="B2237" s="90"/>
      <c r="C2237" s="91"/>
      <c r="D2237" s="92"/>
      <c r="E2237" s="93"/>
      <c r="F2237" s="94"/>
      <c r="G2237" s="95"/>
      <c r="H2237" s="96"/>
      <c r="I2237" s="97"/>
      <c r="J2237" s="98"/>
      <c r="K2237" s="99"/>
    </row>
    <row r="2238" spans="1:11" ht="13.2">
      <c r="A2238" s="89"/>
      <c r="B2238" s="90"/>
      <c r="C2238" s="91"/>
      <c r="D2238" s="92"/>
      <c r="E2238" s="93"/>
      <c r="F2238" s="94"/>
      <c r="G2238" s="95"/>
      <c r="H2238" s="96"/>
      <c r="I2238" s="97"/>
      <c r="J2238" s="98"/>
      <c r="K2238" s="99"/>
    </row>
    <row r="2239" spans="1:11" ht="13.2">
      <c r="A2239" s="89"/>
      <c r="B2239" s="90"/>
      <c r="C2239" s="91"/>
      <c r="D2239" s="92"/>
      <c r="E2239" s="93"/>
      <c r="F2239" s="94"/>
      <c r="G2239" s="95"/>
      <c r="H2239" s="96"/>
      <c r="I2239" s="97"/>
      <c r="J2239" s="98"/>
      <c r="K2239" s="99"/>
    </row>
    <row r="2240" spans="1:11" ht="13.2">
      <c r="A2240" s="89"/>
      <c r="B2240" s="90"/>
      <c r="C2240" s="91"/>
      <c r="D2240" s="92"/>
      <c r="E2240" s="93"/>
      <c r="F2240" s="94"/>
      <c r="G2240" s="95"/>
      <c r="H2240" s="96"/>
      <c r="I2240" s="97"/>
      <c r="J2240" s="98"/>
      <c r="K2240" s="99"/>
    </row>
    <row r="2241" spans="1:11" ht="13.2">
      <c r="A2241" s="89"/>
      <c r="B2241" s="90"/>
      <c r="C2241" s="91"/>
      <c r="D2241" s="92"/>
      <c r="E2241" s="93"/>
      <c r="F2241" s="94"/>
      <c r="G2241" s="95"/>
      <c r="H2241" s="96"/>
      <c r="I2241" s="97"/>
      <c r="J2241" s="98"/>
      <c r="K2241" s="99"/>
    </row>
    <row r="2242" spans="1:11" ht="13.2">
      <c r="A2242" s="89"/>
      <c r="B2242" s="90"/>
      <c r="C2242" s="91"/>
      <c r="D2242" s="92"/>
      <c r="E2242" s="93"/>
      <c r="F2242" s="94"/>
      <c r="G2242" s="95"/>
      <c r="H2242" s="96"/>
      <c r="I2242" s="97"/>
      <c r="J2242" s="98"/>
      <c r="K2242" s="99"/>
    </row>
    <row r="2243" spans="1:11" ht="13.2">
      <c r="A2243" s="89"/>
      <c r="B2243" s="90"/>
      <c r="C2243" s="91"/>
      <c r="D2243" s="92"/>
      <c r="E2243" s="93"/>
      <c r="F2243" s="94"/>
      <c r="G2243" s="95"/>
      <c r="H2243" s="96"/>
      <c r="I2243" s="97"/>
      <c r="J2243" s="98"/>
      <c r="K2243" s="99"/>
    </row>
    <row r="2244" spans="1:11" ht="13.2">
      <c r="A2244" s="89"/>
      <c r="B2244" s="90"/>
      <c r="C2244" s="91"/>
      <c r="D2244" s="92"/>
      <c r="E2244" s="93"/>
      <c r="F2244" s="94"/>
      <c r="G2244" s="95"/>
      <c r="H2244" s="96"/>
      <c r="I2244" s="97"/>
      <c r="J2244" s="98"/>
      <c r="K2244" s="99"/>
    </row>
    <row r="2245" spans="1:11" ht="13.2">
      <c r="A2245" s="89"/>
      <c r="B2245" s="90"/>
      <c r="C2245" s="91"/>
      <c r="D2245" s="92"/>
      <c r="E2245" s="93"/>
      <c r="F2245" s="94"/>
      <c r="G2245" s="95"/>
      <c r="H2245" s="96"/>
      <c r="I2245" s="97"/>
      <c r="J2245" s="98"/>
      <c r="K2245" s="99"/>
    </row>
    <row r="2246" spans="1:11" ht="13.2">
      <c r="A2246" s="89"/>
      <c r="B2246" s="90"/>
      <c r="C2246" s="91"/>
      <c r="D2246" s="92"/>
      <c r="E2246" s="93"/>
      <c r="F2246" s="94"/>
      <c r="G2246" s="95"/>
      <c r="H2246" s="96"/>
      <c r="I2246" s="97"/>
      <c r="J2246" s="98"/>
      <c r="K2246" s="99"/>
    </row>
    <row r="2247" spans="1:11" ht="13.2">
      <c r="A2247" s="89"/>
      <c r="B2247" s="90"/>
      <c r="C2247" s="91"/>
      <c r="D2247" s="92"/>
      <c r="E2247" s="93"/>
      <c r="F2247" s="94"/>
      <c r="G2247" s="95"/>
      <c r="H2247" s="96"/>
      <c r="I2247" s="97"/>
      <c r="J2247" s="98"/>
      <c r="K2247" s="99"/>
    </row>
    <row r="2248" spans="1:11" ht="13.2">
      <c r="A2248" s="89"/>
      <c r="B2248" s="90"/>
      <c r="C2248" s="91"/>
      <c r="D2248" s="92"/>
      <c r="E2248" s="93"/>
      <c r="F2248" s="94"/>
      <c r="G2248" s="95"/>
      <c r="H2248" s="96"/>
      <c r="I2248" s="97"/>
      <c r="J2248" s="98"/>
      <c r="K2248" s="99"/>
    </row>
    <row r="2249" spans="1:11" ht="13.2">
      <c r="A2249" s="89"/>
      <c r="B2249" s="90"/>
      <c r="C2249" s="91"/>
      <c r="D2249" s="92"/>
      <c r="E2249" s="93"/>
      <c r="F2249" s="94"/>
      <c r="G2249" s="95"/>
      <c r="H2249" s="96"/>
      <c r="I2249" s="97"/>
      <c r="J2249" s="98"/>
      <c r="K2249" s="99"/>
    </row>
    <row r="2250" spans="1:11" ht="13.2">
      <c r="A2250" s="89"/>
      <c r="B2250" s="90"/>
      <c r="C2250" s="91"/>
      <c r="D2250" s="92"/>
      <c r="E2250" s="93"/>
      <c r="F2250" s="94"/>
      <c r="G2250" s="95"/>
      <c r="H2250" s="96"/>
      <c r="I2250" s="97"/>
      <c r="J2250" s="98"/>
      <c r="K2250" s="99"/>
    </row>
    <row r="2251" spans="1:11" ht="13.2">
      <c r="A2251" s="89"/>
      <c r="B2251" s="90"/>
      <c r="C2251" s="91"/>
      <c r="D2251" s="92"/>
      <c r="E2251" s="93"/>
      <c r="F2251" s="94"/>
      <c r="G2251" s="95"/>
      <c r="H2251" s="96"/>
      <c r="I2251" s="97"/>
      <c r="J2251" s="98"/>
      <c r="K2251" s="99"/>
    </row>
    <row r="2252" spans="1:11" ht="13.2">
      <c r="A2252" s="89"/>
      <c r="B2252" s="90"/>
      <c r="C2252" s="91"/>
      <c r="D2252" s="92"/>
      <c r="E2252" s="93"/>
      <c r="F2252" s="94"/>
      <c r="G2252" s="95"/>
      <c r="H2252" s="96"/>
      <c r="I2252" s="97"/>
      <c r="J2252" s="98"/>
      <c r="K2252" s="99"/>
    </row>
    <row r="2253" spans="1:11" ht="13.2">
      <c r="A2253" s="89"/>
      <c r="B2253" s="90"/>
      <c r="C2253" s="91"/>
      <c r="D2253" s="92"/>
      <c r="E2253" s="93"/>
      <c r="F2253" s="94"/>
      <c r="G2253" s="95"/>
      <c r="H2253" s="96"/>
      <c r="I2253" s="97"/>
      <c r="J2253" s="98"/>
      <c r="K2253" s="99"/>
    </row>
    <row r="2254" spans="1:11" ht="13.2">
      <c r="A2254" s="89"/>
      <c r="B2254" s="90"/>
      <c r="C2254" s="91"/>
      <c r="D2254" s="92"/>
      <c r="E2254" s="93"/>
      <c r="F2254" s="94"/>
      <c r="G2254" s="95"/>
      <c r="H2254" s="96"/>
      <c r="I2254" s="97"/>
      <c r="J2254" s="98"/>
      <c r="K2254" s="99"/>
    </row>
    <row r="2255" spans="1:11" ht="13.2">
      <c r="A2255" s="89"/>
      <c r="B2255" s="90"/>
      <c r="C2255" s="91"/>
      <c r="D2255" s="92"/>
      <c r="E2255" s="93"/>
      <c r="F2255" s="94"/>
      <c r="G2255" s="95"/>
      <c r="H2255" s="96"/>
      <c r="I2255" s="97"/>
      <c r="J2255" s="98"/>
      <c r="K2255" s="99"/>
    </row>
    <row r="2256" spans="1:11" ht="13.2">
      <c r="A2256" s="89"/>
      <c r="B2256" s="90"/>
      <c r="C2256" s="91"/>
      <c r="D2256" s="92"/>
      <c r="E2256" s="93"/>
      <c r="F2256" s="94"/>
      <c r="G2256" s="95"/>
      <c r="H2256" s="96"/>
      <c r="I2256" s="97"/>
      <c r="J2256" s="98"/>
      <c r="K2256" s="99"/>
    </row>
    <row r="2257" spans="1:11" ht="13.2">
      <c r="A2257" s="89"/>
      <c r="B2257" s="90"/>
      <c r="C2257" s="91"/>
      <c r="D2257" s="92"/>
      <c r="E2257" s="93"/>
      <c r="F2257" s="94"/>
      <c r="G2257" s="95"/>
      <c r="H2257" s="96"/>
      <c r="I2257" s="97"/>
      <c r="J2257" s="98"/>
      <c r="K2257" s="99"/>
    </row>
    <row r="2258" spans="1:11" ht="13.2">
      <c r="A2258" s="89"/>
      <c r="B2258" s="90"/>
      <c r="C2258" s="91"/>
      <c r="D2258" s="92"/>
      <c r="E2258" s="93"/>
      <c r="F2258" s="94"/>
      <c r="G2258" s="95"/>
      <c r="H2258" s="96"/>
      <c r="I2258" s="97"/>
      <c r="J2258" s="98"/>
      <c r="K2258" s="99"/>
    </row>
    <row r="2259" spans="1:11" ht="13.2">
      <c r="A2259" s="89"/>
      <c r="B2259" s="90"/>
      <c r="C2259" s="91"/>
      <c r="D2259" s="92"/>
      <c r="E2259" s="93"/>
      <c r="F2259" s="94"/>
      <c r="G2259" s="95"/>
      <c r="H2259" s="96"/>
      <c r="I2259" s="97"/>
      <c r="J2259" s="98"/>
      <c r="K2259" s="99"/>
    </row>
    <row r="2260" spans="1:11" ht="13.2">
      <c r="A2260" s="89"/>
      <c r="B2260" s="90"/>
      <c r="C2260" s="91"/>
      <c r="D2260" s="92"/>
      <c r="E2260" s="93"/>
      <c r="F2260" s="94"/>
      <c r="G2260" s="95"/>
      <c r="H2260" s="96"/>
      <c r="I2260" s="97"/>
      <c r="J2260" s="98"/>
      <c r="K2260" s="99"/>
    </row>
    <row r="2261" spans="1:11" ht="13.2">
      <c r="A2261" s="89"/>
      <c r="B2261" s="90"/>
      <c r="C2261" s="91"/>
      <c r="D2261" s="92"/>
      <c r="E2261" s="93"/>
      <c r="F2261" s="94"/>
      <c r="G2261" s="95"/>
      <c r="H2261" s="96"/>
      <c r="I2261" s="97"/>
      <c r="J2261" s="98"/>
      <c r="K2261" s="99"/>
    </row>
    <row r="2262" spans="1:11" ht="13.2">
      <c r="A2262" s="89"/>
      <c r="B2262" s="90"/>
      <c r="C2262" s="91"/>
      <c r="D2262" s="92"/>
      <c r="E2262" s="93"/>
      <c r="F2262" s="94"/>
      <c r="G2262" s="95"/>
      <c r="H2262" s="96"/>
      <c r="I2262" s="97"/>
      <c r="J2262" s="98"/>
      <c r="K2262" s="99"/>
    </row>
    <row r="2263" spans="1:11" ht="13.2">
      <c r="A2263" s="89"/>
      <c r="B2263" s="90"/>
      <c r="C2263" s="91"/>
      <c r="D2263" s="92"/>
      <c r="E2263" s="93"/>
      <c r="F2263" s="94"/>
      <c r="G2263" s="95"/>
      <c r="H2263" s="96"/>
      <c r="I2263" s="97"/>
      <c r="J2263" s="98"/>
      <c r="K2263" s="99"/>
    </row>
    <row r="2264" spans="1:11" ht="13.2">
      <c r="A2264" s="89"/>
      <c r="B2264" s="90"/>
      <c r="C2264" s="91"/>
      <c r="D2264" s="92"/>
      <c r="E2264" s="93"/>
      <c r="F2264" s="94"/>
      <c r="G2264" s="95"/>
      <c r="H2264" s="96"/>
      <c r="I2264" s="97"/>
      <c r="J2264" s="98"/>
      <c r="K2264" s="99"/>
    </row>
    <row r="2265" spans="1:11" ht="13.2">
      <c r="A2265" s="89"/>
      <c r="B2265" s="90"/>
      <c r="C2265" s="91"/>
      <c r="D2265" s="92"/>
      <c r="E2265" s="93"/>
      <c r="F2265" s="94"/>
      <c r="G2265" s="95"/>
      <c r="H2265" s="96"/>
      <c r="I2265" s="97"/>
      <c r="J2265" s="98"/>
      <c r="K2265" s="99"/>
    </row>
    <row r="2266" spans="1:11" ht="13.2">
      <c r="A2266" s="89"/>
      <c r="B2266" s="90"/>
      <c r="C2266" s="91"/>
      <c r="D2266" s="92"/>
      <c r="E2266" s="93"/>
      <c r="F2266" s="94"/>
      <c r="G2266" s="95"/>
      <c r="H2266" s="96"/>
      <c r="I2266" s="97"/>
      <c r="J2266" s="98"/>
      <c r="K2266" s="99"/>
    </row>
    <row r="2267" spans="1:11" ht="13.2">
      <c r="A2267" s="89"/>
      <c r="B2267" s="90"/>
      <c r="C2267" s="91"/>
      <c r="D2267" s="92"/>
      <c r="E2267" s="93"/>
      <c r="F2267" s="94"/>
      <c r="G2267" s="95"/>
      <c r="H2267" s="96"/>
      <c r="I2267" s="97"/>
      <c r="J2267" s="98"/>
      <c r="K2267" s="99"/>
    </row>
    <row r="2268" spans="1:11" ht="13.2">
      <c r="A2268" s="89"/>
      <c r="B2268" s="90"/>
      <c r="C2268" s="91"/>
      <c r="D2268" s="92"/>
      <c r="E2268" s="93"/>
      <c r="F2268" s="94"/>
      <c r="G2268" s="95"/>
      <c r="H2268" s="96"/>
      <c r="I2268" s="97"/>
      <c r="J2268" s="98"/>
      <c r="K2268" s="99"/>
    </row>
    <row r="2269" spans="1:11" ht="13.2">
      <c r="A2269" s="89"/>
      <c r="B2269" s="90"/>
      <c r="C2269" s="91"/>
      <c r="D2269" s="92"/>
      <c r="E2269" s="93"/>
      <c r="F2269" s="94"/>
      <c r="G2269" s="95"/>
      <c r="H2269" s="96"/>
      <c r="I2269" s="97"/>
      <c r="J2269" s="98"/>
      <c r="K2269" s="99"/>
    </row>
    <row r="2270" spans="1:11" ht="13.2">
      <c r="A2270" s="89"/>
      <c r="B2270" s="90"/>
      <c r="C2270" s="91"/>
      <c r="D2270" s="92"/>
      <c r="E2270" s="93"/>
      <c r="F2270" s="94"/>
      <c r="G2270" s="95"/>
      <c r="H2270" s="96"/>
      <c r="I2270" s="97"/>
      <c r="J2270" s="98"/>
      <c r="K2270" s="99"/>
    </row>
    <row r="2271" spans="1:11" ht="13.2">
      <c r="A2271" s="89"/>
      <c r="B2271" s="90"/>
      <c r="C2271" s="91"/>
      <c r="D2271" s="92"/>
      <c r="E2271" s="93"/>
      <c r="F2271" s="94"/>
      <c r="G2271" s="95"/>
      <c r="H2271" s="96"/>
      <c r="I2271" s="97"/>
      <c r="J2271" s="98"/>
      <c r="K2271" s="99"/>
    </row>
    <row r="2272" spans="1:11" ht="13.2">
      <c r="A2272" s="89"/>
      <c r="B2272" s="90"/>
      <c r="C2272" s="91"/>
      <c r="D2272" s="92"/>
      <c r="E2272" s="93"/>
      <c r="F2272" s="94"/>
      <c r="G2272" s="95"/>
      <c r="H2272" s="96"/>
      <c r="I2272" s="97"/>
      <c r="J2272" s="98"/>
      <c r="K2272" s="99"/>
    </row>
    <row r="2273" spans="1:11" ht="13.2">
      <c r="A2273" s="89"/>
      <c r="B2273" s="90"/>
      <c r="C2273" s="91"/>
      <c r="D2273" s="92"/>
      <c r="E2273" s="93"/>
      <c r="F2273" s="94"/>
      <c r="G2273" s="95"/>
      <c r="H2273" s="96"/>
      <c r="I2273" s="97"/>
      <c r="J2273" s="98"/>
      <c r="K2273" s="99"/>
    </row>
    <row r="2274" spans="1:11" ht="13.2">
      <c r="A2274" s="89"/>
      <c r="B2274" s="90"/>
      <c r="C2274" s="91"/>
      <c r="D2274" s="92"/>
      <c r="E2274" s="93"/>
      <c r="F2274" s="94"/>
      <c r="G2274" s="95"/>
      <c r="H2274" s="96"/>
      <c r="I2274" s="97"/>
      <c r="J2274" s="98"/>
      <c r="K2274" s="99"/>
    </row>
    <row r="2275" spans="1:11" ht="13.2">
      <c r="A2275" s="89"/>
      <c r="B2275" s="90"/>
      <c r="C2275" s="91"/>
      <c r="D2275" s="92"/>
      <c r="E2275" s="93"/>
      <c r="F2275" s="94"/>
      <c r="G2275" s="95"/>
      <c r="H2275" s="96"/>
      <c r="I2275" s="97"/>
      <c r="J2275" s="98"/>
      <c r="K2275" s="99"/>
    </row>
    <row r="2276" spans="1:11" ht="13.2">
      <c r="A2276" s="89"/>
      <c r="B2276" s="90"/>
      <c r="C2276" s="91"/>
      <c r="D2276" s="92"/>
      <c r="E2276" s="93"/>
      <c r="F2276" s="94"/>
      <c r="G2276" s="95"/>
      <c r="H2276" s="96"/>
      <c r="I2276" s="97"/>
      <c r="J2276" s="98"/>
      <c r="K2276" s="99"/>
    </row>
    <row r="2277" spans="1:11" ht="13.2">
      <c r="A2277" s="89"/>
      <c r="B2277" s="90"/>
      <c r="C2277" s="91"/>
      <c r="D2277" s="92"/>
      <c r="E2277" s="93"/>
      <c r="F2277" s="94"/>
      <c r="G2277" s="95"/>
      <c r="H2277" s="96"/>
      <c r="I2277" s="97"/>
      <c r="J2277" s="98"/>
      <c r="K2277" s="99"/>
    </row>
    <row r="2278" spans="1:11" ht="13.2">
      <c r="A2278" s="89"/>
      <c r="B2278" s="90"/>
      <c r="C2278" s="91"/>
      <c r="D2278" s="92"/>
      <c r="E2278" s="93"/>
      <c r="F2278" s="94"/>
      <c r="G2278" s="95"/>
      <c r="H2278" s="96"/>
      <c r="I2278" s="97"/>
      <c r="J2278" s="98"/>
      <c r="K2278" s="99"/>
    </row>
    <row r="2279" spans="1:11" ht="13.2">
      <c r="A2279" s="89"/>
      <c r="B2279" s="90"/>
      <c r="C2279" s="91"/>
      <c r="D2279" s="92"/>
      <c r="E2279" s="93"/>
      <c r="F2279" s="94"/>
      <c r="G2279" s="95"/>
      <c r="H2279" s="96"/>
      <c r="I2279" s="97"/>
      <c r="J2279" s="98"/>
      <c r="K2279" s="99"/>
    </row>
    <row r="2280" spans="1:11" ht="13.2">
      <c r="A2280" s="89"/>
      <c r="B2280" s="90"/>
      <c r="C2280" s="91"/>
      <c r="D2280" s="92"/>
      <c r="E2280" s="93"/>
      <c r="F2280" s="94"/>
      <c r="G2280" s="95"/>
      <c r="H2280" s="96"/>
      <c r="I2280" s="97"/>
      <c r="J2280" s="98"/>
      <c r="K2280" s="99"/>
    </row>
    <row r="2281" spans="1:11" ht="13.2">
      <c r="A2281" s="89"/>
      <c r="B2281" s="90"/>
      <c r="C2281" s="91"/>
      <c r="D2281" s="92"/>
      <c r="E2281" s="93"/>
      <c r="F2281" s="94"/>
      <c r="G2281" s="95"/>
      <c r="H2281" s="96"/>
      <c r="I2281" s="97"/>
      <c r="J2281" s="98"/>
      <c r="K2281" s="99"/>
    </row>
    <row r="2282" spans="1:11" ht="13.2">
      <c r="A2282" s="89"/>
      <c r="B2282" s="90"/>
      <c r="C2282" s="91"/>
      <c r="D2282" s="92"/>
      <c r="E2282" s="93"/>
      <c r="F2282" s="94"/>
      <c r="G2282" s="95"/>
      <c r="H2282" s="96"/>
      <c r="I2282" s="97"/>
      <c r="J2282" s="98"/>
      <c r="K2282" s="99"/>
    </row>
    <row r="2283" spans="1:11" ht="13.2">
      <c r="A2283" s="89"/>
      <c r="B2283" s="90"/>
      <c r="C2283" s="91"/>
      <c r="D2283" s="92"/>
      <c r="E2283" s="93"/>
      <c r="F2283" s="94"/>
      <c r="G2283" s="95"/>
      <c r="H2283" s="96"/>
      <c r="I2283" s="97"/>
      <c r="J2283" s="98"/>
      <c r="K2283" s="99"/>
    </row>
    <row r="2284" spans="1:11" ht="13.2">
      <c r="A2284" s="89"/>
      <c r="B2284" s="90"/>
      <c r="C2284" s="91"/>
      <c r="D2284" s="92"/>
      <c r="E2284" s="93"/>
      <c r="F2284" s="94"/>
      <c r="G2284" s="95"/>
      <c r="H2284" s="96"/>
      <c r="I2284" s="97"/>
      <c r="J2284" s="98"/>
      <c r="K2284" s="99"/>
    </row>
    <row r="2285" spans="1:11" ht="13.2">
      <c r="A2285" s="89"/>
      <c r="B2285" s="90"/>
      <c r="C2285" s="91"/>
      <c r="D2285" s="92"/>
      <c r="E2285" s="93"/>
      <c r="F2285" s="94"/>
      <c r="G2285" s="95"/>
      <c r="H2285" s="96"/>
      <c r="I2285" s="97"/>
      <c r="J2285" s="98"/>
      <c r="K2285" s="99"/>
    </row>
    <row r="2286" spans="1:11" ht="13.2">
      <c r="A2286" s="89"/>
      <c r="B2286" s="90"/>
      <c r="C2286" s="91"/>
      <c r="D2286" s="92"/>
      <c r="E2286" s="93"/>
      <c r="F2286" s="94"/>
      <c r="G2286" s="95"/>
      <c r="H2286" s="96"/>
      <c r="I2286" s="97"/>
      <c r="J2286" s="98"/>
      <c r="K2286" s="99"/>
    </row>
    <row r="2287" spans="1:11" ht="13.2">
      <c r="A2287" s="89"/>
      <c r="B2287" s="90"/>
      <c r="C2287" s="91"/>
      <c r="D2287" s="92"/>
      <c r="E2287" s="93"/>
      <c r="F2287" s="94"/>
      <c r="G2287" s="95"/>
      <c r="H2287" s="96"/>
      <c r="I2287" s="97"/>
      <c r="J2287" s="98"/>
      <c r="K2287" s="99"/>
    </row>
    <row r="2288" spans="1:11" ht="13.2">
      <c r="A2288" s="89"/>
      <c r="B2288" s="90"/>
      <c r="C2288" s="91"/>
      <c r="D2288" s="92"/>
      <c r="E2288" s="93"/>
      <c r="F2288" s="94"/>
      <c r="G2288" s="95"/>
      <c r="H2288" s="96"/>
      <c r="I2288" s="97"/>
      <c r="J2288" s="98"/>
      <c r="K2288" s="99"/>
    </row>
    <row r="2289" spans="1:11" ht="13.2">
      <c r="A2289" s="89"/>
      <c r="B2289" s="90"/>
      <c r="C2289" s="91"/>
      <c r="D2289" s="92"/>
      <c r="E2289" s="93"/>
      <c r="F2289" s="94"/>
      <c r="G2289" s="95"/>
      <c r="H2289" s="96"/>
      <c r="I2289" s="97"/>
      <c r="J2289" s="98"/>
      <c r="K2289" s="99"/>
    </row>
    <row r="2290" spans="1:11" ht="13.2">
      <c r="A2290" s="89"/>
      <c r="B2290" s="90"/>
      <c r="C2290" s="91"/>
      <c r="D2290" s="92"/>
      <c r="E2290" s="93"/>
      <c r="F2290" s="94"/>
      <c r="G2290" s="95"/>
      <c r="H2290" s="96"/>
      <c r="I2290" s="97"/>
      <c r="J2290" s="98"/>
      <c r="K2290" s="99"/>
    </row>
    <row r="2291" spans="1:11" ht="13.2">
      <c r="A2291" s="89"/>
      <c r="B2291" s="90"/>
      <c r="C2291" s="91"/>
      <c r="D2291" s="92"/>
      <c r="E2291" s="93"/>
      <c r="F2291" s="94"/>
      <c r="G2291" s="95"/>
      <c r="H2291" s="96"/>
      <c r="I2291" s="97"/>
      <c r="J2291" s="98"/>
      <c r="K2291" s="99"/>
    </row>
    <row r="2292" spans="1:11" ht="13.2">
      <c r="A2292" s="89"/>
      <c r="B2292" s="90"/>
      <c r="C2292" s="91"/>
      <c r="D2292" s="92"/>
      <c r="E2292" s="93"/>
      <c r="F2292" s="94"/>
      <c r="G2292" s="95"/>
      <c r="H2292" s="96"/>
      <c r="I2292" s="97"/>
      <c r="J2292" s="98"/>
      <c r="K2292" s="99"/>
    </row>
    <row r="2293" spans="1:11" ht="13.2">
      <c r="A2293" s="89"/>
      <c r="B2293" s="90"/>
      <c r="C2293" s="91"/>
      <c r="D2293" s="92"/>
      <c r="E2293" s="93"/>
      <c r="F2293" s="94"/>
      <c r="G2293" s="95"/>
      <c r="H2293" s="96"/>
      <c r="I2293" s="97"/>
      <c r="J2293" s="98"/>
      <c r="K2293" s="99"/>
    </row>
    <row r="2294" spans="1:11" ht="13.2">
      <c r="A2294" s="89"/>
      <c r="B2294" s="90"/>
      <c r="C2294" s="91"/>
      <c r="D2294" s="92"/>
      <c r="E2294" s="93"/>
      <c r="F2294" s="94"/>
      <c r="G2294" s="95"/>
      <c r="H2294" s="96"/>
      <c r="I2294" s="97"/>
      <c r="J2294" s="98"/>
      <c r="K2294" s="99"/>
    </row>
    <row r="2295" spans="1:11" ht="13.2">
      <c r="A2295" s="89"/>
      <c r="B2295" s="90"/>
      <c r="C2295" s="91"/>
      <c r="D2295" s="92"/>
      <c r="E2295" s="93"/>
      <c r="F2295" s="94"/>
      <c r="G2295" s="95"/>
      <c r="H2295" s="96"/>
      <c r="I2295" s="97"/>
      <c r="J2295" s="98"/>
      <c r="K2295" s="99"/>
    </row>
    <row r="2296" spans="1:11" ht="13.2">
      <c r="A2296" s="89"/>
      <c r="B2296" s="90"/>
      <c r="C2296" s="91"/>
      <c r="D2296" s="92"/>
      <c r="E2296" s="93"/>
      <c r="F2296" s="94"/>
      <c r="G2296" s="95"/>
      <c r="H2296" s="96"/>
      <c r="I2296" s="97"/>
      <c r="J2296" s="98"/>
      <c r="K2296" s="99"/>
    </row>
    <row r="2297" spans="1:11" ht="13.2">
      <c r="A2297" s="89"/>
      <c r="B2297" s="90"/>
      <c r="C2297" s="91"/>
      <c r="D2297" s="92"/>
      <c r="E2297" s="93"/>
      <c r="F2297" s="94"/>
      <c r="G2297" s="95"/>
      <c r="H2297" s="96"/>
      <c r="I2297" s="97"/>
      <c r="J2297" s="98"/>
      <c r="K2297" s="99"/>
    </row>
    <row r="2298" spans="1:11" ht="13.2">
      <c r="A2298" s="89"/>
      <c r="B2298" s="90"/>
      <c r="C2298" s="91"/>
      <c r="D2298" s="92"/>
      <c r="E2298" s="93"/>
      <c r="F2298" s="94"/>
      <c r="G2298" s="95"/>
      <c r="H2298" s="96"/>
      <c r="I2298" s="97"/>
      <c r="J2298" s="98"/>
      <c r="K2298" s="99"/>
    </row>
    <row r="2299" spans="1:11" ht="13.2">
      <c r="A2299" s="89"/>
      <c r="B2299" s="90"/>
      <c r="C2299" s="91"/>
      <c r="D2299" s="92"/>
      <c r="E2299" s="93"/>
      <c r="F2299" s="94"/>
      <c r="G2299" s="95"/>
      <c r="H2299" s="96"/>
      <c r="I2299" s="97"/>
      <c r="J2299" s="98"/>
      <c r="K2299" s="99"/>
    </row>
    <row r="2300" spans="1:11" ht="13.2">
      <c r="A2300" s="89"/>
      <c r="B2300" s="90"/>
      <c r="C2300" s="91"/>
      <c r="D2300" s="92"/>
      <c r="E2300" s="93"/>
      <c r="F2300" s="94"/>
      <c r="G2300" s="95"/>
      <c r="H2300" s="96"/>
      <c r="I2300" s="97"/>
      <c r="J2300" s="98"/>
      <c r="K2300" s="99"/>
    </row>
    <row r="2301" spans="1:11" ht="13.2">
      <c r="A2301" s="89"/>
      <c r="B2301" s="90"/>
      <c r="C2301" s="91"/>
      <c r="D2301" s="92"/>
      <c r="E2301" s="93"/>
      <c r="F2301" s="94"/>
      <c r="G2301" s="95"/>
      <c r="H2301" s="96"/>
      <c r="I2301" s="97"/>
      <c r="J2301" s="98"/>
      <c r="K2301" s="99"/>
    </row>
    <row r="2302" spans="1:11" ht="13.2">
      <c r="A2302" s="89"/>
      <c r="B2302" s="90"/>
      <c r="C2302" s="91"/>
      <c r="D2302" s="92"/>
      <c r="E2302" s="93"/>
      <c r="F2302" s="94"/>
      <c r="G2302" s="95"/>
      <c r="H2302" s="96"/>
      <c r="I2302" s="97"/>
      <c r="J2302" s="98"/>
      <c r="K2302" s="99"/>
    </row>
    <row r="2303" spans="1:11" ht="13.2">
      <c r="A2303" s="89"/>
      <c r="B2303" s="90"/>
      <c r="C2303" s="91"/>
      <c r="D2303" s="92"/>
      <c r="E2303" s="93"/>
      <c r="F2303" s="94"/>
      <c r="G2303" s="95"/>
      <c r="H2303" s="96"/>
      <c r="I2303" s="97"/>
      <c r="J2303" s="98"/>
      <c r="K2303" s="99"/>
    </row>
    <row r="2304" spans="1:11" ht="13.2">
      <c r="A2304" s="89"/>
      <c r="B2304" s="90"/>
      <c r="C2304" s="91"/>
      <c r="D2304" s="92"/>
      <c r="E2304" s="93"/>
      <c r="F2304" s="94"/>
      <c r="G2304" s="95"/>
      <c r="H2304" s="96"/>
      <c r="I2304" s="97"/>
      <c r="J2304" s="98"/>
      <c r="K2304" s="99"/>
    </row>
    <row r="2305" spans="1:11" ht="13.2">
      <c r="A2305" s="89"/>
      <c r="B2305" s="90"/>
      <c r="C2305" s="91"/>
      <c r="D2305" s="92"/>
      <c r="E2305" s="93"/>
      <c r="F2305" s="94"/>
      <c r="G2305" s="95"/>
      <c r="H2305" s="96"/>
      <c r="I2305" s="97"/>
      <c r="J2305" s="98"/>
      <c r="K2305" s="99"/>
    </row>
    <row r="2306" spans="1:11" ht="13.2">
      <c r="A2306" s="89"/>
      <c r="B2306" s="90"/>
      <c r="C2306" s="91"/>
      <c r="D2306" s="92"/>
      <c r="E2306" s="93"/>
      <c r="F2306" s="94"/>
      <c r="G2306" s="95"/>
      <c r="H2306" s="96"/>
      <c r="I2306" s="97"/>
      <c r="J2306" s="98"/>
      <c r="K2306" s="99"/>
    </row>
    <row r="2307" spans="1:11" ht="13.2">
      <c r="A2307" s="89"/>
      <c r="B2307" s="90"/>
      <c r="C2307" s="91"/>
      <c r="D2307" s="92"/>
      <c r="E2307" s="93"/>
      <c r="F2307" s="94"/>
      <c r="G2307" s="95"/>
      <c r="H2307" s="96"/>
      <c r="I2307" s="97"/>
      <c r="J2307" s="98"/>
      <c r="K2307" s="99"/>
    </row>
    <row r="2308" spans="1:11" ht="13.2">
      <c r="A2308" s="89"/>
      <c r="B2308" s="90"/>
      <c r="C2308" s="91"/>
      <c r="D2308" s="92"/>
      <c r="E2308" s="93"/>
      <c r="F2308" s="94"/>
      <c r="G2308" s="95"/>
      <c r="H2308" s="96"/>
      <c r="I2308" s="97"/>
      <c r="J2308" s="98"/>
      <c r="K2308" s="99"/>
    </row>
    <row r="2309" spans="1:11" ht="13.2">
      <c r="A2309" s="89"/>
      <c r="B2309" s="90"/>
      <c r="C2309" s="91"/>
      <c r="D2309" s="92"/>
      <c r="E2309" s="93"/>
      <c r="F2309" s="94"/>
      <c r="G2309" s="95"/>
      <c r="H2309" s="96"/>
      <c r="I2309" s="97"/>
      <c r="J2309" s="98"/>
      <c r="K2309" s="99"/>
    </row>
    <row r="2310" spans="1:11" ht="13.2">
      <c r="A2310" s="89"/>
      <c r="B2310" s="90"/>
      <c r="C2310" s="91"/>
      <c r="D2310" s="92"/>
      <c r="E2310" s="93"/>
      <c r="F2310" s="94"/>
      <c r="G2310" s="95"/>
      <c r="H2310" s="96"/>
      <c r="I2310" s="97"/>
      <c r="J2310" s="98"/>
      <c r="K2310" s="99"/>
    </row>
    <row r="2311" spans="1:11" ht="13.2">
      <c r="A2311" s="89"/>
      <c r="B2311" s="90"/>
      <c r="C2311" s="91"/>
      <c r="D2311" s="92"/>
      <c r="E2311" s="93"/>
      <c r="F2311" s="94"/>
      <c r="G2311" s="95"/>
      <c r="H2311" s="96"/>
      <c r="I2311" s="97"/>
      <c r="J2311" s="98"/>
      <c r="K2311" s="99"/>
    </row>
    <row r="2312" spans="1:11" ht="13.2">
      <c r="A2312" s="89"/>
      <c r="B2312" s="90"/>
      <c r="C2312" s="91"/>
      <c r="D2312" s="92"/>
      <c r="E2312" s="93"/>
      <c r="F2312" s="94"/>
      <c r="G2312" s="95"/>
      <c r="H2312" s="96"/>
      <c r="I2312" s="97"/>
      <c r="J2312" s="98"/>
      <c r="K2312" s="99"/>
    </row>
    <row r="2313" spans="1:11" ht="13.2">
      <c r="A2313" s="89"/>
      <c r="B2313" s="90"/>
      <c r="C2313" s="91"/>
      <c r="D2313" s="92"/>
      <c r="E2313" s="93"/>
      <c r="F2313" s="94"/>
      <c r="G2313" s="95"/>
      <c r="H2313" s="96"/>
      <c r="I2313" s="97"/>
      <c r="J2313" s="98"/>
      <c r="K2313" s="99"/>
    </row>
    <row r="2314" spans="1:11" ht="13.2">
      <c r="A2314" s="89"/>
      <c r="B2314" s="90"/>
      <c r="C2314" s="91"/>
      <c r="D2314" s="92"/>
      <c r="E2314" s="93"/>
      <c r="F2314" s="94"/>
      <c r="G2314" s="95"/>
      <c r="H2314" s="96"/>
      <c r="I2314" s="97"/>
      <c r="J2314" s="98"/>
      <c r="K2314" s="99"/>
    </row>
    <row r="2315" spans="1:11" ht="13.2">
      <c r="A2315" s="89"/>
      <c r="B2315" s="90"/>
      <c r="C2315" s="91"/>
      <c r="D2315" s="92"/>
      <c r="E2315" s="93"/>
      <c r="F2315" s="94"/>
      <c r="G2315" s="95"/>
      <c r="H2315" s="96"/>
      <c r="I2315" s="97"/>
      <c r="J2315" s="98"/>
      <c r="K2315" s="99"/>
    </row>
    <row r="2316" spans="1:11" ht="13.2">
      <c r="A2316" s="89"/>
      <c r="B2316" s="90"/>
      <c r="C2316" s="91"/>
      <c r="D2316" s="92"/>
      <c r="E2316" s="93"/>
      <c r="F2316" s="94"/>
      <c r="G2316" s="95"/>
      <c r="H2316" s="96"/>
      <c r="I2316" s="97"/>
      <c r="J2316" s="98"/>
      <c r="K2316" s="99"/>
    </row>
    <row r="2317" spans="1:11" ht="13.2">
      <c r="A2317" s="89"/>
      <c r="B2317" s="90"/>
      <c r="C2317" s="91"/>
      <c r="D2317" s="92"/>
      <c r="E2317" s="93"/>
      <c r="F2317" s="94"/>
      <c r="G2317" s="95"/>
      <c r="H2317" s="96"/>
      <c r="I2317" s="97"/>
      <c r="J2317" s="98"/>
      <c r="K2317" s="99"/>
    </row>
    <row r="2318" spans="1:11" ht="13.2">
      <c r="A2318" s="89"/>
      <c r="B2318" s="90"/>
      <c r="C2318" s="91"/>
      <c r="D2318" s="92"/>
      <c r="E2318" s="93"/>
      <c r="F2318" s="94"/>
      <c r="G2318" s="95"/>
      <c r="H2318" s="96"/>
      <c r="I2318" s="97"/>
      <c r="J2318" s="98"/>
      <c r="K2318" s="99"/>
    </row>
    <row r="2319" spans="1:11" ht="13.2">
      <c r="A2319" s="89"/>
      <c r="B2319" s="90"/>
      <c r="C2319" s="91"/>
      <c r="D2319" s="92"/>
      <c r="E2319" s="93"/>
      <c r="F2319" s="94"/>
      <c r="G2319" s="95"/>
      <c r="H2319" s="96"/>
      <c r="I2319" s="97"/>
      <c r="J2319" s="98"/>
      <c r="K2319" s="99"/>
    </row>
    <row r="2320" spans="1:11" ht="13.2">
      <c r="A2320" s="89"/>
      <c r="B2320" s="90"/>
      <c r="C2320" s="91"/>
      <c r="D2320" s="92"/>
      <c r="E2320" s="93"/>
      <c r="F2320" s="94"/>
      <c r="G2320" s="95"/>
      <c r="H2320" s="96"/>
      <c r="I2320" s="97"/>
      <c r="J2320" s="98"/>
      <c r="K2320" s="99"/>
    </row>
    <row r="2321" spans="1:11" ht="13.2">
      <c r="A2321" s="89"/>
      <c r="B2321" s="90"/>
      <c r="C2321" s="91"/>
      <c r="D2321" s="92"/>
      <c r="E2321" s="93"/>
      <c r="F2321" s="94"/>
      <c r="G2321" s="95"/>
      <c r="H2321" s="96"/>
      <c r="I2321" s="97"/>
      <c r="J2321" s="98"/>
      <c r="K2321" s="99"/>
    </row>
    <row r="2322" spans="1:11" ht="13.2">
      <c r="A2322" s="89"/>
      <c r="B2322" s="90"/>
      <c r="C2322" s="91"/>
      <c r="D2322" s="92"/>
      <c r="E2322" s="93"/>
      <c r="F2322" s="94"/>
      <c r="G2322" s="95"/>
      <c r="H2322" s="96"/>
      <c r="I2322" s="97"/>
      <c r="J2322" s="98"/>
      <c r="K2322" s="99"/>
    </row>
    <row r="2323" spans="1:11" ht="13.2">
      <c r="A2323" s="89"/>
      <c r="B2323" s="90"/>
      <c r="C2323" s="91"/>
      <c r="D2323" s="92"/>
      <c r="E2323" s="93"/>
      <c r="F2323" s="94"/>
      <c r="G2323" s="95"/>
      <c r="H2323" s="96"/>
      <c r="I2323" s="97"/>
      <c r="J2323" s="98"/>
      <c r="K2323" s="99"/>
    </row>
    <row r="2324" spans="1:11" ht="13.2">
      <c r="A2324" s="89"/>
      <c r="B2324" s="90"/>
      <c r="C2324" s="91"/>
      <c r="D2324" s="92"/>
      <c r="E2324" s="93"/>
      <c r="F2324" s="94"/>
      <c r="G2324" s="95"/>
      <c r="H2324" s="96"/>
      <c r="I2324" s="97"/>
      <c r="J2324" s="98"/>
      <c r="K2324" s="99"/>
    </row>
    <row r="2325" spans="1:11" ht="13.2">
      <c r="A2325" s="89"/>
      <c r="B2325" s="90"/>
      <c r="C2325" s="91"/>
      <c r="D2325" s="92"/>
      <c r="E2325" s="93"/>
      <c r="F2325" s="94"/>
      <c r="G2325" s="95"/>
      <c r="H2325" s="96"/>
      <c r="I2325" s="97"/>
      <c r="J2325" s="98"/>
      <c r="K2325" s="99"/>
    </row>
    <row r="2326" spans="1:11" ht="13.2">
      <c r="A2326" s="89"/>
      <c r="B2326" s="90"/>
      <c r="C2326" s="91"/>
      <c r="D2326" s="92"/>
      <c r="E2326" s="93"/>
      <c r="F2326" s="94"/>
      <c r="G2326" s="95"/>
      <c r="H2326" s="96"/>
      <c r="I2326" s="97"/>
      <c r="J2326" s="98"/>
      <c r="K2326" s="99"/>
    </row>
    <row r="2327" spans="1:11" ht="13.2">
      <c r="A2327" s="89"/>
      <c r="B2327" s="90"/>
      <c r="C2327" s="91"/>
      <c r="D2327" s="92"/>
      <c r="E2327" s="93"/>
      <c r="F2327" s="94"/>
      <c r="G2327" s="95"/>
      <c r="H2327" s="96"/>
      <c r="I2327" s="97"/>
      <c r="J2327" s="98"/>
      <c r="K2327" s="99"/>
    </row>
    <row r="2328" spans="1:11" ht="13.2">
      <c r="A2328" s="89"/>
      <c r="B2328" s="90"/>
      <c r="C2328" s="91"/>
      <c r="D2328" s="92"/>
      <c r="E2328" s="93"/>
      <c r="F2328" s="94"/>
      <c r="G2328" s="95"/>
      <c r="H2328" s="96"/>
      <c r="I2328" s="97"/>
      <c r="J2328" s="98"/>
      <c r="K2328" s="99"/>
    </row>
    <row r="2329" spans="1:11" ht="13.2">
      <c r="A2329" s="89"/>
      <c r="B2329" s="90"/>
      <c r="C2329" s="91"/>
      <c r="D2329" s="92"/>
      <c r="E2329" s="93"/>
      <c r="F2329" s="94"/>
      <c r="G2329" s="95"/>
      <c r="H2329" s="96"/>
      <c r="I2329" s="97"/>
      <c r="J2329" s="98"/>
      <c r="K2329" s="99"/>
    </row>
    <row r="2330" spans="1:11" ht="13.2">
      <c r="A2330" s="89"/>
      <c r="B2330" s="90"/>
      <c r="C2330" s="91"/>
      <c r="D2330" s="92"/>
      <c r="E2330" s="93"/>
      <c r="F2330" s="94"/>
      <c r="G2330" s="95"/>
      <c r="H2330" s="96"/>
      <c r="I2330" s="97"/>
      <c r="J2330" s="98"/>
      <c r="K2330" s="99"/>
    </row>
    <row r="2331" spans="1:11" ht="13.2">
      <c r="A2331" s="89"/>
      <c r="B2331" s="90"/>
      <c r="C2331" s="91"/>
      <c r="D2331" s="92"/>
      <c r="E2331" s="93"/>
      <c r="F2331" s="94"/>
      <c r="G2331" s="95"/>
      <c r="H2331" s="96"/>
      <c r="I2331" s="97"/>
      <c r="J2331" s="98"/>
      <c r="K2331" s="99"/>
    </row>
    <row r="2332" spans="1:11" ht="13.2">
      <c r="A2332" s="89"/>
      <c r="B2332" s="90"/>
      <c r="C2332" s="91"/>
      <c r="D2332" s="92"/>
      <c r="E2332" s="93"/>
      <c r="F2332" s="94"/>
      <c r="G2332" s="95"/>
      <c r="H2332" s="96"/>
      <c r="I2332" s="97"/>
      <c r="J2332" s="98"/>
      <c r="K2332" s="99"/>
    </row>
    <row r="2333" spans="1:11" ht="13.2">
      <c r="A2333" s="89"/>
      <c r="B2333" s="90"/>
      <c r="C2333" s="91"/>
      <c r="D2333" s="92"/>
      <c r="E2333" s="93"/>
      <c r="F2333" s="94"/>
      <c r="G2333" s="95"/>
      <c r="H2333" s="96"/>
      <c r="I2333" s="97"/>
      <c r="J2333" s="98"/>
      <c r="K2333" s="99"/>
    </row>
    <row r="2334" spans="1:11" ht="13.2">
      <c r="A2334" s="89"/>
      <c r="B2334" s="90"/>
      <c r="C2334" s="91"/>
      <c r="D2334" s="92"/>
      <c r="E2334" s="93"/>
      <c r="F2334" s="94"/>
      <c r="G2334" s="95"/>
      <c r="H2334" s="96"/>
      <c r="I2334" s="97"/>
      <c r="J2334" s="98"/>
      <c r="K2334" s="99"/>
    </row>
    <row r="2335" spans="1:11" ht="13.2">
      <c r="A2335" s="89"/>
      <c r="B2335" s="90"/>
      <c r="C2335" s="91"/>
      <c r="D2335" s="92"/>
      <c r="E2335" s="93"/>
      <c r="F2335" s="94"/>
      <c r="G2335" s="95"/>
      <c r="H2335" s="96"/>
      <c r="I2335" s="97"/>
      <c r="J2335" s="98"/>
      <c r="K2335" s="99"/>
    </row>
    <row r="2336" spans="1:11" ht="13.2">
      <c r="A2336" s="89"/>
      <c r="B2336" s="90"/>
      <c r="C2336" s="91"/>
      <c r="D2336" s="92"/>
      <c r="E2336" s="93"/>
      <c r="F2336" s="94"/>
      <c r="G2336" s="95"/>
      <c r="H2336" s="96"/>
      <c r="I2336" s="97"/>
      <c r="J2336" s="98"/>
      <c r="K2336" s="99"/>
    </row>
    <row r="2337" spans="1:11" ht="13.2">
      <c r="A2337" s="89"/>
      <c r="B2337" s="90"/>
      <c r="C2337" s="91"/>
      <c r="D2337" s="92"/>
      <c r="E2337" s="93"/>
      <c r="F2337" s="94"/>
      <c r="G2337" s="95"/>
      <c r="H2337" s="96"/>
      <c r="I2337" s="97"/>
      <c r="J2337" s="98"/>
      <c r="K2337" s="99"/>
    </row>
    <row r="2338" spans="1:11" ht="13.2">
      <c r="A2338" s="89"/>
      <c r="B2338" s="90"/>
      <c r="C2338" s="91"/>
      <c r="D2338" s="92"/>
      <c r="E2338" s="93"/>
      <c r="F2338" s="94"/>
      <c r="G2338" s="95"/>
      <c r="H2338" s="96"/>
      <c r="I2338" s="97"/>
      <c r="J2338" s="98"/>
      <c r="K2338" s="99"/>
    </row>
    <row r="2339" spans="1:11" ht="13.2">
      <c r="A2339" s="89"/>
      <c r="B2339" s="90"/>
      <c r="C2339" s="91"/>
      <c r="D2339" s="92"/>
      <c r="E2339" s="93"/>
      <c r="F2339" s="94"/>
      <c r="G2339" s="95"/>
      <c r="H2339" s="96"/>
      <c r="I2339" s="97"/>
      <c r="J2339" s="98"/>
      <c r="K2339" s="99"/>
    </row>
    <row r="2340" spans="1:11" ht="13.2">
      <c r="A2340" s="89"/>
      <c r="B2340" s="90"/>
      <c r="C2340" s="91"/>
      <c r="D2340" s="92"/>
      <c r="E2340" s="93"/>
      <c r="F2340" s="94"/>
      <c r="G2340" s="95"/>
      <c r="H2340" s="96"/>
      <c r="I2340" s="97"/>
      <c r="J2340" s="98"/>
      <c r="K2340" s="99"/>
    </row>
    <row r="2341" spans="1:11" ht="13.2">
      <c r="A2341" s="89"/>
      <c r="B2341" s="90"/>
      <c r="C2341" s="91"/>
      <c r="D2341" s="92"/>
      <c r="E2341" s="93"/>
      <c r="F2341" s="94"/>
      <c r="G2341" s="95"/>
      <c r="H2341" s="96"/>
      <c r="I2341" s="97"/>
      <c r="J2341" s="98"/>
      <c r="K2341" s="99"/>
    </row>
    <row r="2342" spans="1:11" ht="13.2">
      <c r="A2342" s="89"/>
      <c r="B2342" s="90"/>
      <c r="C2342" s="91"/>
      <c r="D2342" s="92"/>
      <c r="E2342" s="93"/>
      <c r="F2342" s="94"/>
      <c r="G2342" s="95"/>
      <c r="H2342" s="96"/>
      <c r="I2342" s="97"/>
      <c r="J2342" s="98"/>
      <c r="K2342" s="99"/>
    </row>
    <row r="2343" spans="1:11" ht="13.2">
      <c r="A2343" s="89"/>
      <c r="B2343" s="90"/>
      <c r="C2343" s="91"/>
      <c r="D2343" s="92"/>
      <c r="E2343" s="93"/>
      <c r="F2343" s="94"/>
      <c r="G2343" s="95"/>
      <c r="H2343" s="96"/>
      <c r="I2343" s="97"/>
      <c r="J2343" s="98"/>
      <c r="K2343" s="99"/>
    </row>
    <row r="2344" spans="1:11" ht="13.2">
      <c r="A2344" s="89"/>
      <c r="B2344" s="90"/>
      <c r="C2344" s="91"/>
      <c r="D2344" s="92"/>
      <c r="E2344" s="93"/>
      <c r="F2344" s="94"/>
      <c r="G2344" s="95"/>
      <c r="H2344" s="96"/>
      <c r="I2344" s="97"/>
      <c r="J2344" s="98"/>
      <c r="K2344" s="99"/>
    </row>
    <row r="2345" spans="1:11" ht="13.2">
      <c r="A2345" s="89"/>
      <c r="B2345" s="90"/>
      <c r="C2345" s="91"/>
      <c r="D2345" s="92"/>
      <c r="E2345" s="93"/>
      <c r="F2345" s="94"/>
      <c r="G2345" s="95"/>
      <c r="H2345" s="96"/>
      <c r="I2345" s="97"/>
      <c r="J2345" s="98"/>
      <c r="K2345" s="99"/>
    </row>
    <row r="2346" spans="1:11" ht="13.2">
      <c r="A2346" s="89"/>
      <c r="B2346" s="90"/>
      <c r="C2346" s="91"/>
      <c r="D2346" s="92"/>
      <c r="E2346" s="93"/>
      <c r="F2346" s="94"/>
      <c r="G2346" s="95"/>
      <c r="H2346" s="96"/>
      <c r="I2346" s="97"/>
      <c r="J2346" s="98"/>
      <c r="K2346" s="99"/>
    </row>
    <row r="2347" spans="1:11" ht="13.2">
      <c r="A2347" s="89"/>
      <c r="B2347" s="90"/>
      <c r="C2347" s="91"/>
      <c r="D2347" s="92"/>
      <c r="E2347" s="93"/>
      <c r="F2347" s="94"/>
      <c r="G2347" s="95"/>
      <c r="H2347" s="96"/>
      <c r="I2347" s="97"/>
      <c r="J2347" s="98"/>
      <c r="K2347" s="99"/>
    </row>
    <row r="2348" spans="1:11" ht="13.2">
      <c r="A2348" s="89"/>
      <c r="B2348" s="90"/>
      <c r="C2348" s="91"/>
      <c r="D2348" s="92"/>
      <c r="E2348" s="93"/>
      <c r="F2348" s="94"/>
      <c r="G2348" s="95"/>
      <c r="H2348" s="96"/>
      <c r="I2348" s="97"/>
      <c r="J2348" s="98"/>
      <c r="K2348" s="99"/>
    </row>
    <row r="2349" spans="1:11" ht="13.2">
      <c r="A2349" s="89"/>
      <c r="B2349" s="90"/>
      <c r="C2349" s="91"/>
      <c r="D2349" s="92"/>
      <c r="E2349" s="93"/>
      <c r="F2349" s="94"/>
      <c r="G2349" s="95"/>
      <c r="H2349" s="96"/>
      <c r="I2349" s="97"/>
      <c r="J2349" s="98"/>
      <c r="K2349" s="99"/>
    </row>
    <row r="2350" spans="1:11" ht="13.2">
      <c r="A2350" s="89"/>
      <c r="B2350" s="90"/>
      <c r="C2350" s="91"/>
      <c r="D2350" s="92"/>
      <c r="E2350" s="93"/>
      <c r="F2350" s="94"/>
      <c r="G2350" s="95"/>
      <c r="H2350" s="96"/>
      <c r="I2350" s="97"/>
      <c r="J2350" s="98"/>
      <c r="K2350" s="99"/>
    </row>
    <row r="2351" spans="1:11" ht="13.2">
      <c r="A2351" s="89"/>
      <c r="B2351" s="90"/>
      <c r="C2351" s="91"/>
      <c r="D2351" s="92"/>
      <c r="E2351" s="93"/>
      <c r="F2351" s="94"/>
      <c r="G2351" s="95"/>
      <c r="H2351" s="96"/>
      <c r="I2351" s="97"/>
      <c r="J2351" s="98"/>
      <c r="K2351" s="99"/>
    </row>
    <row r="2352" spans="1:11" ht="13.2">
      <c r="A2352" s="89"/>
      <c r="B2352" s="90"/>
      <c r="C2352" s="91"/>
      <c r="D2352" s="92"/>
      <c r="E2352" s="93"/>
      <c r="F2352" s="94"/>
      <c r="G2352" s="95"/>
      <c r="H2352" s="96"/>
      <c r="I2352" s="97"/>
      <c r="J2352" s="98"/>
      <c r="K2352" s="99"/>
    </row>
    <row r="2353" spans="1:11" ht="13.2">
      <c r="A2353" s="89"/>
      <c r="B2353" s="90"/>
      <c r="C2353" s="91"/>
      <c r="D2353" s="92"/>
      <c r="E2353" s="93"/>
      <c r="F2353" s="94"/>
      <c r="G2353" s="95"/>
      <c r="H2353" s="96"/>
      <c r="I2353" s="97"/>
      <c r="J2353" s="98"/>
      <c r="K2353" s="99"/>
    </row>
    <row r="2354" spans="1:11" ht="13.2">
      <c r="A2354" s="89"/>
      <c r="B2354" s="90"/>
      <c r="C2354" s="91"/>
      <c r="D2354" s="92"/>
      <c r="E2354" s="93"/>
      <c r="F2354" s="94"/>
      <c r="G2354" s="95"/>
      <c r="H2354" s="96"/>
      <c r="I2354" s="97"/>
      <c r="J2354" s="98"/>
      <c r="K2354" s="99"/>
    </row>
    <row r="2355" spans="1:11" ht="13.2">
      <c r="A2355" s="89"/>
      <c r="B2355" s="90"/>
      <c r="C2355" s="91"/>
      <c r="D2355" s="92"/>
      <c r="E2355" s="93"/>
      <c r="F2355" s="94"/>
      <c r="G2355" s="95"/>
      <c r="H2355" s="96"/>
      <c r="I2355" s="97"/>
      <c r="J2355" s="98"/>
      <c r="K2355" s="99"/>
    </row>
    <row r="2356" spans="1:11" ht="13.2">
      <c r="A2356" s="89"/>
      <c r="B2356" s="90"/>
      <c r="C2356" s="91"/>
      <c r="D2356" s="92"/>
      <c r="E2356" s="93"/>
      <c r="F2356" s="94"/>
      <c r="G2356" s="95"/>
      <c r="H2356" s="96"/>
      <c r="I2356" s="97"/>
      <c r="J2356" s="98"/>
      <c r="K2356" s="99"/>
    </row>
    <row r="2357" spans="1:11" ht="13.2">
      <c r="A2357" s="89"/>
      <c r="B2357" s="90"/>
      <c r="C2357" s="91"/>
      <c r="D2357" s="92"/>
      <c r="E2357" s="93"/>
      <c r="F2357" s="94"/>
      <c r="G2357" s="95"/>
      <c r="H2357" s="96"/>
      <c r="I2357" s="97"/>
      <c r="J2357" s="98"/>
      <c r="K2357" s="99"/>
    </row>
    <row r="2358" spans="1:11" ht="13.2">
      <c r="A2358" s="89"/>
      <c r="B2358" s="90"/>
      <c r="C2358" s="91"/>
      <c r="D2358" s="92"/>
      <c r="E2358" s="93"/>
      <c r="F2358" s="94"/>
      <c r="G2358" s="95"/>
      <c r="H2358" s="96"/>
      <c r="I2358" s="97"/>
      <c r="J2358" s="98"/>
      <c r="K2358" s="99"/>
    </row>
    <row r="2359" spans="1:11" ht="13.2">
      <c r="A2359" s="89"/>
      <c r="B2359" s="90"/>
      <c r="C2359" s="91"/>
      <c r="D2359" s="92"/>
      <c r="E2359" s="93"/>
      <c r="F2359" s="94"/>
      <c r="G2359" s="95"/>
      <c r="H2359" s="96"/>
      <c r="I2359" s="97"/>
      <c r="J2359" s="98"/>
      <c r="K2359" s="99"/>
    </row>
    <row r="2360" spans="1:11" ht="13.2">
      <c r="A2360" s="89"/>
      <c r="B2360" s="90"/>
      <c r="C2360" s="91"/>
      <c r="D2360" s="92"/>
      <c r="E2360" s="93"/>
      <c r="F2360" s="94"/>
      <c r="G2360" s="95"/>
      <c r="H2360" s="96"/>
      <c r="I2360" s="97"/>
      <c r="J2360" s="98"/>
      <c r="K2360" s="99"/>
    </row>
    <row r="2361" spans="1:11" ht="13.2">
      <c r="A2361" s="89"/>
      <c r="B2361" s="90"/>
      <c r="C2361" s="91"/>
      <c r="D2361" s="92"/>
      <c r="E2361" s="93"/>
      <c r="F2361" s="94"/>
      <c r="G2361" s="95"/>
      <c r="H2361" s="96"/>
      <c r="I2361" s="97"/>
      <c r="J2361" s="98"/>
      <c r="K2361" s="99"/>
    </row>
    <row r="2362" spans="1:11" ht="13.2">
      <c r="A2362" s="89"/>
      <c r="B2362" s="90"/>
      <c r="C2362" s="91"/>
      <c r="D2362" s="92"/>
      <c r="E2362" s="93"/>
      <c r="F2362" s="94"/>
      <c r="G2362" s="95"/>
      <c r="H2362" s="96"/>
      <c r="I2362" s="97"/>
      <c r="J2362" s="98"/>
      <c r="K2362" s="99"/>
    </row>
    <row r="2363" spans="1:11" ht="13.2">
      <c r="A2363" s="89"/>
      <c r="B2363" s="90"/>
      <c r="C2363" s="91"/>
      <c r="D2363" s="92"/>
      <c r="E2363" s="93"/>
      <c r="F2363" s="94"/>
      <c r="G2363" s="95"/>
      <c r="H2363" s="96"/>
      <c r="I2363" s="97"/>
      <c r="J2363" s="98"/>
      <c r="K2363" s="99"/>
    </row>
    <row r="2364" spans="1:11" ht="13.2">
      <c r="A2364" s="89"/>
      <c r="B2364" s="90"/>
      <c r="C2364" s="91"/>
      <c r="D2364" s="92"/>
      <c r="E2364" s="93"/>
      <c r="F2364" s="94"/>
      <c r="G2364" s="95"/>
      <c r="H2364" s="96"/>
      <c r="I2364" s="97"/>
      <c r="J2364" s="98"/>
      <c r="K2364" s="99"/>
    </row>
    <row r="2365" spans="1:11" ht="13.2">
      <c r="A2365" s="89"/>
      <c r="B2365" s="90"/>
      <c r="C2365" s="91"/>
      <c r="D2365" s="92"/>
      <c r="E2365" s="93"/>
      <c r="F2365" s="94"/>
      <c r="G2365" s="95"/>
      <c r="H2365" s="96"/>
      <c r="I2365" s="97"/>
      <c r="J2365" s="98"/>
      <c r="K2365" s="99"/>
    </row>
    <row r="2366" spans="1:11" ht="13.2">
      <c r="A2366" s="89"/>
      <c r="B2366" s="90"/>
      <c r="C2366" s="91"/>
      <c r="D2366" s="92"/>
      <c r="E2366" s="93"/>
      <c r="F2366" s="94"/>
      <c r="G2366" s="95"/>
      <c r="H2366" s="96"/>
      <c r="I2366" s="97"/>
      <c r="J2366" s="98"/>
      <c r="K2366" s="99"/>
    </row>
    <row r="2367" spans="1:11" ht="13.2">
      <c r="A2367" s="89"/>
      <c r="B2367" s="90"/>
      <c r="C2367" s="91"/>
      <c r="D2367" s="92"/>
      <c r="E2367" s="93"/>
      <c r="F2367" s="94"/>
      <c r="G2367" s="95"/>
      <c r="H2367" s="96"/>
      <c r="I2367" s="97"/>
      <c r="J2367" s="98"/>
      <c r="K2367" s="99"/>
    </row>
    <row r="2368" spans="1:11" ht="13.2">
      <c r="A2368" s="89"/>
      <c r="B2368" s="90"/>
      <c r="C2368" s="91"/>
      <c r="D2368" s="92"/>
      <c r="E2368" s="93"/>
      <c r="F2368" s="94"/>
      <c r="G2368" s="95"/>
      <c r="H2368" s="96"/>
      <c r="I2368" s="97"/>
      <c r="J2368" s="98"/>
      <c r="K2368" s="99"/>
    </row>
    <row r="2369" spans="1:11" ht="13.2">
      <c r="A2369" s="89"/>
      <c r="B2369" s="90"/>
      <c r="C2369" s="91"/>
      <c r="D2369" s="92"/>
      <c r="E2369" s="93"/>
      <c r="F2369" s="94"/>
      <c r="G2369" s="95"/>
      <c r="H2369" s="96"/>
      <c r="I2369" s="97"/>
      <c r="J2369" s="98"/>
      <c r="K2369" s="99"/>
    </row>
    <row r="2370" spans="1:11" ht="13.2">
      <c r="A2370" s="89"/>
      <c r="B2370" s="90"/>
      <c r="C2370" s="91"/>
      <c r="D2370" s="92"/>
      <c r="E2370" s="93"/>
      <c r="F2370" s="94"/>
      <c r="G2370" s="95"/>
      <c r="H2370" s="96"/>
      <c r="I2370" s="97"/>
      <c r="J2370" s="98"/>
      <c r="K2370" s="99"/>
    </row>
    <row r="2371" spans="1:11" ht="13.2">
      <c r="A2371" s="89"/>
      <c r="B2371" s="90"/>
      <c r="C2371" s="91"/>
      <c r="D2371" s="92"/>
      <c r="E2371" s="93"/>
      <c r="F2371" s="94"/>
      <c r="G2371" s="95"/>
      <c r="H2371" s="96"/>
      <c r="I2371" s="97"/>
      <c r="J2371" s="98"/>
      <c r="K2371" s="99"/>
    </row>
    <row r="2372" spans="1:11" ht="13.2">
      <c r="A2372" s="89"/>
      <c r="B2372" s="90"/>
      <c r="C2372" s="91"/>
      <c r="D2372" s="92"/>
      <c r="E2372" s="93"/>
      <c r="F2372" s="94"/>
      <c r="G2372" s="95"/>
      <c r="H2372" s="96"/>
      <c r="I2372" s="97"/>
      <c r="J2372" s="98"/>
      <c r="K2372" s="99"/>
    </row>
    <row r="2373" spans="1:11" ht="13.2">
      <c r="A2373" s="89"/>
      <c r="B2373" s="90"/>
      <c r="C2373" s="91"/>
      <c r="D2373" s="92"/>
      <c r="E2373" s="93"/>
      <c r="F2373" s="94"/>
      <c r="G2373" s="95"/>
      <c r="H2373" s="96"/>
      <c r="I2373" s="97"/>
      <c r="J2373" s="98"/>
      <c r="K2373" s="99"/>
    </row>
    <row r="2374" spans="1:11" ht="13.2">
      <c r="A2374" s="89"/>
      <c r="B2374" s="90"/>
      <c r="C2374" s="91"/>
      <c r="D2374" s="92"/>
      <c r="E2374" s="93"/>
      <c r="F2374" s="94"/>
      <c r="G2374" s="95"/>
      <c r="H2374" s="96"/>
      <c r="I2374" s="97"/>
      <c r="J2374" s="98"/>
      <c r="K2374" s="99"/>
    </row>
    <row r="2375" spans="1:11" ht="13.2">
      <c r="A2375" s="89"/>
      <c r="B2375" s="90"/>
      <c r="C2375" s="91"/>
      <c r="D2375" s="92"/>
      <c r="E2375" s="93"/>
      <c r="F2375" s="94"/>
      <c r="G2375" s="95"/>
      <c r="H2375" s="96"/>
      <c r="I2375" s="97"/>
      <c r="J2375" s="98"/>
      <c r="K2375" s="99"/>
    </row>
    <row r="2376" spans="1:11" ht="13.2">
      <c r="A2376" s="89"/>
      <c r="B2376" s="90"/>
      <c r="C2376" s="91"/>
      <c r="D2376" s="92"/>
      <c r="E2376" s="93"/>
      <c r="F2376" s="94"/>
      <c r="G2376" s="95"/>
      <c r="H2376" s="96"/>
      <c r="I2376" s="97"/>
      <c r="J2376" s="98"/>
      <c r="K2376" s="99"/>
    </row>
    <row r="2377" spans="1:11" ht="13.2">
      <c r="A2377" s="89"/>
      <c r="B2377" s="90"/>
      <c r="C2377" s="91"/>
      <c r="D2377" s="92"/>
      <c r="E2377" s="93"/>
      <c r="F2377" s="94"/>
      <c r="G2377" s="95"/>
      <c r="H2377" s="96"/>
      <c r="I2377" s="97"/>
      <c r="J2377" s="98"/>
      <c r="K2377" s="99"/>
    </row>
    <row r="2378" spans="1:11" ht="13.2">
      <c r="A2378" s="89"/>
      <c r="B2378" s="90"/>
      <c r="C2378" s="91"/>
      <c r="D2378" s="92"/>
      <c r="E2378" s="93"/>
      <c r="F2378" s="94"/>
      <c r="G2378" s="95"/>
      <c r="H2378" s="96"/>
      <c r="I2378" s="97"/>
      <c r="J2378" s="98"/>
      <c r="K2378" s="99"/>
    </row>
    <row r="2379" spans="1:11" ht="13.2">
      <c r="A2379" s="89"/>
      <c r="B2379" s="90"/>
      <c r="C2379" s="91"/>
      <c r="D2379" s="92"/>
      <c r="E2379" s="93"/>
      <c r="F2379" s="94"/>
      <c r="G2379" s="95"/>
      <c r="H2379" s="96"/>
      <c r="I2379" s="97"/>
      <c r="J2379" s="98"/>
      <c r="K2379" s="99"/>
    </row>
    <row r="2380" spans="1:11" ht="13.2">
      <c r="A2380" s="89"/>
      <c r="B2380" s="90"/>
      <c r="C2380" s="91"/>
      <c r="D2380" s="92"/>
      <c r="E2380" s="93"/>
      <c r="F2380" s="94"/>
      <c r="G2380" s="95"/>
      <c r="H2380" s="96"/>
      <c r="I2380" s="97"/>
      <c r="J2380" s="98"/>
      <c r="K2380" s="99"/>
    </row>
    <row r="2381" spans="1:11" ht="13.2">
      <c r="A2381" s="89"/>
      <c r="B2381" s="90"/>
      <c r="C2381" s="91"/>
      <c r="D2381" s="92"/>
      <c r="E2381" s="93"/>
      <c r="F2381" s="94"/>
      <c r="G2381" s="95"/>
      <c r="H2381" s="96"/>
      <c r="I2381" s="97"/>
      <c r="J2381" s="98"/>
      <c r="K2381" s="99"/>
    </row>
    <row r="2382" spans="1:11" ht="13.2">
      <c r="A2382" s="89"/>
      <c r="B2382" s="90"/>
      <c r="C2382" s="91"/>
      <c r="D2382" s="92"/>
      <c r="E2382" s="93"/>
      <c r="F2382" s="94"/>
      <c r="G2382" s="95"/>
      <c r="H2382" s="96"/>
      <c r="I2382" s="97"/>
      <c r="J2382" s="98"/>
      <c r="K2382" s="99"/>
    </row>
    <row r="2383" spans="1:11" ht="13.2">
      <c r="A2383" s="89"/>
      <c r="B2383" s="90"/>
      <c r="C2383" s="91"/>
      <c r="D2383" s="92"/>
      <c r="E2383" s="93"/>
      <c r="F2383" s="94"/>
      <c r="G2383" s="95"/>
      <c r="H2383" s="96"/>
      <c r="I2383" s="97"/>
      <c r="J2383" s="98"/>
      <c r="K2383" s="99"/>
    </row>
    <row r="2384" spans="1:11" ht="13.2">
      <c r="A2384" s="89"/>
      <c r="B2384" s="90"/>
      <c r="C2384" s="91"/>
      <c r="D2384" s="92"/>
      <c r="E2384" s="93"/>
      <c r="F2384" s="94"/>
      <c r="G2384" s="95"/>
      <c r="H2384" s="96"/>
      <c r="I2384" s="97"/>
      <c r="J2384" s="98"/>
      <c r="K2384" s="99"/>
    </row>
    <row r="2385" spans="1:11" ht="13.2">
      <c r="A2385" s="89"/>
      <c r="B2385" s="90"/>
      <c r="C2385" s="91"/>
      <c r="D2385" s="92"/>
      <c r="E2385" s="93"/>
      <c r="F2385" s="94"/>
      <c r="G2385" s="95"/>
      <c r="H2385" s="96"/>
      <c r="I2385" s="97"/>
      <c r="J2385" s="98"/>
      <c r="K2385" s="99"/>
    </row>
    <row r="2386" spans="1:11" ht="13.2">
      <c r="A2386" s="89"/>
      <c r="B2386" s="90"/>
      <c r="C2386" s="91"/>
      <c r="D2386" s="92"/>
      <c r="E2386" s="93"/>
      <c r="F2386" s="94"/>
      <c r="G2386" s="95"/>
      <c r="H2386" s="96"/>
      <c r="I2386" s="97"/>
      <c r="J2386" s="98"/>
      <c r="K2386" s="99"/>
    </row>
    <row r="2387" spans="1:11" ht="13.2">
      <c r="A2387" s="89"/>
      <c r="B2387" s="90"/>
      <c r="C2387" s="91"/>
      <c r="D2387" s="92"/>
      <c r="E2387" s="93"/>
      <c r="F2387" s="94"/>
      <c r="G2387" s="95"/>
      <c r="H2387" s="96"/>
      <c r="I2387" s="97"/>
      <c r="J2387" s="98"/>
      <c r="K2387" s="99"/>
    </row>
    <row r="2388" spans="1:11" ht="13.2">
      <c r="A2388" s="89"/>
      <c r="B2388" s="90"/>
      <c r="C2388" s="91"/>
      <c r="D2388" s="92"/>
      <c r="E2388" s="93"/>
      <c r="F2388" s="94"/>
      <c r="G2388" s="95"/>
      <c r="H2388" s="96"/>
      <c r="I2388" s="97"/>
      <c r="J2388" s="98"/>
      <c r="K2388" s="99"/>
    </row>
    <row r="2389" spans="1:11" ht="13.2">
      <c r="A2389" s="89"/>
      <c r="B2389" s="90"/>
      <c r="C2389" s="91"/>
      <c r="D2389" s="92"/>
      <c r="E2389" s="93"/>
      <c r="F2389" s="94"/>
      <c r="G2389" s="95"/>
      <c r="H2389" s="96"/>
      <c r="I2389" s="97"/>
      <c r="J2389" s="98"/>
      <c r="K2389" s="99"/>
    </row>
    <row r="2390" spans="1:11" ht="13.2">
      <c r="A2390" s="89"/>
      <c r="B2390" s="90"/>
      <c r="C2390" s="91"/>
      <c r="D2390" s="92"/>
      <c r="E2390" s="93"/>
      <c r="F2390" s="94"/>
      <c r="G2390" s="95"/>
      <c r="H2390" s="96"/>
      <c r="I2390" s="97"/>
      <c r="J2390" s="98"/>
      <c r="K2390" s="99"/>
    </row>
    <row r="2391" spans="1:11" ht="13.2">
      <c r="A2391" s="89"/>
      <c r="B2391" s="90"/>
      <c r="C2391" s="91"/>
      <c r="D2391" s="92"/>
      <c r="E2391" s="93"/>
      <c r="F2391" s="94"/>
      <c r="G2391" s="95"/>
      <c r="H2391" s="96"/>
      <c r="I2391" s="97"/>
      <c r="J2391" s="98"/>
      <c r="K2391" s="99"/>
    </row>
    <row r="2392" spans="1:11" ht="13.2">
      <c r="A2392" s="89"/>
      <c r="B2392" s="90"/>
      <c r="C2392" s="91"/>
      <c r="D2392" s="92"/>
      <c r="E2392" s="93"/>
      <c r="F2392" s="94"/>
      <c r="G2392" s="95"/>
      <c r="H2392" s="96"/>
      <c r="I2392" s="97"/>
      <c r="J2392" s="98"/>
      <c r="K2392" s="99"/>
    </row>
    <row r="2393" spans="1:11" ht="13.2">
      <c r="A2393" s="89"/>
      <c r="B2393" s="90"/>
      <c r="C2393" s="91"/>
      <c r="D2393" s="92"/>
      <c r="E2393" s="93"/>
      <c r="F2393" s="94"/>
      <c r="G2393" s="95"/>
      <c r="H2393" s="96"/>
      <c r="I2393" s="97"/>
      <c r="J2393" s="98"/>
      <c r="K2393" s="99"/>
    </row>
    <row r="2394" spans="1:11" ht="13.2">
      <c r="A2394" s="89"/>
      <c r="B2394" s="90"/>
      <c r="C2394" s="91"/>
      <c r="D2394" s="92"/>
      <c r="E2394" s="93"/>
      <c r="F2394" s="94"/>
      <c r="G2394" s="95"/>
      <c r="H2394" s="96"/>
      <c r="I2394" s="97"/>
      <c r="J2394" s="98"/>
      <c r="K2394" s="99"/>
    </row>
    <row r="2395" spans="1:11" ht="13.2">
      <c r="A2395" s="89"/>
      <c r="B2395" s="90"/>
      <c r="C2395" s="91"/>
      <c r="D2395" s="92"/>
      <c r="E2395" s="93"/>
      <c r="F2395" s="94"/>
      <c r="G2395" s="95"/>
      <c r="H2395" s="96"/>
      <c r="I2395" s="97"/>
      <c r="J2395" s="98"/>
      <c r="K2395" s="99"/>
    </row>
    <row r="2396" spans="1:11" ht="13.2">
      <c r="A2396" s="89"/>
      <c r="B2396" s="90"/>
      <c r="C2396" s="91"/>
      <c r="D2396" s="92"/>
      <c r="E2396" s="93"/>
      <c r="F2396" s="94"/>
      <c r="G2396" s="95"/>
      <c r="H2396" s="96"/>
      <c r="I2396" s="97"/>
      <c r="J2396" s="98"/>
      <c r="K2396" s="99"/>
    </row>
    <row r="2397" spans="1:11" ht="13.2">
      <c r="A2397" s="89"/>
      <c r="B2397" s="90"/>
      <c r="C2397" s="91"/>
      <c r="D2397" s="92"/>
      <c r="E2397" s="93"/>
      <c r="F2397" s="94"/>
      <c r="G2397" s="95"/>
      <c r="H2397" s="96"/>
      <c r="I2397" s="97"/>
      <c r="J2397" s="98"/>
      <c r="K2397" s="99"/>
    </row>
    <row r="2398" spans="1:11" ht="13.2">
      <c r="A2398" s="89"/>
      <c r="B2398" s="90"/>
      <c r="C2398" s="91"/>
      <c r="D2398" s="92"/>
      <c r="E2398" s="93"/>
      <c r="F2398" s="94"/>
      <c r="G2398" s="95"/>
      <c r="H2398" s="96"/>
      <c r="I2398" s="97"/>
      <c r="J2398" s="98"/>
      <c r="K2398" s="99"/>
    </row>
    <row r="2399" spans="1:11" ht="13.2">
      <c r="A2399" s="89"/>
      <c r="B2399" s="90"/>
      <c r="C2399" s="91"/>
      <c r="D2399" s="92"/>
      <c r="E2399" s="93"/>
      <c r="F2399" s="94"/>
      <c r="G2399" s="95"/>
      <c r="H2399" s="96"/>
      <c r="I2399" s="97"/>
      <c r="J2399" s="98"/>
      <c r="K2399" s="99"/>
    </row>
    <row r="2400" spans="1:11" ht="13.2">
      <c r="A2400" s="89"/>
      <c r="B2400" s="90"/>
      <c r="C2400" s="91"/>
      <c r="D2400" s="92"/>
      <c r="E2400" s="93"/>
      <c r="F2400" s="94"/>
      <c r="G2400" s="95"/>
      <c r="H2400" s="96"/>
      <c r="I2400" s="97"/>
      <c r="J2400" s="98"/>
      <c r="K2400" s="99"/>
    </row>
    <row r="2401" spans="1:11" ht="13.2">
      <c r="A2401" s="89"/>
      <c r="B2401" s="90"/>
      <c r="C2401" s="91"/>
      <c r="D2401" s="92"/>
      <c r="E2401" s="93"/>
      <c r="F2401" s="94"/>
      <c r="G2401" s="95"/>
      <c r="H2401" s="96"/>
      <c r="I2401" s="97"/>
      <c r="J2401" s="98"/>
      <c r="K2401" s="99"/>
    </row>
    <row r="2402" spans="1:11" ht="13.2">
      <c r="A2402" s="89"/>
      <c r="B2402" s="90"/>
      <c r="C2402" s="91"/>
      <c r="D2402" s="92"/>
      <c r="E2402" s="93"/>
      <c r="F2402" s="94"/>
      <c r="G2402" s="95"/>
      <c r="H2402" s="96"/>
      <c r="I2402" s="97"/>
      <c r="J2402" s="98"/>
      <c r="K2402" s="99"/>
    </row>
    <row r="2403" spans="1:11" ht="13.2">
      <c r="A2403" s="89"/>
      <c r="B2403" s="90"/>
      <c r="C2403" s="91"/>
      <c r="D2403" s="92"/>
      <c r="E2403" s="93"/>
      <c r="F2403" s="94"/>
      <c r="G2403" s="95"/>
      <c r="H2403" s="96"/>
      <c r="I2403" s="97"/>
      <c r="J2403" s="98"/>
      <c r="K2403" s="99"/>
    </row>
    <row r="2404" spans="1:11" ht="13.2">
      <c r="A2404" s="89"/>
      <c r="B2404" s="90"/>
      <c r="C2404" s="91"/>
      <c r="D2404" s="92"/>
      <c r="E2404" s="93"/>
      <c r="F2404" s="94"/>
      <c r="G2404" s="95"/>
      <c r="H2404" s="96"/>
      <c r="I2404" s="97"/>
      <c r="J2404" s="98"/>
      <c r="K2404" s="99"/>
    </row>
    <row r="2405" spans="1:11" ht="13.2">
      <c r="A2405" s="89"/>
      <c r="B2405" s="90"/>
      <c r="C2405" s="91"/>
      <c r="D2405" s="92"/>
      <c r="E2405" s="93"/>
      <c r="F2405" s="94"/>
      <c r="G2405" s="95"/>
      <c r="H2405" s="96"/>
      <c r="I2405" s="97"/>
      <c r="J2405" s="98"/>
      <c r="K2405" s="99"/>
    </row>
    <row r="2406" spans="1:11" ht="13.2">
      <c r="A2406" s="89"/>
      <c r="B2406" s="90"/>
      <c r="C2406" s="91"/>
      <c r="D2406" s="92"/>
      <c r="E2406" s="93"/>
      <c r="F2406" s="94"/>
      <c r="G2406" s="95"/>
      <c r="H2406" s="96"/>
      <c r="I2406" s="97"/>
      <c r="J2406" s="98"/>
      <c r="K2406" s="99"/>
    </row>
    <row r="2407" spans="1:11" ht="13.2">
      <c r="A2407" s="89"/>
      <c r="B2407" s="90"/>
      <c r="C2407" s="91"/>
      <c r="D2407" s="92"/>
      <c r="E2407" s="93"/>
      <c r="F2407" s="94"/>
      <c r="G2407" s="95"/>
      <c r="H2407" s="96"/>
      <c r="I2407" s="97"/>
      <c r="J2407" s="98"/>
      <c r="K2407" s="99"/>
    </row>
    <row r="2408" spans="1:11" ht="13.2">
      <c r="A2408" s="89"/>
      <c r="B2408" s="90"/>
      <c r="C2408" s="91"/>
      <c r="D2408" s="92"/>
      <c r="E2408" s="93"/>
      <c r="F2408" s="94"/>
      <c r="G2408" s="95"/>
      <c r="H2408" s="96"/>
      <c r="I2408" s="97"/>
      <c r="J2408" s="98"/>
      <c r="K2408" s="99"/>
    </row>
    <row r="2409" spans="1:11" ht="13.2">
      <c r="A2409" s="89"/>
      <c r="B2409" s="90"/>
      <c r="C2409" s="91"/>
      <c r="D2409" s="92"/>
      <c r="E2409" s="93"/>
      <c r="F2409" s="94"/>
      <c r="G2409" s="95"/>
      <c r="H2409" s="96"/>
      <c r="I2409" s="97"/>
      <c r="J2409" s="98"/>
      <c r="K2409" s="99"/>
    </row>
    <row r="2410" spans="1:11" ht="13.2">
      <c r="A2410" s="89"/>
      <c r="B2410" s="90"/>
      <c r="C2410" s="91"/>
      <c r="D2410" s="92"/>
      <c r="E2410" s="93"/>
      <c r="F2410" s="94"/>
      <c r="G2410" s="95"/>
      <c r="H2410" s="96"/>
      <c r="I2410" s="97"/>
      <c r="J2410" s="98"/>
      <c r="K2410" s="99"/>
    </row>
    <row r="2411" spans="1:11" ht="13.2">
      <c r="A2411" s="89"/>
      <c r="B2411" s="90"/>
      <c r="C2411" s="91"/>
      <c r="D2411" s="92"/>
      <c r="E2411" s="93"/>
      <c r="F2411" s="94"/>
      <c r="G2411" s="95"/>
      <c r="H2411" s="96"/>
      <c r="I2411" s="97"/>
      <c r="J2411" s="98"/>
      <c r="K2411" s="99"/>
    </row>
    <row r="2412" spans="1:11" ht="13.2">
      <c r="A2412" s="89"/>
      <c r="B2412" s="90"/>
      <c r="C2412" s="91"/>
      <c r="D2412" s="92"/>
      <c r="E2412" s="93"/>
      <c r="F2412" s="94"/>
      <c r="G2412" s="95"/>
      <c r="H2412" s="96"/>
      <c r="I2412" s="97"/>
      <c r="J2412" s="98"/>
      <c r="K2412" s="99"/>
    </row>
    <row r="2413" spans="1:11" ht="13.2">
      <c r="A2413" s="89"/>
      <c r="B2413" s="90"/>
      <c r="C2413" s="91"/>
      <c r="D2413" s="92"/>
      <c r="E2413" s="93"/>
      <c r="F2413" s="94"/>
      <c r="G2413" s="95"/>
      <c r="H2413" s="96"/>
      <c r="I2413" s="97"/>
      <c r="J2413" s="98"/>
      <c r="K2413" s="99"/>
    </row>
    <row r="2414" spans="1:11" ht="13.2">
      <c r="A2414" s="89"/>
      <c r="B2414" s="90"/>
      <c r="C2414" s="91"/>
      <c r="D2414" s="92"/>
      <c r="E2414" s="93"/>
      <c r="F2414" s="94"/>
      <c r="G2414" s="95"/>
      <c r="H2414" s="96"/>
      <c r="I2414" s="97"/>
      <c r="J2414" s="98"/>
      <c r="K2414" s="99"/>
    </row>
    <row r="2415" spans="1:11" ht="13.2">
      <c r="A2415" s="89"/>
      <c r="B2415" s="90"/>
      <c r="C2415" s="91"/>
      <c r="D2415" s="92"/>
      <c r="E2415" s="93"/>
      <c r="F2415" s="94"/>
      <c r="G2415" s="95"/>
      <c r="H2415" s="96"/>
      <c r="I2415" s="97"/>
      <c r="J2415" s="98"/>
      <c r="K2415" s="99"/>
    </row>
    <row r="2416" spans="1:11" ht="13.2">
      <c r="A2416" s="89"/>
      <c r="B2416" s="90"/>
      <c r="C2416" s="91"/>
      <c r="D2416" s="92"/>
      <c r="E2416" s="93"/>
      <c r="F2416" s="94"/>
      <c r="G2416" s="95"/>
      <c r="H2416" s="96"/>
      <c r="I2416" s="97"/>
      <c r="J2416" s="98"/>
      <c r="K2416" s="99"/>
    </row>
    <row r="2417" spans="1:11" ht="13.2">
      <c r="A2417" s="89"/>
      <c r="B2417" s="90"/>
      <c r="C2417" s="91"/>
      <c r="D2417" s="92"/>
      <c r="E2417" s="93"/>
      <c r="F2417" s="94"/>
      <c r="G2417" s="95"/>
      <c r="H2417" s="96"/>
      <c r="I2417" s="97"/>
      <c r="J2417" s="98"/>
      <c r="K2417" s="99"/>
    </row>
    <row r="2418" spans="1:11" ht="13.2">
      <c r="A2418" s="89"/>
      <c r="B2418" s="90"/>
      <c r="C2418" s="91"/>
      <c r="D2418" s="92"/>
      <c r="E2418" s="93"/>
      <c r="F2418" s="94"/>
      <c r="G2418" s="95"/>
      <c r="H2418" s="96"/>
      <c r="I2418" s="97"/>
      <c r="J2418" s="98"/>
      <c r="K2418" s="99"/>
    </row>
    <row r="2419" spans="1:11" ht="13.2">
      <c r="A2419" s="89"/>
      <c r="B2419" s="90"/>
      <c r="C2419" s="91"/>
      <c r="D2419" s="92"/>
      <c r="E2419" s="93"/>
      <c r="F2419" s="94"/>
      <c r="G2419" s="95"/>
      <c r="H2419" s="96"/>
      <c r="I2419" s="97"/>
      <c r="J2419" s="98"/>
      <c r="K2419" s="99"/>
    </row>
    <row r="2420" spans="1:11" ht="13.2">
      <c r="A2420" s="89"/>
      <c r="B2420" s="90"/>
      <c r="C2420" s="91"/>
      <c r="D2420" s="92"/>
      <c r="E2420" s="93"/>
      <c r="F2420" s="94"/>
      <c r="G2420" s="95"/>
      <c r="H2420" s="96"/>
      <c r="I2420" s="97"/>
      <c r="J2420" s="98"/>
      <c r="K2420" s="99"/>
    </row>
    <row r="2421" spans="1:11" ht="13.2">
      <c r="A2421" s="89"/>
      <c r="B2421" s="90"/>
      <c r="C2421" s="91"/>
      <c r="D2421" s="92"/>
      <c r="E2421" s="93"/>
      <c r="F2421" s="94"/>
      <c r="G2421" s="95"/>
      <c r="H2421" s="96"/>
      <c r="I2421" s="97"/>
      <c r="J2421" s="98"/>
      <c r="K2421" s="99"/>
    </row>
    <row r="2422" spans="1:11" ht="13.2">
      <c r="A2422" s="89"/>
      <c r="B2422" s="90"/>
      <c r="C2422" s="91"/>
      <c r="D2422" s="92"/>
      <c r="E2422" s="93"/>
      <c r="F2422" s="94"/>
      <c r="G2422" s="95"/>
      <c r="H2422" s="96"/>
      <c r="I2422" s="97"/>
      <c r="J2422" s="98"/>
      <c r="K2422" s="99"/>
    </row>
    <row r="2423" spans="1:11" ht="13.2">
      <c r="A2423" s="89"/>
      <c r="B2423" s="90"/>
      <c r="C2423" s="91"/>
      <c r="D2423" s="92"/>
      <c r="E2423" s="93"/>
      <c r="F2423" s="94"/>
      <c r="G2423" s="95"/>
      <c r="H2423" s="96"/>
      <c r="I2423" s="97"/>
      <c r="J2423" s="98"/>
      <c r="K2423" s="99"/>
    </row>
    <row r="2424" spans="1:11" ht="13.2">
      <c r="A2424" s="89"/>
      <c r="B2424" s="90"/>
      <c r="C2424" s="91"/>
      <c r="D2424" s="92"/>
      <c r="E2424" s="93"/>
      <c r="F2424" s="94"/>
      <c r="G2424" s="95"/>
      <c r="H2424" s="96"/>
      <c r="I2424" s="97"/>
      <c r="J2424" s="98"/>
      <c r="K2424" s="99"/>
    </row>
    <row r="2425" spans="1:11" ht="13.2">
      <c r="A2425" s="89"/>
      <c r="B2425" s="90"/>
      <c r="C2425" s="91"/>
      <c r="D2425" s="92"/>
      <c r="E2425" s="93"/>
      <c r="F2425" s="94"/>
      <c r="G2425" s="95"/>
      <c r="H2425" s="96"/>
      <c r="I2425" s="97"/>
      <c r="J2425" s="98"/>
      <c r="K2425" s="99"/>
    </row>
    <row r="2426" spans="1:11" ht="13.2">
      <c r="A2426" s="89"/>
      <c r="B2426" s="90"/>
      <c r="C2426" s="91"/>
      <c r="D2426" s="92"/>
      <c r="E2426" s="93"/>
      <c r="F2426" s="94"/>
      <c r="G2426" s="95"/>
      <c r="H2426" s="96"/>
      <c r="I2426" s="97"/>
      <c r="J2426" s="98"/>
      <c r="K2426" s="99"/>
    </row>
    <row r="2427" spans="1:11" ht="13.2">
      <c r="A2427" s="89"/>
      <c r="B2427" s="90"/>
      <c r="C2427" s="91"/>
      <c r="D2427" s="92"/>
      <c r="E2427" s="93"/>
      <c r="F2427" s="94"/>
      <c r="G2427" s="95"/>
      <c r="H2427" s="96"/>
      <c r="I2427" s="97"/>
      <c r="J2427" s="98"/>
      <c r="K2427" s="99"/>
    </row>
    <row r="2428" spans="1:11" ht="13.2">
      <c r="A2428" s="89"/>
      <c r="B2428" s="90"/>
      <c r="C2428" s="91"/>
      <c r="D2428" s="92"/>
      <c r="E2428" s="93"/>
      <c r="F2428" s="94"/>
      <c r="G2428" s="95"/>
      <c r="H2428" s="96"/>
      <c r="I2428" s="97"/>
      <c r="J2428" s="98"/>
      <c r="K2428" s="99"/>
    </row>
    <row r="2429" spans="1:11" ht="13.2">
      <c r="A2429" s="89"/>
      <c r="B2429" s="90"/>
      <c r="C2429" s="91"/>
      <c r="D2429" s="92"/>
      <c r="E2429" s="93"/>
      <c r="F2429" s="94"/>
      <c r="G2429" s="95"/>
      <c r="H2429" s="96"/>
      <c r="I2429" s="97"/>
      <c r="J2429" s="98"/>
      <c r="K2429" s="99"/>
    </row>
    <row r="2430" spans="1:11" ht="13.2">
      <c r="A2430" s="89"/>
      <c r="B2430" s="90"/>
      <c r="C2430" s="91"/>
      <c r="D2430" s="92"/>
      <c r="E2430" s="93"/>
      <c r="F2430" s="94"/>
      <c r="G2430" s="95"/>
      <c r="H2430" s="96"/>
      <c r="I2430" s="97"/>
      <c r="J2430" s="98"/>
      <c r="K2430" s="99"/>
    </row>
    <row r="2431" spans="1:11" ht="13.2">
      <c r="A2431" s="89"/>
      <c r="B2431" s="90"/>
      <c r="C2431" s="91"/>
      <c r="D2431" s="92"/>
      <c r="E2431" s="93"/>
      <c r="F2431" s="94"/>
      <c r="G2431" s="95"/>
      <c r="H2431" s="96"/>
      <c r="I2431" s="97"/>
      <c r="J2431" s="98"/>
      <c r="K2431" s="99"/>
    </row>
    <row r="2432" spans="1:11" ht="13.2">
      <c r="A2432" s="89"/>
      <c r="B2432" s="90"/>
      <c r="C2432" s="91"/>
      <c r="D2432" s="92"/>
      <c r="E2432" s="93"/>
      <c r="F2432" s="94"/>
      <c r="G2432" s="95"/>
      <c r="H2432" s="96"/>
      <c r="I2432" s="97"/>
      <c r="J2432" s="98"/>
      <c r="K2432" s="99"/>
    </row>
    <row r="2433" spans="1:11" ht="13.2">
      <c r="A2433" s="89"/>
      <c r="B2433" s="90"/>
      <c r="C2433" s="91"/>
      <c r="D2433" s="92"/>
      <c r="E2433" s="93"/>
      <c r="F2433" s="94"/>
      <c r="G2433" s="95"/>
      <c r="H2433" s="96"/>
      <c r="I2433" s="97"/>
      <c r="J2433" s="98"/>
      <c r="K2433" s="99"/>
    </row>
    <row r="2434" spans="1:11" ht="13.2">
      <c r="A2434" s="89"/>
      <c r="B2434" s="90"/>
      <c r="C2434" s="91"/>
      <c r="D2434" s="92"/>
      <c r="E2434" s="93"/>
      <c r="F2434" s="94"/>
      <c r="G2434" s="95"/>
      <c r="H2434" s="96"/>
      <c r="I2434" s="97"/>
      <c r="J2434" s="98"/>
      <c r="K2434" s="99"/>
    </row>
    <row r="2435" spans="1:11" ht="13.2">
      <c r="A2435" s="89"/>
      <c r="B2435" s="90"/>
      <c r="C2435" s="91"/>
      <c r="D2435" s="92"/>
      <c r="E2435" s="93"/>
      <c r="F2435" s="94"/>
      <c r="G2435" s="95"/>
      <c r="H2435" s="96"/>
      <c r="I2435" s="97"/>
      <c r="J2435" s="98"/>
      <c r="K2435" s="99"/>
    </row>
    <row r="2436" spans="1:11" ht="13.2">
      <c r="A2436" s="89"/>
      <c r="B2436" s="90"/>
      <c r="C2436" s="91"/>
      <c r="D2436" s="92"/>
      <c r="E2436" s="93"/>
      <c r="F2436" s="94"/>
      <c r="G2436" s="95"/>
      <c r="H2436" s="96"/>
      <c r="I2436" s="97"/>
      <c r="J2436" s="98"/>
      <c r="K2436" s="99"/>
    </row>
    <row r="2437" spans="1:11" ht="13.2">
      <c r="A2437" s="89"/>
      <c r="B2437" s="90"/>
      <c r="C2437" s="91"/>
      <c r="D2437" s="92"/>
      <c r="E2437" s="93"/>
      <c r="F2437" s="94"/>
      <c r="G2437" s="95"/>
      <c r="H2437" s="96"/>
      <c r="I2437" s="97"/>
      <c r="J2437" s="98"/>
      <c r="K2437" s="99"/>
    </row>
    <row r="2438" spans="1:11" ht="13.2">
      <c r="A2438" s="89"/>
      <c r="B2438" s="90"/>
      <c r="C2438" s="91"/>
      <c r="D2438" s="92"/>
      <c r="E2438" s="93"/>
      <c r="F2438" s="94"/>
      <c r="G2438" s="95"/>
      <c r="H2438" s="96"/>
      <c r="I2438" s="97"/>
      <c r="J2438" s="98"/>
      <c r="K2438" s="99"/>
    </row>
    <row r="2439" spans="1:11" ht="13.2">
      <c r="A2439" s="89"/>
      <c r="B2439" s="90"/>
      <c r="C2439" s="91"/>
      <c r="D2439" s="92"/>
      <c r="E2439" s="93"/>
      <c r="F2439" s="94"/>
      <c r="G2439" s="95"/>
      <c r="H2439" s="96"/>
      <c r="I2439" s="97"/>
      <c r="J2439" s="98"/>
      <c r="K2439" s="99"/>
    </row>
    <row r="2440" spans="1:11" ht="13.2">
      <c r="A2440" s="89"/>
      <c r="B2440" s="90"/>
      <c r="C2440" s="91"/>
      <c r="D2440" s="92"/>
      <c r="E2440" s="93"/>
      <c r="F2440" s="94"/>
      <c r="G2440" s="95"/>
      <c r="H2440" s="96"/>
      <c r="I2440" s="97"/>
      <c r="J2440" s="98"/>
      <c r="K2440" s="99"/>
    </row>
    <row r="2441" spans="1:11" ht="13.2">
      <c r="A2441" s="89"/>
      <c r="B2441" s="90"/>
      <c r="C2441" s="91"/>
      <c r="D2441" s="92"/>
      <c r="E2441" s="93"/>
      <c r="F2441" s="94"/>
      <c r="G2441" s="95"/>
      <c r="H2441" s="96"/>
      <c r="I2441" s="97"/>
      <c r="J2441" s="98"/>
      <c r="K2441" s="99"/>
    </row>
    <row r="2442" spans="1:11" ht="13.2">
      <c r="A2442" s="89"/>
      <c r="B2442" s="90"/>
      <c r="C2442" s="91"/>
      <c r="D2442" s="92"/>
      <c r="E2442" s="93"/>
      <c r="F2442" s="94"/>
      <c r="G2442" s="95"/>
      <c r="H2442" s="96"/>
      <c r="I2442" s="97"/>
      <c r="J2442" s="98"/>
      <c r="K2442" s="99"/>
    </row>
    <row r="2443" spans="1:11" ht="13.2">
      <c r="A2443" s="89"/>
      <c r="B2443" s="90"/>
      <c r="C2443" s="91"/>
      <c r="D2443" s="92"/>
      <c r="E2443" s="93"/>
      <c r="F2443" s="94"/>
      <c r="G2443" s="95"/>
      <c r="H2443" s="96"/>
      <c r="I2443" s="97"/>
      <c r="J2443" s="98"/>
      <c r="K2443" s="99"/>
    </row>
    <row r="2444" spans="1:11" ht="13.2">
      <c r="A2444" s="89"/>
      <c r="B2444" s="90"/>
      <c r="C2444" s="91"/>
      <c r="D2444" s="92"/>
      <c r="E2444" s="93"/>
      <c r="F2444" s="94"/>
      <c r="G2444" s="95"/>
      <c r="H2444" s="96"/>
      <c r="I2444" s="97"/>
      <c r="J2444" s="98"/>
      <c r="K2444" s="99"/>
    </row>
    <row r="2445" spans="1:11" ht="13.2">
      <c r="A2445" s="89"/>
      <c r="B2445" s="90"/>
      <c r="C2445" s="91"/>
      <c r="D2445" s="92"/>
      <c r="E2445" s="93"/>
      <c r="F2445" s="94"/>
      <c r="G2445" s="95"/>
      <c r="H2445" s="96"/>
      <c r="I2445" s="97"/>
      <c r="J2445" s="98"/>
      <c r="K2445" s="99"/>
    </row>
    <row r="2446" spans="1:11" ht="13.2">
      <c r="A2446" s="89"/>
      <c r="B2446" s="90"/>
      <c r="C2446" s="91"/>
      <c r="D2446" s="92"/>
      <c r="E2446" s="93"/>
      <c r="F2446" s="94"/>
      <c r="G2446" s="95"/>
      <c r="H2446" s="96"/>
      <c r="I2446" s="97"/>
      <c r="J2446" s="98"/>
      <c r="K2446" s="99"/>
    </row>
    <row r="2447" spans="1:11" ht="13.2">
      <c r="A2447" s="89"/>
      <c r="B2447" s="90"/>
      <c r="C2447" s="91"/>
      <c r="D2447" s="92"/>
      <c r="E2447" s="93"/>
      <c r="F2447" s="94"/>
      <c r="G2447" s="95"/>
      <c r="H2447" s="96"/>
      <c r="I2447" s="97"/>
      <c r="J2447" s="98"/>
      <c r="K2447" s="99"/>
    </row>
    <row r="2448" spans="1:11" ht="13.2">
      <c r="A2448" s="89"/>
      <c r="B2448" s="90"/>
      <c r="C2448" s="91"/>
      <c r="D2448" s="92"/>
      <c r="E2448" s="93"/>
      <c r="F2448" s="94"/>
      <c r="G2448" s="95"/>
      <c r="H2448" s="96"/>
      <c r="I2448" s="97"/>
      <c r="J2448" s="98"/>
      <c r="K2448" s="99"/>
    </row>
    <row r="2449" spans="1:11" ht="13.2">
      <c r="A2449" s="89"/>
      <c r="B2449" s="90"/>
      <c r="C2449" s="91"/>
      <c r="D2449" s="92"/>
      <c r="E2449" s="93"/>
      <c r="F2449" s="94"/>
      <c r="G2449" s="95"/>
      <c r="H2449" s="96"/>
      <c r="I2449" s="97"/>
      <c r="J2449" s="98"/>
      <c r="K2449" s="99"/>
    </row>
    <row r="2450" spans="1:11" ht="13.2">
      <c r="A2450" s="89"/>
      <c r="B2450" s="90"/>
      <c r="C2450" s="91"/>
      <c r="D2450" s="92"/>
      <c r="E2450" s="93"/>
      <c r="F2450" s="94"/>
      <c r="G2450" s="95"/>
      <c r="H2450" s="96"/>
      <c r="I2450" s="97"/>
      <c r="J2450" s="98"/>
      <c r="K2450" s="99"/>
    </row>
    <row r="2451" spans="1:11" ht="13.2">
      <c r="A2451" s="89"/>
      <c r="B2451" s="90"/>
      <c r="C2451" s="91"/>
      <c r="D2451" s="92"/>
      <c r="E2451" s="93"/>
      <c r="F2451" s="94"/>
      <c r="G2451" s="95"/>
      <c r="H2451" s="96"/>
      <c r="I2451" s="97"/>
      <c r="J2451" s="98"/>
      <c r="K2451" s="99"/>
    </row>
    <row r="2452" spans="1:11" ht="13.2">
      <c r="A2452" s="89"/>
      <c r="B2452" s="90"/>
      <c r="C2452" s="91"/>
      <c r="D2452" s="92"/>
      <c r="E2452" s="93"/>
      <c r="F2452" s="94"/>
      <c r="G2452" s="95"/>
      <c r="H2452" s="96"/>
      <c r="I2452" s="97"/>
      <c r="J2452" s="98"/>
      <c r="K2452" s="99"/>
    </row>
    <row r="2453" spans="1:11" ht="13.2">
      <c r="A2453" s="89"/>
      <c r="B2453" s="90"/>
      <c r="C2453" s="91"/>
      <c r="D2453" s="92"/>
      <c r="E2453" s="93"/>
      <c r="F2453" s="94"/>
      <c r="G2453" s="95"/>
      <c r="H2453" s="96"/>
      <c r="I2453" s="97"/>
      <c r="J2453" s="98"/>
      <c r="K2453" s="99"/>
    </row>
    <row r="2454" spans="1:11" ht="13.2">
      <c r="A2454" s="89"/>
      <c r="B2454" s="90"/>
      <c r="C2454" s="91"/>
      <c r="D2454" s="92"/>
      <c r="E2454" s="93"/>
      <c r="F2454" s="94"/>
      <c r="G2454" s="95"/>
      <c r="H2454" s="96"/>
      <c r="I2454" s="97"/>
      <c r="J2454" s="98"/>
      <c r="K2454" s="99"/>
    </row>
    <row r="2455" spans="1:11" ht="13.2">
      <c r="A2455" s="89"/>
      <c r="B2455" s="90"/>
      <c r="C2455" s="91"/>
      <c r="D2455" s="92"/>
      <c r="E2455" s="93"/>
      <c r="F2455" s="94"/>
      <c r="G2455" s="95"/>
      <c r="H2455" s="96"/>
      <c r="I2455" s="97"/>
      <c r="J2455" s="98"/>
      <c r="K2455" s="99"/>
    </row>
    <row r="2456" spans="1:11" ht="13.2">
      <c r="A2456" s="89"/>
      <c r="B2456" s="90"/>
      <c r="C2456" s="91"/>
      <c r="D2456" s="92"/>
      <c r="E2456" s="93"/>
      <c r="F2456" s="94"/>
      <c r="G2456" s="95"/>
      <c r="H2456" s="96"/>
      <c r="I2456" s="97"/>
      <c r="J2456" s="98"/>
      <c r="K2456" s="99"/>
    </row>
    <row r="2457" spans="1:11" ht="13.2">
      <c r="A2457" s="89"/>
      <c r="B2457" s="90"/>
      <c r="C2457" s="91"/>
      <c r="D2457" s="92"/>
      <c r="E2457" s="93"/>
      <c r="F2457" s="94"/>
      <c r="G2457" s="95"/>
      <c r="H2457" s="96"/>
      <c r="I2457" s="97"/>
      <c r="J2457" s="98"/>
      <c r="K2457" s="99"/>
    </row>
    <row r="2458" spans="1:11" ht="13.2">
      <c r="A2458" s="89"/>
      <c r="B2458" s="90"/>
      <c r="C2458" s="91"/>
      <c r="D2458" s="92"/>
      <c r="E2458" s="93"/>
      <c r="F2458" s="94"/>
      <c r="G2458" s="95"/>
      <c r="H2458" s="96"/>
      <c r="I2458" s="97"/>
      <c r="J2458" s="98"/>
      <c r="K2458" s="99"/>
    </row>
    <row r="2459" spans="1:11" ht="13.2">
      <c r="A2459" s="89"/>
      <c r="B2459" s="90"/>
      <c r="C2459" s="91"/>
      <c r="D2459" s="92"/>
      <c r="E2459" s="93"/>
      <c r="F2459" s="94"/>
      <c r="G2459" s="95"/>
      <c r="H2459" s="96"/>
      <c r="I2459" s="97"/>
      <c r="J2459" s="98"/>
      <c r="K2459" s="99"/>
    </row>
    <row r="2460" spans="1:11" ht="13.2">
      <c r="A2460" s="89"/>
      <c r="B2460" s="90"/>
      <c r="C2460" s="91"/>
      <c r="D2460" s="92"/>
      <c r="E2460" s="93"/>
      <c r="F2460" s="94"/>
      <c r="G2460" s="95"/>
      <c r="H2460" s="96"/>
      <c r="I2460" s="97"/>
      <c r="J2460" s="98"/>
      <c r="K2460" s="99"/>
    </row>
    <row r="2461" spans="1:11" ht="13.2">
      <c r="A2461" s="89"/>
      <c r="B2461" s="90"/>
      <c r="C2461" s="91"/>
      <c r="D2461" s="92"/>
      <c r="E2461" s="93"/>
      <c r="F2461" s="94"/>
      <c r="G2461" s="95"/>
      <c r="H2461" s="96"/>
      <c r="I2461" s="97"/>
      <c r="J2461" s="98"/>
      <c r="K2461" s="99"/>
    </row>
    <row r="2462" spans="1:11" ht="13.2">
      <c r="A2462" s="89"/>
      <c r="B2462" s="90"/>
      <c r="C2462" s="91"/>
      <c r="D2462" s="92"/>
      <c r="E2462" s="93"/>
      <c r="F2462" s="94"/>
      <c r="G2462" s="95"/>
      <c r="H2462" s="96"/>
      <c r="I2462" s="97"/>
      <c r="J2462" s="98"/>
      <c r="K2462" s="99"/>
    </row>
    <row r="2463" spans="1:11" ht="13.2">
      <c r="A2463" s="89"/>
      <c r="B2463" s="90"/>
      <c r="C2463" s="91"/>
      <c r="D2463" s="92"/>
      <c r="E2463" s="93"/>
      <c r="F2463" s="94"/>
      <c r="G2463" s="95"/>
      <c r="H2463" s="96"/>
      <c r="I2463" s="97"/>
      <c r="J2463" s="98"/>
      <c r="K2463" s="99"/>
    </row>
    <row r="2464" spans="1:11" ht="13.2">
      <c r="A2464" s="89"/>
      <c r="B2464" s="90"/>
      <c r="C2464" s="91"/>
      <c r="D2464" s="92"/>
      <c r="E2464" s="93"/>
      <c r="F2464" s="94"/>
      <c r="G2464" s="95"/>
      <c r="H2464" s="96"/>
      <c r="I2464" s="97"/>
      <c r="J2464" s="98"/>
      <c r="K2464" s="99"/>
    </row>
    <row r="2465" spans="1:11" ht="13.2">
      <c r="A2465" s="89"/>
      <c r="B2465" s="90"/>
      <c r="C2465" s="91"/>
      <c r="D2465" s="92"/>
      <c r="E2465" s="93"/>
      <c r="F2465" s="94"/>
      <c r="G2465" s="95"/>
      <c r="H2465" s="96"/>
      <c r="I2465" s="97"/>
      <c r="J2465" s="98"/>
      <c r="K2465" s="99"/>
    </row>
    <row r="2466" spans="1:11" ht="13.2">
      <c r="A2466" s="89"/>
      <c r="B2466" s="90"/>
      <c r="C2466" s="91"/>
      <c r="D2466" s="92"/>
      <c r="E2466" s="93"/>
      <c r="F2466" s="94"/>
      <c r="G2466" s="95"/>
      <c r="H2466" s="96"/>
      <c r="I2466" s="97"/>
      <c r="J2466" s="98"/>
      <c r="K2466" s="99"/>
    </row>
    <row r="2467" spans="1:11" ht="13.2">
      <c r="A2467" s="89"/>
      <c r="B2467" s="90"/>
      <c r="C2467" s="91"/>
      <c r="D2467" s="92"/>
      <c r="E2467" s="93"/>
      <c r="F2467" s="94"/>
      <c r="G2467" s="95"/>
      <c r="H2467" s="96"/>
      <c r="I2467" s="97"/>
      <c r="J2467" s="98"/>
      <c r="K2467" s="99"/>
    </row>
    <row r="2468" spans="1:11" ht="13.2">
      <c r="A2468" s="89"/>
      <c r="B2468" s="90"/>
      <c r="C2468" s="91"/>
      <c r="D2468" s="92"/>
      <c r="E2468" s="93"/>
      <c r="F2468" s="94"/>
      <c r="G2468" s="95"/>
      <c r="H2468" s="96"/>
      <c r="I2468" s="97"/>
      <c r="J2468" s="98"/>
      <c r="K2468" s="99"/>
    </row>
    <row r="2469" spans="1:11" ht="13.2">
      <c r="A2469" s="89"/>
      <c r="B2469" s="90"/>
      <c r="C2469" s="91"/>
      <c r="D2469" s="92"/>
      <c r="E2469" s="93"/>
      <c r="F2469" s="94"/>
      <c r="G2469" s="95"/>
      <c r="H2469" s="96"/>
      <c r="I2469" s="97"/>
      <c r="J2469" s="98"/>
      <c r="K2469" s="99"/>
    </row>
    <row r="2470" spans="1:11" ht="13.2">
      <c r="A2470" s="89"/>
      <c r="B2470" s="90"/>
      <c r="C2470" s="91"/>
      <c r="D2470" s="92"/>
      <c r="E2470" s="93"/>
      <c r="F2470" s="94"/>
      <c r="G2470" s="95"/>
      <c r="H2470" s="96"/>
      <c r="I2470" s="97"/>
      <c r="J2470" s="98"/>
      <c r="K2470" s="99"/>
    </row>
    <row r="2471" spans="1:11" ht="13.2">
      <c r="A2471" s="89"/>
      <c r="B2471" s="90"/>
      <c r="C2471" s="91"/>
      <c r="D2471" s="92"/>
      <c r="E2471" s="93"/>
      <c r="F2471" s="94"/>
      <c r="G2471" s="95"/>
      <c r="H2471" s="96"/>
      <c r="I2471" s="97"/>
      <c r="J2471" s="98"/>
      <c r="K2471" s="99"/>
    </row>
    <row r="2472" spans="1:11" ht="13.2">
      <c r="A2472" s="89"/>
      <c r="B2472" s="90"/>
      <c r="C2472" s="91"/>
      <c r="D2472" s="92"/>
      <c r="E2472" s="93"/>
      <c r="F2472" s="94"/>
      <c r="G2472" s="95"/>
      <c r="H2472" s="96"/>
      <c r="I2472" s="97"/>
      <c r="J2472" s="98"/>
      <c r="K2472" s="99"/>
    </row>
    <row r="2473" spans="1:11" ht="13.2">
      <c r="A2473" s="89"/>
      <c r="B2473" s="90"/>
      <c r="C2473" s="91"/>
      <c r="D2473" s="92"/>
      <c r="E2473" s="93"/>
      <c r="F2473" s="94"/>
      <c r="G2473" s="95"/>
      <c r="H2473" s="96"/>
      <c r="I2473" s="97"/>
      <c r="J2473" s="98"/>
      <c r="K2473" s="99"/>
    </row>
    <row r="2474" spans="1:11" ht="13.2">
      <c r="A2474" s="89"/>
      <c r="B2474" s="90"/>
      <c r="C2474" s="91"/>
      <c r="D2474" s="92"/>
      <c r="E2474" s="93"/>
      <c r="F2474" s="94"/>
      <c r="G2474" s="95"/>
      <c r="H2474" s="96"/>
      <c r="I2474" s="97"/>
      <c r="J2474" s="98"/>
      <c r="K2474" s="99"/>
    </row>
    <row r="2475" spans="1:11" ht="13.2">
      <c r="A2475" s="89"/>
      <c r="B2475" s="90"/>
      <c r="C2475" s="91"/>
      <c r="D2475" s="92"/>
      <c r="E2475" s="93"/>
      <c r="F2475" s="94"/>
      <c r="G2475" s="95"/>
      <c r="H2475" s="96"/>
      <c r="I2475" s="97"/>
      <c r="J2475" s="98"/>
      <c r="K2475" s="99"/>
    </row>
    <row r="2476" spans="1:11" ht="13.2">
      <c r="A2476" s="89"/>
      <c r="B2476" s="90"/>
      <c r="C2476" s="91"/>
      <c r="D2476" s="92"/>
      <c r="E2476" s="93"/>
      <c r="F2476" s="94"/>
      <c r="G2476" s="95"/>
      <c r="H2476" s="96"/>
      <c r="I2476" s="97"/>
      <c r="J2476" s="98"/>
      <c r="K2476" s="99"/>
    </row>
    <row r="2477" spans="1:11" ht="13.2">
      <c r="A2477" s="89"/>
      <c r="B2477" s="90"/>
      <c r="C2477" s="91"/>
      <c r="D2477" s="92"/>
      <c r="E2477" s="93"/>
      <c r="F2477" s="94"/>
      <c r="G2477" s="95"/>
      <c r="H2477" s="96"/>
      <c r="I2477" s="97"/>
      <c r="J2477" s="98"/>
      <c r="K2477" s="99"/>
    </row>
    <row r="2478" spans="1:11" ht="13.2">
      <c r="A2478" s="89"/>
      <c r="B2478" s="90"/>
      <c r="C2478" s="91"/>
      <c r="D2478" s="92"/>
      <c r="E2478" s="93"/>
      <c r="F2478" s="94"/>
      <c r="G2478" s="95"/>
      <c r="H2478" s="96"/>
      <c r="I2478" s="97"/>
      <c r="J2478" s="98"/>
      <c r="K2478" s="99"/>
    </row>
    <row r="2479" spans="1:11" ht="13.2">
      <c r="A2479" s="89"/>
      <c r="B2479" s="90"/>
      <c r="C2479" s="91"/>
      <c r="D2479" s="92"/>
      <c r="E2479" s="93"/>
      <c r="F2479" s="94"/>
      <c r="G2479" s="95"/>
      <c r="H2479" s="96"/>
      <c r="I2479" s="97"/>
      <c r="J2479" s="98"/>
      <c r="K2479" s="99"/>
    </row>
    <row r="2480" spans="1:11" ht="13.2">
      <c r="A2480" s="89"/>
      <c r="B2480" s="90"/>
      <c r="C2480" s="91"/>
      <c r="D2480" s="92"/>
      <c r="E2480" s="93"/>
      <c r="F2480" s="94"/>
      <c r="G2480" s="95"/>
      <c r="H2480" s="96"/>
      <c r="I2480" s="97"/>
      <c r="J2480" s="98"/>
      <c r="K2480" s="99"/>
    </row>
    <row r="2481" spans="1:11" ht="13.2">
      <c r="A2481" s="89"/>
      <c r="B2481" s="90"/>
      <c r="C2481" s="91"/>
      <c r="D2481" s="92"/>
      <c r="E2481" s="93"/>
      <c r="F2481" s="94"/>
      <c r="G2481" s="95"/>
      <c r="H2481" s="96"/>
      <c r="I2481" s="97"/>
      <c r="J2481" s="98"/>
      <c r="K2481" s="99"/>
    </row>
    <row r="2482" spans="1:11" ht="13.2">
      <c r="A2482" s="89"/>
      <c r="B2482" s="90"/>
      <c r="C2482" s="91"/>
      <c r="D2482" s="92"/>
      <c r="E2482" s="93"/>
      <c r="F2482" s="94"/>
      <c r="G2482" s="95"/>
      <c r="H2482" s="96"/>
      <c r="I2482" s="97"/>
      <c r="J2482" s="98"/>
      <c r="K2482" s="99"/>
    </row>
    <row r="2483" spans="1:11" ht="13.2">
      <c r="A2483" s="89"/>
      <c r="B2483" s="90"/>
      <c r="C2483" s="91"/>
      <c r="D2483" s="92"/>
      <c r="E2483" s="93"/>
      <c r="F2483" s="94"/>
      <c r="G2483" s="95"/>
      <c r="H2483" s="96"/>
      <c r="I2483" s="97"/>
      <c r="J2483" s="98"/>
      <c r="K2483" s="99"/>
    </row>
    <row r="2484" spans="1:11" ht="13.2">
      <c r="A2484" s="89"/>
      <c r="B2484" s="90"/>
      <c r="C2484" s="91"/>
      <c r="D2484" s="92"/>
      <c r="E2484" s="93"/>
      <c r="F2484" s="94"/>
      <c r="G2484" s="95"/>
      <c r="H2484" s="96"/>
      <c r="I2484" s="97"/>
      <c r="J2484" s="98"/>
      <c r="K2484" s="99"/>
    </row>
    <row r="2485" spans="1:11" ht="13.2">
      <c r="A2485" s="89"/>
      <c r="B2485" s="90"/>
      <c r="C2485" s="91"/>
      <c r="D2485" s="92"/>
      <c r="E2485" s="93"/>
      <c r="F2485" s="94"/>
      <c r="G2485" s="95"/>
      <c r="H2485" s="96"/>
      <c r="I2485" s="97"/>
      <c r="J2485" s="98"/>
      <c r="K2485" s="99"/>
    </row>
    <row r="2486" spans="1:11" ht="13.2">
      <c r="A2486" s="89"/>
      <c r="B2486" s="90"/>
      <c r="C2486" s="91"/>
      <c r="D2486" s="92"/>
      <c r="E2486" s="93"/>
      <c r="F2486" s="94"/>
      <c r="G2486" s="95"/>
      <c r="H2486" s="96"/>
      <c r="I2486" s="97"/>
      <c r="J2486" s="98"/>
      <c r="K2486" s="99"/>
    </row>
    <row r="2487" spans="1:11" ht="13.2">
      <c r="A2487" s="89"/>
      <c r="B2487" s="90"/>
      <c r="C2487" s="91"/>
      <c r="D2487" s="92"/>
      <c r="E2487" s="93"/>
      <c r="F2487" s="94"/>
      <c r="G2487" s="95"/>
      <c r="H2487" s="96"/>
      <c r="I2487" s="97"/>
      <c r="J2487" s="98"/>
      <c r="K2487" s="99"/>
    </row>
    <row r="2488" spans="1:11" ht="13.2">
      <c r="A2488" s="89"/>
      <c r="B2488" s="90"/>
      <c r="C2488" s="91"/>
      <c r="D2488" s="92"/>
      <c r="E2488" s="93"/>
      <c r="F2488" s="94"/>
      <c r="G2488" s="95"/>
      <c r="H2488" s="96"/>
      <c r="I2488" s="97"/>
      <c r="J2488" s="98"/>
      <c r="K2488" s="99"/>
    </row>
    <row r="2489" spans="1:11" ht="13.2">
      <c r="A2489" s="89"/>
      <c r="B2489" s="90"/>
      <c r="C2489" s="91"/>
      <c r="D2489" s="92"/>
      <c r="E2489" s="93"/>
      <c r="F2489" s="94"/>
      <c r="G2489" s="95"/>
      <c r="H2489" s="96"/>
      <c r="I2489" s="97"/>
      <c r="J2489" s="98"/>
      <c r="K2489" s="99"/>
    </row>
    <row r="2490" spans="1:11" ht="13.2">
      <c r="A2490" s="89"/>
      <c r="B2490" s="90"/>
      <c r="C2490" s="91"/>
      <c r="D2490" s="92"/>
      <c r="E2490" s="93"/>
      <c r="F2490" s="94"/>
      <c r="G2490" s="95"/>
      <c r="H2490" s="96"/>
      <c r="I2490" s="97"/>
      <c r="J2490" s="98"/>
      <c r="K2490" s="99"/>
    </row>
    <row r="2491" spans="1:11" ht="13.2">
      <c r="A2491" s="89"/>
      <c r="B2491" s="90"/>
      <c r="C2491" s="91"/>
      <c r="D2491" s="92"/>
      <c r="E2491" s="93"/>
      <c r="F2491" s="94"/>
      <c r="G2491" s="95"/>
      <c r="H2491" s="96"/>
      <c r="I2491" s="97"/>
      <c r="J2491" s="98"/>
      <c r="K2491" s="99"/>
    </row>
    <row r="2492" spans="1:11" ht="13.2">
      <c r="A2492" s="89"/>
      <c r="B2492" s="90"/>
      <c r="C2492" s="91"/>
      <c r="D2492" s="92"/>
      <c r="E2492" s="93"/>
      <c r="F2492" s="94"/>
      <c r="G2492" s="95"/>
      <c r="H2492" s="96"/>
      <c r="I2492" s="97"/>
      <c r="J2492" s="98"/>
      <c r="K2492" s="99"/>
    </row>
    <row r="2493" spans="1:11" ht="13.2">
      <c r="A2493" s="89"/>
      <c r="B2493" s="90"/>
      <c r="C2493" s="91"/>
      <c r="D2493" s="92"/>
      <c r="E2493" s="93"/>
      <c r="F2493" s="94"/>
      <c r="G2493" s="95"/>
      <c r="H2493" s="96"/>
      <c r="I2493" s="97"/>
      <c r="J2493" s="98"/>
      <c r="K2493" s="99"/>
    </row>
    <row r="2494" spans="1:11" ht="13.2">
      <c r="A2494" s="89"/>
      <c r="B2494" s="90"/>
      <c r="C2494" s="91"/>
      <c r="D2494" s="92"/>
      <c r="E2494" s="93"/>
      <c r="F2494" s="94"/>
      <c r="G2494" s="95"/>
      <c r="H2494" s="96"/>
      <c r="I2494" s="97"/>
      <c r="J2494" s="98"/>
      <c r="K2494" s="99"/>
    </row>
    <row r="2495" spans="1:11" ht="13.2">
      <c r="A2495" s="89"/>
      <c r="B2495" s="90"/>
      <c r="C2495" s="91"/>
      <c r="D2495" s="92"/>
      <c r="E2495" s="93"/>
      <c r="F2495" s="94"/>
      <c r="G2495" s="95"/>
      <c r="H2495" s="96"/>
      <c r="I2495" s="97"/>
      <c r="J2495" s="98"/>
      <c r="K2495" s="99"/>
    </row>
    <row r="2496" spans="1:11" ht="13.2">
      <c r="A2496" s="89"/>
      <c r="B2496" s="90"/>
      <c r="C2496" s="91"/>
      <c r="D2496" s="92"/>
      <c r="E2496" s="93"/>
      <c r="F2496" s="94"/>
      <c r="G2496" s="95"/>
      <c r="H2496" s="96"/>
      <c r="I2496" s="97"/>
      <c r="J2496" s="98"/>
      <c r="K2496" s="99"/>
    </row>
    <row r="2497" spans="1:11" ht="13.2">
      <c r="A2497" s="89"/>
      <c r="B2497" s="90"/>
      <c r="C2497" s="91"/>
      <c r="D2497" s="92"/>
      <c r="E2497" s="93"/>
      <c r="F2497" s="94"/>
      <c r="G2497" s="95"/>
      <c r="H2497" s="96"/>
      <c r="I2497" s="97"/>
      <c r="J2497" s="98"/>
      <c r="K2497" s="99"/>
    </row>
    <row r="2498" spans="1:11" ht="13.2">
      <c r="A2498" s="89"/>
      <c r="B2498" s="90"/>
      <c r="C2498" s="91"/>
      <c r="D2498" s="92"/>
      <c r="E2498" s="93"/>
      <c r="F2498" s="94"/>
      <c r="G2498" s="95"/>
      <c r="H2498" s="96"/>
      <c r="I2498" s="97"/>
      <c r="J2498" s="98"/>
      <c r="K2498" s="99"/>
    </row>
    <row r="2499" spans="1:11" ht="13.2">
      <c r="A2499" s="89"/>
      <c r="B2499" s="90"/>
      <c r="C2499" s="91"/>
      <c r="D2499" s="92"/>
      <c r="E2499" s="93"/>
      <c r="F2499" s="94"/>
      <c r="G2499" s="95"/>
      <c r="H2499" s="96"/>
      <c r="I2499" s="97"/>
      <c r="J2499" s="98"/>
      <c r="K2499" s="99"/>
    </row>
    <row r="2500" spans="1:11" ht="13.2">
      <c r="A2500" s="89"/>
      <c r="B2500" s="90"/>
      <c r="C2500" s="91"/>
      <c r="D2500" s="92"/>
      <c r="E2500" s="93"/>
      <c r="F2500" s="94"/>
      <c r="G2500" s="95"/>
      <c r="H2500" s="96"/>
      <c r="I2500" s="97"/>
      <c r="J2500" s="98"/>
      <c r="K2500" s="99"/>
    </row>
    <row r="2501" spans="1:11" ht="13.2">
      <c r="A2501" s="89"/>
      <c r="B2501" s="90"/>
      <c r="C2501" s="91"/>
      <c r="D2501" s="92"/>
      <c r="E2501" s="93"/>
      <c r="F2501" s="94"/>
      <c r="G2501" s="95"/>
      <c r="H2501" s="96"/>
      <c r="I2501" s="97"/>
      <c r="J2501" s="98"/>
      <c r="K2501" s="99"/>
    </row>
    <row r="2502" spans="1:11" ht="13.2">
      <c r="A2502" s="89"/>
      <c r="B2502" s="90"/>
      <c r="C2502" s="91"/>
      <c r="D2502" s="92"/>
      <c r="E2502" s="93"/>
      <c r="F2502" s="94"/>
      <c r="G2502" s="95"/>
      <c r="H2502" s="96"/>
      <c r="I2502" s="97"/>
      <c r="J2502" s="98"/>
      <c r="K2502" s="99"/>
    </row>
    <row r="2503" spans="1:11" ht="13.2">
      <c r="A2503" s="89"/>
      <c r="B2503" s="90"/>
      <c r="C2503" s="91"/>
      <c r="D2503" s="92"/>
      <c r="E2503" s="93"/>
      <c r="F2503" s="94"/>
      <c r="G2503" s="95"/>
      <c r="H2503" s="96"/>
      <c r="I2503" s="97"/>
      <c r="J2503" s="98"/>
      <c r="K2503" s="99"/>
    </row>
    <row r="2504" spans="1:11" ht="13.2">
      <c r="A2504" s="89"/>
      <c r="B2504" s="90"/>
      <c r="C2504" s="91"/>
      <c r="D2504" s="92"/>
      <c r="E2504" s="93"/>
      <c r="F2504" s="94"/>
      <c r="G2504" s="95"/>
      <c r="H2504" s="96"/>
      <c r="I2504" s="97"/>
      <c r="J2504" s="98"/>
      <c r="K2504" s="99"/>
    </row>
    <row r="2505" spans="1:11" ht="13.2">
      <c r="A2505" s="89"/>
      <c r="B2505" s="90"/>
      <c r="C2505" s="91"/>
      <c r="D2505" s="92"/>
      <c r="E2505" s="93"/>
      <c r="F2505" s="94"/>
      <c r="G2505" s="95"/>
      <c r="H2505" s="96"/>
      <c r="I2505" s="97"/>
      <c r="J2505" s="98"/>
      <c r="K2505" s="99"/>
    </row>
    <row r="2506" spans="1:11" ht="13.2">
      <c r="A2506" s="89"/>
      <c r="B2506" s="90"/>
      <c r="C2506" s="91"/>
      <c r="D2506" s="92"/>
      <c r="E2506" s="93"/>
      <c r="F2506" s="94"/>
      <c r="G2506" s="95"/>
      <c r="H2506" s="96"/>
      <c r="I2506" s="97"/>
      <c r="J2506" s="98"/>
      <c r="K2506" s="99"/>
    </row>
    <row r="2507" spans="1:11" ht="13.2">
      <c r="A2507" s="89"/>
      <c r="B2507" s="90"/>
      <c r="C2507" s="91"/>
      <c r="D2507" s="92"/>
      <c r="E2507" s="93"/>
      <c r="F2507" s="94"/>
      <c r="G2507" s="95"/>
      <c r="H2507" s="96"/>
      <c r="I2507" s="97"/>
      <c r="J2507" s="98"/>
      <c r="K2507" s="99"/>
    </row>
    <row r="2508" spans="1:11" ht="13.2">
      <c r="A2508" s="89"/>
      <c r="B2508" s="90"/>
      <c r="C2508" s="91"/>
      <c r="D2508" s="92"/>
      <c r="E2508" s="93"/>
      <c r="F2508" s="94"/>
      <c r="G2508" s="95"/>
      <c r="H2508" s="96"/>
      <c r="I2508" s="97"/>
      <c r="J2508" s="98"/>
      <c r="K2508" s="99"/>
    </row>
    <row r="2509" spans="1:11" ht="13.2">
      <c r="A2509" s="89"/>
      <c r="B2509" s="90"/>
      <c r="C2509" s="91"/>
      <c r="D2509" s="92"/>
      <c r="E2509" s="93"/>
      <c r="F2509" s="94"/>
      <c r="G2509" s="95"/>
      <c r="H2509" s="96"/>
      <c r="I2509" s="97"/>
      <c r="J2509" s="98"/>
      <c r="K2509" s="99"/>
    </row>
    <row r="2510" spans="1:11" ht="13.2">
      <c r="A2510" s="89"/>
      <c r="B2510" s="90"/>
      <c r="C2510" s="91"/>
      <c r="D2510" s="92"/>
      <c r="E2510" s="93"/>
      <c r="F2510" s="94"/>
      <c r="G2510" s="95"/>
      <c r="H2510" s="96"/>
      <c r="I2510" s="97"/>
      <c r="J2510" s="98"/>
      <c r="K2510" s="99"/>
    </row>
    <row r="2511" spans="1:11" ht="13.2">
      <c r="A2511" s="89"/>
      <c r="B2511" s="90"/>
      <c r="C2511" s="91"/>
      <c r="D2511" s="92"/>
      <c r="E2511" s="93"/>
      <c r="F2511" s="94"/>
      <c r="G2511" s="95"/>
      <c r="H2511" s="96"/>
      <c r="I2511" s="97"/>
      <c r="J2511" s="98"/>
      <c r="K2511" s="99"/>
    </row>
    <row r="2512" spans="1:11" ht="13.2">
      <c r="A2512" s="89"/>
      <c r="B2512" s="90"/>
      <c r="C2512" s="91"/>
      <c r="D2512" s="92"/>
      <c r="E2512" s="93"/>
      <c r="F2512" s="94"/>
      <c r="G2512" s="95"/>
      <c r="H2512" s="96"/>
      <c r="I2512" s="97"/>
      <c r="J2512" s="98"/>
      <c r="K2512" s="99"/>
    </row>
    <row r="2513" spans="1:11" ht="13.2">
      <c r="A2513" s="89"/>
      <c r="B2513" s="90"/>
      <c r="C2513" s="91"/>
      <c r="D2513" s="92"/>
      <c r="E2513" s="93"/>
      <c r="F2513" s="94"/>
      <c r="G2513" s="95"/>
      <c r="H2513" s="96"/>
      <c r="I2513" s="97"/>
      <c r="J2513" s="98"/>
      <c r="K2513" s="99"/>
    </row>
    <row r="2514" spans="1:11" ht="13.2">
      <c r="A2514" s="89"/>
      <c r="B2514" s="90"/>
      <c r="C2514" s="91"/>
      <c r="D2514" s="92"/>
      <c r="E2514" s="93"/>
      <c r="F2514" s="94"/>
      <c r="G2514" s="95"/>
      <c r="H2514" s="96"/>
      <c r="I2514" s="97"/>
      <c r="J2514" s="98"/>
      <c r="K2514" s="99"/>
    </row>
    <row r="2515" spans="1:11" ht="13.2">
      <c r="A2515" s="89"/>
      <c r="B2515" s="90"/>
      <c r="C2515" s="91"/>
      <c r="D2515" s="92"/>
      <c r="E2515" s="93"/>
      <c r="F2515" s="94"/>
      <c r="G2515" s="95"/>
      <c r="H2515" s="96"/>
      <c r="I2515" s="97"/>
      <c r="J2515" s="98"/>
      <c r="K2515" s="99"/>
    </row>
    <row r="2516" spans="1:11" ht="13.2">
      <c r="A2516" s="89"/>
      <c r="B2516" s="90"/>
      <c r="C2516" s="91"/>
      <c r="D2516" s="92"/>
      <c r="E2516" s="93"/>
      <c r="F2516" s="94"/>
      <c r="G2516" s="95"/>
      <c r="H2516" s="96"/>
      <c r="I2516" s="97"/>
      <c r="J2516" s="98"/>
      <c r="K2516" s="99"/>
    </row>
    <row r="2517" spans="1:11" ht="13.2">
      <c r="A2517" s="89"/>
      <c r="B2517" s="90"/>
      <c r="C2517" s="91"/>
      <c r="D2517" s="92"/>
      <c r="E2517" s="93"/>
      <c r="F2517" s="94"/>
      <c r="G2517" s="95"/>
      <c r="H2517" s="96"/>
      <c r="I2517" s="97"/>
      <c r="J2517" s="98"/>
      <c r="K2517" s="99"/>
    </row>
    <row r="2518" spans="1:11" ht="13.2">
      <c r="A2518" s="89"/>
      <c r="B2518" s="90"/>
      <c r="C2518" s="91"/>
      <c r="D2518" s="92"/>
      <c r="E2518" s="93"/>
      <c r="F2518" s="94"/>
      <c r="G2518" s="95"/>
      <c r="H2518" s="96"/>
      <c r="I2518" s="97"/>
      <c r="J2518" s="98"/>
      <c r="K2518" s="99"/>
    </row>
    <row r="2519" spans="1:11" ht="13.2">
      <c r="A2519" s="89"/>
      <c r="B2519" s="90"/>
      <c r="C2519" s="91"/>
      <c r="D2519" s="92"/>
      <c r="E2519" s="93"/>
      <c r="F2519" s="94"/>
      <c r="G2519" s="95"/>
      <c r="H2519" s="96"/>
      <c r="I2519" s="97"/>
      <c r="J2519" s="98"/>
      <c r="K2519" s="99"/>
    </row>
    <row r="2520" spans="1:11" ht="13.2">
      <c r="A2520" s="89"/>
      <c r="B2520" s="90"/>
      <c r="C2520" s="91"/>
      <c r="D2520" s="92"/>
      <c r="E2520" s="93"/>
      <c r="F2520" s="94"/>
      <c r="G2520" s="95"/>
      <c r="H2520" s="96"/>
      <c r="I2520" s="97"/>
      <c r="J2520" s="98"/>
      <c r="K2520" s="99"/>
    </row>
    <row r="2521" spans="1:11" ht="13.2">
      <c r="A2521" s="89"/>
      <c r="B2521" s="90"/>
      <c r="C2521" s="91"/>
      <c r="D2521" s="92"/>
      <c r="E2521" s="93"/>
      <c r="F2521" s="94"/>
      <c r="G2521" s="95"/>
      <c r="H2521" s="96"/>
      <c r="I2521" s="97"/>
      <c r="J2521" s="98"/>
      <c r="K2521" s="99"/>
    </row>
    <row r="2522" spans="1:11" ht="13.2">
      <c r="A2522" s="89"/>
      <c r="B2522" s="90"/>
      <c r="C2522" s="91"/>
      <c r="D2522" s="92"/>
      <c r="E2522" s="93"/>
      <c r="F2522" s="94"/>
      <c r="G2522" s="95"/>
      <c r="H2522" s="96"/>
      <c r="I2522" s="97"/>
      <c r="J2522" s="98"/>
      <c r="K2522" s="99"/>
    </row>
    <row r="2523" spans="1:11" ht="13.2">
      <c r="A2523" s="89"/>
      <c r="B2523" s="90"/>
      <c r="C2523" s="91"/>
      <c r="D2523" s="92"/>
      <c r="E2523" s="93"/>
      <c r="F2523" s="94"/>
      <c r="G2523" s="95"/>
      <c r="H2523" s="96"/>
      <c r="I2523" s="97"/>
      <c r="J2523" s="98"/>
      <c r="K2523" s="99"/>
    </row>
    <row r="2524" spans="1:11" ht="13.2">
      <c r="A2524" s="89"/>
      <c r="B2524" s="90"/>
      <c r="C2524" s="91"/>
      <c r="D2524" s="92"/>
      <c r="E2524" s="93"/>
      <c r="F2524" s="94"/>
      <c r="G2524" s="95"/>
      <c r="H2524" s="96"/>
      <c r="I2524" s="97"/>
      <c r="J2524" s="98"/>
      <c r="K2524" s="99"/>
    </row>
    <row r="2525" spans="1:11" ht="13.2">
      <c r="A2525" s="89"/>
      <c r="B2525" s="90"/>
      <c r="C2525" s="91"/>
      <c r="D2525" s="92"/>
      <c r="E2525" s="93"/>
      <c r="F2525" s="94"/>
      <c r="G2525" s="95"/>
      <c r="H2525" s="96"/>
      <c r="I2525" s="97"/>
      <c r="J2525" s="98"/>
      <c r="K2525" s="99"/>
    </row>
    <row r="2526" spans="1:11" ht="13.2">
      <c r="A2526" s="89"/>
      <c r="B2526" s="90"/>
      <c r="C2526" s="91"/>
      <c r="D2526" s="92"/>
      <c r="E2526" s="93"/>
      <c r="F2526" s="94"/>
      <c r="G2526" s="95"/>
      <c r="H2526" s="96"/>
      <c r="I2526" s="97"/>
      <c r="J2526" s="98"/>
      <c r="K2526" s="99"/>
    </row>
    <row r="2527" spans="1:11" ht="13.2">
      <c r="A2527" s="89"/>
      <c r="B2527" s="90"/>
      <c r="C2527" s="91"/>
      <c r="D2527" s="92"/>
      <c r="E2527" s="93"/>
      <c r="F2527" s="94"/>
      <c r="G2527" s="95"/>
      <c r="H2527" s="96"/>
      <c r="I2527" s="97"/>
      <c r="J2527" s="98"/>
      <c r="K2527" s="99"/>
    </row>
    <row r="2528" spans="1:11" ht="13.2">
      <c r="A2528" s="89"/>
      <c r="B2528" s="90"/>
      <c r="C2528" s="91"/>
      <c r="D2528" s="92"/>
      <c r="E2528" s="93"/>
      <c r="F2528" s="94"/>
      <c r="G2528" s="95"/>
      <c r="H2528" s="96"/>
      <c r="I2528" s="97"/>
      <c r="J2528" s="98"/>
      <c r="K2528" s="99"/>
    </row>
    <row r="2529" spans="1:11" ht="13.2">
      <c r="A2529" s="89"/>
      <c r="B2529" s="90"/>
      <c r="C2529" s="91"/>
      <c r="D2529" s="92"/>
      <c r="E2529" s="93"/>
      <c r="F2529" s="94"/>
      <c r="G2529" s="95"/>
      <c r="H2529" s="96"/>
      <c r="I2529" s="97"/>
      <c r="J2529" s="98"/>
      <c r="K2529" s="99"/>
    </row>
    <row r="2530" spans="1:11" ht="13.2">
      <c r="A2530" s="89"/>
      <c r="B2530" s="90"/>
      <c r="C2530" s="91"/>
      <c r="D2530" s="92"/>
      <c r="E2530" s="93"/>
      <c r="F2530" s="94"/>
      <c r="G2530" s="95"/>
      <c r="H2530" s="96"/>
      <c r="I2530" s="97"/>
      <c r="J2530" s="98"/>
      <c r="K2530" s="99"/>
    </row>
    <row r="2531" spans="1:11" ht="13.2">
      <c r="A2531" s="89"/>
      <c r="B2531" s="90"/>
      <c r="C2531" s="91"/>
      <c r="D2531" s="92"/>
      <c r="E2531" s="93"/>
      <c r="F2531" s="94"/>
      <c r="G2531" s="95"/>
      <c r="H2531" s="96"/>
      <c r="I2531" s="97"/>
      <c r="J2531" s="98"/>
      <c r="K2531" s="99"/>
    </row>
    <row r="2532" spans="1:11" ht="13.2">
      <c r="A2532" s="89"/>
      <c r="B2532" s="90"/>
      <c r="C2532" s="91"/>
      <c r="D2532" s="92"/>
      <c r="E2532" s="93"/>
      <c r="F2532" s="94"/>
      <c r="G2532" s="95"/>
      <c r="H2532" s="96"/>
      <c r="I2532" s="97"/>
      <c r="J2532" s="98"/>
      <c r="K2532" s="99"/>
    </row>
    <row r="2533" spans="1:11" ht="13.2">
      <c r="A2533" s="89"/>
      <c r="B2533" s="90"/>
      <c r="C2533" s="91"/>
      <c r="D2533" s="92"/>
      <c r="E2533" s="93"/>
      <c r="F2533" s="94"/>
      <c r="G2533" s="95"/>
      <c r="H2533" s="96"/>
      <c r="I2533" s="97"/>
      <c r="J2533" s="98"/>
      <c r="K2533" s="99"/>
    </row>
    <row r="2534" spans="1:11" ht="13.2">
      <c r="A2534" s="89"/>
      <c r="B2534" s="90"/>
      <c r="C2534" s="91"/>
      <c r="D2534" s="92"/>
      <c r="E2534" s="93"/>
      <c r="F2534" s="94"/>
      <c r="G2534" s="95"/>
      <c r="H2534" s="96"/>
      <c r="I2534" s="97"/>
      <c r="J2534" s="98"/>
      <c r="K2534" s="99"/>
    </row>
    <row r="2535" spans="1:11" ht="13.2">
      <c r="A2535" s="89"/>
      <c r="B2535" s="90"/>
      <c r="C2535" s="91"/>
      <c r="D2535" s="92"/>
      <c r="E2535" s="93"/>
      <c r="F2535" s="94"/>
      <c r="G2535" s="95"/>
      <c r="H2535" s="96"/>
      <c r="I2535" s="97"/>
      <c r="J2535" s="98"/>
      <c r="K2535" s="99"/>
    </row>
    <row r="2536" spans="1:11" ht="13.2">
      <c r="A2536" s="89"/>
      <c r="B2536" s="90"/>
      <c r="C2536" s="91"/>
      <c r="D2536" s="92"/>
      <c r="E2536" s="93"/>
      <c r="F2536" s="94"/>
      <c r="G2536" s="95"/>
      <c r="H2536" s="96"/>
      <c r="I2536" s="97"/>
      <c r="J2536" s="98"/>
      <c r="K2536" s="99"/>
    </row>
    <row r="2537" spans="1:11" ht="13.2">
      <c r="A2537" s="89"/>
      <c r="B2537" s="90"/>
      <c r="C2537" s="91"/>
      <c r="D2537" s="92"/>
      <c r="E2537" s="93"/>
      <c r="F2537" s="94"/>
      <c r="G2537" s="95"/>
      <c r="H2537" s="96"/>
      <c r="I2537" s="97"/>
      <c r="J2537" s="98"/>
      <c r="K2537" s="99"/>
    </row>
    <row r="2538" spans="1:11" ht="13.2">
      <c r="A2538" s="89"/>
      <c r="B2538" s="90"/>
      <c r="C2538" s="91"/>
      <c r="D2538" s="92"/>
      <c r="E2538" s="93"/>
      <c r="F2538" s="94"/>
      <c r="G2538" s="95"/>
      <c r="H2538" s="96"/>
      <c r="I2538" s="97"/>
      <c r="J2538" s="98"/>
      <c r="K2538" s="99"/>
    </row>
    <row r="2539" spans="1:11" ht="13.2">
      <c r="A2539" s="89"/>
      <c r="B2539" s="90"/>
      <c r="C2539" s="91"/>
      <c r="D2539" s="92"/>
      <c r="E2539" s="93"/>
      <c r="F2539" s="94"/>
      <c r="G2539" s="95"/>
      <c r="H2539" s="96"/>
      <c r="I2539" s="97"/>
      <c r="J2539" s="98"/>
      <c r="K2539" s="99"/>
    </row>
    <row r="2540" spans="1:11" ht="13.2">
      <c r="A2540" s="89"/>
      <c r="B2540" s="90"/>
      <c r="C2540" s="91"/>
      <c r="D2540" s="92"/>
      <c r="E2540" s="93"/>
      <c r="F2540" s="94"/>
      <c r="G2540" s="95"/>
      <c r="H2540" s="96"/>
      <c r="I2540" s="97"/>
      <c r="J2540" s="98"/>
      <c r="K2540" s="99"/>
    </row>
    <row r="2541" spans="1:11" ht="13.2">
      <c r="A2541" s="89"/>
      <c r="B2541" s="90"/>
      <c r="C2541" s="91"/>
      <c r="D2541" s="92"/>
      <c r="E2541" s="93"/>
      <c r="F2541" s="94"/>
      <c r="G2541" s="95"/>
      <c r="H2541" s="96"/>
      <c r="I2541" s="97"/>
      <c r="J2541" s="98"/>
      <c r="K2541" s="99"/>
    </row>
    <row r="2542" spans="1:11" ht="13.2">
      <c r="A2542" s="89"/>
      <c r="B2542" s="90"/>
      <c r="C2542" s="91"/>
      <c r="D2542" s="92"/>
      <c r="E2542" s="93"/>
      <c r="F2542" s="94"/>
      <c r="G2542" s="95"/>
      <c r="H2542" s="96"/>
      <c r="I2542" s="97"/>
      <c r="J2542" s="98"/>
      <c r="K2542" s="99"/>
    </row>
    <row r="2543" spans="1:11" ht="13.2">
      <c r="A2543" s="89"/>
      <c r="B2543" s="90"/>
      <c r="C2543" s="91"/>
      <c r="D2543" s="92"/>
      <c r="E2543" s="93"/>
      <c r="F2543" s="94"/>
      <c r="G2543" s="95"/>
      <c r="H2543" s="96"/>
      <c r="I2543" s="97"/>
      <c r="J2543" s="98"/>
      <c r="K2543" s="99"/>
    </row>
    <row r="2544" spans="1:11" ht="13.2">
      <c r="A2544" s="89"/>
      <c r="B2544" s="90"/>
      <c r="C2544" s="91"/>
      <c r="D2544" s="92"/>
      <c r="E2544" s="93"/>
      <c r="F2544" s="94"/>
      <c r="G2544" s="95"/>
      <c r="H2544" s="96"/>
      <c r="I2544" s="97"/>
      <c r="J2544" s="98"/>
      <c r="K2544" s="99"/>
    </row>
    <row r="2545" spans="1:11" ht="13.2">
      <c r="A2545" s="89"/>
      <c r="B2545" s="90"/>
      <c r="C2545" s="91"/>
      <c r="D2545" s="92"/>
      <c r="E2545" s="93"/>
      <c r="F2545" s="94"/>
      <c r="G2545" s="95"/>
      <c r="H2545" s="96"/>
      <c r="I2545" s="97"/>
      <c r="J2545" s="98"/>
      <c r="K2545" s="99"/>
    </row>
    <row r="2546" spans="1:11" ht="13.2">
      <c r="A2546" s="89"/>
      <c r="B2546" s="90"/>
      <c r="C2546" s="91"/>
      <c r="D2546" s="92"/>
      <c r="E2546" s="93"/>
      <c r="F2546" s="94"/>
      <c r="G2546" s="95"/>
      <c r="H2546" s="96"/>
      <c r="I2546" s="97"/>
      <c r="J2546" s="98"/>
      <c r="K2546" s="99"/>
    </row>
    <row r="2547" spans="1:11" ht="13.2">
      <c r="A2547" s="89"/>
      <c r="B2547" s="90"/>
      <c r="C2547" s="91"/>
      <c r="D2547" s="92"/>
      <c r="E2547" s="93"/>
      <c r="F2547" s="94"/>
      <c r="G2547" s="95"/>
      <c r="H2547" s="96"/>
      <c r="I2547" s="97"/>
      <c r="J2547" s="98"/>
      <c r="K2547" s="99"/>
    </row>
    <row r="2548" spans="1:11" ht="13.2">
      <c r="A2548" s="89"/>
      <c r="B2548" s="90"/>
      <c r="C2548" s="91"/>
      <c r="D2548" s="92"/>
      <c r="E2548" s="93"/>
      <c r="F2548" s="94"/>
      <c r="G2548" s="95"/>
      <c r="H2548" s="96"/>
      <c r="I2548" s="97"/>
      <c r="J2548" s="98"/>
      <c r="K2548" s="99"/>
    </row>
    <row r="2549" spans="1:11" ht="13.2">
      <c r="A2549" s="89"/>
      <c r="B2549" s="90"/>
      <c r="C2549" s="91"/>
      <c r="D2549" s="92"/>
      <c r="E2549" s="93"/>
      <c r="F2549" s="94"/>
      <c r="G2549" s="95"/>
      <c r="H2549" s="96"/>
      <c r="I2549" s="97"/>
      <c r="J2549" s="98"/>
      <c r="K2549" s="99"/>
    </row>
    <row r="2550" spans="1:11" ht="13.2">
      <c r="A2550" s="89"/>
      <c r="B2550" s="90"/>
      <c r="C2550" s="91"/>
      <c r="D2550" s="92"/>
      <c r="E2550" s="93"/>
      <c r="F2550" s="94"/>
      <c r="G2550" s="95"/>
      <c r="H2550" s="96"/>
      <c r="I2550" s="97"/>
      <c r="J2550" s="98"/>
      <c r="K2550" s="99"/>
    </row>
    <row r="2551" spans="1:11" ht="13.2">
      <c r="A2551" s="89"/>
      <c r="B2551" s="90"/>
      <c r="C2551" s="91"/>
      <c r="D2551" s="92"/>
      <c r="E2551" s="93"/>
      <c r="F2551" s="94"/>
      <c r="G2551" s="95"/>
      <c r="H2551" s="96"/>
      <c r="I2551" s="97"/>
      <c r="J2551" s="98"/>
      <c r="K2551" s="99"/>
    </row>
    <row r="2552" spans="1:11" ht="13.2">
      <c r="A2552" s="89"/>
      <c r="B2552" s="90"/>
      <c r="C2552" s="91"/>
      <c r="D2552" s="92"/>
      <c r="E2552" s="93"/>
      <c r="F2552" s="94"/>
      <c r="G2552" s="95"/>
      <c r="H2552" s="96"/>
      <c r="I2552" s="97"/>
      <c r="J2552" s="98"/>
      <c r="K2552" s="99"/>
    </row>
    <row r="2553" spans="1:11" ht="13.2">
      <c r="A2553" s="89"/>
      <c r="B2553" s="90"/>
      <c r="C2553" s="91"/>
      <c r="D2553" s="92"/>
      <c r="E2553" s="93"/>
      <c r="F2553" s="94"/>
      <c r="G2553" s="95"/>
      <c r="H2553" s="96"/>
      <c r="I2553" s="97"/>
      <c r="J2553" s="98"/>
      <c r="K2553" s="99"/>
    </row>
    <row r="2554" spans="1:11" ht="13.2">
      <c r="A2554" s="89"/>
      <c r="B2554" s="90"/>
      <c r="C2554" s="91"/>
      <c r="D2554" s="92"/>
      <c r="E2554" s="93"/>
      <c r="F2554" s="94"/>
      <c r="G2554" s="95"/>
      <c r="H2554" s="96"/>
      <c r="I2554" s="97"/>
      <c r="J2554" s="98"/>
      <c r="K2554" s="99"/>
    </row>
    <row r="2555" spans="1:11" ht="13.2">
      <c r="A2555" s="89"/>
      <c r="B2555" s="90"/>
      <c r="C2555" s="91"/>
      <c r="D2555" s="92"/>
      <c r="E2555" s="93"/>
      <c r="F2555" s="94"/>
      <c r="G2555" s="95"/>
      <c r="H2555" s="96"/>
      <c r="I2555" s="97"/>
      <c r="J2555" s="98"/>
      <c r="K2555" s="99"/>
    </row>
    <row r="2556" spans="1:11" ht="13.2">
      <c r="A2556" s="89"/>
      <c r="B2556" s="90"/>
      <c r="C2556" s="91"/>
      <c r="D2556" s="92"/>
      <c r="E2556" s="93"/>
      <c r="F2556" s="94"/>
      <c r="G2556" s="95"/>
      <c r="H2556" s="96"/>
      <c r="I2556" s="97"/>
      <c r="J2556" s="98"/>
      <c r="K2556" s="99"/>
    </row>
    <row r="2557" spans="1:11" ht="13.2">
      <c r="A2557" s="89"/>
      <c r="B2557" s="90"/>
      <c r="C2557" s="91"/>
      <c r="D2557" s="92"/>
      <c r="E2557" s="93"/>
      <c r="F2557" s="94"/>
      <c r="G2557" s="95"/>
      <c r="H2557" s="96"/>
      <c r="I2557" s="97"/>
      <c r="J2557" s="98"/>
      <c r="K2557" s="99"/>
    </row>
    <row r="2558" spans="1:11" ht="13.2">
      <c r="A2558" s="89"/>
      <c r="B2558" s="90"/>
      <c r="C2558" s="91"/>
      <c r="D2558" s="92"/>
      <c r="E2558" s="93"/>
      <c r="F2558" s="94"/>
      <c r="G2558" s="95"/>
      <c r="H2558" s="96"/>
      <c r="I2558" s="97"/>
      <c r="J2558" s="98"/>
      <c r="K2558" s="99"/>
    </row>
    <row r="2559" spans="1:11" ht="13.2">
      <c r="A2559" s="89"/>
      <c r="B2559" s="90"/>
      <c r="C2559" s="91"/>
      <c r="D2559" s="92"/>
      <c r="E2559" s="93"/>
      <c r="F2559" s="94"/>
      <c r="G2559" s="95"/>
      <c r="H2559" s="96"/>
      <c r="I2559" s="97"/>
      <c r="J2559" s="98"/>
      <c r="K2559" s="99"/>
    </row>
    <row r="2560" spans="1:11" ht="13.2">
      <c r="A2560" s="89"/>
      <c r="B2560" s="90"/>
      <c r="C2560" s="91"/>
      <c r="D2560" s="92"/>
      <c r="E2560" s="93"/>
      <c r="F2560" s="94"/>
      <c r="G2560" s="95"/>
      <c r="H2560" s="96"/>
      <c r="I2560" s="97"/>
      <c r="J2560" s="98"/>
      <c r="K2560" s="99"/>
    </row>
    <row r="2561" spans="1:11" ht="13.2">
      <c r="A2561" s="89"/>
      <c r="B2561" s="90"/>
      <c r="C2561" s="91"/>
      <c r="D2561" s="92"/>
      <c r="E2561" s="93"/>
      <c r="F2561" s="94"/>
      <c r="G2561" s="95"/>
      <c r="H2561" s="96"/>
      <c r="I2561" s="97"/>
      <c r="J2561" s="98"/>
      <c r="K2561" s="99"/>
    </row>
    <row r="2562" spans="1:11" ht="13.2">
      <c r="A2562" s="89"/>
      <c r="B2562" s="90"/>
      <c r="C2562" s="91"/>
      <c r="D2562" s="92"/>
      <c r="E2562" s="93"/>
      <c r="F2562" s="94"/>
      <c r="G2562" s="95"/>
      <c r="H2562" s="96"/>
      <c r="I2562" s="97"/>
      <c r="J2562" s="98"/>
      <c r="K2562" s="99"/>
    </row>
    <row r="2563" spans="1:11" ht="13.2">
      <c r="A2563" s="89"/>
      <c r="B2563" s="90"/>
      <c r="C2563" s="91"/>
      <c r="D2563" s="92"/>
      <c r="E2563" s="93"/>
      <c r="F2563" s="94"/>
      <c r="G2563" s="95"/>
      <c r="H2563" s="96"/>
      <c r="I2563" s="97"/>
      <c r="J2563" s="98"/>
      <c r="K2563" s="99"/>
    </row>
    <row r="2564" spans="1:11" ht="13.2">
      <c r="A2564" s="89"/>
      <c r="B2564" s="90"/>
      <c r="C2564" s="91"/>
      <c r="D2564" s="92"/>
      <c r="E2564" s="93"/>
      <c r="F2564" s="94"/>
      <c r="G2564" s="95"/>
      <c r="H2564" s="96"/>
      <c r="I2564" s="97"/>
      <c r="J2564" s="98"/>
      <c r="K2564" s="99"/>
    </row>
    <row r="2565" spans="1:11" ht="13.2">
      <c r="A2565" s="89"/>
      <c r="B2565" s="90"/>
      <c r="C2565" s="91"/>
      <c r="D2565" s="92"/>
      <c r="E2565" s="93"/>
      <c r="F2565" s="94"/>
      <c r="G2565" s="95"/>
      <c r="H2565" s="96"/>
      <c r="I2565" s="97"/>
      <c r="J2565" s="98"/>
      <c r="K2565" s="99"/>
    </row>
    <row r="2566" spans="1:11" ht="13.2">
      <c r="A2566" s="89"/>
      <c r="B2566" s="90"/>
      <c r="C2566" s="91"/>
      <c r="D2566" s="92"/>
      <c r="E2566" s="93"/>
      <c r="F2566" s="94"/>
      <c r="G2566" s="95"/>
      <c r="H2566" s="96"/>
      <c r="I2566" s="97"/>
      <c r="J2566" s="98"/>
      <c r="K2566" s="99"/>
    </row>
    <row r="2567" spans="1:11" ht="13.2">
      <c r="A2567" s="89"/>
      <c r="B2567" s="90"/>
      <c r="C2567" s="91"/>
      <c r="D2567" s="92"/>
      <c r="E2567" s="93"/>
      <c r="F2567" s="94"/>
      <c r="G2567" s="95"/>
      <c r="H2567" s="96"/>
      <c r="I2567" s="97"/>
      <c r="J2567" s="98"/>
      <c r="K2567" s="99"/>
    </row>
    <row r="2568" spans="1:11" ht="13.2">
      <c r="A2568" s="89"/>
      <c r="B2568" s="90"/>
      <c r="C2568" s="91"/>
      <c r="D2568" s="92"/>
      <c r="E2568" s="93"/>
      <c r="F2568" s="94"/>
      <c r="G2568" s="95"/>
      <c r="H2568" s="96"/>
      <c r="I2568" s="97"/>
      <c r="J2568" s="98"/>
      <c r="K2568" s="99"/>
    </row>
    <row r="2569" spans="1:11" ht="13.2">
      <c r="A2569" s="89"/>
      <c r="B2569" s="90"/>
      <c r="C2569" s="91"/>
      <c r="D2569" s="92"/>
      <c r="E2569" s="93"/>
      <c r="F2569" s="94"/>
      <c r="G2569" s="95"/>
      <c r="H2569" s="96"/>
      <c r="I2569" s="97"/>
      <c r="J2569" s="98"/>
      <c r="K2569" s="99"/>
    </row>
    <row r="2570" spans="1:11" ht="13.2">
      <c r="A2570" s="89"/>
      <c r="B2570" s="90"/>
      <c r="C2570" s="91"/>
      <c r="D2570" s="92"/>
      <c r="E2570" s="93"/>
      <c r="F2570" s="94"/>
      <c r="G2570" s="95"/>
      <c r="H2570" s="96"/>
      <c r="I2570" s="97"/>
      <c r="J2570" s="98"/>
      <c r="K2570" s="99"/>
    </row>
    <row r="2571" spans="1:11" ht="13.2">
      <c r="A2571" s="89"/>
      <c r="B2571" s="90"/>
      <c r="C2571" s="91"/>
      <c r="D2571" s="92"/>
      <c r="E2571" s="93"/>
      <c r="F2571" s="94"/>
      <c r="G2571" s="95"/>
      <c r="H2571" s="96"/>
      <c r="I2571" s="97"/>
      <c r="J2571" s="98"/>
      <c r="K2571" s="99"/>
    </row>
    <row r="2572" spans="1:11" ht="13.2">
      <c r="A2572" s="89"/>
      <c r="B2572" s="90"/>
      <c r="C2572" s="91"/>
      <c r="D2572" s="92"/>
      <c r="E2572" s="93"/>
      <c r="F2572" s="94"/>
      <c r="G2572" s="95"/>
      <c r="H2572" s="96"/>
      <c r="I2572" s="97"/>
      <c r="J2572" s="98"/>
      <c r="K2572" s="99"/>
    </row>
    <row r="2573" spans="1:11" ht="13.2">
      <c r="A2573" s="89"/>
      <c r="B2573" s="90"/>
      <c r="C2573" s="91"/>
      <c r="D2573" s="92"/>
      <c r="E2573" s="93"/>
      <c r="F2573" s="94"/>
      <c r="G2573" s="95"/>
      <c r="H2573" s="96"/>
      <c r="I2573" s="97"/>
      <c r="J2573" s="98"/>
      <c r="K2573" s="99"/>
    </row>
    <row r="2574" spans="1:11" ht="13.2">
      <c r="A2574" s="89"/>
      <c r="B2574" s="90"/>
      <c r="C2574" s="91"/>
      <c r="D2574" s="92"/>
      <c r="E2574" s="93"/>
      <c r="F2574" s="94"/>
      <c r="G2574" s="95"/>
      <c r="H2574" s="96"/>
      <c r="I2574" s="97"/>
      <c r="J2574" s="98"/>
      <c r="K2574" s="99"/>
    </row>
    <row r="2575" spans="1:11" ht="13.2">
      <c r="A2575" s="89"/>
      <c r="B2575" s="90"/>
      <c r="C2575" s="91"/>
      <c r="D2575" s="92"/>
      <c r="E2575" s="93"/>
      <c r="F2575" s="94"/>
      <c r="G2575" s="95"/>
      <c r="H2575" s="96"/>
      <c r="I2575" s="97"/>
      <c r="J2575" s="98"/>
      <c r="K2575" s="99"/>
    </row>
    <row r="2576" spans="1:11" ht="13.2">
      <c r="A2576" s="89"/>
      <c r="B2576" s="90"/>
      <c r="C2576" s="91"/>
      <c r="D2576" s="92"/>
      <c r="E2576" s="93"/>
      <c r="F2576" s="94"/>
      <c r="G2576" s="95"/>
      <c r="H2576" s="96"/>
      <c r="I2576" s="97"/>
      <c r="J2576" s="98"/>
      <c r="K2576" s="99"/>
    </row>
    <row r="2577" spans="1:11" ht="13.2">
      <c r="A2577" s="89"/>
      <c r="B2577" s="90"/>
      <c r="C2577" s="91"/>
      <c r="D2577" s="92"/>
      <c r="E2577" s="93"/>
      <c r="F2577" s="94"/>
      <c r="G2577" s="95"/>
      <c r="H2577" s="96"/>
      <c r="I2577" s="97"/>
      <c r="J2577" s="98"/>
      <c r="K2577" s="99"/>
    </row>
    <row r="2578" spans="1:11" ht="13.2">
      <c r="A2578" s="89"/>
      <c r="B2578" s="90"/>
      <c r="C2578" s="91"/>
      <c r="D2578" s="92"/>
      <c r="E2578" s="93"/>
      <c r="F2578" s="94"/>
      <c r="G2578" s="95"/>
      <c r="H2578" s="96"/>
      <c r="I2578" s="97"/>
      <c r="J2578" s="98"/>
      <c r="K2578" s="99"/>
    </row>
    <row r="2579" spans="1:11" ht="13.2">
      <c r="A2579" s="89"/>
      <c r="B2579" s="90"/>
      <c r="C2579" s="91"/>
      <c r="D2579" s="92"/>
      <c r="E2579" s="93"/>
      <c r="F2579" s="94"/>
      <c r="G2579" s="95"/>
      <c r="H2579" s="96"/>
      <c r="I2579" s="97"/>
      <c r="J2579" s="98"/>
      <c r="K2579" s="99"/>
    </row>
    <row r="2580" spans="1:11" ht="13.2">
      <c r="A2580" s="89"/>
      <c r="B2580" s="90"/>
      <c r="C2580" s="91"/>
      <c r="D2580" s="92"/>
      <c r="E2580" s="93"/>
      <c r="F2580" s="94"/>
      <c r="G2580" s="95"/>
      <c r="H2580" s="96"/>
      <c r="I2580" s="97"/>
      <c r="J2580" s="98"/>
      <c r="K2580" s="99"/>
    </row>
    <row r="2581" spans="1:11" ht="13.2">
      <c r="A2581" s="89"/>
      <c r="B2581" s="90"/>
      <c r="C2581" s="91"/>
      <c r="D2581" s="92"/>
      <c r="E2581" s="93"/>
      <c r="F2581" s="94"/>
      <c r="G2581" s="95"/>
      <c r="H2581" s="96"/>
      <c r="I2581" s="97"/>
      <c r="J2581" s="98"/>
      <c r="K2581" s="99"/>
    </row>
    <row r="2582" spans="1:11" ht="13.2">
      <c r="A2582" s="89"/>
      <c r="B2582" s="90"/>
      <c r="C2582" s="91"/>
      <c r="D2582" s="92"/>
      <c r="E2582" s="93"/>
      <c r="F2582" s="94"/>
      <c r="G2582" s="95"/>
      <c r="H2582" s="96"/>
      <c r="I2582" s="97"/>
      <c r="J2582" s="98"/>
      <c r="K2582" s="99"/>
    </row>
    <row r="2583" spans="1:11" ht="13.2">
      <c r="A2583" s="89"/>
      <c r="B2583" s="90"/>
      <c r="C2583" s="91"/>
      <c r="D2583" s="92"/>
      <c r="E2583" s="93"/>
      <c r="F2583" s="94"/>
      <c r="G2583" s="95"/>
      <c r="H2583" s="96"/>
      <c r="I2583" s="97"/>
      <c r="J2583" s="98"/>
      <c r="K2583" s="99"/>
    </row>
    <row r="2584" spans="1:11" ht="13.2">
      <c r="A2584" s="89"/>
      <c r="B2584" s="90"/>
      <c r="C2584" s="91"/>
      <c r="D2584" s="92"/>
      <c r="E2584" s="93"/>
      <c r="F2584" s="94"/>
      <c r="G2584" s="95"/>
      <c r="H2584" s="96"/>
      <c r="I2584" s="97"/>
      <c r="J2584" s="98"/>
      <c r="K2584" s="99"/>
    </row>
    <row r="2585" spans="1:11" ht="13.2">
      <c r="A2585" s="89"/>
      <c r="B2585" s="90"/>
      <c r="C2585" s="91"/>
      <c r="D2585" s="92"/>
      <c r="E2585" s="93"/>
      <c r="F2585" s="94"/>
      <c r="G2585" s="95"/>
      <c r="H2585" s="96"/>
      <c r="I2585" s="97"/>
      <c r="J2585" s="98"/>
      <c r="K2585" s="99"/>
    </row>
    <row r="2586" spans="1:11" ht="13.2">
      <c r="A2586" s="89"/>
      <c r="B2586" s="90"/>
      <c r="C2586" s="91"/>
      <c r="D2586" s="92"/>
      <c r="E2586" s="93"/>
      <c r="F2586" s="94"/>
      <c r="G2586" s="95"/>
      <c r="H2586" s="96"/>
      <c r="I2586" s="97"/>
      <c r="J2586" s="98"/>
      <c r="K2586" s="99"/>
    </row>
    <row r="2587" spans="1:11" ht="13.2">
      <c r="A2587" s="89"/>
      <c r="B2587" s="90"/>
      <c r="C2587" s="91"/>
      <c r="D2587" s="92"/>
      <c r="E2587" s="93"/>
      <c r="F2587" s="94"/>
      <c r="G2587" s="95"/>
      <c r="H2587" s="96"/>
      <c r="I2587" s="97"/>
      <c r="J2587" s="98"/>
      <c r="K2587" s="99"/>
    </row>
    <row r="2588" spans="1:11" ht="13.2">
      <c r="A2588" s="89"/>
      <c r="B2588" s="90"/>
      <c r="C2588" s="91"/>
      <c r="D2588" s="92"/>
      <c r="E2588" s="93"/>
      <c r="F2588" s="94"/>
      <c r="G2588" s="95"/>
      <c r="H2588" s="96"/>
      <c r="I2588" s="97"/>
      <c r="J2588" s="98"/>
      <c r="K2588" s="99"/>
    </row>
    <row r="2589" spans="1:11" ht="13.2">
      <c r="A2589" s="89"/>
      <c r="B2589" s="90"/>
      <c r="C2589" s="91"/>
      <c r="D2589" s="92"/>
      <c r="E2589" s="93"/>
      <c r="F2589" s="94"/>
      <c r="G2589" s="95"/>
      <c r="H2589" s="96"/>
      <c r="I2589" s="97"/>
      <c r="J2589" s="98"/>
      <c r="K2589" s="99"/>
    </row>
    <row r="2590" spans="1:11" ht="13.2">
      <c r="A2590" s="89"/>
      <c r="B2590" s="90"/>
      <c r="C2590" s="91"/>
      <c r="D2590" s="92"/>
      <c r="E2590" s="93"/>
      <c r="F2590" s="94"/>
      <c r="G2590" s="95"/>
      <c r="H2590" s="96"/>
      <c r="I2590" s="97"/>
      <c r="J2590" s="98"/>
      <c r="K2590" s="99"/>
    </row>
    <row r="2591" spans="1:11" ht="13.2">
      <c r="A2591" s="89"/>
      <c r="B2591" s="90"/>
      <c r="C2591" s="91"/>
      <c r="D2591" s="92"/>
      <c r="E2591" s="93"/>
      <c r="F2591" s="94"/>
      <c r="G2591" s="95"/>
      <c r="H2591" s="96"/>
      <c r="I2591" s="97"/>
      <c r="J2591" s="98"/>
      <c r="K2591" s="99"/>
    </row>
    <row r="2592" spans="1:11" ht="13.2">
      <c r="A2592" s="89"/>
      <c r="B2592" s="90"/>
      <c r="C2592" s="91"/>
      <c r="D2592" s="92"/>
      <c r="E2592" s="93"/>
      <c r="F2592" s="94"/>
      <c r="G2592" s="95"/>
      <c r="H2592" s="96"/>
      <c r="I2592" s="97"/>
      <c r="J2592" s="98"/>
      <c r="K2592" s="99"/>
    </row>
    <row r="2593" spans="1:11" ht="13.2">
      <c r="A2593" s="89"/>
      <c r="B2593" s="90"/>
      <c r="C2593" s="91"/>
      <c r="D2593" s="92"/>
      <c r="E2593" s="93"/>
      <c r="F2593" s="94"/>
      <c r="G2593" s="95"/>
      <c r="H2593" s="96"/>
      <c r="I2593" s="97"/>
      <c r="J2593" s="98"/>
      <c r="K2593" s="99"/>
    </row>
    <row r="2594" spans="1:11" ht="13.2">
      <c r="A2594" s="89"/>
      <c r="B2594" s="90"/>
      <c r="C2594" s="91"/>
      <c r="D2594" s="92"/>
      <c r="E2594" s="93"/>
      <c r="F2594" s="94"/>
      <c r="G2594" s="95"/>
      <c r="H2594" s="96"/>
      <c r="I2594" s="97"/>
      <c r="J2594" s="98"/>
      <c r="K2594" s="99"/>
    </row>
    <row r="2595" spans="1:11" ht="13.2">
      <c r="A2595" s="89"/>
      <c r="B2595" s="90"/>
      <c r="C2595" s="91"/>
      <c r="D2595" s="92"/>
      <c r="E2595" s="93"/>
      <c r="F2595" s="94"/>
      <c r="G2595" s="95"/>
      <c r="H2595" s="96"/>
      <c r="I2595" s="97"/>
      <c r="J2595" s="98"/>
      <c r="K2595" s="99"/>
    </row>
    <row r="2596" spans="1:11" ht="13.2">
      <c r="A2596" s="89"/>
      <c r="B2596" s="90"/>
      <c r="C2596" s="91"/>
      <c r="D2596" s="92"/>
      <c r="E2596" s="93"/>
      <c r="F2596" s="94"/>
      <c r="G2596" s="95"/>
      <c r="H2596" s="96"/>
      <c r="I2596" s="97"/>
      <c r="J2596" s="98"/>
      <c r="K2596" s="99"/>
    </row>
    <row r="2597" spans="1:11" ht="13.2">
      <c r="A2597" s="89"/>
      <c r="B2597" s="90"/>
      <c r="C2597" s="91"/>
      <c r="D2597" s="92"/>
      <c r="E2597" s="93"/>
      <c r="F2597" s="94"/>
      <c r="G2597" s="95"/>
      <c r="H2597" s="96"/>
      <c r="I2597" s="97"/>
      <c r="J2597" s="98"/>
      <c r="K2597" s="99"/>
    </row>
    <row r="2598" spans="1:11" ht="13.2">
      <c r="A2598" s="89"/>
      <c r="B2598" s="90"/>
      <c r="C2598" s="91"/>
      <c r="D2598" s="92"/>
      <c r="E2598" s="93"/>
      <c r="F2598" s="94"/>
      <c r="G2598" s="95"/>
      <c r="H2598" s="96"/>
      <c r="I2598" s="97"/>
      <c r="J2598" s="98"/>
      <c r="K2598" s="99"/>
    </row>
    <row r="2599" spans="1:11" ht="13.2">
      <c r="A2599" s="89"/>
      <c r="B2599" s="90"/>
      <c r="C2599" s="91"/>
      <c r="D2599" s="92"/>
      <c r="E2599" s="93"/>
      <c r="F2599" s="94"/>
      <c r="G2599" s="95"/>
      <c r="H2599" s="96"/>
      <c r="I2599" s="97"/>
      <c r="J2599" s="98"/>
      <c r="K2599" s="99"/>
    </row>
    <row r="2600" spans="1:11" ht="13.2">
      <c r="A2600" s="89"/>
      <c r="B2600" s="90"/>
      <c r="C2600" s="91"/>
      <c r="D2600" s="92"/>
      <c r="E2600" s="93"/>
      <c r="F2600" s="94"/>
      <c r="G2600" s="95"/>
      <c r="H2600" s="96"/>
      <c r="I2600" s="97"/>
      <c r="J2600" s="98"/>
      <c r="K2600" s="99"/>
    </row>
    <row r="2601" spans="1:11" ht="13.2">
      <c r="A2601" s="89"/>
      <c r="B2601" s="90"/>
      <c r="C2601" s="91"/>
      <c r="D2601" s="92"/>
      <c r="E2601" s="93"/>
      <c r="F2601" s="94"/>
      <c r="G2601" s="95"/>
      <c r="H2601" s="96"/>
      <c r="I2601" s="97"/>
      <c r="J2601" s="98"/>
      <c r="K2601" s="99"/>
    </row>
    <row r="2602" spans="1:11" ht="13.2">
      <c r="A2602" s="89"/>
      <c r="B2602" s="90"/>
      <c r="C2602" s="91"/>
      <c r="D2602" s="92"/>
      <c r="E2602" s="93"/>
      <c r="F2602" s="94"/>
      <c r="G2602" s="95"/>
      <c r="H2602" s="96"/>
      <c r="I2602" s="97"/>
      <c r="J2602" s="98"/>
      <c r="K2602" s="99"/>
    </row>
    <row r="2603" spans="1:11" ht="13.2">
      <c r="A2603" s="89"/>
      <c r="B2603" s="90"/>
      <c r="C2603" s="91"/>
      <c r="D2603" s="92"/>
      <c r="E2603" s="93"/>
      <c r="F2603" s="94"/>
      <c r="G2603" s="95"/>
      <c r="H2603" s="96"/>
      <c r="I2603" s="97"/>
      <c r="J2603" s="98"/>
      <c r="K2603" s="99"/>
    </row>
    <row r="2604" spans="1:11" ht="13.2">
      <c r="A2604" s="89"/>
      <c r="B2604" s="90"/>
      <c r="C2604" s="91"/>
      <c r="D2604" s="92"/>
      <c r="E2604" s="93"/>
      <c r="F2604" s="94"/>
      <c r="G2604" s="95"/>
      <c r="H2604" s="96"/>
      <c r="I2604" s="97"/>
      <c r="J2604" s="98"/>
      <c r="K2604" s="99"/>
    </row>
    <row r="2605" spans="1:11" ht="13.2">
      <c r="A2605" s="89"/>
      <c r="B2605" s="90"/>
      <c r="C2605" s="91"/>
      <c r="D2605" s="92"/>
      <c r="E2605" s="93"/>
      <c r="F2605" s="94"/>
      <c r="G2605" s="95"/>
      <c r="H2605" s="96"/>
      <c r="I2605" s="97"/>
      <c r="J2605" s="98"/>
      <c r="K2605" s="99"/>
    </row>
    <row r="2606" spans="1:11" ht="13.2">
      <c r="A2606" s="89"/>
      <c r="B2606" s="90"/>
      <c r="C2606" s="91"/>
      <c r="D2606" s="92"/>
      <c r="E2606" s="93"/>
      <c r="F2606" s="94"/>
      <c r="G2606" s="95"/>
      <c r="H2606" s="96"/>
      <c r="I2606" s="97"/>
      <c r="J2606" s="98"/>
      <c r="K2606" s="99"/>
    </row>
    <row r="2607" spans="1:11" ht="13.2">
      <c r="A2607" s="89"/>
      <c r="B2607" s="90"/>
      <c r="C2607" s="91"/>
      <c r="D2607" s="92"/>
      <c r="E2607" s="93"/>
      <c r="F2607" s="94"/>
      <c r="G2607" s="95"/>
      <c r="H2607" s="96"/>
      <c r="I2607" s="97"/>
      <c r="J2607" s="98"/>
      <c r="K2607" s="99"/>
    </row>
    <row r="2608" spans="1:11" ht="13.2">
      <c r="A2608" s="89"/>
      <c r="B2608" s="90"/>
      <c r="C2608" s="91"/>
      <c r="D2608" s="92"/>
      <c r="E2608" s="93"/>
      <c r="F2608" s="94"/>
      <c r="G2608" s="95"/>
      <c r="H2608" s="96"/>
      <c r="I2608" s="97"/>
      <c r="J2608" s="98"/>
      <c r="K2608" s="99"/>
    </row>
    <row r="2609" spans="1:11" ht="13.2">
      <c r="A2609" s="89"/>
      <c r="B2609" s="90"/>
      <c r="C2609" s="91"/>
      <c r="D2609" s="92"/>
      <c r="E2609" s="93"/>
      <c r="F2609" s="94"/>
      <c r="G2609" s="95"/>
      <c r="H2609" s="96"/>
      <c r="I2609" s="97"/>
      <c r="J2609" s="98"/>
      <c r="K2609" s="99"/>
    </row>
    <row r="2610" spans="1:11" ht="13.2">
      <c r="A2610" s="89"/>
      <c r="B2610" s="90"/>
      <c r="C2610" s="91"/>
      <c r="D2610" s="92"/>
      <c r="E2610" s="93"/>
      <c r="F2610" s="94"/>
      <c r="G2610" s="95"/>
      <c r="H2610" s="96"/>
      <c r="I2610" s="97"/>
      <c r="J2610" s="98"/>
      <c r="K2610" s="99"/>
    </row>
    <row r="2611" spans="1:11" ht="13.2">
      <c r="A2611" s="89"/>
      <c r="B2611" s="90"/>
      <c r="C2611" s="91"/>
      <c r="D2611" s="92"/>
      <c r="E2611" s="93"/>
      <c r="F2611" s="94"/>
      <c r="G2611" s="95"/>
      <c r="H2611" s="96"/>
      <c r="I2611" s="97"/>
      <c r="J2611" s="98"/>
      <c r="K2611" s="99"/>
    </row>
    <row r="2612" spans="1:11" ht="13.2">
      <c r="A2612" s="89"/>
      <c r="B2612" s="90"/>
      <c r="C2612" s="91"/>
      <c r="D2612" s="92"/>
      <c r="E2612" s="93"/>
      <c r="F2612" s="94"/>
      <c r="G2612" s="95"/>
      <c r="H2612" s="96"/>
      <c r="I2612" s="97"/>
      <c r="J2612" s="98"/>
      <c r="K2612" s="99"/>
    </row>
    <row r="2613" spans="1:11" ht="13.2">
      <c r="A2613" s="89"/>
      <c r="B2613" s="90"/>
      <c r="C2613" s="91"/>
      <c r="D2613" s="92"/>
      <c r="E2613" s="93"/>
      <c r="F2613" s="94"/>
      <c r="G2613" s="95"/>
      <c r="H2613" s="96"/>
      <c r="I2613" s="97"/>
      <c r="J2613" s="98"/>
      <c r="K2613" s="99"/>
    </row>
    <row r="2614" spans="1:11" ht="13.2">
      <c r="A2614" s="89"/>
      <c r="B2614" s="90"/>
      <c r="C2614" s="91"/>
      <c r="D2614" s="92"/>
      <c r="E2614" s="93"/>
      <c r="F2614" s="94"/>
      <c r="G2614" s="95"/>
      <c r="H2614" s="96"/>
      <c r="I2614" s="97"/>
      <c r="J2614" s="98"/>
      <c r="K2614" s="99"/>
    </row>
    <row r="2615" spans="1:11" ht="13.2">
      <c r="A2615" s="89"/>
      <c r="B2615" s="90"/>
      <c r="C2615" s="91"/>
      <c r="D2615" s="92"/>
      <c r="E2615" s="93"/>
      <c r="F2615" s="94"/>
      <c r="G2615" s="95"/>
      <c r="H2615" s="96"/>
      <c r="I2615" s="97"/>
      <c r="J2615" s="98"/>
      <c r="K2615" s="99"/>
    </row>
    <row r="2616" spans="1:11" ht="13.2">
      <c r="A2616" s="89"/>
      <c r="B2616" s="90"/>
      <c r="C2616" s="91"/>
      <c r="D2616" s="92"/>
      <c r="E2616" s="93"/>
      <c r="F2616" s="94"/>
      <c r="G2616" s="95"/>
      <c r="H2616" s="96"/>
      <c r="I2616" s="97"/>
      <c r="J2616" s="98"/>
      <c r="K2616" s="99"/>
    </row>
    <row r="2617" spans="1:11" ht="13.2">
      <c r="A2617" s="89"/>
      <c r="B2617" s="90"/>
      <c r="C2617" s="91"/>
      <c r="D2617" s="92"/>
      <c r="E2617" s="93"/>
      <c r="F2617" s="94"/>
      <c r="G2617" s="95"/>
      <c r="H2617" s="96"/>
      <c r="I2617" s="97"/>
      <c r="J2617" s="98"/>
      <c r="K2617" s="99"/>
    </row>
    <row r="2618" spans="1:11" ht="13.2">
      <c r="A2618" s="89"/>
      <c r="B2618" s="90"/>
      <c r="C2618" s="91"/>
      <c r="D2618" s="92"/>
      <c r="E2618" s="93"/>
      <c r="F2618" s="94"/>
      <c r="G2618" s="95"/>
      <c r="H2618" s="96"/>
      <c r="I2618" s="97"/>
      <c r="J2618" s="98"/>
      <c r="K2618" s="99"/>
    </row>
    <row r="2619" spans="1:11" ht="13.2">
      <c r="A2619" s="89"/>
      <c r="B2619" s="90"/>
      <c r="C2619" s="91"/>
      <c r="D2619" s="92"/>
      <c r="E2619" s="93"/>
      <c r="F2619" s="94"/>
      <c r="G2619" s="95"/>
      <c r="H2619" s="96"/>
      <c r="I2619" s="97"/>
      <c r="J2619" s="98"/>
      <c r="K2619" s="99"/>
    </row>
    <row r="2620" spans="1:11" ht="13.2">
      <c r="A2620" s="89"/>
      <c r="B2620" s="90"/>
      <c r="C2620" s="91"/>
      <c r="D2620" s="92"/>
      <c r="E2620" s="93"/>
      <c r="F2620" s="94"/>
      <c r="G2620" s="95"/>
      <c r="H2620" s="96"/>
      <c r="I2620" s="97"/>
      <c r="J2620" s="98"/>
      <c r="K2620" s="99"/>
    </row>
    <row r="2621" spans="1:11" ht="13.2">
      <c r="A2621" s="89"/>
      <c r="B2621" s="90"/>
      <c r="C2621" s="91"/>
      <c r="D2621" s="92"/>
      <c r="E2621" s="93"/>
      <c r="F2621" s="94"/>
      <c r="G2621" s="95"/>
      <c r="H2621" s="96"/>
      <c r="I2621" s="97"/>
      <c r="J2621" s="98"/>
      <c r="K2621" s="99"/>
    </row>
    <row r="2622" spans="1:11" ht="13.2">
      <c r="A2622" s="89"/>
      <c r="B2622" s="90"/>
      <c r="C2622" s="91"/>
      <c r="D2622" s="92"/>
      <c r="E2622" s="93"/>
      <c r="F2622" s="94"/>
      <c r="G2622" s="95"/>
      <c r="H2622" s="96"/>
      <c r="I2622" s="97"/>
      <c r="J2622" s="98"/>
      <c r="K2622" s="99"/>
    </row>
    <row r="2623" spans="1:11" ht="13.2">
      <c r="A2623" s="89"/>
      <c r="B2623" s="90"/>
      <c r="C2623" s="91"/>
      <c r="D2623" s="92"/>
      <c r="E2623" s="93"/>
      <c r="F2623" s="94"/>
      <c r="G2623" s="95"/>
      <c r="H2623" s="96"/>
      <c r="I2623" s="97"/>
      <c r="J2623" s="98"/>
      <c r="K2623" s="99"/>
    </row>
    <row r="2624" spans="1:11" ht="13.2">
      <c r="A2624" s="89"/>
      <c r="B2624" s="90"/>
      <c r="C2624" s="91"/>
      <c r="D2624" s="92"/>
      <c r="E2624" s="93"/>
      <c r="F2624" s="94"/>
      <c r="G2624" s="95"/>
      <c r="H2624" s="96"/>
      <c r="I2624" s="97"/>
      <c r="J2624" s="98"/>
      <c r="K2624" s="99"/>
    </row>
    <row r="2625" spans="1:11" ht="13.2">
      <c r="A2625" s="89"/>
      <c r="B2625" s="90"/>
      <c r="C2625" s="91"/>
      <c r="D2625" s="92"/>
      <c r="E2625" s="93"/>
      <c r="F2625" s="94"/>
      <c r="G2625" s="95"/>
      <c r="H2625" s="96"/>
      <c r="I2625" s="97"/>
      <c r="J2625" s="98"/>
      <c r="K2625" s="99"/>
    </row>
    <row r="2626" spans="1:11" ht="13.2">
      <c r="A2626" s="89"/>
      <c r="B2626" s="90"/>
      <c r="C2626" s="91"/>
      <c r="D2626" s="92"/>
      <c r="E2626" s="93"/>
      <c r="F2626" s="94"/>
      <c r="G2626" s="95"/>
      <c r="H2626" s="96"/>
      <c r="I2626" s="97"/>
      <c r="J2626" s="98"/>
      <c r="K2626" s="99"/>
    </row>
    <row r="2627" spans="1:11" ht="13.2">
      <c r="A2627" s="89"/>
      <c r="B2627" s="90"/>
      <c r="C2627" s="91"/>
      <c r="D2627" s="92"/>
      <c r="E2627" s="93"/>
      <c r="F2627" s="94"/>
      <c r="G2627" s="95"/>
      <c r="H2627" s="96"/>
      <c r="I2627" s="97"/>
      <c r="J2627" s="98"/>
      <c r="K2627" s="99"/>
    </row>
    <row r="2628" spans="1:11" ht="13.2">
      <c r="A2628" s="89"/>
      <c r="B2628" s="90"/>
      <c r="C2628" s="91"/>
      <c r="D2628" s="92"/>
      <c r="E2628" s="93"/>
      <c r="F2628" s="94"/>
      <c r="G2628" s="95"/>
      <c r="H2628" s="96"/>
      <c r="I2628" s="97"/>
      <c r="J2628" s="98"/>
      <c r="K2628" s="99"/>
    </row>
    <row r="2629" spans="1:11" ht="13.2">
      <c r="A2629" s="89"/>
      <c r="B2629" s="90"/>
      <c r="C2629" s="91"/>
      <c r="D2629" s="92"/>
      <c r="E2629" s="93"/>
      <c r="F2629" s="94"/>
      <c r="G2629" s="95"/>
      <c r="H2629" s="96"/>
      <c r="I2629" s="97"/>
      <c r="J2629" s="98"/>
      <c r="K2629" s="99"/>
    </row>
    <row r="2630" spans="1:11" ht="13.2">
      <c r="A2630" s="89"/>
      <c r="B2630" s="90"/>
      <c r="C2630" s="91"/>
      <c r="D2630" s="92"/>
      <c r="E2630" s="93"/>
      <c r="F2630" s="94"/>
      <c r="G2630" s="95"/>
      <c r="H2630" s="96"/>
      <c r="I2630" s="97"/>
      <c r="J2630" s="98"/>
      <c r="K2630" s="99"/>
    </row>
    <row r="2631" spans="1:11" ht="13.2">
      <c r="A2631" s="89"/>
      <c r="B2631" s="90"/>
      <c r="C2631" s="91"/>
      <c r="D2631" s="92"/>
      <c r="E2631" s="93"/>
      <c r="F2631" s="94"/>
      <c r="G2631" s="95"/>
      <c r="H2631" s="96"/>
      <c r="I2631" s="97"/>
      <c r="J2631" s="98"/>
      <c r="K2631" s="99"/>
    </row>
    <row r="2632" spans="1:11" ht="13.2">
      <c r="A2632" s="89"/>
      <c r="B2632" s="90"/>
      <c r="C2632" s="91"/>
      <c r="D2632" s="92"/>
      <c r="E2632" s="93"/>
      <c r="F2632" s="94"/>
      <c r="G2632" s="95"/>
      <c r="H2632" s="96"/>
      <c r="I2632" s="97"/>
      <c r="J2632" s="98"/>
      <c r="K2632" s="99"/>
    </row>
    <row r="2633" spans="1:11" ht="13.2">
      <c r="A2633" s="89"/>
      <c r="B2633" s="90"/>
      <c r="C2633" s="91"/>
      <c r="D2633" s="92"/>
      <c r="E2633" s="93"/>
      <c r="F2633" s="94"/>
      <c r="G2633" s="95"/>
      <c r="H2633" s="96"/>
      <c r="I2633" s="97"/>
      <c r="J2633" s="98"/>
      <c r="K2633" s="99"/>
    </row>
    <row r="2634" spans="1:11" ht="13.2">
      <c r="A2634" s="89"/>
      <c r="B2634" s="90"/>
      <c r="C2634" s="91"/>
      <c r="D2634" s="92"/>
      <c r="E2634" s="93"/>
      <c r="F2634" s="94"/>
      <c r="G2634" s="95"/>
      <c r="H2634" s="96"/>
      <c r="I2634" s="97"/>
      <c r="J2634" s="98"/>
      <c r="K2634" s="99"/>
    </row>
    <row r="2635" spans="1:11" ht="13.2">
      <c r="A2635" s="89"/>
      <c r="B2635" s="90"/>
      <c r="C2635" s="91"/>
      <c r="D2635" s="92"/>
      <c r="E2635" s="93"/>
      <c r="F2635" s="94"/>
      <c r="G2635" s="95"/>
      <c r="H2635" s="96"/>
      <c r="I2635" s="97"/>
      <c r="J2635" s="98"/>
      <c r="K2635" s="99"/>
    </row>
    <row r="2636" spans="1:11" ht="13.2">
      <c r="A2636" s="89"/>
      <c r="B2636" s="90"/>
      <c r="C2636" s="91"/>
      <c r="D2636" s="92"/>
      <c r="E2636" s="93"/>
      <c r="F2636" s="94"/>
      <c r="G2636" s="95"/>
      <c r="H2636" s="96"/>
      <c r="I2636" s="97"/>
      <c r="J2636" s="98"/>
      <c r="K2636" s="99"/>
    </row>
    <row r="2637" spans="1:11" ht="13.2">
      <c r="A2637" s="89"/>
      <c r="B2637" s="90"/>
      <c r="C2637" s="91"/>
      <c r="D2637" s="92"/>
      <c r="E2637" s="93"/>
      <c r="F2637" s="94"/>
      <c r="G2637" s="95"/>
      <c r="H2637" s="96"/>
      <c r="I2637" s="97"/>
      <c r="J2637" s="98"/>
      <c r="K2637" s="99"/>
    </row>
    <row r="2638" spans="1:11" ht="13.2">
      <c r="A2638" s="89"/>
      <c r="B2638" s="90"/>
      <c r="C2638" s="91"/>
      <c r="D2638" s="92"/>
      <c r="E2638" s="93"/>
      <c r="F2638" s="94"/>
      <c r="G2638" s="95"/>
      <c r="H2638" s="96"/>
      <c r="I2638" s="97"/>
      <c r="J2638" s="98"/>
      <c r="K2638" s="99"/>
    </row>
    <row r="2639" spans="1:11" ht="13.2">
      <c r="A2639" s="89"/>
      <c r="B2639" s="90"/>
      <c r="C2639" s="91"/>
      <c r="D2639" s="92"/>
      <c r="E2639" s="93"/>
      <c r="F2639" s="94"/>
      <c r="G2639" s="95"/>
      <c r="H2639" s="96"/>
      <c r="I2639" s="97"/>
      <c r="J2639" s="98"/>
      <c r="K2639" s="99"/>
    </row>
    <row r="2640" spans="1:11" ht="13.2">
      <c r="A2640" s="89"/>
      <c r="B2640" s="90"/>
      <c r="C2640" s="91"/>
      <c r="D2640" s="92"/>
      <c r="E2640" s="93"/>
      <c r="F2640" s="94"/>
      <c r="G2640" s="95"/>
      <c r="H2640" s="96"/>
      <c r="I2640" s="97"/>
      <c r="J2640" s="98"/>
      <c r="K2640" s="99"/>
    </row>
    <row r="2641" spans="1:11" ht="13.2">
      <c r="A2641" s="89"/>
      <c r="B2641" s="90"/>
      <c r="C2641" s="91"/>
      <c r="D2641" s="92"/>
      <c r="E2641" s="93"/>
      <c r="F2641" s="94"/>
      <c r="G2641" s="95"/>
      <c r="H2641" s="96"/>
      <c r="I2641" s="97"/>
      <c r="J2641" s="98"/>
      <c r="K2641" s="99"/>
    </row>
    <row r="2642" spans="1:11" ht="13.2">
      <c r="A2642" s="89"/>
      <c r="B2642" s="90"/>
      <c r="C2642" s="91"/>
      <c r="D2642" s="92"/>
      <c r="E2642" s="93"/>
      <c r="F2642" s="94"/>
      <c r="G2642" s="95"/>
      <c r="H2642" s="96"/>
      <c r="I2642" s="97"/>
      <c r="J2642" s="98"/>
      <c r="K2642" s="99"/>
    </row>
    <row r="2643" spans="1:11" ht="13.2">
      <c r="A2643" s="89"/>
      <c r="B2643" s="90"/>
      <c r="C2643" s="91"/>
      <c r="D2643" s="92"/>
      <c r="E2643" s="93"/>
      <c r="F2643" s="94"/>
      <c r="G2643" s="95"/>
      <c r="H2643" s="96"/>
      <c r="I2643" s="97"/>
      <c r="J2643" s="98"/>
      <c r="K2643" s="99"/>
    </row>
    <row r="2644" spans="1:11" ht="13.2">
      <c r="A2644" s="89"/>
      <c r="B2644" s="90"/>
      <c r="C2644" s="91"/>
      <c r="D2644" s="92"/>
      <c r="E2644" s="93"/>
      <c r="F2644" s="94"/>
      <c r="G2644" s="95"/>
      <c r="H2644" s="96"/>
      <c r="I2644" s="97"/>
      <c r="J2644" s="98"/>
      <c r="K2644" s="99"/>
    </row>
    <row r="2645" spans="1:11" ht="13.2">
      <c r="A2645" s="89"/>
      <c r="B2645" s="90"/>
      <c r="C2645" s="91"/>
      <c r="D2645" s="92"/>
      <c r="E2645" s="93"/>
      <c r="F2645" s="94"/>
      <c r="G2645" s="95"/>
      <c r="H2645" s="96"/>
      <c r="I2645" s="97"/>
      <c r="J2645" s="98"/>
      <c r="K2645" s="99"/>
    </row>
    <row r="2646" spans="1:11" ht="13.2">
      <c r="A2646" s="89"/>
      <c r="B2646" s="90"/>
      <c r="C2646" s="91"/>
      <c r="D2646" s="92"/>
      <c r="E2646" s="93"/>
      <c r="F2646" s="94"/>
      <c r="G2646" s="95"/>
      <c r="H2646" s="96"/>
      <c r="I2646" s="97"/>
      <c r="J2646" s="98"/>
      <c r="K2646" s="99"/>
    </row>
    <row r="2647" spans="1:11" ht="13.2">
      <c r="A2647" s="89"/>
      <c r="B2647" s="90"/>
      <c r="C2647" s="91"/>
      <c r="D2647" s="92"/>
      <c r="E2647" s="93"/>
      <c r="F2647" s="94"/>
      <c r="G2647" s="95"/>
      <c r="H2647" s="96"/>
      <c r="I2647" s="97"/>
      <c r="J2647" s="98"/>
      <c r="K2647" s="99"/>
    </row>
    <row r="2648" spans="1:11" ht="13.2">
      <c r="A2648" s="89"/>
      <c r="B2648" s="90"/>
      <c r="C2648" s="91"/>
      <c r="D2648" s="92"/>
      <c r="E2648" s="93"/>
      <c r="F2648" s="94"/>
      <c r="G2648" s="95"/>
      <c r="H2648" s="96"/>
      <c r="I2648" s="97"/>
      <c r="J2648" s="98"/>
      <c r="K2648" s="99"/>
    </row>
    <row r="2649" spans="1:11" ht="13.2">
      <c r="A2649" s="89"/>
      <c r="B2649" s="90"/>
      <c r="C2649" s="91"/>
      <c r="D2649" s="92"/>
      <c r="E2649" s="93"/>
      <c r="F2649" s="94"/>
      <c r="G2649" s="95"/>
      <c r="H2649" s="96"/>
      <c r="I2649" s="97"/>
      <c r="J2649" s="98"/>
      <c r="K2649" s="99"/>
    </row>
    <row r="2650" spans="1:11" ht="13.2">
      <c r="A2650" s="89"/>
      <c r="B2650" s="90"/>
      <c r="C2650" s="91"/>
      <c r="D2650" s="92"/>
      <c r="E2650" s="93"/>
      <c r="F2650" s="94"/>
      <c r="G2650" s="95"/>
      <c r="H2650" s="96"/>
      <c r="I2650" s="97"/>
      <c r="J2650" s="98"/>
      <c r="K2650" s="99"/>
    </row>
    <row r="2651" spans="1:11" ht="13.2">
      <c r="A2651" s="89"/>
      <c r="B2651" s="90"/>
      <c r="C2651" s="91"/>
      <c r="D2651" s="92"/>
      <c r="E2651" s="93"/>
      <c r="F2651" s="94"/>
      <c r="G2651" s="95"/>
      <c r="H2651" s="96"/>
      <c r="I2651" s="97"/>
      <c r="J2651" s="98"/>
      <c r="K2651" s="99"/>
    </row>
    <row r="2652" spans="1:11" ht="13.2">
      <c r="A2652" s="89"/>
      <c r="B2652" s="90"/>
      <c r="C2652" s="91"/>
      <c r="D2652" s="92"/>
      <c r="E2652" s="93"/>
      <c r="F2652" s="94"/>
      <c r="G2652" s="95"/>
      <c r="H2652" s="96"/>
      <c r="I2652" s="97"/>
      <c r="J2652" s="98"/>
      <c r="K2652" s="99"/>
    </row>
    <row r="2653" spans="1:11" ht="13.2">
      <c r="A2653" s="89"/>
      <c r="B2653" s="90"/>
      <c r="C2653" s="91"/>
      <c r="D2653" s="92"/>
      <c r="E2653" s="93"/>
      <c r="F2653" s="94"/>
      <c r="G2653" s="95"/>
      <c r="H2653" s="96"/>
      <c r="I2653" s="97"/>
      <c r="J2653" s="98"/>
      <c r="K2653" s="99"/>
    </row>
    <row r="2654" spans="1:11" ht="13.2">
      <c r="A2654" s="89"/>
      <c r="B2654" s="90"/>
      <c r="C2654" s="91"/>
      <c r="D2654" s="92"/>
      <c r="E2654" s="93"/>
      <c r="F2654" s="94"/>
      <c r="G2654" s="95"/>
      <c r="H2654" s="96"/>
      <c r="I2654" s="97"/>
      <c r="J2654" s="98"/>
      <c r="K2654" s="99"/>
    </row>
    <row r="2655" spans="1:11" ht="13.2">
      <c r="A2655" s="89"/>
      <c r="B2655" s="90"/>
      <c r="C2655" s="91"/>
      <c r="D2655" s="92"/>
      <c r="E2655" s="93"/>
      <c r="F2655" s="94"/>
      <c r="G2655" s="95"/>
      <c r="H2655" s="96"/>
      <c r="I2655" s="97"/>
      <c r="J2655" s="98"/>
      <c r="K2655" s="99"/>
    </row>
    <row r="2656" spans="1:11" ht="13.2">
      <c r="A2656" s="89"/>
      <c r="B2656" s="90"/>
      <c r="C2656" s="91"/>
      <c r="D2656" s="92"/>
      <c r="E2656" s="93"/>
      <c r="F2656" s="94"/>
      <c r="G2656" s="95"/>
      <c r="H2656" s="96"/>
      <c r="I2656" s="97"/>
      <c r="J2656" s="98"/>
      <c r="K2656" s="99"/>
    </row>
    <row r="2657" spans="1:11" ht="13.2">
      <c r="A2657" s="89"/>
      <c r="B2657" s="90"/>
      <c r="C2657" s="91"/>
      <c r="D2657" s="92"/>
      <c r="E2657" s="93"/>
      <c r="F2657" s="94"/>
      <c r="G2657" s="95"/>
      <c r="H2657" s="96"/>
      <c r="I2657" s="97"/>
      <c r="J2657" s="98"/>
      <c r="K2657" s="99"/>
    </row>
    <row r="2658" spans="1:11" ht="13.2">
      <c r="A2658" s="89"/>
      <c r="B2658" s="90"/>
      <c r="C2658" s="91"/>
      <c r="D2658" s="92"/>
      <c r="E2658" s="93"/>
      <c r="F2658" s="94"/>
      <c r="G2658" s="95"/>
      <c r="H2658" s="96"/>
      <c r="I2658" s="97"/>
      <c r="J2658" s="98"/>
      <c r="K2658" s="99"/>
    </row>
    <row r="2659" spans="1:11" ht="13.2">
      <c r="A2659" s="89"/>
      <c r="B2659" s="90"/>
      <c r="C2659" s="91"/>
      <c r="D2659" s="92"/>
      <c r="E2659" s="93"/>
      <c r="F2659" s="94"/>
      <c r="G2659" s="95"/>
      <c r="H2659" s="96"/>
      <c r="I2659" s="97"/>
      <c r="J2659" s="98"/>
      <c r="K2659" s="99"/>
    </row>
    <row r="2660" spans="1:11" ht="13.2">
      <c r="A2660" s="89"/>
      <c r="B2660" s="90"/>
      <c r="C2660" s="91"/>
      <c r="D2660" s="92"/>
      <c r="E2660" s="93"/>
      <c r="F2660" s="94"/>
      <c r="G2660" s="95"/>
      <c r="H2660" s="96"/>
      <c r="I2660" s="97"/>
      <c r="J2660" s="98"/>
      <c r="K2660" s="99"/>
    </row>
    <row r="2661" spans="1:11" ht="13.2">
      <c r="A2661" s="89"/>
      <c r="B2661" s="90"/>
      <c r="C2661" s="91"/>
      <c r="D2661" s="92"/>
      <c r="E2661" s="93"/>
      <c r="F2661" s="94"/>
      <c r="G2661" s="95"/>
      <c r="H2661" s="96"/>
      <c r="I2661" s="97"/>
      <c r="J2661" s="98"/>
      <c r="K2661" s="99"/>
    </row>
    <row r="2662" spans="1:11" ht="13.2">
      <c r="A2662" s="89"/>
      <c r="B2662" s="90"/>
      <c r="C2662" s="91"/>
      <c r="D2662" s="92"/>
      <c r="E2662" s="93"/>
      <c r="F2662" s="94"/>
      <c r="G2662" s="95"/>
      <c r="H2662" s="96"/>
      <c r="I2662" s="97"/>
      <c r="J2662" s="98"/>
      <c r="K2662" s="99"/>
    </row>
    <row r="2663" spans="1:11" ht="13.2">
      <c r="A2663" s="89"/>
      <c r="B2663" s="90"/>
      <c r="C2663" s="91"/>
      <c r="D2663" s="92"/>
      <c r="E2663" s="93"/>
      <c r="F2663" s="94"/>
      <c r="G2663" s="95"/>
      <c r="H2663" s="96"/>
      <c r="I2663" s="97"/>
      <c r="J2663" s="98"/>
      <c r="K2663" s="99"/>
    </row>
    <row r="2664" spans="1:11" ht="13.2">
      <c r="A2664" s="89"/>
      <c r="B2664" s="90"/>
      <c r="C2664" s="91"/>
      <c r="D2664" s="92"/>
      <c r="E2664" s="93"/>
      <c r="F2664" s="94"/>
      <c r="G2664" s="95"/>
      <c r="H2664" s="96"/>
      <c r="I2664" s="97"/>
      <c r="J2664" s="98"/>
      <c r="K2664" s="99"/>
    </row>
    <row r="2665" spans="1:11" ht="13.2">
      <c r="A2665" s="89"/>
      <c r="B2665" s="90"/>
      <c r="C2665" s="91"/>
      <c r="D2665" s="92"/>
      <c r="E2665" s="93"/>
      <c r="F2665" s="94"/>
      <c r="G2665" s="95"/>
      <c r="H2665" s="96"/>
      <c r="I2665" s="97"/>
      <c r="J2665" s="98"/>
      <c r="K2665" s="99"/>
    </row>
    <row r="2666" spans="1:11" ht="13.2">
      <c r="A2666" s="89"/>
      <c r="B2666" s="90"/>
      <c r="C2666" s="91"/>
      <c r="D2666" s="92"/>
      <c r="E2666" s="93"/>
      <c r="F2666" s="94"/>
      <c r="G2666" s="95"/>
      <c r="H2666" s="96"/>
      <c r="I2666" s="97"/>
      <c r="J2666" s="98"/>
      <c r="K2666" s="99"/>
    </row>
    <row r="2667" spans="1:11" ht="13.2">
      <c r="A2667" s="89"/>
      <c r="B2667" s="90"/>
      <c r="C2667" s="91"/>
      <c r="D2667" s="92"/>
      <c r="E2667" s="93"/>
      <c r="F2667" s="94"/>
      <c r="G2667" s="95"/>
      <c r="H2667" s="96"/>
      <c r="I2667" s="97"/>
      <c r="J2667" s="98"/>
      <c r="K2667" s="99"/>
    </row>
    <row r="2668" spans="1:11" ht="13.2">
      <c r="A2668" s="89"/>
      <c r="B2668" s="90"/>
      <c r="C2668" s="91"/>
      <c r="D2668" s="92"/>
      <c r="E2668" s="93"/>
      <c r="F2668" s="94"/>
      <c r="G2668" s="95"/>
      <c r="H2668" s="96"/>
      <c r="I2668" s="97"/>
      <c r="J2668" s="98"/>
      <c r="K2668" s="99"/>
    </row>
    <row r="2669" spans="1:11" ht="13.2">
      <c r="A2669" s="89"/>
      <c r="B2669" s="90"/>
      <c r="C2669" s="91"/>
      <c r="D2669" s="92"/>
      <c r="E2669" s="93"/>
      <c r="F2669" s="94"/>
      <c r="G2669" s="95"/>
      <c r="H2669" s="96"/>
      <c r="I2669" s="97"/>
      <c r="J2669" s="98"/>
      <c r="K2669" s="99"/>
    </row>
    <row r="2670" spans="1:11" ht="13.2">
      <c r="A2670" s="89"/>
      <c r="B2670" s="90"/>
      <c r="C2670" s="91"/>
      <c r="D2670" s="92"/>
      <c r="E2670" s="93"/>
      <c r="F2670" s="94"/>
      <c r="G2670" s="95"/>
      <c r="H2670" s="96"/>
      <c r="I2670" s="97"/>
      <c r="J2670" s="98"/>
      <c r="K2670" s="99"/>
    </row>
    <row r="2671" spans="1:11" ht="13.2">
      <c r="A2671" s="89"/>
      <c r="B2671" s="90"/>
      <c r="C2671" s="91"/>
      <c r="D2671" s="92"/>
      <c r="E2671" s="93"/>
      <c r="F2671" s="94"/>
      <c r="G2671" s="95"/>
      <c r="H2671" s="96"/>
      <c r="I2671" s="97"/>
      <c r="J2671" s="98"/>
      <c r="K2671" s="99"/>
    </row>
    <row r="2672" spans="1:11" ht="13.2">
      <c r="A2672" s="89"/>
      <c r="B2672" s="90"/>
      <c r="C2672" s="91"/>
      <c r="D2672" s="92"/>
      <c r="E2672" s="93"/>
      <c r="F2672" s="94"/>
      <c r="G2672" s="95"/>
      <c r="H2672" s="96"/>
      <c r="I2672" s="97"/>
      <c r="J2672" s="98"/>
      <c r="K2672" s="99"/>
    </row>
    <row r="2673" spans="1:11" ht="13.2">
      <c r="A2673" s="89"/>
      <c r="B2673" s="90"/>
      <c r="C2673" s="91"/>
      <c r="D2673" s="92"/>
      <c r="E2673" s="93"/>
      <c r="F2673" s="94"/>
      <c r="G2673" s="95"/>
      <c r="H2673" s="96"/>
      <c r="I2673" s="97"/>
      <c r="J2673" s="98"/>
      <c r="K2673" s="99"/>
    </row>
    <row r="2674" spans="1:11" ht="13.2">
      <c r="A2674" s="89"/>
      <c r="B2674" s="90"/>
      <c r="C2674" s="91"/>
      <c r="D2674" s="92"/>
      <c r="E2674" s="93"/>
      <c r="F2674" s="94"/>
      <c r="G2674" s="95"/>
      <c r="H2674" s="96"/>
      <c r="I2674" s="97"/>
      <c r="J2674" s="98"/>
      <c r="K2674" s="99"/>
    </row>
    <row r="2675" spans="1:11" ht="13.2">
      <c r="A2675" s="89"/>
      <c r="B2675" s="90"/>
      <c r="C2675" s="91"/>
      <c r="D2675" s="92"/>
      <c r="E2675" s="93"/>
      <c r="F2675" s="94"/>
      <c r="G2675" s="95"/>
      <c r="H2675" s="96"/>
      <c r="I2675" s="97"/>
      <c r="J2675" s="98"/>
      <c r="K2675" s="99"/>
    </row>
    <row r="2676" spans="1:11" ht="13.2">
      <c r="A2676" s="89"/>
      <c r="B2676" s="90"/>
      <c r="C2676" s="91"/>
      <c r="D2676" s="92"/>
      <c r="E2676" s="93"/>
      <c r="F2676" s="94"/>
      <c r="G2676" s="95"/>
      <c r="H2676" s="96"/>
      <c r="I2676" s="97"/>
      <c r="J2676" s="98"/>
      <c r="K2676" s="99"/>
    </row>
    <row r="2677" spans="1:11" ht="13.2">
      <c r="A2677" s="89"/>
      <c r="B2677" s="90"/>
      <c r="C2677" s="91"/>
      <c r="D2677" s="92"/>
      <c r="E2677" s="93"/>
      <c r="F2677" s="94"/>
      <c r="G2677" s="95"/>
      <c r="H2677" s="96"/>
      <c r="I2677" s="97"/>
      <c r="J2677" s="98"/>
      <c r="K2677" s="99"/>
    </row>
    <row r="2678" spans="1:11" ht="13.2">
      <c r="A2678" s="89"/>
      <c r="B2678" s="90"/>
      <c r="C2678" s="91"/>
      <c r="D2678" s="92"/>
      <c r="E2678" s="93"/>
      <c r="F2678" s="94"/>
      <c r="G2678" s="95"/>
      <c r="H2678" s="96"/>
      <c r="I2678" s="97"/>
      <c r="J2678" s="98"/>
      <c r="K2678" s="99"/>
    </row>
    <row r="2679" spans="1:11" ht="13.2">
      <c r="A2679" s="89"/>
      <c r="B2679" s="90"/>
      <c r="C2679" s="91"/>
      <c r="D2679" s="92"/>
      <c r="E2679" s="93"/>
      <c r="F2679" s="94"/>
      <c r="G2679" s="95"/>
      <c r="H2679" s="96"/>
      <c r="I2679" s="97"/>
      <c r="J2679" s="98"/>
      <c r="K2679" s="99"/>
    </row>
    <row r="2680" spans="1:11" ht="13.2">
      <c r="A2680" s="89"/>
      <c r="B2680" s="90"/>
      <c r="C2680" s="91"/>
      <c r="D2680" s="92"/>
      <c r="E2680" s="93"/>
      <c r="F2680" s="94"/>
      <c r="G2680" s="95"/>
      <c r="H2680" s="96"/>
      <c r="I2680" s="97"/>
      <c r="J2680" s="98"/>
      <c r="K2680" s="99"/>
    </row>
    <row r="2681" spans="1:11" ht="13.2">
      <c r="A2681" s="89"/>
      <c r="B2681" s="90"/>
      <c r="C2681" s="91"/>
      <c r="D2681" s="92"/>
      <c r="E2681" s="93"/>
      <c r="F2681" s="94"/>
      <c r="G2681" s="95"/>
      <c r="H2681" s="96"/>
      <c r="I2681" s="97"/>
      <c r="J2681" s="98"/>
      <c r="K2681" s="99"/>
    </row>
    <row r="2682" spans="1:11" ht="13.2">
      <c r="A2682" s="89"/>
      <c r="B2682" s="90"/>
      <c r="C2682" s="91"/>
      <c r="D2682" s="92"/>
      <c r="E2682" s="93"/>
      <c r="F2682" s="94"/>
      <c r="G2682" s="95"/>
      <c r="H2682" s="96"/>
      <c r="I2682" s="97"/>
      <c r="J2682" s="98"/>
      <c r="K2682" s="99"/>
    </row>
    <row r="2683" spans="1:11" ht="13.2">
      <c r="A2683" s="89"/>
      <c r="B2683" s="90"/>
      <c r="C2683" s="91"/>
      <c r="D2683" s="92"/>
      <c r="E2683" s="93"/>
      <c r="F2683" s="94"/>
      <c r="G2683" s="95"/>
      <c r="H2683" s="96"/>
      <c r="I2683" s="97"/>
      <c r="J2683" s="98"/>
      <c r="K2683" s="99"/>
    </row>
    <row r="2684" spans="1:11" ht="13.2">
      <c r="A2684" s="89"/>
      <c r="B2684" s="90"/>
      <c r="C2684" s="91"/>
      <c r="D2684" s="92"/>
      <c r="E2684" s="93"/>
      <c r="F2684" s="94"/>
      <c r="G2684" s="95"/>
      <c r="H2684" s="96"/>
      <c r="I2684" s="97"/>
      <c r="J2684" s="98"/>
      <c r="K2684" s="99"/>
    </row>
    <row r="2685" spans="1:11" ht="13.2">
      <c r="A2685" s="89"/>
      <c r="B2685" s="90"/>
      <c r="C2685" s="91"/>
      <c r="D2685" s="92"/>
      <c r="E2685" s="93"/>
      <c r="F2685" s="94"/>
      <c r="G2685" s="95"/>
      <c r="H2685" s="96"/>
      <c r="I2685" s="97"/>
      <c r="J2685" s="98"/>
      <c r="K2685" s="99"/>
    </row>
    <row r="2686" spans="1:11" ht="13.2">
      <c r="A2686" s="89"/>
      <c r="B2686" s="90"/>
      <c r="C2686" s="91"/>
      <c r="D2686" s="92"/>
      <c r="E2686" s="93"/>
      <c r="F2686" s="94"/>
      <c r="G2686" s="95"/>
      <c r="H2686" s="96"/>
      <c r="I2686" s="97"/>
      <c r="J2686" s="98"/>
      <c r="K2686" s="99"/>
    </row>
    <row r="2687" spans="1:11" ht="13.2">
      <c r="A2687" s="89"/>
      <c r="B2687" s="90"/>
      <c r="C2687" s="91"/>
      <c r="D2687" s="92"/>
      <c r="E2687" s="93"/>
      <c r="F2687" s="94"/>
      <c r="G2687" s="95"/>
      <c r="H2687" s="96"/>
      <c r="I2687" s="97"/>
      <c r="J2687" s="98"/>
      <c r="K2687" s="99"/>
    </row>
    <row r="2688" spans="1:11" ht="13.2">
      <c r="A2688" s="89"/>
      <c r="B2688" s="90"/>
      <c r="C2688" s="91"/>
      <c r="D2688" s="92"/>
      <c r="E2688" s="93"/>
      <c r="F2688" s="94"/>
      <c r="G2688" s="95"/>
      <c r="H2688" s="96"/>
      <c r="I2688" s="97"/>
      <c r="J2688" s="98"/>
      <c r="K2688" s="99"/>
    </row>
    <row r="2689" spans="1:11" ht="13.2">
      <c r="A2689" s="89"/>
      <c r="B2689" s="90"/>
      <c r="C2689" s="91"/>
      <c r="D2689" s="92"/>
      <c r="E2689" s="93"/>
      <c r="F2689" s="94"/>
      <c r="G2689" s="95"/>
      <c r="H2689" s="96"/>
      <c r="I2689" s="97"/>
      <c r="J2689" s="98"/>
      <c r="K2689" s="99"/>
    </row>
    <row r="2690" spans="1:11" ht="13.2">
      <c r="A2690" s="89"/>
      <c r="B2690" s="90"/>
      <c r="C2690" s="91"/>
      <c r="D2690" s="92"/>
      <c r="E2690" s="93"/>
      <c r="F2690" s="94"/>
      <c r="G2690" s="95"/>
      <c r="H2690" s="96"/>
      <c r="I2690" s="97"/>
      <c r="J2690" s="98"/>
      <c r="K2690" s="99"/>
    </row>
    <row r="2691" spans="1:11" ht="13.2">
      <c r="A2691" s="89"/>
      <c r="B2691" s="90"/>
      <c r="C2691" s="91"/>
      <c r="D2691" s="92"/>
      <c r="E2691" s="93"/>
      <c r="F2691" s="94"/>
      <c r="G2691" s="95"/>
      <c r="H2691" s="96"/>
      <c r="I2691" s="97"/>
      <c r="J2691" s="98"/>
      <c r="K2691" s="99"/>
    </row>
    <row r="2692" spans="1:11" ht="13.2">
      <c r="A2692" s="89"/>
      <c r="B2692" s="90"/>
      <c r="C2692" s="91"/>
      <c r="D2692" s="92"/>
      <c r="E2692" s="93"/>
      <c r="F2692" s="94"/>
      <c r="G2692" s="95"/>
      <c r="H2692" s="96"/>
      <c r="I2692" s="97"/>
      <c r="J2692" s="98"/>
      <c r="K2692" s="99"/>
    </row>
    <row r="2693" spans="1:11" ht="13.2">
      <c r="A2693" s="89"/>
      <c r="B2693" s="90"/>
      <c r="C2693" s="91"/>
      <c r="D2693" s="92"/>
      <c r="E2693" s="93"/>
      <c r="F2693" s="94"/>
      <c r="G2693" s="95"/>
      <c r="H2693" s="96"/>
      <c r="I2693" s="97"/>
      <c r="J2693" s="98"/>
      <c r="K2693" s="99"/>
    </row>
    <row r="2694" spans="1:11" ht="13.2">
      <c r="A2694" s="89"/>
      <c r="B2694" s="90"/>
      <c r="C2694" s="91"/>
      <c r="D2694" s="92"/>
      <c r="E2694" s="93"/>
      <c r="F2694" s="94"/>
      <c r="G2694" s="95"/>
      <c r="H2694" s="96"/>
      <c r="I2694" s="97"/>
      <c r="J2694" s="98"/>
      <c r="K2694" s="99"/>
    </row>
    <row r="2695" spans="1:11" ht="13.2">
      <c r="A2695" s="89"/>
      <c r="B2695" s="90"/>
      <c r="C2695" s="91"/>
      <c r="D2695" s="92"/>
      <c r="E2695" s="93"/>
      <c r="F2695" s="94"/>
      <c r="G2695" s="95"/>
      <c r="H2695" s="96"/>
      <c r="I2695" s="97"/>
      <c r="J2695" s="98"/>
      <c r="K2695" s="99"/>
    </row>
    <row r="2696" spans="1:11" ht="13.2">
      <c r="A2696" s="89"/>
      <c r="B2696" s="90"/>
      <c r="C2696" s="91"/>
      <c r="D2696" s="92"/>
      <c r="E2696" s="93"/>
      <c r="F2696" s="94"/>
      <c r="G2696" s="95"/>
      <c r="H2696" s="96"/>
      <c r="I2696" s="97"/>
      <c r="J2696" s="98"/>
      <c r="K2696" s="99"/>
    </row>
    <row r="2697" spans="1:11" ht="13.2">
      <c r="A2697" s="89"/>
      <c r="B2697" s="90"/>
      <c r="C2697" s="91"/>
      <c r="D2697" s="92"/>
      <c r="E2697" s="93"/>
      <c r="F2697" s="94"/>
      <c r="G2697" s="95"/>
      <c r="H2697" s="96"/>
      <c r="I2697" s="97"/>
      <c r="J2697" s="98"/>
      <c r="K2697" s="99"/>
    </row>
    <row r="2698" spans="1:11" ht="13.2">
      <c r="A2698" s="89"/>
      <c r="B2698" s="90"/>
      <c r="C2698" s="91"/>
      <c r="D2698" s="92"/>
      <c r="E2698" s="93"/>
      <c r="F2698" s="94"/>
      <c r="G2698" s="95"/>
      <c r="H2698" s="96"/>
      <c r="I2698" s="97"/>
      <c r="J2698" s="98"/>
      <c r="K2698" s="99"/>
    </row>
    <row r="2699" spans="1:11" ht="13.2">
      <c r="A2699" s="89"/>
      <c r="B2699" s="90"/>
      <c r="C2699" s="91"/>
      <c r="D2699" s="92"/>
      <c r="E2699" s="93"/>
      <c r="F2699" s="94"/>
      <c r="G2699" s="95"/>
      <c r="H2699" s="96"/>
      <c r="I2699" s="97"/>
      <c r="J2699" s="98"/>
      <c r="K2699" s="99"/>
    </row>
    <row r="2700" spans="1:11" ht="13.2">
      <c r="A2700" s="89"/>
      <c r="B2700" s="90"/>
      <c r="C2700" s="91"/>
      <c r="D2700" s="92"/>
      <c r="E2700" s="93"/>
      <c r="F2700" s="94"/>
      <c r="G2700" s="95"/>
      <c r="H2700" s="96"/>
      <c r="I2700" s="97"/>
      <c r="J2700" s="98"/>
      <c r="K2700" s="99"/>
    </row>
    <row r="2701" spans="1:11" ht="13.2">
      <c r="A2701" s="89"/>
      <c r="B2701" s="90"/>
      <c r="C2701" s="91"/>
      <c r="D2701" s="92"/>
      <c r="E2701" s="93"/>
      <c r="F2701" s="94"/>
      <c r="G2701" s="95"/>
      <c r="H2701" s="96"/>
      <c r="I2701" s="97"/>
      <c r="J2701" s="98"/>
      <c r="K2701" s="99"/>
    </row>
    <row r="2702" spans="1:11" ht="13.2">
      <c r="A2702" s="89"/>
      <c r="B2702" s="90"/>
      <c r="C2702" s="91"/>
      <c r="D2702" s="92"/>
      <c r="E2702" s="93"/>
      <c r="F2702" s="94"/>
      <c r="G2702" s="95"/>
      <c r="H2702" s="96"/>
      <c r="I2702" s="97"/>
      <c r="J2702" s="98"/>
      <c r="K2702" s="99"/>
    </row>
    <row r="2703" spans="1:11" ht="13.2">
      <c r="A2703" s="89"/>
      <c r="B2703" s="90"/>
      <c r="C2703" s="91"/>
      <c r="D2703" s="92"/>
      <c r="E2703" s="93"/>
      <c r="F2703" s="94"/>
      <c r="G2703" s="95"/>
      <c r="H2703" s="96"/>
      <c r="I2703" s="97"/>
      <c r="J2703" s="98"/>
      <c r="K2703" s="99"/>
    </row>
    <row r="2704" spans="1:11" ht="13.2">
      <c r="A2704" s="89"/>
      <c r="B2704" s="90"/>
      <c r="C2704" s="91"/>
      <c r="D2704" s="92"/>
      <c r="E2704" s="93"/>
      <c r="F2704" s="94"/>
      <c r="G2704" s="95"/>
      <c r="H2704" s="96"/>
      <c r="I2704" s="97"/>
      <c r="J2704" s="98"/>
      <c r="K2704" s="99"/>
    </row>
    <row r="2705" spans="1:11" ht="13.2">
      <c r="A2705" s="89"/>
      <c r="B2705" s="90"/>
      <c r="C2705" s="91"/>
      <c r="D2705" s="92"/>
      <c r="E2705" s="93"/>
      <c r="F2705" s="94"/>
      <c r="G2705" s="95"/>
      <c r="H2705" s="96"/>
      <c r="I2705" s="97"/>
      <c r="J2705" s="98"/>
      <c r="K2705" s="99"/>
    </row>
    <row r="2706" spans="1:11" ht="13.2">
      <c r="A2706" s="89"/>
      <c r="B2706" s="90"/>
      <c r="C2706" s="91"/>
      <c r="D2706" s="92"/>
      <c r="E2706" s="93"/>
      <c r="F2706" s="94"/>
      <c r="G2706" s="95"/>
      <c r="H2706" s="96"/>
      <c r="I2706" s="97"/>
      <c r="J2706" s="98"/>
      <c r="K2706" s="99"/>
    </row>
    <row r="2707" spans="1:11" ht="13.2">
      <c r="A2707" s="89"/>
      <c r="B2707" s="90"/>
      <c r="C2707" s="91"/>
      <c r="D2707" s="92"/>
      <c r="E2707" s="93"/>
      <c r="F2707" s="94"/>
      <c r="G2707" s="95"/>
      <c r="H2707" s="96"/>
      <c r="I2707" s="97"/>
      <c r="J2707" s="98"/>
      <c r="K2707" s="99"/>
    </row>
    <row r="2708" spans="1:11" ht="13.2">
      <c r="A2708" s="89"/>
      <c r="B2708" s="90"/>
      <c r="C2708" s="91"/>
      <c r="D2708" s="92"/>
      <c r="E2708" s="93"/>
      <c r="F2708" s="94"/>
      <c r="G2708" s="95"/>
      <c r="H2708" s="96"/>
      <c r="I2708" s="97"/>
      <c r="J2708" s="98"/>
      <c r="K2708" s="99"/>
    </row>
    <row r="2709" spans="1:11" ht="13.2">
      <c r="A2709" s="89"/>
      <c r="B2709" s="90"/>
      <c r="C2709" s="91"/>
      <c r="D2709" s="92"/>
      <c r="E2709" s="93"/>
      <c r="F2709" s="94"/>
      <c r="G2709" s="95"/>
      <c r="H2709" s="96"/>
      <c r="I2709" s="97"/>
      <c r="J2709" s="98"/>
      <c r="K2709" s="99"/>
    </row>
    <row r="2710" spans="1:11" ht="13.2">
      <c r="A2710" s="89"/>
      <c r="B2710" s="90"/>
      <c r="C2710" s="91"/>
      <c r="D2710" s="92"/>
      <c r="E2710" s="93"/>
      <c r="F2710" s="94"/>
      <c r="G2710" s="95"/>
      <c r="H2710" s="96"/>
      <c r="I2710" s="97"/>
      <c r="J2710" s="98"/>
      <c r="K2710" s="99"/>
    </row>
    <row r="2711" spans="1:11" ht="13.2">
      <c r="A2711" s="89"/>
      <c r="B2711" s="90"/>
      <c r="C2711" s="91"/>
      <c r="D2711" s="92"/>
      <c r="E2711" s="93"/>
      <c r="F2711" s="94"/>
      <c r="G2711" s="95"/>
      <c r="H2711" s="96"/>
      <c r="I2711" s="97"/>
      <c r="J2711" s="98"/>
      <c r="K2711" s="99"/>
    </row>
    <row r="2712" spans="1:11" ht="13.2">
      <c r="A2712" s="89"/>
      <c r="B2712" s="90"/>
      <c r="C2712" s="91"/>
      <c r="D2712" s="92"/>
      <c r="E2712" s="93"/>
      <c r="F2712" s="94"/>
      <c r="G2712" s="95"/>
      <c r="H2712" s="96"/>
      <c r="I2712" s="97"/>
      <c r="J2712" s="98"/>
      <c r="K2712" s="99"/>
    </row>
    <row r="2713" spans="1:11" ht="13.2">
      <c r="A2713" s="89"/>
      <c r="B2713" s="90"/>
      <c r="C2713" s="91"/>
      <c r="D2713" s="92"/>
      <c r="E2713" s="93"/>
      <c r="F2713" s="94"/>
      <c r="G2713" s="95"/>
      <c r="H2713" s="96"/>
      <c r="I2713" s="97"/>
      <c r="J2713" s="98"/>
      <c r="K2713" s="99"/>
    </row>
    <row r="2714" spans="1:11" ht="13.2">
      <c r="A2714" s="89"/>
      <c r="B2714" s="90"/>
      <c r="C2714" s="91"/>
      <c r="D2714" s="92"/>
      <c r="E2714" s="93"/>
      <c r="F2714" s="94"/>
      <c r="G2714" s="95"/>
      <c r="H2714" s="96"/>
      <c r="I2714" s="97"/>
      <c r="J2714" s="98"/>
      <c r="K2714" s="99"/>
    </row>
    <row r="2715" spans="1:11" ht="13.2">
      <c r="A2715" s="89"/>
      <c r="B2715" s="90"/>
      <c r="C2715" s="91"/>
      <c r="D2715" s="92"/>
      <c r="E2715" s="93"/>
      <c r="F2715" s="94"/>
      <c r="G2715" s="95"/>
      <c r="H2715" s="96"/>
      <c r="I2715" s="97"/>
      <c r="J2715" s="98"/>
      <c r="K2715" s="99"/>
    </row>
    <row r="2716" spans="1:11" ht="13.2">
      <c r="A2716" s="89"/>
      <c r="B2716" s="90"/>
      <c r="C2716" s="91"/>
      <c r="D2716" s="92"/>
      <c r="E2716" s="93"/>
      <c r="F2716" s="94"/>
      <c r="G2716" s="95"/>
      <c r="H2716" s="96"/>
      <c r="I2716" s="97"/>
      <c r="J2716" s="98"/>
      <c r="K2716" s="99"/>
    </row>
    <row r="2717" spans="1:11" ht="13.2">
      <c r="A2717" s="89"/>
      <c r="B2717" s="90"/>
      <c r="C2717" s="91"/>
      <c r="D2717" s="92"/>
      <c r="E2717" s="93"/>
      <c r="F2717" s="94"/>
      <c r="G2717" s="95"/>
      <c r="H2717" s="96"/>
      <c r="I2717" s="97"/>
      <c r="J2717" s="98"/>
      <c r="K2717" s="99"/>
    </row>
    <row r="2718" spans="1:11" ht="13.2">
      <c r="A2718" s="89"/>
      <c r="B2718" s="90"/>
      <c r="C2718" s="91"/>
      <c r="D2718" s="92"/>
      <c r="E2718" s="93"/>
      <c r="F2718" s="94"/>
      <c r="G2718" s="95"/>
      <c r="H2718" s="96"/>
      <c r="I2718" s="97"/>
      <c r="J2718" s="98"/>
      <c r="K2718" s="99"/>
    </row>
    <row r="2719" spans="1:11" ht="13.2">
      <c r="A2719" s="89"/>
      <c r="B2719" s="90"/>
      <c r="C2719" s="91"/>
      <c r="D2719" s="92"/>
      <c r="E2719" s="93"/>
      <c r="F2719" s="94"/>
      <c r="G2719" s="95"/>
      <c r="H2719" s="96"/>
      <c r="I2719" s="97"/>
      <c r="J2719" s="98"/>
      <c r="K2719" s="99"/>
    </row>
    <row r="2720" spans="1:11" ht="13.2">
      <c r="A2720" s="89"/>
      <c r="B2720" s="90"/>
      <c r="C2720" s="91"/>
      <c r="D2720" s="92"/>
      <c r="E2720" s="93"/>
      <c r="F2720" s="94"/>
      <c r="G2720" s="95"/>
      <c r="H2720" s="96"/>
      <c r="I2720" s="97"/>
      <c r="J2720" s="98"/>
      <c r="K2720" s="99"/>
    </row>
    <row r="2721" spans="1:11" ht="13.2">
      <c r="A2721" s="89"/>
      <c r="B2721" s="90"/>
      <c r="C2721" s="91"/>
      <c r="D2721" s="92"/>
      <c r="E2721" s="93"/>
      <c r="F2721" s="94"/>
      <c r="G2721" s="95"/>
      <c r="H2721" s="96"/>
      <c r="I2721" s="97"/>
      <c r="J2721" s="98"/>
      <c r="K2721" s="99"/>
    </row>
    <row r="2722" spans="1:11" ht="13.2">
      <c r="A2722" s="89"/>
      <c r="B2722" s="90"/>
      <c r="C2722" s="91"/>
      <c r="D2722" s="92"/>
      <c r="E2722" s="93"/>
      <c r="F2722" s="94"/>
      <c r="G2722" s="95"/>
      <c r="H2722" s="96"/>
      <c r="I2722" s="97"/>
      <c r="J2722" s="98"/>
      <c r="K2722" s="99"/>
    </row>
    <row r="2723" spans="1:11" ht="13.2">
      <c r="A2723" s="89"/>
      <c r="B2723" s="90"/>
      <c r="C2723" s="91"/>
      <c r="D2723" s="92"/>
      <c r="E2723" s="93"/>
      <c r="F2723" s="94"/>
      <c r="G2723" s="95"/>
      <c r="H2723" s="96"/>
      <c r="I2723" s="97"/>
      <c r="J2723" s="98"/>
      <c r="K2723" s="99"/>
    </row>
    <row r="2724" spans="1:11" ht="13.2">
      <c r="A2724" s="89"/>
      <c r="B2724" s="90"/>
      <c r="C2724" s="91"/>
      <c r="D2724" s="92"/>
      <c r="E2724" s="93"/>
      <c r="F2724" s="94"/>
      <c r="G2724" s="95"/>
      <c r="H2724" s="96"/>
      <c r="I2724" s="97"/>
      <c r="J2724" s="98"/>
      <c r="K2724" s="99"/>
    </row>
    <row r="2725" spans="1:11" ht="13.2">
      <c r="A2725" s="89"/>
      <c r="B2725" s="90"/>
      <c r="C2725" s="91"/>
      <c r="D2725" s="92"/>
      <c r="E2725" s="93"/>
      <c r="F2725" s="94"/>
      <c r="G2725" s="95"/>
      <c r="H2725" s="96"/>
      <c r="I2725" s="97"/>
      <c r="J2725" s="98"/>
      <c r="K2725" s="99"/>
    </row>
    <row r="2726" spans="1:11" ht="13.2">
      <c r="A2726" s="89"/>
      <c r="B2726" s="90"/>
      <c r="C2726" s="91"/>
      <c r="D2726" s="92"/>
      <c r="E2726" s="93"/>
      <c r="F2726" s="94"/>
      <c r="G2726" s="95"/>
      <c r="H2726" s="96"/>
      <c r="I2726" s="97"/>
      <c r="J2726" s="98"/>
      <c r="K2726" s="99"/>
    </row>
    <row r="2727" spans="1:11" ht="13.2">
      <c r="A2727" s="89"/>
      <c r="B2727" s="90"/>
      <c r="C2727" s="91"/>
      <c r="D2727" s="92"/>
      <c r="E2727" s="93"/>
      <c r="F2727" s="94"/>
      <c r="G2727" s="95"/>
      <c r="H2727" s="96"/>
      <c r="I2727" s="97"/>
      <c r="J2727" s="98"/>
      <c r="K2727" s="99"/>
    </row>
    <row r="2728" spans="1:11" ht="13.2">
      <c r="A2728" s="89"/>
      <c r="B2728" s="90"/>
      <c r="C2728" s="91"/>
      <c r="D2728" s="92"/>
      <c r="E2728" s="93"/>
      <c r="F2728" s="94"/>
      <c r="G2728" s="95"/>
      <c r="H2728" s="96"/>
      <c r="I2728" s="97"/>
      <c r="J2728" s="98"/>
      <c r="K2728" s="99"/>
    </row>
    <row r="2729" spans="1:11" ht="13.2">
      <c r="A2729" s="89"/>
      <c r="B2729" s="90"/>
      <c r="C2729" s="91"/>
      <c r="D2729" s="92"/>
      <c r="E2729" s="93"/>
      <c r="F2729" s="94"/>
      <c r="G2729" s="95"/>
      <c r="H2729" s="96"/>
      <c r="I2729" s="97"/>
      <c r="J2729" s="98"/>
      <c r="K2729" s="99"/>
    </row>
    <row r="2730" spans="1:11" ht="13.2">
      <c r="A2730" s="89"/>
      <c r="B2730" s="90"/>
      <c r="C2730" s="91"/>
      <c r="D2730" s="92"/>
      <c r="E2730" s="93"/>
      <c r="F2730" s="94"/>
      <c r="G2730" s="95"/>
      <c r="H2730" s="96"/>
      <c r="I2730" s="97"/>
      <c r="J2730" s="98"/>
      <c r="K2730" s="99"/>
    </row>
    <row r="2731" spans="1:11" ht="13.2">
      <c r="A2731" s="89"/>
      <c r="B2731" s="90"/>
      <c r="C2731" s="91"/>
      <c r="D2731" s="92"/>
      <c r="E2731" s="93"/>
      <c r="F2731" s="94"/>
      <c r="G2731" s="95"/>
      <c r="H2731" s="96"/>
      <c r="I2731" s="97"/>
      <c r="J2731" s="98"/>
      <c r="K2731" s="99"/>
    </row>
    <row r="2732" spans="1:11" ht="13.2">
      <c r="A2732" s="89"/>
      <c r="B2732" s="90"/>
      <c r="C2732" s="91"/>
      <c r="D2732" s="92"/>
      <c r="E2732" s="93"/>
      <c r="F2732" s="94"/>
      <c r="G2732" s="95"/>
      <c r="H2732" s="96"/>
      <c r="I2732" s="97"/>
      <c r="J2732" s="98"/>
      <c r="K2732" s="99"/>
    </row>
    <row r="2733" spans="1:11" ht="13.2">
      <c r="A2733" s="89"/>
      <c r="B2733" s="90"/>
      <c r="C2733" s="91"/>
      <c r="D2733" s="92"/>
      <c r="E2733" s="93"/>
      <c r="F2733" s="94"/>
      <c r="G2733" s="95"/>
      <c r="H2733" s="96"/>
      <c r="I2733" s="97"/>
      <c r="J2733" s="98"/>
      <c r="K2733" s="99"/>
    </row>
    <row r="2734" spans="1:11" ht="13.2">
      <c r="A2734" s="89"/>
      <c r="B2734" s="90"/>
      <c r="C2734" s="91"/>
      <c r="D2734" s="92"/>
      <c r="E2734" s="93"/>
      <c r="F2734" s="94"/>
      <c r="G2734" s="95"/>
      <c r="H2734" s="96"/>
      <c r="I2734" s="97"/>
      <c r="J2734" s="98"/>
      <c r="K2734" s="99"/>
    </row>
    <row r="2735" spans="1:11" ht="13.2">
      <c r="A2735" s="89"/>
      <c r="B2735" s="90"/>
      <c r="C2735" s="91"/>
      <c r="D2735" s="92"/>
      <c r="E2735" s="93"/>
      <c r="F2735" s="94"/>
      <c r="G2735" s="95"/>
      <c r="H2735" s="96"/>
      <c r="I2735" s="97"/>
      <c r="J2735" s="98"/>
      <c r="K2735" s="99"/>
    </row>
    <row r="2736" spans="1:11" ht="13.2">
      <c r="A2736" s="89"/>
      <c r="B2736" s="90"/>
      <c r="C2736" s="91"/>
      <c r="D2736" s="92"/>
      <c r="E2736" s="93"/>
      <c r="F2736" s="94"/>
      <c r="G2736" s="95"/>
      <c r="H2736" s="96"/>
      <c r="I2736" s="97"/>
      <c r="J2736" s="98"/>
      <c r="K2736" s="99"/>
    </row>
    <row r="2737" spans="1:11" ht="13.2">
      <c r="A2737" s="89"/>
      <c r="B2737" s="90"/>
      <c r="C2737" s="91"/>
      <c r="D2737" s="92"/>
      <c r="E2737" s="93"/>
      <c r="F2737" s="94"/>
      <c r="G2737" s="95"/>
      <c r="H2737" s="96"/>
      <c r="I2737" s="97"/>
      <c r="J2737" s="98"/>
      <c r="K2737" s="99"/>
    </row>
    <row r="2738" spans="1:11" ht="13.2">
      <c r="A2738" s="89"/>
      <c r="B2738" s="90"/>
      <c r="C2738" s="91"/>
      <c r="D2738" s="92"/>
      <c r="E2738" s="93"/>
      <c r="F2738" s="94"/>
      <c r="G2738" s="95"/>
      <c r="H2738" s="96"/>
      <c r="I2738" s="97"/>
      <c r="J2738" s="98"/>
      <c r="K2738" s="99"/>
    </row>
    <row r="2739" spans="1:11" ht="13.2">
      <c r="A2739" s="89"/>
      <c r="B2739" s="90"/>
      <c r="C2739" s="91"/>
      <c r="D2739" s="92"/>
      <c r="E2739" s="93"/>
      <c r="F2739" s="94"/>
      <c r="G2739" s="95"/>
      <c r="H2739" s="96"/>
      <c r="I2739" s="97"/>
      <c r="J2739" s="98"/>
      <c r="K2739" s="99"/>
    </row>
    <row r="2740" spans="1:11" ht="13.2">
      <c r="A2740" s="89"/>
      <c r="B2740" s="90"/>
      <c r="C2740" s="91"/>
      <c r="D2740" s="92"/>
      <c r="E2740" s="93"/>
      <c r="F2740" s="94"/>
      <c r="G2740" s="95"/>
      <c r="H2740" s="96"/>
      <c r="I2740" s="97"/>
      <c r="J2740" s="98"/>
      <c r="K2740" s="99"/>
    </row>
    <row r="2741" spans="1:11" ht="13.2">
      <c r="A2741" s="89"/>
      <c r="B2741" s="90"/>
      <c r="C2741" s="91"/>
      <c r="D2741" s="92"/>
      <c r="E2741" s="93"/>
      <c r="F2741" s="94"/>
      <c r="G2741" s="95"/>
      <c r="H2741" s="96"/>
      <c r="I2741" s="97"/>
      <c r="J2741" s="98"/>
      <c r="K2741" s="99"/>
    </row>
    <row r="2742" spans="1:11" ht="13.2">
      <c r="A2742" s="89"/>
      <c r="B2742" s="90"/>
      <c r="C2742" s="91"/>
      <c r="D2742" s="92"/>
      <c r="E2742" s="93"/>
      <c r="F2742" s="94"/>
      <c r="G2742" s="95"/>
      <c r="H2742" s="96"/>
      <c r="I2742" s="97"/>
      <c r="J2742" s="98"/>
      <c r="K2742" s="99"/>
    </row>
    <row r="2743" spans="1:11" ht="13.2">
      <c r="A2743" s="89"/>
      <c r="B2743" s="90"/>
      <c r="C2743" s="91"/>
      <c r="D2743" s="92"/>
      <c r="E2743" s="93"/>
      <c r="F2743" s="94"/>
      <c r="G2743" s="95"/>
      <c r="H2743" s="96"/>
      <c r="I2743" s="97"/>
      <c r="J2743" s="98"/>
      <c r="K2743" s="99"/>
    </row>
    <row r="2744" spans="1:11" ht="13.2">
      <c r="A2744" s="89"/>
      <c r="B2744" s="90"/>
      <c r="C2744" s="91"/>
      <c r="D2744" s="92"/>
      <c r="E2744" s="93"/>
      <c r="F2744" s="94"/>
      <c r="G2744" s="95"/>
      <c r="H2744" s="96"/>
      <c r="I2744" s="97"/>
      <c r="J2744" s="98"/>
      <c r="K2744" s="99"/>
    </row>
    <row r="2745" spans="1:11" ht="13.2">
      <c r="A2745" s="89"/>
      <c r="B2745" s="90"/>
      <c r="C2745" s="91"/>
      <c r="D2745" s="92"/>
      <c r="E2745" s="93"/>
      <c r="F2745" s="94"/>
      <c r="G2745" s="95"/>
      <c r="H2745" s="96"/>
      <c r="I2745" s="97"/>
      <c r="J2745" s="98"/>
      <c r="K2745" s="99"/>
    </row>
    <row r="2746" spans="1:11" ht="13.2">
      <c r="A2746" s="89"/>
      <c r="B2746" s="90"/>
      <c r="C2746" s="91"/>
      <c r="D2746" s="92"/>
      <c r="E2746" s="93"/>
      <c r="F2746" s="94"/>
      <c r="G2746" s="95"/>
      <c r="H2746" s="96"/>
      <c r="I2746" s="97"/>
      <c r="J2746" s="98"/>
      <c r="K2746" s="99"/>
    </row>
    <row r="2747" spans="1:11" ht="13.2">
      <c r="A2747" s="89"/>
      <c r="B2747" s="90"/>
      <c r="C2747" s="91"/>
      <c r="D2747" s="92"/>
      <c r="E2747" s="93"/>
      <c r="F2747" s="94"/>
      <c r="G2747" s="95"/>
      <c r="H2747" s="96"/>
      <c r="I2747" s="97"/>
      <c r="J2747" s="98"/>
      <c r="K2747" s="99"/>
    </row>
    <row r="2748" spans="1:11" ht="13.2">
      <c r="A2748" s="89"/>
      <c r="B2748" s="90"/>
      <c r="C2748" s="91"/>
      <c r="D2748" s="92"/>
      <c r="E2748" s="93"/>
      <c r="F2748" s="94"/>
      <c r="G2748" s="95"/>
      <c r="H2748" s="96"/>
      <c r="I2748" s="97"/>
      <c r="J2748" s="98"/>
      <c r="K2748" s="99"/>
    </row>
    <row r="2749" spans="1:11" ht="13.2">
      <c r="A2749" s="89"/>
      <c r="B2749" s="90"/>
      <c r="C2749" s="91"/>
      <c r="D2749" s="92"/>
      <c r="E2749" s="93"/>
      <c r="F2749" s="94"/>
      <c r="G2749" s="95"/>
      <c r="H2749" s="96"/>
      <c r="I2749" s="97"/>
      <c r="J2749" s="98"/>
      <c r="K2749" s="99"/>
    </row>
    <row r="2750" spans="1:11" ht="13.2">
      <c r="A2750" s="89"/>
      <c r="B2750" s="90"/>
      <c r="C2750" s="91"/>
      <c r="D2750" s="92"/>
      <c r="E2750" s="93"/>
      <c r="F2750" s="94"/>
      <c r="G2750" s="95"/>
      <c r="H2750" s="96"/>
      <c r="I2750" s="97"/>
      <c r="J2750" s="98"/>
      <c r="K2750" s="99"/>
    </row>
    <row r="2751" spans="1:11" ht="13.2">
      <c r="A2751" s="89"/>
      <c r="B2751" s="90"/>
      <c r="C2751" s="91"/>
      <c r="D2751" s="92"/>
      <c r="E2751" s="93"/>
      <c r="F2751" s="94"/>
      <c r="G2751" s="95"/>
      <c r="H2751" s="96"/>
      <c r="I2751" s="97"/>
      <c r="J2751" s="98"/>
      <c r="K2751" s="99"/>
    </row>
    <row r="2752" spans="1:11" ht="13.2">
      <c r="A2752" s="89"/>
      <c r="B2752" s="90"/>
      <c r="C2752" s="91"/>
      <c r="D2752" s="92"/>
      <c r="E2752" s="93"/>
      <c r="F2752" s="94"/>
      <c r="G2752" s="95"/>
      <c r="H2752" s="96"/>
      <c r="I2752" s="97"/>
      <c r="J2752" s="98"/>
      <c r="K2752" s="99"/>
    </row>
    <row r="2753" spans="1:11" ht="13.2">
      <c r="A2753" s="89"/>
      <c r="B2753" s="90"/>
      <c r="C2753" s="91"/>
      <c r="D2753" s="92"/>
      <c r="E2753" s="93"/>
      <c r="F2753" s="94"/>
      <c r="G2753" s="95"/>
      <c r="H2753" s="96"/>
      <c r="I2753" s="97"/>
      <c r="J2753" s="98"/>
      <c r="K2753" s="99"/>
    </row>
    <row r="2754" spans="1:11" ht="13.2">
      <c r="A2754" s="89"/>
      <c r="B2754" s="90"/>
      <c r="C2754" s="91"/>
      <c r="D2754" s="92"/>
      <c r="E2754" s="93"/>
      <c r="F2754" s="94"/>
      <c r="G2754" s="95"/>
      <c r="H2754" s="96"/>
      <c r="I2754" s="97"/>
      <c r="J2754" s="98"/>
      <c r="K2754" s="99"/>
    </row>
    <row r="2755" spans="1:11" ht="13.2">
      <c r="A2755" s="89"/>
      <c r="B2755" s="90"/>
      <c r="C2755" s="91"/>
      <c r="D2755" s="92"/>
      <c r="E2755" s="93"/>
      <c r="F2755" s="94"/>
      <c r="G2755" s="95"/>
      <c r="H2755" s="96"/>
      <c r="I2755" s="97"/>
      <c r="J2755" s="98"/>
      <c r="K2755" s="99"/>
    </row>
    <row r="2756" spans="1:11" ht="13.2">
      <c r="A2756" s="89"/>
      <c r="B2756" s="90"/>
      <c r="C2756" s="91"/>
      <c r="D2756" s="92"/>
      <c r="E2756" s="93"/>
      <c r="F2756" s="94"/>
      <c r="G2756" s="95"/>
      <c r="H2756" s="96"/>
      <c r="I2756" s="97"/>
      <c r="J2756" s="98"/>
      <c r="K2756" s="99"/>
    </row>
    <row r="2757" spans="1:11" ht="13.2">
      <c r="A2757" s="89"/>
      <c r="B2757" s="90"/>
      <c r="C2757" s="91"/>
      <c r="D2757" s="92"/>
      <c r="E2757" s="93"/>
      <c r="F2757" s="94"/>
      <c r="G2757" s="95"/>
      <c r="H2757" s="96"/>
      <c r="I2757" s="97"/>
      <c r="J2757" s="98"/>
      <c r="K2757" s="99"/>
    </row>
    <row r="2758" spans="1:11" ht="13.2">
      <c r="A2758" s="89"/>
      <c r="B2758" s="90"/>
      <c r="C2758" s="91"/>
      <c r="D2758" s="92"/>
      <c r="E2758" s="93"/>
      <c r="F2758" s="94"/>
      <c r="G2758" s="95"/>
      <c r="H2758" s="96"/>
      <c r="I2758" s="97"/>
      <c r="J2758" s="98"/>
      <c r="K2758" s="99"/>
    </row>
    <row r="2759" spans="1:11" ht="13.2">
      <c r="A2759" s="89"/>
      <c r="B2759" s="90"/>
      <c r="C2759" s="91"/>
      <c r="D2759" s="92"/>
      <c r="E2759" s="93"/>
      <c r="F2759" s="94"/>
      <c r="G2759" s="95"/>
      <c r="H2759" s="96"/>
      <c r="I2759" s="97"/>
      <c r="J2759" s="98"/>
      <c r="K2759" s="99"/>
    </row>
    <row r="2760" spans="1:11" ht="13.2">
      <c r="A2760" s="89"/>
      <c r="B2760" s="90"/>
      <c r="C2760" s="91"/>
      <c r="D2760" s="92"/>
      <c r="E2760" s="93"/>
      <c r="F2760" s="94"/>
      <c r="G2760" s="95"/>
      <c r="H2760" s="96"/>
      <c r="I2760" s="97"/>
      <c r="J2760" s="98"/>
      <c r="K2760" s="99"/>
    </row>
    <row r="2761" spans="1:11" ht="13.2">
      <c r="A2761" s="89"/>
      <c r="B2761" s="90"/>
      <c r="C2761" s="91"/>
      <c r="D2761" s="92"/>
      <c r="E2761" s="93"/>
      <c r="F2761" s="94"/>
      <c r="G2761" s="95"/>
      <c r="H2761" s="96"/>
      <c r="I2761" s="97"/>
      <c r="J2761" s="98"/>
      <c r="K2761" s="99"/>
    </row>
    <row r="2762" spans="1:11" ht="13.2">
      <c r="A2762" s="89"/>
      <c r="B2762" s="90"/>
      <c r="C2762" s="91"/>
      <c r="D2762" s="92"/>
      <c r="E2762" s="93"/>
      <c r="F2762" s="94"/>
      <c r="G2762" s="95"/>
      <c r="H2762" s="96"/>
      <c r="I2762" s="97"/>
      <c r="J2762" s="98"/>
      <c r="K2762" s="99"/>
    </row>
    <row r="2763" spans="1:11" ht="13.2">
      <c r="A2763" s="89"/>
      <c r="B2763" s="90"/>
      <c r="C2763" s="91"/>
      <c r="D2763" s="92"/>
      <c r="E2763" s="93"/>
      <c r="F2763" s="94"/>
      <c r="G2763" s="95"/>
      <c r="H2763" s="96"/>
      <c r="I2763" s="97"/>
      <c r="J2763" s="98"/>
      <c r="K2763" s="99"/>
    </row>
    <row r="2764" spans="1:11" ht="13.2">
      <c r="A2764" s="89"/>
      <c r="B2764" s="90"/>
      <c r="C2764" s="91"/>
      <c r="D2764" s="92"/>
      <c r="E2764" s="93"/>
      <c r="F2764" s="94"/>
      <c r="G2764" s="95"/>
      <c r="H2764" s="96"/>
      <c r="I2764" s="97"/>
      <c r="J2764" s="98"/>
      <c r="K2764" s="99"/>
    </row>
    <row r="2765" spans="1:11" ht="13.2">
      <c r="A2765" s="89"/>
      <c r="B2765" s="90"/>
      <c r="C2765" s="91"/>
      <c r="D2765" s="92"/>
      <c r="E2765" s="93"/>
      <c r="F2765" s="94"/>
      <c r="G2765" s="95"/>
      <c r="H2765" s="96"/>
      <c r="I2765" s="97"/>
      <c r="J2765" s="98"/>
      <c r="K2765" s="99"/>
    </row>
    <row r="2766" spans="1:11" ht="13.2">
      <c r="A2766" s="89"/>
      <c r="B2766" s="90"/>
      <c r="C2766" s="91"/>
      <c r="D2766" s="92"/>
      <c r="E2766" s="93"/>
      <c r="F2766" s="94"/>
      <c r="G2766" s="95"/>
      <c r="H2766" s="96"/>
      <c r="I2766" s="97"/>
      <c r="J2766" s="98"/>
      <c r="K2766" s="99"/>
    </row>
    <row r="2767" spans="1:11" ht="13.2">
      <c r="A2767" s="89"/>
      <c r="B2767" s="90"/>
      <c r="C2767" s="91"/>
      <c r="D2767" s="92"/>
      <c r="E2767" s="93"/>
      <c r="F2767" s="94"/>
      <c r="G2767" s="95"/>
      <c r="H2767" s="96"/>
      <c r="I2767" s="97"/>
      <c r="J2767" s="98"/>
      <c r="K2767" s="99"/>
    </row>
    <row r="2768" spans="1:11" ht="13.2">
      <c r="A2768" s="89"/>
      <c r="B2768" s="90"/>
      <c r="C2768" s="91"/>
      <c r="D2768" s="92"/>
      <c r="E2768" s="93"/>
      <c r="F2768" s="94"/>
      <c r="G2768" s="95"/>
      <c r="H2768" s="96"/>
      <c r="I2768" s="97"/>
      <c r="J2768" s="98"/>
      <c r="K2768" s="99"/>
    </row>
    <row r="2769" spans="1:11" ht="13.2">
      <c r="A2769" s="89"/>
      <c r="B2769" s="90"/>
      <c r="C2769" s="91"/>
      <c r="D2769" s="92"/>
      <c r="E2769" s="93"/>
      <c r="F2769" s="94"/>
      <c r="G2769" s="95"/>
      <c r="H2769" s="96"/>
      <c r="I2769" s="97"/>
      <c r="J2769" s="98"/>
      <c r="K2769" s="99"/>
    </row>
    <row r="2770" spans="1:11" ht="13.2">
      <c r="A2770" s="89"/>
      <c r="B2770" s="90"/>
      <c r="C2770" s="91"/>
      <c r="D2770" s="92"/>
      <c r="E2770" s="93"/>
      <c r="F2770" s="94"/>
      <c r="G2770" s="95"/>
      <c r="H2770" s="96"/>
      <c r="I2770" s="97"/>
      <c r="J2770" s="98"/>
      <c r="K2770" s="99"/>
    </row>
    <row r="2771" spans="1:11" ht="13.2">
      <c r="A2771" s="89"/>
      <c r="B2771" s="90"/>
      <c r="C2771" s="91"/>
      <c r="D2771" s="92"/>
      <c r="E2771" s="93"/>
      <c r="F2771" s="94"/>
      <c r="G2771" s="95"/>
      <c r="H2771" s="96"/>
      <c r="I2771" s="97"/>
      <c r="J2771" s="98"/>
      <c r="K2771" s="99"/>
    </row>
    <row r="2772" spans="1:11" ht="13.2">
      <c r="A2772" s="89"/>
      <c r="B2772" s="90"/>
      <c r="C2772" s="91"/>
      <c r="D2772" s="92"/>
      <c r="E2772" s="93"/>
      <c r="F2772" s="94"/>
      <c r="G2772" s="95"/>
      <c r="H2772" s="96"/>
      <c r="I2772" s="97"/>
      <c r="J2772" s="98"/>
      <c r="K2772" s="99"/>
    </row>
    <row r="2773" spans="1:11" ht="13.2">
      <c r="A2773" s="89"/>
      <c r="B2773" s="90"/>
      <c r="C2773" s="91"/>
      <c r="D2773" s="92"/>
      <c r="E2773" s="93"/>
      <c r="F2773" s="94"/>
      <c r="G2773" s="95"/>
      <c r="H2773" s="96"/>
      <c r="I2773" s="97"/>
      <c r="J2773" s="98"/>
      <c r="K2773" s="99"/>
    </row>
    <row r="2774" spans="1:11" ht="13.2">
      <c r="A2774" s="89"/>
      <c r="B2774" s="90"/>
      <c r="C2774" s="91"/>
      <c r="D2774" s="92"/>
      <c r="E2774" s="93"/>
      <c r="F2774" s="94"/>
      <c r="G2774" s="95"/>
      <c r="H2774" s="96"/>
      <c r="I2774" s="97"/>
      <c r="J2774" s="98"/>
      <c r="K2774" s="99"/>
    </row>
    <row r="2775" spans="1:11" ht="13.2">
      <c r="A2775" s="89"/>
      <c r="B2775" s="90"/>
      <c r="C2775" s="91"/>
      <c r="D2775" s="92"/>
      <c r="E2775" s="93"/>
      <c r="F2775" s="94"/>
      <c r="G2775" s="95"/>
      <c r="H2775" s="96"/>
      <c r="I2775" s="97"/>
      <c r="J2775" s="98"/>
      <c r="K2775" s="99"/>
    </row>
    <row r="2776" spans="1:11" ht="13.2">
      <c r="A2776" s="89"/>
      <c r="B2776" s="90"/>
      <c r="C2776" s="91"/>
      <c r="D2776" s="92"/>
      <c r="E2776" s="93"/>
      <c r="F2776" s="94"/>
      <c r="G2776" s="95"/>
      <c r="H2776" s="96"/>
      <c r="I2776" s="97"/>
      <c r="J2776" s="98"/>
      <c r="K2776" s="99"/>
    </row>
    <row r="2777" spans="1:11" ht="13.2">
      <c r="A2777" s="89"/>
      <c r="B2777" s="90"/>
      <c r="C2777" s="91"/>
      <c r="D2777" s="92"/>
      <c r="E2777" s="93"/>
      <c r="F2777" s="94"/>
      <c r="G2777" s="95"/>
      <c r="H2777" s="96"/>
      <c r="I2777" s="97"/>
      <c r="J2777" s="98"/>
      <c r="K2777" s="99"/>
    </row>
    <row r="2778" spans="1:11" ht="13.2">
      <c r="A2778" s="89"/>
      <c r="B2778" s="90"/>
      <c r="C2778" s="91"/>
      <c r="D2778" s="92"/>
      <c r="E2778" s="93"/>
      <c r="F2778" s="94"/>
      <c r="G2778" s="95"/>
      <c r="H2778" s="96"/>
      <c r="I2778" s="97"/>
      <c r="J2778" s="98"/>
      <c r="K2778" s="99"/>
    </row>
    <row r="2779" spans="1:11" ht="13.2">
      <c r="A2779" s="89"/>
      <c r="B2779" s="90"/>
      <c r="C2779" s="91"/>
      <c r="D2779" s="92"/>
      <c r="E2779" s="93"/>
      <c r="F2779" s="94"/>
      <c r="G2779" s="95"/>
      <c r="H2779" s="96"/>
      <c r="I2779" s="97"/>
      <c r="J2779" s="98"/>
      <c r="K2779" s="99"/>
    </row>
    <row r="2780" spans="1:11" ht="13.2">
      <c r="A2780" s="89"/>
      <c r="B2780" s="90"/>
      <c r="C2780" s="91"/>
      <c r="D2780" s="92"/>
      <c r="E2780" s="93"/>
      <c r="F2780" s="94"/>
      <c r="G2780" s="95"/>
      <c r="H2780" s="96"/>
      <c r="I2780" s="97"/>
      <c r="J2780" s="98"/>
      <c r="K2780" s="99"/>
    </row>
    <row r="2781" spans="1:11" ht="13.2">
      <c r="A2781" s="89"/>
      <c r="B2781" s="90"/>
      <c r="C2781" s="91"/>
      <c r="D2781" s="92"/>
      <c r="E2781" s="93"/>
      <c r="F2781" s="94"/>
      <c r="G2781" s="95"/>
      <c r="H2781" s="96"/>
      <c r="I2781" s="97"/>
      <c r="J2781" s="98"/>
      <c r="K2781" s="99"/>
    </row>
    <row r="2782" spans="1:11" ht="13.2">
      <c r="A2782" s="89"/>
      <c r="B2782" s="90"/>
      <c r="C2782" s="91"/>
      <c r="D2782" s="92"/>
      <c r="E2782" s="93"/>
      <c r="F2782" s="94"/>
      <c r="G2782" s="95"/>
      <c r="H2782" s="96"/>
      <c r="I2782" s="97"/>
      <c r="J2782" s="98"/>
      <c r="K2782" s="99"/>
    </row>
    <row r="2783" spans="1:11" ht="13.2">
      <c r="A2783" s="89"/>
      <c r="B2783" s="90"/>
      <c r="C2783" s="91"/>
      <c r="D2783" s="92"/>
      <c r="E2783" s="93"/>
      <c r="F2783" s="94"/>
      <c r="G2783" s="95"/>
      <c r="H2783" s="96"/>
      <c r="I2783" s="97"/>
      <c r="J2783" s="98"/>
      <c r="K2783" s="99"/>
    </row>
    <row r="2784" spans="1:11" ht="13.2">
      <c r="A2784" s="89"/>
      <c r="B2784" s="90"/>
      <c r="C2784" s="91"/>
      <c r="D2784" s="92"/>
      <c r="E2784" s="93"/>
      <c r="F2784" s="94"/>
      <c r="G2784" s="95"/>
      <c r="H2784" s="96"/>
      <c r="I2784" s="97"/>
      <c r="J2784" s="98"/>
      <c r="K2784" s="99"/>
    </row>
    <row r="2785" spans="1:11" ht="13.2">
      <c r="A2785" s="89"/>
      <c r="B2785" s="90"/>
      <c r="C2785" s="91"/>
      <c r="D2785" s="92"/>
      <c r="E2785" s="93"/>
      <c r="F2785" s="94"/>
      <c r="G2785" s="95"/>
      <c r="H2785" s="96"/>
      <c r="I2785" s="97"/>
      <c r="J2785" s="98"/>
      <c r="K2785" s="99"/>
    </row>
    <row r="2786" spans="1:11" ht="13.2">
      <c r="A2786" s="89"/>
      <c r="B2786" s="90"/>
      <c r="C2786" s="91"/>
      <c r="D2786" s="92"/>
      <c r="E2786" s="93"/>
      <c r="F2786" s="94"/>
      <c r="G2786" s="95"/>
      <c r="H2786" s="96"/>
      <c r="I2786" s="97"/>
      <c r="J2786" s="98"/>
      <c r="K2786" s="99"/>
    </row>
    <row r="2787" spans="1:11" ht="13.2">
      <c r="A2787" s="89"/>
      <c r="B2787" s="90"/>
      <c r="C2787" s="91"/>
      <c r="D2787" s="92"/>
      <c r="E2787" s="93"/>
      <c r="F2787" s="94"/>
      <c r="G2787" s="95"/>
      <c r="H2787" s="96"/>
      <c r="I2787" s="97"/>
      <c r="J2787" s="98"/>
      <c r="K2787" s="99"/>
    </row>
    <row r="2788" spans="1:11" ht="13.2">
      <c r="A2788" s="89"/>
      <c r="B2788" s="90"/>
      <c r="C2788" s="91"/>
      <c r="D2788" s="92"/>
      <c r="E2788" s="93"/>
      <c r="F2788" s="94"/>
      <c r="G2788" s="95"/>
      <c r="H2788" s="96"/>
      <c r="I2788" s="97"/>
      <c r="J2788" s="98"/>
      <c r="K2788" s="99"/>
    </row>
    <row r="2789" spans="1:11" ht="13.2">
      <c r="A2789" s="89"/>
      <c r="B2789" s="90"/>
      <c r="C2789" s="91"/>
      <c r="D2789" s="92"/>
      <c r="E2789" s="93"/>
      <c r="F2789" s="94"/>
      <c r="G2789" s="95"/>
      <c r="H2789" s="96"/>
      <c r="I2789" s="97"/>
      <c r="J2789" s="98"/>
      <c r="K2789" s="99"/>
    </row>
    <row r="2790" spans="1:11" ht="13.2">
      <c r="A2790" s="89"/>
      <c r="B2790" s="90"/>
      <c r="C2790" s="91"/>
      <c r="D2790" s="92"/>
      <c r="E2790" s="93"/>
      <c r="F2790" s="94"/>
      <c r="G2790" s="95"/>
      <c r="H2790" s="96"/>
      <c r="I2790" s="97"/>
      <c r="J2790" s="98"/>
      <c r="K2790" s="99"/>
    </row>
    <row r="2791" spans="1:11" ht="13.2">
      <c r="A2791" s="89"/>
      <c r="B2791" s="90"/>
      <c r="C2791" s="91"/>
      <c r="D2791" s="92"/>
      <c r="E2791" s="93"/>
      <c r="F2791" s="94"/>
      <c r="G2791" s="95"/>
      <c r="H2791" s="96"/>
      <c r="I2791" s="97"/>
      <c r="J2791" s="98"/>
      <c r="K2791" s="99"/>
    </row>
    <row r="2792" spans="1:11" ht="13.2">
      <c r="A2792" s="89"/>
      <c r="B2792" s="90"/>
      <c r="C2792" s="91"/>
      <c r="D2792" s="92"/>
      <c r="E2792" s="93"/>
      <c r="F2792" s="94"/>
      <c r="G2792" s="95"/>
      <c r="H2792" s="96"/>
      <c r="I2792" s="97"/>
      <c r="J2792" s="98"/>
      <c r="K2792" s="99"/>
    </row>
    <row r="2793" spans="1:11" ht="13.2">
      <c r="A2793" s="89"/>
      <c r="B2793" s="90"/>
      <c r="C2793" s="91"/>
      <c r="D2793" s="92"/>
      <c r="E2793" s="93"/>
      <c r="F2793" s="94"/>
      <c r="G2793" s="95"/>
      <c r="H2793" s="96"/>
      <c r="I2793" s="97"/>
      <c r="J2793" s="98"/>
      <c r="K2793" s="99"/>
    </row>
    <row r="2794" spans="1:11" ht="13.2">
      <c r="A2794" s="89"/>
      <c r="B2794" s="90"/>
      <c r="C2794" s="91"/>
      <c r="D2794" s="92"/>
      <c r="E2794" s="93"/>
      <c r="F2794" s="94"/>
      <c r="G2794" s="95"/>
      <c r="H2794" s="96"/>
      <c r="I2794" s="97"/>
      <c r="J2794" s="98"/>
      <c r="K2794" s="99"/>
    </row>
    <row r="2795" spans="1:11" ht="13.2">
      <c r="A2795" s="89"/>
      <c r="B2795" s="90"/>
      <c r="C2795" s="91"/>
      <c r="D2795" s="92"/>
      <c r="E2795" s="93"/>
      <c r="F2795" s="94"/>
      <c r="G2795" s="95"/>
      <c r="H2795" s="96"/>
      <c r="I2795" s="97"/>
      <c r="J2795" s="98"/>
      <c r="K2795" s="99"/>
    </row>
    <row r="2796" spans="1:11" ht="13.2">
      <c r="A2796" s="89"/>
      <c r="B2796" s="90"/>
      <c r="C2796" s="91"/>
      <c r="D2796" s="92"/>
      <c r="E2796" s="93"/>
      <c r="F2796" s="94"/>
      <c r="G2796" s="95"/>
      <c r="H2796" s="96"/>
      <c r="I2796" s="97"/>
      <c r="J2796" s="98"/>
      <c r="K2796" s="99"/>
    </row>
    <row r="2797" spans="1:11" ht="13.2">
      <c r="A2797" s="89"/>
      <c r="B2797" s="90"/>
      <c r="C2797" s="91"/>
      <c r="D2797" s="92"/>
      <c r="E2797" s="93"/>
      <c r="F2797" s="94"/>
      <c r="G2797" s="95"/>
      <c r="H2797" s="96"/>
      <c r="I2797" s="97"/>
      <c r="J2797" s="98"/>
      <c r="K2797" s="99"/>
    </row>
    <row r="2798" spans="1:11" ht="13.2">
      <c r="A2798" s="89"/>
      <c r="B2798" s="90"/>
      <c r="C2798" s="91"/>
      <c r="D2798" s="92"/>
      <c r="E2798" s="93"/>
      <c r="F2798" s="94"/>
      <c r="G2798" s="95"/>
      <c r="H2798" s="96"/>
      <c r="I2798" s="97"/>
      <c r="J2798" s="98"/>
      <c r="K2798" s="99"/>
    </row>
    <row r="2799" spans="1:11" ht="13.2">
      <c r="A2799" s="89"/>
      <c r="B2799" s="90"/>
      <c r="C2799" s="91"/>
      <c r="D2799" s="92"/>
      <c r="E2799" s="93"/>
      <c r="F2799" s="94"/>
      <c r="G2799" s="95"/>
      <c r="H2799" s="96"/>
      <c r="I2799" s="97"/>
      <c r="J2799" s="98"/>
      <c r="K2799" s="99"/>
    </row>
    <row r="2800" spans="1:11" ht="13.2">
      <c r="A2800" s="89"/>
      <c r="B2800" s="90"/>
      <c r="C2800" s="91"/>
      <c r="D2800" s="92"/>
      <c r="E2800" s="93"/>
      <c r="F2800" s="94"/>
      <c r="G2800" s="95"/>
      <c r="H2800" s="96"/>
      <c r="I2800" s="97"/>
      <c r="J2800" s="98"/>
      <c r="K2800" s="99"/>
    </row>
    <row r="2801" spans="1:11" ht="13.2">
      <c r="A2801" s="89"/>
      <c r="B2801" s="90"/>
      <c r="C2801" s="91"/>
      <c r="D2801" s="92"/>
      <c r="E2801" s="93"/>
      <c r="F2801" s="94"/>
      <c r="G2801" s="95"/>
      <c r="H2801" s="96"/>
      <c r="I2801" s="97"/>
      <c r="J2801" s="98"/>
      <c r="K2801" s="99"/>
    </row>
    <row r="2802" spans="1:11" ht="13.2">
      <c r="A2802" s="89"/>
      <c r="B2802" s="90"/>
      <c r="C2802" s="91"/>
      <c r="D2802" s="92"/>
      <c r="E2802" s="93"/>
      <c r="F2802" s="94"/>
      <c r="G2802" s="95"/>
      <c r="H2802" s="96"/>
      <c r="I2802" s="97"/>
      <c r="J2802" s="98"/>
      <c r="K2802" s="99"/>
    </row>
    <row r="2803" spans="1:11" ht="13.2">
      <c r="A2803" s="89"/>
      <c r="B2803" s="90"/>
      <c r="C2803" s="91"/>
      <c r="D2803" s="92"/>
      <c r="E2803" s="93"/>
      <c r="F2803" s="94"/>
      <c r="G2803" s="95"/>
      <c r="H2803" s="96"/>
      <c r="I2803" s="97"/>
      <c r="J2803" s="98"/>
      <c r="K2803" s="99"/>
    </row>
    <row r="2804" spans="1:11" ht="13.2">
      <c r="A2804" s="89"/>
      <c r="B2804" s="90"/>
      <c r="C2804" s="91"/>
      <c r="D2804" s="92"/>
      <c r="E2804" s="93"/>
      <c r="F2804" s="94"/>
      <c r="G2804" s="95"/>
      <c r="H2804" s="96"/>
      <c r="I2804" s="97"/>
      <c r="J2804" s="98"/>
      <c r="K2804" s="99"/>
    </row>
    <row r="2805" spans="1:11" ht="13.2">
      <c r="A2805" s="89"/>
      <c r="B2805" s="90"/>
      <c r="C2805" s="91"/>
      <c r="D2805" s="92"/>
      <c r="E2805" s="93"/>
      <c r="F2805" s="94"/>
      <c r="G2805" s="95"/>
      <c r="H2805" s="96"/>
      <c r="I2805" s="97"/>
      <c r="J2805" s="98"/>
      <c r="K2805" s="99"/>
    </row>
    <row r="2806" spans="1:11" ht="13.2">
      <c r="A2806" s="89"/>
      <c r="B2806" s="90"/>
      <c r="C2806" s="91"/>
      <c r="D2806" s="92"/>
      <c r="E2806" s="93"/>
      <c r="F2806" s="94"/>
      <c r="G2806" s="95"/>
      <c r="H2806" s="96"/>
      <c r="I2806" s="97"/>
      <c r="J2806" s="98"/>
      <c r="K2806" s="99"/>
    </row>
    <row r="2807" spans="1:11" ht="13.2">
      <c r="A2807" s="89"/>
      <c r="B2807" s="90"/>
      <c r="C2807" s="91"/>
      <c r="D2807" s="92"/>
      <c r="E2807" s="93"/>
      <c r="F2807" s="94"/>
      <c r="G2807" s="95"/>
      <c r="H2807" s="96"/>
      <c r="I2807" s="97"/>
      <c r="J2807" s="98"/>
      <c r="K2807" s="99"/>
    </row>
    <row r="2808" spans="1:11" ht="13.2">
      <c r="A2808" s="89"/>
      <c r="B2808" s="90"/>
      <c r="C2808" s="91"/>
      <c r="D2808" s="92"/>
      <c r="E2808" s="93"/>
      <c r="F2808" s="94"/>
      <c r="G2808" s="95"/>
      <c r="H2808" s="96"/>
      <c r="I2808" s="97"/>
      <c r="J2808" s="98"/>
      <c r="K2808" s="99"/>
    </row>
    <row r="2809" spans="1:11" ht="13.2">
      <c r="A2809" s="89"/>
      <c r="B2809" s="90"/>
      <c r="C2809" s="91"/>
      <c r="D2809" s="92"/>
      <c r="E2809" s="93"/>
      <c r="F2809" s="94"/>
      <c r="G2809" s="95"/>
      <c r="H2809" s="96"/>
      <c r="I2809" s="97"/>
      <c r="J2809" s="98"/>
      <c r="K2809" s="99"/>
    </row>
    <row r="2810" spans="1:11" ht="13.2">
      <c r="A2810" s="89"/>
      <c r="B2810" s="90"/>
      <c r="C2810" s="91"/>
      <c r="D2810" s="92"/>
      <c r="E2810" s="93"/>
      <c r="F2810" s="94"/>
      <c r="G2810" s="95"/>
      <c r="H2810" s="96"/>
      <c r="I2810" s="97"/>
      <c r="J2810" s="98"/>
      <c r="K2810" s="99"/>
    </row>
    <row r="2811" spans="1:11" ht="13.2">
      <c r="A2811" s="89"/>
      <c r="B2811" s="90"/>
      <c r="C2811" s="91"/>
      <c r="D2811" s="92"/>
      <c r="E2811" s="93"/>
      <c r="F2811" s="94"/>
      <c r="G2811" s="95"/>
      <c r="H2811" s="96"/>
      <c r="I2811" s="97"/>
      <c r="J2811" s="98"/>
      <c r="K2811" s="99"/>
    </row>
    <row r="2812" spans="1:11" ht="13.2">
      <c r="A2812" s="89"/>
      <c r="B2812" s="90"/>
      <c r="C2812" s="91"/>
      <c r="D2812" s="92"/>
      <c r="E2812" s="93"/>
      <c r="F2812" s="94"/>
      <c r="G2812" s="95"/>
      <c r="H2812" s="96"/>
      <c r="I2812" s="97"/>
      <c r="J2812" s="98"/>
      <c r="K2812" s="99"/>
    </row>
    <row r="2813" spans="1:11" ht="13.2">
      <c r="A2813" s="89"/>
      <c r="B2813" s="90"/>
      <c r="C2813" s="91"/>
      <c r="D2813" s="92"/>
      <c r="E2813" s="93"/>
      <c r="F2813" s="94"/>
      <c r="G2813" s="95"/>
      <c r="H2813" s="96"/>
      <c r="I2813" s="97"/>
      <c r="J2813" s="98"/>
      <c r="K2813" s="99"/>
    </row>
    <row r="2814" spans="1:11" ht="13.2">
      <c r="A2814" s="89"/>
      <c r="B2814" s="90"/>
      <c r="C2814" s="91"/>
      <c r="D2814" s="92"/>
      <c r="E2814" s="93"/>
      <c r="F2814" s="94"/>
      <c r="G2814" s="95"/>
      <c r="H2814" s="96"/>
      <c r="I2814" s="97"/>
      <c r="J2814" s="98"/>
      <c r="K2814" s="99"/>
    </row>
    <row r="2815" spans="1:11" ht="13.2">
      <c r="A2815" s="89"/>
      <c r="B2815" s="90"/>
      <c r="C2815" s="91"/>
      <c r="D2815" s="92"/>
      <c r="E2815" s="93"/>
      <c r="F2815" s="94"/>
      <c r="G2815" s="95"/>
      <c r="H2815" s="96"/>
      <c r="I2815" s="97"/>
      <c r="J2815" s="98"/>
      <c r="K2815" s="99"/>
    </row>
    <row r="2816" spans="1:11" ht="13.2">
      <c r="A2816" s="89"/>
      <c r="B2816" s="90"/>
      <c r="C2816" s="91"/>
      <c r="D2816" s="92"/>
      <c r="E2816" s="93"/>
      <c r="F2816" s="94"/>
      <c r="G2816" s="95"/>
      <c r="H2816" s="96"/>
      <c r="I2816" s="97"/>
      <c r="J2816" s="98"/>
      <c r="K2816" s="99"/>
    </row>
    <row r="2817" spans="1:11" ht="13.2">
      <c r="A2817" s="89"/>
      <c r="B2817" s="90"/>
      <c r="C2817" s="91"/>
      <c r="D2817" s="92"/>
      <c r="E2817" s="93"/>
      <c r="F2817" s="94"/>
      <c r="G2817" s="95"/>
      <c r="H2817" s="96"/>
      <c r="I2817" s="97"/>
      <c r="J2817" s="98"/>
      <c r="K2817" s="99"/>
    </row>
    <row r="2818" spans="1:11" ht="13.2">
      <c r="A2818" s="89"/>
      <c r="B2818" s="90"/>
      <c r="C2818" s="91"/>
      <c r="D2818" s="92"/>
      <c r="E2818" s="93"/>
      <c r="F2818" s="94"/>
      <c r="G2818" s="95"/>
      <c r="H2818" s="96"/>
      <c r="I2818" s="97"/>
      <c r="J2818" s="98"/>
      <c r="K2818" s="99"/>
    </row>
    <row r="2819" spans="1:11" ht="13.2">
      <c r="A2819" s="89"/>
      <c r="B2819" s="90"/>
      <c r="C2819" s="91"/>
      <c r="D2819" s="92"/>
      <c r="E2819" s="93"/>
      <c r="F2819" s="94"/>
      <c r="G2819" s="95"/>
      <c r="H2819" s="96"/>
      <c r="I2819" s="97"/>
      <c r="J2819" s="98"/>
      <c r="K2819" s="99"/>
    </row>
    <row r="2820" spans="1:11" ht="13.2">
      <c r="A2820" s="89"/>
      <c r="B2820" s="90"/>
      <c r="C2820" s="91"/>
      <c r="D2820" s="92"/>
      <c r="E2820" s="93"/>
      <c r="F2820" s="94"/>
      <c r="G2820" s="95"/>
      <c r="H2820" s="96"/>
      <c r="I2820" s="97"/>
      <c r="J2820" s="98"/>
      <c r="K2820" s="99"/>
    </row>
    <row r="2821" spans="1:11" ht="13.2">
      <c r="A2821" s="89"/>
      <c r="B2821" s="90"/>
      <c r="C2821" s="91"/>
      <c r="D2821" s="92"/>
      <c r="E2821" s="93"/>
      <c r="F2821" s="94"/>
      <c r="G2821" s="95"/>
      <c r="H2821" s="96"/>
      <c r="I2821" s="97"/>
      <c r="J2821" s="98"/>
      <c r="K2821" s="99"/>
    </row>
    <row r="2822" spans="1:11" ht="13.2">
      <c r="A2822" s="89"/>
      <c r="B2822" s="90"/>
      <c r="C2822" s="91"/>
      <c r="D2822" s="92"/>
      <c r="E2822" s="93"/>
      <c r="F2822" s="94"/>
      <c r="G2822" s="95"/>
      <c r="H2822" s="96"/>
      <c r="I2822" s="97"/>
      <c r="J2822" s="98"/>
      <c r="K2822" s="99"/>
    </row>
    <row r="2823" spans="1:11" ht="13.2">
      <c r="A2823" s="89"/>
      <c r="B2823" s="90"/>
      <c r="C2823" s="91"/>
      <c r="D2823" s="92"/>
      <c r="E2823" s="93"/>
      <c r="F2823" s="94"/>
      <c r="G2823" s="95"/>
      <c r="H2823" s="96"/>
      <c r="I2823" s="97"/>
      <c r="J2823" s="98"/>
      <c r="K2823" s="99"/>
    </row>
    <row r="2824" spans="1:11" ht="13.2">
      <c r="A2824" s="89"/>
      <c r="B2824" s="90"/>
      <c r="C2824" s="91"/>
      <c r="D2824" s="92"/>
      <c r="E2824" s="93"/>
      <c r="F2824" s="94"/>
      <c r="G2824" s="95"/>
      <c r="H2824" s="96"/>
      <c r="I2824" s="97"/>
      <c r="J2824" s="98"/>
      <c r="K2824" s="99"/>
    </row>
    <row r="2825" spans="1:11" ht="13.2">
      <c r="A2825" s="89"/>
      <c r="B2825" s="90"/>
      <c r="C2825" s="91"/>
      <c r="D2825" s="92"/>
      <c r="E2825" s="93"/>
      <c r="F2825" s="94"/>
      <c r="G2825" s="95"/>
      <c r="H2825" s="96"/>
      <c r="I2825" s="97"/>
      <c r="J2825" s="98"/>
      <c r="K2825" s="99"/>
    </row>
    <row r="2826" spans="1:11" ht="13.2">
      <c r="A2826" s="89"/>
      <c r="B2826" s="90"/>
      <c r="C2826" s="91"/>
      <c r="D2826" s="92"/>
      <c r="E2826" s="93"/>
      <c r="F2826" s="94"/>
      <c r="G2826" s="95"/>
      <c r="H2826" s="96"/>
      <c r="I2826" s="97"/>
      <c r="J2826" s="98"/>
      <c r="K2826" s="99"/>
    </row>
    <row r="2827" spans="1:11" ht="13.2">
      <c r="A2827" s="89"/>
      <c r="B2827" s="90"/>
      <c r="C2827" s="91"/>
      <c r="D2827" s="92"/>
      <c r="E2827" s="93"/>
      <c r="F2827" s="94"/>
      <c r="G2827" s="95"/>
      <c r="H2827" s="96"/>
      <c r="I2827" s="97"/>
      <c r="J2827" s="98"/>
      <c r="K2827" s="99"/>
    </row>
    <row r="2828" spans="1:11" ht="13.2">
      <c r="A2828" s="89"/>
      <c r="B2828" s="90"/>
      <c r="C2828" s="91"/>
      <c r="D2828" s="92"/>
      <c r="E2828" s="93"/>
      <c r="F2828" s="94"/>
      <c r="G2828" s="95"/>
      <c r="H2828" s="96"/>
      <c r="I2828" s="97"/>
      <c r="J2828" s="98"/>
      <c r="K2828" s="99"/>
    </row>
    <row r="2829" spans="1:11" ht="13.2">
      <c r="A2829" s="89"/>
      <c r="B2829" s="90"/>
      <c r="C2829" s="91"/>
      <c r="D2829" s="92"/>
      <c r="E2829" s="93"/>
      <c r="F2829" s="94"/>
      <c r="G2829" s="95"/>
      <c r="H2829" s="96"/>
      <c r="I2829" s="97"/>
      <c r="J2829" s="98"/>
      <c r="K2829" s="99"/>
    </row>
    <row r="2830" spans="1:11" ht="13.2">
      <c r="A2830" s="89"/>
      <c r="B2830" s="90"/>
      <c r="C2830" s="91"/>
      <c r="D2830" s="92"/>
      <c r="E2830" s="93"/>
      <c r="F2830" s="94"/>
      <c r="G2830" s="95"/>
      <c r="H2830" s="96"/>
      <c r="I2830" s="97"/>
      <c r="J2830" s="98"/>
      <c r="K2830" s="99"/>
    </row>
    <row r="2831" spans="1:11" ht="13.2">
      <c r="A2831" s="89"/>
      <c r="B2831" s="90"/>
      <c r="C2831" s="91"/>
      <c r="D2831" s="92"/>
      <c r="E2831" s="93"/>
      <c r="F2831" s="94"/>
      <c r="G2831" s="95"/>
      <c r="H2831" s="96"/>
      <c r="I2831" s="97"/>
      <c r="J2831" s="98"/>
      <c r="K2831" s="99"/>
    </row>
    <row r="2832" spans="1:11" ht="13.2">
      <c r="A2832" s="89"/>
      <c r="B2832" s="90"/>
      <c r="C2832" s="91"/>
      <c r="D2832" s="92"/>
      <c r="E2832" s="93"/>
      <c r="F2832" s="94"/>
      <c r="G2832" s="95"/>
      <c r="H2832" s="96"/>
      <c r="I2832" s="97"/>
      <c r="J2832" s="98"/>
      <c r="K2832" s="99"/>
    </row>
    <row r="2833" spans="1:11" ht="13.2">
      <c r="A2833" s="89"/>
      <c r="B2833" s="90"/>
      <c r="C2833" s="91"/>
      <c r="D2833" s="92"/>
      <c r="E2833" s="93"/>
      <c r="F2833" s="94"/>
      <c r="G2833" s="95"/>
      <c r="H2833" s="96"/>
      <c r="I2833" s="97"/>
      <c r="J2833" s="98"/>
      <c r="K2833" s="99"/>
    </row>
    <row r="2834" spans="1:11" ht="13.2">
      <c r="A2834" s="89"/>
      <c r="B2834" s="90"/>
      <c r="C2834" s="91"/>
      <c r="D2834" s="92"/>
      <c r="E2834" s="93"/>
      <c r="F2834" s="94"/>
      <c r="G2834" s="95"/>
      <c r="H2834" s="96"/>
      <c r="I2834" s="97"/>
      <c r="J2834" s="98"/>
      <c r="K2834" s="99"/>
    </row>
    <row r="2835" spans="1:11" ht="13.2">
      <c r="A2835" s="89"/>
      <c r="B2835" s="90"/>
      <c r="C2835" s="91"/>
      <c r="D2835" s="92"/>
      <c r="E2835" s="93"/>
      <c r="F2835" s="94"/>
      <c r="G2835" s="95"/>
      <c r="H2835" s="96"/>
      <c r="I2835" s="97"/>
      <c r="J2835" s="98"/>
      <c r="K2835" s="99"/>
    </row>
    <row r="2836" spans="1:11" ht="13.2">
      <c r="A2836" s="89"/>
      <c r="B2836" s="90"/>
      <c r="C2836" s="91"/>
      <c r="D2836" s="92"/>
      <c r="E2836" s="93"/>
      <c r="F2836" s="94"/>
      <c r="G2836" s="95"/>
      <c r="H2836" s="96"/>
      <c r="I2836" s="97"/>
      <c r="J2836" s="98"/>
      <c r="K2836" s="99"/>
    </row>
    <row r="2837" spans="1:11" ht="13.2">
      <c r="A2837" s="89"/>
      <c r="B2837" s="90"/>
      <c r="C2837" s="91"/>
      <c r="D2837" s="92"/>
      <c r="E2837" s="93"/>
      <c r="F2837" s="94"/>
      <c r="G2837" s="95"/>
      <c r="H2837" s="96"/>
      <c r="I2837" s="97"/>
      <c r="J2837" s="98"/>
      <c r="K2837" s="99"/>
    </row>
    <row r="2838" spans="1:11" ht="13.2">
      <c r="A2838" s="89"/>
      <c r="B2838" s="90"/>
      <c r="C2838" s="91"/>
      <c r="D2838" s="92"/>
      <c r="E2838" s="93"/>
      <c r="F2838" s="94"/>
      <c r="G2838" s="95"/>
      <c r="H2838" s="96"/>
      <c r="I2838" s="97"/>
      <c r="J2838" s="98"/>
      <c r="K2838" s="99"/>
    </row>
    <row r="2839" spans="1:11" ht="13.2">
      <c r="A2839" s="89"/>
      <c r="B2839" s="90"/>
      <c r="C2839" s="91"/>
      <c r="D2839" s="92"/>
      <c r="E2839" s="93"/>
      <c r="F2839" s="94"/>
      <c r="G2839" s="95"/>
      <c r="H2839" s="96"/>
      <c r="I2839" s="97"/>
      <c r="J2839" s="98"/>
      <c r="K2839" s="99"/>
    </row>
    <row r="2840" spans="1:11" ht="13.2">
      <c r="A2840" s="89"/>
      <c r="B2840" s="90"/>
      <c r="C2840" s="91"/>
      <c r="D2840" s="92"/>
      <c r="E2840" s="93"/>
      <c r="F2840" s="94"/>
      <c r="G2840" s="95"/>
      <c r="H2840" s="96"/>
      <c r="I2840" s="97"/>
      <c r="J2840" s="98"/>
      <c r="K2840" s="99"/>
    </row>
    <row r="2841" spans="1:11" ht="13.2">
      <c r="A2841" s="89"/>
      <c r="B2841" s="90"/>
      <c r="C2841" s="91"/>
      <c r="D2841" s="92"/>
      <c r="E2841" s="93"/>
      <c r="F2841" s="94"/>
      <c r="G2841" s="95"/>
      <c r="H2841" s="96"/>
      <c r="I2841" s="97"/>
      <c r="J2841" s="98"/>
      <c r="K2841" s="99"/>
    </row>
    <row r="2842" spans="1:11" ht="13.2">
      <c r="A2842" s="89"/>
      <c r="B2842" s="90"/>
      <c r="C2842" s="91"/>
      <c r="D2842" s="92"/>
      <c r="E2842" s="93"/>
      <c r="F2842" s="94"/>
      <c r="G2842" s="95"/>
      <c r="H2842" s="96"/>
      <c r="I2842" s="97"/>
      <c r="J2842" s="98"/>
      <c r="K2842" s="99"/>
    </row>
    <row r="2843" spans="1:11" ht="13.2">
      <c r="A2843" s="89"/>
      <c r="B2843" s="90"/>
      <c r="C2843" s="91"/>
      <c r="D2843" s="92"/>
      <c r="E2843" s="93"/>
      <c r="F2843" s="94"/>
      <c r="G2843" s="95"/>
      <c r="H2843" s="96"/>
      <c r="I2843" s="97"/>
      <c r="J2843" s="98"/>
      <c r="K2843" s="99"/>
    </row>
    <row r="2844" spans="1:11" ht="13.2">
      <c r="A2844" s="89"/>
      <c r="B2844" s="90"/>
      <c r="C2844" s="91"/>
      <c r="D2844" s="92"/>
      <c r="E2844" s="93"/>
      <c r="F2844" s="94"/>
      <c r="G2844" s="95"/>
      <c r="H2844" s="96"/>
      <c r="I2844" s="97"/>
      <c r="J2844" s="98"/>
      <c r="K2844" s="99"/>
    </row>
    <row r="2845" spans="1:11" ht="13.2">
      <c r="A2845" s="89"/>
      <c r="B2845" s="90"/>
      <c r="C2845" s="91"/>
      <c r="D2845" s="92"/>
      <c r="E2845" s="93"/>
      <c r="F2845" s="94"/>
      <c r="G2845" s="95"/>
      <c r="H2845" s="96"/>
      <c r="I2845" s="97"/>
      <c r="J2845" s="98"/>
      <c r="K2845" s="99"/>
    </row>
    <row r="2846" spans="1:11" ht="13.2">
      <c r="A2846" s="89"/>
      <c r="B2846" s="90"/>
      <c r="C2846" s="91"/>
      <c r="D2846" s="92"/>
      <c r="E2846" s="93"/>
      <c r="F2846" s="94"/>
      <c r="G2846" s="95"/>
      <c r="H2846" s="96"/>
      <c r="I2846" s="97"/>
      <c r="J2846" s="98"/>
      <c r="K2846" s="99"/>
    </row>
    <row r="2847" spans="1:11" ht="13.2">
      <c r="A2847" s="89"/>
      <c r="B2847" s="90"/>
      <c r="C2847" s="91"/>
      <c r="D2847" s="92"/>
      <c r="E2847" s="93"/>
      <c r="F2847" s="94"/>
      <c r="G2847" s="95"/>
      <c r="H2847" s="96"/>
      <c r="I2847" s="97"/>
      <c r="J2847" s="98"/>
      <c r="K2847" s="99"/>
    </row>
    <row r="2848" spans="1:11" ht="13.2">
      <c r="A2848" s="89"/>
      <c r="B2848" s="90"/>
      <c r="C2848" s="91"/>
      <c r="D2848" s="92"/>
      <c r="E2848" s="93"/>
      <c r="F2848" s="94"/>
      <c r="G2848" s="95"/>
      <c r="H2848" s="96"/>
      <c r="I2848" s="97"/>
      <c r="J2848" s="98"/>
      <c r="K2848" s="99"/>
    </row>
    <row r="2849" spans="1:11" ht="13.2">
      <c r="A2849" s="89"/>
      <c r="B2849" s="90"/>
      <c r="C2849" s="91"/>
      <c r="D2849" s="92"/>
      <c r="E2849" s="93"/>
      <c r="F2849" s="94"/>
      <c r="G2849" s="95"/>
      <c r="H2849" s="96"/>
      <c r="I2849" s="97"/>
      <c r="J2849" s="98"/>
      <c r="K2849" s="99"/>
    </row>
    <row r="2850" spans="1:11" ht="13.2">
      <c r="A2850" s="89"/>
      <c r="B2850" s="90"/>
      <c r="C2850" s="91"/>
      <c r="D2850" s="92"/>
      <c r="E2850" s="93"/>
      <c r="F2850" s="94"/>
      <c r="G2850" s="95"/>
      <c r="H2850" s="96"/>
      <c r="I2850" s="97"/>
      <c r="J2850" s="98"/>
      <c r="K2850" s="99"/>
    </row>
    <row r="2851" spans="1:11" ht="13.2">
      <c r="A2851" s="89"/>
      <c r="B2851" s="90"/>
      <c r="C2851" s="91"/>
      <c r="D2851" s="92"/>
      <c r="E2851" s="93"/>
      <c r="F2851" s="94"/>
      <c r="G2851" s="95"/>
      <c r="H2851" s="96"/>
      <c r="I2851" s="97"/>
      <c r="J2851" s="98"/>
      <c r="K2851" s="99"/>
    </row>
    <row r="2852" spans="1:11" ht="13.2">
      <c r="A2852" s="89"/>
      <c r="B2852" s="90"/>
      <c r="C2852" s="91"/>
      <c r="D2852" s="92"/>
      <c r="E2852" s="93"/>
      <c r="F2852" s="94"/>
      <c r="G2852" s="95"/>
      <c r="H2852" s="96"/>
      <c r="I2852" s="97"/>
      <c r="J2852" s="98"/>
      <c r="K2852" s="99"/>
    </row>
    <row r="2853" spans="1:11" ht="13.2">
      <c r="A2853" s="89"/>
      <c r="B2853" s="90"/>
      <c r="C2853" s="91"/>
      <c r="D2853" s="92"/>
      <c r="E2853" s="93"/>
      <c r="F2853" s="94"/>
      <c r="G2853" s="95"/>
      <c r="H2853" s="96"/>
      <c r="I2853" s="97"/>
      <c r="J2853" s="98"/>
      <c r="K2853" s="99"/>
    </row>
    <row r="2854" spans="1:11" ht="13.2">
      <c r="A2854" s="89"/>
      <c r="B2854" s="90"/>
      <c r="C2854" s="91"/>
      <c r="D2854" s="92"/>
      <c r="E2854" s="93"/>
      <c r="F2854" s="94"/>
      <c r="G2854" s="95"/>
      <c r="H2854" s="96"/>
      <c r="I2854" s="97"/>
      <c r="J2854" s="98"/>
      <c r="K2854" s="99"/>
    </row>
    <row r="2855" spans="1:11" ht="13.2">
      <c r="A2855" s="89"/>
      <c r="B2855" s="90"/>
      <c r="C2855" s="91"/>
      <c r="D2855" s="92"/>
      <c r="E2855" s="93"/>
      <c r="F2855" s="94"/>
      <c r="G2855" s="95"/>
      <c r="H2855" s="96"/>
      <c r="I2855" s="97"/>
      <c r="J2855" s="98"/>
      <c r="K2855" s="99"/>
    </row>
    <row r="2856" spans="1:11" ht="13.2">
      <c r="A2856" s="89"/>
      <c r="B2856" s="90"/>
      <c r="C2856" s="91"/>
      <c r="D2856" s="92"/>
      <c r="E2856" s="93"/>
      <c r="F2856" s="94"/>
      <c r="G2856" s="95"/>
      <c r="H2856" s="96"/>
      <c r="I2856" s="97"/>
      <c r="J2856" s="98"/>
      <c r="K2856" s="99"/>
    </row>
    <row r="2857" spans="1:11" ht="13.2">
      <c r="A2857" s="89"/>
      <c r="B2857" s="90"/>
      <c r="C2857" s="91"/>
      <c r="D2857" s="92"/>
      <c r="E2857" s="93"/>
      <c r="F2857" s="94"/>
      <c r="G2857" s="95"/>
      <c r="H2857" s="96"/>
      <c r="I2857" s="97"/>
      <c r="J2857" s="98"/>
      <c r="K2857" s="99"/>
    </row>
    <row r="2858" spans="1:11" ht="13.2">
      <c r="A2858" s="89"/>
      <c r="B2858" s="90"/>
      <c r="C2858" s="91"/>
      <c r="D2858" s="92"/>
      <c r="E2858" s="93"/>
      <c r="F2858" s="94"/>
      <c r="G2858" s="95"/>
      <c r="H2858" s="96"/>
      <c r="I2858" s="97"/>
      <c r="J2858" s="98"/>
      <c r="K2858" s="99"/>
    </row>
    <row r="2859" spans="1:11" ht="13.2">
      <c r="A2859" s="89"/>
      <c r="B2859" s="90"/>
      <c r="C2859" s="91"/>
      <c r="D2859" s="92"/>
      <c r="E2859" s="93"/>
      <c r="F2859" s="94"/>
      <c r="G2859" s="95"/>
      <c r="H2859" s="96"/>
      <c r="I2859" s="97"/>
      <c r="J2859" s="98"/>
      <c r="K2859" s="99"/>
    </row>
    <row r="2860" spans="1:11" ht="13.2">
      <c r="A2860" s="89"/>
      <c r="B2860" s="90"/>
      <c r="C2860" s="91"/>
      <c r="D2860" s="92"/>
      <c r="E2860" s="93"/>
      <c r="F2860" s="94"/>
      <c r="G2860" s="95"/>
      <c r="H2860" s="96"/>
      <c r="I2860" s="97"/>
      <c r="J2860" s="98"/>
      <c r="K2860" s="99"/>
    </row>
    <row r="2861" spans="1:11" ht="13.2">
      <c r="A2861" s="89"/>
      <c r="B2861" s="90"/>
      <c r="C2861" s="91"/>
      <c r="D2861" s="92"/>
      <c r="E2861" s="93"/>
      <c r="F2861" s="94"/>
      <c r="G2861" s="95"/>
      <c r="H2861" s="96"/>
      <c r="I2861" s="97"/>
      <c r="J2861" s="98"/>
      <c r="K2861" s="99"/>
    </row>
    <row r="2862" spans="1:11" ht="13.2">
      <c r="A2862" s="89"/>
      <c r="B2862" s="90"/>
      <c r="C2862" s="91"/>
      <c r="D2862" s="92"/>
      <c r="E2862" s="93"/>
      <c r="F2862" s="94"/>
      <c r="G2862" s="95"/>
      <c r="H2862" s="96"/>
      <c r="I2862" s="97"/>
      <c r="J2862" s="98"/>
      <c r="K2862" s="99"/>
    </row>
    <row r="2863" spans="1:11" ht="13.2">
      <c r="A2863" s="89"/>
      <c r="B2863" s="90"/>
      <c r="C2863" s="91"/>
      <c r="D2863" s="92"/>
      <c r="E2863" s="93"/>
      <c r="F2863" s="94"/>
      <c r="G2863" s="95"/>
      <c r="H2863" s="96"/>
      <c r="I2863" s="97"/>
      <c r="J2863" s="98"/>
      <c r="K2863" s="99"/>
    </row>
    <row r="2864" spans="1:11" ht="13.2">
      <c r="A2864" s="89"/>
      <c r="B2864" s="90"/>
      <c r="C2864" s="91"/>
      <c r="D2864" s="92"/>
      <c r="E2864" s="93"/>
      <c r="F2864" s="94"/>
      <c r="G2864" s="95"/>
      <c r="H2864" s="96"/>
      <c r="I2864" s="97"/>
      <c r="J2864" s="98"/>
      <c r="K2864" s="99"/>
    </row>
    <row r="2865" spans="1:11" ht="13.2">
      <c r="A2865" s="89"/>
      <c r="B2865" s="90"/>
      <c r="C2865" s="91"/>
      <c r="D2865" s="92"/>
      <c r="E2865" s="93"/>
      <c r="F2865" s="94"/>
      <c r="G2865" s="95"/>
      <c r="H2865" s="96"/>
      <c r="I2865" s="97"/>
      <c r="J2865" s="98"/>
      <c r="K2865" s="99"/>
    </row>
    <row r="2866" spans="1:11" ht="13.2">
      <c r="A2866" s="89"/>
      <c r="B2866" s="90"/>
      <c r="C2866" s="91"/>
      <c r="D2866" s="92"/>
      <c r="E2866" s="93"/>
      <c r="F2866" s="94"/>
      <c r="G2866" s="95"/>
      <c r="H2866" s="96"/>
      <c r="I2866" s="97"/>
      <c r="J2866" s="98"/>
      <c r="K2866" s="99"/>
    </row>
    <row r="2867" spans="1:11" ht="13.2">
      <c r="A2867" s="89"/>
      <c r="B2867" s="90"/>
      <c r="C2867" s="91"/>
      <c r="D2867" s="92"/>
      <c r="E2867" s="93"/>
      <c r="F2867" s="94"/>
      <c r="G2867" s="95"/>
      <c r="H2867" s="96"/>
      <c r="I2867" s="97"/>
      <c r="J2867" s="98"/>
      <c r="K2867" s="99"/>
    </row>
    <row r="2868" spans="1:11" ht="13.2">
      <c r="A2868" s="89"/>
      <c r="B2868" s="90"/>
      <c r="C2868" s="91"/>
      <c r="D2868" s="92"/>
      <c r="E2868" s="93"/>
      <c r="F2868" s="94"/>
      <c r="G2868" s="95"/>
      <c r="H2868" s="96"/>
      <c r="I2868" s="97"/>
      <c r="J2868" s="98"/>
      <c r="K2868" s="99"/>
    </row>
    <row r="2869" spans="1:11" ht="13.2">
      <c r="A2869" s="89"/>
      <c r="B2869" s="90"/>
      <c r="C2869" s="91"/>
      <c r="D2869" s="92"/>
      <c r="E2869" s="93"/>
      <c r="F2869" s="94"/>
      <c r="G2869" s="95"/>
      <c r="H2869" s="96"/>
      <c r="I2869" s="97"/>
      <c r="J2869" s="98"/>
      <c r="K2869" s="99"/>
    </row>
    <row r="2870" spans="1:11" ht="13.2">
      <c r="A2870" s="89"/>
      <c r="B2870" s="90"/>
      <c r="C2870" s="91"/>
      <c r="D2870" s="92"/>
      <c r="E2870" s="93"/>
      <c r="F2870" s="94"/>
      <c r="G2870" s="95"/>
      <c r="H2870" s="96"/>
      <c r="I2870" s="97"/>
      <c r="J2870" s="98"/>
      <c r="K2870" s="99"/>
    </row>
    <row r="2871" spans="1:11" ht="13.2">
      <c r="A2871" s="89"/>
      <c r="B2871" s="90"/>
      <c r="C2871" s="91"/>
      <c r="D2871" s="92"/>
      <c r="E2871" s="93"/>
      <c r="F2871" s="94"/>
      <c r="G2871" s="95"/>
      <c r="H2871" s="96"/>
      <c r="I2871" s="97"/>
      <c r="J2871" s="98"/>
      <c r="K2871" s="99"/>
    </row>
    <row r="2872" spans="1:11" ht="13.2">
      <c r="A2872" s="89"/>
      <c r="B2872" s="90"/>
      <c r="C2872" s="91"/>
      <c r="D2872" s="92"/>
      <c r="E2872" s="93"/>
      <c r="F2872" s="94"/>
      <c r="G2872" s="95"/>
      <c r="H2872" s="96"/>
      <c r="I2872" s="97"/>
      <c r="J2872" s="98"/>
      <c r="K2872" s="99"/>
    </row>
    <row r="2873" spans="1:11" ht="13.2">
      <c r="A2873" s="89"/>
      <c r="B2873" s="90"/>
      <c r="C2873" s="91"/>
      <c r="D2873" s="92"/>
      <c r="E2873" s="93"/>
      <c r="F2873" s="94"/>
      <c r="G2873" s="95"/>
      <c r="H2873" s="96"/>
      <c r="I2873" s="97"/>
      <c r="J2873" s="98"/>
      <c r="K2873" s="99"/>
    </row>
    <row r="2874" spans="1:11" ht="13.2">
      <c r="A2874" s="89"/>
      <c r="B2874" s="90"/>
      <c r="C2874" s="91"/>
      <c r="D2874" s="92"/>
      <c r="E2874" s="93"/>
      <c r="F2874" s="94"/>
      <c r="G2874" s="95"/>
      <c r="H2874" s="96"/>
      <c r="I2874" s="97"/>
      <c r="J2874" s="98"/>
      <c r="K2874" s="99"/>
    </row>
    <row r="2875" spans="1:11" ht="13.2">
      <c r="A2875" s="89"/>
      <c r="B2875" s="90"/>
      <c r="C2875" s="91"/>
      <c r="D2875" s="92"/>
      <c r="E2875" s="93"/>
      <c r="F2875" s="94"/>
      <c r="G2875" s="95"/>
      <c r="H2875" s="96"/>
      <c r="I2875" s="97"/>
      <c r="J2875" s="98"/>
      <c r="K2875" s="99"/>
    </row>
    <row r="2876" spans="1:11" ht="13.2">
      <c r="A2876" s="89"/>
      <c r="B2876" s="90"/>
      <c r="C2876" s="91"/>
      <c r="D2876" s="92"/>
      <c r="E2876" s="93"/>
      <c r="F2876" s="94"/>
      <c r="G2876" s="95"/>
      <c r="H2876" s="96"/>
      <c r="I2876" s="97"/>
      <c r="J2876" s="98"/>
      <c r="K2876" s="99"/>
    </row>
    <row r="2877" spans="1:11" ht="13.2">
      <c r="A2877" s="89"/>
      <c r="B2877" s="90"/>
      <c r="C2877" s="91"/>
      <c r="D2877" s="92"/>
      <c r="E2877" s="93"/>
      <c r="F2877" s="94"/>
      <c r="G2877" s="95"/>
      <c r="H2877" s="96"/>
      <c r="I2877" s="97"/>
      <c r="J2877" s="98"/>
      <c r="K2877" s="99"/>
    </row>
    <row r="2878" spans="1:11" ht="13.2">
      <c r="A2878" s="89"/>
      <c r="B2878" s="90"/>
      <c r="C2878" s="91"/>
      <c r="D2878" s="92"/>
      <c r="E2878" s="93"/>
      <c r="F2878" s="94"/>
      <c r="G2878" s="95"/>
      <c r="H2878" s="96"/>
      <c r="I2878" s="97"/>
      <c r="J2878" s="98"/>
      <c r="K2878" s="99"/>
    </row>
    <row r="2879" spans="1:11" ht="13.2">
      <c r="A2879" s="89"/>
      <c r="B2879" s="90"/>
      <c r="C2879" s="91"/>
      <c r="D2879" s="92"/>
      <c r="E2879" s="93"/>
      <c r="F2879" s="94"/>
      <c r="G2879" s="95"/>
      <c r="H2879" s="96"/>
      <c r="I2879" s="97"/>
      <c r="J2879" s="98"/>
      <c r="K2879" s="99"/>
    </row>
    <row r="2880" spans="1:11" ht="13.2">
      <c r="A2880" s="89"/>
      <c r="B2880" s="90"/>
      <c r="C2880" s="91"/>
      <c r="D2880" s="92"/>
      <c r="E2880" s="93"/>
      <c r="F2880" s="94"/>
      <c r="G2880" s="95"/>
      <c r="H2880" s="96"/>
      <c r="I2880" s="97"/>
      <c r="J2880" s="98"/>
      <c r="K2880" s="99"/>
    </row>
    <row r="2881" spans="1:11" ht="13.2">
      <c r="A2881" s="89"/>
      <c r="B2881" s="90"/>
      <c r="C2881" s="91"/>
      <c r="D2881" s="92"/>
      <c r="E2881" s="93"/>
      <c r="F2881" s="94"/>
      <c r="G2881" s="95"/>
      <c r="H2881" s="96"/>
      <c r="I2881" s="97"/>
      <c r="J2881" s="98"/>
      <c r="K2881" s="99"/>
    </row>
    <row r="2882" spans="1:11" ht="13.2">
      <c r="A2882" s="89"/>
      <c r="B2882" s="90"/>
      <c r="C2882" s="91"/>
      <c r="D2882" s="92"/>
      <c r="E2882" s="93"/>
      <c r="F2882" s="94"/>
      <c r="G2882" s="95"/>
      <c r="H2882" s="96"/>
      <c r="I2882" s="97"/>
      <c r="J2882" s="98"/>
      <c r="K2882" s="99"/>
    </row>
    <row r="2883" spans="1:11" ht="13.2">
      <c r="A2883" s="89"/>
      <c r="B2883" s="90"/>
      <c r="C2883" s="91"/>
      <c r="D2883" s="92"/>
      <c r="E2883" s="93"/>
      <c r="F2883" s="94"/>
      <c r="G2883" s="95"/>
      <c r="H2883" s="96"/>
      <c r="I2883" s="97"/>
      <c r="J2883" s="98"/>
      <c r="K2883" s="99"/>
    </row>
    <row r="2884" spans="1:11" ht="13.2">
      <c r="A2884" s="89"/>
      <c r="B2884" s="90"/>
      <c r="C2884" s="91"/>
      <c r="D2884" s="92"/>
      <c r="E2884" s="93"/>
      <c r="F2884" s="94"/>
      <c r="G2884" s="95"/>
      <c r="H2884" s="96"/>
      <c r="I2884" s="97"/>
      <c r="J2884" s="98"/>
      <c r="K2884" s="99"/>
    </row>
    <row r="2885" spans="1:11" ht="13.2">
      <c r="A2885" s="89"/>
      <c r="B2885" s="90"/>
      <c r="C2885" s="91"/>
      <c r="D2885" s="92"/>
      <c r="E2885" s="93"/>
      <c r="F2885" s="94"/>
      <c r="G2885" s="95"/>
      <c r="H2885" s="96"/>
      <c r="I2885" s="97"/>
      <c r="J2885" s="98"/>
      <c r="K2885" s="99"/>
    </row>
    <row r="2886" spans="1:11" ht="13.2">
      <c r="A2886" s="89"/>
      <c r="B2886" s="90"/>
      <c r="C2886" s="91"/>
      <c r="D2886" s="92"/>
      <c r="E2886" s="93"/>
      <c r="F2886" s="94"/>
      <c r="G2886" s="95"/>
      <c r="H2886" s="96"/>
      <c r="I2886" s="97"/>
      <c r="J2886" s="98"/>
      <c r="K2886" s="99"/>
    </row>
    <row r="2887" spans="1:11" ht="13.2">
      <c r="A2887" s="89"/>
      <c r="B2887" s="90"/>
      <c r="C2887" s="91"/>
      <c r="D2887" s="92"/>
      <c r="E2887" s="93"/>
      <c r="F2887" s="94"/>
      <c r="G2887" s="95"/>
      <c r="H2887" s="96"/>
      <c r="I2887" s="97"/>
      <c r="J2887" s="98"/>
      <c r="K2887" s="99"/>
    </row>
    <row r="2888" spans="1:11" ht="13.2">
      <c r="A2888" s="89"/>
      <c r="B2888" s="90"/>
      <c r="C2888" s="91"/>
      <c r="D2888" s="92"/>
      <c r="E2888" s="93"/>
      <c r="F2888" s="94"/>
      <c r="G2888" s="95"/>
      <c r="H2888" s="96"/>
      <c r="I2888" s="97"/>
      <c r="J2888" s="98"/>
      <c r="K2888" s="99"/>
    </row>
    <row r="2889" spans="1:11" ht="13.2">
      <c r="A2889" s="89"/>
      <c r="B2889" s="90"/>
      <c r="C2889" s="91"/>
      <c r="D2889" s="92"/>
      <c r="E2889" s="93"/>
      <c r="F2889" s="94"/>
      <c r="G2889" s="95"/>
      <c r="H2889" s="96"/>
      <c r="I2889" s="97"/>
      <c r="J2889" s="98"/>
      <c r="K2889" s="99"/>
    </row>
    <row r="2890" spans="1:11" ht="13.2">
      <c r="A2890" s="89"/>
      <c r="B2890" s="90"/>
      <c r="C2890" s="91"/>
      <c r="D2890" s="92"/>
      <c r="E2890" s="93"/>
      <c r="F2890" s="94"/>
      <c r="G2890" s="95"/>
      <c r="H2890" s="96"/>
      <c r="I2890" s="97"/>
      <c r="J2890" s="98"/>
      <c r="K2890" s="99"/>
    </row>
    <row r="2891" spans="1:11" ht="13.2">
      <c r="A2891" s="89"/>
      <c r="B2891" s="90"/>
      <c r="C2891" s="91"/>
      <c r="D2891" s="92"/>
      <c r="E2891" s="93"/>
      <c r="F2891" s="94"/>
      <c r="G2891" s="95"/>
      <c r="H2891" s="96"/>
      <c r="I2891" s="97"/>
      <c r="J2891" s="98"/>
      <c r="K2891" s="99"/>
    </row>
    <row r="2892" spans="1:11" ht="13.2">
      <c r="A2892" s="89"/>
      <c r="B2892" s="90"/>
      <c r="C2892" s="91"/>
      <c r="D2892" s="92"/>
      <c r="E2892" s="93"/>
      <c r="F2892" s="94"/>
      <c r="G2892" s="95"/>
      <c r="H2892" s="96"/>
      <c r="I2892" s="97"/>
      <c r="J2892" s="98"/>
      <c r="K2892" s="99"/>
    </row>
    <row r="2893" spans="1:11" ht="13.2">
      <c r="A2893" s="89"/>
      <c r="B2893" s="90"/>
      <c r="C2893" s="91"/>
      <c r="D2893" s="92"/>
      <c r="E2893" s="93"/>
      <c r="F2893" s="94"/>
      <c r="G2893" s="95"/>
      <c r="H2893" s="96"/>
      <c r="I2893" s="97"/>
      <c r="J2893" s="98"/>
      <c r="K2893" s="99"/>
    </row>
    <row r="2894" spans="1:11" ht="13.2">
      <c r="A2894" s="89"/>
      <c r="B2894" s="90"/>
      <c r="C2894" s="91"/>
      <c r="D2894" s="92"/>
      <c r="E2894" s="93"/>
      <c r="F2894" s="94"/>
      <c r="G2894" s="95"/>
      <c r="H2894" s="96"/>
      <c r="I2894" s="97"/>
      <c r="J2894" s="98"/>
      <c r="K2894" s="99"/>
    </row>
    <row r="2895" spans="1:11" ht="13.2">
      <c r="A2895" s="89"/>
      <c r="B2895" s="90"/>
      <c r="C2895" s="91"/>
      <c r="D2895" s="92"/>
      <c r="E2895" s="93"/>
      <c r="F2895" s="94"/>
      <c r="G2895" s="95"/>
      <c r="H2895" s="96"/>
      <c r="I2895" s="97"/>
      <c r="J2895" s="98"/>
      <c r="K2895" s="99"/>
    </row>
    <row r="2896" spans="1:11" ht="13.2">
      <c r="A2896" s="89"/>
      <c r="B2896" s="90"/>
      <c r="C2896" s="91"/>
      <c r="D2896" s="92"/>
      <c r="E2896" s="93"/>
      <c r="F2896" s="94"/>
      <c r="G2896" s="95"/>
      <c r="H2896" s="96"/>
      <c r="I2896" s="97"/>
      <c r="J2896" s="98"/>
      <c r="K2896" s="99"/>
    </row>
    <row r="2897" spans="1:11" ht="13.2">
      <c r="A2897" s="89"/>
      <c r="B2897" s="90"/>
      <c r="C2897" s="91"/>
      <c r="D2897" s="92"/>
      <c r="E2897" s="93"/>
      <c r="F2897" s="94"/>
      <c r="G2897" s="95"/>
      <c r="H2897" s="96"/>
      <c r="I2897" s="97"/>
      <c r="J2897" s="98"/>
      <c r="K2897" s="99"/>
    </row>
    <row r="2898" spans="1:11" ht="13.2">
      <c r="A2898" s="89"/>
      <c r="B2898" s="90"/>
      <c r="C2898" s="91"/>
      <c r="D2898" s="92"/>
      <c r="E2898" s="93"/>
      <c r="F2898" s="94"/>
      <c r="G2898" s="95"/>
      <c r="H2898" s="96"/>
      <c r="I2898" s="97"/>
      <c r="J2898" s="98"/>
      <c r="K2898" s="99"/>
    </row>
    <row r="2899" spans="1:11" ht="13.2">
      <c r="A2899" s="89"/>
      <c r="B2899" s="90"/>
      <c r="C2899" s="91"/>
      <c r="D2899" s="92"/>
      <c r="E2899" s="93"/>
      <c r="F2899" s="94"/>
      <c r="G2899" s="95"/>
      <c r="H2899" s="96"/>
      <c r="I2899" s="97"/>
      <c r="J2899" s="98"/>
      <c r="K2899" s="99"/>
    </row>
    <row r="2900" spans="1:11" ht="13.2">
      <c r="A2900" s="89"/>
      <c r="B2900" s="90"/>
      <c r="C2900" s="91"/>
      <c r="D2900" s="92"/>
      <c r="E2900" s="93"/>
      <c r="F2900" s="94"/>
      <c r="G2900" s="95"/>
      <c r="H2900" s="96"/>
      <c r="I2900" s="97"/>
      <c r="J2900" s="98"/>
      <c r="K2900" s="99"/>
    </row>
    <row r="2901" spans="1:11" ht="13.2">
      <c r="A2901" s="89"/>
      <c r="B2901" s="90"/>
      <c r="C2901" s="91"/>
      <c r="D2901" s="92"/>
      <c r="E2901" s="93"/>
      <c r="F2901" s="94"/>
      <c r="G2901" s="95"/>
      <c r="H2901" s="96"/>
      <c r="I2901" s="97"/>
      <c r="J2901" s="98"/>
      <c r="K2901" s="99"/>
    </row>
    <row r="2902" spans="1:11" ht="13.2">
      <c r="A2902" s="89"/>
      <c r="B2902" s="90"/>
      <c r="C2902" s="91"/>
      <c r="D2902" s="92"/>
      <c r="E2902" s="93"/>
      <c r="F2902" s="94"/>
      <c r="G2902" s="95"/>
      <c r="H2902" s="96"/>
      <c r="I2902" s="97"/>
      <c r="J2902" s="98"/>
      <c r="K2902" s="99"/>
    </row>
    <row r="2903" spans="1:11" ht="13.2">
      <c r="A2903" s="89"/>
      <c r="B2903" s="90"/>
      <c r="C2903" s="91"/>
      <c r="D2903" s="92"/>
      <c r="E2903" s="93"/>
      <c r="F2903" s="94"/>
      <c r="G2903" s="95"/>
      <c r="H2903" s="96"/>
      <c r="I2903" s="97"/>
      <c r="J2903" s="98"/>
      <c r="K2903" s="99"/>
    </row>
    <row r="2904" spans="1:11" ht="13.2">
      <c r="A2904" s="89"/>
      <c r="B2904" s="90"/>
      <c r="C2904" s="91"/>
      <c r="D2904" s="92"/>
      <c r="E2904" s="93"/>
      <c r="F2904" s="94"/>
      <c r="G2904" s="95"/>
      <c r="H2904" s="96"/>
      <c r="I2904" s="97"/>
      <c r="J2904" s="98"/>
      <c r="K2904" s="99"/>
    </row>
    <row r="2905" spans="1:11" ht="13.2">
      <c r="A2905" s="89"/>
      <c r="B2905" s="90"/>
      <c r="C2905" s="91"/>
      <c r="D2905" s="92"/>
      <c r="E2905" s="93"/>
      <c r="F2905" s="94"/>
      <c r="G2905" s="95"/>
      <c r="H2905" s="96"/>
      <c r="I2905" s="97"/>
      <c r="J2905" s="98"/>
      <c r="K2905" s="99"/>
    </row>
    <row r="2906" spans="1:11" ht="13.2">
      <c r="A2906" s="89"/>
      <c r="B2906" s="90"/>
      <c r="C2906" s="91"/>
      <c r="D2906" s="92"/>
      <c r="E2906" s="93"/>
      <c r="F2906" s="94"/>
      <c r="G2906" s="95"/>
      <c r="H2906" s="96"/>
      <c r="I2906" s="97"/>
      <c r="J2906" s="98"/>
      <c r="K2906" s="99"/>
    </row>
    <row r="2907" spans="1:11" ht="13.2">
      <c r="A2907" s="89"/>
      <c r="B2907" s="90"/>
      <c r="C2907" s="91"/>
      <c r="D2907" s="92"/>
      <c r="E2907" s="93"/>
      <c r="F2907" s="94"/>
      <c r="G2907" s="95"/>
      <c r="H2907" s="96"/>
      <c r="I2907" s="97"/>
      <c r="J2907" s="98"/>
      <c r="K2907" s="99"/>
    </row>
    <row r="2908" spans="1:11" ht="13.2">
      <c r="A2908" s="89"/>
      <c r="B2908" s="90"/>
      <c r="C2908" s="91"/>
      <c r="D2908" s="92"/>
      <c r="E2908" s="93"/>
      <c r="F2908" s="94"/>
      <c r="G2908" s="95"/>
      <c r="H2908" s="96"/>
      <c r="I2908" s="97"/>
      <c r="J2908" s="98"/>
      <c r="K2908" s="99"/>
    </row>
    <row r="2909" spans="1:11" ht="13.2">
      <c r="A2909" s="89"/>
      <c r="B2909" s="90"/>
      <c r="C2909" s="91"/>
      <c r="D2909" s="92"/>
      <c r="E2909" s="93"/>
      <c r="F2909" s="94"/>
      <c r="G2909" s="95"/>
      <c r="H2909" s="96"/>
      <c r="I2909" s="97"/>
      <c r="J2909" s="98"/>
      <c r="K2909" s="99"/>
    </row>
    <row r="2910" spans="1:11" ht="13.2">
      <c r="A2910" s="89"/>
      <c r="B2910" s="90"/>
      <c r="C2910" s="91"/>
      <c r="D2910" s="92"/>
      <c r="E2910" s="93"/>
      <c r="F2910" s="94"/>
      <c r="G2910" s="95"/>
      <c r="H2910" s="96"/>
      <c r="I2910" s="97"/>
      <c r="J2910" s="98"/>
      <c r="K2910" s="99"/>
    </row>
    <row r="2911" spans="1:11" ht="13.2">
      <c r="A2911" s="89"/>
      <c r="B2911" s="90"/>
      <c r="C2911" s="91"/>
      <c r="D2911" s="92"/>
      <c r="E2911" s="93"/>
      <c r="F2911" s="94"/>
      <c r="G2911" s="95"/>
      <c r="H2911" s="96"/>
      <c r="I2911" s="97"/>
      <c r="J2911" s="98"/>
      <c r="K2911" s="99"/>
    </row>
    <row r="2912" spans="1:11" ht="13.2">
      <c r="A2912" s="89"/>
      <c r="B2912" s="90"/>
      <c r="C2912" s="91"/>
      <c r="D2912" s="92"/>
      <c r="E2912" s="93"/>
      <c r="F2912" s="94"/>
      <c r="G2912" s="95"/>
      <c r="H2912" s="96"/>
      <c r="I2912" s="97"/>
      <c r="J2912" s="98"/>
      <c r="K2912" s="99"/>
    </row>
    <row r="2913" spans="1:11" ht="13.2">
      <c r="A2913" s="89"/>
      <c r="B2913" s="90"/>
      <c r="C2913" s="91"/>
      <c r="D2913" s="92"/>
      <c r="E2913" s="93"/>
      <c r="F2913" s="94"/>
      <c r="G2913" s="95"/>
      <c r="H2913" s="96"/>
      <c r="I2913" s="97"/>
      <c r="J2913" s="98"/>
      <c r="K2913" s="99"/>
    </row>
    <row r="2914" spans="1:11" ht="13.2">
      <c r="A2914" s="89"/>
      <c r="B2914" s="90"/>
      <c r="C2914" s="91"/>
      <c r="D2914" s="92"/>
      <c r="E2914" s="93"/>
      <c r="F2914" s="94"/>
      <c r="G2914" s="95"/>
      <c r="H2914" s="96"/>
      <c r="I2914" s="97"/>
      <c r="J2914" s="98"/>
      <c r="K2914" s="99"/>
    </row>
    <row r="2915" spans="1:11" ht="13.2">
      <c r="A2915" s="89"/>
      <c r="B2915" s="90"/>
      <c r="C2915" s="91"/>
      <c r="D2915" s="92"/>
      <c r="E2915" s="93"/>
      <c r="F2915" s="94"/>
      <c r="G2915" s="95"/>
      <c r="H2915" s="96"/>
      <c r="I2915" s="97"/>
      <c r="J2915" s="98"/>
      <c r="K2915" s="99"/>
    </row>
    <row r="2916" spans="1:11" ht="13.2">
      <c r="A2916" s="89"/>
      <c r="B2916" s="90"/>
      <c r="C2916" s="91"/>
      <c r="D2916" s="92"/>
      <c r="E2916" s="93"/>
      <c r="F2916" s="94"/>
      <c r="G2916" s="95"/>
      <c r="H2916" s="96"/>
      <c r="I2916" s="97"/>
      <c r="J2916" s="98"/>
      <c r="K2916" s="99"/>
    </row>
    <row r="2917" spans="1:11" ht="13.2">
      <c r="A2917" s="89"/>
      <c r="B2917" s="90"/>
      <c r="C2917" s="91"/>
      <c r="D2917" s="92"/>
      <c r="E2917" s="93"/>
      <c r="F2917" s="94"/>
      <c r="G2917" s="95"/>
      <c r="H2917" s="96"/>
      <c r="I2917" s="97"/>
      <c r="J2917" s="98"/>
      <c r="K2917" s="99"/>
    </row>
    <row r="2918" spans="1:11" ht="13.2">
      <c r="A2918" s="89"/>
      <c r="B2918" s="90"/>
      <c r="C2918" s="91"/>
      <c r="D2918" s="92"/>
      <c r="E2918" s="93"/>
      <c r="F2918" s="94"/>
      <c r="G2918" s="95"/>
      <c r="H2918" s="96"/>
      <c r="I2918" s="97"/>
      <c r="J2918" s="98"/>
      <c r="K2918" s="99"/>
    </row>
    <row r="2919" spans="1:11" ht="13.2">
      <c r="A2919" s="89"/>
      <c r="B2919" s="90"/>
      <c r="C2919" s="91"/>
      <c r="D2919" s="92"/>
      <c r="E2919" s="93"/>
      <c r="F2919" s="94"/>
      <c r="G2919" s="95"/>
      <c r="H2919" s="96"/>
      <c r="I2919" s="97"/>
      <c r="J2919" s="98"/>
      <c r="K2919" s="99"/>
    </row>
    <row r="2920" spans="1:11" ht="13.2">
      <c r="A2920" s="89"/>
      <c r="B2920" s="90"/>
      <c r="C2920" s="91"/>
      <c r="D2920" s="92"/>
      <c r="E2920" s="93"/>
      <c r="F2920" s="94"/>
      <c r="G2920" s="95"/>
      <c r="H2920" s="96"/>
      <c r="I2920" s="97"/>
      <c r="J2920" s="98"/>
      <c r="K2920" s="99"/>
    </row>
    <row r="2921" spans="1:11" ht="13.2">
      <c r="A2921" s="89"/>
      <c r="B2921" s="90"/>
      <c r="C2921" s="91"/>
      <c r="D2921" s="92"/>
      <c r="E2921" s="93"/>
      <c r="F2921" s="94"/>
      <c r="G2921" s="95"/>
      <c r="H2921" s="96"/>
      <c r="I2921" s="97"/>
      <c r="J2921" s="98"/>
      <c r="K2921" s="99"/>
    </row>
    <row r="2922" spans="1:11" ht="13.2">
      <c r="A2922" s="89"/>
      <c r="B2922" s="90"/>
      <c r="C2922" s="91"/>
      <c r="D2922" s="92"/>
      <c r="E2922" s="93"/>
      <c r="F2922" s="94"/>
      <c r="G2922" s="95"/>
      <c r="H2922" s="96"/>
      <c r="I2922" s="97"/>
      <c r="J2922" s="98"/>
      <c r="K2922" s="99"/>
    </row>
    <row r="2923" spans="1:11" ht="13.2">
      <c r="A2923" s="89"/>
      <c r="B2923" s="90"/>
      <c r="C2923" s="91"/>
      <c r="D2923" s="92"/>
      <c r="E2923" s="93"/>
      <c r="F2923" s="94"/>
      <c r="G2923" s="95"/>
      <c r="H2923" s="96"/>
      <c r="I2923" s="97"/>
      <c r="J2923" s="98"/>
      <c r="K2923" s="99"/>
    </row>
    <row r="2924" spans="1:11" ht="13.2">
      <c r="A2924" s="89"/>
      <c r="B2924" s="90"/>
      <c r="C2924" s="91"/>
      <c r="D2924" s="92"/>
      <c r="E2924" s="93"/>
      <c r="F2924" s="94"/>
      <c r="G2924" s="95"/>
      <c r="H2924" s="96"/>
      <c r="I2924" s="97"/>
      <c r="J2924" s="98"/>
      <c r="K2924" s="99"/>
    </row>
    <row r="2925" spans="1:11" ht="13.2">
      <c r="A2925" s="89"/>
      <c r="B2925" s="90"/>
      <c r="C2925" s="91"/>
      <c r="D2925" s="92"/>
      <c r="E2925" s="93"/>
      <c r="F2925" s="94"/>
      <c r="G2925" s="95"/>
      <c r="H2925" s="96"/>
      <c r="I2925" s="97"/>
      <c r="J2925" s="98"/>
      <c r="K2925" s="99"/>
    </row>
    <row r="2926" spans="1:11" ht="13.2">
      <c r="A2926" s="89"/>
      <c r="B2926" s="90"/>
      <c r="C2926" s="91"/>
      <c r="D2926" s="92"/>
      <c r="E2926" s="93"/>
      <c r="F2926" s="94"/>
      <c r="G2926" s="95"/>
      <c r="H2926" s="96"/>
      <c r="I2926" s="97"/>
      <c r="J2926" s="98"/>
      <c r="K2926" s="99"/>
    </row>
    <row r="2927" spans="1:11" ht="13.2">
      <c r="A2927" s="89"/>
      <c r="B2927" s="90"/>
      <c r="C2927" s="91"/>
      <c r="D2927" s="92"/>
      <c r="E2927" s="93"/>
      <c r="F2927" s="94"/>
      <c r="G2927" s="95"/>
      <c r="H2927" s="96"/>
      <c r="I2927" s="97"/>
      <c r="J2927" s="98"/>
      <c r="K2927" s="99"/>
    </row>
    <row r="2928" spans="1:11" ht="13.2">
      <c r="A2928" s="89"/>
      <c r="B2928" s="90"/>
      <c r="C2928" s="91"/>
      <c r="D2928" s="92"/>
      <c r="E2928" s="93"/>
      <c r="F2928" s="94"/>
      <c r="G2928" s="95"/>
      <c r="H2928" s="96"/>
      <c r="I2928" s="97"/>
      <c r="J2928" s="98"/>
      <c r="K2928" s="99"/>
    </row>
    <row r="2929" spans="1:11" ht="13.2">
      <c r="A2929" s="89"/>
      <c r="B2929" s="90"/>
      <c r="C2929" s="91"/>
      <c r="D2929" s="92"/>
      <c r="E2929" s="93"/>
      <c r="F2929" s="94"/>
      <c r="G2929" s="95"/>
      <c r="H2929" s="96"/>
      <c r="I2929" s="97"/>
      <c r="J2929" s="98"/>
      <c r="K2929" s="99"/>
    </row>
    <row r="2930" spans="1:11" ht="13.2">
      <c r="A2930" s="89"/>
      <c r="B2930" s="90"/>
      <c r="C2930" s="91"/>
      <c r="D2930" s="92"/>
      <c r="E2930" s="93"/>
      <c r="F2930" s="94"/>
      <c r="G2930" s="95"/>
      <c r="H2930" s="96"/>
      <c r="I2930" s="97"/>
      <c r="J2930" s="98"/>
      <c r="K2930" s="99"/>
    </row>
    <row r="2931" spans="1:11" ht="13.2">
      <c r="A2931" s="89"/>
      <c r="B2931" s="90"/>
      <c r="C2931" s="91"/>
      <c r="D2931" s="92"/>
      <c r="E2931" s="93"/>
      <c r="F2931" s="94"/>
      <c r="G2931" s="95"/>
      <c r="H2931" s="96"/>
      <c r="I2931" s="97"/>
      <c r="J2931" s="98"/>
      <c r="K2931" s="99"/>
    </row>
    <row r="2932" spans="1:11" ht="13.2">
      <c r="A2932" s="89"/>
      <c r="B2932" s="90"/>
      <c r="C2932" s="91"/>
      <c r="D2932" s="92"/>
      <c r="E2932" s="93"/>
      <c r="F2932" s="94"/>
      <c r="G2932" s="95"/>
      <c r="H2932" s="96"/>
      <c r="I2932" s="97"/>
      <c r="J2932" s="98"/>
      <c r="K2932" s="99"/>
    </row>
    <row r="2933" spans="1:11" ht="13.2">
      <c r="A2933" s="89"/>
      <c r="B2933" s="90"/>
      <c r="C2933" s="91"/>
      <c r="D2933" s="92"/>
      <c r="E2933" s="93"/>
      <c r="F2933" s="94"/>
      <c r="G2933" s="95"/>
      <c r="H2933" s="96"/>
      <c r="I2933" s="97"/>
      <c r="J2933" s="98"/>
      <c r="K2933" s="99"/>
    </row>
    <row r="2934" spans="1:11" ht="13.2">
      <c r="A2934" s="89"/>
      <c r="B2934" s="90"/>
      <c r="C2934" s="91"/>
      <c r="D2934" s="92"/>
      <c r="E2934" s="93"/>
      <c r="F2934" s="94"/>
      <c r="G2934" s="95"/>
      <c r="H2934" s="96"/>
      <c r="I2934" s="97"/>
      <c r="J2934" s="98"/>
      <c r="K2934" s="99"/>
    </row>
    <row r="2935" spans="1:11" ht="13.2">
      <c r="A2935" s="89"/>
      <c r="B2935" s="90"/>
      <c r="C2935" s="91"/>
      <c r="D2935" s="92"/>
      <c r="E2935" s="93"/>
      <c r="F2935" s="94"/>
      <c r="G2935" s="95"/>
      <c r="H2935" s="96"/>
      <c r="I2935" s="97"/>
      <c r="J2935" s="98"/>
      <c r="K2935" s="99"/>
    </row>
    <row r="2936" spans="1:11" ht="13.2">
      <c r="A2936" s="89"/>
      <c r="B2936" s="90"/>
      <c r="C2936" s="91"/>
      <c r="D2936" s="92"/>
      <c r="E2936" s="93"/>
      <c r="F2936" s="94"/>
      <c r="G2936" s="95"/>
      <c r="H2936" s="96"/>
      <c r="I2936" s="97"/>
      <c r="J2936" s="98"/>
      <c r="K2936" s="99"/>
    </row>
    <row r="2937" spans="1:11" ht="13.2">
      <c r="A2937" s="89"/>
      <c r="B2937" s="90"/>
      <c r="C2937" s="91"/>
      <c r="D2937" s="92"/>
      <c r="E2937" s="93"/>
      <c r="F2937" s="94"/>
      <c r="G2937" s="95"/>
      <c r="H2937" s="96"/>
      <c r="I2937" s="97"/>
      <c r="J2937" s="98"/>
      <c r="K2937" s="99"/>
    </row>
    <row r="2938" spans="1:11" ht="13.2">
      <c r="A2938" s="89"/>
      <c r="B2938" s="90"/>
      <c r="C2938" s="91"/>
      <c r="D2938" s="92"/>
      <c r="E2938" s="93"/>
      <c r="F2938" s="94"/>
      <c r="G2938" s="95"/>
      <c r="H2938" s="96"/>
      <c r="I2938" s="97"/>
      <c r="J2938" s="98"/>
      <c r="K2938" s="99"/>
    </row>
    <row r="2939" spans="1:11" ht="13.2">
      <c r="A2939" s="89"/>
      <c r="B2939" s="90"/>
      <c r="C2939" s="91"/>
      <c r="D2939" s="92"/>
      <c r="E2939" s="93"/>
      <c r="F2939" s="94"/>
      <c r="G2939" s="95"/>
      <c r="H2939" s="96"/>
      <c r="I2939" s="97"/>
      <c r="J2939" s="98"/>
      <c r="K2939" s="99"/>
    </row>
    <row r="2940" spans="1:11" ht="13.2">
      <c r="A2940" s="89"/>
      <c r="B2940" s="90"/>
      <c r="C2940" s="91"/>
      <c r="D2940" s="92"/>
      <c r="E2940" s="93"/>
      <c r="F2940" s="94"/>
      <c r="G2940" s="95"/>
      <c r="H2940" s="96"/>
      <c r="I2940" s="97"/>
      <c r="J2940" s="98"/>
      <c r="K2940" s="99"/>
    </row>
    <row r="2941" spans="1:11" ht="13.2">
      <c r="A2941" s="89"/>
      <c r="B2941" s="90"/>
      <c r="C2941" s="91"/>
      <c r="D2941" s="92"/>
      <c r="E2941" s="93"/>
      <c r="F2941" s="94"/>
      <c r="G2941" s="95"/>
      <c r="H2941" s="96"/>
      <c r="I2941" s="97"/>
      <c r="J2941" s="98"/>
      <c r="K2941" s="99"/>
    </row>
    <row r="2942" spans="1:11" ht="13.2">
      <c r="A2942" s="89"/>
      <c r="B2942" s="90"/>
      <c r="C2942" s="91"/>
      <c r="D2942" s="92"/>
      <c r="E2942" s="93"/>
      <c r="F2942" s="94"/>
      <c r="G2942" s="95"/>
      <c r="H2942" s="96"/>
      <c r="I2942" s="97"/>
      <c r="J2942" s="98"/>
      <c r="K2942" s="99"/>
    </row>
    <row r="2943" spans="1:11" ht="13.2">
      <c r="A2943" s="89"/>
      <c r="B2943" s="90"/>
      <c r="C2943" s="91"/>
      <c r="D2943" s="92"/>
      <c r="E2943" s="93"/>
      <c r="F2943" s="94"/>
      <c r="G2943" s="95"/>
      <c r="H2943" s="96"/>
      <c r="I2943" s="97"/>
      <c r="J2943" s="98"/>
      <c r="K2943" s="99"/>
    </row>
    <row r="2944" spans="1:11" ht="13.2">
      <c r="A2944" s="89"/>
      <c r="B2944" s="90"/>
      <c r="C2944" s="91"/>
      <c r="D2944" s="92"/>
      <c r="E2944" s="93"/>
      <c r="F2944" s="94"/>
      <c r="G2944" s="95"/>
      <c r="H2944" s="96"/>
      <c r="I2944" s="97"/>
      <c r="J2944" s="98"/>
      <c r="K2944" s="99"/>
    </row>
    <row r="2945" spans="1:11" ht="13.2">
      <c r="A2945" s="89"/>
      <c r="B2945" s="90"/>
      <c r="C2945" s="91"/>
      <c r="D2945" s="92"/>
      <c r="E2945" s="93"/>
      <c r="F2945" s="94"/>
      <c r="G2945" s="95"/>
      <c r="H2945" s="96"/>
      <c r="I2945" s="97"/>
      <c r="J2945" s="98"/>
      <c r="K2945" s="99"/>
    </row>
    <row r="2946" spans="1:11" ht="13.2">
      <c r="A2946" s="89"/>
      <c r="B2946" s="90"/>
      <c r="C2946" s="91"/>
      <c r="D2946" s="92"/>
      <c r="E2946" s="93"/>
      <c r="F2946" s="94"/>
      <c r="G2946" s="95"/>
      <c r="H2946" s="96"/>
      <c r="I2946" s="97"/>
      <c r="J2946" s="98"/>
      <c r="K2946" s="99"/>
    </row>
    <row r="2947" spans="1:11" ht="13.2">
      <c r="A2947" s="89"/>
      <c r="B2947" s="90"/>
      <c r="C2947" s="91"/>
      <c r="D2947" s="92"/>
      <c r="E2947" s="93"/>
      <c r="F2947" s="94"/>
      <c r="G2947" s="95"/>
      <c r="H2947" s="96"/>
      <c r="I2947" s="97"/>
      <c r="J2947" s="98"/>
      <c r="K2947" s="99"/>
    </row>
    <row r="2948" spans="1:11" ht="13.2">
      <c r="A2948" s="89"/>
      <c r="B2948" s="90"/>
      <c r="C2948" s="91"/>
      <c r="D2948" s="92"/>
      <c r="E2948" s="93"/>
      <c r="F2948" s="94"/>
      <c r="G2948" s="95"/>
      <c r="H2948" s="96"/>
      <c r="I2948" s="97"/>
      <c r="J2948" s="98"/>
      <c r="K2948" s="99"/>
    </row>
    <row r="2949" spans="1:11" ht="13.2">
      <c r="A2949" s="89"/>
      <c r="B2949" s="90"/>
      <c r="C2949" s="91"/>
      <c r="D2949" s="92"/>
      <c r="E2949" s="93"/>
      <c r="F2949" s="94"/>
      <c r="G2949" s="95"/>
      <c r="H2949" s="96"/>
      <c r="I2949" s="97"/>
      <c r="J2949" s="98"/>
      <c r="K2949" s="99"/>
    </row>
    <row r="2950" spans="1:11" ht="13.2">
      <c r="A2950" s="89"/>
      <c r="B2950" s="90"/>
      <c r="C2950" s="91"/>
      <c r="D2950" s="92"/>
      <c r="E2950" s="93"/>
      <c r="F2950" s="94"/>
      <c r="G2950" s="95"/>
      <c r="H2950" s="96"/>
      <c r="I2950" s="97"/>
      <c r="J2950" s="98"/>
      <c r="K2950" s="99"/>
    </row>
    <row r="2951" spans="1:11" ht="13.2">
      <c r="A2951" s="89"/>
      <c r="B2951" s="90"/>
      <c r="C2951" s="91"/>
      <c r="D2951" s="92"/>
      <c r="E2951" s="93"/>
      <c r="F2951" s="94"/>
      <c r="G2951" s="95"/>
      <c r="H2951" s="96"/>
      <c r="I2951" s="97"/>
      <c r="J2951" s="98"/>
      <c r="K2951" s="99"/>
    </row>
    <row r="2952" spans="1:11" ht="13.2">
      <c r="A2952" s="89"/>
      <c r="B2952" s="90"/>
      <c r="C2952" s="91"/>
      <c r="D2952" s="92"/>
      <c r="E2952" s="93"/>
      <c r="F2952" s="94"/>
      <c r="G2952" s="95"/>
      <c r="H2952" s="96"/>
      <c r="I2952" s="97"/>
      <c r="J2952" s="98"/>
      <c r="K2952" s="99"/>
    </row>
    <row r="2953" spans="1:11" ht="13.2">
      <c r="A2953" s="89"/>
      <c r="B2953" s="90"/>
      <c r="C2953" s="91"/>
      <c r="D2953" s="92"/>
      <c r="E2953" s="93"/>
      <c r="F2953" s="94"/>
      <c r="G2953" s="95"/>
      <c r="H2953" s="96"/>
      <c r="I2953" s="97"/>
      <c r="J2953" s="98"/>
      <c r="K2953" s="99"/>
    </row>
    <row r="2954" spans="1:11" ht="13.2">
      <c r="A2954" s="89"/>
      <c r="B2954" s="90"/>
      <c r="C2954" s="91"/>
      <c r="D2954" s="92"/>
      <c r="E2954" s="93"/>
      <c r="F2954" s="94"/>
      <c r="G2954" s="95"/>
      <c r="H2954" s="96"/>
      <c r="I2954" s="97"/>
      <c r="J2954" s="98"/>
      <c r="K2954" s="99"/>
    </row>
    <row r="2955" spans="1:11" ht="13.2">
      <c r="A2955" s="89"/>
      <c r="B2955" s="90"/>
      <c r="C2955" s="91"/>
      <c r="D2955" s="92"/>
      <c r="E2955" s="93"/>
      <c r="F2955" s="94"/>
      <c r="G2955" s="95"/>
      <c r="H2955" s="96"/>
      <c r="I2955" s="97"/>
      <c r="J2955" s="98"/>
      <c r="K2955" s="99"/>
    </row>
    <row r="2956" spans="1:11" ht="13.2">
      <c r="A2956" s="89"/>
      <c r="B2956" s="90"/>
      <c r="C2956" s="91"/>
      <c r="D2956" s="92"/>
      <c r="E2956" s="93"/>
      <c r="F2956" s="94"/>
      <c r="G2956" s="95"/>
      <c r="H2956" s="96"/>
      <c r="I2956" s="97"/>
      <c r="J2956" s="98"/>
      <c r="K2956" s="99"/>
    </row>
    <row r="2957" spans="1:11" ht="13.2">
      <c r="A2957" s="89"/>
      <c r="B2957" s="90"/>
      <c r="C2957" s="91"/>
      <c r="D2957" s="92"/>
      <c r="E2957" s="93"/>
      <c r="F2957" s="94"/>
      <c r="G2957" s="95"/>
      <c r="H2957" s="96"/>
      <c r="I2957" s="97"/>
      <c r="J2957" s="98"/>
      <c r="K2957" s="99"/>
    </row>
    <row r="2958" spans="1:11" ht="13.2">
      <c r="A2958" s="89"/>
      <c r="B2958" s="90"/>
      <c r="C2958" s="91"/>
      <c r="D2958" s="92"/>
      <c r="E2958" s="93"/>
      <c r="F2958" s="94"/>
      <c r="G2958" s="95"/>
      <c r="H2958" s="96"/>
      <c r="I2958" s="97"/>
      <c r="J2958" s="98"/>
      <c r="K2958" s="99"/>
    </row>
    <row r="2959" spans="1:11" ht="13.2">
      <c r="A2959" s="89"/>
      <c r="B2959" s="90"/>
      <c r="C2959" s="91"/>
      <c r="D2959" s="92"/>
      <c r="E2959" s="93"/>
      <c r="F2959" s="94"/>
      <c r="G2959" s="95"/>
      <c r="H2959" s="96"/>
      <c r="I2959" s="97"/>
      <c r="J2959" s="98"/>
      <c r="K2959" s="99"/>
    </row>
    <row r="2960" spans="1:11" ht="13.2">
      <c r="A2960" s="89"/>
      <c r="B2960" s="90"/>
      <c r="C2960" s="91"/>
      <c r="D2960" s="92"/>
      <c r="E2960" s="93"/>
      <c r="F2960" s="94"/>
      <c r="G2960" s="95"/>
      <c r="H2960" s="96"/>
      <c r="I2960" s="97"/>
      <c r="J2960" s="98"/>
      <c r="K2960" s="99"/>
    </row>
    <row r="2961" spans="1:11" ht="13.2">
      <c r="A2961" s="89"/>
      <c r="B2961" s="90"/>
      <c r="C2961" s="91"/>
      <c r="D2961" s="92"/>
      <c r="E2961" s="93"/>
      <c r="F2961" s="94"/>
      <c r="G2961" s="95"/>
      <c r="H2961" s="96"/>
      <c r="I2961" s="97"/>
      <c r="J2961" s="98"/>
      <c r="K2961" s="99"/>
    </row>
    <row r="2962" spans="1:11" ht="13.2">
      <c r="A2962" s="89"/>
      <c r="B2962" s="90"/>
      <c r="C2962" s="91"/>
      <c r="D2962" s="92"/>
      <c r="E2962" s="93"/>
      <c r="F2962" s="94"/>
      <c r="G2962" s="95"/>
      <c r="H2962" s="96"/>
      <c r="I2962" s="97"/>
      <c r="J2962" s="98"/>
      <c r="K2962" s="99"/>
    </row>
    <row r="2963" spans="1:11" ht="13.2">
      <c r="A2963" s="89"/>
      <c r="B2963" s="90"/>
      <c r="C2963" s="91"/>
      <c r="D2963" s="92"/>
      <c r="E2963" s="93"/>
      <c r="F2963" s="94"/>
      <c r="G2963" s="95"/>
      <c r="H2963" s="96"/>
      <c r="I2963" s="97"/>
      <c r="J2963" s="98"/>
      <c r="K2963" s="99"/>
    </row>
    <row r="2964" spans="1:11" ht="13.2">
      <c r="A2964" s="89"/>
      <c r="B2964" s="90"/>
      <c r="C2964" s="91"/>
      <c r="D2964" s="92"/>
      <c r="E2964" s="93"/>
      <c r="F2964" s="94"/>
      <c r="G2964" s="95"/>
      <c r="H2964" s="96"/>
      <c r="I2964" s="97"/>
      <c r="J2964" s="98"/>
      <c r="K2964" s="99"/>
    </row>
    <row r="2965" spans="1:11" ht="13.2">
      <c r="A2965" s="89"/>
      <c r="B2965" s="90"/>
      <c r="C2965" s="91"/>
      <c r="D2965" s="92"/>
      <c r="E2965" s="93"/>
      <c r="F2965" s="94"/>
      <c r="G2965" s="95"/>
      <c r="H2965" s="96"/>
      <c r="I2965" s="97"/>
      <c r="J2965" s="98"/>
      <c r="K2965" s="99"/>
    </row>
    <row r="2966" spans="1:11" ht="13.2">
      <c r="A2966" s="89"/>
      <c r="B2966" s="90"/>
      <c r="C2966" s="91"/>
      <c r="D2966" s="92"/>
      <c r="E2966" s="93"/>
      <c r="F2966" s="94"/>
      <c r="G2966" s="95"/>
      <c r="H2966" s="96"/>
      <c r="I2966" s="97"/>
      <c r="J2966" s="98"/>
      <c r="K2966" s="99"/>
    </row>
    <row r="2967" spans="1:11" ht="13.2">
      <c r="A2967" s="89"/>
      <c r="B2967" s="90"/>
      <c r="C2967" s="91"/>
      <c r="D2967" s="92"/>
      <c r="E2967" s="93"/>
      <c r="F2967" s="94"/>
      <c r="G2967" s="95"/>
      <c r="H2967" s="96"/>
      <c r="I2967" s="97"/>
      <c r="J2967" s="98"/>
      <c r="K2967" s="99"/>
    </row>
    <row r="2968" spans="1:11" ht="13.2">
      <c r="A2968" s="89"/>
      <c r="B2968" s="90"/>
      <c r="C2968" s="91"/>
      <c r="D2968" s="92"/>
      <c r="E2968" s="93"/>
      <c r="F2968" s="94"/>
      <c r="G2968" s="95"/>
      <c r="H2968" s="96"/>
      <c r="I2968" s="97"/>
      <c r="J2968" s="98"/>
      <c r="K2968" s="99"/>
    </row>
    <row r="2969" spans="1:11" ht="13.2">
      <c r="A2969" s="89"/>
      <c r="B2969" s="90"/>
      <c r="C2969" s="91"/>
      <c r="D2969" s="92"/>
      <c r="E2969" s="93"/>
      <c r="F2969" s="94"/>
      <c r="G2969" s="95"/>
      <c r="H2969" s="96"/>
      <c r="I2969" s="97"/>
      <c r="J2969" s="98"/>
      <c r="K2969" s="99"/>
    </row>
    <row r="2970" spans="1:11" ht="13.2">
      <c r="A2970" s="89"/>
      <c r="B2970" s="90"/>
      <c r="C2970" s="91"/>
      <c r="D2970" s="92"/>
      <c r="E2970" s="93"/>
      <c r="F2970" s="94"/>
      <c r="G2970" s="95"/>
      <c r="H2970" s="96"/>
      <c r="I2970" s="97"/>
      <c r="J2970" s="98"/>
      <c r="K2970" s="99"/>
    </row>
    <row r="2971" spans="1:11" ht="13.2">
      <c r="A2971" s="89"/>
      <c r="B2971" s="90"/>
      <c r="C2971" s="91"/>
      <c r="D2971" s="92"/>
      <c r="E2971" s="93"/>
      <c r="F2971" s="94"/>
      <c r="G2971" s="95"/>
      <c r="H2971" s="96"/>
      <c r="I2971" s="97"/>
      <c r="J2971" s="98"/>
      <c r="K2971" s="99"/>
    </row>
    <row r="2972" spans="1:11" ht="13.2">
      <c r="A2972" s="89"/>
      <c r="B2972" s="90"/>
      <c r="C2972" s="91"/>
      <c r="D2972" s="92"/>
      <c r="E2972" s="93"/>
      <c r="F2972" s="94"/>
      <c r="G2972" s="95"/>
      <c r="H2972" s="96"/>
      <c r="I2972" s="97"/>
      <c r="J2972" s="98"/>
      <c r="K2972" s="99"/>
    </row>
    <row r="2973" spans="1:11" ht="13.2">
      <c r="A2973" s="89"/>
      <c r="B2973" s="90"/>
      <c r="C2973" s="91"/>
      <c r="D2973" s="92"/>
      <c r="E2973" s="93"/>
      <c r="F2973" s="94"/>
      <c r="G2973" s="95"/>
      <c r="H2973" s="96"/>
      <c r="I2973" s="97"/>
      <c r="J2973" s="98"/>
      <c r="K2973" s="99"/>
    </row>
    <row r="2974" spans="1:11" ht="13.2">
      <c r="A2974" s="89"/>
      <c r="B2974" s="90"/>
      <c r="C2974" s="91"/>
      <c r="D2974" s="92"/>
      <c r="E2974" s="93"/>
      <c r="F2974" s="94"/>
      <c r="G2974" s="95"/>
      <c r="H2974" s="96"/>
      <c r="I2974" s="97"/>
      <c r="J2974" s="98"/>
      <c r="K2974" s="99"/>
    </row>
    <row r="2975" spans="1:11" ht="13.2">
      <c r="A2975" s="89"/>
      <c r="B2975" s="90"/>
      <c r="C2975" s="91"/>
      <c r="D2975" s="92"/>
      <c r="E2975" s="93"/>
      <c r="F2975" s="94"/>
      <c r="G2975" s="95"/>
      <c r="H2975" s="96"/>
      <c r="I2975" s="97"/>
      <c r="J2975" s="98"/>
      <c r="K2975" s="99"/>
    </row>
    <row r="2976" spans="1:11" ht="13.2">
      <c r="A2976" s="89"/>
      <c r="B2976" s="90"/>
      <c r="C2976" s="91"/>
      <c r="D2976" s="92"/>
      <c r="E2976" s="93"/>
      <c r="F2976" s="94"/>
      <c r="G2976" s="95"/>
      <c r="H2976" s="96"/>
      <c r="I2976" s="97"/>
      <c r="J2976" s="98"/>
      <c r="K2976" s="99"/>
    </row>
    <row r="2977" spans="1:11" ht="13.2">
      <c r="A2977" s="89"/>
      <c r="B2977" s="90"/>
      <c r="C2977" s="91"/>
      <c r="D2977" s="92"/>
      <c r="E2977" s="93"/>
      <c r="F2977" s="94"/>
      <c r="G2977" s="95"/>
      <c r="H2977" s="96"/>
      <c r="I2977" s="97"/>
      <c r="J2977" s="98"/>
      <c r="K2977" s="99"/>
    </row>
    <row r="2978" spans="1:11" ht="13.2">
      <c r="A2978" s="89"/>
      <c r="B2978" s="90"/>
      <c r="C2978" s="91"/>
      <c r="D2978" s="92"/>
      <c r="E2978" s="93"/>
      <c r="F2978" s="94"/>
      <c r="G2978" s="95"/>
      <c r="H2978" s="96"/>
      <c r="I2978" s="97"/>
      <c r="J2978" s="98"/>
      <c r="K2978" s="99"/>
    </row>
    <row r="2979" spans="1:11" ht="13.2">
      <c r="A2979" s="89"/>
      <c r="B2979" s="90"/>
      <c r="C2979" s="91"/>
      <c r="D2979" s="92"/>
      <c r="E2979" s="93"/>
      <c r="F2979" s="94"/>
      <c r="G2979" s="95"/>
      <c r="H2979" s="96"/>
      <c r="I2979" s="97"/>
      <c r="J2979" s="98"/>
      <c r="K2979" s="99"/>
    </row>
    <row r="2980" spans="1:11" ht="13.2">
      <c r="A2980" s="89"/>
      <c r="B2980" s="90"/>
      <c r="C2980" s="91"/>
      <c r="D2980" s="92"/>
      <c r="E2980" s="93"/>
      <c r="F2980" s="94"/>
      <c r="G2980" s="95"/>
      <c r="H2980" s="96"/>
      <c r="I2980" s="97"/>
      <c r="J2980" s="98"/>
      <c r="K2980" s="99"/>
    </row>
    <row r="2981" spans="1:11" ht="13.2">
      <c r="A2981" s="89"/>
      <c r="B2981" s="90"/>
      <c r="C2981" s="91"/>
      <c r="D2981" s="92"/>
      <c r="E2981" s="93"/>
      <c r="F2981" s="94"/>
      <c r="G2981" s="95"/>
      <c r="H2981" s="96"/>
      <c r="I2981" s="97"/>
      <c r="J2981" s="98"/>
      <c r="K2981" s="99"/>
    </row>
    <row r="2982" spans="1:11" ht="13.2">
      <c r="A2982" s="89"/>
      <c r="B2982" s="90"/>
      <c r="C2982" s="91"/>
      <c r="D2982" s="92"/>
      <c r="E2982" s="93"/>
      <c r="F2982" s="94"/>
      <c r="G2982" s="95"/>
      <c r="H2982" s="96"/>
      <c r="I2982" s="97"/>
      <c r="J2982" s="98"/>
      <c r="K2982" s="99"/>
    </row>
    <row r="2983" spans="1:11" ht="13.2">
      <c r="A2983" s="89"/>
      <c r="B2983" s="90"/>
      <c r="C2983" s="91"/>
      <c r="D2983" s="92"/>
      <c r="E2983" s="93"/>
      <c r="F2983" s="94"/>
      <c r="G2983" s="95"/>
      <c r="H2983" s="96"/>
      <c r="I2983" s="97"/>
      <c r="J2983" s="98"/>
      <c r="K2983" s="99"/>
    </row>
    <row r="2984" spans="1:11" ht="13.2">
      <c r="A2984" s="89"/>
      <c r="B2984" s="90"/>
      <c r="C2984" s="91"/>
      <c r="D2984" s="92"/>
      <c r="E2984" s="93"/>
      <c r="F2984" s="94"/>
      <c r="G2984" s="95"/>
      <c r="H2984" s="96"/>
      <c r="I2984" s="97"/>
      <c r="J2984" s="98"/>
      <c r="K2984" s="99"/>
    </row>
    <row r="2985" spans="1:11" ht="13.2">
      <c r="A2985" s="89"/>
      <c r="B2985" s="90"/>
      <c r="C2985" s="91"/>
      <c r="D2985" s="92"/>
      <c r="E2985" s="93"/>
      <c r="F2985" s="94"/>
      <c r="G2985" s="95"/>
      <c r="H2985" s="96"/>
      <c r="I2985" s="97"/>
      <c r="J2985" s="98"/>
      <c r="K2985" s="99"/>
    </row>
    <row r="2986" spans="1:11" ht="13.2">
      <c r="A2986" s="89"/>
      <c r="B2986" s="90"/>
      <c r="C2986" s="91"/>
      <c r="D2986" s="92"/>
      <c r="E2986" s="93"/>
      <c r="F2986" s="94"/>
      <c r="G2986" s="95"/>
      <c r="H2986" s="96"/>
      <c r="I2986" s="97"/>
      <c r="J2986" s="98"/>
      <c r="K2986" s="99"/>
    </row>
    <row r="2987" spans="1:11" ht="13.2">
      <c r="A2987" s="89"/>
      <c r="B2987" s="90"/>
      <c r="C2987" s="91"/>
      <c r="D2987" s="92"/>
      <c r="E2987" s="93"/>
      <c r="F2987" s="94"/>
      <c r="G2987" s="95"/>
      <c r="H2987" s="96"/>
      <c r="I2987" s="97"/>
      <c r="J2987" s="98"/>
      <c r="K2987" s="99"/>
    </row>
    <row r="2988" spans="1:11" ht="13.2">
      <c r="A2988" s="89"/>
      <c r="B2988" s="90"/>
      <c r="C2988" s="91"/>
      <c r="D2988" s="92"/>
      <c r="E2988" s="93"/>
      <c r="F2988" s="94"/>
      <c r="G2988" s="95"/>
      <c r="H2988" s="96"/>
      <c r="I2988" s="97"/>
      <c r="J2988" s="98"/>
      <c r="K2988" s="99"/>
    </row>
    <row r="2989" spans="1:11" ht="13.2">
      <c r="A2989" s="89"/>
      <c r="B2989" s="90"/>
      <c r="C2989" s="91"/>
      <c r="D2989" s="92"/>
      <c r="E2989" s="93"/>
      <c r="F2989" s="94"/>
      <c r="G2989" s="95"/>
      <c r="H2989" s="96"/>
      <c r="I2989" s="97"/>
      <c r="J2989" s="98"/>
      <c r="K2989" s="99"/>
    </row>
    <row r="2990" spans="1:11" ht="13.2">
      <c r="A2990" s="89"/>
      <c r="B2990" s="90"/>
      <c r="C2990" s="91"/>
      <c r="D2990" s="92"/>
      <c r="E2990" s="93"/>
      <c r="F2990" s="94"/>
      <c r="G2990" s="95"/>
      <c r="H2990" s="96"/>
      <c r="I2990" s="97"/>
      <c r="J2990" s="98"/>
      <c r="K2990" s="99"/>
    </row>
    <row r="2991" spans="1:11" ht="13.2">
      <c r="A2991" s="89"/>
      <c r="B2991" s="90"/>
      <c r="C2991" s="91"/>
      <c r="D2991" s="92"/>
      <c r="E2991" s="93"/>
      <c r="F2991" s="94"/>
      <c r="G2991" s="95"/>
      <c r="H2991" s="96"/>
      <c r="I2991" s="97"/>
      <c r="J2991" s="98"/>
      <c r="K2991" s="99"/>
    </row>
    <row r="2992" spans="1:11" ht="13.2">
      <c r="A2992" s="89"/>
      <c r="B2992" s="90"/>
      <c r="C2992" s="91"/>
      <c r="D2992" s="92"/>
      <c r="E2992" s="93"/>
      <c r="F2992" s="94"/>
      <c r="G2992" s="95"/>
      <c r="H2992" s="96"/>
      <c r="I2992" s="97"/>
      <c r="J2992" s="98"/>
      <c r="K2992" s="99"/>
    </row>
    <row r="2993" spans="1:11" ht="13.2">
      <c r="A2993" s="89"/>
      <c r="B2993" s="90"/>
      <c r="C2993" s="91"/>
      <c r="D2993" s="92"/>
      <c r="E2993" s="93"/>
      <c r="F2993" s="94"/>
      <c r="G2993" s="95"/>
      <c r="H2993" s="96"/>
      <c r="I2993" s="97"/>
      <c r="J2993" s="98"/>
      <c r="K2993" s="99"/>
    </row>
    <row r="2994" spans="1:11" ht="13.2">
      <c r="A2994" s="89"/>
      <c r="B2994" s="90"/>
      <c r="C2994" s="91"/>
      <c r="D2994" s="92"/>
      <c r="E2994" s="93"/>
      <c r="F2994" s="94"/>
      <c r="G2994" s="95"/>
      <c r="H2994" s="96"/>
      <c r="I2994" s="97"/>
      <c r="J2994" s="98"/>
      <c r="K2994" s="99"/>
    </row>
    <row r="2995" spans="1:11" ht="13.2">
      <c r="A2995" s="89"/>
      <c r="B2995" s="90"/>
      <c r="C2995" s="91"/>
      <c r="D2995" s="92"/>
      <c r="E2995" s="93"/>
      <c r="F2995" s="94"/>
      <c r="G2995" s="95"/>
      <c r="H2995" s="96"/>
      <c r="I2995" s="97"/>
      <c r="J2995" s="98"/>
      <c r="K2995" s="99"/>
    </row>
    <row r="2996" spans="1:11" ht="13.2">
      <c r="A2996" s="89"/>
      <c r="B2996" s="90"/>
      <c r="C2996" s="91"/>
      <c r="D2996" s="92"/>
      <c r="E2996" s="93"/>
      <c r="F2996" s="94"/>
      <c r="G2996" s="95"/>
      <c r="H2996" s="96"/>
      <c r="I2996" s="97"/>
      <c r="J2996" s="98"/>
      <c r="K2996" s="99"/>
    </row>
    <row r="2997" spans="1:11" ht="13.2">
      <c r="A2997" s="89"/>
      <c r="B2997" s="90"/>
      <c r="C2997" s="91"/>
      <c r="D2997" s="92"/>
      <c r="E2997" s="93"/>
      <c r="F2997" s="94"/>
      <c r="G2997" s="95"/>
      <c r="H2997" s="96"/>
      <c r="I2997" s="97"/>
      <c r="J2997" s="98"/>
      <c r="K2997" s="99"/>
    </row>
    <row r="2998" spans="1:11" ht="13.2">
      <c r="A2998" s="89"/>
      <c r="B2998" s="90"/>
      <c r="C2998" s="91"/>
      <c r="D2998" s="92"/>
      <c r="E2998" s="93"/>
      <c r="F2998" s="94"/>
      <c r="G2998" s="95"/>
      <c r="H2998" s="96"/>
      <c r="I2998" s="97"/>
      <c r="J2998" s="98"/>
      <c r="K2998" s="99"/>
    </row>
    <row r="2999" spans="1:11" ht="13.2">
      <c r="A2999" s="89"/>
      <c r="B2999" s="90"/>
      <c r="C2999" s="91"/>
      <c r="D2999" s="92"/>
      <c r="E2999" s="93"/>
      <c r="F2999" s="94"/>
      <c r="G2999" s="95"/>
      <c r="H2999" s="96"/>
      <c r="I2999" s="97"/>
      <c r="J2999" s="98"/>
      <c r="K2999" s="99"/>
    </row>
    <row r="3000" spans="1:11" ht="13.2">
      <c r="A3000" s="89"/>
      <c r="B3000" s="90"/>
      <c r="C3000" s="91"/>
      <c r="D3000" s="92"/>
      <c r="E3000" s="93"/>
      <c r="F3000" s="94"/>
      <c r="G3000" s="95"/>
      <c r="H3000" s="96"/>
      <c r="I3000" s="97"/>
      <c r="J3000" s="98"/>
      <c r="K3000" s="99"/>
    </row>
  </sheetData>
  <autoFilter ref="A1:K1"/>
  <conditionalFormatting sqref="C2:C3000">
    <cfRule type="cellIs" dxfId="94" priority="1" stopIfTrue="1" operator="equal">
      <formula>"Farjana Apu"</formula>
    </cfRule>
  </conditionalFormatting>
  <conditionalFormatting sqref="C2:C3000">
    <cfRule type="cellIs" dxfId="93" priority="2" stopIfTrue="1" operator="equal">
      <formula>"Fiza Apu"</formula>
    </cfRule>
  </conditionalFormatting>
  <conditionalFormatting sqref="C2:C3000">
    <cfRule type="cellIs" dxfId="92" priority="3" stopIfTrue="1" operator="equal">
      <formula>"Nazmul Sir"</formula>
    </cfRule>
  </conditionalFormatting>
  <conditionalFormatting sqref="C2:C3000">
    <cfRule type="cellIs" dxfId="91" priority="4" stopIfTrue="1" operator="equal">
      <formula>"Rabby Vai"</formula>
    </cfRule>
  </conditionalFormatting>
  <conditionalFormatting sqref="C2:C3000">
    <cfRule type="cellIs" dxfId="90" priority="5" stopIfTrue="1" operator="equal">
      <formula>"Reba Apu"</formula>
    </cfRule>
  </conditionalFormatting>
  <conditionalFormatting sqref="C2:C3000">
    <cfRule type="cellIs" dxfId="89" priority="6" stopIfTrue="1" operator="equal">
      <formula>"Saema Apu"</formula>
    </cfRule>
  </conditionalFormatting>
  <conditionalFormatting sqref="C2:C3000">
    <cfRule type="cellIs" dxfId="88" priority="7" stopIfTrue="1" operator="equal">
      <formula>"Sharika Apu"</formula>
    </cfRule>
  </conditionalFormatting>
  <conditionalFormatting sqref="C2:C3000">
    <cfRule type="cellIs" dxfId="87" priority="8" stopIfTrue="1" operator="equal">
      <formula>"Sharmin Apu"</formula>
    </cfRule>
  </conditionalFormatting>
  <conditionalFormatting sqref="C2:C3000">
    <cfRule type="cellIs" dxfId="86" priority="9" stopIfTrue="1" operator="equal">
      <formula>"Mubassira Apu"</formula>
    </cfRule>
  </conditionalFormatting>
  <conditionalFormatting sqref="C2:C3000">
    <cfRule type="cellIs" dxfId="85" priority="10" stopIfTrue="1" operator="equal">
      <formula>"Mona Apu"</formula>
    </cfRule>
  </conditionalFormatting>
  <conditionalFormatting sqref="C2:C3000">
    <cfRule type="cellIs" dxfId="84" priority="11" stopIfTrue="1" operator="equal">
      <formula>"Rakib Vai"</formula>
    </cfRule>
  </conditionalFormatting>
  <conditionalFormatting sqref="C2:C3000">
    <cfRule type="cellIs" dxfId="83" priority="12" stopIfTrue="1" operator="equal">
      <formula>"Saifullah Vai"</formula>
    </cfRule>
  </conditionalFormatting>
  <conditionalFormatting sqref="C2:C3000">
    <cfRule type="cellIs" dxfId="82" priority="13" stopIfTrue="1" operator="equal">
      <formula>"Shamsul Sir"</formula>
    </cfRule>
  </conditionalFormatting>
  <conditionalFormatting sqref="C2:C3000">
    <cfRule type="cellIs" dxfId="81" priority="14" stopIfTrue="1" operator="equal">
      <formula>"Zahirul Vai"</formula>
    </cfRule>
  </conditionalFormatting>
  <conditionalFormatting sqref="F2:F3000">
    <cfRule type="cellIs" dxfId="80" priority="15" stopIfTrue="1" operator="equal">
      <formula>"ATC Box Output"</formula>
    </cfRule>
  </conditionalFormatting>
  <conditionalFormatting sqref="F2:F3000">
    <cfRule type="cellIs" dxfId="79" priority="16" stopIfTrue="1" operator="equal">
      <formula>"Black Cylinder Output"</formula>
    </cfRule>
  </conditionalFormatting>
  <conditionalFormatting sqref="F2:F3000">
    <cfRule type="cellIs" dxfId="78" priority="17" stopIfTrue="1" operator="equal">
      <formula>"Flyer/Brochure/Banner Output"</formula>
    </cfRule>
  </conditionalFormatting>
  <conditionalFormatting sqref="F2:F3000">
    <cfRule type="cellIs" dxfId="77" priority="18" stopIfTrue="1" operator="equal">
      <formula>"Full Cylinder Output"</formula>
    </cfRule>
  </conditionalFormatting>
  <conditionalFormatting sqref="F2:F3000">
    <cfRule type="cellIs" dxfId="76" priority="19" stopIfTrue="1" operator="equal">
      <formula>"Gravure Output #1"</formula>
    </cfRule>
  </conditionalFormatting>
  <conditionalFormatting sqref="F2:F3000">
    <cfRule type="cellIs" dxfId="75" priority="20" stopIfTrue="1" operator="equal">
      <formula>"Gravure Output #2"</formula>
    </cfRule>
  </conditionalFormatting>
  <conditionalFormatting sqref="F2:F3000">
    <cfRule type="cellIs" dxfId="74" priority="21" stopIfTrue="1" operator="equal">
      <formula>"JAR Label Sticker Output"</formula>
    </cfRule>
  </conditionalFormatting>
  <conditionalFormatting sqref="F2:F3000">
    <cfRule type="cellIs" dxfId="73" priority="22" stopIfTrue="1" operator="equal">
      <formula>"Leaflet/Poster Output"</formula>
    </cfRule>
  </conditionalFormatting>
  <conditionalFormatting sqref="F2:F3000">
    <cfRule type="cellIs" dxfId="72" priority="23" stopIfTrue="1" operator="equal">
      <formula>"Output Setup (Gravure/Offset)"</formula>
    </cfRule>
  </conditionalFormatting>
  <conditionalFormatting sqref="F2:F3000">
    <cfRule type="cellIs" dxfId="71" priority="24" stopIfTrue="1" operator="equal">
      <formula>"Carton Design"</formula>
    </cfRule>
  </conditionalFormatting>
  <conditionalFormatting sqref="F2:F3000">
    <cfRule type="cellIs" dxfId="70" priority="25" stopIfTrue="1" operator="equal">
      <formula>"Document Text Correction"</formula>
    </cfRule>
  </conditionalFormatting>
  <conditionalFormatting sqref="F2:F3000">
    <cfRule type="cellIs" dxfId="69" priority="26" stopIfTrue="1" operator="equal">
      <formula>"FOP Sticker Making"</formula>
    </cfRule>
  </conditionalFormatting>
  <conditionalFormatting sqref="F2:F3000">
    <cfRule type="cellIs" dxfId="68" priority="27" stopIfTrue="1" operator="equal">
      <formula>"Layout/Dieline Making"</formula>
    </cfRule>
  </conditionalFormatting>
  <conditionalFormatting sqref="F2:F3000">
    <cfRule type="cellIs" dxfId="67" priority="28" stopIfTrue="1" operator="equal">
      <formula>"Packaging Text Design #1"</formula>
    </cfRule>
  </conditionalFormatting>
  <conditionalFormatting sqref="F2:F3000">
    <cfRule type="cellIs" dxfId="66" priority="29" stopIfTrue="1" operator="equal">
      <formula>"Packaging Text Design #2"</formula>
    </cfRule>
  </conditionalFormatting>
  <conditionalFormatting sqref="F2:F3000">
    <cfRule type="cellIs" dxfId="65" priority="30" stopIfTrue="1" operator="equal">
      <formula>"Text Sticker Design #1"</formula>
    </cfRule>
  </conditionalFormatting>
  <conditionalFormatting sqref="F2:F3000">
    <cfRule type="cellIs" dxfId="64" priority="31" stopIfTrue="1" operator="equal">
      <formula>"Text Sticker Design #2"</formula>
    </cfRule>
  </conditionalFormatting>
  <conditionalFormatting sqref="F2:F3000">
    <cfRule type="cellIs" dxfId="63" priority="32" stopIfTrue="1" operator="equal">
      <formula>"ATC BOX"</formula>
    </cfRule>
  </conditionalFormatting>
  <conditionalFormatting sqref="F2:F3000">
    <cfRule type="cellIs" dxfId="62" priority="33" stopIfTrue="1" operator="equal">
      <formula>"Background Remove/Image Resize"</formula>
    </cfRule>
  </conditionalFormatting>
  <conditionalFormatting sqref="F2:F3000">
    <cfRule type="cellIs" dxfId="61" priority="34" stopIfTrue="1" operator="equal">
      <formula>"Branding"</formula>
    </cfRule>
  </conditionalFormatting>
  <conditionalFormatting sqref="F2:F3000">
    <cfRule type="cellIs" dxfId="60" priority="35" stopIfTrue="1" operator="equal">
      <formula>"Clipping Path"</formula>
    </cfRule>
  </conditionalFormatting>
  <conditionalFormatting sqref="F2:F3000">
    <cfRule type="cellIs" dxfId="59" priority="36" stopIfTrue="1" operator="equal">
      <formula>"Digital Static For Social Media"</formula>
    </cfRule>
  </conditionalFormatting>
  <conditionalFormatting sqref="F2:F3000">
    <cfRule type="cellIs" dxfId="58" priority="37" stopIfTrue="1" operator="equal">
      <formula>"Logo Design"</formula>
    </cfRule>
  </conditionalFormatting>
  <conditionalFormatting sqref="F2:F3000">
    <cfRule type="cellIs" dxfId="57" priority="38" stopIfTrue="1" operator="equal">
      <formula>"Outdoor/Event/Showroom Branding"</formula>
    </cfRule>
  </conditionalFormatting>
  <conditionalFormatting sqref="F2:F3000">
    <cfRule type="cellIs" dxfId="56" priority="39" stopIfTrue="1" operator="equal">
      <formula>"Packaging"</formula>
    </cfRule>
  </conditionalFormatting>
  <conditionalFormatting sqref="F2:F3000">
    <cfRule type="cellIs" dxfId="55" priority="40" stopIfTrue="1" operator="equal">
      <formula>"Visiting/ ID Card design"</formula>
    </cfRule>
  </conditionalFormatting>
  <conditionalFormatting sqref="F2:F3000">
    <cfRule type="cellIs" dxfId="54" priority="41" stopIfTrue="1" operator="equal">
      <formula>"Voice Over"</formula>
    </cfRule>
  </conditionalFormatting>
  <conditionalFormatting sqref="K2:K3000">
    <cfRule type="cellIs" dxfId="53" priority="42" stopIfTrue="1" operator="equal">
      <formula>"HoM Approved"</formula>
    </cfRule>
  </conditionalFormatting>
  <conditionalFormatting sqref="K2:K3000">
    <cfRule type="cellIs" dxfId="52" priority="43" stopIfTrue="1" operator="equal">
      <formula>"Brief Submitted"</formula>
    </cfRule>
  </conditionalFormatting>
  <conditionalFormatting sqref="K2:K3000">
    <cfRule type="cellIs" dxfId="51" priority="44" stopIfTrue="1" operator="equal">
      <formula>"In Review"</formula>
    </cfRule>
  </conditionalFormatting>
  <conditionalFormatting sqref="K2:K3000">
    <cfRule type="cellIs" dxfId="50" priority="45" stopIfTrue="1" operator="equal">
      <formula>"BM Approved"</formula>
    </cfRule>
  </conditionalFormatting>
  <conditionalFormatting sqref="K2:K3000">
    <cfRule type="cellIs" dxfId="49" priority="46" stopIfTrue="1" operator="equal">
      <formula>"Running"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outlinePr summaryBelow="0" summaryRight="0"/>
  </sheetPr>
  <dimension ref="A1:L15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28.88671875" customWidth="1"/>
    <col min="2" max="2" width="13.21875" customWidth="1"/>
    <col min="3" max="3" width="21.33203125" customWidth="1"/>
    <col min="4" max="4" width="27" customWidth="1"/>
    <col min="5" max="5" width="17.6640625" customWidth="1"/>
    <col min="6" max="6" width="28.88671875" customWidth="1"/>
    <col min="7" max="7" width="13.21875" customWidth="1"/>
    <col min="8" max="8" width="9.44140625" customWidth="1"/>
    <col min="9" max="9" width="16.33203125" customWidth="1"/>
    <col min="10" max="10" width="18.88671875" customWidth="1"/>
    <col min="11" max="11" width="17" customWidth="1"/>
    <col min="12" max="12" width="12.6640625" customWidth="1"/>
  </cols>
  <sheetData>
    <row r="1" spans="1:12" ht="27" customHeight="1">
      <c r="A1" s="104" t="str">
        <f>HYPERLINK("https://docs.google.com/spreadsheets/d/1K9G-wDk_WFUTXFBEzHiTsPAPTkgmvY6ydUUckPlDbUM/edit?gid=2135007239#gid=2135007239","➜ Go to Dashboard")</f>
        <v>➜ Go to Dashboard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ht="25.5" customHeight="1">
      <c r="A2" s="100" t="s">
        <v>0</v>
      </c>
      <c r="B2" s="100" t="s">
        <v>1</v>
      </c>
      <c r="C2" s="2" t="s">
        <v>2</v>
      </c>
      <c r="D2" s="100" t="s">
        <v>3071</v>
      </c>
      <c r="E2" s="100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00" t="s">
        <v>9</v>
      </c>
      <c r="L2" s="100" t="s">
        <v>10</v>
      </c>
    </row>
    <row r="3" spans="1:12" ht="13.2">
      <c r="A3" s="22"/>
      <c r="B3" s="16"/>
      <c r="C3" s="23"/>
      <c r="D3" s="101"/>
      <c r="E3" s="24"/>
      <c r="F3" s="25"/>
      <c r="G3" s="26"/>
      <c r="H3" s="27"/>
      <c r="I3" s="20"/>
      <c r="J3" s="21"/>
      <c r="K3" s="28"/>
      <c r="L3" s="19"/>
    </row>
    <row r="4" spans="1:12" ht="13.2">
      <c r="A4" s="22"/>
      <c r="B4" s="16"/>
      <c r="C4" s="23"/>
      <c r="D4" s="101"/>
      <c r="E4" s="24"/>
      <c r="F4" s="25"/>
      <c r="G4" s="26"/>
      <c r="H4" s="27"/>
      <c r="I4" s="20"/>
      <c r="J4" s="21"/>
      <c r="K4" s="28"/>
      <c r="L4" s="19"/>
    </row>
    <row r="5" spans="1:12" ht="13.2">
      <c r="A5" s="22"/>
      <c r="B5" s="16"/>
      <c r="C5" s="23"/>
      <c r="D5" s="101"/>
      <c r="E5" s="24"/>
      <c r="F5" s="25"/>
      <c r="G5" s="26"/>
      <c r="H5" s="27"/>
      <c r="I5" s="20"/>
      <c r="J5" s="21"/>
      <c r="K5" s="28"/>
      <c r="L5" s="19"/>
    </row>
    <row r="6" spans="1:12" ht="13.2">
      <c r="A6" s="22"/>
      <c r="B6" s="16"/>
      <c r="C6" s="23"/>
      <c r="D6" s="101"/>
      <c r="E6" s="24"/>
      <c r="F6" s="25"/>
      <c r="G6" s="26"/>
      <c r="H6" s="27"/>
      <c r="I6" s="20"/>
      <c r="J6" s="21"/>
      <c r="K6" s="28"/>
      <c r="L6" s="19"/>
    </row>
    <row r="7" spans="1:12" ht="13.2">
      <c r="A7" s="22"/>
      <c r="B7" s="16"/>
      <c r="C7" s="23"/>
      <c r="D7" s="101"/>
      <c r="E7" s="24"/>
      <c r="F7" s="25"/>
      <c r="G7" s="26"/>
      <c r="H7" s="27"/>
      <c r="I7" s="20"/>
      <c r="J7" s="21"/>
      <c r="K7" s="28"/>
      <c r="L7" s="19"/>
    </row>
    <row r="8" spans="1:12" ht="13.2">
      <c r="A8" s="22"/>
      <c r="B8" s="16"/>
      <c r="C8" s="23"/>
      <c r="D8" s="101"/>
      <c r="E8" s="24"/>
      <c r="F8" s="25"/>
      <c r="G8" s="26"/>
      <c r="H8" s="27"/>
      <c r="I8" s="20"/>
      <c r="J8" s="21"/>
      <c r="K8" s="28"/>
      <c r="L8" s="19"/>
    </row>
    <row r="9" spans="1:12" ht="13.2">
      <c r="A9" s="22"/>
      <c r="B9" s="16"/>
      <c r="C9" s="23"/>
      <c r="D9" s="101"/>
      <c r="E9" s="24"/>
      <c r="F9" s="25"/>
      <c r="G9" s="26"/>
      <c r="H9" s="27"/>
      <c r="I9" s="20"/>
      <c r="J9" s="21"/>
      <c r="K9" s="28"/>
      <c r="L9" s="19"/>
    </row>
    <row r="10" spans="1:12" ht="13.2">
      <c r="A10" s="22"/>
      <c r="B10" s="16"/>
      <c r="C10" s="23"/>
      <c r="D10" s="101"/>
      <c r="E10" s="24"/>
      <c r="F10" s="25"/>
      <c r="G10" s="26"/>
      <c r="H10" s="27"/>
      <c r="I10" s="20"/>
      <c r="J10" s="21"/>
      <c r="K10" s="28"/>
      <c r="L10" s="19"/>
    </row>
    <row r="11" spans="1:12" ht="13.2">
      <c r="A11" s="22"/>
      <c r="B11" s="16"/>
      <c r="C11" s="23"/>
      <c r="D11" s="101"/>
      <c r="E11" s="24"/>
      <c r="F11" s="25"/>
      <c r="G11" s="26"/>
      <c r="H11" s="27"/>
      <c r="I11" s="20"/>
      <c r="J11" s="21"/>
      <c r="K11" s="28"/>
      <c r="L11" s="19"/>
    </row>
    <row r="12" spans="1:12" ht="13.2">
      <c r="A12" s="22"/>
      <c r="B12" s="16"/>
      <c r="C12" s="23"/>
      <c r="D12" s="101"/>
      <c r="E12" s="24"/>
      <c r="F12" s="25"/>
      <c r="G12" s="26"/>
      <c r="H12" s="27"/>
      <c r="I12" s="20"/>
      <c r="J12" s="21"/>
      <c r="K12" s="28"/>
      <c r="L12" s="19"/>
    </row>
    <row r="13" spans="1:12" ht="13.2">
      <c r="A13" s="22"/>
      <c r="B13" s="16"/>
      <c r="C13" s="23"/>
      <c r="D13" s="101"/>
      <c r="E13" s="24"/>
      <c r="F13" s="25"/>
      <c r="G13" s="26"/>
      <c r="H13" s="27"/>
      <c r="I13" s="20"/>
      <c r="J13" s="21"/>
      <c r="K13" s="28"/>
      <c r="L13" s="19"/>
    </row>
    <row r="14" spans="1:12" ht="13.2">
      <c r="A14" s="22"/>
      <c r="B14" s="16"/>
      <c r="C14" s="23"/>
      <c r="D14" s="101"/>
      <c r="E14" s="24"/>
      <c r="F14" s="25"/>
      <c r="G14" s="26"/>
      <c r="H14" s="27"/>
      <c r="I14" s="20"/>
      <c r="J14" s="21"/>
      <c r="K14" s="28"/>
      <c r="L14" s="19"/>
    </row>
    <row r="15" spans="1:12" ht="13.2">
      <c r="A15" s="22"/>
      <c r="B15" s="16"/>
      <c r="C15" s="23"/>
      <c r="D15" s="101"/>
      <c r="E15" s="24"/>
      <c r="F15" s="25"/>
      <c r="G15" s="26"/>
      <c r="H15" s="27"/>
      <c r="I15" s="20"/>
      <c r="J15" s="21"/>
      <c r="K15" s="28"/>
      <c r="L15" s="19"/>
    </row>
    <row r="16" spans="1:12" ht="13.2">
      <c r="A16" s="22"/>
      <c r="B16" s="16"/>
      <c r="C16" s="23"/>
      <c r="D16" s="101"/>
      <c r="E16" s="24"/>
      <c r="F16" s="25"/>
      <c r="G16" s="26"/>
      <c r="H16" s="27"/>
      <c r="I16" s="20"/>
      <c r="J16" s="21"/>
      <c r="K16" s="28"/>
      <c r="L16" s="19"/>
    </row>
    <row r="17" spans="1:12" ht="13.2">
      <c r="A17" s="22"/>
      <c r="B17" s="16"/>
      <c r="C17" s="23"/>
      <c r="D17" s="101"/>
      <c r="E17" s="24"/>
      <c r="F17" s="25"/>
      <c r="G17" s="26"/>
      <c r="H17" s="27"/>
      <c r="I17" s="20"/>
      <c r="J17" s="21"/>
      <c r="K17" s="28"/>
      <c r="L17" s="19"/>
    </row>
    <row r="18" spans="1:12" ht="13.2">
      <c r="A18" s="22"/>
      <c r="B18" s="16"/>
      <c r="C18" s="23"/>
      <c r="D18" s="101"/>
      <c r="E18" s="24"/>
      <c r="F18" s="25"/>
      <c r="G18" s="26"/>
      <c r="H18" s="27"/>
      <c r="I18" s="20"/>
      <c r="J18" s="21"/>
      <c r="K18" s="28"/>
      <c r="L18" s="19"/>
    </row>
    <row r="19" spans="1:12" ht="13.2">
      <c r="A19" s="22"/>
      <c r="B19" s="16"/>
      <c r="C19" s="23"/>
      <c r="D19" s="101"/>
      <c r="E19" s="24"/>
      <c r="F19" s="25"/>
      <c r="G19" s="26"/>
      <c r="H19" s="27"/>
      <c r="I19" s="20"/>
      <c r="J19" s="21"/>
      <c r="K19" s="28"/>
      <c r="L19" s="19"/>
    </row>
    <row r="20" spans="1:12" ht="13.2">
      <c r="A20" s="22"/>
      <c r="B20" s="16"/>
      <c r="C20" s="23"/>
      <c r="D20" s="101"/>
      <c r="E20" s="24"/>
      <c r="F20" s="25"/>
      <c r="G20" s="26"/>
      <c r="H20" s="27"/>
      <c r="I20" s="20"/>
      <c r="J20" s="21"/>
      <c r="K20" s="28"/>
      <c r="L20" s="19"/>
    </row>
    <row r="21" spans="1:12" ht="13.2">
      <c r="A21" s="22"/>
      <c r="B21" s="16"/>
      <c r="C21" s="23"/>
      <c r="D21" s="101"/>
      <c r="E21" s="24"/>
      <c r="F21" s="25"/>
      <c r="G21" s="26"/>
      <c r="H21" s="27"/>
      <c r="I21" s="20"/>
      <c r="J21" s="21"/>
      <c r="K21" s="28"/>
      <c r="L21" s="19"/>
    </row>
    <row r="22" spans="1:12" ht="13.2">
      <c r="A22" s="22"/>
      <c r="B22" s="16"/>
      <c r="C22" s="23"/>
      <c r="D22" s="101"/>
      <c r="E22" s="24"/>
      <c r="F22" s="25"/>
      <c r="G22" s="26"/>
      <c r="H22" s="27"/>
      <c r="I22" s="20"/>
      <c r="J22" s="21"/>
      <c r="K22" s="28"/>
      <c r="L22" s="19"/>
    </row>
    <row r="23" spans="1:12" ht="13.2">
      <c r="A23" s="22"/>
      <c r="B23" s="16"/>
      <c r="C23" s="23"/>
      <c r="D23" s="101"/>
      <c r="E23" s="24"/>
      <c r="F23" s="25"/>
      <c r="G23" s="26"/>
      <c r="H23" s="27"/>
      <c r="I23" s="20"/>
      <c r="J23" s="21"/>
      <c r="K23" s="28"/>
      <c r="L23" s="19"/>
    </row>
    <row r="24" spans="1:12" ht="13.2">
      <c r="A24" s="22"/>
      <c r="B24" s="16"/>
      <c r="C24" s="23"/>
      <c r="D24" s="101"/>
      <c r="E24" s="24"/>
      <c r="F24" s="25"/>
      <c r="G24" s="26"/>
      <c r="H24" s="27"/>
      <c r="I24" s="20"/>
      <c r="J24" s="21"/>
      <c r="K24" s="28"/>
      <c r="L24" s="19"/>
    </row>
    <row r="25" spans="1:12" ht="13.2">
      <c r="A25" s="22"/>
      <c r="B25" s="16"/>
      <c r="C25" s="23"/>
      <c r="D25" s="101"/>
      <c r="E25" s="24"/>
      <c r="F25" s="25"/>
      <c r="G25" s="26"/>
      <c r="H25" s="27"/>
      <c r="I25" s="20"/>
      <c r="J25" s="21"/>
      <c r="K25" s="28"/>
      <c r="L25" s="19"/>
    </row>
    <row r="26" spans="1:12" ht="13.2">
      <c r="A26" s="22"/>
      <c r="B26" s="16"/>
      <c r="C26" s="23"/>
      <c r="D26" s="101"/>
      <c r="E26" s="24"/>
      <c r="F26" s="25"/>
      <c r="G26" s="26"/>
      <c r="H26" s="27"/>
      <c r="I26" s="20"/>
      <c r="J26" s="21"/>
      <c r="K26" s="28"/>
      <c r="L26" s="19"/>
    </row>
    <row r="27" spans="1:12" ht="13.2">
      <c r="A27" s="22"/>
      <c r="B27" s="16"/>
      <c r="C27" s="23"/>
      <c r="D27" s="101"/>
      <c r="E27" s="24"/>
      <c r="F27" s="25"/>
      <c r="G27" s="26"/>
      <c r="H27" s="27"/>
      <c r="I27" s="20"/>
      <c r="J27" s="21"/>
      <c r="K27" s="28"/>
      <c r="L27" s="19"/>
    </row>
    <row r="28" spans="1:12" ht="13.2">
      <c r="A28" s="22"/>
      <c r="B28" s="16"/>
      <c r="C28" s="23"/>
      <c r="D28" s="101"/>
      <c r="E28" s="24"/>
      <c r="F28" s="25"/>
      <c r="G28" s="26"/>
      <c r="H28" s="27"/>
      <c r="I28" s="20"/>
      <c r="J28" s="21"/>
      <c r="K28" s="28"/>
      <c r="L28" s="19"/>
    </row>
    <row r="29" spans="1:12" ht="13.2">
      <c r="A29" s="22"/>
      <c r="B29" s="16"/>
      <c r="C29" s="23"/>
      <c r="D29" s="101"/>
      <c r="E29" s="24"/>
      <c r="F29" s="25"/>
      <c r="G29" s="26"/>
      <c r="H29" s="27"/>
      <c r="I29" s="20"/>
      <c r="J29" s="21"/>
      <c r="K29" s="28"/>
      <c r="L29" s="19"/>
    </row>
    <row r="30" spans="1:12" ht="13.2">
      <c r="A30" s="22"/>
      <c r="B30" s="16"/>
      <c r="C30" s="23"/>
      <c r="D30" s="101"/>
      <c r="E30" s="24"/>
      <c r="F30" s="25"/>
      <c r="G30" s="26"/>
      <c r="H30" s="27"/>
      <c r="I30" s="20"/>
      <c r="J30" s="21"/>
      <c r="K30" s="28"/>
      <c r="L30" s="19"/>
    </row>
    <row r="31" spans="1:12" ht="13.2">
      <c r="A31" s="22"/>
      <c r="B31" s="16"/>
      <c r="C31" s="23"/>
      <c r="D31" s="101"/>
      <c r="E31" s="24"/>
      <c r="F31" s="25"/>
      <c r="G31" s="26"/>
      <c r="H31" s="27"/>
      <c r="I31" s="20"/>
      <c r="J31" s="21"/>
      <c r="K31" s="28"/>
      <c r="L31" s="19"/>
    </row>
    <row r="32" spans="1:12" ht="13.2">
      <c r="A32" s="22"/>
      <c r="B32" s="16"/>
      <c r="C32" s="23"/>
      <c r="D32" s="101"/>
      <c r="E32" s="24"/>
      <c r="F32" s="25"/>
      <c r="G32" s="26"/>
      <c r="H32" s="27"/>
      <c r="I32" s="20"/>
      <c r="J32" s="21"/>
      <c r="K32" s="28"/>
      <c r="L32" s="19"/>
    </row>
    <row r="33" spans="1:12" ht="13.2">
      <c r="A33" s="22"/>
      <c r="B33" s="16"/>
      <c r="C33" s="23"/>
      <c r="D33" s="101"/>
      <c r="E33" s="24"/>
      <c r="F33" s="25"/>
      <c r="G33" s="26"/>
      <c r="H33" s="27"/>
      <c r="I33" s="20"/>
      <c r="J33" s="21"/>
      <c r="K33" s="28"/>
      <c r="L33" s="19"/>
    </row>
    <row r="34" spans="1:12" ht="13.2">
      <c r="A34" s="22"/>
      <c r="B34" s="16"/>
      <c r="C34" s="23"/>
      <c r="D34" s="101"/>
      <c r="E34" s="24"/>
      <c r="F34" s="25"/>
      <c r="G34" s="26"/>
      <c r="H34" s="27"/>
      <c r="I34" s="20"/>
      <c r="J34" s="21"/>
      <c r="K34" s="28"/>
      <c r="L34" s="19"/>
    </row>
    <row r="35" spans="1:12" ht="13.2">
      <c r="A35" s="22"/>
      <c r="B35" s="16"/>
      <c r="C35" s="23"/>
      <c r="D35" s="101"/>
      <c r="E35" s="24"/>
      <c r="F35" s="25"/>
      <c r="G35" s="26"/>
      <c r="H35" s="27"/>
      <c r="I35" s="20"/>
      <c r="J35" s="21"/>
      <c r="K35" s="28"/>
      <c r="L35" s="19"/>
    </row>
    <row r="36" spans="1:12" ht="13.2">
      <c r="A36" s="22"/>
      <c r="B36" s="16"/>
      <c r="C36" s="23"/>
      <c r="D36" s="101"/>
      <c r="E36" s="24"/>
      <c r="F36" s="25"/>
      <c r="G36" s="26"/>
      <c r="H36" s="27"/>
      <c r="I36" s="20"/>
      <c r="J36" s="21"/>
      <c r="K36" s="28"/>
      <c r="L36" s="19"/>
    </row>
    <row r="37" spans="1:12" ht="13.2">
      <c r="A37" s="22"/>
      <c r="B37" s="16"/>
      <c r="C37" s="23"/>
      <c r="D37" s="101"/>
      <c r="E37" s="24"/>
      <c r="F37" s="25"/>
      <c r="G37" s="26"/>
      <c r="H37" s="27"/>
      <c r="I37" s="20"/>
      <c r="J37" s="21"/>
      <c r="K37" s="28"/>
      <c r="L37" s="19"/>
    </row>
    <row r="38" spans="1:12" ht="13.2">
      <c r="A38" s="22"/>
      <c r="B38" s="16"/>
      <c r="C38" s="23"/>
      <c r="D38" s="101"/>
      <c r="E38" s="24"/>
      <c r="F38" s="25"/>
      <c r="G38" s="26"/>
      <c r="H38" s="27"/>
      <c r="I38" s="20"/>
      <c r="J38" s="21"/>
      <c r="K38" s="28"/>
      <c r="L38" s="19"/>
    </row>
    <row r="39" spans="1:12" ht="13.2">
      <c r="A39" s="22"/>
      <c r="B39" s="16"/>
      <c r="C39" s="23"/>
      <c r="D39" s="101"/>
      <c r="E39" s="24"/>
      <c r="F39" s="25"/>
      <c r="G39" s="26"/>
      <c r="H39" s="27"/>
      <c r="I39" s="20"/>
      <c r="J39" s="21"/>
      <c r="K39" s="28"/>
      <c r="L39" s="19"/>
    </row>
    <row r="40" spans="1:12" ht="13.2">
      <c r="A40" s="22"/>
      <c r="B40" s="16"/>
      <c r="C40" s="23"/>
      <c r="D40" s="101"/>
      <c r="E40" s="24"/>
      <c r="F40" s="25"/>
      <c r="G40" s="26"/>
      <c r="H40" s="27"/>
      <c r="I40" s="20"/>
      <c r="J40" s="21"/>
      <c r="K40" s="28"/>
      <c r="L40" s="19"/>
    </row>
    <row r="41" spans="1:12" ht="13.2">
      <c r="A41" s="22"/>
      <c r="B41" s="16"/>
      <c r="C41" s="23"/>
      <c r="D41" s="101"/>
      <c r="E41" s="24"/>
      <c r="F41" s="25"/>
      <c r="G41" s="26"/>
      <c r="H41" s="27"/>
      <c r="I41" s="20"/>
      <c r="J41" s="21"/>
      <c r="K41" s="28"/>
      <c r="L41" s="19"/>
    </row>
    <row r="42" spans="1:12" ht="13.2">
      <c r="A42" s="22"/>
      <c r="B42" s="16"/>
      <c r="C42" s="23"/>
      <c r="D42" s="101"/>
      <c r="E42" s="24"/>
      <c r="F42" s="25"/>
      <c r="G42" s="26"/>
      <c r="H42" s="27"/>
      <c r="I42" s="20"/>
      <c r="J42" s="21"/>
      <c r="K42" s="28"/>
      <c r="L42" s="19"/>
    </row>
    <row r="43" spans="1:12" ht="13.2">
      <c r="A43" s="22"/>
      <c r="B43" s="16"/>
      <c r="C43" s="23"/>
      <c r="D43" s="101"/>
      <c r="E43" s="24"/>
      <c r="F43" s="25"/>
      <c r="G43" s="26"/>
      <c r="H43" s="27"/>
      <c r="I43" s="20"/>
      <c r="J43" s="21"/>
      <c r="K43" s="28"/>
      <c r="L43" s="19"/>
    </row>
    <row r="44" spans="1:12" ht="13.2">
      <c r="A44" s="22"/>
      <c r="B44" s="16"/>
      <c r="C44" s="23"/>
      <c r="D44" s="101"/>
      <c r="E44" s="24"/>
      <c r="F44" s="25"/>
      <c r="G44" s="26"/>
      <c r="H44" s="27"/>
      <c r="I44" s="20"/>
      <c r="J44" s="21"/>
      <c r="K44" s="28"/>
      <c r="L44" s="19"/>
    </row>
    <row r="45" spans="1:12" ht="13.2">
      <c r="A45" s="22"/>
      <c r="B45" s="16"/>
      <c r="C45" s="23"/>
      <c r="D45" s="101"/>
      <c r="E45" s="24"/>
      <c r="F45" s="25"/>
      <c r="G45" s="26"/>
      <c r="H45" s="27"/>
      <c r="I45" s="20"/>
      <c r="J45" s="21"/>
      <c r="K45" s="28"/>
      <c r="L45" s="19"/>
    </row>
    <row r="46" spans="1:12" ht="13.2">
      <c r="A46" s="22"/>
      <c r="B46" s="16"/>
      <c r="C46" s="23"/>
      <c r="D46" s="101"/>
      <c r="E46" s="24"/>
      <c r="F46" s="25"/>
      <c r="G46" s="26"/>
      <c r="H46" s="27"/>
      <c r="I46" s="20"/>
      <c r="J46" s="21"/>
      <c r="K46" s="28"/>
      <c r="L46" s="19"/>
    </row>
    <row r="47" spans="1:12" ht="13.2">
      <c r="A47" s="22"/>
      <c r="B47" s="16"/>
      <c r="C47" s="23"/>
      <c r="D47" s="101"/>
      <c r="E47" s="24"/>
      <c r="F47" s="25"/>
      <c r="G47" s="26"/>
      <c r="H47" s="27"/>
      <c r="I47" s="20"/>
      <c r="J47" s="21"/>
      <c r="K47" s="28"/>
      <c r="L47" s="19"/>
    </row>
    <row r="48" spans="1:12" ht="13.2">
      <c r="A48" s="22"/>
      <c r="B48" s="16"/>
      <c r="C48" s="23"/>
      <c r="D48" s="101"/>
      <c r="E48" s="24"/>
      <c r="F48" s="25"/>
      <c r="G48" s="26"/>
      <c r="H48" s="27"/>
      <c r="I48" s="20"/>
      <c r="J48" s="21"/>
      <c r="K48" s="28"/>
      <c r="L48" s="19"/>
    </row>
    <row r="49" spans="1:12" ht="13.2">
      <c r="A49" s="22"/>
      <c r="B49" s="16"/>
      <c r="C49" s="23"/>
      <c r="D49" s="101"/>
      <c r="E49" s="24"/>
      <c r="F49" s="25"/>
      <c r="G49" s="26"/>
      <c r="H49" s="27"/>
      <c r="I49" s="20"/>
      <c r="J49" s="21"/>
      <c r="K49" s="28"/>
      <c r="L49" s="19"/>
    </row>
    <row r="50" spans="1:12" ht="13.2">
      <c r="A50" s="22"/>
      <c r="B50" s="16"/>
      <c r="C50" s="23"/>
      <c r="D50" s="101"/>
      <c r="E50" s="24"/>
      <c r="F50" s="25"/>
      <c r="G50" s="26"/>
      <c r="H50" s="27"/>
      <c r="I50" s="20"/>
      <c r="J50" s="21"/>
      <c r="K50" s="28"/>
      <c r="L50" s="19"/>
    </row>
    <row r="51" spans="1:12" ht="13.2">
      <c r="A51" s="22"/>
      <c r="B51" s="16"/>
      <c r="C51" s="23"/>
      <c r="D51" s="101"/>
      <c r="E51" s="24"/>
      <c r="F51" s="25"/>
      <c r="G51" s="26"/>
      <c r="H51" s="27"/>
      <c r="I51" s="20"/>
      <c r="J51" s="21"/>
      <c r="K51" s="28"/>
      <c r="L51" s="19"/>
    </row>
    <row r="52" spans="1:12" ht="13.2">
      <c r="A52" s="22"/>
      <c r="B52" s="16"/>
      <c r="C52" s="23"/>
      <c r="D52" s="101"/>
      <c r="E52" s="24"/>
      <c r="F52" s="25"/>
      <c r="G52" s="26"/>
      <c r="H52" s="27"/>
      <c r="I52" s="20"/>
      <c r="J52" s="21"/>
      <c r="K52" s="28"/>
      <c r="L52" s="19"/>
    </row>
    <row r="53" spans="1:12" ht="13.2">
      <c r="A53" s="22"/>
      <c r="B53" s="16"/>
      <c r="C53" s="23"/>
      <c r="D53" s="101"/>
      <c r="E53" s="24"/>
      <c r="F53" s="25"/>
      <c r="G53" s="26"/>
      <c r="H53" s="27"/>
      <c r="I53" s="20"/>
      <c r="J53" s="21"/>
      <c r="K53" s="28"/>
      <c r="L53" s="19"/>
    </row>
    <row r="54" spans="1:12" ht="13.2">
      <c r="A54" s="22"/>
      <c r="B54" s="16"/>
      <c r="C54" s="23"/>
      <c r="D54" s="101"/>
      <c r="E54" s="24"/>
      <c r="F54" s="25"/>
      <c r="G54" s="26"/>
      <c r="H54" s="27"/>
      <c r="I54" s="20"/>
      <c r="J54" s="21"/>
      <c r="K54" s="28"/>
      <c r="L54" s="19"/>
    </row>
    <row r="55" spans="1:12" ht="13.2">
      <c r="A55" s="22"/>
      <c r="B55" s="16"/>
      <c r="C55" s="23"/>
      <c r="D55" s="101"/>
      <c r="E55" s="24"/>
      <c r="F55" s="25"/>
      <c r="G55" s="26"/>
      <c r="H55" s="27"/>
      <c r="I55" s="20"/>
      <c r="J55" s="21"/>
      <c r="K55" s="28"/>
      <c r="L55" s="19"/>
    </row>
    <row r="56" spans="1:12" ht="13.2">
      <c r="A56" s="22"/>
      <c r="B56" s="16"/>
      <c r="C56" s="23"/>
      <c r="D56" s="101"/>
      <c r="E56" s="24"/>
      <c r="F56" s="25"/>
      <c r="G56" s="26"/>
      <c r="H56" s="27"/>
      <c r="I56" s="20"/>
      <c r="J56" s="21"/>
      <c r="K56" s="28"/>
      <c r="L56" s="19"/>
    </row>
    <row r="57" spans="1:12" ht="13.2">
      <c r="A57" s="22"/>
      <c r="B57" s="16"/>
      <c r="C57" s="23"/>
      <c r="D57" s="101"/>
      <c r="E57" s="24"/>
      <c r="F57" s="25"/>
      <c r="G57" s="26"/>
      <c r="H57" s="27"/>
      <c r="I57" s="20"/>
      <c r="J57" s="21"/>
      <c r="K57" s="28"/>
      <c r="L57" s="19"/>
    </row>
    <row r="58" spans="1:12" ht="13.2">
      <c r="A58" s="22"/>
      <c r="B58" s="16"/>
      <c r="C58" s="23"/>
      <c r="D58" s="101"/>
      <c r="E58" s="24"/>
      <c r="F58" s="25"/>
      <c r="G58" s="26"/>
      <c r="H58" s="27"/>
      <c r="I58" s="20"/>
      <c r="J58" s="21"/>
      <c r="K58" s="28"/>
      <c r="L58" s="19"/>
    </row>
    <row r="59" spans="1:12" ht="13.2">
      <c r="A59" s="22"/>
      <c r="B59" s="16"/>
      <c r="C59" s="23"/>
      <c r="D59" s="101"/>
      <c r="E59" s="24"/>
      <c r="F59" s="25"/>
      <c r="G59" s="26"/>
      <c r="H59" s="27"/>
      <c r="I59" s="20"/>
      <c r="J59" s="21"/>
      <c r="K59" s="28"/>
      <c r="L59" s="19"/>
    </row>
    <row r="60" spans="1:12" ht="13.2">
      <c r="A60" s="22"/>
      <c r="B60" s="16"/>
      <c r="C60" s="23"/>
      <c r="D60" s="101"/>
      <c r="E60" s="24"/>
      <c r="F60" s="25"/>
      <c r="G60" s="26"/>
      <c r="H60" s="27"/>
      <c r="I60" s="20"/>
      <c r="J60" s="21"/>
      <c r="K60" s="28"/>
      <c r="L60" s="19"/>
    </row>
    <row r="61" spans="1:12" ht="13.2">
      <c r="A61" s="22"/>
      <c r="B61" s="16"/>
      <c r="C61" s="23"/>
      <c r="D61" s="101"/>
      <c r="E61" s="24"/>
      <c r="F61" s="25"/>
      <c r="G61" s="26"/>
      <c r="H61" s="27"/>
      <c r="I61" s="20"/>
      <c r="J61" s="21"/>
      <c r="K61" s="28"/>
      <c r="L61" s="19"/>
    </row>
    <row r="62" spans="1:12" ht="13.2">
      <c r="A62" s="22"/>
      <c r="B62" s="16"/>
      <c r="C62" s="23"/>
      <c r="D62" s="101"/>
      <c r="E62" s="24"/>
      <c r="F62" s="25"/>
      <c r="G62" s="26"/>
      <c r="H62" s="27"/>
      <c r="I62" s="20"/>
      <c r="J62" s="21"/>
      <c r="K62" s="28"/>
      <c r="L62" s="19"/>
    </row>
    <row r="63" spans="1:12" ht="13.2">
      <c r="A63" s="22"/>
      <c r="B63" s="16"/>
      <c r="C63" s="23"/>
      <c r="D63" s="101"/>
      <c r="E63" s="24"/>
      <c r="F63" s="25"/>
      <c r="G63" s="26"/>
      <c r="H63" s="27"/>
      <c r="I63" s="20"/>
      <c r="J63" s="21"/>
      <c r="K63" s="28"/>
      <c r="L63" s="19"/>
    </row>
    <row r="64" spans="1:12" ht="13.2">
      <c r="A64" s="22"/>
      <c r="B64" s="16"/>
      <c r="C64" s="23"/>
      <c r="D64" s="101"/>
      <c r="E64" s="24"/>
      <c r="F64" s="25"/>
      <c r="G64" s="26"/>
      <c r="H64" s="27"/>
      <c r="I64" s="20"/>
      <c r="J64" s="21"/>
      <c r="K64" s="28"/>
      <c r="L64" s="19"/>
    </row>
    <row r="65" spans="1:12" ht="13.2">
      <c r="A65" s="22"/>
      <c r="B65" s="16"/>
      <c r="C65" s="23"/>
      <c r="D65" s="101"/>
      <c r="E65" s="24"/>
      <c r="F65" s="25"/>
      <c r="G65" s="26"/>
      <c r="H65" s="27"/>
      <c r="I65" s="20"/>
      <c r="J65" s="21"/>
      <c r="K65" s="28"/>
      <c r="L65" s="19"/>
    </row>
    <row r="66" spans="1:12" ht="13.2">
      <c r="A66" s="22"/>
      <c r="B66" s="16"/>
      <c r="C66" s="23"/>
      <c r="D66" s="101"/>
      <c r="E66" s="24"/>
      <c r="F66" s="25"/>
      <c r="G66" s="26"/>
      <c r="H66" s="27"/>
      <c r="I66" s="20"/>
      <c r="J66" s="21"/>
      <c r="K66" s="28"/>
      <c r="L66" s="19"/>
    </row>
    <row r="67" spans="1:12" ht="13.2">
      <c r="A67" s="22"/>
      <c r="B67" s="16"/>
      <c r="C67" s="23"/>
      <c r="D67" s="101"/>
      <c r="E67" s="24"/>
      <c r="F67" s="25"/>
      <c r="G67" s="26"/>
      <c r="H67" s="27"/>
      <c r="I67" s="20"/>
      <c r="J67" s="21"/>
      <c r="K67" s="28"/>
      <c r="L67" s="19"/>
    </row>
    <row r="68" spans="1:12" ht="13.2">
      <c r="A68" s="22"/>
      <c r="B68" s="16"/>
      <c r="C68" s="23"/>
      <c r="D68" s="101"/>
      <c r="E68" s="24"/>
      <c r="F68" s="25"/>
      <c r="G68" s="26"/>
      <c r="H68" s="27"/>
      <c r="I68" s="20"/>
      <c r="J68" s="21"/>
      <c r="K68" s="28"/>
      <c r="L68" s="19"/>
    </row>
    <row r="69" spans="1:12" ht="13.2">
      <c r="A69" s="22"/>
      <c r="B69" s="16"/>
      <c r="C69" s="23"/>
      <c r="D69" s="101"/>
      <c r="E69" s="24"/>
      <c r="F69" s="25"/>
      <c r="G69" s="26"/>
      <c r="H69" s="27"/>
      <c r="I69" s="20"/>
      <c r="J69" s="21"/>
      <c r="K69" s="28"/>
      <c r="L69" s="19"/>
    </row>
    <row r="70" spans="1:12" ht="13.2">
      <c r="A70" s="22"/>
      <c r="B70" s="16"/>
      <c r="C70" s="23"/>
      <c r="D70" s="101"/>
      <c r="E70" s="24"/>
      <c r="F70" s="25"/>
      <c r="G70" s="26"/>
      <c r="H70" s="27"/>
      <c r="I70" s="20"/>
      <c r="J70" s="21"/>
      <c r="K70" s="28"/>
      <c r="L70" s="19"/>
    </row>
    <row r="71" spans="1:12" ht="13.2">
      <c r="A71" s="22"/>
      <c r="B71" s="16"/>
      <c r="C71" s="23"/>
      <c r="D71" s="101"/>
      <c r="E71" s="24"/>
      <c r="F71" s="25"/>
      <c r="G71" s="26"/>
      <c r="H71" s="27"/>
      <c r="I71" s="20"/>
      <c r="J71" s="21"/>
      <c r="K71" s="28"/>
      <c r="L71" s="19"/>
    </row>
    <row r="72" spans="1:12" ht="13.2">
      <c r="A72" s="22"/>
      <c r="B72" s="16"/>
      <c r="C72" s="23"/>
      <c r="D72" s="101"/>
      <c r="E72" s="24"/>
      <c r="F72" s="25"/>
      <c r="G72" s="26"/>
      <c r="H72" s="27"/>
      <c r="I72" s="20"/>
      <c r="J72" s="21"/>
      <c r="K72" s="28"/>
      <c r="L72" s="19"/>
    </row>
    <row r="73" spans="1:12" ht="13.2">
      <c r="A73" s="22"/>
      <c r="B73" s="16"/>
      <c r="C73" s="23"/>
      <c r="D73" s="101"/>
      <c r="E73" s="24"/>
      <c r="F73" s="25"/>
      <c r="G73" s="26"/>
      <c r="H73" s="27"/>
      <c r="I73" s="20"/>
      <c r="J73" s="21"/>
      <c r="K73" s="28"/>
      <c r="L73" s="19"/>
    </row>
    <row r="74" spans="1:12" ht="13.2">
      <c r="A74" s="22"/>
      <c r="B74" s="16"/>
      <c r="C74" s="23"/>
      <c r="D74" s="101"/>
      <c r="E74" s="24"/>
      <c r="F74" s="25"/>
      <c r="G74" s="26"/>
      <c r="H74" s="27"/>
      <c r="I74" s="20"/>
      <c r="J74" s="21"/>
      <c r="K74" s="28"/>
      <c r="L74" s="19"/>
    </row>
    <row r="75" spans="1:12" ht="13.2">
      <c r="A75" s="22"/>
      <c r="B75" s="16"/>
      <c r="C75" s="23"/>
      <c r="D75" s="101"/>
      <c r="E75" s="24"/>
      <c r="F75" s="25"/>
      <c r="G75" s="26"/>
      <c r="H75" s="27"/>
      <c r="I75" s="20"/>
      <c r="J75" s="21"/>
      <c r="K75" s="28"/>
      <c r="L75" s="19"/>
    </row>
    <row r="76" spans="1:12" ht="13.2">
      <c r="A76" s="22"/>
      <c r="B76" s="16"/>
      <c r="C76" s="23"/>
      <c r="D76" s="101"/>
      <c r="E76" s="24"/>
      <c r="F76" s="25"/>
      <c r="G76" s="26"/>
      <c r="H76" s="27"/>
      <c r="I76" s="20"/>
      <c r="J76" s="21"/>
      <c r="K76" s="28"/>
      <c r="L76" s="19"/>
    </row>
    <row r="77" spans="1:12" ht="13.2">
      <c r="A77" s="22"/>
      <c r="B77" s="16"/>
      <c r="C77" s="23"/>
      <c r="D77" s="101"/>
      <c r="E77" s="24"/>
      <c r="F77" s="25"/>
      <c r="G77" s="26"/>
      <c r="H77" s="27"/>
      <c r="I77" s="20"/>
      <c r="J77" s="21"/>
      <c r="K77" s="28"/>
      <c r="L77" s="19"/>
    </row>
    <row r="78" spans="1:12" ht="13.2">
      <c r="A78" s="22"/>
      <c r="B78" s="16"/>
      <c r="C78" s="23"/>
      <c r="D78" s="101"/>
      <c r="E78" s="24"/>
      <c r="F78" s="25"/>
      <c r="G78" s="26"/>
      <c r="H78" s="27"/>
      <c r="I78" s="20"/>
      <c r="J78" s="21"/>
      <c r="K78" s="28"/>
      <c r="L78" s="19"/>
    </row>
    <row r="79" spans="1:12" ht="13.2">
      <c r="A79" s="22"/>
      <c r="B79" s="16"/>
      <c r="C79" s="23"/>
      <c r="D79" s="101"/>
      <c r="E79" s="24"/>
      <c r="F79" s="25"/>
      <c r="G79" s="26"/>
      <c r="H79" s="27"/>
      <c r="I79" s="20"/>
      <c r="J79" s="21"/>
      <c r="K79" s="28"/>
      <c r="L79" s="19"/>
    </row>
    <row r="80" spans="1:12" ht="13.2">
      <c r="A80" s="22"/>
      <c r="B80" s="16"/>
      <c r="C80" s="23"/>
      <c r="D80" s="101"/>
      <c r="E80" s="24"/>
      <c r="F80" s="25"/>
      <c r="G80" s="26"/>
      <c r="H80" s="27"/>
      <c r="I80" s="20"/>
      <c r="J80" s="21"/>
      <c r="K80" s="28"/>
      <c r="L80" s="19"/>
    </row>
    <row r="81" spans="1:12" ht="13.2">
      <c r="A81" s="22"/>
      <c r="B81" s="16"/>
      <c r="C81" s="23"/>
      <c r="D81" s="101"/>
      <c r="E81" s="24"/>
      <c r="F81" s="25"/>
      <c r="G81" s="26"/>
      <c r="H81" s="27"/>
      <c r="I81" s="20"/>
      <c r="J81" s="21"/>
      <c r="K81" s="28"/>
      <c r="L81" s="19"/>
    </row>
    <row r="82" spans="1:12" ht="13.2">
      <c r="A82" s="22"/>
      <c r="B82" s="16"/>
      <c r="C82" s="23"/>
      <c r="D82" s="101"/>
      <c r="E82" s="24"/>
      <c r="F82" s="25"/>
      <c r="G82" s="26"/>
      <c r="H82" s="27"/>
      <c r="I82" s="20"/>
      <c r="J82" s="21"/>
      <c r="K82" s="28"/>
      <c r="L82" s="19"/>
    </row>
    <row r="83" spans="1:12" ht="13.2">
      <c r="A83" s="22"/>
      <c r="B83" s="16"/>
      <c r="C83" s="23"/>
      <c r="D83" s="101"/>
      <c r="E83" s="24"/>
      <c r="F83" s="25"/>
      <c r="G83" s="26"/>
      <c r="H83" s="27"/>
      <c r="I83" s="20"/>
      <c r="J83" s="21"/>
      <c r="K83" s="28"/>
      <c r="L83" s="19"/>
    </row>
    <row r="84" spans="1:12" ht="13.2">
      <c r="A84" s="22"/>
      <c r="B84" s="16"/>
      <c r="C84" s="23"/>
      <c r="D84" s="101"/>
      <c r="E84" s="24"/>
      <c r="F84" s="25"/>
      <c r="G84" s="26"/>
      <c r="H84" s="27"/>
      <c r="I84" s="20"/>
      <c r="J84" s="21"/>
      <c r="K84" s="28"/>
      <c r="L84" s="19"/>
    </row>
    <row r="85" spans="1:12" ht="13.2">
      <c r="A85" s="22"/>
      <c r="B85" s="16"/>
      <c r="C85" s="23"/>
      <c r="D85" s="101"/>
      <c r="E85" s="24"/>
      <c r="F85" s="25"/>
      <c r="G85" s="26"/>
      <c r="H85" s="27"/>
      <c r="I85" s="20"/>
      <c r="J85" s="21"/>
      <c r="K85" s="28"/>
      <c r="L85" s="19"/>
    </row>
    <row r="86" spans="1:12" ht="13.2">
      <c r="A86" s="22"/>
      <c r="B86" s="16"/>
      <c r="C86" s="23"/>
      <c r="D86" s="101"/>
      <c r="E86" s="24"/>
      <c r="F86" s="25"/>
      <c r="G86" s="26"/>
      <c r="H86" s="27"/>
      <c r="I86" s="20"/>
      <c r="J86" s="21"/>
      <c r="K86" s="28"/>
      <c r="L86" s="19"/>
    </row>
    <row r="87" spans="1:12" ht="13.2">
      <c r="A87" s="22"/>
      <c r="B87" s="16"/>
      <c r="C87" s="23"/>
      <c r="D87" s="101"/>
      <c r="E87" s="24"/>
      <c r="F87" s="25"/>
      <c r="G87" s="26"/>
      <c r="H87" s="27"/>
      <c r="I87" s="20"/>
      <c r="J87" s="21"/>
      <c r="K87" s="28"/>
      <c r="L87" s="19"/>
    </row>
    <row r="88" spans="1:12" ht="13.2">
      <c r="A88" s="22"/>
      <c r="B88" s="16"/>
      <c r="C88" s="23"/>
      <c r="D88" s="101"/>
      <c r="E88" s="24"/>
      <c r="F88" s="25"/>
      <c r="G88" s="26"/>
      <c r="H88" s="27"/>
      <c r="I88" s="20"/>
      <c r="J88" s="21"/>
      <c r="K88" s="28"/>
      <c r="L88" s="19"/>
    </row>
    <row r="89" spans="1:12" ht="13.2">
      <c r="A89" s="22"/>
      <c r="B89" s="16"/>
      <c r="C89" s="23"/>
      <c r="D89" s="101"/>
      <c r="E89" s="24"/>
      <c r="F89" s="25"/>
      <c r="G89" s="26"/>
      <c r="H89" s="27"/>
      <c r="I89" s="20"/>
      <c r="J89" s="21"/>
      <c r="K89" s="28"/>
      <c r="L89" s="19"/>
    </row>
    <row r="90" spans="1:12" ht="13.2">
      <c r="A90" s="22"/>
      <c r="B90" s="16"/>
      <c r="C90" s="23"/>
      <c r="D90" s="101"/>
      <c r="E90" s="24"/>
      <c r="F90" s="25"/>
      <c r="G90" s="26"/>
      <c r="H90" s="27"/>
      <c r="I90" s="20"/>
      <c r="J90" s="21"/>
      <c r="K90" s="28"/>
      <c r="L90" s="19"/>
    </row>
    <row r="91" spans="1:12" ht="13.2">
      <c r="A91" s="22"/>
      <c r="B91" s="16"/>
      <c r="C91" s="23"/>
      <c r="D91" s="101"/>
      <c r="E91" s="24"/>
      <c r="F91" s="25"/>
      <c r="G91" s="26"/>
      <c r="H91" s="27"/>
      <c r="I91" s="20"/>
      <c r="J91" s="21"/>
      <c r="K91" s="28"/>
      <c r="L91" s="19"/>
    </row>
    <row r="92" spans="1:12" ht="13.2">
      <c r="A92" s="22"/>
      <c r="B92" s="16"/>
      <c r="C92" s="23"/>
      <c r="D92" s="101"/>
      <c r="E92" s="24"/>
      <c r="F92" s="25"/>
      <c r="G92" s="26"/>
      <c r="H92" s="27"/>
      <c r="I92" s="20"/>
      <c r="J92" s="21"/>
      <c r="K92" s="28"/>
      <c r="L92" s="19"/>
    </row>
    <row r="93" spans="1:12" ht="13.2">
      <c r="A93" s="22"/>
      <c r="B93" s="16"/>
      <c r="C93" s="23"/>
      <c r="D93" s="101"/>
      <c r="E93" s="24"/>
      <c r="F93" s="25"/>
      <c r="G93" s="26"/>
      <c r="H93" s="27"/>
      <c r="I93" s="20"/>
      <c r="J93" s="21"/>
      <c r="K93" s="28"/>
      <c r="L93" s="19"/>
    </row>
    <row r="94" spans="1:12" ht="13.2">
      <c r="A94" s="22"/>
      <c r="B94" s="16"/>
      <c r="C94" s="23"/>
      <c r="D94" s="101"/>
      <c r="E94" s="24"/>
      <c r="F94" s="25"/>
      <c r="G94" s="26"/>
      <c r="H94" s="27"/>
      <c r="I94" s="20"/>
      <c r="J94" s="21"/>
      <c r="K94" s="28"/>
      <c r="L94" s="19"/>
    </row>
    <row r="95" spans="1:12" ht="13.2">
      <c r="A95" s="22"/>
      <c r="B95" s="16"/>
      <c r="C95" s="23"/>
      <c r="D95" s="101"/>
      <c r="E95" s="24"/>
      <c r="F95" s="25"/>
      <c r="G95" s="26"/>
      <c r="H95" s="27"/>
      <c r="I95" s="20"/>
      <c r="J95" s="21"/>
      <c r="K95" s="28"/>
      <c r="L95" s="19"/>
    </row>
    <row r="96" spans="1:12" ht="13.2">
      <c r="A96" s="22"/>
      <c r="B96" s="16"/>
      <c r="C96" s="23"/>
      <c r="D96" s="101"/>
      <c r="E96" s="24"/>
      <c r="F96" s="25"/>
      <c r="G96" s="26"/>
      <c r="H96" s="27"/>
      <c r="I96" s="20"/>
      <c r="J96" s="21"/>
      <c r="K96" s="28"/>
      <c r="L96" s="19"/>
    </row>
    <row r="97" spans="1:12" ht="13.2">
      <c r="A97" s="22"/>
      <c r="B97" s="16"/>
      <c r="C97" s="23"/>
      <c r="D97" s="101"/>
      <c r="E97" s="24"/>
      <c r="F97" s="25"/>
      <c r="G97" s="26"/>
      <c r="H97" s="27"/>
      <c r="I97" s="20"/>
      <c r="J97" s="21"/>
      <c r="K97" s="28"/>
      <c r="L97" s="19"/>
    </row>
    <row r="98" spans="1:12" ht="13.2">
      <c r="A98" s="22"/>
      <c r="B98" s="16"/>
      <c r="C98" s="23"/>
      <c r="D98" s="101"/>
      <c r="E98" s="24"/>
      <c r="F98" s="25"/>
      <c r="G98" s="26"/>
      <c r="H98" s="27"/>
      <c r="I98" s="20"/>
      <c r="J98" s="21"/>
      <c r="K98" s="28"/>
      <c r="L98" s="19"/>
    </row>
    <row r="99" spans="1:12" ht="13.2">
      <c r="A99" s="22"/>
      <c r="B99" s="16"/>
      <c r="C99" s="23"/>
      <c r="D99" s="101"/>
      <c r="E99" s="24"/>
      <c r="F99" s="25"/>
      <c r="G99" s="26"/>
      <c r="H99" s="27"/>
      <c r="I99" s="20"/>
      <c r="J99" s="21"/>
      <c r="K99" s="28"/>
      <c r="L99" s="19"/>
    </row>
    <row r="100" spans="1:12" ht="13.2">
      <c r="A100" s="22"/>
      <c r="B100" s="16"/>
      <c r="C100" s="23"/>
      <c r="D100" s="101"/>
      <c r="E100" s="24"/>
      <c r="F100" s="25"/>
      <c r="G100" s="26"/>
      <c r="H100" s="27"/>
      <c r="I100" s="20"/>
      <c r="J100" s="21"/>
      <c r="K100" s="28"/>
      <c r="L100" s="19"/>
    </row>
    <row r="101" spans="1:12" ht="13.2">
      <c r="A101" s="22"/>
      <c r="B101" s="16"/>
      <c r="C101" s="23"/>
      <c r="D101" s="101"/>
      <c r="E101" s="24"/>
      <c r="F101" s="25"/>
      <c r="G101" s="26"/>
      <c r="H101" s="27"/>
      <c r="I101" s="20"/>
      <c r="J101" s="21"/>
      <c r="K101" s="28"/>
      <c r="L101" s="19"/>
    </row>
    <row r="102" spans="1:12" ht="13.2">
      <c r="A102" s="22"/>
      <c r="B102" s="16"/>
      <c r="C102" s="23"/>
      <c r="D102" s="101"/>
      <c r="E102" s="24"/>
      <c r="F102" s="25"/>
      <c r="G102" s="26"/>
      <c r="H102" s="27"/>
      <c r="I102" s="20"/>
      <c r="J102" s="21"/>
      <c r="K102" s="28"/>
      <c r="L102" s="19"/>
    </row>
    <row r="103" spans="1:12" ht="13.2">
      <c r="A103" s="22"/>
      <c r="B103" s="16"/>
      <c r="C103" s="23"/>
      <c r="D103" s="101"/>
      <c r="E103" s="24"/>
      <c r="F103" s="25"/>
      <c r="G103" s="26"/>
      <c r="H103" s="27"/>
      <c r="I103" s="20"/>
      <c r="J103" s="21"/>
      <c r="K103" s="28"/>
      <c r="L103" s="19"/>
    </row>
    <row r="104" spans="1:12" ht="13.2">
      <c r="A104" s="22"/>
      <c r="B104" s="16"/>
      <c r="C104" s="23"/>
      <c r="D104" s="101"/>
      <c r="E104" s="24"/>
      <c r="F104" s="25"/>
      <c r="G104" s="26"/>
      <c r="H104" s="27"/>
      <c r="I104" s="20"/>
      <c r="J104" s="21"/>
      <c r="K104" s="28"/>
      <c r="L104" s="19"/>
    </row>
    <row r="105" spans="1:12" ht="13.2">
      <c r="A105" s="22"/>
      <c r="B105" s="16"/>
      <c r="C105" s="23"/>
      <c r="D105" s="101"/>
      <c r="E105" s="24"/>
      <c r="F105" s="25"/>
      <c r="G105" s="26"/>
      <c r="H105" s="27"/>
      <c r="I105" s="20"/>
      <c r="J105" s="21"/>
      <c r="K105" s="28"/>
      <c r="L105" s="19"/>
    </row>
    <row r="106" spans="1:12" ht="13.2">
      <c r="A106" s="22"/>
      <c r="B106" s="16"/>
      <c r="C106" s="23"/>
      <c r="D106" s="101"/>
      <c r="E106" s="24"/>
      <c r="F106" s="25"/>
      <c r="G106" s="26"/>
      <c r="H106" s="27"/>
      <c r="I106" s="20"/>
      <c r="J106" s="21"/>
      <c r="K106" s="28"/>
      <c r="L106" s="19"/>
    </row>
    <row r="107" spans="1:12" ht="13.2">
      <c r="A107" s="22"/>
      <c r="B107" s="16"/>
      <c r="C107" s="23"/>
      <c r="D107" s="101"/>
      <c r="E107" s="24"/>
      <c r="F107" s="25"/>
      <c r="G107" s="26"/>
      <c r="H107" s="27"/>
      <c r="I107" s="20"/>
      <c r="J107" s="21"/>
      <c r="K107" s="28"/>
      <c r="L107" s="19"/>
    </row>
    <row r="108" spans="1:12" ht="13.2">
      <c r="A108" s="22"/>
      <c r="B108" s="16"/>
      <c r="C108" s="23"/>
      <c r="D108" s="101"/>
      <c r="E108" s="24"/>
      <c r="F108" s="25"/>
      <c r="G108" s="26"/>
      <c r="H108" s="27"/>
      <c r="I108" s="20"/>
      <c r="J108" s="21"/>
      <c r="K108" s="28"/>
      <c r="L108" s="19"/>
    </row>
    <row r="109" spans="1:12" ht="13.2">
      <c r="A109" s="22"/>
      <c r="B109" s="16"/>
      <c r="C109" s="23"/>
      <c r="D109" s="101"/>
      <c r="E109" s="24"/>
      <c r="F109" s="25"/>
      <c r="G109" s="26"/>
      <c r="H109" s="27"/>
      <c r="I109" s="20"/>
      <c r="J109" s="21"/>
      <c r="K109" s="28"/>
      <c r="L109" s="19"/>
    </row>
    <row r="110" spans="1:12" ht="13.2">
      <c r="A110" s="22"/>
      <c r="B110" s="16"/>
      <c r="C110" s="23"/>
      <c r="D110" s="101"/>
      <c r="E110" s="24"/>
      <c r="F110" s="25"/>
      <c r="G110" s="26"/>
      <c r="H110" s="27"/>
      <c r="I110" s="20"/>
      <c r="J110" s="21"/>
      <c r="K110" s="28"/>
      <c r="L110" s="19"/>
    </row>
    <row r="111" spans="1:12" ht="13.2">
      <c r="A111" s="22"/>
      <c r="B111" s="16"/>
      <c r="C111" s="23"/>
      <c r="D111" s="101"/>
      <c r="E111" s="24"/>
      <c r="F111" s="25"/>
      <c r="G111" s="26"/>
      <c r="H111" s="27"/>
      <c r="I111" s="20"/>
      <c r="J111" s="21"/>
      <c r="K111" s="28"/>
      <c r="L111" s="19"/>
    </row>
    <row r="112" spans="1:12" ht="13.2">
      <c r="A112" s="22"/>
      <c r="B112" s="16"/>
      <c r="C112" s="23"/>
      <c r="D112" s="101"/>
      <c r="E112" s="24"/>
      <c r="F112" s="25"/>
      <c r="G112" s="26"/>
      <c r="H112" s="27"/>
      <c r="I112" s="20"/>
      <c r="J112" s="21"/>
      <c r="K112" s="28"/>
      <c r="L112" s="19"/>
    </row>
    <row r="113" spans="1:12" ht="13.2">
      <c r="A113" s="22"/>
      <c r="B113" s="16"/>
      <c r="C113" s="23"/>
      <c r="D113" s="101"/>
      <c r="E113" s="24"/>
      <c r="F113" s="25"/>
      <c r="G113" s="26"/>
      <c r="H113" s="27"/>
      <c r="I113" s="20"/>
      <c r="J113" s="21"/>
      <c r="K113" s="28"/>
      <c r="L113" s="19"/>
    </row>
    <row r="114" spans="1:12" ht="13.2">
      <c r="A114" s="22"/>
      <c r="B114" s="16"/>
      <c r="C114" s="23"/>
      <c r="D114" s="101"/>
      <c r="E114" s="24"/>
      <c r="F114" s="25"/>
      <c r="G114" s="26"/>
      <c r="H114" s="27"/>
      <c r="I114" s="20"/>
      <c r="J114" s="21"/>
      <c r="K114" s="28"/>
      <c r="L114" s="19"/>
    </row>
    <row r="115" spans="1:12" ht="13.2">
      <c r="A115" s="22"/>
      <c r="B115" s="16"/>
      <c r="C115" s="23"/>
      <c r="D115" s="101"/>
      <c r="E115" s="24"/>
      <c r="F115" s="25"/>
      <c r="G115" s="26"/>
      <c r="H115" s="27"/>
      <c r="I115" s="20"/>
      <c r="J115" s="21"/>
      <c r="K115" s="28"/>
      <c r="L115" s="19"/>
    </row>
    <row r="116" spans="1:12" ht="13.2">
      <c r="A116" s="22"/>
      <c r="B116" s="16"/>
      <c r="C116" s="23"/>
      <c r="D116" s="101"/>
      <c r="E116" s="24"/>
      <c r="F116" s="25"/>
      <c r="G116" s="26"/>
      <c r="H116" s="27"/>
      <c r="I116" s="20"/>
      <c r="J116" s="21"/>
      <c r="K116" s="28"/>
      <c r="L116" s="19"/>
    </row>
    <row r="117" spans="1:12" ht="13.2">
      <c r="A117" s="22"/>
      <c r="B117" s="16"/>
      <c r="C117" s="23"/>
      <c r="D117" s="101"/>
      <c r="E117" s="24"/>
      <c r="F117" s="25"/>
      <c r="G117" s="26"/>
      <c r="H117" s="27"/>
      <c r="I117" s="20"/>
      <c r="J117" s="21"/>
      <c r="K117" s="28"/>
      <c r="L117" s="19"/>
    </row>
    <row r="118" spans="1:12" ht="13.2">
      <c r="A118" s="22"/>
      <c r="B118" s="16"/>
      <c r="C118" s="23"/>
      <c r="D118" s="101"/>
      <c r="E118" s="24"/>
      <c r="F118" s="25"/>
      <c r="G118" s="26"/>
      <c r="H118" s="27"/>
      <c r="I118" s="20"/>
      <c r="J118" s="21"/>
      <c r="K118" s="28"/>
      <c r="L118" s="19"/>
    </row>
    <row r="119" spans="1:12" ht="13.2">
      <c r="A119" s="22"/>
      <c r="B119" s="16"/>
      <c r="C119" s="23"/>
      <c r="D119" s="101"/>
      <c r="E119" s="24"/>
      <c r="F119" s="25"/>
      <c r="G119" s="26"/>
      <c r="H119" s="27"/>
      <c r="I119" s="20"/>
      <c r="J119" s="21"/>
      <c r="K119" s="28"/>
      <c r="L119" s="19"/>
    </row>
    <row r="120" spans="1:12" ht="13.2">
      <c r="A120" s="22"/>
      <c r="B120" s="16"/>
      <c r="C120" s="23"/>
      <c r="D120" s="101"/>
      <c r="E120" s="24"/>
      <c r="F120" s="25"/>
      <c r="G120" s="26"/>
      <c r="H120" s="27"/>
      <c r="I120" s="20"/>
      <c r="J120" s="21"/>
      <c r="K120" s="28"/>
      <c r="L120" s="19"/>
    </row>
    <row r="121" spans="1:12" ht="13.2">
      <c r="A121" s="22"/>
      <c r="B121" s="16"/>
      <c r="C121" s="23"/>
      <c r="D121" s="101"/>
      <c r="E121" s="24"/>
      <c r="F121" s="25"/>
      <c r="G121" s="26"/>
      <c r="H121" s="27"/>
      <c r="I121" s="20"/>
      <c r="J121" s="21"/>
      <c r="K121" s="28"/>
      <c r="L121" s="19"/>
    </row>
    <row r="122" spans="1:12" ht="13.2">
      <c r="A122" s="22"/>
      <c r="B122" s="16"/>
      <c r="C122" s="23"/>
      <c r="D122" s="101"/>
      <c r="E122" s="24"/>
      <c r="F122" s="25"/>
      <c r="G122" s="26"/>
      <c r="H122" s="27"/>
      <c r="I122" s="20"/>
      <c r="J122" s="21"/>
      <c r="K122" s="28"/>
      <c r="L122" s="19"/>
    </row>
    <row r="123" spans="1:12" ht="13.2">
      <c r="A123" s="22"/>
      <c r="B123" s="16"/>
      <c r="C123" s="23"/>
      <c r="D123" s="101"/>
      <c r="E123" s="24"/>
      <c r="F123" s="25"/>
      <c r="G123" s="26"/>
      <c r="H123" s="27"/>
      <c r="I123" s="20"/>
      <c r="J123" s="21"/>
      <c r="K123" s="28"/>
      <c r="L123" s="19"/>
    </row>
    <row r="124" spans="1:12" ht="13.2">
      <c r="A124" s="22"/>
      <c r="B124" s="16"/>
      <c r="C124" s="23"/>
      <c r="D124" s="101"/>
      <c r="E124" s="24"/>
      <c r="F124" s="25"/>
      <c r="G124" s="26"/>
      <c r="H124" s="27"/>
      <c r="I124" s="20"/>
      <c r="J124" s="21"/>
      <c r="K124" s="28"/>
      <c r="L124" s="19"/>
    </row>
    <row r="125" spans="1:12" ht="13.2">
      <c r="A125" s="22"/>
      <c r="B125" s="16"/>
      <c r="C125" s="23"/>
      <c r="D125" s="101"/>
      <c r="E125" s="24"/>
      <c r="F125" s="25"/>
      <c r="G125" s="26"/>
      <c r="H125" s="27"/>
      <c r="I125" s="20"/>
      <c r="J125" s="21"/>
      <c r="K125" s="28"/>
      <c r="L125" s="19"/>
    </row>
    <row r="126" spans="1:12" ht="13.2">
      <c r="A126" s="22"/>
      <c r="B126" s="16"/>
      <c r="C126" s="23"/>
      <c r="D126" s="101"/>
      <c r="E126" s="24"/>
      <c r="F126" s="25"/>
      <c r="G126" s="26"/>
      <c r="H126" s="27"/>
      <c r="I126" s="20"/>
      <c r="J126" s="21"/>
      <c r="K126" s="28"/>
      <c r="L126" s="19"/>
    </row>
    <row r="127" spans="1:12" ht="13.2">
      <c r="A127" s="22"/>
      <c r="B127" s="16"/>
      <c r="C127" s="23"/>
      <c r="D127" s="101"/>
      <c r="E127" s="24"/>
      <c r="F127" s="25"/>
      <c r="G127" s="26"/>
      <c r="H127" s="27"/>
      <c r="I127" s="20"/>
      <c r="J127" s="21"/>
      <c r="K127" s="28"/>
      <c r="L127" s="19"/>
    </row>
    <row r="128" spans="1:12" ht="13.2">
      <c r="A128" s="22"/>
      <c r="B128" s="16"/>
      <c r="C128" s="23"/>
      <c r="D128" s="101"/>
      <c r="E128" s="24"/>
      <c r="F128" s="25"/>
      <c r="G128" s="26"/>
      <c r="H128" s="27"/>
      <c r="I128" s="20"/>
      <c r="J128" s="21"/>
      <c r="K128" s="28"/>
      <c r="L128" s="19"/>
    </row>
    <row r="129" spans="1:12" ht="13.2">
      <c r="A129" s="22"/>
      <c r="B129" s="16"/>
      <c r="C129" s="23"/>
      <c r="D129" s="101"/>
      <c r="E129" s="24"/>
      <c r="F129" s="25"/>
      <c r="G129" s="26"/>
      <c r="H129" s="27"/>
      <c r="I129" s="20"/>
      <c r="J129" s="21"/>
      <c r="K129" s="28"/>
      <c r="L129" s="19"/>
    </row>
    <row r="130" spans="1:12" ht="13.2">
      <c r="A130" s="22"/>
      <c r="B130" s="16"/>
      <c r="C130" s="23"/>
      <c r="D130" s="101"/>
      <c r="E130" s="24"/>
      <c r="F130" s="25"/>
      <c r="G130" s="26"/>
      <c r="H130" s="27"/>
      <c r="I130" s="20"/>
      <c r="J130" s="21"/>
      <c r="K130" s="28"/>
      <c r="L130" s="19"/>
    </row>
    <row r="131" spans="1:12" ht="13.2">
      <c r="A131" s="22"/>
      <c r="B131" s="16"/>
      <c r="C131" s="23"/>
      <c r="D131" s="101"/>
      <c r="E131" s="24"/>
      <c r="F131" s="25"/>
      <c r="G131" s="26"/>
      <c r="H131" s="27"/>
      <c r="I131" s="20"/>
      <c r="J131" s="21"/>
      <c r="K131" s="28"/>
      <c r="L131" s="19"/>
    </row>
    <row r="132" spans="1:12" ht="13.2">
      <c r="A132" s="22"/>
      <c r="B132" s="16"/>
      <c r="C132" s="23"/>
      <c r="D132" s="101"/>
      <c r="E132" s="24"/>
      <c r="F132" s="25"/>
      <c r="G132" s="26"/>
      <c r="H132" s="27"/>
      <c r="I132" s="20"/>
      <c r="J132" s="21"/>
      <c r="K132" s="28"/>
      <c r="L132" s="19"/>
    </row>
    <row r="133" spans="1:12" ht="13.2">
      <c r="A133" s="22"/>
      <c r="B133" s="16"/>
      <c r="C133" s="23"/>
      <c r="D133" s="101"/>
      <c r="E133" s="24"/>
      <c r="F133" s="25"/>
      <c r="G133" s="26"/>
      <c r="H133" s="27"/>
      <c r="I133" s="20"/>
      <c r="J133" s="21"/>
      <c r="K133" s="28"/>
      <c r="L133" s="19"/>
    </row>
    <row r="134" spans="1:12" ht="13.2">
      <c r="A134" s="22"/>
      <c r="B134" s="16"/>
      <c r="C134" s="23"/>
      <c r="D134" s="101"/>
      <c r="E134" s="24"/>
      <c r="F134" s="25"/>
      <c r="G134" s="26"/>
      <c r="H134" s="27"/>
      <c r="I134" s="20"/>
      <c r="J134" s="21"/>
      <c r="K134" s="28"/>
      <c r="L134" s="19"/>
    </row>
    <row r="135" spans="1:12" ht="13.2">
      <c r="A135" s="22"/>
      <c r="B135" s="16"/>
      <c r="C135" s="23"/>
      <c r="D135" s="101"/>
      <c r="E135" s="24"/>
      <c r="F135" s="25"/>
      <c r="G135" s="26"/>
      <c r="H135" s="27"/>
      <c r="I135" s="20"/>
      <c r="J135" s="21"/>
      <c r="K135" s="28"/>
      <c r="L135" s="19"/>
    </row>
    <row r="136" spans="1:12" ht="13.2">
      <c r="A136" s="22"/>
      <c r="B136" s="16"/>
      <c r="C136" s="23"/>
      <c r="D136" s="101"/>
      <c r="E136" s="24"/>
      <c r="F136" s="25"/>
      <c r="G136" s="26"/>
      <c r="H136" s="27"/>
      <c r="I136" s="20"/>
      <c r="J136" s="21"/>
      <c r="K136" s="28"/>
      <c r="L136" s="19"/>
    </row>
    <row r="137" spans="1:12" ht="13.2">
      <c r="A137" s="22"/>
      <c r="B137" s="16"/>
      <c r="C137" s="23"/>
      <c r="D137" s="101"/>
      <c r="E137" s="24"/>
      <c r="F137" s="25"/>
      <c r="G137" s="26"/>
      <c r="H137" s="27"/>
      <c r="I137" s="20"/>
      <c r="J137" s="21"/>
      <c r="K137" s="28"/>
      <c r="L137" s="19"/>
    </row>
    <row r="138" spans="1:12" ht="13.2">
      <c r="A138" s="22"/>
      <c r="B138" s="16"/>
      <c r="C138" s="23"/>
      <c r="D138" s="101"/>
      <c r="E138" s="24"/>
      <c r="F138" s="25"/>
      <c r="G138" s="26"/>
      <c r="H138" s="27"/>
      <c r="I138" s="20"/>
      <c r="J138" s="21"/>
      <c r="K138" s="28"/>
      <c r="L138" s="19"/>
    </row>
    <row r="139" spans="1:12" ht="13.2">
      <c r="A139" s="22"/>
      <c r="B139" s="16"/>
      <c r="C139" s="23"/>
      <c r="D139" s="101"/>
      <c r="E139" s="24"/>
      <c r="F139" s="25"/>
      <c r="G139" s="26"/>
      <c r="H139" s="27"/>
      <c r="I139" s="20"/>
      <c r="J139" s="21"/>
      <c r="K139" s="28"/>
      <c r="L139" s="19"/>
    </row>
    <row r="140" spans="1:12" ht="13.2">
      <c r="A140" s="22"/>
      <c r="B140" s="16"/>
      <c r="C140" s="23"/>
      <c r="D140" s="101"/>
      <c r="E140" s="24"/>
      <c r="F140" s="25"/>
      <c r="G140" s="26"/>
      <c r="H140" s="27"/>
      <c r="I140" s="20"/>
      <c r="J140" s="21"/>
      <c r="K140" s="28"/>
      <c r="L140" s="19"/>
    </row>
    <row r="141" spans="1:12" ht="13.2">
      <c r="A141" s="22"/>
      <c r="B141" s="16"/>
      <c r="C141" s="23"/>
      <c r="D141" s="101"/>
      <c r="E141" s="24"/>
      <c r="F141" s="25"/>
      <c r="G141" s="26"/>
      <c r="H141" s="27"/>
      <c r="I141" s="20"/>
      <c r="J141" s="21"/>
      <c r="K141" s="28"/>
      <c r="L141" s="19"/>
    </row>
    <row r="142" spans="1:12" ht="13.2">
      <c r="A142" s="22"/>
      <c r="B142" s="16"/>
      <c r="C142" s="23"/>
      <c r="D142" s="101"/>
      <c r="E142" s="24"/>
      <c r="F142" s="25"/>
      <c r="G142" s="26"/>
      <c r="H142" s="27"/>
      <c r="I142" s="20"/>
      <c r="J142" s="21"/>
      <c r="K142" s="28"/>
      <c r="L142" s="19"/>
    </row>
    <row r="143" spans="1:12" ht="13.2">
      <c r="A143" s="22"/>
      <c r="B143" s="16"/>
      <c r="C143" s="23"/>
      <c r="D143" s="101"/>
      <c r="E143" s="24"/>
      <c r="F143" s="25"/>
      <c r="G143" s="26"/>
      <c r="H143" s="27"/>
      <c r="I143" s="20"/>
      <c r="J143" s="21"/>
      <c r="K143" s="28"/>
      <c r="L143" s="19"/>
    </row>
    <row r="144" spans="1:12" ht="13.2">
      <c r="A144" s="22"/>
      <c r="B144" s="16"/>
      <c r="C144" s="23"/>
      <c r="D144" s="101"/>
      <c r="E144" s="24"/>
      <c r="F144" s="25"/>
      <c r="G144" s="26"/>
      <c r="H144" s="27"/>
      <c r="I144" s="20"/>
      <c r="J144" s="21"/>
      <c r="K144" s="28"/>
      <c r="L144" s="19"/>
    </row>
    <row r="145" spans="1:12" ht="13.2">
      <c r="A145" s="22"/>
      <c r="B145" s="16"/>
      <c r="C145" s="23"/>
      <c r="D145" s="101"/>
      <c r="E145" s="24"/>
      <c r="F145" s="25"/>
      <c r="G145" s="26"/>
      <c r="H145" s="27"/>
      <c r="I145" s="20"/>
      <c r="J145" s="21"/>
      <c r="K145" s="28"/>
      <c r="L145" s="19"/>
    </row>
    <row r="146" spans="1:12" ht="13.2">
      <c r="A146" s="22"/>
      <c r="B146" s="16"/>
      <c r="C146" s="23"/>
      <c r="D146" s="101"/>
      <c r="E146" s="24"/>
      <c r="F146" s="25"/>
      <c r="G146" s="26"/>
      <c r="H146" s="27"/>
      <c r="I146" s="20"/>
      <c r="J146" s="21"/>
      <c r="K146" s="28"/>
      <c r="L146" s="19"/>
    </row>
    <row r="147" spans="1:12" ht="13.2">
      <c r="A147" s="22"/>
      <c r="B147" s="16"/>
      <c r="C147" s="23"/>
      <c r="D147" s="101"/>
      <c r="E147" s="24"/>
      <c r="F147" s="25"/>
      <c r="G147" s="26"/>
      <c r="H147" s="27"/>
      <c r="I147" s="20"/>
      <c r="J147" s="21"/>
      <c r="K147" s="28"/>
      <c r="L147" s="19"/>
    </row>
    <row r="148" spans="1:12" ht="13.2">
      <c r="A148" s="22"/>
      <c r="B148" s="16"/>
      <c r="C148" s="23"/>
      <c r="D148" s="101"/>
      <c r="E148" s="24"/>
      <c r="F148" s="25"/>
      <c r="G148" s="26"/>
      <c r="H148" s="27"/>
      <c r="I148" s="20"/>
      <c r="J148" s="21"/>
      <c r="K148" s="28"/>
      <c r="L148" s="19"/>
    </row>
    <row r="149" spans="1:12" ht="13.2">
      <c r="A149" s="22"/>
      <c r="B149" s="16"/>
      <c r="C149" s="23"/>
      <c r="D149" s="101"/>
      <c r="E149" s="24"/>
      <c r="F149" s="25"/>
      <c r="G149" s="26"/>
      <c r="H149" s="27"/>
      <c r="I149" s="20"/>
      <c r="J149" s="21"/>
      <c r="K149" s="28"/>
      <c r="L149" s="19"/>
    </row>
    <row r="150" spans="1:12" ht="13.2">
      <c r="A150" s="22"/>
      <c r="B150" s="16"/>
      <c r="C150" s="23"/>
      <c r="D150" s="101"/>
      <c r="E150" s="24"/>
      <c r="F150" s="25"/>
      <c r="G150" s="26"/>
      <c r="H150" s="27"/>
      <c r="I150" s="20"/>
      <c r="J150" s="21"/>
      <c r="K150" s="28"/>
      <c r="L150" s="19"/>
    </row>
    <row r="151" spans="1:12" ht="13.2">
      <c r="A151" s="22"/>
      <c r="B151" s="16"/>
      <c r="C151" s="23"/>
      <c r="D151" s="101"/>
      <c r="E151" s="24"/>
      <c r="F151" s="25"/>
      <c r="G151" s="26"/>
      <c r="H151" s="27"/>
      <c r="I151" s="20"/>
      <c r="J151" s="21"/>
      <c r="K151" s="28"/>
      <c r="L151" s="19"/>
    </row>
    <row r="152" spans="1:12" ht="13.2">
      <c r="A152" s="22"/>
      <c r="B152" s="16"/>
      <c r="C152" s="23"/>
      <c r="D152" s="101"/>
      <c r="E152" s="24"/>
      <c r="F152" s="25"/>
      <c r="G152" s="26"/>
      <c r="H152" s="27"/>
      <c r="I152" s="20"/>
      <c r="J152" s="21"/>
      <c r="K152" s="28"/>
      <c r="L152" s="19"/>
    </row>
    <row r="153" spans="1:12" ht="13.2">
      <c r="A153" s="22"/>
      <c r="B153" s="16"/>
      <c r="C153" s="23"/>
      <c r="D153" s="101"/>
      <c r="E153" s="24"/>
      <c r="F153" s="25"/>
      <c r="G153" s="26"/>
      <c r="H153" s="27"/>
      <c r="I153" s="20"/>
      <c r="J153" s="21"/>
      <c r="K153" s="28"/>
      <c r="L153" s="19"/>
    </row>
    <row r="154" spans="1:12" ht="13.2">
      <c r="A154" s="22"/>
      <c r="B154" s="16"/>
      <c r="C154" s="23"/>
      <c r="D154" s="101"/>
      <c r="E154" s="24"/>
      <c r="F154" s="25"/>
      <c r="G154" s="26"/>
      <c r="H154" s="27"/>
      <c r="I154" s="20"/>
      <c r="J154" s="21"/>
      <c r="K154" s="28"/>
      <c r="L154" s="19"/>
    </row>
    <row r="155" spans="1:12" ht="13.2">
      <c r="A155" s="22"/>
      <c r="B155" s="16"/>
      <c r="C155" s="23"/>
      <c r="D155" s="101"/>
      <c r="E155" s="24"/>
      <c r="F155" s="25"/>
      <c r="G155" s="26"/>
      <c r="H155" s="27"/>
      <c r="I155" s="20"/>
      <c r="J155" s="21"/>
      <c r="K155" s="28"/>
      <c r="L155" s="19"/>
    </row>
    <row r="156" spans="1:12" ht="13.2">
      <c r="A156" s="22"/>
      <c r="B156" s="16"/>
      <c r="C156" s="23"/>
      <c r="D156" s="101"/>
      <c r="E156" s="24"/>
      <c r="F156" s="25"/>
      <c r="G156" s="26"/>
      <c r="H156" s="27"/>
      <c r="I156" s="20"/>
      <c r="J156" s="21"/>
      <c r="K156" s="28"/>
      <c r="L156" s="19"/>
    </row>
    <row r="157" spans="1:12" ht="13.2">
      <c r="A157" s="22"/>
      <c r="B157" s="16"/>
      <c r="C157" s="23"/>
      <c r="D157" s="101"/>
      <c r="E157" s="24"/>
      <c r="F157" s="25"/>
      <c r="G157" s="26"/>
      <c r="H157" s="27"/>
      <c r="I157" s="20"/>
      <c r="J157" s="21"/>
      <c r="K157" s="28"/>
      <c r="L157" s="19"/>
    </row>
    <row r="158" spans="1:12" ht="13.2">
      <c r="A158" s="22"/>
      <c r="B158" s="16"/>
      <c r="C158" s="23"/>
      <c r="D158" s="101"/>
      <c r="E158" s="24"/>
      <c r="F158" s="25"/>
      <c r="G158" s="26"/>
      <c r="H158" s="27"/>
      <c r="I158" s="20"/>
      <c r="J158" s="21"/>
      <c r="K158" s="28"/>
      <c r="L158" s="19"/>
    </row>
    <row r="159" spans="1:12" ht="13.2">
      <c r="A159" s="22"/>
      <c r="B159" s="16"/>
      <c r="C159" s="23"/>
      <c r="D159" s="101"/>
      <c r="E159" s="24"/>
      <c r="F159" s="25"/>
      <c r="G159" s="26"/>
      <c r="H159" s="27"/>
      <c r="I159" s="20"/>
      <c r="J159" s="21"/>
      <c r="K159" s="28"/>
      <c r="L159" s="19"/>
    </row>
    <row r="160" spans="1:12" ht="13.2">
      <c r="A160" s="22"/>
      <c r="B160" s="16"/>
      <c r="C160" s="23"/>
      <c r="D160" s="101"/>
      <c r="E160" s="24"/>
      <c r="F160" s="25"/>
      <c r="G160" s="26"/>
      <c r="H160" s="27"/>
      <c r="I160" s="20"/>
      <c r="J160" s="21"/>
      <c r="K160" s="28"/>
      <c r="L160" s="19"/>
    </row>
    <row r="161" spans="1:12" ht="13.2">
      <c r="A161" s="22"/>
      <c r="B161" s="16"/>
      <c r="C161" s="23"/>
      <c r="D161" s="101"/>
      <c r="E161" s="24"/>
      <c r="F161" s="25"/>
      <c r="G161" s="26"/>
      <c r="H161" s="27"/>
      <c r="I161" s="20"/>
      <c r="J161" s="21"/>
      <c r="K161" s="28"/>
      <c r="L161" s="19"/>
    </row>
    <row r="162" spans="1:12" ht="13.2">
      <c r="A162" s="22"/>
      <c r="B162" s="16"/>
      <c r="C162" s="23"/>
      <c r="D162" s="101"/>
      <c r="E162" s="24"/>
      <c r="F162" s="25"/>
      <c r="G162" s="26"/>
      <c r="H162" s="27"/>
      <c r="I162" s="20"/>
      <c r="J162" s="21"/>
      <c r="K162" s="28"/>
      <c r="L162" s="19"/>
    </row>
    <row r="163" spans="1:12" ht="13.2">
      <c r="A163" s="22"/>
      <c r="B163" s="16"/>
      <c r="C163" s="23"/>
      <c r="D163" s="101"/>
      <c r="E163" s="24"/>
      <c r="F163" s="25"/>
      <c r="G163" s="26"/>
      <c r="H163" s="27"/>
      <c r="I163" s="20"/>
      <c r="J163" s="21"/>
      <c r="K163" s="28"/>
      <c r="L163" s="19"/>
    </row>
    <row r="164" spans="1:12" ht="13.2">
      <c r="A164" s="22"/>
      <c r="B164" s="16"/>
      <c r="C164" s="23"/>
      <c r="D164" s="101"/>
      <c r="E164" s="24"/>
      <c r="F164" s="25"/>
      <c r="G164" s="26"/>
      <c r="H164" s="27"/>
      <c r="I164" s="20"/>
      <c r="J164" s="21"/>
      <c r="K164" s="28"/>
      <c r="L164" s="19"/>
    </row>
    <row r="165" spans="1:12" ht="13.2">
      <c r="A165" s="22"/>
      <c r="B165" s="16"/>
      <c r="C165" s="23"/>
      <c r="D165" s="101"/>
      <c r="E165" s="24"/>
      <c r="F165" s="25"/>
      <c r="G165" s="26"/>
      <c r="H165" s="27"/>
      <c r="I165" s="20"/>
      <c r="J165" s="21"/>
      <c r="K165" s="28"/>
      <c r="L165" s="19"/>
    </row>
    <row r="166" spans="1:12" ht="13.2">
      <c r="A166" s="22"/>
      <c r="B166" s="16"/>
      <c r="C166" s="23"/>
      <c r="D166" s="101"/>
      <c r="E166" s="24"/>
      <c r="F166" s="25"/>
      <c r="G166" s="26"/>
      <c r="H166" s="27"/>
      <c r="I166" s="20"/>
      <c r="J166" s="21"/>
      <c r="K166" s="28"/>
      <c r="L166" s="19"/>
    </row>
    <row r="167" spans="1:12" ht="13.2">
      <c r="A167" s="22"/>
      <c r="B167" s="16"/>
      <c r="C167" s="23"/>
      <c r="D167" s="101"/>
      <c r="E167" s="24"/>
      <c r="F167" s="25"/>
      <c r="G167" s="26"/>
      <c r="H167" s="27"/>
      <c r="I167" s="20"/>
      <c r="J167" s="21"/>
      <c r="K167" s="28"/>
      <c r="L167" s="19"/>
    </row>
    <row r="168" spans="1:12" ht="13.2">
      <c r="A168" s="22"/>
      <c r="B168" s="16"/>
      <c r="C168" s="23"/>
      <c r="D168" s="101"/>
      <c r="E168" s="24"/>
      <c r="F168" s="25"/>
      <c r="G168" s="26"/>
      <c r="H168" s="27"/>
      <c r="I168" s="20"/>
      <c r="J168" s="21"/>
      <c r="K168" s="28"/>
      <c r="L168" s="19"/>
    </row>
    <row r="169" spans="1:12" ht="13.2">
      <c r="A169" s="22"/>
      <c r="B169" s="16"/>
      <c r="C169" s="23"/>
      <c r="D169" s="101"/>
      <c r="E169" s="24"/>
      <c r="F169" s="25"/>
      <c r="G169" s="26"/>
      <c r="H169" s="27"/>
      <c r="I169" s="20"/>
      <c r="J169" s="21"/>
      <c r="K169" s="28"/>
      <c r="L169" s="19"/>
    </row>
    <row r="170" spans="1:12" ht="13.2">
      <c r="A170" s="22"/>
      <c r="B170" s="16"/>
      <c r="C170" s="23"/>
      <c r="D170" s="101"/>
      <c r="E170" s="24"/>
      <c r="F170" s="25"/>
      <c r="G170" s="26"/>
      <c r="H170" s="27"/>
      <c r="I170" s="20"/>
      <c r="J170" s="21"/>
      <c r="K170" s="28"/>
      <c r="L170" s="19"/>
    </row>
    <row r="171" spans="1:12" ht="13.2">
      <c r="A171" s="22"/>
      <c r="B171" s="16"/>
      <c r="C171" s="23"/>
      <c r="D171" s="101"/>
      <c r="E171" s="24"/>
      <c r="F171" s="25"/>
      <c r="G171" s="26"/>
      <c r="H171" s="27"/>
      <c r="I171" s="20"/>
      <c r="J171" s="21"/>
      <c r="K171" s="28"/>
      <c r="L171" s="19"/>
    </row>
    <row r="172" spans="1:12" ht="13.2">
      <c r="A172" s="22"/>
      <c r="B172" s="16"/>
      <c r="C172" s="23"/>
      <c r="D172" s="101"/>
      <c r="E172" s="24"/>
      <c r="F172" s="25"/>
      <c r="G172" s="26"/>
      <c r="H172" s="27"/>
      <c r="I172" s="20"/>
      <c r="J172" s="21"/>
      <c r="K172" s="28"/>
      <c r="L172" s="19"/>
    </row>
    <row r="173" spans="1:12" ht="13.2">
      <c r="A173" s="22"/>
      <c r="B173" s="16"/>
      <c r="C173" s="23"/>
      <c r="D173" s="101"/>
      <c r="E173" s="24"/>
      <c r="F173" s="25"/>
      <c r="G173" s="26"/>
      <c r="H173" s="27"/>
      <c r="I173" s="20"/>
      <c r="J173" s="21"/>
      <c r="K173" s="28"/>
      <c r="L173" s="19"/>
    </row>
    <row r="174" spans="1:12" ht="13.2">
      <c r="A174" s="22"/>
      <c r="B174" s="16"/>
      <c r="C174" s="23"/>
      <c r="D174" s="101"/>
      <c r="E174" s="24"/>
      <c r="F174" s="25"/>
      <c r="G174" s="26"/>
      <c r="H174" s="27"/>
      <c r="I174" s="20"/>
      <c r="J174" s="21"/>
      <c r="K174" s="28"/>
      <c r="L174" s="19"/>
    </row>
    <row r="175" spans="1:12" ht="13.2">
      <c r="A175" s="22"/>
      <c r="B175" s="16"/>
      <c r="C175" s="23"/>
      <c r="D175" s="101"/>
      <c r="E175" s="24"/>
      <c r="F175" s="25"/>
      <c r="G175" s="26"/>
      <c r="H175" s="27"/>
      <c r="I175" s="20"/>
      <c r="J175" s="21"/>
      <c r="K175" s="28"/>
      <c r="L175" s="19"/>
    </row>
    <row r="176" spans="1:12" ht="13.2">
      <c r="A176" s="22"/>
      <c r="B176" s="16"/>
      <c r="C176" s="23"/>
      <c r="D176" s="101"/>
      <c r="E176" s="24"/>
      <c r="F176" s="25"/>
      <c r="G176" s="26"/>
      <c r="H176" s="27"/>
      <c r="I176" s="20"/>
      <c r="J176" s="21"/>
      <c r="K176" s="28"/>
      <c r="L176" s="19"/>
    </row>
    <row r="177" spans="1:12" ht="13.2">
      <c r="A177" s="22"/>
      <c r="B177" s="16"/>
      <c r="C177" s="23"/>
      <c r="D177" s="101"/>
      <c r="E177" s="24"/>
      <c r="F177" s="25"/>
      <c r="G177" s="26"/>
      <c r="H177" s="27"/>
      <c r="I177" s="20"/>
      <c r="J177" s="21"/>
      <c r="K177" s="28"/>
      <c r="L177" s="19"/>
    </row>
    <row r="178" spans="1:12" ht="13.2">
      <c r="A178" s="22"/>
      <c r="B178" s="16"/>
      <c r="C178" s="23"/>
      <c r="D178" s="101"/>
      <c r="E178" s="24"/>
      <c r="F178" s="25"/>
      <c r="G178" s="26"/>
      <c r="H178" s="27"/>
      <c r="I178" s="20"/>
      <c r="J178" s="21"/>
      <c r="K178" s="28"/>
      <c r="L178" s="19"/>
    </row>
    <row r="179" spans="1:12" ht="13.2">
      <c r="A179" s="22"/>
      <c r="B179" s="16"/>
      <c r="C179" s="23"/>
      <c r="D179" s="101"/>
      <c r="E179" s="24"/>
      <c r="F179" s="25"/>
      <c r="G179" s="26"/>
      <c r="H179" s="27"/>
      <c r="I179" s="20"/>
      <c r="J179" s="21"/>
      <c r="K179" s="28"/>
      <c r="L179" s="19"/>
    </row>
    <row r="180" spans="1:12" ht="13.2">
      <c r="A180" s="22"/>
      <c r="B180" s="16"/>
      <c r="C180" s="23"/>
      <c r="D180" s="101"/>
      <c r="E180" s="24"/>
      <c r="F180" s="25"/>
      <c r="G180" s="26"/>
      <c r="H180" s="27"/>
      <c r="I180" s="20"/>
      <c r="J180" s="21"/>
      <c r="K180" s="28"/>
      <c r="L180" s="19"/>
    </row>
    <row r="181" spans="1:12" ht="13.2">
      <c r="A181" s="22"/>
      <c r="B181" s="16"/>
      <c r="C181" s="23"/>
      <c r="D181" s="101"/>
      <c r="E181" s="24"/>
      <c r="F181" s="25"/>
      <c r="G181" s="26"/>
      <c r="H181" s="27"/>
      <c r="I181" s="20"/>
      <c r="J181" s="21"/>
      <c r="K181" s="28"/>
      <c r="L181" s="19"/>
    </row>
    <row r="182" spans="1:12" ht="13.2">
      <c r="A182" s="22"/>
      <c r="B182" s="16"/>
      <c r="C182" s="23"/>
      <c r="D182" s="101"/>
      <c r="E182" s="24"/>
      <c r="F182" s="25"/>
      <c r="G182" s="26"/>
      <c r="H182" s="27"/>
      <c r="I182" s="20"/>
      <c r="J182" s="21"/>
      <c r="K182" s="28"/>
      <c r="L182" s="19"/>
    </row>
    <row r="183" spans="1:12" ht="13.2">
      <c r="A183" s="22"/>
      <c r="B183" s="16"/>
      <c r="C183" s="23"/>
      <c r="D183" s="101"/>
      <c r="E183" s="24"/>
      <c r="F183" s="25"/>
      <c r="G183" s="26"/>
      <c r="H183" s="27"/>
      <c r="I183" s="20"/>
      <c r="J183" s="21"/>
      <c r="K183" s="28"/>
      <c r="L183" s="19"/>
    </row>
    <row r="184" spans="1:12" ht="13.2">
      <c r="A184" s="22"/>
      <c r="B184" s="16"/>
      <c r="C184" s="23"/>
      <c r="D184" s="101"/>
      <c r="E184" s="24"/>
      <c r="F184" s="25"/>
      <c r="G184" s="26"/>
      <c r="H184" s="27"/>
      <c r="I184" s="20"/>
      <c r="J184" s="21"/>
      <c r="K184" s="28"/>
      <c r="L184" s="19"/>
    </row>
    <row r="185" spans="1:12" ht="13.2">
      <c r="A185" s="22"/>
      <c r="B185" s="16"/>
      <c r="C185" s="23"/>
      <c r="D185" s="101"/>
      <c r="E185" s="24"/>
      <c r="F185" s="25"/>
      <c r="G185" s="26"/>
      <c r="H185" s="27"/>
      <c r="I185" s="20"/>
      <c r="J185" s="21"/>
      <c r="K185" s="28"/>
      <c r="L185" s="19"/>
    </row>
    <row r="186" spans="1:12" ht="13.2">
      <c r="A186" s="22"/>
      <c r="B186" s="16"/>
      <c r="C186" s="23"/>
      <c r="D186" s="101"/>
      <c r="E186" s="24"/>
      <c r="F186" s="25"/>
      <c r="G186" s="26"/>
      <c r="H186" s="27"/>
      <c r="I186" s="20"/>
      <c r="J186" s="21"/>
      <c r="K186" s="28"/>
      <c r="L186" s="19"/>
    </row>
    <row r="187" spans="1:12" ht="13.2">
      <c r="A187" s="22"/>
      <c r="B187" s="16"/>
      <c r="C187" s="23"/>
      <c r="D187" s="101"/>
      <c r="E187" s="24"/>
      <c r="F187" s="25"/>
      <c r="G187" s="26"/>
      <c r="H187" s="27"/>
      <c r="I187" s="20"/>
      <c r="J187" s="21"/>
      <c r="K187" s="28"/>
      <c r="L187" s="19"/>
    </row>
    <row r="188" spans="1:12" ht="13.2">
      <c r="A188" s="22"/>
      <c r="B188" s="16"/>
      <c r="C188" s="23"/>
      <c r="D188" s="101"/>
      <c r="E188" s="24"/>
      <c r="F188" s="25"/>
      <c r="G188" s="26"/>
      <c r="H188" s="27"/>
      <c r="I188" s="20"/>
      <c r="J188" s="21"/>
      <c r="K188" s="28"/>
      <c r="L188" s="19"/>
    </row>
    <row r="189" spans="1:12" ht="13.2">
      <c r="A189" s="22"/>
      <c r="B189" s="16"/>
      <c r="C189" s="23"/>
      <c r="D189" s="101"/>
      <c r="E189" s="24"/>
      <c r="F189" s="25"/>
      <c r="G189" s="26"/>
      <c r="H189" s="27"/>
      <c r="I189" s="20"/>
      <c r="J189" s="21"/>
      <c r="K189" s="28"/>
      <c r="L189" s="19"/>
    </row>
    <row r="190" spans="1:12" ht="13.2">
      <c r="A190" s="22"/>
      <c r="B190" s="16"/>
      <c r="C190" s="23"/>
      <c r="D190" s="101"/>
      <c r="E190" s="24"/>
      <c r="F190" s="25"/>
      <c r="G190" s="26"/>
      <c r="H190" s="27"/>
      <c r="I190" s="20"/>
      <c r="J190" s="21"/>
      <c r="K190" s="28"/>
      <c r="L190" s="19"/>
    </row>
    <row r="191" spans="1:12" ht="13.2">
      <c r="A191" s="22"/>
      <c r="B191" s="16"/>
      <c r="C191" s="23"/>
      <c r="D191" s="101"/>
      <c r="E191" s="24"/>
      <c r="F191" s="25"/>
      <c r="G191" s="26"/>
      <c r="H191" s="27"/>
      <c r="I191" s="20"/>
      <c r="J191" s="21"/>
      <c r="K191" s="28"/>
      <c r="L191" s="19"/>
    </row>
    <row r="192" spans="1:12" ht="13.2">
      <c r="A192" s="22"/>
      <c r="B192" s="16"/>
      <c r="C192" s="23"/>
      <c r="D192" s="101"/>
      <c r="E192" s="24"/>
      <c r="F192" s="25"/>
      <c r="G192" s="26"/>
      <c r="H192" s="27"/>
      <c r="I192" s="20"/>
      <c r="J192" s="21"/>
      <c r="K192" s="28"/>
      <c r="L192" s="19"/>
    </row>
    <row r="193" spans="1:12" ht="13.2">
      <c r="A193" s="22"/>
      <c r="B193" s="16"/>
      <c r="C193" s="23"/>
      <c r="D193" s="101"/>
      <c r="E193" s="24"/>
      <c r="F193" s="25"/>
      <c r="G193" s="26"/>
      <c r="H193" s="27"/>
      <c r="I193" s="20"/>
      <c r="J193" s="21"/>
      <c r="K193" s="28"/>
      <c r="L193" s="19"/>
    </row>
    <row r="194" spans="1:12" ht="13.2">
      <c r="A194" s="22"/>
      <c r="B194" s="16"/>
      <c r="C194" s="23"/>
      <c r="D194" s="101"/>
      <c r="E194" s="24"/>
      <c r="F194" s="25"/>
      <c r="G194" s="26"/>
      <c r="H194" s="27"/>
      <c r="I194" s="20"/>
      <c r="J194" s="21"/>
      <c r="K194" s="28"/>
      <c r="L194" s="19"/>
    </row>
    <row r="195" spans="1:12" ht="13.2">
      <c r="A195" s="22"/>
      <c r="B195" s="16"/>
      <c r="C195" s="23"/>
      <c r="D195" s="101"/>
      <c r="E195" s="24"/>
      <c r="F195" s="25"/>
      <c r="G195" s="26"/>
      <c r="H195" s="27"/>
      <c r="I195" s="20"/>
      <c r="J195" s="21"/>
      <c r="K195" s="28"/>
      <c r="L195" s="19"/>
    </row>
    <row r="196" spans="1:12" ht="13.2">
      <c r="A196" s="22"/>
      <c r="B196" s="16"/>
      <c r="C196" s="23"/>
      <c r="D196" s="101"/>
      <c r="E196" s="24"/>
      <c r="F196" s="25"/>
      <c r="G196" s="26"/>
      <c r="H196" s="27"/>
      <c r="I196" s="20"/>
      <c r="J196" s="21"/>
      <c r="K196" s="28"/>
      <c r="L196" s="19"/>
    </row>
    <row r="197" spans="1:12" ht="13.2">
      <c r="A197" s="22"/>
      <c r="B197" s="16"/>
      <c r="C197" s="23"/>
      <c r="D197" s="101"/>
      <c r="E197" s="24"/>
      <c r="F197" s="25"/>
      <c r="G197" s="26"/>
      <c r="H197" s="27"/>
      <c r="I197" s="20"/>
      <c r="J197" s="21"/>
      <c r="K197" s="28"/>
      <c r="L197" s="19"/>
    </row>
    <row r="198" spans="1:12" ht="13.2">
      <c r="A198" s="22"/>
      <c r="B198" s="16"/>
      <c r="C198" s="23"/>
      <c r="D198" s="101"/>
      <c r="E198" s="24"/>
      <c r="F198" s="25"/>
      <c r="G198" s="26"/>
      <c r="H198" s="27"/>
      <c r="I198" s="20"/>
      <c r="J198" s="21"/>
      <c r="K198" s="28"/>
      <c r="L198" s="19"/>
    </row>
    <row r="199" spans="1:12" ht="13.2">
      <c r="A199" s="22"/>
      <c r="B199" s="16"/>
      <c r="C199" s="23"/>
      <c r="D199" s="101"/>
      <c r="E199" s="24"/>
      <c r="F199" s="25"/>
      <c r="G199" s="26"/>
      <c r="H199" s="27"/>
      <c r="I199" s="20"/>
      <c r="J199" s="21"/>
      <c r="K199" s="28"/>
      <c r="L199" s="19"/>
    </row>
    <row r="200" spans="1:12" ht="13.2">
      <c r="A200" s="22"/>
      <c r="B200" s="16"/>
      <c r="C200" s="23"/>
      <c r="D200" s="101"/>
      <c r="E200" s="24"/>
      <c r="F200" s="25"/>
      <c r="G200" s="26"/>
      <c r="H200" s="27"/>
      <c r="I200" s="20"/>
      <c r="J200" s="21"/>
      <c r="K200" s="28"/>
      <c r="L200" s="19"/>
    </row>
    <row r="201" spans="1:12" ht="13.2">
      <c r="A201" s="22"/>
      <c r="B201" s="16"/>
      <c r="C201" s="23"/>
      <c r="D201" s="101"/>
      <c r="E201" s="24"/>
      <c r="F201" s="25"/>
      <c r="G201" s="26"/>
      <c r="H201" s="27"/>
      <c r="I201" s="20"/>
      <c r="J201" s="21"/>
      <c r="K201" s="28"/>
      <c r="L201" s="19"/>
    </row>
    <row r="202" spans="1:12" ht="13.2">
      <c r="A202" s="22"/>
      <c r="B202" s="16"/>
      <c r="C202" s="23"/>
      <c r="D202" s="101"/>
      <c r="E202" s="24"/>
      <c r="F202" s="25"/>
      <c r="G202" s="26"/>
      <c r="H202" s="27"/>
      <c r="I202" s="20"/>
      <c r="J202" s="21"/>
      <c r="K202" s="28"/>
      <c r="L202" s="19"/>
    </row>
    <row r="203" spans="1:12" ht="13.2">
      <c r="A203" s="22"/>
      <c r="B203" s="16"/>
      <c r="C203" s="23"/>
      <c r="D203" s="101"/>
      <c r="E203" s="24"/>
      <c r="F203" s="25"/>
      <c r="G203" s="26"/>
      <c r="H203" s="27"/>
      <c r="I203" s="20"/>
      <c r="J203" s="21"/>
      <c r="K203" s="28"/>
      <c r="L203" s="19"/>
    </row>
    <row r="204" spans="1:12" ht="13.2">
      <c r="A204" s="22"/>
      <c r="B204" s="16"/>
      <c r="C204" s="23"/>
      <c r="D204" s="101"/>
      <c r="E204" s="24"/>
      <c r="F204" s="25"/>
      <c r="G204" s="26"/>
      <c r="H204" s="27"/>
      <c r="I204" s="20"/>
      <c r="J204" s="21"/>
      <c r="K204" s="28"/>
      <c r="L204" s="19"/>
    </row>
    <row r="205" spans="1:12" ht="13.2">
      <c r="A205" s="22"/>
      <c r="B205" s="16"/>
      <c r="C205" s="23"/>
      <c r="D205" s="101"/>
      <c r="E205" s="24"/>
      <c r="F205" s="25"/>
      <c r="G205" s="26"/>
      <c r="H205" s="27"/>
      <c r="I205" s="20"/>
      <c r="J205" s="21"/>
      <c r="K205" s="28"/>
      <c r="L205" s="19"/>
    </row>
    <row r="206" spans="1:12" ht="13.2">
      <c r="A206" s="22"/>
      <c r="B206" s="16"/>
      <c r="C206" s="23"/>
      <c r="D206" s="101"/>
      <c r="E206" s="24"/>
      <c r="F206" s="25"/>
      <c r="G206" s="26"/>
      <c r="H206" s="27"/>
      <c r="I206" s="20"/>
      <c r="J206" s="21"/>
      <c r="K206" s="28"/>
      <c r="L206" s="19"/>
    </row>
    <row r="207" spans="1:12" ht="13.2">
      <c r="A207" s="22"/>
      <c r="B207" s="16"/>
      <c r="C207" s="23"/>
      <c r="D207" s="101"/>
      <c r="E207" s="24"/>
      <c r="F207" s="25"/>
      <c r="G207" s="26"/>
      <c r="H207" s="27"/>
      <c r="I207" s="20"/>
      <c r="J207" s="21"/>
      <c r="K207" s="28"/>
      <c r="L207" s="19"/>
    </row>
    <row r="208" spans="1:12" ht="13.2">
      <c r="A208" s="22"/>
      <c r="B208" s="16"/>
      <c r="C208" s="23"/>
      <c r="D208" s="101"/>
      <c r="E208" s="24"/>
      <c r="F208" s="25"/>
      <c r="G208" s="26"/>
      <c r="H208" s="27"/>
      <c r="I208" s="20"/>
      <c r="J208" s="21"/>
      <c r="K208" s="28"/>
      <c r="L208" s="19"/>
    </row>
    <row r="209" spans="1:12" ht="13.2">
      <c r="A209" s="22"/>
      <c r="B209" s="16"/>
      <c r="C209" s="23"/>
      <c r="D209" s="101"/>
      <c r="E209" s="24"/>
      <c r="F209" s="25"/>
      <c r="G209" s="26"/>
      <c r="H209" s="27"/>
      <c r="I209" s="20"/>
      <c r="J209" s="21"/>
      <c r="K209" s="28"/>
      <c r="L209" s="19"/>
    </row>
    <row r="210" spans="1:12" ht="13.2">
      <c r="A210" s="22"/>
      <c r="B210" s="16"/>
      <c r="C210" s="23"/>
      <c r="D210" s="101"/>
      <c r="E210" s="24"/>
      <c r="F210" s="25"/>
      <c r="G210" s="26"/>
      <c r="H210" s="27"/>
      <c r="I210" s="20"/>
      <c r="J210" s="21"/>
      <c r="K210" s="28"/>
      <c r="L210" s="19"/>
    </row>
    <row r="211" spans="1:12" ht="13.2">
      <c r="A211" s="22"/>
      <c r="B211" s="16"/>
      <c r="C211" s="23"/>
      <c r="D211" s="101"/>
      <c r="E211" s="24"/>
      <c r="F211" s="25"/>
      <c r="G211" s="26"/>
      <c r="H211" s="27"/>
      <c r="I211" s="20"/>
      <c r="J211" s="21"/>
      <c r="K211" s="28"/>
      <c r="L211" s="19"/>
    </row>
    <row r="212" spans="1:12" ht="13.2">
      <c r="A212" s="22"/>
      <c r="B212" s="16"/>
      <c r="C212" s="23"/>
      <c r="D212" s="101"/>
      <c r="E212" s="24"/>
      <c r="F212" s="25"/>
      <c r="G212" s="26"/>
      <c r="H212" s="27"/>
      <c r="I212" s="20"/>
      <c r="J212" s="21"/>
      <c r="K212" s="28"/>
      <c r="L212" s="19"/>
    </row>
    <row r="213" spans="1:12" ht="13.2">
      <c r="A213" s="22"/>
      <c r="B213" s="16"/>
      <c r="C213" s="23"/>
      <c r="D213" s="101"/>
      <c r="E213" s="24"/>
      <c r="F213" s="25"/>
      <c r="G213" s="26"/>
      <c r="H213" s="27"/>
      <c r="I213" s="20"/>
      <c r="J213" s="21"/>
      <c r="K213" s="28"/>
      <c r="L213" s="19"/>
    </row>
    <row r="214" spans="1:12" ht="13.2">
      <c r="A214" s="22"/>
      <c r="B214" s="16"/>
      <c r="C214" s="23"/>
      <c r="D214" s="101"/>
      <c r="E214" s="24"/>
      <c r="F214" s="25"/>
      <c r="G214" s="26"/>
      <c r="H214" s="27"/>
      <c r="I214" s="20"/>
      <c r="J214" s="21"/>
      <c r="K214" s="28"/>
      <c r="L214" s="19"/>
    </row>
    <row r="215" spans="1:12" ht="13.2">
      <c r="A215" s="22"/>
      <c r="B215" s="16"/>
      <c r="C215" s="23"/>
      <c r="D215" s="101"/>
      <c r="E215" s="24"/>
      <c r="F215" s="25"/>
      <c r="G215" s="26"/>
      <c r="H215" s="27"/>
      <c r="I215" s="20"/>
      <c r="J215" s="21"/>
      <c r="K215" s="28"/>
      <c r="L215" s="19"/>
    </row>
    <row r="216" spans="1:12" ht="13.2">
      <c r="A216" s="22"/>
      <c r="B216" s="16"/>
      <c r="C216" s="23"/>
      <c r="D216" s="101"/>
      <c r="E216" s="24"/>
      <c r="F216" s="25"/>
      <c r="G216" s="26"/>
      <c r="H216" s="27"/>
      <c r="I216" s="20"/>
      <c r="J216" s="21"/>
      <c r="K216" s="28"/>
      <c r="L216" s="19"/>
    </row>
    <row r="217" spans="1:12" ht="13.2">
      <c r="A217" s="22"/>
      <c r="B217" s="16"/>
      <c r="C217" s="23"/>
      <c r="D217" s="101"/>
      <c r="E217" s="24"/>
      <c r="F217" s="25"/>
      <c r="G217" s="26"/>
      <c r="H217" s="27"/>
      <c r="I217" s="20"/>
      <c r="J217" s="21"/>
      <c r="K217" s="28"/>
      <c r="L217" s="19"/>
    </row>
    <row r="218" spans="1:12" ht="13.2">
      <c r="A218" s="22"/>
      <c r="B218" s="16"/>
      <c r="C218" s="23"/>
      <c r="D218" s="101"/>
      <c r="E218" s="24"/>
      <c r="F218" s="25"/>
      <c r="G218" s="26"/>
      <c r="H218" s="27"/>
      <c r="I218" s="20"/>
      <c r="J218" s="21"/>
      <c r="K218" s="28"/>
      <c r="L218" s="19"/>
    </row>
    <row r="219" spans="1:12" ht="13.2">
      <c r="A219" s="22"/>
      <c r="B219" s="16"/>
      <c r="C219" s="23"/>
      <c r="D219" s="101"/>
      <c r="E219" s="24"/>
      <c r="F219" s="25"/>
      <c r="G219" s="26"/>
      <c r="H219" s="27"/>
      <c r="I219" s="20"/>
      <c r="J219" s="21"/>
      <c r="K219" s="28"/>
      <c r="L219" s="19"/>
    </row>
    <row r="220" spans="1:12" ht="13.2">
      <c r="A220" s="22"/>
      <c r="B220" s="16"/>
      <c r="C220" s="23"/>
      <c r="D220" s="101"/>
      <c r="E220" s="24"/>
      <c r="F220" s="25"/>
      <c r="G220" s="26"/>
      <c r="H220" s="27"/>
      <c r="I220" s="20"/>
      <c r="J220" s="21"/>
      <c r="K220" s="28"/>
      <c r="L220" s="19"/>
    </row>
    <row r="221" spans="1:12" ht="13.2">
      <c r="A221" s="22"/>
      <c r="B221" s="16"/>
      <c r="C221" s="23"/>
      <c r="D221" s="101"/>
      <c r="E221" s="24"/>
      <c r="F221" s="25"/>
      <c r="G221" s="26"/>
      <c r="H221" s="27"/>
      <c r="I221" s="20"/>
      <c r="J221" s="21"/>
      <c r="K221" s="28"/>
      <c r="L221" s="19"/>
    </row>
    <row r="222" spans="1:12" ht="13.2">
      <c r="A222" s="22"/>
      <c r="B222" s="16"/>
      <c r="C222" s="23"/>
      <c r="D222" s="101"/>
      <c r="E222" s="24"/>
      <c r="F222" s="25"/>
      <c r="G222" s="26"/>
      <c r="H222" s="27"/>
      <c r="I222" s="20"/>
      <c r="J222" s="21"/>
      <c r="K222" s="28"/>
      <c r="L222" s="19"/>
    </row>
    <row r="223" spans="1:12" ht="13.2">
      <c r="A223" s="22"/>
      <c r="B223" s="16"/>
      <c r="C223" s="23"/>
      <c r="D223" s="101"/>
      <c r="E223" s="24"/>
      <c r="F223" s="25"/>
      <c r="G223" s="26"/>
      <c r="H223" s="27"/>
      <c r="I223" s="20"/>
      <c r="J223" s="21"/>
      <c r="K223" s="28"/>
      <c r="L223" s="19"/>
    </row>
    <row r="224" spans="1:12" ht="13.2">
      <c r="A224" s="22"/>
      <c r="B224" s="16"/>
      <c r="C224" s="23"/>
      <c r="D224" s="101"/>
      <c r="E224" s="24"/>
      <c r="F224" s="25"/>
      <c r="G224" s="26"/>
      <c r="H224" s="27"/>
      <c r="I224" s="20"/>
      <c r="J224" s="21"/>
      <c r="K224" s="28"/>
      <c r="L224" s="19"/>
    </row>
    <row r="225" spans="1:12" ht="13.2">
      <c r="A225" s="22"/>
      <c r="B225" s="16"/>
      <c r="C225" s="23"/>
      <c r="D225" s="101"/>
      <c r="E225" s="24"/>
      <c r="F225" s="25"/>
      <c r="G225" s="26"/>
      <c r="H225" s="27"/>
      <c r="I225" s="20"/>
      <c r="J225" s="21"/>
      <c r="K225" s="28"/>
      <c r="L225" s="19"/>
    </row>
    <row r="226" spans="1:12" ht="13.2">
      <c r="A226" s="22"/>
      <c r="B226" s="16"/>
      <c r="C226" s="23"/>
      <c r="D226" s="101"/>
      <c r="E226" s="24"/>
      <c r="F226" s="25"/>
      <c r="G226" s="26"/>
      <c r="H226" s="27"/>
      <c r="I226" s="20"/>
      <c r="J226" s="21"/>
      <c r="K226" s="28"/>
      <c r="L226" s="19"/>
    </row>
    <row r="227" spans="1:12" ht="13.2">
      <c r="A227" s="22"/>
      <c r="B227" s="16"/>
      <c r="C227" s="23"/>
      <c r="D227" s="101"/>
      <c r="E227" s="24"/>
      <c r="F227" s="25"/>
      <c r="G227" s="26"/>
      <c r="H227" s="27"/>
      <c r="I227" s="20"/>
      <c r="J227" s="21"/>
      <c r="K227" s="28"/>
      <c r="L227" s="19"/>
    </row>
    <row r="228" spans="1:12" ht="13.2">
      <c r="A228" s="22"/>
      <c r="B228" s="16"/>
      <c r="C228" s="23"/>
      <c r="D228" s="101"/>
      <c r="E228" s="24"/>
      <c r="F228" s="25"/>
      <c r="G228" s="26"/>
      <c r="H228" s="27"/>
      <c r="I228" s="20"/>
      <c r="J228" s="21"/>
      <c r="K228" s="28"/>
      <c r="L228" s="19"/>
    </row>
    <row r="229" spans="1:12" ht="13.2">
      <c r="A229" s="22"/>
      <c r="B229" s="16"/>
      <c r="C229" s="23"/>
      <c r="D229" s="101"/>
      <c r="E229" s="24"/>
      <c r="F229" s="25"/>
      <c r="G229" s="26"/>
      <c r="H229" s="27"/>
      <c r="I229" s="20"/>
      <c r="J229" s="21"/>
      <c r="K229" s="28"/>
      <c r="L229" s="19"/>
    </row>
    <row r="230" spans="1:12" ht="13.2">
      <c r="A230" s="22"/>
      <c r="B230" s="16"/>
      <c r="C230" s="23"/>
      <c r="D230" s="101"/>
      <c r="E230" s="24"/>
      <c r="F230" s="25"/>
      <c r="G230" s="26"/>
      <c r="H230" s="27"/>
      <c r="I230" s="20"/>
      <c r="J230" s="21"/>
      <c r="K230" s="28"/>
      <c r="L230" s="19"/>
    </row>
    <row r="231" spans="1:12" ht="13.2">
      <c r="A231" s="22"/>
      <c r="B231" s="16"/>
      <c r="C231" s="23"/>
      <c r="D231" s="101"/>
      <c r="E231" s="24"/>
      <c r="F231" s="25"/>
      <c r="G231" s="26"/>
      <c r="H231" s="27"/>
      <c r="I231" s="20"/>
      <c r="J231" s="21"/>
      <c r="K231" s="28"/>
      <c r="L231" s="19"/>
    </row>
    <row r="232" spans="1:12" ht="13.2">
      <c r="A232" s="22"/>
      <c r="B232" s="16"/>
      <c r="C232" s="23"/>
      <c r="D232" s="101"/>
      <c r="E232" s="24"/>
      <c r="F232" s="25"/>
      <c r="G232" s="26"/>
      <c r="H232" s="27"/>
      <c r="I232" s="20"/>
      <c r="J232" s="21"/>
      <c r="K232" s="28"/>
      <c r="L232" s="19"/>
    </row>
    <row r="233" spans="1:12" ht="13.2">
      <c r="A233" s="22"/>
      <c r="B233" s="16"/>
      <c r="C233" s="23"/>
      <c r="D233" s="101"/>
      <c r="E233" s="24"/>
      <c r="F233" s="25"/>
      <c r="G233" s="26"/>
      <c r="H233" s="27"/>
      <c r="I233" s="20"/>
      <c r="J233" s="21"/>
      <c r="K233" s="28"/>
      <c r="L233" s="19"/>
    </row>
    <row r="234" spans="1:12" ht="13.2">
      <c r="A234" s="22"/>
      <c r="B234" s="16"/>
      <c r="C234" s="23"/>
      <c r="D234" s="101"/>
      <c r="E234" s="24"/>
      <c r="F234" s="25"/>
      <c r="G234" s="26"/>
      <c r="H234" s="27"/>
      <c r="I234" s="20"/>
      <c r="J234" s="21"/>
      <c r="K234" s="28"/>
      <c r="L234" s="19"/>
    </row>
    <row r="235" spans="1:12" ht="13.2">
      <c r="A235" s="22"/>
      <c r="B235" s="16"/>
      <c r="C235" s="23"/>
      <c r="D235" s="101"/>
      <c r="E235" s="24"/>
      <c r="F235" s="25"/>
      <c r="G235" s="26"/>
      <c r="H235" s="27"/>
      <c r="I235" s="20"/>
      <c r="J235" s="21"/>
      <c r="K235" s="28"/>
      <c r="L235" s="19"/>
    </row>
    <row r="236" spans="1:12" ht="13.2">
      <c r="A236" s="22"/>
      <c r="B236" s="16"/>
      <c r="C236" s="23"/>
      <c r="D236" s="101"/>
      <c r="E236" s="24"/>
      <c r="F236" s="25"/>
      <c r="G236" s="26"/>
      <c r="H236" s="27"/>
      <c r="I236" s="20"/>
      <c r="J236" s="21"/>
      <c r="K236" s="28"/>
      <c r="L236" s="19"/>
    </row>
    <row r="237" spans="1:12" ht="13.2">
      <c r="A237" s="22"/>
      <c r="B237" s="16"/>
      <c r="C237" s="23"/>
      <c r="D237" s="101"/>
      <c r="E237" s="24"/>
      <c r="F237" s="25"/>
      <c r="G237" s="26"/>
      <c r="H237" s="27"/>
      <c r="I237" s="20"/>
      <c r="J237" s="21"/>
      <c r="K237" s="28"/>
      <c r="L237" s="19"/>
    </row>
    <row r="238" spans="1:12" ht="13.2">
      <c r="A238" s="22"/>
      <c r="B238" s="16"/>
      <c r="C238" s="23"/>
      <c r="D238" s="101"/>
      <c r="E238" s="24"/>
      <c r="F238" s="25"/>
      <c r="G238" s="26"/>
      <c r="H238" s="27"/>
      <c r="I238" s="20"/>
      <c r="J238" s="21"/>
      <c r="K238" s="28"/>
      <c r="L238" s="19"/>
    </row>
    <row r="239" spans="1:12" ht="13.2">
      <c r="A239" s="22"/>
      <c r="B239" s="16"/>
      <c r="C239" s="23"/>
      <c r="D239" s="101"/>
      <c r="E239" s="24"/>
      <c r="F239" s="25"/>
      <c r="G239" s="26"/>
      <c r="H239" s="27"/>
      <c r="I239" s="20"/>
      <c r="J239" s="21"/>
      <c r="K239" s="28"/>
      <c r="L239" s="19"/>
    </row>
    <row r="240" spans="1:12" ht="13.2">
      <c r="A240" s="22"/>
      <c r="B240" s="16"/>
      <c r="C240" s="23"/>
      <c r="D240" s="101"/>
      <c r="E240" s="24"/>
      <c r="F240" s="25"/>
      <c r="G240" s="26"/>
      <c r="H240" s="27"/>
      <c r="I240" s="20"/>
      <c r="J240" s="21"/>
      <c r="K240" s="28"/>
      <c r="L240" s="19"/>
    </row>
    <row r="241" spans="1:12" ht="13.2">
      <c r="A241" s="22"/>
      <c r="B241" s="16"/>
      <c r="C241" s="23"/>
      <c r="D241" s="101"/>
      <c r="E241" s="24"/>
      <c r="F241" s="25"/>
      <c r="G241" s="26"/>
      <c r="H241" s="27"/>
      <c r="I241" s="20"/>
      <c r="J241" s="21"/>
      <c r="K241" s="28"/>
      <c r="L241" s="19"/>
    </row>
    <row r="242" spans="1:12" ht="13.2">
      <c r="A242" s="22"/>
      <c r="B242" s="16"/>
      <c r="C242" s="23"/>
      <c r="D242" s="101"/>
      <c r="E242" s="24"/>
      <c r="F242" s="25"/>
      <c r="G242" s="26"/>
      <c r="H242" s="27"/>
      <c r="I242" s="20"/>
      <c r="J242" s="21"/>
      <c r="K242" s="28"/>
      <c r="L242" s="19"/>
    </row>
    <row r="243" spans="1:12" ht="13.2">
      <c r="A243" s="22"/>
      <c r="B243" s="16"/>
      <c r="C243" s="23"/>
      <c r="D243" s="101"/>
      <c r="E243" s="24"/>
      <c r="F243" s="25"/>
      <c r="G243" s="26"/>
      <c r="H243" s="27"/>
      <c r="I243" s="20"/>
      <c r="J243" s="21"/>
      <c r="K243" s="28"/>
      <c r="L243" s="19"/>
    </row>
    <row r="244" spans="1:12" ht="13.2">
      <c r="A244" s="22"/>
      <c r="B244" s="16"/>
      <c r="C244" s="23"/>
      <c r="D244" s="101"/>
      <c r="E244" s="24"/>
      <c r="F244" s="25"/>
      <c r="G244" s="26"/>
      <c r="H244" s="27"/>
      <c r="I244" s="20"/>
      <c r="J244" s="21"/>
      <c r="K244" s="28"/>
      <c r="L244" s="19"/>
    </row>
    <row r="245" spans="1:12" ht="13.2">
      <c r="A245" s="22"/>
      <c r="B245" s="16"/>
      <c r="C245" s="23"/>
      <c r="D245" s="101"/>
      <c r="E245" s="24"/>
      <c r="F245" s="25"/>
      <c r="G245" s="26"/>
      <c r="H245" s="27"/>
      <c r="I245" s="20"/>
      <c r="J245" s="21"/>
      <c r="K245" s="28"/>
      <c r="L245" s="19"/>
    </row>
    <row r="246" spans="1:12" ht="13.2">
      <c r="A246" s="22"/>
      <c r="B246" s="16"/>
      <c r="C246" s="23"/>
      <c r="D246" s="101"/>
      <c r="E246" s="24"/>
      <c r="F246" s="25"/>
      <c r="G246" s="26"/>
      <c r="H246" s="27"/>
      <c r="I246" s="20"/>
      <c r="J246" s="21"/>
      <c r="K246" s="28"/>
      <c r="L246" s="19"/>
    </row>
    <row r="247" spans="1:12" ht="13.2">
      <c r="A247" s="22"/>
      <c r="B247" s="16"/>
      <c r="C247" s="23"/>
      <c r="D247" s="101"/>
      <c r="E247" s="24"/>
      <c r="F247" s="25"/>
      <c r="G247" s="26"/>
      <c r="H247" s="27"/>
      <c r="I247" s="20"/>
      <c r="J247" s="21"/>
      <c r="K247" s="28"/>
      <c r="L247" s="19"/>
    </row>
    <row r="248" spans="1:12" ht="13.2">
      <c r="A248" s="22"/>
      <c r="B248" s="16"/>
      <c r="C248" s="23"/>
      <c r="D248" s="101"/>
      <c r="E248" s="24"/>
      <c r="F248" s="25"/>
      <c r="G248" s="26"/>
      <c r="H248" s="27"/>
      <c r="I248" s="20"/>
      <c r="J248" s="21"/>
      <c r="K248" s="28"/>
      <c r="L248" s="19"/>
    </row>
    <row r="249" spans="1:12" ht="13.2">
      <c r="A249" s="22"/>
      <c r="B249" s="16"/>
      <c r="C249" s="23"/>
      <c r="D249" s="101"/>
      <c r="E249" s="24"/>
      <c r="F249" s="25"/>
      <c r="G249" s="26"/>
      <c r="H249" s="27"/>
      <c r="I249" s="20"/>
      <c r="J249" s="21"/>
      <c r="K249" s="28"/>
      <c r="L249" s="19"/>
    </row>
    <row r="250" spans="1:12" ht="13.2">
      <c r="A250" s="22"/>
      <c r="B250" s="16"/>
      <c r="C250" s="23"/>
      <c r="D250" s="101"/>
      <c r="E250" s="24"/>
      <c r="F250" s="25"/>
      <c r="G250" s="26"/>
      <c r="H250" s="27"/>
      <c r="I250" s="20"/>
      <c r="J250" s="21"/>
      <c r="K250" s="28"/>
      <c r="L250" s="19"/>
    </row>
    <row r="251" spans="1:12" ht="13.2">
      <c r="A251" s="22"/>
      <c r="B251" s="16"/>
      <c r="C251" s="23"/>
      <c r="D251" s="101"/>
      <c r="E251" s="24"/>
      <c r="F251" s="25"/>
      <c r="G251" s="26"/>
      <c r="H251" s="27"/>
      <c r="I251" s="20"/>
      <c r="J251" s="21"/>
      <c r="K251" s="28"/>
      <c r="L251" s="19"/>
    </row>
    <row r="252" spans="1:12" ht="13.2">
      <c r="A252" s="22"/>
      <c r="B252" s="16"/>
      <c r="C252" s="23"/>
      <c r="D252" s="101"/>
      <c r="E252" s="24"/>
      <c r="F252" s="25"/>
      <c r="G252" s="26"/>
      <c r="H252" s="27"/>
      <c r="I252" s="20"/>
      <c r="J252" s="21"/>
      <c r="K252" s="28"/>
      <c r="L252" s="19"/>
    </row>
    <row r="253" spans="1:12" ht="13.2">
      <c r="A253" s="22"/>
      <c r="B253" s="16"/>
      <c r="C253" s="23"/>
      <c r="D253" s="101"/>
      <c r="E253" s="24"/>
      <c r="F253" s="25"/>
      <c r="G253" s="26"/>
      <c r="H253" s="27"/>
      <c r="I253" s="20"/>
      <c r="J253" s="21"/>
      <c r="K253" s="28"/>
      <c r="L253" s="19"/>
    </row>
    <row r="254" spans="1:12" ht="13.2">
      <c r="A254" s="22"/>
      <c r="B254" s="16"/>
      <c r="C254" s="23"/>
      <c r="D254" s="101"/>
      <c r="E254" s="24"/>
      <c r="F254" s="25"/>
      <c r="G254" s="26"/>
      <c r="H254" s="27"/>
      <c r="I254" s="20"/>
      <c r="J254" s="21"/>
      <c r="K254" s="28"/>
      <c r="L254" s="19"/>
    </row>
    <row r="255" spans="1:12" ht="13.2">
      <c r="A255" s="22"/>
      <c r="B255" s="16"/>
      <c r="C255" s="23"/>
      <c r="D255" s="101"/>
      <c r="E255" s="24"/>
      <c r="F255" s="25"/>
      <c r="G255" s="26"/>
      <c r="H255" s="27"/>
      <c r="I255" s="20"/>
      <c r="J255" s="21"/>
      <c r="K255" s="28"/>
      <c r="L255" s="19"/>
    </row>
    <row r="256" spans="1:12" ht="13.2">
      <c r="A256" s="22"/>
      <c r="B256" s="16"/>
      <c r="C256" s="23"/>
      <c r="D256" s="101"/>
      <c r="E256" s="24"/>
      <c r="F256" s="25"/>
      <c r="G256" s="26"/>
      <c r="H256" s="27"/>
      <c r="I256" s="20"/>
      <c r="J256" s="21"/>
      <c r="K256" s="28"/>
      <c r="L256" s="19"/>
    </row>
    <row r="257" spans="1:12" ht="13.2">
      <c r="A257" s="22"/>
      <c r="B257" s="16"/>
      <c r="C257" s="23"/>
      <c r="D257" s="101"/>
      <c r="E257" s="24"/>
      <c r="F257" s="25"/>
      <c r="G257" s="26"/>
      <c r="H257" s="27"/>
      <c r="I257" s="20"/>
      <c r="J257" s="21"/>
      <c r="K257" s="28"/>
      <c r="L257" s="19"/>
    </row>
    <row r="258" spans="1:12" ht="13.2">
      <c r="A258" s="22"/>
      <c r="B258" s="16"/>
      <c r="C258" s="23"/>
      <c r="D258" s="101"/>
      <c r="E258" s="24"/>
      <c r="F258" s="25"/>
      <c r="G258" s="26"/>
      <c r="H258" s="27"/>
      <c r="I258" s="20"/>
      <c r="J258" s="21"/>
      <c r="K258" s="28"/>
      <c r="L258" s="19"/>
    </row>
    <row r="259" spans="1:12" ht="13.2">
      <c r="A259" s="22"/>
      <c r="B259" s="16"/>
      <c r="C259" s="23"/>
      <c r="D259" s="101"/>
      <c r="E259" s="24"/>
      <c r="F259" s="25"/>
      <c r="G259" s="26"/>
      <c r="H259" s="27"/>
      <c r="I259" s="20"/>
      <c r="J259" s="21"/>
      <c r="K259" s="28"/>
      <c r="L259" s="19"/>
    </row>
    <row r="260" spans="1:12" ht="13.2">
      <c r="A260" s="22"/>
      <c r="B260" s="16"/>
      <c r="C260" s="23"/>
      <c r="D260" s="101"/>
      <c r="E260" s="24"/>
      <c r="F260" s="25"/>
      <c r="G260" s="26"/>
      <c r="H260" s="27"/>
      <c r="I260" s="20"/>
      <c r="J260" s="21"/>
      <c r="K260" s="28"/>
      <c r="L260" s="19"/>
    </row>
    <row r="261" spans="1:12" ht="13.2">
      <c r="A261" s="22"/>
      <c r="B261" s="16"/>
      <c r="C261" s="23"/>
      <c r="D261" s="101"/>
      <c r="E261" s="24"/>
      <c r="F261" s="25"/>
      <c r="G261" s="26"/>
      <c r="H261" s="27"/>
      <c r="I261" s="20"/>
      <c r="J261" s="21"/>
      <c r="K261" s="28"/>
      <c r="L261" s="19"/>
    </row>
    <row r="262" spans="1:12" ht="13.2">
      <c r="A262" s="22"/>
      <c r="B262" s="16"/>
      <c r="C262" s="23"/>
      <c r="D262" s="101"/>
      <c r="E262" s="24"/>
      <c r="F262" s="25"/>
      <c r="G262" s="26"/>
      <c r="H262" s="27"/>
      <c r="I262" s="20"/>
      <c r="J262" s="21"/>
      <c r="K262" s="28"/>
      <c r="L262" s="19"/>
    </row>
    <row r="263" spans="1:12" ht="13.2">
      <c r="A263" s="22"/>
      <c r="B263" s="16"/>
      <c r="C263" s="23"/>
      <c r="D263" s="101"/>
      <c r="E263" s="24"/>
      <c r="F263" s="25"/>
      <c r="G263" s="26"/>
      <c r="H263" s="27"/>
      <c r="I263" s="20"/>
      <c r="J263" s="21"/>
      <c r="K263" s="28"/>
      <c r="L263" s="19"/>
    </row>
    <row r="264" spans="1:12" ht="13.2">
      <c r="A264" s="22"/>
      <c r="B264" s="16"/>
      <c r="C264" s="23"/>
      <c r="D264" s="101"/>
      <c r="E264" s="24"/>
      <c r="F264" s="25"/>
      <c r="G264" s="26"/>
      <c r="H264" s="27"/>
      <c r="I264" s="20"/>
      <c r="J264" s="21"/>
      <c r="K264" s="28"/>
      <c r="L264" s="19"/>
    </row>
    <row r="265" spans="1:12" ht="13.2">
      <c r="A265" s="22"/>
      <c r="B265" s="16"/>
      <c r="C265" s="23"/>
      <c r="D265" s="101"/>
      <c r="E265" s="24"/>
      <c r="F265" s="25"/>
      <c r="G265" s="26"/>
      <c r="H265" s="27"/>
      <c r="I265" s="20"/>
      <c r="J265" s="21"/>
      <c r="K265" s="28"/>
      <c r="L265" s="19"/>
    </row>
    <row r="266" spans="1:12" ht="13.2">
      <c r="A266" s="22"/>
      <c r="B266" s="16"/>
      <c r="C266" s="23"/>
      <c r="D266" s="101"/>
      <c r="E266" s="24"/>
      <c r="F266" s="25"/>
      <c r="G266" s="26"/>
      <c r="H266" s="27"/>
      <c r="I266" s="20"/>
      <c r="J266" s="21"/>
      <c r="K266" s="28"/>
      <c r="L266" s="19"/>
    </row>
    <row r="267" spans="1:12" ht="13.2">
      <c r="A267" s="22"/>
      <c r="B267" s="16"/>
      <c r="C267" s="23"/>
      <c r="D267" s="101"/>
      <c r="E267" s="24"/>
      <c r="F267" s="25"/>
      <c r="G267" s="26"/>
      <c r="H267" s="27"/>
      <c r="I267" s="20"/>
      <c r="J267" s="21"/>
      <c r="K267" s="28"/>
      <c r="L267" s="19"/>
    </row>
    <row r="268" spans="1:12" ht="13.2">
      <c r="A268" s="22"/>
      <c r="B268" s="16"/>
      <c r="C268" s="23"/>
      <c r="D268" s="101"/>
      <c r="E268" s="24"/>
      <c r="F268" s="25"/>
      <c r="G268" s="26"/>
      <c r="H268" s="27"/>
      <c r="I268" s="20"/>
      <c r="J268" s="21"/>
      <c r="K268" s="28"/>
      <c r="L268" s="19"/>
    </row>
    <row r="269" spans="1:12" ht="13.2">
      <c r="A269" s="22"/>
      <c r="B269" s="16"/>
      <c r="C269" s="23"/>
      <c r="D269" s="101"/>
      <c r="E269" s="24"/>
      <c r="F269" s="25"/>
      <c r="G269" s="26"/>
      <c r="H269" s="27"/>
      <c r="I269" s="20"/>
      <c r="J269" s="21"/>
      <c r="K269" s="28"/>
      <c r="L269" s="19"/>
    </row>
    <row r="270" spans="1:12" ht="13.2">
      <c r="A270" s="22"/>
      <c r="B270" s="16"/>
      <c r="C270" s="23"/>
      <c r="D270" s="101"/>
      <c r="E270" s="24"/>
      <c r="F270" s="25"/>
      <c r="G270" s="26"/>
      <c r="H270" s="27"/>
      <c r="I270" s="20"/>
      <c r="J270" s="21"/>
      <c r="K270" s="28"/>
      <c r="L270" s="19"/>
    </row>
    <row r="271" spans="1:12" ht="13.2">
      <c r="A271" s="22"/>
      <c r="B271" s="16"/>
      <c r="C271" s="23"/>
      <c r="D271" s="101"/>
      <c r="E271" s="24"/>
      <c r="F271" s="25"/>
      <c r="G271" s="26"/>
      <c r="H271" s="27"/>
      <c r="I271" s="20"/>
      <c r="J271" s="21"/>
      <c r="K271" s="28"/>
      <c r="L271" s="19"/>
    </row>
    <row r="272" spans="1:12" ht="13.2">
      <c r="A272" s="22"/>
      <c r="B272" s="16"/>
      <c r="C272" s="23"/>
      <c r="D272" s="101"/>
      <c r="E272" s="24"/>
      <c r="F272" s="25"/>
      <c r="G272" s="26"/>
      <c r="H272" s="27"/>
      <c r="I272" s="20"/>
      <c r="J272" s="21"/>
      <c r="K272" s="28"/>
      <c r="L272" s="19"/>
    </row>
    <row r="273" spans="1:12" ht="13.2">
      <c r="A273" s="22"/>
      <c r="B273" s="16"/>
      <c r="C273" s="23"/>
      <c r="D273" s="101"/>
      <c r="E273" s="24"/>
      <c r="F273" s="25"/>
      <c r="G273" s="26"/>
      <c r="H273" s="27"/>
      <c r="I273" s="20"/>
      <c r="J273" s="21"/>
      <c r="K273" s="28"/>
      <c r="L273" s="19"/>
    </row>
    <row r="274" spans="1:12" ht="13.2">
      <c r="A274" s="22"/>
      <c r="B274" s="16"/>
      <c r="C274" s="23"/>
      <c r="D274" s="101"/>
      <c r="E274" s="24"/>
      <c r="F274" s="25"/>
      <c r="G274" s="26"/>
      <c r="H274" s="27"/>
      <c r="I274" s="20"/>
      <c r="J274" s="21"/>
      <c r="K274" s="28"/>
      <c r="L274" s="19"/>
    </row>
    <row r="275" spans="1:12" ht="13.2">
      <c r="A275" s="22"/>
      <c r="B275" s="16"/>
      <c r="C275" s="23"/>
      <c r="D275" s="101"/>
      <c r="E275" s="24"/>
      <c r="F275" s="25"/>
      <c r="G275" s="26"/>
      <c r="H275" s="27"/>
      <c r="I275" s="20"/>
      <c r="J275" s="21"/>
      <c r="K275" s="28"/>
      <c r="L275" s="19"/>
    </row>
    <row r="276" spans="1:12" ht="13.2">
      <c r="A276" s="22"/>
      <c r="B276" s="16"/>
      <c r="C276" s="23"/>
      <c r="D276" s="101"/>
      <c r="E276" s="24"/>
      <c r="F276" s="25"/>
      <c r="G276" s="26"/>
      <c r="H276" s="27"/>
      <c r="I276" s="20"/>
      <c r="J276" s="21"/>
      <c r="K276" s="28"/>
      <c r="L276" s="19"/>
    </row>
    <row r="277" spans="1:12" ht="13.2">
      <c r="A277" s="22"/>
      <c r="B277" s="16"/>
      <c r="C277" s="23"/>
      <c r="D277" s="101"/>
      <c r="E277" s="24"/>
      <c r="F277" s="25"/>
      <c r="G277" s="26"/>
      <c r="H277" s="27"/>
      <c r="I277" s="20"/>
      <c r="J277" s="21"/>
      <c r="K277" s="28"/>
      <c r="L277" s="19"/>
    </row>
    <row r="278" spans="1:12" ht="13.2">
      <c r="A278" s="22"/>
      <c r="B278" s="16"/>
      <c r="C278" s="23"/>
      <c r="D278" s="101"/>
      <c r="E278" s="24"/>
      <c r="F278" s="25"/>
      <c r="G278" s="26"/>
      <c r="H278" s="27"/>
      <c r="I278" s="20"/>
      <c r="J278" s="21"/>
      <c r="K278" s="28"/>
      <c r="L278" s="19"/>
    </row>
    <row r="279" spans="1:12" ht="13.2">
      <c r="A279" s="22"/>
      <c r="B279" s="16"/>
      <c r="C279" s="23"/>
      <c r="D279" s="101"/>
      <c r="E279" s="24"/>
      <c r="F279" s="25"/>
      <c r="G279" s="26"/>
      <c r="H279" s="27"/>
      <c r="I279" s="20"/>
      <c r="J279" s="21"/>
      <c r="K279" s="28"/>
      <c r="L279" s="19"/>
    </row>
    <row r="280" spans="1:12" ht="13.2">
      <c r="A280" s="22"/>
      <c r="B280" s="16"/>
      <c r="C280" s="23"/>
      <c r="D280" s="101"/>
      <c r="E280" s="24"/>
      <c r="F280" s="25"/>
      <c r="G280" s="26"/>
      <c r="H280" s="27"/>
      <c r="I280" s="20"/>
      <c r="J280" s="21"/>
      <c r="K280" s="28"/>
      <c r="L280" s="19"/>
    </row>
    <row r="281" spans="1:12" ht="13.2">
      <c r="A281" s="22"/>
      <c r="B281" s="16"/>
      <c r="C281" s="23"/>
      <c r="D281" s="101"/>
      <c r="E281" s="24"/>
      <c r="F281" s="25"/>
      <c r="G281" s="26"/>
      <c r="H281" s="27"/>
      <c r="I281" s="20"/>
      <c r="J281" s="21"/>
      <c r="K281" s="28"/>
      <c r="L281" s="19"/>
    </row>
    <row r="282" spans="1:12" ht="13.2">
      <c r="A282" s="22"/>
      <c r="B282" s="16"/>
      <c r="C282" s="23"/>
      <c r="D282" s="101"/>
      <c r="E282" s="24"/>
      <c r="F282" s="25"/>
      <c r="G282" s="26"/>
      <c r="H282" s="27"/>
      <c r="I282" s="20"/>
      <c r="J282" s="21"/>
      <c r="K282" s="28"/>
      <c r="L282" s="19"/>
    </row>
    <row r="283" spans="1:12" ht="13.2">
      <c r="A283" s="22"/>
      <c r="B283" s="16"/>
      <c r="C283" s="23"/>
      <c r="D283" s="101"/>
      <c r="E283" s="24"/>
      <c r="F283" s="25"/>
      <c r="G283" s="26"/>
      <c r="H283" s="27"/>
      <c r="I283" s="20"/>
      <c r="J283" s="21"/>
      <c r="K283" s="28"/>
      <c r="L283" s="19"/>
    </row>
    <row r="284" spans="1:12" ht="13.2">
      <c r="A284" s="22"/>
      <c r="B284" s="16"/>
      <c r="C284" s="23"/>
      <c r="D284" s="101"/>
      <c r="E284" s="24"/>
      <c r="F284" s="25"/>
      <c r="G284" s="26"/>
      <c r="H284" s="27"/>
      <c r="I284" s="20"/>
      <c r="J284" s="21"/>
      <c r="K284" s="28"/>
      <c r="L284" s="19"/>
    </row>
    <row r="285" spans="1:12" ht="13.2">
      <c r="A285" s="22"/>
      <c r="B285" s="16"/>
      <c r="C285" s="23"/>
      <c r="D285" s="101"/>
      <c r="E285" s="24"/>
      <c r="F285" s="25"/>
      <c r="G285" s="26"/>
      <c r="H285" s="27"/>
      <c r="I285" s="20"/>
      <c r="J285" s="21"/>
      <c r="K285" s="28"/>
      <c r="L285" s="19"/>
    </row>
    <row r="286" spans="1:12" ht="13.2">
      <c r="A286" s="22"/>
      <c r="B286" s="16"/>
      <c r="C286" s="23"/>
      <c r="D286" s="101"/>
      <c r="E286" s="24"/>
      <c r="F286" s="25"/>
      <c r="G286" s="26"/>
      <c r="H286" s="27"/>
      <c r="I286" s="20"/>
      <c r="J286" s="21"/>
      <c r="K286" s="28"/>
      <c r="L286" s="19"/>
    </row>
    <row r="287" spans="1:12" ht="13.2">
      <c r="A287" s="22"/>
      <c r="B287" s="16"/>
      <c r="C287" s="23"/>
      <c r="D287" s="101"/>
      <c r="E287" s="24"/>
      <c r="F287" s="25"/>
      <c r="G287" s="26"/>
      <c r="H287" s="27"/>
      <c r="I287" s="20"/>
      <c r="J287" s="21"/>
      <c r="K287" s="28"/>
      <c r="L287" s="19"/>
    </row>
    <row r="288" spans="1:12" ht="13.2">
      <c r="A288" s="22"/>
      <c r="B288" s="16"/>
      <c r="C288" s="23"/>
      <c r="D288" s="101"/>
      <c r="E288" s="24"/>
      <c r="F288" s="25"/>
      <c r="G288" s="26"/>
      <c r="H288" s="27"/>
      <c r="I288" s="20"/>
      <c r="J288" s="21"/>
      <c r="K288" s="28"/>
      <c r="L288" s="19"/>
    </row>
    <row r="289" spans="1:12" ht="13.2">
      <c r="A289" s="22"/>
      <c r="B289" s="16"/>
      <c r="C289" s="23"/>
      <c r="D289" s="101"/>
      <c r="E289" s="24"/>
      <c r="F289" s="25"/>
      <c r="G289" s="26"/>
      <c r="H289" s="27"/>
      <c r="I289" s="20"/>
      <c r="J289" s="21"/>
      <c r="K289" s="28"/>
      <c r="L289" s="19"/>
    </row>
    <row r="290" spans="1:12" ht="13.2">
      <c r="A290" s="22"/>
      <c r="B290" s="16"/>
      <c r="C290" s="23"/>
      <c r="D290" s="101"/>
      <c r="E290" s="24"/>
      <c r="F290" s="25"/>
      <c r="G290" s="26"/>
      <c r="H290" s="27"/>
      <c r="I290" s="20"/>
      <c r="J290" s="21"/>
      <c r="K290" s="28"/>
      <c r="L290" s="19"/>
    </row>
    <row r="291" spans="1:12" ht="13.2">
      <c r="A291" s="22"/>
      <c r="B291" s="16"/>
      <c r="C291" s="23"/>
      <c r="D291" s="101"/>
      <c r="E291" s="24"/>
      <c r="F291" s="25"/>
      <c r="G291" s="26"/>
      <c r="H291" s="27"/>
      <c r="I291" s="20"/>
      <c r="J291" s="21"/>
      <c r="K291" s="28"/>
      <c r="L291" s="19"/>
    </row>
    <row r="292" spans="1:12" ht="13.2">
      <c r="A292" s="22"/>
      <c r="B292" s="16"/>
      <c r="C292" s="23"/>
      <c r="D292" s="101"/>
      <c r="E292" s="24"/>
      <c r="F292" s="25"/>
      <c r="G292" s="26"/>
      <c r="H292" s="27"/>
      <c r="I292" s="20"/>
      <c r="J292" s="21"/>
      <c r="K292" s="28"/>
      <c r="L292" s="19"/>
    </row>
    <row r="293" spans="1:12" ht="13.2">
      <c r="A293" s="22"/>
      <c r="B293" s="16"/>
      <c r="C293" s="23"/>
      <c r="D293" s="101"/>
      <c r="E293" s="24"/>
      <c r="F293" s="25"/>
      <c r="G293" s="26"/>
      <c r="H293" s="27"/>
      <c r="I293" s="20"/>
      <c r="J293" s="21"/>
      <c r="K293" s="28"/>
      <c r="L293" s="19"/>
    </row>
    <row r="294" spans="1:12" ht="13.2">
      <c r="A294" s="22"/>
      <c r="B294" s="16"/>
      <c r="C294" s="23"/>
      <c r="D294" s="101"/>
      <c r="E294" s="24"/>
      <c r="F294" s="25"/>
      <c r="G294" s="26"/>
      <c r="H294" s="27"/>
      <c r="I294" s="20"/>
      <c r="J294" s="21"/>
      <c r="K294" s="28"/>
      <c r="L294" s="19"/>
    </row>
    <row r="295" spans="1:12" ht="13.2">
      <c r="A295" s="22"/>
      <c r="B295" s="16"/>
      <c r="C295" s="23"/>
      <c r="D295" s="101"/>
      <c r="E295" s="24"/>
      <c r="F295" s="25"/>
      <c r="G295" s="26"/>
      <c r="H295" s="27"/>
      <c r="I295" s="20"/>
      <c r="J295" s="21"/>
      <c r="K295" s="28"/>
      <c r="L295" s="19"/>
    </row>
    <row r="296" spans="1:12" ht="13.2">
      <c r="A296" s="22"/>
      <c r="B296" s="16"/>
      <c r="C296" s="23"/>
      <c r="D296" s="101"/>
      <c r="E296" s="24"/>
      <c r="F296" s="25"/>
      <c r="G296" s="26"/>
      <c r="H296" s="27"/>
      <c r="I296" s="20"/>
      <c r="J296" s="21"/>
      <c r="K296" s="28"/>
      <c r="L296" s="19"/>
    </row>
    <row r="297" spans="1:12" ht="13.2">
      <c r="A297" s="22"/>
      <c r="B297" s="16"/>
      <c r="C297" s="23"/>
      <c r="D297" s="101"/>
      <c r="E297" s="24"/>
      <c r="F297" s="25"/>
      <c r="G297" s="26"/>
      <c r="H297" s="27"/>
      <c r="I297" s="20"/>
      <c r="J297" s="21"/>
      <c r="K297" s="28"/>
      <c r="L297" s="19"/>
    </row>
    <row r="298" spans="1:12" ht="13.2">
      <c r="A298" s="22"/>
      <c r="B298" s="16"/>
      <c r="C298" s="23"/>
      <c r="D298" s="101"/>
      <c r="E298" s="24"/>
      <c r="F298" s="25"/>
      <c r="G298" s="26"/>
      <c r="H298" s="27"/>
      <c r="I298" s="20"/>
      <c r="J298" s="21"/>
      <c r="K298" s="28"/>
      <c r="L298" s="19"/>
    </row>
    <row r="299" spans="1:12" ht="13.2">
      <c r="A299" s="22"/>
      <c r="B299" s="16"/>
      <c r="C299" s="23"/>
      <c r="D299" s="101"/>
      <c r="E299" s="24"/>
      <c r="F299" s="25"/>
      <c r="G299" s="26"/>
      <c r="H299" s="27"/>
      <c r="I299" s="20"/>
      <c r="J299" s="21"/>
      <c r="K299" s="28"/>
      <c r="L299" s="19"/>
    </row>
    <row r="300" spans="1:12" ht="13.2">
      <c r="A300" s="22"/>
      <c r="B300" s="16"/>
      <c r="C300" s="23"/>
      <c r="D300" s="101"/>
      <c r="E300" s="24"/>
      <c r="F300" s="25"/>
      <c r="G300" s="26"/>
      <c r="H300" s="27"/>
      <c r="I300" s="20"/>
      <c r="J300" s="21"/>
      <c r="K300" s="28"/>
      <c r="L300" s="19"/>
    </row>
    <row r="301" spans="1:12" ht="13.2">
      <c r="A301" s="22"/>
      <c r="B301" s="16"/>
      <c r="C301" s="23"/>
      <c r="D301" s="101"/>
      <c r="E301" s="24"/>
      <c r="F301" s="25"/>
      <c r="G301" s="26"/>
      <c r="H301" s="27"/>
      <c r="I301" s="20"/>
      <c r="J301" s="21"/>
      <c r="K301" s="28"/>
      <c r="L301" s="19"/>
    </row>
    <row r="302" spans="1:12" ht="13.2">
      <c r="A302" s="22"/>
      <c r="B302" s="16"/>
      <c r="C302" s="23"/>
      <c r="D302" s="101"/>
      <c r="E302" s="24"/>
      <c r="F302" s="25"/>
      <c r="G302" s="26"/>
      <c r="H302" s="27"/>
      <c r="I302" s="20"/>
      <c r="J302" s="21"/>
      <c r="K302" s="28"/>
      <c r="L302" s="19"/>
    </row>
    <row r="303" spans="1:12" ht="13.2">
      <c r="A303" s="22"/>
      <c r="B303" s="16"/>
      <c r="C303" s="23"/>
      <c r="D303" s="101"/>
      <c r="E303" s="24"/>
      <c r="F303" s="25"/>
      <c r="G303" s="26"/>
      <c r="H303" s="27"/>
      <c r="I303" s="20"/>
      <c r="J303" s="21"/>
      <c r="K303" s="28"/>
      <c r="L303" s="19"/>
    </row>
    <row r="304" spans="1:12" ht="13.2">
      <c r="A304" s="22"/>
      <c r="B304" s="16"/>
      <c r="C304" s="23"/>
      <c r="D304" s="101"/>
      <c r="E304" s="24"/>
      <c r="F304" s="25"/>
      <c r="G304" s="26"/>
      <c r="H304" s="27"/>
      <c r="I304" s="20"/>
      <c r="J304" s="21"/>
      <c r="K304" s="28"/>
      <c r="L304" s="19"/>
    </row>
    <row r="305" spans="1:12" ht="13.2">
      <c r="A305" s="22"/>
      <c r="B305" s="16"/>
      <c r="C305" s="23"/>
      <c r="D305" s="101"/>
      <c r="E305" s="24"/>
      <c r="F305" s="25"/>
      <c r="G305" s="26"/>
      <c r="H305" s="27"/>
      <c r="I305" s="20"/>
      <c r="J305" s="21"/>
      <c r="K305" s="28"/>
      <c r="L305" s="19"/>
    </row>
    <row r="306" spans="1:12" ht="13.2">
      <c r="A306" s="22"/>
      <c r="B306" s="16"/>
      <c r="C306" s="23"/>
      <c r="D306" s="101"/>
      <c r="E306" s="24"/>
      <c r="F306" s="25"/>
      <c r="G306" s="26"/>
      <c r="H306" s="27"/>
      <c r="I306" s="20"/>
      <c r="J306" s="21"/>
      <c r="K306" s="28"/>
      <c r="L306" s="19"/>
    </row>
    <row r="307" spans="1:12" ht="13.2">
      <c r="A307" s="22"/>
      <c r="B307" s="16"/>
      <c r="C307" s="23"/>
      <c r="D307" s="101"/>
      <c r="E307" s="24"/>
      <c r="F307" s="25"/>
      <c r="G307" s="26"/>
      <c r="H307" s="27"/>
      <c r="I307" s="20"/>
      <c r="J307" s="21"/>
      <c r="K307" s="28"/>
      <c r="L307" s="19"/>
    </row>
    <row r="308" spans="1:12" ht="13.2">
      <c r="A308" s="22"/>
      <c r="B308" s="16"/>
      <c r="C308" s="23"/>
      <c r="D308" s="101"/>
      <c r="E308" s="24"/>
      <c r="F308" s="25"/>
      <c r="G308" s="26"/>
      <c r="H308" s="27"/>
      <c r="I308" s="20"/>
      <c r="J308" s="21"/>
      <c r="K308" s="28"/>
      <c r="L308" s="19"/>
    </row>
    <row r="309" spans="1:12" ht="13.2">
      <c r="A309" s="22"/>
      <c r="B309" s="16"/>
      <c r="C309" s="23"/>
      <c r="D309" s="101"/>
      <c r="E309" s="24"/>
      <c r="F309" s="25"/>
      <c r="G309" s="26"/>
      <c r="H309" s="27"/>
      <c r="I309" s="20"/>
      <c r="J309" s="21"/>
      <c r="K309" s="28"/>
      <c r="L309" s="19"/>
    </row>
    <row r="310" spans="1:12" ht="13.2">
      <c r="A310" s="22"/>
      <c r="B310" s="16"/>
      <c r="C310" s="23"/>
      <c r="D310" s="101"/>
      <c r="E310" s="24"/>
      <c r="F310" s="25"/>
      <c r="G310" s="26"/>
      <c r="H310" s="27"/>
      <c r="I310" s="20"/>
      <c r="J310" s="21"/>
      <c r="K310" s="28"/>
      <c r="L310" s="19"/>
    </row>
    <row r="311" spans="1:12" ht="13.2">
      <c r="A311" s="22"/>
      <c r="B311" s="16"/>
      <c r="C311" s="23"/>
      <c r="D311" s="101"/>
      <c r="E311" s="24"/>
      <c r="F311" s="25"/>
      <c r="G311" s="26"/>
      <c r="H311" s="27"/>
      <c r="I311" s="20"/>
      <c r="J311" s="21"/>
      <c r="K311" s="28"/>
      <c r="L311" s="19"/>
    </row>
    <row r="312" spans="1:12" ht="13.2">
      <c r="A312" s="22"/>
      <c r="B312" s="16"/>
      <c r="C312" s="23"/>
      <c r="D312" s="101"/>
      <c r="E312" s="24"/>
      <c r="F312" s="25"/>
      <c r="G312" s="26"/>
      <c r="H312" s="27"/>
      <c r="I312" s="20"/>
      <c r="J312" s="21"/>
      <c r="K312" s="28"/>
      <c r="L312" s="19"/>
    </row>
    <row r="313" spans="1:12" ht="13.2">
      <c r="A313" s="22"/>
      <c r="B313" s="16"/>
      <c r="C313" s="23"/>
      <c r="D313" s="101"/>
      <c r="E313" s="24"/>
      <c r="F313" s="25"/>
      <c r="G313" s="26"/>
      <c r="H313" s="27"/>
      <c r="I313" s="20"/>
      <c r="J313" s="21"/>
      <c r="K313" s="28"/>
      <c r="L313" s="19"/>
    </row>
    <row r="314" spans="1:12" ht="13.2">
      <c r="A314" s="22"/>
      <c r="B314" s="16"/>
      <c r="C314" s="23"/>
      <c r="D314" s="101"/>
      <c r="E314" s="24"/>
      <c r="F314" s="25"/>
      <c r="G314" s="26"/>
      <c r="H314" s="27"/>
      <c r="I314" s="20"/>
      <c r="J314" s="21"/>
      <c r="K314" s="28"/>
      <c r="L314" s="19"/>
    </row>
    <row r="315" spans="1:12" ht="13.2">
      <c r="A315" s="22"/>
      <c r="B315" s="16"/>
      <c r="C315" s="23"/>
      <c r="D315" s="101"/>
      <c r="E315" s="24"/>
      <c r="F315" s="25"/>
      <c r="G315" s="26"/>
      <c r="H315" s="27"/>
      <c r="I315" s="20"/>
      <c r="J315" s="21"/>
      <c r="K315" s="28"/>
      <c r="L315" s="19"/>
    </row>
    <row r="316" spans="1:12" ht="13.2">
      <c r="A316" s="22"/>
      <c r="B316" s="16"/>
      <c r="C316" s="23"/>
      <c r="D316" s="101"/>
      <c r="E316" s="24"/>
      <c r="F316" s="25"/>
      <c r="G316" s="26"/>
      <c r="H316" s="27"/>
      <c r="I316" s="20"/>
      <c r="J316" s="21"/>
      <c r="K316" s="28"/>
      <c r="L316" s="19"/>
    </row>
    <row r="317" spans="1:12" ht="13.2">
      <c r="A317" s="22"/>
      <c r="B317" s="16"/>
      <c r="C317" s="23"/>
      <c r="D317" s="101"/>
      <c r="E317" s="24"/>
      <c r="F317" s="25"/>
      <c r="G317" s="26"/>
      <c r="H317" s="27"/>
      <c r="I317" s="20"/>
      <c r="J317" s="21"/>
      <c r="K317" s="28"/>
      <c r="L317" s="19"/>
    </row>
    <row r="318" spans="1:12" ht="13.2">
      <c r="A318" s="22"/>
      <c r="B318" s="16"/>
      <c r="C318" s="23"/>
      <c r="D318" s="101"/>
      <c r="E318" s="24"/>
      <c r="F318" s="25"/>
      <c r="G318" s="26"/>
      <c r="H318" s="27"/>
      <c r="I318" s="20"/>
      <c r="J318" s="21"/>
      <c r="K318" s="28"/>
      <c r="L318" s="19"/>
    </row>
    <row r="319" spans="1:12" ht="13.2">
      <c r="A319" s="22"/>
      <c r="B319" s="16"/>
      <c r="C319" s="23"/>
      <c r="D319" s="101"/>
      <c r="E319" s="24"/>
      <c r="F319" s="25"/>
      <c r="G319" s="26"/>
      <c r="H319" s="27"/>
      <c r="I319" s="20"/>
      <c r="J319" s="21"/>
      <c r="K319" s="28"/>
      <c r="L319" s="19"/>
    </row>
    <row r="320" spans="1:12" ht="13.2">
      <c r="A320" s="22"/>
      <c r="B320" s="16"/>
      <c r="C320" s="23"/>
      <c r="D320" s="101"/>
      <c r="E320" s="24"/>
      <c r="F320" s="25"/>
      <c r="G320" s="26"/>
      <c r="H320" s="27"/>
      <c r="I320" s="20"/>
      <c r="J320" s="21"/>
      <c r="K320" s="28"/>
      <c r="L320" s="19"/>
    </row>
    <row r="321" spans="1:12" ht="13.2">
      <c r="A321" s="22"/>
      <c r="B321" s="16"/>
      <c r="C321" s="23"/>
      <c r="D321" s="101"/>
      <c r="E321" s="24"/>
      <c r="F321" s="25"/>
      <c r="G321" s="26"/>
      <c r="H321" s="27"/>
      <c r="I321" s="20"/>
      <c r="J321" s="21"/>
      <c r="K321" s="28"/>
      <c r="L321" s="19"/>
    </row>
    <row r="322" spans="1:12" ht="13.2">
      <c r="A322" s="22"/>
      <c r="B322" s="16"/>
      <c r="C322" s="23"/>
      <c r="D322" s="101"/>
      <c r="E322" s="24"/>
      <c r="F322" s="25"/>
      <c r="G322" s="26"/>
      <c r="H322" s="27"/>
      <c r="I322" s="20"/>
      <c r="J322" s="21"/>
      <c r="K322" s="28"/>
      <c r="L322" s="19"/>
    </row>
    <row r="323" spans="1:12" ht="13.2">
      <c r="A323" s="22"/>
      <c r="B323" s="16"/>
      <c r="C323" s="23"/>
      <c r="D323" s="101"/>
      <c r="E323" s="24"/>
      <c r="F323" s="25"/>
      <c r="G323" s="26"/>
      <c r="H323" s="27"/>
      <c r="I323" s="20"/>
      <c r="J323" s="21"/>
      <c r="K323" s="28"/>
      <c r="L323" s="19"/>
    </row>
    <row r="324" spans="1:12" ht="13.2">
      <c r="A324" s="22"/>
      <c r="B324" s="16"/>
      <c r="C324" s="23"/>
      <c r="D324" s="101"/>
      <c r="E324" s="24"/>
      <c r="F324" s="25"/>
      <c r="G324" s="26"/>
      <c r="H324" s="27"/>
      <c r="I324" s="20"/>
      <c r="J324" s="21"/>
      <c r="K324" s="28"/>
      <c r="L324" s="19"/>
    </row>
    <row r="325" spans="1:12" ht="13.2">
      <c r="A325" s="22"/>
      <c r="B325" s="16"/>
      <c r="C325" s="23"/>
      <c r="D325" s="101"/>
      <c r="E325" s="24"/>
      <c r="F325" s="25"/>
      <c r="G325" s="26"/>
      <c r="H325" s="27"/>
      <c r="I325" s="20"/>
      <c r="J325" s="21"/>
      <c r="K325" s="28"/>
      <c r="L325" s="19"/>
    </row>
    <row r="326" spans="1:12" ht="13.2">
      <c r="A326" s="22"/>
      <c r="B326" s="16"/>
      <c r="C326" s="23"/>
      <c r="D326" s="101"/>
      <c r="E326" s="24"/>
      <c r="F326" s="25"/>
      <c r="G326" s="26"/>
      <c r="H326" s="27"/>
      <c r="I326" s="20"/>
      <c r="J326" s="21"/>
      <c r="K326" s="28"/>
      <c r="L326" s="19"/>
    </row>
    <row r="327" spans="1:12" ht="13.2">
      <c r="A327" s="22"/>
      <c r="B327" s="16"/>
      <c r="C327" s="23"/>
      <c r="D327" s="101"/>
      <c r="E327" s="24"/>
      <c r="F327" s="25"/>
      <c r="G327" s="26"/>
      <c r="H327" s="27"/>
      <c r="I327" s="20"/>
      <c r="J327" s="21"/>
      <c r="K327" s="28"/>
      <c r="L327" s="19"/>
    </row>
    <row r="328" spans="1:12" ht="13.2">
      <c r="A328" s="22"/>
      <c r="B328" s="16"/>
      <c r="C328" s="23"/>
      <c r="D328" s="101"/>
      <c r="E328" s="24"/>
      <c r="F328" s="25"/>
      <c r="G328" s="26"/>
      <c r="H328" s="27"/>
      <c r="I328" s="20"/>
      <c r="J328" s="21"/>
      <c r="K328" s="28"/>
      <c r="L328" s="19"/>
    </row>
    <row r="329" spans="1:12" ht="13.2">
      <c r="A329" s="22"/>
      <c r="B329" s="16"/>
      <c r="C329" s="23"/>
      <c r="D329" s="101"/>
      <c r="E329" s="24"/>
      <c r="F329" s="25"/>
      <c r="G329" s="26"/>
      <c r="H329" s="27"/>
      <c r="I329" s="20"/>
      <c r="J329" s="21"/>
      <c r="K329" s="28"/>
      <c r="L329" s="19"/>
    </row>
    <row r="330" spans="1:12" ht="13.2">
      <c r="A330" s="22"/>
      <c r="B330" s="16"/>
      <c r="C330" s="23"/>
      <c r="D330" s="101"/>
      <c r="E330" s="24"/>
      <c r="F330" s="25"/>
      <c r="G330" s="26"/>
      <c r="H330" s="27"/>
      <c r="I330" s="20"/>
      <c r="J330" s="21"/>
      <c r="K330" s="28"/>
      <c r="L330" s="19"/>
    </row>
    <row r="331" spans="1:12" ht="13.2">
      <c r="A331" s="22"/>
      <c r="B331" s="16"/>
      <c r="C331" s="23"/>
      <c r="D331" s="101"/>
      <c r="E331" s="24"/>
      <c r="F331" s="25"/>
      <c r="G331" s="26"/>
      <c r="H331" s="27"/>
      <c r="I331" s="20"/>
      <c r="J331" s="21"/>
      <c r="K331" s="28"/>
      <c r="L331" s="19"/>
    </row>
    <row r="332" spans="1:12" ht="13.2">
      <c r="A332" s="22"/>
      <c r="B332" s="16"/>
      <c r="C332" s="23"/>
      <c r="D332" s="101"/>
      <c r="E332" s="24"/>
      <c r="F332" s="25"/>
      <c r="G332" s="26"/>
      <c r="H332" s="27"/>
      <c r="I332" s="20"/>
      <c r="J332" s="21"/>
      <c r="K332" s="28"/>
      <c r="L332" s="19"/>
    </row>
    <row r="333" spans="1:12" ht="13.2">
      <c r="A333" s="22"/>
      <c r="B333" s="16"/>
      <c r="C333" s="23"/>
      <c r="D333" s="101"/>
      <c r="E333" s="24"/>
      <c r="F333" s="25"/>
      <c r="G333" s="26"/>
      <c r="H333" s="27"/>
      <c r="I333" s="20"/>
      <c r="J333" s="21"/>
      <c r="K333" s="28"/>
      <c r="L333" s="19"/>
    </row>
    <row r="334" spans="1:12" ht="13.2">
      <c r="A334" s="22"/>
      <c r="B334" s="16"/>
      <c r="C334" s="23"/>
      <c r="D334" s="101"/>
      <c r="E334" s="24"/>
      <c r="F334" s="25"/>
      <c r="G334" s="26"/>
      <c r="H334" s="27"/>
      <c r="I334" s="20"/>
      <c r="J334" s="21"/>
      <c r="K334" s="28"/>
      <c r="L334" s="19"/>
    </row>
    <row r="335" spans="1:12" ht="13.2">
      <c r="A335" s="22"/>
      <c r="B335" s="16"/>
      <c r="C335" s="23"/>
      <c r="D335" s="101"/>
      <c r="E335" s="24"/>
      <c r="F335" s="25"/>
      <c r="G335" s="26"/>
      <c r="H335" s="27"/>
      <c r="I335" s="20"/>
      <c r="J335" s="21"/>
      <c r="K335" s="28"/>
      <c r="L335" s="19"/>
    </row>
    <row r="336" spans="1:12" ht="13.2">
      <c r="A336" s="22"/>
      <c r="B336" s="16"/>
      <c r="C336" s="23"/>
      <c r="D336" s="101"/>
      <c r="E336" s="24"/>
      <c r="F336" s="25"/>
      <c r="G336" s="26"/>
      <c r="H336" s="27"/>
      <c r="I336" s="20"/>
      <c r="J336" s="21"/>
      <c r="K336" s="28"/>
      <c r="L336" s="19"/>
    </row>
    <row r="337" spans="1:12" ht="13.2">
      <c r="A337" s="22"/>
      <c r="B337" s="16"/>
      <c r="C337" s="23"/>
      <c r="D337" s="101"/>
      <c r="E337" s="24"/>
      <c r="F337" s="25"/>
      <c r="G337" s="26"/>
      <c r="H337" s="27"/>
      <c r="I337" s="20"/>
      <c r="J337" s="21"/>
      <c r="K337" s="28"/>
      <c r="L337" s="19"/>
    </row>
    <row r="338" spans="1:12" ht="13.2">
      <c r="A338" s="22"/>
      <c r="B338" s="16"/>
      <c r="C338" s="23"/>
      <c r="D338" s="101"/>
      <c r="E338" s="24"/>
      <c r="F338" s="25"/>
      <c r="G338" s="26"/>
      <c r="H338" s="27"/>
      <c r="I338" s="20"/>
      <c r="J338" s="21"/>
      <c r="K338" s="28"/>
      <c r="L338" s="19"/>
    </row>
    <row r="339" spans="1:12" ht="13.2">
      <c r="A339" s="22"/>
      <c r="B339" s="16"/>
      <c r="C339" s="23"/>
      <c r="D339" s="101"/>
      <c r="E339" s="24"/>
      <c r="F339" s="25"/>
      <c r="G339" s="26"/>
      <c r="H339" s="27"/>
      <c r="I339" s="20"/>
      <c r="J339" s="21"/>
      <c r="K339" s="28"/>
      <c r="L339" s="19"/>
    </row>
    <row r="340" spans="1:12" ht="13.2">
      <c r="A340" s="22"/>
      <c r="B340" s="16"/>
      <c r="C340" s="23"/>
      <c r="D340" s="101"/>
      <c r="E340" s="24"/>
      <c r="F340" s="25"/>
      <c r="G340" s="26"/>
      <c r="H340" s="27"/>
      <c r="I340" s="20"/>
      <c r="J340" s="21"/>
      <c r="K340" s="28"/>
      <c r="L340" s="19"/>
    </row>
    <row r="341" spans="1:12" ht="13.2">
      <c r="A341" s="22"/>
      <c r="B341" s="16"/>
      <c r="C341" s="23"/>
      <c r="D341" s="101"/>
      <c r="E341" s="24"/>
      <c r="F341" s="25"/>
      <c r="G341" s="26"/>
      <c r="H341" s="27"/>
      <c r="I341" s="20"/>
      <c r="J341" s="21"/>
      <c r="K341" s="28"/>
      <c r="L341" s="19"/>
    </row>
    <row r="342" spans="1:12" ht="13.2">
      <c r="A342" s="22"/>
      <c r="B342" s="16"/>
      <c r="C342" s="23"/>
      <c r="D342" s="101"/>
      <c r="E342" s="24"/>
      <c r="F342" s="25"/>
      <c r="G342" s="26"/>
      <c r="H342" s="27"/>
      <c r="I342" s="20"/>
      <c r="J342" s="21"/>
      <c r="K342" s="28"/>
      <c r="L342" s="19"/>
    </row>
    <row r="343" spans="1:12" ht="13.2">
      <c r="A343" s="22"/>
      <c r="B343" s="16"/>
      <c r="C343" s="23"/>
      <c r="D343" s="101"/>
      <c r="E343" s="24"/>
      <c r="F343" s="25"/>
      <c r="G343" s="26"/>
      <c r="H343" s="27"/>
      <c r="I343" s="20"/>
      <c r="J343" s="21"/>
      <c r="K343" s="28"/>
      <c r="L343" s="19"/>
    </row>
    <row r="344" spans="1:12" ht="13.2">
      <c r="A344" s="22"/>
      <c r="B344" s="16"/>
      <c r="C344" s="23"/>
      <c r="D344" s="101"/>
      <c r="E344" s="24"/>
      <c r="F344" s="25"/>
      <c r="G344" s="26"/>
      <c r="H344" s="27"/>
      <c r="I344" s="20"/>
      <c r="J344" s="21"/>
      <c r="K344" s="28"/>
      <c r="L344" s="19"/>
    </row>
    <row r="345" spans="1:12" ht="13.2">
      <c r="A345" s="22"/>
      <c r="B345" s="16"/>
      <c r="C345" s="23"/>
      <c r="D345" s="101"/>
      <c r="E345" s="24"/>
      <c r="F345" s="25"/>
      <c r="G345" s="26"/>
      <c r="H345" s="27"/>
      <c r="I345" s="20"/>
      <c r="J345" s="21"/>
      <c r="K345" s="28"/>
      <c r="L345" s="19"/>
    </row>
    <row r="346" spans="1:12" ht="13.2">
      <c r="A346" s="22"/>
      <c r="B346" s="16"/>
      <c r="C346" s="23"/>
      <c r="D346" s="101"/>
      <c r="E346" s="24"/>
      <c r="F346" s="25"/>
      <c r="G346" s="26"/>
      <c r="H346" s="27"/>
      <c r="I346" s="20"/>
      <c r="J346" s="21"/>
      <c r="K346" s="28"/>
      <c r="L346" s="19"/>
    </row>
    <row r="347" spans="1:12" ht="13.2">
      <c r="A347" s="22"/>
      <c r="B347" s="16"/>
      <c r="C347" s="23"/>
      <c r="D347" s="101"/>
      <c r="E347" s="24"/>
      <c r="F347" s="25"/>
      <c r="G347" s="26"/>
      <c r="H347" s="27"/>
      <c r="I347" s="20"/>
      <c r="J347" s="21"/>
      <c r="K347" s="28"/>
      <c r="L347" s="19"/>
    </row>
    <row r="348" spans="1:12" ht="13.2">
      <c r="A348" s="22"/>
      <c r="B348" s="16"/>
      <c r="C348" s="23"/>
      <c r="D348" s="101"/>
      <c r="E348" s="24"/>
      <c r="F348" s="25"/>
      <c r="G348" s="26"/>
      <c r="H348" s="27"/>
      <c r="I348" s="20"/>
      <c r="J348" s="21"/>
      <c r="K348" s="28"/>
      <c r="L348" s="19"/>
    </row>
    <row r="349" spans="1:12" ht="13.2">
      <c r="A349" s="22"/>
      <c r="B349" s="16"/>
      <c r="C349" s="23"/>
      <c r="D349" s="101"/>
      <c r="E349" s="24"/>
      <c r="F349" s="25"/>
      <c r="G349" s="26"/>
      <c r="H349" s="27"/>
      <c r="I349" s="20"/>
      <c r="J349" s="21"/>
      <c r="K349" s="28"/>
      <c r="L349" s="19"/>
    </row>
    <row r="350" spans="1:12" ht="13.2">
      <c r="A350" s="22"/>
      <c r="B350" s="16"/>
      <c r="C350" s="23"/>
      <c r="D350" s="101"/>
      <c r="E350" s="24"/>
      <c r="F350" s="25"/>
      <c r="G350" s="26"/>
      <c r="H350" s="27"/>
      <c r="I350" s="20"/>
      <c r="J350" s="21"/>
      <c r="K350" s="28"/>
      <c r="L350" s="19"/>
    </row>
    <row r="351" spans="1:12" ht="13.2">
      <c r="A351" s="22"/>
      <c r="B351" s="16"/>
      <c r="C351" s="23"/>
      <c r="D351" s="101"/>
      <c r="E351" s="24"/>
      <c r="F351" s="25"/>
      <c r="G351" s="26"/>
      <c r="H351" s="27"/>
      <c r="I351" s="20"/>
      <c r="J351" s="21"/>
      <c r="K351" s="28"/>
      <c r="L351" s="19"/>
    </row>
    <row r="352" spans="1:12" ht="13.2">
      <c r="A352" s="22"/>
      <c r="B352" s="16"/>
      <c r="C352" s="23"/>
      <c r="D352" s="101"/>
      <c r="E352" s="24"/>
      <c r="F352" s="25"/>
      <c r="G352" s="26"/>
      <c r="H352" s="27"/>
      <c r="I352" s="20"/>
      <c r="J352" s="21"/>
      <c r="K352" s="28"/>
      <c r="L352" s="19"/>
    </row>
    <row r="353" spans="1:12" ht="13.2">
      <c r="A353" s="22"/>
      <c r="B353" s="16"/>
      <c r="C353" s="23"/>
      <c r="D353" s="101"/>
      <c r="E353" s="24"/>
      <c r="F353" s="25"/>
      <c r="G353" s="26"/>
      <c r="H353" s="27"/>
      <c r="I353" s="20"/>
      <c r="J353" s="21"/>
      <c r="K353" s="28"/>
      <c r="L353" s="19"/>
    </row>
    <row r="354" spans="1:12" ht="13.2">
      <c r="A354" s="22"/>
      <c r="B354" s="16"/>
      <c r="C354" s="23"/>
      <c r="D354" s="101"/>
      <c r="E354" s="24"/>
      <c r="F354" s="25"/>
      <c r="G354" s="26"/>
      <c r="H354" s="27"/>
      <c r="I354" s="20"/>
      <c r="J354" s="21"/>
      <c r="K354" s="28"/>
      <c r="L354" s="19"/>
    </row>
    <row r="355" spans="1:12" ht="13.2">
      <c r="A355" s="22"/>
      <c r="B355" s="16"/>
      <c r="C355" s="23"/>
      <c r="D355" s="101"/>
      <c r="E355" s="24"/>
      <c r="F355" s="25"/>
      <c r="G355" s="26"/>
      <c r="H355" s="27"/>
      <c r="I355" s="20"/>
      <c r="J355" s="21"/>
      <c r="K355" s="28"/>
      <c r="L355" s="19"/>
    </row>
    <row r="356" spans="1:12" ht="13.2">
      <c r="A356" s="22"/>
      <c r="B356" s="16"/>
      <c r="C356" s="23"/>
      <c r="D356" s="101"/>
      <c r="E356" s="24"/>
      <c r="F356" s="25"/>
      <c r="G356" s="26"/>
      <c r="H356" s="27"/>
      <c r="I356" s="20"/>
      <c r="J356" s="21"/>
      <c r="K356" s="28"/>
      <c r="L356" s="19"/>
    </row>
    <row r="357" spans="1:12" ht="13.2">
      <c r="A357" s="22"/>
      <c r="B357" s="16"/>
      <c r="C357" s="23"/>
      <c r="D357" s="101"/>
      <c r="E357" s="24"/>
      <c r="F357" s="25"/>
      <c r="G357" s="26"/>
      <c r="H357" s="27"/>
      <c r="I357" s="20"/>
      <c r="J357" s="21"/>
      <c r="K357" s="28"/>
      <c r="L357" s="19"/>
    </row>
    <row r="358" spans="1:12" ht="13.2">
      <c r="A358" s="22"/>
      <c r="B358" s="16"/>
      <c r="C358" s="23"/>
      <c r="D358" s="101"/>
      <c r="E358" s="24"/>
      <c r="F358" s="25"/>
      <c r="G358" s="26"/>
      <c r="H358" s="27"/>
      <c r="I358" s="20"/>
      <c r="J358" s="21"/>
      <c r="K358" s="28"/>
      <c r="L358" s="19"/>
    </row>
    <row r="359" spans="1:12" ht="13.2">
      <c r="A359" s="22"/>
      <c r="B359" s="16"/>
      <c r="C359" s="23"/>
      <c r="D359" s="101"/>
      <c r="E359" s="24"/>
      <c r="F359" s="25"/>
      <c r="G359" s="26"/>
      <c r="H359" s="27"/>
      <c r="I359" s="20"/>
      <c r="J359" s="21"/>
      <c r="K359" s="28"/>
      <c r="L359" s="19"/>
    </row>
    <row r="360" spans="1:12" ht="13.2">
      <c r="A360" s="22"/>
      <c r="B360" s="16"/>
      <c r="C360" s="23"/>
      <c r="D360" s="101"/>
      <c r="E360" s="24"/>
      <c r="F360" s="25"/>
      <c r="G360" s="26"/>
      <c r="H360" s="27"/>
      <c r="I360" s="20"/>
      <c r="J360" s="21"/>
      <c r="K360" s="28"/>
      <c r="L360" s="19"/>
    </row>
    <row r="361" spans="1:12" ht="13.2">
      <c r="A361" s="22"/>
      <c r="B361" s="16"/>
      <c r="C361" s="23"/>
      <c r="D361" s="101"/>
      <c r="E361" s="24"/>
      <c r="F361" s="25"/>
      <c r="G361" s="26"/>
      <c r="H361" s="27"/>
      <c r="I361" s="20"/>
      <c r="J361" s="21"/>
      <c r="K361" s="28"/>
      <c r="L361" s="19"/>
    </row>
    <row r="362" spans="1:12" ht="13.2">
      <c r="A362" s="22"/>
      <c r="B362" s="16"/>
      <c r="C362" s="23"/>
      <c r="D362" s="101"/>
      <c r="E362" s="24"/>
      <c r="F362" s="25"/>
      <c r="G362" s="26"/>
      <c r="H362" s="27"/>
      <c r="I362" s="20"/>
      <c r="J362" s="21"/>
      <c r="K362" s="28"/>
      <c r="L362" s="19"/>
    </row>
    <row r="363" spans="1:12" ht="13.2">
      <c r="A363" s="22"/>
      <c r="B363" s="16"/>
      <c r="C363" s="23"/>
      <c r="D363" s="101"/>
      <c r="E363" s="24"/>
      <c r="F363" s="25"/>
      <c r="G363" s="26"/>
      <c r="H363" s="27"/>
      <c r="I363" s="20"/>
      <c r="J363" s="21"/>
      <c r="K363" s="28"/>
      <c r="L363" s="19"/>
    </row>
    <row r="364" spans="1:12" ht="13.2">
      <c r="A364" s="22"/>
      <c r="B364" s="16"/>
      <c r="C364" s="23"/>
      <c r="D364" s="101"/>
      <c r="E364" s="24"/>
      <c r="F364" s="25"/>
      <c r="G364" s="26"/>
      <c r="H364" s="27"/>
      <c r="I364" s="20"/>
      <c r="J364" s="21"/>
      <c r="K364" s="28"/>
      <c r="L364" s="19"/>
    </row>
    <row r="365" spans="1:12" ht="13.2">
      <c r="A365" s="22"/>
      <c r="B365" s="16"/>
      <c r="C365" s="23"/>
      <c r="D365" s="101"/>
      <c r="E365" s="24"/>
      <c r="F365" s="25"/>
      <c r="G365" s="26"/>
      <c r="H365" s="27"/>
      <c r="I365" s="20"/>
      <c r="J365" s="21"/>
      <c r="K365" s="28"/>
      <c r="L365" s="19"/>
    </row>
    <row r="366" spans="1:12" ht="13.2">
      <c r="A366" s="22"/>
      <c r="B366" s="16"/>
      <c r="C366" s="23"/>
      <c r="D366" s="101"/>
      <c r="E366" s="24"/>
      <c r="F366" s="25"/>
      <c r="G366" s="26"/>
      <c r="H366" s="27"/>
      <c r="I366" s="20"/>
      <c r="J366" s="21"/>
      <c r="K366" s="28"/>
      <c r="L366" s="19"/>
    </row>
    <row r="367" spans="1:12" ht="13.2">
      <c r="A367" s="22"/>
      <c r="B367" s="16"/>
      <c r="C367" s="23"/>
      <c r="D367" s="101"/>
      <c r="E367" s="24"/>
      <c r="F367" s="25"/>
      <c r="G367" s="26"/>
      <c r="H367" s="27"/>
      <c r="I367" s="20"/>
      <c r="J367" s="21"/>
      <c r="K367" s="28"/>
      <c r="L367" s="19"/>
    </row>
    <row r="368" spans="1:12" ht="13.2">
      <c r="A368" s="22"/>
      <c r="B368" s="16"/>
      <c r="C368" s="23"/>
      <c r="D368" s="101"/>
      <c r="E368" s="24"/>
      <c r="F368" s="25"/>
      <c r="G368" s="26"/>
      <c r="H368" s="27"/>
      <c r="I368" s="20"/>
      <c r="J368" s="21"/>
      <c r="K368" s="28"/>
      <c r="L368" s="19"/>
    </row>
    <row r="369" spans="1:12" ht="13.2">
      <c r="A369" s="22"/>
      <c r="B369" s="16"/>
      <c r="C369" s="23"/>
      <c r="D369" s="101"/>
      <c r="E369" s="24"/>
      <c r="F369" s="25"/>
      <c r="G369" s="26"/>
      <c r="H369" s="27"/>
      <c r="I369" s="20"/>
      <c r="J369" s="21"/>
      <c r="K369" s="28"/>
      <c r="L369" s="19"/>
    </row>
    <row r="370" spans="1:12" ht="13.2">
      <c r="A370" s="22"/>
      <c r="B370" s="16"/>
      <c r="C370" s="23"/>
      <c r="D370" s="101"/>
      <c r="E370" s="24"/>
      <c r="F370" s="25"/>
      <c r="G370" s="26"/>
      <c r="H370" s="27"/>
      <c r="I370" s="20"/>
      <c r="J370" s="21"/>
      <c r="K370" s="28"/>
      <c r="L370" s="19"/>
    </row>
    <row r="371" spans="1:12" ht="13.2">
      <c r="A371" s="22"/>
      <c r="B371" s="16"/>
      <c r="C371" s="23"/>
      <c r="D371" s="101"/>
      <c r="E371" s="24"/>
      <c r="F371" s="25"/>
      <c r="G371" s="26"/>
      <c r="H371" s="27"/>
      <c r="I371" s="20"/>
      <c r="J371" s="21"/>
      <c r="K371" s="28"/>
      <c r="L371" s="19"/>
    </row>
    <row r="372" spans="1:12" ht="13.2">
      <c r="A372" s="22"/>
      <c r="B372" s="16"/>
      <c r="C372" s="23"/>
      <c r="D372" s="101"/>
      <c r="E372" s="24"/>
      <c r="F372" s="25"/>
      <c r="G372" s="26"/>
      <c r="H372" s="27"/>
      <c r="I372" s="20"/>
      <c r="J372" s="21"/>
      <c r="K372" s="28"/>
      <c r="L372" s="19"/>
    </row>
    <row r="373" spans="1:12" ht="13.2">
      <c r="A373" s="22"/>
      <c r="B373" s="16"/>
      <c r="C373" s="23"/>
      <c r="D373" s="101"/>
      <c r="E373" s="24"/>
      <c r="F373" s="25"/>
      <c r="G373" s="26"/>
      <c r="H373" s="27"/>
      <c r="I373" s="20"/>
      <c r="J373" s="21"/>
      <c r="K373" s="28"/>
      <c r="L373" s="19"/>
    </row>
    <row r="374" spans="1:12" ht="13.2">
      <c r="A374" s="22"/>
      <c r="B374" s="16"/>
      <c r="C374" s="23"/>
      <c r="D374" s="101"/>
      <c r="E374" s="24"/>
      <c r="F374" s="25"/>
      <c r="G374" s="26"/>
      <c r="H374" s="27"/>
      <c r="I374" s="20"/>
      <c r="J374" s="21"/>
      <c r="K374" s="28"/>
      <c r="L374" s="19"/>
    </row>
    <row r="375" spans="1:12" ht="13.2">
      <c r="A375" s="22"/>
      <c r="B375" s="16"/>
      <c r="C375" s="23"/>
      <c r="D375" s="101"/>
      <c r="E375" s="24"/>
      <c r="F375" s="25"/>
      <c r="G375" s="26"/>
      <c r="H375" s="27"/>
      <c r="I375" s="20"/>
      <c r="J375" s="21"/>
      <c r="K375" s="28"/>
      <c r="L375" s="19"/>
    </row>
    <row r="376" spans="1:12" ht="13.2">
      <c r="A376" s="22"/>
      <c r="B376" s="16"/>
      <c r="C376" s="23"/>
      <c r="D376" s="101"/>
      <c r="E376" s="24"/>
      <c r="F376" s="25"/>
      <c r="G376" s="26"/>
      <c r="H376" s="27"/>
      <c r="I376" s="20"/>
      <c r="J376" s="21"/>
      <c r="K376" s="28"/>
      <c r="L376" s="19"/>
    </row>
    <row r="377" spans="1:12" ht="13.2">
      <c r="A377" s="22"/>
      <c r="B377" s="16"/>
      <c r="C377" s="23"/>
      <c r="D377" s="101"/>
      <c r="E377" s="24"/>
      <c r="F377" s="25"/>
      <c r="G377" s="26"/>
      <c r="H377" s="27"/>
      <c r="I377" s="20"/>
      <c r="J377" s="21"/>
      <c r="K377" s="28"/>
      <c r="L377" s="19"/>
    </row>
    <row r="378" spans="1:12" ht="13.2">
      <c r="A378" s="22"/>
      <c r="B378" s="16"/>
      <c r="C378" s="23"/>
      <c r="D378" s="101"/>
      <c r="E378" s="24"/>
      <c r="F378" s="25"/>
      <c r="G378" s="26"/>
      <c r="H378" s="27"/>
      <c r="I378" s="20"/>
      <c r="J378" s="21"/>
      <c r="K378" s="28"/>
      <c r="L378" s="19"/>
    </row>
    <row r="379" spans="1:12" ht="13.2">
      <c r="A379" s="22"/>
      <c r="B379" s="16"/>
      <c r="C379" s="23"/>
      <c r="D379" s="101"/>
      <c r="E379" s="24"/>
      <c r="F379" s="25"/>
      <c r="G379" s="26"/>
      <c r="H379" s="27"/>
      <c r="I379" s="20"/>
      <c r="J379" s="21"/>
      <c r="K379" s="28"/>
      <c r="L379" s="19"/>
    </row>
    <row r="380" spans="1:12" ht="13.2">
      <c r="A380" s="22"/>
      <c r="B380" s="16"/>
      <c r="C380" s="23"/>
      <c r="D380" s="101"/>
      <c r="E380" s="24"/>
      <c r="F380" s="25"/>
      <c r="G380" s="26"/>
      <c r="H380" s="27"/>
      <c r="I380" s="20"/>
      <c r="J380" s="21"/>
      <c r="K380" s="28"/>
      <c r="L380" s="19"/>
    </row>
    <row r="381" spans="1:12" ht="13.2">
      <c r="A381" s="22"/>
      <c r="B381" s="16"/>
      <c r="C381" s="23"/>
      <c r="D381" s="101"/>
      <c r="E381" s="24"/>
      <c r="F381" s="25"/>
      <c r="G381" s="26"/>
      <c r="H381" s="27"/>
      <c r="I381" s="20"/>
      <c r="J381" s="21"/>
      <c r="K381" s="28"/>
      <c r="L381" s="19"/>
    </row>
    <row r="382" spans="1:12" ht="13.2">
      <c r="A382" s="22"/>
      <c r="B382" s="16"/>
      <c r="C382" s="23"/>
      <c r="D382" s="101"/>
      <c r="E382" s="24"/>
      <c r="F382" s="25"/>
      <c r="G382" s="26"/>
      <c r="H382" s="27"/>
      <c r="I382" s="20"/>
      <c r="J382" s="21"/>
      <c r="K382" s="28"/>
      <c r="L382" s="19"/>
    </row>
    <row r="383" spans="1:12" ht="13.2">
      <c r="A383" s="22"/>
      <c r="B383" s="16"/>
      <c r="C383" s="23"/>
      <c r="D383" s="101"/>
      <c r="E383" s="24"/>
      <c r="F383" s="25"/>
      <c r="G383" s="26"/>
      <c r="H383" s="27"/>
      <c r="I383" s="20"/>
      <c r="J383" s="21"/>
      <c r="K383" s="28"/>
      <c r="L383" s="19"/>
    </row>
    <row r="384" spans="1:12" ht="13.2">
      <c r="A384" s="22"/>
      <c r="B384" s="16"/>
      <c r="C384" s="23"/>
      <c r="D384" s="101"/>
      <c r="E384" s="24"/>
      <c r="F384" s="25"/>
      <c r="G384" s="26"/>
      <c r="H384" s="27"/>
      <c r="I384" s="20"/>
      <c r="J384" s="21"/>
      <c r="K384" s="28"/>
      <c r="L384" s="19"/>
    </row>
    <row r="385" spans="1:12" ht="13.2">
      <c r="A385" s="22"/>
      <c r="B385" s="16"/>
      <c r="C385" s="23"/>
      <c r="D385" s="101"/>
      <c r="E385" s="24"/>
      <c r="F385" s="25"/>
      <c r="G385" s="26"/>
      <c r="H385" s="27"/>
      <c r="I385" s="20"/>
      <c r="J385" s="21"/>
      <c r="K385" s="28"/>
      <c r="L385" s="19"/>
    </row>
    <row r="386" spans="1:12" ht="13.2">
      <c r="A386" s="22"/>
      <c r="B386" s="16"/>
      <c r="C386" s="23"/>
      <c r="D386" s="101"/>
      <c r="E386" s="24"/>
      <c r="F386" s="25"/>
      <c r="G386" s="26"/>
      <c r="H386" s="27"/>
      <c r="I386" s="20"/>
      <c r="J386" s="21"/>
      <c r="K386" s="28"/>
      <c r="L386" s="19"/>
    </row>
    <row r="387" spans="1:12" ht="13.2">
      <c r="A387" s="22"/>
      <c r="B387" s="16"/>
      <c r="C387" s="23"/>
      <c r="D387" s="101"/>
      <c r="E387" s="24"/>
      <c r="F387" s="25"/>
      <c r="G387" s="26"/>
      <c r="H387" s="27"/>
      <c r="I387" s="20"/>
      <c r="J387" s="21"/>
      <c r="K387" s="28"/>
      <c r="L387" s="19"/>
    </row>
    <row r="388" spans="1:12" ht="13.2">
      <c r="A388" s="22"/>
      <c r="B388" s="16"/>
      <c r="C388" s="23"/>
      <c r="D388" s="101"/>
      <c r="E388" s="24"/>
      <c r="F388" s="25"/>
      <c r="G388" s="26"/>
      <c r="H388" s="27"/>
      <c r="I388" s="20"/>
      <c r="J388" s="21"/>
      <c r="K388" s="28"/>
      <c r="L388" s="19"/>
    </row>
    <row r="389" spans="1:12" ht="13.2">
      <c r="A389" s="22"/>
      <c r="B389" s="16"/>
      <c r="C389" s="23"/>
      <c r="D389" s="101"/>
      <c r="E389" s="24"/>
      <c r="F389" s="25"/>
      <c r="G389" s="26"/>
      <c r="H389" s="27"/>
      <c r="I389" s="20"/>
      <c r="J389" s="21"/>
      <c r="K389" s="28"/>
      <c r="L389" s="19"/>
    </row>
    <row r="390" spans="1:12" ht="13.2">
      <c r="A390" s="22"/>
      <c r="B390" s="16"/>
      <c r="C390" s="23"/>
      <c r="D390" s="101"/>
      <c r="E390" s="24"/>
      <c r="F390" s="25"/>
      <c r="G390" s="26"/>
      <c r="H390" s="27"/>
      <c r="I390" s="20"/>
      <c r="J390" s="21"/>
      <c r="K390" s="28"/>
      <c r="L390" s="19"/>
    </row>
    <row r="391" spans="1:12" ht="13.2">
      <c r="A391" s="22"/>
      <c r="B391" s="16"/>
      <c r="C391" s="23"/>
      <c r="D391" s="101"/>
      <c r="E391" s="24"/>
      <c r="F391" s="25"/>
      <c r="G391" s="26"/>
      <c r="H391" s="27"/>
      <c r="I391" s="20"/>
      <c r="J391" s="21"/>
      <c r="K391" s="28"/>
      <c r="L391" s="19"/>
    </row>
    <row r="392" spans="1:12" ht="13.2">
      <c r="A392" s="22"/>
      <c r="B392" s="16"/>
      <c r="C392" s="23"/>
      <c r="D392" s="101"/>
      <c r="E392" s="24"/>
      <c r="F392" s="25"/>
      <c r="G392" s="26"/>
      <c r="H392" s="27"/>
      <c r="I392" s="20"/>
      <c r="J392" s="21"/>
      <c r="K392" s="28"/>
      <c r="L392" s="19"/>
    </row>
    <row r="393" spans="1:12" ht="13.2">
      <c r="A393" s="22"/>
      <c r="B393" s="16"/>
      <c r="C393" s="23"/>
      <c r="D393" s="101"/>
      <c r="E393" s="24"/>
      <c r="F393" s="25"/>
      <c r="G393" s="26"/>
      <c r="H393" s="27"/>
      <c r="I393" s="20"/>
      <c r="J393" s="21"/>
      <c r="K393" s="28"/>
      <c r="L393" s="19"/>
    </row>
    <row r="394" spans="1:12" ht="13.2">
      <c r="A394" s="22"/>
      <c r="B394" s="16"/>
      <c r="C394" s="23"/>
      <c r="D394" s="101"/>
      <c r="E394" s="24"/>
      <c r="F394" s="25"/>
      <c r="G394" s="26"/>
      <c r="H394" s="27"/>
      <c r="I394" s="20"/>
      <c r="J394" s="21"/>
      <c r="K394" s="28"/>
      <c r="L394" s="19"/>
    </row>
    <row r="395" spans="1:12" ht="13.2">
      <c r="A395" s="22"/>
      <c r="B395" s="16"/>
      <c r="C395" s="23"/>
      <c r="D395" s="101"/>
      <c r="E395" s="24"/>
      <c r="F395" s="25"/>
      <c r="G395" s="26"/>
      <c r="H395" s="27"/>
      <c r="I395" s="20"/>
      <c r="J395" s="21"/>
      <c r="K395" s="28"/>
      <c r="L395" s="19"/>
    </row>
    <row r="396" spans="1:12" ht="13.2">
      <c r="A396" s="22"/>
      <c r="B396" s="16"/>
      <c r="C396" s="23"/>
      <c r="D396" s="101"/>
      <c r="E396" s="24"/>
      <c r="F396" s="25"/>
      <c r="G396" s="26"/>
      <c r="H396" s="27"/>
      <c r="I396" s="20"/>
      <c r="J396" s="21"/>
      <c r="K396" s="28"/>
      <c r="L396" s="19"/>
    </row>
    <row r="397" spans="1:12" ht="13.2">
      <c r="A397" s="22"/>
      <c r="B397" s="16"/>
      <c r="C397" s="23"/>
      <c r="D397" s="101"/>
      <c r="E397" s="24"/>
      <c r="F397" s="25"/>
      <c r="G397" s="26"/>
      <c r="H397" s="27"/>
      <c r="I397" s="20"/>
      <c r="J397" s="21"/>
      <c r="K397" s="28"/>
      <c r="L397" s="19"/>
    </row>
    <row r="398" spans="1:12" ht="13.2">
      <c r="A398" s="22"/>
      <c r="B398" s="16"/>
      <c r="C398" s="23"/>
      <c r="D398" s="101"/>
      <c r="E398" s="24"/>
      <c r="F398" s="25"/>
      <c r="G398" s="26"/>
      <c r="H398" s="27"/>
      <c r="I398" s="20"/>
      <c r="J398" s="21"/>
      <c r="K398" s="28"/>
      <c r="L398" s="19"/>
    </row>
    <row r="399" spans="1:12" ht="13.2">
      <c r="A399" s="22"/>
      <c r="B399" s="16"/>
      <c r="C399" s="23"/>
      <c r="D399" s="101"/>
      <c r="E399" s="24"/>
      <c r="F399" s="25"/>
      <c r="G399" s="26"/>
      <c r="H399" s="27"/>
      <c r="I399" s="20"/>
      <c r="J399" s="21"/>
      <c r="K399" s="28"/>
      <c r="L399" s="19"/>
    </row>
    <row r="400" spans="1:12" ht="13.2">
      <c r="A400" s="22"/>
      <c r="B400" s="16"/>
      <c r="C400" s="23"/>
      <c r="D400" s="101"/>
      <c r="E400" s="24"/>
      <c r="F400" s="25"/>
      <c r="G400" s="26"/>
      <c r="H400" s="27"/>
      <c r="I400" s="20"/>
      <c r="J400" s="21"/>
      <c r="K400" s="28"/>
      <c r="L400" s="19"/>
    </row>
    <row r="401" spans="1:12" ht="13.2">
      <c r="A401" s="22"/>
      <c r="B401" s="16"/>
      <c r="C401" s="23"/>
      <c r="D401" s="101"/>
      <c r="E401" s="24"/>
      <c r="F401" s="25"/>
      <c r="G401" s="26"/>
      <c r="H401" s="27"/>
      <c r="I401" s="20"/>
      <c r="J401" s="21"/>
      <c r="K401" s="28"/>
      <c r="L401" s="19"/>
    </row>
    <row r="402" spans="1:12" ht="13.2">
      <c r="A402" s="22"/>
      <c r="B402" s="16"/>
      <c r="C402" s="23"/>
      <c r="D402" s="101"/>
      <c r="E402" s="24"/>
      <c r="F402" s="25"/>
      <c r="G402" s="26"/>
      <c r="H402" s="27"/>
      <c r="I402" s="20"/>
      <c r="J402" s="21"/>
      <c r="K402" s="28"/>
      <c r="L402" s="19"/>
    </row>
    <row r="403" spans="1:12" ht="13.2">
      <c r="A403" s="22"/>
      <c r="B403" s="16"/>
      <c r="C403" s="23"/>
      <c r="D403" s="101"/>
      <c r="E403" s="24"/>
      <c r="F403" s="25"/>
      <c r="G403" s="26"/>
      <c r="H403" s="27"/>
      <c r="I403" s="20"/>
      <c r="J403" s="21"/>
      <c r="K403" s="28"/>
      <c r="L403" s="19"/>
    </row>
    <row r="404" spans="1:12" ht="13.2">
      <c r="A404" s="22"/>
      <c r="B404" s="16"/>
      <c r="C404" s="23"/>
      <c r="D404" s="101"/>
      <c r="E404" s="24"/>
      <c r="F404" s="25"/>
      <c r="G404" s="26"/>
      <c r="H404" s="27"/>
      <c r="I404" s="20"/>
      <c r="J404" s="21"/>
      <c r="K404" s="28"/>
      <c r="L404" s="19"/>
    </row>
    <row r="405" spans="1:12" ht="13.2">
      <c r="A405" s="22"/>
      <c r="B405" s="16"/>
      <c r="C405" s="23"/>
      <c r="D405" s="101"/>
      <c r="E405" s="24"/>
      <c r="F405" s="25"/>
      <c r="G405" s="26"/>
      <c r="H405" s="27"/>
      <c r="I405" s="20"/>
      <c r="J405" s="21"/>
      <c r="K405" s="28"/>
      <c r="L405" s="19"/>
    </row>
    <row r="406" spans="1:12" ht="13.2">
      <c r="A406" s="22"/>
      <c r="B406" s="16"/>
      <c r="C406" s="23"/>
      <c r="D406" s="101"/>
      <c r="E406" s="24"/>
      <c r="F406" s="25"/>
      <c r="G406" s="26"/>
      <c r="H406" s="27"/>
      <c r="I406" s="20"/>
      <c r="J406" s="21"/>
      <c r="K406" s="28"/>
      <c r="L406" s="19"/>
    </row>
    <row r="407" spans="1:12" ht="13.2">
      <c r="A407" s="22"/>
      <c r="B407" s="16"/>
      <c r="C407" s="23"/>
      <c r="D407" s="101"/>
      <c r="E407" s="24"/>
      <c r="F407" s="25"/>
      <c r="G407" s="26"/>
      <c r="H407" s="27"/>
      <c r="I407" s="20"/>
      <c r="J407" s="21"/>
      <c r="K407" s="28"/>
      <c r="L407" s="19"/>
    </row>
    <row r="408" spans="1:12" ht="13.2">
      <c r="A408" s="22"/>
      <c r="B408" s="16"/>
      <c r="C408" s="23"/>
      <c r="D408" s="101"/>
      <c r="E408" s="24"/>
      <c r="F408" s="25"/>
      <c r="G408" s="26"/>
      <c r="H408" s="27"/>
      <c r="I408" s="20"/>
      <c r="J408" s="21"/>
      <c r="K408" s="28"/>
      <c r="L408" s="19"/>
    </row>
    <row r="409" spans="1:12" ht="13.2">
      <c r="A409" s="22"/>
      <c r="B409" s="16"/>
      <c r="C409" s="23"/>
      <c r="D409" s="101"/>
      <c r="E409" s="24"/>
      <c r="F409" s="25"/>
      <c r="G409" s="26"/>
      <c r="H409" s="27"/>
      <c r="I409" s="20"/>
      <c r="J409" s="21"/>
      <c r="K409" s="28"/>
      <c r="L409" s="19"/>
    </row>
    <row r="410" spans="1:12" ht="13.2">
      <c r="A410" s="22"/>
      <c r="B410" s="16"/>
      <c r="C410" s="23"/>
      <c r="D410" s="101"/>
      <c r="E410" s="24"/>
      <c r="F410" s="25"/>
      <c r="G410" s="26"/>
      <c r="H410" s="27"/>
      <c r="I410" s="20"/>
      <c r="J410" s="21"/>
      <c r="K410" s="28"/>
      <c r="L410" s="19"/>
    </row>
    <row r="411" spans="1:12" ht="13.2">
      <c r="A411" s="22"/>
      <c r="B411" s="16"/>
      <c r="C411" s="23"/>
      <c r="D411" s="101"/>
      <c r="E411" s="24"/>
      <c r="F411" s="25"/>
      <c r="G411" s="26"/>
      <c r="H411" s="27"/>
      <c r="I411" s="20"/>
      <c r="J411" s="21"/>
      <c r="K411" s="28"/>
      <c r="L411" s="19"/>
    </row>
    <row r="412" spans="1:12" ht="13.2">
      <c r="A412" s="22"/>
      <c r="B412" s="16"/>
      <c r="C412" s="23"/>
      <c r="D412" s="101"/>
      <c r="E412" s="24"/>
      <c r="F412" s="25"/>
      <c r="G412" s="26"/>
      <c r="H412" s="27"/>
      <c r="I412" s="20"/>
      <c r="J412" s="21"/>
      <c r="K412" s="28"/>
      <c r="L412" s="19"/>
    </row>
    <row r="413" spans="1:12" ht="13.2">
      <c r="A413" s="22"/>
      <c r="B413" s="16"/>
      <c r="C413" s="23"/>
      <c r="D413" s="101"/>
      <c r="E413" s="24"/>
      <c r="F413" s="25"/>
      <c r="G413" s="26"/>
      <c r="H413" s="27"/>
      <c r="I413" s="20"/>
      <c r="J413" s="21"/>
      <c r="K413" s="28"/>
      <c r="L413" s="19"/>
    </row>
    <row r="414" spans="1:12" ht="13.2">
      <c r="A414" s="22"/>
      <c r="B414" s="16"/>
      <c r="C414" s="23"/>
      <c r="D414" s="101"/>
      <c r="E414" s="24"/>
      <c r="F414" s="25"/>
      <c r="G414" s="26"/>
      <c r="H414" s="27"/>
      <c r="I414" s="20"/>
      <c r="J414" s="21"/>
      <c r="K414" s="28"/>
      <c r="L414" s="19"/>
    </row>
    <row r="415" spans="1:12" ht="13.2">
      <c r="A415" s="22"/>
      <c r="B415" s="16"/>
      <c r="C415" s="23"/>
      <c r="D415" s="101"/>
      <c r="E415" s="24"/>
      <c r="F415" s="25"/>
      <c r="G415" s="26"/>
      <c r="H415" s="27"/>
      <c r="I415" s="20"/>
      <c r="J415" s="21"/>
      <c r="K415" s="28"/>
      <c r="L415" s="19"/>
    </row>
    <row r="416" spans="1:12" ht="13.2">
      <c r="A416" s="22"/>
      <c r="B416" s="16"/>
      <c r="C416" s="23"/>
      <c r="D416" s="101"/>
      <c r="E416" s="24"/>
      <c r="F416" s="25"/>
      <c r="G416" s="26"/>
      <c r="H416" s="27"/>
      <c r="I416" s="20"/>
      <c r="J416" s="21"/>
      <c r="K416" s="28"/>
      <c r="L416" s="19"/>
    </row>
    <row r="417" spans="1:12" ht="13.2">
      <c r="A417" s="22"/>
      <c r="B417" s="16"/>
      <c r="C417" s="23"/>
      <c r="D417" s="101"/>
      <c r="E417" s="24"/>
      <c r="F417" s="25"/>
      <c r="G417" s="26"/>
      <c r="H417" s="27"/>
      <c r="I417" s="20"/>
      <c r="J417" s="21"/>
      <c r="K417" s="28"/>
      <c r="L417" s="19"/>
    </row>
    <row r="418" spans="1:12" ht="13.2">
      <c r="A418" s="22"/>
      <c r="B418" s="16"/>
      <c r="C418" s="23"/>
      <c r="D418" s="101"/>
      <c r="E418" s="24"/>
      <c r="F418" s="25"/>
      <c r="G418" s="26"/>
      <c r="H418" s="27"/>
      <c r="I418" s="20"/>
      <c r="J418" s="21"/>
      <c r="K418" s="28"/>
      <c r="L418" s="19"/>
    </row>
    <row r="419" spans="1:12" ht="13.2">
      <c r="A419" s="22"/>
      <c r="B419" s="16"/>
      <c r="C419" s="23"/>
      <c r="D419" s="101"/>
      <c r="E419" s="24"/>
      <c r="F419" s="25"/>
      <c r="G419" s="26"/>
      <c r="H419" s="27"/>
      <c r="I419" s="20"/>
      <c r="J419" s="21"/>
      <c r="K419" s="28"/>
      <c r="L419" s="19"/>
    </row>
    <row r="420" spans="1:12" ht="13.2">
      <c r="A420" s="22"/>
      <c r="B420" s="16"/>
      <c r="C420" s="23"/>
      <c r="D420" s="101"/>
      <c r="E420" s="24"/>
      <c r="F420" s="25"/>
      <c r="G420" s="26"/>
      <c r="H420" s="27"/>
      <c r="I420" s="20"/>
      <c r="J420" s="21"/>
      <c r="K420" s="28"/>
      <c r="L420" s="19"/>
    </row>
    <row r="421" spans="1:12" ht="13.2">
      <c r="A421" s="22"/>
      <c r="B421" s="16"/>
      <c r="C421" s="23"/>
      <c r="D421" s="101"/>
      <c r="E421" s="24"/>
      <c r="F421" s="25"/>
      <c r="G421" s="26"/>
      <c r="H421" s="27"/>
      <c r="I421" s="20"/>
      <c r="J421" s="21"/>
      <c r="K421" s="28"/>
      <c r="L421" s="19"/>
    </row>
    <row r="422" spans="1:12" ht="13.2">
      <c r="A422" s="22"/>
      <c r="B422" s="16"/>
      <c r="C422" s="23"/>
      <c r="D422" s="101"/>
      <c r="E422" s="24"/>
      <c r="F422" s="25"/>
      <c r="G422" s="26"/>
      <c r="H422" s="27"/>
      <c r="I422" s="20"/>
      <c r="J422" s="21"/>
      <c r="K422" s="28"/>
      <c r="L422" s="19"/>
    </row>
    <row r="423" spans="1:12" ht="13.2">
      <c r="A423" s="22"/>
      <c r="B423" s="16"/>
      <c r="C423" s="23"/>
      <c r="D423" s="101"/>
      <c r="E423" s="24"/>
      <c r="F423" s="25"/>
      <c r="G423" s="26"/>
      <c r="H423" s="27"/>
      <c r="I423" s="20"/>
      <c r="J423" s="21"/>
      <c r="K423" s="28"/>
      <c r="L423" s="19"/>
    </row>
    <row r="424" spans="1:12" ht="13.2">
      <c r="A424" s="22"/>
      <c r="B424" s="16"/>
      <c r="C424" s="23"/>
      <c r="D424" s="101"/>
      <c r="E424" s="24"/>
      <c r="F424" s="25"/>
      <c r="G424" s="26"/>
      <c r="H424" s="27"/>
      <c r="I424" s="20"/>
      <c r="J424" s="21"/>
      <c r="K424" s="28"/>
      <c r="L424" s="19"/>
    </row>
    <row r="425" spans="1:12" ht="13.2">
      <c r="A425" s="22"/>
      <c r="B425" s="16"/>
      <c r="C425" s="23"/>
      <c r="D425" s="101"/>
      <c r="E425" s="24"/>
      <c r="F425" s="25"/>
      <c r="G425" s="26"/>
      <c r="H425" s="27"/>
      <c r="I425" s="20"/>
      <c r="J425" s="21"/>
      <c r="K425" s="28"/>
      <c r="L425" s="19"/>
    </row>
    <row r="426" spans="1:12" ht="13.2">
      <c r="A426" s="22"/>
      <c r="B426" s="16"/>
      <c r="C426" s="23"/>
      <c r="D426" s="101"/>
      <c r="E426" s="24"/>
      <c r="F426" s="25"/>
      <c r="G426" s="26"/>
      <c r="H426" s="27"/>
      <c r="I426" s="20"/>
      <c r="J426" s="21"/>
      <c r="K426" s="28"/>
      <c r="L426" s="19"/>
    </row>
    <row r="427" spans="1:12" ht="13.2">
      <c r="A427" s="22"/>
      <c r="B427" s="16"/>
      <c r="C427" s="23"/>
      <c r="D427" s="101"/>
      <c r="E427" s="24"/>
      <c r="F427" s="25"/>
      <c r="G427" s="26"/>
      <c r="H427" s="27"/>
      <c r="I427" s="20"/>
      <c r="J427" s="21"/>
      <c r="K427" s="28"/>
      <c r="L427" s="19"/>
    </row>
    <row r="428" spans="1:12" ht="13.2">
      <c r="A428" s="22"/>
      <c r="B428" s="16"/>
      <c r="C428" s="23"/>
      <c r="D428" s="101"/>
      <c r="E428" s="24"/>
      <c r="F428" s="25"/>
      <c r="G428" s="26"/>
      <c r="H428" s="27"/>
      <c r="I428" s="20"/>
      <c r="J428" s="21"/>
      <c r="K428" s="28"/>
      <c r="L428" s="19"/>
    </row>
    <row r="429" spans="1:12" ht="13.2">
      <c r="A429" s="22"/>
      <c r="B429" s="16"/>
      <c r="C429" s="23"/>
      <c r="D429" s="101"/>
      <c r="E429" s="24"/>
      <c r="F429" s="25"/>
      <c r="G429" s="26"/>
      <c r="H429" s="27"/>
      <c r="I429" s="20"/>
      <c r="J429" s="21"/>
      <c r="K429" s="28"/>
      <c r="L429" s="19"/>
    </row>
    <row r="430" spans="1:12" ht="13.2">
      <c r="A430" s="22"/>
      <c r="B430" s="16"/>
      <c r="C430" s="23"/>
      <c r="D430" s="101"/>
      <c r="E430" s="24"/>
      <c r="F430" s="25"/>
      <c r="G430" s="26"/>
      <c r="H430" s="27"/>
      <c r="I430" s="20"/>
      <c r="J430" s="21"/>
      <c r="K430" s="28"/>
      <c r="L430" s="19"/>
    </row>
    <row r="431" spans="1:12" ht="13.2">
      <c r="A431" s="22"/>
      <c r="B431" s="16"/>
      <c r="C431" s="23"/>
      <c r="D431" s="101"/>
      <c r="E431" s="24"/>
      <c r="F431" s="25"/>
      <c r="G431" s="26"/>
      <c r="H431" s="27"/>
      <c r="I431" s="20"/>
      <c r="J431" s="21"/>
      <c r="K431" s="28"/>
      <c r="L431" s="19"/>
    </row>
    <row r="432" spans="1:12" ht="13.2">
      <c r="A432" s="22"/>
      <c r="B432" s="16"/>
      <c r="C432" s="23"/>
      <c r="D432" s="101"/>
      <c r="E432" s="24"/>
      <c r="F432" s="25"/>
      <c r="G432" s="26"/>
      <c r="H432" s="27"/>
      <c r="I432" s="20"/>
      <c r="J432" s="21"/>
      <c r="K432" s="28"/>
      <c r="L432" s="19"/>
    </row>
    <row r="433" spans="1:12" ht="13.2">
      <c r="A433" s="22"/>
      <c r="B433" s="16"/>
      <c r="C433" s="23"/>
      <c r="D433" s="101"/>
      <c r="E433" s="24"/>
      <c r="F433" s="25"/>
      <c r="G433" s="26"/>
      <c r="H433" s="27"/>
      <c r="I433" s="20"/>
      <c r="J433" s="21"/>
      <c r="K433" s="28"/>
      <c r="L433" s="19"/>
    </row>
    <row r="434" spans="1:12" ht="13.2">
      <c r="A434" s="22"/>
      <c r="B434" s="16"/>
      <c r="C434" s="23"/>
      <c r="D434" s="101"/>
      <c r="E434" s="24"/>
      <c r="F434" s="25"/>
      <c r="G434" s="26"/>
      <c r="H434" s="27"/>
      <c r="I434" s="20"/>
      <c r="J434" s="21"/>
      <c r="K434" s="28"/>
      <c r="L434" s="19"/>
    </row>
    <row r="435" spans="1:12" ht="13.2">
      <c r="A435" s="22"/>
      <c r="B435" s="16"/>
      <c r="C435" s="23"/>
      <c r="D435" s="101"/>
      <c r="E435" s="24"/>
      <c r="F435" s="25"/>
      <c r="G435" s="26"/>
      <c r="H435" s="27"/>
      <c r="I435" s="20"/>
      <c r="J435" s="21"/>
      <c r="K435" s="28"/>
      <c r="L435" s="19"/>
    </row>
    <row r="436" spans="1:12" ht="13.2">
      <c r="A436" s="22"/>
      <c r="B436" s="16"/>
      <c r="C436" s="23"/>
      <c r="D436" s="101"/>
      <c r="E436" s="24"/>
      <c r="F436" s="25"/>
      <c r="G436" s="26"/>
      <c r="H436" s="27"/>
      <c r="I436" s="20"/>
      <c r="J436" s="21"/>
      <c r="K436" s="28"/>
      <c r="L436" s="19"/>
    </row>
    <row r="437" spans="1:12" ht="13.2">
      <c r="A437" s="22"/>
      <c r="B437" s="16"/>
      <c r="C437" s="23"/>
      <c r="D437" s="101"/>
      <c r="E437" s="24"/>
      <c r="F437" s="25"/>
      <c r="G437" s="26"/>
      <c r="H437" s="27"/>
      <c r="I437" s="20"/>
      <c r="J437" s="21"/>
      <c r="K437" s="28"/>
      <c r="L437" s="19"/>
    </row>
    <row r="438" spans="1:12" ht="13.2">
      <c r="A438" s="22"/>
      <c r="B438" s="16"/>
      <c r="C438" s="23"/>
      <c r="D438" s="101"/>
      <c r="E438" s="24"/>
      <c r="F438" s="25"/>
      <c r="G438" s="26"/>
      <c r="H438" s="27"/>
      <c r="I438" s="20"/>
      <c r="J438" s="21"/>
      <c r="K438" s="28"/>
      <c r="L438" s="19"/>
    </row>
    <row r="439" spans="1:12" ht="13.2">
      <c r="A439" s="22"/>
      <c r="B439" s="16"/>
      <c r="C439" s="23"/>
      <c r="D439" s="101"/>
      <c r="E439" s="24"/>
      <c r="F439" s="25"/>
      <c r="G439" s="26"/>
      <c r="H439" s="27"/>
      <c r="I439" s="20"/>
      <c r="J439" s="21"/>
      <c r="K439" s="28"/>
      <c r="L439" s="19"/>
    </row>
    <row r="440" spans="1:12" ht="13.2">
      <c r="A440" s="22"/>
      <c r="B440" s="16"/>
      <c r="C440" s="23"/>
      <c r="D440" s="101"/>
      <c r="E440" s="24"/>
      <c r="F440" s="25"/>
      <c r="G440" s="26"/>
      <c r="H440" s="27"/>
      <c r="I440" s="20"/>
      <c r="J440" s="21"/>
      <c r="K440" s="28"/>
      <c r="L440" s="19"/>
    </row>
    <row r="441" spans="1:12" ht="13.2">
      <c r="A441" s="22"/>
      <c r="B441" s="16"/>
      <c r="C441" s="23"/>
      <c r="D441" s="101"/>
      <c r="E441" s="24"/>
      <c r="F441" s="25"/>
      <c r="G441" s="26"/>
      <c r="H441" s="27"/>
      <c r="I441" s="20"/>
      <c r="J441" s="21"/>
      <c r="K441" s="28"/>
      <c r="L441" s="19"/>
    </row>
    <row r="442" spans="1:12" ht="13.2">
      <c r="A442" s="22"/>
      <c r="B442" s="16"/>
      <c r="C442" s="23"/>
      <c r="D442" s="101"/>
      <c r="E442" s="24"/>
      <c r="F442" s="25"/>
      <c r="G442" s="26"/>
      <c r="H442" s="27"/>
      <c r="I442" s="20"/>
      <c r="J442" s="21"/>
      <c r="K442" s="28"/>
      <c r="L442" s="19"/>
    </row>
    <row r="443" spans="1:12" ht="13.2">
      <c r="A443" s="22"/>
      <c r="B443" s="16"/>
      <c r="C443" s="23"/>
      <c r="D443" s="101"/>
      <c r="E443" s="24"/>
      <c r="F443" s="25"/>
      <c r="G443" s="26"/>
      <c r="H443" s="27"/>
      <c r="I443" s="20"/>
      <c r="J443" s="21"/>
      <c r="K443" s="28"/>
      <c r="L443" s="19"/>
    </row>
    <row r="444" spans="1:12" ht="13.2">
      <c r="A444" s="22"/>
      <c r="B444" s="16"/>
      <c r="C444" s="23"/>
      <c r="D444" s="101"/>
      <c r="E444" s="24"/>
      <c r="F444" s="25"/>
      <c r="G444" s="26"/>
      <c r="H444" s="27"/>
      <c r="I444" s="20"/>
      <c r="J444" s="21"/>
      <c r="K444" s="28"/>
      <c r="L444" s="19"/>
    </row>
    <row r="445" spans="1:12" ht="13.2">
      <c r="A445" s="22"/>
      <c r="B445" s="16"/>
      <c r="C445" s="23"/>
      <c r="D445" s="101"/>
      <c r="E445" s="24"/>
      <c r="F445" s="25"/>
      <c r="G445" s="26"/>
      <c r="H445" s="27"/>
      <c r="I445" s="20"/>
      <c r="J445" s="21"/>
      <c r="K445" s="28"/>
      <c r="L445" s="19"/>
    </row>
    <row r="446" spans="1:12" ht="13.2">
      <c r="A446" s="22"/>
      <c r="B446" s="16"/>
      <c r="C446" s="23"/>
      <c r="D446" s="101"/>
      <c r="E446" s="24"/>
      <c r="F446" s="25"/>
      <c r="G446" s="26"/>
      <c r="H446" s="27"/>
      <c r="I446" s="20"/>
      <c r="J446" s="21"/>
      <c r="K446" s="28"/>
      <c r="L446" s="19"/>
    </row>
    <row r="447" spans="1:12" ht="13.2">
      <c r="A447" s="22"/>
      <c r="B447" s="16"/>
      <c r="C447" s="23"/>
      <c r="D447" s="101"/>
      <c r="E447" s="24"/>
      <c r="F447" s="25"/>
      <c r="G447" s="26"/>
      <c r="H447" s="27"/>
      <c r="I447" s="20"/>
      <c r="J447" s="21"/>
      <c r="K447" s="28"/>
      <c r="L447" s="19"/>
    </row>
    <row r="448" spans="1:12" ht="13.2">
      <c r="A448" s="22"/>
      <c r="B448" s="16"/>
      <c r="C448" s="23"/>
      <c r="D448" s="101"/>
      <c r="E448" s="24"/>
      <c r="F448" s="25"/>
      <c r="G448" s="26"/>
      <c r="H448" s="27"/>
      <c r="I448" s="20"/>
      <c r="J448" s="21"/>
      <c r="K448" s="28"/>
      <c r="L448" s="19"/>
    </row>
    <row r="449" spans="1:12" ht="13.2">
      <c r="A449" s="22"/>
      <c r="B449" s="16"/>
      <c r="C449" s="23"/>
      <c r="D449" s="101"/>
      <c r="E449" s="24"/>
      <c r="F449" s="25"/>
      <c r="G449" s="26"/>
      <c r="H449" s="27"/>
      <c r="I449" s="20"/>
      <c r="J449" s="21"/>
      <c r="K449" s="28"/>
      <c r="L449" s="19"/>
    </row>
    <row r="450" spans="1:12" ht="13.2">
      <c r="A450" s="22"/>
      <c r="B450" s="16"/>
      <c r="C450" s="23"/>
      <c r="D450" s="101"/>
      <c r="E450" s="24"/>
      <c r="F450" s="25"/>
      <c r="G450" s="26"/>
      <c r="H450" s="27"/>
      <c r="I450" s="20"/>
      <c r="J450" s="21"/>
      <c r="K450" s="28"/>
      <c r="L450" s="19"/>
    </row>
    <row r="451" spans="1:12" ht="13.2">
      <c r="A451" s="22"/>
      <c r="B451" s="16"/>
      <c r="C451" s="23"/>
      <c r="D451" s="101"/>
      <c r="E451" s="24"/>
      <c r="F451" s="25"/>
      <c r="G451" s="26"/>
      <c r="H451" s="27"/>
      <c r="I451" s="20"/>
      <c r="J451" s="21"/>
      <c r="K451" s="28"/>
      <c r="L451" s="19"/>
    </row>
    <row r="452" spans="1:12" ht="13.2">
      <c r="A452" s="22"/>
      <c r="B452" s="16"/>
      <c r="C452" s="23"/>
      <c r="D452" s="101"/>
      <c r="E452" s="24"/>
      <c r="F452" s="25"/>
      <c r="G452" s="26"/>
      <c r="H452" s="27"/>
      <c r="I452" s="20"/>
      <c r="J452" s="21"/>
      <c r="K452" s="28"/>
      <c r="L452" s="19"/>
    </row>
    <row r="453" spans="1:12" ht="13.2">
      <c r="A453" s="22"/>
      <c r="B453" s="16"/>
      <c r="C453" s="23"/>
      <c r="D453" s="101"/>
      <c r="E453" s="24"/>
      <c r="F453" s="25"/>
      <c r="G453" s="26"/>
      <c r="H453" s="27"/>
      <c r="I453" s="20"/>
      <c r="J453" s="21"/>
      <c r="K453" s="28"/>
      <c r="L453" s="19"/>
    </row>
    <row r="454" spans="1:12" ht="13.2">
      <c r="A454" s="22"/>
      <c r="B454" s="16"/>
      <c r="C454" s="23"/>
      <c r="D454" s="101"/>
      <c r="E454" s="24"/>
      <c r="F454" s="25"/>
      <c r="G454" s="26"/>
      <c r="H454" s="27"/>
      <c r="I454" s="20"/>
      <c r="J454" s="21"/>
      <c r="K454" s="28"/>
      <c r="L454" s="19"/>
    </row>
    <row r="455" spans="1:12" ht="13.2">
      <c r="A455" s="22"/>
      <c r="B455" s="16"/>
      <c r="C455" s="23"/>
      <c r="D455" s="101"/>
      <c r="E455" s="24"/>
      <c r="F455" s="25"/>
      <c r="G455" s="26"/>
      <c r="H455" s="27"/>
      <c r="I455" s="20"/>
      <c r="J455" s="21"/>
      <c r="K455" s="28"/>
      <c r="L455" s="19"/>
    </row>
    <row r="456" spans="1:12" ht="13.2">
      <c r="A456" s="22"/>
      <c r="B456" s="16"/>
      <c r="C456" s="23"/>
      <c r="D456" s="101"/>
      <c r="E456" s="24"/>
      <c r="F456" s="25"/>
      <c r="G456" s="26"/>
      <c r="H456" s="27"/>
      <c r="I456" s="20"/>
      <c r="J456" s="21"/>
      <c r="K456" s="28"/>
      <c r="L456" s="19"/>
    </row>
    <row r="457" spans="1:12" ht="13.2">
      <c r="A457" s="22"/>
      <c r="B457" s="16"/>
      <c r="C457" s="23"/>
      <c r="D457" s="101"/>
      <c r="E457" s="24"/>
      <c r="F457" s="25"/>
      <c r="G457" s="26"/>
      <c r="H457" s="27"/>
      <c r="I457" s="20"/>
      <c r="J457" s="21"/>
      <c r="K457" s="28"/>
      <c r="L457" s="19"/>
    </row>
    <row r="458" spans="1:12" ht="13.2">
      <c r="A458" s="22"/>
      <c r="B458" s="16"/>
      <c r="C458" s="23"/>
      <c r="D458" s="101"/>
      <c r="E458" s="24"/>
      <c r="F458" s="25"/>
      <c r="G458" s="26"/>
      <c r="H458" s="27"/>
      <c r="I458" s="20"/>
      <c r="J458" s="21"/>
      <c r="K458" s="28"/>
      <c r="L458" s="19"/>
    </row>
    <row r="459" spans="1:12" ht="13.2">
      <c r="A459" s="22"/>
      <c r="B459" s="16"/>
      <c r="C459" s="23"/>
      <c r="D459" s="101"/>
      <c r="E459" s="24"/>
      <c r="F459" s="25"/>
      <c r="G459" s="26"/>
      <c r="H459" s="27"/>
      <c r="I459" s="20"/>
      <c r="J459" s="21"/>
      <c r="K459" s="28"/>
      <c r="L459" s="19"/>
    </row>
    <row r="460" spans="1:12" ht="13.2">
      <c r="A460" s="22"/>
      <c r="B460" s="16"/>
      <c r="C460" s="23"/>
      <c r="D460" s="101"/>
      <c r="E460" s="24"/>
      <c r="F460" s="25"/>
      <c r="G460" s="26"/>
      <c r="H460" s="27"/>
      <c r="I460" s="20"/>
      <c r="J460" s="21"/>
      <c r="K460" s="28"/>
      <c r="L460" s="19"/>
    </row>
    <row r="461" spans="1:12" ht="13.2">
      <c r="A461" s="22"/>
      <c r="B461" s="16"/>
      <c r="C461" s="23"/>
      <c r="D461" s="101"/>
      <c r="E461" s="24"/>
      <c r="F461" s="25"/>
      <c r="G461" s="26"/>
      <c r="H461" s="27"/>
      <c r="I461" s="20"/>
      <c r="J461" s="21"/>
      <c r="K461" s="28"/>
      <c r="L461" s="19"/>
    </row>
    <row r="462" spans="1:12" ht="13.2">
      <c r="A462" s="22"/>
      <c r="B462" s="16"/>
      <c r="C462" s="23"/>
      <c r="D462" s="101"/>
      <c r="E462" s="24"/>
      <c r="F462" s="25"/>
      <c r="G462" s="26"/>
      <c r="H462" s="27"/>
      <c r="I462" s="20"/>
      <c r="J462" s="21"/>
      <c r="K462" s="28"/>
      <c r="L462" s="19"/>
    </row>
    <row r="463" spans="1:12" ht="13.2">
      <c r="A463" s="22"/>
      <c r="B463" s="16"/>
      <c r="C463" s="23"/>
      <c r="D463" s="101"/>
      <c r="E463" s="24"/>
      <c r="F463" s="25"/>
      <c r="G463" s="26"/>
      <c r="H463" s="27"/>
      <c r="I463" s="20"/>
      <c r="J463" s="21"/>
      <c r="K463" s="28"/>
      <c r="L463" s="19"/>
    </row>
    <row r="464" spans="1:12" ht="13.2">
      <c r="A464" s="22"/>
      <c r="B464" s="16"/>
      <c r="C464" s="23"/>
      <c r="D464" s="101"/>
      <c r="E464" s="24"/>
      <c r="F464" s="25"/>
      <c r="G464" s="26"/>
      <c r="H464" s="27"/>
      <c r="I464" s="20"/>
      <c r="J464" s="21"/>
      <c r="K464" s="28"/>
      <c r="L464" s="19"/>
    </row>
    <row r="465" spans="1:12" ht="13.2">
      <c r="A465" s="22"/>
      <c r="B465" s="16"/>
      <c r="C465" s="23"/>
      <c r="D465" s="101"/>
      <c r="E465" s="24"/>
      <c r="F465" s="25"/>
      <c r="G465" s="26"/>
      <c r="H465" s="27"/>
      <c r="I465" s="20"/>
      <c r="J465" s="21"/>
      <c r="K465" s="28"/>
      <c r="L465" s="19"/>
    </row>
    <row r="466" spans="1:12" ht="13.2">
      <c r="A466" s="22"/>
      <c r="B466" s="16"/>
      <c r="C466" s="23"/>
      <c r="D466" s="101"/>
      <c r="E466" s="24"/>
      <c r="F466" s="25"/>
      <c r="G466" s="26"/>
      <c r="H466" s="27"/>
      <c r="I466" s="20"/>
      <c r="J466" s="21"/>
      <c r="K466" s="28"/>
      <c r="L466" s="19"/>
    </row>
    <row r="467" spans="1:12" ht="13.2">
      <c r="A467" s="22"/>
      <c r="B467" s="16"/>
      <c r="C467" s="23"/>
      <c r="D467" s="101"/>
      <c r="E467" s="24"/>
      <c r="F467" s="25"/>
      <c r="G467" s="26"/>
      <c r="H467" s="27"/>
      <c r="I467" s="20"/>
      <c r="J467" s="21"/>
      <c r="K467" s="28"/>
      <c r="L467" s="19"/>
    </row>
    <row r="468" spans="1:12" ht="13.2">
      <c r="A468" s="22"/>
      <c r="B468" s="16"/>
      <c r="C468" s="23"/>
      <c r="D468" s="101"/>
      <c r="E468" s="24"/>
      <c r="F468" s="25"/>
      <c r="G468" s="26"/>
      <c r="H468" s="27"/>
      <c r="I468" s="20"/>
      <c r="J468" s="21"/>
      <c r="K468" s="28"/>
      <c r="L468" s="19"/>
    </row>
    <row r="469" spans="1:12" ht="13.2">
      <c r="A469" s="22"/>
      <c r="B469" s="16"/>
      <c r="C469" s="23"/>
      <c r="D469" s="101"/>
      <c r="E469" s="24"/>
      <c r="F469" s="25"/>
      <c r="G469" s="26"/>
      <c r="H469" s="27"/>
      <c r="I469" s="20"/>
      <c r="J469" s="21"/>
      <c r="K469" s="28"/>
      <c r="L469" s="19"/>
    </row>
    <row r="470" spans="1:12" ht="13.2">
      <c r="A470" s="22"/>
      <c r="B470" s="16"/>
      <c r="C470" s="23"/>
      <c r="D470" s="101"/>
      <c r="E470" s="24"/>
      <c r="F470" s="25"/>
      <c r="G470" s="26"/>
      <c r="H470" s="27"/>
      <c r="I470" s="20"/>
      <c r="J470" s="21"/>
      <c r="K470" s="28"/>
      <c r="L470" s="19"/>
    </row>
    <row r="471" spans="1:12" ht="13.2">
      <c r="A471" s="22"/>
      <c r="B471" s="16"/>
      <c r="C471" s="23"/>
      <c r="D471" s="101"/>
      <c r="E471" s="24"/>
      <c r="F471" s="25"/>
      <c r="G471" s="26"/>
      <c r="H471" s="27"/>
      <c r="I471" s="20"/>
      <c r="J471" s="21"/>
      <c r="K471" s="28"/>
      <c r="L471" s="19"/>
    </row>
    <row r="472" spans="1:12" ht="13.2">
      <c r="A472" s="22"/>
      <c r="B472" s="16"/>
      <c r="C472" s="23"/>
      <c r="D472" s="101"/>
      <c r="E472" s="24"/>
      <c r="F472" s="25"/>
      <c r="G472" s="26"/>
      <c r="H472" s="27"/>
      <c r="I472" s="20"/>
      <c r="J472" s="21"/>
      <c r="K472" s="28"/>
      <c r="L472" s="19"/>
    </row>
    <row r="473" spans="1:12" ht="13.2">
      <c r="A473" s="22"/>
      <c r="B473" s="16"/>
      <c r="C473" s="23"/>
      <c r="D473" s="101"/>
      <c r="E473" s="24"/>
      <c r="F473" s="25"/>
      <c r="G473" s="26"/>
      <c r="H473" s="27"/>
      <c r="I473" s="20"/>
      <c r="J473" s="21"/>
      <c r="K473" s="28"/>
      <c r="L473" s="19"/>
    </row>
    <row r="474" spans="1:12" ht="13.2">
      <c r="A474" s="22"/>
      <c r="B474" s="16"/>
      <c r="C474" s="23"/>
      <c r="D474" s="101"/>
      <c r="E474" s="24"/>
      <c r="F474" s="25"/>
      <c r="G474" s="26"/>
      <c r="H474" s="27"/>
      <c r="I474" s="20"/>
      <c r="J474" s="21"/>
      <c r="K474" s="28"/>
      <c r="L474" s="19"/>
    </row>
    <row r="475" spans="1:12" ht="13.2">
      <c r="A475" s="22"/>
      <c r="B475" s="16"/>
      <c r="C475" s="23"/>
      <c r="D475" s="101"/>
      <c r="E475" s="24"/>
      <c r="F475" s="25"/>
      <c r="G475" s="26"/>
      <c r="H475" s="27"/>
      <c r="I475" s="20"/>
      <c r="J475" s="21"/>
      <c r="K475" s="28"/>
      <c r="L475" s="19"/>
    </row>
    <row r="476" spans="1:12" ht="13.2">
      <c r="A476" s="22"/>
      <c r="B476" s="16"/>
      <c r="C476" s="23"/>
      <c r="D476" s="101"/>
      <c r="E476" s="24"/>
      <c r="F476" s="25"/>
      <c r="G476" s="26"/>
      <c r="H476" s="27"/>
      <c r="I476" s="20"/>
      <c r="J476" s="21"/>
      <c r="K476" s="28"/>
      <c r="L476" s="19"/>
    </row>
    <row r="477" spans="1:12" ht="13.2">
      <c r="A477" s="22"/>
      <c r="B477" s="16"/>
      <c r="C477" s="23"/>
      <c r="D477" s="101"/>
      <c r="E477" s="24"/>
      <c r="F477" s="25"/>
      <c r="G477" s="26"/>
      <c r="H477" s="27"/>
      <c r="I477" s="20"/>
      <c r="J477" s="21"/>
      <c r="K477" s="28"/>
      <c r="L477" s="19"/>
    </row>
    <row r="478" spans="1:12" ht="13.2">
      <c r="A478" s="22"/>
      <c r="B478" s="16"/>
      <c r="C478" s="23"/>
      <c r="D478" s="101"/>
      <c r="E478" s="24"/>
      <c r="F478" s="25"/>
      <c r="G478" s="26"/>
      <c r="H478" s="27"/>
      <c r="I478" s="20"/>
      <c r="J478" s="21"/>
      <c r="K478" s="28"/>
      <c r="L478" s="19"/>
    </row>
    <row r="479" spans="1:12" ht="13.2">
      <c r="A479" s="22"/>
      <c r="B479" s="16"/>
      <c r="C479" s="23"/>
      <c r="D479" s="101"/>
      <c r="E479" s="24"/>
      <c r="F479" s="25"/>
      <c r="G479" s="26"/>
      <c r="H479" s="27"/>
      <c r="I479" s="20"/>
      <c r="J479" s="21"/>
      <c r="K479" s="28"/>
      <c r="L479" s="19"/>
    </row>
    <row r="480" spans="1:12" ht="13.2">
      <c r="A480" s="22"/>
      <c r="B480" s="16"/>
      <c r="C480" s="23"/>
      <c r="D480" s="101"/>
      <c r="E480" s="24"/>
      <c r="F480" s="25"/>
      <c r="G480" s="26"/>
      <c r="H480" s="27"/>
      <c r="I480" s="20"/>
      <c r="J480" s="21"/>
      <c r="K480" s="28"/>
      <c r="L480" s="19"/>
    </row>
    <row r="481" spans="1:12" ht="13.2">
      <c r="A481" s="22"/>
      <c r="B481" s="16"/>
      <c r="C481" s="23"/>
      <c r="D481" s="101"/>
      <c r="E481" s="24"/>
      <c r="F481" s="25"/>
      <c r="G481" s="26"/>
      <c r="H481" s="27"/>
      <c r="I481" s="20"/>
      <c r="J481" s="21"/>
      <c r="K481" s="28"/>
      <c r="L481" s="19"/>
    </row>
    <row r="482" spans="1:12" ht="13.2">
      <c r="A482" s="22"/>
      <c r="B482" s="16"/>
      <c r="C482" s="23"/>
      <c r="D482" s="101"/>
      <c r="E482" s="24"/>
      <c r="F482" s="25"/>
      <c r="G482" s="26"/>
      <c r="H482" s="27"/>
      <c r="I482" s="20"/>
      <c r="J482" s="21"/>
      <c r="K482" s="28"/>
      <c r="L482" s="19"/>
    </row>
    <row r="483" spans="1:12" ht="13.2">
      <c r="A483" s="22"/>
      <c r="B483" s="16"/>
      <c r="C483" s="23"/>
      <c r="D483" s="101"/>
      <c r="E483" s="24"/>
      <c r="F483" s="25"/>
      <c r="G483" s="26"/>
      <c r="H483" s="27"/>
      <c r="I483" s="20"/>
      <c r="J483" s="21"/>
      <c r="K483" s="28"/>
      <c r="L483" s="19"/>
    </row>
    <row r="484" spans="1:12" ht="13.2">
      <c r="A484" s="22"/>
      <c r="B484" s="16"/>
      <c r="C484" s="23"/>
      <c r="D484" s="101"/>
      <c r="E484" s="24"/>
      <c r="F484" s="25"/>
      <c r="G484" s="26"/>
      <c r="H484" s="27"/>
      <c r="I484" s="20"/>
      <c r="J484" s="21"/>
      <c r="K484" s="28"/>
      <c r="L484" s="19"/>
    </row>
    <row r="485" spans="1:12" ht="13.2">
      <c r="A485" s="22"/>
      <c r="B485" s="16"/>
      <c r="C485" s="23"/>
      <c r="D485" s="101"/>
      <c r="E485" s="24"/>
      <c r="F485" s="25"/>
      <c r="G485" s="26"/>
      <c r="H485" s="27"/>
      <c r="I485" s="20"/>
      <c r="J485" s="21"/>
      <c r="K485" s="28"/>
      <c r="L485" s="19"/>
    </row>
    <row r="486" spans="1:12" ht="13.2">
      <c r="A486" s="22"/>
      <c r="B486" s="16"/>
      <c r="C486" s="23"/>
      <c r="D486" s="101"/>
      <c r="E486" s="24"/>
      <c r="F486" s="25"/>
      <c r="G486" s="26"/>
      <c r="H486" s="27"/>
      <c r="I486" s="20"/>
      <c r="J486" s="21"/>
      <c r="K486" s="28"/>
      <c r="L486" s="19"/>
    </row>
    <row r="487" spans="1:12" ht="13.2">
      <c r="A487" s="22"/>
      <c r="B487" s="16"/>
      <c r="C487" s="23"/>
      <c r="D487" s="101"/>
      <c r="E487" s="24"/>
      <c r="F487" s="25"/>
      <c r="G487" s="26"/>
      <c r="H487" s="27"/>
      <c r="I487" s="20"/>
      <c r="J487" s="21"/>
      <c r="K487" s="28"/>
      <c r="L487" s="19"/>
    </row>
    <row r="488" spans="1:12" ht="13.2">
      <c r="A488" s="22"/>
      <c r="B488" s="16"/>
      <c r="C488" s="23"/>
      <c r="D488" s="101"/>
      <c r="E488" s="24"/>
      <c r="F488" s="25"/>
      <c r="G488" s="26"/>
      <c r="H488" s="27"/>
      <c r="I488" s="20"/>
      <c r="J488" s="21"/>
      <c r="K488" s="28"/>
      <c r="L488" s="19"/>
    </row>
    <row r="489" spans="1:12" ht="13.2">
      <c r="A489" s="22"/>
      <c r="B489" s="16"/>
      <c r="C489" s="23"/>
      <c r="D489" s="101"/>
      <c r="E489" s="24"/>
      <c r="F489" s="25"/>
      <c r="G489" s="26"/>
      <c r="H489" s="27"/>
      <c r="I489" s="20"/>
      <c r="J489" s="21"/>
      <c r="K489" s="28"/>
      <c r="L489" s="19"/>
    </row>
    <row r="490" spans="1:12" ht="13.2">
      <c r="A490" s="22"/>
      <c r="B490" s="16"/>
      <c r="C490" s="23"/>
      <c r="D490" s="101"/>
      <c r="E490" s="24"/>
      <c r="F490" s="25"/>
      <c r="G490" s="26"/>
      <c r="H490" s="27"/>
      <c r="I490" s="20"/>
      <c r="J490" s="21"/>
      <c r="K490" s="28"/>
      <c r="L490" s="19"/>
    </row>
    <row r="491" spans="1:12" ht="13.2">
      <c r="A491" s="22"/>
      <c r="B491" s="16"/>
      <c r="C491" s="23"/>
      <c r="D491" s="101"/>
      <c r="E491" s="24"/>
      <c r="F491" s="25"/>
      <c r="G491" s="26"/>
      <c r="H491" s="27"/>
      <c r="I491" s="20"/>
      <c r="J491" s="21"/>
      <c r="K491" s="28"/>
      <c r="L491" s="19"/>
    </row>
    <row r="492" spans="1:12" ht="13.2">
      <c r="A492" s="22"/>
      <c r="B492" s="16"/>
      <c r="C492" s="23"/>
      <c r="D492" s="101"/>
      <c r="E492" s="24"/>
      <c r="F492" s="25"/>
      <c r="G492" s="26"/>
      <c r="H492" s="27"/>
      <c r="I492" s="20"/>
      <c r="J492" s="21"/>
      <c r="K492" s="28"/>
      <c r="L492" s="19"/>
    </row>
    <row r="493" spans="1:12" ht="13.2">
      <c r="A493" s="22"/>
      <c r="B493" s="16"/>
      <c r="C493" s="23"/>
      <c r="D493" s="101"/>
      <c r="E493" s="24"/>
      <c r="F493" s="25"/>
      <c r="G493" s="26"/>
      <c r="H493" s="27"/>
      <c r="I493" s="20"/>
      <c r="J493" s="21"/>
      <c r="K493" s="28"/>
      <c r="L493" s="19"/>
    </row>
    <row r="494" spans="1:12" ht="13.2">
      <c r="A494" s="22"/>
      <c r="B494" s="16"/>
      <c r="C494" s="23"/>
      <c r="D494" s="101"/>
      <c r="E494" s="24"/>
      <c r="F494" s="25"/>
      <c r="G494" s="26"/>
      <c r="H494" s="27"/>
      <c r="I494" s="20"/>
      <c r="J494" s="21"/>
      <c r="K494" s="28"/>
      <c r="L494" s="19"/>
    </row>
    <row r="495" spans="1:12" ht="13.2">
      <c r="A495" s="22"/>
      <c r="B495" s="16"/>
      <c r="C495" s="23"/>
      <c r="D495" s="101"/>
      <c r="E495" s="24"/>
      <c r="F495" s="25"/>
      <c r="G495" s="26"/>
      <c r="H495" s="27"/>
      <c r="I495" s="20"/>
      <c r="J495" s="21"/>
      <c r="K495" s="28"/>
      <c r="L495" s="19"/>
    </row>
    <row r="496" spans="1:12" ht="13.2">
      <c r="A496" s="22"/>
      <c r="B496" s="16"/>
      <c r="C496" s="23"/>
      <c r="D496" s="101"/>
      <c r="E496" s="24"/>
      <c r="F496" s="25"/>
      <c r="G496" s="26"/>
      <c r="H496" s="27"/>
      <c r="I496" s="20"/>
      <c r="J496" s="21"/>
      <c r="K496" s="28"/>
      <c r="L496" s="19"/>
    </row>
    <row r="497" spans="1:12" ht="13.2">
      <c r="A497" s="22"/>
      <c r="B497" s="16"/>
      <c r="C497" s="23"/>
      <c r="D497" s="101"/>
      <c r="E497" s="24"/>
      <c r="F497" s="25"/>
      <c r="G497" s="26"/>
      <c r="H497" s="27"/>
      <c r="I497" s="20"/>
      <c r="J497" s="21"/>
      <c r="K497" s="28"/>
      <c r="L497" s="19"/>
    </row>
    <row r="498" spans="1:12" ht="13.2">
      <c r="A498" s="22"/>
      <c r="B498" s="16"/>
      <c r="C498" s="23"/>
      <c r="D498" s="101"/>
      <c r="E498" s="24"/>
      <c r="F498" s="25"/>
      <c r="G498" s="26"/>
      <c r="H498" s="27"/>
      <c r="I498" s="20"/>
      <c r="J498" s="21"/>
      <c r="K498" s="28"/>
      <c r="L498" s="19"/>
    </row>
    <row r="499" spans="1:12" ht="13.2">
      <c r="A499" s="22"/>
      <c r="B499" s="16"/>
      <c r="C499" s="23"/>
      <c r="D499" s="101"/>
      <c r="E499" s="24"/>
      <c r="F499" s="25"/>
      <c r="G499" s="26"/>
      <c r="H499" s="27"/>
      <c r="I499" s="20"/>
      <c r="J499" s="21"/>
      <c r="K499" s="28"/>
      <c r="L499" s="19"/>
    </row>
    <row r="500" spans="1:12" ht="13.2">
      <c r="A500" s="22"/>
      <c r="B500" s="16"/>
      <c r="C500" s="23"/>
      <c r="D500" s="101"/>
      <c r="E500" s="24"/>
      <c r="F500" s="25"/>
      <c r="G500" s="26"/>
      <c r="H500" s="27"/>
      <c r="I500" s="20"/>
      <c r="J500" s="21"/>
      <c r="K500" s="28"/>
      <c r="L500" s="19"/>
    </row>
    <row r="501" spans="1:12" ht="13.2">
      <c r="A501" s="22"/>
      <c r="B501" s="16"/>
      <c r="C501" s="23"/>
      <c r="D501" s="101"/>
      <c r="E501" s="24"/>
      <c r="F501" s="25"/>
      <c r="G501" s="26"/>
      <c r="H501" s="27"/>
      <c r="I501" s="20"/>
      <c r="J501" s="21"/>
      <c r="K501" s="28"/>
      <c r="L501" s="19"/>
    </row>
    <row r="502" spans="1:12" ht="13.2">
      <c r="A502" s="22"/>
      <c r="B502" s="16"/>
      <c r="C502" s="23"/>
      <c r="D502" s="101"/>
      <c r="E502" s="24"/>
      <c r="F502" s="25"/>
      <c r="G502" s="26"/>
      <c r="H502" s="27"/>
      <c r="I502" s="20"/>
      <c r="J502" s="21"/>
      <c r="K502" s="28"/>
      <c r="L502" s="19"/>
    </row>
    <row r="503" spans="1:12" ht="13.2">
      <c r="A503" s="22"/>
      <c r="B503" s="16"/>
      <c r="C503" s="23"/>
      <c r="D503" s="101"/>
      <c r="E503" s="24"/>
      <c r="F503" s="25"/>
      <c r="G503" s="26"/>
      <c r="H503" s="27"/>
      <c r="I503" s="20"/>
      <c r="J503" s="21"/>
      <c r="K503" s="28"/>
      <c r="L503" s="19"/>
    </row>
    <row r="504" spans="1:12" ht="13.2">
      <c r="A504" s="22"/>
      <c r="B504" s="16"/>
      <c r="C504" s="23"/>
      <c r="D504" s="101"/>
      <c r="E504" s="24"/>
      <c r="F504" s="25"/>
      <c r="G504" s="26"/>
      <c r="H504" s="27"/>
      <c r="I504" s="20"/>
      <c r="J504" s="21"/>
      <c r="K504" s="28"/>
      <c r="L504" s="19"/>
    </row>
    <row r="505" spans="1:12" ht="13.2">
      <c r="A505" s="22"/>
      <c r="B505" s="16"/>
      <c r="C505" s="23"/>
      <c r="D505" s="101"/>
      <c r="E505" s="24"/>
      <c r="F505" s="25"/>
      <c r="G505" s="26"/>
      <c r="H505" s="27"/>
      <c r="I505" s="20"/>
      <c r="J505" s="21"/>
      <c r="K505" s="28"/>
      <c r="L505" s="19"/>
    </row>
    <row r="506" spans="1:12" ht="13.2">
      <c r="A506" s="22"/>
      <c r="B506" s="16"/>
      <c r="C506" s="23"/>
      <c r="D506" s="101"/>
      <c r="E506" s="24"/>
      <c r="F506" s="25"/>
      <c r="G506" s="26"/>
      <c r="H506" s="27"/>
      <c r="I506" s="20"/>
      <c r="J506" s="21"/>
      <c r="K506" s="28"/>
      <c r="L506" s="19"/>
    </row>
    <row r="507" spans="1:12" ht="13.2">
      <c r="A507" s="22"/>
      <c r="B507" s="16"/>
      <c r="C507" s="23"/>
      <c r="D507" s="101"/>
      <c r="E507" s="24"/>
      <c r="F507" s="25"/>
      <c r="G507" s="26"/>
      <c r="H507" s="27"/>
      <c r="I507" s="20"/>
      <c r="J507" s="21"/>
      <c r="K507" s="28"/>
      <c r="L507" s="19"/>
    </row>
    <row r="508" spans="1:12" ht="13.2">
      <c r="A508" s="22"/>
      <c r="B508" s="16"/>
      <c r="C508" s="23"/>
      <c r="D508" s="101"/>
      <c r="E508" s="24"/>
      <c r="F508" s="25"/>
      <c r="G508" s="26"/>
      <c r="H508" s="27"/>
      <c r="I508" s="20"/>
      <c r="J508" s="21"/>
      <c r="K508" s="28"/>
      <c r="L508" s="19"/>
    </row>
    <row r="509" spans="1:12" ht="13.2">
      <c r="A509" s="22"/>
      <c r="B509" s="16"/>
      <c r="C509" s="23"/>
      <c r="D509" s="101"/>
      <c r="E509" s="24"/>
      <c r="F509" s="25"/>
      <c r="G509" s="26"/>
      <c r="H509" s="27"/>
      <c r="I509" s="20"/>
      <c r="J509" s="21"/>
      <c r="K509" s="28"/>
      <c r="L509" s="19"/>
    </row>
    <row r="510" spans="1:12" ht="13.2">
      <c r="A510" s="22"/>
      <c r="B510" s="16"/>
      <c r="C510" s="23"/>
      <c r="D510" s="101"/>
      <c r="E510" s="24"/>
      <c r="F510" s="25"/>
      <c r="G510" s="26"/>
      <c r="H510" s="27"/>
      <c r="I510" s="20"/>
      <c r="J510" s="21"/>
      <c r="K510" s="28"/>
      <c r="L510" s="19"/>
    </row>
    <row r="511" spans="1:12" ht="13.2">
      <c r="A511" s="22"/>
      <c r="B511" s="16"/>
      <c r="C511" s="23"/>
      <c r="D511" s="101"/>
      <c r="E511" s="24"/>
      <c r="F511" s="25"/>
      <c r="G511" s="26"/>
      <c r="H511" s="27"/>
      <c r="I511" s="20"/>
      <c r="J511" s="21"/>
      <c r="K511" s="28"/>
      <c r="L511" s="19"/>
    </row>
    <row r="512" spans="1:12" ht="13.2">
      <c r="A512" s="22"/>
      <c r="B512" s="16"/>
      <c r="C512" s="23"/>
      <c r="D512" s="101"/>
      <c r="E512" s="24"/>
      <c r="F512" s="25"/>
      <c r="G512" s="26"/>
      <c r="H512" s="27"/>
      <c r="I512" s="20"/>
      <c r="J512" s="21"/>
      <c r="K512" s="28"/>
      <c r="L512" s="19"/>
    </row>
    <row r="513" spans="1:12" ht="13.2">
      <c r="A513" s="22"/>
      <c r="B513" s="16"/>
      <c r="C513" s="23"/>
      <c r="D513" s="101"/>
      <c r="E513" s="24"/>
      <c r="F513" s="25"/>
      <c r="G513" s="26"/>
      <c r="H513" s="27"/>
      <c r="I513" s="20"/>
      <c r="J513" s="21"/>
      <c r="K513" s="28"/>
      <c r="L513" s="19"/>
    </row>
    <row r="514" spans="1:12" ht="13.2">
      <c r="A514" s="22"/>
      <c r="B514" s="16"/>
      <c r="C514" s="23"/>
      <c r="D514" s="101"/>
      <c r="E514" s="24"/>
      <c r="F514" s="25"/>
      <c r="G514" s="26"/>
      <c r="H514" s="27"/>
      <c r="I514" s="20"/>
      <c r="J514" s="21"/>
      <c r="K514" s="28"/>
      <c r="L514" s="19"/>
    </row>
    <row r="515" spans="1:12" ht="13.2">
      <c r="A515" s="22"/>
      <c r="B515" s="16"/>
      <c r="C515" s="23"/>
      <c r="D515" s="101"/>
      <c r="E515" s="24"/>
      <c r="F515" s="25"/>
      <c r="G515" s="26"/>
      <c r="H515" s="27"/>
      <c r="I515" s="20"/>
      <c r="J515" s="21"/>
      <c r="K515" s="28"/>
      <c r="L515" s="19"/>
    </row>
    <row r="516" spans="1:12" ht="13.2">
      <c r="A516" s="22"/>
      <c r="B516" s="16"/>
      <c r="C516" s="23"/>
      <c r="D516" s="101"/>
      <c r="E516" s="24"/>
      <c r="F516" s="25"/>
      <c r="G516" s="26"/>
      <c r="H516" s="27"/>
      <c r="I516" s="20"/>
      <c r="J516" s="21"/>
      <c r="K516" s="28"/>
      <c r="L516" s="19"/>
    </row>
    <row r="517" spans="1:12" ht="13.2">
      <c r="A517" s="22"/>
      <c r="B517" s="16"/>
      <c r="C517" s="23"/>
      <c r="D517" s="101"/>
      <c r="E517" s="24"/>
      <c r="F517" s="25"/>
      <c r="G517" s="26"/>
      <c r="H517" s="27"/>
      <c r="I517" s="20"/>
      <c r="J517" s="21"/>
      <c r="K517" s="28"/>
      <c r="L517" s="19"/>
    </row>
    <row r="518" spans="1:12" ht="13.2">
      <c r="A518" s="22"/>
      <c r="B518" s="16"/>
      <c r="C518" s="23"/>
      <c r="D518" s="101"/>
      <c r="E518" s="24"/>
      <c r="F518" s="25"/>
      <c r="G518" s="26"/>
      <c r="H518" s="27"/>
      <c r="I518" s="20"/>
      <c r="J518" s="21"/>
      <c r="K518" s="28"/>
      <c r="L518" s="19"/>
    </row>
    <row r="519" spans="1:12" ht="13.2">
      <c r="A519" s="22"/>
      <c r="B519" s="16"/>
      <c r="C519" s="23"/>
      <c r="D519" s="101"/>
      <c r="E519" s="24"/>
      <c r="F519" s="25"/>
      <c r="G519" s="26"/>
      <c r="H519" s="27"/>
      <c r="I519" s="20"/>
      <c r="J519" s="21"/>
      <c r="K519" s="28"/>
      <c r="L519" s="19"/>
    </row>
    <row r="520" spans="1:12" ht="13.2">
      <c r="A520" s="22"/>
      <c r="B520" s="16"/>
      <c r="C520" s="23"/>
      <c r="D520" s="101"/>
      <c r="E520" s="24"/>
      <c r="F520" s="25"/>
      <c r="G520" s="26"/>
      <c r="H520" s="27"/>
      <c r="I520" s="20"/>
      <c r="J520" s="21"/>
      <c r="K520" s="28"/>
      <c r="L520" s="19"/>
    </row>
    <row r="521" spans="1:12" ht="13.2">
      <c r="A521" s="22"/>
      <c r="B521" s="16"/>
      <c r="C521" s="23"/>
      <c r="D521" s="101"/>
      <c r="E521" s="24"/>
      <c r="F521" s="25"/>
      <c r="G521" s="26"/>
      <c r="H521" s="27"/>
      <c r="I521" s="20"/>
      <c r="J521" s="21"/>
      <c r="K521" s="28"/>
      <c r="L521" s="19"/>
    </row>
    <row r="522" spans="1:12" ht="13.2">
      <c r="A522" s="22"/>
      <c r="B522" s="16"/>
      <c r="C522" s="23"/>
      <c r="D522" s="101"/>
      <c r="E522" s="24"/>
      <c r="F522" s="25"/>
      <c r="G522" s="26"/>
      <c r="H522" s="27"/>
      <c r="I522" s="20"/>
      <c r="J522" s="21"/>
      <c r="K522" s="28"/>
      <c r="L522" s="19"/>
    </row>
    <row r="523" spans="1:12" ht="13.2">
      <c r="A523" s="22"/>
      <c r="B523" s="16"/>
      <c r="C523" s="23"/>
      <c r="D523" s="101"/>
      <c r="E523" s="24"/>
      <c r="F523" s="25"/>
      <c r="G523" s="26"/>
      <c r="H523" s="27"/>
      <c r="I523" s="20"/>
      <c r="J523" s="21"/>
      <c r="K523" s="28"/>
      <c r="L523" s="19"/>
    </row>
    <row r="524" spans="1:12" ht="13.2">
      <c r="A524" s="22"/>
      <c r="B524" s="16"/>
      <c r="C524" s="23"/>
      <c r="D524" s="101"/>
      <c r="E524" s="24"/>
      <c r="F524" s="25"/>
      <c r="G524" s="26"/>
      <c r="H524" s="27"/>
      <c r="I524" s="20"/>
      <c r="J524" s="21"/>
      <c r="K524" s="28"/>
      <c r="L524" s="19"/>
    </row>
    <row r="525" spans="1:12" ht="13.2">
      <c r="A525" s="22"/>
      <c r="B525" s="16"/>
      <c r="C525" s="23"/>
      <c r="D525" s="101"/>
      <c r="E525" s="24"/>
      <c r="F525" s="25"/>
      <c r="G525" s="26"/>
      <c r="H525" s="27"/>
      <c r="I525" s="20"/>
      <c r="J525" s="21"/>
      <c r="K525" s="28"/>
      <c r="L525" s="19"/>
    </row>
    <row r="526" spans="1:12" ht="13.2">
      <c r="A526" s="22"/>
      <c r="B526" s="16"/>
      <c r="C526" s="23"/>
      <c r="D526" s="101"/>
      <c r="E526" s="24"/>
      <c r="F526" s="25"/>
      <c r="G526" s="26"/>
      <c r="H526" s="27"/>
      <c r="I526" s="20"/>
      <c r="J526" s="21"/>
      <c r="K526" s="28"/>
      <c r="L526" s="19"/>
    </row>
    <row r="527" spans="1:12" ht="13.2">
      <c r="A527" s="22"/>
      <c r="B527" s="16"/>
      <c r="C527" s="23"/>
      <c r="D527" s="101"/>
      <c r="E527" s="24"/>
      <c r="F527" s="25"/>
      <c r="G527" s="26"/>
      <c r="H527" s="27"/>
      <c r="I527" s="20"/>
      <c r="J527" s="21"/>
      <c r="K527" s="28"/>
      <c r="L527" s="19"/>
    </row>
    <row r="528" spans="1:12" ht="13.2">
      <c r="A528" s="22"/>
      <c r="B528" s="16"/>
      <c r="C528" s="23"/>
      <c r="D528" s="101"/>
      <c r="E528" s="24"/>
      <c r="F528" s="25"/>
      <c r="G528" s="26"/>
      <c r="H528" s="27"/>
      <c r="I528" s="20"/>
      <c r="J528" s="21"/>
      <c r="K528" s="28"/>
      <c r="L528" s="19"/>
    </row>
    <row r="529" spans="1:12" ht="13.2">
      <c r="A529" s="22"/>
      <c r="B529" s="16"/>
      <c r="C529" s="23"/>
      <c r="D529" s="101"/>
      <c r="E529" s="24"/>
      <c r="F529" s="25"/>
      <c r="G529" s="26"/>
      <c r="H529" s="27"/>
      <c r="I529" s="20"/>
      <c r="J529" s="21"/>
      <c r="K529" s="28"/>
      <c r="L529" s="19"/>
    </row>
    <row r="530" spans="1:12" ht="13.2">
      <c r="A530" s="22"/>
      <c r="B530" s="16"/>
      <c r="C530" s="23"/>
      <c r="D530" s="101"/>
      <c r="E530" s="24"/>
      <c r="F530" s="25"/>
      <c r="G530" s="26"/>
      <c r="H530" s="27"/>
      <c r="I530" s="20"/>
      <c r="J530" s="21"/>
      <c r="K530" s="28"/>
      <c r="L530" s="19"/>
    </row>
    <row r="531" spans="1:12" ht="13.2">
      <c r="A531" s="22"/>
      <c r="B531" s="16"/>
      <c r="C531" s="23"/>
      <c r="D531" s="101"/>
      <c r="E531" s="24"/>
      <c r="F531" s="25"/>
      <c r="G531" s="26"/>
      <c r="H531" s="27"/>
      <c r="I531" s="20"/>
      <c r="J531" s="21"/>
      <c r="K531" s="28"/>
      <c r="L531" s="19"/>
    </row>
    <row r="532" spans="1:12" ht="13.2">
      <c r="A532" s="22"/>
      <c r="B532" s="16"/>
      <c r="C532" s="23"/>
      <c r="D532" s="101"/>
      <c r="E532" s="24"/>
      <c r="F532" s="25"/>
      <c r="G532" s="26"/>
      <c r="H532" s="27"/>
      <c r="I532" s="20"/>
      <c r="J532" s="21"/>
      <c r="K532" s="28"/>
      <c r="L532" s="19"/>
    </row>
    <row r="533" spans="1:12" ht="13.2">
      <c r="A533" s="22"/>
      <c r="B533" s="16"/>
      <c r="C533" s="23"/>
      <c r="D533" s="101"/>
      <c r="E533" s="24"/>
      <c r="F533" s="25"/>
      <c r="G533" s="26"/>
      <c r="H533" s="27"/>
      <c r="I533" s="20"/>
      <c r="J533" s="21"/>
      <c r="K533" s="28"/>
      <c r="L533" s="19"/>
    </row>
    <row r="534" spans="1:12" ht="13.2">
      <c r="A534" s="22"/>
      <c r="B534" s="16"/>
      <c r="C534" s="23"/>
      <c r="D534" s="101"/>
      <c r="E534" s="24"/>
      <c r="F534" s="25"/>
      <c r="G534" s="26"/>
      <c r="H534" s="27"/>
      <c r="I534" s="20"/>
      <c r="J534" s="21"/>
      <c r="K534" s="28"/>
      <c r="L534" s="19"/>
    </row>
    <row r="535" spans="1:12" ht="13.2">
      <c r="A535" s="22"/>
      <c r="B535" s="16"/>
      <c r="C535" s="23"/>
      <c r="D535" s="101"/>
      <c r="E535" s="24"/>
      <c r="F535" s="25"/>
      <c r="G535" s="26"/>
      <c r="H535" s="27"/>
      <c r="I535" s="20"/>
      <c r="J535" s="21"/>
      <c r="K535" s="28"/>
      <c r="L535" s="19"/>
    </row>
    <row r="536" spans="1:12" ht="13.2">
      <c r="A536" s="22"/>
      <c r="B536" s="16"/>
      <c r="C536" s="23"/>
      <c r="D536" s="101"/>
      <c r="E536" s="24"/>
      <c r="F536" s="25"/>
      <c r="G536" s="26"/>
      <c r="H536" s="27"/>
      <c r="I536" s="20"/>
      <c r="J536" s="21"/>
      <c r="K536" s="28"/>
      <c r="L536" s="19"/>
    </row>
    <row r="537" spans="1:12" ht="13.2">
      <c r="A537" s="22"/>
      <c r="B537" s="16"/>
      <c r="C537" s="23"/>
      <c r="D537" s="101"/>
      <c r="E537" s="24"/>
      <c r="F537" s="25"/>
      <c r="G537" s="26"/>
      <c r="H537" s="27"/>
      <c r="I537" s="20"/>
      <c r="J537" s="21"/>
      <c r="K537" s="28"/>
      <c r="L537" s="19"/>
    </row>
    <row r="538" spans="1:12" ht="13.2">
      <c r="A538" s="22"/>
      <c r="B538" s="16"/>
      <c r="C538" s="23"/>
      <c r="D538" s="101"/>
      <c r="E538" s="24"/>
      <c r="F538" s="25"/>
      <c r="G538" s="26"/>
      <c r="H538" s="27"/>
      <c r="I538" s="20"/>
      <c r="J538" s="21"/>
      <c r="K538" s="28"/>
      <c r="L538" s="19"/>
    </row>
    <row r="539" spans="1:12" ht="13.2">
      <c r="A539" s="22"/>
      <c r="B539" s="16"/>
      <c r="C539" s="23"/>
      <c r="D539" s="101"/>
      <c r="E539" s="24"/>
      <c r="F539" s="25"/>
      <c r="G539" s="26"/>
      <c r="H539" s="27"/>
      <c r="I539" s="20"/>
      <c r="J539" s="21"/>
      <c r="K539" s="28"/>
      <c r="L539" s="19"/>
    </row>
    <row r="540" spans="1:12" ht="13.2">
      <c r="A540" s="22"/>
      <c r="B540" s="16"/>
      <c r="C540" s="23"/>
      <c r="D540" s="101"/>
      <c r="E540" s="24"/>
      <c r="F540" s="25"/>
      <c r="G540" s="26"/>
      <c r="H540" s="27"/>
      <c r="I540" s="20"/>
      <c r="J540" s="21"/>
      <c r="K540" s="28"/>
      <c r="L540" s="19"/>
    </row>
    <row r="541" spans="1:12" ht="13.2">
      <c r="A541" s="22"/>
      <c r="B541" s="16"/>
      <c r="C541" s="23"/>
      <c r="D541" s="101"/>
      <c r="E541" s="24"/>
      <c r="F541" s="25"/>
      <c r="G541" s="26"/>
      <c r="H541" s="27"/>
      <c r="I541" s="20"/>
      <c r="J541" s="21"/>
      <c r="K541" s="28"/>
      <c r="L541" s="19"/>
    </row>
    <row r="542" spans="1:12" ht="13.2">
      <c r="A542" s="22"/>
      <c r="B542" s="16"/>
      <c r="C542" s="23"/>
      <c r="D542" s="101"/>
      <c r="E542" s="24"/>
      <c r="F542" s="25"/>
      <c r="G542" s="26"/>
      <c r="H542" s="27"/>
      <c r="I542" s="20"/>
      <c r="J542" s="21"/>
      <c r="K542" s="28"/>
      <c r="L542" s="19"/>
    </row>
    <row r="543" spans="1:12" ht="13.2">
      <c r="A543" s="22"/>
      <c r="B543" s="16"/>
      <c r="C543" s="23"/>
      <c r="D543" s="101"/>
      <c r="E543" s="24"/>
      <c r="F543" s="25"/>
      <c r="G543" s="26"/>
      <c r="H543" s="27"/>
      <c r="I543" s="20"/>
      <c r="J543" s="21"/>
      <c r="K543" s="28"/>
      <c r="L543" s="19"/>
    </row>
    <row r="544" spans="1:12" ht="13.2">
      <c r="A544" s="22"/>
      <c r="B544" s="16"/>
      <c r="C544" s="23"/>
      <c r="D544" s="101"/>
      <c r="E544" s="24"/>
      <c r="F544" s="25"/>
      <c r="G544" s="26"/>
      <c r="H544" s="27"/>
      <c r="I544" s="20"/>
      <c r="J544" s="21"/>
      <c r="K544" s="28"/>
      <c r="L544" s="19"/>
    </row>
    <row r="545" spans="1:12" ht="13.2">
      <c r="A545" s="22"/>
      <c r="B545" s="16"/>
      <c r="C545" s="23"/>
      <c r="D545" s="101"/>
      <c r="E545" s="24"/>
      <c r="F545" s="25"/>
      <c r="G545" s="26"/>
      <c r="H545" s="27"/>
      <c r="I545" s="20"/>
      <c r="J545" s="21"/>
      <c r="K545" s="28"/>
      <c r="L545" s="19"/>
    </row>
    <row r="546" spans="1:12" ht="13.2">
      <c r="A546" s="22"/>
      <c r="B546" s="16"/>
      <c r="C546" s="23"/>
      <c r="D546" s="101"/>
      <c r="E546" s="24"/>
      <c r="F546" s="25"/>
      <c r="G546" s="26"/>
      <c r="H546" s="27"/>
      <c r="I546" s="20"/>
      <c r="J546" s="21"/>
      <c r="K546" s="28"/>
      <c r="L546" s="19"/>
    </row>
    <row r="547" spans="1:12" ht="13.2">
      <c r="A547" s="22"/>
      <c r="B547" s="16"/>
      <c r="C547" s="23"/>
      <c r="D547" s="101"/>
      <c r="E547" s="24"/>
      <c r="F547" s="25"/>
      <c r="G547" s="26"/>
      <c r="H547" s="27"/>
      <c r="I547" s="20"/>
      <c r="J547" s="21"/>
      <c r="K547" s="28"/>
      <c r="L547" s="19"/>
    </row>
    <row r="548" spans="1:12" ht="13.2">
      <c r="A548" s="22"/>
      <c r="B548" s="16"/>
      <c r="C548" s="23"/>
      <c r="D548" s="101"/>
      <c r="E548" s="24"/>
      <c r="F548" s="25"/>
      <c r="G548" s="26"/>
      <c r="H548" s="27"/>
      <c r="I548" s="20"/>
      <c r="J548" s="21"/>
      <c r="K548" s="28"/>
      <c r="L548" s="19"/>
    </row>
    <row r="549" spans="1:12" ht="13.2">
      <c r="A549" s="22"/>
      <c r="B549" s="16"/>
      <c r="C549" s="23"/>
      <c r="D549" s="101"/>
      <c r="E549" s="24"/>
      <c r="F549" s="25"/>
      <c r="G549" s="26"/>
      <c r="H549" s="27"/>
      <c r="I549" s="20"/>
      <c r="J549" s="21"/>
      <c r="K549" s="28"/>
      <c r="L549" s="19"/>
    </row>
    <row r="550" spans="1:12" ht="13.2">
      <c r="A550" s="22"/>
      <c r="B550" s="16"/>
      <c r="C550" s="23"/>
      <c r="D550" s="101"/>
      <c r="E550" s="24"/>
      <c r="F550" s="25"/>
      <c r="G550" s="26"/>
      <c r="H550" s="27"/>
      <c r="I550" s="20"/>
      <c r="J550" s="21"/>
      <c r="K550" s="28"/>
      <c r="L550" s="19"/>
    </row>
    <row r="551" spans="1:12" ht="13.2">
      <c r="A551" s="22"/>
      <c r="B551" s="16"/>
      <c r="C551" s="23"/>
      <c r="D551" s="101"/>
      <c r="E551" s="24"/>
      <c r="F551" s="25"/>
      <c r="G551" s="26"/>
      <c r="H551" s="27"/>
      <c r="I551" s="20"/>
      <c r="J551" s="21"/>
      <c r="K551" s="28"/>
      <c r="L551" s="19"/>
    </row>
    <row r="552" spans="1:12" ht="13.2">
      <c r="A552" s="22"/>
      <c r="B552" s="16"/>
      <c r="C552" s="23"/>
      <c r="D552" s="101"/>
      <c r="E552" s="24"/>
      <c r="F552" s="25"/>
      <c r="G552" s="26"/>
      <c r="H552" s="27"/>
      <c r="I552" s="20"/>
      <c r="J552" s="21"/>
      <c r="K552" s="28"/>
      <c r="L552" s="19"/>
    </row>
    <row r="553" spans="1:12" ht="13.2">
      <c r="A553" s="22"/>
      <c r="B553" s="16"/>
      <c r="C553" s="23"/>
      <c r="D553" s="101"/>
      <c r="E553" s="24"/>
      <c r="F553" s="25"/>
      <c r="G553" s="26"/>
      <c r="H553" s="27"/>
      <c r="I553" s="20"/>
      <c r="J553" s="21"/>
      <c r="K553" s="28"/>
      <c r="L553" s="19"/>
    </row>
    <row r="554" spans="1:12" ht="13.2">
      <c r="A554" s="22"/>
      <c r="B554" s="16"/>
      <c r="C554" s="23"/>
      <c r="D554" s="101"/>
      <c r="E554" s="24"/>
      <c r="F554" s="25"/>
      <c r="G554" s="26"/>
      <c r="H554" s="27"/>
      <c r="I554" s="20"/>
      <c r="J554" s="21"/>
      <c r="K554" s="28"/>
      <c r="L554" s="19"/>
    </row>
    <row r="555" spans="1:12" ht="13.2">
      <c r="A555" s="22"/>
      <c r="B555" s="16"/>
      <c r="C555" s="23"/>
      <c r="D555" s="101"/>
      <c r="E555" s="24"/>
      <c r="F555" s="25"/>
      <c r="G555" s="26"/>
      <c r="H555" s="27"/>
      <c r="I555" s="20"/>
      <c r="J555" s="21"/>
      <c r="K555" s="28"/>
      <c r="L555" s="19"/>
    </row>
    <row r="556" spans="1:12" ht="13.2">
      <c r="A556" s="22"/>
      <c r="B556" s="16"/>
      <c r="C556" s="23"/>
      <c r="D556" s="101"/>
      <c r="E556" s="24"/>
      <c r="F556" s="25"/>
      <c r="G556" s="26"/>
      <c r="H556" s="27"/>
      <c r="I556" s="20"/>
      <c r="J556" s="21"/>
      <c r="K556" s="28"/>
      <c r="L556" s="19"/>
    </row>
    <row r="557" spans="1:12" ht="13.2">
      <c r="A557" s="22"/>
      <c r="B557" s="16"/>
      <c r="C557" s="23"/>
      <c r="D557" s="101"/>
      <c r="E557" s="24"/>
      <c r="F557" s="25"/>
      <c r="G557" s="26"/>
      <c r="H557" s="27"/>
      <c r="I557" s="20"/>
      <c r="J557" s="21"/>
      <c r="K557" s="28"/>
      <c r="L557" s="19"/>
    </row>
    <row r="558" spans="1:12" ht="13.2">
      <c r="A558" s="22"/>
      <c r="B558" s="16"/>
      <c r="C558" s="23"/>
      <c r="D558" s="101"/>
      <c r="E558" s="24"/>
      <c r="F558" s="25"/>
      <c r="G558" s="26"/>
      <c r="H558" s="27"/>
      <c r="I558" s="20"/>
      <c r="J558" s="21"/>
      <c r="K558" s="28"/>
      <c r="L558" s="19"/>
    </row>
    <row r="559" spans="1:12" ht="13.2">
      <c r="A559" s="22"/>
      <c r="B559" s="16"/>
      <c r="C559" s="23"/>
      <c r="D559" s="101"/>
      <c r="E559" s="24"/>
      <c r="F559" s="25"/>
      <c r="G559" s="26"/>
      <c r="H559" s="27"/>
      <c r="I559" s="20"/>
      <c r="J559" s="21"/>
      <c r="K559" s="28"/>
      <c r="L559" s="19"/>
    </row>
    <row r="560" spans="1:12" ht="13.2">
      <c r="A560" s="22"/>
      <c r="B560" s="16"/>
      <c r="C560" s="23"/>
      <c r="D560" s="101"/>
      <c r="E560" s="24"/>
      <c r="F560" s="25"/>
      <c r="G560" s="26"/>
      <c r="H560" s="27"/>
      <c r="I560" s="20"/>
      <c r="J560" s="21"/>
      <c r="K560" s="28"/>
      <c r="L560" s="19"/>
    </row>
    <row r="561" spans="1:12" ht="13.2">
      <c r="A561" s="22"/>
      <c r="B561" s="16"/>
      <c r="C561" s="23"/>
      <c r="D561" s="101"/>
      <c r="E561" s="24"/>
      <c r="F561" s="25"/>
      <c r="G561" s="26"/>
      <c r="H561" s="27"/>
      <c r="I561" s="20"/>
      <c r="J561" s="21"/>
      <c r="K561" s="28"/>
      <c r="L561" s="19"/>
    </row>
    <row r="562" spans="1:12" ht="13.2">
      <c r="A562" s="22"/>
      <c r="B562" s="16"/>
      <c r="C562" s="23"/>
      <c r="D562" s="101"/>
      <c r="E562" s="24"/>
      <c r="F562" s="25"/>
      <c r="G562" s="26"/>
      <c r="H562" s="27"/>
      <c r="I562" s="20"/>
      <c r="J562" s="21"/>
      <c r="K562" s="28"/>
      <c r="L562" s="19"/>
    </row>
    <row r="563" spans="1:12" ht="13.2">
      <c r="A563" s="22"/>
      <c r="B563" s="16"/>
      <c r="C563" s="23"/>
      <c r="D563" s="101"/>
      <c r="E563" s="24"/>
      <c r="F563" s="25"/>
      <c r="G563" s="26"/>
      <c r="H563" s="27"/>
      <c r="I563" s="20"/>
      <c r="J563" s="21"/>
      <c r="K563" s="28"/>
      <c r="L563" s="19"/>
    </row>
    <row r="564" spans="1:12" ht="13.2">
      <c r="A564" s="22"/>
      <c r="B564" s="16"/>
      <c r="C564" s="23"/>
      <c r="D564" s="101"/>
      <c r="E564" s="24"/>
      <c r="F564" s="25"/>
      <c r="G564" s="26"/>
      <c r="H564" s="27"/>
      <c r="I564" s="20"/>
      <c r="J564" s="21"/>
      <c r="K564" s="28"/>
      <c r="L564" s="19"/>
    </row>
    <row r="565" spans="1:12" ht="13.2">
      <c r="A565" s="22"/>
      <c r="B565" s="16"/>
      <c r="C565" s="23"/>
      <c r="D565" s="101"/>
      <c r="E565" s="24"/>
      <c r="F565" s="25"/>
      <c r="G565" s="26"/>
      <c r="H565" s="27"/>
      <c r="I565" s="20"/>
      <c r="J565" s="21"/>
      <c r="K565" s="28"/>
      <c r="L565" s="19"/>
    </row>
    <row r="566" spans="1:12" ht="13.2">
      <c r="A566" s="22"/>
      <c r="B566" s="16"/>
      <c r="C566" s="23"/>
      <c r="D566" s="101"/>
      <c r="E566" s="24"/>
      <c r="F566" s="25"/>
      <c r="G566" s="26"/>
      <c r="H566" s="27"/>
      <c r="I566" s="20"/>
      <c r="J566" s="21"/>
      <c r="K566" s="28"/>
      <c r="L566" s="19"/>
    </row>
    <row r="567" spans="1:12" ht="13.2">
      <c r="A567" s="22"/>
      <c r="B567" s="16"/>
      <c r="C567" s="23"/>
      <c r="D567" s="101"/>
      <c r="E567" s="24"/>
      <c r="F567" s="25"/>
      <c r="G567" s="26"/>
      <c r="H567" s="27"/>
      <c r="I567" s="20"/>
      <c r="J567" s="21"/>
      <c r="K567" s="28"/>
      <c r="L567" s="19"/>
    </row>
    <row r="568" spans="1:12" ht="13.2">
      <c r="A568" s="22"/>
      <c r="B568" s="16"/>
      <c r="C568" s="23"/>
      <c r="D568" s="101"/>
      <c r="E568" s="24"/>
      <c r="F568" s="25"/>
      <c r="G568" s="26"/>
      <c r="H568" s="27"/>
      <c r="I568" s="20"/>
      <c r="J568" s="21"/>
      <c r="K568" s="28"/>
      <c r="L568" s="19"/>
    </row>
    <row r="569" spans="1:12" ht="13.2">
      <c r="A569" s="22"/>
      <c r="B569" s="16"/>
      <c r="C569" s="23"/>
      <c r="D569" s="101"/>
      <c r="E569" s="24"/>
      <c r="F569" s="25"/>
      <c r="G569" s="26"/>
      <c r="H569" s="27"/>
      <c r="I569" s="20"/>
      <c r="J569" s="21"/>
      <c r="K569" s="28"/>
      <c r="L569" s="19"/>
    </row>
    <row r="570" spans="1:12" ht="13.2">
      <c r="A570" s="22"/>
      <c r="B570" s="16"/>
      <c r="C570" s="23"/>
      <c r="D570" s="101"/>
      <c r="E570" s="24"/>
      <c r="F570" s="25"/>
      <c r="G570" s="26"/>
      <c r="H570" s="27"/>
      <c r="I570" s="20"/>
      <c r="J570" s="21"/>
      <c r="K570" s="28"/>
      <c r="L570" s="19"/>
    </row>
    <row r="571" spans="1:12" ht="13.2">
      <c r="A571" s="22"/>
      <c r="B571" s="16"/>
      <c r="C571" s="23"/>
      <c r="D571" s="101"/>
      <c r="E571" s="24"/>
      <c r="F571" s="25"/>
      <c r="G571" s="26"/>
      <c r="H571" s="27"/>
      <c r="I571" s="20"/>
      <c r="J571" s="21"/>
      <c r="K571" s="28"/>
      <c r="L571" s="19"/>
    </row>
    <row r="572" spans="1:12" ht="13.2">
      <c r="A572" s="22"/>
      <c r="B572" s="16"/>
      <c r="C572" s="23"/>
      <c r="D572" s="101"/>
      <c r="E572" s="24"/>
      <c r="F572" s="25"/>
      <c r="G572" s="26"/>
      <c r="H572" s="27"/>
      <c r="I572" s="20"/>
      <c r="J572" s="21"/>
      <c r="K572" s="28"/>
      <c r="L572" s="19"/>
    </row>
    <row r="573" spans="1:12" ht="13.2">
      <c r="A573" s="22"/>
      <c r="B573" s="16"/>
      <c r="C573" s="23"/>
      <c r="D573" s="101"/>
      <c r="E573" s="24"/>
      <c r="F573" s="25"/>
      <c r="G573" s="26"/>
      <c r="H573" s="27"/>
      <c r="I573" s="20"/>
      <c r="J573" s="21"/>
      <c r="K573" s="28"/>
      <c r="L573" s="19"/>
    </row>
    <row r="574" spans="1:12" ht="13.2">
      <c r="A574" s="22"/>
      <c r="B574" s="16"/>
      <c r="C574" s="23"/>
      <c r="D574" s="101"/>
      <c r="E574" s="24"/>
      <c r="F574" s="25"/>
      <c r="G574" s="26"/>
      <c r="H574" s="27"/>
      <c r="I574" s="20"/>
      <c r="J574" s="21"/>
      <c r="K574" s="28"/>
      <c r="L574" s="19"/>
    </row>
    <row r="575" spans="1:12" ht="13.2">
      <c r="A575" s="22"/>
      <c r="B575" s="16"/>
      <c r="C575" s="23"/>
      <c r="D575" s="101"/>
      <c r="E575" s="24"/>
      <c r="F575" s="25"/>
      <c r="G575" s="26"/>
      <c r="H575" s="27"/>
      <c r="I575" s="20"/>
      <c r="J575" s="21"/>
      <c r="K575" s="28"/>
      <c r="L575" s="19"/>
    </row>
    <row r="576" spans="1:12" ht="13.2">
      <c r="A576" s="22"/>
      <c r="B576" s="16"/>
      <c r="C576" s="23"/>
      <c r="D576" s="101"/>
      <c r="E576" s="24"/>
      <c r="F576" s="25"/>
      <c r="G576" s="26"/>
      <c r="H576" s="27"/>
      <c r="I576" s="20"/>
      <c r="J576" s="21"/>
      <c r="K576" s="28"/>
      <c r="L576" s="19"/>
    </row>
    <row r="577" spans="1:12" ht="13.2">
      <c r="A577" s="22"/>
      <c r="B577" s="16"/>
      <c r="C577" s="23"/>
      <c r="D577" s="101"/>
      <c r="E577" s="24"/>
      <c r="F577" s="25"/>
      <c r="G577" s="26"/>
      <c r="H577" s="27"/>
      <c r="I577" s="20"/>
      <c r="J577" s="21"/>
      <c r="K577" s="28"/>
      <c r="L577" s="19"/>
    </row>
    <row r="578" spans="1:12" ht="13.2">
      <c r="A578" s="22"/>
      <c r="B578" s="16"/>
      <c r="C578" s="23"/>
      <c r="D578" s="101"/>
      <c r="E578" s="24"/>
      <c r="F578" s="25"/>
      <c r="G578" s="26"/>
      <c r="H578" s="27"/>
      <c r="I578" s="20"/>
      <c r="J578" s="21"/>
      <c r="K578" s="28"/>
      <c r="L578" s="19"/>
    </row>
    <row r="579" spans="1:12" ht="13.2">
      <c r="A579" s="22"/>
      <c r="B579" s="16"/>
      <c r="C579" s="23"/>
      <c r="D579" s="101"/>
      <c r="E579" s="24"/>
      <c r="F579" s="25"/>
      <c r="G579" s="26"/>
      <c r="H579" s="27"/>
      <c r="I579" s="20"/>
      <c r="J579" s="21"/>
      <c r="K579" s="28"/>
      <c r="L579" s="19"/>
    </row>
    <row r="580" spans="1:12" ht="13.2">
      <c r="A580" s="22"/>
      <c r="B580" s="16"/>
      <c r="C580" s="23"/>
      <c r="D580" s="101"/>
      <c r="E580" s="24"/>
      <c r="F580" s="25"/>
      <c r="G580" s="26"/>
      <c r="H580" s="27"/>
      <c r="I580" s="20"/>
      <c r="J580" s="21"/>
      <c r="K580" s="28"/>
      <c r="L580" s="19"/>
    </row>
    <row r="581" spans="1:12" ht="13.2">
      <c r="A581" s="22"/>
      <c r="B581" s="16"/>
      <c r="C581" s="23"/>
      <c r="D581" s="101"/>
      <c r="E581" s="24"/>
      <c r="F581" s="25"/>
      <c r="G581" s="26"/>
      <c r="H581" s="27"/>
      <c r="I581" s="20"/>
      <c r="J581" s="21"/>
      <c r="K581" s="28"/>
      <c r="L581" s="19"/>
    </row>
    <row r="582" spans="1:12" ht="13.2">
      <c r="A582" s="22"/>
      <c r="B582" s="16"/>
      <c r="C582" s="23"/>
      <c r="D582" s="101"/>
      <c r="E582" s="24"/>
      <c r="F582" s="25"/>
      <c r="G582" s="26"/>
      <c r="H582" s="27"/>
      <c r="I582" s="20"/>
      <c r="J582" s="21"/>
      <c r="K582" s="28"/>
      <c r="L582" s="19"/>
    </row>
    <row r="583" spans="1:12" ht="13.2">
      <c r="A583" s="22"/>
      <c r="B583" s="16"/>
      <c r="C583" s="23"/>
      <c r="D583" s="101"/>
      <c r="E583" s="24"/>
      <c r="F583" s="25"/>
      <c r="G583" s="26"/>
      <c r="H583" s="27"/>
      <c r="I583" s="20"/>
      <c r="J583" s="21"/>
      <c r="K583" s="28"/>
      <c r="L583" s="19"/>
    </row>
    <row r="584" spans="1:12" ht="13.2">
      <c r="A584" s="22"/>
      <c r="B584" s="16"/>
      <c r="C584" s="23"/>
      <c r="D584" s="101"/>
      <c r="E584" s="24"/>
      <c r="F584" s="25"/>
      <c r="G584" s="26"/>
      <c r="H584" s="27"/>
      <c r="I584" s="20"/>
      <c r="J584" s="21"/>
      <c r="K584" s="28"/>
      <c r="L584" s="19"/>
    </row>
    <row r="585" spans="1:12" ht="13.2">
      <c r="A585" s="22"/>
      <c r="B585" s="16"/>
      <c r="C585" s="23"/>
      <c r="D585" s="101"/>
      <c r="E585" s="24"/>
      <c r="F585" s="25"/>
      <c r="G585" s="26"/>
      <c r="H585" s="27"/>
      <c r="I585" s="20"/>
      <c r="J585" s="21"/>
      <c r="K585" s="28"/>
      <c r="L585" s="19"/>
    </row>
    <row r="586" spans="1:12" ht="13.2">
      <c r="A586" s="22"/>
      <c r="B586" s="16"/>
      <c r="C586" s="23"/>
      <c r="D586" s="101"/>
      <c r="E586" s="24"/>
      <c r="F586" s="25"/>
      <c r="G586" s="26"/>
      <c r="H586" s="27"/>
      <c r="I586" s="20"/>
      <c r="J586" s="21"/>
      <c r="K586" s="28"/>
      <c r="L586" s="19"/>
    </row>
    <row r="587" spans="1:12" ht="13.2">
      <c r="A587" s="22"/>
      <c r="B587" s="16"/>
      <c r="C587" s="23"/>
      <c r="D587" s="101"/>
      <c r="E587" s="24"/>
      <c r="F587" s="25"/>
      <c r="G587" s="26"/>
      <c r="H587" s="27"/>
      <c r="I587" s="20"/>
      <c r="J587" s="21"/>
      <c r="K587" s="28"/>
      <c r="L587" s="19"/>
    </row>
    <row r="588" spans="1:12" ht="13.2">
      <c r="A588" s="22"/>
      <c r="B588" s="16"/>
      <c r="C588" s="23"/>
      <c r="D588" s="101"/>
      <c r="E588" s="24"/>
      <c r="F588" s="25"/>
      <c r="G588" s="26"/>
      <c r="H588" s="27"/>
      <c r="I588" s="20"/>
      <c r="J588" s="21"/>
      <c r="K588" s="28"/>
      <c r="L588" s="19"/>
    </row>
    <row r="589" spans="1:12" ht="13.2">
      <c r="A589" s="22"/>
      <c r="B589" s="16"/>
      <c r="C589" s="23"/>
      <c r="D589" s="101"/>
      <c r="E589" s="24"/>
      <c r="F589" s="25"/>
      <c r="G589" s="26"/>
      <c r="H589" s="27"/>
      <c r="I589" s="20"/>
      <c r="J589" s="21"/>
      <c r="K589" s="28"/>
      <c r="L589" s="19"/>
    </row>
    <row r="590" spans="1:12" ht="13.2">
      <c r="A590" s="22"/>
      <c r="B590" s="16"/>
      <c r="C590" s="23"/>
      <c r="D590" s="101"/>
      <c r="E590" s="24"/>
      <c r="F590" s="25"/>
      <c r="G590" s="26"/>
      <c r="H590" s="27"/>
      <c r="I590" s="20"/>
      <c r="J590" s="21"/>
      <c r="K590" s="28"/>
      <c r="L590" s="19"/>
    </row>
    <row r="591" spans="1:12" ht="13.2">
      <c r="A591" s="22"/>
      <c r="B591" s="16"/>
      <c r="C591" s="23"/>
      <c r="D591" s="101"/>
      <c r="E591" s="24"/>
      <c r="F591" s="25"/>
      <c r="G591" s="26"/>
      <c r="H591" s="27"/>
      <c r="I591" s="20"/>
      <c r="J591" s="21"/>
      <c r="K591" s="28"/>
      <c r="L591" s="19"/>
    </row>
    <row r="592" spans="1:12" ht="13.2">
      <c r="A592" s="22"/>
      <c r="B592" s="16"/>
      <c r="C592" s="23"/>
      <c r="D592" s="101"/>
      <c r="E592" s="24"/>
      <c r="F592" s="25"/>
      <c r="G592" s="26"/>
      <c r="H592" s="27"/>
      <c r="I592" s="20"/>
      <c r="J592" s="21"/>
      <c r="K592" s="28"/>
      <c r="L592" s="19"/>
    </row>
    <row r="593" spans="1:12" ht="13.2">
      <c r="A593" s="22"/>
      <c r="B593" s="16"/>
      <c r="C593" s="23"/>
      <c r="D593" s="101"/>
      <c r="E593" s="24"/>
      <c r="F593" s="25"/>
      <c r="G593" s="26"/>
      <c r="H593" s="27"/>
      <c r="I593" s="20"/>
      <c r="J593" s="21"/>
      <c r="K593" s="28"/>
      <c r="L593" s="19"/>
    </row>
    <row r="594" spans="1:12" ht="13.2">
      <c r="A594" s="22"/>
      <c r="B594" s="16"/>
      <c r="C594" s="23"/>
      <c r="D594" s="101"/>
      <c r="E594" s="24"/>
      <c r="F594" s="25"/>
      <c r="G594" s="26"/>
      <c r="H594" s="27"/>
      <c r="I594" s="20"/>
      <c r="J594" s="21"/>
      <c r="K594" s="28"/>
      <c r="L594" s="19"/>
    </row>
    <row r="595" spans="1:12" ht="13.2">
      <c r="A595" s="22"/>
      <c r="B595" s="16"/>
      <c r="C595" s="23"/>
      <c r="D595" s="101"/>
      <c r="E595" s="24"/>
      <c r="F595" s="25"/>
      <c r="G595" s="26"/>
      <c r="H595" s="27"/>
      <c r="I595" s="20"/>
      <c r="J595" s="21"/>
      <c r="K595" s="28"/>
      <c r="L595" s="19"/>
    </row>
    <row r="596" spans="1:12" ht="13.2">
      <c r="A596" s="22"/>
      <c r="B596" s="16"/>
      <c r="C596" s="23"/>
      <c r="D596" s="101"/>
      <c r="E596" s="24"/>
      <c r="F596" s="25"/>
      <c r="G596" s="26"/>
      <c r="H596" s="27"/>
      <c r="I596" s="20"/>
      <c r="J596" s="21"/>
      <c r="K596" s="28"/>
      <c r="L596" s="19"/>
    </row>
    <row r="597" spans="1:12" ht="13.2">
      <c r="A597" s="22"/>
      <c r="B597" s="16"/>
      <c r="C597" s="23"/>
      <c r="D597" s="101"/>
      <c r="E597" s="24"/>
      <c r="F597" s="25"/>
      <c r="G597" s="26"/>
      <c r="H597" s="27"/>
      <c r="I597" s="20"/>
      <c r="J597" s="21"/>
      <c r="K597" s="28"/>
      <c r="L597" s="19"/>
    </row>
    <row r="598" spans="1:12" ht="13.2">
      <c r="A598" s="22"/>
      <c r="B598" s="16"/>
      <c r="C598" s="23"/>
      <c r="D598" s="101"/>
      <c r="E598" s="24"/>
      <c r="F598" s="25"/>
      <c r="G598" s="26"/>
      <c r="H598" s="27"/>
      <c r="I598" s="20"/>
      <c r="J598" s="21"/>
      <c r="K598" s="28"/>
      <c r="L598" s="19"/>
    </row>
    <row r="599" spans="1:12" ht="13.2">
      <c r="A599" s="22"/>
      <c r="B599" s="16"/>
      <c r="C599" s="23"/>
      <c r="D599" s="101"/>
      <c r="E599" s="24"/>
      <c r="F599" s="25"/>
      <c r="G599" s="26"/>
      <c r="H599" s="27"/>
      <c r="I599" s="20"/>
      <c r="J599" s="21"/>
      <c r="K599" s="28"/>
      <c r="L599" s="19"/>
    </row>
    <row r="600" spans="1:12" ht="13.2">
      <c r="A600" s="22"/>
      <c r="B600" s="16"/>
      <c r="C600" s="23"/>
      <c r="D600" s="101"/>
      <c r="E600" s="24"/>
      <c r="F600" s="25"/>
      <c r="G600" s="26"/>
      <c r="H600" s="27"/>
      <c r="I600" s="20"/>
      <c r="J600" s="21"/>
      <c r="K600" s="28"/>
      <c r="L600" s="19"/>
    </row>
    <row r="601" spans="1:12" ht="13.2">
      <c r="A601" s="22"/>
      <c r="B601" s="16"/>
      <c r="C601" s="23"/>
      <c r="D601" s="101"/>
      <c r="E601" s="24"/>
      <c r="F601" s="25"/>
      <c r="G601" s="26"/>
      <c r="H601" s="27"/>
      <c r="I601" s="20"/>
      <c r="J601" s="21"/>
      <c r="K601" s="28"/>
      <c r="L601" s="19"/>
    </row>
    <row r="602" spans="1:12" ht="13.2">
      <c r="A602" s="22"/>
      <c r="B602" s="16"/>
      <c r="C602" s="23"/>
      <c r="D602" s="101"/>
      <c r="E602" s="24"/>
      <c r="F602" s="25"/>
      <c r="G602" s="26"/>
      <c r="H602" s="27"/>
      <c r="I602" s="20"/>
      <c r="J602" s="21"/>
      <c r="K602" s="28"/>
      <c r="L602" s="19"/>
    </row>
    <row r="603" spans="1:12" ht="13.2">
      <c r="A603" s="22"/>
      <c r="B603" s="16"/>
      <c r="C603" s="23"/>
      <c r="D603" s="101"/>
      <c r="E603" s="24"/>
      <c r="F603" s="25"/>
      <c r="G603" s="26"/>
      <c r="H603" s="27"/>
      <c r="I603" s="20"/>
      <c r="J603" s="21"/>
      <c r="K603" s="28"/>
      <c r="L603" s="19"/>
    </row>
    <row r="604" spans="1:12" ht="13.2">
      <c r="A604" s="22"/>
      <c r="B604" s="16"/>
      <c r="C604" s="23"/>
      <c r="D604" s="101"/>
      <c r="E604" s="24"/>
      <c r="F604" s="25"/>
      <c r="G604" s="26"/>
      <c r="H604" s="27"/>
      <c r="I604" s="20"/>
      <c r="J604" s="21"/>
      <c r="K604" s="28"/>
      <c r="L604" s="19"/>
    </row>
    <row r="605" spans="1:12" ht="13.2">
      <c r="A605" s="22"/>
      <c r="B605" s="16"/>
      <c r="C605" s="23"/>
      <c r="D605" s="101"/>
      <c r="E605" s="24"/>
      <c r="F605" s="25"/>
      <c r="G605" s="26"/>
      <c r="H605" s="27"/>
      <c r="I605" s="20"/>
      <c r="J605" s="21"/>
      <c r="K605" s="28"/>
      <c r="L605" s="19"/>
    </row>
    <row r="606" spans="1:12" ht="13.2">
      <c r="A606" s="22"/>
      <c r="B606" s="16"/>
      <c r="C606" s="23"/>
      <c r="D606" s="101"/>
      <c r="E606" s="24"/>
      <c r="F606" s="25"/>
      <c r="G606" s="26"/>
      <c r="H606" s="27"/>
      <c r="I606" s="20"/>
      <c r="J606" s="21"/>
      <c r="K606" s="28"/>
      <c r="L606" s="19"/>
    </row>
    <row r="607" spans="1:12" ht="13.2">
      <c r="A607" s="22"/>
      <c r="B607" s="16"/>
      <c r="C607" s="23"/>
      <c r="D607" s="101"/>
      <c r="E607" s="24"/>
      <c r="F607" s="25"/>
      <c r="G607" s="26"/>
      <c r="H607" s="27"/>
      <c r="I607" s="20"/>
      <c r="J607" s="21"/>
      <c r="K607" s="28"/>
      <c r="L607" s="19"/>
    </row>
    <row r="608" spans="1:12" ht="13.2">
      <c r="A608" s="22"/>
      <c r="B608" s="16"/>
      <c r="C608" s="23"/>
      <c r="D608" s="101"/>
      <c r="E608" s="24"/>
      <c r="F608" s="25"/>
      <c r="G608" s="26"/>
      <c r="H608" s="27"/>
      <c r="I608" s="20"/>
      <c r="J608" s="21"/>
      <c r="K608" s="28"/>
      <c r="L608" s="19"/>
    </row>
    <row r="609" spans="1:12" ht="13.2">
      <c r="A609" s="22"/>
      <c r="B609" s="16"/>
      <c r="C609" s="23"/>
      <c r="D609" s="101"/>
      <c r="E609" s="24"/>
      <c r="F609" s="25"/>
      <c r="G609" s="26"/>
      <c r="H609" s="27"/>
      <c r="I609" s="20"/>
      <c r="J609" s="21"/>
      <c r="K609" s="28"/>
      <c r="L609" s="19"/>
    </row>
    <row r="610" spans="1:12" ht="13.2">
      <c r="A610" s="22"/>
      <c r="B610" s="16"/>
      <c r="C610" s="23"/>
      <c r="D610" s="101"/>
      <c r="E610" s="24"/>
      <c r="F610" s="25"/>
      <c r="G610" s="26"/>
      <c r="H610" s="27"/>
      <c r="I610" s="20"/>
      <c r="J610" s="21"/>
      <c r="K610" s="28"/>
      <c r="L610" s="19"/>
    </row>
    <row r="611" spans="1:12" ht="13.2">
      <c r="A611" s="22"/>
      <c r="B611" s="16"/>
      <c r="C611" s="23"/>
      <c r="D611" s="101"/>
      <c r="E611" s="24"/>
      <c r="F611" s="25"/>
      <c r="G611" s="26"/>
      <c r="H611" s="27"/>
      <c r="I611" s="20"/>
      <c r="J611" s="21"/>
      <c r="K611" s="28"/>
      <c r="L611" s="19"/>
    </row>
    <row r="612" spans="1:12" ht="13.2">
      <c r="A612" s="22"/>
      <c r="B612" s="16"/>
      <c r="C612" s="23"/>
      <c r="D612" s="101"/>
      <c r="E612" s="24"/>
      <c r="F612" s="25"/>
      <c r="G612" s="26"/>
      <c r="H612" s="27"/>
      <c r="I612" s="20"/>
      <c r="J612" s="21"/>
      <c r="K612" s="28"/>
      <c r="L612" s="19"/>
    </row>
    <row r="613" spans="1:12" ht="13.2">
      <c r="A613" s="22"/>
      <c r="B613" s="16"/>
      <c r="C613" s="23"/>
      <c r="D613" s="101"/>
      <c r="E613" s="24"/>
      <c r="F613" s="25"/>
      <c r="G613" s="26"/>
      <c r="H613" s="27"/>
      <c r="I613" s="20"/>
      <c r="J613" s="21"/>
      <c r="K613" s="28"/>
      <c r="L613" s="19"/>
    </row>
    <row r="614" spans="1:12" ht="13.2">
      <c r="A614" s="22"/>
      <c r="B614" s="16"/>
      <c r="C614" s="23"/>
      <c r="D614" s="101"/>
      <c r="E614" s="24"/>
      <c r="F614" s="25"/>
      <c r="G614" s="26"/>
      <c r="H614" s="27"/>
      <c r="I614" s="20"/>
      <c r="J614" s="21"/>
      <c r="K614" s="28"/>
      <c r="L614" s="19"/>
    </row>
    <row r="615" spans="1:12" ht="13.2">
      <c r="A615" s="22"/>
      <c r="B615" s="16"/>
      <c r="C615" s="23"/>
      <c r="D615" s="101"/>
      <c r="E615" s="24"/>
      <c r="F615" s="25"/>
      <c r="G615" s="26"/>
      <c r="H615" s="27"/>
      <c r="I615" s="20"/>
      <c r="J615" s="21"/>
      <c r="K615" s="28"/>
      <c r="L615" s="19"/>
    </row>
    <row r="616" spans="1:12" ht="13.2">
      <c r="A616" s="22"/>
      <c r="B616" s="16"/>
      <c r="C616" s="23"/>
      <c r="D616" s="101"/>
      <c r="E616" s="24"/>
      <c r="F616" s="25"/>
      <c r="G616" s="26"/>
      <c r="H616" s="27"/>
      <c r="I616" s="20"/>
      <c r="J616" s="21"/>
      <c r="K616" s="28"/>
      <c r="L616" s="19"/>
    </row>
    <row r="617" spans="1:12" ht="13.2">
      <c r="A617" s="22"/>
      <c r="B617" s="16"/>
      <c r="C617" s="23"/>
      <c r="D617" s="101"/>
      <c r="E617" s="24"/>
      <c r="F617" s="25"/>
      <c r="G617" s="26"/>
      <c r="H617" s="27"/>
      <c r="I617" s="20"/>
      <c r="J617" s="21"/>
      <c r="K617" s="28"/>
      <c r="L617" s="19"/>
    </row>
    <row r="618" spans="1:12" ht="13.2">
      <c r="A618" s="22"/>
      <c r="B618" s="16"/>
      <c r="C618" s="23"/>
      <c r="D618" s="101"/>
      <c r="E618" s="24"/>
      <c r="F618" s="25"/>
      <c r="G618" s="26"/>
      <c r="H618" s="27"/>
      <c r="I618" s="20"/>
      <c r="J618" s="21"/>
      <c r="K618" s="28"/>
      <c r="L618" s="19"/>
    </row>
    <row r="619" spans="1:12" ht="13.2">
      <c r="A619" s="22"/>
      <c r="B619" s="16"/>
      <c r="C619" s="23"/>
      <c r="D619" s="101"/>
      <c r="E619" s="24"/>
      <c r="F619" s="25"/>
      <c r="G619" s="26"/>
      <c r="H619" s="27"/>
      <c r="I619" s="20"/>
      <c r="J619" s="21"/>
      <c r="K619" s="28"/>
      <c r="L619" s="19"/>
    </row>
    <row r="620" spans="1:12" ht="13.2">
      <c r="A620" s="22"/>
      <c r="B620" s="16"/>
      <c r="C620" s="23"/>
      <c r="D620" s="101"/>
      <c r="E620" s="24"/>
      <c r="F620" s="25"/>
      <c r="G620" s="26"/>
      <c r="H620" s="27"/>
      <c r="I620" s="20"/>
      <c r="J620" s="21"/>
      <c r="K620" s="28"/>
      <c r="L620" s="19"/>
    </row>
    <row r="621" spans="1:12" ht="13.2">
      <c r="A621" s="22"/>
      <c r="B621" s="16"/>
      <c r="C621" s="23"/>
      <c r="D621" s="101"/>
      <c r="E621" s="24"/>
      <c r="F621" s="25"/>
      <c r="G621" s="26"/>
      <c r="H621" s="27"/>
      <c r="I621" s="20"/>
      <c r="J621" s="21"/>
      <c r="K621" s="28"/>
      <c r="L621" s="19"/>
    </row>
    <row r="622" spans="1:12" ht="13.2">
      <c r="A622" s="22"/>
      <c r="B622" s="16"/>
      <c r="C622" s="23"/>
      <c r="D622" s="101"/>
      <c r="E622" s="24"/>
      <c r="F622" s="25"/>
      <c r="G622" s="26"/>
      <c r="H622" s="27"/>
      <c r="I622" s="20"/>
      <c r="J622" s="21"/>
      <c r="K622" s="28"/>
      <c r="L622" s="19"/>
    </row>
    <row r="623" spans="1:12" ht="13.2">
      <c r="A623" s="22"/>
      <c r="B623" s="16"/>
      <c r="C623" s="23"/>
      <c r="D623" s="101"/>
      <c r="E623" s="24"/>
      <c r="F623" s="25"/>
      <c r="G623" s="26"/>
      <c r="H623" s="27"/>
      <c r="I623" s="20"/>
      <c r="J623" s="21"/>
      <c r="K623" s="28"/>
      <c r="L623" s="19"/>
    </row>
    <row r="624" spans="1:12" ht="13.2">
      <c r="A624" s="22"/>
      <c r="B624" s="16"/>
      <c r="C624" s="23"/>
      <c r="D624" s="101"/>
      <c r="E624" s="24"/>
      <c r="F624" s="25"/>
      <c r="G624" s="26"/>
      <c r="H624" s="27"/>
      <c r="I624" s="20"/>
      <c r="J624" s="21"/>
      <c r="K624" s="28"/>
      <c r="L624" s="19"/>
    </row>
    <row r="625" spans="1:12" ht="13.2">
      <c r="A625" s="22"/>
      <c r="B625" s="16"/>
      <c r="C625" s="23"/>
      <c r="D625" s="101"/>
      <c r="E625" s="24"/>
      <c r="F625" s="25"/>
      <c r="G625" s="26"/>
      <c r="H625" s="27"/>
      <c r="I625" s="20"/>
      <c r="J625" s="21"/>
      <c r="K625" s="28"/>
      <c r="L625" s="19"/>
    </row>
    <row r="626" spans="1:12" ht="13.2">
      <c r="A626" s="22"/>
      <c r="B626" s="16"/>
      <c r="C626" s="23"/>
      <c r="D626" s="101"/>
      <c r="E626" s="24"/>
      <c r="F626" s="25"/>
      <c r="G626" s="26"/>
      <c r="H626" s="27"/>
      <c r="I626" s="20"/>
      <c r="J626" s="21"/>
      <c r="K626" s="28"/>
      <c r="L626" s="19"/>
    </row>
    <row r="627" spans="1:12" ht="13.2">
      <c r="A627" s="22"/>
      <c r="B627" s="16"/>
      <c r="C627" s="23"/>
      <c r="D627" s="101"/>
      <c r="E627" s="24"/>
      <c r="F627" s="25"/>
      <c r="G627" s="26"/>
      <c r="H627" s="27"/>
      <c r="I627" s="20"/>
      <c r="J627" s="21"/>
      <c r="K627" s="28"/>
      <c r="L627" s="19"/>
    </row>
    <row r="628" spans="1:12" ht="13.2">
      <c r="A628" s="22"/>
      <c r="B628" s="16"/>
      <c r="C628" s="23"/>
      <c r="D628" s="101"/>
      <c r="E628" s="24"/>
      <c r="F628" s="25"/>
      <c r="G628" s="26"/>
      <c r="H628" s="27"/>
      <c r="I628" s="20"/>
      <c r="J628" s="21"/>
      <c r="K628" s="28"/>
      <c r="L628" s="19"/>
    </row>
    <row r="629" spans="1:12" ht="13.2">
      <c r="A629" s="22"/>
      <c r="B629" s="16"/>
      <c r="C629" s="23"/>
      <c r="D629" s="101"/>
      <c r="E629" s="24"/>
      <c r="F629" s="25"/>
      <c r="G629" s="26"/>
      <c r="H629" s="27"/>
      <c r="I629" s="20"/>
      <c r="J629" s="21"/>
      <c r="K629" s="28"/>
      <c r="L629" s="19"/>
    </row>
    <row r="630" spans="1:12" ht="13.2">
      <c r="A630" s="22"/>
      <c r="B630" s="16"/>
      <c r="C630" s="23"/>
      <c r="D630" s="101"/>
      <c r="E630" s="24"/>
      <c r="F630" s="25"/>
      <c r="G630" s="26"/>
      <c r="H630" s="27"/>
      <c r="I630" s="20"/>
      <c r="J630" s="21"/>
      <c r="K630" s="28"/>
      <c r="L630" s="19"/>
    </row>
    <row r="631" spans="1:12" ht="13.2">
      <c r="A631" s="22"/>
      <c r="B631" s="16"/>
      <c r="C631" s="23"/>
      <c r="D631" s="101"/>
      <c r="E631" s="24"/>
      <c r="F631" s="25"/>
      <c r="G631" s="26"/>
      <c r="H631" s="27"/>
      <c r="I631" s="20"/>
      <c r="J631" s="21"/>
      <c r="K631" s="28"/>
      <c r="L631" s="19"/>
    </row>
    <row r="632" spans="1:12" ht="13.2">
      <c r="A632" s="22"/>
      <c r="B632" s="16"/>
      <c r="C632" s="23"/>
      <c r="D632" s="101"/>
      <c r="E632" s="24"/>
      <c r="F632" s="25"/>
      <c r="G632" s="26"/>
      <c r="H632" s="27"/>
      <c r="I632" s="20"/>
      <c r="J632" s="21"/>
      <c r="K632" s="28"/>
      <c r="L632" s="19"/>
    </row>
    <row r="633" spans="1:12" ht="13.2">
      <c r="A633" s="22"/>
      <c r="B633" s="16"/>
      <c r="C633" s="23"/>
      <c r="D633" s="101"/>
      <c r="E633" s="24"/>
      <c r="F633" s="25"/>
      <c r="G633" s="26"/>
      <c r="H633" s="27"/>
      <c r="I633" s="20"/>
      <c r="J633" s="21"/>
      <c r="K633" s="28"/>
      <c r="L633" s="19"/>
    </row>
    <row r="634" spans="1:12" ht="13.2">
      <c r="A634" s="22"/>
      <c r="B634" s="16"/>
      <c r="C634" s="23"/>
      <c r="D634" s="101"/>
      <c r="E634" s="24"/>
      <c r="F634" s="25"/>
      <c r="G634" s="26"/>
      <c r="H634" s="27"/>
      <c r="I634" s="20"/>
      <c r="J634" s="21"/>
      <c r="K634" s="28"/>
      <c r="L634" s="19"/>
    </row>
    <row r="635" spans="1:12" ht="13.2">
      <c r="A635" s="22"/>
      <c r="B635" s="16"/>
      <c r="C635" s="23"/>
      <c r="D635" s="101"/>
      <c r="E635" s="24"/>
      <c r="F635" s="25"/>
      <c r="G635" s="26"/>
      <c r="H635" s="27"/>
      <c r="I635" s="20"/>
      <c r="J635" s="21"/>
      <c r="K635" s="28"/>
      <c r="L635" s="19"/>
    </row>
    <row r="636" spans="1:12" ht="13.2">
      <c r="A636" s="22"/>
      <c r="B636" s="16"/>
      <c r="C636" s="23"/>
      <c r="D636" s="101"/>
      <c r="E636" s="24"/>
      <c r="F636" s="25"/>
      <c r="G636" s="26"/>
      <c r="H636" s="27"/>
      <c r="I636" s="20"/>
      <c r="J636" s="21"/>
      <c r="K636" s="28"/>
      <c r="L636" s="19"/>
    </row>
    <row r="637" spans="1:12" ht="13.2">
      <c r="A637" s="22"/>
      <c r="B637" s="16"/>
      <c r="C637" s="23"/>
      <c r="D637" s="101"/>
      <c r="E637" s="24"/>
      <c r="F637" s="25"/>
      <c r="G637" s="26"/>
      <c r="H637" s="27"/>
      <c r="I637" s="20"/>
      <c r="J637" s="21"/>
      <c r="K637" s="28"/>
      <c r="L637" s="19"/>
    </row>
    <row r="638" spans="1:12" ht="13.2">
      <c r="A638" s="22"/>
      <c r="B638" s="16"/>
      <c r="C638" s="23"/>
      <c r="D638" s="101"/>
      <c r="E638" s="24"/>
      <c r="F638" s="25"/>
      <c r="G638" s="26"/>
      <c r="H638" s="27"/>
      <c r="I638" s="20"/>
      <c r="J638" s="21"/>
      <c r="K638" s="28"/>
      <c r="L638" s="19"/>
    </row>
    <row r="639" spans="1:12" ht="13.2">
      <c r="A639" s="22"/>
      <c r="B639" s="16"/>
      <c r="C639" s="23"/>
      <c r="D639" s="101"/>
      <c r="E639" s="24"/>
      <c r="F639" s="25"/>
      <c r="G639" s="26"/>
      <c r="H639" s="27"/>
      <c r="I639" s="20"/>
      <c r="J639" s="21"/>
      <c r="K639" s="28"/>
      <c r="L639" s="19"/>
    </row>
    <row r="640" spans="1:12" ht="13.2">
      <c r="A640" s="22"/>
      <c r="B640" s="16"/>
      <c r="C640" s="23"/>
      <c r="D640" s="101"/>
      <c r="E640" s="24"/>
      <c r="F640" s="25"/>
      <c r="G640" s="26"/>
      <c r="H640" s="27"/>
      <c r="I640" s="20"/>
      <c r="J640" s="21"/>
      <c r="K640" s="28"/>
      <c r="L640" s="19"/>
    </row>
    <row r="641" spans="1:12" ht="13.2">
      <c r="A641" s="22"/>
      <c r="B641" s="16"/>
      <c r="C641" s="23"/>
      <c r="D641" s="101"/>
      <c r="E641" s="24"/>
      <c r="F641" s="25"/>
      <c r="G641" s="26"/>
      <c r="H641" s="27"/>
      <c r="I641" s="20"/>
      <c r="J641" s="21"/>
      <c r="K641" s="28"/>
      <c r="L641" s="19"/>
    </row>
    <row r="642" spans="1:12" ht="13.2">
      <c r="A642" s="22"/>
      <c r="B642" s="16"/>
      <c r="C642" s="23"/>
      <c r="D642" s="101"/>
      <c r="E642" s="24"/>
      <c r="F642" s="25"/>
      <c r="G642" s="26"/>
      <c r="H642" s="27"/>
      <c r="I642" s="20"/>
      <c r="J642" s="21"/>
      <c r="K642" s="28"/>
      <c r="L642" s="19"/>
    </row>
    <row r="643" spans="1:12" ht="13.2">
      <c r="A643" s="22"/>
      <c r="B643" s="16"/>
      <c r="C643" s="23"/>
      <c r="D643" s="101"/>
      <c r="E643" s="24"/>
      <c r="F643" s="25"/>
      <c r="G643" s="26"/>
      <c r="H643" s="27"/>
      <c r="I643" s="20"/>
      <c r="J643" s="21"/>
      <c r="K643" s="28"/>
      <c r="L643" s="19"/>
    </row>
    <row r="644" spans="1:12" ht="13.2">
      <c r="A644" s="22"/>
      <c r="B644" s="16"/>
      <c r="C644" s="23"/>
      <c r="D644" s="101"/>
      <c r="E644" s="24"/>
      <c r="F644" s="25"/>
      <c r="G644" s="26"/>
      <c r="H644" s="27"/>
      <c r="I644" s="20"/>
      <c r="J644" s="21"/>
      <c r="K644" s="28"/>
      <c r="L644" s="19"/>
    </row>
    <row r="645" spans="1:12" ht="13.2">
      <c r="A645" s="22"/>
      <c r="B645" s="16"/>
      <c r="C645" s="23"/>
      <c r="D645" s="101"/>
      <c r="E645" s="24"/>
      <c r="F645" s="25"/>
      <c r="G645" s="26"/>
      <c r="H645" s="27"/>
      <c r="I645" s="20"/>
      <c r="J645" s="21"/>
      <c r="K645" s="28"/>
      <c r="L645" s="19"/>
    </row>
    <row r="646" spans="1:12" ht="13.2">
      <c r="A646" s="22"/>
      <c r="B646" s="16"/>
      <c r="C646" s="23"/>
      <c r="D646" s="101"/>
      <c r="E646" s="24"/>
      <c r="F646" s="25"/>
      <c r="G646" s="26"/>
      <c r="H646" s="27"/>
      <c r="I646" s="20"/>
      <c r="J646" s="21"/>
      <c r="K646" s="28"/>
      <c r="L646" s="19"/>
    </row>
    <row r="647" spans="1:12" ht="13.2">
      <c r="A647" s="22"/>
      <c r="B647" s="16"/>
      <c r="C647" s="23"/>
      <c r="D647" s="101"/>
      <c r="E647" s="24"/>
      <c r="F647" s="25"/>
      <c r="G647" s="26"/>
      <c r="H647" s="27"/>
      <c r="I647" s="20"/>
      <c r="J647" s="21"/>
      <c r="K647" s="28"/>
      <c r="L647" s="19"/>
    </row>
    <row r="648" spans="1:12" ht="13.2">
      <c r="A648" s="22"/>
      <c r="B648" s="16"/>
      <c r="C648" s="23"/>
      <c r="D648" s="101"/>
      <c r="E648" s="24"/>
      <c r="F648" s="25"/>
      <c r="G648" s="26"/>
      <c r="H648" s="27"/>
      <c r="I648" s="20"/>
      <c r="J648" s="21"/>
      <c r="K648" s="28"/>
      <c r="L648" s="19"/>
    </row>
    <row r="649" spans="1:12" ht="13.2">
      <c r="A649" s="22"/>
      <c r="B649" s="16"/>
      <c r="C649" s="23"/>
      <c r="D649" s="101"/>
      <c r="E649" s="24"/>
      <c r="F649" s="25"/>
      <c r="G649" s="26"/>
      <c r="H649" s="27"/>
      <c r="I649" s="20"/>
      <c r="J649" s="21"/>
      <c r="K649" s="28"/>
      <c r="L649" s="19"/>
    </row>
    <row r="650" spans="1:12" ht="13.2">
      <c r="A650" s="22"/>
      <c r="B650" s="16"/>
      <c r="C650" s="23"/>
      <c r="D650" s="101"/>
      <c r="E650" s="24"/>
      <c r="F650" s="25"/>
      <c r="G650" s="26"/>
      <c r="H650" s="27"/>
      <c r="I650" s="20"/>
      <c r="J650" s="21"/>
      <c r="K650" s="28"/>
      <c r="L650" s="19"/>
    </row>
    <row r="651" spans="1:12" ht="13.2">
      <c r="A651" s="22"/>
      <c r="B651" s="16"/>
      <c r="C651" s="23"/>
      <c r="D651" s="101"/>
      <c r="E651" s="24"/>
      <c r="F651" s="25"/>
      <c r="G651" s="26"/>
      <c r="H651" s="27"/>
      <c r="I651" s="20"/>
      <c r="J651" s="21"/>
      <c r="K651" s="28"/>
      <c r="L651" s="19"/>
    </row>
    <row r="652" spans="1:12" ht="13.2">
      <c r="A652" s="22"/>
      <c r="B652" s="16"/>
      <c r="C652" s="23"/>
      <c r="D652" s="101"/>
      <c r="E652" s="24"/>
      <c r="F652" s="25"/>
      <c r="G652" s="26"/>
      <c r="H652" s="27"/>
      <c r="I652" s="20"/>
      <c r="J652" s="21"/>
      <c r="K652" s="28"/>
      <c r="L652" s="19"/>
    </row>
    <row r="653" spans="1:12" ht="13.2">
      <c r="A653" s="22"/>
      <c r="B653" s="16"/>
      <c r="C653" s="23"/>
      <c r="D653" s="101"/>
      <c r="E653" s="24"/>
      <c r="F653" s="25"/>
      <c r="G653" s="26"/>
      <c r="H653" s="27"/>
      <c r="I653" s="20"/>
      <c r="J653" s="21"/>
      <c r="K653" s="28"/>
      <c r="L653" s="19"/>
    </row>
    <row r="654" spans="1:12" ht="13.2">
      <c r="A654" s="22"/>
      <c r="B654" s="16"/>
      <c r="C654" s="23"/>
      <c r="D654" s="101"/>
      <c r="E654" s="24"/>
      <c r="F654" s="25"/>
      <c r="G654" s="26"/>
      <c r="H654" s="27"/>
      <c r="I654" s="20"/>
      <c r="J654" s="21"/>
      <c r="K654" s="28"/>
      <c r="L654" s="19"/>
    </row>
    <row r="655" spans="1:12" ht="13.2">
      <c r="A655" s="22"/>
      <c r="B655" s="16"/>
      <c r="C655" s="23"/>
      <c r="D655" s="101"/>
      <c r="E655" s="24"/>
      <c r="F655" s="25"/>
      <c r="G655" s="26"/>
      <c r="H655" s="27"/>
      <c r="I655" s="20"/>
      <c r="J655" s="21"/>
      <c r="K655" s="28"/>
      <c r="L655" s="19"/>
    </row>
    <row r="656" spans="1:12" ht="13.2">
      <c r="A656" s="22"/>
      <c r="B656" s="16"/>
      <c r="C656" s="23"/>
      <c r="D656" s="101"/>
      <c r="E656" s="24"/>
      <c r="F656" s="25"/>
      <c r="G656" s="26"/>
      <c r="H656" s="27"/>
      <c r="I656" s="20"/>
      <c r="J656" s="21"/>
      <c r="K656" s="28"/>
      <c r="L656" s="19"/>
    </row>
    <row r="657" spans="1:12" ht="13.2">
      <c r="A657" s="22"/>
      <c r="B657" s="16"/>
      <c r="C657" s="23"/>
      <c r="D657" s="101"/>
      <c r="E657" s="24"/>
      <c r="F657" s="25"/>
      <c r="G657" s="26"/>
      <c r="H657" s="27"/>
      <c r="I657" s="20"/>
      <c r="J657" s="21"/>
      <c r="K657" s="28"/>
      <c r="L657" s="19"/>
    </row>
    <row r="658" spans="1:12" ht="13.2">
      <c r="A658" s="22"/>
      <c r="B658" s="16"/>
      <c r="C658" s="23"/>
      <c r="D658" s="101"/>
      <c r="E658" s="24"/>
      <c r="F658" s="25"/>
      <c r="G658" s="26"/>
      <c r="H658" s="27"/>
      <c r="I658" s="20"/>
      <c r="J658" s="21"/>
      <c r="K658" s="28"/>
      <c r="L658" s="19"/>
    </row>
    <row r="659" spans="1:12" ht="13.2">
      <c r="A659" s="22"/>
      <c r="B659" s="16"/>
      <c r="C659" s="23"/>
      <c r="D659" s="101"/>
      <c r="E659" s="24"/>
      <c r="F659" s="25"/>
      <c r="G659" s="26"/>
      <c r="H659" s="27"/>
      <c r="I659" s="20"/>
      <c r="J659" s="21"/>
      <c r="K659" s="28"/>
      <c r="L659" s="19"/>
    </row>
    <row r="660" spans="1:12" ht="13.2">
      <c r="A660" s="22"/>
      <c r="B660" s="16"/>
      <c r="C660" s="23"/>
      <c r="D660" s="101"/>
      <c r="E660" s="24"/>
      <c r="F660" s="25"/>
      <c r="G660" s="26"/>
      <c r="H660" s="27"/>
      <c r="I660" s="20"/>
      <c r="J660" s="21"/>
      <c r="K660" s="28"/>
      <c r="L660" s="19"/>
    </row>
    <row r="661" spans="1:12" ht="13.2">
      <c r="A661" s="22"/>
      <c r="B661" s="16"/>
      <c r="C661" s="23"/>
      <c r="D661" s="101"/>
      <c r="E661" s="24"/>
      <c r="F661" s="25"/>
      <c r="G661" s="26"/>
      <c r="H661" s="27"/>
      <c r="I661" s="20"/>
      <c r="J661" s="21"/>
      <c r="K661" s="28"/>
      <c r="L661" s="19"/>
    </row>
    <row r="662" spans="1:12" ht="13.2">
      <c r="A662" s="22"/>
      <c r="B662" s="16"/>
      <c r="C662" s="23"/>
      <c r="D662" s="101"/>
      <c r="E662" s="24"/>
      <c r="F662" s="25"/>
      <c r="G662" s="26"/>
      <c r="H662" s="27"/>
      <c r="I662" s="20"/>
      <c r="J662" s="21"/>
      <c r="K662" s="28"/>
      <c r="L662" s="19"/>
    </row>
    <row r="663" spans="1:12" ht="13.2">
      <c r="A663" s="22"/>
      <c r="B663" s="16"/>
      <c r="C663" s="23"/>
      <c r="D663" s="101"/>
      <c r="E663" s="24"/>
      <c r="F663" s="25"/>
      <c r="G663" s="26"/>
      <c r="H663" s="27"/>
      <c r="I663" s="20"/>
      <c r="J663" s="21"/>
      <c r="K663" s="28"/>
      <c r="L663" s="19"/>
    </row>
    <row r="664" spans="1:12" ht="13.2">
      <c r="A664" s="22"/>
      <c r="B664" s="16"/>
      <c r="C664" s="23"/>
      <c r="D664" s="101"/>
      <c r="E664" s="24"/>
      <c r="F664" s="25"/>
      <c r="G664" s="26"/>
      <c r="H664" s="27"/>
      <c r="I664" s="20"/>
      <c r="J664" s="21"/>
      <c r="K664" s="28"/>
      <c r="L664" s="19"/>
    </row>
    <row r="665" spans="1:12" ht="13.2">
      <c r="A665" s="22"/>
      <c r="B665" s="16"/>
      <c r="C665" s="23"/>
      <c r="D665" s="101"/>
      <c r="E665" s="24"/>
      <c r="F665" s="25"/>
      <c r="G665" s="26"/>
      <c r="H665" s="27"/>
      <c r="I665" s="20"/>
      <c r="J665" s="21"/>
      <c r="K665" s="28"/>
      <c r="L665" s="19"/>
    </row>
    <row r="666" spans="1:12" ht="13.2">
      <c r="A666" s="22"/>
      <c r="B666" s="16"/>
      <c r="C666" s="23"/>
      <c r="D666" s="101"/>
      <c r="E666" s="24"/>
      <c r="F666" s="25"/>
      <c r="G666" s="26"/>
      <c r="H666" s="27"/>
      <c r="I666" s="20"/>
      <c r="J666" s="21"/>
      <c r="K666" s="28"/>
      <c r="L666" s="19"/>
    </row>
    <row r="667" spans="1:12" ht="13.2">
      <c r="A667" s="22"/>
      <c r="B667" s="16"/>
      <c r="C667" s="23"/>
      <c r="D667" s="101"/>
      <c r="E667" s="24"/>
      <c r="F667" s="25"/>
      <c r="G667" s="26"/>
      <c r="H667" s="27"/>
      <c r="I667" s="20"/>
      <c r="J667" s="21"/>
      <c r="K667" s="28"/>
      <c r="L667" s="19"/>
    </row>
    <row r="668" spans="1:12" ht="13.2">
      <c r="A668" s="22"/>
      <c r="B668" s="16"/>
      <c r="C668" s="23"/>
      <c r="D668" s="101"/>
      <c r="E668" s="24"/>
      <c r="F668" s="25"/>
      <c r="G668" s="26"/>
      <c r="H668" s="27"/>
      <c r="I668" s="20"/>
      <c r="J668" s="21"/>
      <c r="K668" s="28"/>
      <c r="L668" s="19"/>
    </row>
    <row r="669" spans="1:12" ht="13.2">
      <c r="A669" s="22"/>
      <c r="B669" s="16"/>
      <c r="C669" s="23"/>
      <c r="D669" s="101"/>
      <c r="E669" s="24"/>
      <c r="F669" s="25"/>
      <c r="G669" s="26"/>
      <c r="H669" s="27"/>
      <c r="I669" s="20"/>
      <c r="J669" s="21"/>
      <c r="K669" s="28"/>
      <c r="L669" s="19"/>
    </row>
    <row r="670" spans="1:12" ht="13.2">
      <c r="A670" s="22"/>
      <c r="B670" s="16"/>
      <c r="C670" s="23"/>
      <c r="D670" s="101"/>
      <c r="E670" s="24"/>
      <c r="F670" s="25"/>
      <c r="G670" s="26"/>
      <c r="H670" s="27"/>
      <c r="I670" s="20"/>
      <c r="J670" s="21"/>
      <c r="K670" s="28"/>
      <c r="L670" s="19"/>
    </row>
    <row r="671" spans="1:12" ht="13.2">
      <c r="A671" s="22"/>
      <c r="B671" s="16"/>
      <c r="C671" s="23"/>
      <c r="D671" s="101"/>
      <c r="E671" s="24"/>
      <c r="F671" s="25"/>
      <c r="G671" s="26"/>
      <c r="H671" s="27"/>
      <c r="I671" s="20"/>
      <c r="J671" s="21"/>
      <c r="K671" s="28"/>
      <c r="L671" s="19"/>
    </row>
    <row r="672" spans="1:12" ht="13.2">
      <c r="A672" s="22"/>
      <c r="B672" s="16"/>
      <c r="C672" s="23"/>
      <c r="D672" s="101"/>
      <c r="E672" s="24"/>
      <c r="F672" s="25"/>
      <c r="G672" s="26"/>
      <c r="H672" s="27"/>
      <c r="I672" s="20"/>
      <c r="J672" s="21"/>
      <c r="K672" s="28"/>
      <c r="L672" s="19"/>
    </row>
    <row r="673" spans="1:12" ht="13.2">
      <c r="A673" s="22"/>
      <c r="B673" s="16"/>
      <c r="C673" s="23"/>
      <c r="D673" s="101"/>
      <c r="E673" s="24"/>
      <c r="F673" s="25"/>
      <c r="G673" s="26"/>
      <c r="H673" s="27"/>
      <c r="I673" s="20"/>
      <c r="J673" s="21"/>
      <c r="K673" s="28"/>
      <c r="L673" s="19"/>
    </row>
    <row r="674" spans="1:12" ht="13.2">
      <c r="A674" s="22"/>
      <c r="B674" s="16"/>
      <c r="C674" s="23"/>
      <c r="D674" s="101"/>
      <c r="E674" s="24"/>
      <c r="F674" s="25"/>
      <c r="G674" s="26"/>
      <c r="H674" s="27"/>
      <c r="I674" s="20"/>
      <c r="J674" s="21"/>
      <c r="K674" s="28"/>
      <c r="L674" s="19"/>
    </row>
    <row r="675" spans="1:12" ht="13.2">
      <c r="A675" s="22"/>
      <c r="B675" s="16"/>
      <c r="C675" s="23"/>
      <c r="D675" s="101"/>
      <c r="E675" s="24"/>
      <c r="F675" s="25"/>
      <c r="G675" s="26"/>
      <c r="H675" s="27"/>
      <c r="I675" s="20"/>
      <c r="J675" s="21"/>
      <c r="K675" s="28"/>
      <c r="L675" s="19"/>
    </row>
    <row r="676" spans="1:12" ht="13.2">
      <c r="A676" s="22"/>
      <c r="B676" s="16"/>
      <c r="C676" s="23"/>
      <c r="D676" s="101"/>
      <c r="E676" s="24"/>
      <c r="F676" s="25"/>
      <c r="G676" s="26"/>
      <c r="H676" s="27"/>
      <c r="I676" s="20"/>
      <c r="J676" s="21"/>
      <c r="K676" s="28"/>
      <c r="L676" s="19"/>
    </row>
    <row r="677" spans="1:12" ht="13.2">
      <c r="A677" s="22"/>
      <c r="B677" s="16"/>
      <c r="C677" s="23"/>
      <c r="D677" s="101"/>
      <c r="E677" s="24"/>
      <c r="F677" s="25"/>
      <c r="G677" s="26"/>
      <c r="H677" s="27"/>
      <c r="I677" s="20"/>
      <c r="J677" s="21"/>
      <c r="K677" s="28"/>
      <c r="L677" s="19"/>
    </row>
    <row r="678" spans="1:12" ht="13.2">
      <c r="A678" s="22"/>
      <c r="B678" s="16"/>
      <c r="C678" s="23"/>
      <c r="D678" s="101"/>
      <c r="E678" s="24"/>
      <c r="F678" s="25"/>
      <c r="G678" s="26"/>
      <c r="H678" s="27"/>
      <c r="I678" s="20"/>
      <c r="J678" s="21"/>
      <c r="K678" s="28"/>
      <c r="L678" s="19"/>
    </row>
    <row r="679" spans="1:12" ht="13.2">
      <c r="A679" s="22"/>
      <c r="B679" s="16"/>
      <c r="C679" s="23"/>
      <c r="D679" s="101"/>
      <c r="E679" s="24"/>
      <c r="F679" s="25"/>
      <c r="G679" s="26"/>
      <c r="H679" s="27"/>
      <c r="I679" s="20"/>
      <c r="J679" s="21"/>
      <c r="K679" s="28"/>
      <c r="L679" s="19"/>
    </row>
    <row r="680" spans="1:12" ht="13.2">
      <c r="A680" s="22"/>
      <c r="B680" s="16"/>
      <c r="C680" s="23"/>
      <c r="D680" s="101"/>
      <c r="E680" s="24"/>
      <c r="F680" s="25"/>
      <c r="G680" s="26"/>
      <c r="H680" s="27"/>
      <c r="I680" s="20"/>
      <c r="J680" s="21"/>
      <c r="K680" s="28"/>
      <c r="L680" s="19"/>
    </row>
    <row r="681" spans="1:12" ht="13.2">
      <c r="A681" s="22"/>
      <c r="B681" s="16"/>
      <c r="C681" s="23"/>
      <c r="D681" s="101"/>
      <c r="E681" s="24"/>
      <c r="F681" s="25"/>
      <c r="G681" s="26"/>
      <c r="H681" s="27"/>
      <c r="I681" s="20"/>
      <c r="J681" s="21"/>
      <c r="K681" s="28"/>
      <c r="L681" s="19"/>
    </row>
    <row r="682" spans="1:12" ht="13.2">
      <c r="A682" s="22"/>
      <c r="B682" s="16"/>
      <c r="C682" s="23"/>
      <c r="D682" s="101"/>
      <c r="E682" s="24"/>
      <c r="F682" s="25"/>
      <c r="G682" s="26"/>
      <c r="H682" s="27"/>
      <c r="I682" s="20"/>
      <c r="J682" s="21"/>
      <c r="K682" s="28"/>
      <c r="L682" s="19"/>
    </row>
    <row r="683" spans="1:12" ht="13.2">
      <c r="A683" s="22"/>
      <c r="B683" s="16"/>
      <c r="C683" s="23"/>
      <c r="D683" s="101"/>
      <c r="E683" s="24"/>
      <c r="F683" s="25"/>
      <c r="G683" s="26"/>
      <c r="H683" s="27"/>
      <c r="I683" s="20"/>
      <c r="J683" s="21"/>
      <c r="K683" s="28"/>
      <c r="L683" s="19"/>
    </row>
    <row r="684" spans="1:12" ht="13.2">
      <c r="A684" s="22"/>
      <c r="B684" s="16"/>
      <c r="C684" s="23"/>
      <c r="D684" s="101"/>
      <c r="E684" s="24"/>
      <c r="F684" s="25"/>
      <c r="G684" s="26"/>
      <c r="H684" s="27"/>
      <c r="I684" s="20"/>
      <c r="J684" s="21"/>
      <c r="K684" s="28"/>
      <c r="L684" s="19"/>
    </row>
    <row r="685" spans="1:12" ht="13.2">
      <c r="A685" s="22"/>
      <c r="B685" s="16"/>
      <c r="C685" s="23"/>
      <c r="D685" s="101"/>
      <c r="E685" s="24"/>
      <c r="F685" s="25"/>
      <c r="G685" s="26"/>
      <c r="H685" s="27"/>
      <c r="I685" s="20"/>
      <c r="J685" s="21"/>
      <c r="K685" s="28"/>
      <c r="L685" s="19"/>
    </row>
    <row r="686" spans="1:12" ht="13.2">
      <c r="A686" s="22"/>
      <c r="B686" s="16"/>
      <c r="C686" s="23"/>
      <c r="D686" s="101"/>
      <c r="E686" s="24"/>
      <c r="F686" s="25"/>
      <c r="G686" s="26"/>
      <c r="H686" s="27"/>
      <c r="I686" s="20"/>
      <c r="J686" s="21"/>
      <c r="K686" s="28"/>
      <c r="L686" s="19"/>
    </row>
    <row r="687" spans="1:12" ht="13.2">
      <c r="A687" s="22"/>
      <c r="B687" s="16"/>
      <c r="C687" s="23"/>
      <c r="D687" s="101"/>
      <c r="E687" s="24"/>
      <c r="F687" s="25"/>
      <c r="G687" s="26"/>
      <c r="H687" s="27"/>
      <c r="I687" s="20"/>
      <c r="J687" s="21"/>
      <c r="K687" s="28"/>
      <c r="L687" s="19"/>
    </row>
    <row r="688" spans="1:12" ht="13.2">
      <c r="A688" s="22"/>
      <c r="B688" s="16"/>
      <c r="C688" s="23"/>
      <c r="D688" s="101"/>
      <c r="E688" s="24"/>
      <c r="F688" s="25"/>
      <c r="G688" s="26"/>
      <c r="H688" s="27"/>
      <c r="I688" s="20"/>
      <c r="J688" s="21"/>
      <c r="K688" s="28"/>
      <c r="L688" s="19"/>
    </row>
    <row r="689" spans="1:12" ht="13.2">
      <c r="A689" s="22"/>
      <c r="B689" s="16"/>
      <c r="C689" s="23"/>
      <c r="D689" s="101"/>
      <c r="E689" s="24"/>
      <c r="F689" s="25"/>
      <c r="G689" s="26"/>
      <c r="H689" s="27"/>
      <c r="I689" s="20"/>
      <c r="J689" s="21"/>
      <c r="K689" s="28"/>
      <c r="L689" s="19"/>
    </row>
    <row r="690" spans="1:12" ht="13.2">
      <c r="A690" s="22"/>
      <c r="B690" s="16"/>
      <c r="C690" s="23"/>
      <c r="D690" s="101"/>
      <c r="E690" s="24"/>
      <c r="F690" s="25"/>
      <c r="G690" s="26"/>
      <c r="H690" s="27"/>
      <c r="I690" s="20"/>
      <c r="J690" s="21"/>
      <c r="K690" s="28"/>
      <c r="L690" s="19"/>
    </row>
    <row r="691" spans="1:12" ht="13.2">
      <c r="A691" s="22"/>
      <c r="B691" s="16"/>
      <c r="C691" s="23"/>
      <c r="D691" s="101"/>
      <c r="E691" s="24"/>
      <c r="F691" s="25"/>
      <c r="G691" s="26"/>
      <c r="H691" s="27"/>
      <c r="I691" s="20"/>
      <c r="J691" s="21"/>
      <c r="K691" s="28"/>
      <c r="L691" s="19"/>
    </row>
    <row r="692" spans="1:12" ht="13.2">
      <c r="A692" s="22"/>
      <c r="B692" s="16"/>
      <c r="C692" s="23"/>
      <c r="D692" s="101"/>
      <c r="E692" s="24"/>
      <c r="F692" s="25"/>
      <c r="G692" s="26"/>
      <c r="H692" s="27"/>
      <c r="I692" s="20"/>
      <c r="J692" s="21"/>
      <c r="K692" s="28"/>
      <c r="L692" s="19"/>
    </row>
    <row r="693" spans="1:12" ht="13.2">
      <c r="A693" s="22"/>
      <c r="B693" s="16"/>
      <c r="C693" s="23"/>
      <c r="D693" s="101"/>
      <c r="E693" s="24"/>
      <c r="F693" s="25"/>
      <c r="G693" s="26"/>
      <c r="H693" s="27"/>
      <c r="I693" s="20"/>
      <c r="J693" s="21"/>
      <c r="K693" s="28"/>
      <c r="L693" s="19"/>
    </row>
    <row r="694" spans="1:12" ht="13.2">
      <c r="A694" s="22"/>
      <c r="B694" s="16"/>
      <c r="C694" s="23"/>
      <c r="D694" s="101"/>
      <c r="E694" s="24"/>
      <c r="F694" s="25"/>
      <c r="G694" s="26"/>
      <c r="H694" s="27"/>
      <c r="I694" s="20"/>
      <c r="J694" s="21"/>
      <c r="K694" s="28"/>
      <c r="L694" s="19"/>
    </row>
    <row r="695" spans="1:12" ht="13.2">
      <c r="A695" s="22"/>
      <c r="B695" s="16"/>
      <c r="C695" s="23"/>
      <c r="D695" s="101"/>
      <c r="E695" s="24"/>
      <c r="F695" s="25"/>
      <c r="G695" s="26"/>
      <c r="H695" s="27"/>
      <c r="I695" s="20"/>
      <c r="J695" s="21"/>
      <c r="K695" s="28"/>
      <c r="L695" s="19"/>
    </row>
    <row r="696" spans="1:12" ht="13.2">
      <c r="A696" s="22"/>
      <c r="B696" s="16"/>
      <c r="C696" s="23"/>
      <c r="D696" s="101"/>
      <c r="E696" s="24"/>
      <c r="F696" s="25"/>
      <c r="G696" s="26"/>
      <c r="H696" s="27"/>
      <c r="I696" s="20"/>
      <c r="J696" s="21"/>
      <c r="K696" s="28"/>
      <c r="L696" s="19"/>
    </row>
    <row r="697" spans="1:12" ht="13.2">
      <c r="A697" s="22"/>
      <c r="B697" s="16"/>
      <c r="C697" s="23"/>
      <c r="D697" s="101"/>
      <c r="E697" s="24"/>
      <c r="F697" s="25"/>
      <c r="G697" s="26"/>
      <c r="H697" s="27"/>
      <c r="I697" s="20"/>
      <c r="J697" s="21"/>
      <c r="K697" s="28"/>
      <c r="L697" s="19"/>
    </row>
    <row r="698" spans="1:12" ht="13.2">
      <c r="A698" s="22"/>
      <c r="B698" s="16"/>
      <c r="C698" s="23"/>
      <c r="D698" s="101"/>
      <c r="E698" s="24"/>
      <c r="F698" s="25"/>
      <c r="G698" s="26"/>
      <c r="H698" s="27"/>
      <c r="I698" s="20"/>
      <c r="J698" s="21"/>
      <c r="K698" s="28"/>
      <c r="L698" s="19"/>
    </row>
    <row r="699" spans="1:12" ht="13.2">
      <c r="A699" s="22"/>
      <c r="B699" s="16"/>
      <c r="C699" s="23"/>
      <c r="D699" s="101"/>
      <c r="E699" s="24"/>
      <c r="F699" s="25"/>
      <c r="G699" s="26"/>
      <c r="H699" s="27"/>
      <c r="I699" s="20"/>
      <c r="J699" s="21"/>
      <c r="K699" s="28"/>
      <c r="L699" s="19"/>
    </row>
    <row r="700" spans="1:12" ht="13.2">
      <c r="A700" s="22"/>
      <c r="B700" s="16"/>
      <c r="C700" s="23"/>
      <c r="D700" s="101"/>
      <c r="E700" s="24"/>
      <c r="F700" s="25"/>
      <c r="G700" s="26"/>
      <c r="H700" s="27"/>
      <c r="I700" s="20"/>
      <c r="J700" s="21"/>
      <c r="K700" s="28"/>
      <c r="L700" s="19"/>
    </row>
    <row r="701" spans="1:12" ht="13.2">
      <c r="A701" s="22"/>
      <c r="B701" s="16"/>
      <c r="C701" s="23"/>
      <c r="D701" s="101"/>
      <c r="E701" s="24"/>
      <c r="F701" s="25"/>
      <c r="G701" s="26"/>
      <c r="H701" s="27"/>
      <c r="I701" s="20"/>
      <c r="J701" s="21"/>
      <c r="K701" s="28"/>
      <c r="L701" s="19"/>
    </row>
    <row r="702" spans="1:12" ht="13.2">
      <c r="A702" s="22"/>
      <c r="B702" s="16"/>
      <c r="C702" s="23"/>
      <c r="D702" s="101"/>
      <c r="E702" s="24"/>
      <c r="F702" s="25"/>
      <c r="G702" s="26"/>
      <c r="H702" s="27"/>
      <c r="I702" s="20"/>
      <c r="J702" s="21"/>
      <c r="K702" s="28"/>
      <c r="L702" s="19"/>
    </row>
    <row r="703" spans="1:12" ht="13.2">
      <c r="A703" s="22"/>
      <c r="B703" s="16"/>
      <c r="C703" s="23"/>
      <c r="D703" s="101"/>
      <c r="E703" s="24"/>
      <c r="F703" s="25"/>
      <c r="G703" s="26"/>
      <c r="H703" s="27"/>
      <c r="I703" s="20"/>
      <c r="J703" s="21"/>
      <c r="K703" s="28"/>
      <c r="L703" s="19"/>
    </row>
    <row r="704" spans="1:12" ht="13.2">
      <c r="A704" s="22"/>
      <c r="B704" s="16"/>
      <c r="C704" s="23"/>
      <c r="D704" s="101"/>
      <c r="E704" s="24"/>
      <c r="F704" s="25"/>
      <c r="G704" s="26"/>
      <c r="H704" s="27"/>
      <c r="I704" s="20"/>
      <c r="J704" s="21"/>
      <c r="K704" s="28"/>
      <c r="L704" s="19"/>
    </row>
    <row r="705" spans="1:12" ht="13.2">
      <c r="A705" s="22"/>
      <c r="B705" s="16"/>
      <c r="C705" s="23"/>
      <c r="D705" s="101"/>
      <c r="E705" s="24"/>
      <c r="F705" s="25"/>
      <c r="G705" s="26"/>
      <c r="H705" s="27"/>
      <c r="I705" s="20"/>
      <c r="J705" s="21"/>
      <c r="K705" s="28"/>
      <c r="L705" s="19"/>
    </row>
    <row r="706" spans="1:12" ht="13.2">
      <c r="A706" s="22"/>
      <c r="B706" s="16"/>
      <c r="C706" s="23"/>
      <c r="D706" s="101"/>
      <c r="E706" s="24"/>
      <c r="F706" s="25"/>
      <c r="G706" s="26"/>
      <c r="H706" s="27"/>
      <c r="I706" s="20"/>
      <c r="J706" s="21"/>
      <c r="K706" s="28"/>
      <c r="L706" s="19"/>
    </row>
    <row r="707" spans="1:12" ht="13.2">
      <c r="A707" s="22"/>
      <c r="B707" s="16"/>
      <c r="C707" s="23"/>
      <c r="D707" s="101"/>
      <c r="E707" s="24"/>
      <c r="F707" s="25"/>
      <c r="G707" s="26"/>
      <c r="H707" s="27"/>
      <c r="I707" s="20"/>
      <c r="J707" s="21"/>
      <c r="K707" s="28"/>
      <c r="L707" s="19"/>
    </row>
    <row r="708" spans="1:12" ht="13.2">
      <c r="A708" s="22"/>
      <c r="B708" s="16"/>
      <c r="C708" s="23"/>
      <c r="D708" s="101"/>
      <c r="E708" s="24"/>
      <c r="F708" s="25"/>
      <c r="G708" s="26"/>
      <c r="H708" s="27"/>
      <c r="I708" s="20"/>
      <c r="J708" s="21"/>
      <c r="K708" s="28"/>
      <c r="L708" s="19"/>
    </row>
    <row r="709" spans="1:12" ht="13.2">
      <c r="A709" s="22"/>
      <c r="B709" s="16"/>
      <c r="C709" s="23"/>
      <c r="D709" s="101"/>
      <c r="E709" s="24"/>
      <c r="F709" s="25"/>
      <c r="G709" s="26"/>
      <c r="H709" s="27"/>
      <c r="I709" s="20"/>
      <c r="J709" s="21"/>
      <c r="K709" s="28"/>
      <c r="L709" s="19"/>
    </row>
    <row r="710" spans="1:12" ht="13.2">
      <c r="A710" s="22"/>
      <c r="B710" s="16"/>
      <c r="C710" s="23"/>
      <c r="D710" s="101"/>
      <c r="E710" s="24"/>
      <c r="F710" s="25"/>
      <c r="G710" s="26"/>
      <c r="H710" s="27"/>
      <c r="I710" s="20"/>
      <c r="J710" s="21"/>
      <c r="K710" s="28"/>
      <c r="L710" s="19"/>
    </row>
    <row r="711" spans="1:12" ht="13.2">
      <c r="A711" s="22"/>
      <c r="B711" s="16"/>
      <c r="C711" s="23"/>
      <c r="D711" s="101"/>
      <c r="E711" s="24"/>
      <c r="F711" s="25"/>
      <c r="G711" s="26"/>
      <c r="H711" s="27"/>
      <c r="I711" s="20"/>
      <c r="J711" s="21"/>
      <c r="K711" s="28"/>
      <c r="L711" s="19"/>
    </row>
    <row r="712" spans="1:12" ht="13.2">
      <c r="A712" s="22"/>
      <c r="B712" s="16"/>
      <c r="C712" s="23"/>
      <c r="D712" s="101"/>
      <c r="E712" s="24"/>
      <c r="F712" s="25"/>
      <c r="G712" s="26"/>
      <c r="H712" s="27"/>
      <c r="I712" s="20"/>
      <c r="J712" s="21"/>
      <c r="K712" s="28"/>
      <c r="L712" s="19"/>
    </row>
    <row r="713" spans="1:12" ht="13.2">
      <c r="A713" s="22"/>
      <c r="B713" s="16"/>
      <c r="C713" s="23"/>
      <c r="D713" s="101"/>
      <c r="E713" s="24"/>
      <c r="F713" s="25"/>
      <c r="G713" s="26"/>
      <c r="H713" s="27"/>
      <c r="I713" s="20"/>
      <c r="J713" s="21"/>
      <c r="K713" s="28"/>
      <c r="L713" s="19"/>
    </row>
    <row r="714" spans="1:12" ht="13.2">
      <c r="A714" s="22"/>
      <c r="B714" s="16"/>
      <c r="C714" s="23"/>
      <c r="D714" s="101"/>
      <c r="E714" s="24"/>
      <c r="F714" s="25"/>
      <c r="G714" s="26"/>
      <c r="H714" s="27"/>
      <c r="I714" s="20"/>
      <c r="J714" s="21"/>
      <c r="K714" s="28"/>
      <c r="L714" s="19"/>
    </row>
    <row r="715" spans="1:12" ht="13.2">
      <c r="A715" s="22"/>
      <c r="B715" s="16"/>
      <c r="C715" s="23"/>
      <c r="D715" s="101"/>
      <c r="E715" s="24"/>
      <c r="F715" s="25"/>
      <c r="G715" s="26"/>
      <c r="H715" s="27"/>
      <c r="I715" s="20"/>
      <c r="J715" s="21"/>
      <c r="K715" s="28"/>
      <c r="L715" s="19"/>
    </row>
    <row r="716" spans="1:12" ht="13.2">
      <c r="A716" s="22"/>
      <c r="B716" s="16"/>
      <c r="C716" s="23"/>
      <c r="D716" s="101"/>
      <c r="E716" s="24"/>
      <c r="F716" s="25"/>
      <c r="G716" s="26"/>
      <c r="H716" s="27"/>
      <c r="I716" s="20"/>
      <c r="J716" s="21"/>
      <c r="K716" s="28"/>
      <c r="L716" s="19"/>
    </row>
    <row r="717" spans="1:12" ht="13.2">
      <c r="A717" s="22"/>
      <c r="B717" s="16"/>
      <c r="C717" s="23"/>
      <c r="D717" s="101"/>
      <c r="E717" s="24"/>
      <c r="F717" s="25"/>
      <c r="G717" s="26"/>
      <c r="H717" s="27"/>
      <c r="I717" s="20"/>
      <c r="J717" s="21"/>
      <c r="K717" s="28"/>
      <c r="L717" s="19"/>
    </row>
    <row r="718" spans="1:12" ht="13.2">
      <c r="A718" s="22"/>
      <c r="B718" s="16"/>
      <c r="C718" s="23"/>
      <c r="D718" s="101"/>
      <c r="E718" s="24"/>
      <c r="F718" s="25"/>
      <c r="G718" s="26"/>
      <c r="H718" s="27"/>
      <c r="I718" s="20"/>
      <c r="J718" s="21"/>
      <c r="K718" s="28"/>
      <c r="L718" s="19"/>
    </row>
    <row r="719" spans="1:12" ht="13.2">
      <c r="A719" s="22"/>
      <c r="B719" s="16"/>
      <c r="C719" s="23"/>
      <c r="D719" s="101"/>
      <c r="E719" s="24"/>
      <c r="F719" s="25"/>
      <c r="G719" s="26"/>
      <c r="H719" s="27"/>
      <c r="I719" s="20"/>
      <c r="J719" s="21"/>
      <c r="K719" s="28"/>
      <c r="L719" s="19"/>
    </row>
    <row r="720" spans="1:12" ht="13.2">
      <c r="A720" s="22"/>
      <c r="B720" s="16"/>
      <c r="C720" s="23"/>
      <c r="D720" s="101"/>
      <c r="E720" s="24"/>
      <c r="F720" s="25"/>
      <c r="G720" s="26"/>
      <c r="H720" s="27"/>
      <c r="I720" s="20"/>
      <c r="J720" s="21"/>
      <c r="K720" s="28"/>
      <c r="L720" s="19"/>
    </row>
    <row r="721" spans="1:12" ht="13.2">
      <c r="A721" s="22"/>
      <c r="B721" s="16"/>
      <c r="C721" s="23"/>
      <c r="D721" s="101"/>
      <c r="E721" s="24"/>
      <c r="F721" s="25"/>
      <c r="G721" s="26"/>
      <c r="H721" s="27"/>
      <c r="I721" s="20"/>
      <c r="J721" s="21"/>
      <c r="K721" s="28"/>
      <c r="L721" s="19"/>
    </row>
    <row r="722" spans="1:12" ht="13.2">
      <c r="A722" s="22"/>
      <c r="B722" s="16"/>
      <c r="C722" s="23"/>
      <c r="D722" s="101"/>
      <c r="E722" s="24"/>
      <c r="F722" s="25"/>
      <c r="G722" s="26"/>
      <c r="H722" s="27"/>
      <c r="I722" s="20"/>
      <c r="J722" s="21"/>
      <c r="K722" s="28"/>
      <c r="L722" s="19"/>
    </row>
    <row r="723" spans="1:12" ht="13.2">
      <c r="A723" s="22"/>
      <c r="B723" s="16"/>
      <c r="C723" s="23"/>
      <c r="D723" s="101"/>
      <c r="E723" s="24"/>
      <c r="F723" s="25"/>
      <c r="G723" s="26"/>
      <c r="H723" s="27"/>
      <c r="I723" s="20"/>
      <c r="J723" s="21"/>
      <c r="K723" s="28"/>
      <c r="L723" s="19"/>
    </row>
    <row r="724" spans="1:12" ht="13.2">
      <c r="A724" s="22"/>
      <c r="B724" s="16"/>
      <c r="C724" s="23"/>
      <c r="D724" s="101"/>
      <c r="E724" s="24"/>
      <c r="F724" s="25"/>
      <c r="G724" s="26"/>
      <c r="H724" s="27"/>
      <c r="I724" s="20"/>
      <c r="J724" s="21"/>
      <c r="K724" s="28"/>
      <c r="L724" s="19"/>
    </row>
    <row r="725" spans="1:12" ht="13.2">
      <c r="A725" s="22"/>
      <c r="B725" s="16"/>
      <c r="C725" s="23"/>
      <c r="D725" s="101"/>
      <c r="E725" s="24"/>
      <c r="F725" s="25"/>
      <c r="G725" s="26"/>
      <c r="H725" s="27"/>
      <c r="I725" s="20"/>
      <c r="J725" s="21"/>
      <c r="K725" s="28"/>
      <c r="L725" s="19"/>
    </row>
    <row r="726" spans="1:12" ht="13.2">
      <c r="A726" s="22"/>
      <c r="B726" s="16"/>
      <c r="C726" s="23"/>
      <c r="D726" s="101"/>
      <c r="E726" s="24"/>
      <c r="F726" s="25"/>
      <c r="G726" s="26"/>
      <c r="H726" s="27"/>
      <c r="I726" s="20"/>
      <c r="J726" s="21"/>
      <c r="K726" s="28"/>
      <c r="L726" s="19"/>
    </row>
    <row r="727" spans="1:12" ht="13.2">
      <c r="A727" s="22"/>
      <c r="B727" s="16"/>
      <c r="C727" s="23"/>
      <c r="D727" s="101"/>
      <c r="E727" s="24"/>
      <c r="F727" s="25"/>
      <c r="G727" s="26"/>
      <c r="H727" s="27"/>
      <c r="I727" s="20"/>
      <c r="J727" s="21"/>
      <c r="K727" s="28"/>
      <c r="L727" s="19"/>
    </row>
    <row r="728" spans="1:12" ht="13.2">
      <c r="A728" s="22"/>
      <c r="B728" s="16"/>
      <c r="C728" s="23"/>
      <c r="D728" s="101"/>
      <c r="E728" s="24"/>
      <c r="F728" s="25"/>
      <c r="G728" s="26"/>
      <c r="H728" s="27"/>
      <c r="I728" s="20"/>
      <c r="J728" s="21"/>
      <c r="K728" s="28"/>
      <c r="L728" s="19"/>
    </row>
    <row r="729" spans="1:12" ht="13.2">
      <c r="A729" s="22"/>
      <c r="B729" s="16"/>
      <c r="C729" s="23"/>
      <c r="D729" s="101"/>
      <c r="E729" s="24"/>
      <c r="F729" s="25"/>
      <c r="G729" s="26"/>
      <c r="H729" s="27"/>
      <c r="I729" s="20"/>
      <c r="J729" s="21"/>
      <c r="K729" s="28"/>
      <c r="L729" s="19"/>
    </row>
    <row r="730" spans="1:12" ht="13.2">
      <c r="A730" s="22"/>
      <c r="B730" s="16"/>
      <c r="C730" s="23"/>
      <c r="D730" s="101"/>
      <c r="E730" s="24"/>
      <c r="F730" s="25"/>
      <c r="G730" s="26"/>
      <c r="H730" s="27"/>
      <c r="I730" s="20"/>
      <c r="J730" s="21"/>
      <c r="K730" s="28"/>
      <c r="L730" s="19"/>
    </row>
    <row r="731" spans="1:12" ht="13.2">
      <c r="A731" s="22"/>
      <c r="B731" s="16"/>
      <c r="C731" s="23"/>
      <c r="D731" s="101"/>
      <c r="E731" s="24"/>
      <c r="F731" s="25"/>
      <c r="G731" s="26"/>
      <c r="H731" s="27"/>
      <c r="I731" s="20"/>
      <c r="J731" s="21"/>
      <c r="K731" s="28"/>
      <c r="L731" s="19"/>
    </row>
    <row r="732" spans="1:12" ht="13.2">
      <c r="A732" s="22"/>
      <c r="B732" s="16"/>
      <c r="C732" s="23"/>
      <c r="D732" s="101"/>
      <c r="E732" s="24"/>
      <c r="F732" s="25"/>
      <c r="G732" s="26"/>
      <c r="H732" s="27"/>
      <c r="I732" s="20"/>
      <c r="J732" s="21"/>
      <c r="K732" s="28"/>
      <c r="L732" s="19"/>
    </row>
    <row r="733" spans="1:12" ht="13.2">
      <c r="A733" s="22"/>
      <c r="B733" s="16"/>
      <c r="C733" s="23"/>
      <c r="D733" s="101"/>
      <c r="E733" s="24"/>
      <c r="F733" s="25"/>
      <c r="G733" s="26"/>
      <c r="H733" s="27"/>
      <c r="I733" s="20"/>
      <c r="J733" s="21"/>
      <c r="K733" s="28"/>
      <c r="L733" s="19"/>
    </row>
    <row r="734" spans="1:12" ht="13.2">
      <c r="A734" s="22"/>
      <c r="B734" s="16"/>
      <c r="C734" s="23"/>
      <c r="D734" s="101"/>
      <c r="E734" s="24"/>
      <c r="F734" s="25"/>
      <c r="G734" s="26"/>
      <c r="H734" s="27"/>
      <c r="I734" s="20"/>
      <c r="J734" s="21"/>
      <c r="K734" s="28"/>
      <c r="L734" s="19"/>
    </row>
    <row r="735" spans="1:12" ht="13.2">
      <c r="A735" s="22"/>
      <c r="B735" s="16"/>
      <c r="C735" s="23"/>
      <c r="D735" s="101"/>
      <c r="E735" s="24"/>
      <c r="F735" s="25"/>
      <c r="G735" s="26"/>
      <c r="H735" s="27"/>
      <c r="I735" s="20"/>
      <c r="J735" s="21"/>
      <c r="K735" s="28"/>
      <c r="L735" s="19"/>
    </row>
    <row r="736" spans="1:12" ht="13.2">
      <c r="A736" s="22"/>
      <c r="B736" s="16"/>
      <c r="C736" s="23"/>
      <c r="D736" s="101"/>
      <c r="E736" s="24"/>
      <c r="F736" s="25"/>
      <c r="G736" s="26"/>
      <c r="H736" s="27"/>
      <c r="I736" s="20"/>
      <c r="J736" s="21"/>
      <c r="K736" s="28"/>
      <c r="L736" s="19"/>
    </row>
    <row r="737" spans="1:12" ht="13.2">
      <c r="A737" s="22"/>
      <c r="B737" s="16"/>
      <c r="C737" s="23"/>
      <c r="D737" s="101"/>
      <c r="E737" s="24"/>
      <c r="F737" s="25"/>
      <c r="G737" s="26"/>
      <c r="H737" s="27"/>
      <c r="I737" s="20"/>
      <c r="J737" s="21"/>
      <c r="K737" s="28"/>
      <c r="L737" s="19"/>
    </row>
    <row r="738" spans="1:12" ht="13.2">
      <c r="A738" s="22"/>
      <c r="B738" s="16"/>
      <c r="C738" s="23"/>
      <c r="D738" s="101"/>
      <c r="E738" s="24"/>
      <c r="F738" s="25"/>
      <c r="G738" s="26"/>
      <c r="H738" s="27"/>
      <c r="I738" s="20"/>
      <c r="J738" s="21"/>
      <c r="K738" s="28"/>
      <c r="L738" s="19"/>
    </row>
    <row r="739" spans="1:12" ht="13.2">
      <c r="A739" s="22"/>
      <c r="B739" s="16"/>
      <c r="C739" s="23"/>
      <c r="D739" s="101"/>
      <c r="E739" s="24"/>
      <c r="F739" s="25"/>
      <c r="G739" s="26"/>
      <c r="H739" s="27"/>
      <c r="I739" s="20"/>
      <c r="J739" s="21"/>
      <c r="K739" s="28"/>
      <c r="L739" s="19"/>
    </row>
    <row r="740" spans="1:12" ht="13.2">
      <c r="A740" s="22"/>
      <c r="B740" s="16"/>
      <c r="C740" s="23"/>
      <c r="D740" s="101"/>
      <c r="E740" s="24"/>
      <c r="F740" s="25"/>
      <c r="G740" s="26"/>
      <c r="H740" s="27"/>
      <c r="I740" s="20"/>
      <c r="J740" s="21"/>
      <c r="K740" s="28"/>
      <c r="L740" s="19"/>
    </row>
    <row r="741" spans="1:12" ht="13.2">
      <c r="A741" s="22"/>
      <c r="B741" s="16"/>
      <c r="C741" s="23"/>
      <c r="D741" s="101"/>
      <c r="E741" s="24"/>
      <c r="F741" s="25"/>
      <c r="G741" s="26"/>
      <c r="H741" s="27"/>
      <c r="I741" s="20"/>
      <c r="J741" s="21"/>
      <c r="K741" s="28"/>
      <c r="L741" s="19"/>
    </row>
    <row r="742" spans="1:12" ht="13.2">
      <c r="A742" s="22"/>
      <c r="B742" s="16"/>
      <c r="C742" s="23"/>
      <c r="D742" s="101"/>
      <c r="E742" s="24"/>
      <c r="F742" s="25"/>
      <c r="G742" s="26"/>
      <c r="H742" s="27"/>
      <c r="I742" s="20"/>
      <c r="J742" s="21"/>
      <c r="K742" s="28"/>
      <c r="L742" s="19"/>
    </row>
    <row r="743" spans="1:12" ht="13.2">
      <c r="A743" s="22"/>
      <c r="B743" s="16"/>
      <c r="C743" s="23"/>
      <c r="D743" s="101"/>
      <c r="E743" s="24"/>
      <c r="F743" s="25"/>
      <c r="G743" s="26"/>
      <c r="H743" s="27"/>
      <c r="I743" s="20"/>
      <c r="J743" s="21"/>
      <c r="K743" s="28"/>
      <c r="L743" s="19"/>
    </row>
    <row r="744" spans="1:12" ht="13.2">
      <c r="A744" s="22"/>
      <c r="B744" s="16"/>
      <c r="C744" s="23"/>
      <c r="D744" s="101"/>
      <c r="E744" s="24"/>
      <c r="F744" s="25"/>
      <c r="G744" s="26"/>
      <c r="H744" s="27"/>
      <c r="I744" s="20"/>
      <c r="J744" s="21"/>
      <c r="K744" s="28"/>
      <c r="L744" s="19"/>
    </row>
    <row r="745" spans="1:12" ht="13.2">
      <c r="A745" s="22"/>
      <c r="B745" s="16"/>
      <c r="C745" s="23"/>
      <c r="D745" s="101"/>
      <c r="E745" s="24"/>
      <c r="F745" s="25"/>
      <c r="G745" s="26"/>
      <c r="H745" s="27"/>
      <c r="I745" s="20"/>
      <c r="J745" s="21"/>
      <c r="K745" s="28"/>
      <c r="L745" s="19"/>
    </row>
    <row r="746" spans="1:12" ht="13.2">
      <c r="A746" s="22"/>
      <c r="B746" s="16"/>
      <c r="C746" s="23"/>
      <c r="D746" s="101"/>
      <c r="E746" s="24"/>
      <c r="F746" s="25"/>
      <c r="G746" s="26"/>
      <c r="H746" s="27"/>
      <c r="I746" s="20"/>
      <c r="J746" s="21"/>
      <c r="K746" s="28"/>
      <c r="L746" s="19"/>
    </row>
    <row r="747" spans="1:12" ht="13.2">
      <c r="A747" s="22"/>
      <c r="B747" s="16"/>
      <c r="C747" s="23"/>
      <c r="D747" s="101"/>
      <c r="E747" s="24"/>
      <c r="F747" s="25"/>
      <c r="G747" s="26"/>
      <c r="H747" s="27"/>
      <c r="I747" s="20"/>
      <c r="J747" s="21"/>
      <c r="K747" s="28"/>
      <c r="L747" s="19"/>
    </row>
    <row r="748" spans="1:12" ht="13.2">
      <c r="A748" s="22"/>
      <c r="B748" s="16"/>
      <c r="C748" s="23"/>
      <c r="D748" s="101"/>
      <c r="E748" s="24"/>
      <c r="F748" s="25"/>
      <c r="G748" s="26"/>
      <c r="H748" s="27"/>
      <c r="I748" s="20"/>
      <c r="J748" s="21"/>
      <c r="K748" s="28"/>
      <c r="L748" s="19"/>
    </row>
    <row r="749" spans="1:12" ht="13.2">
      <c r="A749" s="22"/>
      <c r="B749" s="16"/>
      <c r="C749" s="23"/>
      <c r="D749" s="101"/>
      <c r="E749" s="24"/>
      <c r="F749" s="25"/>
      <c r="G749" s="26"/>
      <c r="H749" s="27"/>
      <c r="I749" s="20"/>
      <c r="J749" s="21"/>
      <c r="K749" s="28"/>
      <c r="L749" s="19"/>
    </row>
    <row r="750" spans="1:12" ht="13.2">
      <c r="A750" s="22"/>
      <c r="B750" s="16"/>
      <c r="C750" s="23"/>
      <c r="D750" s="101"/>
      <c r="E750" s="24"/>
      <c r="F750" s="25"/>
      <c r="G750" s="26"/>
      <c r="H750" s="27"/>
      <c r="I750" s="20"/>
      <c r="J750" s="21"/>
      <c r="K750" s="28"/>
      <c r="L750" s="19"/>
    </row>
    <row r="751" spans="1:12" ht="13.2">
      <c r="A751" s="22"/>
      <c r="B751" s="16"/>
      <c r="C751" s="23"/>
      <c r="D751" s="101"/>
      <c r="E751" s="24"/>
      <c r="F751" s="25"/>
      <c r="G751" s="26"/>
      <c r="H751" s="27"/>
      <c r="I751" s="20"/>
      <c r="J751" s="21"/>
      <c r="K751" s="28"/>
      <c r="L751" s="19"/>
    </row>
    <row r="752" spans="1:12" ht="13.2">
      <c r="A752" s="22"/>
      <c r="B752" s="16"/>
      <c r="C752" s="23"/>
      <c r="D752" s="101"/>
      <c r="E752" s="24"/>
      <c r="F752" s="25"/>
      <c r="G752" s="26"/>
      <c r="H752" s="27"/>
      <c r="I752" s="20"/>
      <c r="J752" s="21"/>
      <c r="K752" s="28"/>
      <c r="L752" s="19"/>
    </row>
    <row r="753" spans="1:12" ht="13.2">
      <c r="A753" s="22"/>
      <c r="B753" s="16"/>
      <c r="C753" s="23"/>
      <c r="D753" s="101"/>
      <c r="E753" s="24"/>
      <c r="F753" s="25"/>
      <c r="G753" s="26"/>
      <c r="H753" s="27"/>
      <c r="I753" s="20"/>
      <c r="J753" s="21"/>
      <c r="K753" s="28"/>
      <c r="L753" s="19"/>
    </row>
    <row r="754" spans="1:12" ht="13.2">
      <c r="A754" s="22"/>
      <c r="B754" s="16"/>
      <c r="C754" s="23"/>
      <c r="D754" s="101"/>
      <c r="E754" s="24"/>
      <c r="F754" s="25"/>
      <c r="G754" s="26"/>
      <c r="H754" s="27"/>
      <c r="I754" s="20"/>
      <c r="J754" s="21"/>
      <c r="K754" s="28"/>
      <c r="L754" s="19"/>
    </row>
    <row r="755" spans="1:12" ht="13.2">
      <c r="A755" s="22"/>
      <c r="B755" s="16"/>
      <c r="C755" s="23"/>
      <c r="D755" s="101"/>
      <c r="E755" s="24"/>
      <c r="F755" s="25"/>
      <c r="G755" s="26"/>
      <c r="H755" s="27"/>
      <c r="I755" s="20"/>
      <c r="J755" s="21"/>
      <c r="K755" s="28"/>
      <c r="L755" s="19"/>
    </row>
    <row r="756" spans="1:12" ht="13.2">
      <c r="A756" s="22"/>
      <c r="B756" s="16"/>
      <c r="C756" s="23"/>
      <c r="D756" s="101"/>
      <c r="E756" s="24"/>
      <c r="F756" s="25"/>
      <c r="G756" s="26"/>
      <c r="H756" s="27"/>
      <c r="I756" s="20"/>
      <c r="J756" s="21"/>
      <c r="K756" s="28"/>
      <c r="L756" s="19"/>
    </row>
    <row r="757" spans="1:12" ht="13.2">
      <c r="A757" s="22"/>
      <c r="B757" s="16"/>
      <c r="C757" s="23"/>
      <c r="D757" s="101"/>
      <c r="E757" s="24"/>
      <c r="F757" s="25"/>
      <c r="G757" s="26"/>
      <c r="H757" s="27"/>
      <c r="I757" s="20"/>
      <c r="J757" s="21"/>
      <c r="K757" s="28"/>
      <c r="L757" s="19"/>
    </row>
    <row r="758" spans="1:12" ht="13.2">
      <c r="A758" s="22"/>
      <c r="B758" s="16"/>
      <c r="C758" s="23"/>
      <c r="D758" s="101"/>
      <c r="E758" s="24"/>
      <c r="F758" s="25"/>
      <c r="G758" s="26"/>
      <c r="H758" s="27"/>
      <c r="I758" s="20"/>
      <c r="J758" s="21"/>
      <c r="K758" s="28"/>
      <c r="L758" s="19"/>
    </row>
    <row r="759" spans="1:12" ht="13.2">
      <c r="A759" s="22"/>
      <c r="B759" s="16"/>
      <c r="C759" s="23"/>
      <c r="D759" s="101"/>
      <c r="E759" s="24"/>
      <c r="F759" s="25"/>
      <c r="G759" s="26"/>
      <c r="H759" s="27"/>
      <c r="I759" s="20"/>
      <c r="J759" s="21"/>
      <c r="K759" s="28"/>
      <c r="L759" s="19"/>
    </row>
    <row r="760" spans="1:12" ht="13.2">
      <c r="A760" s="22"/>
      <c r="B760" s="16"/>
      <c r="C760" s="23"/>
      <c r="D760" s="101"/>
      <c r="E760" s="24"/>
      <c r="F760" s="25"/>
      <c r="G760" s="26"/>
      <c r="H760" s="27"/>
      <c r="I760" s="20"/>
      <c r="J760" s="21"/>
      <c r="K760" s="28"/>
      <c r="L760" s="19"/>
    </row>
    <row r="761" spans="1:12" ht="13.2">
      <c r="A761" s="22"/>
      <c r="B761" s="16"/>
      <c r="C761" s="23"/>
      <c r="D761" s="101"/>
      <c r="E761" s="24"/>
      <c r="F761" s="25"/>
      <c r="G761" s="26"/>
      <c r="H761" s="27"/>
      <c r="I761" s="20"/>
      <c r="J761" s="21"/>
      <c r="K761" s="28"/>
      <c r="L761" s="19"/>
    </row>
    <row r="762" spans="1:12" ht="13.2">
      <c r="A762" s="22"/>
      <c r="B762" s="16"/>
      <c r="C762" s="23"/>
      <c r="D762" s="101"/>
      <c r="E762" s="24"/>
      <c r="F762" s="25"/>
      <c r="G762" s="26"/>
      <c r="H762" s="27"/>
      <c r="I762" s="20"/>
      <c r="J762" s="21"/>
      <c r="K762" s="28"/>
      <c r="L762" s="19"/>
    </row>
    <row r="763" spans="1:12" ht="13.2">
      <c r="A763" s="22"/>
      <c r="B763" s="16"/>
      <c r="C763" s="23"/>
      <c r="D763" s="101"/>
      <c r="E763" s="24"/>
      <c r="F763" s="25"/>
      <c r="G763" s="26"/>
      <c r="H763" s="27"/>
      <c r="I763" s="20"/>
      <c r="J763" s="21"/>
      <c r="K763" s="28"/>
      <c r="L763" s="19"/>
    </row>
    <row r="764" spans="1:12" ht="13.2">
      <c r="A764" s="22"/>
      <c r="B764" s="16"/>
      <c r="C764" s="23"/>
      <c r="D764" s="101"/>
      <c r="E764" s="24"/>
      <c r="F764" s="25"/>
      <c r="G764" s="26"/>
      <c r="H764" s="27"/>
      <c r="I764" s="20"/>
      <c r="J764" s="21"/>
      <c r="K764" s="28"/>
      <c r="L764" s="19"/>
    </row>
    <row r="765" spans="1:12" ht="13.2">
      <c r="A765" s="22"/>
      <c r="B765" s="16"/>
      <c r="C765" s="23"/>
      <c r="D765" s="101"/>
      <c r="E765" s="24"/>
      <c r="F765" s="25"/>
      <c r="G765" s="26"/>
      <c r="H765" s="27"/>
      <c r="I765" s="20"/>
      <c r="J765" s="21"/>
      <c r="K765" s="28"/>
      <c r="L765" s="19"/>
    </row>
    <row r="766" spans="1:12" ht="13.2">
      <c r="A766" s="22"/>
      <c r="B766" s="16"/>
      <c r="C766" s="23"/>
      <c r="D766" s="101"/>
      <c r="E766" s="24"/>
      <c r="F766" s="25"/>
      <c r="G766" s="26"/>
      <c r="H766" s="27"/>
      <c r="I766" s="20"/>
      <c r="J766" s="21"/>
      <c r="K766" s="28"/>
      <c r="L766" s="19"/>
    </row>
    <row r="767" spans="1:12" ht="13.2">
      <c r="A767" s="22"/>
      <c r="B767" s="16"/>
      <c r="C767" s="23"/>
      <c r="D767" s="101"/>
      <c r="E767" s="24"/>
      <c r="F767" s="25"/>
      <c r="G767" s="26"/>
      <c r="H767" s="27"/>
      <c r="I767" s="20"/>
      <c r="J767" s="21"/>
      <c r="K767" s="28"/>
      <c r="L767" s="19"/>
    </row>
    <row r="768" spans="1:12" ht="13.2">
      <c r="A768" s="22"/>
      <c r="B768" s="16"/>
      <c r="C768" s="23"/>
      <c r="D768" s="101"/>
      <c r="E768" s="24"/>
      <c r="F768" s="25"/>
      <c r="G768" s="26"/>
      <c r="H768" s="27"/>
      <c r="I768" s="20"/>
      <c r="J768" s="21"/>
      <c r="K768" s="28"/>
      <c r="L768" s="19"/>
    </row>
    <row r="769" spans="1:12" ht="13.2">
      <c r="A769" s="22"/>
      <c r="B769" s="16"/>
      <c r="C769" s="23"/>
      <c r="D769" s="101"/>
      <c r="E769" s="24"/>
      <c r="F769" s="25"/>
      <c r="G769" s="26"/>
      <c r="H769" s="27"/>
      <c r="I769" s="20"/>
      <c r="J769" s="21"/>
      <c r="K769" s="28"/>
      <c r="L769" s="19"/>
    </row>
    <row r="770" spans="1:12" ht="13.2">
      <c r="A770" s="22"/>
      <c r="B770" s="16"/>
      <c r="C770" s="23"/>
      <c r="D770" s="101"/>
      <c r="E770" s="24"/>
      <c r="F770" s="25"/>
      <c r="G770" s="26"/>
      <c r="H770" s="27"/>
      <c r="I770" s="20"/>
      <c r="J770" s="21"/>
      <c r="K770" s="28"/>
      <c r="L770" s="19"/>
    </row>
    <row r="771" spans="1:12" ht="13.2">
      <c r="A771" s="22"/>
      <c r="B771" s="16"/>
      <c r="C771" s="23"/>
      <c r="D771" s="101"/>
      <c r="E771" s="24"/>
      <c r="F771" s="25"/>
      <c r="G771" s="26"/>
      <c r="H771" s="27"/>
      <c r="I771" s="20"/>
      <c r="J771" s="21"/>
      <c r="K771" s="28"/>
      <c r="L771" s="19"/>
    </row>
    <row r="772" spans="1:12" ht="13.2">
      <c r="A772" s="22"/>
      <c r="B772" s="16"/>
      <c r="C772" s="23"/>
      <c r="D772" s="101"/>
      <c r="E772" s="24"/>
      <c r="F772" s="25"/>
      <c r="G772" s="26"/>
      <c r="H772" s="27"/>
      <c r="I772" s="20"/>
      <c r="J772" s="21"/>
      <c r="K772" s="28"/>
      <c r="L772" s="19"/>
    </row>
    <row r="773" spans="1:12" ht="13.2">
      <c r="A773" s="22"/>
      <c r="B773" s="16"/>
      <c r="C773" s="23"/>
      <c r="D773" s="101"/>
      <c r="E773" s="24"/>
      <c r="F773" s="25"/>
      <c r="G773" s="26"/>
      <c r="H773" s="27"/>
      <c r="I773" s="20"/>
      <c r="J773" s="21"/>
      <c r="K773" s="28"/>
      <c r="L773" s="19"/>
    </row>
    <row r="774" spans="1:12" ht="13.2">
      <c r="A774" s="22"/>
      <c r="B774" s="16"/>
      <c r="C774" s="23"/>
      <c r="D774" s="101"/>
      <c r="E774" s="24"/>
      <c r="F774" s="25"/>
      <c r="G774" s="26"/>
      <c r="H774" s="27"/>
      <c r="I774" s="20"/>
      <c r="J774" s="21"/>
      <c r="K774" s="28"/>
      <c r="L774" s="19"/>
    </row>
    <row r="775" spans="1:12" ht="13.2">
      <c r="A775" s="22"/>
      <c r="B775" s="16"/>
      <c r="C775" s="23"/>
      <c r="D775" s="101"/>
      <c r="E775" s="24"/>
      <c r="F775" s="25"/>
      <c r="G775" s="26"/>
      <c r="H775" s="27"/>
      <c r="I775" s="20"/>
      <c r="J775" s="21"/>
      <c r="K775" s="28"/>
      <c r="L775" s="19"/>
    </row>
    <row r="776" spans="1:12" ht="13.2">
      <c r="A776" s="22"/>
      <c r="B776" s="16"/>
      <c r="C776" s="23"/>
      <c r="D776" s="101"/>
      <c r="E776" s="24"/>
      <c r="F776" s="25"/>
      <c r="G776" s="26"/>
      <c r="H776" s="27"/>
      <c r="I776" s="20"/>
      <c r="J776" s="21"/>
      <c r="K776" s="28"/>
      <c r="L776" s="19"/>
    </row>
    <row r="777" spans="1:12" ht="13.2">
      <c r="A777" s="22"/>
      <c r="B777" s="16"/>
      <c r="C777" s="23"/>
      <c r="D777" s="101"/>
      <c r="E777" s="24"/>
      <c r="F777" s="25"/>
      <c r="G777" s="26"/>
      <c r="H777" s="27"/>
      <c r="I777" s="20"/>
      <c r="J777" s="21"/>
      <c r="K777" s="28"/>
      <c r="L777" s="19"/>
    </row>
    <row r="778" spans="1:12" ht="13.2">
      <c r="A778" s="22"/>
      <c r="B778" s="16"/>
      <c r="C778" s="23"/>
      <c r="D778" s="101"/>
      <c r="E778" s="24"/>
      <c r="F778" s="25"/>
      <c r="G778" s="26"/>
      <c r="H778" s="27"/>
      <c r="I778" s="20"/>
      <c r="J778" s="21"/>
      <c r="K778" s="28"/>
      <c r="L778" s="19"/>
    </row>
    <row r="779" spans="1:12" ht="13.2">
      <c r="A779" s="22"/>
      <c r="B779" s="16"/>
      <c r="C779" s="23"/>
      <c r="D779" s="101"/>
      <c r="E779" s="24"/>
      <c r="F779" s="25"/>
      <c r="G779" s="26"/>
      <c r="H779" s="27"/>
      <c r="I779" s="20"/>
      <c r="J779" s="21"/>
      <c r="K779" s="28"/>
      <c r="L779" s="19"/>
    </row>
    <row r="780" spans="1:12" ht="13.2">
      <c r="A780" s="22"/>
      <c r="B780" s="16"/>
      <c r="C780" s="23"/>
      <c r="D780" s="101"/>
      <c r="E780" s="24"/>
      <c r="F780" s="25"/>
      <c r="G780" s="26"/>
      <c r="H780" s="27"/>
      <c r="I780" s="20"/>
      <c r="J780" s="21"/>
      <c r="K780" s="28"/>
      <c r="L780" s="19"/>
    </row>
    <row r="781" spans="1:12" ht="13.2">
      <c r="A781" s="22"/>
      <c r="B781" s="16"/>
      <c r="C781" s="23"/>
      <c r="D781" s="101"/>
      <c r="E781" s="24"/>
      <c r="F781" s="25"/>
      <c r="G781" s="26"/>
      <c r="H781" s="27"/>
      <c r="I781" s="20"/>
      <c r="J781" s="21"/>
      <c r="K781" s="28"/>
      <c r="L781" s="19"/>
    </row>
    <row r="782" spans="1:12" ht="13.2">
      <c r="A782" s="22"/>
      <c r="B782" s="16"/>
      <c r="C782" s="23"/>
      <c r="D782" s="101"/>
      <c r="E782" s="24"/>
      <c r="F782" s="25"/>
      <c r="G782" s="26"/>
      <c r="H782" s="27"/>
      <c r="I782" s="20"/>
      <c r="J782" s="21"/>
      <c r="K782" s="28"/>
      <c r="L782" s="19"/>
    </row>
    <row r="783" spans="1:12" ht="13.2">
      <c r="A783" s="22"/>
      <c r="B783" s="16"/>
      <c r="C783" s="23"/>
      <c r="D783" s="101"/>
      <c r="E783" s="24"/>
      <c r="F783" s="25"/>
      <c r="G783" s="26"/>
      <c r="H783" s="27"/>
      <c r="I783" s="20"/>
      <c r="J783" s="21"/>
      <c r="K783" s="28"/>
      <c r="L783" s="19"/>
    </row>
    <row r="784" spans="1:12" ht="13.2">
      <c r="A784" s="22"/>
      <c r="B784" s="16"/>
      <c r="C784" s="23"/>
      <c r="D784" s="101"/>
      <c r="E784" s="24"/>
      <c r="F784" s="25"/>
      <c r="G784" s="26"/>
      <c r="H784" s="27"/>
      <c r="I784" s="20"/>
      <c r="J784" s="21"/>
      <c r="K784" s="28"/>
      <c r="L784" s="19"/>
    </row>
    <row r="785" spans="1:12" ht="13.2">
      <c r="A785" s="22"/>
      <c r="B785" s="16"/>
      <c r="C785" s="23"/>
      <c r="D785" s="101"/>
      <c r="E785" s="24"/>
      <c r="F785" s="25"/>
      <c r="G785" s="26"/>
      <c r="H785" s="27"/>
      <c r="I785" s="20"/>
      <c r="J785" s="21"/>
      <c r="K785" s="28"/>
      <c r="L785" s="19"/>
    </row>
    <row r="786" spans="1:12" ht="13.2">
      <c r="A786" s="22"/>
      <c r="B786" s="16"/>
      <c r="C786" s="23"/>
      <c r="D786" s="101"/>
      <c r="E786" s="24"/>
      <c r="F786" s="25"/>
      <c r="G786" s="26"/>
      <c r="H786" s="27"/>
      <c r="I786" s="20"/>
      <c r="J786" s="21"/>
      <c r="K786" s="28"/>
      <c r="L786" s="19"/>
    </row>
    <row r="787" spans="1:12" ht="13.2">
      <c r="A787" s="22"/>
      <c r="B787" s="16"/>
      <c r="C787" s="23"/>
      <c r="D787" s="101"/>
      <c r="E787" s="24"/>
      <c r="F787" s="25"/>
      <c r="G787" s="26"/>
      <c r="H787" s="27"/>
      <c r="I787" s="20"/>
      <c r="J787" s="21"/>
      <c r="K787" s="28"/>
      <c r="L787" s="19"/>
    </row>
    <row r="788" spans="1:12" ht="13.2">
      <c r="A788" s="22"/>
      <c r="B788" s="16"/>
      <c r="C788" s="23"/>
      <c r="D788" s="101"/>
      <c r="E788" s="24"/>
      <c r="F788" s="25"/>
      <c r="G788" s="26"/>
      <c r="H788" s="27"/>
      <c r="I788" s="20"/>
      <c r="J788" s="21"/>
      <c r="K788" s="28"/>
      <c r="L788" s="19"/>
    </row>
    <row r="789" spans="1:12" ht="13.2">
      <c r="A789" s="22"/>
      <c r="B789" s="16"/>
      <c r="C789" s="23"/>
      <c r="D789" s="101"/>
      <c r="E789" s="24"/>
      <c r="F789" s="25"/>
      <c r="G789" s="26"/>
      <c r="H789" s="27"/>
      <c r="I789" s="20"/>
      <c r="J789" s="21"/>
      <c r="K789" s="28"/>
      <c r="L789" s="19"/>
    </row>
    <row r="790" spans="1:12" ht="13.2">
      <c r="A790" s="22"/>
      <c r="B790" s="16"/>
      <c r="C790" s="23"/>
      <c r="D790" s="101"/>
      <c r="E790" s="24"/>
      <c r="F790" s="25"/>
      <c r="G790" s="26"/>
      <c r="H790" s="27"/>
      <c r="I790" s="20"/>
      <c r="J790" s="21"/>
      <c r="K790" s="28"/>
      <c r="L790" s="19"/>
    </row>
    <row r="791" spans="1:12" ht="13.2">
      <c r="A791" s="22"/>
      <c r="B791" s="16"/>
      <c r="C791" s="23"/>
      <c r="D791" s="101"/>
      <c r="E791" s="24"/>
      <c r="F791" s="25"/>
      <c r="G791" s="26"/>
      <c r="H791" s="27"/>
      <c r="I791" s="20"/>
      <c r="J791" s="21"/>
      <c r="K791" s="28"/>
      <c r="L791" s="19"/>
    </row>
    <row r="792" spans="1:12" ht="13.2">
      <c r="A792" s="22"/>
      <c r="B792" s="16"/>
      <c r="C792" s="23"/>
      <c r="D792" s="101"/>
      <c r="E792" s="24"/>
      <c r="F792" s="25"/>
      <c r="G792" s="26"/>
      <c r="H792" s="27"/>
      <c r="I792" s="20"/>
      <c r="J792" s="21"/>
      <c r="K792" s="28"/>
      <c r="L792" s="19"/>
    </row>
    <row r="793" spans="1:12" ht="13.2">
      <c r="A793" s="22"/>
      <c r="B793" s="16"/>
      <c r="C793" s="23"/>
      <c r="D793" s="101"/>
      <c r="E793" s="24"/>
      <c r="F793" s="25"/>
      <c r="G793" s="26"/>
      <c r="H793" s="27"/>
      <c r="I793" s="20"/>
      <c r="J793" s="21"/>
      <c r="K793" s="28"/>
      <c r="L793" s="19"/>
    </row>
    <row r="794" spans="1:12" ht="13.2">
      <c r="A794" s="22"/>
      <c r="B794" s="16"/>
      <c r="C794" s="23"/>
      <c r="D794" s="101"/>
      <c r="E794" s="24"/>
      <c r="F794" s="25"/>
      <c r="G794" s="26"/>
      <c r="H794" s="27"/>
      <c r="I794" s="20"/>
      <c r="J794" s="21"/>
      <c r="K794" s="28"/>
      <c r="L794" s="19"/>
    </row>
    <row r="795" spans="1:12" ht="13.2">
      <c r="A795" s="22"/>
      <c r="B795" s="16"/>
      <c r="C795" s="23"/>
      <c r="D795" s="101"/>
      <c r="E795" s="24"/>
      <c r="F795" s="25"/>
      <c r="G795" s="26"/>
      <c r="H795" s="27"/>
      <c r="I795" s="20"/>
      <c r="J795" s="21"/>
      <c r="K795" s="28"/>
      <c r="L795" s="19"/>
    </row>
    <row r="796" spans="1:12" ht="13.2">
      <c r="A796" s="22"/>
      <c r="B796" s="16"/>
      <c r="C796" s="23"/>
      <c r="D796" s="101"/>
      <c r="E796" s="24"/>
      <c r="F796" s="25"/>
      <c r="G796" s="26"/>
      <c r="H796" s="27"/>
      <c r="I796" s="20"/>
      <c r="J796" s="21"/>
      <c r="K796" s="28"/>
      <c r="L796" s="19"/>
    </row>
    <row r="797" spans="1:12" ht="13.2">
      <c r="A797" s="22"/>
      <c r="B797" s="16"/>
      <c r="C797" s="23"/>
      <c r="D797" s="101"/>
      <c r="E797" s="24"/>
      <c r="F797" s="25"/>
      <c r="G797" s="26"/>
      <c r="H797" s="27"/>
      <c r="I797" s="20"/>
      <c r="J797" s="21"/>
      <c r="K797" s="28"/>
      <c r="L797" s="19"/>
    </row>
    <row r="798" spans="1:12" ht="13.2">
      <c r="A798" s="22"/>
      <c r="B798" s="16"/>
      <c r="C798" s="23"/>
      <c r="D798" s="101"/>
      <c r="E798" s="24"/>
      <c r="F798" s="25"/>
      <c r="G798" s="26"/>
      <c r="H798" s="27"/>
      <c r="I798" s="20"/>
      <c r="J798" s="21"/>
      <c r="K798" s="28"/>
      <c r="L798" s="19"/>
    </row>
    <row r="799" spans="1:12" ht="13.2">
      <c r="A799" s="22"/>
      <c r="B799" s="16"/>
      <c r="C799" s="23"/>
      <c r="D799" s="101"/>
      <c r="E799" s="24"/>
      <c r="F799" s="25"/>
      <c r="G799" s="26"/>
      <c r="H799" s="27"/>
      <c r="I799" s="20"/>
      <c r="J799" s="21"/>
      <c r="K799" s="28"/>
      <c r="L799" s="19"/>
    </row>
    <row r="800" spans="1:12" ht="13.2">
      <c r="A800" s="22"/>
      <c r="B800" s="16"/>
      <c r="C800" s="23"/>
      <c r="D800" s="101"/>
      <c r="E800" s="24"/>
      <c r="F800" s="25"/>
      <c r="G800" s="26"/>
      <c r="H800" s="27"/>
      <c r="I800" s="20"/>
      <c r="J800" s="21"/>
      <c r="K800" s="28"/>
      <c r="L800" s="19"/>
    </row>
    <row r="801" spans="1:12" ht="13.2">
      <c r="A801" s="22"/>
      <c r="B801" s="16"/>
      <c r="C801" s="23"/>
      <c r="D801" s="101"/>
      <c r="E801" s="24"/>
      <c r="F801" s="25"/>
      <c r="G801" s="26"/>
      <c r="H801" s="27"/>
      <c r="I801" s="20"/>
      <c r="J801" s="21"/>
      <c r="K801" s="28"/>
      <c r="L801" s="19"/>
    </row>
    <row r="802" spans="1:12" ht="13.2">
      <c r="A802" s="22"/>
      <c r="B802" s="16"/>
      <c r="C802" s="23"/>
      <c r="D802" s="101"/>
      <c r="E802" s="24"/>
      <c r="F802" s="25"/>
      <c r="G802" s="26"/>
      <c r="H802" s="27"/>
      <c r="I802" s="20"/>
      <c r="J802" s="21"/>
      <c r="K802" s="28"/>
      <c r="L802" s="19"/>
    </row>
    <row r="803" spans="1:12" ht="13.2">
      <c r="A803" s="22"/>
      <c r="B803" s="16"/>
      <c r="C803" s="23"/>
      <c r="D803" s="101"/>
      <c r="E803" s="24"/>
      <c r="F803" s="25"/>
      <c r="G803" s="26"/>
      <c r="H803" s="27"/>
      <c r="I803" s="20"/>
      <c r="J803" s="21"/>
      <c r="K803" s="28"/>
      <c r="L803" s="19"/>
    </row>
    <row r="804" spans="1:12" ht="13.2">
      <c r="A804" s="22"/>
      <c r="B804" s="16"/>
      <c r="C804" s="23"/>
      <c r="D804" s="101"/>
      <c r="E804" s="24"/>
      <c r="F804" s="25"/>
      <c r="G804" s="26"/>
      <c r="H804" s="27"/>
      <c r="I804" s="20"/>
      <c r="J804" s="21"/>
      <c r="K804" s="28"/>
      <c r="L804" s="19"/>
    </row>
    <row r="805" spans="1:12" ht="13.2">
      <c r="A805" s="22"/>
      <c r="B805" s="16"/>
      <c r="C805" s="23"/>
      <c r="D805" s="101"/>
      <c r="E805" s="24"/>
      <c r="F805" s="25"/>
      <c r="G805" s="26"/>
      <c r="H805" s="27"/>
      <c r="I805" s="20"/>
      <c r="J805" s="21"/>
      <c r="K805" s="28"/>
      <c r="L805" s="19"/>
    </row>
    <row r="806" spans="1:12" ht="13.2">
      <c r="A806" s="22"/>
      <c r="B806" s="16"/>
      <c r="C806" s="23"/>
      <c r="D806" s="101"/>
      <c r="E806" s="24"/>
      <c r="F806" s="25"/>
      <c r="G806" s="26"/>
      <c r="H806" s="27"/>
      <c r="I806" s="20"/>
      <c r="J806" s="21"/>
      <c r="K806" s="28"/>
      <c r="L806" s="19"/>
    </row>
    <row r="807" spans="1:12" ht="13.2">
      <c r="A807" s="22"/>
      <c r="B807" s="16"/>
      <c r="C807" s="23"/>
      <c r="D807" s="101"/>
      <c r="E807" s="24"/>
      <c r="F807" s="25"/>
      <c r="G807" s="26"/>
      <c r="H807" s="27"/>
      <c r="I807" s="20"/>
      <c r="J807" s="21"/>
      <c r="K807" s="28"/>
      <c r="L807" s="19"/>
    </row>
    <row r="808" spans="1:12" ht="13.2">
      <c r="A808" s="22"/>
      <c r="B808" s="16"/>
      <c r="C808" s="23"/>
      <c r="D808" s="101"/>
      <c r="E808" s="24"/>
      <c r="F808" s="25"/>
      <c r="G808" s="26"/>
      <c r="H808" s="27"/>
      <c r="I808" s="20"/>
      <c r="J808" s="21"/>
      <c r="K808" s="28"/>
      <c r="L808" s="19"/>
    </row>
    <row r="809" spans="1:12" ht="13.2">
      <c r="A809" s="22"/>
      <c r="B809" s="16"/>
      <c r="C809" s="23"/>
      <c r="D809" s="101"/>
      <c r="E809" s="24"/>
      <c r="F809" s="25"/>
      <c r="G809" s="26"/>
      <c r="H809" s="27"/>
      <c r="I809" s="20"/>
      <c r="J809" s="21"/>
      <c r="K809" s="28"/>
      <c r="L809" s="19"/>
    </row>
    <row r="810" spans="1:12" ht="13.2">
      <c r="A810" s="22"/>
      <c r="B810" s="16"/>
      <c r="C810" s="23"/>
      <c r="D810" s="101"/>
      <c r="E810" s="24"/>
      <c r="F810" s="25"/>
      <c r="G810" s="26"/>
      <c r="H810" s="27"/>
      <c r="I810" s="20"/>
      <c r="J810" s="21"/>
      <c r="K810" s="28"/>
      <c r="L810" s="19"/>
    </row>
    <row r="811" spans="1:12" ht="13.2">
      <c r="A811" s="22"/>
      <c r="B811" s="16"/>
      <c r="C811" s="23"/>
      <c r="D811" s="101"/>
      <c r="E811" s="24"/>
      <c r="F811" s="25"/>
      <c r="G811" s="26"/>
      <c r="H811" s="27"/>
      <c r="I811" s="20"/>
      <c r="J811" s="21"/>
      <c r="K811" s="28"/>
      <c r="L811" s="19"/>
    </row>
    <row r="812" spans="1:12" ht="13.2">
      <c r="A812" s="22"/>
      <c r="B812" s="16"/>
      <c r="C812" s="23"/>
      <c r="D812" s="101"/>
      <c r="E812" s="24"/>
      <c r="F812" s="25"/>
      <c r="G812" s="26"/>
      <c r="H812" s="27"/>
      <c r="I812" s="20"/>
      <c r="J812" s="21"/>
      <c r="K812" s="28"/>
      <c r="L812" s="19"/>
    </row>
    <row r="813" spans="1:12" ht="13.2">
      <c r="A813" s="22"/>
      <c r="B813" s="16"/>
      <c r="C813" s="23"/>
      <c r="D813" s="101"/>
      <c r="E813" s="24"/>
      <c r="F813" s="25"/>
      <c r="G813" s="26"/>
      <c r="H813" s="27"/>
      <c r="I813" s="20"/>
      <c r="J813" s="21"/>
      <c r="K813" s="28"/>
      <c r="L813" s="19"/>
    </row>
    <row r="814" spans="1:12" ht="13.2">
      <c r="A814" s="22"/>
      <c r="B814" s="16"/>
      <c r="C814" s="23"/>
      <c r="D814" s="101"/>
      <c r="E814" s="24"/>
      <c r="F814" s="25"/>
      <c r="G814" s="26"/>
      <c r="H814" s="27"/>
      <c r="I814" s="20"/>
      <c r="J814" s="21"/>
      <c r="K814" s="28"/>
      <c r="L814" s="19"/>
    </row>
    <row r="815" spans="1:12" ht="13.2">
      <c r="A815" s="22"/>
      <c r="B815" s="16"/>
      <c r="C815" s="23"/>
      <c r="D815" s="101"/>
      <c r="E815" s="24"/>
      <c r="F815" s="25"/>
      <c r="G815" s="26"/>
      <c r="H815" s="27"/>
      <c r="I815" s="20"/>
      <c r="J815" s="21"/>
      <c r="K815" s="28"/>
      <c r="L815" s="19"/>
    </row>
    <row r="816" spans="1:12" ht="13.2">
      <c r="A816" s="22"/>
      <c r="B816" s="16"/>
      <c r="C816" s="23"/>
      <c r="D816" s="101"/>
      <c r="E816" s="24"/>
      <c r="F816" s="25"/>
      <c r="G816" s="26"/>
      <c r="H816" s="27"/>
      <c r="I816" s="20"/>
      <c r="J816" s="21"/>
      <c r="K816" s="28"/>
      <c r="L816" s="19"/>
    </row>
    <row r="817" spans="1:12" ht="13.2">
      <c r="A817" s="22"/>
      <c r="B817" s="16"/>
      <c r="C817" s="23"/>
      <c r="D817" s="101"/>
      <c r="E817" s="24"/>
      <c r="F817" s="25"/>
      <c r="G817" s="26"/>
      <c r="H817" s="27"/>
      <c r="I817" s="20"/>
      <c r="J817" s="21"/>
      <c r="K817" s="28"/>
      <c r="L817" s="19"/>
    </row>
    <row r="818" spans="1:12" ht="13.2">
      <c r="A818" s="22"/>
      <c r="B818" s="16"/>
      <c r="C818" s="23"/>
      <c r="D818" s="101"/>
      <c r="E818" s="24"/>
      <c r="F818" s="25"/>
      <c r="G818" s="26"/>
      <c r="H818" s="27"/>
      <c r="I818" s="20"/>
      <c r="J818" s="21"/>
      <c r="K818" s="28"/>
      <c r="L818" s="19"/>
    </row>
    <row r="819" spans="1:12" ht="13.2">
      <c r="A819" s="22"/>
      <c r="B819" s="16"/>
      <c r="C819" s="23"/>
      <c r="D819" s="101"/>
      <c r="E819" s="24"/>
      <c r="F819" s="25"/>
      <c r="G819" s="26"/>
      <c r="H819" s="27"/>
      <c r="I819" s="20"/>
      <c r="J819" s="21"/>
      <c r="K819" s="28"/>
      <c r="L819" s="19"/>
    </row>
    <row r="820" spans="1:12" ht="13.2">
      <c r="A820" s="22"/>
      <c r="B820" s="16"/>
      <c r="C820" s="23"/>
      <c r="D820" s="101"/>
      <c r="E820" s="24"/>
      <c r="F820" s="25"/>
      <c r="G820" s="26"/>
      <c r="H820" s="27"/>
      <c r="I820" s="20"/>
      <c r="J820" s="21"/>
      <c r="K820" s="28"/>
      <c r="L820" s="19"/>
    </row>
    <row r="821" spans="1:12" ht="13.2">
      <c r="A821" s="22"/>
      <c r="B821" s="16"/>
      <c r="C821" s="23"/>
      <c r="D821" s="101"/>
      <c r="E821" s="24"/>
      <c r="F821" s="25"/>
      <c r="G821" s="26"/>
      <c r="H821" s="27"/>
      <c r="I821" s="20"/>
      <c r="J821" s="21"/>
      <c r="K821" s="28"/>
      <c r="L821" s="19"/>
    </row>
    <row r="822" spans="1:12" ht="13.2">
      <c r="A822" s="22"/>
      <c r="B822" s="16"/>
      <c r="C822" s="23"/>
      <c r="D822" s="101"/>
      <c r="E822" s="24"/>
      <c r="F822" s="25"/>
      <c r="G822" s="26"/>
      <c r="H822" s="27"/>
      <c r="I822" s="20"/>
      <c r="J822" s="21"/>
      <c r="K822" s="28"/>
      <c r="L822" s="19"/>
    </row>
    <row r="823" spans="1:12" ht="13.2">
      <c r="A823" s="22"/>
      <c r="B823" s="16"/>
      <c r="C823" s="23"/>
      <c r="D823" s="101"/>
      <c r="E823" s="24"/>
      <c r="F823" s="25"/>
      <c r="G823" s="26"/>
      <c r="H823" s="27"/>
      <c r="I823" s="20"/>
      <c r="J823" s="21"/>
      <c r="K823" s="28"/>
      <c r="L823" s="19"/>
    </row>
    <row r="824" spans="1:12" ht="13.2">
      <c r="A824" s="22"/>
      <c r="B824" s="16"/>
      <c r="C824" s="23"/>
      <c r="D824" s="101"/>
      <c r="E824" s="24"/>
      <c r="F824" s="25"/>
      <c r="G824" s="26"/>
      <c r="H824" s="27"/>
      <c r="I824" s="20"/>
      <c r="J824" s="21"/>
      <c r="K824" s="28"/>
      <c r="L824" s="19"/>
    </row>
    <row r="825" spans="1:12" ht="13.2">
      <c r="A825" s="22"/>
      <c r="B825" s="16"/>
      <c r="C825" s="23"/>
      <c r="D825" s="101"/>
      <c r="E825" s="24"/>
      <c r="F825" s="25"/>
      <c r="G825" s="26"/>
      <c r="H825" s="27"/>
      <c r="I825" s="20"/>
      <c r="J825" s="21"/>
      <c r="K825" s="28"/>
      <c r="L825" s="19"/>
    </row>
    <row r="826" spans="1:12" ht="13.2">
      <c r="A826" s="22"/>
      <c r="B826" s="16"/>
      <c r="C826" s="23"/>
      <c r="D826" s="101"/>
      <c r="E826" s="24"/>
      <c r="F826" s="25"/>
      <c r="G826" s="26"/>
      <c r="H826" s="27"/>
      <c r="I826" s="20"/>
      <c r="J826" s="21"/>
      <c r="K826" s="28"/>
      <c r="L826" s="19"/>
    </row>
    <row r="827" spans="1:12" ht="13.2">
      <c r="A827" s="22"/>
      <c r="B827" s="16"/>
      <c r="C827" s="23"/>
      <c r="D827" s="101"/>
      <c r="E827" s="24"/>
      <c r="F827" s="25"/>
      <c r="G827" s="26"/>
      <c r="H827" s="27"/>
      <c r="I827" s="20"/>
      <c r="J827" s="21"/>
      <c r="K827" s="28"/>
      <c r="L827" s="19"/>
    </row>
    <row r="828" spans="1:12" ht="13.2">
      <c r="A828" s="22"/>
      <c r="B828" s="16"/>
      <c r="C828" s="23"/>
      <c r="D828" s="101"/>
      <c r="E828" s="24"/>
      <c r="F828" s="25"/>
      <c r="G828" s="26"/>
      <c r="H828" s="27"/>
      <c r="I828" s="20"/>
      <c r="J828" s="21"/>
      <c r="K828" s="28"/>
      <c r="L828" s="19"/>
    </row>
    <row r="829" spans="1:12" ht="13.2">
      <c r="A829" s="22"/>
      <c r="B829" s="16"/>
      <c r="C829" s="23"/>
      <c r="D829" s="101"/>
      <c r="E829" s="24"/>
      <c r="F829" s="25"/>
      <c r="G829" s="26"/>
      <c r="H829" s="27"/>
      <c r="I829" s="20"/>
      <c r="J829" s="21"/>
      <c r="K829" s="28"/>
      <c r="L829" s="19"/>
    </row>
    <row r="830" spans="1:12" ht="13.2">
      <c r="A830" s="22"/>
      <c r="B830" s="16"/>
      <c r="C830" s="23"/>
      <c r="D830" s="101"/>
      <c r="E830" s="24"/>
      <c r="F830" s="25"/>
      <c r="G830" s="26"/>
      <c r="H830" s="27"/>
      <c r="I830" s="20"/>
      <c r="J830" s="21"/>
      <c r="K830" s="28"/>
      <c r="L830" s="19"/>
    </row>
    <row r="831" spans="1:12" ht="13.2">
      <c r="A831" s="22"/>
      <c r="B831" s="16"/>
      <c r="C831" s="23"/>
      <c r="D831" s="101"/>
      <c r="E831" s="24"/>
      <c r="F831" s="25"/>
      <c r="G831" s="26"/>
      <c r="H831" s="27"/>
      <c r="I831" s="20"/>
      <c r="J831" s="21"/>
      <c r="K831" s="28"/>
      <c r="L831" s="19"/>
    </row>
    <row r="832" spans="1:12" ht="13.2">
      <c r="A832" s="22"/>
      <c r="B832" s="16"/>
      <c r="C832" s="23"/>
      <c r="D832" s="101"/>
      <c r="E832" s="24"/>
      <c r="F832" s="25"/>
      <c r="G832" s="26"/>
      <c r="H832" s="27"/>
      <c r="I832" s="20"/>
      <c r="J832" s="21"/>
      <c r="K832" s="28"/>
      <c r="L832" s="19"/>
    </row>
    <row r="833" spans="1:12" ht="13.2">
      <c r="A833" s="22"/>
      <c r="B833" s="16"/>
      <c r="C833" s="23"/>
      <c r="D833" s="101"/>
      <c r="E833" s="24"/>
      <c r="F833" s="25"/>
      <c r="G833" s="26"/>
      <c r="H833" s="27"/>
      <c r="I833" s="20"/>
      <c r="J833" s="21"/>
      <c r="K833" s="28"/>
      <c r="L833" s="19"/>
    </row>
    <row r="834" spans="1:12" ht="13.2">
      <c r="A834" s="22"/>
      <c r="B834" s="16"/>
      <c r="C834" s="23"/>
      <c r="D834" s="101"/>
      <c r="E834" s="24"/>
      <c r="F834" s="25"/>
      <c r="G834" s="26"/>
      <c r="H834" s="27"/>
      <c r="I834" s="20"/>
      <c r="J834" s="21"/>
      <c r="K834" s="28"/>
      <c r="L834" s="19"/>
    </row>
    <row r="835" spans="1:12" ht="13.2">
      <c r="A835" s="22"/>
      <c r="B835" s="16"/>
      <c r="C835" s="23"/>
      <c r="D835" s="101"/>
      <c r="E835" s="24"/>
      <c r="F835" s="25"/>
      <c r="G835" s="26"/>
      <c r="H835" s="27"/>
      <c r="I835" s="20"/>
      <c r="J835" s="21"/>
      <c r="K835" s="28"/>
      <c r="L835" s="19"/>
    </row>
    <row r="836" spans="1:12" ht="13.2">
      <c r="A836" s="22"/>
      <c r="B836" s="16"/>
      <c r="C836" s="23"/>
      <c r="D836" s="101"/>
      <c r="E836" s="24"/>
      <c r="F836" s="25"/>
      <c r="G836" s="26"/>
      <c r="H836" s="27"/>
      <c r="I836" s="20"/>
      <c r="J836" s="21"/>
      <c r="K836" s="28"/>
      <c r="L836" s="19"/>
    </row>
    <row r="837" spans="1:12" ht="13.2">
      <c r="A837" s="22"/>
      <c r="B837" s="16"/>
      <c r="C837" s="23"/>
      <c r="D837" s="101"/>
      <c r="E837" s="24"/>
      <c r="F837" s="25"/>
      <c r="G837" s="26"/>
      <c r="H837" s="27"/>
      <c r="I837" s="20"/>
      <c r="J837" s="21"/>
      <c r="K837" s="28"/>
      <c r="L837" s="19"/>
    </row>
    <row r="838" spans="1:12" ht="13.2">
      <c r="A838" s="22"/>
      <c r="B838" s="16"/>
      <c r="C838" s="23"/>
      <c r="D838" s="101"/>
      <c r="E838" s="24"/>
      <c r="F838" s="25"/>
      <c r="G838" s="26"/>
      <c r="H838" s="27"/>
      <c r="I838" s="20"/>
      <c r="J838" s="21"/>
      <c r="K838" s="28"/>
      <c r="L838" s="19"/>
    </row>
    <row r="839" spans="1:12" ht="13.2">
      <c r="A839" s="22"/>
      <c r="B839" s="16"/>
      <c r="C839" s="23"/>
      <c r="D839" s="101"/>
      <c r="E839" s="24"/>
      <c r="F839" s="25"/>
      <c r="G839" s="26"/>
      <c r="H839" s="27"/>
      <c r="I839" s="20"/>
      <c r="J839" s="21"/>
      <c r="K839" s="28"/>
      <c r="L839" s="19"/>
    </row>
    <row r="840" spans="1:12" ht="13.2">
      <c r="A840" s="22"/>
      <c r="B840" s="16"/>
      <c r="C840" s="23"/>
      <c r="D840" s="101"/>
      <c r="E840" s="24"/>
      <c r="F840" s="25"/>
      <c r="G840" s="26"/>
      <c r="H840" s="27"/>
      <c r="I840" s="20"/>
      <c r="J840" s="21"/>
      <c r="K840" s="28"/>
      <c r="L840" s="19"/>
    </row>
    <row r="841" spans="1:12" ht="13.2">
      <c r="A841" s="22"/>
      <c r="B841" s="16"/>
      <c r="C841" s="23"/>
      <c r="D841" s="101"/>
      <c r="E841" s="24"/>
      <c r="F841" s="25"/>
      <c r="G841" s="26"/>
      <c r="H841" s="27"/>
      <c r="I841" s="20"/>
      <c r="J841" s="21"/>
      <c r="K841" s="28"/>
      <c r="L841" s="19"/>
    </row>
    <row r="842" spans="1:12" ht="13.2">
      <c r="A842" s="22"/>
      <c r="B842" s="16"/>
      <c r="C842" s="23"/>
      <c r="D842" s="101"/>
      <c r="E842" s="24"/>
      <c r="F842" s="25"/>
      <c r="G842" s="26"/>
      <c r="H842" s="27"/>
      <c r="I842" s="20"/>
      <c r="J842" s="21"/>
      <c r="K842" s="28"/>
      <c r="L842" s="19"/>
    </row>
    <row r="843" spans="1:12" ht="13.2">
      <c r="A843" s="22"/>
      <c r="B843" s="16"/>
      <c r="C843" s="23"/>
      <c r="D843" s="101"/>
      <c r="E843" s="24"/>
      <c r="F843" s="25"/>
      <c r="G843" s="26"/>
      <c r="H843" s="27"/>
      <c r="I843" s="20"/>
      <c r="J843" s="21"/>
      <c r="K843" s="28"/>
      <c r="L843" s="19"/>
    </row>
    <row r="844" spans="1:12" ht="13.2">
      <c r="A844" s="22"/>
      <c r="B844" s="16"/>
      <c r="C844" s="23"/>
      <c r="D844" s="101"/>
      <c r="E844" s="24"/>
      <c r="F844" s="25"/>
      <c r="G844" s="26"/>
      <c r="H844" s="27"/>
      <c r="I844" s="20"/>
      <c r="J844" s="21"/>
      <c r="K844" s="28"/>
      <c r="L844" s="19"/>
    </row>
    <row r="845" spans="1:12" ht="13.2">
      <c r="A845" s="22"/>
      <c r="B845" s="16"/>
      <c r="C845" s="23"/>
      <c r="D845" s="101"/>
      <c r="E845" s="24"/>
      <c r="F845" s="25"/>
      <c r="G845" s="26"/>
      <c r="H845" s="27"/>
      <c r="I845" s="20"/>
      <c r="J845" s="21"/>
      <c r="K845" s="28"/>
      <c r="L845" s="19"/>
    </row>
    <row r="846" spans="1:12" ht="13.2">
      <c r="A846" s="22"/>
      <c r="B846" s="16"/>
      <c r="C846" s="23"/>
      <c r="D846" s="101"/>
      <c r="E846" s="24"/>
      <c r="F846" s="25"/>
      <c r="G846" s="26"/>
      <c r="H846" s="27"/>
      <c r="I846" s="20"/>
      <c r="J846" s="21"/>
      <c r="K846" s="28"/>
      <c r="L846" s="19"/>
    </row>
    <row r="847" spans="1:12" ht="13.2">
      <c r="A847" s="22"/>
      <c r="B847" s="16"/>
      <c r="C847" s="23"/>
      <c r="D847" s="101"/>
      <c r="E847" s="24"/>
      <c r="F847" s="25"/>
      <c r="G847" s="26"/>
      <c r="H847" s="27"/>
      <c r="I847" s="20"/>
      <c r="J847" s="21"/>
      <c r="K847" s="28"/>
      <c r="L847" s="19"/>
    </row>
    <row r="848" spans="1:12" ht="13.2">
      <c r="A848" s="22"/>
      <c r="B848" s="16"/>
      <c r="C848" s="23"/>
      <c r="D848" s="101"/>
      <c r="E848" s="24"/>
      <c r="F848" s="25"/>
      <c r="G848" s="26"/>
      <c r="H848" s="27"/>
      <c r="I848" s="20"/>
      <c r="J848" s="21"/>
      <c r="K848" s="28"/>
      <c r="L848" s="19"/>
    </row>
    <row r="849" spans="1:12" ht="13.2">
      <c r="A849" s="22"/>
      <c r="B849" s="16"/>
      <c r="C849" s="23"/>
      <c r="D849" s="101"/>
      <c r="E849" s="24"/>
      <c r="F849" s="25"/>
      <c r="G849" s="26"/>
      <c r="H849" s="27"/>
      <c r="I849" s="20"/>
      <c r="J849" s="21"/>
      <c r="K849" s="28"/>
      <c r="L849" s="19"/>
    </row>
    <row r="850" spans="1:12" ht="13.2">
      <c r="A850" s="22"/>
      <c r="B850" s="16"/>
      <c r="C850" s="23"/>
      <c r="D850" s="101"/>
      <c r="E850" s="24"/>
      <c r="F850" s="25"/>
      <c r="G850" s="26"/>
      <c r="H850" s="27"/>
      <c r="I850" s="20"/>
      <c r="J850" s="21"/>
      <c r="K850" s="28"/>
      <c r="L850" s="19"/>
    </row>
    <row r="851" spans="1:12" ht="13.2">
      <c r="A851" s="22"/>
      <c r="B851" s="16"/>
      <c r="C851" s="23"/>
      <c r="D851" s="101"/>
      <c r="E851" s="24"/>
      <c r="F851" s="25"/>
      <c r="G851" s="26"/>
      <c r="H851" s="27"/>
      <c r="I851" s="20"/>
      <c r="J851" s="21"/>
      <c r="K851" s="28"/>
      <c r="L851" s="19"/>
    </row>
    <row r="852" spans="1:12" ht="13.2">
      <c r="A852" s="22"/>
      <c r="B852" s="16"/>
      <c r="C852" s="23"/>
      <c r="D852" s="101"/>
      <c r="E852" s="24"/>
      <c r="F852" s="25"/>
      <c r="G852" s="26"/>
      <c r="H852" s="27"/>
      <c r="I852" s="20"/>
      <c r="J852" s="21"/>
      <c r="K852" s="28"/>
      <c r="L852" s="19"/>
    </row>
    <row r="853" spans="1:12" ht="13.2">
      <c r="A853" s="22"/>
      <c r="B853" s="16"/>
      <c r="C853" s="23"/>
      <c r="D853" s="101"/>
      <c r="E853" s="24"/>
      <c r="F853" s="25"/>
      <c r="G853" s="26"/>
      <c r="H853" s="27"/>
      <c r="I853" s="20"/>
      <c r="J853" s="21"/>
      <c r="K853" s="28"/>
      <c r="L853" s="19"/>
    </row>
    <row r="854" spans="1:12" ht="13.2">
      <c r="A854" s="22"/>
      <c r="B854" s="16"/>
      <c r="C854" s="23"/>
      <c r="D854" s="101"/>
      <c r="E854" s="24"/>
      <c r="F854" s="25"/>
      <c r="G854" s="26"/>
      <c r="H854" s="27"/>
      <c r="I854" s="20"/>
      <c r="J854" s="21"/>
      <c r="K854" s="28"/>
      <c r="L854" s="19"/>
    </row>
    <row r="855" spans="1:12" ht="13.2">
      <c r="A855" s="22"/>
      <c r="B855" s="16"/>
      <c r="C855" s="23"/>
      <c r="D855" s="101"/>
      <c r="E855" s="24"/>
      <c r="F855" s="25"/>
      <c r="G855" s="26"/>
      <c r="H855" s="27"/>
      <c r="I855" s="20"/>
      <c r="J855" s="21"/>
      <c r="K855" s="28"/>
      <c r="L855" s="19"/>
    </row>
    <row r="856" spans="1:12" ht="13.2">
      <c r="A856" s="22"/>
      <c r="B856" s="16"/>
      <c r="C856" s="23"/>
      <c r="D856" s="101"/>
      <c r="E856" s="24"/>
      <c r="F856" s="25"/>
      <c r="G856" s="26"/>
      <c r="H856" s="27"/>
      <c r="I856" s="20"/>
      <c r="J856" s="21"/>
      <c r="K856" s="28"/>
      <c r="L856" s="19"/>
    </row>
    <row r="857" spans="1:12" ht="13.2">
      <c r="A857" s="22"/>
      <c r="B857" s="16"/>
      <c r="C857" s="23"/>
      <c r="D857" s="101"/>
      <c r="E857" s="24"/>
      <c r="F857" s="25"/>
      <c r="G857" s="26"/>
      <c r="H857" s="27"/>
      <c r="I857" s="20"/>
      <c r="J857" s="21"/>
      <c r="K857" s="28"/>
      <c r="L857" s="19"/>
    </row>
    <row r="858" spans="1:12" ht="13.2">
      <c r="A858" s="22"/>
      <c r="B858" s="16"/>
      <c r="C858" s="23"/>
      <c r="D858" s="101"/>
      <c r="E858" s="24"/>
      <c r="F858" s="25"/>
      <c r="G858" s="26"/>
      <c r="H858" s="27"/>
      <c r="I858" s="20"/>
      <c r="J858" s="21"/>
      <c r="K858" s="28"/>
      <c r="L858" s="19"/>
    </row>
    <row r="859" spans="1:12" ht="13.2">
      <c r="A859" s="22"/>
      <c r="B859" s="16"/>
      <c r="C859" s="23"/>
      <c r="D859" s="101"/>
      <c r="E859" s="24"/>
      <c r="F859" s="25"/>
      <c r="G859" s="26"/>
      <c r="H859" s="27"/>
      <c r="I859" s="20"/>
      <c r="J859" s="21"/>
      <c r="K859" s="28"/>
      <c r="L859" s="19"/>
    </row>
    <row r="860" spans="1:12" ht="13.2">
      <c r="A860" s="22"/>
      <c r="B860" s="16"/>
      <c r="C860" s="23"/>
      <c r="D860" s="101"/>
      <c r="E860" s="24"/>
      <c r="F860" s="25"/>
      <c r="G860" s="26"/>
      <c r="H860" s="27"/>
      <c r="I860" s="20"/>
      <c r="J860" s="21"/>
      <c r="K860" s="28"/>
      <c r="L860" s="19"/>
    </row>
    <row r="861" spans="1:12" ht="13.2">
      <c r="A861" s="22"/>
      <c r="B861" s="16"/>
      <c r="C861" s="23"/>
      <c r="D861" s="101"/>
      <c r="E861" s="24"/>
      <c r="F861" s="25"/>
      <c r="G861" s="26"/>
      <c r="H861" s="27"/>
      <c r="I861" s="20"/>
      <c r="J861" s="21"/>
      <c r="K861" s="28"/>
      <c r="L861" s="19"/>
    </row>
    <row r="862" spans="1:12" ht="13.2">
      <c r="A862" s="22"/>
      <c r="B862" s="16"/>
      <c r="C862" s="23"/>
      <c r="D862" s="101"/>
      <c r="E862" s="24"/>
      <c r="F862" s="25"/>
      <c r="G862" s="26"/>
      <c r="H862" s="27"/>
      <c r="I862" s="20"/>
      <c r="J862" s="21"/>
      <c r="K862" s="28"/>
      <c r="L862" s="19"/>
    </row>
    <row r="863" spans="1:12" ht="13.2">
      <c r="A863" s="22"/>
      <c r="B863" s="16"/>
      <c r="C863" s="23"/>
      <c r="D863" s="101"/>
      <c r="E863" s="24"/>
      <c r="F863" s="25"/>
      <c r="G863" s="26"/>
      <c r="H863" s="27"/>
      <c r="I863" s="20"/>
      <c r="J863" s="21"/>
      <c r="K863" s="28"/>
      <c r="L863" s="19"/>
    </row>
    <row r="864" spans="1:12" ht="13.2">
      <c r="A864" s="22"/>
      <c r="B864" s="16"/>
      <c r="C864" s="23"/>
      <c r="D864" s="101"/>
      <c r="E864" s="24"/>
      <c r="F864" s="25"/>
      <c r="G864" s="26"/>
      <c r="H864" s="27"/>
      <c r="I864" s="20"/>
      <c r="J864" s="21"/>
      <c r="K864" s="28"/>
      <c r="L864" s="19"/>
    </row>
    <row r="865" spans="1:12" ht="13.2">
      <c r="A865" s="22"/>
      <c r="B865" s="16"/>
      <c r="C865" s="23"/>
      <c r="D865" s="101"/>
      <c r="E865" s="24"/>
      <c r="F865" s="25"/>
      <c r="G865" s="26"/>
      <c r="H865" s="27"/>
      <c r="I865" s="20"/>
      <c r="J865" s="21"/>
      <c r="K865" s="28"/>
      <c r="L865" s="19"/>
    </row>
    <row r="866" spans="1:12" ht="13.2">
      <c r="A866" s="22"/>
      <c r="B866" s="16"/>
      <c r="C866" s="23"/>
      <c r="D866" s="101"/>
      <c r="E866" s="24"/>
      <c r="F866" s="25"/>
      <c r="G866" s="26"/>
      <c r="H866" s="27"/>
      <c r="I866" s="20"/>
      <c r="J866" s="21"/>
      <c r="K866" s="28"/>
      <c r="L866" s="19"/>
    </row>
    <row r="867" spans="1:12" ht="13.2">
      <c r="A867" s="22"/>
      <c r="B867" s="16"/>
      <c r="C867" s="23"/>
      <c r="D867" s="101"/>
      <c r="E867" s="24"/>
      <c r="F867" s="25"/>
      <c r="G867" s="26"/>
      <c r="H867" s="27"/>
      <c r="I867" s="20"/>
      <c r="J867" s="21"/>
      <c r="K867" s="28"/>
      <c r="L867" s="19"/>
    </row>
    <row r="868" spans="1:12" ht="13.2">
      <c r="A868" s="22"/>
      <c r="B868" s="16"/>
      <c r="C868" s="23"/>
      <c r="D868" s="101"/>
      <c r="E868" s="24"/>
      <c r="F868" s="25"/>
      <c r="G868" s="26"/>
      <c r="H868" s="27"/>
      <c r="I868" s="20"/>
      <c r="J868" s="21"/>
      <c r="K868" s="28"/>
      <c r="L868" s="19"/>
    </row>
    <row r="869" spans="1:12" ht="13.2">
      <c r="A869" s="22"/>
      <c r="B869" s="16"/>
      <c r="C869" s="23"/>
      <c r="D869" s="101"/>
      <c r="E869" s="24"/>
      <c r="F869" s="25"/>
      <c r="G869" s="26"/>
      <c r="H869" s="27"/>
      <c r="I869" s="20"/>
      <c r="J869" s="21"/>
      <c r="K869" s="28"/>
      <c r="L869" s="19"/>
    </row>
    <row r="870" spans="1:12" ht="13.2">
      <c r="A870" s="22"/>
      <c r="B870" s="16"/>
      <c r="C870" s="23"/>
      <c r="D870" s="101"/>
      <c r="E870" s="24"/>
      <c r="F870" s="25"/>
      <c r="G870" s="26"/>
      <c r="H870" s="27"/>
      <c r="I870" s="20"/>
      <c r="J870" s="21"/>
      <c r="K870" s="28"/>
      <c r="L870" s="19"/>
    </row>
    <row r="871" spans="1:12" ht="13.2">
      <c r="A871" s="22"/>
      <c r="B871" s="16"/>
      <c r="C871" s="23"/>
      <c r="D871" s="101"/>
      <c r="E871" s="24"/>
      <c r="F871" s="25"/>
      <c r="G871" s="26"/>
      <c r="H871" s="27"/>
      <c r="I871" s="20"/>
      <c r="J871" s="21"/>
      <c r="K871" s="28"/>
      <c r="L871" s="19"/>
    </row>
    <row r="872" spans="1:12" ht="13.2">
      <c r="A872" s="22"/>
      <c r="B872" s="16"/>
      <c r="C872" s="23"/>
      <c r="D872" s="101"/>
      <c r="E872" s="24"/>
      <c r="F872" s="25"/>
      <c r="G872" s="26"/>
      <c r="H872" s="27"/>
      <c r="I872" s="20"/>
      <c r="J872" s="21"/>
      <c r="K872" s="28"/>
      <c r="L872" s="19"/>
    </row>
    <row r="873" spans="1:12" ht="13.2">
      <c r="A873" s="22"/>
      <c r="B873" s="16"/>
      <c r="C873" s="23"/>
      <c r="D873" s="101"/>
      <c r="E873" s="24"/>
      <c r="F873" s="25"/>
      <c r="G873" s="26"/>
      <c r="H873" s="27"/>
      <c r="I873" s="20"/>
      <c r="J873" s="21"/>
      <c r="K873" s="28"/>
      <c r="L873" s="19"/>
    </row>
    <row r="874" spans="1:12" ht="13.2">
      <c r="A874" s="22"/>
      <c r="B874" s="16"/>
      <c r="C874" s="23"/>
      <c r="D874" s="101"/>
      <c r="E874" s="24"/>
      <c r="F874" s="25"/>
      <c r="G874" s="26"/>
      <c r="H874" s="27"/>
      <c r="I874" s="20"/>
      <c r="J874" s="21"/>
      <c r="K874" s="28"/>
      <c r="L874" s="19"/>
    </row>
    <row r="875" spans="1:12" ht="13.2">
      <c r="A875" s="22"/>
      <c r="B875" s="16"/>
      <c r="C875" s="23"/>
      <c r="D875" s="101"/>
      <c r="E875" s="24"/>
      <c r="F875" s="25"/>
      <c r="G875" s="26"/>
      <c r="H875" s="27"/>
      <c r="I875" s="20"/>
      <c r="J875" s="21"/>
      <c r="K875" s="28"/>
      <c r="L875" s="19"/>
    </row>
    <row r="876" spans="1:12" ht="13.2">
      <c r="A876" s="22"/>
      <c r="B876" s="16"/>
      <c r="C876" s="23"/>
      <c r="D876" s="101"/>
      <c r="E876" s="24"/>
      <c r="F876" s="25"/>
      <c r="G876" s="26"/>
      <c r="H876" s="27"/>
      <c r="I876" s="20"/>
      <c r="J876" s="21"/>
      <c r="K876" s="28"/>
      <c r="L876" s="19"/>
    </row>
    <row r="877" spans="1:12" ht="13.2">
      <c r="A877" s="22"/>
      <c r="B877" s="16"/>
      <c r="C877" s="23"/>
      <c r="D877" s="101"/>
      <c r="E877" s="24"/>
      <c r="F877" s="25"/>
      <c r="G877" s="26"/>
      <c r="H877" s="27"/>
      <c r="I877" s="20"/>
      <c r="J877" s="21"/>
      <c r="K877" s="28"/>
      <c r="L877" s="19"/>
    </row>
    <row r="878" spans="1:12" ht="13.2">
      <c r="A878" s="22"/>
      <c r="B878" s="16"/>
      <c r="C878" s="23"/>
      <c r="D878" s="101"/>
      <c r="E878" s="24"/>
      <c r="F878" s="25"/>
      <c r="G878" s="26"/>
      <c r="H878" s="27"/>
      <c r="I878" s="20"/>
      <c r="J878" s="21"/>
      <c r="K878" s="28"/>
      <c r="L878" s="19"/>
    </row>
    <row r="879" spans="1:12" ht="13.2">
      <c r="A879" s="22"/>
      <c r="B879" s="16"/>
      <c r="C879" s="23"/>
      <c r="D879" s="101"/>
      <c r="E879" s="24"/>
      <c r="F879" s="25"/>
      <c r="G879" s="26"/>
      <c r="H879" s="27"/>
      <c r="I879" s="20"/>
      <c r="J879" s="21"/>
      <c r="K879" s="28"/>
      <c r="L879" s="19"/>
    </row>
    <row r="880" spans="1:12" ht="13.2">
      <c r="A880" s="22"/>
      <c r="B880" s="16"/>
      <c r="C880" s="23"/>
      <c r="D880" s="101"/>
      <c r="E880" s="24"/>
      <c r="F880" s="25"/>
      <c r="G880" s="26"/>
      <c r="H880" s="27"/>
      <c r="I880" s="20"/>
      <c r="J880" s="21"/>
      <c r="K880" s="28"/>
      <c r="L880" s="19"/>
    </row>
    <row r="881" spans="1:12" ht="13.2">
      <c r="A881" s="22"/>
      <c r="B881" s="16"/>
      <c r="C881" s="23"/>
      <c r="D881" s="101"/>
      <c r="E881" s="24"/>
      <c r="F881" s="25"/>
      <c r="G881" s="26"/>
      <c r="H881" s="27"/>
      <c r="I881" s="20"/>
      <c r="J881" s="21"/>
      <c r="K881" s="28"/>
      <c r="L881" s="19"/>
    </row>
    <row r="882" spans="1:12" ht="13.2">
      <c r="A882" s="22"/>
      <c r="B882" s="16"/>
      <c r="C882" s="23"/>
      <c r="D882" s="101"/>
      <c r="E882" s="24"/>
      <c r="F882" s="25"/>
      <c r="G882" s="26"/>
      <c r="H882" s="27"/>
      <c r="I882" s="20"/>
      <c r="J882" s="21"/>
      <c r="K882" s="28"/>
      <c r="L882" s="19"/>
    </row>
    <row r="883" spans="1:12" ht="13.2">
      <c r="A883" s="22"/>
      <c r="B883" s="16"/>
      <c r="C883" s="23"/>
      <c r="D883" s="101"/>
      <c r="E883" s="24"/>
      <c r="F883" s="25"/>
      <c r="G883" s="26"/>
      <c r="H883" s="27"/>
      <c r="I883" s="20"/>
      <c r="J883" s="21"/>
      <c r="K883" s="28"/>
      <c r="L883" s="19"/>
    </row>
    <row r="884" spans="1:12" ht="13.2">
      <c r="A884" s="22"/>
      <c r="B884" s="16"/>
      <c r="C884" s="23"/>
      <c r="D884" s="101"/>
      <c r="E884" s="24"/>
      <c r="F884" s="25"/>
      <c r="G884" s="26"/>
      <c r="H884" s="27"/>
      <c r="I884" s="20"/>
      <c r="J884" s="21"/>
      <c r="K884" s="28"/>
      <c r="L884" s="19"/>
    </row>
    <row r="885" spans="1:12" ht="13.2">
      <c r="A885" s="22"/>
      <c r="B885" s="16"/>
      <c r="C885" s="23"/>
      <c r="D885" s="101"/>
      <c r="E885" s="24"/>
      <c r="F885" s="25"/>
      <c r="G885" s="26"/>
      <c r="H885" s="27"/>
      <c r="I885" s="20"/>
      <c r="J885" s="21"/>
      <c r="K885" s="28"/>
      <c r="L885" s="19"/>
    </row>
    <row r="886" spans="1:12" ht="13.2">
      <c r="A886" s="22"/>
      <c r="B886" s="16"/>
      <c r="C886" s="23"/>
      <c r="D886" s="101"/>
      <c r="E886" s="24"/>
      <c r="F886" s="25"/>
      <c r="G886" s="26"/>
      <c r="H886" s="27"/>
      <c r="I886" s="20"/>
      <c r="J886" s="21"/>
      <c r="K886" s="28"/>
      <c r="L886" s="19"/>
    </row>
    <row r="887" spans="1:12" ht="13.2">
      <c r="A887" s="22"/>
      <c r="B887" s="16"/>
      <c r="C887" s="23"/>
      <c r="D887" s="101"/>
      <c r="E887" s="24"/>
      <c r="F887" s="25"/>
      <c r="G887" s="26"/>
      <c r="H887" s="27"/>
      <c r="I887" s="20"/>
      <c r="J887" s="21"/>
      <c r="K887" s="28"/>
      <c r="L887" s="19"/>
    </row>
    <row r="888" spans="1:12" ht="13.2">
      <c r="A888" s="22"/>
      <c r="B888" s="16"/>
      <c r="C888" s="23"/>
      <c r="D888" s="101"/>
      <c r="E888" s="24"/>
      <c r="F888" s="25"/>
      <c r="G888" s="26"/>
      <c r="H888" s="27"/>
      <c r="I888" s="20"/>
      <c r="J888" s="21"/>
      <c r="K888" s="28"/>
      <c r="L888" s="19"/>
    </row>
    <row r="889" spans="1:12" ht="13.2">
      <c r="A889" s="22"/>
      <c r="B889" s="16"/>
      <c r="C889" s="23"/>
      <c r="D889" s="101"/>
      <c r="E889" s="24"/>
      <c r="F889" s="25"/>
      <c r="G889" s="26"/>
      <c r="H889" s="27"/>
      <c r="I889" s="20"/>
      <c r="J889" s="21"/>
      <c r="K889" s="28"/>
      <c r="L889" s="19"/>
    </row>
    <row r="890" spans="1:12" ht="13.2">
      <c r="A890" s="22"/>
      <c r="B890" s="16"/>
      <c r="C890" s="23"/>
      <c r="D890" s="101"/>
      <c r="E890" s="24"/>
      <c r="F890" s="25"/>
      <c r="G890" s="26"/>
      <c r="H890" s="27"/>
      <c r="I890" s="20"/>
      <c r="J890" s="21"/>
      <c r="K890" s="28"/>
      <c r="L890" s="19"/>
    </row>
    <row r="891" spans="1:12" ht="13.2">
      <c r="A891" s="22"/>
      <c r="B891" s="16"/>
      <c r="C891" s="23"/>
      <c r="D891" s="101"/>
      <c r="E891" s="24"/>
      <c r="F891" s="25"/>
      <c r="G891" s="26"/>
      <c r="H891" s="27"/>
      <c r="I891" s="20"/>
      <c r="J891" s="21"/>
      <c r="K891" s="28"/>
      <c r="L891" s="19"/>
    </row>
    <row r="892" spans="1:12" ht="13.2">
      <c r="A892" s="22"/>
      <c r="B892" s="16"/>
      <c r="C892" s="23"/>
      <c r="D892" s="101"/>
      <c r="E892" s="24"/>
      <c r="F892" s="25"/>
      <c r="G892" s="26"/>
      <c r="H892" s="27"/>
      <c r="I892" s="20"/>
      <c r="J892" s="21"/>
      <c r="K892" s="28"/>
      <c r="L892" s="19"/>
    </row>
    <row r="893" spans="1:12" ht="13.2">
      <c r="A893" s="22"/>
      <c r="B893" s="16"/>
      <c r="C893" s="23"/>
      <c r="D893" s="101"/>
      <c r="E893" s="24"/>
      <c r="F893" s="25"/>
      <c r="G893" s="26"/>
      <c r="H893" s="27"/>
      <c r="I893" s="20"/>
      <c r="J893" s="21"/>
      <c r="K893" s="28"/>
      <c r="L893" s="19"/>
    </row>
    <row r="894" spans="1:12" ht="13.2">
      <c r="A894" s="22"/>
      <c r="B894" s="16"/>
      <c r="C894" s="23"/>
      <c r="D894" s="101"/>
      <c r="E894" s="24"/>
      <c r="F894" s="25"/>
      <c r="G894" s="26"/>
      <c r="H894" s="27"/>
      <c r="I894" s="20"/>
      <c r="J894" s="21"/>
      <c r="K894" s="28"/>
      <c r="L894" s="19"/>
    </row>
    <row r="895" spans="1:12" ht="13.2">
      <c r="A895" s="22"/>
      <c r="B895" s="16"/>
      <c r="C895" s="23"/>
      <c r="D895" s="101"/>
      <c r="E895" s="24"/>
      <c r="F895" s="25"/>
      <c r="G895" s="26"/>
      <c r="H895" s="27"/>
      <c r="I895" s="20"/>
      <c r="J895" s="21"/>
      <c r="K895" s="28"/>
      <c r="L895" s="19"/>
    </row>
    <row r="896" spans="1:12" ht="13.2">
      <c r="A896" s="22"/>
      <c r="B896" s="16"/>
      <c r="C896" s="23"/>
      <c r="D896" s="101"/>
      <c r="E896" s="24"/>
      <c r="F896" s="25"/>
      <c r="G896" s="26"/>
      <c r="H896" s="27"/>
      <c r="I896" s="20"/>
      <c r="J896" s="21"/>
      <c r="K896" s="28"/>
      <c r="L896" s="19"/>
    </row>
    <row r="897" spans="1:12" ht="13.2">
      <c r="A897" s="22"/>
      <c r="B897" s="16"/>
      <c r="C897" s="23"/>
      <c r="D897" s="101"/>
      <c r="E897" s="24"/>
      <c r="F897" s="25"/>
      <c r="G897" s="26"/>
      <c r="H897" s="27"/>
      <c r="I897" s="20"/>
      <c r="J897" s="21"/>
      <c r="K897" s="28"/>
      <c r="L897" s="19"/>
    </row>
    <row r="898" spans="1:12" ht="13.2">
      <c r="A898" s="22"/>
      <c r="B898" s="16"/>
      <c r="C898" s="23"/>
      <c r="D898" s="101"/>
      <c r="E898" s="24"/>
      <c r="F898" s="25"/>
      <c r="G898" s="26"/>
      <c r="H898" s="27"/>
      <c r="I898" s="20"/>
      <c r="J898" s="21"/>
      <c r="K898" s="28"/>
      <c r="L898" s="19"/>
    </row>
    <row r="899" spans="1:12" ht="13.2">
      <c r="A899" s="22"/>
      <c r="B899" s="16"/>
      <c r="C899" s="23"/>
      <c r="D899" s="101"/>
      <c r="E899" s="24"/>
      <c r="F899" s="25"/>
      <c r="G899" s="26"/>
      <c r="H899" s="27"/>
      <c r="I899" s="20"/>
      <c r="J899" s="21"/>
      <c r="K899" s="28"/>
      <c r="L899" s="19"/>
    </row>
    <row r="900" spans="1:12" ht="13.2">
      <c r="A900" s="22"/>
      <c r="B900" s="16"/>
      <c r="C900" s="23"/>
      <c r="D900" s="101"/>
      <c r="E900" s="24"/>
      <c r="F900" s="25"/>
      <c r="G900" s="26"/>
      <c r="H900" s="27"/>
      <c r="I900" s="20"/>
      <c r="J900" s="21"/>
      <c r="K900" s="28"/>
      <c r="L900" s="19"/>
    </row>
    <row r="901" spans="1:12" ht="13.2">
      <c r="A901" s="22"/>
      <c r="B901" s="16"/>
      <c r="C901" s="23"/>
      <c r="D901" s="101"/>
      <c r="E901" s="24"/>
      <c r="F901" s="25"/>
      <c r="G901" s="26"/>
      <c r="H901" s="27"/>
      <c r="I901" s="20"/>
      <c r="J901" s="21"/>
      <c r="K901" s="28"/>
      <c r="L901" s="19"/>
    </row>
    <row r="902" spans="1:12" ht="13.2">
      <c r="A902" s="22"/>
      <c r="B902" s="16"/>
      <c r="C902" s="23"/>
      <c r="D902" s="101"/>
      <c r="E902" s="24"/>
      <c r="F902" s="25"/>
      <c r="G902" s="26"/>
      <c r="H902" s="27"/>
      <c r="I902" s="20"/>
      <c r="J902" s="21"/>
      <c r="K902" s="28"/>
      <c r="L902" s="19"/>
    </row>
    <row r="903" spans="1:12" ht="13.2">
      <c r="A903" s="22"/>
      <c r="B903" s="16"/>
      <c r="C903" s="23"/>
      <c r="D903" s="101"/>
      <c r="E903" s="24"/>
      <c r="F903" s="25"/>
      <c r="G903" s="26"/>
      <c r="H903" s="27"/>
      <c r="I903" s="20"/>
      <c r="J903" s="21"/>
      <c r="K903" s="28"/>
      <c r="L903" s="19"/>
    </row>
    <row r="904" spans="1:12" ht="13.2">
      <c r="A904" s="22"/>
      <c r="B904" s="16"/>
      <c r="C904" s="23"/>
      <c r="D904" s="101"/>
      <c r="E904" s="24"/>
      <c r="F904" s="25"/>
      <c r="G904" s="26"/>
      <c r="H904" s="27"/>
      <c r="I904" s="20"/>
      <c r="J904" s="21"/>
      <c r="K904" s="28"/>
      <c r="L904" s="19"/>
    </row>
    <row r="905" spans="1:12" ht="13.2">
      <c r="A905" s="22"/>
      <c r="B905" s="16"/>
      <c r="C905" s="23"/>
      <c r="D905" s="101"/>
      <c r="E905" s="24"/>
      <c r="F905" s="25"/>
      <c r="G905" s="26"/>
      <c r="H905" s="27"/>
      <c r="I905" s="20"/>
      <c r="J905" s="21"/>
      <c r="K905" s="28"/>
      <c r="L905" s="19"/>
    </row>
    <row r="906" spans="1:12" ht="13.2">
      <c r="A906" s="22"/>
      <c r="B906" s="16"/>
      <c r="C906" s="23"/>
      <c r="D906" s="101"/>
      <c r="E906" s="24"/>
      <c r="F906" s="25"/>
      <c r="G906" s="26"/>
      <c r="H906" s="27"/>
      <c r="I906" s="20"/>
      <c r="J906" s="21"/>
      <c r="K906" s="28"/>
      <c r="L906" s="19"/>
    </row>
    <row r="907" spans="1:12" ht="13.2">
      <c r="A907" s="22"/>
      <c r="B907" s="16"/>
      <c r="C907" s="23"/>
      <c r="D907" s="101"/>
      <c r="E907" s="24"/>
      <c r="F907" s="25"/>
      <c r="G907" s="26"/>
      <c r="H907" s="27"/>
      <c r="I907" s="20"/>
      <c r="J907" s="21"/>
      <c r="K907" s="28"/>
      <c r="L907" s="19"/>
    </row>
    <row r="908" spans="1:12" ht="13.2">
      <c r="A908" s="22"/>
      <c r="B908" s="16"/>
      <c r="C908" s="23"/>
      <c r="D908" s="101"/>
      <c r="E908" s="24"/>
      <c r="F908" s="25"/>
      <c r="G908" s="26"/>
      <c r="H908" s="27"/>
      <c r="I908" s="20"/>
      <c r="J908" s="21"/>
      <c r="K908" s="28"/>
      <c r="L908" s="19"/>
    </row>
    <row r="909" spans="1:12" ht="13.2">
      <c r="A909" s="22"/>
      <c r="B909" s="16"/>
      <c r="C909" s="23"/>
      <c r="D909" s="101"/>
      <c r="E909" s="24"/>
      <c r="F909" s="25"/>
      <c r="G909" s="26"/>
      <c r="H909" s="27"/>
      <c r="I909" s="20"/>
      <c r="J909" s="21"/>
      <c r="K909" s="28"/>
      <c r="L909" s="19"/>
    </row>
    <row r="910" spans="1:12" ht="13.2">
      <c r="A910" s="22"/>
      <c r="B910" s="16"/>
      <c r="C910" s="23"/>
      <c r="D910" s="101"/>
      <c r="E910" s="24"/>
      <c r="F910" s="25"/>
      <c r="G910" s="26"/>
      <c r="H910" s="27"/>
      <c r="I910" s="20"/>
      <c r="J910" s="21"/>
      <c r="K910" s="28"/>
      <c r="L910" s="19"/>
    </row>
    <row r="911" spans="1:12" ht="13.2">
      <c r="A911" s="22"/>
      <c r="B911" s="16"/>
      <c r="C911" s="23"/>
      <c r="D911" s="101"/>
      <c r="E911" s="24"/>
      <c r="F911" s="25"/>
      <c r="G911" s="26"/>
      <c r="H911" s="27"/>
      <c r="I911" s="20"/>
      <c r="J911" s="21"/>
      <c r="K911" s="28"/>
      <c r="L911" s="19"/>
    </row>
    <row r="912" spans="1:12" ht="13.2">
      <c r="A912" s="22"/>
      <c r="B912" s="16"/>
      <c r="C912" s="23"/>
      <c r="D912" s="101"/>
      <c r="E912" s="24"/>
      <c r="F912" s="25"/>
      <c r="G912" s="26"/>
      <c r="H912" s="27"/>
      <c r="I912" s="20"/>
      <c r="J912" s="21"/>
      <c r="K912" s="28"/>
      <c r="L912" s="19"/>
    </row>
    <row r="913" spans="1:12" ht="13.2">
      <c r="A913" s="22"/>
      <c r="B913" s="16"/>
      <c r="C913" s="23"/>
      <c r="D913" s="101"/>
      <c r="E913" s="24"/>
      <c r="F913" s="25"/>
      <c r="G913" s="26"/>
      <c r="H913" s="27"/>
      <c r="I913" s="20"/>
      <c r="J913" s="21"/>
      <c r="K913" s="28"/>
      <c r="L913" s="19"/>
    </row>
    <row r="914" spans="1:12" ht="13.2">
      <c r="A914" s="22"/>
      <c r="B914" s="16"/>
      <c r="C914" s="23"/>
      <c r="D914" s="101"/>
      <c r="E914" s="24"/>
      <c r="F914" s="25"/>
      <c r="G914" s="26"/>
      <c r="H914" s="27"/>
      <c r="I914" s="20"/>
      <c r="J914" s="21"/>
      <c r="K914" s="28"/>
      <c r="L914" s="19"/>
    </row>
    <row r="915" spans="1:12" ht="13.2">
      <c r="A915" s="22"/>
      <c r="B915" s="16"/>
      <c r="C915" s="23"/>
      <c r="D915" s="101"/>
      <c r="E915" s="24"/>
      <c r="F915" s="25"/>
      <c r="G915" s="26"/>
      <c r="H915" s="27"/>
      <c r="I915" s="20"/>
      <c r="J915" s="21"/>
      <c r="K915" s="28"/>
      <c r="L915" s="19"/>
    </row>
    <row r="916" spans="1:12" ht="13.2">
      <c r="A916" s="22"/>
      <c r="B916" s="16"/>
      <c r="C916" s="23"/>
      <c r="D916" s="101"/>
      <c r="E916" s="24"/>
      <c r="F916" s="25"/>
      <c r="G916" s="26"/>
      <c r="H916" s="27"/>
      <c r="I916" s="20"/>
      <c r="J916" s="21"/>
      <c r="K916" s="28"/>
      <c r="L916" s="19"/>
    </row>
    <row r="917" spans="1:12" ht="13.2">
      <c r="A917" s="22"/>
      <c r="B917" s="16"/>
      <c r="C917" s="23"/>
      <c r="D917" s="101"/>
      <c r="E917" s="24"/>
      <c r="F917" s="25"/>
      <c r="G917" s="26"/>
      <c r="H917" s="27"/>
      <c r="I917" s="20"/>
      <c r="J917" s="21"/>
      <c r="K917" s="28"/>
      <c r="L917" s="19"/>
    </row>
    <row r="918" spans="1:12" ht="13.2">
      <c r="A918" s="22"/>
      <c r="B918" s="16"/>
      <c r="C918" s="23"/>
      <c r="D918" s="101"/>
      <c r="E918" s="24"/>
      <c r="F918" s="25"/>
      <c r="G918" s="26"/>
      <c r="H918" s="27"/>
      <c r="I918" s="20"/>
      <c r="J918" s="21"/>
      <c r="K918" s="28"/>
      <c r="L918" s="19"/>
    </row>
    <row r="919" spans="1:12" ht="13.2">
      <c r="A919" s="22"/>
      <c r="B919" s="16"/>
      <c r="C919" s="23"/>
      <c r="D919" s="101"/>
      <c r="E919" s="24"/>
      <c r="F919" s="25"/>
      <c r="G919" s="26"/>
      <c r="H919" s="27"/>
      <c r="I919" s="20"/>
      <c r="J919" s="21"/>
      <c r="K919" s="28"/>
      <c r="L919" s="19"/>
    </row>
    <row r="920" spans="1:12" ht="13.2">
      <c r="A920" s="22"/>
      <c r="B920" s="16"/>
      <c r="C920" s="23"/>
      <c r="D920" s="101"/>
      <c r="E920" s="24"/>
      <c r="F920" s="25"/>
      <c r="G920" s="26"/>
      <c r="H920" s="27"/>
      <c r="I920" s="20"/>
      <c r="J920" s="21"/>
      <c r="K920" s="28"/>
      <c r="L920" s="19"/>
    </row>
    <row r="921" spans="1:12" ht="13.2">
      <c r="A921" s="22"/>
      <c r="B921" s="16"/>
      <c r="C921" s="23"/>
      <c r="D921" s="101"/>
      <c r="E921" s="24"/>
      <c r="F921" s="25"/>
      <c r="G921" s="26"/>
      <c r="H921" s="27"/>
      <c r="I921" s="20"/>
      <c r="J921" s="21"/>
      <c r="K921" s="28"/>
      <c r="L921" s="19"/>
    </row>
    <row r="922" spans="1:12" ht="13.2">
      <c r="A922" s="22"/>
      <c r="B922" s="16"/>
      <c r="C922" s="23"/>
      <c r="D922" s="101"/>
      <c r="E922" s="24"/>
      <c r="F922" s="25"/>
      <c r="G922" s="26"/>
      <c r="H922" s="27"/>
      <c r="I922" s="20"/>
      <c r="J922" s="21"/>
      <c r="K922" s="28"/>
      <c r="L922" s="19"/>
    </row>
    <row r="923" spans="1:12" ht="13.2">
      <c r="A923" s="22"/>
      <c r="B923" s="16"/>
      <c r="C923" s="23"/>
      <c r="D923" s="101"/>
      <c r="E923" s="24"/>
      <c r="F923" s="25"/>
      <c r="G923" s="26"/>
      <c r="H923" s="27"/>
      <c r="I923" s="20"/>
      <c r="J923" s="21"/>
      <c r="K923" s="28"/>
      <c r="L923" s="19"/>
    </row>
    <row r="924" spans="1:12" ht="13.2">
      <c r="A924" s="22"/>
      <c r="B924" s="16"/>
      <c r="C924" s="23"/>
      <c r="D924" s="101"/>
      <c r="E924" s="24"/>
      <c r="F924" s="25"/>
      <c r="G924" s="26"/>
      <c r="H924" s="27"/>
      <c r="I924" s="20"/>
      <c r="J924" s="21"/>
      <c r="K924" s="28"/>
      <c r="L924" s="19"/>
    </row>
    <row r="925" spans="1:12" ht="13.2">
      <c r="A925" s="22"/>
      <c r="B925" s="16"/>
      <c r="C925" s="23"/>
      <c r="D925" s="101"/>
      <c r="E925" s="24"/>
      <c r="F925" s="25"/>
      <c r="G925" s="26"/>
      <c r="H925" s="27"/>
      <c r="I925" s="20"/>
      <c r="J925" s="21"/>
      <c r="K925" s="28"/>
      <c r="L925" s="19"/>
    </row>
    <row r="926" spans="1:12" ht="13.2">
      <c r="A926" s="22"/>
      <c r="B926" s="16"/>
      <c r="C926" s="23"/>
      <c r="D926" s="101"/>
      <c r="E926" s="24"/>
      <c r="F926" s="25"/>
      <c r="G926" s="26"/>
      <c r="H926" s="27"/>
      <c r="I926" s="20"/>
      <c r="J926" s="21"/>
      <c r="K926" s="28"/>
      <c r="L926" s="19"/>
    </row>
    <row r="927" spans="1:12" ht="13.2">
      <c r="A927" s="22"/>
      <c r="B927" s="16"/>
      <c r="C927" s="23"/>
      <c r="D927" s="101"/>
      <c r="E927" s="24"/>
      <c r="F927" s="25"/>
      <c r="G927" s="26"/>
      <c r="H927" s="27"/>
      <c r="I927" s="20"/>
      <c r="J927" s="21"/>
      <c r="K927" s="28"/>
      <c r="L927" s="19"/>
    </row>
    <row r="928" spans="1:12" ht="13.2">
      <c r="A928" s="22"/>
      <c r="B928" s="16"/>
      <c r="C928" s="23"/>
      <c r="D928" s="101"/>
      <c r="E928" s="24"/>
      <c r="F928" s="25"/>
      <c r="G928" s="26"/>
      <c r="H928" s="27"/>
      <c r="I928" s="20"/>
      <c r="J928" s="21"/>
      <c r="K928" s="28"/>
      <c r="L928" s="19"/>
    </row>
    <row r="929" spans="1:12" ht="13.2">
      <c r="A929" s="22"/>
      <c r="B929" s="16"/>
      <c r="C929" s="23"/>
      <c r="D929" s="101"/>
      <c r="E929" s="24"/>
      <c r="F929" s="25"/>
      <c r="G929" s="26"/>
      <c r="H929" s="27"/>
      <c r="I929" s="20"/>
      <c r="J929" s="21"/>
      <c r="K929" s="28"/>
      <c r="L929" s="19"/>
    </row>
    <row r="930" spans="1:12" ht="13.2">
      <c r="A930" s="22"/>
      <c r="B930" s="16"/>
      <c r="C930" s="23"/>
      <c r="D930" s="101"/>
      <c r="E930" s="24"/>
      <c r="F930" s="25"/>
      <c r="G930" s="26"/>
      <c r="H930" s="27"/>
      <c r="I930" s="20"/>
      <c r="J930" s="21"/>
      <c r="K930" s="28"/>
      <c r="L930" s="19"/>
    </row>
    <row r="931" spans="1:12" ht="13.2">
      <c r="A931" s="22"/>
      <c r="B931" s="16"/>
      <c r="C931" s="23"/>
      <c r="D931" s="101"/>
      <c r="E931" s="24"/>
      <c r="F931" s="25"/>
      <c r="G931" s="26"/>
      <c r="H931" s="27"/>
      <c r="I931" s="20"/>
      <c r="J931" s="21"/>
      <c r="K931" s="28"/>
      <c r="L931" s="19"/>
    </row>
    <row r="932" spans="1:12" ht="13.2">
      <c r="A932" s="22"/>
      <c r="B932" s="16"/>
      <c r="C932" s="23"/>
      <c r="D932" s="101"/>
      <c r="E932" s="24"/>
      <c r="F932" s="25"/>
      <c r="G932" s="26"/>
      <c r="H932" s="27"/>
      <c r="I932" s="20"/>
      <c r="J932" s="21"/>
      <c r="K932" s="28"/>
      <c r="L932" s="19"/>
    </row>
    <row r="933" spans="1:12" ht="13.2">
      <c r="A933" s="22"/>
      <c r="B933" s="16"/>
      <c r="C933" s="23"/>
      <c r="D933" s="101"/>
      <c r="E933" s="24"/>
      <c r="F933" s="25"/>
      <c r="G933" s="26"/>
      <c r="H933" s="27"/>
      <c r="I933" s="20"/>
      <c r="J933" s="21"/>
      <c r="K933" s="28"/>
      <c r="L933" s="19"/>
    </row>
    <row r="934" spans="1:12" ht="13.2">
      <c r="A934" s="22"/>
      <c r="B934" s="16"/>
      <c r="C934" s="23"/>
      <c r="D934" s="101"/>
      <c r="E934" s="24"/>
      <c r="F934" s="25"/>
      <c r="G934" s="26"/>
      <c r="H934" s="27"/>
      <c r="I934" s="20"/>
      <c r="J934" s="21"/>
      <c r="K934" s="28"/>
      <c r="L934" s="19"/>
    </row>
    <row r="935" spans="1:12" ht="13.2">
      <c r="A935" s="22"/>
      <c r="B935" s="16"/>
      <c r="C935" s="23"/>
      <c r="D935" s="101"/>
      <c r="E935" s="24"/>
      <c r="F935" s="25"/>
      <c r="G935" s="26"/>
      <c r="H935" s="27"/>
      <c r="I935" s="20"/>
      <c r="J935" s="21"/>
      <c r="K935" s="28"/>
      <c r="L935" s="19"/>
    </row>
    <row r="936" spans="1:12" ht="13.2">
      <c r="A936" s="22"/>
      <c r="B936" s="16"/>
      <c r="C936" s="23"/>
      <c r="D936" s="101"/>
      <c r="E936" s="24"/>
      <c r="F936" s="25"/>
      <c r="G936" s="26"/>
      <c r="H936" s="27"/>
      <c r="I936" s="20"/>
      <c r="J936" s="21"/>
      <c r="K936" s="28"/>
      <c r="L936" s="19"/>
    </row>
    <row r="937" spans="1:12" ht="13.2">
      <c r="A937" s="22"/>
      <c r="B937" s="16"/>
      <c r="C937" s="23"/>
      <c r="D937" s="101"/>
      <c r="E937" s="24"/>
      <c r="F937" s="25"/>
      <c r="G937" s="26"/>
      <c r="H937" s="27"/>
      <c r="I937" s="20"/>
      <c r="J937" s="21"/>
      <c r="K937" s="28"/>
      <c r="L937" s="19"/>
    </row>
    <row r="938" spans="1:12" ht="13.2">
      <c r="A938" s="22"/>
      <c r="B938" s="16"/>
      <c r="C938" s="23"/>
      <c r="D938" s="101"/>
      <c r="E938" s="24"/>
      <c r="F938" s="25"/>
      <c r="G938" s="26"/>
      <c r="H938" s="27"/>
      <c r="I938" s="20"/>
      <c r="J938" s="21"/>
      <c r="K938" s="28"/>
      <c r="L938" s="19"/>
    </row>
    <row r="939" spans="1:12" ht="13.2">
      <c r="A939" s="22"/>
      <c r="B939" s="16"/>
      <c r="C939" s="23"/>
      <c r="D939" s="101"/>
      <c r="E939" s="24"/>
      <c r="F939" s="25"/>
      <c r="G939" s="26"/>
      <c r="H939" s="27"/>
      <c r="I939" s="20"/>
      <c r="J939" s="21"/>
      <c r="K939" s="28"/>
      <c r="L939" s="19"/>
    </row>
    <row r="940" spans="1:12" ht="13.2">
      <c r="A940" s="22"/>
      <c r="B940" s="16"/>
      <c r="C940" s="23"/>
      <c r="D940" s="101"/>
      <c r="E940" s="24"/>
      <c r="F940" s="25"/>
      <c r="G940" s="26"/>
      <c r="H940" s="27"/>
      <c r="I940" s="20"/>
      <c r="J940" s="21"/>
      <c r="K940" s="28"/>
      <c r="L940" s="19"/>
    </row>
    <row r="941" spans="1:12" ht="13.2">
      <c r="A941" s="22"/>
      <c r="B941" s="16"/>
      <c r="C941" s="23"/>
      <c r="D941" s="101"/>
      <c r="E941" s="24"/>
      <c r="F941" s="25"/>
      <c r="G941" s="26"/>
      <c r="H941" s="27"/>
      <c r="I941" s="20"/>
      <c r="J941" s="21"/>
      <c r="K941" s="28"/>
      <c r="L941" s="19"/>
    </row>
    <row r="942" spans="1:12" ht="13.2">
      <c r="A942" s="22"/>
      <c r="B942" s="16"/>
      <c r="C942" s="23"/>
      <c r="D942" s="101"/>
      <c r="E942" s="24"/>
      <c r="F942" s="25"/>
      <c r="G942" s="26"/>
      <c r="H942" s="27"/>
      <c r="I942" s="20"/>
      <c r="J942" s="21"/>
      <c r="K942" s="28"/>
      <c r="L942" s="19"/>
    </row>
    <row r="943" spans="1:12" ht="13.2">
      <c r="A943" s="22"/>
      <c r="B943" s="16"/>
      <c r="C943" s="23"/>
      <c r="D943" s="101"/>
      <c r="E943" s="24"/>
      <c r="F943" s="25"/>
      <c r="G943" s="26"/>
      <c r="H943" s="27"/>
      <c r="I943" s="20"/>
      <c r="J943" s="21"/>
      <c r="K943" s="28"/>
      <c r="L943" s="19"/>
    </row>
    <row r="944" spans="1:12" ht="13.2">
      <c r="A944" s="22"/>
      <c r="B944" s="16"/>
      <c r="C944" s="23"/>
      <c r="D944" s="101"/>
      <c r="E944" s="24"/>
      <c r="F944" s="25"/>
      <c r="G944" s="26"/>
      <c r="H944" s="27"/>
      <c r="I944" s="20"/>
      <c r="J944" s="21"/>
      <c r="K944" s="28"/>
      <c r="L944" s="19"/>
    </row>
    <row r="945" spans="1:12" ht="13.2">
      <c r="A945" s="22"/>
      <c r="B945" s="16"/>
      <c r="C945" s="23"/>
      <c r="D945" s="101"/>
      <c r="E945" s="24"/>
      <c r="F945" s="25"/>
      <c r="G945" s="26"/>
      <c r="H945" s="27"/>
      <c r="I945" s="20"/>
      <c r="J945" s="21"/>
      <c r="K945" s="28"/>
      <c r="L945" s="19"/>
    </row>
    <row r="946" spans="1:12" ht="13.2">
      <c r="A946" s="22"/>
      <c r="B946" s="16"/>
      <c r="C946" s="23"/>
      <c r="D946" s="101"/>
      <c r="E946" s="24"/>
      <c r="F946" s="25"/>
      <c r="G946" s="26"/>
      <c r="H946" s="27"/>
      <c r="I946" s="20"/>
      <c r="J946" s="21"/>
      <c r="K946" s="28"/>
      <c r="L946" s="19"/>
    </row>
    <row r="947" spans="1:12" ht="13.2">
      <c r="A947" s="22"/>
      <c r="B947" s="16"/>
      <c r="C947" s="23"/>
      <c r="D947" s="101"/>
      <c r="E947" s="24"/>
      <c r="F947" s="25"/>
      <c r="G947" s="26"/>
      <c r="H947" s="27"/>
      <c r="I947" s="20"/>
      <c r="J947" s="21"/>
      <c r="K947" s="28"/>
      <c r="L947" s="19"/>
    </row>
    <row r="948" spans="1:12" ht="13.2">
      <c r="A948" s="22"/>
      <c r="B948" s="16"/>
      <c r="C948" s="23"/>
      <c r="D948" s="101"/>
      <c r="E948" s="24"/>
      <c r="F948" s="25"/>
      <c r="G948" s="26"/>
      <c r="H948" s="27"/>
      <c r="I948" s="20"/>
      <c r="J948" s="21"/>
      <c r="K948" s="28"/>
      <c r="L948" s="19"/>
    </row>
    <row r="949" spans="1:12" ht="13.2">
      <c r="A949" s="22"/>
      <c r="B949" s="16"/>
      <c r="C949" s="23"/>
      <c r="D949" s="101"/>
      <c r="E949" s="24"/>
      <c r="F949" s="25"/>
      <c r="G949" s="26"/>
      <c r="H949" s="27"/>
      <c r="I949" s="20"/>
      <c r="J949" s="21"/>
      <c r="K949" s="28"/>
      <c r="L949" s="19"/>
    </row>
    <row r="950" spans="1:12" ht="13.2">
      <c r="A950" s="22"/>
      <c r="B950" s="16"/>
      <c r="C950" s="23"/>
      <c r="D950" s="101"/>
      <c r="E950" s="24"/>
      <c r="F950" s="25"/>
      <c r="G950" s="26"/>
      <c r="H950" s="27"/>
      <c r="I950" s="20"/>
      <c r="J950" s="21"/>
      <c r="K950" s="28"/>
      <c r="L950" s="19"/>
    </row>
    <row r="951" spans="1:12" ht="13.2">
      <c r="A951" s="22"/>
      <c r="B951" s="16"/>
      <c r="C951" s="23"/>
      <c r="D951" s="101"/>
      <c r="E951" s="24"/>
      <c r="F951" s="25"/>
      <c r="G951" s="26"/>
      <c r="H951" s="27"/>
      <c r="I951" s="20"/>
      <c r="J951" s="21"/>
      <c r="K951" s="28"/>
      <c r="L951" s="19"/>
    </row>
    <row r="952" spans="1:12" ht="13.2">
      <c r="A952" s="22"/>
      <c r="B952" s="16"/>
      <c r="C952" s="23"/>
      <c r="D952" s="101"/>
      <c r="E952" s="24"/>
      <c r="F952" s="25"/>
      <c r="G952" s="26"/>
      <c r="H952" s="27"/>
      <c r="I952" s="20"/>
      <c r="J952" s="21"/>
      <c r="K952" s="28"/>
      <c r="L952" s="19"/>
    </row>
    <row r="953" spans="1:12" ht="13.2">
      <c r="A953" s="22"/>
      <c r="B953" s="16"/>
      <c r="C953" s="23"/>
      <c r="D953" s="101"/>
      <c r="E953" s="24"/>
      <c r="F953" s="25"/>
      <c r="G953" s="26"/>
      <c r="H953" s="27"/>
      <c r="I953" s="20"/>
      <c r="J953" s="21"/>
      <c r="K953" s="28"/>
      <c r="L953" s="19"/>
    </row>
    <row r="954" spans="1:12" ht="13.2">
      <c r="A954" s="22"/>
      <c r="B954" s="16"/>
      <c r="C954" s="23"/>
      <c r="D954" s="101"/>
      <c r="E954" s="24"/>
      <c r="F954" s="25"/>
      <c r="G954" s="26"/>
      <c r="H954" s="27"/>
      <c r="I954" s="20"/>
      <c r="J954" s="21"/>
      <c r="K954" s="28"/>
      <c r="L954" s="19"/>
    </row>
    <row r="955" spans="1:12" ht="13.2">
      <c r="A955" s="22"/>
      <c r="B955" s="16"/>
      <c r="C955" s="23"/>
      <c r="D955" s="101"/>
      <c r="E955" s="24"/>
      <c r="F955" s="25"/>
      <c r="G955" s="26"/>
      <c r="H955" s="27"/>
      <c r="I955" s="20"/>
      <c r="J955" s="21"/>
      <c r="K955" s="28"/>
      <c r="L955" s="19"/>
    </row>
    <row r="956" spans="1:12" ht="13.2">
      <c r="A956" s="22"/>
      <c r="B956" s="16"/>
      <c r="C956" s="23"/>
      <c r="D956" s="101"/>
      <c r="E956" s="24"/>
      <c r="F956" s="25"/>
      <c r="G956" s="26"/>
      <c r="H956" s="27"/>
      <c r="I956" s="20"/>
      <c r="J956" s="21"/>
      <c r="K956" s="28"/>
      <c r="L956" s="19"/>
    </row>
    <row r="957" spans="1:12" ht="13.2">
      <c r="A957" s="22"/>
      <c r="B957" s="16"/>
      <c r="C957" s="23"/>
      <c r="D957" s="101"/>
      <c r="E957" s="24"/>
      <c r="F957" s="25"/>
      <c r="G957" s="26"/>
      <c r="H957" s="27"/>
      <c r="I957" s="20"/>
      <c r="J957" s="21"/>
      <c r="K957" s="28"/>
      <c r="L957" s="19"/>
    </row>
    <row r="958" spans="1:12" ht="13.2">
      <c r="A958" s="22"/>
      <c r="B958" s="16"/>
      <c r="C958" s="23"/>
      <c r="D958" s="101"/>
      <c r="E958" s="24"/>
      <c r="F958" s="25"/>
      <c r="G958" s="26"/>
      <c r="H958" s="27"/>
      <c r="I958" s="20"/>
      <c r="J958" s="21"/>
      <c r="K958" s="28"/>
      <c r="L958" s="19"/>
    </row>
    <row r="959" spans="1:12" ht="13.2">
      <c r="A959" s="22"/>
      <c r="B959" s="16"/>
      <c r="C959" s="23"/>
      <c r="D959" s="101"/>
      <c r="E959" s="24"/>
      <c r="F959" s="25"/>
      <c r="G959" s="26"/>
      <c r="H959" s="27"/>
      <c r="I959" s="20"/>
      <c r="J959" s="21"/>
      <c r="K959" s="28"/>
      <c r="L959" s="19"/>
    </row>
    <row r="960" spans="1:12" ht="13.2">
      <c r="A960" s="22"/>
      <c r="B960" s="16"/>
      <c r="C960" s="23"/>
      <c r="D960" s="101"/>
      <c r="E960" s="24"/>
      <c r="F960" s="25"/>
      <c r="G960" s="26"/>
      <c r="H960" s="27"/>
      <c r="I960" s="20"/>
      <c r="J960" s="21"/>
      <c r="K960" s="28"/>
      <c r="L960" s="19"/>
    </row>
    <row r="961" spans="1:12" ht="13.2">
      <c r="A961" s="22"/>
      <c r="B961" s="16"/>
      <c r="C961" s="23"/>
      <c r="D961" s="101"/>
      <c r="E961" s="24"/>
      <c r="F961" s="25"/>
      <c r="G961" s="26"/>
      <c r="H961" s="27"/>
      <c r="I961" s="20"/>
      <c r="J961" s="21"/>
      <c r="K961" s="28"/>
      <c r="L961" s="19"/>
    </row>
    <row r="962" spans="1:12" ht="13.2">
      <c r="A962" s="22"/>
      <c r="B962" s="16"/>
      <c r="C962" s="23"/>
      <c r="D962" s="101"/>
      <c r="E962" s="24"/>
      <c r="F962" s="25"/>
      <c r="G962" s="26"/>
      <c r="H962" s="27"/>
      <c r="I962" s="20"/>
      <c r="J962" s="21"/>
      <c r="K962" s="28"/>
      <c r="L962" s="19"/>
    </row>
    <row r="963" spans="1:12" ht="13.2">
      <c r="A963" s="22"/>
      <c r="B963" s="16"/>
      <c r="C963" s="23"/>
      <c r="D963" s="101"/>
      <c r="E963" s="24"/>
      <c r="F963" s="25"/>
      <c r="G963" s="26"/>
      <c r="H963" s="27"/>
      <c r="I963" s="20"/>
      <c r="J963" s="21"/>
      <c r="K963" s="28"/>
      <c r="L963" s="19"/>
    </row>
    <row r="964" spans="1:12" ht="13.2">
      <c r="A964" s="22"/>
      <c r="B964" s="16"/>
      <c r="C964" s="23"/>
      <c r="D964" s="101"/>
      <c r="E964" s="24"/>
      <c r="F964" s="25"/>
      <c r="G964" s="26"/>
      <c r="H964" s="27"/>
      <c r="I964" s="20"/>
      <c r="J964" s="21"/>
      <c r="K964" s="28"/>
      <c r="L964" s="19"/>
    </row>
    <row r="965" spans="1:12" ht="13.2">
      <c r="A965" s="22"/>
      <c r="B965" s="16"/>
      <c r="C965" s="23"/>
      <c r="D965" s="101"/>
      <c r="E965" s="24"/>
      <c r="F965" s="25"/>
      <c r="G965" s="26"/>
      <c r="H965" s="27"/>
      <c r="I965" s="20"/>
      <c r="J965" s="21"/>
      <c r="K965" s="28"/>
      <c r="L965" s="19"/>
    </row>
    <row r="966" spans="1:12" ht="13.2">
      <c r="A966" s="22"/>
      <c r="B966" s="16"/>
      <c r="C966" s="23"/>
      <c r="D966" s="101"/>
      <c r="E966" s="24"/>
      <c r="F966" s="25"/>
      <c r="G966" s="26"/>
      <c r="H966" s="27"/>
      <c r="I966" s="20"/>
      <c r="J966" s="21"/>
      <c r="K966" s="28"/>
      <c r="L966" s="19"/>
    </row>
    <row r="967" spans="1:12" ht="13.2">
      <c r="A967" s="22"/>
      <c r="B967" s="16"/>
      <c r="C967" s="23"/>
      <c r="D967" s="101"/>
      <c r="E967" s="24"/>
      <c r="F967" s="25"/>
      <c r="G967" s="26"/>
      <c r="H967" s="27"/>
      <c r="I967" s="20"/>
      <c r="J967" s="21"/>
      <c r="K967" s="28"/>
      <c r="L967" s="19"/>
    </row>
    <row r="968" spans="1:12" ht="13.2">
      <c r="A968" s="22"/>
      <c r="B968" s="16"/>
      <c r="C968" s="23"/>
      <c r="D968" s="101"/>
      <c r="E968" s="24"/>
      <c r="F968" s="25"/>
      <c r="G968" s="26"/>
      <c r="H968" s="27"/>
      <c r="I968" s="20"/>
      <c r="J968" s="21"/>
      <c r="K968" s="28"/>
      <c r="L968" s="19"/>
    </row>
    <row r="969" spans="1:12" ht="13.2">
      <c r="A969" s="22"/>
      <c r="B969" s="16"/>
      <c r="C969" s="23"/>
      <c r="D969" s="101"/>
      <c r="E969" s="24"/>
      <c r="F969" s="25"/>
      <c r="G969" s="26"/>
      <c r="H969" s="27"/>
      <c r="I969" s="20"/>
      <c r="J969" s="21"/>
      <c r="K969" s="28"/>
      <c r="L969" s="19"/>
    </row>
    <row r="970" spans="1:12" ht="13.2">
      <c r="A970" s="22"/>
      <c r="B970" s="16"/>
      <c r="C970" s="23"/>
      <c r="D970" s="101"/>
      <c r="E970" s="24"/>
      <c r="F970" s="25"/>
      <c r="G970" s="26"/>
      <c r="H970" s="27"/>
      <c r="I970" s="20"/>
      <c r="J970" s="21"/>
      <c r="K970" s="28"/>
      <c r="L970" s="19"/>
    </row>
    <row r="971" spans="1:12" ht="13.2">
      <c r="A971" s="22"/>
      <c r="B971" s="16"/>
      <c r="C971" s="23"/>
      <c r="D971" s="101"/>
      <c r="E971" s="24"/>
      <c r="F971" s="25"/>
      <c r="G971" s="26"/>
      <c r="H971" s="27"/>
      <c r="I971" s="20"/>
      <c r="J971" s="21"/>
      <c r="K971" s="28"/>
      <c r="L971" s="19"/>
    </row>
    <row r="972" spans="1:12" ht="13.2">
      <c r="A972" s="22"/>
      <c r="B972" s="16"/>
      <c r="C972" s="23"/>
      <c r="D972" s="101"/>
      <c r="E972" s="24"/>
      <c r="F972" s="25"/>
      <c r="G972" s="26"/>
      <c r="H972" s="27"/>
      <c r="I972" s="20"/>
      <c r="J972" s="21"/>
      <c r="K972" s="28"/>
      <c r="L972" s="19"/>
    </row>
    <row r="973" spans="1:12" ht="13.2">
      <c r="A973" s="22"/>
      <c r="B973" s="16"/>
      <c r="C973" s="23"/>
      <c r="D973" s="101"/>
      <c r="E973" s="24"/>
      <c r="F973" s="25"/>
      <c r="G973" s="26"/>
      <c r="H973" s="27"/>
      <c r="I973" s="20"/>
      <c r="J973" s="21"/>
      <c r="K973" s="28"/>
      <c r="L973" s="19"/>
    </row>
    <row r="974" spans="1:12" ht="13.2">
      <c r="A974" s="22"/>
      <c r="B974" s="16"/>
      <c r="C974" s="23"/>
      <c r="D974" s="101"/>
      <c r="E974" s="24"/>
      <c r="F974" s="25"/>
      <c r="G974" s="26"/>
      <c r="H974" s="27"/>
      <c r="I974" s="20"/>
      <c r="J974" s="21"/>
      <c r="K974" s="28"/>
      <c r="L974" s="19"/>
    </row>
    <row r="975" spans="1:12" ht="13.2">
      <c r="A975" s="22"/>
      <c r="B975" s="16"/>
      <c r="C975" s="23"/>
      <c r="D975" s="101"/>
      <c r="E975" s="24"/>
      <c r="F975" s="25"/>
      <c r="G975" s="26"/>
      <c r="H975" s="27"/>
      <c r="I975" s="20"/>
      <c r="J975" s="21"/>
      <c r="K975" s="28"/>
      <c r="L975" s="19"/>
    </row>
    <row r="976" spans="1:12" ht="13.2">
      <c r="A976" s="22"/>
      <c r="B976" s="16"/>
      <c r="C976" s="23"/>
      <c r="D976" s="101"/>
      <c r="E976" s="24"/>
      <c r="F976" s="25"/>
      <c r="G976" s="26"/>
      <c r="H976" s="27"/>
      <c r="I976" s="20"/>
      <c r="J976" s="21"/>
      <c r="K976" s="28"/>
      <c r="L976" s="19"/>
    </row>
    <row r="977" spans="1:12" ht="13.2">
      <c r="A977" s="22"/>
      <c r="B977" s="16"/>
      <c r="C977" s="23"/>
      <c r="D977" s="101"/>
      <c r="E977" s="24"/>
      <c r="F977" s="25"/>
      <c r="G977" s="26"/>
      <c r="H977" s="27"/>
      <c r="I977" s="20"/>
      <c r="J977" s="21"/>
      <c r="K977" s="28"/>
      <c r="L977" s="19"/>
    </row>
    <row r="978" spans="1:12" ht="13.2">
      <c r="A978" s="22"/>
      <c r="B978" s="16"/>
      <c r="C978" s="23"/>
      <c r="D978" s="101"/>
      <c r="E978" s="24"/>
      <c r="F978" s="25"/>
      <c r="G978" s="26"/>
      <c r="H978" s="27"/>
      <c r="I978" s="20"/>
      <c r="J978" s="21"/>
      <c r="K978" s="28"/>
      <c r="L978" s="19"/>
    </row>
    <row r="979" spans="1:12" ht="13.2">
      <c r="A979" s="22"/>
      <c r="B979" s="16"/>
      <c r="C979" s="23"/>
      <c r="D979" s="101"/>
      <c r="E979" s="24"/>
      <c r="F979" s="25"/>
      <c r="G979" s="26"/>
      <c r="H979" s="27"/>
      <c r="I979" s="20"/>
      <c r="J979" s="21"/>
      <c r="K979" s="28"/>
      <c r="L979" s="19"/>
    </row>
    <row r="980" spans="1:12" ht="13.2">
      <c r="A980" s="22"/>
      <c r="B980" s="16"/>
      <c r="C980" s="23"/>
      <c r="D980" s="101"/>
      <c r="E980" s="24"/>
      <c r="F980" s="25"/>
      <c r="G980" s="26"/>
      <c r="H980" s="27"/>
      <c r="I980" s="20"/>
      <c r="J980" s="21"/>
      <c r="K980" s="28"/>
      <c r="L980" s="19"/>
    </row>
    <row r="981" spans="1:12" ht="13.2">
      <c r="A981" s="22"/>
      <c r="B981" s="16"/>
      <c r="C981" s="23"/>
      <c r="D981" s="101"/>
      <c r="E981" s="24"/>
      <c r="F981" s="25"/>
      <c r="G981" s="26"/>
      <c r="H981" s="27"/>
      <c r="I981" s="20"/>
      <c r="J981" s="21"/>
      <c r="K981" s="28"/>
      <c r="L981" s="19"/>
    </row>
    <row r="982" spans="1:12" ht="13.2">
      <c r="A982" s="22"/>
      <c r="B982" s="16"/>
      <c r="C982" s="23"/>
      <c r="D982" s="101"/>
      <c r="E982" s="24"/>
      <c r="F982" s="25"/>
      <c r="G982" s="26"/>
      <c r="H982" s="27"/>
      <c r="I982" s="20"/>
      <c r="J982" s="21"/>
      <c r="K982" s="28"/>
      <c r="L982" s="19"/>
    </row>
    <row r="983" spans="1:12" ht="13.2">
      <c r="A983" s="22"/>
      <c r="B983" s="16"/>
      <c r="C983" s="23"/>
      <c r="D983" s="101"/>
      <c r="E983" s="24"/>
      <c r="F983" s="25"/>
      <c r="G983" s="26"/>
      <c r="H983" s="27"/>
      <c r="I983" s="20"/>
      <c r="J983" s="21"/>
      <c r="K983" s="28"/>
      <c r="L983" s="19"/>
    </row>
    <row r="984" spans="1:12" ht="13.2">
      <c r="A984" s="22"/>
      <c r="B984" s="16"/>
      <c r="C984" s="23"/>
      <c r="D984" s="101"/>
      <c r="E984" s="24"/>
      <c r="F984" s="25"/>
      <c r="G984" s="26"/>
      <c r="H984" s="27"/>
      <c r="I984" s="20"/>
      <c r="J984" s="21"/>
      <c r="K984" s="28"/>
      <c r="L984" s="19"/>
    </row>
    <row r="985" spans="1:12" ht="13.2">
      <c r="A985" s="22"/>
      <c r="B985" s="16"/>
      <c r="C985" s="23"/>
      <c r="D985" s="101"/>
      <c r="E985" s="24"/>
      <c r="F985" s="25"/>
      <c r="G985" s="26"/>
      <c r="H985" s="27"/>
      <c r="I985" s="20"/>
      <c r="J985" s="21"/>
      <c r="K985" s="28"/>
      <c r="L985" s="19"/>
    </row>
    <row r="986" spans="1:12" ht="13.2">
      <c r="A986" s="22"/>
      <c r="B986" s="16"/>
      <c r="C986" s="23"/>
      <c r="D986" s="101"/>
      <c r="E986" s="24"/>
      <c r="F986" s="25"/>
      <c r="G986" s="26"/>
      <c r="H986" s="27"/>
      <c r="I986" s="20"/>
      <c r="J986" s="21"/>
      <c r="K986" s="28"/>
      <c r="L986" s="19"/>
    </row>
    <row r="987" spans="1:12" ht="13.2">
      <c r="A987" s="22"/>
      <c r="B987" s="16"/>
      <c r="C987" s="23"/>
      <c r="D987" s="101"/>
      <c r="E987" s="24"/>
      <c r="F987" s="25"/>
      <c r="G987" s="26"/>
      <c r="H987" s="27"/>
      <c r="I987" s="20"/>
      <c r="J987" s="21"/>
      <c r="K987" s="28"/>
      <c r="L987" s="19"/>
    </row>
    <row r="988" spans="1:12" ht="13.2">
      <c r="A988" s="22"/>
      <c r="B988" s="16"/>
      <c r="C988" s="23"/>
      <c r="D988" s="101"/>
      <c r="E988" s="24"/>
      <c r="F988" s="25"/>
      <c r="G988" s="26"/>
      <c r="H988" s="27"/>
      <c r="I988" s="20"/>
      <c r="J988" s="21"/>
      <c r="K988" s="28"/>
      <c r="L988" s="19"/>
    </row>
    <row r="989" spans="1:12" ht="13.2">
      <c r="A989" s="22"/>
      <c r="B989" s="16"/>
      <c r="C989" s="23"/>
      <c r="D989" s="101"/>
      <c r="E989" s="24"/>
      <c r="F989" s="25"/>
      <c r="G989" s="26"/>
      <c r="H989" s="27"/>
      <c r="I989" s="20"/>
      <c r="J989" s="21"/>
      <c r="K989" s="28"/>
      <c r="L989" s="19"/>
    </row>
    <row r="990" spans="1:12" ht="13.2">
      <c r="A990" s="22"/>
      <c r="B990" s="16"/>
      <c r="C990" s="23"/>
      <c r="D990" s="101"/>
      <c r="E990" s="24"/>
      <c r="F990" s="25"/>
      <c r="G990" s="26"/>
      <c r="H990" s="27"/>
      <c r="I990" s="20"/>
      <c r="J990" s="21"/>
      <c r="K990" s="28"/>
      <c r="L990" s="19"/>
    </row>
    <row r="991" spans="1:12" ht="13.2">
      <c r="A991" s="22"/>
      <c r="B991" s="16"/>
      <c r="C991" s="23"/>
      <c r="D991" s="101"/>
      <c r="E991" s="24"/>
      <c r="F991" s="25"/>
      <c r="G991" s="26"/>
      <c r="H991" s="27"/>
      <c r="I991" s="20"/>
      <c r="J991" s="21"/>
      <c r="K991" s="28"/>
      <c r="L991" s="19"/>
    </row>
    <row r="992" spans="1:12" ht="13.2">
      <c r="A992" s="22"/>
      <c r="B992" s="16"/>
      <c r="C992" s="23"/>
      <c r="D992" s="101"/>
      <c r="E992" s="24"/>
      <c r="F992" s="25"/>
      <c r="G992" s="26"/>
      <c r="H992" s="27"/>
      <c r="I992" s="20"/>
      <c r="J992" s="21"/>
      <c r="K992" s="28"/>
      <c r="L992" s="19"/>
    </row>
    <row r="993" spans="1:12" ht="13.2">
      <c r="A993" s="22"/>
      <c r="B993" s="16"/>
      <c r="C993" s="23"/>
      <c r="D993" s="101"/>
      <c r="E993" s="24"/>
      <c r="F993" s="25"/>
      <c r="G993" s="26"/>
      <c r="H993" s="27"/>
      <c r="I993" s="20"/>
      <c r="J993" s="21"/>
      <c r="K993" s="28"/>
      <c r="L993" s="19"/>
    </row>
    <row r="994" spans="1:12" ht="13.2">
      <c r="A994" s="22"/>
      <c r="B994" s="16"/>
      <c r="C994" s="23"/>
      <c r="D994" s="101"/>
      <c r="E994" s="24"/>
      <c r="F994" s="25"/>
      <c r="G994" s="26"/>
      <c r="H994" s="27"/>
      <c r="I994" s="20"/>
      <c r="J994" s="21"/>
      <c r="K994" s="28"/>
      <c r="L994" s="19"/>
    </row>
    <row r="995" spans="1:12" ht="13.2">
      <c r="A995" s="22"/>
      <c r="B995" s="16"/>
      <c r="C995" s="23"/>
      <c r="D995" s="101"/>
      <c r="E995" s="24"/>
      <c r="F995" s="25"/>
      <c r="G995" s="26"/>
      <c r="H995" s="27"/>
      <c r="I995" s="20"/>
      <c r="J995" s="21"/>
      <c r="K995" s="28"/>
      <c r="L995" s="19"/>
    </row>
    <row r="996" spans="1:12" ht="13.2">
      <c r="A996" s="22"/>
      <c r="B996" s="16"/>
      <c r="C996" s="23"/>
      <c r="D996" s="101"/>
      <c r="E996" s="24"/>
      <c r="F996" s="25"/>
      <c r="G996" s="26"/>
      <c r="H996" s="27"/>
      <c r="I996" s="20"/>
      <c r="J996" s="21"/>
      <c r="K996" s="28"/>
      <c r="L996" s="19"/>
    </row>
    <row r="997" spans="1:12" ht="13.2">
      <c r="A997" s="22"/>
      <c r="B997" s="16"/>
      <c r="C997" s="23"/>
      <c r="D997" s="101"/>
      <c r="E997" s="24"/>
      <c r="F997" s="25"/>
      <c r="G997" s="26"/>
      <c r="H997" s="27"/>
      <c r="I997" s="20"/>
      <c r="J997" s="21"/>
      <c r="K997" s="28"/>
      <c r="L997" s="19"/>
    </row>
    <row r="998" spans="1:12" ht="13.2">
      <c r="A998" s="22"/>
      <c r="B998" s="16"/>
      <c r="C998" s="23"/>
      <c r="D998" s="101"/>
      <c r="E998" s="24"/>
      <c r="F998" s="25"/>
      <c r="G998" s="26"/>
      <c r="H998" s="27"/>
      <c r="I998" s="20"/>
      <c r="J998" s="21"/>
      <c r="K998" s="28"/>
      <c r="L998" s="19"/>
    </row>
    <row r="999" spans="1:12" ht="13.2">
      <c r="A999" s="22"/>
      <c r="B999" s="16"/>
      <c r="C999" s="23"/>
      <c r="D999" s="101"/>
      <c r="E999" s="24"/>
      <c r="F999" s="25"/>
      <c r="G999" s="26"/>
      <c r="H999" s="27"/>
      <c r="I999" s="20"/>
      <c r="J999" s="21"/>
      <c r="K999" s="28"/>
      <c r="L999" s="19"/>
    </row>
    <row r="1000" spans="1:12" ht="13.2">
      <c r="A1000" s="22"/>
      <c r="B1000" s="16"/>
      <c r="C1000" s="23"/>
      <c r="D1000" s="101"/>
      <c r="E1000" s="24"/>
      <c r="F1000" s="25"/>
      <c r="G1000" s="26"/>
      <c r="H1000" s="27"/>
      <c r="I1000" s="20"/>
      <c r="J1000" s="21"/>
      <c r="K1000" s="28"/>
      <c r="L1000" s="19"/>
    </row>
    <row r="1001" spans="1:12" ht="13.2">
      <c r="A1001" s="22"/>
      <c r="B1001" s="16"/>
      <c r="C1001" s="23"/>
      <c r="D1001" s="101"/>
      <c r="E1001" s="24"/>
      <c r="F1001" s="25"/>
      <c r="G1001" s="26"/>
      <c r="H1001" s="27"/>
      <c r="I1001" s="20"/>
      <c r="J1001" s="21"/>
      <c r="K1001" s="28"/>
      <c r="L1001" s="19"/>
    </row>
    <row r="1002" spans="1:12" ht="13.2">
      <c r="A1002" s="22"/>
      <c r="B1002" s="16"/>
      <c r="C1002" s="23"/>
      <c r="D1002" s="101"/>
      <c r="E1002" s="24"/>
      <c r="F1002" s="25"/>
      <c r="G1002" s="26"/>
      <c r="H1002" s="27"/>
      <c r="I1002" s="20"/>
      <c r="J1002" s="21"/>
      <c r="K1002" s="28"/>
      <c r="L1002" s="19"/>
    </row>
    <row r="1003" spans="1:12" ht="13.2">
      <c r="A1003" s="22"/>
      <c r="B1003" s="16"/>
      <c r="C1003" s="23"/>
      <c r="D1003" s="101"/>
      <c r="E1003" s="24"/>
      <c r="F1003" s="25"/>
      <c r="G1003" s="26"/>
      <c r="H1003" s="27"/>
      <c r="I1003" s="20"/>
      <c r="J1003" s="21"/>
      <c r="K1003" s="28"/>
      <c r="L1003" s="19"/>
    </row>
    <row r="1004" spans="1:12" ht="13.2">
      <c r="A1004" s="22"/>
      <c r="B1004" s="16"/>
      <c r="C1004" s="23"/>
      <c r="D1004" s="101"/>
      <c r="E1004" s="24"/>
      <c r="F1004" s="25"/>
      <c r="G1004" s="26"/>
      <c r="H1004" s="27"/>
      <c r="I1004" s="20"/>
      <c r="J1004" s="21"/>
      <c r="K1004" s="28"/>
      <c r="L1004" s="19"/>
    </row>
    <row r="1005" spans="1:12" ht="13.2">
      <c r="A1005" s="22"/>
      <c r="B1005" s="16"/>
      <c r="C1005" s="23"/>
      <c r="D1005" s="101"/>
      <c r="E1005" s="24"/>
      <c r="F1005" s="25"/>
      <c r="G1005" s="26"/>
      <c r="H1005" s="27"/>
      <c r="I1005" s="20"/>
      <c r="J1005" s="21"/>
      <c r="K1005" s="28"/>
      <c r="L1005" s="19"/>
    </row>
    <row r="1006" spans="1:12" ht="13.2">
      <c r="A1006" s="22"/>
      <c r="B1006" s="16"/>
      <c r="C1006" s="23"/>
      <c r="D1006" s="101"/>
      <c r="E1006" s="24"/>
      <c r="F1006" s="25"/>
      <c r="G1006" s="26"/>
      <c r="H1006" s="27"/>
      <c r="I1006" s="20"/>
      <c r="J1006" s="21"/>
      <c r="K1006" s="28"/>
      <c r="L1006" s="19"/>
    </row>
    <row r="1007" spans="1:12" ht="13.2">
      <c r="A1007" s="22"/>
      <c r="B1007" s="16"/>
      <c r="C1007" s="23"/>
      <c r="D1007" s="101"/>
      <c r="E1007" s="24"/>
      <c r="F1007" s="25"/>
      <c r="G1007" s="26"/>
      <c r="H1007" s="27"/>
      <c r="I1007" s="20"/>
      <c r="J1007" s="21"/>
      <c r="K1007" s="28"/>
      <c r="L1007" s="19"/>
    </row>
    <row r="1008" spans="1:12" ht="13.2">
      <c r="A1008" s="22"/>
      <c r="B1008" s="16"/>
      <c r="C1008" s="23"/>
      <c r="D1008" s="101"/>
      <c r="E1008" s="24"/>
      <c r="F1008" s="25"/>
      <c r="G1008" s="26"/>
      <c r="H1008" s="27"/>
      <c r="I1008" s="20"/>
      <c r="J1008" s="21"/>
      <c r="K1008" s="28"/>
      <c r="L1008" s="19"/>
    </row>
    <row r="1009" spans="1:12" ht="13.2">
      <c r="A1009" s="22"/>
      <c r="B1009" s="16"/>
      <c r="C1009" s="23"/>
      <c r="D1009" s="101"/>
      <c r="E1009" s="24"/>
      <c r="F1009" s="25"/>
      <c r="G1009" s="26"/>
      <c r="H1009" s="27"/>
      <c r="I1009" s="20"/>
      <c r="J1009" s="21"/>
      <c r="K1009" s="28"/>
      <c r="L1009" s="19"/>
    </row>
    <row r="1010" spans="1:12" ht="13.2">
      <c r="A1010" s="22"/>
      <c r="B1010" s="16"/>
      <c r="C1010" s="23"/>
      <c r="D1010" s="101"/>
      <c r="E1010" s="24"/>
      <c r="F1010" s="25"/>
      <c r="G1010" s="26"/>
      <c r="H1010" s="27"/>
      <c r="I1010" s="20"/>
      <c r="J1010" s="21"/>
      <c r="K1010" s="28"/>
      <c r="L1010" s="19"/>
    </row>
    <row r="1011" spans="1:12" ht="13.2">
      <c r="A1011" s="22"/>
      <c r="B1011" s="16"/>
      <c r="C1011" s="23"/>
      <c r="D1011" s="101"/>
      <c r="E1011" s="24"/>
      <c r="F1011" s="25"/>
      <c r="G1011" s="26"/>
      <c r="H1011" s="27"/>
      <c r="I1011" s="20"/>
      <c r="J1011" s="21"/>
      <c r="K1011" s="28"/>
      <c r="L1011" s="19"/>
    </row>
    <row r="1012" spans="1:12" ht="13.2">
      <c r="A1012" s="22"/>
      <c r="B1012" s="16"/>
      <c r="C1012" s="23"/>
      <c r="D1012" s="101"/>
      <c r="E1012" s="24"/>
      <c r="F1012" s="25"/>
      <c r="G1012" s="26"/>
      <c r="H1012" s="27"/>
      <c r="I1012" s="20"/>
      <c r="J1012" s="21"/>
      <c r="K1012" s="28"/>
      <c r="L1012" s="19"/>
    </row>
    <row r="1013" spans="1:12" ht="13.2">
      <c r="A1013" s="22"/>
      <c r="B1013" s="16"/>
      <c r="C1013" s="23"/>
      <c r="D1013" s="101"/>
      <c r="E1013" s="24"/>
      <c r="F1013" s="25"/>
      <c r="G1013" s="26"/>
      <c r="H1013" s="27"/>
      <c r="I1013" s="20"/>
      <c r="J1013" s="21"/>
      <c r="K1013" s="28"/>
      <c r="L1013" s="19"/>
    </row>
    <row r="1014" spans="1:12" ht="13.2">
      <c r="A1014" s="22"/>
      <c r="B1014" s="16"/>
      <c r="C1014" s="23"/>
      <c r="D1014" s="101"/>
      <c r="E1014" s="24"/>
      <c r="F1014" s="25"/>
      <c r="G1014" s="26"/>
      <c r="H1014" s="27"/>
      <c r="I1014" s="20"/>
      <c r="J1014" s="21"/>
      <c r="K1014" s="28"/>
      <c r="L1014" s="19"/>
    </row>
    <row r="1015" spans="1:12" ht="13.2">
      <c r="A1015" s="22"/>
      <c r="B1015" s="16"/>
      <c r="C1015" s="23"/>
      <c r="D1015" s="101"/>
      <c r="E1015" s="24"/>
      <c r="F1015" s="25"/>
      <c r="G1015" s="26"/>
      <c r="H1015" s="27"/>
      <c r="I1015" s="20"/>
      <c r="J1015" s="21"/>
      <c r="K1015" s="28"/>
      <c r="L1015" s="19"/>
    </row>
    <row r="1016" spans="1:12" ht="13.2">
      <c r="A1016" s="22"/>
      <c r="B1016" s="16"/>
      <c r="C1016" s="23"/>
      <c r="D1016" s="101"/>
      <c r="E1016" s="24"/>
      <c r="F1016" s="25"/>
      <c r="G1016" s="26"/>
      <c r="H1016" s="27"/>
      <c r="I1016" s="20"/>
      <c r="J1016" s="21"/>
      <c r="K1016" s="28"/>
      <c r="L1016" s="19"/>
    </row>
    <row r="1017" spans="1:12" ht="13.2">
      <c r="A1017" s="22"/>
      <c r="B1017" s="16"/>
      <c r="C1017" s="23"/>
      <c r="D1017" s="101"/>
      <c r="E1017" s="24"/>
      <c r="F1017" s="25"/>
      <c r="G1017" s="26"/>
      <c r="H1017" s="27"/>
      <c r="I1017" s="20"/>
      <c r="J1017" s="21"/>
      <c r="K1017" s="28"/>
      <c r="L1017" s="19"/>
    </row>
    <row r="1018" spans="1:12" ht="13.2">
      <c r="A1018" s="22"/>
      <c r="B1018" s="16"/>
      <c r="C1018" s="23"/>
      <c r="D1018" s="101"/>
      <c r="E1018" s="24"/>
      <c r="F1018" s="25"/>
      <c r="G1018" s="26"/>
      <c r="H1018" s="27"/>
      <c r="I1018" s="20"/>
      <c r="J1018" s="21"/>
      <c r="K1018" s="28"/>
      <c r="L1018" s="19"/>
    </row>
    <row r="1019" spans="1:12" ht="13.2">
      <c r="A1019" s="22"/>
      <c r="B1019" s="16"/>
      <c r="C1019" s="23"/>
      <c r="D1019" s="101"/>
      <c r="E1019" s="24"/>
      <c r="F1019" s="25"/>
      <c r="G1019" s="26"/>
      <c r="H1019" s="27"/>
      <c r="I1019" s="20"/>
      <c r="J1019" s="21"/>
      <c r="K1019" s="28"/>
      <c r="L1019" s="19"/>
    </row>
    <row r="1020" spans="1:12" ht="13.2">
      <c r="A1020" s="22"/>
      <c r="B1020" s="16"/>
      <c r="C1020" s="23"/>
      <c r="D1020" s="101"/>
      <c r="E1020" s="24"/>
      <c r="F1020" s="25"/>
      <c r="G1020" s="26"/>
      <c r="H1020" s="27"/>
      <c r="I1020" s="20"/>
      <c r="J1020" s="21"/>
      <c r="K1020" s="28"/>
      <c r="L1020" s="19"/>
    </row>
    <row r="1021" spans="1:12" ht="13.2">
      <c r="A1021" s="22"/>
      <c r="B1021" s="16"/>
      <c r="C1021" s="23"/>
      <c r="D1021" s="101"/>
      <c r="E1021" s="24"/>
      <c r="F1021" s="25"/>
      <c r="G1021" s="26"/>
      <c r="H1021" s="27"/>
      <c r="I1021" s="20"/>
      <c r="J1021" s="21"/>
      <c r="K1021" s="28"/>
      <c r="L1021" s="19"/>
    </row>
    <row r="1022" spans="1:12" ht="13.2">
      <c r="A1022" s="22"/>
      <c r="B1022" s="16"/>
      <c r="C1022" s="23"/>
      <c r="D1022" s="101"/>
      <c r="E1022" s="24"/>
      <c r="F1022" s="25"/>
      <c r="G1022" s="26"/>
      <c r="H1022" s="27"/>
      <c r="I1022" s="20"/>
      <c r="J1022" s="21"/>
      <c r="K1022" s="28"/>
      <c r="L1022" s="19"/>
    </row>
    <row r="1023" spans="1:12" ht="13.2">
      <c r="A1023" s="22"/>
      <c r="B1023" s="16"/>
      <c r="C1023" s="23"/>
      <c r="D1023" s="101"/>
      <c r="E1023" s="24"/>
      <c r="F1023" s="25"/>
      <c r="G1023" s="26"/>
      <c r="H1023" s="27"/>
      <c r="I1023" s="20"/>
      <c r="J1023" s="21"/>
      <c r="K1023" s="28"/>
      <c r="L1023" s="19"/>
    </row>
    <row r="1024" spans="1:12" ht="13.2">
      <c r="A1024" s="22"/>
      <c r="B1024" s="16"/>
      <c r="C1024" s="23"/>
      <c r="D1024" s="101"/>
      <c r="E1024" s="24"/>
      <c r="F1024" s="25"/>
      <c r="G1024" s="26"/>
      <c r="H1024" s="27"/>
      <c r="I1024" s="20"/>
      <c r="J1024" s="21"/>
      <c r="K1024" s="28"/>
      <c r="L1024" s="19"/>
    </row>
    <row r="1025" spans="1:12" ht="13.2">
      <c r="A1025" s="22"/>
      <c r="B1025" s="16"/>
      <c r="C1025" s="23"/>
      <c r="D1025" s="101"/>
      <c r="E1025" s="24"/>
      <c r="F1025" s="25"/>
      <c r="G1025" s="26"/>
      <c r="H1025" s="27"/>
      <c r="I1025" s="20"/>
      <c r="J1025" s="21"/>
      <c r="K1025" s="28"/>
      <c r="L1025" s="19"/>
    </row>
    <row r="1026" spans="1:12" ht="13.2">
      <c r="A1026" s="22"/>
      <c r="B1026" s="16"/>
      <c r="C1026" s="23"/>
      <c r="D1026" s="101"/>
      <c r="E1026" s="24"/>
      <c r="F1026" s="25"/>
      <c r="G1026" s="26"/>
      <c r="H1026" s="27"/>
      <c r="I1026" s="20"/>
      <c r="J1026" s="21"/>
      <c r="K1026" s="28"/>
      <c r="L1026" s="19"/>
    </row>
    <row r="1027" spans="1:12" ht="13.2">
      <c r="A1027" s="22"/>
      <c r="B1027" s="16"/>
      <c r="C1027" s="23"/>
      <c r="D1027" s="101"/>
      <c r="E1027" s="24"/>
      <c r="F1027" s="25"/>
      <c r="G1027" s="26"/>
      <c r="H1027" s="27"/>
      <c r="I1027" s="20"/>
      <c r="J1027" s="21"/>
      <c r="K1027" s="28"/>
      <c r="L1027" s="19"/>
    </row>
    <row r="1028" spans="1:12" ht="13.2">
      <c r="A1028" s="22"/>
      <c r="B1028" s="16"/>
      <c r="C1028" s="23"/>
      <c r="D1028" s="101"/>
      <c r="E1028" s="24"/>
      <c r="F1028" s="25"/>
      <c r="G1028" s="26"/>
      <c r="H1028" s="27"/>
      <c r="I1028" s="20"/>
      <c r="J1028" s="21"/>
      <c r="K1028" s="28"/>
      <c r="L1028" s="19"/>
    </row>
    <row r="1029" spans="1:12" ht="13.2">
      <c r="A1029" s="22"/>
      <c r="B1029" s="16"/>
      <c r="C1029" s="23"/>
      <c r="D1029" s="101"/>
      <c r="E1029" s="24"/>
      <c r="F1029" s="25"/>
      <c r="G1029" s="26"/>
      <c r="H1029" s="27"/>
      <c r="I1029" s="20"/>
      <c r="J1029" s="21"/>
      <c r="K1029" s="28"/>
      <c r="L1029" s="19"/>
    </row>
    <row r="1030" spans="1:12" ht="13.2">
      <c r="A1030" s="22"/>
      <c r="B1030" s="16"/>
      <c r="C1030" s="23"/>
      <c r="D1030" s="101"/>
      <c r="E1030" s="24"/>
      <c r="F1030" s="25"/>
      <c r="G1030" s="26"/>
      <c r="H1030" s="27"/>
      <c r="I1030" s="20"/>
      <c r="J1030" s="21"/>
      <c r="K1030" s="28"/>
      <c r="L1030" s="19"/>
    </row>
    <row r="1031" spans="1:12" ht="13.2">
      <c r="A1031" s="22"/>
      <c r="B1031" s="16"/>
      <c r="C1031" s="23"/>
      <c r="D1031" s="101"/>
      <c r="E1031" s="24"/>
      <c r="F1031" s="25"/>
      <c r="G1031" s="26"/>
      <c r="H1031" s="27"/>
      <c r="I1031" s="20"/>
      <c r="J1031" s="21"/>
      <c r="K1031" s="28"/>
      <c r="L1031" s="19"/>
    </row>
    <row r="1032" spans="1:12" ht="13.2">
      <c r="A1032" s="22"/>
      <c r="B1032" s="16"/>
      <c r="C1032" s="23"/>
      <c r="D1032" s="101"/>
      <c r="E1032" s="24"/>
      <c r="F1032" s="25"/>
      <c r="G1032" s="26"/>
      <c r="H1032" s="27"/>
      <c r="I1032" s="20"/>
      <c r="J1032" s="21"/>
      <c r="K1032" s="28"/>
      <c r="L1032" s="19"/>
    </row>
    <row r="1033" spans="1:12" ht="13.2">
      <c r="A1033" s="22"/>
      <c r="B1033" s="16"/>
      <c r="C1033" s="23"/>
      <c r="D1033" s="101"/>
      <c r="E1033" s="24"/>
      <c r="F1033" s="25"/>
      <c r="G1033" s="26"/>
      <c r="H1033" s="27"/>
      <c r="I1033" s="20"/>
      <c r="J1033" s="21"/>
      <c r="K1033" s="28"/>
      <c r="L1033" s="19"/>
    </row>
    <row r="1034" spans="1:12" ht="13.2">
      <c r="A1034" s="22"/>
      <c r="B1034" s="16"/>
      <c r="C1034" s="23"/>
      <c r="D1034" s="101"/>
      <c r="E1034" s="24"/>
      <c r="F1034" s="25"/>
      <c r="G1034" s="26"/>
      <c r="H1034" s="27"/>
      <c r="I1034" s="20"/>
      <c r="J1034" s="21"/>
      <c r="K1034" s="28"/>
      <c r="L1034" s="19"/>
    </row>
    <row r="1035" spans="1:12" ht="13.2">
      <c r="A1035" s="22"/>
      <c r="B1035" s="16"/>
      <c r="C1035" s="23"/>
      <c r="D1035" s="101"/>
      <c r="E1035" s="24"/>
      <c r="F1035" s="25"/>
      <c r="G1035" s="26"/>
      <c r="H1035" s="27"/>
      <c r="I1035" s="20"/>
      <c r="J1035" s="21"/>
      <c r="K1035" s="28"/>
      <c r="L1035" s="19"/>
    </row>
    <row r="1036" spans="1:12" ht="13.2">
      <c r="A1036" s="22"/>
      <c r="B1036" s="16"/>
      <c r="C1036" s="23"/>
      <c r="D1036" s="101"/>
      <c r="E1036" s="24"/>
      <c r="F1036" s="25"/>
      <c r="G1036" s="26"/>
      <c r="H1036" s="27"/>
      <c r="I1036" s="20"/>
      <c r="J1036" s="21"/>
      <c r="K1036" s="28"/>
      <c r="L1036" s="19"/>
    </row>
    <row r="1037" spans="1:12" ht="13.2">
      <c r="A1037" s="22"/>
      <c r="B1037" s="16"/>
      <c r="C1037" s="23"/>
      <c r="D1037" s="101"/>
      <c r="E1037" s="24"/>
      <c r="F1037" s="25"/>
      <c r="G1037" s="26"/>
      <c r="H1037" s="27"/>
      <c r="I1037" s="20"/>
      <c r="J1037" s="21"/>
      <c r="K1037" s="28"/>
      <c r="L1037" s="19"/>
    </row>
    <row r="1038" spans="1:12" ht="13.2">
      <c r="A1038" s="22"/>
      <c r="B1038" s="16"/>
      <c r="C1038" s="23"/>
      <c r="D1038" s="101"/>
      <c r="E1038" s="24"/>
      <c r="F1038" s="25"/>
      <c r="G1038" s="26"/>
      <c r="H1038" s="27"/>
      <c r="I1038" s="20"/>
      <c r="J1038" s="21"/>
      <c r="K1038" s="28"/>
      <c r="L1038" s="19"/>
    </row>
    <row r="1039" spans="1:12" ht="13.2">
      <c r="A1039" s="22"/>
      <c r="B1039" s="16"/>
      <c r="C1039" s="23"/>
      <c r="D1039" s="101"/>
      <c r="E1039" s="24"/>
      <c r="F1039" s="25"/>
      <c r="G1039" s="26"/>
      <c r="H1039" s="27"/>
      <c r="I1039" s="20"/>
      <c r="J1039" s="21"/>
      <c r="K1039" s="28"/>
      <c r="L1039" s="19"/>
    </row>
    <row r="1040" spans="1:12" ht="13.2">
      <c r="A1040" s="22"/>
      <c r="B1040" s="16"/>
      <c r="C1040" s="23"/>
      <c r="D1040" s="101"/>
      <c r="E1040" s="24"/>
      <c r="F1040" s="25"/>
      <c r="G1040" s="26"/>
      <c r="H1040" s="27"/>
      <c r="I1040" s="20"/>
      <c r="J1040" s="21"/>
      <c r="K1040" s="28"/>
      <c r="L1040" s="19"/>
    </row>
    <row r="1041" spans="1:12" ht="13.2">
      <c r="A1041" s="22"/>
      <c r="B1041" s="16"/>
      <c r="C1041" s="23"/>
      <c r="D1041" s="101"/>
      <c r="E1041" s="24"/>
      <c r="F1041" s="25"/>
      <c r="G1041" s="26"/>
      <c r="H1041" s="27"/>
      <c r="I1041" s="20"/>
      <c r="J1041" s="21"/>
      <c r="K1041" s="28"/>
      <c r="L1041" s="19"/>
    </row>
    <row r="1042" spans="1:12" ht="13.2">
      <c r="A1042" s="22"/>
      <c r="B1042" s="16"/>
      <c r="C1042" s="23"/>
      <c r="D1042" s="101"/>
      <c r="E1042" s="24"/>
      <c r="F1042" s="25"/>
      <c r="G1042" s="26"/>
      <c r="H1042" s="27"/>
      <c r="I1042" s="20"/>
      <c r="J1042" s="21"/>
      <c r="K1042" s="28"/>
      <c r="L1042" s="19"/>
    </row>
    <row r="1043" spans="1:12" ht="13.2">
      <c r="A1043" s="22"/>
      <c r="B1043" s="16"/>
      <c r="C1043" s="23"/>
      <c r="D1043" s="101"/>
      <c r="E1043" s="24"/>
      <c r="F1043" s="25"/>
      <c r="G1043" s="26"/>
      <c r="H1043" s="27"/>
      <c r="I1043" s="20"/>
      <c r="J1043" s="21"/>
      <c r="K1043" s="28"/>
      <c r="L1043" s="19"/>
    </row>
    <row r="1044" spans="1:12" ht="13.2">
      <c r="A1044" s="22"/>
      <c r="B1044" s="16"/>
      <c r="C1044" s="23"/>
      <c r="D1044" s="101"/>
      <c r="E1044" s="24"/>
      <c r="F1044" s="25"/>
      <c r="G1044" s="26"/>
      <c r="H1044" s="27"/>
      <c r="I1044" s="20"/>
      <c r="J1044" s="21"/>
      <c r="K1044" s="28"/>
      <c r="L1044" s="19"/>
    </row>
    <row r="1045" spans="1:12" ht="13.2">
      <c r="A1045" s="22"/>
      <c r="B1045" s="16"/>
      <c r="C1045" s="23"/>
      <c r="D1045" s="101"/>
      <c r="E1045" s="24"/>
      <c r="F1045" s="25"/>
      <c r="G1045" s="26"/>
      <c r="H1045" s="27"/>
      <c r="I1045" s="20"/>
      <c r="J1045" s="21"/>
      <c r="K1045" s="28"/>
      <c r="L1045" s="19"/>
    </row>
    <row r="1046" spans="1:12" ht="13.2">
      <c r="A1046" s="22"/>
      <c r="B1046" s="16"/>
      <c r="C1046" s="23"/>
      <c r="D1046" s="101"/>
      <c r="E1046" s="24"/>
      <c r="F1046" s="25"/>
      <c r="G1046" s="26"/>
      <c r="H1046" s="27"/>
      <c r="I1046" s="20"/>
      <c r="J1046" s="21"/>
      <c r="K1046" s="28"/>
      <c r="L1046" s="19"/>
    </row>
    <row r="1047" spans="1:12" ht="13.2">
      <c r="A1047" s="22"/>
      <c r="B1047" s="16"/>
      <c r="C1047" s="23"/>
      <c r="D1047" s="101"/>
      <c r="E1047" s="24"/>
      <c r="F1047" s="25"/>
      <c r="G1047" s="26"/>
      <c r="H1047" s="27"/>
      <c r="I1047" s="20"/>
      <c r="J1047" s="21"/>
      <c r="K1047" s="28"/>
      <c r="L1047" s="19"/>
    </row>
    <row r="1048" spans="1:12" ht="13.2">
      <c r="A1048" s="22"/>
      <c r="B1048" s="16"/>
      <c r="C1048" s="23"/>
      <c r="D1048" s="101"/>
      <c r="E1048" s="24"/>
      <c r="F1048" s="25"/>
      <c r="G1048" s="26"/>
      <c r="H1048" s="27"/>
      <c r="I1048" s="20"/>
      <c r="J1048" s="21"/>
      <c r="K1048" s="28"/>
      <c r="L1048" s="19"/>
    </row>
    <row r="1049" spans="1:12" ht="13.2">
      <c r="A1049" s="22"/>
      <c r="B1049" s="16"/>
      <c r="C1049" s="23"/>
      <c r="D1049" s="101"/>
      <c r="E1049" s="24"/>
      <c r="F1049" s="25"/>
      <c r="G1049" s="26"/>
      <c r="H1049" s="27"/>
      <c r="I1049" s="20"/>
      <c r="J1049" s="21"/>
      <c r="K1049" s="28"/>
      <c r="L1049" s="19"/>
    </row>
    <row r="1050" spans="1:12" ht="13.2">
      <c r="A1050" s="22"/>
      <c r="B1050" s="16"/>
      <c r="C1050" s="23"/>
      <c r="D1050" s="101"/>
      <c r="E1050" s="24"/>
      <c r="F1050" s="25"/>
      <c r="G1050" s="26"/>
      <c r="H1050" s="27"/>
      <c r="I1050" s="20"/>
      <c r="J1050" s="21"/>
      <c r="K1050" s="28"/>
      <c r="L1050" s="19"/>
    </row>
    <row r="1051" spans="1:12" ht="13.2">
      <c r="A1051" s="22"/>
      <c r="B1051" s="16"/>
      <c r="C1051" s="23"/>
      <c r="D1051" s="101"/>
      <c r="E1051" s="24"/>
      <c r="F1051" s="25"/>
      <c r="G1051" s="26"/>
      <c r="H1051" s="27"/>
      <c r="I1051" s="20"/>
      <c r="J1051" s="21"/>
      <c r="K1051" s="28"/>
      <c r="L1051" s="19"/>
    </row>
    <row r="1052" spans="1:12" ht="13.2">
      <c r="A1052" s="22"/>
      <c r="B1052" s="16"/>
      <c r="C1052" s="23"/>
      <c r="D1052" s="101"/>
      <c r="E1052" s="24"/>
      <c r="F1052" s="25"/>
      <c r="G1052" s="26"/>
      <c r="H1052" s="27"/>
      <c r="I1052" s="20"/>
      <c r="J1052" s="21"/>
      <c r="K1052" s="28"/>
      <c r="L1052" s="19"/>
    </row>
    <row r="1053" spans="1:12" ht="13.2">
      <c r="A1053" s="22"/>
      <c r="B1053" s="16"/>
      <c r="C1053" s="23"/>
      <c r="D1053" s="101"/>
      <c r="E1053" s="24"/>
      <c r="F1053" s="25"/>
      <c r="G1053" s="26"/>
      <c r="H1053" s="27"/>
      <c r="I1053" s="20"/>
      <c r="J1053" s="21"/>
      <c r="K1053" s="28"/>
      <c r="L1053" s="19"/>
    </row>
    <row r="1054" spans="1:12" ht="13.2">
      <c r="A1054" s="22"/>
      <c r="B1054" s="16"/>
      <c r="C1054" s="23"/>
      <c r="D1054" s="101"/>
      <c r="E1054" s="24"/>
      <c r="F1054" s="25"/>
      <c r="G1054" s="26"/>
      <c r="H1054" s="27"/>
      <c r="I1054" s="20"/>
      <c r="J1054" s="21"/>
      <c r="K1054" s="28"/>
      <c r="L1054" s="19"/>
    </row>
    <row r="1055" spans="1:12" ht="13.2">
      <c r="A1055" s="22"/>
      <c r="B1055" s="16"/>
      <c r="C1055" s="23"/>
      <c r="D1055" s="101"/>
      <c r="E1055" s="24"/>
      <c r="F1055" s="25"/>
      <c r="G1055" s="26"/>
      <c r="H1055" s="27"/>
      <c r="I1055" s="20"/>
      <c r="J1055" s="21"/>
      <c r="K1055" s="28"/>
      <c r="L1055" s="19"/>
    </row>
    <row r="1056" spans="1:12" ht="13.2">
      <c r="A1056" s="22"/>
      <c r="B1056" s="16"/>
      <c r="C1056" s="23"/>
      <c r="D1056" s="101"/>
      <c r="E1056" s="24"/>
      <c r="F1056" s="25"/>
      <c r="G1056" s="26"/>
      <c r="H1056" s="27"/>
      <c r="I1056" s="20"/>
      <c r="J1056" s="21"/>
      <c r="K1056" s="28"/>
      <c r="L1056" s="19"/>
    </row>
    <row r="1057" spans="1:12" ht="13.2">
      <c r="A1057" s="22"/>
      <c r="B1057" s="16"/>
      <c r="C1057" s="23"/>
      <c r="D1057" s="101"/>
      <c r="E1057" s="24"/>
      <c r="F1057" s="25"/>
      <c r="G1057" s="26"/>
      <c r="H1057" s="27"/>
      <c r="I1057" s="20"/>
      <c r="J1057" s="21"/>
      <c r="K1057" s="28"/>
      <c r="L1057" s="19"/>
    </row>
    <row r="1058" spans="1:12" ht="13.2">
      <c r="A1058" s="22"/>
      <c r="B1058" s="16"/>
      <c r="C1058" s="23"/>
      <c r="D1058" s="101"/>
      <c r="E1058" s="24"/>
      <c r="F1058" s="25"/>
      <c r="G1058" s="26"/>
      <c r="H1058" s="27"/>
      <c r="I1058" s="20"/>
      <c r="J1058" s="21"/>
      <c r="K1058" s="28"/>
      <c r="L1058" s="19"/>
    </row>
    <row r="1059" spans="1:12" ht="13.2">
      <c r="A1059" s="22"/>
      <c r="B1059" s="16"/>
      <c r="C1059" s="23"/>
      <c r="D1059" s="101"/>
      <c r="E1059" s="24"/>
      <c r="F1059" s="25"/>
      <c r="G1059" s="26"/>
      <c r="H1059" s="27"/>
      <c r="I1059" s="20"/>
      <c r="J1059" s="21"/>
      <c r="K1059" s="28"/>
      <c r="L1059" s="19"/>
    </row>
    <row r="1060" spans="1:12" ht="13.2">
      <c r="A1060" s="22"/>
      <c r="B1060" s="16"/>
      <c r="C1060" s="23"/>
      <c r="D1060" s="101"/>
      <c r="E1060" s="24"/>
      <c r="F1060" s="25"/>
      <c r="G1060" s="26"/>
      <c r="H1060" s="27"/>
      <c r="I1060" s="20"/>
      <c r="J1060" s="21"/>
      <c r="K1060" s="28"/>
      <c r="L1060" s="19"/>
    </row>
    <row r="1061" spans="1:12" ht="13.2">
      <c r="A1061" s="22"/>
      <c r="B1061" s="16"/>
      <c r="C1061" s="23"/>
      <c r="D1061" s="101"/>
      <c r="E1061" s="24"/>
      <c r="F1061" s="25"/>
      <c r="G1061" s="26"/>
      <c r="H1061" s="27"/>
      <c r="I1061" s="20"/>
      <c r="J1061" s="21"/>
      <c r="K1061" s="28"/>
      <c r="L1061" s="19"/>
    </row>
    <row r="1062" spans="1:12" ht="13.2">
      <c r="A1062" s="22"/>
      <c r="B1062" s="16"/>
      <c r="C1062" s="23"/>
      <c r="D1062" s="101"/>
      <c r="E1062" s="24"/>
      <c r="F1062" s="25"/>
      <c r="G1062" s="26"/>
      <c r="H1062" s="27"/>
      <c r="I1062" s="20"/>
      <c r="J1062" s="21"/>
      <c r="K1062" s="28"/>
      <c r="L1062" s="19"/>
    </row>
    <row r="1063" spans="1:12" ht="13.2">
      <c r="A1063" s="22"/>
      <c r="B1063" s="16"/>
      <c r="C1063" s="23"/>
      <c r="D1063" s="101"/>
      <c r="E1063" s="24"/>
      <c r="F1063" s="25"/>
      <c r="G1063" s="26"/>
      <c r="H1063" s="27"/>
      <c r="I1063" s="20"/>
      <c r="J1063" s="21"/>
      <c r="K1063" s="28"/>
      <c r="L1063" s="19"/>
    </row>
    <row r="1064" spans="1:12" ht="13.2">
      <c r="A1064" s="22"/>
      <c r="B1064" s="16"/>
      <c r="C1064" s="23"/>
      <c r="D1064" s="101"/>
      <c r="E1064" s="24"/>
      <c r="F1064" s="25"/>
      <c r="G1064" s="26"/>
      <c r="H1064" s="27"/>
      <c r="I1064" s="20"/>
      <c r="J1064" s="21"/>
      <c r="K1064" s="28"/>
      <c r="L1064" s="19"/>
    </row>
    <row r="1065" spans="1:12" ht="13.2">
      <c r="A1065" s="22"/>
      <c r="B1065" s="16"/>
      <c r="C1065" s="23"/>
      <c r="D1065" s="101"/>
      <c r="E1065" s="24"/>
      <c r="F1065" s="25"/>
      <c r="G1065" s="26"/>
      <c r="H1065" s="27"/>
      <c r="I1065" s="20"/>
      <c r="J1065" s="21"/>
      <c r="K1065" s="28"/>
      <c r="L1065" s="19"/>
    </row>
    <row r="1066" spans="1:12" ht="13.2">
      <c r="A1066" s="22"/>
      <c r="B1066" s="16"/>
      <c r="C1066" s="23"/>
      <c r="D1066" s="101"/>
      <c r="E1066" s="24"/>
      <c r="F1066" s="25"/>
      <c r="G1066" s="26"/>
      <c r="H1066" s="27"/>
      <c r="I1066" s="20"/>
      <c r="J1066" s="21"/>
      <c r="K1066" s="28"/>
      <c r="L1066" s="19"/>
    </row>
    <row r="1067" spans="1:12" ht="13.2">
      <c r="A1067" s="22"/>
      <c r="B1067" s="16"/>
      <c r="C1067" s="23"/>
      <c r="D1067" s="101"/>
      <c r="E1067" s="24"/>
      <c r="F1067" s="25"/>
      <c r="G1067" s="26"/>
      <c r="H1067" s="27"/>
      <c r="I1067" s="20"/>
      <c r="J1067" s="21"/>
      <c r="K1067" s="28"/>
      <c r="L1067" s="19"/>
    </row>
    <row r="1068" spans="1:12" ht="13.2">
      <c r="A1068" s="22"/>
      <c r="B1068" s="16"/>
      <c r="C1068" s="23"/>
      <c r="D1068" s="101"/>
      <c r="E1068" s="24"/>
      <c r="F1068" s="25"/>
      <c r="G1068" s="26"/>
      <c r="H1068" s="27"/>
      <c r="I1068" s="20"/>
      <c r="J1068" s="21"/>
      <c r="K1068" s="28"/>
      <c r="L1068" s="19"/>
    </row>
    <row r="1069" spans="1:12" ht="13.2">
      <c r="A1069" s="22"/>
      <c r="B1069" s="16"/>
      <c r="C1069" s="23"/>
      <c r="D1069" s="101"/>
      <c r="E1069" s="24"/>
      <c r="F1069" s="25"/>
      <c r="G1069" s="26"/>
      <c r="H1069" s="27"/>
      <c r="I1069" s="20"/>
      <c r="J1069" s="21"/>
      <c r="K1069" s="28"/>
      <c r="L1069" s="19"/>
    </row>
    <row r="1070" spans="1:12" ht="13.2">
      <c r="A1070" s="22"/>
      <c r="B1070" s="16"/>
      <c r="C1070" s="23"/>
      <c r="D1070" s="101"/>
      <c r="E1070" s="24"/>
      <c r="F1070" s="25"/>
      <c r="G1070" s="26"/>
      <c r="H1070" s="27"/>
      <c r="I1070" s="20"/>
      <c r="J1070" s="21"/>
      <c r="K1070" s="28"/>
      <c r="L1070" s="19"/>
    </row>
    <row r="1071" spans="1:12" ht="13.2">
      <c r="A1071" s="22"/>
      <c r="B1071" s="16"/>
      <c r="C1071" s="23"/>
      <c r="D1071" s="101"/>
      <c r="E1071" s="24"/>
      <c r="F1071" s="25"/>
      <c r="G1071" s="26"/>
      <c r="H1071" s="27"/>
      <c r="I1071" s="20"/>
      <c r="J1071" s="21"/>
      <c r="K1071" s="28"/>
      <c r="L1071" s="19"/>
    </row>
    <row r="1072" spans="1:12" ht="13.2">
      <c r="A1072" s="22"/>
      <c r="B1072" s="16"/>
      <c r="C1072" s="23"/>
      <c r="D1072" s="101"/>
      <c r="E1072" s="24"/>
      <c r="F1072" s="25"/>
      <c r="G1072" s="26"/>
      <c r="H1072" s="27"/>
      <c r="I1072" s="20"/>
      <c r="J1072" s="21"/>
      <c r="K1072" s="28"/>
      <c r="L1072" s="19"/>
    </row>
    <row r="1073" spans="1:12" ht="13.2">
      <c r="A1073" s="22"/>
      <c r="B1073" s="16"/>
      <c r="C1073" s="23"/>
      <c r="D1073" s="101"/>
      <c r="E1073" s="24"/>
      <c r="F1073" s="25"/>
      <c r="G1073" s="26"/>
      <c r="H1073" s="27"/>
      <c r="I1073" s="20"/>
      <c r="J1073" s="21"/>
      <c r="K1073" s="28"/>
      <c r="L1073" s="19"/>
    </row>
    <row r="1074" spans="1:12" ht="13.2">
      <c r="A1074" s="22"/>
      <c r="B1074" s="16"/>
      <c r="C1074" s="23"/>
      <c r="D1074" s="101"/>
      <c r="E1074" s="24"/>
      <c r="F1074" s="25"/>
      <c r="G1074" s="26"/>
      <c r="H1074" s="27"/>
      <c r="I1074" s="20"/>
      <c r="J1074" s="21"/>
      <c r="K1074" s="28"/>
      <c r="L1074" s="19"/>
    </row>
    <row r="1075" spans="1:12" ht="13.2">
      <c r="A1075" s="22"/>
      <c r="B1075" s="16"/>
      <c r="C1075" s="23"/>
      <c r="D1075" s="101"/>
      <c r="E1075" s="24"/>
      <c r="F1075" s="25"/>
      <c r="G1075" s="26"/>
      <c r="H1075" s="27"/>
      <c r="I1075" s="20"/>
      <c r="J1075" s="21"/>
      <c r="K1075" s="28"/>
      <c r="L1075" s="19"/>
    </row>
    <row r="1076" spans="1:12" ht="13.2">
      <c r="A1076" s="22"/>
      <c r="B1076" s="16"/>
      <c r="C1076" s="23"/>
      <c r="D1076" s="101"/>
      <c r="E1076" s="24"/>
      <c r="F1076" s="25"/>
      <c r="G1076" s="26"/>
      <c r="H1076" s="27"/>
      <c r="I1076" s="20"/>
      <c r="J1076" s="21"/>
      <c r="K1076" s="28"/>
      <c r="L1076" s="19"/>
    </row>
    <row r="1077" spans="1:12" ht="13.2">
      <c r="A1077" s="22"/>
      <c r="B1077" s="16"/>
      <c r="C1077" s="23"/>
      <c r="D1077" s="101"/>
      <c r="E1077" s="24"/>
      <c r="F1077" s="25"/>
      <c r="G1077" s="26"/>
      <c r="H1077" s="27"/>
      <c r="I1077" s="20"/>
      <c r="J1077" s="21"/>
      <c r="K1077" s="28"/>
      <c r="L1077" s="19"/>
    </row>
    <row r="1078" spans="1:12" ht="13.2">
      <c r="A1078" s="22"/>
      <c r="B1078" s="16"/>
      <c r="C1078" s="23"/>
      <c r="D1078" s="101"/>
      <c r="E1078" s="24"/>
      <c r="F1078" s="25"/>
      <c r="G1078" s="26"/>
      <c r="H1078" s="27"/>
      <c r="I1078" s="20"/>
      <c r="J1078" s="21"/>
      <c r="K1078" s="28"/>
      <c r="L1078" s="19"/>
    </row>
    <row r="1079" spans="1:12" ht="13.2">
      <c r="A1079" s="22"/>
      <c r="B1079" s="16"/>
      <c r="C1079" s="23"/>
      <c r="D1079" s="101"/>
      <c r="E1079" s="24"/>
      <c r="F1079" s="25"/>
      <c r="G1079" s="26"/>
      <c r="H1079" s="27"/>
      <c r="I1079" s="20"/>
      <c r="J1079" s="21"/>
      <c r="K1079" s="28"/>
      <c r="L1079" s="19"/>
    </row>
    <row r="1080" spans="1:12" ht="13.2">
      <c r="A1080" s="22"/>
      <c r="B1080" s="16"/>
      <c r="C1080" s="23"/>
      <c r="D1080" s="101"/>
      <c r="E1080" s="24"/>
      <c r="F1080" s="25"/>
      <c r="G1080" s="26"/>
      <c r="H1080" s="27"/>
      <c r="I1080" s="20"/>
      <c r="J1080" s="21"/>
      <c r="K1080" s="28"/>
      <c r="L1080" s="19"/>
    </row>
    <row r="1081" spans="1:12" ht="13.2">
      <c r="A1081" s="22"/>
      <c r="B1081" s="16"/>
      <c r="C1081" s="23"/>
      <c r="D1081" s="101"/>
      <c r="E1081" s="24"/>
      <c r="F1081" s="25"/>
      <c r="G1081" s="26"/>
      <c r="H1081" s="27"/>
      <c r="I1081" s="20"/>
      <c r="J1081" s="21"/>
      <c r="K1081" s="28"/>
      <c r="L1081" s="19"/>
    </row>
    <row r="1082" spans="1:12" ht="13.2">
      <c r="A1082" s="22"/>
      <c r="B1082" s="16"/>
      <c r="C1082" s="23"/>
      <c r="D1082" s="101"/>
      <c r="E1082" s="24"/>
      <c r="F1082" s="25"/>
      <c r="G1082" s="26"/>
      <c r="H1082" s="27"/>
      <c r="I1082" s="20"/>
      <c r="J1082" s="21"/>
      <c r="K1082" s="28"/>
      <c r="L1082" s="19"/>
    </row>
    <row r="1083" spans="1:12" ht="13.2">
      <c r="A1083" s="22"/>
      <c r="B1083" s="16"/>
      <c r="C1083" s="23"/>
      <c r="D1083" s="101"/>
      <c r="E1083" s="24"/>
      <c r="F1083" s="25"/>
      <c r="G1083" s="26"/>
      <c r="H1083" s="27"/>
      <c r="I1083" s="20"/>
      <c r="J1083" s="21"/>
      <c r="K1083" s="28"/>
      <c r="L1083" s="19"/>
    </row>
    <row r="1084" spans="1:12" ht="13.2">
      <c r="A1084" s="22"/>
      <c r="B1084" s="16"/>
      <c r="C1084" s="23"/>
      <c r="D1084" s="101"/>
      <c r="E1084" s="24"/>
      <c r="F1084" s="25"/>
      <c r="G1084" s="26"/>
      <c r="H1084" s="27"/>
      <c r="I1084" s="20"/>
      <c r="J1084" s="21"/>
      <c r="K1084" s="28"/>
      <c r="L1084" s="19"/>
    </row>
    <row r="1085" spans="1:12" ht="13.2">
      <c r="A1085" s="22"/>
      <c r="B1085" s="16"/>
      <c r="C1085" s="23"/>
      <c r="D1085" s="101"/>
      <c r="E1085" s="24"/>
      <c r="F1085" s="25"/>
      <c r="G1085" s="26"/>
      <c r="H1085" s="27"/>
      <c r="I1085" s="20"/>
      <c r="J1085" s="21"/>
      <c r="K1085" s="28"/>
      <c r="L1085" s="19"/>
    </row>
    <row r="1086" spans="1:12" ht="13.2">
      <c r="A1086" s="22"/>
      <c r="B1086" s="16"/>
      <c r="C1086" s="23"/>
      <c r="D1086" s="101"/>
      <c r="E1086" s="24"/>
      <c r="F1086" s="25"/>
      <c r="G1086" s="26"/>
      <c r="H1086" s="27"/>
      <c r="I1086" s="20"/>
      <c r="J1086" s="21"/>
      <c r="K1086" s="28"/>
      <c r="L1086" s="19"/>
    </row>
    <row r="1087" spans="1:12" ht="13.2">
      <c r="A1087" s="22"/>
      <c r="B1087" s="16"/>
      <c r="C1087" s="23"/>
      <c r="D1087" s="101"/>
      <c r="E1087" s="24"/>
      <c r="F1087" s="25"/>
      <c r="G1087" s="26"/>
      <c r="H1087" s="27"/>
      <c r="I1087" s="20"/>
      <c r="J1087" s="21"/>
      <c r="K1087" s="28"/>
      <c r="L1087" s="19"/>
    </row>
    <row r="1088" spans="1:12" ht="13.2">
      <c r="A1088" s="22"/>
      <c r="B1088" s="16"/>
      <c r="C1088" s="23"/>
      <c r="D1088" s="101"/>
      <c r="E1088" s="24"/>
      <c r="F1088" s="25"/>
      <c r="G1088" s="26"/>
      <c r="H1088" s="27"/>
      <c r="I1088" s="20"/>
      <c r="J1088" s="21"/>
      <c r="K1088" s="28"/>
      <c r="L1088" s="19"/>
    </row>
    <row r="1089" spans="1:12" ht="13.2">
      <c r="A1089" s="22"/>
      <c r="B1089" s="16"/>
      <c r="C1089" s="23"/>
      <c r="D1089" s="101"/>
      <c r="E1089" s="24"/>
      <c r="F1089" s="25"/>
      <c r="G1089" s="26"/>
      <c r="H1089" s="27"/>
      <c r="I1089" s="20"/>
      <c r="J1089" s="21"/>
      <c r="K1089" s="28"/>
      <c r="L1089" s="19"/>
    </row>
    <row r="1090" spans="1:12" ht="13.2">
      <c r="A1090" s="22"/>
      <c r="B1090" s="16"/>
      <c r="C1090" s="23"/>
      <c r="D1090" s="101"/>
      <c r="E1090" s="24"/>
      <c r="F1090" s="25"/>
      <c r="G1090" s="26"/>
      <c r="H1090" s="27"/>
      <c r="I1090" s="20"/>
      <c r="J1090" s="21"/>
      <c r="K1090" s="28"/>
      <c r="L1090" s="19"/>
    </row>
    <row r="1091" spans="1:12" ht="13.2">
      <c r="A1091" s="22"/>
      <c r="B1091" s="16"/>
      <c r="C1091" s="23"/>
      <c r="D1091" s="101"/>
      <c r="E1091" s="24"/>
      <c r="F1091" s="25"/>
      <c r="G1091" s="26"/>
      <c r="H1091" s="27"/>
      <c r="I1091" s="20"/>
      <c r="J1091" s="21"/>
      <c r="K1091" s="28"/>
      <c r="L1091" s="19"/>
    </row>
    <row r="1092" spans="1:12" ht="13.2">
      <c r="A1092" s="22"/>
      <c r="B1092" s="16"/>
      <c r="C1092" s="23"/>
      <c r="D1092" s="101"/>
      <c r="E1092" s="24"/>
      <c r="F1092" s="25"/>
      <c r="G1092" s="26"/>
      <c r="H1092" s="27"/>
      <c r="I1092" s="20"/>
      <c r="J1092" s="21"/>
      <c r="K1092" s="28"/>
      <c r="L1092" s="19"/>
    </row>
    <row r="1093" spans="1:12" ht="13.2">
      <c r="A1093" s="22"/>
      <c r="B1093" s="16"/>
      <c r="C1093" s="23"/>
      <c r="D1093" s="101"/>
      <c r="E1093" s="24"/>
      <c r="F1093" s="25"/>
      <c r="G1093" s="26"/>
      <c r="H1093" s="27"/>
      <c r="I1093" s="20"/>
      <c r="J1093" s="21"/>
      <c r="K1093" s="28"/>
      <c r="L1093" s="19"/>
    </row>
    <row r="1094" spans="1:12" ht="13.2">
      <c r="A1094" s="22"/>
      <c r="B1094" s="16"/>
      <c r="C1094" s="23"/>
      <c r="D1094" s="101"/>
      <c r="E1094" s="24"/>
      <c r="F1094" s="25"/>
      <c r="G1094" s="26"/>
      <c r="H1094" s="27"/>
      <c r="I1094" s="20"/>
      <c r="J1094" s="21"/>
      <c r="K1094" s="28"/>
      <c r="L1094" s="19"/>
    </row>
    <row r="1095" spans="1:12" ht="13.2">
      <c r="A1095" s="22"/>
      <c r="B1095" s="16"/>
      <c r="C1095" s="23"/>
      <c r="D1095" s="101"/>
      <c r="E1095" s="24"/>
      <c r="F1095" s="25"/>
      <c r="G1095" s="26"/>
      <c r="H1095" s="27"/>
      <c r="I1095" s="20"/>
      <c r="J1095" s="21"/>
      <c r="K1095" s="28"/>
      <c r="L1095" s="19"/>
    </row>
    <row r="1096" spans="1:12" ht="13.2">
      <c r="A1096" s="22"/>
      <c r="B1096" s="16"/>
      <c r="C1096" s="23"/>
      <c r="D1096" s="101"/>
      <c r="E1096" s="24"/>
      <c r="F1096" s="25"/>
      <c r="G1096" s="26"/>
      <c r="H1096" s="27"/>
      <c r="I1096" s="20"/>
      <c r="J1096" s="21"/>
      <c r="K1096" s="28"/>
      <c r="L1096" s="19"/>
    </row>
    <row r="1097" spans="1:12" ht="13.2">
      <c r="A1097" s="22"/>
      <c r="B1097" s="16"/>
      <c r="C1097" s="23"/>
      <c r="D1097" s="101"/>
      <c r="E1097" s="24"/>
      <c r="F1097" s="25"/>
      <c r="G1097" s="26"/>
      <c r="H1097" s="27"/>
      <c r="I1097" s="20"/>
      <c r="J1097" s="21"/>
      <c r="K1097" s="28"/>
      <c r="L1097" s="19"/>
    </row>
    <row r="1098" spans="1:12" ht="13.2">
      <c r="A1098" s="22"/>
      <c r="B1098" s="16"/>
      <c r="C1098" s="23"/>
      <c r="D1098" s="101"/>
      <c r="E1098" s="24"/>
      <c r="F1098" s="25"/>
      <c r="G1098" s="26"/>
      <c r="H1098" s="27"/>
      <c r="I1098" s="20"/>
      <c r="J1098" s="21"/>
      <c r="K1098" s="28"/>
      <c r="L1098" s="19"/>
    </row>
    <row r="1099" spans="1:12" ht="13.2">
      <c r="A1099" s="22"/>
      <c r="B1099" s="16"/>
      <c r="C1099" s="23"/>
      <c r="D1099" s="101"/>
      <c r="E1099" s="24"/>
      <c r="F1099" s="25"/>
      <c r="G1099" s="26"/>
      <c r="H1099" s="27"/>
      <c r="I1099" s="20"/>
      <c r="J1099" s="21"/>
      <c r="K1099" s="28"/>
      <c r="L1099" s="19"/>
    </row>
    <row r="1100" spans="1:12" ht="13.2">
      <c r="A1100" s="22"/>
      <c r="B1100" s="16"/>
      <c r="C1100" s="23"/>
      <c r="D1100" s="101"/>
      <c r="E1100" s="24"/>
      <c r="F1100" s="25"/>
      <c r="G1100" s="26"/>
      <c r="H1100" s="27"/>
      <c r="I1100" s="20"/>
      <c r="J1100" s="21"/>
      <c r="K1100" s="28"/>
      <c r="L1100" s="19"/>
    </row>
    <row r="1101" spans="1:12" ht="13.2">
      <c r="A1101" s="22"/>
      <c r="B1101" s="16"/>
      <c r="C1101" s="23"/>
      <c r="D1101" s="101"/>
      <c r="E1101" s="24"/>
      <c r="F1101" s="25"/>
      <c r="G1101" s="26"/>
      <c r="H1101" s="27"/>
      <c r="I1101" s="20"/>
      <c r="J1101" s="21"/>
      <c r="K1101" s="28"/>
      <c r="L1101" s="19"/>
    </row>
    <row r="1102" spans="1:12" ht="13.2">
      <c r="A1102" s="22"/>
      <c r="B1102" s="16"/>
      <c r="C1102" s="23"/>
      <c r="D1102" s="101"/>
      <c r="E1102" s="24"/>
      <c r="F1102" s="25"/>
      <c r="G1102" s="26"/>
      <c r="H1102" s="27"/>
      <c r="I1102" s="20"/>
      <c r="J1102" s="21"/>
      <c r="K1102" s="28"/>
      <c r="L1102" s="19"/>
    </row>
    <row r="1103" spans="1:12" ht="13.2">
      <c r="A1103" s="22"/>
      <c r="B1103" s="16"/>
      <c r="C1103" s="23"/>
      <c r="D1103" s="101"/>
      <c r="E1103" s="24"/>
      <c r="F1103" s="25"/>
      <c r="G1103" s="26"/>
      <c r="H1103" s="27"/>
      <c r="I1103" s="20"/>
      <c r="J1103" s="21"/>
      <c r="K1103" s="28"/>
      <c r="L1103" s="19"/>
    </row>
    <row r="1104" spans="1:12" ht="13.2">
      <c r="A1104" s="22"/>
      <c r="B1104" s="16"/>
      <c r="C1104" s="23"/>
      <c r="D1104" s="101"/>
      <c r="E1104" s="24"/>
      <c r="F1104" s="25"/>
      <c r="G1104" s="26"/>
      <c r="H1104" s="27"/>
      <c r="I1104" s="20"/>
      <c r="J1104" s="21"/>
      <c r="K1104" s="28"/>
      <c r="L1104" s="19"/>
    </row>
    <row r="1105" spans="1:12" ht="13.2">
      <c r="A1105" s="22"/>
      <c r="B1105" s="16"/>
      <c r="C1105" s="23"/>
      <c r="D1105" s="101"/>
      <c r="E1105" s="24"/>
      <c r="F1105" s="25"/>
      <c r="G1105" s="26"/>
      <c r="H1105" s="27"/>
      <c r="I1105" s="20"/>
      <c r="J1105" s="21"/>
      <c r="K1105" s="28"/>
      <c r="L1105" s="19"/>
    </row>
    <row r="1106" spans="1:12" ht="13.2">
      <c r="A1106" s="22"/>
      <c r="B1106" s="16"/>
      <c r="C1106" s="23"/>
      <c r="D1106" s="101"/>
      <c r="E1106" s="24"/>
      <c r="F1106" s="25"/>
      <c r="G1106" s="26"/>
      <c r="H1106" s="27"/>
      <c r="I1106" s="20"/>
      <c r="J1106" s="21"/>
      <c r="K1106" s="28"/>
      <c r="L1106" s="19"/>
    </row>
    <row r="1107" spans="1:12" ht="13.2">
      <c r="A1107" s="22"/>
      <c r="B1107" s="16"/>
      <c r="C1107" s="23"/>
      <c r="D1107" s="101"/>
      <c r="E1107" s="24"/>
      <c r="F1107" s="25"/>
      <c r="G1107" s="26"/>
      <c r="H1107" s="27"/>
      <c r="I1107" s="20"/>
      <c r="J1107" s="21"/>
      <c r="K1107" s="28"/>
      <c r="L1107" s="19"/>
    </row>
    <row r="1108" spans="1:12" ht="13.2">
      <c r="A1108" s="22"/>
      <c r="B1108" s="16"/>
      <c r="C1108" s="23"/>
      <c r="D1108" s="101"/>
      <c r="E1108" s="24"/>
      <c r="F1108" s="25"/>
      <c r="G1108" s="26"/>
      <c r="H1108" s="27"/>
      <c r="I1108" s="20"/>
      <c r="J1108" s="21"/>
      <c r="K1108" s="28"/>
      <c r="L1108" s="19"/>
    </row>
    <row r="1109" spans="1:12" ht="13.2">
      <c r="A1109" s="22"/>
      <c r="B1109" s="16"/>
      <c r="C1109" s="23"/>
      <c r="D1109" s="101"/>
      <c r="E1109" s="24"/>
      <c r="F1109" s="25"/>
      <c r="G1109" s="26"/>
      <c r="H1109" s="27"/>
      <c r="I1109" s="20"/>
      <c r="J1109" s="21"/>
      <c r="K1109" s="28"/>
      <c r="L1109" s="19"/>
    </row>
    <row r="1110" spans="1:12" ht="13.2">
      <c r="A1110" s="22"/>
      <c r="B1110" s="16"/>
      <c r="C1110" s="23"/>
      <c r="D1110" s="101"/>
      <c r="E1110" s="24"/>
      <c r="F1110" s="25"/>
      <c r="G1110" s="26"/>
      <c r="H1110" s="27"/>
      <c r="I1110" s="20"/>
      <c r="J1110" s="21"/>
      <c r="K1110" s="28"/>
      <c r="L1110" s="19"/>
    </row>
    <row r="1111" spans="1:12" ht="13.2">
      <c r="A1111" s="22"/>
      <c r="B1111" s="16"/>
      <c r="C1111" s="23"/>
      <c r="D1111" s="101"/>
      <c r="E1111" s="24"/>
      <c r="F1111" s="25"/>
      <c r="G1111" s="26"/>
      <c r="H1111" s="27"/>
      <c r="I1111" s="20"/>
      <c r="J1111" s="21"/>
      <c r="K1111" s="28"/>
      <c r="L1111" s="19"/>
    </row>
    <row r="1112" spans="1:12" ht="13.2">
      <c r="A1112" s="22"/>
      <c r="B1112" s="16"/>
      <c r="C1112" s="23"/>
      <c r="D1112" s="101"/>
      <c r="E1112" s="24"/>
      <c r="F1112" s="25"/>
      <c r="G1112" s="26"/>
      <c r="H1112" s="27"/>
      <c r="I1112" s="20"/>
      <c r="J1112" s="21"/>
      <c r="K1112" s="28"/>
      <c r="L1112" s="19"/>
    </row>
    <row r="1113" spans="1:12" ht="13.2">
      <c r="A1113" s="22"/>
      <c r="B1113" s="16"/>
      <c r="C1113" s="23"/>
      <c r="D1113" s="101"/>
      <c r="E1113" s="24"/>
      <c r="F1113" s="25"/>
      <c r="G1113" s="26"/>
      <c r="H1113" s="27"/>
      <c r="I1113" s="20"/>
      <c r="J1113" s="21"/>
      <c r="K1113" s="28"/>
      <c r="L1113" s="19"/>
    </row>
    <row r="1114" spans="1:12" ht="13.2">
      <c r="A1114" s="22"/>
      <c r="B1114" s="16"/>
      <c r="C1114" s="23"/>
      <c r="D1114" s="101"/>
      <c r="E1114" s="24"/>
      <c r="F1114" s="25"/>
      <c r="G1114" s="26"/>
      <c r="H1114" s="27"/>
      <c r="I1114" s="20"/>
      <c r="J1114" s="21"/>
      <c r="K1114" s="28"/>
      <c r="L1114" s="19"/>
    </row>
    <row r="1115" spans="1:12" ht="13.2">
      <c r="A1115" s="22"/>
      <c r="B1115" s="16"/>
      <c r="C1115" s="23"/>
      <c r="D1115" s="101"/>
      <c r="E1115" s="24"/>
      <c r="F1115" s="25"/>
      <c r="G1115" s="26"/>
      <c r="H1115" s="27"/>
      <c r="I1115" s="20"/>
      <c r="J1115" s="21"/>
      <c r="K1115" s="28"/>
      <c r="L1115" s="19"/>
    </row>
    <row r="1116" spans="1:12" ht="13.2">
      <c r="A1116" s="22"/>
      <c r="B1116" s="16"/>
      <c r="C1116" s="23"/>
      <c r="D1116" s="101"/>
      <c r="E1116" s="24"/>
      <c r="F1116" s="25"/>
      <c r="G1116" s="26"/>
      <c r="H1116" s="27"/>
      <c r="I1116" s="20"/>
      <c r="J1116" s="21"/>
      <c r="K1116" s="28"/>
      <c r="L1116" s="19"/>
    </row>
    <row r="1117" spans="1:12" ht="13.2">
      <c r="A1117" s="22"/>
      <c r="B1117" s="16"/>
      <c r="C1117" s="23"/>
      <c r="D1117" s="101"/>
      <c r="E1117" s="24"/>
      <c r="F1117" s="25"/>
      <c r="G1117" s="26"/>
      <c r="H1117" s="27"/>
      <c r="I1117" s="20"/>
      <c r="J1117" s="21"/>
      <c r="K1117" s="28"/>
      <c r="L1117" s="19"/>
    </row>
    <row r="1118" spans="1:12" ht="13.2">
      <c r="A1118" s="22"/>
      <c r="B1118" s="16"/>
      <c r="C1118" s="23"/>
      <c r="D1118" s="101"/>
      <c r="E1118" s="24"/>
      <c r="F1118" s="25"/>
      <c r="G1118" s="26"/>
      <c r="H1118" s="27"/>
      <c r="I1118" s="20"/>
      <c r="J1118" s="21"/>
      <c r="K1118" s="28"/>
      <c r="L1118" s="19"/>
    </row>
    <row r="1119" spans="1:12" ht="13.2">
      <c r="A1119" s="22"/>
      <c r="B1119" s="16"/>
      <c r="C1119" s="23"/>
      <c r="D1119" s="101"/>
      <c r="E1119" s="24"/>
      <c r="F1119" s="25"/>
      <c r="G1119" s="26"/>
      <c r="H1119" s="27"/>
      <c r="I1119" s="20"/>
      <c r="J1119" s="21"/>
      <c r="K1119" s="28"/>
      <c r="L1119" s="19"/>
    </row>
    <row r="1120" spans="1:12" ht="13.2">
      <c r="A1120" s="22"/>
      <c r="B1120" s="16"/>
      <c r="C1120" s="23"/>
      <c r="D1120" s="101"/>
      <c r="E1120" s="24"/>
      <c r="F1120" s="25"/>
      <c r="G1120" s="26"/>
      <c r="H1120" s="27"/>
      <c r="I1120" s="20"/>
      <c r="J1120" s="21"/>
      <c r="K1120" s="28"/>
      <c r="L1120" s="19"/>
    </row>
    <row r="1121" spans="1:12" ht="13.2">
      <c r="A1121" s="22"/>
      <c r="B1121" s="16"/>
      <c r="C1121" s="23"/>
      <c r="D1121" s="101"/>
      <c r="E1121" s="24"/>
      <c r="F1121" s="25"/>
      <c r="G1121" s="26"/>
      <c r="H1121" s="27"/>
      <c r="I1121" s="20"/>
      <c r="J1121" s="21"/>
      <c r="K1121" s="28"/>
      <c r="L1121" s="19"/>
    </row>
    <row r="1122" spans="1:12" ht="13.2">
      <c r="A1122" s="22"/>
      <c r="B1122" s="16"/>
      <c r="C1122" s="23"/>
      <c r="D1122" s="101"/>
      <c r="E1122" s="24"/>
      <c r="F1122" s="25"/>
      <c r="G1122" s="26"/>
      <c r="H1122" s="27"/>
      <c r="I1122" s="20"/>
      <c r="J1122" s="21"/>
      <c r="K1122" s="28"/>
      <c r="L1122" s="19"/>
    </row>
    <row r="1123" spans="1:12" ht="13.2">
      <c r="A1123" s="22"/>
      <c r="B1123" s="16"/>
      <c r="C1123" s="23"/>
      <c r="D1123" s="101"/>
      <c r="E1123" s="24"/>
      <c r="F1123" s="25"/>
      <c r="G1123" s="26"/>
      <c r="H1123" s="27"/>
      <c r="I1123" s="20"/>
      <c r="J1123" s="21"/>
      <c r="K1123" s="28"/>
      <c r="L1123" s="19"/>
    </row>
    <row r="1124" spans="1:12" ht="13.2">
      <c r="A1124" s="22"/>
      <c r="B1124" s="16"/>
      <c r="C1124" s="23"/>
      <c r="D1124" s="101"/>
      <c r="E1124" s="24"/>
      <c r="F1124" s="25"/>
      <c r="G1124" s="26"/>
      <c r="H1124" s="27"/>
      <c r="I1124" s="20"/>
      <c r="J1124" s="21"/>
      <c r="K1124" s="28"/>
      <c r="L1124" s="19"/>
    </row>
    <row r="1125" spans="1:12" ht="13.2">
      <c r="A1125" s="22"/>
      <c r="B1125" s="16"/>
      <c r="C1125" s="23"/>
      <c r="D1125" s="101"/>
      <c r="E1125" s="24"/>
      <c r="F1125" s="25"/>
      <c r="G1125" s="26"/>
      <c r="H1125" s="27"/>
      <c r="I1125" s="20"/>
      <c r="J1125" s="21"/>
      <c r="K1125" s="28"/>
      <c r="L1125" s="19"/>
    </row>
    <row r="1126" spans="1:12" ht="13.2">
      <c r="A1126" s="22"/>
      <c r="B1126" s="16"/>
      <c r="C1126" s="23"/>
      <c r="D1126" s="101"/>
      <c r="E1126" s="24"/>
      <c r="F1126" s="25"/>
      <c r="G1126" s="26"/>
      <c r="H1126" s="27"/>
      <c r="I1126" s="20"/>
      <c r="J1126" s="21"/>
      <c r="K1126" s="28"/>
      <c r="L1126" s="19"/>
    </row>
    <row r="1127" spans="1:12" ht="13.2">
      <c r="A1127" s="22"/>
      <c r="B1127" s="16"/>
      <c r="C1127" s="23"/>
      <c r="D1127" s="101"/>
      <c r="E1127" s="24"/>
      <c r="F1127" s="25"/>
      <c r="G1127" s="26"/>
      <c r="H1127" s="27"/>
      <c r="I1127" s="20"/>
      <c r="J1127" s="21"/>
      <c r="K1127" s="28"/>
      <c r="L1127" s="19"/>
    </row>
    <row r="1128" spans="1:12" ht="13.2">
      <c r="A1128" s="22"/>
      <c r="B1128" s="16"/>
      <c r="C1128" s="23"/>
      <c r="D1128" s="101"/>
      <c r="E1128" s="24"/>
      <c r="F1128" s="25"/>
      <c r="G1128" s="26"/>
      <c r="H1128" s="27"/>
      <c r="I1128" s="20"/>
      <c r="J1128" s="21"/>
      <c r="K1128" s="28"/>
      <c r="L1128" s="19"/>
    </row>
    <row r="1129" spans="1:12" ht="13.2">
      <c r="A1129" s="22"/>
      <c r="B1129" s="16"/>
      <c r="C1129" s="23"/>
      <c r="D1129" s="101"/>
      <c r="E1129" s="24"/>
      <c r="F1129" s="25"/>
      <c r="G1129" s="26"/>
      <c r="H1129" s="27"/>
      <c r="I1129" s="20"/>
      <c r="J1129" s="21"/>
      <c r="K1129" s="28"/>
      <c r="L1129" s="19"/>
    </row>
    <row r="1130" spans="1:12" ht="13.2">
      <c r="A1130" s="22"/>
      <c r="B1130" s="16"/>
      <c r="C1130" s="23"/>
      <c r="D1130" s="101"/>
      <c r="E1130" s="24"/>
      <c r="F1130" s="25"/>
      <c r="G1130" s="26"/>
      <c r="H1130" s="27"/>
      <c r="I1130" s="20"/>
      <c r="J1130" s="21"/>
      <c r="K1130" s="28"/>
      <c r="L1130" s="19"/>
    </row>
    <row r="1131" spans="1:12" ht="13.2">
      <c r="A1131" s="22"/>
      <c r="B1131" s="16"/>
      <c r="C1131" s="23"/>
      <c r="D1131" s="101"/>
      <c r="E1131" s="24"/>
      <c r="F1131" s="25"/>
      <c r="G1131" s="26"/>
      <c r="H1131" s="27"/>
      <c r="I1131" s="20"/>
      <c r="J1131" s="21"/>
      <c r="K1131" s="28"/>
      <c r="L1131" s="19"/>
    </row>
    <row r="1132" spans="1:12" ht="13.2">
      <c r="A1132" s="22"/>
      <c r="B1132" s="16"/>
      <c r="C1132" s="23"/>
      <c r="D1132" s="101"/>
      <c r="E1132" s="24"/>
      <c r="F1132" s="25"/>
      <c r="G1132" s="26"/>
      <c r="H1132" s="27"/>
      <c r="I1132" s="20"/>
      <c r="J1132" s="21"/>
      <c r="K1132" s="28"/>
      <c r="L1132" s="19"/>
    </row>
    <row r="1133" spans="1:12" ht="13.2">
      <c r="A1133" s="22"/>
      <c r="B1133" s="16"/>
      <c r="C1133" s="23"/>
      <c r="D1133" s="101"/>
      <c r="E1133" s="24"/>
      <c r="F1133" s="25"/>
      <c r="G1133" s="26"/>
      <c r="H1133" s="27"/>
      <c r="I1133" s="20"/>
      <c r="J1133" s="21"/>
      <c r="K1133" s="28"/>
      <c r="L1133" s="19"/>
    </row>
    <row r="1134" spans="1:12" ht="13.2">
      <c r="A1134" s="22"/>
      <c r="B1134" s="16"/>
      <c r="C1134" s="23"/>
      <c r="D1134" s="101"/>
      <c r="E1134" s="24"/>
      <c r="F1134" s="25"/>
      <c r="G1134" s="26"/>
      <c r="H1134" s="27"/>
      <c r="I1134" s="20"/>
      <c r="J1134" s="21"/>
      <c r="K1134" s="28"/>
      <c r="L1134" s="19"/>
    </row>
    <row r="1135" spans="1:12" ht="13.2">
      <c r="A1135" s="22"/>
      <c r="B1135" s="16"/>
      <c r="C1135" s="23"/>
      <c r="D1135" s="101"/>
      <c r="E1135" s="24"/>
      <c r="F1135" s="25"/>
      <c r="G1135" s="26"/>
      <c r="H1135" s="27"/>
      <c r="I1135" s="20"/>
      <c r="J1135" s="21"/>
      <c r="K1135" s="28"/>
      <c r="L1135" s="19"/>
    </row>
    <row r="1136" spans="1:12" ht="13.2">
      <c r="A1136" s="22"/>
      <c r="B1136" s="16"/>
      <c r="C1136" s="23"/>
      <c r="D1136" s="101"/>
      <c r="E1136" s="24"/>
      <c r="F1136" s="25"/>
      <c r="G1136" s="26"/>
      <c r="H1136" s="27"/>
      <c r="I1136" s="20"/>
      <c r="J1136" s="21"/>
      <c r="K1136" s="28"/>
      <c r="L1136" s="19"/>
    </row>
    <row r="1137" spans="1:12" ht="13.2">
      <c r="A1137" s="22"/>
      <c r="B1137" s="16"/>
      <c r="C1137" s="23"/>
      <c r="D1137" s="101"/>
      <c r="E1137" s="24"/>
      <c r="F1137" s="25"/>
      <c r="G1137" s="26"/>
      <c r="H1137" s="27"/>
      <c r="I1137" s="20"/>
      <c r="J1137" s="21"/>
      <c r="K1137" s="28"/>
      <c r="L1137" s="19"/>
    </row>
    <row r="1138" spans="1:12" ht="13.2">
      <c r="A1138" s="22"/>
      <c r="B1138" s="16"/>
      <c r="C1138" s="23"/>
      <c r="D1138" s="101"/>
      <c r="E1138" s="24"/>
      <c r="F1138" s="25"/>
      <c r="G1138" s="26"/>
      <c r="H1138" s="27"/>
      <c r="I1138" s="20"/>
      <c r="J1138" s="21"/>
      <c r="K1138" s="28"/>
      <c r="L1138" s="19"/>
    </row>
    <row r="1139" spans="1:12" ht="13.2">
      <c r="A1139" s="22"/>
      <c r="B1139" s="16"/>
      <c r="C1139" s="23"/>
      <c r="D1139" s="101"/>
      <c r="E1139" s="24"/>
      <c r="F1139" s="25"/>
      <c r="G1139" s="26"/>
      <c r="H1139" s="27"/>
      <c r="I1139" s="20"/>
      <c r="J1139" s="21"/>
      <c r="K1139" s="28"/>
      <c r="L1139" s="19"/>
    </row>
    <row r="1140" spans="1:12" ht="13.2">
      <c r="A1140" s="22"/>
      <c r="B1140" s="16"/>
      <c r="C1140" s="23"/>
      <c r="D1140" s="101"/>
      <c r="E1140" s="24"/>
      <c r="F1140" s="25"/>
      <c r="G1140" s="26"/>
      <c r="H1140" s="27"/>
      <c r="I1140" s="20"/>
      <c r="J1140" s="21"/>
      <c r="K1140" s="28"/>
      <c r="L1140" s="19"/>
    </row>
    <row r="1141" spans="1:12" ht="13.2">
      <c r="A1141" s="22"/>
      <c r="B1141" s="16"/>
      <c r="C1141" s="23"/>
      <c r="D1141" s="101"/>
      <c r="E1141" s="24"/>
      <c r="F1141" s="25"/>
      <c r="G1141" s="26"/>
      <c r="H1141" s="27"/>
      <c r="I1141" s="20"/>
      <c r="J1141" s="21"/>
      <c r="K1141" s="28"/>
      <c r="L1141" s="19"/>
    </row>
    <row r="1142" spans="1:12" ht="13.2">
      <c r="A1142" s="22"/>
      <c r="B1142" s="16"/>
      <c r="C1142" s="23"/>
      <c r="D1142" s="101"/>
      <c r="E1142" s="24"/>
      <c r="F1142" s="25"/>
      <c r="G1142" s="26"/>
      <c r="H1142" s="27"/>
      <c r="I1142" s="20"/>
      <c r="J1142" s="21"/>
      <c r="K1142" s="28"/>
      <c r="L1142" s="19"/>
    </row>
    <row r="1143" spans="1:12" ht="13.2">
      <c r="A1143" s="22"/>
      <c r="B1143" s="16"/>
      <c r="C1143" s="23"/>
      <c r="D1143" s="101"/>
      <c r="E1143" s="24"/>
      <c r="F1143" s="25"/>
      <c r="G1143" s="26"/>
      <c r="H1143" s="27"/>
      <c r="I1143" s="20"/>
      <c r="J1143" s="21"/>
      <c r="K1143" s="28"/>
      <c r="L1143" s="19"/>
    </row>
    <row r="1144" spans="1:12" ht="13.2">
      <c r="A1144" s="22"/>
      <c r="B1144" s="16"/>
      <c r="C1144" s="23"/>
      <c r="D1144" s="101"/>
      <c r="E1144" s="24"/>
      <c r="F1144" s="25"/>
      <c r="G1144" s="26"/>
      <c r="H1144" s="27"/>
      <c r="I1144" s="20"/>
      <c r="J1144" s="21"/>
      <c r="K1144" s="28"/>
      <c r="L1144" s="19"/>
    </row>
    <row r="1145" spans="1:12" ht="13.2">
      <c r="A1145" s="22"/>
      <c r="B1145" s="16"/>
      <c r="C1145" s="23"/>
      <c r="D1145" s="101"/>
      <c r="E1145" s="24"/>
      <c r="F1145" s="25"/>
      <c r="G1145" s="26"/>
      <c r="H1145" s="27"/>
      <c r="I1145" s="20"/>
      <c r="J1145" s="21"/>
      <c r="K1145" s="28"/>
      <c r="L1145" s="19"/>
    </row>
    <row r="1146" spans="1:12" ht="13.2">
      <c r="A1146" s="22"/>
      <c r="B1146" s="16"/>
      <c r="C1146" s="23"/>
      <c r="D1146" s="101"/>
      <c r="E1146" s="24"/>
      <c r="F1146" s="25"/>
      <c r="G1146" s="26"/>
      <c r="H1146" s="27"/>
      <c r="I1146" s="20"/>
      <c r="J1146" s="21"/>
      <c r="K1146" s="28"/>
      <c r="L1146" s="19"/>
    </row>
    <row r="1147" spans="1:12" ht="13.2">
      <c r="A1147" s="22"/>
      <c r="B1147" s="16"/>
      <c r="C1147" s="23"/>
      <c r="D1147" s="101"/>
      <c r="E1147" s="24"/>
      <c r="F1147" s="25"/>
      <c r="G1147" s="26"/>
      <c r="H1147" s="27"/>
      <c r="I1147" s="20"/>
      <c r="J1147" s="21"/>
      <c r="K1147" s="28"/>
      <c r="L1147" s="19"/>
    </row>
    <row r="1148" spans="1:12" ht="13.2">
      <c r="A1148" s="22"/>
      <c r="B1148" s="16"/>
      <c r="C1148" s="23"/>
      <c r="D1148" s="101"/>
      <c r="E1148" s="24"/>
      <c r="F1148" s="25"/>
      <c r="G1148" s="26"/>
      <c r="H1148" s="27"/>
      <c r="I1148" s="20"/>
      <c r="J1148" s="21"/>
      <c r="K1148" s="28"/>
      <c r="L1148" s="19"/>
    </row>
    <row r="1149" spans="1:12" ht="13.2">
      <c r="A1149" s="22"/>
      <c r="B1149" s="16"/>
      <c r="C1149" s="23"/>
      <c r="D1149" s="101"/>
      <c r="E1149" s="24"/>
      <c r="F1149" s="25"/>
      <c r="G1149" s="26"/>
      <c r="H1149" s="27"/>
      <c r="I1149" s="20"/>
      <c r="J1149" s="21"/>
      <c r="K1149" s="28"/>
      <c r="L1149" s="19"/>
    </row>
    <row r="1150" spans="1:12" ht="13.2">
      <c r="A1150" s="22"/>
      <c r="B1150" s="16"/>
      <c r="C1150" s="23"/>
      <c r="D1150" s="101"/>
      <c r="E1150" s="24"/>
      <c r="F1150" s="25"/>
      <c r="G1150" s="26"/>
      <c r="H1150" s="27"/>
      <c r="I1150" s="20"/>
      <c r="J1150" s="21"/>
      <c r="K1150" s="28"/>
      <c r="L1150" s="19"/>
    </row>
    <row r="1151" spans="1:12" ht="13.2">
      <c r="A1151" s="22"/>
      <c r="B1151" s="16"/>
      <c r="C1151" s="23"/>
      <c r="D1151" s="101"/>
      <c r="E1151" s="24"/>
      <c r="F1151" s="25"/>
      <c r="G1151" s="26"/>
      <c r="H1151" s="27"/>
      <c r="I1151" s="20"/>
      <c r="J1151" s="21"/>
      <c r="K1151" s="28"/>
      <c r="L1151" s="19"/>
    </row>
    <row r="1152" spans="1:12" ht="13.2">
      <c r="A1152" s="22"/>
      <c r="B1152" s="16"/>
      <c r="C1152" s="23"/>
      <c r="D1152" s="101"/>
      <c r="E1152" s="24"/>
      <c r="F1152" s="25"/>
      <c r="G1152" s="26"/>
      <c r="H1152" s="27"/>
      <c r="I1152" s="20"/>
      <c r="J1152" s="21"/>
      <c r="K1152" s="28"/>
      <c r="L1152" s="19"/>
    </row>
    <row r="1153" spans="1:12" ht="13.2">
      <c r="A1153" s="22"/>
      <c r="B1153" s="16"/>
      <c r="C1153" s="23"/>
      <c r="D1153" s="101"/>
      <c r="E1153" s="24"/>
      <c r="F1153" s="25"/>
      <c r="G1153" s="26"/>
      <c r="H1153" s="27"/>
      <c r="I1153" s="20"/>
      <c r="J1153" s="21"/>
      <c r="K1153" s="28"/>
      <c r="L1153" s="19"/>
    </row>
    <row r="1154" spans="1:12" ht="13.2">
      <c r="A1154" s="22"/>
      <c r="B1154" s="16"/>
      <c r="C1154" s="23"/>
      <c r="D1154" s="101"/>
      <c r="E1154" s="24"/>
      <c r="F1154" s="25"/>
      <c r="G1154" s="26"/>
      <c r="H1154" s="27"/>
      <c r="I1154" s="20"/>
      <c r="J1154" s="21"/>
      <c r="K1154" s="28"/>
      <c r="L1154" s="19"/>
    </row>
    <row r="1155" spans="1:12" ht="13.2">
      <c r="A1155" s="22"/>
      <c r="B1155" s="16"/>
      <c r="C1155" s="23"/>
      <c r="D1155" s="101"/>
      <c r="E1155" s="24"/>
      <c r="F1155" s="25"/>
      <c r="G1155" s="26"/>
      <c r="H1155" s="27"/>
      <c r="I1155" s="20"/>
      <c r="J1155" s="21"/>
      <c r="K1155" s="28"/>
      <c r="L1155" s="19"/>
    </row>
    <row r="1156" spans="1:12" ht="13.2">
      <c r="A1156" s="22"/>
      <c r="B1156" s="16"/>
      <c r="C1156" s="23"/>
      <c r="D1156" s="101"/>
      <c r="E1156" s="24"/>
      <c r="F1156" s="25"/>
      <c r="G1156" s="26"/>
      <c r="H1156" s="27"/>
      <c r="I1156" s="20"/>
      <c r="J1156" s="21"/>
      <c r="K1156" s="28"/>
      <c r="L1156" s="19"/>
    </row>
    <row r="1157" spans="1:12" ht="13.2">
      <c r="A1157" s="22"/>
      <c r="B1157" s="16"/>
      <c r="C1157" s="23"/>
      <c r="D1157" s="101"/>
      <c r="E1157" s="24"/>
      <c r="F1157" s="25"/>
      <c r="G1157" s="26"/>
      <c r="H1157" s="27"/>
      <c r="I1157" s="20"/>
      <c r="J1157" s="21"/>
      <c r="K1157" s="28"/>
      <c r="L1157" s="19"/>
    </row>
    <row r="1158" spans="1:12" ht="13.2">
      <c r="A1158" s="22"/>
      <c r="B1158" s="16"/>
      <c r="C1158" s="23"/>
      <c r="D1158" s="101"/>
      <c r="E1158" s="24"/>
      <c r="F1158" s="25"/>
      <c r="G1158" s="26"/>
      <c r="H1158" s="27"/>
      <c r="I1158" s="20"/>
      <c r="J1158" s="21"/>
      <c r="K1158" s="28"/>
      <c r="L1158" s="19"/>
    </row>
    <row r="1159" spans="1:12" ht="13.2">
      <c r="A1159" s="22"/>
      <c r="B1159" s="16"/>
      <c r="C1159" s="23"/>
      <c r="D1159" s="101"/>
      <c r="E1159" s="24"/>
      <c r="F1159" s="25"/>
      <c r="G1159" s="26"/>
      <c r="H1159" s="27"/>
      <c r="I1159" s="20"/>
      <c r="J1159" s="21"/>
      <c r="K1159" s="28"/>
      <c r="L1159" s="19"/>
    </row>
    <row r="1160" spans="1:12" ht="13.2">
      <c r="A1160" s="22"/>
      <c r="B1160" s="16"/>
      <c r="C1160" s="23"/>
      <c r="D1160" s="101"/>
      <c r="E1160" s="24"/>
      <c r="F1160" s="25"/>
      <c r="G1160" s="26"/>
      <c r="H1160" s="27"/>
      <c r="I1160" s="20"/>
      <c r="J1160" s="21"/>
      <c r="K1160" s="28"/>
      <c r="L1160" s="19"/>
    </row>
    <row r="1161" spans="1:12" ht="13.2">
      <c r="A1161" s="22"/>
      <c r="B1161" s="16"/>
      <c r="C1161" s="23"/>
      <c r="D1161" s="101"/>
      <c r="E1161" s="24"/>
      <c r="F1161" s="25"/>
      <c r="G1161" s="26"/>
      <c r="H1161" s="27"/>
      <c r="I1161" s="20"/>
      <c r="J1161" s="21"/>
      <c r="K1161" s="28"/>
      <c r="L1161" s="19"/>
    </row>
    <row r="1162" spans="1:12" ht="13.2">
      <c r="A1162" s="22"/>
      <c r="B1162" s="16"/>
      <c r="C1162" s="23"/>
      <c r="D1162" s="101"/>
      <c r="E1162" s="24"/>
      <c r="F1162" s="25"/>
      <c r="G1162" s="26"/>
      <c r="H1162" s="27"/>
      <c r="I1162" s="20"/>
      <c r="J1162" s="21"/>
      <c r="K1162" s="28"/>
      <c r="L1162" s="19"/>
    </row>
    <row r="1163" spans="1:12" ht="13.2">
      <c r="A1163" s="22"/>
      <c r="B1163" s="16"/>
      <c r="C1163" s="23"/>
      <c r="D1163" s="101"/>
      <c r="E1163" s="24"/>
      <c r="F1163" s="25"/>
      <c r="G1163" s="26"/>
      <c r="H1163" s="27"/>
      <c r="I1163" s="20"/>
      <c r="J1163" s="21"/>
      <c r="K1163" s="28"/>
      <c r="L1163" s="19"/>
    </row>
    <row r="1164" spans="1:12" ht="13.2">
      <c r="A1164" s="22"/>
      <c r="B1164" s="16"/>
      <c r="C1164" s="23"/>
      <c r="D1164" s="101"/>
      <c r="E1164" s="24"/>
      <c r="F1164" s="25"/>
      <c r="G1164" s="26"/>
      <c r="H1164" s="27"/>
      <c r="I1164" s="20"/>
      <c r="J1164" s="21"/>
      <c r="K1164" s="28"/>
      <c r="L1164" s="19"/>
    </row>
    <row r="1165" spans="1:12" ht="13.2">
      <c r="A1165" s="22"/>
      <c r="B1165" s="16"/>
      <c r="C1165" s="23"/>
      <c r="D1165" s="101"/>
      <c r="E1165" s="24"/>
      <c r="F1165" s="25"/>
      <c r="G1165" s="26"/>
      <c r="H1165" s="27"/>
      <c r="I1165" s="20"/>
      <c r="J1165" s="21"/>
      <c r="K1165" s="28"/>
      <c r="L1165" s="19"/>
    </row>
    <row r="1166" spans="1:12" ht="13.2">
      <c r="A1166" s="22"/>
      <c r="B1166" s="16"/>
      <c r="C1166" s="23"/>
      <c r="D1166" s="101"/>
      <c r="E1166" s="24"/>
      <c r="F1166" s="25"/>
      <c r="G1166" s="26"/>
      <c r="H1166" s="27"/>
      <c r="I1166" s="20"/>
      <c r="J1166" s="21"/>
      <c r="K1166" s="28"/>
      <c r="L1166" s="19"/>
    </row>
    <row r="1167" spans="1:12" ht="13.2">
      <c r="A1167" s="22"/>
      <c r="B1167" s="16"/>
      <c r="C1167" s="23"/>
      <c r="D1167" s="101"/>
      <c r="E1167" s="24"/>
      <c r="F1167" s="25"/>
      <c r="G1167" s="26"/>
      <c r="H1167" s="27"/>
      <c r="I1167" s="20"/>
      <c r="J1167" s="21"/>
      <c r="K1167" s="28"/>
      <c r="L1167" s="19"/>
    </row>
    <row r="1168" spans="1:12" ht="13.2">
      <c r="A1168" s="22"/>
      <c r="B1168" s="16"/>
      <c r="C1168" s="23"/>
      <c r="D1168" s="101"/>
      <c r="E1168" s="24"/>
      <c r="F1168" s="25"/>
      <c r="G1168" s="26"/>
      <c r="H1168" s="27"/>
      <c r="I1168" s="20"/>
      <c r="J1168" s="21"/>
      <c r="K1168" s="28"/>
      <c r="L1168" s="19"/>
    </row>
    <row r="1169" spans="1:12" ht="13.2">
      <c r="A1169" s="22"/>
      <c r="B1169" s="16"/>
      <c r="C1169" s="23"/>
      <c r="D1169" s="101"/>
      <c r="E1169" s="24"/>
      <c r="F1169" s="25"/>
      <c r="G1169" s="26"/>
      <c r="H1169" s="27"/>
      <c r="I1169" s="20"/>
      <c r="J1169" s="21"/>
      <c r="K1169" s="28"/>
      <c r="L1169" s="19"/>
    </row>
    <row r="1170" spans="1:12" ht="13.2">
      <c r="A1170" s="22"/>
      <c r="B1170" s="16"/>
      <c r="C1170" s="23"/>
      <c r="D1170" s="101"/>
      <c r="E1170" s="24"/>
      <c r="F1170" s="25"/>
      <c r="G1170" s="26"/>
      <c r="H1170" s="27"/>
      <c r="I1170" s="20"/>
      <c r="J1170" s="21"/>
      <c r="K1170" s="28"/>
      <c r="L1170" s="19"/>
    </row>
    <row r="1171" spans="1:12" ht="13.2">
      <c r="A1171" s="22"/>
      <c r="B1171" s="16"/>
      <c r="C1171" s="23"/>
      <c r="D1171" s="101"/>
      <c r="E1171" s="24"/>
      <c r="F1171" s="25"/>
      <c r="G1171" s="26"/>
      <c r="H1171" s="27"/>
      <c r="I1171" s="20"/>
      <c r="J1171" s="21"/>
      <c r="K1171" s="28"/>
      <c r="L1171" s="19"/>
    </row>
    <row r="1172" spans="1:12" ht="13.2">
      <c r="A1172" s="22"/>
      <c r="B1172" s="16"/>
      <c r="C1172" s="23"/>
      <c r="D1172" s="101"/>
      <c r="E1172" s="24"/>
      <c r="F1172" s="25"/>
      <c r="G1172" s="26"/>
      <c r="H1172" s="27"/>
      <c r="I1172" s="20"/>
      <c r="J1172" s="21"/>
      <c r="K1172" s="28"/>
      <c r="L1172" s="19"/>
    </row>
    <row r="1173" spans="1:12" ht="13.2">
      <c r="A1173" s="22"/>
      <c r="B1173" s="16"/>
      <c r="C1173" s="23"/>
      <c r="D1173" s="101"/>
      <c r="E1173" s="24"/>
      <c r="F1173" s="25"/>
      <c r="G1173" s="26"/>
      <c r="H1173" s="27"/>
      <c r="I1173" s="20"/>
      <c r="J1173" s="21"/>
      <c r="K1173" s="28"/>
      <c r="L1173" s="19"/>
    </row>
    <row r="1174" spans="1:12" ht="13.2">
      <c r="A1174" s="22"/>
      <c r="B1174" s="16"/>
      <c r="C1174" s="23"/>
      <c r="D1174" s="101"/>
      <c r="E1174" s="24"/>
      <c r="F1174" s="25"/>
      <c r="G1174" s="26"/>
      <c r="H1174" s="27"/>
      <c r="I1174" s="20"/>
      <c r="J1174" s="21"/>
      <c r="K1174" s="28"/>
      <c r="L1174" s="19"/>
    </row>
    <row r="1175" spans="1:12" ht="13.2">
      <c r="A1175" s="22"/>
      <c r="B1175" s="16"/>
      <c r="C1175" s="23"/>
      <c r="D1175" s="101"/>
      <c r="E1175" s="24"/>
      <c r="F1175" s="25"/>
      <c r="G1175" s="26"/>
      <c r="H1175" s="27"/>
      <c r="I1175" s="20"/>
      <c r="J1175" s="21"/>
      <c r="K1175" s="28"/>
      <c r="L1175" s="19"/>
    </row>
    <row r="1176" spans="1:12" ht="13.2">
      <c r="A1176" s="22"/>
      <c r="B1176" s="16"/>
      <c r="C1176" s="23"/>
      <c r="D1176" s="101"/>
      <c r="E1176" s="24"/>
      <c r="F1176" s="25"/>
      <c r="G1176" s="26"/>
      <c r="H1176" s="27"/>
      <c r="I1176" s="20"/>
      <c r="J1176" s="21"/>
      <c r="K1176" s="28"/>
      <c r="L1176" s="19"/>
    </row>
    <row r="1177" spans="1:12" ht="13.2">
      <c r="A1177" s="22"/>
      <c r="B1177" s="16"/>
      <c r="C1177" s="23"/>
      <c r="D1177" s="101"/>
      <c r="E1177" s="24"/>
      <c r="F1177" s="25"/>
      <c r="G1177" s="26"/>
      <c r="H1177" s="27"/>
      <c r="I1177" s="20"/>
      <c r="J1177" s="21"/>
      <c r="K1177" s="28"/>
      <c r="L1177" s="19"/>
    </row>
    <row r="1178" spans="1:12" ht="13.2">
      <c r="A1178" s="22"/>
      <c r="B1178" s="16"/>
      <c r="C1178" s="23"/>
      <c r="D1178" s="101"/>
      <c r="E1178" s="24"/>
      <c r="F1178" s="25"/>
      <c r="G1178" s="26"/>
      <c r="H1178" s="27"/>
      <c r="I1178" s="20"/>
      <c r="J1178" s="21"/>
      <c r="K1178" s="28"/>
      <c r="L1178" s="19"/>
    </row>
    <row r="1179" spans="1:12" ht="13.2">
      <c r="A1179" s="22"/>
      <c r="B1179" s="16"/>
      <c r="C1179" s="23"/>
      <c r="D1179" s="101"/>
      <c r="E1179" s="24"/>
      <c r="F1179" s="25"/>
      <c r="G1179" s="26"/>
      <c r="H1179" s="27"/>
      <c r="I1179" s="20"/>
      <c r="J1179" s="21"/>
      <c r="K1179" s="28"/>
      <c r="L1179" s="19"/>
    </row>
    <row r="1180" spans="1:12" ht="13.2">
      <c r="A1180" s="22"/>
      <c r="B1180" s="16"/>
      <c r="C1180" s="23"/>
      <c r="D1180" s="101"/>
      <c r="E1180" s="24"/>
      <c r="F1180" s="25"/>
      <c r="G1180" s="26"/>
      <c r="H1180" s="27"/>
      <c r="I1180" s="20"/>
      <c r="J1180" s="21"/>
      <c r="K1180" s="28"/>
      <c r="L1180" s="19"/>
    </row>
    <row r="1181" spans="1:12" ht="13.2">
      <c r="A1181" s="22"/>
      <c r="B1181" s="16"/>
      <c r="C1181" s="23"/>
      <c r="D1181" s="101"/>
      <c r="E1181" s="24"/>
      <c r="F1181" s="25"/>
      <c r="G1181" s="26"/>
      <c r="H1181" s="27"/>
      <c r="I1181" s="20"/>
      <c r="J1181" s="21"/>
      <c r="K1181" s="28"/>
      <c r="L1181" s="19"/>
    </row>
    <row r="1182" spans="1:12" ht="13.2">
      <c r="A1182" s="22"/>
      <c r="B1182" s="16"/>
      <c r="C1182" s="23"/>
      <c r="D1182" s="101"/>
      <c r="E1182" s="24"/>
      <c r="F1182" s="25"/>
      <c r="G1182" s="26"/>
      <c r="H1182" s="27"/>
      <c r="I1182" s="20"/>
      <c r="J1182" s="21"/>
      <c r="K1182" s="28"/>
      <c r="L1182" s="19"/>
    </row>
    <row r="1183" spans="1:12" ht="13.2">
      <c r="A1183" s="22"/>
      <c r="B1183" s="16"/>
      <c r="C1183" s="23"/>
      <c r="D1183" s="101"/>
      <c r="E1183" s="24"/>
      <c r="F1183" s="25"/>
      <c r="G1183" s="26"/>
      <c r="H1183" s="27"/>
      <c r="I1183" s="20"/>
      <c r="J1183" s="21"/>
      <c r="K1183" s="28"/>
      <c r="L1183" s="19"/>
    </row>
    <row r="1184" spans="1:12" ht="13.2">
      <c r="A1184" s="22"/>
      <c r="B1184" s="16"/>
      <c r="C1184" s="23"/>
      <c r="D1184" s="101"/>
      <c r="E1184" s="24"/>
      <c r="F1184" s="25"/>
      <c r="G1184" s="26"/>
      <c r="H1184" s="27"/>
      <c r="I1184" s="20"/>
      <c r="J1184" s="21"/>
      <c r="K1184" s="28"/>
      <c r="L1184" s="19"/>
    </row>
    <row r="1185" spans="1:12" ht="13.2">
      <c r="A1185" s="22"/>
      <c r="B1185" s="16"/>
      <c r="C1185" s="23"/>
      <c r="D1185" s="101"/>
      <c r="E1185" s="24"/>
      <c r="F1185" s="25"/>
      <c r="G1185" s="26"/>
      <c r="H1185" s="27"/>
      <c r="I1185" s="20"/>
      <c r="J1185" s="21"/>
      <c r="K1185" s="28"/>
      <c r="L1185" s="19"/>
    </row>
    <row r="1186" spans="1:12" ht="13.2">
      <c r="A1186" s="22"/>
      <c r="B1186" s="16"/>
      <c r="C1186" s="23"/>
      <c r="D1186" s="101"/>
      <c r="E1186" s="24"/>
      <c r="F1186" s="25"/>
      <c r="G1186" s="26"/>
      <c r="H1186" s="27"/>
      <c r="I1186" s="20"/>
      <c r="J1186" s="21"/>
      <c r="K1186" s="28"/>
      <c r="L1186" s="19"/>
    </row>
    <row r="1187" spans="1:12" ht="13.2">
      <c r="A1187" s="22"/>
      <c r="B1187" s="16"/>
      <c r="C1187" s="23"/>
      <c r="D1187" s="101"/>
      <c r="E1187" s="24"/>
      <c r="F1187" s="25"/>
      <c r="G1187" s="26"/>
      <c r="H1187" s="27"/>
      <c r="I1187" s="20"/>
      <c r="J1187" s="21"/>
      <c r="K1187" s="28"/>
      <c r="L1187" s="19"/>
    </row>
    <row r="1188" spans="1:12" ht="13.2">
      <c r="A1188" s="22"/>
      <c r="B1188" s="16"/>
      <c r="C1188" s="23"/>
      <c r="D1188" s="101"/>
      <c r="E1188" s="24"/>
      <c r="F1188" s="25"/>
      <c r="G1188" s="26"/>
      <c r="H1188" s="27"/>
      <c r="I1188" s="20"/>
      <c r="J1188" s="21"/>
      <c r="K1188" s="28"/>
      <c r="L1188" s="19"/>
    </row>
    <row r="1189" spans="1:12" ht="13.2">
      <c r="A1189" s="22"/>
      <c r="B1189" s="16"/>
      <c r="C1189" s="23"/>
      <c r="D1189" s="101"/>
      <c r="E1189" s="24"/>
      <c r="F1189" s="25"/>
      <c r="G1189" s="26"/>
      <c r="H1189" s="27"/>
      <c r="I1189" s="20"/>
      <c r="J1189" s="21"/>
      <c r="K1189" s="28"/>
      <c r="L1189" s="19"/>
    </row>
    <row r="1190" spans="1:12" ht="13.2">
      <c r="A1190" s="22"/>
      <c r="B1190" s="16"/>
      <c r="C1190" s="23"/>
      <c r="D1190" s="101"/>
      <c r="E1190" s="24"/>
      <c r="F1190" s="25"/>
      <c r="G1190" s="26"/>
      <c r="H1190" s="27"/>
      <c r="I1190" s="20"/>
      <c r="J1190" s="21"/>
      <c r="K1190" s="28"/>
      <c r="L1190" s="19"/>
    </row>
    <row r="1191" spans="1:12" ht="13.2">
      <c r="A1191" s="22"/>
      <c r="B1191" s="16"/>
      <c r="C1191" s="23"/>
      <c r="D1191" s="101"/>
      <c r="E1191" s="24"/>
      <c r="F1191" s="25"/>
      <c r="G1191" s="26"/>
      <c r="H1191" s="27"/>
      <c r="I1191" s="20"/>
      <c r="J1191" s="21"/>
      <c r="K1191" s="28"/>
      <c r="L1191" s="19"/>
    </row>
    <row r="1192" spans="1:12" ht="13.2">
      <c r="A1192" s="22"/>
      <c r="B1192" s="16"/>
      <c r="C1192" s="23"/>
      <c r="D1192" s="101"/>
      <c r="E1192" s="24"/>
      <c r="F1192" s="25"/>
      <c r="G1192" s="26"/>
      <c r="H1192" s="27"/>
      <c r="I1192" s="20"/>
      <c r="J1192" s="21"/>
      <c r="K1192" s="28"/>
      <c r="L1192" s="19"/>
    </row>
    <row r="1193" spans="1:12" ht="13.2">
      <c r="A1193" s="22"/>
      <c r="B1193" s="16"/>
      <c r="C1193" s="23"/>
      <c r="D1193" s="101"/>
      <c r="E1193" s="24"/>
      <c r="F1193" s="25"/>
      <c r="G1193" s="26"/>
      <c r="H1193" s="27"/>
      <c r="I1193" s="20"/>
      <c r="J1193" s="21"/>
      <c r="K1193" s="28"/>
      <c r="L1193" s="19"/>
    </row>
    <row r="1194" spans="1:12" ht="13.2">
      <c r="A1194" s="22"/>
      <c r="B1194" s="16"/>
      <c r="C1194" s="23"/>
      <c r="D1194" s="101"/>
      <c r="E1194" s="24"/>
      <c r="F1194" s="25"/>
      <c r="G1194" s="26"/>
      <c r="H1194" s="27"/>
      <c r="I1194" s="20"/>
      <c r="J1194" s="21"/>
      <c r="K1194" s="28"/>
      <c r="L1194" s="19"/>
    </row>
    <row r="1195" spans="1:12" ht="13.2">
      <c r="A1195" s="22"/>
      <c r="B1195" s="16"/>
      <c r="C1195" s="23"/>
      <c r="D1195" s="101"/>
      <c r="E1195" s="24"/>
      <c r="F1195" s="25"/>
      <c r="G1195" s="26"/>
      <c r="H1195" s="27"/>
      <c r="I1195" s="20"/>
      <c r="J1195" s="21"/>
      <c r="K1195" s="28"/>
      <c r="L1195" s="19"/>
    </row>
    <row r="1196" spans="1:12" ht="13.2">
      <c r="A1196" s="22"/>
      <c r="B1196" s="16"/>
      <c r="C1196" s="23"/>
      <c r="D1196" s="101"/>
      <c r="E1196" s="24"/>
      <c r="F1196" s="25"/>
      <c r="G1196" s="26"/>
      <c r="H1196" s="27"/>
      <c r="I1196" s="20"/>
      <c r="J1196" s="21"/>
      <c r="K1196" s="28"/>
      <c r="L1196" s="19"/>
    </row>
    <row r="1197" spans="1:12" ht="13.2">
      <c r="A1197" s="22"/>
      <c r="B1197" s="16"/>
      <c r="C1197" s="23"/>
      <c r="D1197" s="101"/>
      <c r="E1197" s="24"/>
      <c r="F1197" s="25"/>
      <c r="G1197" s="26"/>
      <c r="H1197" s="27"/>
      <c r="I1197" s="20"/>
      <c r="J1197" s="21"/>
      <c r="K1197" s="28"/>
      <c r="L1197" s="19"/>
    </row>
    <row r="1198" spans="1:12" ht="13.2">
      <c r="A1198" s="22"/>
      <c r="B1198" s="16"/>
      <c r="C1198" s="23"/>
      <c r="D1198" s="101"/>
      <c r="E1198" s="24"/>
      <c r="F1198" s="25"/>
      <c r="G1198" s="26"/>
      <c r="H1198" s="27"/>
      <c r="I1198" s="20"/>
      <c r="J1198" s="21"/>
      <c r="K1198" s="28"/>
      <c r="L1198" s="19"/>
    </row>
    <row r="1199" spans="1:12" ht="13.2">
      <c r="A1199" s="22"/>
      <c r="B1199" s="16"/>
      <c r="C1199" s="23"/>
      <c r="D1199" s="101"/>
      <c r="E1199" s="24"/>
      <c r="F1199" s="25"/>
      <c r="G1199" s="26"/>
      <c r="H1199" s="27"/>
      <c r="I1199" s="20"/>
      <c r="J1199" s="21"/>
      <c r="K1199" s="28"/>
      <c r="L1199" s="19"/>
    </row>
    <row r="1200" spans="1:12" ht="13.2">
      <c r="A1200" s="22"/>
      <c r="B1200" s="16"/>
      <c r="C1200" s="23"/>
      <c r="D1200" s="101"/>
      <c r="E1200" s="24"/>
      <c r="F1200" s="25"/>
      <c r="G1200" s="26"/>
      <c r="H1200" s="27"/>
      <c r="I1200" s="20"/>
      <c r="J1200" s="21"/>
      <c r="K1200" s="28"/>
      <c r="L1200" s="19"/>
    </row>
    <row r="1201" spans="1:12" ht="13.2">
      <c r="A1201" s="22"/>
      <c r="B1201" s="16"/>
      <c r="C1201" s="23"/>
      <c r="D1201" s="101"/>
      <c r="E1201" s="24"/>
      <c r="F1201" s="25"/>
      <c r="G1201" s="26"/>
      <c r="H1201" s="27"/>
      <c r="I1201" s="20"/>
      <c r="J1201" s="21"/>
      <c r="K1201" s="28"/>
      <c r="L1201" s="19"/>
    </row>
    <row r="1202" spans="1:12" ht="13.2">
      <c r="A1202" s="22"/>
      <c r="B1202" s="16"/>
      <c r="C1202" s="23"/>
      <c r="D1202" s="101"/>
      <c r="E1202" s="24"/>
      <c r="F1202" s="25"/>
      <c r="G1202" s="26"/>
      <c r="H1202" s="27"/>
      <c r="I1202" s="20"/>
      <c r="J1202" s="21"/>
      <c r="K1202" s="28"/>
      <c r="L1202" s="19"/>
    </row>
    <row r="1203" spans="1:12" ht="13.2">
      <c r="A1203" s="22"/>
      <c r="B1203" s="16"/>
      <c r="C1203" s="23"/>
      <c r="D1203" s="101"/>
      <c r="E1203" s="24"/>
      <c r="F1203" s="25"/>
      <c r="G1203" s="26"/>
      <c r="H1203" s="27"/>
      <c r="I1203" s="20"/>
      <c r="J1203" s="21"/>
      <c r="K1203" s="28"/>
      <c r="L1203" s="19"/>
    </row>
    <row r="1204" spans="1:12" ht="13.2">
      <c r="A1204" s="22"/>
      <c r="B1204" s="16"/>
      <c r="C1204" s="23"/>
      <c r="D1204" s="101"/>
      <c r="E1204" s="24"/>
      <c r="F1204" s="25"/>
      <c r="G1204" s="26"/>
      <c r="H1204" s="27"/>
      <c r="I1204" s="20"/>
      <c r="J1204" s="21"/>
      <c r="K1204" s="28"/>
      <c r="L1204" s="19"/>
    </row>
    <row r="1205" spans="1:12" ht="13.2">
      <c r="A1205" s="22"/>
      <c r="B1205" s="16"/>
      <c r="C1205" s="23"/>
      <c r="D1205" s="101"/>
      <c r="E1205" s="24"/>
      <c r="F1205" s="25"/>
      <c r="G1205" s="26"/>
      <c r="H1205" s="27"/>
      <c r="I1205" s="20"/>
      <c r="J1205" s="21"/>
      <c r="K1205" s="28"/>
      <c r="L1205" s="19"/>
    </row>
    <row r="1206" spans="1:12" ht="13.2">
      <c r="A1206" s="22"/>
      <c r="B1206" s="16"/>
      <c r="C1206" s="23"/>
      <c r="D1206" s="101"/>
      <c r="E1206" s="24"/>
      <c r="F1206" s="25"/>
      <c r="G1206" s="26"/>
      <c r="H1206" s="27"/>
      <c r="I1206" s="20"/>
      <c r="J1206" s="21"/>
      <c r="K1206" s="28"/>
      <c r="L1206" s="19"/>
    </row>
    <row r="1207" spans="1:12" ht="13.2">
      <c r="A1207" s="22"/>
      <c r="B1207" s="16"/>
      <c r="C1207" s="23"/>
      <c r="D1207" s="101"/>
      <c r="E1207" s="24"/>
      <c r="F1207" s="25"/>
      <c r="G1207" s="26"/>
      <c r="H1207" s="27"/>
      <c r="I1207" s="20"/>
      <c r="J1207" s="21"/>
      <c r="K1207" s="28"/>
      <c r="L1207" s="19"/>
    </row>
    <row r="1208" spans="1:12" ht="13.2">
      <c r="A1208" s="22"/>
      <c r="B1208" s="16"/>
      <c r="C1208" s="23"/>
      <c r="D1208" s="101"/>
      <c r="E1208" s="24"/>
      <c r="F1208" s="25"/>
      <c r="G1208" s="26"/>
      <c r="H1208" s="27"/>
      <c r="I1208" s="20"/>
      <c r="J1208" s="21"/>
      <c r="K1208" s="28"/>
      <c r="L1208" s="19"/>
    </row>
    <row r="1209" spans="1:12" ht="13.2">
      <c r="A1209" s="22"/>
      <c r="B1209" s="16"/>
      <c r="C1209" s="23"/>
      <c r="D1209" s="101"/>
      <c r="E1209" s="24"/>
      <c r="F1209" s="25"/>
      <c r="G1209" s="26"/>
      <c r="H1209" s="27"/>
      <c r="I1209" s="20"/>
      <c r="J1209" s="21"/>
      <c r="K1209" s="28"/>
      <c r="L1209" s="19"/>
    </row>
    <row r="1210" spans="1:12" ht="13.2">
      <c r="A1210" s="22"/>
      <c r="B1210" s="16"/>
      <c r="C1210" s="23"/>
      <c r="D1210" s="101"/>
      <c r="E1210" s="24"/>
      <c r="F1210" s="25"/>
      <c r="G1210" s="26"/>
      <c r="H1210" s="27"/>
      <c r="I1210" s="20"/>
      <c r="J1210" s="21"/>
      <c r="K1210" s="28"/>
      <c r="L1210" s="19"/>
    </row>
    <row r="1211" spans="1:12" ht="13.2">
      <c r="A1211" s="22"/>
      <c r="B1211" s="16"/>
      <c r="C1211" s="23"/>
      <c r="D1211" s="101"/>
      <c r="E1211" s="24"/>
      <c r="F1211" s="25"/>
      <c r="G1211" s="26"/>
      <c r="H1211" s="27"/>
      <c r="I1211" s="20"/>
      <c r="J1211" s="21"/>
      <c r="K1211" s="28"/>
      <c r="L1211" s="19"/>
    </row>
    <row r="1212" spans="1:12" ht="13.2">
      <c r="A1212" s="22"/>
      <c r="B1212" s="16"/>
      <c r="C1212" s="23"/>
      <c r="D1212" s="101"/>
      <c r="E1212" s="24"/>
      <c r="F1212" s="25"/>
      <c r="G1212" s="26"/>
      <c r="H1212" s="27"/>
      <c r="I1212" s="20"/>
      <c r="J1212" s="21"/>
      <c r="K1212" s="28"/>
      <c r="L1212" s="19"/>
    </row>
    <row r="1213" spans="1:12" ht="13.2">
      <c r="A1213" s="22"/>
      <c r="B1213" s="16"/>
      <c r="C1213" s="23"/>
      <c r="D1213" s="101"/>
      <c r="E1213" s="24"/>
      <c r="F1213" s="25"/>
      <c r="G1213" s="26"/>
      <c r="H1213" s="27"/>
      <c r="I1213" s="20"/>
      <c r="J1213" s="21"/>
      <c r="K1213" s="28"/>
      <c r="L1213" s="19"/>
    </row>
    <row r="1214" spans="1:12" ht="13.2">
      <c r="A1214" s="22"/>
      <c r="B1214" s="16"/>
      <c r="C1214" s="23"/>
      <c r="D1214" s="101"/>
      <c r="E1214" s="24"/>
      <c r="F1214" s="25"/>
      <c r="G1214" s="26"/>
      <c r="H1214" s="27"/>
      <c r="I1214" s="20"/>
      <c r="J1214" s="21"/>
      <c r="K1214" s="28"/>
      <c r="L1214" s="19"/>
    </row>
    <row r="1215" spans="1:12" ht="13.2">
      <c r="A1215" s="22"/>
      <c r="B1215" s="16"/>
      <c r="C1215" s="23"/>
      <c r="D1215" s="101"/>
      <c r="E1215" s="24"/>
      <c r="F1215" s="25"/>
      <c r="G1215" s="26"/>
      <c r="H1215" s="27"/>
      <c r="I1215" s="20"/>
      <c r="J1215" s="21"/>
      <c r="K1215" s="28"/>
      <c r="L1215" s="19"/>
    </row>
    <row r="1216" spans="1:12" ht="13.2">
      <c r="A1216" s="22"/>
      <c r="B1216" s="16"/>
      <c r="C1216" s="23"/>
      <c r="D1216" s="101"/>
      <c r="E1216" s="24"/>
      <c r="F1216" s="25"/>
      <c r="G1216" s="26"/>
      <c r="H1216" s="27"/>
      <c r="I1216" s="20"/>
      <c r="J1216" s="21"/>
      <c r="K1216" s="28"/>
      <c r="L1216" s="19"/>
    </row>
    <row r="1217" spans="1:12" ht="13.2">
      <c r="A1217" s="22"/>
      <c r="B1217" s="16"/>
      <c r="C1217" s="23"/>
      <c r="D1217" s="101"/>
      <c r="E1217" s="24"/>
      <c r="F1217" s="25"/>
      <c r="G1217" s="26"/>
      <c r="H1217" s="27"/>
      <c r="I1217" s="20"/>
      <c r="J1217" s="21"/>
      <c r="K1217" s="28"/>
      <c r="L1217" s="19"/>
    </row>
    <row r="1218" spans="1:12" ht="13.2">
      <c r="A1218" s="22"/>
      <c r="B1218" s="16"/>
      <c r="C1218" s="23"/>
      <c r="D1218" s="101"/>
      <c r="E1218" s="24"/>
      <c r="F1218" s="25"/>
      <c r="G1218" s="26"/>
      <c r="H1218" s="27"/>
      <c r="I1218" s="20"/>
      <c r="J1218" s="21"/>
      <c r="K1218" s="28"/>
      <c r="L1218" s="19"/>
    </row>
    <row r="1219" spans="1:12" ht="13.2">
      <c r="A1219" s="22"/>
      <c r="B1219" s="16"/>
      <c r="C1219" s="23"/>
      <c r="D1219" s="101"/>
      <c r="E1219" s="24"/>
      <c r="F1219" s="25"/>
      <c r="G1219" s="26"/>
      <c r="H1219" s="27"/>
      <c r="I1219" s="20"/>
      <c r="J1219" s="21"/>
      <c r="K1219" s="28"/>
      <c r="L1219" s="19"/>
    </row>
    <row r="1220" spans="1:12" ht="13.2">
      <c r="A1220" s="22"/>
      <c r="B1220" s="16"/>
      <c r="C1220" s="23"/>
      <c r="D1220" s="101"/>
      <c r="E1220" s="24"/>
      <c r="F1220" s="25"/>
      <c r="G1220" s="26"/>
      <c r="H1220" s="27"/>
      <c r="I1220" s="20"/>
      <c r="J1220" s="21"/>
      <c r="K1220" s="28"/>
      <c r="L1220" s="19"/>
    </row>
    <row r="1221" spans="1:12" ht="13.2">
      <c r="A1221" s="22"/>
      <c r="B1221" s="16"/>
      <c r="C1221" s="23"/>
      <c r="D1221" s="101"/>
      <c r="E1221" s="24"/>
      <c r="F1221" s="25"/>
      <c r="G1221" s="26"/>
      <c r="H1221" s="27"/>
      <c r="I1221" s="20"/>
      <c r="J1221" s="21"/>
      <c r="K1221" s="28"/>
      <c r="L1221" s="19"/>
    </row>
    <row r="1222" spans="1:12" ht="13.2">
      <c r="A1222" s="22"/>
      <c r="B1222" s="16"/>
      <c r="C1222" s="23"/>
      <c r="D1222" s="101"/>
      <c r="E1222" s="24"/>
      <c r="F1222" s="25"/>
      <c r="G1222" s="26"/>
      <c r="H1222" s="27"/>
      <c r="I1222" s="20"/>
      <c r="J1222" s="21"/>
      <c r="K1222" s="28"/>
      <c r="L1222" s="19"/>
    </row>
    <row r="1223" spans="1:12" ht="13.2">
      <c r="A1223" s="22"/>
      <c r="B1223" s="16"/>
      <c r="C1223" s="23"/>
      <c r="D1223" s="101"/>
      <c r="E1223" s="24"/>
      <c r="F1223" s="25"/>
      <c r="G1223" s="26"/>
      <c r="H1223" s="27"/>
      <c r="I1223" s="20"/>
      <c r="J1223" s="21"/>
      <c r="K1223" s="28"/>
      <c r="L1223" s="19"/>
    </row>
    <row r="1224" spans="1:12" ht="13.2">
      <c r="A1224" s="22"/>
      <c r="B1224" s="16"/>
      <c r="C1224" s="23"/>
      <c r="D1224" s="101"/>
      <c r="E1224" s="24"/>
      <c r="F1224" s="25"/>
      <c r="G1224" s="26"/>
      <c r="H1224" s="27"/>
      <c r="I1224" s="20"/>
      <c r="J1224" s="21"/>
      <c r="K1224" s="28"/>
      <c r="L1224" s="19"/>
    </row>
    <row r="1225" spans="1:12" ht="13.2">
      <c r="A1225" s="22"/>
      <c r="B1225" s="16"/>
      <c r="C1225" s="23"/>
      <c r="D1225" s="101"/>
      <c r="E1225" s="24"/>
      <c r="F1225" s="25"/>
      <c r="G1225" s="26"/>
      <c r="H1225" s="27"/>
      <c r="I1225" s="20"/>
      <c r="J1225" s="21"/>
      <c r="K1225" s="28"/>
      <c r="L1225" s="19"/>
    </row>
    <row r="1226" spans="1:12" ht="13.2">
      <c r="A1226" s="22"/>
      <c r="B1226" s="16"/>
      <c r="C1226" s="23"/>
      <c r="D1226" s="101"/>
      <c r="E1226" s="24"/>
      <c r="F1226" s="25"/>
      <c r="G1226" s="26"/>
      <c r="H1226" s="27"/>
      <c r="I1226" s="20"/>
      <c r="J1226" s="21"/>
      <c r="K1226" s="28"/>
      <c r="L1226" s="19"/>
    </row>
    <row r="1227" spans="1:12" ht="13.2">
      <c r="A1227" s="22"/>
      <c r="B1227" s="16"/>
      <c r="C1227" s="23"/>
      <c r="D1227" s="101"/>
      <c r="E1227" s="24"/>
      <c r="F1227" s="25"/>
      <c r="G1227" s="26"/>
      <c r="H1227" s="27"/>
      <c r="I1227" s="20"/>
      <c r="J1227" s="21"/>
      <c r="K1227" s="28"/>
      <c r="L1227" s="19"/>
    </row>
    <row r="1228" spans="1:12" ht="13.2">
      <c r="A1228" s="22"/>
      <c r="B1228" s="16"/>
      <c r="C1228" s="23"/>
      <c r="D1228" s="101"/>
      <c r="E1228" s="24"/>
      <c r="F1228" s="25"/>
      <c r="G1228" s="26"/>
      <c r="H1228" s="27"/>
      <c r="I1228" s="20"/>
      <c r="J1228" s="21"/>
      <c r="K1228" s="28"/>
      <c r="L1228" s="19"/>
    </row>
    <row r="1229" spans="1:12" ht="13.2">
      <c r="A1229" s="22"/>
      <c r="B1229" s="16"/>
      <c r="C1229" s="23"/>
      <c r="D1229" s="101"/>
      <c r="E1229" s="24"/>
      <c r="F1229" s="25"/>
      <c r="G1229" s="26"/>
      <c r="H1229" s="27"/>
      <c r="I1229" s="20"/>
      <c r="J1229" s="21"/>
      <c r="K1229" s="28"/>
      <c r="L1229" s="19"/>
    </row>
    <row r="1230" spans="1:12" ht="13.2">
      <c r="A1230" s="22"/>
      <c r="B1230" s="16"/>
      <c r="C1230" s="23"/>
      <c r="D1230" s="101"/>
      <c r="E1230" s="24"/>
      <c r="F1230" s="25"/>
      <c r="G1230" s="26"/>
      <c r="H1230" s="27"/>
      <c r="I1230" s="20"/>
      <c r="J1230" s="21"/>
      <c r="K1230" s="28"/>
      <c r="L1230" s="19"/>
    </row>
    <row r="1231" spans="1:12" ht="13.2">
      <c r="A1231" s="22"/>
      <c r="B1231" s="16"/>
      <c r="C1231" s="23"/>
      <c r="D1231" s="101"/>
      <c r="E1231" s="24"/>
      <c r="F1231" s="25"/>
      <c r="G1231" s="26"/>
      <c r="H1231" s="27"/>
      <c r="I1231" s="20"/>
      <c r="J1231" s="21"/>
      <c r="K1231" s="28"/>
      <c r="L1231" s="19"/>
    </row>
    <row r="1232" spans="1:12" ht="13.2">
      <c r="A1232" s="22"/>
      <c r="B1232" s="16"/>
      <c r="C1232" s="23"/>
      <c r="D1232" s="101"/>
      <c r="E1232" s="24"/>
      <c r="F1232" s="25"/>
      <c r="G1232" s="26"/>
      <c r="H1232" s="27"/>
      <c r="I1232" s="20"/>
      <c r="J1232" s="21"/>
      <c r="K1232" s="28"/>
      <c r="L1232" s="19"/>
    </row>
    <row r="1233" spans="1:12" ht="13.2">
      <c r="A1233" s="22"/>
      <c r="B1233" s="16"/>
      <c r="C1233" s="23"/>
      <c r="D1233" s="101"/>
      <c r="E1233" s="24"/>
      <c r="F1233" s="25"/>
      <c r="G1233" s="26"/>
      <c r="H1233" s="27"/>
      <c r="I1233" s="20"/>
      <c r="J1233" s="21"/>
      <c r="K1233" s="28"/>
      <c r="L1233" s="19"/>
    </row>
    <row r="1234" spans="1:12" ht="13.2">
      <c r="A1234" s="22"/>
      <c r="B1234" s="16"/>
      <c r="C1234" s="23"/>
      <c r="D1234" s="101"/>
      <c r="E1234" s="24"/>
      <c r="F1234" s="25"/>
      <c r="G1234" s="26"/>
      <c r="H1234" s="27"/>
      <c r="I1234" s="20"/>
      <c r="J1234" s="21"/>
      <c r="K1234" s="28"/>
      <c r="L1234" s="19"/>
    </row>
    <row r="1235" spans="1:12" ht="13.2">
      <c r="A1235" s="22"/>
      <c r="B1235" s="16"/>
      <c r="C1235" s="23"/>
      <c r="D1235" s="101"/>
      <c r="E1235" s="24"/>
      <c r="F1235" s="25"/>
      <c r="G1235" s="26"/>
      <c r="H1235" s="27"/>
      <c r="I1235" s="20"/>
      <c r="J1235" s="21"/>
      <c r="K1235" s="28"/>
      <c r="L1235" s="19"/>
    </row>
    <row r="1236" spans="1:12" ht="13.2">
      <c r="A1236" s="22"/>
      <c r="B1236" s="16"/>
      <c r="C1236" s="23"/>
      <c r="D1236" s="101"/>
      <c r="E1236" s="24"/>
      <c r="F1236" s="25"/>
      <c r="G1236" s="26"/>
      <c r="H1236" s="27"/>
      <c r="I1236" s="20"/>
      <c r="J1236" s="21"/>
      <c r="K1236" s="28"/>
      <c r="L1236" s="19"/>
    </row>
    <row r="1237" spans="1:12" ht="13.2">
      <c r="A1237" s="22"/>
      <c r="B1237" s="16"/>
      <c r="C1237" s="23"/>
      <c r="D1237" s="101"/>
      <c r="E1237" s="24"/>
      <c r="F1237" s="25"/>
      <c r="G1237" s="26"/>
      <c r="H1237" s="27"/>
      <c r="I1237" s="20"/>
      <c r="J1237" s="21"/>
      <c r="K1237" s="28"/>
      <c r="L1237" s="19"/>
    </row>
    <row r="1238" spans="1:12" ht="13.2">
      <c r="A1238" s="22"/>
      <c r="B1238" s="16"/>
      <c r="C1238" s="23"/>
      <c r="D1238" s="101"/>
      <c r="E1238" s="24"/>
      <c r="F1238" s="25"/>
      <c r="G1238" s="26"/>
      <c r="H1238" s="27"/>
      <c r="I1238" s="20"/>
      <c r="J1238" s="21"/>
      <c r="K1238" s="28"/>
      <c r="L1238" s="19"/>
    </row>
    <row r="1239" spans="1:12" ht="13.2">
      <c r="A1239" s="22"/>
      <c r="B1239" s="16"/>
      <c r="C1239" s="23"/>
      <c r="D1239" s="101"/>
      <c r="E1239" s="24"/>
      <c r="F1239" s="25"/>
      <c r="G1239" s="26"/>
      <c r="H1239" s="27"/>
      <c r="I1239" s="20"/>
      <c r="J1239" s="21"/>
      <c r="K1239" s="28"/>
      <c r="L1239" s="19"/>
    </row>
    <row r="1240" spans="1:12" ht="13.2">
      <c r="A1240" s="22"/>
      <c r="B1240" s="16"/>
      <c r="C1240" s="23"/>
      <c r="D1240" s="101"/>
      <c r="E1240" s="24"/>
      <c r="F1240" s="25"/>
      <c r="G1240" s="26"/>
      <c r="H1240" s="27"/>
      <c r="I1240" s="20"/>
      <c r="J1240" s="21"/>
      <c r="K1240" s="28"/>
      <c r="L1240" s="19"/>
    </row>
    <row r="1241" spans="1:12" ht="13.2">
      <c r="A1241" s="22"/>
      <c r="B1241" s="16"/>
      <c r="C1241" s="23"/>
      <c r="D1241" s="101"/>
      <c r="E1241" s="24"/>
      <c r="F1241" s="25"/>
      <c r="G1241" s="26"/>
      <c r="H1241" s="27"/>
      <c r="I1241" s="20"/>
      <c r="J1241" s="21"/>
      <c r="K1241" s="28"/>
      <c r="L1241" s="19"/>
    </row>
    <row r="1242" spans="1:12" ht="13.2">
      <c r="A1242" s="22"/>
      <c r="B1242" s="16"/>
      <c r="C1242" s="23"/>
      <c r="D1242" s="101"/>
      <c r="E1242" s="24"/>
      <c r="F1242" s="25"/>
      <c r="G1242" s="26"/>
      <c r="H1242" s="27"/>
      <c r="I1242" s="20"/>
      <c r="J1242" s="21"/>
      <c r="K1242" s="28"/>
      <c r="L1242" s="19"/>
    </row>
    <row r="1243" spans="1:12" ht="13.2">
      <c r="A1243" s="22"/>
      <c r="B1243" s="16"/>
      <c r="C1243" s="23"/>
      <c r="D1243" s="101"/>
      <c r="E1243" s="24"/>
      <c r="F1243" s="25"/>
      <c r="G1243" s="26"/>
      <c r="H1243" s="27"/>
      <c r="I1243" s="20"/>
      <c r="J1243" s="21"/>
      <c r="K1243" s="28"/>
      <c r="L1243" s="19"/>
    </row>
    <row r="1244" spans="1:12" ht="13.2">
      <c r="A1244" s="22"/>
      <c r="B1244" s="16"/>
      <c r="C1244" s="23"/>
      <c r="D1244" s="101"/>
      <c r="E1244" s="24"/>
      <c r="F1244" s="25"/>
      <c r="G1244" s="26"/>
      <c r="H1244" s="27"/>
      <c r="I1244" s="20"/>
      <c r="J1244" s="21"/>
      <c r="K1244" s="28"/>
      <c r="L1244" s="19"/>
    </row>
    <row r="1245" spans="1:12" ht="13.2">
      <c r="A1245" s="22"/>
      <c r="B1245" s="16"/>
      <c r="C1245" s="23"/>
      <c r="D1245" s="101"/>
      <c r="E1245" s="24"/>
      <c r="F1245" s="25"/>
      <c r="G1245" s="26"/>
      <c r="H1245" s="27"/>
      <c r="I1245" s="20"/>
      <c r="J1245" s="21"/>
      <c r="K1245" s="28"/>
      <c r="L1245" s="19"/>
    </row>
    <row r="1246" spans="1:12" ht="13.2">
      <c r="A1246" s="22"/>
      <c r="B1246" s="16"/>
      <c r="C1246" s="23"/>
      <c r="D1246" s="101"/>
      <c r="E1246" s="24"/>
      <c r="F1246" s="25"/>
      <c r="G1246" s="26"/>
      <c r="H1246" s="27"/>
      <c r="I1246" s="20"/>
      <c r="J1246" s="21"/>
      <c r="K1246" s="28"/>
      <c r="L1246" s="19"/>
    </row>
    <row r="1247" spans="1:12" ht="13.2">
      <c r="A1247" s="22"/>
      <c r="B1247" s="16"/>
      <c r="C1247" s="23"/>
      <c r="D1247" s="101"/>
      <c r="E1247" s="24"/>
      <c r="F1247" s="25"/>
      <c r="G1247" s="26"/>
      <c r="H1247" s="27"/>
      <c r="I1247" s="20"/>
      <c r="J1247" s="21"/>
      <c r="K1247" s="28"/>
      <c r="L1247" s="19"/>
    </row>
    <row r="1248" spans="1:12" ht="13.2">
      <c r="A1248" s="22"/>
      <c r="B1248" s="16"/>
      <c r="C1248" s="23"/>
      <c r="D1248" s="101"/>
      <c r="E1248" s="24"/>
      <c r="F1248" s="25"/>
      <c r="G1248" s="26"/>
      <c r="H1248" s="27"/>
      <c r="I1248" s="20"/>
      <c r="J1248" s="21"/>
      <c r="K1248" s="28"/>
      <c r="L1248" s="19"/>
    </row>
    <row r="1249" spans="1:12" ht="13.2">
      <c r="A1249" s="22"/>
      <c r="B1249" s="16"/>
      <c r="C1249" s="23"/>
      <c r="D1249" s="101"/>
      <c r="E1249" s="24"/>
      <c r="F1249" s="25"/>
      <c r="G1249" s="26"/>
      <c r="H1249" s="27"/>
      <c r="I1249" s="20"/>
      <c r="J1249" s="21"/>
      <c r="K1249" s="28"/>
      <c r="L1249" s="19"/>
    </row>
    <row r="1250" spans="1:12" ht="13.2">
      <c r="A1250" s="22"/>
      <c r="B1250" s="16"/>
      <c r="C1250" s="23"/>
      <c r="D1250" s="101"/>
      <c r="E1250" s="24"/>
      <c r="F1250" s="25"/>
      <c r="G1250" s="26"/>
      <c r="H1250" s="27"/>
      <c r="I1250" s="20"/>
      <c r="J1250" s="21"/>
      <c r="K1250" s="28"/>
      <c r="L1250" s="19"/>
    </row>
    <row r="1251" spans="1:12" ht="13.2">
      <c r="A1251" s="22"/>
      <c r="B1251" s="16"/>
      <c r="C1251" s="23"/>
      <c r="D1251" s="101"/>
      <c r="E1251" s="24"/>
      <c r="F1251" s="25"/>
      <c r="G1251" s="26"/>
      <c r="H1251" s="27"/>
      <c r="I1251" s="20"/>
      <c r="J1251" s="21"/>
      <c r="K1251" s="28"/>
      <c r="L1251" s="19"/>
    </row>
    <row r="1252" spans="1:12" ht="13.2">
      <c r="A1252" s="22"/>
      <c r="B1252" s="16"/>
      <c r="C1252" s="23"/>
      <c r="D1252" s="101"/>
      <c r="E1252" s="24"/>
      <c r="F1252" s="25"/>
      <c r="G1252" s="26"/>
      <c r="H1252" s="27"/>
      <c r="I1252" s="20"/>
      <c r="J1252" s="21"/>
      <c r="K1252" s="28"/>
      <c r="L1252" s="19"/>
    </row>
    <row r="1253" spans="1:12" ht="13.2">
      <c r="A1253" s="22"/>
      <c r="B1253" s="16"/>
      <c r="C1253" s="23"/>
      <c r="D1253" s="101"/>
      <c r="E1253" s="24"/>
      <c r="F1253" s="25"/>
      <c r="G1253" s="26"/>
      <c r="H1253" s="27"/>
      <c r="I1253" s="20"/>
      <c r="J1253" s="21"/>
      <c r="K1253" s="28"/>
      <c r="L1253" s="19"/>
    </row>
    <row r="1254" spans="1:12" ht="13.2">
      <c r="A1254" s="22"/>
      <c r="B1254" s="16"/>
      <c r="C1254" s="23"/>
      <c r="D1254" s="101"/>
      <c r="E1254" s="24"/>
      <c r="F1254" s="25"/>
      <c r="G1254" s="26"/>
      <c r="H1254" s="27"/>
      <c r="I1254" s="20"/>
      <c r="J1254" s="21"/>
      <c r="K1254" s="28"/>
      <c r="L1254" s="19"/>
    </row>
    <row r="1255" spans="1:12" ht="13.2">
      <c r="A1255" s="22"/>
      <c r="B1255" s="16"/>
      <c r="C1255" s="23"/>
      <c r="D1255" s="101"/>
      <c r="E1255" s="24"/>
      <c r="F1255" s="25"/>
      <c r="G1255" s="26"/>
      <c r="H1255" s="27"/>
      <c r="I1255" s="20"/>
      <c r="J1255" s="21"/>
      <c r="K1255" s="28"/>
      <c r="L1255" s="19"/>
    </row>
    <row r="1256" spans="1:12" ht="13.2">
      <c r="A1256" s="22"/>
      <c r="B1256" s="16"/>
      <c r="C1256" s="23"/>
      <c r="D1256" s="101"/>
      <c r="E1256" s="24"/>
      <c r="F1256" s="25"/>
      <c r="G1256" s="26"/>
      <c r="H1256" s="27"/>
      <c r="I1256" s="20"/>
      <c r="J1256" s="21"/>
      <c r="K1256" s="28"/>
      <c r="L1256" s="19"/>
    </row>
    <row r="1257" spans="1:12" ht="13.2">
      <c r="A1257" s="22"/>
      <c r="B1257" s="16"/>
      <c r="C1257" s="23"/>
      <c r="D1257" s="101"/>
      <c r="E1257" s="24"/>
      <c r="F1257" s="25"/>
      <c r="G1257" s="26"/>
      <c r="H1257" s="27"/>
      <c r="I1257" s="20"/>
      <c r="J1257" s="21"/>
      <c r="K1257" s="28"/>
      <c r="L1257" s="19"/>
    </row>
    <row r="1258" spans="1:12" ht="13.2">
      <c r="A1258" s="22"/>
      <c r="B1258" s="16"/>
      <c r="C1258" s="23"/>
      <c r="D1258" s="101"/>
      <c r="E1258" s="24"/>
      <c r="F1258" s="25"/>
      <c r="G1258" s="26"/>
      <c r="H1258" s="27"/>
      <c r="I1258" s="20"/>
      <c r="J1258" s="21"/>
      <c r="K1258" s="28"/>
      <c r="L1258" s="19"/>
    </row>
    <row r="1259" spans="1:12" ht="13.2">
      <c r="A1259" s="22"/>
      <c r="B1259" s="16"/>
      <c r="C1259" s="23"/>
      <c r="D1259" s="101"/>
      <c r="E1259" s="24"/>
      <c r="F1259" s="25"/>
      <c r="G1259" s="26"/>
      <c r="H1259" s="27"/>
      <c r="I1259" s="20"/>
      <c r="J1259" s="21"/>
      <c r="K1259" s="28"/>
      <c r="L1259" s="19"/>
    </row>
    <row r="1260" spans="1:12" ht="13.2">
      <c r="A1260" s="22"/>
      <c r="B1260" s="16"/>
      <c r="C1260" s="23"/>
      <c r="D1260" s="101"/>
      <c r="E1260" s="24"/>
      <c r="F1260" s="25"/>
      <c r="G1260" s="26"/>
      <c r="H1260" s="27"/>
      <c r="I1260" s="20"/>
      <c r="J1260" s="21"/>
      <c r="K1260" s="28"/>
      <c r="L1260" s="19"/>
    </row>
    <row r="1261" spans="1:12" ht="13.2">
      <c r="A1261" s="22"/>
      <c r="B1261" s="16"/>
      <c r="C1261" s="23"/>
      <c r="D1261" s="101"/>
      <c r="E1261" s="24"/>
      <c r="F1261" s="25"/>
      <c r="G1261" s="26"/>
      <c r="H1261" s="27"/>
      <c r="I1261" s="20"/>
      <c r="J1261" s="21"/>
      <c r="K1261" s="28"/>
      <c r="L1261" s="19"/>
    </row>
    <row r="1262" spans="1:12" ht="13.2">
      <c r="A1262" s="22"/>
      <c r="B1262" s="16"/>
      <c r="C1262" s="23"/>
      <c r="D1262" s="101"/>
      <c r="E1262" s="24"/>
      <c r="F1262" s="25"/>
      <c r="G1262" s="26"/>
      <c r="H1262" s="27"/>
      <c r="I1262" s="20"/>
      <c r="J1262" s="21"/>
      <c r="K1262" s="28"/>
      <c r="L1262" s="19"/>
    </row>
    <row r="1263" spans="1:12" ht="13.2">
      <c r="A1263" s="22"/>
      <c r="B1263" s="16"/>
      <c r="C1263" s="23"/>
      <c r="D1263" s="101"/>
      <c r="E1263" s="24"/>
      <c r="F1263" s="25"/>
      <c r="G1263" s="26"/>
      <c r="H1263" s="27"/>
      <c r="I1263" s="20"/>
      <c r="J1263" s="21"/>
      <c r="K1263" s="28"/>
      <c r="L1263" s="19"/>
    </row>
    <row r="1264" spans="1:12" ht="13.2">
      <c r="A1264" s="22"/>
      <c r="B1264" s="16"/>
      <c r="C1264" s="23"/>
      <c r="D1264" s="101"/>
      <c r="E1264" s="24"/>
      <c r="F1264" s="25"/>
      <c r="G1264" s="26"/>
      <c r="H1264" s="27"/>
      <c r="I1264" s="20"/>
      <c r="J1264" s="21"/>
      <c r="K1264" s="28"/>
      <c r="L1264" s="19"/>
    </row>
    <row r="1265" spans="1:12" ht="13.2">
      <c r="A1265" s="22"/>
      <c r="B1265" s="16"/>
      <c r="C1265" s="23"/>
      <c r="D1265" s="101"/>
      <c r="E1265" s="24"/>
      <c r="F1265" s="25"/>
      <c r="G1265" s="26"/>
      <c r="H1265" s="27"/>
      <c r="I1265" s="20"/>
      <c r="J1265" s="21"/>
      <c r="K1265" s="28"/>
      <c r="L1265" s="19"/>
    </row>
    <row r="1266" spans="1:12" ht="13.2">
      <c r="A1266" s="22"/>
      <c r="B1266" s="16"/>
      <c r="C1266" s="23"/>
      <c r="D1266" s="101"/>
      <c r="E1266" s="24"/>
      <c r="F1266" s="25"/>
      <c r="G1266" s="26"/>
      <c r="H1266" s="27"/>
      <c r="I1266" s="20"/>
      <c r="J1266" s="21"/>
      <c r="K1266" s="28"/>
      <c r="L1266" s="19"/>
    </row>
    <row r="1267" spans="1:12" ht="13.2">
      <c r="A1267" s="22"/>
      <c r="B1267" s="16"/>
      <c r="C1267" s="23"/>
      <c r="D1267" s="101"/>
      <c r="E1267" s="24"/>
      <c r="F1267" s="25"/>
      <c r="G1267" s="26"/>
      <c r="H1267" s="27"/>
      <c r="I1267" s="20"/>
      <c r="J1267" s="21"/>
      <c r="K1267" s="28"/>
      <c r="L1267" s="19"/>
    </row>
    <row r="1268" spans="1:12" ht="13.2">
      <c r="A1268" s="22"/>
      <c r="B1268" s="16"/>
      <c r="C1268" s="23"/>
      <c r="D1268" s="101"/>
      <c r="E1268" s="24"/>
      <c r="F1268" s="25"/>
      <c r="G1268" s="26"/>
      <c r="H1268" s="27"/>
      <c r="I1268" s="20"/>
      <c r="J1268" s="21"/>
      <c r="K1268" s="28"/>
      <c r="L1268" s="19"/>
    </row>
    <row r="1269" spans="1:12" ht="13.2">
      <c r="A1269" s="22"/>
      <c r="B1269" s="16"/>
      <c r="C1269" s="23"/>
      <c r="D1269" s="101"/>
      <c r="E1269" s="24"/>
      <c r="F1269" s="25"/>
      <c r="G1269" s="26"/>
      <c r="H1269" s="27"/>
      <c r="I1269" s="20"/>
      <c r="J1269" s="21"/>
      <c r="K1269" s="28"/>
      <c r="L1269" s="19"/>
    </row>
    <row r="1270" spans="1:12" ht="13.2">
      <c r="A1270" s="22"/>
      <c r="B1270" s="16"/>
      <c r="C1270" s="23"/>
      <c r="D1270" s="101"/>
      <c r="E1270" s="24"/>
      <c r="F1270" s="25"/>
      <c r="G1270" s="26"/>
      <c r="H1270" s="27"/>
      <c r="I1270" s="20"/>
      <c r="J1270" s="21"/>
      <c r="K1270" s="28"/>
      <c r="L1270" s="19"/>
    </row>
    <row r="1271" spans="1:12" ht="13.2">
      <c r="A1271" s="22"/>
      <c r="B1271" s="16"/>
      <c r="C1271" s="23"/>
      <c r="D1271" s="101"/>
      <c r="E1271" s="24"/>
      <c r="F1271" s="25"/>
      <c r="G1271" s="26"/>
      <c r="H1271" s="27"/>
      <c r="I1271" s="20"/>
      <c r="J1271" s="21"/>
      <c r="K1271" s="28"/>
      <c r="L1271" s="19"/>
    </row>
    <row r="1272" spans="1:12" ht="13.2">
      <c r="A1272" s="22"/>
      <c r="B1272" s="16"/>
      <c r="C1272" s="23"/>
      <c r="D1272" s="101"/>
      <c r="E1272" s="24"/>
      <c r="F1272" s="25"/>
      <c r="G1272" s="26"/>
      <c r="H1272" s="27"/>
      <c r="I1272" s="20"/>
      <c r="J1272" s="21"/>
      <c r="K1272" s="28"/>
      <c r="L1272" s="19"/>
    </row>
    <row r="1273" spans="1:12" ht="13.2">
      <c r="A1273" s="22"/>
      <c r="B1273" s="16"/>
      <c r="C1273" s="23"/>
      <c r="D1273" s="101"/>
      <c r="E1273" s="24"/>
      <c r="F1273" s="25"/>
      <c r="G1273" s="26"/>
      <c r="H1273" s="27"/>
      <c r="I1273" s="20"/>
      <c r="J1273" s="21"/>
      <c r="K1273" s="28"/>
      <c r="L1273" s="19"/>
    </row>
    <row r="1274" spans="1:12" ht="13.2">
      <c r="A1274" s="22"/>
      <c r="B1274" s="16"/>
      <c r="C1274" s="23"/>
      <c r="D1274" s="101"/>
      <c r="E1274" s="24"/>
      <c r="F1274" s="25"/>
      <c r="G1274" s="26"/>
      <c r="H1274" s="27"/>
      <c r="I1274" s="20"/>
      <c r="J1274" s="21"/>
      <c r="K1274" s="28"/>
      <c r="L1274" s="19"/>
    </row>
    <row r="1275" spans="1:12" ht="13.2">
      <c r="A1275" s="22"/>
      <c r="B1275" s="16"/>
      <c r="C1275" s="23"/>
      <c r="D1275" s="101"/>
      <c r="E1275" s="24"/>
      <c r="F1275" s="25"/>
      <c r="G1275" s="26"/>
      <c r="H1275" s="27"/>
      <c r="I1275" s="20"/>
      <c r="J1275" s="21"/>
      <c r="K1275" s="28"/>
      <c r="L1275" s="19"/>
    </row>
    <row r="1276" spans="1:12" ht="13.2">
      <c r="A1276" s="22"/>
      <c r="B1276" s="16"/>
      <c r="C1276" s="23"/>
      <c r="D1276" s="101"/>
      <c r="E1276" s="24"/>
      <c r="F1276" s="25"/>
      <c r="G1276" s="26"/>
      <c r="H1276" s="27"/>
      <c r="I1276" s="20"/>
      <c r="J1276" s="21"/>
      <c r="K1276" s="28"/>
      <c r="L1276" s="19"/>
    </row>
    <row r="1277" spans="1:12" ht="13.2">
      <c r="A1277" s="22"/>
      <c r="B1277" s="16"/>
      <c r="C1277" s="23"/>
      <c r="D1277" s="101"/>
      <c r="E1277" s="24"/>
      <c r="F1277" s="25"/>
      <c r="G1277" s="26"/>
      <c r="H1277" s="27"/>
      <c r="I1277" s="20"/>
      <c r="J1277" s="21"/>
      <c r="K1277" s="28"/>
      <c r="L1277" s="19"/>
    </row>
    <row r="1278" spans="1:12" ht="13.2">
      <c r="A1278" s="22"/>
      <c r="B1278" s="16"/>
      <c r="C1278" s="23"/>
      <c r="D1278" s="101"/>
      <c r="E1278" s="24"/>
      <c r="F1278" s="25"/>
      <c r="G1278" s="26"/>
      <c r="H1278" s="27"/>
      <c r="I1278" s="20"/>
      <c r="J1278" s="21"/>
      <c r="K1278" s="28"/>
      <c r="L1278" s="19"/>
    </row>
    <row r="1279" spans="1:12" ht="13.2">
      <c r="A1279" s="22"/>
      <c r="B1279" s="16"/>
      <c r="C1279" s="23"/>
      <c r="D1279" s="101"/>
      <c r="E1279" s="24"/>
      <c r="F1279" s="25"/>
      <c r="G1279" s="26"/>
      <c r="H1279" s="27"/>
      <c r="I1279" s="20"/>
      <c r="J1279" s="21"/>
      <c r="K1279" s="28"/>
      <c r="L1279" s="19"/>
    </row>
    <row r="1280" spans="1:12" ht="13.2">
      <c r="A1280" s="22"/>
      <c r="B1280" s="16"/>
      <c r="C1280" s="23"/>
      <c r="D1280" s="101"/>
      <c r="E1280" s="24"/>
      <c r="F1280" s="25"/>
      <c r="G1280" s="26"/>
      <c r="H1280" s="27"/>
      <c r="I1280" s="20"/>
      <c r="J1280" s="21"/>
      <c r="K1280" s="28"/>
      <c r="L1280" s="19"/>
    </row>
    <row r="1281" spans="1:12" ht="13.2">
      <c r="A1281" s="22"/>
      <c r="B1281" s="16"/>
      <c r="C1281" s="23"/>
      <c r="D1281" s="101"/>
      <c r="E1281" s="24"/>
      <c r="F1281" s="25"/>
      <c r="G1281" s="26"/>
      <c r="H1281" s="27"/>
      <c r="I1281" s="20"/>
      <c r="J1281" s="21"/>
      <c r="K1281" s="28"/>
      <c r="L1281" s="19"/>
    </row>
    <row r="1282" spans="1:12" ht="13.2">
      <c r="A1282" s="22"/>
      <c r="B1282" s="16"/>
      <c r="C1282" s="23"/>
      <c r="D1282" s="101"/>
      <c r="E1282" s="24"/>
      <c r="F1282" s="25"/>
      <c r="G1282" s="26"/>
      <c r="H1282" s="27"/>
      <c r="I1282" s="20"/>
      <c r="J1282" s="21"/>
      <c r="K1282" s="28"/>
      <c r="L1282" s="19"/>
    </row>
    <row r="1283" spans="1:12" ht="13.2">
      <c r="A1283" s="22"/>
      <c r="B1283" s="16"/>
      <c r="C1283" s="23"/>
      <c r="D1283" s="101"/>
      <c r="E1283" s="24"/>
      <c r="F1283" s="25"/>
      <c r="G1283" s="26"/>
      <c r="H1283" s="27"/>
      <c r="I1283" s="20"/>
      <c r="J1283" s="21"/>
      <c r="K1283" s="28"/>
      <c r="L1283" s="19"/>
    </row>
    <row r="1284" spans="1:12" ht="13.2">
      <c r="A1284" s="22"/>
      <c r="B1284" s="16"/>
      <c r="C1284" s="23"/>
      <c r="D1284" s="101"/>
      <c r="E1284" s="24"/>
      <c r="F1284" s="25"/>
      <c r="G1284" s="26"/>
      <c r="H1284" s="27"/>
      <c r="I1284" s="20"/>
      <c r="J1284" s="21"/>
      <c r="K1284" s="28"/>
      <c r="L1284" s="19"/>
    </row>
    <row r="1285" spans="1:12" ht="13.2">
      <c r="A1285" s="22"/>
      <c r="B1285" s="16"/>
      <c r="C1285" s="23"/>
      <c r="D1285" s="101"/>
      <c r="E1285" s="24"/>
      <c r="F1285" s="25"/>
      <c r="G1285" s="26"/>
      <c r="H1285" s="27"/>
      <c r="I1285" s="20"/>
      <c r="J1285" s="21"/>
      <c r="K1285" s="28"/>
      <c r="L1285" s="19"/>
    </row>
    <row r="1286" spans="1:12" ht="13.2">
      <c r="A1286" s="22"/>
      <c r="B1286" s="16"/>
      <c r="C1286" s="23"/>
      <c r="D1286" s="101"/>
      <c r="E1286" s="24"/>
      <c r="F1286" s="25"/>
      <c r="G1286" s="26"/>
      <c r="H1286" s="27"/>
      <c r="I1286" s="20"/>
      <c r="J1286" s="21"/>
      <c r="K1286" s="28"/>
      <c r="L1286" s="19"/>
    </row>
    <row r="1287" spans="1:12" ht="13.2">
      <c r="A1287" s="22"/>
      <c r="B1287" s="16"/>
      <c r="C1287" s="23"/>
      <c r="D1287" s="101"/>
      <c r="E1287" s="24"/>
      <c r="F1287" s="25"/>
      <c r="G1287" s="26"/>
      <c r="H1287" s="27"/>
      <c r="I1287" s="20"/>
      <c r="J1287" s="21"/>
      <c r="K1287" s="28"/>
      <c r="L1287" s="19"/>
    </row>
    <row r="1288" spans="1:12" ht="13.2">
      <c r="A1288" s="22"/>
      <c r="B1288" s="16"/>
      <c r="C1288" s="23"/>
      <c r="D1288" s="101"/>
      <c r="E1288" s="24"/>
      <c r="F1288" s="25"/>
      <c r="G1288" s="26"/>
      <c r="H1288" s="27"/>
      <c r="I1288" s="20"/>
      <c r="J1288" s="21"/>
      <c r="K1288" s="28"/>
      <c r="L1288" s="19"/>
    </row>
    <row r="1289" spans="1:12" ht="13.2">
      <c r="A1289" s="22"/>
      <c r="B1289" s="16"/>
      <c r="C1289" s="23"/>
      <c r="D1289" s="101"/>
      <c r="E1289" s="24"/>
      <c r="F1289" s="25"/>
      <c r="G1289" s="26"/>
      <c r="H1289" s="27"/>
      <c r="I1289" s="20"/>
      <c r="J1289" s="21"/>
      <c r="K1289" s="28"/>
      <c r="L1289" s="19"/>
    </row>
    <row r="1290" spans="1:12" ht="13.2">
      <c r="A1290" s="22"/>
      <c r="B1290" s="16"/>
      <c r="C1290" s="23"/>
      <c r="D1290" s="101"/>
      <c r="E1290" s="24"/>
      <c r="F1290" s="25"/>
      <c r="G1290" s="26"/>
      <c r="H1290" s="27"/>
      <c r="I1290" s="20"/>
      <c r="J1290" s="21"/>
      <c r="K1290" s="28"/>
      <c r="L1290" s="19"/>
    </row>
    <row r="1291" spans="1:12" ht="13.2">
      <c r="A1291" s="22"/>
      <c r="B1291" s="16"/>
      <c r="C1291" s="23"/>
      <c r="D1291" s="101"/>
      <c r="E1291" s="24"/>
      <c r="F1291" s="25"/>
      <c r="G1291" s="26"/>
      <c r="H1291" s="27"/>
      <c r="I1291" s="20"/>
      <c r="J1291" s="21"/>
      <c r="K1291" s="28"/>
      <c r="L1291" s="19"/>
    </row>
    <row r="1292" spans="1:12" ht="13.2">
      <c r="A1292" s="22"/>
      <c r="B1292" s="16"/>
      <c r="C1292" s="23"/>
      <c r="D1292" s="101"/>
      <c r="E1292" s="24"/>
      <c r="F1292" s="25"/>
      <c r="G1292" s="26"/>
      <c r="H1292" s="27"/>
      <c r="I1292" s="20"/>
      <c r="J1292" s="21"/>
      <c r="K1292" s="28"/>
      <c r="L1292" s="19"/>
    </row>
    <row r="1293" spans="1:12" ht="13.2">
      <c r="A1293" s="22"/>
      <c r="B1293" s="16"/>
      <c r="C1293" s="23"/>
      <c r="D1293" s="101"/>
      <c r="E1293" s="24"/>
      <c r="F1293" s="25"/>
      <c r="G1293" s="26"/>
      <c r="H1293" s="27"/>
      <c r="I1293" s="20"/>
      <c r="J1293" s="21"/>
      <c r="K1293" s="28"/>
      <c r="L1293" s="19"/>
    </row>
    <row r="1294" spans="1:12" ht="13.2">
      <c r="A1294" s="22"/>
      <c r="B1294" s="16"/>
      <c r="C1294" s="23"/>
      <c r="D1294" s="101"/>
      <c r="E1294" s="24"/>
      <c r="F1294" s="25"/>
      <c r="G1294" s="26"/>
      <c r="H1294" s="27"/>
      <c r="I1294" s="20"/>
      <c r="J1294" s="21"/>
      <c r="K1294" s="28"/>
      <c r="L1294" s="19"/>
    </row>
    <row r="1295" spans="1:12" ht="13.2">
      <c r="A1295" s="22"/>
      <c r="B1295" s="16"/>
      <c r="C1295" s="23"/>
      <c r="D1295" s="101"/>
      <c r="E1295" s="24"/>
      <c r="F1295" s="25"/>
      <c r="G1295" s="26"/>
      <c r="H1295" s="27"/>
      <c r="I1295" s="20"/>
      <c r="J1295" s="21"/>
      <c r="K1295" s="28"/>
      <c r="L1295" s="19"/>
    </row>
    <row r="1296" spans="1:12" ht="13.2">
      <c r="A1296" s="22"/>
      <c r="B1296" s="16"/>
      <c r="C1296" s="23"/>
      <c r="D1296" s="101"/>
      <c r="E1296" s="24"/>
      <c r="F1296" s="25"/>
      <c r="G1296" s="26"/>
      <c r="H1296" s="27"/>
      <c r="I1296" s="20"/>
      <c r="J1296" s="21"/>
      <c r="K1296" s="28"/>
      <c r="L1296" s="19"/>
    </row>
    <row r="1297" spans="1:12" ht="13.2">
      <c r="A1297" s="22"/>
      <c r="B1297" s="16"/>
      <c r="C1297" s="23"/>
      <c r="D1297" s="101"/>
      <c r="E1297" s="24"/>
      <c r="F1297" s="25"/>
      <c r="G1297" s="26"/>
      <c r="H1297" s="27"/>
      <c r="I1297" s="20"/>
      <c r="J1297" s="21"/>
      <c r="K1297" s="28"/>
      <c r="L1297" s="19"/>
    </row>
    <row r="1298" spans="1:12" ht="13.2">
      <c r="A1298" s="22"/>
      <c r="B1298" s="16"/>
      <c r="C1298" s="23"/>
      <c r="D1298" s="101"/>
      <c r="E1298" s="24"/>
      <c r="F1298" s="25"/>
      <c r="G1298" s="26"/>
      <c r="H1298" s="27"/>
      <c r="I1298" s="20"/>
      <c r="J1298" s="21"/>
      <c r="K1298" s="28"/>
      <c r="L1298" s="19"/>
    </row>
    <row r="1299" spans="1:12" ht="13.2">
      <c r="A1299" s="22"/>
      <c r="B1299" s="16"/>
      <c r="C1299" s="23"/>
      <c r="D1299" s="101"/>
      <c r="E1299" s="24"/>
      <c r="F1299" s="25"/>
      <c r="G1299" s="26"/>
      <c r="H1299" s="27"/>
      <c r="I1299" s="20"/>
      <c r="J1299" s="21"/>
      <c r="K1299" s="28"/>
      <c r="L1299" s="19"/>
    </row>
    <row r="1300" spans="1:12" ht="13.2">
      <c r="A1300" s="22"/>
      <c r="B1300" s="16"/>
      <c r="C1300" s="23"/>
      <c r="D1300" s="101"/>
      <c r="E1300" s="24"/>
      <c r="F1300" s="25"/>
      <c r="G1300" s="26"/>
      <c r="H1300" s="27"/>
      <c r="I1300" s="20"/>
      <c r="J1300" s="21"/>
      <c r="K1300" s="28"/>
      <c r="L1300" s="19"/>
    </row>
    <row r="1301" spans="1:12" ht="13.2">
      <c r="A1301" s="22"/>
      <c r="B1301" s="16"/>
      <c r="C1301" s="23"/>
      <c r="D1301" s="101"/>
      <c r="E1301" s="24"/>
      <c r="F1301" s="25"/>
      <c r="G1301" s="26"/>
      <c r="H1301" s="27"/>
      <c r="I1301" s="20"/>
      <c r="J1301" s="21"/>
      <c r="K1301" s="28"/>
      <c r="L1301" s="19"/>
    </row>
    <row r="1302" spans="1:12" ht="13.2">
      <c r="A1302" s="22"/>
      <c r="B1302" s="16"/>
      <c r="C1302" s="23"/>
      <c r="D1302" s="101"/>
      <c r="E1302" s="24"/>
      <c r="F1302" s="25"/>
      <c r="G1302" s="26"/>
      <c r="H1302" s="27"/>
      <c r="I1302" s="20"/>
      <c r="J1302" s="21"/>
      <c r="K1302" s="28"/>
      <c r="L1302" s="19"/>
    </row>
    <row r="1303" spans="1:12" ht="13.2">
      <c r="A1303" s="22"/>
      <c r="B1303" s="16"/>
      <c r="C1303" s="23"/>
      <c r="D1303" s="101"/>
      <c r="E1303" s="24"/>
      <c r="F1303" s="25"/>
      <c r="G1303" s="26"/>
      <c r="H1303" s="27"/>
      <c r="I1303" s="20"/>
      <c r="J1303" s="21"/>
      <c r="K1303" s="28"/>
      <c r="L1303" s="19"/>
    </row>
    <row r="1304" spans="1:12" ht="13.2">
      <c r="A1304" s="22"/>
      <c r="B1304" s="16"/>
      <c r="C1304" s="23"/>
      <c r="D1304" s="101"/>
      <c r="E1304" s="24"/>
      <c r="F1304" s="25"/>
      <c r="G1304" s="26"/>
      <c r="H1304" s="27"/>
      <c r="I1304" s="20"/>
      <c r="J1304" s="21"/>
      <c r="K1304" s="28"/>
      <c r="L1304" s="19"/>
    </row>
    <row r="1305" spans="1:12" ht="13.2">
      <c r="A1305" s="22"/>
      <c r="B1305" s="16"/>
      <c r="C1305" s="23"/>
      <c r="D1305" s="101"/>
      <c r="E1305" s="24"/>
      <c r="F1305" s="25"/>
      <c r="G1305" s="26"/>
      <c r="H1305" s="27"/>
      <c r="I1305" s="20"/>
      <c r="J1305" s="21"/>
      <c r="K1305" s="28"/>
      <c r="L1305" s="19"/>
    </row>
    <row r="1306" spans="1:12" ht="13.2">
      <c r="A1306" s="22"/>
      <c r="B1306" s="16"/>
      <c r="C1306" s="23"/>
      <c r="D1306" s="101"/>
      <c r="E1306" s="24"/>
      <c r="F1306" s="25"/>
      <c r="G1306" s="26"/>
      <c r="H1306" s="27"/>
      <c r="I1306" s="20"/>
      <c r="J1306" s="21"/>
      <c r="K1306" s="28"/>
      <c r="L1306" s="19"/>
    </row>
    <row r="1307" spans="1:12" ht="13.2">
      <c r="A1307" s="22"/>
      <c r="B1307" s="16"/>
      <c r="C1307" s="23"/>
      <c r="D1307" s="101"/>
      <c r="E1307" s="24"/>
      <c r="F1307" s="25"/>
      <c r="G1307" s="26"/>
      <c r="H1307" s="27"/>
      <c r="I1307" s="20"/>
      <c r="J1307" s="21"/>
      <c r="K1307" s="28"/>
      <c r="L1307" s="19"/>
    </row>
    <row r="1308" spans="1:12" ht="13.2">
      <c r="A1308" s="22"/>
      <c r="B1308" s="16"/>
      <c r="C1308" s="23"/>
      <c r="D1308" s="101"/>
      <c r="E1308" s="24"/>
      <c r="F1308" s="25"/>
      <c r="G1308" s="26"/>
      <c r="H1308" s="27"/>
      <c r="I1308" s="20"/>
      <c r="J1308" s="21"/>
      <c r="K1308" s="28"/>
      <c r="L1308" s="19"/>
    </row>
    <row r="1309" spans="1:12" ht="13.2">
      <c r="A1309" s="22"/>
      <c r="B1309" s="16"/>
      <c r="C1309" s="23"/>
      <c r="D1309" s="101"/>
      <c r="E1309" s="24"/>
      <c r="F1309" s="25"/>
      <c r="G1309" s="26"/>
      <c r="H1309" s="27"/>
      <c r="I1309" s="20"/>
      <c r="J1309" s="21"/>
      <c r="K1309" s="28"/>
      <c r="L1309" s="19"/>
    </row>
    <row r="1310" spans="1:12" ht="13.2">
      <c r="A1310" s="22"/>
      <c r="B1310" s="16"/>
      <c r="C1310" s="23"/>
      <c r="D1310" s="101"/>
      <c r="E1310" s="24"/>
      <c r="F1310" s="25"/>
      <c r="G1310" s="26"/>
      <c r="H1310" s="27"/>
      <c r="I1310" s="20"/>
      <c r="J1310" s="21"/>
      <c r="K1310" s="28"/>
      <c r="L1310" s="19"/>
    </row>
    <row r="1311" spans="1:12" ht="13.2">
      <c r="A1311" s="22"/>
      <c r="B1311" s="16"/>
      <c r="C1311" s="23"/>
      <c r="D1311" s="101"/>
      <c r="E1311" s="24"/>
      <c r="F1311" s="25"/>
      <c r="G1311" s="26"/>
      <c r="H1311" s="27"/>
      <c r="I1311" s="20"/>
      <c r="J1311" s="21"/>
      <c r="K1311" s="28"/>
      <c r="L1311" s="19"/>
    </row>
    <row r="1312" spans="1:12" ht="13.2">
      <c r="A1312" s="22"/>
      <c r="B1312" s="16"/>
      <c r="C1312" s="23"/>
      <c r="D1312" s="101"/>
      <c r="E1312" s="24"/>
      <c r="F1312" s="25"/>
      <c r="G1312" s="26"/>
      <c r="H1312" s="27"/>
      <c r="I1312" s="20"/>
      <c r="J1312" s="21"/>
      <c r="K1312" s="28"/>
      <c r="L1312" s="19"/>
    </row>
    <row r="1313" spans="1:12" ht="13.2">
      <c r="A1313" s="22"/>
      <c r="B1313" s="16"/>
      <c r="C1313" s="23"/>
      <c r="D1313" s="101"/>
      <c r="E1313" s="24"/>
      <c r="F1313" s="25"/>
      <c r="G1313" s="26"/>
      <c r="H1313" s="27"/>
      <c r="I1313" s="20"/>
      <c r="J1313" s="21"/>
      <c r="K1313" s="28"/>
      <c r="L1313" s="19"/>
    </row>
    <row r="1314" spans="1:12" ht="13.2">
      <c r="A1314" s="22"/>
      <c r="B1314" s="16"/>
      <c r="C1314" s="23"/>
      <c r="D1314" s="101"/>
      <c r="E1314" s="24"/>
      <c r="F1314" s="25"/>
      <c r="G1314" s="26"/>
      <c r="H1314" s="27"/>
      <c r="I1314" s="20"/>
      <c r="J1314" s="21"/>
      <c r="K1314" s="28"/>
      <c r="L1314" s="19"/>
    </row>
    <row r="1315" spans="1:12" ht="13.2">
      <c r="A1315" s="22"/>
      <c r="B1315" s="16"/>
      <c r="C1315" s="23"/>
      <c r="D1315" s="101"/>
      <c r="E1315" s="24"/>
      <c r="F1315" s="25"/>
      <c r="G1315" s="26"/>
      <c r="H1315" s="27"/>
      <c r="I1315" s="20"/>
      <c r="J1315" s="21"/>
      <c r="K1315" s="28"/>
      <c r="L1315" s="19"/>
    </row>
    <row r="1316" spans="1:12" ht="13.2">
      <c r="A1316" s="22"/>
      <c r="B1316" s="16"/>
      <c r="C1316" s="23"/>
      <c r="D1316" s="101"/>
      <c r="E1316" s="24"/>
      <c r="F1316" s="25"/>
      <c r="G1316" s="26"/>
      <c r="H1316" s="27"/>
      <c r="I1316" s="20"/>
      <c r="J1316" s="21"/>
      <c r="K1316" s="28"/>
      <c r="L1316" s="19"/>
    </row>
    <row r="1317" spans="1:12" ht="13.2">
      <c r="A1317" s="22"/>
      <c r="B1317" s="16"/>
      <c r="C1317" s="23"/>
      <c r="D1317" s="101"/>
      <c r="E1317" s="24"/>
      <c r="F1317" s="25"/>
      <c r="G1317" s="26"/>
      <c r="H1317" s="27"/>
      <c r="I1317" s="20"/>
      <c r="J1317" s="21"/>
      <c r="K1317" s="28"/>
      <c r="L1317" s="19"/>
    </row>
    <row r="1318" spans="1:12" ht="13.2">
      <c r="A1318" s="22"/>
      <c r="B1318" s="16"/>
      <c r="C1318" s="23"/>
      <c r="D1318" s="101"/>
      <c r="E1318" s="24"/>
      <c r="F1318" s="25"/>
      <c r="G1318" s="26"/>
      <c r="H1318" s="27"/>
      <c r="I1318" s="20"/>
      <c r="J1318" s="21"/>
      <c r="K1318" s="28"/>
      <c r="L1318" s="19"/>
    </row>
    <row r="1319" spans="1:12" ht="13.2">
      <c r="A1319" s="22"/>
      <c r="B1319" s="16"/>
      <c r="C1319" s="23"/>
      <c r="D1319" s="101"/>
      <c r="E1319" s="24"/>
      <c r="F1319" s="25"/>
      <c r="G1319" s="26"/>
      <c r="H1319" s="27"/>
      <c r="I1319" s="20"/>
      <c r="J1319" s="21"/>
      <c r="K1319" s="28"/>
      <c r="L1319" s="19"/>
    </row>
    <row r="1320" spans="1:12" ht="13.2">
      <c r="A1320" s="22"/>
      <c r="B1320" s="16"/>
      <c r="C1320" s="23"/>
      <c r="D1320" s="101"/>
      <c r="E1320" s="24"/>
      <c r="F1320" s="25"/>
      <c r="G1320" s="26"/>
      <c r="H1320" s="27"/>
      <c r="I1320" s="20"/>
      <c r="J1320" s="21"/>
      <c r="K1320" s="28"/>
      <c r="L1320" s="19"/>
    </row>
    <row r="1321" spans="1:12" ht="13.2">
      <c r="A1321" s="22"/>
      <c r="B1321" s="16"/>
      <c r="C1321" s="23"/>
      <c r="D1321" s="101"/>
      <c r="E1321" s="24"/>
      <c r="F1321" s="25"/>
      <c r="G1321" s="26"/>
      <c r="H1321" s="27"/>
      <c r="I1321" s="20"/>
      <c r="J1321" s="21"/>
      <c r="K1321" s="28"/>
      <c r="L1321" s="19"/>
    </row>
    <row r="1322" spans="1:12" ht="13.2">
      <c r="A1322" s="22"/>
      <c r="B1322" s="16"/>
      <c r="C1322" s="23"/>
      <c r="D1322" s="101"/>
      <c r="E1322" s="24"/>
      <c r="F1322" s="25"/>
      <c r="G1322" s="26"/>
      <c r="H1322" s="27"/>
      <c r="I1322" s="20"/>
      <c r="J1322" s="21"/>
      <c r="K1322" s="28"/>
      <c r="L1322" s="19"/>
    </row>
    <row r="1323" spans="1:12" ht="13.2">
      <c r="A1323" s="22"/>
      <c r="B1323" s="16"/>
      <c r="C1323" s="23"/>
      <c r="D1323" s="101"/>
      <c r="E1323" s="24"/>
      <c r="F1323" s="25"/>
      <c r="G1323" s="26"/>
      <c r="H1323" s="27"/>
      <c r="I1323" s="20"/>
      <c r="J1323" s="21"/>
      <c r="K1323" s="28"/>
      <c r="L1323" s="19"/>
    </row>
    <row r="1324" spans="1:12" ht="13.2">
      <c r="A1324" s="22"/>
      <c r="B1324" s="16"/>
      <c r="C1324" s="23"/>
      <c r="D1324" s="101"/>
      <c r="E1324" s="24"/>
      <c r="F1324" s="25"/>
      <c r="G1324" s="26"/>
      <c r="H1324" s="27"/>
      <c r="I1324" s="20"/>
      <c r="J1324" s="21"/>
      <c r="K1324" s="28"/>
      <c r="L1324" s="19"/>
    </row>
    <row r="1325" spans="1:12" ht="13.2">
      <c r="A1325" s="22"/>
      <c r="B1325" s="16"/>
      <c r="C1325" s="23"/>
      <c r="D1325" s="101"/>
      <c r="E1325" s="24"/>
      <c r="F1325" s="25"/>
      <c r="G1325" s="26"/>
      <c r="H1325" s="27"/>
      <c r="I1325" s="20"/>
      <c r="J1325" s="21"/>
      <c r="K1325" s="28"/>
      <c r="L1325" s="19"/>
    </row>
    <row r="1326" spans="1:12" ht="13.2">
      <c r="A1326" s="22"/>
      <c r="B1326" s="16"/>
      <c r="C1326" s="23"/>
      <c r="D1326" s="101"/>
      <c r="E1326" s="24"/>
      <c r="F1326" s="25"/>
      <c r="G1326" s="26"/>
      <c r="H1326" s="27"/>
      <c r="I1326" s="20"/>
      <c r="J1326" s="21"/>
      <c r="K1326" s="28"/>
      <c r="L1326" s="19"/>
    </row>
    <row r="1327" spans="1:12" ht="13.2">
      <c r="A1327" s="22"/>
      <c r="B1327" s="16"/>
      <c r="C1327" s="23"/>
      <c r="D1327" s="101"/>
      <c r="E1327" s="24"/>
      <c r="F1327" s="25"/>
      <c r="G1327" s="26"/>
      <c r="H1327" s="27"/>
      <c r="I1327" s="20"/>
      <c r="J1327" s="21"/>
      <c r="K1327" s="28"/>
      <c r="L1327" s="19"/>
    </row>
    <row r="1328" spans="1:12" ht="13.2">
      <c r="A1328" s="22"/>
      <c r="B1328" s="16"/>
      <c r="C1328" s="23"/>
      <c r="D1328" s="101"/>
      <c r="E1328" s="24"/>
      <c r="F1328" s="25"/>
      <c r="G1328" s="26"/>
      <c r="H1328" s="27"/>
      <c r="I1328" s="20"/>
      <c r="J1328" s="21"/>
      <c r="K1328" s="28"/>
      <c r="L1328" s="19"/>
    </row>
    <row r="1329" spans="1:12" ht="13.2">
      <c r="A1329" s="22"/>
      <c r="B1329" s="16"/>
      <c r="C1329" s="23"/>
      <c r="D1329" s="101"/>
      <c r="E1329" s="24"/>
      <c r="F1329" s="25"/>
      <c r="G1329" s="26"/>
      <c r="H1329" s="27"/>
      <c r="I1329" s="20"/>
      <c r="J1329" s="21"/>
      <c r="K1329" s="28"/>
      <c r="L1329" s="19"/>
    </row>
    <row r="1330" spans="1:12" ht="13.2">
      <c r="A1330" s="22"/>
      <c r="B1330" s="16"/>
      <c r="C1330" s="23"/>
      <c r="D1330" s="101"/>
      <c r="E1330" s="24"/>
      <c r="F1330" s="25"/>
      <c r="G1330" s="26"/>
      <c r="H1330" s="27"/>
      <c r="I1330" s="20"/>
      <c r="J1330" s="21"/>
      <c r="K1330" s="28"/>
      <c r="L1330" s="19"/>
    </row>
    <row r="1331" spans="1:12" ht="13.2">
      <c r="A1331" s="22"/>
      <c r="B1331" s="16"/>
      <c r="C1331" s="23"/>
      <c r="D1331" s="101"/>
      <c r="E1331" s="24"/>
      <c r="F1331" s="25"/>
      <c r="G1331" s="26"/>
      <c r="H1331" s="27"/>
      <c r="I1331" s="20"/>
      <c r="J1331" s="21"/>
      <c r="K1331" s="28"/>
      <c r="L1331" s="19"/>
    </row>
    <row r="1332" spans="1:12" ht="13.2">
      <c r="A1332" s="22"/>
      <c r="B1332" s="16"/>
      <c r="C1332" s="23"/>
      <c r="D1332" s="101"/>
      <c r="E1332" s="24"/>
      <c r="F1332" s="25"/>
      <c r="G1332" s="26"/>
      <c r="H1332" s="27"/>
      <c r="I1332" s="20"/>
      <c r="J1332" s="21"/>
      <c r="K1332" s="28"/>
      <c r="L1332" s="19"/>
    </row>
    <row r="1333" spans="1:12" ht="13.2">
      <c r="A1333" s="22"/>
      <c r="B1333" s="16"/>
      <c r="C1333" s="23"/>
      <c r="D1333" s="101"/>
      <c r="E1333" s="24"/>
      <c r="F1333" s="25"/>
      <c r="G1333" s="26"/>
      <c r="H1333" s="27"/>
      <c r="I1333" s="20"/>
      <c r="J1333" s="21"/>
      <c r="K1333" s="28"/>
      <c r="L1333" s="19"/>
    </row>
    <row r="1334" spans="1:12" ht="13.2">
      <c r="A1334" s="22"/>
      <c r="B1334" s="16"/>
      <c r="C1334" s="23"/>
      <c r="D1334" s="101"/>
      <c r="E1334" s="24"/>
      <c r="F1334" s="25"/>
      <c r="G1334" s="26"/>
      <c r="H1334" s="27"/>
      <c r="I1334" s="20"/>
      <c r="J1334" s="21"/>
      <c r="K1334" s="28"/>
      <c r="L1334" s="19"/>
    </row>
    <row r="1335" spans="1:12" ht="13.2">
      <c r="A1335" s="22"/>
      <c r="B1335" s="16"/>
      <c r="C1335" s="23"/>
      <c r="D1335" s="101"/>
      <c r="E1335" s="24"/>
      <c r="F1335" s="25"/>
      <c r="G1335" s="26"/>
      <c r="H1335" s="27"/>
      <c r="I1335" s="20"/>
      <c r="J1335" s="21"/>
      <c r="K1335" s="28"/>
      <c r="L1335" s="19"/>
    </row>
    <row r="1336" spans="1:12" ht="13.2">
      <c r="A1336" s="22"/>
      <c r="B1336" s="16"/>
      <c r="C1336" s="23"/>
      <c r="D1336" s="101"/>
      <c r="E1336" s="24"/>
      <c r="F1336" s="25"/>
      <c r="G1336" s="26"/>
      <c r="H1336" s="27"/>
      <c r="I1336" s="20"/>
      <c r="J1336" s="21"/>
      <c r="K1336" s="28"/>
      <c r="L1336" s="19"/>
    </row>
    <row r="1337" spans="1:12" ht="13.2">
      <c r="A1337" s="22"/>
      <c r="B1337" s="16"/>
      <c r="C1337" s="23"/>
      <c r="D1337" s="101"/>
      <c r="E1337" s="24"/>
      <c r="F1337" s="25"/>
      <c r="G1337" s="26"/>
      <c r="H1337" s="27"/>
      <c r="I1337" s="20"/>
      <c r="J1337" s="21"/>
      <c r="K1337" s="28"/>
      <c r="L1337" s="19"/>
    </row>
    <row r="1338" spans="1:12" ht="13.2">
      <c r="A1338" s="22"/>
      <c r="B1338" s="16"/>
      <c r="C1338" s="23"/>
      <c r="D1338" s="101"/>
      <c r="E1338" s="24"/>
      <c r="F1338" s="25"/>
      <c r="G1338" s="26"/>
      <c r="H1338" s="27"/>
      <c r="I1338" s="20"/>
      <c r="J1338" s="21"/>
      <c r="K1338" s="28"/>
      <c r="L1338" s="19"/>
    </row>
    <row r="1339" spans="1:12" ht="13.2">
      <c r="A1339" s="22"/>
      <c r="B1339" s="16"/>
      <c r="C1339" s="23"/>
      <c r="D1339" s="101"/>
      <c r="E1339" s="24"/>
      <c r="F1339" s="25"/>
      <c r="G1339" s="26"/>
      <c r="H1339" s="27"/>
      <c r="I1339" s="20"/>
      <c r="J1339" s="21"/>
      <c r="K1339" s="28"/>
      <c r="L1339" s="19"/>
    </row>
    <row r="1340" spans="1:12" ht="13.2">
      <c r="A1340" s="22"/>
      <c r="B1340" s="16"/>
      <c r="C1340" s="23"/>
      <c r="D1340" s="101"/>
      <c r="E1340" s="24"/>
      <c r="F1340" s="25"/>
      <c r="G1340" s="26"/>
      <c r="H1340" s="27"/>
      <c r="I1340" s="20"/>
      <c r="J1340" s="21"/>
      <c r="K1340" s="28"/>
      <c r="L1340" s="19"/>
    </row>
    <row r="1341" spans="1:12" ht="13.2">
      <c r="A1341" s="22"/>
      <c r="B1341" s="16"/>
      <c r="C1341" s="23"/>
      <c r="D1341" s="101"/>
      <c r="E1341" s="24"/>
      <c r="F1341" s="25"/>
      <c r="G1341" s="26"/>
      <c r="H1341" s="27"/>
      <c r="I1341" s="20"/>
      <c r="J1341" s="21"/>
      <c r="K1341" s="28"/>
      <c r="L1341" s="19"/>
    </row>
    <row r="1342" spans="1:12" ht="13.2">
      <c r="A1342" s="22"/>
      <c r="B1342" s="16"/>
      <c r="C1342" s="23"/>
      <c r="D1342" s="101"/>
      <c r="E1342" s="24"/>
      <c r="F1342" s="25"/>
      <c r="G1342" s="26"/>
      <c r="H1342" s="27"/>
      <c r="I1342" s="20"/>
      <c r="J1342" s="21"/>
      <c r="K1342" s="28"/>
      <c r="L1342" s="19"/>
    </row>
    <row r="1343" spans="1:12" ht="13.2">
      <c r="A1343" s="22"/>
      <c r="B1343" s="16"/>
      <c r="C1343" s="23"/>
      <c r="D1343" s="101"/>
      <c r="E1343" s="24"/>
      <c r="F1343" s="25"/>
      <c r="G1343" s="26"/>
      <c r="H1343" s="27"/>
      <c r="I1343" s="20"/>
      <c r="J1343" s="21"/>
      <c r="K1343" s="28"/>
      <c r="L1343" s="19"/>
    </row>
    <row r="1344" spans="1:12" ht="13.2">
      <c r="A1344" s="22"/>
      <c r="B1344" s="16"/>
      <c r="C1344" s="23"/>
      <c r="D1344" s="101"/>
      <c r="E1344" s="24"/>
      <c r="F1344" s="25"/>
      <c r="G1344" s="26"/>
      <c r="H1344" s="27"/>
      <c r="I1344" s="20"/>
      <c r="J1344" s="21"/>
      <c r="K1344" s="28"/>
      <c r="L1344" s="19"/>
    </row>
    <row r="1345" spans="1:12" ht="13.2">
      <c r="A1345" s="22"/>
      <c r="B1345" s="16"/>
      <c r="C1345" s="23"/>
      <c r="D1345" s="101"/>
      <c r="E1345" s="24"/>
      <c r="F1345" s="25"/>
      <c r="G1345" s="26"/>
      <c r="H1345" s="27"/>
      <c r="I1345" s="20"/>
      <c r="J1345" s="21"/>
      <c r="K1345" s="28"/>
      <c r="L1345" s="19"/>
    </row>
    <row r="1346" spans="1:12" ht="13.2">
      <c r="A1346" s="22"/>
      <c r="B1346" s="16"/>
      <c r="C1346" s="23"/>
      <c r="D1346" s="101"/>
      <c r="E1346" s="24"/>
      <c r="F1346" s="25"/>
      <c r="G1346" s="26"/>
      <c r="H1346" s="27"/>
      <c r="I1346" s="20"/>
      <c r="J1346" s="21"/>
      <c r="K1346" s="28"/>
      <c r="L1346" s="19"/>
    </row>
    <row r="1347" spans="1:12" ht="13.2">
      <c r="A1347" s="22"/>
      <c r="B1347" s="16"/>
      <c r="C1347" s="23"/>
      <c r="D1347" s="101"/>
      <c r="E1347" s="24"/>
      <c r="F1347" s="25"/>
      <c r="G1347" s="26"/>
      <c r="H1347" s="27"/>
      <c r="I1347" s="20"/>
      <c r="J1347" s="21"/>
      <c r="K1347" s="28"/>
      <c r="L1347" s="19"/>
    </row>
    <row r="1348" spans="1:12" ht="13.2">
      <c r="A1348" s="22"/>
      <c r="B1348" s="16"/>
      <c r="C1348" s="23"/>
      <c r="D1348" s="101"/>
      <c r="E1348" s="24"/>
      <c r="F1348" s="25"/>
      <c r="G1348" s="26"/>
      <c r="H1348" s="27"/>
      <c r="I1348" s="20"/>
      <c r="J1348" s="21"/>
      <c r="K1348" s="28"/>
      <c r="L1348" s="19"/>
    </row>
    <row r="1349" spans="1:12" ht="13.2">
      <c r="A1349" s="22"/>
      <c r="B1349" s="16"/>
      <c r="C1349" s="23"/>
      <c r="D1349" s="101"/>
      <c r="E1349" s="24"/>
      <c r="F1349" s="25"/>
      <c r="G1349" s="26"/>
      <c r="H1349" s="27"/>
      <c r="I1349" s="20"/>
      <c r="J1349" s="21"/>
      <c r="K1349" s="28"/>
      <c r="L1349" s="19"/>
    </row>
    <row r="1350" spans="1:12" ht="13.2">
      <c r="A1350" s="22"/>
      <c r="B1350" s="16"/>
      <c r="C1350" s="23"/>
      <c r="D1350" s="101"/>
      <c r="E1350" s="24"/>
      <c r="F1350" s="25"/>
      <c r="G1350" s="26"/>
      <c r="H1350" s="27"/>
      <c r="I1350" s="20"/>
      <c r="J1350" s="21"/>
      <c r="K1350" s="28"/>
      <c r="L1350" s="19"/>
    </row>
    <row r="1351" spans="1:12" ht="13.2">
      <c r="A1351" s="22"/>
      <c r="B1351" s="16"/>
      <c r="C1351" s="23"/>
      <c r="D1351" s="101"/>
      <c r="E1351" s="24"/>
      <c r="F1351" s="25"/>
      <c r="G1351" s="26"/>
      <c r="H1351" s="27"/>
      <c r="I1351" s="20"/>
      <c r="J1351" s="21"/>
      <c r="K1351" s="28"/>
      <c r="L1351" s="19"/>
    </row>
    <row r="1352" spans="1:12" ht="13.2">
      <c r="A1352" s="22"/>
      <c r="B1352" s="16"/>
      <c r="C1352" s="23"/>
      <c r="D1352" s="101"/>
      <c r="E1352" s="24"/>
      <c r="F1352" s="25"/>
      <c r="G1352" s="26"/>
      <c r="H1352" s="27"/>
      <c r="I1352" s="20"/>
      <c r="J1352" s="21"/>
      <c r="K1352" s="28"/>
      <c r="L1352" s="19"/>
    </row>
    <row r="1353" spans="1:12" ht="13.2">
      <c r="A1353" s="22"/>
      <c r="B1353" s="16"/>
      <c r="C1353" s="23"/>
      <c r="D1353" s="101"/>
      <c r="E1353" s="24"/>
      <c r="F1353" s="25"/>
      <c r="G1353" s="26"/>
      <c r="H1353" s="27"/>
      <c r="I1353" s="20"/>
      <c r="J1353" s="21"/>
      <c r="K1353" s="28"/>
      <c r="L1353" s="19"/>
    </row>
    <row r="1354" spans="1:12" ht="13.2">
      <c r="A1354" s="22"/>
      <c r="B1354" s="16"/>
      <c r="C1354" s="23"/>
      <c r="D1354" s="101"/>
      <c r="E1354" s="24"/>
      <c r="F1354" s="25"/>
      <c r="G1354" s="26"/>
      <c r="H1354" s="27"/>
      <c r="I1354" s="20"/>
      <c r="J1354" s="21"/>
      <c r="K1354" s="28"/>
      <c r="L1354" s="19"/>
    </row>
    <row r="1355" spans="1:12" ht="13.2">
      <c r="A1355" s="22"/>
      <c r="B1355" s="16"/>
      <c r="C1355" s="23"/>
      <c r="D1355" s="101"/>
      <c r="E1355" s="24"/>
      <c r="F1355" s="25"/>
      <c r="G1355" s="26"/>
      <c r="H1355" s="27"/>
      <c r="I1355" s="20"/>
      <c r="J1355" s="21"/>
      <c r="K1355" s="28"/>
      <c r="L1355" s="19"/>
    </row>
    <row r="1356" spans="1:12" ht="13.2">
      <c r="A1356" s="22"/>
      <c r="B1356" s="16"/>
      <c r="C1356" s="23"/>
      <c r="D1356" s="101"/>
      <c r="E1356" s="24"/>
      <c r="F1356" s="25"/>
      <c r="G1356" s="26"/>
      <c r="H1356" s="27"/>
      <c r="I1356" s="20"/>
      <c r="J1356" s="21"/>
      <c r="K1356" s="28"/>
      <c r="L1356" s="19"/>
    </row>
    <row r="1357" spans="1:12" ht="13.2">
      <c r="A1357" s="22"/>
      <c r="B1357" s="16"/>
      <c r="C1357" s="23"/>
      <c r="D1357" s="101"/>
      <c r="E1357" s="24"/>
      <c r="F1357" s="25"/>
      <c r="G1357" s="26"/>
      <c r="H1357" s="27"/>
      <c r="I1357" s="20"/>
      <c r="J1357" s="21"/>
      <c r="K1357" s="28"/>
      <c r="L1357" s="19"/>
    </row>
    <row r="1358" spans="1:12" ht="13.2">
      <c r="A1358" s="22"/>
      <c r="B1358" s="16"/>
      <c r="C1358" s="23"/>
      <c r="D1358" s="101"/>
      <c r="E1358" s="24"/>
      <c r="F1358" s="25"/>
      <c r="G1358" s="26"/>
      <c r="H1358" s="27"/>
      <c r="I1358" s="20"/>
      <c r="J1358" s="21"/>
      <c r="K1358" s="28"/>
      <c r="L1358" s="19"/>
    </row>
    <row r="1359" spans="1:12" ht="13.2">
      <c r="A1359" s="22"/>
      <c r="B1359" s="16"/>
      <c r="C1359" s="23"/>
      <c r="D1359" s="101"/>
      <c r="E1359" s="24"/>
      <c r="F1359" s="25"/>
      <c r="G1359" s="26"/>
      <c r="H1359" s="27"/>
      <c r="I1359" s="20"/>
      <c r="J1359" s="21"/>
      <c r="K1359" s="28"/>
      <c r="L1359" s="19"/>
    </row>
    <row r="1360" spans="1:12" ht="13.2">
      <c r="A1360" s="22"/>
      <c r="B1360" s="16"/>
      <c r="C1360" s="23"/>
      <c r="D1360" s="101"/>
      <c r="E1360" s="24"/>
      <c r="F1360" s="25"/>
      <c r="G1360" s="26"/>
      <c r="H1360" s="27"/>
      <c r="I1360" s="20"/>
      <c r="J1360" s="21"/>
      <c r="K1360" s="28"/>
      <c r="L1360" s="19"/>
    </row>
    <row r="1361" spans="1:12" ht="13.2">
      <c r="A1361" s="22"/>
      <c r="B1361" s="16"/>
      <c r="C1361" s="23"/>
      <c r="D1361" s="101"/>
      <c r="E1361" s="24"/>
      <c r="F1361" s="25"/>
      <c r="G1361" s="26"/>
      <c r="H1361" s="27"/>
      <c r="I1361" s="20"/>
      <c r="J1361" s="21"/>
      <c r="K1361" s="28"/>
      <c r="L1361" s="19"/>
    </row>
    <row r="1362" spans="1:12" ht="13.2">
      <c r="A1362" s="22"/>
      <c r="B1362" s="16"/>
      <c r="C1362" s="23"/>
      <c r="D1362" s="101"/>
      <c r="E1362" s="24"/>
      <c r="F1362" s="25"/>
      <c r="G1362" s="26"/>
      <c r="H1362" s="27"/>
      <c r="I1362" s="20"/>
      <c r="J1362" s="21"/>
      <c r="K1362" s="28"/>
      <c r="L1362" s="19"/>
    </row>
    <row r="1363" spans="1:12" ht="13.2">
      <c r="A1363" s="22"/>
      <c r="B1363" s="16"/>
      <c r="C1363" s="23"/>
      <c r="D1363" s="101"/>
      <c r="E1363" s="24"/>
      <c r="F1363" s="25"/>
      <c r="G1363" s="26"/>
      <c r="H1363" s="27"/>
      <c r="I1363" s="20"/>
      <c r="J1363" s="21"/>
      <c r="K1363" s="28"/>
      <c r="L1363" s="19"/>
    </row>
    <row r="1364" spans="1:12" ht="13.2">
      <c r="A1364" s="22"/>
      <c r="B1364" s="16"/>
      <c r="C1364" s="23"/>
      <c r="D1364" s="101"/>
      <c r="E1364" s="24"/>
      <c r="F1364" s="25"/>
      <c r="G1364" s="26"/>
      <c r="H1364" s="27"/>
      <c r="I1364" s="20"/>
      <c r="J1364" s="21"/>
      <c r="K1364" s="28"/>
      <c r="L1364" s="19"/>
    </row>
    <row r="1365" spans="1:12" ht="13.2">
      <c r="A1365" s="22"/>
      <c r="B1365" s="16"/>
      <c r="C1365" s="23"/>
      <c r="D1365" s="101"/>
      <c r="E1365" s="24"/>
      <c r="F1365" s="25"/>
      <c r="G1365" s="26"/>
      <c r="H1365" s="27"/>
      <c r="I1365" s="20"/>
      <c r="J1365" s="21"/>
      <c r="K1365" s="28"/>
      <c r="L1365" s="19"/>
    </row>
    <row r="1366" spans="1:12" ht="13.2">
      <c r="A1366" s="22"/>
      <c r="B1366" s="16"/>
      <c r="C1366" s="23"/>
      <c r="D1366" s="101"/>
      <c r="E1366" s="24"/>
      <c r="F1366" s="25"/>
      <c r="G1366" s="26"/>
      <c r="H1366" s="27"/>
      <c r="I1366" s="20"/>
      <c r="J1366" s="21"/>
      <c r="K1366" s="28"/>
      <c r="L1366" s="19"/>
    </row>
    <row r="1367" spans="1:12" ht="13.2">
      <c r="A1367" s="22"/>
      <c r="B1367" s="16"/>
      <c r="C1367" s="23"/>
      <c r="D1367" s="101"/>
      <c r="E1367" s="24"/>
      <c r="F1367" s="25"/>
      <c r="G1367" s="26"/>
      <c r="H1367" s="27"/>
      <c r="I1367" s="20"/>
      <c r="J1367" s="21"/>
      <c r="K1367" s="28"/>
      <c r="L1367" s="19"/>
    </row>
    <row r="1368" spans="1:12" ht="13.2">
      <c r="A1368" s="22"/>
      <c r="B1368" s="16"/>
      <c r="C1368" s="23"/>
      <c r="D1368" s="101"/>
      <c r="E1368" s="24"/>
      <c r="F1368" s="25"/>
      <c r="G1368" s="26"/>
      <c r="H1368" s="27"/>
      <c r="I1368" s="20"/>
      <c r="J1368" s="21"/>
      <c r="K1368" s="28"/>
      <c r="L1368" s="19"/>
    </row>
    <row r="1369" spans="1:12" ht="13.2">
      <c r="A1369" s="22"/>
      <c r="B1369" s="16"/>
      <c r="C1369" s="23"/>
      <c r="D1369" s="101"/>
      <c r="E1369" s="24"/>
      <c r="F1369" s="25"/>
      <c r="G1369" s="26"/>
      <c r="H1369" s="27"/>
      <c r="I1369" s="20"/>
      <c r="J1369" s="21"/>
      <c r="K1369" s="28"/>
      <c r="L1369" s="19"/>
    </row>
    <row r="1370" spans="1:12" ht="13.2">
      <c r="A1370" s="22"/>
      <c r="B1370" s="16"/>
      <c r="C1370" s="23"/>
      <c r="D1370" s="101"/>
      <c r="E1370" s="24"/>
      <c r="F1370" s="25"/>
      <c r="G1370" s="26"/>
      <c r="H1370" s="27"/>
      <c r="I1370" s="20"/>
      <c r="J1370" s="21"/>
      <c r="K1370" s="28"/>
      <c r="L1370" s="19"/>
    </row>
    <row r="1371" spans="1:12" ht="13.2">
      <c r="A1371" s="22"/>
      <c r="B1371" s="16"/>
      <c r="C1371" s="23"/>
      <c r="D1371" s="101"/>
      <c r="E1371" s="24"/>
      <c r="F1371" s="25"/>
      <c r="G1371" s="26"/>
      <c r="H1371" s="27"/>
      <c r="I1371" s="20"/>
      <c r="J1371" s="21"/>
      <c r="K1371" s="28"/>
      <c r="L1371" s="19"/>
    </row>
    <row r="1372" spans="1:12" ht="13.2">
      <c r="A1372" s="22"/>
      <c r="B1372" s="16"/>
      <c r="C1372" s="23"/>
      <c r="D1372" s="101"/>
      <c r="E1372" s="24"/>
      <c r="F1372" s="25"/>
      <c r="G1372" s="26"/>
      <c r="H1372" s="27"/>
      <c r="I1372" s="20"/>
      <c r="J1372" s="21"/>
      <c r="K1372" s="28"/>
      <c r="L1372" s="19"/>
    </row>
    <row r="1373" spans="1:12" ht="13.2">
      <c r="A1373" s="22"/>
      <c r="B1373" s="16"/>
      <c r="C1373" s="23"/>
      <c r="D1373" s="101"/>
      <c r="E1373" s="24"/>
      <c r="F1373" s="25"/>
      <c r="G1373" s="26"/>
      <c r="H1373" s="27"/>
      <c r="I1373" s="20"/>
      <c r="J1373" s="21"/>
      <c r="K1373" s="28"/>
      <c r="L1373" s="19"/>
    </row>
    <row r="1374" spans="1:12" ht="13.2">
      <c r="A1374" s="22"/>
      <c r="B1374" s="16"/>
      <c r="C1374" s="23"/>
      <c r="D1374" s="101"/>
      <c r="E1374" s="24"/>
      <c r="F1374" s="25"/>
      <c r="G1374" s="26"/>
      <c r="H1374" s="27"/>
      <c r="I1374" s="20"/>
      <c r="J1374" s="21"/>
      <c r="K1374" s="28"/>
      <c r="L1374" s="19"/>
    </row>
    <row r="1375" spans="1:12" ht="13.2">
      <c r="A1375" s="22"/>
      <c r="B1375" s="16"/>
      <c r="C1375" s="23"/>
      <c r="D1375" s="101"/>
      <c r="E1375" s="24"/>
      <c r="F1375" s="25"/>
      <c r="G1375" s="26"/>
      <c r="H1375" s="27"/>
      <c r="I1375" s="20"/>
      <c r="J1375" s="21"/>
      <c r="K1375" s="28"/>
      <c r="L1375" s="19"/>
    </row>
    <row r="1376" spans="1:12" ht="13.2">
      <c r="A1376" s="22"/>
      <c r="B1376" s="16"/>
      <c r="C1376" s="23"/>
      <c r="D1376" s="101"/>
      <c r="E1376" s="24"/>
      <c r="F1376" s="25"/>
      <c r="G1376" s="26"/>
      <c r="H1376" s="27"/>
      <c r="I1376" s="20"/>
      <c r="J1376" s="21"/>
      <c r="K1376" s="28"/>
      <c r="L1376" s="19"/>
    </row>
    <row r="1377" spans="1:12" ht="13.2">
      <c r="A1377" s="22"/>
      <c r="B1377" s="16"/>
      <c r="C1377" s="23"/>
      <c r="D1377" s="101"/>
      <c r="E1377" s="24"/>
      <c r="F1377" s="25"/>
      <c r="G1377" s="26"/>
      <c r="H1377" s="27"/>
      <c r="I1377" s="20"/>
      <c r="J1377" s="21"/>
      <c r="K1377" s="28"/>
      <c r="L1377" s="19"/>
    </row>
    <row r="1378" spans="1:12" ht="13.2">
      <c r="A1378" s="22"/>
      <c r="B1378" s="16"/>
      <c r="C1378" s="23"/>
      <c r="D1378" s="101"/>
      <c r="E1378" s="24"/>
      <c r="F1378" s="25"/>
      <c r="G1378" s="26"/>
      <c r="H1378" s="27"/>
      <c r="I1378" s="20"/>
      <c r="J1378" s="21"/>
      <c r="K1378" s="28"/>
      <c r="L1378" s="19"/>
    </row>
    <row r="1379" spans="1:12" ht="13.2">
      <c r="A1379" s="22"/>
      <c r="B1379" s="16"/>
      <c r="C1379" s="23"/>
      <c r="D1379" s="101"/>
      <c r="E1379" s="24"/>
      <c r="F1379" s="25"/>
      <c r="G1379" s="26"/>
      <c r="H1379" s="27"/>
      <c r="I1379" s="20"/>
      <c r="J1379" s="21"/>
      <c r="K1379" s="28"/>
      <c r="L1379" s="19"/>
    </row>
    <row r="1380" spans="1:12" ht="13.2">
      <c r="A1380" s="22"/>
      <c r="B1380" s="16"/>
      <c r="C1380" s="23"/>
      <c r="D1380" s="101"/>
      <c r="E1380" s="24"/>
      <c r="F1380" s="25"/>
      <c r="G1380" s="26"/>
      <c r="H1380" s="27"/>
      <c r="I1380" s="20"/>
      <c r="J1380" s="21"/>
      <c r="K1380" s="28"/>
      <c r="L1380" s="19"/>
    </row>
    <row r="1381" spans="1:12" ht="13.2">
      <c r="A1381" s="22"/>
      <c r="B1381" s="16"/>
      <c r="C1381" s="23"/>
      <c r="D1381" s="101"/>
      <c r="E1381" s="24"/>
      <c r="F1381" s="25"/>
      <c r="G1381" s="26"/>
      <c r="H1381" s="27"/>
      <c r="I1381" s="20"/>
      <c r="J1381" s="21"/>
      <c r="K1381" s="28"/>
      <c r="L1381" s="19"/>
    </row>
    <row r="1382" spans="1:12" ht="13.2">
      <c r="A1382" s="22"/>
      <c r="B1382" s="16"/>
      <c r="C1382" s="23"/>
      <c r="D1382" s="101"/>
      <c r="E1382" s="24"/>
      <c r="F1382" s="25"/>
      <c r="G1382" s="26"/>
      <c r="H1382" s="27"/>
      <c r="I1382" s="20"/>
      <c r="J1382" s="21"/>
      <c r="K1382" s="28"/>
      <c r="L1382" s="19"/>
    </row>
    <row r="1383" spans="1:12" ht="13.2">
      <c r="A1383" s="22"/>
      <c r="B1383" s="16"/>
      <c r="C1383" s="23"/>
      <c r="D1383" s="101"/>
      <c r="E1383" s="24"/>
      <c r="F1383" s="25"/>
      <c r="G1383" s="26"/>
      <c r="H1383" s="27"/>
      <c r="I1383" s="20"/>
      <c r="J1383" s="21"/>
      <c r="K1383" s="28"/>
      <c r="L1383" s="19"/>
    </row>
    <row r="1384" spans="1:12" ht="13.2">
      <c r="A1384" s="22"/>
      <c r="B1384" s="16"/>
      <c r="C1384" s="23"/>
      <c r="D1384" s="101"/>
      <c r="E1384" s="24"/>
      <c r="F1384" s="25"/>
      <c r="G1384" s="26"/>
      <c r="H1384" s="27"/>
      <c r="I1384" s="20"/>
      <c r="J1384" s="21"/>
      <c r="K1384" s="28"/>
      <c r="L1384" s="19"/>
    </row>
    <row r="1385" spans="1:12" ht="13.2">
      <c r="A1385" s="22"/>
      <c r="B1385" s="16"/>
      <c r="C1385" s="23"/>
      <c r="D1385" s="101"/>
      <c r="E1385" s="24"/>
      <c r="F1385" s="25"/>
      <c r="G1385" s="26"/>
      <c r="H1385" s="27"/>
      <c r="I1385" s="20"/>
      <c r="J1385" s="21"/>
      <c r="K1385" s="28"/>
      <c r="L1385" s="19"/>
    </row>
    <row r="1386" spans="1:12" ht="13.2">
      <c r="A1386" s="22"/>
      <c r="B1386" s="16"/>
      <c r="C1386" s="23"/>
      <c r="D1386" s="101"/>
      <c r="E1386" s="24"/>
      <c r="F1386" s="25"/>
      <c r="G1386" s="26"/>
      <c r="H1386" s="27"/>
      <c r="I1386" s="20"/>
      <c r="J1386" s="21"/>
      <c r="K1386" s="28"/>
      <c r="L1386" s="19"/>
    </row>
    <row r="1387" spans="1:12" ht="13.2">
      <c r="A1387" s="22"/>
      <c r="B1387" s="16"/>
      <c r="C1387" s="23"/>
      <c r="D1387" s="101"/>
      <c r="E1387" s="24"/>
      <c r="F1387" s="25"/>
      <c r="G1387" s="26"/>
      <c r="H1387" s="27"/>
      <c r="I1387" s="20"/>
      <c r="J1387" s="21"/>
      <c r="K1387" s="28"/>
      <c r="L1387" s="19"/>
    </row>
    <row r="1388" spans="1:12" ht="13.2">
      <c r="A1388" s="22"/>
      <c r="B1388" s="16"/>
      <c r="C1388" s="23"/>
      <c r="D1388" s="101"/>
      <c r="E1388" s="24"/>
      <c r="F1388" s="25"/>
      <c r="G1388" s="26"/>
      <c r="H1388" s="27"/>
      <c r="I1388" s="20"/>
      <c r="J1388" s="21"/>
      <c r="K1388" s="28"/>
      <c r="L1388" s="19"/>
    </row>
    <row r="1389" spans="1:12" ht="13.2">
      <c r="A1389" s="22"/>
      <c r="B1389" s="16"/>
      <c r="C1389" s="23"/>
      <c r="D1389" s="101"/>
      <c r="E1389" s="24"/>
      <c r="F1389" s="25"/>
      <c r="G1389" s="26"/>
      <c r="H1389" s="27"/>
      <c r="I1389" s="20"/>
      <c r="J1389" s="21"/>
      <c r="K1389" s="28"/>
      <c r="L1389" s="19"/>
    </row>
    <row r="1390" spans="1:12" ht="13.2">
      <c r="A1390" s="22"/>
      <c r="B1390" s="16"/>
      <c r="C1390" s="23"/>
      <c r="D1390" s="101"/>
      <c r="E1390" s="24"/>
      <c r="F1390" s="25"/>
      <c r="G1390" s="26"/>
      <c r="H1390" s="27"/>
      <c r="I1390" s="20"/>
      <c r="J1390" s="21"/>
      <c r="K1390" s="28"/>
      <c r="L1390" s="19"/>
    </row>
    <row r="1391" spans="1:12" ht="13.2">
      <c r="A1391" s="22"/>
      <c r="B1391" s="16"/>
      <c r="C1391" s="23"/>
      <c r="D1391" s="101"/>
      <c r="E1391" s="24"/>
      <c r="F1391" s="25"/>
      <c r="G1391" s="26"/>
      <c r="H1391" s="27"/>
      <c r="I1391" s="20"/>
      <c r="J1391" s="21"/>
      <c r="K1391" s="28"/>
      <c r="L1391" s="19"/>
    </row>
    <row r="1392" spans="1:12" ht="13.2">
      <c r="A1392" s="22"/>
      <c r="B1392" s="16"/>
      <c r="C1392" s="23"/>
      <c r="D1392" s="101"/>
      <c r="E1392" s="24"/>
      <c r="F1392" s="25"/>
      <c r="G1392" s="26"/>
      <c r="H1392" s="27"/>
      <c r="I1392" s="20"/>
      <c r="J1392" s="21"/>
      <c r="K1392" s="28"/>
      <c r="L1392" s="19"/>
    </row>
    <row r="1393" spans="1:12" ht="13.2">
      <c r="A1393" s="22"/>
      <c r="B1393" s="16"/>
      <c r="C1393" s="23"/>
      <c r="D1393" s="101"/>
      <c r="E1393" s="24"/>
      <c r="F1393" s="25"/>
      <c r="G1393" s="26"/>
      <c r="H1393" s="27"/>
      <c r="I1393" s="20"/>
      <c r="J1393" s="21"/>
      <c r="K1393" s="28"/>
      <c r="L1393" s="19"/>
    </row>
    <row r="1394" spans="1:12" ht="13.2">
      <c r="A1394" s="22"/>
      <c r="B1394" s="16"/>
      <c r="C1394" s="23"/>
      <c r="D1394" s="101"/>
      <c r="E1394" s="24"/>
      <c r="F1394" s="25"/>
      <c r="G1394" s="26"/>
      <c r="H1394" s="27"/>
      <c r="I1394" s="20"/>
      <c r="J1394" s="21"/>
      <c r="K1394" s="28"/>
      <c r="L1394" s="19"/>
    </row>
    <row r="1395" spans="1:12" ht="13.2">
      <c r="A1395" s="22"/>
      <c r="B1395" s="16"/>
      <c r="C1395" s="23"/>
      <c r="D1395" s="101"/>
      <c r="E1395" s="24"/>
      <c r="F1395" s="25"/>
      <c r="G1395" s="26"/>
      <c r="H1395" s="27"/>
      <c r="I1395" s="20"/>
      <c r="J1395" s="21"/>
      <c r="K1395" s="28"/>
      <c r="L1395" s="19"/>
    </row>
    <row r="1396" spans="1:12" ht="13.2">
      <c r="A1396" s="22"/>
      <c r="B1396" s="16"/>
      <c r="C1396" s="23"/>
      <c r="D1396" s="101"/>
      <c r="E1396" s="24"/>
      <c r="F1396" s="25"/>
      <c r="G1396" s="26"/>
      <c r="H1396" s="27"/>
      <c r="I1396" s="20"/>
      <c r="J1396" s="21"/>
      <c r="K1396" s="28"/>
      <c r="L1396" s="19"/>
    </row>
    <row r="1397" spans="1:12" ht="13.2">
      <c r="A1397" s="22"/>
      <c r="B1397" s="16"/>
      <c r="C1397" s="23"/>
      <c r="D1397" s="101"/>
      <c r="E1397" s="24"/>
      <c r="F1397" s="25"/>
      <c r="G1397" s="26"/>
      <c r="H1397" s="27"/>
      <c r="I1397" s="20"/>
      <c r="J1397" s="21"/>
      <c r="K1397" s="28"/>
      <c r="L1397" s="19"/>
    </row>
    <row r="1398" spans="1:12" ht="13.2">
      <c r="A1398" s="22"/>
      <c r="B1398" s="16"/>
      <c r="C1398" s="23"/>
      <c r="D1398" s="101"/>
      <c r="E1398" s="24"/>
      <c r="F1398" s="25"/>
      <c r="G1398" s="26"/>
      <c r="H1398" s="27"/>
      <c r="I1398" s="20"/>
      <c r="J1398" s="21"/>
      <c r="K1398" s="28"/>
      <c r="L1398" s="19"/>
    </row>
    <row r="1399" spans="1:12" ht="13.2">
      <c r="A1399" s="22"/>
      <c r="B1399" s="16"/>
      <c r="C1399" s="23"/>
      <c r="D1399" s="101"/>
      <c r="E1399" s="24"/>
      <c r="F1399" s="25"/>
      <c r="G1399" s="26"/>
      <c r="H1399" s="27"/>
      <c r="I1399" s="20"/>
      <c r="J1399" s="21"/>
      <c r="K1399" s="28"/>
      <c r="L1399" s="19"/>
    </row>
    <row r="1400" spans="1:12" ht="13.2">
      <c r="A1400" s="22"/>
      <c r="B1400" s="16"/>
      <c r="C1400" s="23"/>
      <c r="D1400" s="101"/>
      <c r="E1400" s="24"/>
      <c r="F1400" s="25"/>
      <c r="G1400" s="26"/>
      <c r="H1400" s="27"/>
      <c r="I1400" s="20"/>
      <c r="J1400" s="21"/>
      <c r="K1400" s="28"/>
      <c r="L1400" s="19"/>
    </row>
    <row r="1401" spans="1:12" ht="13.2">
      <c r="A1401" s="22"/>
      <c r="B1401" s="16"/>
      <c r="C1401" s="23"/>
      <c r="D1401" s="101"/>
      <c r="E1401" s="24"/>
      <c r="F1401" s="25"/>
      <c r="G1401" s="26"/>
      <c r="H1401" s="27"/>
      <c r="I1401" s="20"/>
      <c r="J1401" s="21"/>
      <c r="K1401" s="28"/>
      <c r="L1401" s="19"/>
    </row>
    <row r="1402" spans="1:12" ht="13.2">
      <c r="A1402" s="22"/>
      <c r="B1402" s="16"/>
      <c r="C1402" s="23"/>
      <c r="D1402" s="101"/>
      <c r="E1402" s="24"/>
      <c r="F1402" s="25"/>
      <c r="G1402" s="26"/>
      <c r="H1402" s="27"/>
      <c r="I1402" s="20"/>
      <c r="J1402" s="21"/>
      <c r="K1402" s="28"/>
      <c r="L1402" s="19"/>
    </row>
    <row r="1403" spans="1:12" ht="13.2">
      <c r="A1403" s="22"/>
      <c r="B1403" s="16"/>
      <c r="C1403" s="23"/>
      <c r="D1403" s="101"/>
      <c r="E1403" s="24"/>
      <c r="F1403" s="25"/>
      <c r="G1403" s="26"/>
      <c r="H1403" s="27"/>
      <c r="I1403" s="20"/>
      <c r="J1403" s="21"/>
      <c r="K1403" s="28"/>
      <c r="L1403" s="19"/>
    </row>
    <row r="1404" spans="1:12" ht="13.2">
      <c r="A1404" s="22"/>
      <c r="B1404" s="16"/>
      <c r="C1404" s="23"/>
      <c r="D1404" s="101"/>
      <c r="E1404" s="24"/>
      <c r="F1404" s="25"/>
      <c r="G1404" s="26"/>
      <c r="H1404" s="27"/>
      <c r="I1404" s="20"/>
      <c r="J1404" s="21"/>
      <c r="K1404" s="28"/>
      <c r="L1404" s="19"/>
    </row>
    <row r="1405" spans="1:12" ht="13.2">
      <c r="A1405" s="22"/>
      <c r="B1405" s="16"/>
      <c r="C1405" s="23"/>
      <c r="D1405" s="101"/>
      <c r="E1405" s="24"/>
      <c r="F1405" s="25"/>
      <c r="G1405" s="26"/>
      <c r="H1405" s="27"/>
      <c r="I1405" s="20"/>
      <c r="J1405" s="21"/>
      <c r="K1405" s="28"/>
      <c r="L1405" s="19"/>
    </row>
    <row r="1406" spans="1:12" ht="13.2">
      <c r="A1406" s="22"/>
      <c r="B1406" s="16"/>
      <c r="C1406" s="23"/>
      <c r="D1406" s="101"/>
      <c r="E1406" s="24"/>
      <c r="F1406" s="25"/>
      <c r="G1406" s="26"/>
      <c r="H1406" s="27"/>
      <c r="I1406" s="20"/>
      <c r="J1406" s="21"/>
      <c r="K1406" s="28"/>
      <c r="L1406" s="19"/>
    </row>
    <row r="1407" spans="1:12" ht="13.2">
      <c r="A1407" s="22"/>
      <c r="B1407" s="16"/>
      <c r="C1407" s="23"/>
      <c r="D1407" s="101"/>
      <c r="E1407" s="24"/>
      <c r="F1407" s="25"/>
      <c r="G1407" s="26"/>
      <c r="H1407" s="27"/>
      <c r="I1407" s="20"/>
      <c r="J1407" s="21"/>
      <c r="K1407" s="28"/>
      <c r="L1407" s="19"/>
    </row>
    <row r="1408" spans="1:12" ht="13.2">
      <c r="A1408" s="22"/>
      <c r="B1408" s="16"/>
      <c r="C1408" s="23"/>
      <c r="D1408" s="101"/>
      <c r="E1408" s="24"/>
      <c r="F1408" s="25"/>
      <c r="G1408" s="26"/>
      <c r="H1408" s="27"/>
      <c r="I1408" s="20"/>
      <c r="J1408" s="21"/>
      <c r="K1408" s="28"/>
      <c r="L1408" s="19"/>
    </row>
    <row r="1409" spans="1:12" ht="13.2">
      <c r="A1409" s="22"/>
      <c r="B1409" s="16"/>
      <c r="C1409" s="23"/>
      <c r="D1409" s="101"/>
      <c r="E1409" s="24"/>
      <c r="F1409" s="25"/>
      <c r="G1409" s="26"/>
      <c r="H1409" s="27"/>
      <c r="I1409" s="20"/>
      <c r="J1409" s="21"/>
      <c r="K1409" s="28"/>
      <c r="L1409" s="19"/>
    </row>
    <row r="1410" spans="1:12" ht="13.2">
      <c r="A1410" s="22"/>
      <c r="B1410" s="16"/>
      <c r="C1410" s="23"/>
      <c r="D1410" s="101"/>
      <c r="E1410" s="24"/>
      <c r="F1410" s="25"/>
      <c r="G1410" s="26"/>
      <c r="H1410" s="27"/>
      <c r="I1410" s="20"/>
      <c r="J1410" s="21"/>
      <c r="K1410" s="28"/>
      <c r="L1410" s="19"/>
    </row>
    <row r="1411" spans="1:12" ht="13.2">
      <c r="A1411" s="22"/>
      <c r="B1411" s="16"/>
      <c r="C1411" s="23"/>
      <c r="D1411" s="101"/>
      <c r="E1411" s="24"/>
      <c r="F1411" s="25"/>
      <c r="G1411" s="26"/>
      <c r="H1411" s="27"/>
      <c r="I1411" s="20"/>
      <c r="J1411" s="21"/>
      <c r="K1411" s="28"/>
      <c r="L1411" s="19"/>
    </row>
    <row r="1412" spans="1:12" ht="13.2">
      <c r="A1412" s="22"/>
      <c r="B1412" s="16"/>
      <c r="C1412" s="23"/>
      <c r="D1412" s="101"/>
      <c r="E1412" s="24"/>
      <c r="F1412" s="25"/>
      <c r="G1412" s="26"/>
      <c r="H1412" s="27"/>
      <c r="I1412" s="20"/>
      <c r="J1412" s="21"/>
      <c r="K1412" s="28"/>
      <c r="L1412" s="19"/>
    </row>
    <row r="1413" spans="1:12" ht="13.2">
      <c r="A1413" s="22"/>
      <c r="B1413" s="16"/>
      <c r="C1413" s="23"/>
      <c r="D1413" s="101"/>
      <c r="E1413" s="24"/>
      <c r="F1413" s="25"/>
      <c r="G1413" s="26"/>
      <c r="H1413" s="27"/>
      <c r="I1413" s="20"/>
      <c r="J1413" s="21"/>
      <c r="K1413" s="28"/>
      <c r="L1413" s="19"/>
    </row>
    <row r="1414" spans="1:12" ht="13.2">
      <c r="A1414" s="22"/>
      <c r="B1414" s="16"/>
      <c r="C1414" s="23"/>
      <c r="D1414" s="101"/>
      <c r="E1414" s="24"/>
      <c r="F1414" s="25"/>
      <c r="G1414" s="26"/>
      <c r="H1414" s="27"/>
      <c r="I1414" s="20"/>
      <c r="J1414" s="21"/>
      <c r="K1414" s="28"/>
      <c r="L1414" s="19"/>
    </row>
    <row r="1415" spans="1:12" ht="13.2">
      <c r="A1415" s="22"/>
      <c r="B1415" s="16"/>
      <c r="C1415" s="23"/>
      <c r="D1415" s="101"/>
      <c r="E1415" s="24"/>
      <c r="F1415" s="25"/>
      <c r="G1415" s="26"/>
      <c r="H1415" s="27"/>
      <c r="I1415" s="20"/>
      <c r="J1415" s="21"/>
      <c r="K1415" s="28"/>
      <c r="L1415" s="19"/>
    </row>
    <row r="1416" spans="1:12" ht="13.2">
      <c r="A1416" s="22"/>
      <c r="B1416" s="16"/>
      <c r="C1416" s="23"/>
      <c r="D1416" s="101"/>
      <c r="E1416" s="24"/>
      <c r="F1416" s="25"/>
      <c r="G1416" s="26"/>
      <c r="H1416" s="27"/>
      <c r="I1416" s="20"/>
      <c r="J1416" s="21"/>
      <c r="K1416" s="28"/>
      <c r="L1416" s="19"/>
    </row>
    <row r="1417" spans="1:12" ht="13.2">
      <c r="A1417" s="22"/>
      <c r="B1417" s="16"/>
      <c r="C1417" s="23"/>
      <c r="D1417" s="101"/>
      <c r="E1417" s="24"/>
      <c r="F1417" s="25"/>
      <c r="G1417" s="26"/>
      <c r="H1417" s="27"/>
      <c r="I1417" s="20"/>
      <c r="J1417" s="21"/>
      <c r="K1417" s="28"/>
      <c r="L1417" s="19"/>
    </row>
    <row r="1418" spans="1:12" ht="13.2">
      <c r="A1418" s="22"/>
      <c r="B1418" s="16"/>
      <c r="C1418" s="23"/>
      <c r="D1418" s="101"/>
      <c r="E1418" s="24"/>
      <c r="F1418" s="25"/>
      <c r="G1418" s="26"/>
      <c r="H1418" s="27"/>
      <c r="I1418" s="20"/>
      <c r="J1418" s="21"/>
      <c r="K1418" s="28"/>
      <c r="L1418" s="19"/>
    </row>
    <row r="1419" spans="1:12" ht="13.2">
      <c r="A1419" s="22"/>
      <c r="B1419" s="16"/>
      <c r="C1419" s="23"/>
      <c r="D1419" s="101"/>
      <c r="E1419" s="24"/>
      <c r="F1419" s="25"/>
      <c r="G1419" s="26"/>
      <c r="H1419" s="27"/>
      <c r="I1419" s="20"/>
      <c r="J1419" s="21"/>
      <c r="K1419" s="28"/>
      <c r="L1419" s="19"/>
    </row>
    <row r="1420" spans="1:12" ht="13.2">
      <c r="A1420" s="22"/>
      <c r="B1420" s="16"/>
      <c r="C1420" s="23"/>
      <c r="D1420" s="101"/>
      <c r="E1420" s="24"/>
      <c r="F1420" s="25"/>
      <c r="G1420" s="26"/>
      <c r="H1420" s="27"/>
      <c r="I1420" s="20"/>
      <c r="J1420" s="21"/>
      <c r="K1420" s="28"/>
      <c r="L1420" s="19"/>
    </row>
    <row r="1421" spans="1:12" ht="13.2">
      <c r="A1421" s="22"/>
      <c r="B1421" s="16"/>
      <c r="C1421" s="23"/>
      <c r="D1421" s="101"/>
      <c r="E1421" s="24"/>
      <c r="F1421" s="25"/>
      <c r="G1421" s="26"/>
      <c r="H1421" s="27"/>
      <c r="I1421" s="20"/>
      <c r="J1421" s="21"/>
      <c r="K1421" s="28"/>
      <c r="L1421" s="19"/>
    </row>
    <row r="1422" spans="1:12" ht="13.2">
      <c r="A1422" s="22"/>
      <c r="B1422" s="16"/>
      <c r="C1422" s="23"/>
      <c r="D1422" s="101"/>
      <c r="E1422" s="24"/>
      <c r="F1422" s="25"/>
      <c r="G1422" s="26"/>
      <c r="H1422" s="27"/>
      <c r="I1422" s="20"/>
      <c r="J1422" s="21"/>
      <c r="K1422" s="28"/>
      <c r="L1422" s="19"/>
    </row>
    <row r="1423" spans="1:12" ht="13.2">
      <c r="A1423" s="22"/>
      <c r="B1423" s="16"/>
      <c r="C1423" s="23"/>
      <c r="D1423" s="101"/>
      <c r="E1423" s="24"/>
      <c r="F1423" s="25"/>
      <c r="G1423" s="26"/>
      <c r="H1423" s="27"/>
      <c r="I1423" s="20"/>
      <c r="J1423" s="21"/>
      <c r="K1423" s="28"/>
      <c r="L1423" s="19"/>
    </row>
    <row r="1424" spans="1:12" ht="13.2">
      <c r="A1424" s="22"/>
      <c r="B1424" s="16"/>
      <c r="C1424" s="23"/>
      <c r="D1424" s="101"/>
      <c r="E1424" s="24"/>
      <c r="F1424" s="25"/>
      <c r="G1424" s="26"/>
      <c r="H1424" s="27"/>
      <c r="I1424" s="20"/>
      <c r="J1424" s="21"/>
      <c r="K1424" s="28"/>
      <c r="L1424" s="19"/>
    </row>
    <row r="1425" spans="1:12" ht="13.2">
      <c r="A1425" s="22"/>
      <c r="B1425" s="16"/>
      <c r="C1425" s="23"/>
      <c r="D1425" s="101"/>
      <c r="E1425" s="24"/>
      <c r="F1425" s="25"/>
      <c r="G1425" s="26"/>
      <c r="H1425" s="27"/>
      <c r="I1425" s="20"/>
      <c r="J1425" s="21"/>
      <c r="K1425" s="28"/>
      <c r="L1425" s="19"/>
    </row>
    <row r="1426" spans="1:12" ht="13.2">
      <c r="A1426" s="22"/>
      <c r="B1426" s="16"/>
      <c r="C1426" s="23"/>
      <c r="D1426" s="101"/>
      <c r="E1426" s="24"/>
      <c r="F1426" s="25"/>
      <c r="G1426" s="26"/>
      <c r="H1426" s="27"/>
      <c r="I1426" s="20"/>
      <c r="J1426" s="21"/>
      <c r="K1426" s="28"/>
      <c r="L1426" s="19"/>
    </row>
    <row r="1427" spans="1:12" ht="13.2">
      <c r="A1427" s="22"/>
      <c r="B1427" s="16"/>
      <c r="C1427" s="23"/>
      <c r="D1427" s="101"/>
      <c r="E1427" s="24"/>
      <c r="F1427" s="25"/>
      <c r="G1427" s="26"/>
      <c r="H1427" s="27"/>
      <c r="I1427" s="20"/>
      <c r="J1427" s="21"/>
      <c r="K1427" s="28"/>
      <c r="L1427" s="19"/>
    </row>
    <row r="1428" spans="1:12" ht="13.2">
      <c r="A1428" s="22"/>
      <c r="B1428" s="16"/>
      <c r="C1428" s="23"/>
      <c r="D1428" s="101"/>
      <c r="E1428" s="24"/>
      <c r="F1428" s="25"/>
      <c r="G1428" s="26"/>
      <c r="H1428" s="27"/>
      <c r="I1428" s="20"/>
      <c r="J1428" s="21"/>
      <c r="K1428" s="28"/>
      <c r="L1428" s="19"/>
    </row>
    <row r="1429" spans="1:12" ht="13.2">
      <c r="A1429" s="22"/>
      <c r="B1429" s="16"/>
      <c r="C1429" s="23"/>
      <c r="D1429" s="101"/>
      <c r="E1429" s="24"/>
      <c r="F1429" s="25"/>
      <c r="G1429" s="26"/>
      <c r="H1429" s="27"/>
      <c r="I1429" s="20"/>
      <c r="J1429" s="21"/>
      <c r="K1429" s="28"/>
      <c r="L1429" s="19"/>
    </row>
    <row r="1430" spans="1:12" ht="13.2">
      <c r="A1430" s="22"/>
      <c r="B1430" s="16"/>
      <c r="C1430" s="23"/>
      <c r="D1430" s="101"/>
      <c r="E1430" s="24"/>
      <c r="F1430" s="25"/>
      <c r="G1430" s="26"/>
      <c r="H1430" s="27"/>
      <c r="I1430" s="20"/>
      <c r="J1430" s="21"/>
      <c r="K1430" s="28"/>
      <c r="L1430" s="19"/>
    </row>
    <row r="1431" spans="1:12" ht="13.2">
      <c r="A1431" s="22"/>
      <c r="B1431" s="16"/>
      <c r="C1431" s="23"/>
      <c r="D1431" s="101"/>
      <c r="E1431" s="24"/>
      <c r="F1431" s="25"/>
      <c r="G1431" s="26"/>
      <c r="H1431" s="27"/>
      <c r="I1431" s="20"/>
      <c r="J1431" s="21"/>
      <c r="K1431" s="28"/>
      <c r="L1431" s="19"/>
    </row>
    <row r="1432" spans="1:12" ht="13.2">
      <c r="A1432" s="22"/>
      <c r="B1432" s="16"/>
      <c r="C1432" s="23"/>
      <c r="D1432" s="101"/>
      <c r="E1432" s="24"/>
      <c r="F1432" s="25"/>
      <c r="G1432" s="26"/>
      <c r="H1432" s="27"/>
      <c r="I1432" s="20"/>
      <c r="J1432" s="21"/>
      <c r="K1432" s="28"/>
      <c r="L1432" s="19"/>
    </row>
    <row r="1433" spans="1:12" ht="13.2">
      <c r="A1433" s="22"/>
      <c r="B1433" s="16"/>
      <c r="C1433" s="23"/>
      <c r="D1433" s="101"/>
      <c r="E1433" s="24"/>
      <c r="F1433" s="25"/>
      <c r="G1433" s="26"/>
      <c r="H1433" s="27"/>
      <c r="I1433" s="20"/>
      <c r="J1433" s="21"/>
      <c r="K1433" s="28"/>
      <c r="L1433" s="19"/>
    </row>
    <row r="1434" spans="1:12" ht="13.2">
      <c r="A1434" s="22"/>
      <c r="B1434" s="16"/>
      <c r="C1434" s="23"/>
      <c r="D1434" s="101"/>
      <c r="E1434" s="24"/>
      <c r="F1434" s="25"/>
      <c r="G1434" s="26"/>
      <c r="H1434" s="27"/>
      <c r="I1434" s="20"/>
      <c r="J1434" s="21"/>
      <c r="K1434" s="28"/>
      <c r="L1434" s="19"/>
    </row>
    <row r="1435" spans="1:12" ht="13.2">
      <c r="A1435" s="22"/>
      <c r="B1435" s="16"/>
      <c r="C1435" s="23"/>
      <c r="D1435" s="101"/>
      <c r="E1435" s="24"/>
      <c r="F1435" s="25"/>
      <c r="G1435" s="26"/>
      <c r="H1435" s="27"/>
      <c r="I1435" s="20"/>
      <c r="J1435" s="21"/>
      <c r="K1435" s="28"/>
      <c r="L1435" s="19"/>
    </row>
    <row r="1436" spans="1:12" ht="13.2">
      <c r="A1436" s="22"/>
      <c r="B1436" s="16"/>
      <c r="C1436" s="23"/>
      <c r="D1436" s="101"/>
      <c r="E1436" s="24"/>
      <c r="F1436" s="25"/>
      <c r="G1436" s="26"/>
      <c r="H1436" s="27"/>
      <c r="I1436" s="20"/>
      <c r="J1436" s="21"/>
      <c r="K1436" s="28"/>
      <c r="L1436" s="19"/>
    </row>
    <row r="1437" spans="1:12" ht="13.2">
      <c r="A1437" s="22"/>
      <c r="B1437" s="16"/>
      <c r="C1437" s="23"/>
      <c r="D1437" s="101"/>
      <c r="E1437" s="24"/>
      <c r="F1437" s="25"/>
      <c r="G1437" s="26"/>
      <c r="H1437" s="27"/>
      <c r="I1437" s="20"/>
      <c r="J1437" s="21"/>
      <c r="K1437" s="28"/>
      <c r="L1437" s="19"/>
    </row>
    <row r="1438" spans="1:12" ht="13.2">
      <c r="A1438" s="22"/>
      <c r="B1438" s="16"/>
      <c r="C1438" s="23"/>
      <c r="D1438" s="101"/>
      <c r="E1438" s="24"/>
      <c r="F1438" s="25"/>
      <c r="G1438" s="26"/>
      <c r="H1438" s="27"/>
      <c r="I1438" s="20"/>
      <c r="J1438" s="21"/>
      <c r="K1438" s="28"/>
      <c r="L1438" s="19"/>
    </row>
    <row r="1439" spans="1:12" ht="13.2">
      <c r="A1439" s="22"/>
      <c r="B1439" s="16"/>
      <c r="C1439" s="23"/>
      <c r="D1439" s="101"/>
      <c r="E1439" s="24"/>
      <c r="F1439" s="25"/>
      <c r="G1439" s="26"/>
      <c r="H1439" s="27"/>
      <c r="I1439" s="20"/>
      <c r="J1439" s="21"/>
      <c r="K1439" s="28"/>
      <c r="L1439" s="19"/>
    </row>
    <row r="1440" spans="1:12" ht="13.2">
      <c r="A1440" s="22"/>
      <c r="B1440" s="16"/>
      <c r="C1440" s="23"/>
      <c r="D1440" s="101"/>
      <c r="E1440" s="24"/>
      <c r="F1440" s="25"/>
      <c r="G1440" s="26"/>
      <c r="H1440" s="27"/>
      <c r="I1440" s="20"/>
      <c r="J1440" s="21"/>
      <c r="K1440" s="28"/>
      <c r="L1440" s="19"/>
    </row>
    <row r="1441" spans="1:12" ht="13.2">
      <c r="A1441" s="22"/>
      <c r="B1441" s="16"/>
      <c r="C1441" s="23"/>
      <c r="D1441" s="101"/>
      <c r="E1441" s="24"/>
      <c r="F1441" s="25"/>
      <c r="G1441" s="26"/>
      <c r="H1441" s="27"/>
      <c r="I1441" s="20"/>
      <c r="J1441" s="21"/>
      <c r="K1441" s="28"/>
      <c r="L1441" s="19"/>
    </row>
    <row r="1442" spans="1:12" ht="13.2">
      <c r="A1442" s="22"/>
      <c r="B1442" s="16"/>
      <c r="C1442" s="23"/>
      <c r="D1442" s="101"/>
      <c r="E1442" s="24"/>
      <c r="F1442" s="25"/>
      <c r="G1442" s="26"/>
      <c r="H1442" s="27"/>
      <c r="I1442" s="20"/>
      <c r="J1442" s="21"/>
      <c r="K1442" s="28"/>
      <c r="L1442" s="19"/>
    </row>
    <row r="1443" spans="1:12" ht="13.2">
      <c r="A1443" s="22"/>
      <c r="B1443" s="16"/>
      <c r="C1443" s="23"/>
      <c r="D1443" s="101"/>
      <c r="E1443" s="24"/>
      <c r="F1443" s="25"/>
      <c r="G1443" s="26"/>
      <c r="H1443" s="27"/>
      <c r="I1443" s="20"/>
      <c r="J1443" s="21"/>
      <c r="K1443" s="28"/>
      <c r="L1443" s="19"/>
    </row>
    <row r="1444" spans="1:12" ht="13.2">
      <c r="A1444" s="22"/>
      <c r="B1444" s="16"/>
      <c r="C1444" s="23"/>
      <c r="D1444" s="101"/>
      <c r="E1444" s="24"/>
      <c r="F1444" s="25"/>
      <c r="G1444" s="26"/>
      <c r="H1444" s="27"/>
      <c r="I1444" s="20"/>
      <c r="J1444" s="21"/>
      <c r="K1444" s="28"/>
      <c r="L1444" s="19"/>
    </row>
    <row r="1445" spans="1:12" ht="13.2">
      <c r="A1445" s="22"/>
      <c r="B1445" s="16"/>
      <c r="C1445" s="23"/>
      <c r="D1445" s="101"/>
      <c r="E1445" s="24"/>
      <c r="F1445" s="25"/>
      <c r="G1445" s="26"/>
      <c r="H1445" s="27"/>
      <c r="I1445" s="20"/>
      <c r="J1445" s="21"/>
      <c r="K1445" s="28"/>
      <c r="L1445" s="19"/>
    </row>
    <row r="1446" spans="1:12" ht="13.2">
      <c r="A1446" s="22"/>
      <c r="B1446" s="16"/>
      <c r="C1446" s="23"/>
      <c r="D1446" s="101"/>
      <c r="E1446" s="24"/>
      <c r="F1446" s="25"/>
      <c r="G1446" s="26"/>
      <c r="H1446" s="27"/>
      <c r="I1446" s="20"/>
      <c r="J1446" s="21"/>
      <c r="K1446" s="28"/>
      <c r="L1446" s="19"/>
    </row>
    <row r="1447" spans="1:12" ht="13.2">
      <c r="A1447" s="22"/>
      <c r="B1447" s="16"/>
      <c r="C1447" s="23"/>
      <c r="D1447" s="101"/>
      <c r="E1447" s="24"/>
      <c r="F1447" s="25"/>
      <c r="G1447" s="26"/>
      <c r="H1447" s="27"/>
      <c r="I1447" s="20"/>
      <c r="J1447" s="21"/>
      <c r="K1447" s="28"/>
      <c r="L1447" s="19"/>
    </row>
    <row r="1448" spans="1:12" ht="13.2">
      <c r="A1448" s="22"/>
      <c r="B1448" s="16"/>
      <c r="C1448" s="23"/>
      <c r="D1448" s="101"/>
      <c r="E1448" s="24"/>
      <c r="F1448" s="25"/>
      <c r="G1448" s="26"/>
      <c r="H1448" s="27"/>
      <c r="I1448" s="20"/>
      <c r="J1448" s="21"/>
      <c r="K1448" s="28"/>
      <c r="L1448" s="19"/>
    </row>
    <row r="1449" spans="1:12" ht="13.2">
      <c r="A1449" s="22"/>
      <c r="B1449" s="16"/>
      <c r="C1449" s="23"/>
      <c r="D1449" s="101"/>
      <c r="E1449" s="24"/>
      <c r="F1449" s="25"/>
      <c r="G1449" s="26"/>
      <c r="H1449" s="27"/>
      <c r="I1449" s="20"/>
      <c r="J1449" s="21"/>
      <c r="K1449" s="28"/>
      <c r="L1449" s="19"/>
    </row>
    <row r="1450" spans="1:12" ht="13.2">
      <c r="A1450" s="22"/>
      <c r="B1450" s="16"/>
      <c r="C1450" s="23"/>
      <c r="D1450" s="101"/>
      <c r="E1450" s="24"/>
      <c r="F1450" s="25"/>
      <c r="G1450" s="26"/>
      <c r="H1450" s="27"/>
      <c r="I1450" s="20"/>
      <c r="J1450" s="21"/>
      <c r="K1450" s="28"/>
      <c r="L1450" s="19"/>
    </row>
    <row r="1451" spans="1:12" ht="13.2">
      <c r="A1451" s="22"/>
      <c r="B1451" s="16"/>
      <c r="C1451" s="23"/>
      <c r="D1451" s="101"/>
      <c r="E1451" s="24"/>
      <c r="F1451" s="25"/>
      <c r="G1451" s="26"/>
      <c r="H1451" s="27"/>
      <c r="I1451" s="20"/>
      <c r="J1451" s="21"/>
      <c r="K1451" s="28"/>
      <c r="L1451" s="19"/>
    </row>
    <row r="1452" spans="1:12" ht="13.2">
      <c r="A1452" s="22"/>
      <c r="B1452" s="16"/>
      <c r="C1452" s="23"/>
      <c r="D1452" s="101"/>
      <c r="E1452" s="24"/>
      <c r="F1452" s="25"/>
      <c r="G1452" s="26"/>
      <c r="H1452" s="27"/>
      <c r="I1452" s="20"/>
      <c r="J1452" s="21"/>
      <c r="K1452" s="28"/>
      <c r="L1452" s="19"/>
    </row>
    <row r="1453" spans="1:12" ht="13.2">
      <c r="A1453" s="22"/>
      <c r="B1453" s="16"/>
      <c r="C1453" s="23"/>
      <c r="D1453" s="101"/>
      <c r="E1453" s="24"/>
      <c r="F1453" s="25"/>
      <c r="G1453" s="26"/>
      <c r="H1453" s="27"/>
      <c r="I1453" s="20"/>
      <c r="J1453" s="21"/>
      <c r="K1453" s="28"/>
      <c r="L1453" s="19"/>
    </row>
    <row r="1454" spans="1:12" ht="13.2">
      <c r="A1454" s="22"/>
      <c r="B1454" s="16"/>
      <c r="C1454" s="23"/>
      <c r="D1454" s="101"/>
      <c r="E1454" s="24"/>
      <c r="F1454" s="25"/>
      <c r="G1454" s="26"/>
      <c r="H1454" s="27"/>
      <c r="I1454" s="20"/>
      <c r="J1454" s="21"/>
      <c r="K1454" s="28"/>
      <c r="L1454" s="19"/>
    </row>
    <row r="1455" spans="1:12" ht="13.2">
      <c r="A1455" s="22"/>
      <c r="B1455" s="16"/>
      <c r="C1455" s="23"/>
      <c r="D1455" s="101"/>
      <c r="E1455" s="24"/>
      <c r="F1455" s="25"/>
      <c r="G1455" s="26"/>
      <c r="H1455" s="27"/>
      <c r="I1455" s="20"/>
      <c r="J1455" s="21"/>
      <c r="K1455" s="28"/>
      <c r="L1455" s="19"/>
    </row>
    <row r="1456" spans="1:12" ht="13.2">
      <c r="A1456" s="22"/>
      <c r="B1456" s="16"/>
      <c r="C1456" s="23"/>
      <c r="D1456" s="101"/>
      <c r="E1456" s="24"/>
      <c r="F1456" s="25"/>
      <c r="G1456" s="26"/>
      <c r="H1456" s="27"/>
      <c r="I1456" s="20"/>
      <c r="J1456" s="21"/>
      <c r="K1456" s="28"/>
      <c r="L1456" s="19"/>
    </row>
    <row r="1457" spans="1:12" ht="13.2">
      <c r="A1457" s="22"/>
      <c r="B1457" s="16"/>
      <c r="C1457" s="23"/>
      <c r="D1457" s="101"/>
      <c r="E1457" s="24"/>
      <c r="F1457" s="25"/>
      <c r="G1457" s="26"/>
      <c r="H1457" s="27"/>
      <c r="I1457" s="20"/>
      <c r="J1457" s="21"/>
      <c r="K1457" s="28"/>
      <c r="L1457" s="19"/>
    </row>
    <row r="1458" spans="1:12" ht="13.2">
      <c r="A1458" s="22"/>
      <c r="B1458" s="16"/>
      <c r="C1458" s="23"/>
      <c r="D1458" s="101"/>
      <c r="E1458" s="24"/>
      <c r="F1458" s="25"/>
      <c r="G1458" s="26"/>
      <c r="H1458" s="27"/>
      <c r="I1458" s="20"/>
      <c r="J1458" s="21"/>
      <c r="K1458" s="28"/>
      <c r="L1458" s="19"/>
    </row>
    <row r="1459" spans="1:12" ht="13.2">
      <c r="A1459" s="22"/>
      <c r="B1459" s="16"/>
      <c r="C1459" s="23"/>
      <c r="D1459" s="101"/>
      <c r="E1459" s="24"/>
      <c r="F1459" s="25"/>
      <c r="G1459" s="26"/>
      <c r="H1459" s="27"/>
      <c r="I1459" s="20"/>
      <c r="J1459" s="21"/>
      <c r="K1459" s="28"/>
      <c r="L1459" s="19"/>
    </row>
    <row r="1460" spans="1:12" ht="13.2">
      <c r="A1460" s="22"/>
      <c r="B1460" s="16"/>
      <c r="C1460" s="23"/>
      <c r="D1460" s="101"/>
      <c r="E1460" s="24"/>
      <c r="F1460" s="25"/>
      <c r="G1460" s="26"/>
      <c r="H1460" s="27"/>
      <c r="I1460" s="20"/>
      <c r="J1460" s="21"/>
      <c r="K1460" s="28"/>
      <c r="L1460" s="19"/>
    </row>
    <row r="1461" spans="1:12" ht="13.2">
      <c r="A1461" s="22"/>
      <c r="B1461" s="16"/>
      <c r="C1461" s="23"/>
      <c r="D1461" s="101"/>
      <c r="E1461" s="24"/>
      <c r="F1461" s="25"/>
      <c r="G1461" s="26"/>
      <c r="H1461" s="27"/>
      <c r="I1461" s="20"/>
      <c r="J1461" s="21"/>
      <c r="K1461" s="28"/>
      <c r="L1461" s="19"/>
    </row>
    <row r="1462" spans="1:12" ht="13.2">
      <c r="A1462" s="22"/>
      <c r="B1462" s="16"/>
      <c r="C1462" s="23"/>
      <c r="D1462" s="101"/>
      <c r="E1462" s="24"/>
      <c r="F1462" s="25"/>
      <c r="G1462" s="26"/>
      <c r="H1462" s="27"/>
      <c r="I1462" s="20"/>
      <c r="J1462" s="21"/>
      <c r="K1462" s="28"/>
      <c r="L1462" s="19"/>
    </row>
    <row r="1463" spans="1:12" ht="13.2">
      <c r="A1463" s="22"/>
      <c r="B1463" s="16"/>
      <c r="C1463" s="23"/>
      <c r="D1463" s="101"/>
      <c r="E1463" s="24"/>
      <c r="F1463" s="25"/>
      <c r="G1463" s="26"/>
      <c r="H1463" s="27"/>
      <c r="I1463" s="20"/>
      <c r="J1463" s="21"/>
      <c r="K1463" s="28"/>
      <c r="L1463" s="19"/>
    </row>
    <row r="1464" spans="1:12" ht="13.2">
      <c r="A1464" s="22"/>
      <c r="B1464" s="16"/>
      <c r="C1464" s="23"/>
      <c r="D1464" s="101"/>
      <c r="E1464" s="24"/>
      <c r="F1464" s="25"/>
      <c r="G1464" s="26"/>
      <c r="H1464" s="27"/>
      <c r="I1464" s="20"/>
      <c r="J1464" s="21"/>
      <c r="K1464" s="28"/>
      <c r="L1464" s="19"/>
    </row>
    <row r="1465" spans="1:12" ht="13.2">
      <c r="A1465" s="22"/>
      <c r="B1465" s="16"/>
      <c r="C1465" s="23"/>
      <c r="D1465" s="101"/>
      <c r="E1465" s="24"/>
      <c r="F1465" s="25"/>
      <c r="G1465" s="26"/>
      <c r="H1465" s="27"/>
      <c r="I1465" s="20"/>
      <c r="J1465" s="21"/>
      <c r="K1465" s="28"/>
      <c r="L1465" s="19"/>
    </row>
    <row r="1466" spans="1:12" ht="13.2">
      <c r="A1466" s="22"/>
      <c r="B1466" s="16"/>
      <c r="C1466" s="23"/>
      <c r="D1466" s="101"/>
      <c r="E1466" s="24"/>
      <c r="F1466" s="25"/>
      <c r="G1466" s="26"/>
      <c r="H1466" s="27"/>
      <c r="I1466" s="20"/>
      <c r="J1466" s="21"/>
      <c r="K1466" s="28"/>
      <c r="L1466" s="19"/>
    </row>
    <row r="1467" spans="1:12" ht="13.2">
      <c r="A1467" s="22"/>
      <c r="B1467" s="16"/>
      <c r="C1467" s="23"/>
      <c r="D1467" s="101"/>
      <c r="E1467" s="24"/>
      <c r="F1467" s="25"/>
      <c r="G1467" s="26"/>
      <c r="H1467" s="27"/>
      <c r="I1467" s="20"/>
      <c r="J1467" s="21"/>
      <c r="K1467" s="28"/>
      <c r="L1467" s="19"/>
    </row>
    <row r="1468" spans="1:12" ht="13.2">
      <c r="A1468" s="22"/>
      <c r="B1468" s="16"/>
      <c r="C1468" s="23"/>
      <c r="D1468" s="101"/>
      <c r="E1468" s="24"/>
      <c r="F1468" s="25"/>
      <c r="G1468" s="26"/>
      <c r="H1468" s="27"/>
      <c r="I1468" s="20"/>
      <c r="J1468" s="21"/>
      <c r="K1468" s="28"/>
      <c r="L1468" s="19"/>
    </row>
    <row r="1469" spans="1:12" ht="13.2">
      <c r="A1469" s="22"/>
      <c r="B1469" s="16"/>
      <c r="C1469" s="23"/>
      <c r="D1469" s="101"/>
      <c r="E1469" s="24"/>
      <c r="F1469" s="25"/>
      <c r="G1469" s="26"/>
      <c r="H1469" s="27"/>
      <c r="I1469" s="20"/>
      <c r="J1469" s="21"/>
      <c r="K1469" s="28"/>
      <c r="L1469" s="19"/>
    </row>
    <row r="1470" spans="1:12" ht="13.2">
      <c r="A1470" s="22"/>
      <c r="B1470" s="16"/>
      <c r="C1470" s="23"/>
      <c r="D1470" s="101"/>
      <c r="E1470" s="24"/>
      <c r="F1470" s="25"/>
      <c r="G1470" s="26"/>
      <c r="H1470" s="27"/>
      <c r="I1470" s="20"/>
      <c r="J1470" s="21"/>
      <c r="K1470" s="28"/>
      <c r="L1470" s="19"/>
    </row>
    <row r="1471" spans="1:12" ht="13.2">
      <c r="A1471" s="22"/>
      <c r="B1471" s="16"/>
      <c r="C1471" s="23"/>
      <c r="D1471" s="101"/>
      <c r="E1471" s="24"/>
      <c r="F1471" s="25"/>
      <c r="G1471" s="26"/>
      <c r="H1471" s="27"/>
      <c r="I1471" s="20"/>
      <c r="J1471" s="21"/>
      <c r="K1471" s="28"/>
      <c r="L1471" s="19"/>
    </row>
    <row r="1472" spans="1:12" ht="13.2">
      <c r="A1472" s="22"/>
      <c r="B1472" s="16"/>
      <c r="C1472" s="23"/>
      <c r="D1472" s="101"/>
      <c r="E1472" s="24"/>
      <c r="F1472" s="25"/>
      <c r="G1472" s="26"/>
      <c r="H1472" s="27"/>
      <c r="I1472" s="20"/>
      <c r="J1472" s="21"/>
      <c r="K1472" s="28"/>
      <c r="L1472" s="19"/>
    </row>
    <row r="1473" spans="1:12" ht="13.2">
      <c r="A1473" s="22"/>
      <c r="B1473" s="16"/>
      <c r="C1473" s="23"/>
      <c r="D1473" s="101"/>
      <c r="E1473" s="24"/>
      <c r="F1473" s="25"/>
      <c r="G1473" s="26"/>
      <c r="H1473" s="27"/>
      <c r="I1473" s="20"/>
      <c r="J1473" s="21"/>
      <c r="K1473" s="28"/>
      <c r="L1473" s="19"/>
    </row>
    <row r="1474" spans="1:12" ht="13.2">
      <c r="A1474" s="22"/>
      <c r="B1474" s="16"/>
      <c r="C1474" s="23"/>
      <c r="D1474" s="101"/>
      <c r="E1474" s="24"/>
      <c r="F1474" s="25"/>
      <c r="G1474" s="26"/>
      <c r="H1474" s="27"/>
      <c r="I1474" s="20"/>
      <c r="J1474" s="21"/>
      <c r="K1474" s="28"/>
      <c r="L1474" s="19"/>
    </row>
    <row r="1475" spans="1:12" ht="13.2">
      <c r="A1475" s="22"/>
      <c r="B1475" s="16"/>
      <c r="C1475" s="23"/>
      <c r="D1475" s="101"/>
      <c r="E1475" s="24"/>
      <c r="F1475" s="25"/>
      <c r="G1475" s="26"/>
      <c r="H1475" s="27"/>
      <c r="I1475" s="20"/>
      <c r="J1475" s="21"/>
      <c r="K1475" s="28"/>
      <c r="L1475" s="19"/>
    </row>
    <row r="1476" spans="1:12" ht="13.2">
      <c r="A1476" s="22"/>
      <c r="B1476" s="16"/>
      <c r="C1476" s="23"/>
      <c r="D1476" s="101"/>
      <c r="E1476" s="24"/>
      <c r="F1476" s="25"/>
      <c r="G1476" s="26"/>
      <c r="H1476" s="27"/>
      <c r="I1476" s="20"/>
      <c r="J1476" s="21"/>
      <c r="K1476" s="28"/>
      <c r="L1476" s="19"/>
    </row>
    <row r="1477" spans="1:12" ht="13.2">
      <c r="A1477" s="22"/>
      <c r="B1477" s="16"/>
      <c r="C1477" s="23"/>
      <c r="D1477" s="101"/>
      <c r="E1477" s="24"/>
      <c r="F1477" s="25"/>
      <c r="G1477" s="26"/>
      <c r="H1477" s="27"/>
      <c r="I1477" s="20"/>
      <c r="J1477" s="21"/>
      <c r="K1477" s="28"/>
      <c r="L1477" s="19"/>
    </row>
    <row r="1478" spans="1:12" ht="13.2">
      <c r="A1478" s="22"/>
      <c r="B1478" s="16"/>
      <c r="C1478" s="23"/>
      <c r="D1478" s="101"/>
      <c r="E1478" s="24"/>
      <c r="F1478" s="25"/>
      <c r="G1478" s="26"/>
      <c r="H1478" s="27"/>
      <c r="I1478" s="20"/>
      <c r="J1478" s="21"/>
      <c r="K1478" s="28"/>
      <c r="L1478" s="19"/>
    </row>
    <row r="1479" spans="1:12" ht="13.2">
      <c r="A1479" s="22"/>
      <c r="B1479" s="16"/>
      <c r="C1479" s="23"/>
      <c r="D1479" s="101"/>
      <c r="E1479" s="24"/>
      <c r="F1479" s="25"/>
      <c r="G1479" s="26"/>
      <c r="H1479" s="27"/>
      <c r="I1479" s="20"/>
      <c r="J1479" s="21"/>
      <c r="K1479" s="28"/>
      <c r="L1479" s="19"/>
    </row>
    <row r="1480" spans="1:12" ht="13.2">
      <c r="A1480" s="22"/>
      <c r="B1480" s="16"/>
      <c r="C1480" s="23"/>
      <c r="D1480" s="101"/>
      <c r="E1480" s="24"/>
      <c r="F1480" s="25"/>
      <c r="G1480" s="26"/>
      <c r="H1480" s="27"/>
      <c r="I1480" s="20"/>
      <c r="J1480" s="21"/>
      <c r="K1480" s="28"/>
      <c r="L1480" s="19"/>
    </row>
    <row r="1481" spans="1:12" ht="13.2">
      <c r="A1481" s="22"/>
      <c r="B1481" s="16"/>
      <c r="C1481" s="23"/>
      <c r="D1481" s="101"/>
      <c r="E1481" s="24"/>
      <c r="F1481" s="25"/>
      <c r="G1481" s="26"/>
      <c r="H1481" s="27"/>
      <c r="I1481" s="20"/>
      <c r="J1481" s="21"/>
      <c r="K1481" s="28"/>
      <c r="L1481" s="19"/>
    </row>
    <row r="1482" spans="1:12" ht="13.2">
      <c r="A1482" s="22"/>
      <c r="B1482" s="16"/>
      <c r="C1482" s="23"/>
      <c r="D1482" s="101"/>
      <c r="E1482" s="24"/>
      <c r="F1482" s="25"/>
      <c r="G1482" s="26"/>
      <c r="H1482" s="27"/>
      <c r="I1482" s="20"/>
      <c r="J1482" s="21"/>
      <c r="K1482" s="28"/>
      <c r="L1482" s="19"/>
    </row>
    <row r="1483" spans="1:12" ht="13.2">
      <c r="A1483" s="22"/>
      <c r="B1483" s="16"/>
      <c r="C1483" s="23"/>
      <c r="D1483" s="101"/>
      <c r="E1483" s="24"/>
      <c r="F1483" s="25"/>
      <c r="G1483" s="26"/>
      <c r="H1483" s="27"/>
      <c r="I1483" s="20"/>
      <c r="J1483" s="21"/>
      <c r="K1483" s="28"/>
      <c r="L1483" s="19"/>
    </row>
    <row r="1484" spans="1:12" ht="13.2">
      <c r="A1484" s="22"/>
      <c r="B1484" s="16"/>
      <c r="C1484" s="23"/>
      <c r="D1484" s="101"/>
      <c r="E1484" s="24"/>
      <c r="F1484" s="25"/>
      <c r="G1484" s="26"/>
      <c r="H1484" s="27"/>
      <c r="I1484" s="20"/>
      <c r="J1484" s="21"/>
      <c r="K1484" s="28"/>
      <c r="L1484" s="19"/>
    </row>
    <row r="1485" spans="1:12" ht="13.2">
      <c r="A1485" s="22"/>
      <c r="B1485" s="16"/>
      <c r="C1485" s="23"/>
      <c r="D1485" s="101"/>
      <c r="E1485" s="24"/>
      <c r="F1485" s="25"/>
      <c r="G1485" s="26"/>
      <c r="H1485" s="27"/>
      <c r="I1485" s="20"/>
      <c r="J1485" s="21"/>
      <c r="K1485" s="28"/>
      <c r="L1485" s="19"/>
    </row>
    <row r="1486" spans="1:12" ht="13.2">
      <c r="A1486" s="22"/>
      <c r="B1486" s="16"/>
      <c r="C1486" s="23"/>
      <c r="D1486" s="101"/>
      <c r="E1486" s="24"/>
      <c r="F1486" s="25"/>
      <c r="G1486" s="26"/>
      <c r="H1486" s="27"/>
      <c r="I1486" s="20"/>
      <c r="J1486" s="21"/>
      <c r="K1486" s="28"/>
      <c r="L1486" s="19"/>
    </row>
    <row r="1487" spans="1:12" ht="13.2">
      <c r="A1487" s="22"/>
      <c r="B1487" s="16"/>
      <c r="C1487" s="23"/>
      <c r="D1487" s="101"/>
      <c r="E1487" s="24"/>
      <c r="F1487" s="25"/>
      <c r="G1487" s="26"/>
      <c r="H1487" s="27"/>
      <c r="I1487" s="20"/>
      <c r="J1487" s="21"/>
      <c r="K1487" s="28"/>
      <c r="L1487" s="19"/>
    </row>
    <row r="1488" spans="1:12" ht="13.2">
      <c r="A1488" s="22"/>
      <c r="B1488" s="16"/>
      <c r="C1488" s="23"/>
      <c r="D1488" s="101"/>
      <c r="E1488" s="24"/>
      <c r="F1488" s="25"/>
      <c r="G1488" s="26"/>
      <c r="H1488" s="27"/>
      <c r="I1488" s="20"/>
      <c r="J1488" s="21"/>
      <c r="K1488" s="28"/>
      <c r="L1488" s="19"/>
    </row>
    <row r="1489" spans="1:12" ht="13.2">
      <c r="A1489" s="22"/>
      <c r="B1489" s="16"/>
      <c r="C1489" s="23"/>
      <c r="D1489" s="101"/>
      <c r="E1489" s="24"/>
      <c r="F1489" s="25"/>
      <c r="G1489" s="26"/>
      <c r="H1489" s="27"/>
      <c r="I1489" s="20"/>
      <c r="J1489" s="21"/>
      <c r="K1489" s="28"/>
      <c r="L1489" s="19"/>
    </row>
    <row r="1490" spans="1:12" ht="13.2">
      <c r="A1490" s="22"/>
      <c r="B1490" s="16"/>
      <c r="C1490" s="23"/>
      <c r="D1490" s="101"/>
      <c r="E1490" s="24"/>
      <c r="F1490" s="25"/>
      <c r="G1490" s="26"/>
      <c r="H1490" s="27"/>
      <c r="I1490" s="20"/>
      <c r="J1490" s="21"/>
      <c r="K1490" s="28"/>
      <c r="L1490" s="19"/>
    </row>
    <row r="1491" spans="1:12" ht="13.2">
      <c r="A1491" s="22"/>
      <c r="B1491" s="16"/>
      <c r="C1491" s="23"/>
      <c r="D1491" s="101"/>
      <c r="E1491" s="24"/>
      <c r="F1491" s="25"/>
      <c r="G1491" s="26"/>
      <c r="H1491" s="27"/>
      <c r="I1491" s="20"/>
      <c r="J1491" s="21"/>
      <c r="K1491" s="28"/>
      <c r="L1491" s="19"/>
    </row>
    <row r="1492" spans="1:12" ht="13.2">
      <c r="A1492" s="22"/>
      <c r="B1492" s="16"/>
      <c r="C1492" s="23"/>
      <c r="D1492" s="101"/>
      <c r="E1492" s="24"/>
      <c r="F1492" s="25"/>
      <c r="G1492" s="26"/>
      <c r="H1492" s="27"/>
      <c r="I1492" s="20"/>
      <c r="J1492" s="21"/>
      <c r="K1492" s="28"/>
      <c r="L1492" s="19"/>
    </row>
    <row r="1493" spans="1:12" ht="13.2">
      <c r="A1493" s="22"/>
      <c r="B1493" s="16"/>
      <c r="C1493" s="23"/>
      <c r="D1493" s="101"/>
      <c r="E1493" s="24"/>
      <c r="F1493" s="25"/>
      <c r="G1493" s="26"/>
      <c r="H1493" s="27"/>
      <c r="I1493" s="20"/>
      <c r="J1493" s="21"/>
      <c r="K1493" s="28"/>
      <c r="L1493" s="19"/>
    </row>
    <row r="1494" spans="1:12" ht="13.2">
      <c r="A1494" s="22"/>
      <c r="B1494" s="16"/>
      <c r="C1494" s="23"/>
      <c r="D1494" s="101"/>
      <c r="E1494" s="24"/>
      <c r="F1494" s="25"/>
      <c r="G1494" s="26"/>
      <c r="H1494" s="27"/>
      <c r="I1494" s="20"/>
      <c r="J1494" s="21"/>
      <c r="K1494" s="28"/>
      <c r="L1494" s="19"/>
    </row>
    <row r="1495" spans="1:12" ht="13.2">
      <c r="A1495" s="22"/>
      <c r="B1495" s="16"/>
      <c r="C1495" s="23"/>
      <c r="D1495" s="101"/>
      <c r="E1495" s="24"/>
      <c r="F1495" s="25"/>
      <c r="G1495" s="26"/>
      <c r="H1495" s="27"/>
      <c r="I1495" s="20"/>
      <c r="J1495" s="21"/>
      <c r="K1495" s="28"/>
      <c r="L1495" s="19"/>
    </row>
    <row r="1496" spans="1:12" ht="13.2">
      <c r="A1496" s="22"/>
      <c r="B1496" s="16"/>
      <c r="C1496" s="23"/>
      <c r="D1496" s="101"/>
      <c r="E1496" s="24"/>
      <c r="F1496" s="25"/>
      <c r="G1496" s="26"/>
      <c r="H1496" s="27"/>
      <c r="I1496" s="20"/>
      <c r="J1496" s="21"/>
      <c r="K1496" s="28"/>
      <c r="L1496" s="19"/>
    </row>
    <row r="1497" spans="1:12" ht="13.2">
      <c r="A1497" s="22"/>
      <c r="B1497" s="16"/>
      <c r="C1497" s="23"/>
      <c r="D1497" s="101"/>
      <c r="E1497" s="24"/>
      <c r="F1497" s="25"/>
      <c r="G1497" s="26"/>
      <c r="H1497" s="27"/>
      <c r="I1497" s="20"/>
      <c r="J1497" s="21"/>
      <c r="K1497" s="28"/>
      <c r="L1497" s="19"/>
    </row>
    <row r="1498" spans="1:12" ht="13.2">
      <c r="A1498" s="22"/>
      <c r="B1498" s="16"/>
      <c r="C1498" s="23"/>
      <c r="D1498" s="101"/>
      <c r="E1498" s="24"/>
      <c r="F1498" s="25"/>
      <c r="G1498" s="26"/>
      <c r="H1498" s="27"/>
      <c r="I1498" s="20"/>
      <c r="J1498" s="21"/>
      <c r="K1498" s="28"/>
      <c r="L1498" s="19"/>
    </row>
    <row r="1499" spans="1:12" ht="13.2">
      <c r="A1499" s="22"/>
      <c r="B1499" s="16"/>
      <c r="C1499" s="23"/>
      <c r="D1499" s="101"/>
      <c r="E1499" s="24"/>
      <c r="F1499" s="25"/>
      <c r="G1499" s="26"/>
      <c r="H1499" s="27"/>
      <c r="I1499" s="20"/>
      <c r="J1499" s="21"/>
      <c r="K1499" s="28"/>
      <c r="L1499" s="19"/>
    </row>
    <row r="1500" spans="1:12" ht="13.2">
      <c r="A1500" s="22"/>
      <c r="B1500" s="16"/>
      <c r="C1500" s="23"/>
      <c r="D1500" s="101"/>
      <c r="E1500" s="24"/>
      <c r="F1500" s="25"/>
      <c r="G1500" s="26"/>
      <c r="H1500" s="27"/>
      <c r="I1500" s="20"/>
      <c r="J1500" s="21"/>
      <c r="K1500" s="28"/>
      <c r="L1500" s="19"/>
    </row>
  </sheetData>
  <autoFilter ref="A2:L2"/>
  <mergeCells count="1">
    <mergeCell ref="A1:L1"/>
  </mergeCells>
  <conditionalFormatting sqref="C3:C1500">
    <cfRule type="cellIs" dxfId="48" priority="1" stopIfTrue="1" operator="equal">
      <formula>"Farjana Apu"</formula>
    </cfRule>
  </conditionalFormatting>
  <conditionalFormatting sqref="C3:C1500">
    <cfRule type="cellIs" dxfId="47" priority="2" stopIfTrue="1" operator="equal">
      <formula>"Fiza Apu"</formula>
    </cfRule>
  </conditionalFormatting>
  <conditionalFormatting sqref="C3:C1500">
    <cfRule type="cellIs" dxfId="46" priority="3" stopIfTrue="1" operator="equal">
      <formula>"Nazmul Sir"</formula>
    </cfRule>
  </conditionalFormatting>
  <conditionalFormatting sqref="C3:C1500">
    <cfRule type="cellIs" dxfId="45" priority="4" stopIfTrue="1" operator="equal">
      <formula>"Rabby Vai"</formula>
    </cfRule>
  </conditionalFormatting>
  <conditionalFormatting sqref="C3:C1500">
    <cfRule type="cellIs" dxfId="44" priority="5" stopIfTrue="1" operator="equal">
      <formula>"Reba Apu"</formula>
    </cfRule>
  </conditionalFormatting>
  <conditionalFormatting sqref="C3:C1500">
    <cfRule type="cellIs" dxfId="43" priority="6" stopIfTrue="1" operator="equal">
      <formula>"Saema Apu"</formula>
    </cfRule>
  </conditionalFormatting>
  <conditionalFormatting sqref="C3:C1500">
    <cfRule type="cellIs" dxfId="42" priority="7" stopIfTrue="1" operator="equal">
      <formula>"Sharika Apu"</formula>
    </cfRule>
  </conditionalFormatting>
  <conditionalFormatting sqref="C3:C1500">
    <cfRule type="cellIs" dxfId="41" priority="8" stopIfTrue="1" operator="equal">
      <formula>"Sharmin Apu"</formula>
    </cfRule>
  </conditionalFormatting>
  <conditionalFormatting sqref="C3:C1500">
    <cfRule type="cellIs" dxfId="40" priority="9" stopIfTrue="1" operator="equal">
      <formula>"Mubassira Apu"</formula>
    </cfRule>
  </conditionalFormatting>
  <conditionalFormatting sqref="C3:C1500">
    <cfRule type="cellIs" dxfId="39" priority="10" stopIfTrue="1" operator="equal">
      <formula>"Mona Apu"</formula>
    </cfRule>
  </conditionalFormatting>
  <conditionalFormatting sqref="C3:C1500">
    <cfRule type="cellIs" dxfId="38" priority="11" stopIfTrue="1" operator="equal">
      <formula>"Rakib Vai"</formula>
    </cfRule>
  </conditionalFormatting>
  <conditionalFormatting sqref="C3:C1500">
    <cfRule type="cellIs" dxfId="37" priority="12" stopIfTrue="1" operator="equal">
      <formula>"Saifullah Vai"</formula>
    </cfRule>
  </conditionalFormatting>
  <conditionalFormatting sqref="C3:C1500">
    <cfRule type="cellIs" dxfId="36" priority="13" stopIfTrue="1" operator="equal">
      <formula>"Shamsul Sir"</formula>
    </cfRule>
  </conditionalFormatting>
  <conditionalFormatting sqref="C3:C1500">
    <cfRule type="cellIs" dxfId="35" priority="14" stopIfTrue="1" operator="equal">
      <formula>"Zahirul Vai"</formula>
    </cfRule>
  </conditionalFormatting>
  <conditionalFormatting sqref="F3:F1500">
    <cfRule type="cellIs" dxfId="34" priority="15" stopIfTrue="1" operator="equal">
      <formula>"ATC Box Output"</formula>
    </cfRule>
  </conditionalFormatting>
  <conditionalFormatting sqref="F3:F1500">
    <cfRule type="cellIs" dxfId="33" priority="16" stopIfTrue="1" operator="equal">
      <formula>"Black Cylinder Output"</formula>
    </cfRule>
  </conditionalFormatting>
  <conditionalFormatting sqref="F3:F1500">
    <cfRule type="cellIs" dxfId="32" priority="17" stopIfTrue="1" operator="equal">
      <formula>"Flyer/Brochure/Banner Output"</formula>
    </cfRule>
  </conditionalFormatting>
  <conditionalFormatting sqref="F3:F1500">
    <cfRule type="cellIs" dxfId="31" priority="18" stopIfTrue="1" operator="equal">
      <formula>"Full Cylinder Output"</formula>
    </cfRule>
  </conditionalFormatting>
  <conditionalFormatting sqref="F3:F1500">
    <cfRule type="cellIs" dxfId="30" priority="19" stopIfTrue="1" operator="equal">
      <formula>"Gravure Output #1"</formula>
    </cfRule>
  </conditionalFormatting>
  <conditionalFormatting sqref="F3:F1500">
    <cfRule type="cellIs" dxfId="29" priority="20" stopIfTrue="1" operator="equal">
      <formula>"Gravure Output #2"</formula>
    </cfRule>
  </conditionalFormatting>
  <conditionalFormatting sqref="F3:F1500">
    <cfRule type="cellIs" dxfId="28" priority="21" stopIfTrue="1" operator="equal">
      <formula>"JAR Label Sticker Output"</formula>
    </cfRule>
  </conditionalFormatting>
  <conditionalFormatting sqref="F3:F1500">
    <cfRule type="cellIs" dxfId="27" priority="22" stopIfTrue="1" operator="equal">
      <formula>"Leaflet/Poster Output"</formula>
    </cfRule>
  </conditionalFormatting>
  <conditionalFormatting sqref="F3:F1500">
    <cfRule type="cellIs" dxfId="26" priority="23" stopIfTrue="1" operator="equal">
      <formula>"Output Setup (Gravure/Offset)"</formula>
    </cfRule>
  </conditionalFormatting>
  <conditionalFormatting sqref="F3:F1500">
    <cfRule type="cellIs" dxfId="25" priority="24" stopIfTrue="1" operator="equal">
      <formula>"Carton Design"</formula>
    </cfRule>
  </conditionalFormatting>
  <conditionalFormatting sqref="F3:F1500">
    <cfRule type="cellIs" dxfId="24" priority="25" stopIfTrue="1" operator="equal">
      <formula>"Document Text Correction"</formula>
    </cfRule>
  </conditionalFormatting>
  <conditionalFormatting sqref="F3:F1500">
    <cfRule type="cellIs" dxfId="23" priority="26" stopIfTrue="1" operator="equal">
      <formula>"FOP Sticker Making"</formula>
    </cfRule>
  </conditionalFormatting>
  <conditionalFormatting sqref="F3:F1500">
    <cfRule type="cellIs" dxfId="22" priority="27" stopIfTrue="1" operator="equal">
      <formula>"Layout/Dieline Making"</formula>
    </cfRule>
  </conditionalFormatting>
  <conditionalFormatting sqref="F3:F1500">
    <cfRule type="cellIs" dxfId="21" priority="28" stopIfTrue="1" operator="equal">
      <formula>"Packaging Text Design #1"</formula>
    </cfRule>
  </conditionalFormatting>
  <conditionalFormatting sqref="F3:F1500">
    <cfRule type="cellIs" dxfId="20" priority="29" stopIfTrue="1" operator="equal">
      <formula>"Packaging Text Design #2"</formula>
    </cfRule>
  </conditionalFormatting>
  <conditionalFormatting sqref="F3:F1500">
    <cfRule type="cellIs" dxfId="19" priority="30" stopIfTrue="1" operator="equal">
      <formula>"Text Sticker Design #1"</formula>
    </cfRule>
  </conditionalFormatting>
  <conditionalFormatting sqref="F3:F1500">
    <cfRule type="cellIs" dxfId="18" priority="31" stopIfTrue="1" operator="equal">
      <formula>"Text Sticker Design #2"</formula>
    </cfRule>
  </conditionalFormatting>
  <conditionalFormatting sqref="F3:F1500">
    <cfRule type="cellIs" dxfId="17" priority="32" stopIfTrue="1" operator="equal">
      <formula>"ATC BOX"</formula>
    </cfRule>
  </conditionalFormatting>
  <conditionalFormatting sqref="F3:F1500">
    <cfRule type="cellIs" dxfId="16" priority="33" stopIfTrue="1" operator="equal">
      <formula>"Background Remove/Image Resize"</formula>
    </cfRule>
  </conditionalFormatting>
  <conditionalFormatting sqref="F3:F1500">
    <cfRule type="cellIs" dxfId="15" priority="34" stopIfTrue="1" operator="equal">
      <formula>"Branding"</formula>
    </cfRule>
  </conditionalFormatting>
  <conditionalFormatting sqref="F3:F1500">
    <cfRule type="cellIs" dxfId="14" priority="35" stopIfTrue="1" operator="equal">
      <formula>"Clipping Path"</formula>
    </cfRule>
  </conditionalFormatting>
  <conditionalFormatting sqref="F3:F1500">
    <cfRule type="cellIs" dxfId="13" priority="36" stopIfTrue="1" operator="equal">
      <formula>"Digital Static For Social Media"</formula>
    </cfRule>
  </conditionalFormatting>
  <conditionalFormatting sqref="F3:F1500">
    <cfRule type="cellIs" dxfId="12" priority="37" stopIfTrue="1" operator="equal">
      <formula>"Logo Design"</formula>
    </cfRule>
  </conditionalFormatting>
  <conditionalFormatting sqref="F3:F1500">
    <cfRule type="cellIs" dxfId="11" priority="38" stopIfTrue="1" operator="equal">
      <formula>"Outdoor/Event/Showroom Branding"</formula>
    </cfRule>
  </conditionalFormatting>
  <conditionalFormatting sqref="F3:F1500">
    <cfRule type="cellIs" dxfId="10" priority="39" stopIfTrue="1" operator="equal">
      <formula>"Packaging"</formula>
    </cfRule>
  </conditionalFormatting>
  <conditionalFormatting sqref="F3:F1500">
    <cfRule type="cellIs" dxfId="9" priority="40" stopIfTrue="1" operator="equal">
      <formula>"Visiting/ ID Card design"</formula>
    </cfRule>
  </conditionalFormatting>
  <conditionalFormatting sqref="F3:F1500">
    <cfRule type="cellIs" dxfId="8" priority="41" stopIfTrue="1" operator="equal">
      <formula>"Voice Over"</formula>
    </cfRule>
  </conditionalFormatting>
  <conditionalFormatting sqref="K3:K1500">
    <cfRule type="cellIs" dxfId="7" priority="42" stopIfTrue="1" operator="equal">
      <formula>"HoM Approved"</formula>
    </cfRule>
  </conditionalFormatting>
  <conditionalFormatting sqref="K3:K1500">
    <cfRule type="cellIs" dxfId="6" priority="43" stopIfTrue="1" operator="equal">
      <formula>"Brief Submitted"</formula>
    </cfRule>
  </conditionalFormatting>
  <conditionalFormatting sqref="K3:K1500">
    <cfRule type="cellIs" dxfId="5" priority="44" stopIfTrue="1" operator="equal">
      <formula>"In Review"</formula>
    </cfRule>
  </conditionalFormatting>
  <conditionalFormatting sqref="K3:K1500">
    <cfRule type="cellIs" dxfId="4" priority="45" stopIfTrue="1" operator="equal">
      <formula>"BM Approved"</formula>
    </cfRule>
  </conditionalFormatting>
  <conditionalFormatting sqref="K3:K1500">
    <cfRule type="cellIs" dxfId="3" priority="46" stopIfTrue="1" operator="equal">
      <formula>"Running"</formula>
    </cfRule>
  </conditionalFormatting>
  <conditionalFormatting sqref="C3:C1500">
    <cfRule type="expression" dxfId="2" priority="47" stopIfTrue="1">
      <formula>"=AND(=COUNTA($A3:$K3)&gt;0,$C3="")"</formula>
    </cfRule>
  </conditionalFormatting>
  <conditionalFormatting sqref="F3:J1500">
    <cfRule type="expression" dxfId="1" priority="48" stopIfTrue="1">
      <formula>"=AND(=COUNTA($A3:$K3)&gt;0,F3="")"</formula>
    </cfRule>
  </conditionalFormatting>
  <conditionalFormatting sqref="A3:L1500">
    <cfRule type="expression" dxfId="0" priority="49" stopIfTrue="1">
      <formula>COUNTA($A3:$L3)=0</formula>
    </cfRule>
  </conditionalFormatting>
  <dataValidations count="2">
    <dataValidation type="decimal" operator="greaterThan" allowBlank="1" showDropDown="1" showErrorMessage="1" sqref="H3:H1500">
      <formula1>0</formula1>
    </dataValidation>
    <dataValidation type="custom" allowBlank="1" showDropDown="1" showErrorMessage="1" sqref="I3:I1500">
      <formula1>OR(NOT(ISERROR(DATEVALUE(I3))), AND(ISNUMBER(I3), LEFT(CELL("format", I3))="D"))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Helper!$A$2:$A1500</xm:f>
          </x14:formula1>
          <xm:sqref>B3:B1500</xm:sqref>
        </x14:dataValidation>
        <x14:dataValidation type="list" allowBlank="1">
          <x14:formula1>
            <xm:f>Helper!$B$2:$B1500</xm:f>
          </x14:formula1>
          <xm:sqref>C3:C1500</xm:sqref>
        </x14:dataValidation>
        <x14:dataValidation type="list" allowBlank="1">
          <x14:formula1>
            <xm:f>Helper!$C$2:$C1500</xm:f>
          </x14:formula1>
          <xm:sqref>F3:F1500</xm:sqref>
        </x14:dataValidation>
        <x14:dataValidation type="list" allowBlank="1">
          <x14:formula1>
            <xm:f>Helper!$D$2:$D1500</xm:f>
          </x14:formula1>
          <xm:sqref>G3:G1500</xm:sqref>
        </x14:dataValidation>
        <x14:dataValidation type="list" allowBlank="1">
          <x14:formula1>
            <xm:f>Helper!$E$2:$E1500</xm:f>
          </x14:formula1>
          <xm:sqref>K3:K1500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Shohag_S188138</vt:lpstr>
      <vt:lpstr>Faruk_521288</vt:lpstr>
      <vt:lpstr>Iasin_S204960</vt:lpstr>
      <vt:lpstr>Sani_S223034</vt:lpstr>
      <vt:lpstr>Azizul_S223035</vt:lpstr>
      <vt:lpstr>Sujan_S223038</vt:lpstr>
      <vt:lpstr>Ariful_S223037</vt:lpstr>
      <vt:lpstr>Helper</vt:lpstr>
      <vt:lpstr>Local DB</vt:lpstr>
      <vt:lpstr>Ex-Designers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</cp:lastModifiedBy>
  <dcterms:modified xsi:type="dcterms:W3CDTF">2026-08-18T07:25:29Z</dcterms:modified>
</cp:coreProperties>
</file>